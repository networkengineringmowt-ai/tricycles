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5-RW\STN130 KITGUM-ATIAK\OD\"/>
    </mc:Choice>
  </mc:AlternateContent>
  <xr:revisionPtr revIDLastSave="0" documentId="13_ncr:1_{5122CA76-6972-47CD-9028-C62D849C1FAE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2" r:id="rId1"/>
    <sheet name="ALL DATA" sheetId="40" r:id="rId2"/>
    <sheet name="Zones" sheetId="41" r:id="rId3"/>
    <sheet name="03.08 Palabek-Atiak" sheetId="3" r:id="rId4"/>
    <sheet name="RSI FORM" sheetId="4" state="hidden" r:id="rId5"/>
    <sheet name="03.08 Atiak-Palabek" sheetId="37" r:id="rId6"/>
    <sheet name="Key" sheetId="5" r:id="rId7"/>
  </sheets>
  <externalReferences>
    <externalReference r:id="rId8"/>
  </externalReferences>
  <definedNames>
    <definedName name="_xlnm._FilterDatabase" localSheetId="5" hidden="1">'03.08 Atiak-Palabek'!$B$9:$AB$14</definedName>
    <definedName name="_xlnm._FilterDatabase" localSheetId="3" hidden="1">'03.08 Palabek-Atiak'!$B$9:$AB$23</definedName>
    <definedName name="_xlnm._FilterDatabase" localSheetId="1" hidden="1">'ALL DATA'!$B$7:$AB$29</definedName>
    <definedName name="_xlnm._FilterDatabase" localSheetId="2" hidden="1">Zones!$A$1:$N$2115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5">'03.08 Atiak-Palabek'!$D$9:$D$14</definedName>
    <definedName name="Veh_Type" localSheetId="1">'ALL DATA'!$D$9:$D$23</definedName>
    <definedName name="Veh_Type" localSheetId="2">'[1]25.07 BUSEGA-NATEETE'!$D:$D</definedName>
    <definedName name="Veh_Type">'03.08 Palabek-Atiak'!$D$9:$D$23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2" l="1"/>
  <c r="Y55" i="42" s="1"/>
  <c r="X66" i="42"/>
  <c r="W66" i="42"/>
  <c r="V66" i="42"/>
  <c r="U66" i="42"/>
  <c r="T66" i="42"/>
  <c r="S66" i="42"/>
  <c r="R66" i="42"/>
  <c r="Y65" i="42"/>
  <c r="X65" i="42"/>
  <c r="W65" i="42"/>
  <c r="V65" i="42"/>
  <c r="U65" i="42"/>
  <c r="T65" i="42"/>
  <c r="S65" i="42"/>
  <c r="R65" i="42"/>
  <c r="Y64" i="42"/>
  <c r="X64" i="42"/>
  <c r="W64" i="42"/>
  <c r="V64" i="42"/>
  <c r="U64" i="42"/>
  <c r="T64" i="42"/>
  <c r="S64" i="42"/>
  <c r="R64" i="42"/>
  <c r="Y63" i="42"/>
  <c r="X63" i="42"/>
  <c r="W63" i="42"/>
  <c r="V63" i="42"/>
  <c r="U63" i="42"/>
  <c r="T63" i="42"/>
  <c r="S63" i="42"/>
  <c r="R63" i="42"/>
  <c r="Y62" i="42"/>
  <c r="X62" i="42"/>
  <c r="W62" i="42"/>
  <c r="V62" i="42"/>
  <c r="U62" i="42"/>
  <c r="T62" i="42"/>
  <c r="S62" i="42"/>
  <c r="R62" i="42"/>
  <c r="Y61" i="42"/>
  <c r="X61" i="42"/>
  <c r="W61" i="42"/>
  <c r="V61" i="42"/>
  <c r="U61" i="42"/>
  <c r="T61" i="42"/>
  <c r="S61" i="42"/>
  <c r="R61" i="42"/>
  <c r="Y60" i="42"/>
  <c r="X60" i="42"/>
  <c r="W60" i="42"/>
  <c r="V60" i="42"/>
  <c r="U60" i="42"/>
  <c r="T60" i="42"/>
  <c r="S60" i="42"/>
  <c r="R60" i="42"/>
  <c r="Y59" i="42"/>
  <c r="X59" i="42"/>
  <c r="W59" i="42"/>
  <c r="V59" i="42"/>
  <c r="V48" i="42" s="1"/>
  <c r="U59" i="42"/>
  <c r="T59" i="42"/>
  <c r="S59" i="42"/>
  <c r="R59" i="42"/>
  <c r="Y76" i="42"/>
  <c r="X76" i="42"/>
  <c r="W76" i="42"/>
  <c r="V76" i="42"/>
  <c r="U76" i="42"/>
  <c r="T76" i="42"/>
  <c r="S76" i="42"/>
  <c r="R76" i="42"/>
  <c r="Y75" i="42"/>
  <c r="X75" i="42"/>
  <c r="W75" i="42"/>
  <c r="V75" i="42"/>
  <c r="U75" i="42"/>
  <c r="T75" i="42"/>
  <c r="S75" i="42"/>
  <c r="R75" i="42"/>
  <c r="Y74" i="42"/>
  <c r="X74" i="42"/>
  <c r="W74" i="42"/>
  <c r="V74" i="42"/>
  <c r="U74" i="42"/>
  <c r="T74" i="42"/>
  <c r="S74" i="42"/>
  <c r="R74" i="42"/>
  <c r="Y73" i="42"/>
  <c r="X73" i="42"/>
  <c r="W73" i="42"/>
  <c r="V73" i="42"/>
  <c r="U73" i="42"/>
  <c r="T73" i="42"/>
  <c r="S73" i="42"/>
  <c r="R73" i="42"/>
  <c r="Y72" i="42"/>
  <c r="X72" i="42"/>
  <c r="W72" i="42"/>
  <c r="V72" i="42"/>
  <c r="U72" i="42"/>
  <c r="T72" i="42"/>
  <c r="S72" i="42"/>
  <c r="R72" i="42"/>
  <c r="Y71" i="42"/>
  <c r="X71" i="42"/>
  <c r="W71" i="42"/>
  <c r="V71" i="42"/>
  <c r="U71" i="42"/>
  <c r="T71" i="42"/>
  <c r="S71" i="42"/>
  <c r="R71" i="42"/>
  <c r="Y70" i="42"/>
  <c r="X70" i="42"/>
  <c r="W70" i="42"/>
  <c r="V70" i="42"/>
  <c r="U70" i="42"/>
  <c r="T70" i="42"/>
  <c r="S70" i="42"/>
  <c r="R70" i="42"/>
  <c r="Y69" i="42"/>
  <c r="X69" i="42"/>
  <c r="W69" i="42"/>
  <c r="V69" i="42"/>
  <c r="U69" i="42"/>
  <c r="T69" i="42"/>
  <c r="S69" i="42"/>
  <c r="R69" i="42"/>
  <c r="R48" i="42" l="1"/>
  <c r="R49" i="42"/>
  <c r="V49" i="42"/>
  <c r="R50" i="42"/>
  <c r="V50" i="42"/>
  <c r="R51" i="42"/>
  <c r="V51" i="42"/>
  <c r="R52" i="42"/>
  <c r="V52" i="42"/>
  <c r="R53" i="42"/>
  <c r="V53" i="42"/>
  <c r="R54" i="42"/>
  <c r="V54" i="42"/>
  <c r="R55" i="42"/>
  <c r="V55" i="42"/>
  <c r="S48" i="42"/>
  <c r="S49" i="42"/>
  <c r="S50" i="42"/>
  <c r="S51" i="42"/>
  <c r="W52" i="42"/>
  <c r="W53" i="42"/>
  <c r="W54" i="42"/>
  <c r="S55" i="42"/>
  <c r="W55" i="42"/>
  <c r="W48" i="42"/>
  <c r="W49" i="42"/>
  <c r="W50" i="42"/>
  <c r="W51" i="42"/>
  <c r="S52" i="42"/>
  <c r="S53" i="42"/>
  <c r="S54" i="42"/>
  <c r="T48" i="42"/>
  <c r="X48" i="42"/>
  <c r="T49" i="42"/>
  <c r="X49" i="42"/>
  <c r="T50" i="42"/>
  <c r="X50" i="42"/>
  <c r="T51" i="42"/>
  <c r="X51" i="42"/>
  <c r="T52" i="42"/>
  <c r="X52" i="42"/>
  <c r="T53" i="42"/>
  <c r="X53" i="42"/>
  <c r="T54" i="42"/>
  <c r="X54" i="42"/>
  <c r="T55" i="42"/>
  <c r="X55" i="42"/>
  <c r="U48" i="42"/>
  <c r="Y48" i="42"/>
  <c r="U49" i="42"/>
  <c r="Y49" i="42"/>
  <c r="U50" i="42"/>
  <c r="Y50" i="42"/>
  <c r="U51" i="42"/>
  <c r="Y51" i="42"/>
  <c r="U52" i="42"/>
  <c r="Y52" i="42"/>
  <c r="U53" i="42"/>
  <c r="Y53" i="42"/>
  <c r="U54" i="42"/>
  <c r="Y54" i="42"/>
  <c r="U55" i="42"/>
  <c r="C71" i="42"/>
  <c r="C70" i="42"/>
  <c r="C69" i="42"/>
  <c r="C68" i="42"/>
  <c r="C67" i="42"/>
  <c r="C66" i="42"/>
  <c r="C65" i="42"/>
  <c r="C64" i="42"/>
  <c r="C63" i="42"/>
  <c r="C62" i="42"/>
  <c r="C61" i="42"/>
  <c r="C60" i="42"/>
  <c r="C42" i="42"/>
  <c r="C16" i="42"/>
  <c r="C15" i="42"/>
  <c r="C14" i="42"/>
  <c r="C13" i="42"/>
  <c r="C12" i="42"/>
  <c r="C11" i="42"/>
  <c r="C10" i="42"/>
  <c r="C9" i="42"/>
  <c r="C8" i="42"/>
  <c r="C7" i="42"/>
  <c r="C6" i="42"/>
  <c r="C5" i="42"/>
  <c r="C88" i="42"/>
  <c r="D88" i="42" s="1"/>
  <c r="E88" i="42" s="1"/>
  <c r="C87" i="42"/>
  <c r="C86" i="42"/>
  <c r="C85" i="42"/>
  <c r="D85" i="42" s="1"/>
  <c r="E85" i="42" s="1"/>
  <c r="C84" i="42"/>
  <c r="D84" i="42" s="1"/>
  <c r="E84" i="42" s="1"/>
  <c r="C83" i="42"/>
  <c r="C82" i="42"/>
  <c r="C81" i="42"/>
  <c r="D81" i="42" s="1"/>
  <c r="E81" i="42" s="1"/>
  <c r="C80" i="42"/>
  <c r="D80" i="42" s="1"/>
  <c r="E80" i="42" s="1"/>
  <c r="O28" i="42"/>
  <c r="O27" i="42"/>
  <c r="O26" i="42"/>
  <c r="O25" i="42"/>
  <c r="O24" i="42"/>
  <c r="O23" i="42"/>
  <c r="O15" i="42"/>
  <c r="O14" i="42"/>
  <c r="O13" i="42"/>
  <c r="O12" i="42"/>
  <c r="P12" i="42" s="1"/>
  <c r="Q12" i="42" s="1"/>
  <c r="O11" i="42"/>
  <c r="O10" i="42"/>
  <c r="O9" i="42"/>
  <c r="O8" i="42"/>
  <c r="P8" i="42" s="1"/>
  <c r="Q8" i="42" s="1"/>
  <c r="O7" i="42"/>
  <c r="P7" i="42" s="1"/>
  <c r="O6" i="42"/>
  <c r="O5" i="42"/>
  <c r="P6" i="42" l="1"/>
  <c r="P10" i="42"/>
  <c r="C17" i="42"/>
  <c r="D13" i="42" s="1"/>
  <c r="Q6" i="42"/>
  <c r="Q10" i="42"/>
  <c r="O29" i="42"/>
  <c r="P25" i="42" s="1"/>
  <c r="Q7" i="42"/>
  <c r="P11" i="42"/>
  <c r="Q11" i="42" s="1"/>
  <c r="P14" i="42"/>
  <c r="Q14" i="42" s="1"/>
  <c r="P15" i="42"/>
  <c r="Q15" i="42" s="1"/>
  <c r="D83" i="42"/>
  <c r="E83" i="42" s="1"/>
  <c r="D87" i="42"/>
  <c r="E87" i="42" s="1"/>
  <c r="D9" i="42"/>
  <c r="D11" i="42"/>
  <c r="C29" i="42"/>
  <c r="D16" i="42"/>
  <c r="D6" i="42"/>
  <c r="D7" i="42"/>
  <c r="D82" i="42"/>
  <c r="E82" i="42" s="1"/>
  <c r="D86" i="42"/>
  <c r="E86" i="42" s="1"/>
  <c r="P5" i="42"/>
  <c r="Q5" i="42" s="1"/>
  <c r="P9" i="42"/>
  <c r="Q9" i="42" s="1"/>
  <c r="P13" i="42"/>
  <c r="Q13" i="42" s="1"/>
  <c r="D5" i="42" l="1"/>
  <c r="D14" i="42"/>
  <c r="D10" i="42"/>
  <c r="D15" i="42"/>
  <c r="D12" i="42"/>
  <c r="D8" i="42"/>
  <c r="P26" i="42"/>
  <c r="P24" i="42"/>
  <c r="P28" i="42"/>
  <c r="P27" i="42"/>
  <c r="P23" i="42"/>
  <c r="C44" i="42"/>
  <c r="C43" i="42" l="1"/>
  <c r="D43" i="42" s="1"/>
  <c r="D42" i="42"/>
  <c r="D3" i="41" l="1"/>
  <c r="D4" i="41"/>
  <c r="D5" i="41"/>
  <c r="D6" i="41"/>
  <c r="D7" i="41"/>
  <c r="D8" i="41"/>
  <c r="D9" i="41"/>
  <c r="D10" i="41"/>
  <c r="D11" i="41"/>
  <c r="D12" i="41"/>
  <c r="D13" i="41"/>
  <c r="D14" i="41"/>
  <c r="D15" i="41"/>
  <c r="D16" i="41"/>
  <c r="D17" i="41"/>
  <c r="D18" i="41"/>
  <c r="D19" i="41"/>
  <c r="D20" i="41"/>
  <c r="D21" i="41"/>
  <c r="D22" i="41"/>
  <c r="D23" i="41"/>
  <c r="D24" i="41"/>
  <c r="D25" i="41"/>
  <c r="D26" i="41"/>
  <c r="D27" i="41"/>
  <c r="D28" i="41"/>
  <c r="D29" i="41"/>
  <c r="D30" i="41"/>
  <c r="D31" i="41"/>
  <c r="D32" i="41"/>
  <c r="D33" i="41"/>
  <c r="D34" i="41"/>
  <c r="D35" i="41"/>
  <c r="D36" i="41"/>
  <c r="D37" i="41"/>
  <c r="D38" i="41"/>
  <c r="D39" i="41"/>
  <c r="D40" i="41"/>
  <c r="D41" i="41"/>
  <c r="D42" i="41"/>
  <c r="D43" i="41"/>
  <c r="D44" i="41"/>
  <c r="D45" i="41"/>
  <c r="D46" i="41"/>
  <c r="D47" i="41"/>
  <c r="D48" i="41"/>
  <c r="D49" i="41"/>
  <c r="D50" i="41"/>
  <c r="D51" i="41"/>
  <c r="D52" i="41"/>
  <c r="D53" i="41"/>
  <c r="D54" i="41"/>
  <c r="D55" i="41"/>
  <c r="D56" i="41"/>
  <c r="D57" i="41"/>
  <c r="D58" i="41"/>
  <c r="D59" i="41"/>
  <c r="D60" i="41"/>
  <c r="D61" i="41"/>
  <c r="D62" i="41"/>
  <c r="D63" i="41"/>
  <c r="D64" i="41"/>
  <c r="D65" i="41"/>
  <c r="D66" i="41"/>
  <c r="D67" i="41"/>
  <c r="D68" i="41"/>
  <c r="D69" i="41"/>
  <c r="D70" i="41"/>
  <c r="D71" i="41"/>
  <c r="D72" i="41"/>
  <c r="D73" i="41"/>
  <c r="D74" i="41"/>
  <c r="D75" i="41"/>
  <c r="D76" i="41"/>
  <c r="D77" i="41"/>
  <c r="D78" i="41"/>
  <c r="D79" i="41"/>
  <c r="D80" i="41"/>
  <c r="D81" i="41"/>
  <c r="D82" i="41"/>
  <c r="D83" i="41"/>
  <c r="D84" i="41"/>
  <c r="D85" i="41"/>
  <c r="D86" i="41"/>
  <c r="D87" i="41"/>
  <c r="D88" i="41"/>
  <c r="D89" i="41"/>
  <c r="D90" i="41"/>
  <c r="D91" i="41"/>
  <c r="D92" i="41"/>
  <c r="D93" i="41"/>
  <c r="D94" i="41"/>
  <c r="D95" i="41"/>
  <c r="D96" i="41"/>
  <c r="D97" i="41"/>
  <c r="D98" i="41"/>
  <c r="D99" i="41"/>
  <c r="D100" i="41"/>
  <c r="D101" i="41"/>
  <c r="D102" i="41"/>
  <c r="D103" i="41"/>
  <c r="D104" i="41"/>
  <c r="D105" i="41"/>
  <c r="D106" i="41"/>
  <c r="D107" i="41"/>
  <c r="D108" i="41"/>
  <c r="D109" i="41"/>
  <c r="D110" i="41"/>
  <c r="D111" i="41"/>
  <c r="D112" i="41"/>
  <c r="D113" i="41"/>
  <c r="D114" i="41"/>
  <c r="D115" i="41"/>
  <c r="D116" i="41"/>
  <c r="D117" i="41"/>
  <c r="D118" i="41"/>
  <c r="D119" i="41"/>
  <c r="D120" i="41"/>
  <c r="D121" i="41"/>
  <c r="D122" i="41"/>
  <c r="D123" i="41"/>
  <c r="D124" i="41"/>
  <c r="D125" i="41"/>
  <c r="D126" i="41"/>
  <c r="D127" i="41"/>
  <c r="D128" i="41"/>
  <c r="D129" i="41"/>
  <c r="D130" i="41"/>
  <c r="D131" i="41"/>
  <c r="D132" i="41"/>
  <c r="D133" i="41"/>
  <c r="D134" i="41"/>
  <c r="D135" i="41"/>
  <c r="D136" i="41"/>
  <c r="D137" i="41"/>
  <c r="D138" i="41"/>
  <c r="D139" i="41"/>
  <c r="D140" i="41"/>
  <c r="D141" i="41"/>
  <c r="D142" i="41"/>
  <c r="D143" i="41"/>
  <c r="D144" i="41"/>
  <c r="D145" i="41"/>
  <c r="D146" i="41"/>
  <c r="D147" i="41"/>
  <c r="D148" i="41"/>
  <c r="D149" i="41"/>
  <c r="D150" i="41"/>
  <c r="D151" i="41"/>
  <c r="D152" i="41"/>
  <c r="D153" i="41"/>
  <c r="D154" i="41"/>
  <c r="D155" i="41"/>
  <c r="D156" i="41"/>
  <c r="D157" i="41"/>
  <c r="D158" i="41"/>
  <c r="D159" i="41"/>
  <c r="D160" i="41"/>
  <c r="D161" i="41"/>
  <c r="D162" i="41"/>
  <c r="D163" i="41"/>
  <c r="D164" i="41"/>
  <c r="D165" i="41"/>
  <c r="D166" i="41"/>
  <c r="D167" i="41"/>
  <c r="D168" i="41"/>
  <c r="D169" i="41"/>
  <c r="D170" i="41"/>
  <c r="D171" i="41"/>
  <c r="D172" i="41"/>
  <c r="D173" i="41"/>
  <c r="D174" i="41"/>
  <c r="D175" i="41"/>
  <c r="D176" i="41"/>
  <c r="D177" i="41"/>
  <c r="D178" i="41"/>
  <c r="D179" i="41"/>
  <c r="D180" i="41"/>
  <c r="D181" i="41"/>
  <c r="D182" i="41"/>
  <c r="D183" i="41"/>
  <c r="D184" i="41"/>
  <c r="D185" i="41"/>
  <c r="D186" i="41"/>
  <c r="D187" i="41"/>
  <c r="D188" i="41"/>
  <c r="D189" i="41"/>
  <c r="D190" i="41"/>
  <c r="D191" i="41"/>
  <c r="D192" i="41"/>
  <c r="D193" i="41"/>
  <c r="D194" i="41"/>
  <c r="D195" i="41"/>
  <c r="D196" i="41"/>
  <c r="D197" i="41"/>
  <c r="D198" i="41"/>
  <c r="D199" i="41"/>
  <c r="D200" i="41"/>
  <c r="D201" i="41"/>
  <c r="D202" i="41"/>
  <c r="D203" i="41"/>
  <c r="D204" i="41"/>
  <c r="D205" i="41"/>
  <c r="D206" i="41"/>
  <c r="D207" i="41"/>
  <c r="D208" i="41"/>
  <c r="D209" i="41"/>
  <c r="D210" i="41"/>
  <c r="D211" i="41"/>
  <c r="D212" i="41"/>
  <c r="D213" i="41"/>
  <c r="D214" i="41"/>
  <c r="D215" i="41"/>
  <c r="D216" i="41"/>
  <c r="D217" i="41"/>
  <c r="D218" i="41"/>
  <c r="D219" i="41"/>
  <c r="D220" i="41"/>
  <c r="D221" i="41"/>
  <c r="D222" i="41"/>
  <c r="D223" i="41"/>
  <c r="D224" i="41"/>
  <c r="D225" i="41"/>
  <c r="D226" i="41"/>
  <c r="D227" i="41"/>
  <c r="D228" i="41"/>
  <c r="D229" i="41"/>
  <c r="D230" i="41"/>
  <c r="D231" i="41"/>
  <c r="D232" i="41"/>
  <c r="D233" i="41"/>
  <c r="D234" i="41"/>
  <c r="D235" i="41"/>
  <c r="D236" i="41"/>
  <c r="D237" i="41"/>
  <c r="D238" i="41"/>
  <c r="D239" i="41"/>
  <c r="D240" i="41"/>
  <c r="D241" i="41"/>
  <c r="D242" i="41"/>
  <c r="D243" i="41"/>
  <c r="D244" i="41"/>
  <c r="D245" i="41"/>
  <c r="D246" i="41"/>
  <c r="D247" i="41"/>
  <c r="D248" i="41"/>
  <c r="D249" i="41"/>
  <c r="D250" i="41"/>
  <c r="D251" i="41"/>
  <c r="D252" i="41"/>
  <c r="D253" i="41"/>
  <c r="D254" i="41"/>
  <c r="D255" i="41"/>
  <c r="D256" i="41"/>
  <c r="D257" i="41"/>
  <c r="D258" i="41"/>
  <c r="D259" i="41"/>
  <c r="D260" i="41"/>
  <c r="D261" i="41"/>
  <c r="D262" i="41"/>
  <c r="D263" i="41"/>
  <c r="D264" i="41"/>
  <c r="D265" i="41"/>
  <c r="D266" i="41"/>
  <c r="D267" i="41"/>
  <c r="D268" i="41"/>
  <c r="D269" i="41"/>
  <c r="D270" i="41"/>
  <c r="D271" i="41"/>
  <c r="D272" i="41"/>
  <c r="D273" i="41"/>
  <c r="D274" i="41"/>
  <c r="D275" i="41"/>
  <c r="D276" i="41"/>
  <c r="D277" i="41"/>
  <c r="D278" i="41"/>
  <c r="D279" i="41"/>
  <c r="D280" i="41"/>
  <c r="D281" i="41"/>
  <c r="D282" i="41"/>
  <c r="D283" i="41"/>
  <c r="D284" i="41"/>
  <c r="D285" i="41"/>
  <c r="D286" i="41"/>
  <c r="D287" i="41"/>
  <c r="D288" i="41"/>
  <c r="D289" i="41"/>
  <c r="D290" i="41"/>
  <c r="D291" i="41"/>
  <c r="D292" i="41"/>
  <c r="D293" i="41"/>
  <c r="D294" i="41"/>
  <c r="D295" i="41"/>
  <c r="D296" i="41"/>
  <c r="D297" i="41"/>
  <c r="D298" i="41"/>
  <c r="D299" i="41"/>
  <c r="D300" i="41"/>
  <c r="D301" i="41"/>
  <c r="D302" i="41"/>
  <c r="D303" i="41"/>
  <c r="D304" i="41"/>
  <c r="D305" i="41"/>
  <c r="D306" i="41"/>
  <c r="D307" i="41"/>
  <c r="D308" i="41"/>
  <c r="D309" i="41"/>
  <c r="D310" i="41"/>
  <c r="D311" i="41"/>
  <c r="D312" i="41"/>
  <c r="D313" i="41"/>
  <c r="D314" i="41"/>
  <c r="D315" i="41"/>
  <c r="D316" i="41"/>
  <c r="D317" i="41"/>
  <c r="D318" i="41"/>
  <c r="D319" i="41"/>
  <c r="D320" i="41"/>
  <c r="D321" i="41"/>
  <c r="D322" i="41"/>
  <c r="D323" i="41"/>
  <c r="D324" i="41"/>
  <c r="D325" i="41"/>
  <c r="D326" i="41"/>
  <c r="D327" i="41"/>
  <c r="D328" i="41"/>
  <c r="D329" i="41"/>
  <c r="D330" i="41"/>
  <c r="D331" i="41"/>
  <c r="D332" i="41"/>
  <c r="D333" i="41"/>
  <c r="D334" i="41"/>
  <c r="D335" i="41"/>
  <c r="D336" i="41"/>
  <c r="D337" i="41"/>
  <c r="D338" i="41"/>
  <c r="D339" i="41"/>
  <c r="D340" i="41"/>
  <c r="D341" i="41"/>
  <c r="D342" i="41"/>
  <c r="D343" i="41"/>
  <c r="D344" i="41"/>
  <c r="D345" i="41"/>
  <c r="D346" i="41"/>
  <c r="D347" i="41"/>
  <c r="D348" i="41"/>
  <c r="D349" i="41"/>
  <c r="D350" i="41"/>
  <c r="D351" i="41"/>
  <c r="D352" i="41"/>
  <c r="D353" i="41"/>
  <c r="D354" i="41"/>
  <c r="D355" i="41"/>
  <c r="D356" i="41"/>
  <c r="D357" i="41"/>
  <c r="D358" i="41"/>
  <c r="D359" i="41"/>
  <c r="D360" i="41"/>
  <c r="D361" i="41"/>
  <c r="D362" i="41"/>
  <c r="D363" i="41"/>
  <c r="D364" i="41"/>
  <c r="D365" i="41"/>
  <c r="D366" i="41"/>
  <c r="D367" i="41"/>
  <c r="D368" i="41"/>
  <c r="D369" i="41"/>
  <c r="D370" i="41"/>
  <c r="D371" i="41"/>
  <c r="D372" i="41"/>
  <c r="D373" i="41"/>
  <c r="D374" i="41"/>
  <c r="D375" i="41"/>
  <c r="D376" i="41"/>
  <c r="D377" i="41"/>
  <c r="D378" i="41"/>
  <c r="D379" i="41"/>
  <c r="D380" i="41"/>
  <c r="D381" i="41"/>
  <c r="D382" i="41"/>
  <c r="D383" i="41"/>
  <c r="D384" i="41"/>
  <c r="D385" i="41"/>
  <c r="D386" i="41"/>
  <c r="D387" i="41"/>
  <c r="D388" i="41"/>
  <c r="D389" i="41"/>
  <c r="D390" i="41"/>
  <c r="D391" i="41"/>
  <c r="D392" i="41"/>
  <c r="D393" i="41"/>
  <c r="D394" i="41"/>
  <c r="D395" i="41"/>
  <c r="D396" i="41"/>
  <c r="D397" i="41"/>
  <c r="D398" i="41"/>
  <c r="D399" i="41"/>
  <c r="D400" i="41"/>
  <c r="D401" i="41"/>
  <c r="D402" i="41"/>
  <c r="D403" i="41"/>
  <c r="D404" i="41"/>
  <c r="D405" i="41"/>
  <c r="D406" i="41"/>
  <c r="D407" i="41"/>
  <c r="D408" i="41"/>
  <c r="D409" i="41"/>
  <c r="D410" i="41"/>
  <c r="D411" i="41"/>
  <c r="D412" i="41"/>
  <c r="D413" i="41"/>
  <c r="D414" i="41"/>
  <c r="D415" i="41"/>
  <c r="D416" i="41"/>
  <c r="D417" i="41"/>
  <c r="D418" i="41"/>
  <c r="D419" i="41"/>
  <c r="D420" i="41"/>
  <c r="D421" i="41"/>
  <c r="D422" i="41"/>
  <c r="D423" i="41"/>
  <c r="D424" i="41"/>
  <c r="D425" i="41"/>
  <c r="D426" i="41"/>
  <c r="D427" i="41"/>
  <c r="D428" i="41"/>
  <c r="D429" i="41"/>
  <c r="D430" i="41"/>
  <c r="D431" i="41"/>
  <c r="D432" i="41"/>
  <c r="D433" i="41"/>
  <c r="D434" i="41"/>
  <c r="D435" i="41"/>
  <c r="D436" i="41"/>
  <c r="D437" i="41"/>
  <c r="D438" i="41"/>
  <c r="D439" i="41"/>
  <c r="D440" i="41"/>
  <c r="D441" i="41"/>
  <c r="D442" i="41"/>
  <c r="D443" i="41"/>
  <c r="D444" i="41"/>
  <c r="D445" i="41"/>
  <c r="D446" i="41"/>
  <c r="D447" i="41"/>
  <c r="D448" i="41"/>
  <c r="D449" i="41"/>
  <c r="D450" i="41"/>
  <c r="D451" i="41"/>
  <c r="D452" i="41"/>
  <c r="D453" i="41"/>
  <c r="D454" i="41"/>
  <c r="D455" i="41"/>
  <c r="D456" i="41"/>
  <c r="D457" i="41"/>
  <c r="D458" i="41"/>
  <c r="D459" i="41"/>
  <c r="D460" i="41"/>
  <c r="D461" i="41"/>
  <c r="D462" i="41"/>
  <c r="D463" i="41"/>
  <c r="D464" i="41"/>
  <c r="D465" i="41"/>
  <c r="D466" i="41"/>
  <c r="D467" i="41"/>
  <c r="D468" i="41"/>
  <c r="D469" i="41"/>
  <c r="D470" i="41"/>
  <c r="D471" i="41"/>
  <c r="D472" i="41"/>
  <c r="D473" i="41"/>
  <c r="D474" i="41"/>
  <c r="D475" i="41"/>
  <c r="D476" i="41"/>
  <c r="D477" i="41"/>
  <c r="D478" i="41"/>
  <c r="D479" i="41"/>
  <c r="D480" i="41"/>
  <c r="D481" i="41"/>
  <c r="D482" i="41"/>
  <c r="D483" i="41"/>
  <c r="D484" i="41"/>
  <c r="D485" i="41"/>
  <c r="D486" i="41"/>
  <c r="D487" i="41"/>
  <c r="D488" i="41"/>
  <c r="D489" i="41"/>
  <c r="D490" i="41"/>
  <c r="D491" i="41"/>
  <c r="D492" i="41"/>
  <c r="D493" i="41"/>
  <c r="D494" i="41"/>
  <c r="D495" i="41"/>
  <c r="D496" i="41"/>
  <c r="D497" i="41"/>
  <c r="D498" i="41"/>
  <c r="D499" i="41"/>
  <c r="D500" i="41"/>
  <c r="D501" i="41"/>
  <c r="D502" i="41"/>
  <c r="D503" i="41"/>
  <c r="D504" i="41"/>
  <c r="D505" i="41"/>
  <c r="D506" i="41"/>
  <c r="D507" i="41"/>
  <c r="D508" i="41"/>
  <c r="D509" i="41"/>
  <c r="D510" i="41"/>
  <c r="D511" i="41"/>
  <c r="D512" i="41"/>
  <c r="D513" i="41"/>
  <c r="D514" i="41"/>
  <c r="D515" i="41"/>
  <c r="D516" i="41"/>
  <c r="D517" i="41"/>
  <c r="D518" i="41"/>
  <c r="D519" i="41"/>
  <c r="D520" i="41"/>
  <c r="D521" i="41"/>
  <c r="D522" i="41"/>
  <c r="D523" i="41"/>
  <c r="D524" i="41"/>
  <c r="D525" i="41"/>
  <c r="D526" i="41"/>
  <c r="D527" i="41"/>
  <c r="D528" i="41"/>
  <c r="D529" i="41"/>
  <c r="D530" i="41"/>
  <c r="D531" i="41"/>
  <c r="D532" i="41"/>
  <c r="D533" i="41"/>
  <c r="D534" i="41"/>
  <c r="D535" i="41"/>
  <c r="D536" i="41"/>
  <c r="D537" i="41"/>
  <c r="D538" i="41"/>
  <c r="D539" i="41"/>
  <c r="D540" i="41"/>
  <c r="D541" i="41"/>
  <c r="D542" i="41"/>
  <c r="D543" i="41"/>
  <c r="D544" i="41"/>
  <c r="D545" i="41"/>
  <c r="D546" i="41"/>
  <c r="D547" i="41"/>
  <c r="D548" i="41"/>
  <c r="D549" i="41"/>
  <c r="D550" i="41"/>
  <c r="D551" i="41"/>
  <c r="D552" i="41"/>
  <c r="D553" i="41"/>
  <c r="D554" i="41"/>
  <c r="D555" i="41"/>
  <c r="D556" i="41"/>
  <c r="D557" i="41"/>
  <c r="D558" i="41"/>
  <c r="D559" i="41"/>
  <c r="D560" i="41"/>
  <c r="D561" i="41"/>
  <c r="D562" i="41"/>
  <c r="D563" i="41"/>
  <c r="D564" i="41"/>
  <c r="D565" i="41"/>
  <c r="D566" i="41"/>
  <c r="D567" i="41"/>
  <c r="D568" i="41"/>
  <c r="D569" i="41"/>
  <c r="D570" i="41"/>
  <c r="D571" i="41"/>
  <c r="D572" i="41"/>
  <c r="D573" i="41"/>
  <c r="D574" i="41"/>
  <c r="D575" i="41"/>
  <c r="D576" i="41"/>
  <c r="D577" i="41"/>
  <c r="D578" i="41"/>
  <c r="D579" i="41"/>
  <c r="D580" i="41"/>
  <c r="D581" i="41"/>
  <c r="D582" i="41"/>
  <c r="D583" i="41"/>
  <c r="D584" i="41"/>
  <c r="D585" i="41"/>
  <c r="D586" i="41"/>
  <c r="D587" i="41"/>
  <c r="D588" i="41"/>
  <c r="D589" i="41"/>
  <c r="D590" i="41"/>
  <c r="D591" i="41"/>
  <c r="D592" i="41"/>
  <c r="D593" i="41"/>
  <c r="D594" i="41"/>
  <c r="D595" i="41"/>
  <c r="D596" i="41"/>
  <c r="D597" i="41"/>
  <c r="D598" i="41"/>
  <c r="D599" i="41"/>
  <c r="D600" i="41"/>
  <c r="D601" i="41"/>
  <c r="D602" i="41"/>
  <c r="D603" i="41"/>
  <c r="D604" i="41"/>
  <c r="D605" i="41"/>
  <c r="D606" i="41"/>
  <c r="D607" i="41"/>
  <c r="D608" i="41"/>
  <c r="D609" i="41"/>
  <c r="D610" i="41"/>
  <c r="D611" i="41"/>
  <c r="D612" i="41"/>
  <c r="D613" i="41"/>
  <c r="D614" i="41"/>
  <c r="D615" i="41"/>
  <c r="D616" i="41"/>
  <c r="D617" i="41"/>
  <c r="D618" i="41"/>
  <c r="D619" i="41"/>
  <c r="D620" i="41"/>
  <c r="D621" i="41"/>
  <c r="D622" i="41"/>
  <c r="D623" i="41"/>
  <c r="D624" i="41"/>
  <c r="D625" i="41"/>
  <c r="D626" i="41"/>
  <c r="D627" i="41"/>
  <c r="D628" i="41"/>
  <c r="D629" i="41"/>
  <c r="D630" i="41"/>
  <c r="D631" i="41"/>
  <c r="D632" i="41"/>
  <c r="D633" i="41"/>
  <c r="D634" i="41"/>
  <c r="D635" i="41"/>
  <c r="D636" i="41"/>
  <c r="D637" i="41"/>
  <c r="D638" i="41"/>
  <c r="D639" i="41"/>
  <c r="D640" i="41"/>
  <c r="D641" i="41"/>
  <c r="D642" i="41"/>
  <c r="D643" i="41"/>
  <c r="D644" i="41"/>
  <c r="D645" i="41"/>
  <c r="D646" i="41"/>
  <c r="D647" i="41"/>
  <c r="D648" i="41"/>
  <c r="D649" i="41"/>
  <c r="D650" i="41"/>
  <c r="D651" i="41"/>
  <c r="D652" i="41"/>
  <c r="D653" i="41"/>
  <c r="D654" i="41"/>
  <c r="D655" i="41"/>
  <c r="D656" i="41"/>
  <c r="D657" i="41"/>
  <c r="D658" i="41"/>
  <c r="D659" i="41"/>
  <c r="D660" i="41"/>
  <c r="D661" i="41"/>
  <c r="D662" i="41"/>
  <c r="D663" i="41"/>
  <c r="D664" i="41"/>
  <c r="D665" i="41"/>
  <c r="D666" i="41"/>
  <c r="D667" i="41"/>
  <c r="D668" i="41"/>
  <c r="D669" i="41"/>
  <c r="D670" i="41"/>
  <c r="D671" i="41"/>
  <c r="D672" i="41"/>
  <c r="D673" i="41"/>
  <c r="D674" i="41"/>
  <c r="D675" i="41"/>
  <c r="D676" i="41"/>
  <c r="D677" i="41"/>
  <c r="D678" i="41"/>
  <c r="D679" i="41"/>
  <c r="D680" i="41"/>
  <c r="D681" i="41"/>
  <c r="D682" i="41"/>
  <c r="D683" i="41"/>
  <c r="D684" i="41"/>
  <c r="D685" i="41"/>
  <c r="D686" i="41"/>
  <c r="D687" i="41"/>
  <c r="D688" i="41"/>
  <c r="D689" i="41"/>
  <c r="D690" i="41"/>
  <c r="D691" i="41"/>
  <c r="D692" i="41"/>
  <c r="D693" i="41"/>
  <c r="D694" i="41"/>
  <c r="D695" i="41"/>
  <c r="D696" i="41"/>
  <c r="D697" i="41"/>
  <c r="D698" i="41"/>
  <c r="D699" i="41"/>
  <c r="D700" i="41"/>
  <c r="D701" i="41"/>
  <c r="D702" i="41"/>
  <c r="D703" i="41"/>
  <c r="D704" i="41"/>
  <c r="D705" i="41"/>
  <c r="D706" i="41"/>
  <c r="D707" i="41"/>
  <c r="D708" i="41"/>
  <c r="D709" i="41"/>
  <c r="D710" i="41"/>
  <c r="D711" i="41"/>
  <c r="D712" i="41"/>
  <c r="D713" i="41"/>
  <c r="D714" i="41"/>
  <c r="D715" i="41"/>
  <c r="D716" i="41"/>
  <c r="D717" i="41"/>
  <c r="D718" i="41"/>
  <c r="D719" i="41"/>
  <c r="D720" i="41"/>
  <c r="D721" i="41"/>
  <c r="D722" i="41"/>
  <c r="D723" i="41"/>
  <c r="D724" i="41"/>
  <c r="D725" i="41"/>
  <c r="D726" i="41"/>
  <c r="D727" i="41"/>
  <c r="D728" i="41"/>
  <c r="D729" i="41"/>
  <c r="D730" i="41"/>
  <c r="D731" i="41"/>
  <c r="D732" i="41"/>
  <c r="D733" i="41"/>
  <c r="D734" i="41"/>
  <c r="D735" i="41"/>
  <c r="D736" i="41"/>
  <c r="D737" i="41"/>
  <c r="D738" i="41"/>
  <c r="D739" i="41"/>
  <c r="D740" i="41"/>
  <c r="D741" i="41"/>
  <c r="D742" i="41"/>
  <c r="D743" i="41"/>
  <c r="D744" i="41"/>
  <c r="D745" i="41"/>
  <c r="D746" i="41"/>
  <c r="D747" i="41"/>
  <c r="D748" i="41"/>
  <c r="D749" i="41"/>
  <c r="D750" i="41"/>
  <c r="D751" i="41"/>
  <c r="D752" i="41"/>
  <c r="D753" i="41"/>
  <c r="D754" i="41"/>
  <c r="D755" i="41"/>
  <c r="D756" i="41"/>
  <c r="D757" i="41"/>
  <c r="D758" i="41"/>
  <c r="D759" i="41"/>
  <c r="D760" i="41"/>
  <c r="D761" i="41"/>
  <c r="D762" i="41"/>
  <c r="D763" i="41"/>
  <c r="D764" i="41"/>
  <c r="D765" i="41"/>
  <c r="D766" i="41"/>
  <c r="D767" i="41"/>
  <c r="D768" i="41"/>
  <c r="D769" i="41"/>
  <c r="D770" i="41"/>
  <c r="D771" i="41"/>
  <c r="D772" i="41"/>
  <c r="D773" i="41"/>
  <c r="D774" i="41"/>
  <c r="D775" i="41"/>
  <c r="D776" i="41"/>
  <c r="D777" i="41"/>
  <c r="D778" i="41"/>
  <c r="D779" i="41"/>
  <c r="D780" i="41"/>
  <c r="D781" i="41"/>
  <c r="D782" i="41"/>
  <c r="D783" i="41"/>
  <c r="D784" i="41"/>
  <c r="D785" i="41"/>
  <c r="D786" i="41"/>
  <c r="D787" i="41"/>
  <c r="D788" i="41"/>
  <c r="D789" i="41"/>
  <c r="D790" i="41"/>
  <c r="D791" i="41"/>
  <c r="D792" i="41"/>
  <c r="D793" i="41"/>
  <c r="D794" i="41"/>
  <c r="D795" i="41"/>
  <c r="D796" i="41"/>
  <c r="D797" i="41"/>
  <c r="D798" i="41"/>
  <c r="D799" i="41"/>
  <c r="D800" i="41"/>
  <c r="D801" i="41"/>
  <c r="D802" i="41"/>
  <c r="D803" i="41"/>
  <c r="D804" i="41"/>
  <c r="D805" i="41"/>
  <c r="D806" i="41"/>
  <c r="D807" i="41"/>
  <c r="D808" i="41"/>
  <c r="D809" i="41"/>
  <c r="D810" i="41"/>
  <c r="D811" i="41"/>
  <c r="D812" i="41"/>
  <c r="D813" i="41"/>
  <c r="D814" i="41"/>
  <c r="D815" i="41"/>
  <c r="D816" i="41"/>
  <c r="D817" i="41"/>
  <c r="D818" i="41"/>
  <c r="D819" i="41"/>
  <c r="D820" i="41"/>
  <c r="D821" i="41"/>
  <c r="D822" i="41"/>
  <c r="D823" i="41"/>
  <c r="D824" i="41"/>
  <c r="D825" i="41"/>
  <c r="D826" i="41"/>
  <c r="D827" i="41"/>
  <c r="D828" i="41"/>
  <c r="D829" i="41"/>
  <c r="D830" i="41"/>
  <c r="D831" i="41"/>
  <c r="D832" i="41"/>
  <c r="D833" i="41"/>
  <c r="D834" i="41"/>
  <c r="D835" i="41"/>
  <c r="D836" i="41"/>
  <c r="D837" i="41"/>
  <c r="D838" i="41"/>
  <c r="D839" i="41"/>
  <c r="D840" i="41"/>
  <c r="D841" i="41"/>
  <c r="D842" i="41"/>
  <c r="D843" i="41"/>
  <c r="D844" i="41"/>
  <c r="D845" i="41"/>
  <c r="D846" i="41"/>
  <c r="D847" i="41"/>
  <c r="D848" i="41"/>
  <c r="D849" i="41"/>
  <c r="D850" i="41"/>
  <c r="D851" i="41"/>
  <c r="D852" i="41"/>
  <c r="D853" i="41"/>
  <c r="D854" i="41"/>
  <c r="D855" i="41"/>
  <c r="D856" i="41"/>
  <c r="D857" i="41"/>
  <c r="D858" i="41"/>
  <c r="D859" i="41"/>
  <c r="D860" i="41"/>
  <c r="D861" i="41"/>
  <c r="D862" i="41"/>
  <c r="D863" i="41"/>
  <c r="D864" i="41"/>
  <c r="D865" i="41"/>
  <c r="D866" i="41"/>
  <c r="D867" i="41"/>
  <c r="D868" i="41"/>
  <c r="D869" i="41"/>
  <c r="D870" i="41"/>
  <c r="D871" i="41"/>
  <c r="D872" i="41"/>
  <c r="D873" i="41"/>
  <c r="D874" i="41"/>
  <c r="D875" i="41"/>
  <c r="D876" i="41"/>
  <c r="D877" i="41"/>
  <c r="D878" i="41"/>
  <c r="D879" i="41"/>
  <c r="D880" i="41"/>
  <c r="D881" i="41"/>
  <c r="D882" i="41"/>
  <c r="D883" i="41"/>
  <c r="D884" i="41"/>
  <c r="D885" i="41"/>
  <c r="D886" i="41"/>
  <c r="D887" i="41"/>
  <c r="D888" i="41"/>
  <c r="D889" i="41"/>
  <c r="D890" i="41"/>
  <c r="D891" i="41"/>
  <c r="D892" i="41"/>
  <c r="D893" i="41"/>
  <c r="D894" i="41"/>
  <c r="D895" i="41"/>
  <c r="D896" i="41"/>
  <c r="D897" i="41"/>
  <c r="D898" i="41"/>
  <c r="D899" i="41"/>
  <c r="D900" i="41"/>
  <c r="D901" i="41"/>
  <c r="D902" i="41"/>
  <c r="D903" i="41"/>
  <c r="D904" i="41"/>
  <c r="D905" i="41"/>
  <c r="D906" i="41"/>
  <c r="D907" i="41"/>
  <c r="D908" i="41"/>
  <c r="D909" i="41"/>
  <c r="D910" i="41"/>
  <c r="D911" i="41"/>
  <c r="D912" i="41"/>
  <c r="D913" i="41"/>
  <c r="D914" i="41"/>
  <c r="D915" i="41"/>
  <c r="D916" i="41"/>
  <c r="D917" i="41"/>
  <c r="D918" i="41"/>
  <c r="D919" i="41"/>
  <c r="D920" i="41"/>
  <c r="D921" i="41"/>
  <c r="D922" i="41"/>
  <c r="D923" i="41"/>
  <c r="D924" i="41"/>
  <c r="D925" i="41"/>
  <c r="D926" i="41"/>
  <c r="D927" i="41"/>
  <c r="D928" i="41"/>
  <c r="D929" i="41"/>
  <c r="D930" i="41"/>
  <c r="D931" i="41"/>
  <c r="D932" i="41"/>
  <c r="D933" i="41"/>
  <c r="D934" i="41"/>
  <c r="D935" i="41"/>
  <c r="D936" i="41"/>
  <c r="D937" i="41"/>
  <c r="D938" i="41"/>
  <c r="D939" i="41"/>
  <c r="D940" i="41"/>
  <c r="D941" i="41"/>
  <c r="D942" i="41"/>
  <c r="D943" i="41"/>
  <c r="D944" i="41"/>
  <c r="D945" i="41"/>
  <c r="D946" i="41"/>
  <c r="D947" i="41"/>
  <c r="D948" i="41"/>
  <c r="D949" i="41"/>
  <c r="D950" i="41"/>
  <c r="D951" i="41"/>
  <c r="D952" i="41"/>
  <c r="D953" i="41"/>
  <c r="D954" i="41"/>
  <c r="D955" i="41"/>
  <c r="D956" i="41"/>
  <c r="D957" i="41"/>
  <c r="D958" i="41"/>
  <c r="D959" i="41"/>
  <c r="D960" i="41"/>
  <c r="D961" i="41"/>
  <c r="D962" i="41"/>
  <c r="D963" i="41"/>
  <c r="D964" i="41"/>
  <c r="D965" i="41"/>
  <c r="D966" i="41"/>
  <c r="D967" i="41"/>
  <c r="D968" i="41"/>
  <c r="D969" i="41"/>
  <c r="D970" i="41"/>
  <c r="D971" i="41"/>
  <c r="D972" i="41"/>
  <c r="D973" i="41"/>
  <c r="D974" i="41"/>
  <c r="D975" i="41"/>
  <c r="D976" i="41"/>
  <c r="D977" i="41"/>
  <c r="D978" i="41"/>
  <c r="D979" i="41"/>
  <c r="D980" i="41"/>
  <c r="D981" i="41"/>
  <c r="D982" i="41"/>
  <c r="D983" i="41"/>
  <c r="D984" i="41"/>
  <c r="D985" i="41"/>
  <c r="D986" i="41"/>
  <c r="D987" i="41"/>
  <c r="D988" i="41"/>
  <c r="D989" i="41"/>
  <c r="D990" i="41"/>
  <c r="D991" i="41"/>
  <c r="D992" i="41"/>
  <c r="D993" i="41"/>
  <c r="D994" i="41"/>
  <c r="D995" i="41"/>
  <c r="D996" i="41"/>
  <c r="D997" i="41"/>
  <c r="D998" i="41"/>
  <c r="D999" i="41"/>
  <c r="D1000" i="41"/>
  <c r="D1001" i="41"/>
  <c r="D1002" i="41"/>
  <c r="D1003" i="41"/>
  <c r="D1004" i="41"/>
  <c r="D1005" i="41"/>
  <c r="D1006" i="41"/>
  <c r="D1007" i="41"/>
  <c r="D1008" i="41"/>
  <c r="D1009" i="41"/>
  <c r="D1010" i="41"/>
  <c r="D1011" i="41"/>
  <c r="D1012" i="41"/>
  <c r="D1013" i="41"/>
  <c r="D1014" i="41"/>
  <c r="D1015" i="41"/>
  <c r="D1016" i="41"/>
  <c r="D1017" i="41"/>
  <c r="D1018" i="41"/>
  <c r="D1019" i="41"/>
  <c r="D1020" i="41"/>
  <c r="D1021" i="41"/>
  <c r="D1022" i="41"/>
  <c r="D1023" i="41"/>
  <c r="D1024" i="41"/>
  <c r="D1025" i="41"/>
  <c r="D1026" i="41"/>
  <c r="D1027" i="41"/>
  <c r="D1028" i="41"/>
  <c r="D1029" i="41"/>
  <c r="D1030" i="41"/>
  <c r="D1031" i="41"/>
  <c r="D1032" i="41"/>
  <c r="D1033" i="41"/>
  <c r="D1034" i="41"/>
  <c r="D1035" i="41"/>
  <c r="D1036" i="41"/>
  <c r="D1037" i="41"/>
  <c r="D1038" i="41"/>
  <c r="D1039" i="41"/>
  <c r="D1040" i="41"/>
  <c r="D1041" i="41"/>
  <c r="D1042" i="41"/>
  <c r="D1043" i="41"/>
  <c r="D1044" i="41"/>
  <c r="D1045" i="41"/>
  <c r="D1046" i="41"/>
  <c r="D1047" i="41"/>
  <c r="D1048" i="41"/>
  <c r="D1049" i="41"/>
  <c r="D1050" i="41"/>
  <c r="D1051" i="41"/>
  <c r="D1052" i="41"/>
  <c r="D1053" i="41"/>
  <c r="D1054" i="41"/>
  <c r="D1055" i="41"/>
  <c r="D1056" i="41"/>
  <c r="D1057" i="41"/>
  <c r="D1058" i="41"/>
  <c r="D1059" i="41"/>
  <c r="D1060" i="41"/>
  <c r="D1061" i="41"/>
  <c r="D1062" i="41"/>
  <c r="D1063" i="41"/>
  <c r="D1064" i="41"/>
  <c r="D1065" i="41"/>
  <c r="D1066" i="41"/>
  <c r="D1067" i="41"/>
  <c r="D1068" i="41"/>
  <c r="D1069" i="41"/>
  <c r="D1070" i="41"/>
  <c r="D1071" i="41"/>
  <c r="D1072" i="41"/>
  <c r="D1073" i="41"/>
  <c r="D1074" i="41"/>
  <c r="D1075" i="41"/>
  <c r="D1076" i="41"/>
  <c r="D1077" i="41"/>
  <c r="D1078" i="41"/>
  <c r="D1079" i="41"/>
  <c r="D1080" i="41"/>
  <c r="D1081" i="41"/>
  <c r="D1082" i="41"/>
  <c r="D1083" i="41"/>
  <c r="D1084" i="41"/>
  <c r="D1085" i="41"/>
  <c r="D1086" i="41"/>
  <c r="D1087" i="41"/>
  <c r="D1088" i="41"/>
  <c r="D1089" i="41"/>
  <c r="D1090" i="41"/>
  <c r="D1091" i="41"/>
  <c r="D1092" i="41"/>
  <c r="D1093" i="41"/>
  <c r="D1094" i="41"/>
  <c r="D1095" i="41"/>
  <c r="D1096" i="41"/>
  <c r="D1097" i="41"/>
  <c r="D1098" i="41"/>
  <c r="D1099" i="41"/>
  <c r="D1100" i="41"/>
  <c r="D1101" i="41"/>
  <c r="D1102" i="41"/>
  <c r="D1103" i="41"/>
  <c r="D1104" i="41"/>
  <c r="D1105" i="41"/>
  <c r="D1106" i="41"/>
  <c r="D1107" i="41"/>
  <c r="D1108" i="41"/>
  <c r="D1109" i="41"/>
  <c r="D1110" i="41"/>
  <c r="D1111" i="41"/>
  <c r="D1112" i="41"/>
  <c r="D1113" i="41"/>
  <c r="D1114" i="41"/>
  <c r="D1115" i="41"/>
  <c r="D1116" i="41"/>
  <c r="D1117" i="41"/>
  <c r="D1118" i="41"/>
  <c r="D1119" i="41"/>
  <c r="D1120" i="41"/>
  <c r="D1121" i="41"/>
  <c r="D1122" i="41"/>
  <c r="D1123" i="41"/>
  <c r="D1124" i="41"/>
  <c r="D1125" i="41"/>
  <c r="D1126" i="41"/>
  <c r="D1127" i="41"/>
  <c r="D1128" i="41"/>
  <c r="D1129" i="41"/>
  <c r="D1130" i="41"/>
  <c r="D1131" i="41"/>
  <c r="D1132" i="41"/>
  <c r="D1133" i="41"/>
  <c r="D1134" i="41"/>
  <c r="D1135" i="41"/>
  <c r="D1136" i="41"/>
  <c r="D1137" i="41"/>
  <c r="D1138" i="41"/>
  <c r="D1139" i="41"/>
  <c r="D1140" i="41"/>
  <c r="D1141" i="41"/>
  <c r="D1142" i="41"/>
  <c r="D1143" i="41"/>
  <c r="D1144" i="41"/>
  <c r="D1145" i="41"/>
  <c r="D1146" i="41"/>
  <c r="D1147" i="41"/>
  <c r="D1148" i="41"/>
  <c r="D1149" i="41"/>
  <c r="D1150" i="41"/>
  <c r="D1151" i="41"/>
  <c r="D1152" i="41"/>
  <c r="D1153" i="41"/>
  <c r="D1154" i="41"/>
  <c r="D1155" i="41"/>
  <c r="D1156" i="41"/>
  <c r="D1157" i="41"/>
  <c r="D1158" i="41"/>
  <c r="D1159" i="41"/>
  <c r="D1160" i="41"/>
  <c r="D1161" i="41"/>
  <c r="D1162" i="41"/>
  <c r="D1163" i="41"/>
  <c r="D1164" i="41"/>
  <c r="D1165" i="41"/>
  <c r="D1166" i="41"/>
  <c r="D1167" i="41"/>
  <c r="D1168" i="41"/>
  <c r="D1169" i="41"/>
  <c r="D1170" i="41"/>
  <c r="D1171" i="41"/>
  <c r="D1172" i="41"/>
  <c r="D1173" i="41"/>
  <c r="D1174" i="41"/>
  <c r="D1175" i="41"/>
  <c r="D1176" i="41"/>
  <c r="D1177" i="41"/>
  <c r="D1178" i="41"/>
  <c r="D1179" i="41"/>
  <c r="D1180" i="41"/>
  <c r="D1181" i="41"/>
  <c r="D1182" i="41"/>
  <c r="D1183" i="41"/>
  <c r="D1184" i="41"/>
  <c r="D1185" i="41"/>
  <c r="D1186" i="41"/>
  <c r="D1187" i="41"/>
  <c r="D1188" i="41"/>
  <c r="D1189" i="41"/>
  <c r="D1190" i="41"/>
  <c r="D1191" i="41"/>
  <c r="D1192" i="41"/>
  <c r="D1193" i="41"/>
  <c r="D1194" i="41"/>
  <c r="D1195" i="41"/>
  <c r="D1196" i="41"/>
  <c r="D1197" i="41"/>
  <c r="D1198" i="41"/>
  <c r="D1199" i="41"/>
  <c r="D1200" i="41"/>
  <c r="D1201" i="41"/>
  <c r="D1202" i="41"/>
  <c r="D1203" i="41"/>
  <c r="D1204" i="41"/>
  <c r="D1205" i="41"/>
  <c r="D1206" i="41"/>
  <c r="D1207" i="41"/>
  <c r="D1208" i="41"/>
  <c r="D1209" i="41"/>
  <c r="D1210" i="41"/>
  <c r="D1211" i="41"/>
  <c r="D1212" i="41"/>
  <c r="D1213" i="41"/>
  <c r="D1214" i="41"/>
  <c r="D1215" i="41"/>
  <c r="D1216" i="41"/>
  <c r="D1217" i="41"/>
  <c r="D1218" i="41"/>
  <c r="D1219" i="41"/>
  <c r="D1220" i="41"/>
  <c r="D1221" i="41"/>
  <c r="D1222" i="41"/>
  <c r="D1223" i="41"/>
  <c r="D1224" i="41"/>
  <c r="D1225" i="41"/>
  <c r="D1226" i="41"/>
  <c r="D1227" i="41"/>
  <c r="D1228" i="41"/>
  <c r="D1229" i="41"/>
  <c r="D1230" i="41"/>
  <c r="D1231" i="41"/>
  <c r="D1232" i="41"/>
  <c r="D1233" i="41"/>
  <c r="D1234" i="41"/>
  <c r="D1235" i="41"/>
  <c r="D1236" i="41"/>
  <c r="D1237" i="41"/>
  <c r="D1238" i="41"/>
  <c r="D1239" i="41"/>
  <c r="D1240" i="41"/>
  <c r="D1241" i="41"/>
  <c r="D1242" i="41"/>
  <c r="D1243" i="41"/>
  <c r="D1244" i="41"/>
  <c r="D1245" i="41"/>
  <c r="D1246" i="41"/>
  <c r="D1247" i="41"/>
  <c r="D1248" i="41"/>
  <c r="D1249" i="41"/>
  <c r="D1250" i="41"/>
  <c r="D1251" i="41"/>
  <c r="D1252" i="41"/>
  <c r="D1253" i="41"/>
  <c r="D1254" i="41"/>
  <c r="D1255" i="41"/>
  <c r="D1256" i="41"/>
  <c r="D1257" i="41"/>
  <c r="D1258" i="41"/>
  <c r="D1259" i="41"/>
  <c r="D1260" i="41"/>
  <c r="D1261" i="41"/>
  <c r="D1262" i="41"/>
  <c r="D1263" i="41"/>
  <c r="D1264" i="41"/>
  <c r="D1265" i="41"/>
  <c r="D1266" i="41"/>
  <c r="D1267" i="41"/>
  <c r="D1268" i="41"/>
  <c r="D1269" i="41"/>
  <c r="D1270" i="41"/>
  <c r="D1271" i="41"/>
  <c r="D1272" i="41"/>
  <c r="D1273" i="41"/>
  <c r="D1274" i="41"/>
  <c r="D1275" i="41"/>
  <c r="D1276" i="41"/>
  <c r="D1277" i="41"/>
  <c r="D1278" i="41"/>
  <c r="D1279" i="41"/>
  <c r="D1280" i="41"/>
  <c r="D1281" i="41"/>
  <c r="D1282" i="41"/>
  <c r="D1283" i="41"/>
  <c r="D1284" i="41"/>
  <c r="D1285" i="41"/>
  <c r="D1286" i="41"/>
  <c r="D1287" i="41"/>
  <c r="D1288" i="41"/>
  <c r="D1289" i="41"/>
  <c r="D1290" i="41"/>
  <c r="D1291" i="41"/>
  <c r="D1292" i="41"/>
  <c r="D1293" i="41"/>
  <c r="D1294" i="41"/>
  <c r="D1295" i="41"/>
  <c r="D1296" i="41"/>
  <c r="D1297" i="41"/>
  <c r="D1298" i="41"/>
  <c r="D1299" i="41"/>
  <c r="D1300" i="41"/>
  <c r="D1301" i="41"/>
  <c r="D1302" i="41"/>
  <c r="D1303" i="41"/>
  <c r="D1304" i="41"/>
  <c r="D1305" i="41"/>
  <c r="D1306" i="41"/>
  <c r="D1307" i="41"/>
  <c r="D1308" i="41"/>
  <c r="D1309" i="41"/>
  <c r="D1310" i="41"/>
  <c r="D1311" i="41"/>
  <c r="D1312" i="41"/>
  <c r="D1313" i="41"/>
  <c r="D1314" i="41"/>
  <c r="D1315" i="41"/>
  <c r="D1316" i="41"/>
  <c r="D1317" i="41"/>
  <c r="D1318" i="41"/>
  <c r="D1319" i="41"/>
  <c r="D1320" i="41"/>
  <c r="D1321" i="41"/>
  <c r="D1322" i="41"/>
  <c r="D1323" i="41"/>
  <c r="D1324" i="41"/>
  <c r="D1325" i="41"/>
  <c r="D1326" i="41"/>
  <c r="D1327" i="41"/>
  <c r="D1328" i="41"/>
  <c r="D1329" i="41"/>
  <c r="D1330" i="41"/>
  <c r="D1331" i="41"/>
  <c r="D1332" i="41"/>
  <c r="D1333" i="41"/>
  <c r="D1334" i="41"/>
  <c r="D1335" i="41"/>
  <c r="D1336" i="41"/>
  <c r="D1337" i="41"/>
  <c r="D1338" i="41"/>
  <c r="D1339" i="41"/>
  <c r="D1340" i="41"/>
  <c r="D1341" i="41"/>
  <c r="D1342" i="41"/>
  <c r="D1343" i="41"/>
  <c r="D1344" i="41"/>
  <c r="D1345" i="41"/>
  <c r="D1346" i="41"/>
  <c r="D1347" i="41"/>
  <c r="D1348" i="41"/>
  <c r="D1349" i="41"/>
  <c r="D1350" i="41"/>
  <c r="D1351" i="41"/>
  <c r="D1352" i="41"/>
  <c r="D1353" i="41"/>
  <c r="D1354" i="41"/>
  <c r="D1355" i="41"/>
  <c r="D1356" i="41"/>
  <c r="D1357" i="41"/>
  <c r="D1358" i="41"/>
  <c r="D1359" i="41"/>
  <c r="D1360" i="41"/>
  <c r="D1361" i="41"/>
  <c r="D1362" i="41"/>
  <c r="D1363" i="41"/>
  <c r="D1364" i="41"/>
  <c r="D1365" i="41"/>
  <c r="D1366" i="41"/>
  <c r="D1367" i="41"/>
  <c r="D1368" i="41"/>
  <c r="D1369" i="41"/>
  <c r="D1370" i="41"/>
  <c r="D1371" i="41"/>
  <c r="D1372" i="41"/>
  <c r="D1373" i="41"/>
  <c r="D1374" i="41"/>
  <c r="D1375" i="41"/>
  <c r="D1376" i="41"/>
  <c r="D1377" i="41"/>
  <c r="D1378" i="41"/>
  <c r="D1379" i="41"/>
  <c r="D1380" i="41"/>
  <c r="D1381" i="41"/>
  <c r="D1382" i="41"/>
  <c r="D1383" i="41"/>
  <c r="D1384" i="41"/>
  <c r="D1385" i="41"/>
  <c r="D1386" i="41"/>
  <c r="D1387" i="41"/>
  <c r="D1388" i="41"/>
  <c r="D1389" i="41"/>
  <c r="D1390" i="41"/>
  <c r="D1391" i="41"/>
  <c r="D1392" i="41"/>
  <c r="D1393" i="41"/>
  <c r="D1394" i="41"/>
  <c r="D1395" i="41"/>
  <c r="D1396" i="41"/>
  <c r="D1397" i="41"/>
  <c r="D1398" i="41"/>
  <c r="D1399" i="41"/>
  <c r="D1400" i="41"/>
  <c r="D1401" i="41"/>
  <c r="D1402" i="41"/>
  <c r="D1403" i="41"/>
  <c r="D1404" i="41"/>
  <c r="D1405" i="41"/>
  <c r="D1406" i="41"/>
  <c r="D1407" i="41"/>
  <c r="D1408" i="41"/>
  <c r="D1409" i="41"/>
  <c r="D1410" i="41"/>
  <c r="D1411" i="41"/>
  <c r="D1412" i="41"/>
  <c r="D1413" i="41"/>
  <c r="D1414" i="41"/>
  <c r="D1415" i="41"/>
  <c r="D1416" i="41"/>
  <c r="D1417" i="41"/>
  <c r="D1418" i="41"/>
  <c r="D1419" i="41"/>
  <c r="D1420" i="41"/>
  <c r="D1421" i="41"/>
  <c r="D1422" i="41"/>
  <c r="D1423" i="41"/>
  <c r="D1424" i="41"/>
  <c r="D1425" i="41"/>
  <c r="D1426" i="41"/>
  <c r="D1427" i="41"/>
  <c r="D1428" i="41"/>
  <c r="D1429" i="41"/>
  <c r="D1430" i="41"/>
  <c r="D1431" i="41"/>
  <c r="D1432" i="41"/>
  <c r="D1433" i="41"/>
  <c r="D1434" i="41"/>
  <c r="D1435" i="41"/>
  <c r="D1436" i="41"/>
  <c r="D1437" i="41"/>
  <c r="D1438" i="41"/>
  <c r="D1439" i="41"/>
  <c r="D1440" i="41"/>
  <c r="D1441" i="41"/>
  <c r="D1442" i="41"/>
  <c r="D1443" i="41"/>
  <c r="D1444" i="41"/>
  <c r="D1445" i="41"/>
  <c r="D1446" i="41"/>
  <c r="D1447" i="41"/>
  <c r="D1448" i="41"/>
  <c r="D1449" i="41"/>
  <c r="D1450" i="41"/>
  <c r="D1451" i="41"/>
  <c r="D1452" i="41"/>
  <c r="D1453" i="41"/>
  <c r="D1454" i="41"/>
  <c r="D1455" i="41"/>
  <c r="D1456" i="41"/>
  <c r="D1457" i="41"/>
  <c r="D1458" i="41"/>
  <c r="D1459" i="41"/>
  <c r="D1460" i="41"/>
  <c r="D1461" i="41"/>
  <c r="D1462" i="41"/>
  <c r="D1463" i="41"/>
  <c r="D1464" i="41"/>
  <c r="D1465" i="41"/>
  <c r="D1466" i="41"/>
  <c r="D1467" i="41"/>
  <c r="D1468" i="41"/>
  <c r="D1469" i="41"/>
  <c r="D1470" i="41"/>
  <c r="D1471" i="41"/>
  <c r="D1472" i="41"/>
  <c r="D1473" i="41"/>
  <c r="D1474" i="41"/>
  <c r="D1475" i="41"/>
  <c r="D1476" i="41"/>
  <c r="D1477" i="41"/>
  <c r="D1478" i="41"/>
  <c r="D1479" i="41"/>
  <c r="D1480" i="41"/>
  <c r="D1481" i="41"/>
  <c r="D1482" i="41"/>
  <c r="D1483" i="41"/>
  <c r="D1484" i="41"/>
  <c r="D1485" i="41"/>
  <c r="D1486" i="41"/>
  <c r="D1487" i="41"/>
  <c r="D1488" i="41"/>
  <c r="D1489" i="41"/>
  <c r="D1490" i="41"/>
  <c r="D1491" i="41"/>
  <c r="D1492" i="41"/>
  <c r="D1493" i="41"/>
  <c r="D1494" i="41"/>
  <c r="D1495" i="41"/>
  <c r="D1496" i="41"/>
  <c r="D1497" i="41"/>
  <c r="D1498" i="41"/>
  <c r="D1499" i="41"/>
  <c r="D1500" i="41"/>
  <c r="D1501" i="41"/>
  <c r="D1502" i="41"/>
  <c r="D1503" i="41"/>
  <c r="D1504" i="41"/>
  <c r="D1505" i="41"/>
  <c r="D1506" i="41"/>
  <c r="D1507" i="41"/>
  <c r="D1508" i="41"/>
  <c r="D1509" i="41"/>
  <c r="D1510" i="41"/>
  <c r="D1511" i="41"/>
  <c r="D1512" i="41"/>
  <c r="D1513" i="41"/>
  <c r="D1514" i="41"/>
  <c r="D1515" i="41"/>
  <c r="D1516" i="41"/>
  <c r="D1517" i="41"/>
  <c r="D1518" i="41"/>
  <c r="D1519" i="41"/>
  <c r="D1520" i="41"/>
  <c r="D1521" i="41"/>
  <c r="D1522" i="41"/>
  <c r="D1523" i="41"/>
  <c r="D1524" i="41"/>
  <c r="D1525" i="41"/>
  <c r="D1526" i="41"/>
  <c r="D1527" i="41"/>
  <c r="D1528" i="41"/>
  <c r="D1529" i="41"/>
  <c r="D1530" i="41"/>
  <c r="D1531" i="41"/>
  <c r="D1532" i="41"/>
  <c r="D1533" i="41"/>
  <c r="D1534" i="41"/>
  <c r="D1535" i="41"/>
  <c r="D1536" i="41"/>
  <c r="D1537" i="41"/>
  <c r="D1538" i="41"/>
  <c r="D1539" i="41"/>
  <c r="D1540" i="41"/>
  <c r="D1541" i="41"/>
  <c r="D1542" i="41"/>
  <c r="D1543" i="41"/>
  <c r="D1544" i="41"/>
  <c r="D1545" i="41"/>
  <c r="D1546" i="41"/>
  <c r="D1547" i="41"/>
  <c r="D1548" i="41"/>
  <c r="D1549" i="41"/>
  <c r="D1550" i="41"/>
  <c r="D1551" i="41"/>
  <c r="D1552" i="41"/>
  <c r="D1553" i="41"/>
  <c r="D1554" i="41"/>
  <c r="D1555" i="41"/>
  <c r="D1556" i="41"/>
  <c r="D1557" i="41"/>
  <c r="D1558" i="41"/>
  <c r="D1559" i="41"/>
  <c r="D1560" i="41"/>
  <c r="D1561" i="41"/>
  <c r="D1562" i="41"/>
  <c r="D1563" i="41"/>
  <c r="D1564" i="41"/>
  <c r="D1565" i="41"/>
  <c r="D1566" i="41"/>
  <c r="D1567" i="41"/>
  <c r="D1568" i="41"/>
  <c r="D1569" i="41"/>
  <c r="D1570" i="41"/>
  <c r="D1571" i="41"/>
  <c r="D1572" i="41"/>
  <c r="D1573" i="41"/>
  <c r="D1574" i="41"/>
  <c r="D1575" i="41"/>
  <c r="D1576" i="41"/>
  <c r="D1577" i="41"/>
  <c r="D1578" i="41"/>
  <c r="D1579" i="41"/>
  <c r="D1580" i="41"/>
  <c r="D1581" i="41"/>
  <c r="D1582" i="41"/>
  <c r="D1583" i="41"/>
  <c r="D1584" i="41"/>
  <c r="D1585" i="41"/>
  <c r="D1586" i="41"/>
  <c r="D1587" i="41"/>
  <c r="D1588" i="41"/>
  <c r="D1589" i="41"/>
  <c r="D1590" i="41"/>
  <c r="D1591" i="41"/>
  <c r="D1592" i="41"/>
  <c r="D1593" i="41"/>
  <c r="D1594" i="41"/>
  <c r="D1595" i="41"/>
  <c r="D1596" i="41"/>
  <c r="D1597" i="41"/>
  <c r="D1598" i="41"/>
  <c r="D1599" i="41"/>
  <c r="D1600" i="41"/>
  <c r="D1601" i="41"/>
  <c r="D1602" i="41"/>
  <c r="D1603" i="41"/>
  <c r="D1604" i="41"/>
  <c r="D1605" i="41"/>
  <c r="D1606" i="41"/>
  <c r="D1607" i="41"/>
  <c r="D1608" i="41"/>
  <c r="D1609" i="41"/>
  <c r="D1610" i="41"/>
  <c r="D1611" i="41"/>
  <c r="D1612" i="41"/>
  <c r="D1613" i="41"/>
  <c r="D1614" i="41"/>
  <c r="D1615" i="41"/>
  <c r="D1616" i="41"/>
  <c r="D1617" i="41"/>
  <c r="D1618" i="41"/>
  <c r="D1619" i="41"/>
  <c r="D1620" i="41"/>
  <c r="D1621" i="41"/>
  <c r="D1622" i="41"/>
  <c r="D1623" i="41"/>
  <c r="D1624" i="41"/>
  <c r="D1625" i="41"/>
  <c r="D1626" i="41"/>
  <c r="D1627" i="41"/>
  <c r="D1628" i="41"/>
  <c r="D1629" i="41"/>
  <c r="D1630" i="41"/>
  <c r="D1631" i="41"/>
  <c r="D1632" i="41"/>
  <c r="D1633" i="41"/>
  <c r="D1634" i="41"/>
  <c r="D1635" i="41"/>
  <c r="D1636" i="41"/>
  <c r="D1637" i="41"/>
  <c r="D1638" i="41"/>
  <c r="D1639" i="41"/>
  <c r="D1640" i="41"/>
  <c r="D1641" i="41"/>
  <c r="D1642" i="41"/>
  <c r="D1643" i="41"/>
  <c r="D1644" i="41"/>
  <c r="D1645" i="41"/>
  <c r="D1646" i="41"/>
  <c r="D1647" i="41"/>
  <c r="D1648" i="41"/>
  <c r="D1649" i="41"/>
  <c r="D1650" i="41"/>
  <c r="D1651" i="41"/>
  <c r="D1652" i="41"/>
  <c r="D1653" i="41"/>
  <c r="D1654" i="41"/>
  <c r="D1655" i="41"/>
  <c r="D1656" i="41"/>
  <c r="D1657" i="41"/>
  <c r="D1658" i="41"/>
  <c r="D1659" i="41"/>
  <c r="D1660" i="41"/>
  <c r="D1661" i="41"/>
  <c r="D1662" i="41"/>
  <c r="D1663" i="41"/>
  <c r="D1664" i="41"/>
  <c r="D1665" i="41"/>
  <c r="D1666" i="41"/>
  <c r="D1667" i="41"/>
  <c r="D1668" i="41"/>
  <c r="D1669" i="41"/>
  <c r="D1670" i="41"/>
  <c r="D1671" i="41"/>
  <c r="D1672" i="41"/>
  <c r="D1673" i="41"/>
  <c r="D1674" i="41"/>
  <c r="D1675" i="41"/>
  <c r="D1676" i="41"/>
  <c r="D1677" i="41"/>
  <c r="D1678" i="41"/>
  <c r="D1679" i="41"/>
  <c r="D1680" i="41"/>
  <c r="D1681" i="41"/>
  <c r="D1682" i="41"/>
  <c r="D1683" i="41"/>
  <c r="D1684" i="41"/>
  <c r="D1685" i="41"/>
  <c r="D1686" i="41"/>
  <c r="D1687" i="41"/>
  <c r="D1688" i="41"/>
  <c r="D1689" i="41"/>
  <c r="D1690" i="41"/>
  <c r="D1691" i="41"/>
  <c r="D1692" i="41"/>
  <c r="D1693" i="41"/>
  <c r="D1694" i="41"/>
  <c r="D1695" i="41"/>
  <c r="D1696" i="41"/>
  <c r="D1697" i="41"/>
  <c r="D1698" i="41"/>
  <c r="D1699" i="41"/>
  <c r="D1700" i="41"/>
  <c r="D1701" i="41"/>
  <c r="D1702" i="41"/>
  <c r="D1703" i="41"/>
  <c r="D1704" i="41"/>
  <c r="D1705" i="41"/>
  <c r="D1706" i="41"/>
  <c r="D1707" i="41"/>
  <c r="D1708" i="41"/>
  <c r="D1709" i="41"/>
  <c r="D1710" i="41"/>
  <c r="D1711" i="41"/>
  <c r="D1712" i="41"/>
  <c r="D1713" i="41"/>
  <c r="D1714" i="41"/>
  <c r="D1715" i="41"/>
  <c r="D1716" i="41"/>
  <c r="D1717" i="41"/>
  <c r="D1718" i="41"/>
  <c r="D1719" i="41"/>
  <c r="D1720" i="41"/>
  <c r="D1721" i="41"/>
  <c r="D1722" i="41"/>
  <c r="D1723" i="41"/>
  <c r="D1724" i="41"/>
  <c r="D1725" i="41"/>
  <c r="D1726" i="41"/>
  <c r="D1727" i="41"/>
  <c r="D1728" i="41"/>
  <c r="D1729" i="41"/>
  <c r="D1730" i="41"/>
  <c r="D1731" i="41"/>
  <c r="D1732" i="41"/>
  <c r="D1733" i="41"/>
  <c r="D1734" i="41"/>
  <c r="D1735" i="41"/>
  <c r="D1736" i="41"/>
  <c r="D1737" i="41"/>
  <c r="D1738" i="41"/>
  <c r="D1739" i="41"/>
  <c r="D1740" i="41"/>
  <c r="D1741" i="41"/>
  <c r="D1742" i="41"/>
  <c r="D1743" i="41"/>
  <c r="D1744" i="41"/>
  <c r="D1745" i="41"/>
  <c r="D1746" i="41"/>
  <c r="D1747" i="41"/>
  <c r="D1748" i="41"/>
  <c r="D1749" i="41"/>
  <c r="D1750" i="41"/>
  <c r="D1751" i="41"/>
  <c r="D1752" i="41"/>
  <c r="D1753" i="41"/>
  <c r="D1754" i="41"/>
  <c r="D1755" i="41"/>
  <c r="D1756" i="41"/>
  <c r="D1757" i="41"/>
  <c r="D1758" i="41"/>
  <c r="D1759" i="41"/>
  <c r="D1760" i="41"/>
  <c r="D1761" i="41"/>
  <c r="D1762" i="41"/>
  <c r="D1763" i="41"/>
  <c r="D1764" i="41"/>
  <c r="D1765" i="41"/>
  <c r="D1766" i="41"/>
  <c r="D1767" i="41"/>
  <c r="D1768" i="41"/>
  <c r="D1769" i="41"/>
  <c r="D1770" i="41"/>
  <c r="D1771" i="41"/>
  <c r="D1772" i="41"/>
  <c r="D1773" i="41"/>
  <c r="D1774" i="41"/>
  <c r="D1775" i="41"/>
  <c r="D1776" i="41"/>
  <c r="D1777" i="41"/>
  <c r="D1778" i="41"/>
  <c r="D1779" i="41"/>
  <c r="D1780" i="41"/>
  <c r="D1781" i="41"/>
  <c r="D1782" i="41"/>
  <c r="D1783" i="41"/>
  <c r="D1784" i="41"/>
  <c r="D1785" i="41"/>
  <c r="D1786" i="41"/>
  <c r="D1787" i="41"/>
  <c r="D1788" i="41"/>
  <c r="D1789" i="41"/>
  <c r="D1790" i="41"/>
  <c r="D1791" i="41"/>
  <c r="D1792" i="41"/>
  <c r="D1793" i="41"/>
  <c r="D1794" i="41"/>
  <c r="D1795" i="41"/>
  <c r="D1796" i="41"/>
  <c r="D1797" i="41"/>
  <c r="D1798" i="41"/>
  <c r="D1799" i="41"/>
  <c r="D1800" i="41"/>
  <c r="D1801" i="41"/>
  <c r="D1802" i="41"/>
  <c r="D1803" i="41"/>
  <c r="D1804" i="41"/>
  <c r="D1805" i="41"/>
  <c r="D1806" i="41"/>
  <c r="D1807" i="41"/>
  <c r="D1808" i="41"/>
  <c r="D1809" i="41"/>
  <c r="D1810" i="41"/>
  <c r="D1811" i="41"/>
  <c r="D1812" i="41"/>
  <c r="D1813" i="41"/>
  <c r="D1814" i="41"/>
  <c r="D1815" i="41"/>
  <c r="D1816" i="41"/>
  <c r="D1817" i="41"/>
  <c r="D1818" i="41"/>
  <c r="D1819" i="41"/>
  <c r="D1820" i="41"/>
  <c r="D1821" i="41"/>
  <c r="D1822" i="41"/>
  <c r="D1823" i="41"/>
  <c r="D1824" i="41"/>
  <c r="D1825" i="41"/>
  <c r="D1826" i="41"/>
  <c r="D1827" i="41"/>
  <c r="D1828" i="41"/>
  <c r="D1829" i="41"/>
  <c r="D1830" i="41"/>
  <c r="D1831" i="41"/>
  <c r="D1832" i="41"/>
  <c r="D1833" i="41"/>
  <c r="D1834" i="41"/>
  <c r="D1835" i="41"/>
  <c r="D1836" i="41"/>
  <c r="D1837" i="41"/>
  <c r="D1838" i="41"/>
  <c r="D1839" i="41"/>
  <c r="D1840" i="41"/>
  <c r="D1841" i="41"/>
  <c r="D1842" i="41"/>
  <c r="D1843" i="41"/>
  <c r="D1844" i="41"/>
  <c r="D1845" i="41"/>
  <c r="D1846" i="41"/>
  <c r="D1847" i="41"/>
  <c r="D1848" i="41"/>
  <c r="D1849" i="41"/>
  <c r="D1850" i="41"/>
  <c r="D1851" i="41"/>
  <c r="D1852" i="41"/>
  <c r="D1853" i="41"/>
  <c r="D1854" i="41"/>
  <c r="D1855" i="41"/>
  <c r="D1856" i="41"/>
  <c r="D1857" i="41"/>
  <c r="D1858" i="41"/>
  <c r="D1859" i="41"/>
  <c r="D1860" i="41"/>
  <c r="D1861" i="41"/>
  <c r="D1862" i="41"/>
  <c r="D1863" i="41"/>
  <c r="D1864" i="41"/>
  <c r="D1865" i="41"/>
  <c r="D1866" i="41"/>
  <c r="D1867" i="41"/>
  <c r="D1868" i="41"/>
  <c r="D1869" i="41"/>
  <c r="D1870" i="41"/>
  <c r="D1871" i="41"/>
  <c r="D1872" i="41"/>
  <c r="D1873" i="41"/>
  <c r="D1874" i="41"/>
  <c r="D1875" i="41"/>
  <c r="D1876" i="41"/>
  <c r="D1877" i="41"/>
  <c r="D1878" i="41"/>
  <c r="D1879" i="41"/>
  <c r="D1880" i="41"/>
  <c r="D1881" i="41"/>
  <c r="D1882" i="41"/>
  <c r="D1883" i="41"/>
  <c r="D1884" i="41"/>
  <c r="D1885" i="41"/>
  <c r="D1886" i="41"/>
  <c r="D1887" i="41"/>
  <c r="D1888" i="41"/>
  <c r="D1889" i="41"/>
  <c r="D1890" i="41"/>
  <c r="D1891" i="41"/>
  <c r="D1892" i="41"/>
  <c r="D1893" i="41"/>
  <c r="D1894" i="41"/>
  <c r="D1895" i="41"/>
  <c r="D1896" i="41"/>
  <c r="D1897" i="41"/>
  <c r="D1898" i="41"/>
  <c r="D1899" i="41"/>
  <c r="D1900" i="41"/>
  <c r="D1901" i="41"/>
  <c r="D1902" i="41"/>
  <c r="D1903" i="41"/>
  <c r="D1904" i="41"/>
  <c r="D1905" i="41"/>
  <c r="D1906" i="41"/>
  <c r="D1907" i="41"/>
  <c r="D1908" i="41"/>
  <c r="D1909" i="41"/>
  <c r="D1910" i="41"/>
  <c r="D1911" i="41"/>
  <c r="D1912" i="41"/>
  <c r="D1913" i="41"/>
  <c r="D1914" i="41"/>
  <c r="D1915" i="41"/>
  <c r="D1916" i="41"/>
  <c r="D1917" i="41"/>
  <c r="D1918" i="41"/>
  <c r="D1919" i="41"/>
  <c r="D1920" i="41"/>
  <c r="D1921" i="41"/>
  <c r="D1922" i="41"/>
  <c r="D1923" i="41"/>
  <c r="D1924" i="41"/>
  <c r="D1925" i="41"/>
  <c r="D1926" i="41"/>
  <c r="D1927" i="41"/>
  <c r="D1928" i="41"/>
  <c r="D1929" i="41"/>
  <c r="D1930" i="41"/>
  <c r="D1931" i="41"/>
  <c r="D1932" i="41"/>
  <c r="D1933" i="41"/>
  <c r="D1934" i="41"/>
  <c r="D1935" i="41"/>
  <c r="D1936" i="41"/>
  <c r="D1937" i="41"/>
  <c r="D1938" i="41"/>
  <c r="D1939" i="41"/>
  <c r="D1940" i="41"/>
  <c r="D1941" i="41"/>
  <c r="D1942" i="41"/>
  <c r="D1943" i="41"/>
  <c r="D1944" i="41"/>
  <c r="D1945" i="41"/>
  <c r="D1946" i="41"/>
  <c r="D1947" i="41"/>
  <c r="D1948" i="41"/>
  <c r="D1949" i="41"/>
  <c r="D1950" i="41"/>
  <c r="D1951" i="41"/>
  <c r="D1952" i="41"/>
  <c r="D1953" i="41"/>
  <c r="D1954" i="41"/>
  <c r="D1955" i="41"/>
  <c r="D1956" i="41"/>
  <c r="D1957" i="41"/>
  <c r="D1958" i="41"/>
  <c r="D1959" i="41"/>
  <c r="D1960" i="41"/>
  <c r="D1961" i="41"/>
  <c r="D1962" i="41"/>
  <c r="D1963" i="41"/>
  <c r="D1964" i="41"/>
  <c r="D1965" i="41"/>
  <c r="D1966" i="41"/>
  <c r="D1967" i="41"/>
  <c r="D1968" i="41"/>
  <c r="D1969" i="41"/>
  <c r="D1970" i="41"/>
  <c r="D1971" i="41"/>
  <c r="D1972" i="41"/>
  <c r="D1973" i="41"/>
  <c r="D1974" i="41"/>
  <c r="D1975" i="41"/>
  <c r="D1976" i="41"/>
  <c r="D1977" i="41"/>
  <c r="D1978" i="41"/>
  <c r="D1979" i="41"/>
  <c r="D1980" i="41"/>
  <c r="D1981" i="41"/>
  <c r="D1982" i="41"/>
  <c r="D1983" i="41"/>
  <c r="D1984" i="41"/>
  <c r="D1985" i="41"/>
  <c r="D1986" i="41"/>
  <c r="D1987" i="41"/>
  <c r="D1988" i="41"/>
  <c r="D1989" i="41"/>
  <c r="D1990" i="41"/>
  <c r="D1991" i="41"/>
  <c r="D1992" i="41"/>
  <c r="D1993" i="41"/>
  <c r="D1994" i="41"/>
  <c r="D1995" i="41"/>
  <c r="D1996" i="41"/>
  <c r="D1997" i="41"/>
  <c r="D1998" i="41"/>
  <c r="D1999" i="41"/>
  <c r="D2000" i="41"/>
  <c r="D2001" i="41"/>
  <c r="D2002" i="41"/>
  <c r="D2003" i="41"/>
  <c r="D2004" i="41"/>
  <c r="D2005" i="41"/>
  <c r="D2006" i="41"/>
  <c r="D2007" i="41"/>
  <c r="D2008" i="41"/>
  <c r="D2009" i="41"/>
  <c r="D2010" i="41"/>
  <c r="D2011" i="41"/>
  <c r="D2012" i="41"/>
  <c r="D2013" i="41"/>
  <c r="D2014" i="41"/>
  <c r="D2015" i="41"/>
  <c r="D2016" i="41"/>
  <c r="D2017" i="41"/>
  <c r="D2018" i="41"/>
  <c r="D2019" i="41"/>
  <c r="D2020" i="41"/>
  <c r="D2021" i="41"/>
  <c r="D2022" i="41"/>
  <c r="D2023" i="41"/>
  <c r="D2024" i="41"/>
  <c r="D2025" i="41"/>
  <c r="D2026" i="41"/>
  <c r="D2027" i="41"/>
  <c r="D2028" i="41"/>
  <c r="D2029" i="41"/>
  <c r="D2030" i="41"/>
  <c r="D2031" i="41"/>
  <c r="D2032" i="41"/>
  <c r="D2033" i="41"/>
  <c r="D2034" i="41"/>
  <c r="D2035" i="41"/>
  <c r="D2036" i="41"/>
  <c r="D2037" i="41"/>
  <c r="D2038" i="41"/>
  <c r="D2039" i="41"/>
  <c r="D2040" i="41"/>
  <c r="D2041" i="41"/>
  <c r="D2042" i="41"/>
  <c r="D2043" i="41"/>
  <c r="D2044" i="41"/>
  <c r="D2045" i="41"/>
  <c r="D2046" i="41"/>
  <c r="D2047" i="41"/>
  <c r="D2048" i="41"/>
  <c r="D2049" i="41"/>
  <c r="D2050" i="41"/>
  <c r="D2051" i="41"/>
  <c r="D2052" i="41"/>
  <c r="D2053" i="41"/>
  <c r="D2054" i="41"/>
  <c r="D2055" i="41"/>
  <c r="D2056" i="41"/>
  <c r="D2057" i="41"/>
  <c r="D2058" i="41"/>
  <c r="D2059" i="41"/>
  <c r="D2060" i="41"/>
  <c r="D2061" i="41"/>
  <c r="D2062" i="41"/>
  <c r="D2063" i="41"/>
  <c r="D2064" i="41"/>
  <c r="D2065" i="41"/>
  <c r="D2066" i="41"/>
  <c r="D2067" i="41"/>
  <c r="D2068" i="41"/>
  <c r="D2069" i="41"/>
  <c r="D2070" i="41"/>
  <c r="D2071" i="41"/>
  <c r="D2072" i="41"/>
  <c r="D2073" i="41"/>
  <c r="D2074" i="41"/>
  <c r="D2075" i="41"/>
  <c r="D2076" i="41"/>
  <c r="D2077" i="41"/>
  <c r="D2078" i="41"/>
  <c r="D2079" i="41"/>
  <c r="D2080" i="41"/>
  <c r="D2081" i="41"/>
  <c r="D2082" i="41"/>
  <c r="D2083" i="41"/>
  <c r="D2084" i="41"/>
  <c r="D2085" i="41"/>
  <c r="D2086" i="41"/>
  <c r="D2087" i="41"/>
  <c r="D2088" i="41"/>
  <c r="D2089" i="41"/>
  <c r="D2090" i="41"/>
  <c r="D2091" i="41"/>
  <c r="D2092" i="41"/>
  <c r="D2093" i="41"/>
  <c r="D2094" i="41"/>
  <c r="D2095" i="41"/>
  <c r="D2096" i="41"/>
  <c r="D2097" i="41"/>
  <c r="D2098" i="41"/>
  <c r="D2099" i="41"/>
  <c r="D2100" i="41"/>
  <c r="D2101" i="41"/>
  <c r="D2102" i="41"/>
  <c r="D2103" i="41"/>
  <c r="D2104" i="41"/>
  <c r="D2105" i="41"/>
  <c r="D2106" i="41"/>
  <c r="D2107" i="41"/>
  <c r="D2108" i="41"/>
  <c r="D2109" i="41"/>
  <c r="D2110" i="41"/>
  <c r="D2111" i="41"/>
  <c r="D2112" i="41"/>
  <c r="D2113" i="41"/>
  <c r="D2115" i="41"/>
  <c r="D2116" i="41"/>
  <c r="D2117" i="41"/>
  <c r="D2118" i="41"/>
  <c r="D2119" i="41"/>
  <c r="D2120" i="41"/>
  <c r="D2121" i="41"/>
  <c r="D2122" i="41"/>
  <c r="D2123" i="41"/>
  <c r="D2124" i="41"/>
  <c r="D2125" i="41"/>
  <c r="D2126" i="41"/>
  <c r="D2127" i="41"/>
  <c r="D2128" i="41"/>
  <c r="D2129" i="41"/>
  <c r="D2130" i="41"/>
  <c r="D2131" i="41"/>
  <c r="D2132" i="41"/>
  <c r="D2133" i="41"/>
  <c r="D2134" i="41"/>
  <c r="D2135" i="41"/>
  <c r="D2136" i="41"/>
  <c r="D2137" i="41"/>
  <c r="D2138" i="41"/>
  <c r="D2139" i="41"/>
  <c r="D2140" i="41"/>
  <c r="D2141" i="41"/>
  <c r="D2142" i="41"/>
  <c r="D2143" i="41"/>
  <c r="D2144" i="41"/>
  <c r="D2145" i="41"/>
  <c r="D2146" i="41"/>
  <c r="D2147" i="41"/>
  <c r="D2148" i="41"/>
  <c r="D2149" i="41"/>
  <c r="D2150" i="41"/>
  <c r="D2151" i="41"/>
  <c r="D2152" i="41"/>
  <c r="D2153" i="41"/>
  <c r="D2154" i="41"/>
  <c r="D2155" i="41"/>
  <c r="D2156" i="41"/>
  <c r="D2157" i="41"/>
  <c r="D2158" i="41"/>
  <c r="D2159" i="41"/>
  <c r="D2160" i="41"/>
  <c r="D2161" i="41"/>
  <c r="D2162" i="41"/>
  <c r="D2163" i="41"/>
  <c r="D2164" i="41"/>
  <c r="D2165" i="41"/>
  <c r="D2166" i="41"/>
  <c r="D2167" i="41"/>
  <c r="D2168" i="41"/>
  <c r="D2169" i="41"/>
  <c r="D2170" i="41"/>
  <c r="D2171" i="41"/>
  <c r="D2172" i="41"/>
  <c r="AA25" i="40" l="1"/>
  <c r="AB25" i="40"/>
  <c r="AA26" i="40"/>
  <c r="AB26" i="40"/>
  <c r="AA27" i="40"/>
  <c r="AB27" i="40"/>
  <c r="AA28" i="40"/>
  <c r="AB28" i="40"/>
  <c r="AA29" i="40"/>
  <c r="AB29" i="40"/>
  <c r="AB10" i="40" l="1"/>
  <c r="AB11" i="40"/>
  <c r="AB12" i="40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A24" i="40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B9" i="40"/>
  <c r="AA9" i="40"/>
  <c r="E935" i="41"/>
  <c r="E930" i="41"/>
  <c r="E929" i="41"/>
  <c r="E928" i="41"/>
  <c r="E925" i="41"/>
  <c r="E924" i="41"/>
  <c r="E923" i="41"/>
  <c r="E921" i="41"/>
  <c r="E920" i="41"/>
  <c r="E916" i="41"/>
  <c r="E914" i="41"/>
  <c r="E913" i="41"/>
  <c r="E912" i="41"/>
  <c r="E911" i="41"/>
  <c r="E908" i="41"/>
  <c r="E907" i="41"/>
  <c r="E906" i="41"/>
  <c r="E905" i="41"/>
  <c r="E903" i="41"/>
  <c r="E901" i="41"/>
  <c r="E900" i="41"/>
  <c r="E897" i="41"/>
  <c r="E890" i="41"/>
  <c r="E889" i="41"/>
  <c r="E886" i="41"/>
  <c r="E876" i="41"/>
  <c r="E869" i="41"/>
  <c r="E867" i="41"/>
  <c r="E866" i="41"/>
  <c r="E863" i="41"/>
  <c r="E856" i="41"/>
  <c r="E852" i="41"/>
  <c r="E851" i="41"/>
  <c r="E847" i="41"/>
  <c r="E843" i="41"/>
  <c r="E842" i="41"/>
  <c r="E836" i="41"/>
  <c r="E834" i="41"/>
  <c r="E832" i="41"/>
  <c r="E830" i="41"/>
  <c r="E823" i="41"/>
  <c r="E820" i="41"/>
  <c r="E817" i="41"/>
  <c r="E816" i="41"/>
  <c r="E810" i="41"/>
  <c r="E801" i="41"/>
  <c r="E796" i="41"/>
  <c r="E795" i="41"/>
  <c r="E790" i="41"/>
  <c r="E789" i="41"/>
  <c r="E770" i="41"/>
  <c r="E765" i="41"/>
  <c r="E764" i="41"/>
  <c r="E761" i="41"/>
  <c r="E755" i="41"/>
  <c r="E754" i="41"/>
  <c r="E752" i="41"/>
  <c r="E750" i="41"/>
  <c r="E747" i="41"/>
  <c r="E745" i="41"/>
  <c r="E740" i="41"/>
  <c r="E737" i="41"/>
  <c r="E736" i="41"/>
  <c r="E735" i="41"/>
  <c r="E731" i="41"/>
  <c r="E730" i="41"/>
  <c r="E729" i="41"/>
  <c r="E727" i="41"/>
  <c r="E723" i="41"/>
  <c r="E722" i="41"/>
  <c r="E719" i="41"/>
  <c r="E710" i="41"/>
  <c r="E704" i="41"/>
  <c r="E703" i="41"/>
  <c r="E700" i="41"/>
  <c r="E641" i="41"/>
  <c r="E633" i="41"/>
  <c r="E631" i="41"/>
  <c r="E630" i="41"/>
  <c r="E629" i="41"/>
  <c r="E623" i="41"/>
  <c r="E612" i="41"/>
  <c r="E611" i="41"/>
  <c r="E610" i="41"/>
  <c r="E604" i="41"/>
  <c r="E601" i="41"/>
  <c r="D2" i="41"/>
  <c r="Q29" i="40" l="1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R9" i="40" l="1"/>
  <c r="R10" i="40"/>
  <c r="R11" i="40"/>
  <c r="R12" i="40"/>
  <c r="R13" i="40"/>
  <c r="R14" i="40"/>
  <c r="R15" i="40"/>
  <c r="R16" i="40"/>
  <c r="R17" i="40"/>
  <c r="R18" i="40"/>
  <c r="R19" i="40"/>
  <c r="R20" i="40"/>
  <c r="R21" i="40"/>
  <c r="R22" i="40"/>
  <c r="R23" i="40"/>
  <c r="R24" i="40"/>
  <c r="R25" i="40"/>
  <c r="R26" i="40"/>
  <c r="R27" i="40"/>
  <c r="R28" i="40"/>
  <c r="R29" i="40"/>
  <c r="AB4" i="37"/>
  <c r="Z4" i="37"/>
  <c r="W4" i="37"/>
  <c r="F4" i="37"/>
  <c r="C4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9" i="3"/>
  <c r="K10" i="3"/>
  <c r="Q11" i="3"/>
  <c r="C27" i="42" l="1"/>
  <c r="D27" i="42" s="1"/>
  <c r="C24" i="42"/>
  <c r="C26" i="42"/>
  <c r="D26" i="42" s="1"/>
  <c r="C25" i="42"/>
  <c r="D25" i="42" s="1"/>
  <c r="R10" i="37"/>
  <c r="R11" i="37"/>
  <c r="R14" i="37"/>
  <c r="R9" i="37"/>
  <c r="R12" i="37"/>
  <c r="R13" i="37"/>
  <c r="R23" i="3"/>
  <c r="R19" i="3"/>
  <c r="R17" i="3"/>
  <c r="R15" i="3"/>
  <c r="R13" i="3"/>
  <c r="R11" i="3"/>
  <c r="R21" i="3"/>
  <c r="R22" i="3"/>
  <c r="R18" i="3"/>
  <c r="R14" i="3"/>
  <c r="R10" i="3"/>
  <c r="R20" i="3"/>
  <c r="R16" i="3"/>
  <c r="R12" i="3"/>
  <c r="R9" i="3"/>
  <c r="C28" i="42" l="1"/>
  <c r="D28" i="42" s="1"/>
  <c r="D24" i="42"/>
</calcChain>
</file>

<file path=xl/sharedStrings.xml><?xml version="1.0" encoding="utf-8"?>
<sst xmlns="http://schemas.openxmlformats.org/spreadsheetml/2006/main" count="5737" uniqueCount="2494">
  <si>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</si>
  <si>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</si>
  <si>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</si>
  <si>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</si>
  <si>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</si>
  <si>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</si>
  <si>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</si>
  <si>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</si>
  <si>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</si>
  <si>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</si>
  <si>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</si>
  <si>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</si>
  <si>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</si>
  <si>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</si>
  <si>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</si>
  <si>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</si>
  <si>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</si>
  <si>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</si>
  <si>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</si>
  <si>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</si>
  <si>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</si>
  <si>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</si>
  <si>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</si>
  <si>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</si>
  <si>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</si>
  <si>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</si>
  <si>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</si>
  <si>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</si>
  <si>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</si>
  <si>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</si>
  <si>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</si>
  <si>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</si>
  <si>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</si>
  <si>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</si>
  <si>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</si>
  <si>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</si>
  <si>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</si>
  <si>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</si>
  <si>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</si>
  <si>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</si>
  <si>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</si>
  <si>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</si>
  <si>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</si>
  <si>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</si>
  <si>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</si>
  <si>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</si>
  <si>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</si>
  <si>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</si>
  <si>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</si>
  <si>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</si>
  <si>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</si>
  <si>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</si>
  <si>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Kisenyi</t>
  </si>
  <si>
    <t>mombasa</t>
  </si>
  <si>
    <t>DRC</t>
  </si>
  <si>
    <t>Ishasha</t>
  </si>
  <si>
    <t>Rubaare</t>
  </si>
  <si>
    <t>Mitoma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</si>
  <si>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</si>
  <si>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</si>
  <si>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</si>
  <si>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</si>
  <si>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</si>
  <si>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</si>
  <si>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</si>
  <si>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</si>
  <si>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</si>
  <si>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</si>
  <si>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</si>
  <si>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</si>
  <si>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</si>
  <si>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</si>
  <si>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</si>
  <si>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</si>
  <si>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</si>
  <si>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</si>
  <si>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</si>
  <si>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</si>
  <si>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</si>
  <si>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</si>
  <si>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</si>
  <si>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</si>
  <si>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</si>
  <si>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</si>
  <si>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</si>
  <si>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</si>
  <si>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</si>
  <si>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</si>
  <si>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</si>
  <si>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</si>
  <si>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</si>
  <si>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</si>
  <si>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</si>
  <si>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</si>
  <si>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</si>
  <si>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</si>
  <si>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</si>
  <si>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</si>
  <si>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</si>
  <si>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</si>
  <si>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</si>
  <si>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</si>
  <si>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</si>
  <si>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</si>
  <si>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</si>
  <si>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</si>
  <si>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</si>
  <si>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</si>
  <si>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</si>
  <si>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</si>
  <si>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</si>
  <si>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</si>
  <si>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</si>
  <si>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</si>
  <si>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</si>
  <si>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</si>
  <si>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</si>
  <si>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</si>
  <si>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</si>
  <si>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</si>
  <si>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</si>
  <si>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</si>
  <si>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</si>
  <si>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</si>
  <si>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</si>
  <si>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</si>
  <si>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</si>
  <si>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</si>
  <si>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</si>
  <si>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</si>
  <si>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</si>
  <si>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</si>
  <si>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</si>
  <si>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</si>
  <si>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</si>
  <si>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</si>
  <si>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</si>
  <si>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</si>
  <si>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</si>
  <si>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</si>
  <si>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</si>
  <si>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</si>
  <si>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</si>
  <si>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</si>
  <si>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</si>
  <si>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</si>
  <si>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</si>
  <si>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</si>
  <si>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</si>
  <si>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Sheba N</t>
  </si>
  <si>
    <t>Irene, Enock B, Goeffrey I</t>
  </si>
  <si>
    <t>Isaac</t>
  </si>
  <si>
    <t>Namugongo</t>
  </si>
  <si>
    <t>Kireka</t>
  </si>
  <si>
    <t>Goeffrey I, Justus B,</t>
  </si>
  <si>
    <t>03.08.19</t>
  </si>
  <si>
    <t>Kitgum Atiak</t>
  </si>
  <si>
    <t>Palabek</t>
  </si>
  <si>
    <t>Atiak</t>
  </si>
  <si>
    <t>PALABEK</t>
  </si>
  <si>
    <t>AMURU</t>
  </si>
  <si>
    <t>ELEGU TOWN</t>
  </si>
  <si>
    <t>ARUA TOWN</t>
  </si>
  <si>
    <t>ARUA</t>
  </si>
  <si>
    <t>JUBA TOWN</t>
  </si>
  <si>
    <t>JUBA</t>
  </si>
  <si>
    <t>GULU TOWN</t>
  </si>
  <si>
    <t>GULU</t>
  </si>
  <si>
    <t>ATIAK TOWN</t>
  </si>
  <si>
    <t>ADJUMANI</t>
  </si>
  <si>
    <t>UGA</t>
  </si>
  <si>
    <t>ATIAK</t>
  </si>
  <si>
    <t>BUSIA TOWN</t>
  </si>
  <si>
    <t>BUSIA</t>
  </si>
  <si>
    <t>PAROLINYA</t>
  </si>
  <si>
    <t>MOYO</t>
  </si>
  <si>
    <t>OKIDI</t>
  </si>
  <si>
    <t>KITGUM</t>
  </si>
  <si>
    <t>SUD</t>
  </si>
  <si>
    <t>AYE VILLAGE</t>
  </si>
  <si>
    <t>KAMPALA</t>
  </si>
  <si>
    <t>OGILI</t>
  </si>
  <si>
    <t>PALUDA</t>
  </si>
  <si>
    <t>PALADU</t>
  </si>
  <si>
    <t>KITGUM TOWN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</si>
  <si>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</si>
  <si>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</si>
  <si>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</si>
  <si>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</si>
  <si>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</si>
  <si>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</si>
  <si>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</si>
  <si>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</si>
  <si>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</si>
  <si>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</si>
  <si>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</si>
  <si>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</si>
  <si>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</si>
  <si>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</t>
  </si>
  <si>
    <t>Adjumani Town Council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</si>
  <si>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</si>
  <si>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</si>
  <si>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</si>
  <si>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</si>
  <si>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</si>
  <si>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</si>
  <si>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</si>
  <si>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</si>
  <si>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</si>
  <si>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</si>
  <si>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</si>
  <si>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</si>
  <si>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</si>
  <si>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</si>
  <si>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</si>
  <si>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</si>
  <si>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</si>
  <si>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</si>
  <si>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</si>
  <si>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</si>
  <si>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</si>
  <si>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</si>
  <si>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</si>
  <si>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</si>
  <si>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</si>
  <si>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</si>
  <si>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</si>
  <si>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</si>
  <si>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</si>
  <si>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</si>
  <si>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</si>
  <si>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</si>
  <si>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</si>
  <si>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</si>
  <si>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</si>
  <si>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</si>
  <si>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</si>
  <si>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</si>
  <si>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</si>
  <si>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</si>
  <si>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</si>
  <si>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</si>
  <si>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</si>
  <si>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</si>
  <si>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</si>
  <si>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</si>
  <si>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</si>
  <si>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</si>
  <si>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</si>
  <si>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</si>
  <si>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</si>
  <si>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</si>
  <si>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</si>
  <si>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</si>
  <si>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</si>
  <si>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</si>
  <si>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</si>
  <si>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</si>
  <si>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</si>
  <si>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</si>
  <si>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</si>
  <si>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</si>
  <si>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</si>
  <si>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</si>
  <si>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</si>
  <si>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</si>
  <si>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</si>
  <si>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</si>
  <si>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</si>
  <si>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</si>
  <si>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</si>
  <si>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</si>
  <si>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</si>
  <si>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</si>
  <si>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</si>
  <si>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</si>
  <si>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</si>
  <si>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</si>
  <si>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</si>
  <si>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</si>
  <si>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</si>
  <si>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</si>
  <si>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</si>
  <si>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</si>
  <si>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</si>
  <si>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</si>
  <si>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</si>
  <si>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</si>
  <si>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</si>
  <si>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</si>
  <si>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</si>
  <si>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</si>
  <si>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</si>
  <si>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</si>
  <si>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</si>
  <si>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Ombaci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</si>
  <si>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</si>
  <si>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</si>
  <si>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</si>
  <si>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</si>
  <si>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</si>
  <si>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</si>
  <si>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</si>
  <si>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</si>
  <si>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Lwanga</t>
  </si>
  <si>
    <t>Rhino</t>
  </si>
  <si>
    <t>Arua Municipality</t>
  </si>
  <si>
    <t>Arua town</t>
  </si>
  <si>
    <t>Ayivuni</t>
  </si>
  <si>
    <t>Bileafe</t>
  </si>
  <si>
    <t>Dadamu</t>
  </si>
  <si>
    <t>Ewanga</t>
  </si>
  <si>
    <t>Katrini</t>
  </si>
  <si>
    <t>Logiri</t>
  </si>
  <si>
    <t>Manibe</t>
  </si>
  <si>
    <t>Maraca</t>
  </si>
  <si>
    <t>Imvepi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</si>
  <si>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</si>
  <si>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</si>
  <si>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</si>
  <si>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</si>
  <si>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</si>
  <si>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</si>
  <si>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</si>
  <si>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</si>
  <si>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</si>
  <si>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</si>
  <si>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</si>
  <si>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</si>
  <si>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</si>
  <si>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</si>
  <si>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</si>
  <si>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</si>
  <si>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</si>
  <si>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</si>
  <si>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</si>
  <si>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</si>
  <si>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</si>
  <si>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</si>
  <si>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</si>
  <si>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</si>
  <si>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</si>
  <si>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</si>
  <si>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</si>
  <si>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</si>
  <si>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</si>
  <si>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</si>
  <si>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</si>
  <si>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</si>
  <si>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</si>
  <si>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</si>
  <si>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</si>
  <si>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</si>
  <si>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</si>
  <si>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</si>
  <si>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</si>
  <si>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</si>
  <si>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</si>
  <si>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</si>
  <si>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</si>
  <si>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</si>
  <si>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</si>
  <si>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</si>
  <si>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</si>
  <si>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</si>
  <si>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</si>
  <si>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</si>
  <si>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</si>
  <si>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</si>
  <si>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</si>
  <si>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</si>
  <si>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</si>
  <si>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</si>
  <si>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</si>
  <si>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</si>
  <si>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</si>
  <si>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</si>
  <si>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</si>
  <si>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</si>
  <si>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</si>
  <si>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</si>
  <si>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</si>
  <si>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</si>
  <si>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</si>
  <si>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LUGAZI</t>
  </si>
  <si>
    <t>KINYALA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</si>
  <si>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</si>
  <si>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</si>
  <si>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</si>
  <si>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</si>
  <si>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</si>
  <si>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</si>
  <si>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</si>
  <si>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</si>
  <si>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</si>
  <si>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</si>
  <si>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</si>
  <si>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</si>
  <si>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</si>
  <si>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KAGOGOLO</t>
  </si>
  <si>
    <t>Bukomansimbi Town Council</t>
  </si>
  <si>
    <t>BUKOMANSIMBI TOWN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</si>
  <si>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</si>
  <si>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</si>
  <si>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</si>
  <si>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</si>
  <si>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</si>
  <si>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</si>
  <si>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</si>
  <si>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</si>
  <si>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</si>
  <si>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</si>
  <si>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</si>
  <si>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</si>
  <si>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</si>
  <si>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</si>
  <si>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</si>
  <si>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</si>
  <si>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</si>
  <si>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</si>
  <si>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</si>
  <si>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</si>
  <si>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</si>
  <si>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</si>
  <si>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</si>
  <si>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</si>
  <si>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</si>
  <si>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</si>
  <si>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</si>
  <si>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</si>
  <si>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</si>
  <si>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</si>
  <si>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</si>
  <si>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</si>
  <si>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</si>
  <si>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</si>
  <si>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</si>
  <si>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</si>
  <si>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</si>
  <si>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</si>
  <si>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</si>
  <si>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</si>
  <si>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</si>
  <si>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</si>
  <si>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</si>
  <si>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</si>
  <si>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</si>
  <si>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</si>
  <si>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</si>
  <si>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</si>
  <si>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</si>
  <si>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</si>
  <si>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</si>
  <si>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</si>
  <si>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</si>
  <si>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</si>
  <si>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</si>
  <si>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</si>
  <si>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</si>
  <si>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</si>
  <si>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</si>
  <si>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</si>
  <si>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</si>
  <si>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</si>
  <si>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</si>
  <si>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</si>
  <si>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</si>
  <si>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</si>
  <si>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</si>
  <si>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</si>
  <si>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</si>
  <si>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</si>
  <si>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</si>
  <si>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</si>
  <si>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</si>
  <si>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</si>
  <si>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</si>
  <si>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</si>
  <si>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</si>
  <si>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</si>
  <si>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</si>
  <si>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</si>
  <si>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</si>
  <si>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ISHAKA</t>
  </si>
  <si>
    <t>BUSHENYI</t>
  </si>
  <si>
    <t>KASHAKA</t>
  </si>
  <si>
    <t>BWERANYANGI</t>
  </si>
  <si>
    <t>Bushenyi-Ishaka Municipality</t>
  </si>
  <si>
    <t>Ibaare</t>
  </si>
  <si>
    <t>RUSHINYA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</si>
  <si>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</si>
  <si>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</si>
  <si>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</si>
  <si>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</si>
  <si>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</si>
  <si>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</si>
  <si>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</si>
  <si>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</si>
  <si>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</si>
  <si>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</si>
  <si>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</si>
  <si>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</si>
  <si>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</si>
  <si>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</si>
  <si>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</si>
  <si>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</si>
  <si>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</si>
  <si>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</si>
  <si>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</si>
  <si>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</si>
  <si>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</si>
  <si>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</si>
  <si>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</si>
  <si>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</si>
  <si>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</si>
  <si>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</si>
  <si>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</si>
  <si>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</si>
  <si>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</si>
  <si>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</si>
  <si>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</si>
  <si>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</si>
  <si>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</si>
  <si>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</si>
  <si>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</si>
  <si>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</si>
  <si>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</si>
  <si>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</si>
  <si>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</si>
  <si>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BUTAMBA</t>
  </si>
  <si>
    <t xml:space="preserve">BUTAMBALA </t>
  </si>
  <si>
    <t>BUTAMBALA</t>
  </si>
  <si>
    <t>butambala town</t>
  </si>
  <si>
    <t>KABASANDA</t>
  </si>
  <si>
    <t>NGOMBE TOWN COUNCIL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</si>
  <si>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</si>
  <si>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</si>
  <si>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</si>
  <si>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</si>
  <si>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</si>
  <si>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</si>
  <si>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</si>
  <si>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</si>
  <si>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</si>
  <si>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</si>
  <si>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</si>
  <si>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</si>
  <si>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</si>
  <si>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</si>
  <si>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</si>
  <si>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</si>
  <si>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</si>
  <si>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</si>
  <si>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</si>
  <si>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</si>
  <si>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</si>
  <si>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</si>
  <si>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</si>
  <si>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</si>
  <si>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</si>
  <si>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</si>
  <si>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</si>
  <si>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</si>
  <si>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</si>
  <si>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</si>
  <si>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</si>
  <si>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</si>
  <si>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</si>
  <si>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</si>
  <si>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</si>
  <si>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</si>
  <si>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</si>
  <si>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</si>
  <si>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</si>
  <si>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</si>
  <si>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</si>
  <si>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GOMBA</t>
  </si>
  <si>
    <t>District H/Q</t>
  </si>
  <si>
    <t>GOMBA TOWN</t>
  </si>
  <si>
    <t>Golola</t>
  </si>
  <si>
    <t>KABASADA</t>
  </si>
  <si>
    <t>KAWULA</t>
  </si>
  <si>
    <t>Kabulasoke</t>
  </si>
  <si>
    <t>Sserinya</t>
  </si>
  <si>
    <t>Bukandula</t>
  </si>
  <si>
    <t>KAJUMIRO</t>
  </si>
  <si>
    <t>KIFAMPA</t>
  </si>
  <si>
    <t>Kanoni Town Council</t>
  </si>
  <si>
    <t>Tondola</t>
  </si>
  <si>
    <t>Wasinda</t>
  </si>
  <si>
    <t>MITALA-MARIA</t>
  </si>
  <si>
    <t>Gomba</t>
  </si>
  <si>
    <t>Bukalagi</t>
  </si>
  <si>
    <t>Kyegonza</t>
  </si>
  <si>
    <t>Koome</t>
  </si>
  <si>
    <t>KASAKA</t>
  </si>
  <si>
    <t>NAKASAGAZI</t>
  </si>
  <si>
    <t>KINONI</t>
  </si>
  <si>
    <t>NAKYENYI</t>
  </si>
  <si>
    <t>Maddu</t>
  </si>
  <si>
    <t>Kirasi</t>
  </si>
  <si>
    <t>KYAYI</t>
  </si>
  <si>
    <t>DEGEYA</t>
  </si>
  <si>
    <t>Mpenja</t>
  </si>
  <si>
    <t>Gulu</t>
  </si>
  <si>
    <t>Aswa</t>
  </si>
  <si>
    <t>Awach</t>
  </si>
  <si>
    <t>Bungatira</t>
  </si>
  <si>
    <t>Gulu Municipality</t>
  </si>
  <si>
    <t>Paicho</t>
  </si>
  <si>
    <t>Unyama</t>
  </si>
  <si>
    <t>KIBOGA</t>
  </si>
  <si>
    <t>Hoima</t>
  </si>
  <si>
    <t>Buhaguzi</t>
  </si>
  <si>
    <t>Bugambe</t>
  </si>
  <si>
    <t>Bugahya</t>
  </si>
  <si>
    <t>Buhanika</t>
  </si>
  <si>
    <t>Buhimba</t>
  </si>
  <si>
    <t>HOIMA</t>
  </si>
  <si>
    <t>Hoima Municipality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</si>
  <si>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</si>
  <si>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</si>
  <si>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</si>
  <si>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</si>
  <si>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</si>
  <si>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</si>
  <si>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</si>
  <si>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</t>
  </si>
  <si>
    <t>Ibanda Municipality</t>
  </si>
  <si>
    <t>Igorora Town Council</t>
  </si>
  <si>
    <t>ISONGOLO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</si>
  <si>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</si>
  <si>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</si>
  <si>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</si>
  <si>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</si>
  <si>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</si>
  <si>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</si>
  <si>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</si>
  <si>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</si>
  <si>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</si>
  <si>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</si>
  <si>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Iganga</t>
  </si>
  <si>
    <t>Kigulu</t>
  </si>
  <si>
    <t>Bulamogi</t>
  </si>
  <si>
    <t>Bugweri</t>
  </si>
  <si>
    <t>Busembatia Town Council</t>
  </si>
  <si>
    <t>Buyanga-Iganga</t>
  </si>
  <si>
    <t>Ibulanku</t>
  </si>
  <si>
    <t>Iganga Municipality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</si>
  <si>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</si>
  <si>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</si>
  <si>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</si>
  <si>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</si>
  <si>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</si>
  <si>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</si>
  <si>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</si>
  <si>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</si>
  <si>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</si>
  <si>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</si>
  <si>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</si>
  <si>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Bukanga</t>
  </si>
  <si>
    <t>Endiinzi</t>
  </si>
  <si>
    <t>Endiinzi Town Council</t>
  </si>
  <si>
    <t>ISINGIRO</t>
  </si>
  <si>
    <t>Isingiro Town Council</t>
  </si>
  <si>
    <t>Kaberebere Town Council</t>
  </si>
  <si>
    <t>KABEREBE</t>
  </si>
  <si>
    <t>Kabingo</t>
  </si>
  <si>
    <t>Kabuyanda</t>
  </si>
  <si>
    <t>Kabuyanda Town Council</t>
  </si>
  <si>
    <t>Kakamba-Isingiro</t>
  </si>
  <si>
    <t>KIKAGATI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</si>
  <si>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</si>
  <si>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</si>
  <si>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</si>
  <si>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</si>
  <si>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</si>
  <si>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</si>
  <si>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</si>
  <si>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</si>
  <si>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</si>
  <si>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</si>
  <si>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</si>
  <si>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Jinja</t>
  </si>
  <si>
    <t>Kagoma</t>
  </si>
  <si>
    <t>Budondo</t>
  </si>
  <si>
    <t>Butembe</t>
  </si>
  <si>
    <t>Bugembe Town Council</t>
  </si>
  <si>
    <t>Busedde</t>
  </si>
  <si>
    <t>Butagaya</t>
  </si>
  <si>
    <t>Buwenge</t>
  </si>
  <si>
    <t>Buwenge Town Council</t>
  </si>
  <si>
    <t>Buyengo</t>
  </si>
  <si>
    <t>Jinja Municipality</t>
  </si>
  <si>
    <t>JINJA</t>
  </si>
  <si>
    <t>LUMBASI</t>
  </si>
  <si>
    <t>KAKIRA</t>
  </si>
  <si>
    <t>Kakira Town Council</t>
  </si>
  <si>
    <t>Mafubira</t>
  </si>
  <si>
    <t>Kaabong</t>
  </si>
  <si>
    <t>Dodoth</t>
  </si>
  <si>
    <t>Kaabong East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</si>
  <si>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</si>
  <si>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</si>
  <si>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</si>
  <si>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</si>
  <si>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</si>
  <si>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</si>
  <si>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</si>
  <si>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</si>
  <si>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</si>
  <si>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</si>
  <si>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</si>
  <si>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</si>
  <si>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</si>
  <si>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Kabale</t>
  </si>
  <si>
    <t>Ndorwa</t>
  </si>
  <si>
    <t>Buhara</t>
  </si>
  <si>
    <t>Butanda</t>
  </si>
  <si>
    <t>Kabale Municipality</t>
  </si>
  <si>
    <t>town</t>
  </si>
  <si>
    <t>NYABUSHENYI</t>
  </si>
  <si>
    <t>KABALE</t>
  </si>
  <si>
    <t>CENTRAL DIVISION</t>
  </si>
  <si>
    <t>KABALE TOWN</t>
  </si>
  <si>
    <t>Kaharo</t>
  </si>
  <si>
    <t>Kamuganguzi</t>
  </si>
  <si>
    <t>Katuna Town Council</t>
  </si>
  <si>
    <t>BWAMA</t>
  </si>
  <si>
    <t>Kitumba</t>
  </si>
  <si>
    <t>Kyanamira</t>
  </si>
  <si>
    <t>KABULA</t>
  </si>
  <si>
    <t>Maziba</t>
  </si>
  <si>
    <t>Rubaya-Kabale</t>
  </si>
  <si>
    <t>Ryakirimira Town Council</t>
  </si>
  <si>
    <t>Kabarole</t>
  </si>
  <si>
    <t>Burahya</t>
  </si>
  <si>
    <t>Bukuuku</t>
  </si>
  <si>
    <t>Busoro</t>
  </si>
  <si>
    <t>Fort</t>
  </si>
  <si>
    <t>FORT PORTAL</t>
  </si>
  <si>
    <t>Fort Portal Municipality</t>
  </si>
  <si>
    <t>FORT PORTAL TOWN</t>
  </si>
  <si>
    <t>Hakibaale</t>
  </si>
  <si>
    <t>SOUTH DIVISION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</si>
  <si>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</si>
  <si>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</si>
  <si>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</si>
  <si>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</si>
  <si>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</si>
  <si>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</si>
  <si>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</si>
  <si>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</si>
  <si>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KABANGO</t>
  </si>
  <si>
    <t>Mugusu Town Council</t>
  </si>
  <si>
    <t>Ruteete-Kabarole</t>
  </si>
  <si>
    <t>Kaberamaido</t>
  </si>
  <si>
    <t>Alwa</t>
  </si>
  <si>
    <t>Kalaki</t>
  </si>
  <si>
    <t>Anyara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</si>
  <si>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</si>
  <si>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</si>
  <si>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</si>
  <si>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</si>
  <si>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</si>
  <si>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</si>
  <si>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</si>
  <si>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</si>
  <si>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Kagadi</t>
  </si>
  <si>
    <t>Buyaga</t>
  </si>
  <si>
    <t>Burora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</si>
  <si>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</si>
  <si>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</si>
  <si>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</si>
  <si>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</si>
  <si>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</si>
  <si>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</si>
  <si>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</si>
  <si>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</si>
  <si>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</si>
  <si>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</si>
  <si>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</si>
  <si>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</si>
  <si>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</si>
  <si>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</si>
  <si>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</si>
  <si>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</si>
  <si>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Kakumiro</t>
  </si>
  <si>
    <t>Bugangaizi</t>
  </si>
  <si>
    <t>Birembo</t>
  </si>
  <si>
    <t>Bwanswa</t>
  </si>
  <si>
    <t>Kakindo</t>
  </si>
  <si>
    <t>KAKUMIRO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</si>
  <si>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</si>
  <si>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</si>
  <si>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</si>
  <si>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</si>
  <si>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</si>
  <si>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</si>
  <si>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</si>
  <si>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</si>
  <si>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Kalangala</t>
  </si>
  <si>
    <t>Kyamuswa</t>
  </si>
  <si>
    <t>Bubeke</t>
  </si>
  <si>
    <t>Bufumira</t>
  </si>
  <si>
    <t>Bujumba</t>
  </si>
  <si>
    <t>KALANGALA</t>
  </si>
  <si>
    <t>Kalangala Town Council</t>
  </si>
  <si>
    <t>Mazinga</t>
  </si>
  <si>
    <t>Mugoye</t>
  </si>
  <si>
    <t>Kaliro</t>
  </si>
  <si>
    <t>Budomero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</si>
  <si>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</si>
  <si>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</si>
  <si>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</si>
  <si>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</si>
  <si>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</si>
  <si>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</si>
  <si>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</si>
  <si>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</si>
  <si>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</si>
  <si>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</si>
  <si>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</si>
  <si>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Kalungu</t>
  </si>
  <si>
    <t>Bukulula</t>
  </si>
  <si>
    <t>VILLA MARIA</t>
  </si>
  <si>
    <t>BUKALASA</t>
  </si>
  <si>
    <t>MPUGWE</t>
  </si>
  <si>
    <t>Kalungu Town Council</t>
  </si>
  <si>
    <t>Kitamba</t>
  </si>
  <si>
    <t>Kyamulibwa</t>
  </si>
  <si>
    <t>Kyamulibwa Town Council</t>
  </si>
  <si>
    <t>LUKAYA</t>
  </si>
  <si>
    <t>NTALE</t>
  </si>
  <si>
    <t>Lukaya Town Council</t>
  </si>
  <si>
    <t>Lwabenge</t>
  </si>
  <si>
    <t>KISANJE</t>
  </si>
  <si>
    <t>Kampala</t>
  </si>
  <si>
    <t>KCCA</t>
  </si>
  <si>
    <t>Banda</t>
  </si>
  <si>
    <t>NGAMOTOKA</t>
  </si>
  <si>
    <t>MTN</t>
  </si>
  <si>
    <t>Bugolobi</t>
  </si>
  <si>
    <t>NAKUMAT</t>
  </si>
  <si>
    <t>KITINTALE</t>
  </si>
  <si>
    <t>OLD PORT BELL RD</t>
  </si>
  <si>
    <t>PORTBELL</t>
  </si>
  <si>
    <t>IMPERIAL ROYAL</t>
  </si>
  <si>
    <t>Bukasa</t>
  </si>
  <si>
    <t>Bukesa</t>
  </si>
  <si>
    <t>KINAWATAKA</t>
  </si>
  <si>
    <t>NAKAWA INDUSTRIAL PARK</t>
  </si>
  <si>
    <t>NAKASERO</t>
  </si>
  <si>
    <t>WOKERS HOUSE</t>
  </si>
  <si>
    <t>LUWUM STREET</t>
  </si>
  <si>
    <t>MAPEERA</t>
  </si>
  <si>
    <t>CAIRO BANK</t>
  </si>
  <si>
    <t>Busega</t>
  </si>
  <si>
    <t>LUBIRI SS</t>
  </si>
  <si>
    <t>BUSUBIZI</t>
  </si>
  <si>
    <t>NATETE</t>
  </si>
  <si>
    <t>NATEETE</t>
  </si>
  <si>
    <t>NATETE PARK</t>
  </si>
  <si>
    <t>KIGAGGA</t>
  </si>
  <si>
    <t>Butabika</t>
  </si>
  <si>
    <t>Buziga</t>
  </si>
  <si>
    <t>Bwaise</t>
  </si>
  <si>
    <t>Northern Bypass</t>
  </si>
  <si>
    <t>NILE AVE KAMPALA</t>
  </si>
  <si>
    <t>YOUTH CENTER</t>
  </si>
  <si>
    <t>ROYAL HOTEL</t>
  </si>
  <si>
    <t>KIKUBO</t>
  </si>
  <si>
    <t>KIWANUKA</t>
  </si>
  <si>
    <t>SHAURIYAKO</t>
  </si>
  <si>
    <t>HOUSING FINANCE</t>
  </si>
  <si>
    <t>Entebbe Rd</t>
  </si>
  <si>
    <t>Civic Centre</t>
  </si>
  <si>
    <t>RAA LTD</t>
  </si>
  <si>
    <t>KUNYA</t>
  </si>
  <si>
    <t>Clemeti Hill Rd</t>
  </si>
  <si>
    <t xml:space="preserve">Nkrumah </t>
  </si>
  <si>
    <t>DIRECTORATE OF INDUSTRIES</t>
  </si>
  <si>
    <t>FARMER HOUSE</t>
  </si>
  <si>
    <t>PROTEA</t>
  </si>
  <si>
    <t>YUSUF LULE</t>
  </si>
  <si>
    <t>CITY TYRES</t>
  </si>
  <si>
    <t>CITI BANK</t>
  </si>
  <si>
    <t>DTB</t>
  </si>
  <si>
    <t>SPEKE ROAD</t>
  </si>
  <si>
    <t>Centenary Park</t>
  </si>
  <si>
    <t>JINJA RD</t>
  </si>
  <si>
    <t>FUELIX</t>
  </si>
  <si>
    <t>SEROMA</t>
  </si>
  <si>
    <t>WATOTO</t>
  </si>
  <si>
    <t>WAMPONYE</t>
  </si>
  <si>
    <t>MUKIKUBO</t>
  </si>
  <si>
    <t>TOWN CENTER</t>
  </si>
  <si>
    <t>KAMPALA CITY</t>
  </si>
  <si>
    <t>City centre</t>
  </si>
  <si>
    <t>CITY CENTER</t>
  </si>
  <si>
    <t>Clock tower</t>
  </si>
  <si>
    <t>WUSAFI</t>
  </si>
  <si>
    <t>USAFI</t>
  </si>
  <si>
    <t>Shoprite</t>
  </si>
  <si>
    <t>Ben kiwanuka</t>
  </si>
  <si>
    <t>SAAWA YA QUEEN</t>
  </si>
  <si>
    <t>Central</t>
  </si>
  <si>
    <t>Zai plaza</t>
  </si>
  <si>
    <t>Old taxi park</t>
  </si>
  <si>
    <t>TAXI PARK</t>
  </si>
  <si>
    <t>PARK</t>
  </si>
  <si>
    <t>Old Park</t>
  </si>
  <si>
    <t>OLDPARK</t>
  </si>
  <si>
    <t>Kikuubo</t>
  </si>
  <si>
    <t>BUS PARK</t>
  </si>
  <si>
    <t>ARUA PARK</t>
  </si>
  <si>
    <t>Commercial plaza</t>
  </si>
  <si>
    <t>William street</t>
  </si>
  <si>
    <t>Africana</t>
  </si>
  <si>
    <t>City parents</t>
  </si>
  <si>
    <t>Mega supermarket</t>
  </si>
  <si>
    <t>Sir Apollo</t>
  </si>
  <si>
    <t>City square</t>
  </si>
  <si>
    <t>Bank of Baroda</t>
  </si>
  <si>
    <t>Kafumbe road</t>
  </si>
  <si>
    <t xml:space="preserve">Speke road </t>
  </si>
  <si>
    <t>Nassa</t>
  </si>
  <si>
    <t>Nasser</t>
  </si>
  <si>
    <t>La bonita</t>
  </si>
  <si>
    <t>Magistrate court</t>
  </si>
  <si>
    <t>Jinja road</t>
  </si>
  <si>
    <t>Newpark</t>
  </si>
  <si>
    <t>New taxi park</t>
  </si>
  <si>
    <t>NEWTAXI PARK</t>
  </si>
  <si>
    <t>Mini price</t>
  </si>
  <si>
    <t>KALENDA</t>
  </si>
  <si>
    <t>GABBA</t>
  </si>
  <si>
    <t>Gaba</t>
  </si>
  <si>
    <t>Munyonyo</t>
  </si>
  <si>
    <t>Busaabala</t>
  </si>
  <si>
    <t>Busabaala</t>
  </si>
  <si>
    <t>BUSABALA</t>
  </si>
  <si>
    <t>Gangu</t>
  </si>
  <si>
    <t>Kazi</t>
  </si>
  <si>
    <t>Ggaba</t>
  </si>
  <si>
    <t xml:space="preserve">Bunga  </t>
  </si>
  <si>
    <t>BUNGA</t>
  </si>
  <si>
    <t>Kiruddu</t>
  </si>
  <si>
    <t>Kirundu</t>
  </si>
  <si>
    <t>Kirudu</t>
  </si>
  <si>
    <t>KONGE</t>
  </si>
  <si>
    <t>KAWUKU</t>
  </si>
  <si>
    <t>MAKINDYE</t>
  </si>
  <si>
    <t>Industrial Area</t>
  </si>
  <si>
    <t>Mukwano</t>
  </si>
  <si>
    <t>NEW VISION</t>
  </si>
  <si>
    <t>Itek</t>
  </si>
  <si>
    <t>Kabalagala</t>
  </si>
  <si>
    <t>MUYEGA</t>
  </si>
  <si>
    <t>Muyenga</t>
  </si>
  <si>
    <t xml:space="preserve">MUYENGA </t>
  </si>
  <si>
    <t>Kabowa</t>
  </si>
  <si>
    <t>OLX</t>
  </si>
  <si>
    <t>Wankulukuku</t>
  </si>
  <si>
    <t>Kagugube</t>
  </si>
  <si>
    <t>Kamwokya</t>
  </si>
  <si>
    <t>ACACIA</t>
  </si>
  <si>
    <t>JAVA HOUSE</t>
  </si>
  <si>
    <t>KISEMENTI</t>
  </si>
  <si>
    <t>Kansanga</t>
  </si>
  <si>
    <t>Kanyanya</t>
  </si>
  <si>
    <t>Kasubi</t>
  </si>
  <si>
    <t>NAMUNGONA</t>
  </si>
  <si>
    <t>NAMUNGOONA</t>
  </si>
  <si>
    <t>Katwe</t>
  </si>
  <si>
    <t>KABUSU</t>
  </si>
  <si>
    <t>MBOGGO</t>
  </si>
  <si>
    <t>NAMERE</t>
  </si>
  <si>
    <t>MAGANJO</t>
  </si>
  <si>
    <t>Kawempe</t>
  </si>
  <si>
    <t>KUMBUZI</t>
  </si>
  <si>
    <t>Kazo Angola</t>
  </si>
  <si>
    <t>KAWAALA</t>
  </si>
  <si>
    <t>GREEN HILL</t>
  </si>
  <si>
    <t>Kibuli</t>
  </si>
  <si>
    <t xml:space="preserve">KIBUYE </t>
  </si>
  <si>
    <t>Kibuye</t>
  </si>
  <si>
    <t>KOBIL</t>
  </si>
  <si>
    <t>Kikaaya</t>
  </si>
  <si>
    <t xml:space="preserve">Kisenyi </t>
  </si>
  <si>
    <t>KAFUMBE</t>
  </si>
  <si>
    <t xml:space="preserve">OWINO </t>
  </si>
  <si>
    <t>OWINO</t>
  </si>
  <si>
    <t>OWINO MARKET</t>
  </si>
  <si>
    <t>Kisugu</t>
  </si>
  <si>
    <t>NAMUWONGO</t>
  </si>
  <si>
    <t>MULWANA</t>
  </si>
  <si>
    <t>Kiswa</t>
  </si>
  <si>
    <t>Kiwatule</t>
  </si>
  <si>
    <t>KIGOOWA</t>
  </si>
  <si>
    <t>KINYARWANDA</t>
  </si>
  <si>
    <t>NAALYA</t>
  </si>
  <si>
    <t>GARDEN CITY</t>
  </si>
  <si>
    <t>Kololo</t>
  </si>
  <si>
    <t>UNICARLO HOUSE</t>
  </si>
  <si>
    <t>ARCHER ROAD</t>
  </si>
  <si>
    <t>Speke Apartments</t>
  </si>
  <si>
    <t>KYADONDO</t>
  </si>
  <si>
    <t>KATI KATI</t>
  </si>
  <si>
    <t>Isbat University</t>
  </si>
  <si>
    <t>MTN ARENA</t>
  </si>
  <si>
    <t>KFC</t>
  </si>
  <si>
    <t>LUGOGO</t>
  </si>
  <si>
    <t>ORYX</t>
  </si>
  <si>
    <t>UMI</t>
  </si>
  <si>
    <t>LUGOGO BYPASS</t>
  </si>
  <si>
    <t>LEGENDS</t>
  </si>
  <si>
    <t>GAME</t>
  </si>
  <si>
    <t>CRICKECT OVAL</t>
  </si>
  <si>
    <t>UMA</t>
  </si>
  <si>
    <t>FOREST MALL</t>
  </si>
  <si>
    <t>MUSAAZI</t>
  </si>
  <si>
    <t>Komamboga</t>
  </si>
  <si>
    <t>Kyambogo</t>
  </si>
  <si>
    <t>KISAASI</t>
  </si>
  <si>
    <t>KIKAYA</t>
  </si>
  <si>
    <t>KISASI</t>
  </si>
  <si>
    <t>KULAMBIRO</t>
  </si>
  <si>
    <t>Kyanja</t>
  </si>
  <si>
    <t>Kyebando</t>
  </si>
  <si>
    <t>KALWERE</t>
  </si>
  <si>
    <t>Kalerwe</t>
  </si>
  <si>
    <t>LUGALA</t>
  </si>
  <si>
    <t>GOOD SHADE</t>
  </si>
  <si>
    <t>Lubaga</t>
  </si>
  <si>
    <t>PALACE</t>
  </si>
  <si>
    <t>Bulega</t>
  </si>
  <si>
    <t>NTAKE</t>
  </si>
  <si>
    <t>LUBAGA ROAD</t>
  </si>
  <si>
    <t>KALEMA ROAD</t>
  </si>
  <si>
    <t>NDEEBA</t>
  </si>
  <si>
    <t>MUDEMBA</t>
  </si>
  <si>
    <t>Rubaga</t>
  </si>
  <si>
    <t>MASANAFU</t>
  </si>
  <si>
    <t>KIGOOMA</t>
  </si>
  <si>
    <t>WAKALIGA</t>
  </si>
  <si>
    <t>NALUKOLONGO</t>
  </si>
  <si>
    <t>SEMBULE</t>
  </si>
  <si>
    <t>Lukuli</t>
  </si>
  <si>
    <t>LUNGUJA</t>
  </si>
  <si>
    <t>COSOVO</t>
  </si>
  <si>
    <t>Lungujja</t>
  </si>
  <si>
    <t>LOYD MAYOR VILLAGE</t>
  </si>
  <si>
    <t>LUBIRI</t>
  </si>
  <si>
    <t>Luwafu</t>
  </si>
  <si>
    <t>Lyati stage</t>
  </si>
  <si>
    <t>Lwasa stage</t>
  </si>
  <si>
    <t>LUWASA</t>
  </si>
  <si>
    <t>Kulwasa</t>
  </si>
  <si>
    <t>Katuba stage</t>
  </si>
  <si>
    <t>UG RAILWAYS</t>
  </si>
  <si>
    <t>Luzira</t>
  </si>
  <si>
    <t>Luzira Portbell</t>
  </si>
  <si>
    <t>Luzira Prisons</t>
  </si>
  <si>
    <t>BUGEMA</t>
  </si>
  <si>
    <t>Makerere</t>
  </si>
  <si>
    <t>MAKERERE COLLEGE</t>
  </si>
  <si>
    <t>Makerere University</t>
  </si>
  <si>
    <t>FEMA</t>
  </si>
  <si>
    <t>KIKONI</t>
  </si>
  <si>
    <t>BIIRA</t>
  </si>
  <si>
    <t>MWENDA-BIIRA</t>
  </si>
  <si>
    <t>SIR APOLO</t>
  </si>
  <si>
    <t>Makindye</t>
  </si>
  <si>
    <t xml:space="preserve">MBUYA </t>
  </si>
  <si>
    <t>NABUNYA</t>
  </si>
  <si>
    <t>SEKABAKA ROAD</t>
  </si>
  <si>
    <t>SSEKABAKA</t>
  </si>
  <si>
    <t>Mengo</t>
  </si>
  <si>
    <t>NABULAGALA MENGO</t>
  </si>
  <si>
    <t>KITEZI</t>
  </si>
  <si>
    <t>LUSANJA</t>
  </si>
  <si>
    <t>Mpererwe</t>
  </si>
  <si>
    <t>Mulago</t>
  </si>
  <si>
    <t>Mawanda</t>
  </si>
  <si>
    <t>Mawanda Rd</t>
  </si>
  <si>
    <t>KITANTE</t>
  </si>
  <si>
    <t>Mutundwe</t>
  </si>
  <si>
    <t>KITEBI</t>
  </si>
  <si>
    <t>KISIGULA</t>
  </si>
  <si>
    <t>NALUMUNYE</t>
  </si>
  <si>
    <t>NALUMUYE</t>
  </si>
  <si>
    <t>MUTUNDO</t>
  </si>
  <si>
    <t>Nyanama</t>
  </si>
  <si>
    <t>Mutungo</t>
  </si>
  <si>
    <t>Kigowa</t>
  </si>
  <si>
    <t>BIINA</t>
  </si>
  <si>
    <t>Nabisunsa</t>
  </si>
  <si>
    <t>Naguru</t>
  </si>
  <si>
    <t>Najjanankumbi</t>
  </si>
  <si>
    <t>NAJJANAKUMBI</t>
  </si>
  <si>
    <t>STELLA</t>
  </si>
  <si>
    <t>Freedom city</t>
  </si>
  <si>
    <t>Zana</t>
  </si>
  <si>
    <t>ZAANA</t>
  </si>
  <si>
    <t>SERENA</t>
  </si>
  <si>
    <t>Nakasero</t>
  </si>
  <si>
    <t>TURKISH EMBASSY</t>
  </si>
  <si>
    <t>Hotel Africana</t>
  </si>
  <si>
    <t>National theatre</t>
  </si>
  <si>
    <t>SUPREME COURT</t>
  </si>
  <si>
    <t>NAKASERO MARKET</t>
  </si>
  <si>
    <t>PARLIAMENT</t>
  </si>
  <si>
    <t>PARLIAMENT AVENUE</t>
  </si>
  <si>
    <t>PALIAMENT AVE</t>
  </si>
  <si>
    <t>KAMPALA ROAD</t>
  </si>
  <si>
    <t>Nakawa</t>
  </si>
  <si>
    <t>UBER HOUSE</t>
  </si>
  <si>
    <t>BOND NAKAWA</t>
  </si>
  <si>
    <t>Nakawa Institute</t>
  </si>
  <si>
    <t>Nakivubo Shauriyaako</t>
  </si>
  <si>
    <t>NAKIVUBO</t>
  </si>
  <si>
    <t>KISEKA</t>
  </si>
  <si>
    <t>WILIAM STREET</t>
  </si>
  <si>
    <t>NAMAVE</t>
  </si>
  <si>
    <t>NAMANVE</t>
  </si>
  <si>
    <t xml:space="preserve">KAYIWA STAGE </t>
  </si>
  <si>
    <t>Namirembe</t>
  </si>
  <si>
    <t>NAMIREMBE ROAD</t>
  </si>
  <si>
    <t>BILALI</t>
  </si>
  <si>
    <t>bakuli</t>
  </si>
  <si>
    <t>Nankulabye</t>
  </si>
  <si>
    <t>NAKULABYE</t>
  </si>
  <si>
    <t>Nateete</t>
  </si>
  <si>
    <t>NATEETE PARKING</t>
  </si>
  <si>
    <t>Natete</t>
  </si>
  <si>
    <t>Ndeeba</t>
  </si>
  <si>
    <t>Ndeba</t>
  </si>
  <si>
    <t>Nsambya</t>
  </si>
  <si>
    <t>Kinkizi Traders</t>
  </si>
  <si>
    <t>VILLA PARK</t>
  </si>
  <si>
    <t>Nsabya</t>
  </si>
  <si>
    <t>Nsambya Police Barracks</t>
  </si>
  <si>
    <t>Nsambya Railway</t>
  </si>
  <si>
    <t>Ntinda</t>
  </si>
  <si>
    <t>MTINDA</t>
  </si>
  <si>
    <t>Old Kampala</t>
  </si>
  <si>
    <t>MUKWANO MALL</t>
  </si>
  <si>
    <t>OLD KAKPALA</t>
  </si>
  <si>
    <t>KIBIRI</t>
  </si>
  <si>
    <t>Salaama</t>
  </si>
  <si>
    <t>Salama</t>
  </si>
  <si>
    <t>SALAMA ROAD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</si>
  <si>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</si>
  <si>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</si>
  <si>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</si>
  <si>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</si>
  <si>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</si>
  <si>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</si>
  <si>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</si>
  <si>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</si>
  <si>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BUGANDA ROAD</t>
  </si>
  <si>
    <t>Ham towers</t>
  </si>
  <si>
    <t>WANDEGEYA</t>
  </si>
  <si>
    <t>LUMUMBA</t>
  </si>
  <si>
    <t>Wandegeya</t>
  </si>
  <si>
    <t>Kamuli</t>
  </si>
  <si>
    <t>Bugabula</t>
  </si>
  <si>
    <t>Balawoli</t>
  </si>
  <si>
    <t>Buzaaya</t>
  </si>
  <si>
    <t>Bugulumbya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</si>
  <si>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</si>
  <si>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</si>
  <si>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</si>
  <si>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</si>
  <si>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</si>
  <si>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</si>
  <si>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</si>
  <si>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</si>
  <si>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</si>
  <si>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</si>
  <si>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</si>
  <si>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</si>
  <si>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</si>
  <si>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Kitagwenda</t>
  </si>
  <si>
    <t>Buhanda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</si>
  <si>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</si>
  <si>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</si>
  <si>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</si>
  <si>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</si>
  <si>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</si>
  <si>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</si>
  <si>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</si>
  <si>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</si>
  <si>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</si>
  <si>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</si>
  <si>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</si>
  <si>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</si>
  <si>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Kanungu</t>
  </si>
  <si>
    <t>Kinkiizi</t>
  </si>
  <si>
    <t>Butogota Town Council</t>
  </si>
  <si>
    <t>Kambuga</t>
  </si>
  <si>
    <t>Kambuga Town Council</t>
  </si>
  <si>
    <t>BWINDI</t>
  </si>
  <si>
    <t>BWINDI AND LAKE MBURO</t>
  </si>
  <si>
    <t>LAKE MBURO NATIONAL PARK</t>
  </si>
  <si>
    <t>BWINDI GAME PARK</t>
  </si>
  <si>
    <t>KANUNGU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</si>
  <si>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</si>
  <si>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</si>
  <si>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</si>
  <si>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</si>
  <si>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</si>
  <si>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</si>
  <si>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</si>
  <si>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</si>
  <si>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</si>
  <si>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</si>
  <si>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</si>
  <si>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</si>
  <si>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</si>
  <si>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</si>
  <si>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Kapchorwa</t>
  </si>
  <si>
    <t>Tingey</t>
  </si>
  <si>
    <t>Amukol</t>
  </si>
  <si>
    <t>Chema</t>
  </si>
  <si>
    <t>Chepterech</t>
  </si>
  <si>
    <t>Gamogo</t>
  </si>
  <si>
    <t>Kabeywa</t>
  </si>
  <si>
    <t>KAMU-NURUKUT</t>
  </si>
  <si>
    <t>Kapchorwa Municipality</t>
  </si>
  <si>
    <t>KAPCHORWA</t>
  </si>
  <si>
    <t>Kapsinda</t>
  </si>
  <si>
    <t>Kaptanya</t>
  </si>
  <si>
    <t>Kaserem</t>
  </si>
  <si>
    <t>Kawowo</t>
  </si>
  <si>
    <t>Munarya</t>
  </si>
  <si>
    <t>Sipi</t>
  </si>
  <si>
    <t>Busongora</t>
  </si>
  <si>
    <t>Bugoye</t>
  </si>
  <si>
    <t>Buhuhira</t>
  </si>
  <si>
    <t>Bwesumbu</t>
  </si>
  <si>
    <t>HIMA</t>
  </si>
  <si>
    <t>Hima Town Council</t>
  </si>
  <si>
    <t>Ihandiro</t>
  </si>
  <si>
    <t>Isango</t>
  </si>
  <si>
    <t>Karambi-Kasese</t>
  </si>
  <si>
    <t>Karusandara</t>
  </si>
  <si>
    <t>AIRFIELD</t>
  </si>
  <si>
    <t>KASESE</t>
  </si>
  <si>
    <t>Kasese Municipality</t>
  </si>
  <si>
    <t>KASESE TOWN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</si>
  <si>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</si>
  <si>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</si>
  <si>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</si>
  <si>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</si>
  <si>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</si>
  <si>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</si>
  <si>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</si>
  <si>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</si>
  <si>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</si>
  <si>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</si>
  <si>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</si>
  <si>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</si>
  <si>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</si>
  <si>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</si>
  <si>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</si>
  <si>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</si>
  <si>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</si>
  <si>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</si>
  <si>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Katakwi</t>
  </si>
  <si>
    <t>Toroma</t>
  </si>
  <si>
    <t>Kapujan</t>
  </si>
  <si>
    <t>Usuk</t>
  </si>
  <si>
    <t>Katakwi Town Council</t>
  </si>
  <si>
    <t>Magoro</t>
  </si>
  <si>
    <t>Ngariam</t>
  </si>
  <si>
    <t>Omodoi</t>
  </si>
  <si>
    <t>Ongongoja</t>
  </si>
  <si>
    <t>Palam</t>
  </si>
  <si>
    <t>Kayunga</t>
  </si>
  <si>
    <t>Bbaale</t>
  </si>
  <si>
    <t>Ntenjeru</t>
  </si>
  <si>
    <t>Busaana</t>
  </si>
  <si>
    <t>Galiraya</t>
  </si>
  <si>
    <t>Kangulumira</t>
  </si>
  <si>
    <t>Kayonza-Kayunga</t>
  </si>
  <si>
    <t>Kayunga Town Council</t>
  </si>
  <si>
    <t>Kitimbwa</t>
  </si>
  <si>
    <t>Nazigo</t>
  </si>
  <si>
    <t>Kibaale</t>
  </si>
  <si>
    <t>Buyanja</t>
  </si>
  <si>
    <t>Bubango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</si>
  <si>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</si>
  <si>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</si>
  <si>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</si>
  <si>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</si>
  <si>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</si>
  <si>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</si>
  <si>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</si>
  <si>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</si>
  <si>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Kiboga</t>
  </si>
  <si>
    <t>Bukomero</t>
  </si>
  <si>
    <t>KYENDA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</si>
  <si>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</si>
  <si>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</si>
  <si>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</si>
  <si>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</si>
  <si>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</si>
  <si>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</si>
  <si>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</si>
  <si>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Kibuku</t>
  </si>
  <si>
    <t>Bulangira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</si>
  <si>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</si>
  <si>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</si>
  <si>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</si>
  <si>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</si>
  <si>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</si>
  <si>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</si>
  <si>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</si>
  <si>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</si>
  <si>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Kiruhura</t>
  </si>
  <si>
    <t>Kazo</t>
  </si>
  <si>
    <t>Buremba</t>
  </si>
  <si>
    <t>Burunga</t>
  </si>
  <si>
    <t>Engari</t>
  </si>
  <si>
    <t>Kanoni</t>
  </si>
  <si>
    <t>Nyabushozi</t>
  </si>
  <si>
    <t>Kanyaryeru</t>
  </si>
  <si>
    <t>Kashongi</t>
  </si>
  <si>
    <t>RUSHERE</t>
  </si>
  <si>
    <t>KIRUHURA TOWN</t>
  </si>
  <si>
    <t>Kazo Town Council</t>
  </si>
  <si>
    <t>Kenshunga</t>
  </si>
  <si>
    <t>Kikaatsi</t>
  </si>
  <si>
    <t>Kinoni-Kiruhura</t>
  </si>
  <si>
    <t>Kiruhura Town Council</t>
  </si>
  <si>
    <t>KIRUHURA</t>
  </si>
  <si>
    <t>Kitura</t>
  </si>
  <si>
    <t>Nkungu</t>
  </si>
  <si>
    <t>Nyakashashara</t>
  </si>
  <si>
    <t>Rwemikoma</t>
  </si>
  <si>
    <t>Sanga</t>
  </si>
  <si>
    <t>Sanga Town Council</t>
  </si>
  <si>
    <t>Kiryandongo</t>
  </si>
  <si>
    <t>Kibanda</t>
  </si>
  <si>
    <t>Bweyale Town Council</t>
  </si>
  <si>
    <t>Kigumba</t>
  </si>
  <si>
    <t>Karuma</t>
  </si>
  <si>
    <t>Kigumba Town Council</t>
  </si>
  <si>
    <t>Kiryandongo Refugee Camp</t>
  </si>
  <si>
    <t>Kiryandongo Town Council</t>
  </si>
  <si>
    <t>Masindi Port</t>
  </si>
  <si>
    <t>Mutunda</t>
  </si>
  <si>
    <t>Kisoro</t>
  </si>
  <si>
    <t>Bufumbira</t>
  </si>
  <si>
    <t>Bukimbiri</t>
  </si>
  <si>
    <t>Busanza</t>
  </si>
  <si>
    <t>Chahi</t>
  </si>
  <si>
    <t>Kanaba</t>
  </si>
  <si>
    <t>Kirundo</t>
  </si>
  <si>
    <t>KISORO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</si>
  <si>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</si>
  <si>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</si>
  <si>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</si>
  <si>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</si>
  <si>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</si>
  <si>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</si>
  <si>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</si>
  <si>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</si>
  <si>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</si>
  <si>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</si>
  <si>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</t>
  </si>
  <si>
    <t>Chua</t>
  </si>
  <si>
    <t>Kitgum Matidi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</si>
  <si>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</si>
  <si>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</si>
  <si>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</si>
  <si>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</si>
  <si>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</si>
  <si>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</si>
  <si>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</si>
  <si>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</si>
  <si>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</si>
  <si>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Koboko</t>
  </si>
  <si>
    <t>Abuku</t>
  </si>
  <si>
    <t>Dranya</t>
  </si>
  <si>
    <t>Koboko Municipality</t>
  </si>
  <si>
    <t>Nyarilo</t>
  </si>
  <si>
    <t>Nyarilo Sec</t>
  </si>
  <si>
    <t>Half London</t>
  </si>
  <si>
    <t>Kuluba</t>
  </si>
  <si>
    <t>Lobule</t>
  </si>
  <si>
    <t>Lobijo</t>
  </si>
  <si>
    <t>Gborokolongo</t>
  </si>
  <si>
    <t>Kuniro</t>
  </si>
  <si>
    <t>Nyai</t>
  </si>
  <si>
    <t>Ludara</t>
  </si>
  <si>
    <t>Aringili</t>
  </si>
  <si>
    <t>Bamure</t>
  </si>
  <si>
    <t>Midia</t>
  </si>
  <si>
    <t>Kole</t>
  </si>
  <si>
    <t>Aboke</t>
  </si>
  <si>
    <t>Akalo</t>
  </si>
  <si>
    <t>Alito</t>
  </si>
  <si>
    <t>Ayer</t>
  </si>
  <si>
    <t>Bala</t>
  </si>
  <si>
    <t>Kole Town Council</t>
  </si>
  <si>
    <t>Okwerodot</t>
  </si>
  <si>
    <t>Kotido</t>
  </si>
  <si>
    <t>Jie</t>
  </si>
  <si>
    <t>Kacheri</t>
  </si>
  <si>
    <t>Kotido Municipality</t>
  </si>
  <si>
    <t>Nakapelimoru</t>
  </si>
  <si>
    <t>Panyangara</t>
  </si>
  <si>
    <t>Rengen</t>
  </si>
  <si>
    <t>Kumi</t>
  </si>
  <si>
    <t>Atutur</t>
  </si>
  <si>
    <t>Kanyum</t>
  </si>
  <si>
    <t>Kumi Municipality</t>
  </si>
  <si>
    <t>Mukongoro</t>
  </si>
  <si>
    <t>Nyero</t>
  </si>
  <si>
    <t>Ongino</t>
  </si>
  <si>
    <t>Kween</t>
  </si>
  <si>
    <t>Benet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</si>
  <si>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</si>
  <si>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</si>
  <si>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</si>
  <si>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</si>
  <si>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</si>
  <si>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</si>
  <si>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</si>
  <si>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</si>
  <si>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</si>
  <si>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</si>
  <si>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</si>
  <si>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Kyankwanzi</t>
  </si>
  <si>
    <t>Bananywa</t>
  </si>
  <si>
    <t>KIKOOMA</t>
  </si>
  <si>
    <t>Butemba</t>
  </si>
  <si>
    <t>Butemba Town Council</t>
  </si>
  <si>
    <t>Byerima</t>
  </si>
  <si>
    <t>KITETIKA</t>
  </si>
  <si>
    <t>Gayaza</t>
  </si>
  <si>
    <t>Kyankwanzi Town Council</t>
  </si>
  <si>
    <t>Mulagi</t>
  </si>
  <si>
    <t>Nkandwa</t>
  </si>
  <si>
    <t>Ntwetwe</t>
  </si>
  <si>
    <t>Ntwetwe Town Council</t>
  </si>
  <si>
    <t>Wattuba</t>
  </si>
  <si>
    <t>Kyegegwa</t>
  </si>
  <si>
    <t>Kyaka</t>
  </si>
  <si>
    <t>Hapuuyo</t>
  </si>
  <si>
    <t>Kabweza Kyegegwa</t>
  </si>
  <si>
    <t>Kakabara</t>
  </si>
  <si>
    <t>Kasule</t>
  </si>
  <si>
    <t>Kyaka Ii Refugee Camp</t>
  </si>
  <si>
    <t>KYEGEGWA</t>
  </si>
  <si>
    <t>Kyegegwa Town Council</t>
  </si>
  <si>
    <t>Mukiganda</t>
  </si>
  <si>
    <t>Mpala</t>
  </si>
  <si>
    <t>Ruyonza</t>
  </si>
  <si>
    <t>Rwentuha</t>
  </si>
  <si>
    <t>Kyenjojo</t>
  </si>
  <si>
    <t>Mwenge</t>
  </si>
  <si>
    <t>Bufunjo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</si>
  <si>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</si>
  <si>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</si>
  <si>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</si>
  <si>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</si>
  <si>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</si>
  <si>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</si>
  <si>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</si>
  <si>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</si>
  <si>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</si>
  <si>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</si>
  <si>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</si>
  <si>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</si>
  <si>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</si>
  <si>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</si>
  <si>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</si>
  <si>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Kyotera</t>
  </si>
  <si>
    <t>Kabira</t>
  </si>
  <si>
    <t>DDIMO</t>
  </si>
  <si>
    <t>KAMUZINDA</t>
  </si>
  <si>
    <t>BOTEERA</t>
  </si>
  <si>
    <t>BUGAAJU</t>
  </si>
  <si>
    <t>KYALURANGIRA</t>
  </si>
  <si>
    <t>KABILA</t>
  </si>
  <si>
    <t>MUSAMBYA</t>
  </si>
  <si>
    <t>LWAMPONI</t>
  </si>
  <si>
    <t>LWAGULWE</t>
  </si>
  <si>
    <t>GGULAMA</t>
  </si>
  <si>
    <t>KYANAMUKAKA</t>
  </si>
  <si>
    <t>KALIVALIYO</t>
  </si>
  <si>
    <t>BISANJE</t>
  </si>
  <si>
    <t>KYANJALE</t>
  </si>
  <si>
    <t>BUTAAYA</t>
  </si>
  <si>
    <t>BUKUNDA</t>
  </si>
  <si>
    <t>KIRIMYA</t>
  </si>
  <si>
    <t>KASENSERO</t>
  </si>
  <si>
    <t>Kalisizo</t>
  </si>
  <si>
    <t>KABUWOKO</t>
  </si>
  <si>
    <t>Kalisizo Town Council</t>
  </si>
  <si>
    <t>Kasasa</t>
  </si>
  <si>
    <t>Kirumba</t>
  </si>
  <si>
    <t>Kyebe</t>
  </si>
  <si>
    <t>Kooki</t>
  </si>
  <si>
    <t>KYOTERA</t>
  </si>
  <si>
    <t>Kyotera Town Council</t>
  </si>
  <si>
    <t>Lwankoni</t>
  </si>
  <si>
    <t>Nabigasa</t>
  </si>
  <si>
    <t>Agoro</t>
  </si>
  <si>
    <t>Lamwo Town Council</t>
  </si>
  <si>
    <t>Lokung</t>
  </si>
  <si>
    <t>Madi Opei</t>
  </si>
  <si>
    <t>Lamwo</t>
  </si>
  <si>
    <t>Padibe</t>
  </si>
  <si>
    <t>Paloga</t>
  </si>
  <si>
    <t>Adekokwok</t>
  </si>
  <si>
    <t>Agali</t>
  </si>
  <si>
    <t>Agweng</t>
  </si>
  <si>
    <t>Amach</t>
  </si>
  <si>
    <t>Lira</t>
  </si>
  <si>
    <t>Erute</t>
  </si>
  <si>
    <t>Aromo</t>
  </si>
  <si>
    <t>Barr</t>
  </si>
  <si>
    <t>Lira Municipality</t>
  </si>
  <si>
    <t>Ngetta</t>
  </si>
  <si>
    <t>Ogur</t>
  </si>
  <si>
    <t>Bukooma</t>
  </si>
  <si>
    <t>Bulongo</t>
  </si>
  <si>
    <t>Ikumbya</t>
  </si>
  <si>
    <t>Luuka</t>
  </si>
  <si>
    <t>Irongo</t>
  </si>
  <si>
    <t>Luuka Town Council</t>
  </si>
  <si>
    <t>Nawampiti</t>
  </si>
  <si>
    <t>Waibuga</t>
  </si>
  <si>
    <t>Bamunanika</t>
  </si>
  <si>
    <t>Bombo</t>
  </si>
  <si>
    <t>Bombo Town Council</t>
  </si>
  <si>
    <t>Butuntumula</t>
  </si>
  <si>
    <t>Luwero</t>
  </si>
  <si>
    <t>BUSIIKA</t>
  </si>
  <si>
    <t>Kalagala</t>
  </si>
  <si>
    <t xml:space="preserve">KINONI </t>
  </si>
  <si>
    <t>Katikamu</t>
  </si>
  <si>
    <t>Kamira</t>
  </si>
  <si>
    <t>Kikyusa</t>
  </si>
  <si>
    <t>KASANA</t>
  </si>
  <si>
    <t>LUWERO TOWN</t>
  </si>
  <si>
    <t>Luwero Town Council</t>
  </si>
  <si>
    <t>Makulubita</t>
  </si>
  <si>
    <t>LUWELO TOWN</t>
  </si>
  <si>
    <t>Nyimbwa</t>
  </si>
  <si>
    <t>WOBULENZI</t>
  </si>
  <si>
    <t>Wobulenzi Town Council</t>
  </si>
  <si>
    <t>Zirobwe</t>
  </si>
  <si>
    <t>BISANJALA</t>
  </si>
  <si>
    <t>Kisekka</t>
  </si>
  <si>
    <t>NAKATETE</t>
  </si>
  <si>
    <t>Kkingo</t>
  </si>
  <si>
    <t>Kyazanga</t>
  </si>
  <si>
    <t>Kyazanga Town Council</t>
  </si>
  <si>
    <t>Lwengo</t>
  </si>
  <si>
    <t>KIWANGALA</t>
  </si>
  <si>
    <t>KASWA</t>
  </si>
  <si>
    <t>NKONI</t>
  </si>
  <si>
    <t>MUSUBIRO</t>
  </si>
  <si>
    <t>KABALUNGI</t>
  </si>
  <si>
    <t>DONGWA</t>
  </si>
  <si>
    <t>KYAWAGONYA</t>
  </si>
  <si>
    <t>KYETUME</t>
  </si>
  <si>
    <t>MBIRIZI</t>
  </si>
  <si>
    <t>KYABAGONYA</t>
  </si>
  <si>
    <t>Lwengo Town Council</t>
  </si>
  <si>
    <t>KAGANDA</t>
  </si>
  <si>
    <t>KYETEREKERA</t>
  </si>
  <si>
    <t>KILAYANGOMA</t>
  </si>
  <si>
    <t>KATOVU</t>
  </si>
  <si>
    <t>Malongo-Lwengo</t>
  </si>
  <si>
    <t>Ndagwe</t>
  </si>
  <si>
    <t>Kaliiro</t>
  </si>
  <si>
    <t>Kasagama</t>
  </si>
  <si>
    <t>Kinuuka</t>
  </si>
  <si>
    <t>Lyantonde</t>
  </si>
  <si>
    <t>Kabula</t>
  </si>
  <si>
    <t>Lyantonde Town Council</t>
  </si>
  <si>
    <t>LYANTONDE TOWN</t>
  </si>
  <si>
    <t>Mpumudde-Lyantonde</t>
  </si>
  <si>
    <t>Bugobero</t>
  </si>
  <si>
    <t>Bukhofu</t>
  </si>
  <si>
    <t>Bukusu</t>
  </si>
  <si>
    <t>Bunabwana</t>
  </si>
  <si>
    <t>Manafwa</t>
  </si>
  <si>
    <t>Bubulo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</si>
  <si>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</si>
  <si>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</si>
  <si>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</si>
  <si>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</si>
  <si>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</si>
  <si>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</si>
  <si>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</si>
  <si>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</si>
  <si>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</si>
  <si>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</si>
  <si>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</si>
  <si>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</si>
  <si>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</si>
  <si>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</si>
  <si>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 Town Council</t>
  </si>
  <si>
    <t>Nyadri</t>
  </si>
  <si>
    <t>Oleba</t>
  </si>
  <si>
    <t>Maracha</t>
  </si>
  <si>
    <t>Oluffe</t>
  </si>
  <si>
    <t>Oluvu</t>
  </si>
  <si>
    <t>Tara</t>
  </si>
  <si>
    <t>Yivu</t>
  </si>
  <si>
    <t>Bukakata</t>
  </si>
  <si>
    <t>BUYINDO</t>
  </si>
  <si>
    <t>Buwunga-Masaka</t>
  </si>
  <si>
    <t>Kabonera</t>
  </si>
  <si>
    <t>KITANGA</t>
  </si>
  <si>
    <t>KASANGO</t>
  </si>
  <si>
    <t>KYABADAAZA</t>
  </si>
  <si>
    <t>Kyanamukaaka</t>
  </si>
  <si>
    <t>Kyesiiga</t>
  </si>
  <si>
    <t>LWEELA</t>
  </si>
  <si>
    <t>LWERA</t>
  </si>
  <si>
    <t>KIMANYA</t>
  </si>
  <si>
    <t>VILLA</t>
  </si>
  <si>
    <t>KYAMUYIMBWA</t>
  </si>
  <si>
    <t>MASAKA</t>
  </si>
  <si>
    <t>Masaka Municipality</t>
  </si>
  <si>
    <t>KASAJAGIRWA</t>
  </si>
  <si>
    <t>MASAKA TOWN</t>
  </si>
  <si>
    <t>NAKAYIBA</t>
  </si>
  <si>
    <t>GULAMA</t>
  </si>
  <si>
    <t>NAMBYA</t>
  </si>
  <si>
    <t>KAGEZI</t>
  </si>
  <si>
    <t>BUSENSE</t>
  </si>
  <si>
    <t>KYANJAALI</t>
  </si>
  <si>
    <t>KITENGESA</t>
  </si>
  <si>
    <t>SSAZA</t>
  </si>
  <si>
    <t>KYABAKUZA</t>
  </si>
  <si>
    <t>KIJJABWEMI</t>
  </si>
  <si>
    <t>KASONEERA</t>
  </si>
  <si>
    <t>NABINENE</t>
  </si>
  <si>
    <t>KIGEZI</t>
  </si>
  <si>
    <t>MALEMBO</t>
  </si>
  <si>
    <t>KYESIGA</t>
  </si>
  <si>
    <t>JOWETO</t>
  </si>
  <si>
    <t>MPODWE</t>
  </si>
  <si>
    <t>KYANJALI</t>
  </si>
  <si>
    <t>GRAMMA</t>
  </si>
  <si>
    <t>SAZA</t>
  </si>
  <si>
    <t>KYAJJUBIRA</t>
  </si>
  <si>
    <t>Mukungwe</t>
  </si>
  <si>
    <t>NYENDO</t>
  </si>
  <si>
    <t>Budongo</t>
  </si>
  <si>
    <t>Bwijanga</t>
  </si>
  <si>
    <t>KYAJUBIRA</t>
  </si>
  <si>
    <t>Kimengo</t>
  </si>
  <si>
    <t>Masindi</t>
  </si>
  <si>
    <t>Bujenje</t>
  </si>
  <si>
    <t>Masindi Municipality</t>
  </si>
  <si>
    <t>Miirya</t>
  </si>
  <si>
    <t>Buruli</t>
  </si>
  <si>
    <t>Pakanyi</t>
  </si>
  <si>
    <t>Baitambogwe</t>
  </si>
  <si>
    <t>Bukabooli</t>
  </si>
  <si>
    <t>Bukatube</t>
  </si>
  <si>
    <t>Busakira</t>
  </si>
  <si>
    <t>Mayuge</t>
  </si>
  <si>
    <t>Bunya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</si>
  <si>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</si>
  <si>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</si>
  <si>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</si>
  <si>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</si>
  <si>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</si>
  <si>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</si>
  <si>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</si>
  <si>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</si>
  <si>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</si>
  <si>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</si>
  <si>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</si>
  <si>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Budwale</t>
  </si>
  <si>
    <t>Bufumbo</t>
  </si>
  <si>
    <t>Bukasakya</t>
  </si>
  <si>
    <t>Mbale</t>
  </si>
  <si>
    <t>Bungokho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</si>
  <si>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</si>
  <si>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</si>
  <si>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</si>
  <si>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</si>
  <si>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</si>
  <si>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</si>
  <si>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</si>
  <si>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</si>
  <si>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</si>
  <si>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</si>
  <si>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</si>
  <si>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</si>
  <si>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</si>
  <si>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</si>
  <si>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</si>
  <si>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</si>
  <si>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</si>
  <si>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</si>
  <si>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</si>
  <si>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</si>
  <si>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Bugamba</t>
  </si>
  <si>
    <t>Bukiro</t>
  </si>
  <si>
    <t>Kagongi</t>
  </si>
  <si>
    <t>Mbarara</t>
  </si>
  <si>
    <t>Kashari</t>
  </si>
  <si>
    <t>Kashare</t>
  </si>
  <si>
    <t>Rwampara</t>
  </si>
  <si>
    <t>Mbarara Municipality</t>
  </si>
  <si>
    <t xml:space="preserve">Mbarara   </t>
  </si>
  <si>
    <t>LUTI</t>
  </si>
  <si>
    <t>MBARARA</t>
  </si>
  <si>
    <t>LAKE MBURO</t>
  </si>
  <si>
    <t>KASHARI</t>
  </si>
  <si>
    <t>NTARE</t>
  </si>
  <si>
    <t>RUTI</t>
  </si>
  <si>
    <t>MBARARA TOWN</t>
  </si>
  <si>
    <t>MBULO</t>
  </si>
  <si>
    <t>Mwizi</t>
  </si>
  <si>
    <t>RWAMPARA</t>
  </si>
  <si>
    <t>Ndeija</t>
  </si>
  <si>
    <t>Rubaya-Mbarara</t>
  </si>
  <si>
    <t>RWEBIKONA</t>
  </si>
  <si>
    <t>Rubindi</t>
  </si>
  <si>
    <t>Rugando</t>
  </si>
  <si>
    <t>Rwanyamahembe</t>
  </si>
  <si>
    <t>Bitereko</t>
  </si>
  <si>
    <t>Kanyabwanga</t>
  </si>
  <si>
    <t>Kashenshero</t>
  </si>
  <si>
    <t>Ruhinda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</si>
  <si>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</si>
  <si>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</si>
  <si>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</si>
  <si>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</si>
  <si>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</si>
  <si>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</si>
  <si>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</si>
  <si>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</si>
  <si>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Bulera</t>
  </si>
  <si>
    <t>Busimbi Division</t>
  </si>
  <si>
    <t>BUSUNJU</t>
  </si>
  <si>
    <t>Mityana</t>
  </si>
  <si>
    <t>Busujju</t>
  </si>
  <si>
    <t>Busunju Town Council</t>
  </si>
  <si>
    <t>Butayunja</t>
  </si>
  <si>
    <t>Mityana Municipality</t>
  </si>
  <si>
    <t>Kakindu</t>
  </si>
  <si>
    <t>Kalangaalo</t>
  </si>
  <si>
    <t>Kikandwa</t>
  </si>
  <si>
    <t>BUSUJJU</t>
  </si>
  <si>
    <t>Maanyi</t>
  </si>
  <si>
    <t>KIWAWU</t>
  </si>
  <si>
    <t>Malangala</t>
  </si>
  <si>
    <t>ZIGOTI</t>
  </si>
  <si>
    <t>KYENZA</t>
  </si>
  <si>
    <t>MITYANA TOWN</t>
  </si>
  <si>
    <t xml:space="preserve">Mityana  </t>
  </si>
  <si>
    <t>MITYANA</t>
  </si>
  <si>
    <t>Namungo</t>
  </si>
  <si>
    <t>KIKONGE</t>
  </si>
  <si>
    <t>Ssekanyonyi</t>
  </si>
  <si>
    <t>BUWALULA</t>
  </si>
  <si>
    <t>Katikekile</t>
  </si>
  <si>
    <t>Moroto Municipality</t>
  </si>
  <si>
    <t>Nadunget</t>
  </si>
  <si>
    <t>Matheniko</t>
  </si>
  <si>
    <t>Rupa</t>
  </si>
  <si>
    <t>Tapac</t>
  </si>
  <si>
    <t>Aliba</t>
  </si>
  <si>
    <t>Difule</t>
  </si>
  <si>
    <t>Gimara</t>
  </si>
  <si>
    <t>Obongi</t>
  </si>
  <si>
    <t>Itula</t>
  </si>
  <si>
    <t>Moyo</t>
  </si>
  <si>
    <t>Palorinya</t>
  </si>
  <si>
    <t>Laropi</t>
  </si>
  <si>
    <t>West Moyo</t>
  </si>
  <si>
    <t>Lefori</t>
  </si>
  <si>
    <t>Metu</t>
  </si>
  <si>
    <t>Moyo Town Council</t>
  </si>
  <si>
    <t xml:space="preserve">Moyo </t>
  </si>
  <si>
    <t>BUMWAMA</t>
  </si>
  <si>
    <t>Buwama</t>
  </si>
  <si>
    <t>BUBULE</t>
  </si>
  <si>
    <t xml:space="preserve">KAYABWE </t>
  </si>
  <si>
    <t>MWENDA</t>
  </si>
  <si>
    <t>Mpigi</t>
  </si>
  <si>
    <t>Mawokota</t>
  </si>
  <si>
    <t>KAYABWE</t>
  </si>
  <si>
    <t>KYABWE</t>
  </si>
  <si>
    <t>WUKA</t>
  </si>
  <si>
    <t>Kiringente</t>
  </si>
  <si>
    <t>Kituntu</t>
  </si>
  <si>
    <t>Kasozi</t>
  </si>
  <si>
    <t>KAMENGO</t>
  </si>
  <si>
    <t>MAAYA</t>
  </si>
  <si>
    <t>MAYA</t>
  </si>
  <si>
    <t>MPABBIRE</t>
  </si>
  <si>
    <t>BUYALA</t>
  </si>
  <si>
    <t>BUNGO</t>
  </si>
  <si>
    <t>NAKIREBE</t>
  </si>
  <si>
    <t>MPIGI</t>
  </si>
  <si>
    <t>KYALI</t>
  </si>
  <si>
    <t>NABUSANKE</t>
  </si>
  <si>
    <t>MAWOKOTA</t>
  </si>
  <si>
    <t>MALEGALA</t>
  </si>
  <si>
    <t>MPANGA</t>
  </si>
  <si>
    <t>Mpigi Town Council</t>
  </si>
  <si>
    <t>WATOTO SSUBI</t>
  </si>
  <si>
    <t>MPIGI TOWN</t>
  </si>
  <si>
    <t>BUJJUKO</t>
  </si>
  <si>
    <t>Muduma</t>
  </si>
  <si>
    <t>Muduuma</t>
  </si>
  <si>
    <t>Nkozi</t>
  </si>
  <si>
    <t>NGOMA</t>
  </si>
  <si>
    <t>Bagezza</t>
  </si>
  <si>
    <t>Bukuya</t>
  </si>
  <si>
    <t>Butoloogo</t>
  </si>
  <si>
    <t>Kalwana</t>
  </si>
  <si>
    <t>Mubende</t>
  </si>
  <si>
    <t>Kasambya</t>
  </si>
  <si>
    <t>Kasambya-Mubende</t>
  </si>
  <si>
    <t>Kassanda</t>
  </si>
  <si>
    <t>MUKATOGO</t>
  </si>
  <si>
    <t>Buwekula</t>
  </si>
  <si>
    <t>KASANDA</t>
  </si>
  <si>
    <t>Kibalinga</t>
  </si>
  <si>
    <t>Kiganda</t>
  </si>
  <si>
    <t>LUTUNKU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</si>
  <si>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</si>
  <si>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</si>
  <si>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</si>
  <si>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</si>
  <si>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</si>
  <si>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</si>
  <si>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</si>
  <si>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</si>
  <si>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</si>
  <si>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MUBENDE</t>
  </si>
  <si>
    <t>MUBENDE TOWN</t>
  </si>
  <si>
    <t>Myanzi</t>
  </si>
  <si>
    <t>Nabingoola</t>
  </si>
  <si>
    <t>Kasawo</t>
  </si>
  <si>
    <t>Nakifuma</t>
  </si>
  <si>
    <t>MAYANGAYANGA</t>
  </si>
  <si>
    <t>Kimenyedde</t>
  </si>
  <si>
    <t>Mukono</t>
  </si>
  <si>
    <t>Koome Island</t>
  </si>
  <si>
    <t>Kyampisi</t>
  </si>
  <si>
    <t>Mpatta</t>
  </si>
  <si>
    <t>Mpunge</t>
  </si>
  <si>
    <t>WANTONI</t>
  </si>
  <si>
    <t>Mukono Municipality</t>
  </si>
  <si>
    <t>MUKONO</t>
  </si>
  <si>
    <t>RILY PACKAGING MUKONO</t>
  </si>
  <si>
    <t>SONDE</t>
  </si>
  <si>
    <t>MUKONO TOWN</t>
  </si>
  <si>
    <t xml:space="preserve">MBALALA </t>
  </si>
  <si>
    <t>MBALALA</t>
  </si>
  <si>
    <t>NKONKO NJERU</t>
  </si>
  <si>
    <t>NAMATABA</t>
  </si>
  <si>
    <t>Namawojolo</t>
  </si>
  <si>
    <t>NAMAWAJJOLO</t>
  </si>
  <si>
    <t>Nabbaale</t>
  </si>
  <si>
    <t>Nagojje</t>
  </si>
  <si>
    <t>Nakisunga</t>
  </si>
  <si>
    <t>Nama</t>
  </si>
  <si>
    <t>Ntunda</t>
  </si>
  <si>
    <t>SEETA</t>
  </si>
  <si>
    <t>GOMA</t>
  </si>
  <si>
    <t>Seeta Namuganga</t>
  </si>
  <si>
    <t>Kakomongole</t>
  </si>
  <si>
    <t>Lolachat</t>
  </si>
  <si>
    <t>Loregae</t>
  </si>
  <si>
    <t>Lorengedwat</t>
  </si>
  <si>
    <t>Nakapiripirit</t>
  </si>
  <si>
    <t>Chekwii</t>
  </si>
  <si>
    <t>Moruita</t>
  </si>
  <si>
    <t>Pian</t>
  </si>
  <si>
    <t>Nabilatuk</t>
  </si>
  <si>
    <t>Nakapiripirit Town Council</t>
  </si>
  <si>
    <t>Namalu</t>
  </si>
  <si>
    <t>Butalangu Town Council</t>
  </si>
  <si>
    <t>Kapeeka</t>
  </si>
  <si>
    <t>Kasangombe</t>
  </si>
  <si>
    <t>Kikamulo</t>
  </si>
  <si>
    <t>Nakaseke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</si>
  <si>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</si>
  <si>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</si>
  <si>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</si>
  <si>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</si>
  <si>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</si>
  <si>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</si>
  <si>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</si>
  <si>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</si>
  <si>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Ssemuto</t>
  </si>
  <si>
    <t>Semuto Town Council</t>
  </si>
  <si>
    <t>Wakyato</t>
  </si>
  <si>
    <t>Kakooge</t>
  </si>
  <si>
    <t>Kakooge Town Council</t>
  </si>
  <si>
    <t>Kalongo</t>
  </si>
  <si>
    <t>Kalungi</t>
  </si>
  <si>
    <t>Nakasongola</t>
  </si>
  <si>
    <t>Lwabiyata</t>
  </si>
  <si>
    <t>Lwampanga</t>
  </si>
  <si>
    <t>Migeera Town Council</t>
  </si>
  <si>
    <t>Nabisweera</t>
  </si>
  <si>
    <t>NAKASONGOLA</t>
  </si>
  <si>
    <t>Nakasongola Town Council</t>
  </si>
  <si>
    <t>Nakitoma</t>
  </si>
  <si>
    <t>Wabinyonyi</t>
  </si>
  <si>
    <t>Buhemba</t>
  </si>
  <si>
    <t>Bukana</t>
  </si>
  <si>
    <t>Buswale</t>
  </si>
  <si>
    <t>Namayingo</t>
  </si>
  <si>
    <t>Bukooli</t>
  </si>
  <si>
    <t>Buyinja</t>
  </si>
  <si>
    <t>Lolwe</t>
  </si>
  <si>
    <t>Mutumba</t>
  </si>
  <si>
    <t>Namayingo Town Council</t>
  </si>
  <si>
    <t>Sigulu Island</t>
  </si>
  <si>
    <t>Bubutu</t>
  </si>
  <si>
    <t>Bukhabusi</t>
  </si>
  <si>
    <t>Bukhaweka</t>
  </si>
  <si>
    <t>Bukiabi</t>
  </si>
  <si>
    <t>Namisindwa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</si>
  <si>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</si>
  <si>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</si>
  <si>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</si>
  <si>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</si>
  <si>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</si>
  <si>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</si>
  <si>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</si>
  <si>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</si>
  <si>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</si>
  <si>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</si>
  <si>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</si>
  <si>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</si>
  <si>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</si>
  <si>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</si>
  <si>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Ivukula</t>
  </si>
  <si>
    <t>Magada</t>
  </si>
  <si>
    <t>Namutumba</t>
  </si>
  <si>
    <t>Busiki</t>
  </si>
  <si>
    <t>Nabweyo</t>
  </si>
  <si>
    <t>Namutumba Town Council</t>
  </si>
  <si>
    <t>Nangonde</t>
  </si>
  <si>
    <t>Nsinze</t>
  </si>
  <si>
    <t>Iriiri</t>
  </si>
  <si>
    <t>Lokopo</t>
  </si>
  <si>
    <t>Lopeei</t>
  </si>
  <si>
    <t>Lorengecora</t>
  </si>
  <si>
    <t>Napak</t>
  </si>
  <si>
    <t>Bokora</t>
  </si>
  <si>
    <t>Lotome</t>
  </si>
  <si>
    <t>Matany</t>
  </si>
  <si>
    <t>Napak Town Council</t>
  </si>
  <si>
    <t>Ngoleriet</t>
  </si>
  <si>
    <t>Akworo</t>
  </si>
  <si>
    <t>Atego</t>
  </si>
  <si>
    <t>Erussi</t>
  </si>
  <si>
    <t>Kucwiny</t>
  </si>
  <si>
    <t>Nebbi</t>
  </si>
  <si>
    <t>Padyere</t>
  </si>
  <si>
    <t>Ndhew</t>
  </si>
  <si>
    <t>Nebbi Municipality</t>
  </si>
  <si>
    <t>Nyaravur</t>
  </si>
  <si>
    <t>Parombo</t>
  </si>
  <si>
    <t>Kapir</t>
  </si>
  <si>
    <t>Kobwin</t>
  </si>
  <si>
    <t>Mukura</t>
  </si>
  <si>
    <t>Ngora</t>
  </si>
  <si>
    <t>Ngora Town Council</t>
  </si>
  <si>
    <t>Butungama</t>
  </si>
  <si>
    <t>Bweramule</t>
  </si>
  <si>
    <t>Kanara Town Council</t>
  </si>
  <si>
    <t>Kanara-Ntoroko</t>
  </si>
  <si>
    <t>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</si>
  <si>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</si>
  <si>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</si>
  <si>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</si>
  <si>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</si>
  <si>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</si>
  <si>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</si>
  <si>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</si>
  <si>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Ihunga</t>
  </si>
  <si>
    <t>Itojo</t>
  </si>
  <si>
    <t>Kagarama Town Council</t>
  </si>
  <si>
    <t>Kajara</t>
  </si>
  <si>
    <t>Kayonza-Ntungamo</t>
  </si>
  <si>
    <t>Kibatsi</t>
  </si>
  <si>
    <t>Ruhaama</t>
  </si>
  <si>
    <t>Kitwe Town Council</t>
  </si>
  <si>
    <t>Ngoma-Ntungamo</t>
  </si>
  <si>
    <t>Rushenyi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</si>
  <si>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</si>
  <si>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</si>
  <si>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</si>
  <si>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</si>
  <si>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</si>
  <si>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</si>
  <si>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</si>
  <si>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</si>
  <si>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</si>
  <si>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</si>
  <si>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Anaka Payira</t>
  </si>
  <si>
    <t>Anaka Town Council</t>
  </si>
  <si>
    <t>Koch-Goma</t>
  </si>
  <si>
    <t>Nwoya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</si>
  <si>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</si>
  <si>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</si>
  <si>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</si>
  <si>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</si>
  <si>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</si>
  <si>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</si>
  <si>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</si>
  <si>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</si>
  <si>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</si>
  <si>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Alango</t>
  </si>
  <si>
    <t>Ogor</t>
  </si>
  <si>
    <t>Ogwette</t>
  </si>
  <si>
    <t>Otuke</t>
  </si>
  <si>
    <t>Okwang</t>
  </si>
  <si>
    <t>Olilim</t>
  </si>
  <si>
    <t>Orum</t>
  </si>
  <si>
    <t>Otuke Town Council</t>
  </si>
  <si>
    <t>Aber</t>
  </si>
  <si>
    <t>Abok</t>
  </si>
  <si>
    <t>Acaba</t>
  </si>
  <si>
    <t>Aleka</t>
  </si>
  <si>
    <t>Oyam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</si>
  <si>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</si>
  <si>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</si>
  <si>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</si>
  <si>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</si>
  <si>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</si>
  <si>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</si>
  <si>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</si>
  <si>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</si>
  <si>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</si>
  <si>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Angagura</t>
  </si>
  <si>
    <t>Atanga</t>
  </si>
  <si>
    <t>Awere</t>
  </si>
  <si>
    <t>Pader</t>
  </si>
  <si>
    <t>Aruu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</si>
  <si>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</si>
  <si>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</si>
  <si>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</si>
  <si>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</si>
  <si>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</si>
  <si>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</si>
  <si>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</si>
  <si>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</si>
  <si>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</si>
  <si>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Pakwach Town Council</t>
  </si>
  <si>
    <t>Panyango</t>
  </si>
  <si>
    <t>Jonam</t>
  </si>
  <si>
    <t>Panyimur</t>
  </si>
  <si>
    <t>Wadelai</t>
  </si>
  <si>
    <t>Agule</t>
  </si>
  <si>
    <t>Akisim</t>
  </si>
  <si>
    <t>Apopong</t>
  </si>
  <si>
    <t>Chelekura</t>
  </si>
  <si>
    <t>Pallisa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</si>
  <si>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</si>
  <si>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</si>
  <si>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</si>
  <si>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</si>
  <si>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</si>
  <si>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</si>
  <si>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</si>
  <si>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</si>
  <si>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Ddwaniro-Rakai</t>
  </si>
  <si>
    <t>Kacheera</t>
  </si>
  <si>
    <t>Kagamba</t>
  </si>
  <si>
    <t>Rakai</t>
  </si>
  <si>
    <t>Kakuuto</t>
  </si>
  <si>
    <t>Kifamba</t>
  </si>
  <si>
    <t>Kiziba</t>
  </si>
  <si>
    <t>Kyalulangira</t>
  </si>
  <si>
    <t>Lwamaggwa</t>
  </si>
  <si>
    <t>Lwanda</t>
  </si>
  <si>
    <t>BUYAMBA</t>
  </si>
  <si>
    <t>RAKAI</t>
  </si>
  <si>
    <t>DWANIRO</t>
  </si>
  <si>
    <t>KASAMBYA</t>
  </si>
  <si>
    <t>KOOKI</t>
  </si>
  <si>
    <t>MANYA</t>
  </si>
  <si>
    <t>SANJE</t>
  </si>
  <si>
    <t>Rakai Town Council</t>
  </si>
  <si>
    <t>Bubaare-Rubanda</t>
  </si>
  <si>
    <t>RUBANDA</t>
  </si>
  <si>
    <t>Bufundi</t>
  </si>
  <si>
    <t>Hamurwa</t>
  </si>
  <si>
    <t>Hamurwa Town Council</t>
  </si>
  <si>
    <t>Rubanda</t>
  </si>
  <si>
    <t>Ikumba</t>
  </si>
  <si>
    <t>Muko</t>
  </si>
  <si>
    <t>Nyamweru</t>
  </si>
  <si>
    <t>Rubanda Town Council</t>
  </si>
  <si>
    <t>Ruhija</t>
  </si>
  <si>
    <t>Katanda</t>
  </si>
  <si>
    <t>Katerera</t>
  </si>
  <si>
    <t>Katerera Town Council</t>
  </si>
  <si>
    <t>Katunguru</t>
  </si>
  <si>
    <t>Rubirizi</t>
  </si>
  <si>
    <t>Kirugu</t>
  </si>
  <si>
    <t>Kyabakara</t>
  </si>
  <si>
    <t>Magambo</t>
  </si>
  <si>
    <t>Rubiriziri Town Council</t>
  </si>
  <si>
    <t>Rutoto</t>
  </si>
  <si>
    <t>Ryeru</t>
  </si>
  <si>
    <t>Bukinda</t>
  </si>
  <si>
    <t>Kamwezi</t>
  </si>
  <si>
    <t>Kashambya</t>
  </si>
  <si>
    <t>Mparo Town Council</t>
  </si>
  <si>
    <t>Rukiga</t>
  </si>
  <si>
    <t>Muhanga Town Council</t>
  </si>
  <si>
    <t>Rwamucucu</t>
  </si>
  <si>
    <t>Bugangari</t>
  </si>
  <si>
    <t>Buhunga</t>
  </si>
  <si>
    <t>Buyanja Town Council</t>
  </si>
  <si>
    <t>Rujumbura</t>
  </si>
  <si>
    <t>Bwambara</t>
  </si>
  <si>
    <t>Kebisoni</t>
  </si>
  <si>
    <t>Rubabo</t>
  </si>
  <si>
    <t>Kebisoni Town Council</t>
  </si>
  <si>
    <t>Nyakagyeme</t>
  </si>
  <si>
    <t>Nyakishenyi</t>
  </si>
  <si>
    <t>Nyarushanje</t>
  </si>
  <si>
    <t>RUKUNGIRI</t>
  </si>
  <si>
    <t>Rukungiri Municipality</t>
  </si>
  <si>
    <t>Atiira</t>
  </si>
  <si>
    <t>Bugondo</t>
  </si>
  <si>
    <t>Kadungulu</t>
  </si>
  <si>
    <t>Kasilo Town Council</t>
  </si>
  <si>
    <t>Serere</t>
  </si>
  <si>
    <t>Kateta</t>
  </si>
  <si>
    <t>Kasilo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</si>
  <si>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</si>
  <si>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</si>
  <si>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</si>
  <si>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</si>
  <si>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</si>
  <si>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</si>
  <si>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</si>
  <si>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Kakindo Town Council</t>
  </si>
  <si>
    <t>Kasaana</t>
  </si>
  <si>
    <t>Kigarama</t>
  </si>
  <si>
    <t>Sheema Municipality</t>
  </si>
  <si>
    <t>Kitagata</t>
  </si>
  <si>
    <t>Kyangyenyi</t>
  </si>
  <si>
    <t>Masheruka</t>
  </si>
  <si>
    <t>Rugarama-Sheema</t>
  </si>
  <si>
    <t>ITENDERO</t>
  </si>
  <si>
    <t>KABWOHE</t>
  </si>
  <si>
    <t>SHEEMA</t>
  </si>
  <si>
    <t>Shuuku</t>
  </si>
  <si>
    <t>Shuuku Town Council</t>
  </si>
  <si>
    <t>Budadiri Town Council</t>
  </si>
  <si>
    <t>Bugitimwa</t>
  </si>
  <si>
    <t>Buhugu</t>
  </si>
  <si>
    <t>Bukhulo</t>
  </si>
  <si>
    <t>Sironko</t>
  </si>
  <si>
    <t>Budadiri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</si>
  <si>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</si>
  <si>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</si>
  <si>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</si>
  <si>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</si>
  <si>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</si>
  <si>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</si>
  <si>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</si>
  <si>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</si>
  <si>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</si>
  <si>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</si>
  <si>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</si>
  <si>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</si>
  <si>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</si>
  <si>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</si>
  <si>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</si>
  <si>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</si>
  <si>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</si>
  <si>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</si>
  <si>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Asuret</t>
  </si>
  <si>
    <t>Gweri</t>
  </si>
  <si>
    <t>Kamuda</t>
  </si>
  <si>
    <t>Soroti</t>
  </si>
  <si>
    <t>Katine</t>
  </si>
  <si>
    <t>Soroti Municipality</t>
  </si>
  <si>
    <t>Tubur</t>
  </si>
  <si>
    <t>Lugusulu</t>
  </si>
  <si>
    <t>KYAMABOGO</t>
  </si>
  <si>
    <t>KYABALESA</t>
  </si>
  <si>
    <t>KASANSA</t>
  </si>
  <si>
    <t>BUSOBOLWA</t>
  </si>
  <si>
    <t>BISHESHE</t>
  </si>
  <si>
    <t>Lwebitakuli</t>
  </si>
  <si>
    <t>Lwemiyaga</t>
  </si>
  <si>
    <t>LUMEGERE</t>
  </si>
  <si>
    <t>GOLO/ KATONGA</t>
  </si>
  <si>
    <t>Mateete</t>
  </si>
  <si>
    <t>Ssembabule</t>
  </si>
  <si>
    <t>Mawogola</t>
  </si>
  <si>
    <t>Mateete Town Council</t>
  </si>
  <si>
    <t>BUGENGE</t>
  </si>
  <si>
    <t>MITIMA</t>
  </si>
  <si>
    <t>KYABI</t>
  </si>
  <si>
    <t>Mijwala</t>
  </si>
  <si>
    <t>KISEKERA</t>
  </si>
  <si>
    <t>KIKOMA</t>
  </si>
  <si>
    <t>NAMBIRIZI</t>
  </si>
  <si>
    <t>NANSEKO</t>
  </si>
  <si>
    <t>KAWANGA</t>
  </si>
  <si>
    <t>MABINDO</t>
  </si>
  <si>
    <t>Ntuusi</t>
  </si>
  <si>
    <t>SSEMBULE</t>
  </si>
  <si>
    <t>SEMBABULE</t>
  </si>
  <si>
    <t>KISONKO</t>
  </si>
  <si>
    <t>NTUSI</t>
  </si>
  <si>
    <t>KALUSHONSHOMEZI</t>
  </si>
  <si>
    <t>Sembabule Town Council</t>
  </si>
  <si>
    <t>SEMBABULE TOWN</t>
  </si>
  <si>
    <t>KIWUULA</t>
  </si>
  <si>
    <t>Iyolwa</t>
  </si>
  <si>
    <t>Kirewa</t>
  </si>
  <si>
    <t>Kisoko</t>
  </si>
  <si>
    <t>Kwapa</t>
  </si>
  <si>
    <t>Tororo</t>
  </si>
  <si>
    <t>West Budama</t>
  </si>
  <si>
    <t>Magola</t>
  </si>
  <si>
    <t>Malaba Town Council</t>
  </si>
  <si>
    <t>Lubowa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</si>
  <si>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</si>
  <si>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</si>
  <si>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</si>
  <si>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</si>
  <si>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</si>
  <si>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</si>
  <si>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</si>
  <si>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</si>
  <si>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</si>
  <si>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</si>
  <si>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</si>
  <si>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</si>
  <si>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</si>
  <si>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</si>
  <si>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GREENLAND</t>
  </si>
  <si>
    <t>TORORO</t>
  </si>
  <si>
    <t>Tororo Municipality</t>
  </si>
  <si>
    <t>Bata Bata</t>
  </si>
  <si>
    <t>Namasuba</t>
  </si>
  <si>
    <t>KIKAJJO</t>
  </si>
  <si>
    <t>Wakiso</t>
  </si>
  <si>
    <t>Makindye Ssabagabo Municipality</t>
  </si>
  <si>
    <t>BULAGA</t>
  </si>
  <si>
    <t>Bussi</t>
  </si>
  <si>
    <t xml:space="preserve">KIWENDA </t>
  </si>
  <si>
    <t>Busukuma</t>
  </si>
  <si>
    <t>JOMAYI</t>
  </si>
  <si>
    <t>Busiro</t>
  </si>
  <si>
    <t>NAMBOOLE</t>
  </si>
  <si>
    <t>Nansana Municipality</t>
  </si>
  <si>
    <t>ENTEBE</t>
  </si>
  <si>
    <t xml:space="preserve">ENTEBBE </t>
  </si>
  <si>
    <t>Kira Municipality</t>
  </si>
  <si>
    <t>Namulanda</t>
  </si>
  <si>
    <t>AIRPORT</t>
  </si>
  <si>
    <t>Entebbe Airport</t>
  </si>
  <si>
    <t>ENTEBBE AIR PORT</t>
  </si>
  <si>
    <t xml:space="preserve">ENTEBBE  </t>
  </si>
  <si>
    <t>NKUMBA</t>
  </si>
  <si>
    <t>BAYITABABIRI</t>
  </si>
  <si>
    <t>Entebbe Municipality</t>
  </si>
  <si>
    <t>Kisubi</t>
  </si>
  <si>
    <t>KITOORO</t>
  </si>
  <si>
    <t>KITORO</t>
  </si>
  <si>
    <t>NAKIWOGO</t>
  </si>
  <si>
    <t>NTEBBE</t>
  </si>
  <si>
    <t>NTEBE TOWN</t>
  </si>
  <si>
    <t>Gombe</t>
  </si>
  <si>
    <t>Katende</t>
  </si>
  <si>
    <t>Kajjansi Town Council</t>
  </si>
  <si>
    <t>Kajjansi</t>
  </si>
  <si>
    <t>KAJANSI</t>
  </si>
  <si>
    <t>KITENDE</t>
  </si>
  <si>
    <t>KITOVU</t>
  </si>
  <si>
    <t>Seguku</t>
  </si>
  <si>
    <t>Katale</t>
  </si>
  <si>
    <t>Kakiri</t>
  </si>
  <si>
    <t>Kakiri Town Council</t>
  </si>
  <si>
    <t>Kasangati Town Council</t>
  </si>
  <si>
    <t>MANYANGWA</t>
  </si>
  <si>
    <t>KIBIRA RD.</t>
  </si>
  <si>
    <t>WAMPEWO</t>
  </si>
  <si>
    <t>MAGERE</t>
  </si>
  <si>
    <t>Kyadondo</t>
  </si>
  <si>
    <t>Kasangati</t>
  </si>
  <si>
    <t>MATUGA</t>
  </si>
  <si>
    <t>KAWANDA</t>
  </si>
  <si>
    <t>KASAAMU</t>
  </si>
  <si>
    <t>KASANGYE</t>
  </si>
  <si>
    <t>BUTENDE</t>
  </si>
  <si>
    <t>Kasanje</t>
  </si>
  <si>
    <t>KASAJE</t>
  </si>
  <si>
    <t>KATABI</t>
  </si>
  <si>
    <t>Katabi Town Council</t>
  </si>
  <si>
    <t>BULINDO</t>
  </si>
  <si>
    <t>BUWATE</t>
  </si>
  <si>
    <t>Kira</t>
  </si>
  <si>
    <t>KIRA ROAD</t>
  </si>
  <si>
    <t>KYALIWAJJALA</t>
  </si>
  <si>
    <t>KUNGU</t>
  </si>
  <si>
    <t>NAJJERA</t>
  </si>
  <si>
    <t>KINAWA</t>
  </si>
  <si>
    <t>KABOJA</t>
  </si>
  <si>
    <t>KABOJJA</t>
  </si>
  <si>
    <t>Kyengera Town Council</t>
  </si>
  <si>
    <t>NAKAWUKA</t>
  </si>
  <si>
    <t>KYENGERA</t>
  </si>
  <si>
    <t>Nabbingo</t>
  </si>
  <si>
    <t>NABINGO</t>
  </si>
  <si>
    <t>KASENGE</t>
  </si>
  <si>
    <t>BANDWE</t>
  </si>
  <si>
    <t>Masajja</t>
  </si>
  <si>
    <t>Masuliita</t>
  </si>
  <si>
    <t>Masulita Town Council</t>
  </si>
  <si>
    <t>Mende</t>
  </si>
  <si>
    <t>KIRINYA BIGO</t>
  </si>
  <si>
    <t>Nabweru</t>
  </si>
  <si>
    <t>Namayumba</t>
  </si>
  <si>
    <t>Namayumba Town Council</t>
  </si>
  <si>
    <t>KIRA NAMUGONGO</t>
  </si>
  <si>
    <t>NALUVULE</t>
  </si>
  <si>
    <t>Nansana</t>
  </si>
  <si>
    <t>Kabumbi</t>
  </si>
  <si>
    <t>MITYANA ROAD</t>
  </si>
  <si>
    <t>Ndejje</t>
  </si>
  <si>
    <t>NDEEJE</t>
  </si>
  <si>
    <t>KUMUSANVU</t>
  </si>
  <si>
    <t>NAMUSERA</t>
  </si>
  <si>
    <t>waakiso</t>
  </si>
  <si>
    <t>Bulenga</t>
  </si>
  <si>
    <t>NSANJI</t>
  </si>
  <si>
    <t xml:space="preserve">KITALA </t>
  </si>
  <si>
    <t>NSANGI</t>
  </si>
  <si>
    <t>NAMAGOMA</t>
  </si>
  <si>
    <t>NAKASOZI</t>
  </si>
  <si>
    <t>KITEMU</t>
  </si>
  <si>
    <t>BUDDO</t>
  </si>
  <si>
    <t>Buloba</t>
  </si>
  <si>
    <t>BULOOBA</t>
  </si>
  <si>
    <t>SENTEMA</t>
  </si>
  <si>
    <t>NANKUWADE</t>
  </si>
  <si>
    <t>NANKUWADDE</t>
  </si>
  <si>
    <t>NAKUWADDE</t>
  </si>
  <si>
    <t>KITALYA</t>
  </si>
  <si>
    <t>Wakiso Town Council</t>
  </si>
  <si>
    <t>WAKISO TOWN</t>
  </si>
  <si>
    <t>Apo</t>
  </si>
  <si>
    <t>Ariwa</t>
  </si>
  <si>
    <t>Drajini</t>
  </si>
  <si>
    <t>Yumbe</t>
  </si>
  <si>
    <t>Aringa</t>
  </si>
  <si>
    <t>Kei</t>
  </si>
  <si>
    <t>Kerwa</t>
  </si>
  <si>
    <t>Kochi</t>
  </si>
  <si>
    <t>Kululu</t>
  </si>
  <si>
    <t>Kuru</t>
  </si>
  <si>
    <t>yoyo</t>
  </si>
  <si>
    <t>Lodonga</t>
  </si>
  <si>
    <t>Midigo</t>
  </si>
  <si>
    <t>Odravu</t>
  </si>
  <si>
    <t>Romogi</t>
  </si>
  <si>
    <t>Swinga</t>
  </si>
  <si>
    <t>Swinga town</t>
  </si>
  <si>
    <t>Camp Swinga</t>
  </si>
  <si>
    <t>Bidibidi</t>
  </si>
  <si>
    <t>Yumbe Town Council</t>
  </si>
  <si>
    <t>Abanga</t>
  </si>
  <si>
    <t>Atyak</t>
  </si>
  <si>
    <t>Jangokoro</t>
  </si>
  <si>
    <t>Zombo</t>
  </si>
  <si>
    <t>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</si>
  <si>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</si>
  <si>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</si>
  <si>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</si>
  <si>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</si>
  <si>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</si>
  <si>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</si>
  <si>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</si>
  <si>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</si>
  <si>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</si>
  <si>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MALABA</t>
  </si>
  <si>
    <t>KISINDI</t>
  </si>
  <si>
    <t>KISUMU</t>
  </si>
  <si>
    <t>Nairobi</t>
  </si>
  <si>
    <t>MIASI</t>
  </si>
  <si>
    <t>MIGORI</t>
  </si>
  <si>
    <t>ELDORET</t>
  </si>
  <si>
    <t>KENYA</t>
  </si>
  <si>
    <t>busia</t>
  </si>
  <si>
    <t>kenya</t>
  </si>
  <si>
    <t>MACHAKOS</t>
  </si>
  <si>
    <t>TANZANIA</t>
  </si>
  <si>
    <t>KAGERA</t>
  </si>
  <si>
    <t>DODOMA</t>
  </si>
  <si>
    <t>BUKOBA</t>
  </si>
  <si>
    <t>IRINGA</t>
  </si>
  <si>
    <t>DAR-ES-SALAAM</t>
  </si>
  <si>
    <t>KHAAMA</t>
  </si>
  <si>
    <t>Mutukula</t>
  </si>
  <si>
    <t>MUTUKULA TOWN</t>
  </si>
  <si>
    <t>SONGENA</t>
  </si>
  <si>
    <t>ARUSHA</t>
  </si>
  <si>
    <t>MWANZA</t>
  </si>
  <si>
    <t>KALAGWE</t>
  </si>
  <si>
    <t>RWANDA</t>
  </si>
  <si>
    <t>Katuna</t>
  </si>
  <si>
    <t>KIBIWO</t>
  </si>
  <si>
    <t>KISASA</t>
  </si>
  <si>
    <t>KAYONZA</t>
  </si>
  <si>
    <t>KIGALI</t>
  </si>
  <si>
    <t xml:space="preserve">KIGALI </t>
  </si>
  <si>
    <t>GISENYI</t>
  </si>
  <si>
    <t>Cyanika</t>
  </si>
  <si>
    <t>Kiyumba</t>
  </si>
  <si>
    <t>Bunagana</t>
  </si>
  <si>
    <t>Mpondwe</t>
  </si>
  <si>
    <t>BUNYA</t>
  </si>
  <si>
    <t>Goli</t>
  </si>
  <si>
    <t>BENI</t>
  </si>
  <si>
    <t>KIWANJA</t>
  </si>
  <si>
    <t>CONGO</t>
  </si>
  <si>
    <t>NIMRE</t>
  </si>
  <si>
    <t>SUDAN</t>
  </si>
  <si>
    <t>Elegu</t>
  </si>
  <si>
    <t xml:space="preserve">South Sudan </t>
  </si>
  <si>
    <t>Nimule</t>
  </si>
  <si>
    <t>Mirama Hills</t>
  </si>
  <si>
    <t>Oraba</t>
  </si>
  <si>
    <t>BUKAYI</t>
  </si>
  <si>
    <t>BUTEMBO</t>
  </si>
  <si>
    <t>Padea</t>
  </si>
  <si>
    <t>PALORINYA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</si>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</sst>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5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5" fillId="0" borderId="0" applyFont="0" applyFill="0" applyBorder="0" applyAlignment="0" applyProtection="0"/>
    <xf numFmtId="0" fontId="9" fillId="0" borderId="0"/>
    <xf numFmtId="164" fontId="5" fillId="0" borderId="0" applyFont="0" applyFill="0" applyBorder="0" applyAlignment="0" applyProtection="0"/>
    <xf numFmtId="0" fontId="11" fillId="0" borderId="0"/>
    <xf numFmtId="0" fontId="13" fillId="0" borderId="0">
      <alignment vertical="center"/>
    </xf>
  </cellStyleXfs>
  <cellXfs count="130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7" fillId="0" borderId="0" xfId="0" applyFont="1" applyAlignment="1">
      <alignment vertical="center"/>
    </xf>
    <xf numFmtId="0" fontId="7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7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7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2" borderId="2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wrapText="1"/>
    </xf>
    <xf numFmtId="1" fontId="5" fillId="2" borderId="2" xfId="0" applyNumberFormat="1" applyFont="1" applyFill="1" applyBorder="1" applyAlignment="1">
      <alignment horizontal="center"/>
    </xf>
    <xf numFmtId="0" fontId="5" fillId="2" borderId="2" xfId="0" applyFont="1" applyFill="1" applyBorder="1"/>
    <xf numFmtId="166" fontId="5" fillId="2" borderId="2" xfId="0" applyNumberFormat="1" applyFont="1" applyFill="1" applyBorder="1"/>
    <xf numFmtId="0" fontId="5" fillId="2" borderId="2" xfId="0" applyFont="1" applyFill="1" applyBorder="1" applyAlignment="1">
      <alignment horizontal="center"/>
    </xf>
    <xf numFmtId="20" fontId="7" fillId="2" borderId="2" xfId="0" applyNumberFormat="1" applyFont="1" applyFill="1" applyBorder="1" applyAlignment="1">
      <alignment vertical="center"/>
    </xf>
    <xf numFmtId="0" fontId="7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3" borderId="0" xfId="0" applyFont="1" applyFill="1"/>
    <xf numFmtId="0" fontId="0" fillId="3" borderId="0" xfId="0" applyFill="1"/>
    <xf numFmtId="169" fontId="5" fillId="2" borderId="2" xfId="0" applyNumberFormat="1" applyFont="1" applyFill="1" applyBorder="1"/>
    <xf numFmtId="167" fontId="5" fillId="2" borderId="2" xfId="3" applyNumberFormat="1" applyFont="1" applyFill="1" applyBorder="1"/>
    <xf numFmtId="3" fontId="5" fillId="2" borderId="2" xfId="3" applyNumberFormat="1" applyFont="1" applyFill="1" applyBorder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3" fillId="0" borderId="0" xfId="5" applyFill="1" applyBorder="1">
      <alignment vertical="center"/>
    </xf>
    <xf numFmtId="0" fontId="12" fillId="0" borderId="0" xfId="4" applyFont="1" applyFill="1" applyBorder="1" applyAlignment="1">
      <alignment horizontal="center"/>
    </xf>
    <xf numFmtId="0" fontId="10" fillId="0" borderId="0" xfId="5" applyFont="1" applyFill="1" applyBorder="1">
      <alignment vertical="center"/>
    </xf>
    <xf numFmtId="0" fontId="14" fillId="0" borderId="0" xfId="5" applyFont="1" applyFill="1" applyBorder="1">
      <alignment vertical="center"/>
    </xf>
    <xf numFmtId="0" fontId="10" fillId="4" borderId="0" xfId="5" applyFont="1" applyFill="1" applyBorder="1">
      <alignment vertical="center"/>
    </xf>
    <xf numFmtId="0" fontId="3" fillId="0" borderId="0" xfId="0" applyFont="1"/>
    <xf numFmtId="0" fontId="1" fillId="5" borderId="0" xfId="0" applyFont="1" applyFill="1" applyAlignment="1">
      <alignment vertical="center" wrapText="1"/>
    </xf>
    <xf numFmtId="0" fontId="1" fillId="6" borderId="2" xfId="0" applyFont="1" applyFill="1" applyBorder="1" applyAlignment="1">
      <alignment vertical="center" wrapText="1"/>
    </xf>
    <xf numFmtId="0" fontId="1" fillId="6" borderId="2" xfId="0" applyFont="1" applyFill="1" applyBorder="1" applyAlignment="1">
      <alignment wrapText="1"/>
    </xf>
    <xf numFmtId="0" fontId="0" fillId="7" borderId="2" xfId="0" applyFill="1" applyBorder="1" applyAlignment="1">
      <alignment horizontal="left"/>
    </xf>
    <xf numFmtId="0" fontId="0" fillId="7" borderId="2" xfId="0" applyFill="1" applyBorder="1"/>
    <xf numFmtId="168" fontId="0" fillId="7" borderId="2" xfId="1" applyNumberFormat="1" applyFont="1" applyFill="1" applyBorder="1"/>
    <xf numFmtId="0" fontId="0" fillId="8" borderId="2" xfId="0" applyFill="1" applyBorder="1" applyAlignment="1">
      <alignment horizontal="left"/>
    </xf>
    <xf numFmtId="167" fontId="0" fillId="8" borderId="2" xfId="3" applyNumberFormat="1" applyFont="1" applyFill="1" applyBorder="1"/>
    <xf numFmtId="167" fontId="0" fillId="8" borderId="2" xfId="0" applyNumberFormat="1" applyFill="1" applyBorder="1"/>
    <xf numFmtId="168" fontId="0" fillId="8" borderId="2" xfId="1" applyNumberFormat="1" applyFont="1" applyFill="1" applyBorder="1"/>
    <xf numFmtId="0" fontId="1" fillId="7" borderId="2" xfId="0" applyFont="1" applyFill="1" applyBorder="1"/>
    <xf numFmtId="0" fontId="1" fillId="9" borderId="2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wrapText="1"/>
    </xf>
    <xf numFmtId="0" fontId="1" fillId="10" borderId="0" xfId="0" applyFont="1" applyFill="1"/>
    <xf numFmtId="0" fontId="5" fillId="7" borderId="2" xfId="0" applyFont="1" applyFill="1" applyBorder="1"/>
    <xf numFmtId="167" fontId="0" fillId="7" borderId="2" xfId="3" applyNumberFormat="1" applyFont="1" applyFill="1" applyBorder="1"/>
    <xf numFmtId="0" fontId="5" fillId="11" borderId="2" xfId="0" applyFont="1" applyFill="1" applyBorder="1"/>
    <xf numFmtId="0" fontId="0" fillId="11" borderId="2" xfId="0" applyFill="1" applyBorder="1"/>
    <xf numFmtId="168" fontId="0" fillId="11" borderId="2" xfId="1" applyNumberFormat="1" applyFont="1" applyFill="1" applyBorder="1"/>
    <xf numFmtId="0" fontId="1" fillId="11" borderId="2" xfId="0" applyFont="1" applyFill="1" applyBorder="1"/>
    <xf numFmtId="167" fontId="1" fillId="7" borderId="2" xfId="3" applyNumberFormat="1" applyFont="1" applyFill="1" applyBorder="1"/>
    <xf numFmtId="0" fontId="1" fillId="6" borderId="0" xfId="0" applyFont="1" applyFill="1"/>
    <xf numFmtId="0" fontId="5" fillId="8" borderId="2" xfId="0" applyFont="1" applyFill="1" applyBorder="1"/>
    <xf numFmtId="0" fontId="0" fillId="8" borderId="2" xfId="0" applyFill="1" applyBorder="1"/>
    <xf numFmtId="0" fontId="1" fillId="8" borderId="2" xfId="0" applyFont="1" applyFill="1" applyBorder="1"/>
    <xf numFmtId="0" fontId="1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wrapText="1"/>
    </xf>
    <xf numFmtId="0" fontId="1" fillId="13" borderId="2" xfId="0" applyFont="1" applyFill="1" applyBorder="1" applyAlignment="1">
      <alignment wrapText="1"/>
    </xf>
    <xf numFmtId="0" fontId="1" fillId="13" borderId="2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vertical="center" wrapText="1"/>
    </xf>
    <xf numFmtId="0" fontId="1" fillId="13" borderId="2" xfId="0" applyFont="1" applyFill="1" applyBorder="1" applyAlignment="1">
      <alignment vertical="center"/>
    </xf>
    <xf numFmtId="0" fontId="0" fillId="14" borderId="2" xfId="0" applyFill="1" applyBorder="1" applyAlignment="1">
      <alignment horizontal="left"/>
    </xf>
    <xf numFmtId="167" fontId="0" fillId="14" borderId="2" xfId="3" applyNumberFormat="1" applyFont="1" applyFill="1" applyBorder="1"/>
    <xf numFmtId="167" fontId="0" fillId="14" borderId="2" xfId="0" applyNumberFormat="1" applyFill="1" applyBorder="1"/>
    <xf numFmtId="168" fontId="0" fillId="14" borderId="2" xfId="1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7" fillId="0" borderId="21" xfId="0" applyFont="1" applyFill="1" applyBorder="1" applyAlignment="1">
      <alignment horizontal="center" vertical="center"/>
    </xf>
    <xf numFmtId="0" fontId="7" fillId="0" borderId="23" xfId="0" applyFont="1" applyFill="1" applyBorder="1" applyAlignment="1">
      <alignment horizontal="center" vertical="center"/>
    </xf>
    <xf numFmtId="0" fontId="1" fillId="9" borderId="2" xfId="0" applyFont="1" applyFill="1" applyBorder="1"/>
    <xf numFmtId="0" fontId="0" fillId="9" borderId="2" xfId="0" applyFill="1" applyBorder="1"/>
    <xf numFmtId="168" fontId="0" fillId="15" borderId="2" xfId="1" applyNumberFormat="1" applyFont="1" applyFill="1" applyBorder="1"/>
  </cellXfs>
  <cellStyles count="6">
    <cellStyle name="Comma 2" xfId="3" xr:uid="{00000000-0005-0000-0000-000001000000}"/>
    <cellStyle name="Normal" xfId="0" builtinId="0"/>
    <cellStyle name="Normal 2" xfId="2" xr:uid="{00000000-0005-0000-0000-000003000000}"/>
    <cellStyle name="Normal 3" xfId="5" xr:uid="{00000000-0005-0000-0000-000004000000}"/>
    <cellStyle name="Normal_Indicators_12" xfId="4" xr:uid="{00000000-0005-0000-0000-000005000000}"/>
    <cellStyle name="Percent 2" xfId="1" xr:uid="{00000000-0005-0000-0000-000007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6-4F0D-9D2B-E142FD4DD95E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6-4F0D-9D2B-E142FD4DD95E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6-4F0D-9D2B-E142FD4DD95E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6-4F0D-9D2B-E142FD4DD95E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6-4F0D-9D2B-E142FD4DD95E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6-4F0D-9D2B-E142FD4DD95E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6-4F0D-9D2B-E142FD4DD95E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6-4F0D-9D2B-E142FD4DD95E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6-4F0D-9D2B-E142FD4DD95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6-4F0D-9D2B-E142FD4DD95E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6-4F0D-9D2B-E142FD4DD95E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6-4F0D-9D2B-E142FD4DD95E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B36-4F0D-9D2B-E142FD4DD9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  <c:pt idx="7">
                  <c:v>6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6-4F0D-9D2B-E142FD4DD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6C2-45D7-A917-A8E30008B3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6C2-45D7-A917-A8E30008B3AE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6C2-45D7-A917-A8E30008B3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6C2-45D7-A917-A8E30008B3AE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6C2-45D7-A917-A8E30008B3AE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6C2-45D7-A917-A8E30008B3AE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6C2-45D7-A917-A8E30008B3AE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6C2-45D7-A917-A8E30008B3AE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6C2-45D7-A917-A8E30008B3A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6C2-45D7-A917-A8E30008B3A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0F-4F9D-B6D5-BBFF3A5D2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43-4F5B-8320-42DB33750C3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E7-44DE-9726-07C9B152FF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6</c:v>
                </c:pt>
                <c:pt idx="5">
                  <c:v>0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8A-42BD-B3C0-3EBC06584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904-47AD-839D-0972211B225A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904-47AD-839D-0972211B225A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904-47AD-839D-0972211B225A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904-47AD-839D-0972211B225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904-47AD-839D-0972211B225A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904-47AD-839D-0972211B22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904-47AD-839D-0972211B22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15874</xdr:colOff>
      <xdr:row>2</xdr:row>
      <xdr:rowOff>187325</xdr:rowOff>
    </xdr:from>
    <xdr:to>
      <xdr:col>11</xdr:col>
      <xdr:colOff>320674</xdr:colOff>
      <xdr:row>17</xdr:row>
      <xdr:rowOff>111125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6FCB53-1385-4D07-A32E-4694479A6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10011</xdr:colOff>
      <xdr:row>21</xdr:row>
      <xdr:rowOff>468680</xdr:rowOff>
    </xdr:from>
    <xdr:to>
      <xdr:col>11</xdr:col>
      <xdr:colOff>29062</xdr:colOff>
      <xdr:row>38</xdr:row>
      <xdr:rowOff>10992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EB53F7-0077-4386-B857-3FF738CD4E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10012</xdr:colOff>
      <xdr:row>39</xdr:row>
      <xdr:rowOff>149714</xdr:rowOff>
    </xdr:from>
    <xdr:to>
      <xdr:col>11</xdr:col>
      <xdr:colOff>314812</xdr:colOff>
      <xdr:row>56</xdr:row>
      <xdr:rowOff>92564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2A4FEAC-A92C-4575-9AAB-7686FD5EB3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184150</xdr:rowOff>
    </xdr:from>
    <xdr:to>
      <xdr:col>10</xdr:col>
      <xdr:colOff>546100</xdr:colOff>
      <xdr:row>74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A43293F-915B-406B-BDF1-6803CDCDF9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15873</xdr:colOff>
      <xdr:row>77</xdr:row>
      <xdr:rowOff>200025</xdr:rowOff>
    </xdr:from>
    <xdr:to>
      <xdr:col>12</xdr:col>
      <xdr:colOff>555625</xdr:colOff>
      <xdr:row>94</xdr:row>
      <xdr:rowOff>79375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2E173EB-D2A2-4AD9-82A3-16135CAA06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174625</xdr:rowOff>
    </xdr:from>
    <xdr:to>
      <xdr:col>25</xdr:col>
      <xdr:colOff>203200</xdr:colOff>
      <xdr:row>18</xdr:row>
      <xdr:rowOff>130175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FC5C3A3-C822-4B16-876F-75ED346BE5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15872</xdr:colOff>
      <xdr:row>20</xdr:row>
      <xdr:rowOff>123824</xdr:rowOff>
    </xdr:from>
    <xdr:to>
      <xdr:col>24</xdr:col>
      <xdr:colOff>379778</xdr:colOff>
      <xdr:row>39</xdr:row>
      <xdr:rowOff>40297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A3503E3-661F-438A-AEB5-FDE0A8E5D8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T\Desktop\JAMES-ZONED-C1\OD-C1-STN10-EXAMPLE%20Revi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 refreshError="1"/>
      <sheetData sheetId="1" refreshError="1"/>
      <sheetData sheetId="2" refreshError="1"/>
      <sheetData sheetId="3" refreshError="1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DCE6F-8F8A-47CD-BC64-8A11A01A69E3}">
  <dimension ref="A2:Y88"/>
  <sheetViews>
    <sheetView tabSelected="1" view="pageBreakPreview" topLeftCell="A34" zoomScale="60" zoomScaleNormal="65" workbookViewId="0">
      <selection activeCell="N41" sqref="N41"/>
    </sheetView>
  </sheetViews>
  <sheetFormatPr defaultRowHeight="12.75"/>
  <cols>
    <col min="1" max="1" width="3.85546875" style="51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0"/>
      <c r="B2" s="1"/>
      <c r="C2" s="19"/>
    </row>
    <row r="3" spans="1:17" ht="15">
      <c r="B3" s="62" t="s">
        <v>2454</v>
      </c>
      <c r="N3" s="1" t="s">
        <v>2455</v>
      </c>
    </row>
    <row r="4" spans="1:17" ht="38.25">
      <c r="B4" s="63" t="s">
        <v>140</v>
      </c>
      <c r="C4" s="63" t="s">
        <v>2456</v>
      </c>
      <c r="D4" s="63" t="s">
        <v>2457</v>
      </c>
      <c r="N4" s="64" t="s">
        <v>2458</v>
      </c>
      <c r="O4" s="64" t="s">
        <v>2459</v>
      </c>
      <c r="P4" s="64" t="s">
        <v>2460</v>
      </c>
      <c r="Q4" s="65" t="s">
        <v>2461</v>
      </c>
    </row>
    <row r="5" spans="1:17" ht="15" customHeight="1">
      <c r="B5" s="66" t="s">
        <v>74</v>
      </c>
      <c r="C5" s="67">
        <f>COUNTIF('ALL DATA'!$D$9:$D$5000,"1")</f>
        <v>3</v>
      </c>
      <c r="D5" s="68">
        <f t="shared" ref="D5:D16" si="0">C5/$C$17</f>
        <v>0.14285714285714285</v>
      </c>
      <c r="N5" s="69" t="s">
        <v>2462</v>
      </c>
      <c r="O5" s="70">
        <f>COUNTIF(Jtime,"&lt;=0.25")</f>
        <v>0</v>
      </c>
      <c r="P5" s="71">
        <f>O5</f>
        <v>0</v>
      </c>
      <c r="Q5" s="72">
        <f>P5/$O$15</f>
        <v>0</v>
      </c>
    </row>
    <row r="6" spans="1:17" ht="15" customHeight="1">
      <c r="B6" s="66" t="s">
        <v>75</v>
      </c>
      <c r="C6" s="67">
        <f>COUNTIF('ALL DATA'!$D$9:$D$5000,"2")</f>
        <v>3</v>
      </c>
      <c r="D6" s="68">
        <f t="shared" si="0"/>
        <v>0.14285714285714285</v>
      </c>
      <c r="N6" s="69" t="s">
        <v>2463</v>
      </c>
      <c r="O6" s="70">
        <f>COUNTIF(Jtime,"&lt;=0.5")</f>
        <v>1</v>
      </c>
      <c r="P6" s="71">
        <f>O6-O5</f>
        <v>1</v>
      </c>
      <c r="Q6" s="72">
        <f t="shared" ref="Q6:Q15" si="1">P6/$O$15</f>
        <v>0.05</v>
      </c>
    </row>
    <row r="7" spans="1:17" ht="15" customHeight="1">
      <c r="B7" s="66" t="s">
        <v>76</v>
      </c>
      <c r="C7" s="67">
        <f>COUNTIF('ALL DATA'!$D$9:$D$5000,"3")</f>
        <v>0</v>
      </c>
      <c r="D7" s="68">
        <f t="shared" si="0"/>
        <v>0</v>
      </c>
      <c r="N7" s="69" t="s">
        <v>2464</v>
      </c>
      <c r="O7" s="70">
        <f>COUNTIF(Jtime,"&lt;=0.75")</f>
        <v>3</v>
      </c>
      <c r="P7" s="71">
        <f t="shared" ref="P7:P15" si="2">O7-O6</f>
        <v>2</v>
      </c>
      <c r="Q7" s="72">
        <f t="shared" si="1"/>
        <v>0.1</v>
      </c>
    </row>
    <row r="8" spans="1:17" ht="15" customHeight="1">
      <c r="B8" s="66" t="s">
        <v>77</v>
      </c>
      <c r="C8" s="67">
        <f>COUNTIF('ALL DATA'!$D$9:$D$5000,"4")</f>
        <v>0</v>
      </c>
      <c r="D8" s="68">
        <f t="shared" si="0"/>
        <v>0</v>
      </c>
      <c r="N8" s="69" t="s">
        <v>2465</v>
      </c>
      <c r="O8" s="70">
        <f>COUNTIF(Jtime,"&lt;=1.0")</f>
        <v>3</v>
      </c>
      <c r="P8" s="71">
        <f t="shared" si="2"/>
        <v>0</v>
      </c>
      <c r="Q8" s="72">
        <f t="shared" si="1"/>
        <v>0</v>
      </c>
    </row>
    <row r="9" spans="1:17" ht="15" customHeight="1">
      <c r="B9" s="66" t="s">
        <v>78</v>
      </c>
      <c r="C9" s="67">
        <f>COUNTIF('ALL DATA'!$D$9:$D$5000,"5")</f>
        <v>4</v>
      </c>
      <c r="D9" s="68">
        <f t="shared" si="0"/>
        <v>0.19047619047619047</v>
      </c>
      <c r="N9" s="69" t="s">
        <v>2466</v>
      </c>
      <c r="O9" s="70">
        <f>COUNTIF(Jtime,"&lt;=1.5")</f>
        <v>9</v>
      </c>
      <c r="P9" s="71">
        <f t="shared" si="2"/>
        <v>6</v>
      </c>
      <c r="Q9" s="72">
        <f t="shared" si="1"/>
        <v>0.3</v>
      </c>
    </row>
    <row r="10" spans="1:17" ht="15" customHeight="1">
      <c r="B10" s="66" t="s">
        <v>79</v>
      </c>
      <c r="C10" s="67">
        <f>COUNTIF('ALL DATA'!$D$9:$D$5000,"6")</f>
        <v>0</v>
      </c>
      <c r="D10" s="68">
        <f t="shared" si="0"/>
        <v>0</v>
      </c>
      <c r="N10" s="69" t="s">
        <v>2467</v>
      </c>
      <c r="O10" s="70">
        <f>COUNTIF(Jtime,"&lt;=2")</f>
        <v>9</v>
      </c>
      <c r="P10" s="71">
        <f t="shared" si="2"/>
        <v>0</v>
      </c>
      <c r="Q10" s="72">
        <f t="shared" si="1"/>
        <v>0</v>
      </c>
    </row>
    <row r="11" spans="1:17" ht="15" customHeight="1">
      <c r="B11" s="66" t="s">
        <v>80</v>
      </c>
      <c r="C11" s="67">
        <f>COUNTIF('ALL DATA'!$D$9:$D$5000,"7")</f>
        <v>0</v>
      </c>
      <c r="D11" s="68">
        <f t="shared" si="0"/>
        <v>0</v>
      </c>
      <c r="N11" s="69" t="s">
        <v>2468</v>
      </c>
      <c r="O11" s="70">
        <f>COUNTIF(Jtime,"&lt;=3")</f>
        <v>10</v>
      </c>
      <c r="P11" s="71">
        <f t="shared" si="2"/>
        <v>1</v>
      </c>
      <c r="Q11" s="72">
        <f t="shared" si="1"/>
        <v>0.05</v>
      </c>
    </row>
    <row r="12" spans="1:17" ht="15" customHeight="1">
      <c r="B12" s="66" t="s">
        <v>81</v>
      </c>
      <c r="C12" s="67">
        <f>COUNTIF('ALL DATA'!$D$9:$D$5000,"8")</f>
        <v>6</v>
      </c>
      <c r="D12" s="68">
        <f t="shared" si="0"/>
        <v>0.2857142857142857</v>
      </c>
      <c r="N12" s="69" t="s">
        <v>2469</v>
      </c>
      <c r="O12" s="70">
        <f>COUNTIF(Jtime,"&lt;=5")</f>
        <v>13</v>
      </c>
      <c r="P12" s="71">
        <f t="shared" si="2"/>
        <v>3</v>
      </c>
      <c r="Q12" s="72">
        <f t="shared" si="1"/>
        <v>0.15</v>
      </c>
    </row>
    <row r="13" spans="1:17" ht="15" customHeight="1">
      <c r="B13" s="66" t="s">
        <v>82</v>
      </c>
      <c r="C13" s="67">
        <f>COUNTIF('ALL DATA'!$D$9:$D$5000,"9")</f>
        <v>1</v>
      </c>
      <c r="D13" s="68">
        <f t="shared" si="0"/>
        <v>4.7619047619047616E-2</v>
      </c>
      <c r="N13" s="69" t="s">
        <v>2470</v>
      </c>
      <c r="O13" s="70">
        <f>COUNTIF(Jtime,"&lt;=7.5")</f>
        <v>15</v>
      </c>
      <c r="P13" s="71">
        <f t="shared" si="2"/>
        <v>2</v>
      </c>
      <c r="Q13" s="72">
        <f t="shared" si="1"/>
        <v>0.1</v>
      </c>
    </row>
    <row r="14" spans="1:17" ht="15" customHeight="1">
      <c r="B14" s="66" t="s">
        <v>83</v>
      </c>
      <c r="C14" s="67">
        <f>COUNTIF('ALL DATA'!$D$9:$D$5000,"10")</f>
        <v>2</v>
      </c>
      <c r="D14" s="68">
        <f t="shared" si="0"/>
        <v>9.5238095238095233E-2</v>
      </c>
      <c r="N14" s="69" t="s">
        <v>2471</v>
      </c>
      <c r="O14" s="70">
        <f>COUNTIF(Jtime,"&lt;=10")</f>
        <v>18</v>
      </c>
      <c r="P14" s="71">
        <f t="shared" si="2"/>
        <v>3</v>
      </c>
      <c r="Q14" s="72">
        <f t="shared" si="1"/>
        <v>0.15</v>
      </c>
    </row>
    <row r="15" spans="1:17" ht="15" customHeight="1">
      <c r="B15" s="66" t="s">
        <v>85</v>
      </c>
      <c r="C15" s="67">
        <f>COUNTIF('ALL DATA'!$D$9:$D$5000,"11")</f>
        <v>2</v>
      </c>
      <c r="D15" s="68">
        <f t="shared" si="0"/>
        <v>9.5238095238095233E-2</v>
      </c>
      <c r="N15" s="69" t="s">
        <v>2472</v>
      </c>
      <c r="O15" s="70">
        <f>COUNTIF(Jtime,"&lt;=15")</f>
        <v>20</v>
      </c>
      <c r="P15" s="71">
        <f t="shared" si="2"/>
        <v>2</v>
      </c>
      <c r="Q15" s="72">
        <f t="shared" si="1"/>
        <v>0.1</v>
      </c>
    </row>
    <row r="16" spans="1:17">
      <c r="B16" s="66" t="s">
        <v>84</v>
      </c>
      <c r="C16" s="67">
        <f>COUNTIF('ALL DATA'!$D$9:$D$5000,"12")</f>
        <v>0</v>
      </c>
      <c r="D16" s="68">
        <f t="shared" si="0"/>
        <v>0</v>
      </c>
    </row>
    <row r="17" spans="2:16">
      <c r="B17" s="67"/>
      <c r="C17" s="73">
        <f>SUM(C5:C16)</f>
        <v>21</v>
      </c>
      <c r="D17" s="67"/>
    </row>
    <row r="21" spans="2:16">
      <c r="N21" s="1" t="s">
        <v>111</v>
      </c>
    </row>
    <row r="22" spans="2:16" ht="39">
      <c r="B22" s="62" t="s">
        <v>141</v>
      </c>
      <c r="N22" s="74" t="s">
        <v>111</v>
      </c>
      <c r="O22" s="74" t="s">
        <v>2460</v>
      </c>
      <c r="P22" s="75" t="s">
        <v>2461</v>
      </c>
    </row>
    <row r="23" spans="2:16" ht="15" customHeight="1">
      <c r="B23" s="76" t="s">
        <v>2473</v>
      </c>
      <c r="C23" s="76" t="s">
        <v>2474</v>
      </c>
      <c r="D23" s="76" t="s">
        <v>2475</v>
      </c>
      <c r="N23" s="77" t="s">
        <v>2476</v>
      </c>
      <c r="O23" s="78">
        <f>COUNTIF(Tripfreq,"=1")</f>
        <v>2</v>
      </c>
      <c r="P23" s="68">
        <f>O23/$O$29</f>
        <v>9.5238095238095233E-2</v>
      </c>
    </row>
    <row r="24" spans="2:16" ht="15" customHeight="1">
      <c r="B24" s="79" t="s">
        <v>142</v>
      </c>
      <c r="C24" s="80">
        <f>COUNTIF('ALL DATA'!$R$9:$R$5000,"Home-Work")</f>
        <v>0</v>
      </c>
      <c r="D24" s="81">
        <f>C24/$C$29</f>
        <v>0</v>
      </c>
      <c r="N24" s="77" t="s">
        <v>113</v>
      </c>
      <c r="O24" s="78">
        <f>COUNTIF(Tripfreq,"=2")</f>
        <v>5</v>
      </c>
      <c r="P24" s="68">
        <f t="shared" ref="P24:P28" si="3">O24/$O$29</f>
        <v>0.23809523809523808</v>
      </c>
    </row>
    <row r="25" spans="2:16" ht="15" customHeight="1">
      <c r="B25" s="79" t="s">
        <v>143</v>
      </c>
      <c r="C25" s="80">
        <f>COUNTIF('ALL DATA'!$R$9:$R$369,"Home-Study")</f>
        <v>0</v>
      </c>
      <c r="D25" s="81">
        <f>C25/$C$29</f>
        <v>0</v>
      </c>
      <c r="N25" s="77" t="s">
        <v>114</v>
      </c>
      <c r="O25" s="78">
        <f>COUNTIF(Tripfreq,"=3")</f>
        <v>10</v>
      </c>
      <c r="P25" s="68">
        <f t="shared" si="3"/>
        <v>0.47619047619047616</v>
      </c>
    </row>
    <row r="26" spans="2:16" ht="15" customHeight="1">
      <c r="B26" s="79" t="s">
        <v>144</v>
      </c>
      <c r="C26" s="80">
        <f>COUNTIF('ALL DATA'!$R$9:$R$369,"Work-Home")</f>
        <v>1</v>
      </c>
      <c r="D26" s="81">
        <f>C26/$C$29</f>
        <v>4.7619047619047616E-2</v>
      </c>
      <c r="N26" s="77" t="s">
        <v>115</v>
      </c>
      <c r="O26" s="78">
        <f>COUNTIF(Tripfreq,"=4")</f>
        <v>2</v>
      </c>
      <c r="P26" s="68">
        <f t="shared" si="3"/>
        <v>9.5238095238095233E-2</v>
      </c>
    </row>
    <row r="27" spans="2:16" ht="15" customHeight="1">
      <c r="B27" s="79" t="s">
        <v>145</v>
      </c>
      <c r="C27" s="80">
        <f>COUNTIF('ALL DATA'!$R$9:$R$369,"Work-Work")</f>
        <v>3</v>
      </c>
      <c r="D27" s="81">
        <f>C27/$C$29</f>
        <v>0.14285714285714285</v>
      </c>
      <c r="N27" s="77" t="s">
        <v>116</v>
      </c>
      <c r="O27" s="78">
        <f>COUNTIF(Tripfreq,"=5")</f>
        <v>1</v>
      </c>
      <c r="P27" s="68">
        <f t="shared" si="3"/>
        <v>4.7619047619047616E-2</v>
      </c>
    </row>
    <row r="28" spans="2:16" ht="15" customHeight="1">
      <c r="B28" s="79" t="s">
        <v>110</v>
      </c>
      <c r="C28" s="80">
        <f>C29-SUM(C24:C27)</f>
        <v>17</v>
      </c>
      <c r="D28" s="81">
        <f>C28/$C$29</f>
        <v>0.80952380952380953</v>
      </c>
      <c r="N28" s="77" t="s">
        <v>117</v>
      </c>
      <c r="O28" s="78">
        <f>COUNTIF(Tripfreq,"=6")</f>
        <v>1</v>
      </c>
      <c r="P28" s="68">
        <f t="shared" si="3"/>
        <v>4.7619047619047616E-2</v>
      </c>
    </row>
    <row r="29" spans="2:16" ht="15" customHeight="1">
      <c r="B29" s="82" t="s">
        <v>146</v>
      </c>
      <c r="C29" s="82">
        <f>C17</f>
        <v>21</v>
      </c>
      <c r="D29" s="80"/>
      <c r="N29" s="66"/>
      <c r="O29" s="83">
        <f>SUM(O23:O28)</f>
        <v>21</v>
      </c>
      <c r="P29" s="68"/>
    </row>
    <row r="40" spans="2:25">
      <c r="B40" s="1" t="s">
        <v>147</v>
      </c>
    </row>
    <row r="41" spans="2:25">
      <c r="B41" s="84" t="s">
        <v>2477</v>
      </c>
      <c r="C41" s="84" t="s">
        <v>2478</v>
      </c>
      <c r="D41" s="84" t="s">
        <v>2475</v>
      </c>
    </row>
    <row r="42" spans="2:25">
      <c r="B42" s="85" t="s">
        <v>32</v>
      </c>
      <c r="C42" s="86">
        <f>COUNTIF('ALL DATA'!$Y$9:$Y$5000,"Y")</f>
        <v>0</v>
      </c>
      <c r="D42" s="72">
        <f>C42/$C$44</f>
        <v>0</v>
      </c>
    </row>
    <row r="43" spans="2:25">
      <c r="B43" s="85" t="s">
        <v>148</v>
      </c>
      <c r="C43" s="86">
        <f>C44-C42</f>
        <v>21</v>
      </c>
      <c r="D43" s="72">
        <f>C43/$C$44</f>
        <v>1</v>
      </c>
    </row>
    <row r="44" spans="2:25">
      <c r="B44" s="87" t="s">
        <v>146</v>
      </c>
      <c r="C44" s="87">
        <f>C29</f>
        <v>21</v>
      </c>
      <c r="D44" s="86"/>
    </row>
    <row r="47" spans="2:25">
      <c r="R47" s="127" t="s">
        <v>104</v>
      </c>
      <c r="S47" s="127" t="s">
        <v>105</v>
      </c>
      <c r="T47" s="127" t="s">
        <v>106</v>
      </c>
      <c r="U47" s="127" t="s">
        <v>107</v>
      </c>
      <c r="V47" s="127" t="s">
        <v>108</v>
      </c>
      <c r="W47" s="127" t="s">
        <v>109</v>
      </c>
      <c r="X47" s="127" t="s">
        <v>91</v>
      </c>
      <c r="Y47" s="127" t="s">
        <v>110</v>
      </c>
    </row>
    <row r="48" spans="2:25">
      <c r="P48">
        <v>1</v>
      </c>
      <c r="Q48" s="128" t="s">
        <v>104</v>
      </c>
      <c r="R48" s="129">
        <f t="shared" ref="R48:Y55" si="4">R59/SUM($R$59:$Y$66)</f>
        <v>4.7619047619047616E-2</v>
      </c>
      <c r="S48" s="129">
        <f t="shared" si="4"/>
        <v>0</v>
      </c>
      <c r="T48" s="129">
        <f t="shared" si="4"/>
        <v>0</v>
      </c>
      <c r="U48" s="129">
        <f t="shared" si="4"/>
        <v>9.5238095238095233E-2</v>
      </c>
      <c r="V48" s="129">
        <f t="shared" si="4"/>
        <v>0</v>
      </c>
      <c r="W48" s="129">
        <f t="shared" si="4"/>
        <v>0</v>
      </c>
      <c r="X48" s="129">
        <f t="shared" si="4"/>
        <v>0</v>
      </c>
      <c r="Y48" s="129">
        <f t="shared" si="4"/>
        <v>0</v>
      </c>
    </row>
    <row r="49" spans="2:25">
      <c r="P49">
        <v>2</v>
      </c>
      <c r="Q49" s="128" t="s">
        <v>105</v>
      </c>
      <c r="R49" s="129">
        <f t="shared" si="4"/>
        <v>4.7619047619047616E-2</v>
      </c>
      <c r="S49" s="129">
        <f t="shared" si="4"/>
        <v>0.14285714285714285</v>
      </c>
      <c r="T49" s="129">
        <f t="shared" si="4"/>
        <v>0</v>
      </c>
      <c r="U49" s="129">
        <f t="shared" si="4"/>
        <v>0.23809523809523808</v>
      </c>
      <c r="V49" s="129">
        <f t="shared" si="4"/>
        <v>0</v>
      </c>
      <c r="W49" s="129">
        <f t="shared" si="4"/>
        <v>0</v>
      </c>
      <c r="X49" s="129">
        <f t="shared" si="4"/>
        <v>0</v>
      </c>
      <c r="Y49" s="129">
        <f t="shared" si="4"/>
        <v>0</v>
      </c>
    </row>
    <row r="50" spans="2:25">
      <c r="P50">
        <v>3</v>
      </c>
      <c r="Q50" s="128" t="s">
        <v>106</v>
      </c>
      <c r="R50" s="129">
        <f t="shared" si="4"/>
        <v>0</v>
      </c>
      <c r="S50" s="129">
        <f t="shared" si="4"/>
        <v>0</v>
      </c>
      <c r="T50" s="129">
        <f t="shared" si="4"/>
        <v>0</v>
      </c>
      <c r="U50" s="129">
        <f t="shared" si="4"/>
        <v>0</v>
      </c>
      <c r="V50" s="129">
        <f t="shared" si="4"/>
        <v>0</v>
      </c>
      <c r="W50" s="129">
        <f t="shared" si="4"/>
        <v>0</v>
      </c>
      <c r="X50" s="129">
        <f t="shared" si="4"/>
        <v>0</v>
      </c>
      <c r="Y50" s="129">
        <f t="shared" si="4"/>
        <v>0</v>
      </c>
    </row>
    <row r="51" spans="2:25">
      <c r="P51">
        <v>4</v>
      </c>
      <c r="Q51" s="128" t="s">
        <v>107</v>
      </c>
      <c r="R51" s="129">
        <f t="shared" si="4"/>
        <v>9.5238095238095233E-2</v>
      </c>
      <c r="S51" s="129">
        <f t="shared" si="4"/>
        <v>0</v>
      </c>
      <c r="T51" s="129">
        <f t="shared" si="4"/>
        <v>0</v>
      </c>
      <c r="U51" s="129">
        <f t="shared" si="4"/>
        <v>0.23809523809523808</v>
      </c>
      <c r="V51" s="129">
        <f t="shared" si="4"/>
        <v>0</v>
      </c>
      <c r="W51" s="129">
        <f t="shared" si="4"/>
        <v>0</v>
      </c>
      <c r="X51" s="129">
        <f t="shared" si="4"/>
        <v>0</v>
      </c>
      <c r="Y51" s="129">
        <f t="shared" si="4"/>
        <v>0</v>
      </c>
    </row>
    <row r="52" spans="2:25">
      <c r="P52">
        <v>5</v>
      </c>
      <c r="Q52" s="128" t="s">
        <v>108</v>
      </c>
      <c r="R52" s="129">
        <f t="shared" si="4"/>
        <v>0</v>
      </c>
      <c r="S52" s="129">
        <f t="shared" si="4"/>
        <v>0</v>
      </c>
      <c r="T52" s="129">
        <f t="shared" si="4"/>
        <v>0</v>
      </c>
      <c r="U52" s="129">
        <f t="shared" si="4"/>
        <v>4.7619047619047616E-2</v>
      </c>
      <c r="V52" s="129">
        <f t="shared" si="4"/>
        <v>0</v>
      </c>
      <c r="W52" s="129">
        <f t="shared" si="4"/>
        <v>0</v>
      </c>
      <c r="X52" s="129">
        <f t="shared" si="4"/>
        <v>0</v>
      </c>
      <c r="Y52" s="129">
        <f t="shared" si="4"/>
        <v>0</v>
      </c>
    </row>
    <row r="53" spans="2:25">
      <c r="P53">
        <v>6</v>
      </c>
      <c r="Q53" s="128" t="s">
        <v>109</v>
      </c>
      <c r="R53" s="129">
        <f t="shared" si="4"/>
        <v>0</v>
      </c>
      <c r="S53" s="129">
        <f t="shared" si="4"/>
        <v>0</v>
      </c>
      <c r="T53" s="129">
        <f t="shared" si="4"/>
        <v>0</v>
      </c>
      <c r="U53" s="129">
        <f t="shared" si="4"/>
        <v>0</v>
      </c>
      <c r="V53" s="129">
        <f t="shared" si="4"/>
        <v>0</v>
      </c>
      <c r="W53" s="129">
        <f t="shared" si="4"/>
        <v>0</v>
      </c>
      <c r="X53" s="129">
        <f t="shared" si="4"/>
        <v>0</v>
      </c>
      <c r="Y53" s="129">
        <f t="shared" si="4"/>
        <v>0</v>
      </c>
    </row>
    <row r="54" spans="2:25">
      <c r="P54">
        <v>7</v>
      </c>
      <c r="Q54" s="128" t="s">
        <v>91</v>
      </c>
      <c r="R54" s="129">
        <f t="shared" si="4"/>
        <v>0</v>
      </c>
      <c r="S54" s="129">
        <f t="shared" si="4"/>
        <v>0</v>
      </c>
      <c r="T54" s="129">
        <f t="shared" si="4"/>
        <v>0</v>
      </c>
      <c r="U54" s="129">
        <f t="shared" si="4"/>
        <v>0</v>
      </c>
      <c r="V54" s="129">
        <f t="shared" si="4"/>
        <v>0</v>
      </c>
      <c r="W54" s="129">
        <f t="shared" si="4"/>
        <v>0</v>
      </c>
      <c r="X54" s="129">
        <f t="shared" si="4"/>
        <v>0</v>
      </c>
      <c r="Y54" s="129">
        <f t="shared" si="4"/>
        <v>0</v>
      </c>
    </row>
    <row r="55" spans="2:25">
      <c r="P55">
        <v>8</v>
      </c>
      <c r="Q55" s="128" t="s">
        <v>110</v>
      </c>
      <c r="R55" s="129">
        <f t="shared" si="4"/>
        <v>0</v>
      </c>
      <c r="S55" s="129">
        <f t="shared" si="4"/>
        <v>0</v>
      </c>
      <c r="T55" s="129">
        <f t="shared" si="4"/>
        <v>0</v>
      </c>
      <c r="U55" s="129">
        <f t="shared" si="4"/>
        <v>0</v>
      </c>
      <c r="V55" s="129">
        <f t="shared" si="4"/>
        <v>0</v>
      </c>
      <c r="W55" s="129">
        <f t="shared" si="4"/>
        <v>0</v>
      </c>
      <c r="X55" s="129">
        <f t="shared" si="4"/>
        <v>0</v>
      </c>
      <c r="Y55" s="129">
        <f t="shared" si="4"/>
        <v>4.7619047619047616E-2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2479</v>
      </c>
      <c r="R58" t="s">
        <v>104</v>
      </c>
      <c r="S58" t="s">
        <v>105</v>
      </c>
      <c r="T58" t="s">
        <v>106</v>
      </c>
      <c r="U58" t="s">
        <v>107</v>
      </c>
      <c r="V58" t="s">
        <v>108</v>
      </c>
      <c r="W58" t="s">
        <v>109</v>
      </c>
      <c r="X58" t="s">
        <v>91</v>
      </c>
      <c r="Y58" t="s">
        <v>110</v>
      </c>
    </row>
    <row r="59" spans="2:25">
      <c r="B59" s="88" t="s">
        <v>140</v>
      </c>
      <c r="C59" s="89" t="s">
        <v>2480</v>
      </c>
      <c r="P59">
        <v>1</v>
      </c>
      <c r="Q59" t="s">
        <v>104</v>
      </c>
      <c r="R59">
        <f>COUNTIF('ALL DATA'!$R$9:$R$5000,R69)</f>
        <v>1</v>
      </c>
      <c r="S59">
        <f>COUNTIF('ALL DATA'!$R$9:$R$5000,S69)</f>
        <v>0</v>
      </c>
      <c r="T59">
        <f>COUNTIF('ALL DATA'!$R$9:$R$5000,T69)</f>
        <v>0</v>
      </c>
      <c r="U59">
        <f>COUNTIF('ALL DATA'!$R$9:$R$5000,U69)</f>
        <v>2</v>
      </c>
      <c r="V59">
        <f>COUNTIF('ALL DATA'!$R$9:$R$5000,V69)</f>
        <v>0</v>
      </c>
      <c r="W59">
        <f>COUNTIF('ALL DATA'!$R$9:$R$5000,W69)</f>
        <v>0</v>
      </c>
      <c r="X59">
        <f>COUNTIF('ALL DATA'!$R$9:$R$5000,X69)</f>
        <v>0</v>
      </c>
      <c r="Y59">
        <f>COUNTIF('ALL DATA'!$R$9:$R$5000,Y69)</f>
        <v>0</v>
      </c>
    </row>
    <row r="60" spans="2:25" ht="15" customHeight="1">
      <c r="B60" s="69" t="s">
        <v>74</v>
      </c>
      <c r="C60" s="70" t="e">
        <f ca="1">AVERAGEIF(Veh,"=1",'ALL DATA'!$Z$9:$Z$5000)</f>
        <v>#DIV/0!</v>
      </c>
      <c r="P60">
        <v>2</v>
      </c>
      <c r="Q60" t="s">
        <v>105</v>
      </c>
      <c r="R60">
        <f>COUNTIF('ALL DATA'!$R$9:$R$5000,R70)</f>
        <v>1</v>
      </c>
      <c r="S60">
        <f>COUNTIF('ALL DATA'!$R$9:$R$5000,S70)</f>
        <v>3</v>
      </c>
      <c r="T60">
        <f>COUNTIF('ALL DATA'!$R$9:$R$5000,T70)</f>
        <v>0</v>
      </c>
      <c r="U60">
        <f>COUNTIF('ALL DATA'!$R$9:$R$5000,U70)</f>
        <v>5</v>
      </c>
      <c r="V60">
        <f>COUNTIF('ALL DATA'!$R$9:$R$5000,V70)</f>
        <v>0</v>
      </c>
      <c r="W60">
        <f>COUNTIF('ALL DATA'!$R$9:$R$5000,W70)</f>
        <v>0</v>
      </c>
      <c r="X60">
        <f>COUNTIF('ALL DATA'!$R$9:$R$5000,X70)</f>
        <v>0</v>
      </c>
      <c r="Y60">
        <f>COUNTIF('ALL DATA'!$R$9:$R$5000,Y70)</f>
        <v>0</v>
      </c>
    </row>
    <row r="61" spans="2:25" ht="15" customHeight="1">
      <c r="B61" s="69" t="s">
        <v>75</v>
      </c>
      <c r="C61" s="70" t="e">
        <f ca="1">AVERAGEIF(Veh,"=2",'ALL DATA'!$Z$9:$Z$5000)</f>
        <v>#DIV/0!</v>
      </c>
      <c r="P61">
        <v>3</v>
      </c>
      <c r="Q61" t="s">
        <v>106</v>
      </c>
      <c r="R61">
        <f>COUNTIF('ALL DATA'!$R$9:$R$5000,R71)</f>
        <v>0</v>
      </c>
      <c r="S61">
        <f>COUNTIF('ALL DATA'!$R$9:$R$5000,S71)</f>
        <v>0</v>
      </c>
      <c r="T61">
        <f>COUNTIF('ALL DATA'!$R$9:$R$5000,T71)</f>
        <v>0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69" t="s">
        <v>76</v>
      </c>
      <c r="C62" s="70" t="e">
        <f ca="1">AVERAGEIF(Veh,"=3",'ALL DATA'!$Z$9:$Z$5000)</f>
        <v>#DIV/0!</v>
      </c>
      <c r="P62">
        <v>4</v>
      </c>
      <c r="Q62" t="s">
        <v>107</v>
      </c>
      <c r="R62">
        <f>COUNTIF('ALL DATA'!$R$9:$R$5000,R72)</f>
        <v>2</v>
      </c>
      <c r="S62">
        <f>COUNTIF('ALL DATA'!$R$9:$R$5000,S72)</f>
        <v>0</v>
      </c>
      <c r="T62">
        <f>COUNTIF('ALL DATA'!$R$9:$R$5000,T72)</f>
        <v>0</v>
      </c>
      <c r="U62">
        <f>COUNTIF('ALL DATA'!$R$9:$R$5000,U72)</f>
        <v>5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69" t="s">
        <v>77</v>
      </c>
      <c r="C63" s="70" t="e">
        <f ca="1">AVERAGEIF(Veh,"=4",'ALL DATA'!$Z$9:$Z$5000)</f>
        <v>#DIV/0!</v>
      </c>
      <c r="P63">
        <v>5</v>
      </c>
      <c r="Q63" t="s">
        <v>108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1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69" t="s">
        <v>78</v>
      </c>
      <c r="C64" s="70" t="e">
        <f ca="1">AVERAGEIF(Veh,"=5",'ALL DATA'!$Z$9:$Z$5000)</f>
        <v>#DIV/0!</v>
      </c>
      <c r="P64">
        <v>6</v>
      </c>
      <c r="Q64" t="s">
        <v>109</v>
      </c>
      <c r="R64">
        <f>COUNTIF('ALL DATA'!$R$9:$R$5000,R74)</f>
        <v>0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69" t="s">
        <v>79</v>
      </c>
      <c r="C65" s="70" t="e">
        <f ca="1">AVERAGEIF(Veh,"=6",'ALL DATA'!$Z$9:$Z$5000)</f>
        <v>#DIV/0!</v>
      </c>
      <c r="P65">
        <v>7</v>
      </c>
      <c r="Q65" t="s">
        <v>91</v>
      </c>
      <c r="R65">
        <f>COUNTIF('ALL DATA'!$R$9:$R$5000,R75)</f>
        <v>0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69" t="s">
        <v>80</v>
      </c>
      <c r="C66" s="70" t="e">
        <f ca="1">AVERAGEIF(Veh,"=7",'ALL DATA'!$Z$9:$Z$5000)</f>
        <v>#DIV/0!</v>
      </c>
      <c r="P66">
        <v>8</v>
      </c>
      <c r="Q66" t="s">
        <v>110</v>
      </c>
      <c r="R66">
        <f>COUNTIF('ALL DATA'!$R$9:$R$5000,R76)</f>
        <v>0</v>
      </c>
      <c r="S66">
        <f>COUNTIF('ALL DATA'!$R$9:$R$5000,S76)</f>
        <v>0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1</v>
      </c>
    </row>
    <row r="67" spans="2:25" ht="15" customHeight="1">
      <c r="B67" s="69" t="s">
        <v>81</v>
      </c>
      <c r="C67" s="70" t="e">
        <f ca="1">AVERAGEIF(Veh,"=8",'ALL DATA'!$Z$9:$Z$5000)</f>
        <v>#DIV/0!</v>
      </c>
    </row>
    <row r="68" spans="2:25" ht="15" customHeight="1">
      <c r="B68" s="69" t="s">
        <v>82</v>
      </c>
      <c r="C68" s="70" t="e">
        <f ca="1">AVERAGEIF(Veh,"=9",'ALL DATA'!$Z$9:$Z$5000)</f>
        <v>#DIV/0!</v>
      </c>
      <c r="R68" t="s">
        <v>104</v>
      </c>
      <c r="S68" t="s">
        <v>105</v>
      </c>
      <c r="T68" t="s">
        <v>106</v>
      </c>
      <c r="U68" t="s">
        <v>107</v>
      </c>
      <c r="V68" t="s">
        <v>108</v>
      </c>
      <c r="W68" t="s">
        <v>109</v>
      </c>
      <c r="X68" t="s">
        <v>91</v>
      </c>
      <c r="Y68" t="s">
        <v>110</v>
      </c>
    </row>
    <row r="69" spans="2:25" ht="15" customHeight="1">
      <c r="B69" s="69" t="s">
        <v>83</v>
      </c>
      <c r="C69" s="70" t="e">
        <f ca="1">AVERAGEIF(Veh,"=10",'ALL DATA'!$Z$9:$Z$5000)</f>
        <v>#DIV/0!</v>
      </c>
      <c r="P69">
        <v>1</v>
      </c>
      <c r="Q69" t="s">
        <v>104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69" t="s">
        <v>85</v>
      </c>
      <c r="C70" s="70" t="e">
        <f ca="1">AVERAGEIF(Veh,"=11",'ALL DATA'!$Z$9:$Z$5000)</f>
        <v>#DIV/0!</v>
      </c>
      <c r="P70">
        <v>2</v>
      </c>
      <c r="Q70" t="s">
        <v>105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69" t="s">
        <v>84</v>
      </c>
      <c r="C71" s="70" t="e">
        <f ca="1">AVERAGEIF(Veh,"=12",'ALL DATA'!$Z$9:$Z$5000)</f>
        <v>#DIV/0!</v>
      </c>
      <c r="P71">
        <v>3</v>
      </c>
      <c r="Q71" t="s">
        <v>106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107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108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109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91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110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5" t="s">
        <v>2481</v>
      </c>
    </row>
    <row r="79" spans="2:25" ht="25.5">
      <c r="B79" s="90" t="s">
        <v>2482</v>
      </c>
      <c r="C79" s="91" t="s">
        <v>2483</v>
      </c>
      <c r="D79" s="92" t="s">
        <v>2460</v>
      </c>
      <c r="E79" s="93" t="s">
        <v>2484</v>
      </c>
    </row>
    <row r="80" spans="2:25" ht="15" customHeight="1">
      <c r="B80" s="94" t="s">
        <v>2485</v>
      </c>
      <c r="C80" s="95">
        <f>COUNTIF(Dist,"&lt;=1")</f>
        <v>0</v>
      </c>
      <c r="D80" s="96">
        <f>C80</f>
        <v>0</v>
      </c>
      <c r="E80" s="97" t="e">
        <f>D80/$C$88</f>
        <v>#DIV/0!</v>
      </c>
    </row>
    <row r="81" spans="2:5" ht="15" customHeight="1">
      <c r="B81" s="94" t="s">
        <v>2486</v>
      </c>
      <c r="C81" s="95">
        <f>COUNTIF(Dist,"&lt;=2.5")</f>
        <v>0</v>
      </c>
      <c r="D81" s="96">
        <f>C81-C80</f>
        <v>0</v>
      </c>
      <c r="E81" s="97" t="e">
        <f t="shared" ref="E81:E88" si="6">D81/$C$88</f>
        <v>#DIV/0!</v>
      </c>
    </row>
    <row r="82" spans="2:5" ht="15" customHeight="1">
      <c r="B82" s="94" t="s">
        <v>2487</v>
      </c>
      <c r="C82" s="95">
        <f>COUNTIF(Dist,"&lt;=5")</f>
        <v>0</v>
      </c>
      <c r="D82" s="96">
        <f t="shared" ref="D82:D88" si="7">C82-C81</f>
        <v>0</v>
      </c>
      <c r="E82" s="97" t="e">
        <f t="shared" si="6"/>
        <v>#DIV/0!</v>
      </c>
    </row>
    <row r="83" spans="2:5" ht="15" customHeight="1">
      <c r="B83" s="94" t="s">
        <v>2488</v>
      </c>
      <c r="C83" s="95">
        <f>COUNTIF(Dist,"&lt;=10")</f>
        <v>0</v>
      </c>
      <c r="D83" s="96">
        <f t="shared" si="7"/>
        <v>0</v>
      </c>
      <c r="E83" s="97" t="e">
        <f t="shared" si="6"/>
        <v>#DIV/0!</v>
      </c>
    </row>
    <row r="84" spans="2:5" ht="15" customHeight="1">
      <c r="B84" s="94" t="s">
        <v>2489</v>
      </c>
      <c r="C84" s="95">
        <f>COUNTIF(Dist,"&lt;=20")</f>
        <v>0</v>
      </c>
      <c r="D84" s="96">
        <f t="shared" si="7"/>
        <v>0</v>
      </c>
      <c r="E84" s="97" t="e">
        <f t="shared" si="6"/>
        <v>#DIV/0!</v>
      </c>
    </row>
    <row r="85" spans="2:5" ht="15" customHeight="1">
      <c r="B85" s="94" t="s">
        <v>2490</v>
      </c>
      <c r="C85" s="95">
        <f>COUNTIF(Dist,"&lt;=50")</f>
        <v>0</v>
      </c>
      <c r="D85" s="96">
        <f t="shared" si="7"/>
        <v>0</v>
      </c>
      <c r="E85" s="97" t="e">
        <f t="shared" si="6"/>
        <v>#DIV/0!</v>
      </c>
    </row>
    <row r="86" spans="2:5" ht="15" customHeight="1">
      <c r="B86" s="94" t="s">
        <v>2491</v>
      </c>
      <c r="C86" s="95">
        <f>COUNTIF(Dist,"&lt;=100")</f>
        <v>0</v>
      </c>
      <c r="D86" s="96">
        <f t="shared" si="7"/>
        <v>0</v>
      </c>
      <c r="E86" s="97" t="e">
        <f t="shared" si="6"/>
        <v>#DIV/0!</v>
      </c>
    </row>
    <row r="87" spans="2:5" ht="15" customHeight="1">
      <c r="B87" s="94" t="s">
        <v>2492</v>
      </c>
      <c r="C87" s="95">
        <f>COUNTIF(Dist,"&lt;=250")</f>
        <v>0</v>
      </c>
      <c r="D87" s="96">
        <f t="shared" si="7"/>
        <v>0</v>
      </c>
      <c r="E87" s="97" t="e">
        <f t="shared" si="6"/>
        <v>#DIV/0!</v>
      </c>
    </row>
    <row r="88" spans="2:5" ht="15" customHeight="1">
      <c r="B88" s="94" t="s">
        <v>2493</v>
      </c>
      <c r="C88" s="95">
        <f>COUNTIF(Dist,"&lt;=700")</f>
        <v>0</v>
      </c>
      <c r="D88" s="96">
        <f t="shared" si="7"/>
        <v>0</v>
      </c>
      <c r="E88" s="97" t="e">
        <f t="shared" si="6"/>
        <v>#DIV/0!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29"/>
  <sheetViews>
    <sheetView zoomScale="60" zoomScaleNormal="60" zoomScaleSheetLayoutView="80" workbookViewId="0">
      <selection activeCell="Z4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0" t="s">
        <v>131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6"/>
      <c r="AD1" s="6"/>
      <c r="AE1" s="6"/>
      <c r="AF1" s="6"/>
      <c r="AG1" s="6"/>
      <c r="AH1" s="6"/>
      <c r="AI1" s="6"/>
    </row>
    <row r="2" spans="2:35" ht="1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7"/>
      <c r="AD2" s="7"/>
      <c r="AE2" s="7"/>
      <c r="AF2" s="7"/>
      <c r="AG2" s="7"/>
      <c r="AH2" s="7"/>
      <c r="AI2" s="7"/>
    </row>
    <row r="3" spans="2:35" ht="15"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</row>
    <row r="4" spans="2:35" ht="15" customHeight="1">
      <c r="B4" s="26" t="s">
        <v>2</v>
      </c>
      <c r="C4" s="45" t="s">
        <v>155</v>
      </c>
      <c r="E4" s="1" t="s">
        <v>67</v>
      </c>
      <c r="F4" s="101" t="s">
        <v>156</v>
      </c>
      <c r="G4" s="102"/>
      <c r="I4" s="27" t="s">
        <v>68</v>
      </c>
      <c r="J4" s="5"/>
      <c r="K4" s="5"/>
      <c r="L4" s="46" t="s">
        <v>157</v>
      </c>
      <c r="M4" s="56"/>
      <c r="N4" s="1" t="s">
        <v>70</v>
      </c>
      <c r="O4" s="103" t="s">
        <v>150</v>
      </c>
      <c r="P4" s="104"/>
      <c r="Q4" s="104"/>
      <c r="R4" s="104"/>
      <c r="S4" s="104"/>
      <c r="T4" s="104"/>
      <c r="V4" s="1" t="s">
        <v>71</v>
      </c>
      <c r="W4" s="42" t="s">
        <v>151</v>
      </c>
      <c r="Y4" s="27" t="s">
        <v>6</v>
      </c>
      <c r="Z4" s="48" t="s">
        <v>149</v>
      </c>
      <c r="AA4" s="31" t="s">
        <v>7</v>
      </c>
      <c r="AB4" s="48" t="s">
        <v>72</v>
      </c>
      <c r="AE4" s="10"/>
      <c r="AF4" s="5"/>
    </row>
    <row r="5" spans="2:35" ht="15" customHeight="1">
      <c r="B5" s="56"/>
      <c r="C5" s="56"/>
      <c r="D5" s="56"/>
      <c r="E5" s="22"/>
      <c r="F5" s="56"/>
      <c r="G5" s="56"/>
      <c r="I5" s="28" t="s">
        <v>69</v>
      </c>
      <c r="J5" s="56"/>
      <c r="K5" s="56"/>
      <c r="L5" s="47" t="s">
        <v>158</v>
      </c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</row>
    <row r="6" spans="2:35" ht="13.5" thickBot="1"/>
    <row r="7" spans="2:35" ht="30.75" customHeight="1">
      <c r="B7" s="105" t="s">
        <v>34</v>
      </c>
      <c r="C7" s="98" t="s">
        <v>58</v>
      </c>
      <c r="D7" s="107" t="s">
        <v>9</v>
      </c>
      <c r="E7" s="98" t="s">
        <v>35</v>
      </c>
      <c r="F7" s="110" t="s">
        <v>12</v>
      </c>
      <c r="G7" s="111"/>
      <c r="H7" s="112"/>
      <c r="I7" s="107" t="s">
        <v>61</v>
      </c>
      <c r="J7" s="98" t="s">
        <v>15</v>
      </c>
      <c r="K7" s="98" t="s">
        <v>132</v>
      </c>
      <c r="L7" s="110" t="s">
        <v>17</v>
      </c>
      <c r="M7" s="111"/>
      <c r="N7" s="112"/>
      <c r="O7" s="107" t="s">
        <v>62</v>
      </c>
      <c r="P7" s="98" t="s">
        <v>18</v>
      </c>
      <c r="Q7" s="98" t="s">
        <v>133</v>
      </c>
      <c r="R7" s="98" t="s">
        <v>134</v>
      </c>
      <c r="S7" s="98" t="s">
        <v>136</v>
      </c>
      <c r="T7" s="98" t="s">
        <v>135</v>
      </c>
      <c r="U7" s="98" t="s">
        <v>63</v>
      </c>
      <c r="V7" s="115" t="s">
        <v>66</v>
      </c>
      <c r="W7" s="116"/>
      <c r="X7" s="117"/>
      <c r="Y7" s="98" t="s">
        <v>65</v>
      </c>
      <c r="Z7" s="98" t="s">
        <v>139</v>
      </c>
      <c r="AA7" s="107" t="s">
        <v>20</v>
      </c>
      <c r="AB7" s="113" t="s">
        <v>21</v>
      </c>
      <c r="AD7" s="19"/>
    </row>
    <row r="8" spans="2:35" ht="38.25" customHeight="1">
      <c r="B8" s="106"/>
      <c r="C8" s="99"/>
      <c r="D8" s="108"/>
      <c r="E8" s="109"/>
      <c r="F8" s="55" t="s">
        <v>73</v>
      </c>
      <c r="G8" s="55" t="s">
        <v>59</v>
      </c>
      <c r="H8" s="24" t="s">
        <v>60</v>
      </c>
      <c r="I8" s="108"/>
      <c r="J8" s="99"/>
      <c r="K8" s="99"/>
      <c r="L8" s="55" t="s">
        <v>73</v>
      </c>
      <c r="M8" s="55" t="s">
        <v>59</v>
      </c>
      <c r="N8" s="55" t="s">
        <v>60</v>
      </c>
      <c r="O8" s="108"/>
      <c r="P8" s="99"/>
      <c r="Q8" s="99"/>
      <c r="R8" s="99"/>
      <c r="S8" s="99"/>
      <c r="T8" s="99"/>
      <c r="U8" s="99"/>
      <c r="V8" s="29" t="s">
        <v>64</v>
      </c>
      <c r="W8" s="30" t="s">
        <v>137</v>
      </c>
      <c r="X8" s="30" t="s">
        <v>138</v>
      </c>
      <c r="Y8" s="99"/>
      <c r="Z8" s="99"/>
      <c r="AA8" s="108"/>
      <c r="AB8" s="114"/>
    </row>
    <row r="9" spans="2:35" s="19" customFormat="1">
      <c r="B9" s="39">
        <v>2.0833333333333332E-2</v>
      </c>
      <c r="C9" s="39"/>
      <c r="D9" s="40">
        <v>1</v>
      </c>
      <c r="E9" s="40">
        <v>6</v>
      </c>
      <c r="F9" s="41" t="s">
        <v>159</v>
      </c>
      <c r="G9" s="41" t="s">
        <v>160</v>
      </c>
      <c r="H9" s="41" t="s">
        <v>170</v>
      </c>
      <c r="I9" s="41"/>
      <c r="J9" s="41">
        <v>4</v>
      </c>
      <c r="K9" s="25" t="str">
        <f>VLOOKUP(J9,Key!$E$2:$F$9,2,FALSE)</f>
        <v>Commercial</v>
      </c>
      <c r="L9" s="41" t="s">
        <v>171</v>
      </c>
      <c r="M9" s="42" t="s">
        <v>160</v>
      </c>
      <c r="N9" s="42" t="s">
        <v>170</v>
      </c>
      <c r="O9" s="42"/>
      <c r="P9" s="42">
        <v>4</v>
      </c>
      <c r="Q9" s="25" t="str">
        <f>VLOOKUP(P9,Key!$E$2:$F$9,2,FALSE)</f>
        <v>Commercial</v>
      </c>
      <c r="R9" s="25" t="str">
        <f>K9&amp;"-"&amp;Q9</f>
        <v>Commercial-Commercial</v>
      </c>
      <c r="S9" s="43"/>
      <c r="T9" s="43">
        <v>1.5</v>
      </c>
      <c r="U9" s="52">
        <v>1</v>
      </c>
      <c r="V9" s="52">
        <v>10</v>
      </c>
      <c r="W9" s="43">
        <v>15</v>
      </c>
      <c r="X9" s="43"/>
      <c r="Y9" s="44"/>
      <c r="Z9" s="53"/>
      <c r="AA9" s="25">
        <f>VLOOKUP(F9,Zones!$A$2:$F$17708,6,FALSE)</f>
        <v>857</v>
      </c>
      <c r="AB9" s="25">
        <f>VLOOKUP(L9,Zones!$A$2:$F$17708,6,FALSE)</f>
        <v>75</v>
      </c>
    </row>
    <row r="10" spans="2:35">
      <c r="B10" s="39">
        <v>0.5625</v>
      </c>
      <c r="C10" s="39"/>
      <c r="D10" s="40">
        <v>11</v>
      </c>
      <c r="E10" s="40">
        <v>2</v>
      </c>
      <c r="F10" s="41" t="s">
        <v>159</v>
      </c>
      <c r="G10" s="41" t="s">
        <v>160</v>
      </c>
      <c r="H10" s="41" t="s">
        <v>170</v>
      </c>
      <c r="I10" s="41"/>
      <c r="J10" s="41">
        <v>4</v>
      </c>
      <c r="K10" s="25" t="str">
        <f>VLOOKUP(J10,Key!$E$2:$F$9,2,FALSE)</f>
        <v>Commercial</v>
      </c>
      <c r="L10" s="41" t="s">
        <v>172</v>
      </c>
      <c r="M10" s="42" t="s">
        <v>173</v>
      </c>
      <c r="N10" s="42" t="s">
        <v>170</v>
      </c>
      <c r="O10" s="42"/>
      <c r="P10" s="42">
        <v>4</v>
      </c>
      <c r="Q10" s="25" t="str">
        <f>VLOOKUP(P10,Key!$E$2:$F$9,2,FALSE)</f>
        <v>Commercial</v>
      </c>
      <c r="R10" s="25" t="str">
        <f t="shared" ref="R10:R23" si="0">K10&amp;"-"&amp;Q10</f>
        <v>Commercial-Commercial</v>
      </c>
      <c r="S10" s="43"/>
      <c r="T10" s="43">
        <v>20</v>
      </c>
      <c r="U10" s="52">
        <v>3</v>
      </c>
      <c r="V10" s="52">
        <v>10</v>
      </c>
      <c r="W10" s="43">
        <v>30</v>
      </c>
      <c r="X10" s="43"/>
      <c r="Y10" s="44"/>
      <c r="Z10" s="53"/>
      <c r="AA10" s="25">
        <f>VLOOKUP(F10,Zones!$A$2:$F$17708,6,FALSE)</f>
        <v>857</v>
      </c>
      <c r="AB10" s="25">
        <f>VLOOKUP(L10,Zones!$A$2:$F$17708,6,FALSE)</f>
        <v>264</v>
      </c>
    </row>
    <row r="11" spans="2:35">
      <c r="B11" s="39">
        <v>0.63888888888888895</v>
      </c>
      <c r="C11" s="39"/>
      <c r="D11" s="40">
        <v>11</v>
      </c>
      <c r="E11" s="40">
        <v>2</v>
      </c>
      <c r="F11" s="41" t="s">
        <v>159</v>
      </c>
      <c r="G11" s="41" t="s">
        <v>160</v>
      </c>
      <c r="H11" s="41" t="s">
        <v>170</v>
      </c>
      <c r="I11" s="41"/>
      <c r="J11" s="41">
        <v>4</v>
      </c>
      <c r="K11" s="25" t="str">
        <f>VLOOKUP(J11,Key!$E$2:$F$9,2,FALSE)</f>
        <v>Commercial</v>
      </c>
      <c r="L11" s="41" t="s">
        <v>172</v>
      </c>
      <c r="M11" s="42" t="s">
        <v>173</v>
      </c>
      <c r="N11" s="42" t="s">
        <v>170</v>
      </c>
      <c r="O11" s="42"/>
      <c r="P11" s="42">
        <v>4</v>
      </c>
      <c r="Q11" s="25" t="str">
        <f>VLOOKUP(P11,Key!$E$2:$F$9,2,FALSE)</f>
        <v>Commercial</v>
      </c>
      <c r="R11" s="25" t="str">
        <f t="shared" si="0"/>
        <v>Commercial-Commercial</v>
      </c>
      <c r="S11" s="43"/>
      <c r="T11" s="43">
        <v>12</v>
      </c>
      <c r="U11" s="52">
        <v>3</v>
      </c>
      <c r="V11" s="52">
        <v>10</v>
      </c>
      <c r="W11" s="43">
        <v>30</v>
      </c>
      <c r="X11" s="43"/>
      <c r="Y11" s="44"/>
      <c r="Z11" s="53"/>
      <c r="AA11" s="25">
        <f>VLOOKUP(F11,Zones!$A$2:$F$17708,6,FALSE)</f>
        <v>857</v>
      </c>
      <c r="AB11" s="25">
        <f>VLOOKUP(L11,Zones!$A$2:$F$17708,6,FALSE)</f>
        <v>264</v>
      </c>
    </row>
    <row r="12" spans="2:35">
      <c r="B12" s="39">
        <v>0.66805555555555562</v>
      </c>
      <c r="C12" s="39"/>
      <c r="D12" s="40">
        <v>8</v>
      </c>
      <c r="E12" s="40">
        <v>1</v>
      </c>
      <c r="F12" s="41" t="s">
        <v>161</v>
      </c>
      <c r="G12" s="41" t="s">
        <v>160</v>
      </c>
      <c r="H12" s="41" t="s">
        <v>170</v>
      </c>
      <c r="I12" s="41"/>
      <c r="J12" s="41">
        <v>4</v>
      </c>
      <c r="K12" s="25" t="str">
        <f>VLOOKUP(J12,Key!$E$2:$F$9,2,FALSE)</f>
        <v>Commercial</v>
      </c>
      <c r="L12" s="41" t="s">
        <v>171</v>
      </c>
      <c r="M12" s="42" t="s">
        <v>160</v>
      </c>
      <c r="N12" s="42" t="s">
        <v>170</v>
      </c>
      <c r="O12" s="42"/>
      <c r="P12" s="42">
        <v>1</v>
      </c>
      <c r="Q12" s="25" t="str">
        <f>VLOOKUP(P12,Key!$E$2:$F$9,2,FALSE)</f>
        <v>Home</v>
      </c>
      <c r="R12" s="25" t="str">
        <f t="shared" si="0"/>
        <v>Commercial-Home</v>
      </c>
      <c r="S12" s="43"/>
      <c r="T12" s="43">
        <v>0.7</v>
      </c>
      <c r="U12" s="52">
        <v>2</v>
      </c>
      <c r="V12" s="52">
        <v>10</v>
      </c>
      <c r="W12" s="43"/>
      <c r="X12" s="43"/>
      <c r="Y12" s="44"/>
      <c r="Z12" s="53"/>
      <c r="AA12" s="25">
        <f>VLOOKUP(F12,Zones!$A$2:$F$17708,6,FALSE)</f>
        <v>1443</v>
      </c>
      <c r="AB12" s="25">
        <f>VLOOKUP(L12,Zones!$A$2:$F$17708,6,FALSE)</f>
        <v>75</v>
      </c>
    </row>
    <row r="13" spans="2:35">
      <c r="B13" s="39">
        <v>0.69444444444444453</v>
      </c>
      <c r="C13" s="39"/>
      <c r="D13" s="40">
        <v>1</v>
      </c>
      <c r="E13" s="40">
        <v>1</v>
      </c>
      <c r="F13" s="41" t="s">
        <v>159</v>
      </c>
      <c r="G13" s="41" t="s">
        <v>160</v>
      </c>
      <c r="H13" s="41" t="s">
        <v>170</v>
      </c>
      <c r="I13" s="41"/>
      <c r="J13" s="41">
        <v>2</v>
      </c>
      <c r="K13" s="25" t="str">
        <f>VLOOKUP(J13,Key!$E$2:$F$9,2,FALSE)</f>
        <v>Work</v>
      </c>
      <c r="L13" s="41" t="s">
        <v>2453</v>
      </c>
      <c r="M13" s="42" t="s">
        <v>175</v>
      </c>
      <c r="N13" s="42" t="s">
        <v>170</v>
      </c>
      <c r="O13" s="42"/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3"/>
      <c r="T13" s="43">
        <v>4</v>
      </c>
      <c r="U13" s="52">
        <v>3</v>
      </c>
      <c r="V13" s="52">
        <v>3</v>
      </c>
      <c r="W13" s="43"/>
      <c r="X13" s="43"/>
      <c r="Y13" s="44"/>
      <c r="Z13" s="53"/>
      <c r="AA13" s="25">
        <f>VLOOKUP(F13,Zones!$A$2:$F$17708,6,FALSE)</f>
        <v>857</v>
      </c>
      <c r="AB13" s="25">
        <f>VLOOKUP(L13,Zones!$A$2:$F$17708,6,FALSE)</f>
        <v>1024</v>
      </c>
    </row>
    <row r="14" spans="2:35">
      <c r="B14" s="39">
        <v>0.41875000000000001</v>
      </c>
      <c r="C14" s="39"/>
      <c r="D14" s="40">
        <v>9</v>
      </c>
      <c r="E14" s="40">
        <v>2</v>
      </c>
      <c r="F14" s="41" t="s">
        <v>162</v>
      </c>
      <c r="G14" s="41" t="s">
        <v>163</v>
      </c>
      <c r="H14" s="41" t="s">
        <v>170</v>
      </c>
      <c r="I14" s="41"/>
      <c r="J14" s="41">
        <v>2</v>
      </c>
      <c r="K14" s="25" t="str">
        <f>VLOOKUP(J14,Key!$E$2:$F$9,2,FALSE)</f>
        <v>Work</v>
      </c>
      <c r="L14" s="41" t="s">
        <v>159</v>
      </c>
      <c r="M14" s="42" t="s">
        <v>160</v>
      </c>
      <c r="N14" s="42" t="s">
        <v>170</v>
      </c>
      <c r="O14" s="42"/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43"/>
      <c r="T14" s="43">
        <v>7</v>
      </c>
      <c r="U14" s="52">
        <v>2</v>
      </c>
      <c r="V14" s="52">
        <v>8</v>
      </c>
      <c r="W14" s="43">
        <v>1.5</v>
      </c>
      <c r="X14" s="43"/>
      <c r="Y14" s="44"/>
      <c r="Z14" s="53"/>
      <c r="AA14" s="25">
        <f>VLOOKUP(F14,Zones!$A$2:$F$17708,6,FALSE)</f>
        <v>94</v>
      </c>
      <c r="AB14" s="25">
        <f>VLOOKUP(L14,Zones!$A$2:$F$17708,6,FALSE)</f>
        <v>857</v>
      </c>
    </row>
    <row r="15" spans="2:35">
      <c r="B15" s="39">
        <v>0.4236111111111111</v>
      </c>
      <c r="C15" s="39"/>
      <c r="D15" s="40">
        <v>5</v>
      </c>
      <c r="E15" s="40">
        <v>68</v>
      </c>
      <c r="F15" s="41" t="s">
        <v>162</v>
      </c>
      <c r="G15" s="41" t="s">
        <v>163</v>
      </c>
      <c r="H15" s="41" t="s">
        <v>170</v>
      </c>
      <c r="I15" s="41"/>
      <c r="J15" s="41">
        <v>8</v>
      </c>
      <c r="K15" s="25" t="str">
        <f>VLOOKUP(J15,Key!$E$2:$F$9,2,FALSE)</f>
        <v>Others</v>
      </c>
      <c r="L15" s="41" t="s">
        <v>159</v>
      </c>
      <c r="M15" s="42" t="s">
        <v>160</v>
      </c>
      <c r="N15" s="42" t="s">
        <v>170</v>
      </c>
      <c r="O15" s="42"/>
      <c r="P15" s="42">
        <v>8</v>
      </c>
      <c r="Q15" s="25" t="str">
        <f>VLOOKUP(P15,Key!$E$2:$F$9,2,FALSE)</f>
        <v>Others</v>
      </c>
      <c r="R15" s="25" t="str">
        <f t="shared" si="0"/>
        <v>Others-Others</v>
      </c>
      <c r="S15" s="43"/>
      <c r="T15" s="43">
        <v>8</v>
      </c>
      <c r="U15" s="52">
        <v>2</v>
      </c>
      <c r="V15" s="52">
        <v>10</v>
      </c>
      <c r="W15" s="43"/>
      <c r="X15" s="43"/>
      <c r="Y15" s="44"/>
      <c r="Z15" s="53"/>
      <c r="AA15" s="25">
        <f>VLOOKUP(F15,Zones!$A$2:$F$17708,6,FALSE)</f>
        <v>94</v>
      </c>
      <c r="AB15" s="25">
        <f>VLOOKUP(L15,Zones!$A$2:$F$17708,6,FALSE)</f>
        <v>857</v>
      </c>
    </row>
    <row r="16" spans="2:35">
      <c r="B16" s="39">
        <v>0.44444444444444442</v>
      </c>
      <c r="C16" s="39"/>
      <c r="D16" s="40">
        <v>5</v>
      </c>
      <c r="E16" s="40">
        <v>6</v>
      </c>
      <c r="F16" s="41" t="s">
        <v>161</v>
      </c>
      <c r="G16" s="41" t="s">
        <v>160</v>
      </c>
      <c r="H16" s="41" t="s">
        <v>170</v>
      </c>
      <c r="I16" s="41"/>
      <c r="J16" s="41">
        <v>2</v>
      </c>
      <c r="K16" s="25" t="str">
        <f>VLOOKUP(J16,Key!$E$2:$F$9,2,FALSE)</f>
        <v>Work</v>
      </c>
      <c r="L16" s="41" t="s">
        <v>176</v>
      </c>
      <c r="M16" s="42" t="s">
        <v>160</v>
      </c>
      <c r="N16" s="42" t="s">
        <v>170</v>
      </c>
      <c r="O16" s="42"/>
      <c r="P16" s="42">
        <v>2</v>
      </c>
      <c r="Q16" s="25" t="str">
        <f>VLOOKUP(P16,Key!$E$2:$F$9,2,FALSE)</f>
        <v>Work</v>
      </c>
      <c r="R16" s="25" t="str">
        <f t="shared" si="0"/>
        <v>Work-Work</v>
      </c>
      <c r="S16" s="43"/>
      <c r="T16" s="43">
        <v>6.5</v>
      </c>
      <c r="U16" s="52">
        <v>6</v>
      </c>
      <c r="V16" s="52">
        <v>10</v>
      </c>
      <c r="W16" s="43">
        <v>6</v>
      </c>
      <c r="X16" s="43"/>
      <c r="Y16" s="44"/>
      <c r="Z16" s="53"/>
      <c r="AA16" s="25">
        <f>VLOOKUP(F16,Zones!$A$2:$F$17708,6,FALSE)</f>
        <v>1443</v>
      </c>
      <c r="AB16" s="25">
        <f>VLOOKUP(L16,Zones!$A$2:$F$17708,6,FALSE)</f>
        <v>75</v>
      </c>
    </row>
    <row r="17" spans="2:28">
      <c r="B17" s="39">
        <v>0.4458333333333333</v>
      </c>
      <c r="C17" s="39"/>
      <c r="D17" s="40">
        <v>5</v>
      </c>
      <c r="E17" s="40">
        <v>3</v>
      </c>
      <c r="F17" s="41" t="s">
        <v>164</v>
      </c>
      <c r="G17" s="41" t="s">
        <v>165</v>
      </c>
      <c r="H17" s="41" t="s">
        <v>178</v>
      </c>
      <c r="I17" s="41"/>
      <c r="J17" s="41">
        <v>2</v>
      </c>
      <c r="K17" s="25" t="str">
        <f>VLOOKUP(J17,Key!$E$2:$F$9,2,FALSE)</f>
        <v>Work</v>
      </c>
      <c r="L17" s="41" t="s">
        <v>176</v>
      </c>
      <c r="M17" s="42" t="s">
        <v>160</v>
      </c>
      <c r="N17" s="42" t="s">
        <v>170</v>
      </c>
      <c r="O17" s="42"/>
      <c r="P17" s="42">
        <v>4</v>
      </c>
      <c r="Q17" s="25" t="str">
        <f>VLOOKUP(P17,Key!$E$2:$F$9,2,FALSE)</f>
        <v>Commercial</v>
      </c>
      <c r="R17" s="25" t="str">
        <f t="shared" si="0"/>
        <v>Work-Commercial</v>
      </c>
      <c r="S17" s="43"/>
      <c r="T17" s="43">
        <v>5</v>
      </c>
      <c r="U17" s="52">
        <v>4</v>
      </c>
      <c r="V17" s="52">
        <v>10</v>
      </c>
      <c r="W17" s="43"/>
      <c r="X17" s="43"/>
      <c r="Y17" s="44"/>
      <c r="Z17" s="53"/>
      <c r="AA17" s="25">
        <f>VLOOKUP(F17,Zones!$A$2:$F$17708,6,FALSE)</f>
        <v>1443</v>
      </c>
      <c r="AB17" s="25">
        <f>VLOOKUP(L17,Zones!$A$2:$F$17708,6,FALSE)</f>
        <v>75</v>
      </c>
    </row>
    <row r="18" spans="2:28">
      <c r="B18" s="39">
        <v>0.45208333333333334</v>
      </c>
      <c r="C18" s="39"/>
      <c r="D18" s="40">
        <v>5</v>
      </c>
      <c r="E18" s="40">
        <v>10</v>
      </c>
      <c r="F18" s="41" t="s">
        <v>166</v>
      </c>
      <c r="G18" s="41" t="s">
        <v>167</v>
      </c>
      <c r="H18" s="41" t="s">
        <v>170</v>
      </c>
      <c r="I18" s="41"/>
      <c r="J18" s="41">
        <v>5</v>
      </c>
      <c r="K18" s="25" t="str">
        <f>VLOOKUP(J18,Key!$E$2:$F$9,2,FALSE)</f>
        <v>Tourism</v>
      </c>
      <c r="L18" s="41" t="s">
        <v>176</v>
      </c>
      <c r="M18" s="42" t="s">
        <v>160</v>
      </c>
      <c r="N18" s="42" t="s">
        <v>170</v>
      </c>
      <c r="O18" s="42"/>
      <c r="P18" s="42">
        <v>4</v>
      </c>
      <c r="Q18" s="25" t="str">
        <f>VLOOKUP(P18,Key!$E$2:$F$9,2,FALSE)</f>
        <v>Commercial</v>
      </c>
      <c r="R18" s="25" t="str">
        <f t="shared" si="0"/>
        <v>Tourism-Commercial</v>
      </c>
      <c r="S18" s="43"/>
      <c r="T18" s="43">
        <v>1.5</v>
      </c>
      <c r="U18" s="52">
        <v>5</v>
      </c>
      <c r="V18" s="52">
        <v>10</v>
      </c>
      <c r="W18" s="43"/>
      <c r="X18" s="43"/>
      <c r="Y18" s="44"/>
      <c r="Z18" s="53"/>
      <c r="AA18" s="25">
        <f>VLOOKUP(F18,Zones!$A$2:$F$17708,6,FALSE)</f>
        <v>336</v>
      </c>
      <c r="AB18" s="25">
        <f>VLOOKUP(L18,Zones!$A$2:$F$17708,6,FALSE)</f>
        <v>75</v>
      </c>
    </row>
    <row r="19" spans="2:28">
      <c r="B19" s="39">
        <v>3.7499999999999999E-2</v>
      </c>
      <c r="C19" s="39"/>
      <c r="D19" s="40">
        <v>2</v>
      </c>
      <c r="E19" s="40">
        <v>4</v>
      </c>
      <c r="F19" s="41" t="s">
        <v>168</v>
      </c>
      <c r="G19" s="41" t="s">
        <v>160</v>
      </c>
      <c r="H19" s="41" t="s">
        <v>170</v>
      </c>
      <c r="I19" s="41"/>
      <c r="J19" s="41">
        <v>1</v>
      </c>
      <c r="K19" s="25" t="str">
        <f>VLOOKUP(J19,Key!$E$2:$F$9,2,FALSE)</f>
        <v>Home</v>
      </c>
      <c r="L19" s="41" t="s">
        <v>159</v>
      </c>
      <c r="M19" s="42" t="s">
        <v>160</v>
      </c>
      <c r="N19" s="42" t="s">
        <v>170</v>
      </c>
      <c r="O19" s="42"/>
      <c r="P19" s="42">
        <v>4</v>
      </c>
      <c r="Q19" s="25" t="str">
        <f>VLOOKUP(P19,Key!$E$2:$F$9,2,FALSE)</f>
        <v>Commercial</v>
      </c>
      <c r="R19" s="25" t="str">
        <f t="shared" si="0"/>
        <v>Home-Commercial</v>
      </c>
      <c r="S19" s="43"/>
      <c r="T19" s="43">
        <v>0.5</v>
      </c>
      <c r="U19" s="52">
        <v>3</v>
      </c>
      <c r="V19" s="52">
        <v>10</v>
      </c>
      <c r="W19" s="43"/>
      <c r="X19" s="43"/>
      <c r="Y19" s="44"/>
      <c r="Z19" s="53"/>
      <c r="AA19" s="25">
        <f>VLOOKUP(F19,Zones!$A$2:$F$17708,6,FALSE)</f>
        <v>75</v>
      </c>
      <c r="AB19" s="25">
        <f>VLOOKUP(L19,Zones!$A$2:$F$17708,6,FALSE)</f>
        <v>857</v>
      </c>
    </row>
    <row r="20" spans="2:28">
      <c r="B20" s="39">
        <v>0.60277777777777775</v>
      </c>
      <c r="C20" s="39"/>
      <c r="D20" s="40">
        <v>8</v>
      </c>
      <c r="E20" s="40">
        <v>5</v>
      </c>
      <c r="F20" s="41" t="s">
        <v>169</v>
      </c>
      <c r="G20" s="41" t="s">
        <v>169</v>
      </c>
      <c r="H20" s="41" t="s">
        <v>170</v>
      </c>
      <c r="I20" s="41"/>
      <c r="J20" s="41">
        <v>2</v>
      </c>
      <c r="K20" s="25" t="str">
        <f>VLOOKUP(J20,Key!$E$2:$F$9,2,FALSE)</f>
        <v>Work</v>
      </c>
      <c r="L20" s="41" t="s">
        <v>159</v>
      </c>
      <c r="M20" s="42" t="s">
        <v>160</v>
      </c>
      <c r="N20" s="42" t="s">
        <v>170</v>
      </c>
      <c r="O20" s="42"/>
      <c r="P20" s="42">
        <v>4</v>
      </c>
      <c r="Q20" s="25" t="str">
        <f>VLOOKUP(P20,Key!$E$2:$F$9,2,FALSE)</f>
        <v>Commercial</v>
      </c>
      <c r="R20" s="25" t="str">
        <f t="shared" si="0"/>
        <v>Work-Commercial</v>
      </c>
      <c r="S20" s="43"/>
      <c r="T20" s="43">
        <v>1.5</v>
      </c>
      <c r="U20" s="52">
        <v>3</v>
      </c>
      <c r="V20" s="52"/>
      <c r="W20" s="43"/>
      <c r="X20" s="43"/>
      <c r="Y20" s="44"/>
      <c r="Z20" s="53"/>
      <c r="AA20" s="25">
        <f>VLOOKUP(F20,Zones!$A$2:$F$17708,6,FALSE)</f>
        <v>7</v>
      </c>
      <c r="AB20" s="25">
        <f>VLOOKUP(L20,Zones!$A$2:$F$17708,6,FALSE)</f>
        <v>857</v>
      </c>
    </row>
    <row r="21" spans="2:28">
      <c r="B21" s="39">
        <v>0.67499999999999993</v>
      </c>
      <c r="C21" s="39"/>
      <c r="D21" s="40">
        <v>10</v>
      </c>
      <c r="E21" s="40">
        <v>2</v>
      </c>
      <c r="F21" s="41" t="s">
        <v>161</v>
      </c>
      <c r="G21" s="41" t="s">
        <v>160</v>
      </c>
      <c r="H21" s="41" t="s">
        <v>170</v>
      </c>
      <c r="I21" s="41"/>
      <c r="J21" s="41">
        <v>4</v>
      </c>
      <c r="K21" s="25" t="str">
        <f>VLOOKUP(J21,Key!$E$2:$F$9,2,FALSE)</f>
        <v>Commercial</v>
      </c>
      <c r="L21" s="41" t="s">
        <v>177</v>
      </c>
      <c r="M21" s="42" t="s">
        <v>177</v>
      </c>
      <c r="N21" s="42" t="s">
        <v>170</v>
      </c>
      <c r="O21" s="42"/>
      <c r="P21" s="42">
        <v>4</v>
      </c>
      <c r="Q21" s="25" t="str">
        <f>VLOOKUP(P21,Key!$E$2:$F$9,2,FALSE)</f>
        <v>Commercial</v>
      </c>
      <c r="R21" s="25" t="str">
        <f t="shared" si="0"/>
        <v>Commercial-Commercial</v>
      </c>
      <c r="S21" s="43"/>
      <c r="T21" s="43">
        <v>5</v>
      </c>
      <c r="U21" s="52">
        <v>3</v>
      </c>
      <c r="V21" s="52">
        <v>10</v>
      </c>
      <c r="W21" s="43"/>
      <c r="X21" s="43"/>
      <c r="Y21" s="44"/>
      <c r="Z21" s="53"/>
      <c r="AA21" s="25">
        <f>VLOOKUP(F21,Zones!$A$2:$F$17708,6,FALSE)</f>
        <v>1443</v>
      </c>
      <c r="AB21" s="25">
        <f>VLOOKUP(L21,Zones!$A$2:$F$17708,6,FALSE)</f>
        <v>759</v>
      </c>
    </row>
    <row r="22" spans="2:28">
      <c r="B22" s="39">
        <v>0.72916666666666663</v>
      </c>
      <c r="C22" s="39"/>
      <c r="D22" s="40">
        <v>2</v>
      </c>
      <c r="E22" s="40">
        <v>3</v>
      </c>
      <c r="F22" s="41" t="s">
        <v>166</v>
      </c>
      <c r="G22" s="41" t="s">
        <v>167</v>
      </c>
      <c r="H22" s="41" t="s">
        <v>170</v>
      </c>
      <c r="I22" s="41"/>
      <c r="J22" s="41">
        <v>4</v>
      </c>
      <c r="K22" s="25" t="str">
        <f>VLOOKUP(J22,Key!$E$2:$F$9,2,FALSE)</f>
        <v>Commercial</v>
      </c>
      <c r="L22" s="41" t="s">
        <v>159</v>
      </c>
      <c r="M22" s="42" t="s">
        <v>160</v>
      </c>
      <c r="N22" s="42" t="s">
        <v>170</v>
      </c>
      <c r="O22" s="42"/>
      <c r="P22" s="42">
        <v>4</v>
      </c>
      <c r="Q22" s="25" t="str">
        <f>VLOOKUP(P22,Key!$E$2:$F$9,2,FALSE)</f>
        <v>Commercial</v>
      </c>
      <c r="R22" s="25" t="str">
        <f t="shared" si="0"/>
        <v>Commercial-Commercial</v>
      </c>
      <c r="S22" s="43"/>
      <c r="T22" s="43">
        <v>1.5</v>
      </c>
      <c r="U22" s="52">
        <v>4</v>
      </c>
      <c r="V22" s="52">
        <v>9</v>
      </c>
      <c r="W22" s="43">
        <v>1</v>
      </c>
      <c r="X22" s="43"/>
      <c r="Y22" s="44"/>
      <c r="Z22" s="53"/>
      <c r="AA22" s="25">
        <f>VLOOKUP(F22,Zones!$A$2:$F$17708,6,FALSE)</f>
        <v>336</v>
      </c>
      <c r="AB22" s="25">
        <f>VLOOKUP(L22,Zones!$A$2:$F$17708,6,FALSE)</f>
        <v>857</v>
      </c>
    </row>
    <row r="23" spans="2:28">
      <c r="B23" s="39">
        <v>0.74861111111111101</v>
      </c>
      <c r="C23" s="39"/>
      <c r="D23" s="40">
        <v>1</v>
      </c>
      <c r="E23" s="40">
        <v>2</v>
      </c>
      <c r="F23" s="41" t="s">
        <v>164</v>
      </c>
      <c r="G23" s="41" t="s">
        <v>165</v>
      </c>
      <c r="H23" s="41" t="s">
        <v>178</v>
      </c>
      <c r="I23" s="41"/>
      <c r="J23" s="41">
        <v>4</v>
      </c>
      <c r="K23" s="25" t="str">
        <f>VLOOKUP(J23,Key!$E$2:$F$9,2,FALSE)</f>
        <v>Commercial</v>
      </c>
      <c r="L23" s="41" t="s">
        <v>159</v>
      </c>
      <c r="M23" s="42" t="s">
        <v>160</v>
      </c>
      <c r="N23" s="42" t="s">
        <v>170</v>
      </c>
      <c r="O23" s="42"/>
      <c r="P23" s="42">
        <v>1</v>
      </c>
      <c r="Q23" s="25" t="str">
        <f>VLOOKUP(P23,Key!$E$2:$F$9,2,FALSE)</f>
        <v>Home</v>
      </c>
      <c r="R23" s="25" t="str">
        <f t="shared" si="0"/>
        <v>Commercial-Home</v>
      </c>
      <c r="S23" s="43"/>
      <c r="T23" s="43">
        <v>11</v>
      </c>
      <c r="U23" s="52">
        <v>3</v>
      </c>
      <c r="V23" s="52">
        <v>10</v>
      </c>
      <c r="W23" s="43"/>
      <c r="X23" s="43"/>
      <c r="Y23" s="44"/>
      <c r="Z23" s="53"/>
      <c r="AA23" s="25">
        <f>VLOOKUP(F23,Zones!$A$2:$F$17708,6,FALSE)</f>
        <v>1443</v>
      </c>
      <c r="AB23" s="25">
        <f>VLOOKUP(L23,Zones!$A$2:$F$17708,6,FALSE)</f>
        <v>857</v>
      </c>
    </row>
    <row r="24" spans="2:28">
      <c r="B24" s="39">
        <v>0.77083333333333337</v>
      </c>
      <c r="C24" s="39"/>
      <c r="D24" s="40">
        <v>2</v>
      </c>
      <c r="E24" s="40">
        <v>2</v>
      </c>
      <c r="F24" s="41" t="s">
        <v>179</v>
      </c>
      <c r="G24" s="41" t="s">
        <v>160</v>
      </c>
      <c r="H24" s="41" t="s">
        <v>170</v>
      </c>
      <c r="I24" s="41"/>
      <c r="J24" s="41">
        <v>2</v>
      </c>
      <c r="K24" s="25" t="str">
        <f>VLOOKUP(J24,Key!$E$2:$F$9,2,FALSE)</f>
        <v>Work</v>
      </c>
      <c r="L24" s="41" t="s">
        <v>166</v>
      </c>
      <c r="M24" s="42" t="s">
        <v>167</v>
      </c>
      <c r="N24" s="42" t="s">
        <v>170</v>
      </c>
      <c r="O24" s="42"/>
      <c r="P24" s="42">
        <v>1</v>
      </c>
      <c r="Q24" s="25" t="str">
        <f>VLOOKUP(P24,Key!$E$2:$F$9,2,FALSE)</f>
        <v>Home</v>
      </c>
      <c r="R24" s="25" t="str">
        <f>K24&amp;"-"&amp;Q24</f>
        <v>Work-Home</v>
      </c>
      <c r="S24" s="43"/>
      <c r="T24" s="43">
        <v>2.5</v>
      </c>
      <c r="U24" s="52">
        <v>2</v>
      </c>
      <c r="V24" s="52">
        <v>9</v>
      </c>
      <c r="W24" s="43"/>
      <c r="X24" s="43"/>
      <c r="Y24" s="44"/>
      <c r="Z24" s="53"/>
      <c r="AA24" s="25">
        <f>VLOOKUP(F24,Zones!$A$2:$F$17708,6,FALSE)</f>
        <v>61</v>
      </c>
      <c r="AB24" s="25">
        <f>VLOOKUP(L24,Zones!$A$2:$F$17708,6,FALSE)</f>
        <v>336</v>
      </c>
    </row>
    <row r="25" spans="2:28">
      <c r="B25" s="39">
        <v>0.39305555555555555</v>
      </c>
      <c r="C25" s="39"/>
      <c r="D25" s="40">
        <v>10</v>
      </c>
      <c r="E25" s="40">
        <v>1</v>
      </c>
      <c r="F25" s="41" t="s">
        <v>2453</v>
      </c>
      <c r="G25" s="41" t="s">
        <v>175</v>
      </c>
      <c r="H25" s="41" t="s">
        <v>170</v>
      </c>
      <c r="I25" s="41"/>
      <c r="J25" s="41">
        <v>2</v>
      </c>
      <c r="K25" s="25" t="str">
        <f>VLOOKUP(J25,Key!$E$2:$F$9,2,FALSE)</f>
        <v>Work</v>
      </c>
      <c r="L25" s="41" t="s">
        <v>181</v>
      </c>
      <c r="M25" s="42" t="s">
        <v>177</v>
      </c>
      <c r="N25" s="42" t="s">
        <v>170</v>
      </c>
      <c r="O25" s="42"/>
      <c r="P25" s="42">
        <v>4</v>
      </c>
      <c r="Q25" s="25" t="str">
        <f>VLOOKUP(P25,Key!$E$2:$F$9,2,FALSE)</f>
        <v>Commercial</v>
      </c>
      <c r="R25" s="25" t="str">
        <f t="shared" ref="R25:R29" si="1">K25&amp;"-"&amp;Q25</f>
        <v>Work-Commercial</v>
      </c>
      <c r="S25" s="43"/>
      <c r="T25" s="43">
        <v>8</v>
      </c>
      <c r="U25" s="52">
        <v>3</v>
      </c>
      <c r="V25" s="52"/>
      <c r="W25" s="43"/>
      <c r="X25" s="43"/>
      <c r="Y25" s="44"/>
      <c r="Z25" s="53"/>
      <c r="AA25" s="25">
        <f>VLOOKUP(F25,Zones!$A$2:$F$17708,6,FALSE)</f>
        <v>1024</v>
      </c>
      <c r="AB25" s="25">
        <f>VLOOKUP(L25,Zones!$A$2:$F$17708,6,FALSE)</f>
        <v>767</v>
      </c>
    </row>
    <row r="26" spans="2:28">
      <c r="B26" s="39">
        <v>0.37986111111111115</v>
      </c>
      <c r="C26" s="39"/>
      <c r="D26" s="40">
        <v>8</v>
      </c>
      <c r="E26" s="40">
        <v>2</v>
      </c>
      <c r="F26" s="41" t="s">
        <v>168</v>
      </c>
      <c r="G26" s="41" t="s">
        <v>160</v>
      </c>
      <c r="H26" s="41" t="s">
        <v>170</v>
      </c>
      <c r="I26" s="41"/>
      <c r="J26" s="41">
        <v>1</v>
      </c>
      <c r="K26" s="25" t="str">
        <f>VLOOKUP(J26,Key!$E$2:$F$9,2,FALSE)</f>
        <v>Home</v>
      </c>
      <c r="L26" s="41" t="s">
        <v>176</v>
      </c>
      <c r="M26" s="42" t="s">
        <v>160</v>
      </c>
      <c r="N26" s="42" t="s">
        <v>170</v>
      </c>
      <c r="O26" s="42"/>
      <c r="P26" s="42">
        <v>1</v>
      </c>
      <c r="Q26" s="25" t="str">
        <f>VLOOKUP(P26,Key!$E$2:$F$9,2,FALSE)</f>
        <v>Home</v>
      </c>
      <c r="R26" s="25" t="str">
        <f t="shared" si="1"/>
        <v>Home-Home</v>
      </c>
      <c r="S26" s="43"/>
      <c r="T26" s="43">
        <v>0.7</v>
      </c>
      <c r="U26" s="52">
        <v>3</v>
      </c>
      <c r="V26" s="52"/>
      <c r="W26" s="43"/>
      <c r="X26" s="43"/>
      <c r="Y26" s="44"/>
      <c r="Z26" s="53"/>
      <c r="AA26" s="25">
        <f>VLOOKUP(F26,Zones!$A$2:$F$17708,6,FALSE)</f>
        <v>75</v>
      </c>
      <c r="AB26" s="25">
        <f>VLOOKUP(L26,Zones!$A$2:$F$17708,6,FALSE)</f>
        <v>75</v>
      </c>
    </row>
    <row r="27" spans="2:28">
      <c r="B27" s="39">
        <v>0.34027777777777773</v>
      </c>
      <c r="C27" s="39"/>
      <c r="D27" s="40">
        <v>8</v>
      </c>
      <c r="E27" s="40">
        <v>1</v>
      </c>
      <c r="F27" s="41" t="s">
        <v>166</v>
      </c>
      <c r="G27" s="41" t="s">
        <v>167</v>
      </c>
      <c r="H27" s="41" t="s">
        <v>170</v>
      </c>
      <c r="I27" s="41"/>
      <c r="J27" s="41">
        <v>2</v>
      </c>
      <c r="K27" s="25" t="str">
        <f>VLOOKUP(J27,Key!$E$2:$F$9,2,FALSE)</f>
        <v>Work</v>
      </c>
      <c r="L27" s="41" t="s">
        <v>182</v>
      </c>
      <c r="M27" s="42" t="s">
        <v>160</v>
      </c>
      <c r="N27" s="42" t="s">
        <v>170</v>
      </c>
      <c r="O27" s="42"/>
      <c r="P27" s="42">
        <v>4</v>
      </c>
      <c r="Q27" s="25" t="str">
        <f>VLOOKUP(P27,Key!$E$2:$F$9,2,FALSE)</f>
        <v>Commercial</v>
      </c>
      <c r="R27" s="25" t="str">
        <f t="shared" si="1"/>
        <v>Work-Commercial</v>
      </c>
      <c r="S27" s="43"/>
      <c r="T27" s="43">
        <v>1.5</v>
      </c>
      <c r="U27" s="52">
        <v>2</v>
      </c>
      <c r="V27" s="52">
        <v>10</v>
      </c>
      <c r="W27" s="43"/>
      <c r="X27" s="43"/>
      <c r="Y27" s="44"/>
      <c r="Z27" s="53"/>
      <c r="AA27" s="25">
        <f>VLOOKUP(F27,Zones!$A$2:$F$17708,6,FALSE)</f>
        <v>336</v>
      </c>
      <c r="AB27" s="25">
        <f>VLOOKUP(L27,Zones!$A$2:$F$17708,6,FALSE)</f>
        <v>75</v>
      </c>
    </row>
    <row r="28" spans="2:28">
      <c r="B28" s="39">
        <v>0.34375</v>
      </c>
      <c r="C28" s="39"/>
      <c r="D28" s="40">
        <v>8</v>
      </c>
      <c r="E28" s="40">
        <v>2</v>
      </c>
      <c r="F28" s="41" t="s">
        <v>166</v>
      </c>
      <c r="G28" s="41" t="s">
        <v>167</v>
      </c>
      <c r="H28" s="41" t="s">
        <v>170</v>
      </c>
      <c r="I28" s="41"/>
      <c r="J28" s="41">
        <v>2</v>
      </c>
      <c r="K28" s="25" t="str">
        <f>VLOOKUP(J28,Key!$E$2:$F$9,2,FALSE)</f>
        <v>Work</v>
      </c>
      <c r="L28" s="41" t="s">
        <v>183</v>
      </c>
      <c r="M28" s="42" t="s">
        <v>160</v>
      </c>
      <c r="N28" s="42" t="s">
        <v>170</v>
      </c>
      <c r="O28" s="42"/>
      <c r="P28" s="42">
        <v>4</v>
      </c>
      <c r="Q28" s="25" t="str">
        <f>VLOOKUP(P28,Key!$E$2:$F$9,2,FALSE)</f>
        <v>Commercial</v>
      </c>
      <c r="R28" s="25" t="str">
        <f t="shared" si="1"/>
        <v>Work-Commercial</v>
      </c>
      <c r="S28" s="43"/>
      <c r="T28" s="43">
        <v>1.5</v>
      </c>
      <c r="U28" s="52">
        <v>1</v>
      </c>
      <c r="V28" s="52"/>
      <c r="W28" s="43"/>
      <c r="X28" s="43"/>
      <c r="Y28" s="44"/>
      <c r="Z28" s="53"/>
      <c r="AA28" s="25">
        <f>VLOOKUP(F28,Zones!$A$2:$F$17708,6,FALSE)</f>
        <v>336</v>
      </c>
      <c r="AB28" s="25">
        <f>VLOOKUP(L28,Zones!$A$2:$F$17708,6,FALSE)</f>
        <v>75</v>
      </c>
    </row>
    <row r="29" spans="2:28">
      <c r="B29" s="39">
        <v>0.33749999999999997</v>
      </c>
      <c r="C29" s="39"/>
      <c r="D29" s="40">
        <v>8</v>
      </c>
      <c r="E29" s="40">
        <v>2</v>
      </c>
      <c r="F29" s="41" t="s">
        <v>180</v>
      </c>
      <c r="G29" s="41" t="s">
        <v>180</v>
      </c>
      <c r="H29" s="41" t="s">
        <v>170</v>
      </c>
      <c r="I29" s="41"/>
      <c r="J29" s="41">
        <v>1</v>
      </c>
      <c r="K29" s="25" t="str">
        <f>VLOOKUP(J29,Key!$E$2:$F$9,2,FALSE)</f>
        <v>Home</v>
      </c>
      <c r="L29" s="41" t="s">
        <v>184</v>
      </c>
      <c r="M29" s="42" t="s">
        <v>177</v>
      </c>
      <c r="N29" s="42" t="s">
        <v>170</v>
      </c>
      <c r="O29" s="42"/>
      <c r="P29" s="42">
        <v>4</v>
      </c>
      <c r="Q29" s="25" t="str">
        <f>VLOOKUP(P29,Key!$E$2:$F$9,2,FALSE)</f>
        <v>Commercial</v>
      </c>
      <c r="R29" s="25" t="str">
        <f t="shared" si="1"/>
        <v>Home-Commercial</v>
      </c>
      <c r="S29" s="43"/>
      <c r="T29" s="43">
        <v>8</v>
      </c>
      <c r="U29" s="52">
        <v>3</v>
      </c>
      <c r="V29" s="52"/>
      <c r="W29" s="43"/>
      <c r="X29" s="43"/>
      <c r="Y29" s="44"/>
      <c r="Z29" s="53"/>
      <c r="AA29" s="25">
        <f>VLOOKUP(F29,Zones!$A$2:$F$17708,6,FALSE)</f>
        <v>522</v>
      </c>
      <c r="AB29" s="25">
        <f>VLOOKUP(L29,Zones!$A$2:$F$17708,6,FALSE)</f>
        <v>759</v>
      </c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72"/>
  <sheetViews>
    <sheetView topLeftCell="A2109" zoomScaleNormal="100" workbookViewId="0">
      <selection activeCell="F1816" sqref="F1816:F1818"/>
    </sheetView>
  </sheetViews>
  <sheetFormatPr defaultRowHeight="15"/>
  <cols>
    <col min="1" max="1" width="23.28515625" style="57" customWidth="1"/>
    <col min="2" max="2" width="17.85546875" style="57" customWidth="1"/>
    <col min="3" max="3" width="15" style="57" customWidth="1"/>
    <col min="4" max="4" width="19.42578125" style="57" customWidth="1"/>
    <col min="5" max="5" width="17.7109375" style="57" customWidth="1"/>
    <col min="6" max="6" width="9.140625" style="57"/>
    <col min="7" max="7" width="35.42578125" style="57" customWidth="1"/>
    <col min="8" max="16384" width="9.140625" style="57"/>
  </cols>
  <sheetData>
    <row r="1" spans="1:6">
      <c r="A1" s="58" t="s">
        <v>185</v>
      </c>
      <c r="B1" s="58" t="s">
        <v>186</v>
      </c>
      <c r="C1" s="58" t="s">
        <v>187</v>
      </c>
      <c r="D1" s="58" t="s">
        <v>188</v>
      </c>
      <c r="E1" s="58" t="s">
        <v>189</v>
      </c>
      <c r="F1" s="59" t="s">
        <v>190</v>
      </c>
    </row>
    <row r="2" spans="1:6">
      <c r="A2" s="57" t="s">
        <v>191</v>
      </c>
      <c r="B2" s="57" t="s">
        <v>191</v>
      </c>
      <c r="C2" s="57" t="s">
        <v>192</v>
      </c>
      <c r="D2" s="57" t="str">
        <f>A2</f>
        <v>Abim</v>
      </c>
      <c r="F2" s="57">
        <v>1</v>
      </c>
    </row>
    <row r="3" spans="1:6">
      <c r="A3" s="57" t="s">
        <v>193</v>
      </c>
      <c r="B3" s="57" t="s">
        <v>191</v>
      </c>
      <c r="C3" s="57" t="s">
        <v>192</v>
      </c>
      <c r="D3" s="57" t="str">
        <f t="shared" ref="D3:D66" si="0">A3</f>
        <v>Abim Town Council</v>
      </c>
      <c r="F3" s="57">
        <v>2</v>
      </c>
    </row>
    <row r="4" spans="1:6">
      <c r="A4" s="57" t="s">
        <v>194</v>
      </c>
      <c r="B4" s="57" t="s">
        <v>191</v>
      </c>
      <c r="C4" s="57" t="s">
        <v>192</v>
      </c>
      <c r="D4" s="57" t="str">
        <f t="shared" si="0"/>
        <v>Alerek</v>
      </c>
      <c r="F4" s="57">
        <v>3</v>
      </c>
    </row>
    <row r="5" spans="1:6">
      <c r="A5" s="57" t="s">
        <v>195</v>
      </c>
      <c r="B5" s="57" t="s">
        <v>191</v>
      </c>
      <c r="C5" s="57" t="s">
        <v>192</v>
      </c>
      <c r="D5" s="57" t="str">
        <f t="shared" si="0"/>
        <v>Lotukei</v>
      </c>
      <c r="F5" s="57">
        <v>4</v>
      </c>
    </row>
    <row r="6" spans="1:6">
      <c r="A6" s="57" t="s">
        <v>196</v>
      </c>
      <c r="B6" s="57" t="s">
        <v>191</v>
      </c>
      <c r="C6" s="57" t="s">
        <v>192</v>
      </c>
      <c r="D6" s="57" t="str">
        <f t="shared" si="0"/>
        <v>Morulem</v>
      </c>
      <c r="F6" s="57">
        <v>5</v>
      </c>
    </row>
    <row r="7" spans="1:6">
      <c r="A7" s="57" t="s">
        <v>197</v>
      </c>
      <c r="B7" s="57" t="s">
        <v>191</v>
      </c>
      <c r="C7" s="57" t="s">
        <v>192</v>
      </c>
      <c r="D7" s="57" t="str">
        <f t="shared" si="0"/>
        <v>Nyakwae</v>
      </c>
      <c r="F7" s="57">
        <v>6</v>
      </c>
    </row>
    <row r="8" spans="1:6">
      <c r="A8" s="57" t="s">
        <v>198</v>
      </c>
      <c r="D8" s="57" t="str">
        <f t="shared" si="0"/>
        <v>Adjumani</v>
      </c>
      <c r="F8" s="57">
        <v>7</v>
      </c>
    </row>
    <row r="9" spans="1:6">
      <c r="A9" s="57" t="s">
        <v>199</v>
      </c>
      <c r="B9" s="57" t="s">
        <v>198</v>
      </c>
      <c r="C9" s="57" t="s">
        <v>200</v>
      </c>
      <c r="D9" s="57" t="str">
        <f t="shared" si="0"/>
        <v>Adjumani Town Council</v>
      </c>
      <c r="F9" s="57">
        <v>7</v>
      </c>
    </row>
    <row r="10" spans="1:6">
      <c r="A10" s="57" t="s">
        <v>201</v>
      </c>
      <c r="B10" s="57" t="s">
        <v>198</v>
      </c>
      <c r="C10" s="57" t="s">
        <v>200</v>
      </c>
      <c r="D10" s="57" t="str">
        <f t="shared" si="0"/>
        <v>Adropi</v>
      </c>
      <c r="F10" s="57">
        <v>8</v>
      </c>
    </row>
    <row r="11" spans="1:6">
      <c r="A11" s="57" t="s">
        <v>202</v>
      </c>
      <c r="B11" s="57" t="s">
        <v>198</v>
      </c>
      <c r="C11" s="57" t="s">
        <v>200</v>
      </c>
      <c r="D11" s="57" t="str">
        <f t="shared" si="0"/>
        <v>Arinyapi</v>
      </c>
      <c r="F11" s="57">
        <v>9</v>
      </c>
    </row>
    <row r="12" spans="1:6">
      <c r="A12" s="57" t="s">
        <v>203</v>
      </c>
      <c r="B12" s="57" t="s">
        <v>198</v>
      </c>
      <c r="C12" s="57" t="s">
        <v>200</v>
      </c>
      <c r="D12" s="57" t="str">
        <f t="shared" si="0"/>
        <v>Ciforo</v>
      </c>
      <c r="F12" s="57">
        <v>10</v>
      </c>
    </row>
    <row r="13" spans="1:6">
      <c r="A13" s="57" t="s">
        <v>204</v>
      </c>
      <c r="B13" s="57" t="s">
        <v>198</v>
      </c>
      <c r="C13" s="57" t="s">
        <v>200</v>
      </c>
      <c r="D13" s="57" t="str">
        <f t="shared" si="0"/>
        <v>Dzaipi</v>
      </c>
      <c r="F13" s="57">
        <v>11</v>
      </c>
    </row>
    <row r="14" spans="1:6">
      <c r="A14" s="57" t="s">
        <v>205</v>
      </c>
      <c r="B14" s="57" t="s">
        <v>198</v>
      </c>
      <c r="C14" s="57" t="s">
        <v>200</v>
      </c>
      <c r="D14" s="57" t="str">
        <f t="shared" si="0"/>
        <v>Itirikwa</v>
      </c>
      <c r="F14" s="57">
        <v>12</v>
      </c>
    </row>
    <row r="15" spans="1:6">
      <c r="A15" s="57" t="s">
        <v>206</v>
      </c>
      <c r="B15" s="57" t="s">
        <v>198</v>
      </c>
      <c r="C15" s="57" t="s">
        <v>200</v>
      </c>
      <c r="D15" s="57" t="str">
        <f t="shared" si="0"/>
        <v>Ofua</v>
      </c>
      <c r="F15" s="57">
        <v>13</v>
      </c>
    </row>
    <row r="16" spans="1:6">
      <c r="A16" s="57" t="s">
        <v>207</v>
      </c>
      <c r="B16" s="57" t="s">
        <v>198</v>
      </c>
      <c r="C16" s="57" t="s">
        <v>200</v>
      </c>
      <c r="D16" s="57" t="str">
        <f t="shared" si="0"/>
        <v>Pacara</v>
      </c>
      <c r="F16" s="57">
        <v>14</v>
      </c>
    </row>
    <row r="17" spans="1:6">
      <c r="A17" s="57" t="s">
        <v>208</v>
      </c>
      <c r="B17" s="57" t="s">
        <v>198</v>
      </c>
      <c r="C17" s="57" t="s">
        <v>200</v>
      </c>
      <c r="D17" s="57" t="str">
        <f t="shared" si="0"/>
        <v>Pakele</v>
      </c>
      <c r="F17" s="57">
        <v>15</v>
      </c>
    </row>
    <row r="18" spans="1:6">
      <c r="A18" s="57" t="s">
        <v>209</v>
      </c>
      <c r="B18" s="57" t="s">
        <v>198</v>
      </c>
      <c r="C18" s="57" t="s">
        <v>200</v>
      </c>
      <c r="D18" s="57" t="str">
        <f t="shared" si="0"/>
        <v>Ukusijoni</v>
      </c>
      <c r="F18" s="57">
        <v>16</v>
      </c>
    </row>
    <row r="19" spans="1:6">
      <c r="A19" s="57" t="s">
        <v>210</v>
      </c>
      <c r="B19" s="57" t="s">
        <v>211</v>
      </c>
      <c r="C19" s="57" t="s">
        <v>211</v>
      </c>
      <c r="D19" s="57" t="str">
        <f t="shared" si="0"/>
        <v>Adilang</v>
      </c>
      <c r="F19" s="57">
        <v>17</v>
      </c>
    </row>
    <row r="20" spans="1:6">
      <c r="A20" s="57" t="s">
        <v>212</v>
      </c>
      <c r="B20" s="57" t="s">
        <v>211</v>
      </c>
      <c r="C20" s="57" t="s">
        <v>211</v>
      </c>
      <c r="D20" s="57" t="str">
        <f t="shared" si="0"/>
        <v>Agago Town Council</v>
      </c>
      <c r="F20" s="57">
        <v>18</v>
      </c>
    </row>
    <row r="21" spans="1:6">
      <c r="A21" s="57" t="s">
        <v>213</v>
      </c>
      <c r="B21" s="57" t="s">
        <v>211</v>
      </c>
      <c r="C21" s="57" t="s">
        <v>211</v>
      </c>
      <c r="D21" s="57" t="str">
        <f t="shared" si="0"/>
        <v>Arum</v>
      </c>
      <c r="F21" s="57">
        <v>19</v>
      </c>
    </row>
    <row r="22" spans="1:6">
      <c r="A22" s="57" t="s">
        <v>214</v>
      </c>
      <c r="B22" s="57" t="s">
        <v>211</v>
      </c>
      <c r="C22" s="57" t="s">
        <v>211</v>
      </c>
      <c r="D22" s="57" t="str">
        <f t="shared" si="0"/>
        <v>Kalongo Town Council</v>
      </c>
      <c r="F22" s="57">
        <v>20</v>
      </c>
    </row>
    <row r="23" spans="1:6">
      <c r="A23" s="57" t="s">
        <v>215</v>
      </c>
      <c r="B23" s="57" t="s">
        <v>211</v>
      </c>
      <c r="C23" s="57" t="s">
        <v>211</v>
      </c>
      <c r="D23" s="57" t="str">
        <f t="shared" si="0"/>
        <v>Kotomol</v>
      </c>
      <c r="F23" s="57">
        <v>21</v>
      </c>
    </row>
    <row r="24" spans="1:6">
      <c r="A24" s="57" t="s">
        <v>216</v>
      </c>
      <c r="B24" s="57" t="s">
        <v>211</v>
      </c>
      <c r="C24" s="57" t="s">
        <v>211</v>
      </c>
      <c r="D24" s="57" t="str">
        <f t="shared" si="0"/>
        <v>Lamiyo</v>
      </c>
      <c r="F24" s="57">
        <v>22</v>
      </c>
    </row>
    <row r="25" spans="1:6">
      <c r="A25" s="57" t="s">
        <v>217</v>
      </c>
      <c r="B25" s="57" t="s">
        <v>211</v>
      </c>
      <c r="C25" s="57" t="s">
        <v>211</v>
      </c>
      <c r="D25" s="57" t="str">
        <f t="shared" si="0"/>
        <v>Lapono</v>
      </c>
      <c r="F25" s="57">
        <v>23</v>
      </c>
    </row>
    <row r="26" spans="1:6">
      <c r="A26" s="57" t="s">
        <v>218</v>
      </c>
      <c r="B26" s="57" t="s">
        <v>211</v>
      </c>
      <c r="C26" s="57" t="s">
        <v>211</v>
      </c>
      <c r="D26" s="57" t="str">
        <f t="shared" si="0"/>
        <v>Lira Palwo</v>
      </c>
      <c r="F26" s="57">
        <v>24</v>
      </c>
    </row>
    <row r="27" spans="1:6">
      <c r="A27" s="57" t="s">
        <v>219</v>
      </c>
      <c r="B27" s="57" t="s">
        <v>211</v>
      </c>
      <c r="C27" s="57" t="s">
        <v>211</v>
      </c>
      <c r="D27" s="57" t="str">
        <f t="shared" si="0"/>
        <v>Lokole</v>
      </c>
      <c r="F27" s="57">
        <v>25</v>
      </c>
    </row>
    <row r="28" spans="1:6">
      <c r="A28" s="57" t="s">
        <v>220</v>
      </c>
      <c r="B28" s="57" t="s">
        <v>211</v>
      </c>
      <c r="C28" s="57" t="s">
        <v>211</v>
      </c>
      <c r="D28" s="57" t="str">
        <f t="shared" si="0"/>
        <v>Omiya Pacwa</v>
      </c>
      <c r="F28" s="57">
        <v>26</v>
      </c>
    </row>
    <row r="29" spans="1:6">
      <c r="A29" s="57" t="s">
        <v>221</v>
      </c>
      <c r="B29" s="57" t="s">
        <v>211</v>
      </c>
      <c r="C29" s="57" t="s">
        <v>211</v>
      </c>
      <c r="D29" s="57" t="str">
        <f t="shared" si="0"/>
        <v>Omot</v>
      </c>
      <c r="F29" s="57">
        <v>27</v>
      </c>
    </row>
    <row r="30" spans="1:6">
      <c r="A30" s="57" t="s">
        <v>222</v>
      </c>
      <c r="B30" s="57" t="s">
        <v>211</v>
      </c>
      <c r="C30" s="57" t="s">
        <v>211</v>
      </c>
      <c r="D30" s="57" t="str">
        <f t="shared" si="0"/>
        <v>Paimol</v>
      </c>
      <c r="F30" s="57">
        <v>28</v>
      </c>
    </row>
    <row r="31" spans="1:6">
      <c r="A31" s="57" t="s">
        <v>223</v>
      </c>
      <c r="B31" s="57" t="s">
        <v>211</v>
      </c>
      <c r="C31" s="57" t="s">
        <v>211</v>
      </c>
      <c r="D31" s="57" t="str">
        <f t="shared" si="0"/>
        <v>Parabongo</v>
      </c>
      <c r="F31" s="57">
        <v>29</v>
      </c>
    </row>
    <row r="32" spans="1:6">
      <c r="A32" s="57" t="s">
        <v>224</v>
      </c>
      <c r="B32" s="57" t="s">
        <v>211</v>
      </c>
      <c r="C32" s="57" t="s">
        <v>211</v>
      </c>
      <c r="D32" s="57" t="str">
        <f t="shared" si="0"/>
        <v>Patongo</v>
      </c>
      <c r="F32" s="57">
        <v>30</v>
      </c>
    </row>
    <row r="33" spans="1:6">
      <c r="A33" s="57" t="s">
        <v>225</v>
      </c>
      <c r="B33" s="57" t="s">
        <v>211</v>
      </c>
      <c r="C33" s="57" t="s">
        <v>211</v>
      </c>
      <c r="D33" s="57" t="str">
        <f t="shared" si="0"/>
        <v>Patongo Town Council</v>
      </c>
      <c r="F33" s="57">
        <v>31</v>
      </c>
    </row>
    <row r="34" spans="1:6">
      <c r="A34" s="57" t="s">
        <v>226</v>
      </c>
      <c r="B34" s="57" t="s">
        <v>211</v>
      </c>
      <c r="C34" s="57" t="s">
        <v>211</v>
      </c>
      <c r="D34" s="57" t="str">
        <f t="shared" si="0"/>
        <v>Wol</v>
      </c>
      <c r="F34" s="57">
        <v>32</v>
      </c>
    </row>
    <row r="35" spans="1:6">
      <c r="A35" s="57" t="s">
        <v>227</v>
      </c>
      <c r="B35" s="57" t="s">
        <v>228</v>
      </c>
      <c r="C35" s="57" t="s">
        <v>229</v>
      </c>
      <c r="D35" s="57" t="str">
        <f t="shared" si="0"/>
        <v>Abako</v>
      </c>
      <c r="F35" s="57">
        <v>33</v>
      </c>
    </row>
    <row r="36" spans="1:6">
      <c r="A36" s="57" t="s">
        <v>230</v>
      </c>
      <c r="B36" s="57" t="s">
        <v>228</v>
      </c>
      <c r="C36" s="57" t="s">
        <v>229</v>
      </c>
      <c r="D36" s="57" t="str">
        <f t="shared" si="0"/>
        <v>Abia</v>
      </c>
      <c r="F36" s="57">
        <v>34</v>
      </c>
    </row>
    <row r="37" spans="1:6">
      <c r="A37" s="57" t="s">
        <v>231</v>
      </c>
      <c r="B37" s="57" t="s">
        <v>228</v>
      </c>
      <c r="C37" s="57" t="s">
        <v>229</v>
      </c>
      <c r="D37" s="57" t="str">
        <f t="shared" si="0"/>
        <v>Akura</v>
      </c>
      <c r="F37" s="57">
        <v>35</v>
      </c>
    </row>
    <row r="38" spans="1:6">
      <c r="A38" s="57" t="s">
        <v>232</v>
      </c>
      <c r="B38" s="57" t="s">
        <v>228</v>
      </c>
      <c r="C38" s="57" t="s">
        <v>229</v>
      </c>
      <c r="D38" s="57" t="str">
        <f t="shared" si="0"/>
        <v>Alebtong Town Council</v>
      </c>
      <c r="F38" s="57">
        <v>36</v>
      </c>
    </row>
    <row r="39" spans="1:6">
      <c r="A39" s="57" t="s">
        <v>233</v>
      </c>
      <c r="B39" s="57" t="s">
        <v>228</v>
      </c>
      <c r="C39" s="57" t="s">
        <v>229</v>
      </c>
      <c r="D39" s="57" t="str">
        <f t="shared" si="0"/>
        <v>Aloi</v>
      </c>
      <c r="F39" s="57">
        <v>37</v>
      </c>
    </row>
    <row r="40" spans="1:6">
      <c r="A40" s="57" t="s">
        <v>234</v>
      </c>
      <c r="B40" s="57" t="s">
        <v>228</v>
      </c>
      <c r="C40" s="57" t="s">
        <v>229</v>
      </c>
      <c r="D40" s="57" t="str">
        <f t="shared" si="0"/>
        <v>Amugu</v>
      </c>
      <c r="F40" s="57">
        <v>38</v>
      </c>
    </row>
    <row r="41" spans="1:6">
      <c r="A41" s="57" t="s">
        <v>235</v>
      </c>
      <c r="B41" s="57" t="s">
        <v>228</v>
      </c>
      <c r="C41" s="57" t="s">
        <v>229</v>
      </c>
      <c r="D41" s="57" t="str">
        <f t="shared" si="0"/>
        <v>Apala</v>
      </c>
      <c r="F41" s="57">
        <v>39</v>
      </c>
    </row>
    <row r="42" spans="1:6">
      <c r="A42" s="57" t="s">
        <v>236</v>
      </c>
      <c r="B42" s="57" t="s">
        <v>228</v>
      </c>
      <c r="C42" s="57" t="s">
        <v>229</v>
      </c>
      <c r="D42" s="57" t="str">
        <f t="shared" si="0"/>
        <v>Awei</v>
      </c>
      <c r="F42" s="57">
        <v>40</v>
      </c>
    </row>
    <row r="43" spans="1:6">
      <c r="A43" s="57" t="s">
        <v>237</v>
      </c>
      <c r="B43" s="57" t="s">
        <v>228</v>
      </c>
      <c r="C43" s="57" t="s">
        <v>229</v>
      </c>
      <c r="D43" s="57" t="str">
        <f t="shared" si="0"/>
        <v>Omoro</v>
      </c>
      <c r="F43" s="57">
        <v>41</v>
      </c>
    </row>
    <row r="44" spans="1:6">
      <c r="A44" s="57" t="s">
        <v>238</v>
      </c>
      <c r="B44" s="57" t="s">
        <v>239</v>
      </c>
      <c r="C44" s="57" t="s">
        <v>240</v>
      </c>
      <c r="D44" s="57" t="str">
        <f t="shared" si="0"/>
        <v>Agikdak</v>
      </c>
      <c r="F44" s="57">
        <v>42</v>
      </c>
    </row>
    <row r="45" spans="1:6">
      <c r="A45" s="57" t="s">
        <v>241</v>
      </c>
      <c r="B45" s="57" t="s">
        <v>239</v>
      </c>
      <c r="C45" s="57" t="s">
        <v>240</v>
      </c>
      <c r="D45" s="57" t="str">
        <f t="shared" si="0"/>
        <v>Agwingiri</v>
      </c>
      <c r="F45" s="57">
        <v>43</v>
      </c>
    </row>
    <row r="46" spans="1:6">
      <c r="A46" s="57" t="s">
        <v>242</v>
      </c>
      <c r="B46" s="57" t="s">
        <v>239</v>
      </c>
      <c r="C46" s="57" t="s">
        <v>240</v>
      </c>
      <c r="D46" s="57" t="str">
        <f t="shared" si="0"/>
        <v>Akwon</v>
      </c>
      <c r="F46" s="57">
        <v>44</v>
      </c>
    </row>
    <row r="47" spans="1:6">
      <c r="A47" s="57" t="s">
        <v>243</v>
      </c>
      <c r="B47" s="57" t="s">
        <v>239</v>
      </c>
      <c r="C47" s="57" t="s">
        <v>240</v>
      </c>
      <c r="D47" s="57" t="str">
        <f t="shared" si="0"/>
        <v>Amolatar Town Council</v>
      </c>
      <c r="F47" s="57">
        <v>45</v>
      </c>
    </row>
    <row r="48" spans="1:6">
      <c r="A48" s="57" t="s">
        <v>244</v>
      </c>
      <c r="B48" s="57" t="s">
        <v>239</v>
      </c>
      <c r="C48" s="57" t="s">
        <v>240</v>
      </c>
      <c r="D48" s="57" t="str">
        <f t="shared" si="0"/>
        <v>Aputi</v>
      </c>
      <c r="F48" s="57">
        <v>46</v>
      </c>
    </row>
    <row r="49" spans="1:6">
      <c r="A49" s="57" t="s">
        <v>245</v>
      </c>
      <c r="B49" s="57" t="s">
        <v>239</v>
      </c>
      <c r="C49" s="57" t="s">
        <v>240</v>
      </c>
      <c r="D49" s="57" t="str">
        <f t="shared" si="0"/>
        <v>Arwotcek</v>
      </c>
      <c r="F49" s="57">
        <v>47</v>
      </c>
    </row>
    <row r="50" spans="1:6">
      <c r="A50" s="57" t="s">
        <v>246</v>
      </c>
      <c r="B50" s="57" t="s">
        <v>239</v>
      </c>
      <c r="C50" s="57" t="s">
        <v>240</v>
      </c>
      <c r="D50" s="57" t="str">
        <f t="shared" si="0"/>
        <v>Awelo</v>
      </c>
      <c r="F50" s="57">
        <v>48</v>
      </c>
    </row>
    <row r="51" spans="1:6">
      <c r="A51" s="57" t="s">
        <v>247</v>
      </c>
      <c r="B51" s="57" t="s">
        <v>239</v>
      </c>
      <c r="C51" s="57" t="s">
        <v>240</v>
      </c>
      <c r="D51" s="57" t="str">
        <f t="shared" si="0"/>
        <v>Etam</v>
      </c>
      <c r="F51" s="57">
        <v>49</v>
      </c>
    </row>
    <row r="52" spans="1:6">
      <c r="A52" s="57" t="s">
        <v>248</v>
      </c>
      <c r="B52" s="57" t="s">
        <v>239</v>
      </c>
      <c r="C52" s="57" t="s">
        <v>240</v>
      </c>
      <c r="D52" s="57" t="str">
        <f t="shared" si="0"/>
        <v>Muntu</v>
      </c>
      <c r="F52" s="57">
        <v>50</v>
      </c>
    </row>
    <row r="53" spans="1:6">
      <c r="A53" s="57" t="s">
        <v>249</v>
      </c>
      <c r="B53" s="57" t="s">
        <v>239</v>
      </c>
      <c r="C53" s="57" t="s">
        <v>240</v>
      </c>
      <c r="D53" s="57" t="str">
        <f t="shared" si="0"/>
        <v>Namasale</v>
      </c>
      <c r="F53" s="57">
        <v>51</v>
      </c>
    </row>
    <row r="54" spans="1:6">
      <c r="A54" s="57" t="s">
        <v>250</v>
      </c>
      <c r="B54" s="57" t="s">
        <v>239</v>
      </c>
      <c r="C54" s="57" t="s">
        <v>240</v>
      </c>
      <c r="D54" s="57" t="str">
        <f t="shared" si="0"/>
        <v>Namasale Town Council</v>
      </c>
      <c r="F54" s="57">
        <v>52</v>
      </c>
    </row>
    <row r="55" spans="1:6">
      <c r="A55" s="57" t="s">
        <v>251</v>
      </c>
      <c r="B55" s="57" t="s">
        <v>251</v>
      </c>
      <c r="C55" s="57" t="s">
        <v>252</v>
      </c>
      <c r="D55" s="57" t="str">
        <f t="shared" si="0"/>
        <v>Amudat</v>
      </c>
      <c r="F55" s="57">
        <v>53</v>
      </c>
    </row>
    <row r="56" spans="1:6">
      <c r="A56" s="57" t="s">
        <v>253</v>
      </c>
      <c r="B56" s="57" t="s">
        <v>251</v>
      </c>
      <c r="C56" s="57" t="s">
        <v>252</v>
      </c>
      <c r="D56" s="57" t="str">
        <f t="shared" si="0"/>
        <v>Amudat Town Council</v>
      </c>
      <c r="F56" s="57">
        <v>54</v>
      </c>
    </row>
    <row r="57" spans="1:6">
      <c r="A57" s="57" t="s">
        <v>254</v>
      </c>
      <c r="B57" s="57" t="s">
        <v>251</v>
      </c>
      <c r="C57" s="57" t="s">
        <v>252</v>
      </c>
      <c r="D57" s="57" t="str">
        <f t="shared" si="0"/>
        <v>Karita</v>
      </c>
      <c r="F57" s="57">
        <v>55</v>
      </c>
    </row>
    <row r="58" spans="1:6">
      <c r="A58" s="57" t="s">
        <v>255</v>
      </c>
      <c r="B58" s="57" t="s">
        <v>251</v>
      </c>
      <c r="C58" s="57" t="s">
        <v>252</v>
      </c>
      <c r="D58" s="57" t="str">
        <f t="shared" si="0"/>
        <v>Loroo</v>
      </c>
      <c r="F58" s="57">
        <v>56</v>
      </c>
    </row>
    <row r="59" spans="1:6">
      <c r="A59" s="57" t="s">
        <v>256</v>
      </c>
      <c r="B59" s="57" t="s">
        <v>257</v>
      </c>
      <c r="C59" s="57" t="s">
        <v>257</v>
      </c>
      <c r="D59" s="57" t="str">
        <f t="shared" si="0"/>
        <v>Abarilela</v>
      </c>
      <c r="F59" s="57">
        <v>57</v>
      </c>
    </row>
    <row r="60" spans="1:6">
      <c r="A60" s="57" t="s">
        <v>258</v>
      </c>
      <c r="B60" s="57" t="s">
        <v>257</v>
      </c>
      <c r="C60" s="57" t="s">
        <v>259</v>
      </c>
      <c r="D60" s="57" t="str">
        <f t="shared" si="0"/>
        <v>Acowa</v>
      </c>
      <c r="F60" s="57">
        <v>58</v>
      </c>
    </row>
    <row r="61" spans="1:6">
      <c r="A61" s="57" t="s">
        <v>260</v>
      </c>
      <c r="B61" s="57" t="s">
        <v>257</v>
      </c>
      <c r="C61" s="57" t="s">
        <v>257</v>
      </c>
      <c r="D61" s="57" t="str">
        <f t="shared" si="0"/>
        <v>Akeriau</v>
      </c>
      <c r="F61" s="57">
        <v>59</v>
      </c>
    </row>
    <row r="62" spans="1:6">
      <c r="A62" s="57" t="s">
        <v>261</v>
      </c>
      <c r="B62" s="57" t="s">
        <v>257</v>
      </c>
      <c r="C62" s="57" t="s">
        <v>259</v>
      </c>
      <c r="D62" s="57" t="str">
        <f t="shared" si="0"/>
        <v>Akoromit</v>
      </c>
      <c r="F62" s="57">
        <v>60</v>
      </c>
    </row>
    <row r="63" spans="1:6">
      <c r="A63" s="57" t="s">
        <v>262</v>
      </c>
      <c r="B63" s="57" t="s">
        <v>257</v>
      </c>
      <c r="C63" s="57" t="s">
        <v>257</v>
      </c>
      <c r="D63" s="57" t="str">
        <f t="shared" si="0"/>
        <v>Amuria Town Council</v>
      </c>
      <c r="F63" s="57">
        <v>61</v>
      </c>
    </row>
    <row r="64" spans="1:6">
      <c r="A64" s="57" t="s">
        <v>179</v>
      </c>
      <c r="B64" s="57" t="s">
        <v>257</v>
      </c>
      <c r="C64" s="57" t="s">
        <v>257</v>
      </c>
      <c r="D64" s="57" t="str">
        <f t="shared" si="0"/>
        <v>AYE VILLAGE</v>
      </c>
      <c r="F64" s="57">
        <v>61</v>
      </c>
    </row>
    <row r="65" spans="1:6">
      <c r="A65" s="57" t="s">
        <v>263</v>
      </c>
      <c r="B65" s="57" t="s">
        <v>257</v>
      </c>
      <c r="C65" s="57" t="s">
        <v>257</v>
      </c>
      <c r="D65" s="57" t="str">
        <f t="shared" si="0"/>
        <v>Apeduru</v>
      </c>
      <c r="F65" s="57">
        <v>62</v>
      </c>
    </row>
    <row r="66" spans="1:6">
      <c r="A66" s="57" t="s">
        <v>264</v>
      </c>
      <c r="B66" s="57" t="s">
        <v>257</v>
      </c>
      <c r="C66" s="57" t="s">
        <v>257</v>
      </c>
      <c r="D66" s="57" t="str">
        <f t="shared" si="0"/>
        <v>Asamuk</v>
      </c>
      <c r="F66" s="57">
        <v>63</v>
      </c>
    </row>
    <row r="67" spans="1:6">
      <c r="A67" s="57" t="s">
        <v>259</v>
      </c>
      <c r="B67" s="57" t="s">
        <v>257</v>
      </c>
      <c r="C67" s="57" t="s">
        <v>259</v>
      </c>
      <c r="D67" s="57" t="str">
        <f t="shared" ref="D67:D130" si="1">A67</f>
        <v>Kapelebyong</v>
      </c>
      <c r="F67" s="57">
        <v>64</v>
      </c>
    </row>
    <row r="68" spans="1:6">
      <c r="A68" s="57" t="s">
        <v>265</v>
      </c>
      <c r="B68" s="57" t="s">
        <v>257</v>
      </c>
      <c r="C68" s="57" t="s">
        <v>257</v>
      </c>
      <c r="D68" s="57" t="str">
        <f t="shared" si="1"/>
        <v>Kuju</v>
      </c>
      <c r="F68" s="57">
        <v>65</v>
      </c>
    </row>
    <row r="69" spans="1:6">
      <c r="A69" s="57" t="s">
        <v>266</v>
      </c>
      <c r="B69" s="57" t="s">
        <v>257</v>
      </c>
      <c r="C69" s="57" t="s">
        <v>257</v>
      </c>
      <c r="D69" s="57" t="str">
        <f t="shared" si="1"/>
        <v>Morungatuny</v>
      </c>
      <c r="F69" s="57">
        <v>66</v>
      </c>
    </row>
    <row r="70" spans="1:6">
      <c r="A70" s="57" t="s">
        <v>267</v>
      </c>
      <c r="B70" s="57" t="s">
        <v>257</v>
      </c>
      <c r="C70" s="57" t="s">
        <v>259</v>
      </c>
      <c r="D70" s="57" t="str">
        <f t="shared" si="1"/>
        <v>Obalanga</v>
      </c>
      <c r="F70" s="57">
        <v>67</v>
      </c>
    </row>
    <row r="71" spans="1:6">
      <c r="A71" s="57" t="s">
        <v>268</v>
      </c>
      <c r="B71" s="57" t="s">
        <v>257</v>
      </c>
      <c r="C71" s="57" t="s">
        <v>257</v>
      </c>
      <c r="D71" s="57" t="str">
        <f t="shared" si="1"/>
        <v>Ogolai</v>
      </c>
      <c r="F71" s="57">
        <v>68</v>
      </c>
    </row>
    <row r="72" spans="1:6">
      <c r="A72" s="57" t="s">
        <v>269</v>
      </c>
      <c r="B72" s="57" t="s">
        <v>257</v>
      </c>
      <c r="C72" s="57" t="s">
        <v>259</v>
      </c>
      <c r="D72" s="57" t="str">
        <f t="shared" si="1"/>
        <v>Okungur</v>
      </c>
      <c r="F72" s="57">
        <v>69</v>
      </c>
    </row>
    <row r="73" spans="1:6">
      <c r="A73" s="57" t="s">
        <v>270</v>
      </c>
      <c r="B73" s="57" t="s">
        <v>257</v>
      </c>
      <c r="C73" s="57" t="s">
        <v>257</v>
      </c>
      <c r="D73" s="57" t="str">
        <f t="shared" si="1"/>
        <v>Orungo</v>
      </c>
      <c r="F73" s="57">
        <v>70</v>
      </c>
    </row>
    <row r="74" spans="1:6">
      <c r="A74" s="57" t="s">
        <v>271</v>
      </c>
      <c r="B74" s="57" t="s">
        <v>257</v>
      </c>
      <c r="C74" s="57" t="s">
        <v>257</v>
      </c>
      <c r="D74" s="57" t="str">
        <f t="shared" si="1"/>
        <v>Wera</v>
      </c>
      <c r="F74" s="57">
        <v>71</v>
      </c>
    </row>
    <row r="75" spans="1:6">
      <c r="A75" s="57" t="s">
        <v>272</v>
      </c>
      <c r="B75" s="57" t="s">
        <v>257</v>
      </c>
      <c r="C75" s="57" t="s">
        <v>257</v>
      </c>
      <c r="D75" s="57" t="str">
        <f t="shared" si="1"/>
        <v>Willa</v>
      </c>
      <c r="F75" s="57">
        <v>72</v>
      </c>
    </row>
    <row r="76" spans="1:6">
      <c r="A76" s="57" t="s">
        <v>273</v>
      </c>
      <c r="B76" s="57" t="s">
        <v>273</v>
      </c>
      <c r="C76" s="57" t="s">
        <v>274</v>
      </c>
      <c r="D76" s="57" t="str">
        <f t="shared" si="1"/>
        <v>Amuru</v>
      </c>
      <c r="F76" s="57">
        <v>73</v>
      </c>
    </row>
    <row r="77" spans="1:6">
      <c r="A77" s="57" t="s">
        <v>275</v>
      </c>
      <c r="B77" s="57" t="s">
        <v>273</v>
      </c>
      <c r="C77" s="57" t="s">
        <v>274</v>
      </c>
      <c r="D77" s="57" t="str">
        <f t="shared" si="1"/>
        <v>Amuru Town Council</v>
      </c>
      <c r="F77" s="57">
        <v>74</v>
      </c>
    </row>
    <row r="78" spans="1:6">
      <c r="A78" s="57" t="s">
        <v>158</v>
      </c>
      <c r="B78" s="57" t="s">
        <v>273</v>
      </c>
      <c r="C78" s="57" t="s">
        <v>274</v>
      </c>
      <c r="D78" s="57" t="str">
        <f t="shared" si="1"/>
        <v>Atiak</v>
      </c>
      <c r="F78" s="57">
        <v>75</v>
      </c>
    </row>
    <row r="79" spans="1:6">
      <c r="A79" s="57" t="s">
        <v>182</v>
      </c>
      <c r="B79" s="57" t="s">
        <v>273</v>
      </c>
      <c r="C79" s="57" t="s">
        <v>274</v>
      </c>
      <c r="D79" s="57" t="str">
        <f t="shared" si="1"/>
        <v>PALUDA</v>
      </c>
      <c r="F79" s="57">
        <v>75</v>
      </c>
    </row>
    <row r="80" spans="1:6">
      <c r="A80" s="57" t="s">
        <v>183</v>
      </c>
      <c r="B80" s="57" t="s">
        <v>273</v>
      </c>
      <c r="C80" s="57" t="s">
        <v>274</v>
      </c>
      <c r="D80" s="57" t="str">
        <f t="shared" si="1"/>
        <v>PALADU</v>
      </c>
      <c r="F80" s="57">
        <v>75</v>
      </c>
    </row>
    <row r="81" spans="1:6">
      <c r="A81" s="57" t="s">
        <v>168</v>
      </c>
      <c r="D81" s="57" t="str">
        <f t="shared" si="1"/>
        <v>ATIAK TOWN</v>
      </c>
      <c r="F81" s="57">
        <v>75</v>
      </c>
    </row>
    <row r="82" spans="1:6">
      <c r="A82" s="57" t="s">
        <v>176</v>
      </c>
      <c r="D82" s="57" t="str">
        <f t="shared" si="1"/>
        <v>OKIDI</v>
      </c>
      <c r="F82" s="57">
        <v>75</v>
      </c>
    </row>
    <row r="83" spans="1:6">
      <c r="A83" s="57" t="s">
        <v>276</v>
      </c>
      <c r="B83" s="57" t="s">
        <v>273</v>
      </c>
      <c r="C83" s="57" t="s">
        <v>274</v>
      </c>
      <c r="D83" s="57" t="str">
        <f t="shared" si="1"/>
        <v>Lamogi</v>
      </c>
      <c r="F83" s="57">
        <v>76</v>
      </c>
    </row>
    <row r="84" spans="1:6">
      <c r="A84" s="57" t="s">
        <v>277</v>
      </c>
      <c r="B84" s="57" t="s">
        <v>273</v>
      </c>
      <c r="C84" s="57" t="s">
        <v>274</v>
      </c>
      <c r="D84" s="57" t="str">
        <f t="shared" si="1"/>
        <v>Pabo</v>
      </c>
      <c r="F84" s="57">
        <v>77</v>
      </c>
    </row>
    <row r="85" spans="1:6">
      <c r="A85" s="57" t="s">
        <v>278</v>
      </c>
      <c r="B85" s="57" t="s">
        <v>279</v>
      </c>
      <c r="C85" s="57" t="s">
        <v>280</v>
      </c>
      <c r="D85" s="57" t="str">
        <f t="shared" si="1"/>
        <v>Abongomola</v>
      </c>
      <c r="F85" s="57">
        <v>78</v>
      </c>
    </row>
    <row r="86" spans="1:6">
      <c r="A86" s="57" t="s">
        <v>281</v>
      </c>
      <c r="B86" s="57" t="s">
        <v>279</v>
      </c>
      <c r="C86" s="57" t="s">
        <v>280</v>
      </c>
      <c r="D86" s="57" t="str">
        <f t="shared" si="1"/>
        <v>Aduku</v>
      </c>
      <c r="F86" s="57">
        <v>79</v>
      </c>
    </row>
    <row r="87" spans="1:6">
      <c r="A87" s="57" t="s">
        <v>282</v>
      </c>
      <c r="B87" s="57" t="s">
        <v>279</v>
      </c>
      <c r="C87" s="57" t="s">
        <v>280</v>
      </c>
      <c r="D87" s="57" t="str">
        <f t="shared" si="1"/>
        <v>Aduku Town Council</v>
      </c>
      <c r="F87" s="57">
        <v>80</v>
      </c>
    </row>
    <row r="88" spans="1:6">
      <c r="A88" s="57" t="s">
        <v>283</v>
      </c>
      <c r="B88" s="57" t="s">
        <v>279</v>
      </c>
      <c r="C88" s="57" t="s">
        <v>284</v>
      </c>
      <c r="D88" s="57" t="str">
        <f t="shared" si="1"/>
        <v>Akokoro</v>
      </c>
      <c r="F88" s="57">
        <v>81</v>
      </c>
    </row>
    <row r="89" spans="1:6">
      <c r="A89" s="57" t="s">
        <v>285</v>
      </c>
      <c r="B89" s="57" t="s">
        <v>279</v>
      </c>
      <c r="C89" s="57" t="s">
        <v>286</v>
      </c>
      <c r="D89" s="57" t="str">
        <f t="shared" si="1"/>
        <v>Apac Muicipality</v>
      </c>
      <c r="F89" s="57">
        <v>82</v>
      </c>
    </row>
    <row r="90" spans="1:6">
      <c r="A90" s="57" t="s">
        <v>287</v>
      </c>
      <c r="B90" s="57" t="s">
        <v>279</v>
      </c>
      <c r="C90" s="57" t="s">
        <v>280</v>
      </c>
      <c r="D90" s="57" t="str">
        <f t="shared" si="1"/>
        <v>Chawente</v>
      </c>
      <c r="F90" s="57">
        <v>83</v>
      </c>
    </row>
    <row r="91" spans="1:6">
      <c r="A91" s="57" t="s">
        <v>288</v>
      </c>
      <c r="B91" s="57" t="s">
        <v>279</v>
      </c>
      <c r="C91" s="57" t="s">
        <v>284</v>
      </c>
      <c r="D91" s="57" t="str">
        <f t="shared" si="1"/>
        <v>Chegere</v>
      </c>
      <c r="F91" s="57">
        <v>84</v>
      </c>
    </row>
    <row r="92" spans="1:6">
      <c r="A92" s="57" t="s">
        <v>289</v>
      </c>
      <c r="B92" s="57" t="s">
        <v>279</v>
      </c>
      <c r="C92" s="57" t="s">
        <v>284</v>
      </c>
      <c r="D92" s="57" t="str">
        <f t="shared" si="1"/>
        <v>Ibuje</v>
      </c>
      <c r="F92" s="57">
        <v>85</v>
      </c>
    </row>
    <row r="93" spans="1:6">
      <c r="A93" s="57" t="s">
        <v>290</v>
      </c>
      <c r="B93" s="57" t="s">
        <v>279</v>
      </c>
      <c r="C93" s="57" t="s">
        <v>280</v>
      </c>
      <c r="D93" s="57" t="str">
        <f t="shared" si="1"/>
        <v>Inomo</v>
      </c>
      <c r="F93" s="57">
        <v>86</v>
      </c>
    </row>
    <row r="94" spans="1:6">
      <c r="A94" s="57" t="s">
        <v>291</v>
      </c>
      <c r="B94" s="57" t="s">
        <v>279</v>
      </c>
      <c r="C94" s="57" t="s">
        <v>280</v>
      </c>
      <c r="D94" s="57" t="str">
        <f t="shared" si="1"/>
        <v>Nambieso</v>
      </c>
      <c r="F94" s="57">
        <v>87</v>
      </c>
    </row>
    <row r="95" spans="1:6">
      <c r="A95" s="57" t="s">
        <v>292</v>
      </c>
      <c r="B95" s="57" t="s">
        <v>293</v>
      </c>
      <c r="C95" s="57" t="s">
        <v>294</v>
      </c>
      <c r="D95" s="57" t="str">
        <f t="shared" si="1"/>
        <v>Adumi</v>
      </c>
      <c r="F95" s="57">
        <v>88</v>
      </c>
    </row>
    <row r="96" spans="1:6">
      <c r="A96" s="57" t="s">
        <v>295</v>
      </c>
      <c r="D96" s="57" t="str">
        <f t="shared" si="1"/>
        <v>Ombaci</v>
      </c>
      <c r="F96" s="57">
        <v>88</v>
      </c>
    </row>
    <row r="97" spans="1:6">
      <c r="A97" s="57" t="s">
        <v>296</v>
      </c>
      <c r="B97" s="57" t="s">
        <v>293</v>
      </c>
      <c r="C97" s="57" t="s">
        <v>297</v>
      </c>
      <c r="D97" s="57" t="str">
        <f t="shared" si="1"/>
        <v>Aii-Vu</v>
      </c>
      <c r="F97" s="57">
        <v>89</v>
      </c>
    </row>
    <row r="98" spans="1:6">
      <c r="A98" s="57" t="s">
        <v>298</v>
      </c>
      <c r="B98" s="57" t="s">
        <v>293</v>
      </c>
      <c r="C98" s="57" t="s">
        <v>299</v>
      </c>
      <c r="D98" s="57" t="str">
        <f t="shared" si="1"/>
        <v>Ajia</v>
      </c>
      <c r="F98" s="57">
        <v>90</v>
      </c>
    </row>
    <row r="99" spans="1:6">
      <c r="A99" s="57" t="s">
        <v>300</v>
      </c>
      <c r="B99" s="57" t="s">
        <v>293</v>
      </c>
      <c r="C99" s="57" t="s">
        <v>301</v>
      </c>
      <c r="D99" s="57" t="str">
        <f t="shared" si="1"/>
        <v>Anyiribu</v>
      </c>
      <c r="F99" s="57">
        <v>91</v>
      </c>
    </row>
    <row r="100" spans="1:6">
      <c r="A100" s="57" t="s">
        <v>302</v>
      </c>
      <c r="B100" s="57" t="s">
        <v>293</v>
      </c>
      <c r="C100" s="57" t="s">
        <v>299</v>
      </c>
      <c r="D100" s="57" t="str">
        <f t="shared" si="1"/>
        <v>Arivu</v>
      </c>
      <c r="F100" s="57">
        <v>92</v>
      </c>
    </row>
    <row r="101" spans="1:6">
      <c r="A101" s="57" t="s">
        <v>303</v>
      </c>
      <c r="B101" s="57" t="s">
        <v>293</v>
      </c>
      <c r="C101" s="57" t="s">
        <v>294</v>
      </c>
      <c r="D101" s="57" t="str">
        <f t="shared" si="1"/>
        <v>Aroi</v>
      </c>
      <c r="F101" s="57">
        <v>93</v>
      </c>
    </row>
    <row r="102" spans="1:6">
      <c r="A102" s="57" t="s">
        <v>293</v>
      </c>
      <c r="D102" s="57" t="str">
        <f t="shared" si="1"/>
        <v>Arua</v>
      </c>
      <c r="F102" s="57">
        <v>94</v>
      </c>
    </row>
    <row r="103" spans="1:6">
      <c r="A103" s="57" t="s">
        <v>304</v>
      </c>
      <c r="D103" s="57" t="str">
        <f t="shared" si="1"/>
        <v>Lwanga</v>
      </c>
      <c r="F103" s="57">
        <v>94</v>
      </c>
    </row>
    <row r="104" spans="1:6">
      <c r="A104" s="57" t="s">
        <v>305</v>
      </c>
      <c r="D104" s="57" t="str">
        <f t="shared" si="1"/>
        <v>Rhino</v>
      </c>
      <c r="F104" s="57">
        <v>94</v>
      </c>
    </row>
    <row r="105" spans="1:6">
      <c r="A105" s="57" t="s">
        <v>306</v>
      </c>
      <c r="B105" s="57" t="s">
        <v>293</v>
      </c>
      <c r="C105" s="57" t="s">
        <v>306</v>
      </c>
      <c r="D105" s="57" t="str">
        <f t="shared" si="1"/>
        <v>Arua Municipality</v>
      </c>
      <c r="F105" s="57">
        <v>94</v>
      </c>
    </row>
    <row r="106" spans="1:6">
      <c r="A106" s="57" t="s">
        <v>307</v>
      </c>
      <c r="D106" s="57" t="str">
        <f t="shared" si="1"/>
        <v>Arua town</v>
      </c>
      <c r="F106" s="57">
        <v>94</v>
      </c>
    </row>
    <row r="107" spans="1:6">
      <c r="A107" s="57" t="s">
        <v>308</v>
      </c>
      <c r="B107" s="57" t="s">
        <v>293</v>
      </c>
      <c r="C107" s="57" t="s">
        <v>294</v>
      </c>
      <c r="D107" s="57" t="str">
        <f t="shared" si="1"/>
        <v>Ayivuni</v>
      </c>
      <c r="F107" s="57">
        <v>95</v>
      </c>
    </row>
    <row r="108" spans="1:6">
      <c r="A108" s="57" t="s">
        <v>309</v>
      </c>
      <c r="B108" s="57" t="s">
        <v>293</v>
      </c>
      <c r="C108" s="57" t="s">
        <v>297</v>
      </c>
      <c r="D108" s="57" t="str">
        <f t="shared" si="1"/>
        <v>Bileafe</v>
      </c>
      <c r="F108" s="57">
        <v>96</v>
      </c>
    </row>
    <row r="109" spans="1:6">
      <c r="A109" s="57" t="s">
        <v>310</v>
      </c>
      <c r="B109" s="57" t="s">
        <v>293</v>
      </c>
      <c r="C109" s="57" t="s">
        <v>294</v>
      </c>
      <c r="D109" s="57" t="str">
        <f t="shared" si="1"/>
        <v>Dadamu</v>
      </c>
      <c r="F109" s="57">
        <v>97</v>
      </c>
    </row>
    <row r="110" spans="1:6">
      <c r="A110" s="57" t="s">
        <v>311</v>
      </c>
      <c r="B110" s="57" t="s">
        <v>293</v>
      </c>
      <c r="C110" s="57" t="s">
        <v>301</v>
      </c>
      <c r="D110" s="57" t="str">
        <f t="shared" si="1"/>
        <v>Ewanga</v>
      </c>
      <c r="F110" s="57">
        <v>98</v>
      </c>
    </row>
    <row r="111" spans="1:6">
      <c r="A111" s="57" t="s">
        <v>312</v>
      </c>
      <c r="B111" s="57" t="s">
        <v>293</v>
      </c>
      <c r="C111" s="57" t="s">
        <v>297</v>
      </c>
      <c r="D111" s="57" t="str">
        <f t="shared" si="1"/>
        <v>Katrini</v>
      </c>
      <c r="F111" s="57">
        <v>99</v>
      </c>
    </row>
    <row r="112" spans="1:6">
      <c r="A112" s="57" t="s">
        <v>313</v>
      </c>
      <c r="B112" s="57" t="s">
        <v>293</v>
      </c>
      <c r="C112" s="57" t="s">
        <v>299</v>
      </c>
      <c r="D112" s="57" t="str">
        <f t="shared" si="1"/>
        <v>Logiri</v>
      </c>
      <c r="F112" s="57">
        <v>100</v>
      </c>
    </row>
    <row r="113" spans="1:6">
      <c r="A113" s="57" t="s">
        <v>314</v>
      </c>
      <c r="B113" s="57" t="s">
        <v>293</v>
      </c>
      <c r="C113" s="57" t="s">
        <v>294</v>
      </c>
      <c r="D113" s="57" t="str">
        <f t="shared" si="1"/>
        <v>Manibe</v>
      </c>
      <c r="F113" s="57">
        <v>101</v>
      </c>
    </row>
    <row r="114" spans="1:6">
      <c r="A114" s="57" t="s">
        <v>315</v>
      </c>
      <c r="D114" s="57" t="str">
        <f t="shared" si="1"/>
        <v>Maraca</v>
      </c>
      <c r="F114" s="57">
        <v>101</v>
      </c>
    </row>
    <row r="115" spans="1:6">
      <c r="A115" s="57" t="s">
        <v>316</v>
      </c>
      <c r="D115" s="57" t="str">
        <f t="shared" si="1"/>
        <v>Imvepi</v>
      </c>
      <c r="F115" s="57">
        <v>101</v>
      </c>
    </row>
    <row r="116" spans="1:6">
      <c r="A116" s="57" t="s">
        <v>317</v>
      </c>
      <c r="B116" s="57" t="s">
        <v>293</v>
      </c>
      <c r="C116" s="57" t="s">
        <v>297</v>
      </c>
      <c r="D116" s="57" t="str">
        <f t="shared" si="1"/>
        <v>Odupi</v>
      </c>
      <c r="F116" s="57">
        <v>102</v>
      </c>
    </row>
    <row r="117" spans="1:6">
      <c r="A117" s="57" t="s">
        <v>318</v>
      </c>
      <c r="B117" s="57" t="s">
        <v>293</v>
      </c>
      <c r="C117" s="57" t="s">
        <v>301</v>
      </c>
      <c r="D117" s="57" t="str">
        <f t="shared" si="1"/>
        <v>Offaka</v>
      </c>
      <c r="F117" s="57">
        <v>103</v>
      </c>
    </row>
    <row r="118" spans="1:6">
      <c r="A118" s="57" t="s">
        <v>319</v>
      </c>
      <c r="B118" s="57" t="s">
        <v>293</v>
      </c>
      <c r="C118" s="57" t="s">
        <v>301</v>
      </c>
      <c r="D118" s="57" t="str">
        <f t="shared" si="1"/>
        <v>Ogoko</v>
      </c>
      <c r="F118" s="57">
        <v>104</v>
      </c>
    </row>
    <row r="119" spans="1:6">
      <c r="A119" s="57" t="s">
        <v>320</v>
      </c>
      <c r="B119" s="57" t="s">
        <v>293</v>
      </c>
      <c r="C119" s="57" t="s">
        <v>301</v>
      </c>
      <c r="D119" s="57" t="str">
        <f t="shared" si="1"/>
        <v>Okollo</v>
      </c>
      <c r="F119" s="57">
        <v>105</v>
      </c>
    </row>
    <row r="120" spans="1:6">
      <c r="A120" s="57" t="s">
        <v>321</v>
      </c>
      <c r="B120" s="57" t="s">
        <v>293</v>
      </c>
      <c r="C120" s="57" t="s">
        <v>294</v>
      </c>
      <c r="D120" s="57" t="str">
        <f t="shared" si="1"/>
        <v>Oluko</v>
      </c>
      <c r="F120" s="57">
        <v>106</v>
      </c>
    </row>
    <row r="121" spans="1:6">
      <c r="A121" s="57" t="s">
        <v>322</v>
      </c>
      <c r="B121" s="57" t="s">
        <v>293</v>
      </c>
      <c r="C121" s="57" t="s">
        <v>297</v>
      </c>
      <c r="D121" s="57" t="str">
        <f t="shared" si="1"/>
        <v>Omugo</v>
      </c>
      <c r="F121" s="57">
        <v>107</v>
      </c>
    </row>
    <row r="122" spans="1:6">
      <c r="A122" s="57" t="s">
        <v>323</v>
      </c>
      <c r="B122" s="57" t="s">
        <v>293</v>
      </c>
      <c r="C122" s="57" t="s">
        <v>294</v>
      </c>
      <c r="D122" s="57" t="str">
        <f t="shared" si="1"/>
        <v>Pajulu</v>
      </c>
      <c r="F122" s="57">
        <v>108</v>
      </c>
    </row>
    <row r="123" spans="1:6">
      <c r="A123" s="57" t="s">
        <v>324</v>
      </c>
      <c r="B123" s="57" t="s">
        <v>293</v>
      </c>
      <c r="C123" s="57" t="s">
        <v>301</v>
      </c>
      <c r="D123" s="57" t="str">
        <f t="shared" si="1"/>
        <v>Pawor</v>
      </c>
      <c r="F123" s="57">
        <v>109</v>
      </c>
    </row>
    <row r="124" spans="1:6">
      <c r="A124" s="57" t="s">
        <v>325</v>
      </c>
      <c r="B124" s="57" t="s">
        <v>293</v>
      </c>
      <c r="C124" s="57" t="s">
        <v>301</v>
      </c>
      <c r="D124" s="57" t="str">
        <f t="shared" si="1"/>
        <v>Rhino Camp</v>
      </c>
      <c r="F124" s="57">
        <v>110</v>
      </c>
    </row>
    <row r="125" spans="1:6">
      <c r="A125" s="57" t="s">
        <v>326</v>
      </c>
      <c r="B125" s="57" t="s">
        <v>293</v>
      </c>
      <c r="C125" s="57" t="s">
        <v>301</v>
      </c>
      <c r="D125" s="57" t="str">
        <f t="shared" si="1"/>
        <v>Rigbo</v>
      </c>
      <c r="F125" s="57">
        <v>111</v>
      </c>
    </row>
    <row r="126" spans="1:6">
      <c r="A126" s="57" t="s">
        <v>327</v>
      </c>
      <c r="B126" s="57" t="s">
        <v>293</v>
      </c>
      <c r="C126" s="57" t="s">
        <v>301</v>
      </c>
      <c r="D126" s="57" t="str">
        <f t="shared" si="1"/>
        <v>Uleppi</v>
      </c>
      <c r="F126" s="57">
        <v>112</v>
      </c>
    </row>
    <row r="127" spans="1:6">
      <c r="A127" s="57" t="s">
        <v>328</v>
      </c>
      <c r="B127" s="57" t="s">
        <v>293</v>
      </c>
      <c r="C127" s="57" t="s">
        <v>297</v>
      </c>
      <c r="D127" s="57" t="str">
        <f t="shared" si="1"/>
        <v>Uriama</v>
      </c>
      <c r="F127" s="57">
        <v>113</v>
      </c>
    </row>
    <row r="128" spans="1:6">
      <c r="A128" s="57" t="s">
        <v>299</v>
      </c>
      <c r="B128" s="57" t="s">
        <v>293</v>
      </c>
      <c r="C128" s="57" t="s">
        <v>299</v>
      </c>
      <c r="D128" s="57" t="str">
        <f t="shared" si="1"/>
        <v>Vurra</v>
      </c>
      <c r="F128" s="57">
        <v>114</v>
      </c>
    </row>
    <row r="129" spans="1:6">
      <c r="A129" s="57" t="s">
        <v>329</v>
      </c>
      <c r="B129" s="57" t="s">
        <v>329</v>
      </c>
      <c r="C129" s="57" t="s">
        <v>329</v>
      </c>
      <c r="D129" s="57" t="str">
        <f t="shared" si="1"/>
        <v>Budaka</v>
      </c>
      <c r="F129" s="57">
        <v>115</v>
      </c>
    </row>
    <row r="130" spans="1:6">
      <c r="A130" s="57" t="s">
        <v>330</v>
      </c>
      <c r="B130" s="57" t="s">
        <v>329</v>
      </c>
      <c r="C130" s="57" t="s">
        <v>329</v>
      </c>
      <c r="D130" s="57" t="str">
        <f t="shared" si="1"/>
        <v>Budaka Town Council</v>
      </c>
      <c r="F130" s="57">
        <v>116</v>
      </c>
    </row>
    <row r="131" spans="1:6">
      <c r="A131" s="57" t="s">
        <v>331</v>
      </c>
      <c r="B131" s="57" t="s">
        <v>329</v>
      </c>
      <c r="C131" s="57" t="s">
        <v>331</v>
      </c>
      <c r="D131" s="57" t="str">
        <f t="shared" ref="D131:D194" si="2">A131</f>
        <v>Iki-Iki</v>
      </c>
      <c r="F131" s="57">
        <v>117</v>
      </c>
    </row>
    <row r="132" spans="1:6">
      <c r="A132" s="57" t="s">
        <v>332</v>
      </c>
      <c r="B132" s="57" t="s">
        <v>329</v>
      </c>
      <c r="C132" s="57" t="s">
        <v>329</v>
      </c>
      <c r="D132" s="57" t="str">
        <f t="shared" si="2"/>
        <v>Kachomo</v>
      </c>
      <c r="F132" s="57">
        <v>118</v>
      </c>
    </row>
    <row r="133" spans="1:6">
      <c r="A133" s="57" t="s">
        <v>333</v>
      </c>
      <c r="B133" s="57" t="s">
        <v>329</v>
      </c>
      <c r="C133" s="57" t="s">
        <v>329</v>
      </c>
      <c r="D133" s="57" t="str">
        <f t="shared" si="2"/>
        <v>Kaderuna</v>
      </c>
      <c r="F133" s="57">
        <v>119</v>
      </c>
    </row>
    <row r="134" spans="1:6">
      <c r="A134" s="57" t="s">
        <v>334</v>
      </c>
      <c r="B134" s="57" t="s">
        <v>329</v>
      </c>
      <c r="C134" s="57" t="s">
        <v>329</v>
      </c>
      <c r="D134" s="57" t="str">
        <f t="shared" si="2"/>
        <v>Kakule</v>
      </c>
      <c r="F134" s="57">
        <v>120</v>
      </c>
    </row>
    <row r="135" spans="1:6">
      <c r="A135" s="57" t="s">
        <v>335</v>
      </c>
      <c r="B135" s="57" t="s">
        <v>329</v>
      </c>
      <c r="C135" s="57" t="s">
        <v>331</v>
      </c>
      <c r="D135" s="57" t="str">
        <f t="shared" si="2"/>
        <v>Kameruka</v>
      </c>
      <c r="F135" s="57">
        <v>121</v>
      </c>
    </row>
    <row r="136" spans="1:6">
      <c r="A136" s="57" t="s">
        <v>336</v>
      </c>
      <c r="B136" s="57" t="s">
        <v>329</v>
      </c>
      <c r="C136" s="57" t="s">
        <v>331</v>
      </c>
      <c r="D136" s="57" t="str">
        <f t="shared" si="2"/>
        <v>Kamonkoli</v>
      </c>
      <c r="F136" s="57">
        <v>122</v>
      </c>
    </row>
    <row r="137" spans="1:6">
      <c r="A137" s="57" t="s">
        <v>337</v>
      </c>
      <c r="B137" s="57" t="s">
        <v>329</v>
      </c>
      <c r="C137" s="57" t="s">
        <v>331</v>
      </c>
      <c r="D137" s="57" t="str">
        <f t="shared" si="2"/>
        <v>Katiira</v>
      </c>
      <c r="F137" s="57">
        <v>123</v>
      </c>
    </row>
    <row r="138" spans="1:6">
      <c r="A138" s="57" t="s">
        <v>338</v>
      </c>
      <c r="B138" s="57" t="s">
        <v>329</v>
      </c>
      <c r="C138" s="57" t="s">
        <v>329</v>
      </c>
      <c r="D138" s="57" t="str">
        <f t="shared" si="2"/>
        <v>Lyama</v>
      </c>
      <c r="F138" s="57">
        <v>124</v>
      </c>
    </row>
    <row r="139" spans="1:6">
      <c r="A139" s="57" t="s">
        <v>339</v>
      </c>
      <c r="B139" s="57" t="s">
        <v>329</v>
      </c>
      <c r="C139" s="57" t="s">
        <v>331</v>
      </c>
      <c r="D139" s="57" t="str">
        <f t="shared" si="2"/>
        <v>Mugiti</v>
      </c>
      <c r="F139" s="57">
        <v>125</v>
      </c>
    </row>
    <row r="140" spans="1:6">
      <c r="A140" s="57" t="s">
        <v>340</v>
      </c>
      <c r="B140" s="57" t="s">
        <v>329</v>
      </c>
      <c r="C140" s="57" t="s">
        <v>329</v>
      </c>
      <c r="D140" s="57" t="str">
        <f t="shared" si="2"/>
        <v>Naboa</v>
      </c>
      <c r="F140" s="57">
        <v>126</v>
      </c>
    </row>
    <row r="141" spans="1:6">
      <c r="A141" s="57" t="s">
        <v>341</v>
      </c>
      <c r="B141" s="57" t="s">
        <v>329</v>
      </c>
      <c r="C141" s="57" t="s">
        <v>329</v>
      </c>
      <c r="D141" s="57" t="str">
        <f t="shared" si="2"/>
        <v>Nansanga</v>
      </c>
      <c r="F141" s="57">
        <v>127</v>
      </c>
    </row>
    <row r="142" spans="1:6">
      <c r="A142" s="57" t="s">
        <v>342</v>
      </c>
      <c r="B142" s="57" t="s">
        <v>343</v>
      </c>
      <c r="C142" s="57" t="s">
        <v>344</v>
      </c>
      <c r="D142" s="57" t="str">
        <f t="shared" si="2"/>
        <v>Bubiita</v>
      </c>
      <c r="F142" s="57">
        <v>128</v>
      </c>
    </row>
    <row r="143" spans="1:6">
      <c r="A143" s="57" t="s">
        <v>343</v>
      </c>
      <c r="B143" s="57" t="s">
        <v>343</v>
      </c>
      <c r="C143" s="57" t="s">
        <v>344</v>
      </c>
      <c r="D143" s="57" t="str">
        <f t="shared" si="2"/>
        <v>Bududa</v>
      </c>
      <c r="F143" s="57">
        <v>129</v>
      </c>
    </row>
    <row r="144" spans="1:6">
      <c r="A144" s="57" t="s">
        <v>345</v>
      </c>
      <c r="B144" s="57" t="s">
        <v>343</v>
      </c>
      <c r="C144" s="57" t="s">
        <v>344</v>
      </c>
      <c r="D144" s="57" t="str">
        <f t="shared" si="2"/>
        <v>Bududa Town Council</v>
      </c>
      <c r="F144" s="57">
        <v>130</v>
      </c>
    </row>
    <row r="145" spans="1:6">
      <c r="A145" s="57" t="s">
        <v>346</v>
      </c>
      <c r="B145" s="57" t="s">
        <v>343</v>
      </c>
      <c r="C145" s="57" t="s">
        <v>344</v>
      </c>
      <c r="D145" s="57" t="str">
        <f t="shared" si="2"/>
        <v>Bukalasi</v>
      </c>
      <c r="F145" s="57">
        <v>131</v>
      </c>
    </row>
    <row r="146" spans="1:6">
      <c r="A146" s="57" t="s">
        <v>347</v>
      </c>
      <c r="B146" s="57" t="s">
        <v>343</v>
      </c>
      <c r="C146" s="57" t="s">
        <v>344</v>
      </c>
      <c r="D146" s="57" t="str">
        <f t="shared" si="2"/>
        <v>Bukibokolo</v>
      </c>
      <c r="F146" s="57">
        <v>132</v>
      </c>
    </row>
    <row r="147" spans="1:6">
      <c r="A147" s="57" t="s">
        <v>348</v>
      </c>
      <c r="B147" s="57" t="s">
        <v>343</v>
      </c>
      <c r="C147" s="57" t="s">
        <v>344</v>
      </c>
      <c r="D147" s="57" t="str">
        <f t="shared" si="2"/>
        <v>Bukigai</v>
      </c>
      <c r="F147" s="57">
        <v>133</v>
      </c>
    </row>
    <row r="148" spans="1:6">
      <c r="A148" s="57" t="s">
        <v>349</v>
      </c>
      <c r="B148" s="57" t="s">
        <v>343</v>
      </c>
      <c r="C148" s="57" t="s">
        <v>344</v>
      </c>
      <c r="D148" s="57" t="str">
        <f t="shared" si="2"/>
        <v>Bulucheke</v>
      </c>
      <c r="F148" s="57">
        <v>134</v>
      </c>
    </row>
    <row r="149" spans="1:6">
      <c r="A149" s="57" t="s">
        <v>350</v>
      </c>
      <c r="B149" s="57" t="s">
        <v>343</v>
      </c>
      <c r="C149" s="57" t="s">
        <v>344</v>
      </c>
      <c r="D149" s="57" t="str">
        <f t="shared" si="2"/>
        <v>Bumasheti</v>
      </c>
      <c r="F149" s="57">
        <v>135</v>
      </c>
    </row>
    <row r="150" spans="1:6">
      <c r="A150" s="57" t="s">
        <v>351</v>
      </c>
      <c r="B150" s="57" t="s">
        <v>343</v>
      </c>
      <c r="C150" s="57" t="s">
        <v>344</v>
      </c>
      <c r="D150" s="57" t="str">
        <f t="shared" si="2"/>
        <v>Bumayoka</v>
      </c>
      <c r="F150" s="57">
        <v>136</v>
      </c>
    </row>
    <row r="151" spans="1:6">
      <c r="A151" s="57" t="s">
        <v>352</v>
      </c>
      <c r="B151" s="57" t="s">
        <v>343</v>
      </c>
      <c r="C151" s="57" t="s">
        <v>344</v>
      </c>
      <c r="D151" s="57" t="str">
        <f t="shared" si="2"/>
        <v>Bushika</v>
      </c>
      <c r="F151" s="57">
        <v>137</v>
      </c>
    </row>
    <row r="152" spans="1:6">
      <c r="A152" s="57" t="s">
        <v>353</v>
      </c>
      <c r="B152" s="57" t="s">
        <v>343</v>
      </c>
      <c r="C152" s="57" t="s">
        <v>344</v>
      </c>
      <c r="D152" s="57" t="str">
        <f t="shared" si="2"/>
        <v>Bushiribo</v>
      </c>
      <c r="F152" s="57">
        <v>138</v>
      </c>
    </row>
    <row r="153" spans="1:6">
      <c r="A153" s="57" t="s">
        <v>354</v>
      </c>
      <c r="B153" s="57" t="s">
        <v>343</v>
      </c>
      <c r="C153" s="57" t="s">
        <v>344</v>
      </c>
      <c r="D153" s="57" t="str">
        <f t="shared" si="2"/>
        <v>Bushiyi</v>
      </c>
      <c r="F153" s="57">
        <v>139</v>
      </c>
    </row>
    <row r="154" spans="1:6">
      <c r="A154" s="57" t="s">
        <v>355</v>
      </c>
      <c r="B154" s="57" t="s">
        <v>343</v>
      </c>
      <c r="C154" s="57" t="s">
        <v>344</v>
      </c>
      <c r="D154" s="57" t="str">
        <f t="shared" si="2"/>
        <v>Buwali</v>
      </c>
      <c r="F154" s="57">
        <v>140</v>
      </c>
    </row>
    <row r="155" spans="1:6">
      <c r="A155" s="57" t="s">
        <v>356</v>
      </c>
      <c r="B155" s="57" t="s">
        <v>343</v>
      </c>
      <c r="C155" s="57" t="s">
        <v>344</v>
      </c>
      <c r="D155" s="57" t="str">
        <f t="shared" si="2"/>
        <v>Nabweya</v>
      </c>
      <c r="F155" s="57">
        <v>141</v>
      </c>
    </row>
    <row r="156" spans="1:6">
      <c r="A156" s="57" t="s">
        <v>357</v>
      </c>
      <c r="B156" s="57" t="s">
        <v>343</v>
      </c>
      <c r="C156" s="57" t="s">
        <v>344</v>
      </c>
      <c r="D156" s="57" t="str">
        <f t="shared" si="2"/>
        <v>Nakatsi</v>
      </c>
      <c r="F156" s="57">
        <v>142</v>
      </c>
    </row>
    <row r="157" spans="1:6">
      <c r="A157" s="57" t="s">
        <v>358</v>
      </c>
      <c r="B157" s="57" t="s">
        <v>343</v>
      </c>
      <c r="C157" s="57" t="s">
        <v>344</v>
      </c>
      <c r="D157" s="57" t="str">
        <f t="shared" si="2"/>
        <v>Nalwanza</v>
      </c>
      <c r="F157" s="57">
        <v>143</v>
      </c>
    </row>
    <row r="158" spans="1:6">
      <c r="A158" s="57" t="s">
        <v>359</v>
      </c>
      <c r="B158" s="57" t="s">
        <v>360</v>
      </c>
      <c r="C158" s="57" t="s">
        <v>361</v>
      </c>
      <c r="D158" s="57" t="str">
        <f t="shared" si="2"/>
        <v>Budhaya</v>
      </c>
      <c r="F158" s="57">
        <v>144</v>
      </c>
    </row>
    <row r="159" spans="1:6">
      <c r="A159" s="57" t="s">
        <v>362</v>
      </c>
      <c r="B159" s="57" t="s">
        <v>360</v>
      </c>
      <c r="C159" s="57" t="s">
        <v>362</v>
      </c>
      <c r="D159" s="57" t="str">
        <f t="shared" si="2"/>
        <v>Bugiri Municipality</v>
      </c>
      <c r="F159" s="57">
        <v>145</v>
      </c>
    </row>
    <row r="160" spans="1:6">
      <c r="A160" s="57" t="s">
        <v>363</v>
      </c>
      <c r="B160" s="57" t="s">
        <v>360</v>
      </c>
      <c r="C160" s="57" t="s">
        <v>361</v>
      </c>
      <c r="D160" s="57" t="str">
        <f t="shared" si="2"/>
        <v>Bulesa</v>
      </c>
      <c r="F160" s="57">
        <v>146</v>
      </c>
    </row>
    <row r="161" spans="1:6">
      <c r="A161" s="57" t="s">
        <v>364</v>
      </c>
      <c r="B161" s="57" t="s">
        <v>360</v>
      </c>
      <c r="C161" s="57" t="s">
        <v>361</v>
      </c>
      <c r="D161" s="57" t="str">
        <f t="shared" si="2"/>
        <v>Bulidha</v>
      </c>
      <c r="F161" s="57">
        <v>147</v>
      </c>
    </row>
    <row r="162" spans="1:6">
      <c r="A162" s="57" t="s">
        <v>365</v>
      </c>
      <c r="B162" s="57" t="s">
        <v>360</v>
      </c>
      <c r="C162" s="57" t="s">
        <v>361</v>
      </c>
      <c r="D162" s="57" t="str">
        <f t="shared" si="2"/>
        <v>Buluguyi</v>
      </c>
      <c r="F162" s="57">
        <v>148</v>
      </c>
    </row>
    <row r="163" spans="1:6">
      <c r="A163" s="57" t="s">
        <v>366</v>
      </c>
      <c r="B163" s="57" t="s">
        <v>360</v>
      </c>
      <c r="C163" s="57" t="s">
        <v>361</v>
      </c>
      <c r="D163" s="57" t="str">
        <f t="shared" si="2"/>
        <v>Buwunga-Bugiri</v>
      </c>
      <c r="F163" s="57">
        <v>149</v>
      </c>
    </row>
    <row r="164" spans="1:6">
      <c r="A164" s="57" t="s">
        <v>367</v>
      </c>
      <c r="B164" s="57" t="s">
        <v>360</v>
      </c>
      <c r="C164" s="57" t="s">
        <v>361</v>
      </c>
      <c r="D164" s="57" t="str">
        <f t="shared" si="2"/>
        <v>Iwemba</v>
      </c>
      <c r="F164" s="57">
        <v>150</v>
      </c>
    </row>
    <row r="165" spans="1:6">
      <c r="A165" s="57" t="s">
        <v>368</v>
      </c>
      <c r="B165" s="57" t="s">
        <v>360</v>
      </c>
      <c r="C165" s="57" t="s">
        <v>361</v>
      </c>
      <c r="D165" s="57" t="str">
        <f t="shared" si="2"/>
        <v>Kapyanga</v>
      </c>
      <c r="F165" s="57">
        <v>151</v>
      </c>
    </row>
    <row r="166" spans="1:6">
      <c r="A166" s="57" t="s">
        <v>369</v>
      </c>
      <c r="B166" s="57" t="s">
        <v>360</v>
      </c>
      <c r="C166" s="57" t="s">
        <v>361</v>
      </c>
      <c r="D166" s="57" t="str">
        <f t="shared" si="2"/>
        <v>Muterere</v>
      </c>
      <c r="F166" s="57">
        <v>152</v>
      </c>
    </row>
    <row r="167" spans="1:6">
      <c r="A167" s="57" t="s">
        <v>370</v>
      </c>
      <c r="B167" s="57" t="s">
        <v>360</v>
      </c>
      <c r="C167" s="57" t="s">
        <v>361</v>
      </c>
      <c r="D167" s="57" t="str">
        <f t="shared" si="2"/>
        <v>Nabukalu</v>
      </c>
      <c r="F167" s="57">
        <v>153</v>
      </c>
    </row>
    <row r="168" spans="1:6">
      <c r="A168" s="57" t="s">
        <v>371</v>
      </c>
      <c r="B168" s="57" t="s">
        <v>360</v>
      </c>
      <c r="C168" s="57" t="s">
        <v>361</v>
      </c>
      <c r="D168" s="57" t="str">
        <f t="shared" si="2"/>
        <v>Nankoma</v>
      </c>
      <c r="F168" s="57">
        <v>154</v>
      </c>
    </row>
    <row r="169" spans="1:6">
      <c r="A169" s="57" t="s">
        <v>372</v>
      </c>
      <c r="B169" s="57" t="s">
        <v>373</v>
      </c>
      <c r="C169" s="57" t="s">
        <v>373</v>
      </c>
      <c r="D169" s="57" t="str">
        <f t="shared" si="2"/>
        <v>Bihanga-Buhweju</v>
      </c>
      <c r="F169" s="57">
        <v>155</v>
      </c>
    </row>
    <row r="170" spans="1:6">
      <c r="A170" s="57" t="s">
        <v>374</v>
      </c>
      <c r="B170" s="57" t="s">
        <v>373</v>
      </c>
      <c r="C170" s="57" t="s">
        <v>373</v>
      </c>
      <c r="D170" s="57" t="str">
        <f t="shared" si="2"/>
        <v>Bitsya</v>
      </c>
      <c r="F170" s="57">
        <v>156</v>
      </c>
    </row>
    <row r="171" spans="1:6">
      <c r="A171" s="57" t="s">
        <v>375</v>
      </c>
      <c r="B171" s="57" t="s">
        <v>373</v>
      </c>
      <c r="C171" s="57" t="s">
        <v>373</v>
      </c>
      <c r="D171" s="57" t="str">
        <f t="shared" si="2"/>
        <v>Burere</v>
      </c>
      <c r="F171" s="57">
        <v>157</v>
      </c>
    </row>
    <row r="172" spans="1:6">
      <c r="A172" s="57" t="s">
        <v>376</v>
      </c>
      <c r="B172" s="57" t="s">
        <v>373</v>
      </c>
      <c r="C172" s="57" t="s">
        <v>373</v>
      </c>
      <c r="D172" s="57" t="str">
        <f t="shared" si="2"/>
        <v>Engaju</v>
      </c>
      <c r="F172" s="57">
        <v>158</v>
      </c>
    </row>
    <row r="173" spans="1:6">
      <c r="A173" s="57" t="s">
        <v>377</v>
      </c>
      <c r="B173" s="57" t="s">
        <v>373</v>
      </c>
      <c r="C173" s="57" t="s">
        <v>373</v>
      </c>
      <c r="D173" s="57" t="str">
        <f t="shared" si="2"/>
        <v>Karungu</v>
      </c>
      <c r="F173" s="57">
        <v>159</v>
      </c>
    </row>
    <row r="174" spans="1:6">
      <c r="A174" s="57" t="s">
        <v>378</v>
      </c>
      <c r="B174" s="57" t="s">
        <v>373</v>
      </c>
      <c r="C174" s="57" t="s">
        <v>373</v>
      </c>
      <c r="D174" s="57" t="str">
        <f t="shared" si="2"/>
        <v>Nsiika Town Council</v>
      </c>
      <c r="F174" s="57">
        <v>160</v>
      </c>
    </row>
    <row r="175" spans="1:6">
      <c r="A175" s="57" t="s">
        <v>379</v>
      </c>
      <c r="B175" s="57" t="s">
        <v>373</v>
      </c>
      <c r="C175" s="57" t="s">
        <v>373</v>
      </c>
      <c r="D175" s="57" t="str">
        <f t="shared" si="2"/>
        <v>Nyakishana</v>
      </c>
      <c r="F175" s="57">
        <v>161</v>
      </c>
    </row>
    <row r="176" spans="1:6">
      <c r="A176" s="57" t="s">
        <v>380</v>
      </c>
      <c r="B176" s="57" t="s">
        <v>373</v>
      </c>
      <c r="C176" s="57" t="s">
        <v>373</v>
      </c>
      <c r="D176" s="57" t="str">
        <f t="shared" si="2"/>
        <v>Rwengwe</v>
      </c>
      <c r="F176" s="57">
        <v>162</v>
      </c>
    </row>
    <row r="177" spans="1:6">
      <c r="A177" s="57" t="s">
        <v>381</v>
      </c>
      <c r="B177" s="57" t="s">
        <v>381</v>
      </c>
      <c r="C177" s="57" t="s">
        <v>381</v>
      </c>
      <c r="D177" s="57" t="str">
        <f t="shared" si="2"/>
        <v>Buikwe</v>
      </c>
      <c r="F177" s="57">
        <v>163</v>
      </c>
    </row>
    <row r="178" spans="1:6">
      <c r="A178" s="57" t="s">
        <v>382</v>
      </c>
      <c r="B178" s="57" t="s">
        <v>381</v>
      </c>
      <c r="C178" s="57" t="s">
        <v>381</v>
      </c>
      <c r="D178" s="57" t="str">
        <f t="shared" si="2"/>
        <v>Buikwe Town Council</v>
      </c>
      <c r="F178" s="57">
        <v>164</v>
      </c>
    </row>
    <row r="179" spans="1:6">
      <c r="A179" s="57" t="s">
        <v>383</v>
      </c>
      <c r="B179" s="57" t="s">
        <v>381</v>
      </c>
      <c r="C179" s="57" t="s">
        <v>383</v>
      </c>
      <c r="D179" s="57" t="str">
        <f t="shared" si="2"/>
        <v>Lugazi Municipality</v>
      </c>
      <c r="F179" s="57">
        <v>165</v>
      </c>
    </row>
    <row r="180" spans="1:6">
      <c r="A180" s="57" t="s">
        <v>384</v>
      </c>
      <c r="D180" s="57" t="str">
        <f t="shared" si="2"/>
        <v>LUGAZI</v>
      </c>
      <c r="F180" s="57">
        <v>165</v>
      </c>
    </row>
    <row r="181" spans="1:6">
      <c r="A181" s="57" t="s">
        <v>385</v>
      </c>
      <c r="D181" s="57" t="str">
        <f t="shared" si="2"/>
        <v>KINYALA</v>
      </c>
      <c r="F181" s="57">
        <v>165</v>
      </c>
    </row>
    <row r="182" spans="1:6">
      <c r="A182" s="57" t="s">
        <v>386</v>
      </c>
      <c r="B182" s="57" t="s">
        <v>381</v>
      </c>
      <c r="C182" s="57" t="s">
        <v>381</v>
      </c>
      <c r="D182" s="57" t="str">
        <f t="shared" si="2"/>
        <v>Najja</v>
      </c>
      <c r="F182" s="57">
        <v>166</v>
      </c>
    </row>
    <row r="183" spans="1:6">
      <c r="A183" s="57" t="s">
        <v>387</v>
      </c>
      <c r="B183" s="57" t="s">
        <v>381</v>
      </c>
      <c r="C183" s="57" t="s">
        <v>381</v>
      </c>
      <c r="D183" s="57" t="str">
        <f t="shared" si="2"/>
        <v>Ngogwe</v>
      </c>
      <c r="F183" s="57">
        <v>167</v>
      </c>
    </row>
    <row r="184" spans="1:6">
      <c r="A184" s="57" t="s">
        <v>388</v>
      </c>
      <c r="B184" s="57" t="s">
        <v>381</v>
      </c>
      <c r="C184" s="57" t="s">
        <v>388</v>
      </c>
      <c r="D184" s="57" t="str">
        <f t="shared" si="2"/>
        <v>Njeru Municipality</v>
      </c>
      <c r="F184" s="57">
        <v>168</v>
      </c>
    </row>
    <row r="185" spans="1:6">
      <c r="A185" s="57" t="s">
        <v>389</v>
      </c>
      <c r="B185" s="57" t="s">
        <v>381</v>
      </c>
      <c r="C185" s="57" t="s">
        <v>381</v>
      </c>
      <c r="D185" s="57" t="str">
        <f t="shared" si="2"/>
        <v>Nkokonjeru Town Council</v>
      </c>
      <c r="F185" s="57">
        <v>169</v>
      </c>
    </row>
    <row r="186" spans="1:6">
      <c r="A186" s="57" t="s">
        <v>390</v>
      </c>
      <c r="B186" s="57" t="s">
        <v>381</v>
      </c>
      <c r="C186" s="57" t="s">
        <v>381</v>
      </c>
      <c r="D186" s="57" t="str">
        <f t="shared" si="2"/>
        <v>Ssi-Bukunja</v>
      </c>
      <c r="F186" s="57">
        <v>170</v>
      </c>
    </row>
    <row r="187" spans="1:6">
      <c r="A187" s="57" t="s">
        <v>391</v>
      </c>
      <c r="B187" s="57" t="s">
        <v>391</v>
      </c>
      <c r="C187" s="57" t="s">
        <v>391</v>
      </c>
      <c r="D187" s="57" t="str">
        <f t="shared" si="2"/>
        <v>Bukedea</v>
      </c>
      <c r="F187" s="57">
        <v>171</v>
      </c>
    </row>
    <row r="188" spans="1:6">
      <c r="A188" s="57" t="s">
        <v>392</v>
      </c>
      <c r="B188" s="57" t="s">
        <v>391</v>
      </c>
      <c r="C188" s="57" t="s">
        <v>391</v>
      </c>
      <c r="D188" s="57" t="str">
        <f t="shared" si="2"/>
        <v>Bukedea Town Council</v>
      </c>
      <c r="F188" s="57">
        <v>172</v>
      </c>
    </row>
    <row r="189" spans="1:6">
      <c r="A189" s="57" t="s">
        <v>393</v>
      </c>
      <c r="B189" s="57" t="s">
        <v>391</v>
      </c>
      <c r="C189" s="57" t="s">
        <v>391</v>
      </c>
      <c r="D189" s="57" t="str">
        <f t="shared" si="2"/>
        <v>Kachumbala</v>
      </c>
      <c r="F189" s="57">
        <v>173</v>
      </c>
    </row>
    <row r="190" spans="1:6">
      <c r="A190" s="57" t="s">
        <v>394</v>
      </c>
      <c r="B190" s="57" t="s">
        <v>391</v>
      </c>
      <c r="C190" s="57" t="s">
        <v>391</v>
      </c>
      <c r="D190" s="57" t="str">
        <f t="shared" si="2"/>
        <v>Kidongole</v>
      </c>
      <c r="F190" s="57">
        <v>174</v>
      </c>
    </row>
    <row r="191" spans="1:6">
      <c r="A191" s="57" t="s">
        <v>395</v>
      </c>
      <c r="B191" s="57" t="s">
        <v>391</v>
      </c>
      <c r="C191" s="57" t="s">
        <v>391</v>
      </c>
      <c r="D191" s="57" t="str">
        <f t="shared" si="2"/>
        <v>Kolir</v>
      </c>
      <c r="F191" s="57">
        <v>175</v>
      </c>
    </row>
    <row r="192" spans="1:6">
      <c r="A192" s="57" t="s">
        <v>396</v>
      </c>
      <c r="B192" s="57" t="s">
        <v>391</v>
      </c>
      <c r="C192" s="57" t="s">
        <v>391</v>
      </c>
      <c r="D192" s="57" t="str">
        <f t="shared" si="2"/>
        <v>Malera</v>
      </c>
      <c r="F192" s="57">
        <v>176</v>
      </c>
    </row>
    <row r="193" spans="1:6">
      <c r="A193" s="57" t="s">
        <v>397</v>
      </c>
      <c r="B193" s="57" t="s">
        <v>398</v>
      </c>
      <c r="C193" s="57" t="s">
        <v>398</v>
      </c>
      <c r="D193" s="57" t="str">
        <f t="shared" si="2"/>
        <v>Bigasa</v>
      </c>
      <c r="F193" s="57">
        <v>177</v>
      </c>
    </row>
    <row r="194" spans="1:6">
      <c r="A194" s="57" t="s">
        <v>398</v>
      </c>
      <c r="D194" s="57" t="str">
        <f t="shared" si="2"/>
        <v>Bukomansimbi</v>
      </c>
      <c r="F194" s="57">
        <v>178</v>
      </c>
    </row>
    <row r="195" spans="1:6">
      <c r="A195" s="57" t="s">
        <v>399</v>
      </c>
      <c r="D195" s="57" t="str">
        <f t="shared" ref="D195:D258" si="3">A195</f>
        <v>KAGOGOLO</v>
      </c>
      <c r="F195" s="57">
        <v>178</v>
      </c>
    </row>
    <row r="196" spans="1:6">
      <c r="A196" s="57" t="s">
        <v>400</v>
      </c>
      <c r="B196" s="57" t="s">
        <v>398</v>
      </c>
      <c r="C196" s="57" t="s">
        <v>398</v>
      </c>
      <c r="D196" s="57" t="str">
        <f t="shared" si="3"/>
        <v>Bukomansimbi Town Council</v>
      </c>
      <c r="F196" s="57">
        <v>178</v>
      </c>
    </row>
    <row r="197" spans="1:6">
      <c r="A197" s="57" t="s">
        <v>401</v>
      </c>
      <c r="D197" s="57" t="str">
        <f t="shared" si="3"/>
        <v>BUKOMANSIMBI TOWN</v>
      </c>
      <c r="F197" s="57">
        <v>178</v>
      </c>
    </row>
    <row r="198" spans="1:6">
      <c r="A198" s="57" t="s">
        <v>402</v>
      </c>
      <c r="B198" s="57" t="s">
        <v>398</v>
      </c>
      <c r="C198" s="57" t="s">
        <v>398</v>
      </c>
      <c r="D198" s="57" t="str">
        <f t="shared" si="3"/>
        <v>Butenga</v>
      </c>
      <c r="F198" s="57">
        <v>179</v>
      </c>
    </row>
    <row r="199" spans="1:6">
      <c r="A199" s="57" t="s">
        <v>403</v>
      </c>
      <c r="B199" s="57" t="s">
        <v>398</v>
      </c>
      <c r="C199" s="57" t="s">
        <v>398</v>
      </c>
      <c r="D199" s="57" t="str">
        <f t="shared" si="3"/>
        <v>Kibinge</v>
      </c>
      <c r="F199" s="57">
        <v>180</v>
      </c>
    </row>
    <row r="200" spans="1:6">
      <c r="A200" s="57" t="s">
        <v>404</v>
      </c>
      <c r="B200" s="57" t="s">
        <v>398</v>
      </c>
      <c r="C200" s="57" t="s">
        <v>398</v>
      </c>
      <c r="D200" s="57" t="str">
        <f t="shared" si="3"/>
        <v>Kitanda</v>
      </c>
      <c r="F200" s="57">
        <v>181</v>
      </c>
    </row>
    <row r="201" spans="1:6">
      <c r="A201" s="57" t="s">
        <v>405</v>
      </c>
      <c r="B201" s="57" t="s">
        <v>405</v>
      </c>
      <c r="C201" s="57" t="s">
        <v>406</v>
      </c>
      <c r="D201" s="57" t="str">
        <f t="shared" si="3"/>
        <v>Bukwo</v>
      </c>
      <c r="F201" s="57">
        <v>182</v>
      </c>
    </row>
    <row r="202" spans="1:6" ht="16.5" customHeight="1">
      <c r="A202" s="57" t="s">
        <v>407</v>
      </c>
      <c r="B202" s="57" t="s">
        <v>405</v>
      </c>
      <c r="C202" s="57" t="s">
        <v>406</v>
      </c>
      <c r="D202" s="57" t="str">
        <f t="shared" si="3"/>
        <v>Bukwo Town Council</v>
      </c>
      <c r="F202" s="57">
        <v>183</v>
      </c>
    </row>
    <row r="203" spans="1:6">
      <c r="A203" s="57" t="s">
        <v>408</v>
      </c>
      <c r="B203" s="57" t="s">
        <v>405</v>
      </c>
      <c r="C203" s="57" t="s">
        <v>406</v>
      </c>
      <c r="D203" s="57" t="str">
        <f t="shared" si="3"/>
        <v>Chepkwasta</v>
      </c>
      <c r="F203" s="57">
        <v>184</v>
      </c>
    </row>
    <row r="204" spans="1:6">
      <c r="A204" s="57" t="s">
        <v>409</v>
      </c>
      <c r="B204" s="57" t="s">
        <v>405</v>
      </c>
      <c r="C204" s="57" t="s">
        <v>406</v>
      </c>
      <c r="D204" s="57" t="str">
        <f t="shared" si="3"/>
        <v>Chesower</v>
      </c>
      <c r="F204" s="57">
        <v>185</v>
      </c>
    </row>
    <row r="205" spans="1:6">
      <c r="A205" s="57" t="s">
        <v>410</v>
      </c>
      <c r="B205" s="57" t="s">
        <v>405</v>
      </c>
      <c r="C205" s="57" t="s">
        <v>406</v>
      </c>
      <c r="D205" s="57" t="str">
        <f t="shared" si="3"/>
        <v>Kabei</v>
      </c>
      <c r="F205" s="57">
        <v>186</v>
      </c>
    </row>
    <row r="206" spans="1:6">
      <c r="A206" s="57" t="s">
        <v>411</v>
      </c>
      <c r="B206" s="57" t="s">
        <v>405</v>
      </c>
      <c r="C206" s="57" t="s">
        <v>406</v>
      </c>
      <c r="D206" s="57" t="str">
        <f t="shared" si="3"/>
        <v>Kamet</v>
      </c>
      <c r="F206" s="57">
        <v>187</v>
      </c>
    </row>
    <row r="207" spans="1:6">
      <c r="A207" s="57" t="s">
        <v>412</v>
      </c>
      <c r="B207" s="57" t="s">
        <v>405</v>
      </c>
      <c r="C207" s="57" t="s">
        <v>406</v>
      </c>
      <c r="D207" s="57" t="str">
        <f t="shared" si="3"/>
        <v>Kaptererwo</v>
      </c>
      <c r="F207" s="57">
        <v>188</v>
      </c>
    </row>
    <row r="208" spans="1:6">
      <c r="A208" s="57" t="s">
        <v>413</v>
      </c>
      <c r="B208" s="57" t="s">
        <v>405</v>
      </c>
      <c r="C208" s="57" t="s">
        <v>406</v>
      </c>
      <c r="D208" s="57" t="str">
        <f t="shared" si="3"/>
        <v>Kortek</v>
      </c>
      <c r="F208" s="57">
        <v>189</v>
      </c>
    </row>
    <row r="209" spans="1:6">
      <c r="A209" s="57" t="s">
        <v>414</v>
      </c>
      <c r="B209" s="57" t="s">
        <v>405</v>
      </c>
      <c r="C209" s="57" t="s">
        <v>406</v>
      </c>
      <c r="D209" s="57" t="str">
        <f t="shared" si="3"/>
        <v>Riwo</v>
      </c>
      <c r="F209" s="57">
        <v>190</v>
      </c>
    </row>
    <row r="210" spans="1:6">
      <c r="A210" s="57" t="s">
        <v>415</v>
      </c>
      <c r="B210" s="57" t="s">
        <v>405</v>
      </c>
      <c r="C210" s="57" t="s">
        <v>406</v>
      </c>
      <c r="D210" s="57" t="str">
        <f t="shared" si="3"/>
        <v>Senendet</v>
      </c>
      <c r="F210" s="57">
        <v>191</v>
      </c>
    </row>
    <row r="211" spans="1:6">
      <c r="A211" s="57" t="s">
        <v>416</v>
      </c>
      <c r="B211" s="57" t="s">
        <v>405</v>
      </c>
      <c r="C211" s="57" t="s">
        <v>406</v>
      </c>
      <c r="D211" s="57" t="str">
        <f t="shared" si="3"/>
        <v>Suam</v>
      </c>
      <c r="F211" s="57">
        <v>192</v>
      </c>
    </row>
    <row r="212" spans="1:6">
      <c r="A212" s="57" t="s">
        <v>417</v>
      </c>
      <c r="B212" s="57" t="s">
        <v>405</v>
      </c>
      <c r="C212" s="57" t="s">
        <v>406</v>
      </c>
      <c r="D212" s="57" t="str">
        <f t="shared" si="3"/>
        <v>Tulel</v>
      </c>
      <c r="F212" s="57">
        <v>193</v>
      </c>
    </row>
    <row r="213" spans="1:6">
      <c r="A213" s="57" t="s">
        <v>418</v>
      </c>
      <c r="B213" s="57" t="s">
        <v>419</v>
      </c>
      <c r="C213" s="57" t="s">
        <v>419</v>
      </c>
      <c r="D213" s="57" t="str">
        <f t="shared" si="3"/>
        <v>Buginyanya</v>
      </c>
      <c r="F213" s="57">
        <v>194</v>
      </c>
    </row>
    <row r="214" spans="1:6">
      <c r="A214" s="57" t="s">
        <v>420</v>
      </c>
      <c r="B214" s="57" t="s">
        <v>419</v>
      </c>
      <c r="C214" s="57" t="s">
        <v>419</v>
      </c>
      <c r="D214" s="57" t="str">
        <f t="shared" si="3"/>
        <v>Bukhalu</v>
      </c>
      <c r="F214" s="57">
        <v>195</v>
      </c>
    </row>
    <row r="215" spans="1:6">
      <c r="A215" s="57" t="s">
        <v>421</v>
      </c>
      <c r="B215" s="57" t="s">
        <v>419</v>
      </c>
      <c r="C215" s="57" t="s">
        <v>419</v>
      </c>
      <c r="D215" s="57" t="str">
        <f t="shared" si="3"/>
        <v>Bulaago</v>
      </c>
      <c r="F215" s="57">
        <v>196</v>
      </c>
    </row>
    <row r="216" spans="1:6">
      <c r="A216" s="57" t="s">
        <v>422</v>
      </c>
      <c r="B216" s="57" t="s">
        <v>419</v>
      </c>
      <c r="C216" s="57" t="s">
        <v>419</v>
      </c>
      <c r="D216" s="57" t="str">
        <f t="shared" si="3"/>
        <v>Bulambuli Town Council</v>
      </c>
      <c r="F216" s="57">
        <v>197</v>
      </c>
    </row>
    <row r="217" spans="1:6">
      <c r="A217" s="57" t="s">
        <v>423</v>
      </c>
      <c r="B217" s="57" t="s">
        <v>419</v>
      </c>
      <c r="C217" s="57" t="s">
        <v>419</v>
      </c>
      <c r="D217" s="57" t="str">
        <f t="shared" si="3"/>
        <v>Bulegeni</v>
      </c>
      <c r="F217" s="57">
        <v>198</v>
      </c>
    </row>
    <row r="218" spans="1:6">
      <c r="A218" s="57" t="s">
        <v>424</v>
      </c>
      <c r="B218" s="57" t="s">
        <v>419</v>
      </c>
      <c r="C218" s="57" t="s">
        <v>419</v>
      </c>
      <c r="D218" s="57" t="str">
        <f t="shared" si="3"/>
        <v>Bulegeni Town Council</v>
      </c>
      <c r="F218" s="57">
        <v>199</v>
      </c>
    </row>
    <row r="219" spans="1:6">
      <c r="A219" s="57" t="s">
        <v>425</v>
      </c>
      <c r="B219" s="57" t="s">
        <v>419</v>
      </c>
      <c r="C219" s="57" t="s">
        <v>419</v>
      </c>
      <c r="D219" s="57" t="str">
        <f t="shared" si="3"/>
        <v>Buluganya</v>
      </c>
      <c r="F219" s="57">
        <v>200</v>
      </c>
    </row>
    <row r="220" spans="1:6">
      <c r="A220" s="57" t="s">
        <v>426</v>
      </c>
      <c r="B220" s="57" t="s">
        <v>419</v>
      </c>
      <c r="C220" s="57" t="s">
        <v>419</v>
      </c>
      <c r="D220" s="57" t="str">
        <f t="shared" si="3"/>
        <v>Bumasobo</v>
      </c>
      <c r="F220" s="57">
        <v>201</v>
      </c>
    </row>
    <row r="221" spans="1:6">
      <c r="A221" s="57" t="s">
        <v>427</v>
      </c>
      <c r="B221" s="57" t="s">
        <v>419</v>
      </c>
      <c r="C221" s="57" t="s">
        <v>419</v>
      </c>
      <c r="D221" s="57" t="str">
        <f t="shared" si="3"/>
        <v>Bumugibole</v>
      </c>
      <c r="F221" s="57">
        <v>202</v>
      </c>
    </row>
    <row r="222" spans="1:6">
      <c r="A222" s="57" t="s">
        <v>428</v>
      </c>
      <c r="B222" s="57" t="s">
        <v>419</v>
      </c>
      <c r="C222" s="57" t="s">
        <v>419</v>
      </c>
      <c r="D222" s="57" t="str">
        <f t="shared" si="3"/>
        <v>Bunambutye</v>
      </c>
      <c r="F222" s="57">
        <v>203</v>
      </c>
    </row>
    <row r="223" spans="1:6">
      <c r="A223" s="57" t="s">
        <v>429</v>
      </c>
      <c r="B223" s="57" t="s">
        <v>419</v>
      </c>
      <c r="C223" s="57" t="s">
        <v>419</v>
      </c>
      <c r="D223" s="57" t="str">
        <f t="shared" si="3"/>
        <v>Bwikhonge</v>
      </c>
      <c r="F223" s="57">
        <v>204</v>
      </c>
    </row>
    <row r="224" spans="1:6">
      <c r="A224" s="57" t="s">
        <v>430</v>
      </c>
      <c r="B224" s="57" t="s">
        <v>419</v>
      </c>
      <c r="C224" s="57" t="s">
        <v>419</v>
      </c>
      <c r="D224" s="57" t="str">
        <f t="shared" si="3"/>
        <v>Kamu</v>
      </c>
      <c r="F224" s="57">
        <v>205</v>
      </c>
    </row>
    <row r="225" spans="1:6">
      <c r="A225" s="57" t="s">
        <v>431</v>
      </c>
      <c r="B225" s="57" t="s">
        <v>419</v>
      </c>
      <c r="C225" s="57" t="s">
        <v>419</v>
      </c>
      <c r="D225" s="57" t="str">
        <f t="shared" si="3"/>
        <v>Lusha</v>
      </c>
      <c r="F225" s="57">
        <v>206</v>
      </c>
    </row>
    <row r="226" spans="1:6">
      <c r="A226" s="57" t="s">
        <v>432</v>
      </c>
      <c r="B226" s="57" t="s">
        <v>419</v>
      </c>
      <c r="C226" s="57" t="s">
        <v>419</v>
      </c>
      <c r="D226" s="57" t="str">
        <f t="shared" si="3"/>
        <v>Masiira</v>
      </c>
      <c r="F226" s="57">
        <v>207</v>
      </c>
    </row>
    <row r="227" spans="1:6">
      <c r="A227" s="57" t="s">
        <v>433</v>
      </c>
      <c r="B227" s="57" t="s">
        <v>419</v>
      </c>
      <c r="C227" s="57" t="s">
        <v>419</v>
      </c>
      <c r="D227" s="57" t="str">
        <f t="shared" si="3"/>
        <v>Muyembe</v>
      </c>
      <c r="F227" s="57">
        <v>208</v>
      </c>
    </row>
    <row r="228" spans="1:6" ht="15" customHeight="1">
      <c r="A228" s="57" t="s">
        <v>434</v>
      </c>
      <c r="B228" s="57" t="s">
        <v>419</v>
      </c>
      <c r="C228" s="57" t="s">
        <v>419</v>
      </c>
      <c r="D228" s="57" t="str">
        <f t="shared" si="3"/>
        <v>Nabbongo</v>
      </c>
      <c r="F228" s="57">
        <v>209</v>
      </c>
    </row>
    <row r="229" spans="1:6">
      <c r="A229" s="57" t="s">
        <v>435</v>
      </c>
      <c r="B229" s="57" t="s">
        <v>419</v>
      </c>
      <c r="C229" s="57" t="s">
        <v>419</v>
      </c>
      <c r="D229" s="57" t="str">
        <f t="shared" si="3"/>
        <v>Namisuni</v>
      </c>
      <c r="F229" s="57">
        <v>210</v>
      </c>
    </row>
    <row r="230" spans="1:6">
      <c r="A230" s="57" t="s">
        <v>436</v>
      </c>
      <c r="B230" s="57" t="s">
        <v>419</v>
      </c>
      <c r="C230" s="57" t="s">
        <v>419</v>
      </c>
      <c r="D230" s="57" t="str">
        <f t="shared" si="3"/>
        <v>Simu</v>
      </c>
      <c r="F230" s="57">
        <v>211</v>
      </c>
    </row>
    <row r="231" spans="1:6">
      <c r="A231" s="57" t="s">
        <v>437</v>
      </c>
      <c r="B231" s="57" t="s">
        <v>419</v>
      </c>
      <c r="C231" s="57" t="s">
        <v>419</v>
      </c>
      <c r="D231" s="57" t="str">
        <f t="shared" si="3"/>
        <v>Sisiyi</v>
      </c>
      <c r="F231" s="57">
        <v>212</v>
      </c>
    </row>
    <row r="232" spans="1:6">
      <c r="A232" s="57" t="s">
        <v>438</v>
      </c>
      <c r="B232" s="57" t="s">
        <v>439</v>
      </c>
      <c r="C232" s="57" t="s">
        <v>439</v>
      </c>
      <c r="D232" s="57" t="str">
        <f t="shared" si="3"/>
        <v>Biiso</v>
      </c>
      <c r="F232" s="57">
        <v>213</v>
      </c>
    </row>
    <row r="233" spans="1:6">
      <c r="A233" s="57" t="s">
        <v>439</v>
      </c>
      <c r="B233" s="57" t="s">
        <v>439</v>
      </c>
      <c r="C233" s="57" t="s">
        <v>439</v>
      </c>
      <c r="D233" s="57" t="str">
        <f t="shared" si="3"/>
        <v>Buliisa</v>
      </c>
      <c r="F233" s="57">
        <v>214</v>
      </c>
    </row>
    <row r="234" spans="1:6">
      <c r="A234" s="57" t="s">
        <v>440</v>
      </c>
      <c r="B234" s="57" t="s">
        <v>439</v>
      </c>
      <c r="C234" s="57" t="s">
        <v>439</v>
      </c>
      <c r="D234" s="57" t="str">
        <f t="shared" si="3"/>
        <v>Buliisa Town Council</v>
      </c>
      <c r="F234" s="57">
        <v>215</v>
      </c>
    </row>
    <row r="235" spans="1:6">
      <c r="A235" s="57" t="s">
        <v>441</v>
      </c>
      <c r="B235" s="57" t="s">
        <v>439</v>
      </c>
      <c r="C235" s="57" t="s">
        <v>439</v>
      </c>
      <c r="D235" s="57" t="str">
        <f t="shared" si="3"/>
        <v>Butiaba</v>
      </c>
      <c r="F235" s="57">
        <v>216</v>
      </c>
    </row>
    <row r="236" spans="1:6">
      <c r="A236" s="57" t="s">
        <v>442</v>
      </c>
      <c r="B236" s="57" t="s">
        <v>439</v>
      </c>
      <c r="C236" s="57" t="s">
        <v>439</v>
      </c>
      <c r="D236" s="57" t="str">
        <f t="shared" si="3"/>
        <v>Kigwera</v>
      </c>
      <c r="F236" s="57">
        <v>217</v>
      </c>
    </row>
    <row r="237" spans="1:6">
      <c r="A237" s="57" t="s">
        <v>443</v>
      </c>
      <c r="B237" s="57" t="s">
        <v>439</v>
      </c>
      <c r="C237" s="57" t="s">
        <v>439</v>
      </c>
      <c r="D237" s="57" t="str">
        <f t="shared" si="3"/>
        <v>Kihungya</v>
      </c>
      <c r="F237" s="57">
        <v>218</v>
      </c>
    </row>
    <row r="238" spans="1:6">
      <c r="A238" s="57" t="s">
        <v>444</v>
      </c>
      <c r="B238" s="57" t="s">
        <v>439</v>
      </c>
      <c r="C238" s="57" t="s">
        <v>439</v>
      </c>
      <c r="D238" s="57" t="str">
        <f t="shared" si="3"/>
        <v>Ngwedo</v>
      </c>
      <c r="F238" s="57">
        <v>219</v>
      </c>
    </row>
    <row r="239" spans="1:6">
      <c r="A239" s="57" t="s">
        <v>445</v>
      </c>
      <c r="B239" s="57" t="s">
        <v>446</v>
      </c>
      <c r="C239" s="57" t="s">
        <v>447</v>
      </c>
      <c r="D239" s="57" t="str">
        <f t="shared" si="3"/>
        <v>Bubandi</v>
      </c>
      <c r="F239" s="57">
        <v>220</v>
      </c>
    </row>
    <row r="240" spans="1:6">
      <c r="A240" s="57" t="s">
        <v>448</v>
      </c>
      <c r="B240" s="57" t="s">
        <v>446</v>
      </c>
      <c r="C240" s="57" t="s">
        <v>447</v>
      </c>
      <c r="D240" s="57" t="str">
        <f t="shared" si="3"/>
        <v>Bubukwanga</v>
      </c>
      <c r="F240" s="57">
        <v>221</v>
      </c>
    </row>
    <row r="241" spans="1:6">
      <c r="A241" s="57" t="s">
        <v>449</v>
      </c>
      <c r="B241" s="57" t="s">
        <v>446</v>
      </c>
      <c r="C241" s="57" t="s">
        <v>450</v>
      </c>
      <c r="D241" s="57" t="str">
        <f t="shared" si="3"/>
        <v>Bukonzo</v>
      </c>
      <c r="F241" s="57">
        <v>222</v>
      </c>
    </row>
    <row r="242" spans="1:6">
      <c r="A242" s="57" t="s">
        <v>451</v>
      </c>
      <c r="B242" s="57" t="s">
        <v>446</v>
      </c>
      <c r="C242" s="57" t="s">
        <v>447</v>
      </c>
      <c r="D242" s="57" t="str">
        <f t="shared" si="3"/>
        <v>Bundibugyo Town Council</v>
      </c>
      <c r="F242" s="57">
        <v>223</v>
      </c>
    </row>
    <row r="243" spans="1:6">
      <c r="A243" s="57" t="s">
        <v>452</v>
      </c>
      <c r="B243" s="57" t="s">
        <v>446</v>
      </c>
      <c r="C243" s="57" t="s">
        <v>447</v>
      </c>
      <c r="D243" s="57" t="str">
        <f t="shared" si="3"/>
        <v>Bundingoma</v>
      </c>
      <c r="F243" s="57">
        <v>224</v>
      </c>
    </row>
    <row r="244" spans="1:6">
      <c r="A244" s="57" t="s">
        <v>453</v>
      </c>
      <c r="B244" s="57" t="s">
        <v>446</v>
      </c>
      <c r="C244" s="57" t="s">
        <v>450</v>
      </c>
      <c r="D244" s="57" t="str">
        <f t="shared" si="3"/>
        <v>Burondo</v>
      </c>
      <c r="F244" s="57">
        <v>225</v>
      </c>
    </row>
    <row r="245" spans="1:6">
      <c r="A245" s="57" t="s">
        <v>454</v>
      </c>
      <c r="B245" s="57" t="s">
        <v>446</v>
      </c>
      <c r="C245" s="57" t="s">
        <v>447</v>
      </c>
      <c r="D245" s="57" t="str">
        <f t="shared" si="3"/>
        <v>Busaru</v>
      </c>
      <c r="F245" s="57">
        <v>226</v>
      </c>
    </row>
    <row r="246" spans="1:6">
      <c r="A246" s="57" t="s">
        <v>455</v>
      </c>
      <c r="B246" s="57" t="s">
        <v>446</v>
      </c>
      <c r="C246" s="57" t="s">
        <v>450</v>
      </c>
      <c r="D246" s="57" t="str">
        <f t="shared" si="3"/>
        <v>Harugale</v>
      </c>
      <c r="F246" s="57">
        <v>227</v>
      </c>
    </row>
    <row r="247" spans="1:6">
      <c r="A247" s="57" t="s">
        <v>456</v>
      </c>
      <c r="B247" s="57" t="s">
        <v>446</v>
      </c>
      <c r="C247" s="57" t="s">
        <v>450</v>
      </c>
      <c r="D247" s="57" t="str">
        <f t="shared" si="3"/>
        <v>Kagugu</v>
      </c>
      <c r="F247" s="57">
        <v>228</v>
      </c>
    </row>
    <row r="248" spans="1:6">
      <c r="A248" s="57" t="s">
        <v>457</v>
      </c>
      <c r="B248" s="57" t="s">
        <v>446</v>
      </c>
      <c r="C248" s="57" t="s">
        <v>450</v>
      </c>
      <c r="D248" s="57" t="str">
        <f t="shared" si="3"/>
        <v>Kasitu</v>
      </c>
      <c r="F248" s="57">
        <v>229</v>
      </c>
    </row>
    <row r="249" spans="1:6">
      <c r="A249" s="57" t="s">
        <v>458</v>
      </c>
      <c r="B249" s="57" t="s">
        <v>446</v>
      </c>
      <c r="C249" s="57" t="s">
        <v>447</v>
      </c>
      <c r="D249" s="57" t="str">
        <f t="shared" si="3"/>
        <v>Kirumya</v>
      </c>
      <c r="F249" s="57">
        <v>230</v>
      </c>
    </row>
    <row r="250" spans="1:6">
      <c r="A250" s="57" t="s">
        <v>459</v>
      </c>
      <c r="B250" s="57" t="s">
        <v>446</v>
      </c>
      <c r="C250" s="57" t="s">
        <v>447</v>
      </c>
      <c r="D250" s="57" t="str">
        <f t="shared" si="3"/>
        <v>Kisubba</v>
      </c>
      <c r="F250" s="57">
        <v>231</v>
      </c>
    </row>
    <row r="251" spans="1:6">
      <c r="A251" s="57" t="s">
        <v>460</v>
      </c>
      <c r="B251" s="57" t="s">
        <v>446</v>
      </c>
      <c r="C251" s="57" t="s">
        <v>447</v>
      </c>
      <c r="D251" s="57" t="str">
        <f t="shared" si="3"/>
        <v>Mirambi</v>
      </c>
      <c r="F251" s="57">
        <v>232</v>
      </c>
    </row>
    <row r="252" spans="1:6">
      <c r="A252" s="57" t="s">
        <v>461</v>
      </c>
      <c r="B252" s="57" t="s">
        <v>446</v>
      </c>
      <c r="C252" s="57" t="s">
        <v>450</v>
      </c>
      <c r="D252" s="57" t="str">
        <f t="shared" si="3"/>
        <v>Nduguto</v>
      </c>
      <c r="F252" s="57">
        <v>233</v>
      </c>
    </row>
    <row r="253" spans="1:6">
      <c r="A253" s="57" t="s">
        <v>462</v>
      </c>
      <c r="B253" s="57" t="s">
        <v>446</v>
      </c>
      <c r="C253" s="57" t="s">
        <v>450</v>
      </c>
      <c r="D253" s="57" t="str">
        <f t="shared" si="3"/>
        <v>Ngamba</v>
      </c>
      <c r="F253" s="57">
        <v>234</v>
      </c>
    </row>
    <row r="254" spans="1:6">
      <c r="A254" s="57" t="s">
        <v>463</v>
      </c>
      <c r="B254" s="57" t="s">
        <v>446</v>
      </c>
      <c r="C254" s="57" t="s">
        <v>450</v>
      </c>
      <c r="D254" s="57" t="str">
        <f t="shared" si="3"/>
        <v>Ntandi Town Council</v>
      </c>
      <c r="F254" s="57">
        <v>235</v>
      </c>
    </row>
    <row r="255" spans="1:6">
      <c r="A255" s="57" t="s">
        <v>464</v>
      </c>
      <c r="B255" s="57" t="s">
        <v>446</v>
      </c>
      <c r="C255" s="57" t="s">
        <v>450</v>
      </c>
      <c r="D255" s="57" t="str">
        <f t="shared" si="3"/>
        <v>Ntotoro</v>
      </c>
      <c r="F255" s="57">
        <v>236</v>
      </c>
    </row>
    <row r="256" spans="1:6">
      <c r="A256" s="57" t="s">
        <v>465</v>
      </c>
      <c r="B256" s="57" t="s">
        <v>446</v>
      </c>
      <c r="C256" s="57" t="s">
        <v>447</v>
      </c>
      <c r="D256" s="57" t="str">
        <f t="shared" si="3"/>
        <v>Nyahuka Town Council</v>
      </c>
      <c r="F256" s="57">
        <v>237</v>
      </c>
    </row>
    <row r="257" spans="1:6">
      <c r="A257" s="57" t="s">
        <v>466</v>
      </c>
      <c r="B257" s="57" t="s">
        <v>446</v>
      </c>
      <c r="C257" s="57" t="s">
        <v>450</v>
      </c>
      <c r="D257" s="57" t="str">
        <f t="shared" si="3"/>
        <v>Sindila</v>
      </c>
      <c r="F257" s="57">
        <v>238</v>
      </c>
    </row>
    <row r="258" spans="1:6">
      <c r="A258" s="57" t="s">
        <v>467</v>
      </c>
      <c r="B258" s="57" t="s">
        <v>446</v>
      </c>
      <c r="C258" s="57" t="s">
        <v>447</v>
      </c>
      <c r="D258" s="57" t="str">
        <f t="shared" si="3"/>
        <v>Tokwe</v>
      </c>
      <c r="F258" s="57">
        <v>239</v>
      </c>
    </row>
    <row r="259" spans="1:6">
      <c r="A259" s="57" t="s">
        <v>468</v>
      </c>
      <c r="B259" s="57" t="s">
        <v>469</v>
      </c>
      <c r="C259" s="57" t="s">
        <v>469</v>
      </c>
      <c r="D259" s="57" t="str">
        <f t="shared" ref="D259:D322" si="4">A259</f>
        <v>Buheesi</v>
      </c>
      <c r="F259" s="57">
        <v>240</v>
      </c>
    </row>
    <row r="260" spans="1:6">
      <c r="A260" s="57" t="s">
        <v>470</v>
      </c>
      <c r="B260" s="57" t="s">
        <v>469</v>
      </c>
      <c r="C260" s="57" t="s">
        <v>469</v>
      </c>
      <c r="D260" s="57" t="str">
        <f t="shared" si="4"/>
        <v>Buheesi Town Council</v>
      </c>
      <c r="F260" s="57">
        <v>241</v>
      </c>
    </row>
    <row r="261" spans="1:6">
      <c r="A261" s="57" t="s">
        <v>471</v>
      </c>
      <c r="B261" s="57" t="s">
        <v>469</v>
      </c>
      <c r="C261" s="57" t="s">
        <v>469</v>
      </c>
      <c r="D261" s="57" t="str">
        <f t="shared" si="4"/>
        <v>Kabonero</v>
      </c>
      <c r="F261" s="57">
        <v>242</v>
      </c>
    </row>
    <row r="262" spans="1:6">
      <c r="A262" s="57" t="s">
        <v>472</v>
      </c>
      <c r="B262" s="57" t="s">
        <v>469</v>
      </c>
      <c r="C262" s="57" t="s">
        <v>469</v>
      </c>
      <c r="D262" s="57" t="str">
        <f t="shared" si="4"/>
        <v>Katebwa</v>
      </c>
      <c r="F262" s="57">
        <v>243</v>
      </c>
    </row>
    <row r="263" spans="1:6">
      <c r="A263" s="57" t="s">
        <v>473</v>
      </c>
      <c r="B263" s="57" t="s">
        <v>469</v>
      </c>
      <c r="C263" s="57" t="s">
        <v>469</v>
      </c>
      <c r="D263" s="57" t="str">
        <f t="shared" si="4"/>
        <v>Kibiito</v>
      </c>
      <c r="F263" s="57">
        <v>244</v>
      </c>
    </row>
    <row r="264" spans="1:6">
      <c r="A264" s="57" t="s">
        <v>474</v>
      </c>
      <c r="B264" s="57" t="s">
        <v>469</v>
      </c>
      <c r="C264" s="57" t="s">
        <v>469</v>
      </c>
      <c r="D264" s="57" t="str">
        <f t="shared" si="4"/>
        <v>Kibiito Town Council</v>
      </c>
      <c r="F264" s="57">
        <v>245</v>
      </c>
    </row>
    <row r="265" spans="1:6">
      <c r="A265" s="57" t="s">
        <v>475</v>
      </c>
      <c r="B265" s="57" t="s">
        <v>469</v>
      </c>
      <c r="C265" s="57" t="s">
        <v>469</v>
      </c>
      <c r="D265" s="57" t="str">
        <f t="shared" si="4"/>
        <v>Kisomoro</v>
      </c>
      <c r="F265" s="57">
        <v>246</v>
      </c>
    </row>
    <row r="266" spans="1:6">
      <c r="A266" s="57" t="s">
        <v>476</v>
      </c>
      <c r="B266" s="57" t="s">
        <v>469</v>
      </c>
      <c r="C266" s="57" t="s">
        <v>469</v>
      </c>
      <c r="D266" s="57" t="str">
        <f t="shared" si="4"/>
        <v>Kyamukube Town Council</v>
      </c>
      <c r="F266" s="57">
        <v>247</v>
      </c>
    </row>
    <row r="267" spans="1:6">
      <c r="A267" s="57" t="s">
        <v>477</v>
      </c>
      <c r="B267" s="57" t="s">
        <v>469</v>
      </c>
      <c r="C267" s="57" t="s">
        <v>469</v>
      </c>
      <c r="D267" s="57" t="str">
        <f t="shared" si="4"/>
        <v>Rubona Town Council</v>
      </c>
      <c r="F267" s="57">
        <v>248</v>
      </c>
    </row>
    <row r="268" spans="1:6">
      <c r="A268" s="57" t="s">
        <v>478</v>
      </c>
      <c r="B268" s="57" t="s">
        <v>469</v>
      </c>
      <c r="C268" s="57" t="s">
        <v>469</v>
      </c>
      <c r="D268" s="57" t="str">
        <f t="shared" si="4"/>
        <v>Rwimi</v>
      </c>
      <c r="F268" s="57">
        <v>249</v>
      </c>
    </row>
    <row r="269" spans="1:6">
      <c r="A269" s="57" t="s">
        <v>479</v>
      </c>
      <c r="B269" s="57" t="s">
        <v>469</v>
      </c>
      <c r="C269" s="57" t="s">
        <v>469</v>
      </c>
      <c r="D269" s="57" t="str">
        <f t="shared" si="4"/>
        <v>Rwimi Town Council</v>
      </c>
      <c r="F269" s="57">
        <v>250</v>
      </c>
    </row>
    <row r="270" spans="1:6">
      <c r="A270" s="57" t="s">
        <v>480</v>
      </c>
      <c r="B270" s="57" t="s">
        <v>38</v>
      </c>
      <c r="C270" s="57" t="s">
        <v>481</v>
      </c>
      <c r="D270" s="57" t="str">
        <f t="shared" si="4"/>
        <v>Bitooma</v>
      </c>
      <c r="F270" s="57">
        <v>251</v>
      </c>
    </row>
    <row r="271" spans="1:6">
      <c r="A271" s="57" t="s">
        <v>482</v>
      </c>
      <c r="B271" s="57" t="s">
        <v>38</v>
      </c>
      <c r="C271" s="57" t="s">
        <v>481</v>
      </c>
      <c r="D271" s="57" t="str">
        <f t="shared" si="4"/>
        <v>Bumbaire</v>
      </c>
      <c r="F271" s="57">
        <v>252</v>
      </c>
    </row>
    <row r="272" spans="1:6">
      <c r="A272" s="57" t="s">
        <v>483</v>
      </c>
      <c r="D272" s="57" t="str">
        <f t="shared" si="4"/>
        <v>ISHAKA</v>
      </c>
      <c r="F272" s="57">
        <v>253</v>
      </c>
    </row>
    <row r="273" spans="1:6">
      <c r="A273" s="57" t="s">
        <v>484</v>
      </c>
      <c r="D273" s="57" t="str">
        <f t="shared" si="4"/>
        <v>BUSHENYI</v>
      </c>
      <c r="F273" s="57">
        <v>253</v>
      </c>
    </row>
    <row r="274" spans="1:6">
      <c r="A274" s="57" t="s">
        <v>485</v>
      </c>
      <c r="D274" s="57" t="str">
        <f t="shared" si="4"/>
        <v>KASHAKA</v>
      </c>
      <c r="F274" s="57">
        <v>253</v>
      </c>
    </row>
    <row r="275" spans="1:6">
      <c r="A275" s="57" t="s">
        <v>486</v>
      </c>
      <c r="D275" s="57" t="str">
        <f t="shared" si="4"/>
        <v>BWERANYANGI</v>
      </c>
      <c r="F275" s="57">
        <v>253</v>
      </c>
    </row>
    <row r="276" spans="1:6">
      <c r="A276" s="57" t="s">
        <v>487</v>
      </c>
      <c r="B276" s="57" t="s">
        <v>38</v>
      </c>
      <c r="C276" s="57" t="s">
        <v>487</v>
      </c>
      <c r="D276" s="57" t="str">
        <f t="shared" si="4"/>
        <v>Bushenyi-Ishaka Municipality</v>
      </c>
      <c r="F276" s="57">
        <v>253</v>
      </c>
    </row>
    <row r="277" spans="1:6">
      <c r="A277" s="57" t="s">
        <v>488</v>
      </c>
      <c r="B277" s="57" t="s">
        <v>38</v>
      </c>
      <c r="C277" s="57" t="s">
        <v>481</v>
      </c>
      <c r="D277" s="57" t="str">
        <f t="shared" si="4"/>
        <v>Ibaare</v>
      </c>
      <c r="F277" s="57">
        <v>254</v>
      </c>
    </row>
    <row r="278" spans="1:6">
      <c r="A278" s="57" t="s">
        <v>489</v>
      </c>
      <c r="D278" s="57" t="str">
        <f t="shared" si="4"/>
        <v>RUSHINYA</v>
      </c>
      <c r="F278" s="57">
        <v>255</v>
      </c>
    </row>
    <row r="279" spans="1:6">
      <c r="A279" s="57" t="s">
        <v>490</v>
      </c>
      <c r="B279" s="57" t="s">
        <v>38</v>
      </c>
      <c r="C279" s="57" t="s">
        <v>481</v>
      </c>
      <c r="D279" s="57" t="str">
        <f t="shared" si="4"/>
        <v>Kakanju</v>
      </c>
      <c r="F279" s="57">
        <v>255</v>
      </c>
    </row>
    <row r="280" spans="1:6">
      <c r="A280" s="57" t="s">
        <v>491</v>
      </c>
      <c r="B280" s="57" t="s">
        <v>38</v>
      </c>
      <c r="C280" s="57" t="s">
        <v>481</v>
      </c>
      <c r="D280" s="57" t="str">
        <f t="shared" si="4"/>
        <v>Kyabugimbi</v>
      </c>
      <c r="F280" s="57">
        <v>256</v>
      </c>
    </row>
    <row r="281" spans="1:6">
      <c r="A281" s="57" t="s">
        <v>50</v>
      </c>
      <c r="B281" s="57" t="s">
        <v>38</v>
      </c>
      <c r="C281" s="57" t="s">
        <v>481</v>
      </c>
      <c r="D281" s="57" t="str">
        <f t="shared" si="4"/>
        <v>Kyamuhunga</v>
      </c>
      <c r="F281" s="57">
        <v>257</v>
      </c>
    </row>
    <row r="282" spans="1:6">
      <c r="A282" s="57" t="s">
        <v>492</v>
      </c>
      <c r="B282" s="57" t="s">
        <v>38</v>
      </c>
      <c r="C282" s="57" t="s">
        <v>481</v>
      </c>
      <c r="D282" s="57" t="str">
        <f t="shared" si="4"/>
        <v>Kyamuhunga Town Council</v>
      </c>
      <c r="F282" s="57">
        <v>258</v>
      </c>
    </row>
    <row r="283" spans="1:6">
      <c r="A283" s="57" t="s">
        <v>493</v>
      </c>
      <c r="B283" s="57" t="s">
        <v>38</v>
      </c>
      <c r="C283" s="57" t="s">
        <v>481</v>
      </c>
      <c r="D283" s="57" t="str">
        <f t="shared" si="4"/>
        <v>Kyeizooba</v>
      </c>
      <c r="F283" s="57">
        <v>259</v>
      </c>
    </row>
    <row r="284" spans="1:6">
      <c r="D284" s="57">
        <f t="shared" si="4"/>
        <v>0</v>
      </c>
    </row>
    <row r="285" spans="1:6">
      <c r="A285" s="57" t="s">
        <v>494</v>
      </c>
      <c r="B285" s="57" t="s">
        <v>38</v>
      </c>
      <c r="C285" s="57" t="s">
        <v>481</v>
      </c>
      <c r="D285" s="57" t="str">
        <f t="shared" si="4"/>
        <v>Nyabubare</v>
      </c>
      <c r="F285" s="57">
        <v>260</v>
      </c>
    </row>
    <row r="286" spans="1:6">
      <c r="A286" s="57" t="s">
        <v>495</v>
      </c>
      <c r="B286" s="57" t="s">
        <v>38</v>
      </c>
      <c r="C286" s="57" t="s">
        <v>481</v>
      </c>
      <c r="D286" s="57" t="str">
        <f t="shared" si="4"/>
        <v>Ruhumuro</v>
      </c>
      <c r="F286" s="57">
        <v>261</v>
      </c>
    </row>
    <row r="287" spans="1:6">
      <c r="A287" s="57" t="s">
        <v>496</v>
      </c>
      <c r="B287" s="57" t="s">
        <v>497</v>
      </c>
      <c r="C287" s="57" t="s">
        <v>498</v>
      </c>
      <c r="D287" s="57" t="str">
        <f t="shared" si="4"/>
        <v>Buhehe</v>
      </c>
      <c r="F287" s="57">
        <v>262</v>
      </c>
    </row>
    <row r="288" spans="1:6">
      <c r="A288" s="57" t="s">
        <v>499</v>
      </c>
      <c r="B288" s="57" t="s">
        <v>497</v>
      </c>
      <c r="C288" s="57" t="s">
        <v>498</v>
      </c>
      <c r="D288" s="57" t="str">
        <f t="shared" si="4"/>
        <v>Bulumbi</v>
      </c>
      <c r="F288" s="57">
        <v>263</v>
      </c>
    </row>
    <row r="289" spans="1:6">
      <c r="A289" s="57" t="s">
        <v>500</v>
      </c>
      <c r="B289" s="57" t="s">
        <v>497</v>
      </c>
      <c r="C289" s="57" t="s">
        <v>500</v>
      </c>
      <c r="D289" s="57" t="str">
        <f t="shared" si="4"/>
        <v>Busia Municipality</v>
      </c>
      <c r="F289" s="57">
        <v>264</v>
      </c>
    </row>
    <row r="290" spans="1:6">
      <c r="A290" s="57" t="s">
        <v>172</v>
      </c>
      <c r="D290" s="57" t="str">
        <f t="shared" si="4"/>
        <v>BUSIA TOWN</v>
      </c>
      <c r="F290" s="57">
        <v>264</v>
      </c>
    </row>
    <row r="291" spans="1:6">
      <c r="A291" s="57" t="s">
        <v>501</v>
      </c>
      <c r="B291" s="57" t="s">
        <v>497</v>
      </c>
      <c r="C291" s="57" t="s">
        <v>498</v>
      </c>
      <c r="D291" s="57" t="str">
        <f t="shared" si="4"/>
        <v>Busime</v>
      </c>
      <c r="F291" s="57">
        <v>265</v>
      </c>
    </row>
    <row r="292" spans="1:6">
      <c r="A292" s="57" t="s">
        <v>502</v>
      </c>
      <c r="B292" s="57" t="s">
        <v>497</v>
      </c>
      <c r="C292" s="57" t="s">
        <v>498</v>
      </c>
      <c r="D292" s="57" t="str">
        <f t="shared" si="4"/>
        <v>Busitema</v>
      </c>
      <c r="F292" s="57">
        <v>266</v>
      </c>
    </row>
    <row r="293" spans="1:6">
      <c r="A293" s="57" t="s">
        <v>503</v>
      </c>
      <c r="B293" s="57" t="s">
        <v>497</v>
      </c>
      <c r="C293" s="57" t="s">
        <v>498</v>
      </c>
      <c r="D293" s="57" t="str">
        <f t="shared" si="4"/>
        <v>Buteba</v>
      </c>
      <c r="F293" s="57">
        <v>267</v>
      </c>
    </row>
    <row r="294" spans="1:6">
      <c r="A294" s="57" t="s">
        <v>504</v>
      </c>
      <c r="B294" s="57" t="s">
        <v>497</v>
      </c>
      <c r="C294" s="57" t="s">
        <v>498</v>
      </c>
      <c r="D294" s="57" t="str">
        <f t="shared" si="4"/>
        <v>Buyanga-Busia</v>
      </c>
      <c r="F294" s="57">
        <v>268</v>
      </c>
    </row>
    <row r="295" spans="1:6">
      <c r="A295" s="57" t="s">
        <v>505</v>
      </c>
      <c r="B295" s="57" t="s">
        <v>497</v>
      </c>
      <c r="C295" s="57" t="s">
        <v>498</v>
      </c>
      <c r="D295" s="57" t="str">
        <f t="shared" si="4"/>
        <v>Dabani</v>
      </c>
      <c r="F295" s="57">
        <v>269</v>
      </c>
    </row>
    <row r="296" spans="1:6">
      <c r="A296" s="57" t="s">
        <v>506</v>
      </c>
      <c r="B296" s="57" t="s">
        <v>497</v>
      </c>
      <c r="C296" s="57" t="s">
        <v>498</v>
      </c>
      <c r="D296" s="57" t="str">
        <f t="shared" si="4"/>
        <v>Lumino</v>
      </c>
      <c r="F296" s="57">
        <v>270</v>
      </c>
    </row>
    <row r="297" spans="1:6">
      <c r="A297" s="57" t="s">
        <v>507</v>
      </c>
      <c r="B297" s="57" t="s">
        <v>497</v>
      </c>
      <c r="C297" s="57" t="s">
        <v>498</v>
      </c>
      <c r="D297" s="57" t="str">
        <f t="shared" si="4"/>
        <v>Lunyo</v>
      </c>
      <c r="F297" s="57">
        <v>271</v>
      </c>
    </row>
    <row r="298" spans="1:6">
      <c r="A298" s="57" t="s">
        <v>508</v>
      </c>
      <c r="B298" s="57" t="s">
        <v>497</v>
      </c>
      <c r="C298" s="57" t="s">
        <v>498</v>
      </c>
      <c r="D298" s="57" t="str">
        <f t="shared" si="4"/>
        <v>Majanji</v>
      </c>
      <c r="F298" s="57">
        <v>272</v>
      </c>
    </row>
    <row r="299" spans="1:6">
      <c r="A299" s="57" t="s">
        <v>509</v>
      </c>
      <c r="B299" s="57" t="s">
        <v>497</v>
      </c>
      <c r="C299" s="57" t="s">
        <v>498</v>
      </c>
      <c r="D299" s="57" t="str">
        <f t="shared" si="4"/>
        <v>Masaba-Busia</v>
      </c>
      <c r="F299" s="57">
        <v>273</v>
      </c>
    </row>
    <row r="300" spans="1:6">
      <c r="A300" s="57" t="s">
        <v>510</v>
      </c>
      <c r="B300" s="57" t="s">
        <v>497</v>
      </c>
      <c r="C300" s="57" t="s">
        <v>498</v>
      </c>
      <c r="D300" s="57" t="str">
        <f t="shared" si="4"/>
        <v>Masafu</v>
      </c>
      <c r="F300" s="57">
        <v>274</v>
      </c>
    </row>
    <row r="301" spans="1:6">
      <c r="A301" s="57" t="s">
        <v>511</v>
      </c>
      <c r="B301" s="57" t="s">
        <v>497</v>
      </c>
      <c r="C301" s="57" t="s">
        <v>498</v>
      </c>
      <c r="D301" s="57" t="str">
        <f t="shared" si="4"/>
        <v>Masinya</v>
      </c>
      <c r="F301" s="57">
        <v>275</v>
      </c>
    </row>
    <row r="302" spans="1:6">
      <c r="A302" s="57" t="s">
        <v>512</v>
      </c>
      <c r="B302" s="57" t="s">
        <v>497</v>
      </c>
      <c r="C302" s="57" t="s">
        <v>498</v>
      </c>
      <c r="D302" s="57" t="str">
        <f t="shared" si="4"/>
        <v>Sikuda</v>
      </c>
      <c r="F302" s="57">
        <v>276</v>
      </c>
    </row>
    <row r="303" spans="1:6">
      <c r="A303" s="57" t="s">
        <v>513</v>
      </c>
      <c r="B303" s="57" t="s">
        <v>514</v>
      </c>
      <c r="C303" s="57" t="s">
        <v>515</v>
      </c>
      <c r="D303" s="57" t="str">
        <f t="shared" si="4"/>
        <v>Budumba</v>
      </c>
      <c r="F303" s="57">
        <v>277</v>
      </c>
    </row>
    <row r="304" spans="1:6">
      <c r="A304" s="57" t="s">
        <v>516</v>
      </c>
      <c r="B304" s="57" t="s">
        <v>514</v>
      </c>
      <c r="C304" s="57" t="s">
        <v>515</v>
      </c>
      <c r="D304" s="57" t="str">
        <f t="shared" si="4"/>
        <v>Busaba</v>
      </c>
      <c r="F304" s="57">
        <v>278</v>
      </c>
    </row>
    <row r="305" spans="1:6">
      <c r="A305" s="57" t="s">
        <v>517</v>
      </c>
      <c r="B305" s="57" t="s">
        <v>514</v>
      </c>
      <c r="C305" s="57" t="s">
        <v>515</v>
      </c>
      <c r="D305" s="57" t="str">
        <f t="shared" si="4"/>
        <v>Busabi</v>
      </c>
      <c r="F305" s="57">
        <v>279</v>
      </c>
    </row>
    <row r="306" spans="1:6">
      <c r="A306" s="57" t="s">
        <v>518</v>
      </c>
      <c r="B306" s="57" t="s">
        <v>514</v>
      </c>
      <c r="C306" s="57" t="s">
        <v>515</v>
      </c>
      <c r="D306" s="57" t="str">
        <f t="shared" si="4"/>
        <v>Busolwe</v>
      </c>
      <c r="F306" s="57">
        <v>280</v>
      </c>
    </row>
    <row r="307" spans="1:6">
      <c r="A307" s="57" t="s">
        <v>519</v>
      </c>
      <c r="B307" s="57" t="s">
        <v>514</v>
      </c>
      <c r="C307" s="57" t="s">
        <v>515</v>
      </c>
      <c r="D307" s="57" t="str">
        <f t="shared" si="4"/>
        <v>Busolwe Town Council</v>
      </c>
      <c r="F307" s="57">
        <v>281</v>
      </c>
    </row>
    <row r="308" spans="1:6">
      <c r="A308" s="57" t="s">
        <v>514</v>
      </c>
      <c r="B308" s="57" t="s">
        <v>514</v>
      </c>
      <c r="C308" s="57" t="s">
        <v>515</v>
      </c>
      <c r="D308" s="57" t="str">
        <f t="shared" si="4"/>
        <v>Butaleja</v>
      </c>
      <c r="F308" s="57">
        <v>282</v>
      </c>
    </row>
    <row r="309" spans="1:6">
      <c r="A309" s="57" t="s">
        <v>520</v>
      </c>
      <c r="B309" s="57" t="s">
        <v>514</v>
      </c>
      <c r="C309" s="57" t="s">
        <v>515</v>
      </c>
      <c r="D309" s="57" t="str">
        <f t="shared" si="4"/>
        <v>Butaleja Town Council</v>
      </c>
      <c r="F309" s="57">
        <v>283</v>
      </c>
    </row>
    <row r="310" spans="1:6">
      <c r="A310" s="57" t="s">
        <v>521</v>
      </c>
      <c r="B310" s="57" t="s">
        <v>514</v>
      </c>
      <c r="C310" s="57" t="s">
        <v>515</v>
      </c>
      <c r="D310" s="57" t="str">
        <f t="shared" si="4"/>
        <v>Himutu</v>
      </c>
      <c r="F310" s="57">
        <v>284</v>
      </c>
    </row>
    <row r="311" spans="1:6">
      <c r="A311" s="57" t="s">
        <v>522</v>
      </c>
      <c r="B311" s="57" t="s">
        <v>514</v>
      </c>
      <c r="C311" s="57" t="s">
        <v>515</v>
      </c>
      <c r="D311" s="57" t="str">
        <f t="shared" si="4"/>
        <v>Kachonga</v>
      </c>
      <c r="F311" s="57">
        <v>285</v>
      </c>
    </row>
    <row r="312" spans="1:6">
      <c r="A312" s="57" t="s">
        <v>523</v>
      </c>
      <c r="B312" s="57" t="s">
        <v>514</v>
      </c>
      <c r="C312" s="57" t="s">
        <v>515</v>
      </c>
      <c r="D312" s="57" t="str">
        <f t="shared" si="4"/>
        <v>Mazimasa</v>
      </c>
      <c r="F312" s="57">
        <v>286</v>
      </c>
    </row>
    <row r="313" spans="1:6">
      <c r="A313" s="57" t="s">
        <v>524</v>
      </c>
      <c r="B313" s="57" t="s">
        <v>514</v>
      </c>
      <c r="C313" s="57" t="s">
        <v>515</v>
      </c>
      <c r="D313" s="57" t="str">
        <f t="shared" si="4"/>
        <v>Nawanjofu</v>
      </c>
      <c r="F313" s="57">
        <v>287</v>
      </c>
    </row>
    <row r="314" spans="1:6">
      <c r="A314" s="57" t="s">
        <v>525</v>
      </c>
      <c r="B314" s="57" t="s">
        <v>514</v>
      </c>
      <c r="C314" s="57" t="s">
        <v>515</v>
      </c>
      <c r="D314" s="57" t="str">
        <f t="shared" si="4"/>
        <v>Naweyo</v>
      </c>
      <c r="F314" s="57">
        <v>288</v>
      </c>
    </row>
    <row r="315" spans="1:6">
      <c r="A315" s="57" t="s">
        <v>526</v>
      </c>
      <c r="B315" s="57" t="s">
        <v>527</v>
      </c>
      <c r="C315" s="57" t="s">
        <v>527</v>
      </c>
      <c r="D315" s="57" t="str">
        <f t="shared" si="4"/>
        <v>Budde</v>
      </c>
      <c r="F315" s="57">
        <v>289</v>
      </c>
    </row>
    <row r="316" spans="1:6">
      <c r="A316" s="57" t="s">
        <v>528</v>
      </c>
      <c r="B316" s="57" t="s">
        <v>527</v>
      </c>
      <c r="C316" s="57" t="s">
        <v>527</v>
      </c>
      <c r="D316" s="57" t="str">
        <f t="shared" si="4"/>
        <v>Bulo</v>
      </c>
      <c r="F316" s="57">
        <v>290</v>
      </c>
    </row>
    <row r="317" spans="1:6">
      <c r="A317" s="57" t="s">
        <v>529</v>
      </c>
      <c r="D317" s="57" t="str">
        <f t="shared" si="4"/>
        <v>BUTAMBA</v>
      </c>
      <c r="F317" s="57">
        <v>290</v>
      </c>
    </row>
    <row r="318" spans="1:6">
      <c r="A318" s="57" t="s">
        <v>530</v>
      </c>
      <c r="D318" s="57" t="str">
        <f t="shared" si="4"/>
        <v xml:space="preserve">BUTAMBALA </v>
      </c>
      <c r="F318" s="57">
        <v>290</v>
      </c>
    </row>
    <row r="319" spans="1:6">
      <c r="A319" s="57" t="s">
        <v>531</v>
      </c>
      <c r="D319" s="57" t="str">
        <f t="shared" si="4"/>
        <v>BUTAMBALA</v>
      </c>
      <c r="F319" s="57">
        <v>290</v>
      </c>
    </row>
    <row r="320" spans="1:6">
      <c r="A320" s="57" t="s">
        <v>532</v>
      </c>
      <c r="D320" s="57" t="str">
        <f t="shared" si="4"/>
        <v>butambala town</v>
      </c>
      <c r="F320" s="57">
        <v>290</v>
      </c>
    </row>
    <row r="321" spans="1:6">
      <c r="A321" s="57" t="s">
        <v>533</v>
      </c>
      <c r="D321" s="57" t="str">
        <f t="shared" si="4"/>
        <v>KABASANDA</v>
      </c>
      <c r="F321" s="57">
        <v>291</v>
      </c>
    </row>
    <row r="322" spans="1:6">
      <c r="A322" s="57" t="s">
        <v>534</v>
      </c>
      <c r="D322" s="57" t="str">
        <f t="shared" si="4"/>
        <v>NGOMBE TOWN COUNCIL</v>
      </c>
      <c r="F322" s="57">
        <v>291</v>
      </c>
    </row>
    <row r="323" spans="1:6">
      <c r="A323" s="57" t="s">
        <v>535</v>
      </c>
      <c r="B323" s="57" t="s">
        <v>527</v>
      </c>
      <c r="C323" s="57" t="s">
        <v>527</v>
      </c>
      <c r="D323" s="57" t="str">
        <f t="shared" ref="D323:D386" si="5">A323</f>
        <v>Gombe Town Council</v>
      </c>
      <c r="F323" s="57">
        <v>291</v>
      </c>
    </row>
    <row r="324" spans="1:6">
      <c r="A324" s="57" t="s">
        <v>536</v>
      </c>
      <c r="B324" s="57" t="s">
        <v>527</v>
      </c>
      <c r="C324" s="57" t="s">
        <v>527</v>
      </c>
      <c r="D324" s="57" t="str">
        <f t="shared" si="5"/>
        <v>Kalamba</v>
      </c>
      <c r="F324" s="57">
        <v>292</v>
      </c>
    </row>
    <row r="325" spans="1:6">
      <c r="A325" s="57" t="s">
        <v>537</v>
      </c>
      <c r="B325" s="57" t="s">
        <v>527</v>
      </c>
      <c r="C325" s="57" t="s">
        <v>527</v>
      </c>
      <c r="D325" s="57" t="str">
        <f t="shared" si="5"/>
        <v>Kibibi</v>
      </c>
      <c r="F325" s="57">
        <v>293</v>
      </c>
    </row>
    <row r="326" spans="1:6">
      <c r="A326" s="57" t="s">
        <v>538</v>
      </c>
      <c r="B326" s="57" t="s">
        <v>527</v>
      </c>
      <c r="C326" s="57" t="s">
        <v>527</v>
      </c>
      <c r="D326" s="57" t="str">
        <f t="shared" si="5"/>
        <v>Ngando</v>
      </c>
      <c r="F326" s="57">
        <v>294</v>
      </c>
    </row>
    <row r="327" spans="1:6">
      <c r="A327" s="57" t="s">
        <v>539</v>
      </c>
      <c r="B327" s="57" t="s">
        <v>539</v>
      </c>
      <c r="C327" s="57" t="s">
        <v>540</v>
      </c>
      <c r="D327" s="57" t="str">
        <f t="shared" si="5"/>
        <v>Butebo</v>
      </c>
      <c r="F327" s="57">
        <v>295</v>
      </c>
    </row>
    <row r="328" spans="1:6">
      <c r="A328" s="57" t="s">
        <v>541</v>
      </c>
      <c r="B328" s="57" t="s">
        <v>539</v>
      </c>
      <c r="C328" s="57" t="s">
        <v>540</v>
      </c>
      <c r="D328" s="57" t="str">
        <f t="shared" si="5"/>
        <v>Kabwangasi</v>
      </c>
      <c r="F328" s="57">
        <v>296</v>
      </c>
    </row>
    <row r="329" spans="1:6">
      <c r="A329" s="57" t="s">
        <v>542</v>
      </c>
      <c r="B329" s="57" t="s">
        <v>539</v>
      </c>
      <c r="C329" s="57" t="s">
        <v>540</v>
      </c>
      <c r="D329" s="57" t="str">
        <f t="shared" si="5"/>
        <v>Kakoro</v>
      </c>
      <c r="F329" s="57">
        <v>297</v>
      </c>
    </row>
    <row r="330" spans="1:6">
      <c r="A330" s="57" t="s">
        <v>543</v>
      </c>
      <c r="B330" s="57" t="s">
        <v>539</v>
      </c>
      <c r="C330" s="57" t="s">
        <v>540</v>
      </c>
      <c r="D330" s="57" t="str">
        <f t="shared" si="5"/>
        <v>Kanginima</v>
      </c>
      <c r="F330" s="57">
        <v>298</v>
      </c>
    </row>
    <row r="331" spans="1:6">
      <c r="A331" s="57" t="s">
        <v>544</v>
      </c>
      <c r="B331" s="57" t="s">
        <v>539</v>
      </c>
      <c r="C331" s="57" t="s">
        <v>540</v>
      </c>
      <c r="D331" s="57" t="str">
        <f t="shared" si="5"/>
        <v>Kibale</v>
      </c>
      <c r="F331" s="57">
        <v>299</v>
      </c>
    </row>
    <row r="332" spans="1:6">
      <c r="A332" s="57" t="s">
        <v>545</v>
      </c>
      <c r="B332" s="57" t="s">
        <v>539</v>
      </c>
      <c r="C332" s="57" t="s">
        <v>540</v>
      </c>
      <c r="D332" s="57" t="str">
        <f t="shared" si="5"/>
        <v>Opwateta</v>
      </c>
      <c r="F332" s="57">
        <v>300</v>
      </c>
    </row>
    <row r="333" spans="1:6">
      <c r="A333" s="57" t="s">
        <v>546</v>
      </c>
      <c r="B333" s="57" t="s">
        <v>539</v>
      </c>
      <c r="C333" s="57" t="s">
        <v>540</v>
      </c>
      <c r="D333" s="57" t="str">
        <f t="shared" si="5"/>
        <v>Petete</v>
      </c>
      <c r="F333" s="57">
        <v>301</v>
      </c>
    </row>
    <row r="334" spans="1:6">
      <c r="A334" s="57" t="s">
        <v>547</v>
      </c>
      <c r="B334" s="57" t="s">
        <v>548</v>
      </c>
      <c r="C334" s="57" t="s">
        <v>549</v>
      </c>
      <c r="D334" s="57" t="str">
        <f t="shared" si="5"/>
        <v>Bugaya-Buvuma</v>
      </c>
      <c r="F334" s="57">
        <v>302</v>
      </c>
    </row>
    <row r="335" spans="1:6">
      <c r="A335" s="57" t="s">
        <v>550</v>
      </c>
      <c r="B335" s="57" t="s">
        <v>548</v>
      </c>
      <c r="C335" s="57" t="s">
        <v>549</v>
      </c>
      <c r="D335" s="57" t="str">
        <f t="shared" si="5"/>
        <v>Busamuzi</v>
      </c>
      <c r="F335" s="57">
        <v>303</v>
      </c>
    </row>
    <row r="336" spans="1:6">
      <c r="A336" s="57" t="s">
        <v>551</v>
      </c>
      <c r="B336" s="57" t="s">
        <v>548</v>
      </c>
      <c r="C336" s="57" t="s">
        <v>549</v>
      </c>
      <c r="D336" s="57" t="str">
        <f t="shared" si="5"/>
        <v>Buvuma Town Council</v>
      </c>
      <c r="F336" s="57">
        <v>304</v>
      </c>
    </row>
    <row r="337" spans="1:6">
      <c r="A337" s="57" t="s">
        <v>552</v>
      </c>
      <c r="B337" s="57" t="s">
        <v>548</v>
      </c>
      <c r="C337" s="57" t="s">
        <v>549</v>
      </c>
      <c r="D337" s="57" t="str">
        <f t="shared" si="5"/>
        <v>Buwooya</v>
      </c>
      <c r="F337" s="57">
        <v>305</v>
      </c>
    </row>
    <row r="338" spans="1:6">
      <c r="A338" s="57" t="s">
        <v>553</v>
      </c>
      <c r="B338" s="57" t="s">
        <v>548</v>
      </c>
      <c r="C338" s="57" t="s">
        <v>549</v>
      </c>
      <c r="D338" s="57" t="str">
        <f t="shared" si="5"/>
        <v>Bweema</v>
      </c>
      <c r="F338" s="57">
        <v>306</v>
      </c>
    </row>
    <row r="339" spans="1:6">
      <c r="A339" s="57" t="s">
        <v>554</v>
      </c>
      <c r="B339" s="57" t="s">
        <v>548</v>
      </c>
      <c r="C339" s="57" t="s">
        <v>549</v>
      </c>
      <c r="D339" s="57" t="str">
        <f t="shared" si="5"/>
        <v>Lubya</v>
      </c>
      <c r="F339" s="57">
        <v>307</v>
      </c>
    </row>
    <row r="340" spans="1:6">
      <c r="A340" s="57" t="s">
        <v>555</v>
      </c>
      <c r="B340" s="57" t="s">
        <v>548</v>
      </c>
      <c r="C340" s="57" t="s">
        <v>549</v>
      </c>
      <c r="D340" s="57" t="str">
        <f t="shared" si="5"/>
        <v>Lwajje</v>
      </c>
      <c r="F340" s="57">
        <v>308</v>
      </c>
    </row>
    <row r="341" spans="1:6">
      <c r="A341" s="57" t="s">
        <v>556</v>
      </c>
      <c r="B341" s="57" t="s">
        <v>548</v>
      </c>
      <c r="C341" s="57" t="s">
        <v>549</v>
      </c>
      <c r="D341" s="57" t="str">
        <f t="shared" si="5"/>
        <v>Lyabaana</v>
      </c>
      <c r="F341" s="57">
        <v>309</v>
      </c>
    </row>
    <row r="342" spans="1:6">
      <c r="A342" s="57" t="s">
        <v>557</v>
      </c>
      <c r="B342" s="57" t="s">
        <v>548</v>
      </c>
      <c r="C342" s="57" t="s">
        <v>549</v>
      </c>
      <c r="D342" s="57" t="str">
        <f t="shared" si="5"/>
        <v>Nairambi</v>
      </c>
      <c r="F342" s="57">
        <v>310</v>
      </c>
    </row>
    <row r="343" spans="1:6">
      <c r="A343" s="57" t="s">
        <v>558</v>
      </c>
      <c r="B343" s="57" t="s">
        <v>559</v>
      </c>
      <c r="C343" s="57" t="s">
        <v>560</v>
      </c>
      <c r="D343" s="57" t="str">
        <f t="shared" si="5"/>
        <v>Bugaya-Buyende</v>
      </c>
      <c r="F343" s="57">
        <v>311</v>
      </c>
    </row>
    <row r="344" spans="1:6">
      <c r="A344" s="57" t="s">
        <v>559</v>
      </c>
      <c r="B344" s="57" t="s">
        <v>559</v>
      </c>
      <c r="C344" s="57" t="s">
        <v>560</v>
      </c>
      <c r="D344" s="57" t="str">
        <f t="shared" si="5"/>
        <v>Buyende</v>
      </c>
      <c r="F344" s="57">
        <v>312</v>
      </c>
    </row>
    <row r="345" spans="1:6">
      <c r="A345" s="57" t="s">
        <v>561</v>
      </c>
      <c r="B345" s="57" t="s">
        <v>559</v>
      </c>
      <c r="C345" s="57" t="s">
        <v>560</v>
      </c>
      <c r="D345" s="57" t="str">
        <f t="shared" si="5"/>
        <v>Buyende Town Council</v>
      </c>
      <c r="F345" s="57">
        <v>313</v>
      </c>
    </row>
    <row r="346" spans="1:6">
      <c r="A346" s="57" t="s">
        <v>562</v>
      </c>
      <c r="B346" s="57" t="s">
        <v>559</v>
      </c>
      <c r="C346" s="57" t="s">
        <v>560</v>
      </c>
      <c r="D346" s="57" t="str">
        <f t="shared" si="5"/>
        <v>Kagulu</v>
      </c>
      <c r="F346" s="57">
        <v>314</v>
      </c>
    </row>
    <row r="347" spans="1:6">
      <c r="A347" s="57" t="s">
        <v>563</v>
      </c>
      <c r="B347" s="57" t="s">
        <v>559</v>
      </c>
      <c r="C347" s="57" t="s">
        <v>560</v>
      </c>
      <c r="D347" s="57" t="str">
        <f t="shared" si="5"/>
        <v>Kidera</v>
      </c>
      <c r="F347" s="57">
        <v>315</v>
      </c>
    </row>
    <row r="348" spans="1:6">
      <c r="A348" s="57" t="s">
        <v>564</v>
      </c>
      <c r="B348" s="57" t="s">
        <v>559</v>
      </c>
      <c r="C348" s="57" t="s">
        <v>560</v>
      </c>
      <c r="D348" s="57" t="str">
        <f t="shared" si="5"/>
        <v>Nkondo</v>
      </c>
      <c r="F348" s="57">
        <v>316</v>
      </c>
    </row>
    <row r="349" spans="1:6">
      <c r="A349" s="57" t="s">
        <v>565</v>
      </c>
      <c r="B349" s="57" t="s">
        <v>566</v>
      </c>
      <c r="C349" s="57" t="s">
        <v>566</v>
      </c>
      <c r="D349" s="57" t="str">
        <f t="shared" si="5"/>
        <v>Adeknino</v>
      </c>
      <c r="F349" s="57">
        <v>317</v>
      </c>
    </row>
    <row r="350" spans="1:6">
      <c r="A350" s="57" t="s">
        <v>567</v>
      </c>
      <c r="B350" s="57" t="s">
        <v>566</v>
      </c>
      <c r="C350" s="57" t="s">
        <v>566</v>
      </c>
      <c r="D350" s="57" t="str">
        <f t="shared" si="5"/>
        <v>Adok</v>
      </c>
      <c r="F350" s="57">
        <v>318</v>
      </c>
    </row>
    <row r="351" spans="1:6">
      <c r="A351" s="57" t="s">
        <v>568</v>
      </c>
      <c r="B351" s="57" t="s">
        <v>566</v>
      </c>
      <c r="C351" s="57" t="s">
        <v>566</v>
      </c>
      <c r="D351" s="57" t="str">
        <f t="shared" si="5"/>
        <v>Agwata</v>
      </c>
      <c r="F351" s="57">
        <v>319</v>
      </c>
    </row>
    <row r="352" spans="1:6">
      <c r="A352" s="57" t="s">
        <v>569</v>
      </c>
      <c r="B352" s="57" t="s">
        <v>566</v>
      </c>
      <c r="C352" s="57" t="s">
        <v>566</v>
      </c>
      <c r="D352" s="57" t="str">
        <f t="shared" si="5"/>
        <v>Amwoma</v>
      </c>
      <c r="F352" s="57">
        <v>320</v>
      </c>
    </row>
    <row r="353" spans="1:6">
      <c r="A353" s="57" t="s">
        <v>570</v>
      </c>
      <c r="B353" s="57" t="s">
        <v>566</v>
      </c>
      <c r="C353" s="57" t="s">
        <v>566</v>
      </c>
      <c r="D353" s="57" t="str">
        <f t="shared" si="5"/>
        <v>Batta</v>
      </c>
      <c r="F353" s="57">
        <v>321</v>
      </c>
    </row>
    <row r="354" spans="1:6">
      <c r="A354" s="57" t="s">
        <v>566</v>
      </c>
      <c r="B354" s="57" t="s">
        <v>566</v>
      </c>
      <c r="C354" s="57" t="s">
        <v>566</v>
      </c>
      <c r="D354" s="57" t="str">
        <f t="shared" si="5"/>
        <v>Dokolo</v>
      </c>
      <c r="F354" s="57">
        <v>322</v>
      </c>
    </row>
    <row r="355" spans="1:6">
      <c r="A355" s="57" t="s">
        <v>571</v>
      </c>
      <c r="B355" s="57" t="s">
        <v>566</v>
      </c>
      <c r="C355" s="57" t="s">
        <v>566</v>
      </c>
      <c r="D355" s="57" t="str">
        <f t="shared" si="5"/>
        <v>Dokolo Tc</v>
      </c>
      <c r="F355" s="57">
        <v>323</v>
      </c>
    </row>
    <row r="356" spans="1:6">
      <c r="A356" s="57" t="s">
        <v>572</v>
      </c>
      <c r="B356" s="57" t="s">
        <v>566</v>
      </c>
      <c r="C356" s="57" t="s">
        <v>566</v>
      </c>
      <c r="D356" s="57" t="str">
        <f t="shared" si="5"/>
        <v>Kangai</v>
      </c>
      <c r="F356" s="57">
        <v>324</v>
      </c>
    </row>
    <row r="357" spans="1:6">
      <c r="A357" s="57" t="s">
        <v>573</v>
      </c>
      <c r="B357" s="57" t="s">
        <v>566</v>
      </c>
      <c r="C357" s="57" t="s">
        <v>566</v>
      </c>
      <c r="D357" s="57" t="str">
        <f t="shared" si="5"/>
        <v>Kwera</v>
      </c>
      <c r="F357" s="57">
        <v>325</v>
      </c>
    </row>
    <row r="358" spans="1:6">
      <c r="A358" s="57" t="s">
        <v>574</v>
      </c>
      <c r="B358" s="57" t="s">
        <v>566</v>
      </c>
      <c r="C358" s="57" t="s">
        <v>566</v>
      </c>
      <c r="D358" s="57" t="str">
        <f t="shared" si="5"/>
        <v>Okwalongwen</v>
      </c>
      <c r="F358" s="57">
        <v>326</v>
      </c>
    </row>
    <row r="359" spans="1:6">
      <c r="A359" s="57" t="s">
        <v>575</v>
      </c>
      <c r="B359" s="57" t="s">
        <v>566</v>
      </c>
      <c r="C359" s="57" t="s">
        <v>566</v>
      </c>
      <c r="D359" s="57" t="str">
        <f t="shared" si="5"/>
        <v>Okwongodul</v>
      </c>
      <c r="F359" s="57">
        <v>327</v>
      </c>
    </row>
    <row r="360" spans="1:6">
      <c r="A360" s="57" t="s">
        <v>576</v>
      </c>
      <c r="D360" s="57" t="str">
        <f t="shared" si="5"/>
        <v>GOMBA</v>
      </c>
      <c r="F360" s="57">
        <v>328</v>
      </c>
    </row>
    <row r="361" spans="1:6">
      <c r="A361" s="57" t="s">
        <v>577</v>
      </c>
      <c r="D361" s="57" t="str">
        <f t="shared" si="5"/>
        <v>District H/Q</v>
      </c>
      <c r="F361" s="57">
        <v>328</v>
      </c>
    </row>
    <row r="362" spans="1:6">
      <c r="A362" s="57" t="s">
        <v>578</v>
      </c>
      <c r="D362" s="57" t="str">
        <f t="shared" si="5"/>
        <v>GOMBA TOWN</v>
      </c>
      <c r="F362" s="57">
        <v>328</v>
      </c>
    </row>
    <row r="363" spans="1:6">
      <c r="A363" s="57" t="s">
        <v>579</v>
      </c>
      <c r="D363" s="57" t="str">
        <f t="shared" si="5"/>
        <v>Golola</v>
      </c>
      <c r="F363" s="57">
        <v>328</v>
      </c>
    </row>
    <row r="364" spans="1:6">
      <c r="A364" s="57" t="s">
        <v>580</v>
      </c>
      <c r="D364" s="57" t="str">
        <f t="shared" si="5"/>
        <v>KABASADA</v>
      </c>
      <c r="F364" s="57">
        <v>328</v>
      </c>
    </row>
    <row r="365" spans="1:6">
      <c r="A365" s="57" t="s">
        <v>581</v>
      </c>
      <c r="D365" s="57" t="str">
        <f t="shared" si="5"/>
        <v>KAWULA</v>
      </c>
      <c r="F365" s="57">
        <v>328</v>
      </c>
    </row>
    <row r="366" spans="1:6">
      <c r="A366" s="57" t="s">
        <v>582</v>
      </c>
      <c r="D366" s="57" t="str">
        <f t="shared" si="5"/>
        <v>Kabulasoke</v>
      </c>
      <c r="F366" s="57">
        <v>329</v>
      </c>
    </row>
    <row r="367" spans="1:6">
      <c r="D367" s="57">
        <f t="shared" si="5"/>
        <v>0</v>
      </c>
    </row>
    <row r="368" spans="1:6">
      <c r="A368" s="57" t="s">
        <v>583</v>
      </c>
      <c r="D368" s="57" t="str">
        <f t="shared" si="5"/>
        <v>Sserinya</v>
      </c>
      <c r="F368" s="57">
        <v>329</v>
      </c>
    </row>
    <row r="369" spans="1:6">
      <c r="A369" s="57" t="s">
        <v>584</v>
      </c>
      <c r="D369" s="57" t="str">
        <f t="shared" si="5"/>
        <v>Bukandula</v>
      </c>
      <c r="F369" s="57">
        <v>329</v>
      </c>
    </row>
    <row r="370" spans="1:6">
      <c r="A370" s="57" t="s">
        <v>585</v>
      </c>
      <c r="D370" s="57" t="str">
        <f t="shared" si="5"/>
        <v>KAJUMIRO</v>
      </c>
      <c r="F370" s="57">
        <v>329</v>
      </c>
    </row>
    <row r="371" spans="1:6">
      <c r="A371" s="57" t="s">
        <v>586</v>
      </c>
      <c r="D371" s="57" t="str">
        <f t="shared" si="5"/>
        <v>KIFAMPA</v>
      </c>
      <c r="F371" s="57">
        <v>329</v>
      </c>
    </row>
    <row r="372" spans="1:6">
      <c r="A372" s="57" t="s">
        <v>587</v>
      </c>
      <c r="D372" s="57" t="str">
        <f t="shared" si="5"/>
        <v>Kanoni Town Council</v>
      </c>
      <c r="F372" s="57">
        <v>329</v>
      </c>
    </row>
    <row r="373" spans="1:6">
      <c r="A373" s="57" t="s">
        <v>588</v>
      </c>
      <c r="D373" s="57" t="str">
        <f t="shared" si="5"/>
        <v>Tondola</v>
      </c>
      <c r="F373" s="57">
        <v>329</v>
      </c>
    </row>
    <row r="374" spans="1:6">
      <c r="A374" s="57" t="s">
        <v>589</v>
      </c>
      <c r="D374" s="57" t="str">
        <f t="shared" si="5"/>
        <v>Wasinda</v>
      </c>
      <c r="F374" s="57">
        <v>329</v>
      </c>
    </row>
    <row r="375" spans="1:6">
      <c r="A375" s="57" t="s">
        <v>590</v>
      </c>
      <c r="B375" s="57" t="s">
        <v>591</v>
      </c>
      <c r="C375" s="57" t="s">
        <v>591</v>
      </c>
      <c r="D375" s="57" t="str">
        <f t="shared" si="5"/>
        <v>MITALA-MARIA</v>
      </c>
      <c r="F375" s="57">
        <v>330</v>
      </c>
    </row>
    <row r="376" spans="1:6">
      <c r="A376" s="57" t="s">
        <v>592</v>
      </c>
      <c r="D376" s="57" t="str">
        <f t="shared" si="5"/>
        <v>Bukalagi</v>
      </c>
      <c r="F376" s="57">
        <v>331</v>
      </c>
    </row>
    <row r="377" spans="1:6">
      <c r="A377" s="57" t="s">
        <v>593</v>
      </c>
      <c r="D377" s="57" t="str">
        <f t="shared" si="5"/>
        <v>Kyegonza</v>
      </c>
      <c r="F377" s="57">
        <v>331</v>
      </c>
    </row>
    <row r="378" spans="1:6">
      <c r="A378" s="57" t="s">
        <v>594</v>
      </c>
      <c r="D378" s="57" t="str">
        <f t="shared" si="5"/>
        <v>Koome</v>
      </c>
      <c r="F378" s="57">
        <v>331</v>
      </c>
    </row>
    <row r="379" spans="1:6">
      <c r="A379" s="57" t="s">
        <v>595</v>
      </c>
      <c r="D379" s="57" t="str">
        <f t="shared" si="5"/>
        <v>KASAKA</v>
      </c>
      <c r="F379" s="57">
        <v>331</v>
      </c>
    </row>
    <row r="380" spans="1:6">
      <c r="A380" s="57" t="s">
        <v>596</v>
      </c>
      <c r="D380" s="57" t="str">
        <f t="shared" si="5"/>
        <v>NAKASAGAZI</v>
      </c>
      <c r="F380" s="57">
        <v>331</v>
      </c>
    </row>
    <row r="381" spans="1:6">
      <c r="A381" s="57" t="s">
        <v>597</v>
      </c>
      <c r="D381" s="57" t="str">
        <f t="shared" si="5"/>
        <v>KINONI</v>
      </c>
      <c r="F381" s="57">
        <v>331</v>
      </c>
    </row>
    <row r="382" spans="1:6">
      <c r="A382" s="57" t="s">
        <v>598</v>
      </c>
      <c r="B382" s="57" t="s">
        <v>591</v>
      </c>
      <c r="C382" s="57" t="s">
        <v>591</v>
      </c>
      <c r="D382" s="57" t="str">
        <f t="shared" si="5"/>
        <v>NAKYENYI</v>
      </c>
      <c r="F382" s="57">
        <v>331</v>
      </c>
    </row>
    <row r="383" spans="1:6">
      <c r="A383" s="57" t="s">
        <v>599</v>
      </c>
      <c r="D383" s="57" t="str">
        <f t="shared" si="5"/>
        <v>Maddu</v>
      </c>
      <c r="F383" s="57">
        <v>331</v>
      </c>
    </row>
    <row r="384" spans="1:6">
      <c r="A384" s="57" t="s">
        <v>600</v>
      </c>
      <c r="D384" s="57" t="str">
        <f t="shared" si="5"/>
        <v>Kirasi</v>
      </c>
      <c r="F384" s="57">
        <v>331</v>
      </c>
    </row>
    <row r="385" spans="1:6">
      <c r="A385" s="57" t="s">
        <v>601</v>
      </c>
      <c r="D385" s="57" t="str">
        <f t="shared" si="5"/>
        <v>KYAYI</v>
      </c>
      <c r="F385" s="57">
        <v>331</v>
      </c>
    </row>
    <row r="386" spans="1:6">
      <c r="A386" s="57" t="s">
        <v>602</v>
      </c>
      <c r="B386" s="57" t="s">
        <v>591</v>
      </c>
      <c r="C386" s="57" t="s">
        <v>591</v>
      </c>
      <c r="D386" s="57" t="str">
        <f t="shared" si="5"/>
        <v>DEGEYA</v>
      </c>
      <c r="F386" s="57">
        <v>332</v>
      </c>
    </row>
    <row r="387" spans="1:6">
      <c r="A387" s="57" t="s">
        <v>603</v>
      </c>
      <c r="B387" s="57" t="s">
        <v>604</v>
      </c>
      <c r="C387" s="57" t="s">
        <v>605</v>
      </c>
      <c r="D387" s="57" t="str">
        <f t="shared" ref="D387:D450" si="6">A387</f>
        <v>Mpenja</v>
      </c>
      <c r="F387" s="57">
        <v>333</v>
      </c>
    </row>
    <row r="388" spans="1:6">
      <c r="A388" s="57" t="s">
        <v>606</v>
      </c>
      <c r="B388" s="57" t="s">
        <v>604</v>
      </c>
      <c r="C388" s="57" t="s">
        <v>605</v>
      </c>
      <c r="D388" s="57" t="str">
        <f t="shared" si="6"/>
        <v>Awach</v>
      </c>
      <c r="F388" s="57">
        <v>334</v>
      </c>
    </row>
    <row r="389" spans="1:6">
      <c r="A389" s="57" t="s">
        <v>607</v>
      </c>
      <c r="D389" s="57" t="str">
        <f t="shared" si="6"/>
        <v>Bungatira</v>
      </c>
      <c r="F389" s="57">
        <v>335</v>
      </c>
    </row>
    <row r="390" spans="1:6">
      <c r="A390" s="57" t="s">
        <v>167</v>
      </c>
      <c r="B390" s="57" t="s">
        <v>604</v>
      </c>
      <c r="C390" s="57" t="s">
        <v>608</v>
      </c>
      <c r="D390" s="57" t="str">
        <f t="shared" si="6"/>
        <v>GULU</v>
      </c>
      <c r="F390" s="57">
        <v>335</v>
      </c>
    </row>
    <row r="391" spans="1:6">
      <c r="A391" s="57" t="s">
        <v>166</v>
      </c>
      <c r="D391" s="57" t="str">
        <f t="shared" si="6"/>
        <v>GULU TOWN</v>
      </c>
      <c r="F391" s="57">
        <v>336</v>
      </c>
    </row>
    <row r="392" spans="1:6">
      <c r="A392" s="57" t="s">
        <v>608</v>
      </c>
      <c r="B392" s="57" t="s">
        <v>604</v>
      </c>
      <c r="C392" s="57" t="s">
        <v>605</v>
      </c>
      <c r="D392" s="57" t="str">
        <f t="shared" si="6"/>
        <v>Gulu Municipality</v>
      </c>
      <c r="F392" s="57">
        <v>336</v>
      </c>
    </row>
    <row r="393" spans="1:6">
      <c r="A393" s="57" t="s">
        <v>609</v>
      </c>
      <c r="B393" s="57" t="s">
        <v>604</v>
      </c>
      <c r="C393" s="57" t="s">
        <v>605</v>
      </c>
      <c r="D393" s="57" t="str">
        <f t="shared" si="6"/>
        <v>Paicho</v>
      </c>
      <c r="F393" s="57">
        <v>337</v>
      </c>
    </row>
    <row r="394" spans="1:6">
      <c r="A394" s="57" t="s">
        <v>610</v>
      </c>
      <c r="D394" s="57" t="str">
        <f t="shared" si="6"/>
        <v>Unyama</v>
      </c>
      <c r="F394" s="57">
        <v>338</v>
      </c>
    </row>
    <row r="395" spans="1:6">
      <c r="A395" s="57" t="s">
        <v>611</v>
      </c>
      <c r="B395" s="57" t="s">
        <v>612</v>
      </c>
      <c r="C395" s="57" t="s">
        <v>613</v>
      </c>
      <c r="D395" s="57" t="str">
        <f t="shared" si="6"/>
        <v>KIBOGA</v>
      </c>
      <c r="F395" s="57">
        <v>338</v>
      </c>
    </row>
    <row r="396" spans="1:6">
      <c r="A396" s="57" t="s">
        <v>614</v>
      </c>
      <c r="B396" s="57" t="s">
        <v>612</v>
      </c>
      <c r="C396" s="57" t="s">
        <v>615</v>
      </c>
      <c r="D396" s="57" t="str">
        <f t="shared" si="6"/>
        <v>Bugambe</v>
      </c>
      <c r="F396" s="57">
        <v>339</v>
      </c>
    </row>
    <row r="397" spans="1:6">
      <c r="A397" s="57" t="s">
        <v>616</v>
      </c>
      <c r="B397" s="57" t="s">
        <v>612</v>
      </c>
      <c r="C397" s="57" t="s">
        <v>613</v>
      </c>
      <c r="D397" s="57" t="str">
        <f t="shared" si="6"/>
        <v>Buhanika</v>
      </c>
      <c r="F397" s="57">
        <v>340</v>
      </c>
    </row>
    <row r="398" spans="1:6">
      <c r="A398" s="57" t="s">
        <v>617</v>
      </c>
      <c r="D398" s="57" t="str">
        <f t="shared" si="6"/>
        <v>Buhimba</v>
      </c>
      <c r="F398" s="57">
        <v>341</v>
      </c>
    </row>
    <row r="399" spans="1:6">
      <c r="A399" s="57" t="s">
        <v>618</v>
      </c>
      <c r="B399" s="57" t="s">
        <v>612</v>
      </c>
      <c r="C399" s="57" t="s">
        <v>619</v>
      </c>
      <c r="D399" s="57" t="str">
        <f t="shared" si="6"/>
        <v>HOIMA</v>
      </c>
      <c r="F399" s="57">
        <v>341</v>
      </c>
    </row>
    <row r="400" spans="1:6">
      <c r="A400" s="57" t="s">
        <v>619</v>
      </c>
      <c r="B400" s="57" t="s">
        <v>612</v>
      </c>
      <c r="C400" s="57" t="s">
        <v>613</v>
      </c>
      <c r="D400" s="57" t="str">
        <f t="shared" si="6"/>
        <v>Hoima Municipality</v>
      </c>
      <c r="F400" s="57">
        <v>342</v>
      </c>
    </row>
    <row r="401" spans="1:6">
      <c r="A401" s="57" t="s">
        <v>620</v>
      </c>
      <c r="B401" s="57" t="s">
        <v>612</v>
      </c>
      <c r="C401" s="57" t="s">
        <v>615</v>
      </c>
      <c r="D401" s="57" t="str">
        <f t="shared" si="6"/>
        <v>Kabwoya</v>
      </c>
      <c r="F401" s="57">
        <v>343</v>
      </c>
    </row>
    <row r="402" spans="1:6">
      <c r="A402" s="57" t="s">
        <v>621</v>
      </c>
      <c r="B402" s="57" t="s">
        <v>612</v>
      </c>
      <c r="C402" s="57" t="s">
        <v>615</v>
      </c>
      <c r="D402" s="57" t="str">
        <f t="shared" si="6"/>
        <v>Kigorobya</v>
      </c>
      <c r="F402" s="57">
        <v>344</v>
      </c>
    </row>
    <row r="403" spans="1:6">
      <c r="A403" s="57" t="s">
        <v>622</v>
      </c>
      <c r="B403" s="57" t="s">
        <v>612</v>
      </c>
      <c r="C403" s="57" t="s">
        <v>615</v>
      </c>
      <c r="D403" s="57" t="str">
        <f t="shared" si="6"/>
        <v>Kigorobya Town Council</v>
      </c>
      <c r="F403" s="57">
        <v>345</v>
      </c>
    </row>
    <row r="404" spans="1:6">
      <c r="A404" s="57" t="s">
        <v>623</v>
      </c>
      <c r="B404" s="57" t="s">
        <v>612</v>
      </c>
      <c r="C404" s="57" t="s">
        <v>613</v>
      </c>
      <c r="D404" s="57" t="str">
        <f t="shared" si="6"/>
        <v>Kitoba</v>
      </c>
      <c r="F404" s="57">
        <v>346</v>
      </c>
    </row>
    <row r="405" spans="1:6">
      <c r="A405" s="57" t="s">
        <v>624</v>
      </c>
      <c r="B405" s="57" t="s">
        <v>612</v>
      </c>
      <c r="C405" s="57" t="s">
        <v>615</v>
      </c>
      <c r="D405" s="57" t="str">
        <f t="shared" si="6"/>
        <v>Kiziranfumbi</v>
      </c>
      <c r="F405" s="57">
        <v>347</v>
      </c>
    </row>
    <row r="406" spans="1:6">
      <c r="A406" s="57" t="s">
        <v>625</v>
      </c>
      <c r="B406" s="57" t="s">
        <v>612</v>
      </c>
      <c r="C406" s="57" t="s">
        <v>613</v>
      </c>
      <c r="D406" s="57" t="str">
        <f t="shared" si="6"/>
        <v>Kyabigambire</v>
      </c>
      <c r="F406" s="57">
        <v>348</v>
      </c>
    </row>
    <row r="407" spans="1:6">
      <c r="A407" s="57" t="s">
        <v>626</v>
      </c>
      <c r="D407" s="57" t="str">
        <f t="shared" si="6"/>
        <v>Kyangwali</v>
      </c>
      <c r="F407" s="57">
        <v>349</v>
      </c>
    </row>
    <row r="408" spans="1:6">
      <c r="A408" s="57" t="s">
        <v>627</v>
      </c>
      <c r="B408" s="57" t="s">
        <v>43</v>
      </c>
      <c r="C408" s="57" t="s">
        <v>628</v>
      </c>
      <c r="D408" s="57" t="str">
        <f t="shared" si="6"/>
        <v>IBANDA</v>
      </c>
      <c r="F408" s="57">
        <v>349</v>
      </c>
    </row>
    <row r="409" spans="1:6">
      <c r="A409" s="57" t="s">
        <v>628</v>
      </c>
      <c r="B409" s="57" t="s">
        <v>43</v>
      </c>
      <c r="C409" s="57" t="s">
        <v>43</v>
      </c>
      <c r="D409" s="57" t="str">
        <f t="shared" si="6"/>
        <v>Ibanda Municipality</v>
      </c>
      <c r="F409" s="57">
        <v>350</v>
      </c>
    </row>
    <row r="410" spans="1:6">
      <c r="A410" s="57" t="s">
        <v>629</v>
      </c>
      <c r="D410" s="57" t="str">
        <f t="shared" si="6"/>
        <v>Igorora Town Council</v>
      </c>
      <c r="F410" s="57">
        <v>351</v>
      </c>
    </row>
    <row r="411" spans="1:6">
      <c r="A411" s="57" t="s">
        <v>630</v>
      </c>
      <c r="B411" s="57" t="s">
        <v>43</v>
      </c>
      <c r="C411" s="57" t="s">
        <v>43</v>
      </c>
      <c r="D411" s="57" t="str">
        <f t="shared" si="6"/>
        <v>ISONGOLO</v>
      </c>
      <c r="F411" s="57">
        <v>351</v>
      </c>
    </row>
    <row r="412" spans="1:6">
      <c r="A412" s="57" t="s">
        <v>631</v>
      </c>
      <c r="B412" s="57" t="s">
        <v>43</v>
      </c>
      <c r="C412" s="57" t="s">
        <v>43</v>
      </c>
      <c r="D412" s="57" t="str">
        <f t="shared" si="6"/>
        <v>Ishongororo</v>
      </c>
      <c r="F412" s="57">
        <v>352</v>
      </c>
    </row>
    <row r="413" spans="1:6">
      <c r="A413" s="57" t="s">
        <v>632</v>
      </c>
      <c r="B413" s="57" t="s">
        <v>43</v>
      </c>
      <c r="C413" s="57" t="s">
        <v>628</v>
      </c>
      <c r="D413" s="57" t="str">
        <f t="shared" si="6"/>
        <v>Ishongororo Town Council</v>
      </c>
      <c r="F413" s="57">
        <v>353</v>
      </c>
    </row>
    <row r="414" spans="1:6">
      <c r="A414" s="57" t="s">
        <v>633</v>
      </c>
      <c r="B414" s="57" t="s">
        <v>43</v>
      </c>
      <c r="C414" s="57" t="s">
        <v>43</v>
      </c>
      <c r="D414" s="57" t="str">
        <f t="shared" si="6"/>
        <v>Kagango Division-Ibanda</v>
      </c>
      <c r="F414" s="57">
        <v>354</v>
      </c>
    </row>
    <row r="415" spans="1:6">
      <c r="A415" s="57" t="s">
        <v>634</v>
      </c>
      <c r="B415" s="57" t="s">
        <v>43</v>
      </c>
      <c r="C415" s="57" t="s">
        <v>43</v>
      </c>
      <c r="D415" s="57" t="str">
        <f t="shared" si="6"/>
        <v>Keihangara</v>
      </c>
      <c r="F415" s="57">
        <v>355</v>
      </c>
    </row>
    <row r="416" spans="1:6">
      <c r="A416" s="57" t="s">
        <v>635</v>
      </c>
      <c r="B416" s="57" t="s">
        <v>43</v>
      </c>
      <c r="C416" s="57" t="s">
        <v>43</v>
      </c>
      <c r="D416" s="57" t="str">
        <f t="shared" si="6"/>
        <v>Kicuzi</v>
      </c>
      <c r="F416" s="57">
        <v>356</v>
      </c>
    </row>
    <row r="417" spans="1:6">
      <c r="A417" s="57" t="s">
        <v>636</v>
      </c>
      <c r="B417" s="57" t="s">
        <v>43</v>
      </c>
      <c r="C417" s="57" t="s">
        <v>43</v>
      </c>
      <c r="D417" s="57" t="str">
        <f t="shared" si="6"/>
        <v>Kijongo</v>
      </c>
      <c r="F417" s="57">
        <v>357</v>
      </c>
    </row>
    <row r="418" spans="1:6">
      <c r="A418" s="57" t="s">
        <v>637</v>
      </c>
      <c r="B418" s="57" t="s">
        <v>43</v>
      </c>
      <c r="C418" s="57" t="s">
        <v>43</v>
      </c>
      <c r="D418" s="57" t="str">
        <f t="shared" si="6"/>
        <v>Kikyenkye</v>
      </c>
      <c r="F418" s="57">
        <v>358</v>
      </c>
    </row>
    <row r="419" spans="1:6">
      <c r="A419" s="57" t="s">
        <v>638</v>
      </c>
      <c r="B419" s="57" t="s">
        <v>43</v>
      </c>
      <c r="C419" s="57" t="s">
        <v>43</v>
      </c>
      <c r="D419" s="57" t="str">
        <f t="shared" si="6"/>
        <v>Nyamarebe</v>
      </c>
      <c r="F419" s="57">
        <v>359</v>
      </c>
    </row>
    <row r="420" spans="1:6">
      <c r="A420" s="57" t="s">
        <v>639</v>
      </c>
      <c r="B420" s="57" t="s">
        <v>43</v>
      </c>
      <c r="C420" s="57" t="s">
        <v>43</v>
      </c>
      <c r="D420" s="57" t="str">
        <f t="shared" si="6"/>
        <v>Rukiri</v>
      </c>
      <c r="F420" s="57">
        <v>360</v>
      </c>
    </row>
    <row r="421" spans="1:6">
      <c r="A421" s="57" t="s">
        <v>640</v>
      </c>
      <c r="B421" s="57" t="s">
        <v>641</v>
      </c>
      <c r="C421" s="57" t="s">
        <v>642</v>
      </c>
      <c r="D421" s="57" t="str">
        <f t="shared" si="6"/>
        <v>Rushango Town Council</v>
      </c>
      <c r="F421" s="57">
        <v>361</v>
      </c>
    </row>
    <row r="422" spans="1:6">
      <c r="A422" s="57" t="s">
        <v>643</v>
      </c>
      <c r="B422" s="57" t="s">
        <v>641</v>
      </c>
      <c r="C422" s="57" t="s">
        <v>644</v>
      </c>
      <c r="D422" s="57" t="str">
        <f t="shared" si="6"/>
        <v>Bulamogi</v>
      </c>
      <c r="F422" s="57">
        <v>362</v>
      </c>
    </row>
    <row r="423" spans="1:6">
      <c r="A423" s="57" t="s">
        <v>645</v>
      </c>
      <c r="B423" s="57" t="s">
        <v>641</v>
      </c>
      <c r="C423" s="57" t="s">
        <v>644</v>
      </c>
      <c r="D423" s="57" t="str">
        <f t="shared" si="6"/>
        <v>Busembatia Town Council</v>
      </c>
      <c r="F423" s="57">
        <v>363</v>
      </c>
    </row>
    <row r="424" spans="1:6">
      <c r="A424" s="57" t="s">
        <v>646</v>
      </c>
      <c r="B424" s="57" t="s">
        <v>641</v>
      </c>
      <c r="C424" s="57" t="s">
        <v>644</v>
      </c>
      <c r="D424" s="57" t="str">
        <f t="shared" si="6"/>
        <v>Buyanga-Iganga</v>
      </c>
      <c r="F424" s="57">
        <v>364</v>
      </c>
    </row>
    <row r="425" spans="1:6">
      <c r="A425" s="57" t="s">
        <v>647</v>
      </c>
      <c r="D425" s="57" t="str">
        <f t="shared" si="6"/>
        <v>Ibulanku</v>
      </c>
      <c r="F425" s="57">
        <v>365</v>
      </c>
    </row>
    <row r="426" spans="1:6">
      <c r="A426" s="57" t="s">
        <v>641</v>
      </c>
      <c r="B426" s="57" t="s">
        <v>641</v>
      </c>
      <c r="C426" s="57" t="s">
        <v>648</v>
      </c>
      <c r="D426" s="57" t="str">
        <f t="shared" si="6"/>
        <v>Iganga</v>
      </c>
      <c r="F426" s="57">
        <v>365</v>
      </c>
    </row>
    <row r="427" spans="1:6" ht="16.5" customHeight="1">
      <c r="A427" s="57" t="s">
        <v>648</v>
      </c>
      <c r="B427" s="57" t="s">
        <v>641</v>
      </c>
      <c r="C427" s="57" t="s">
        <v>644</v>
      </c>
      <c r="D427" s="57" t="str">
        <f t="shared" si="6"/>
        <v>Iganga Municipality</v>
      </c>
      <c r="F427" s="57">
        <v>366</v>
      </c>
    </row>
    <row r="428" spans="1:6">
      <c r="A428" s="57" t="s">
        <v>649</v>
      </c>
      <c r="B428" s="57" t="s">
        <v>641</v>
      </c>
      <c r="C428" s="57" t="s">
        <v>644</v>
      </c>
      <c r="D428" s="57" t="str">
        <f t="shared" si="6"/>
        <v>Igombe</v>
      </c>
      <c r="F428" s="57">
        <v>367</v>
      </c>
    </row>
    <row r="429" spans="1:6">
      <c r="A429" s="57" t="s">
        <v>650</v>
      </c>
      <c r="B429" s="57" t="s">
        <v>641</v>
      </c>
      <c r="C429" s="57" t="s">
        <v>642</v>
      </c>
      <c r="D429" s="57" t="str">
        <f t="shared" si="6"/>
        <v>Makuutu</v>
      </c>
      <c r="F429" s="57">
        <v>368</v>
      </c>
    </row>
    <row r="430" spans="1:6">
      <c r="A430" s="57" t="s">
        <v>651</v>
      </c>
      <c r="B430" s="57" t="s">
        <v>641</v>
      </c>
      <c r="C430" s="57" t="s">
        <v>642</v>
      </c>
      <c r="D430" s="57" t="str">
        <f t="shared" si="6"/>
        <v>Nabitende</v>
      </c>
      <c r="F430" s="57">
        <v>369</v>
      </c>
    </row>
    <row r="431" spans="1:6">
      <c r="A431" s="57" t="s">
        <v>652</v>
      </c>
      <c r="B431" s="57" t="s">
        <v>641</v>
      </c>
      <c r="C431" s="57" t="s">
        <v>642</v>
      </c>
      <c r="D431" s="57" t="str">
        <f t="shared" si="6"/>
        <v>Nakalama</v>
      </c>
      <c r="F431" s="57">
        <v>370</v>
      </c>
    </row>
    <row r="432" spans="1:6">
      <c r="A432" s="57" t="s">
        <v>653</v>
      </c>
      <c r="B432" s="57" t="s">
        <v>641</v>
      </c>
      <c r="C432" s="57" t="s">
        <v>644</v>
      </c>
      <c r="D432" s="57" t="str">
        <f t="shared" si="6"/>
        <v>Nakigo</v>
      </c>
      <c r="F432" s="57">
        <v>371</v>
      </c>
    </row>
    <row r="433" spans="1:6">
      <c r="A433" s="57" t="s">
        <v>654</v>
      </c>
      <c r="B433" s="57" t="s">
        <v>641</v>
      </c>
      <c r="C433" s="57" t="s">
        <v>642</v>
      </c>
      <c r="D433" s="57" t="str">
        <f t="shared" si="6"/>
        <v>Namalemba</v>
      </c>
      <c r="F433" s="57">
        <v>372</v>
      </c>
    </row>
    <row r="434" spans="1:6">
      <c r="A434" s="57" t="s">
        <v>655</v>
      </c>
      <c r="B434" s="57" t="s">
        <v>641</v>
      </c>
      <c r="C434" s="57" t="s">
        <v>642</v>
      </c>
      <c r="D434" s="57" t="str">
        <f t="shared" si="6"/>
        <v>Nambale</v>
      </c>
      <c r="F434" s="57">
        <v>373</v>
      </c>
    </row>
    <row r="435" spans="1:6">
      <c r="A435" s="57" t="s">
        <v>656</v>
      </c>
      <c r="B435" s="57" t="s">
        <v>641</v>
      </c>
      <c r="C435" s="57" t="s">
        <v>642</v>
      </c>
      <c r="D435" s="57" t="str">
        <f t="shared" si="6"/>
        <v>Namungalwe</v>
      </c>
      <c r="F435" s="57">
        <v>374</v>
      </c>
    </row>
    <row r="436" spans="1:6">
      <c r="A436" s="57" t="s">
        <v>657</v>
      </c>
      <c r="B436" s="57" t="s">
        <v>641</v>
      </c>
      <c r="C436" s="57" t="s">
        <v>642</v>
      </c>
      <c r="D436" s="57" t="str">
        <f t="shared" si="6"/>
        <v>Nawandala</v>
      </c>
      <c r="F436" s="57">
        <v>375</v>
      </c>
    </row>
    <row r="437" spans="1:6">
      <c r="A437" s="57" t="s">
        <v>658</v>
      </c>
      <c r="B437" s="57" t="s">
        <v>47</v>
      </c>
      <c r="C437" s="57" t="s">
        <v>47</v>
      </c>
      <c r="D437" s="57" t="str">
        <f t="shared" si="6"/>
        <v>Nawanyingi</v>
      </c>
      <c r="F437" s="57">
        <v>376</v>
      </c>
    </row>
    <row r="438" spans="1:6">
      <c r="A438" s="57" t="s">
        <v>659</v>
      </c>
      <c r="B438" s="57" t="s">
        <v>47</v>
      </c>
      <c r="C438" s="57" t="s">
        <v>660</v>
      </c>
      <c r="D438" s="57" t="str">
        <f t="shared" si="6"/>
        <v>Birere</v>
      </c>
      <c r="F438" s="57">
        <v>377</v>
      </c>
    </row>
    <row r="439" spans="1:6">
      <c r="A439" s="57" t="s">
        <v>661</v>
      </c>
      <c r="B439" s="57" t="s">
        <v>47</v>
      </c>
      <c r="C439" s="57" t="s">
        <v>660</v>
      </c>
      <c r="D439" s="57" t="str">
        <f t="shared" si="6"/>
        <v>Endiinzi</v>
      </c>
      <c r="F439" s="57">
        <v>378</v>
      </c>
    </row>
    <row r="440" spans="1:6">
      <c r="A440" s="57" t="s">
        <v>662</v>
      </c>
      <c r="D440" s="57" t="str">
        <f t="shared" si="6"/>
        <v>Endiinzi Town Council</v>
      </c>
      <c r="F440" s="57">
        <v>379</v>
      </c>
    </row>
    <row r="441" spans="1:6">
      <c r="A441" s="57" t="s">
        <v>663</v>
      </c>
      <c r="B441" s="57" t="s">
        <v>47</v>
      </c>
      <c r="C441" s="57" t="s">
        <v>47</v>
      </c>
      <c r="D441" s="57" t="str">
        <f t="shared" si="6"/>
        <v>ISINGIRO</v>
      </c>
      <c r="F441" s="57">
        <v>379</v>
      </c>
    </row>
    <row r="442" spans="1:6">
      <c r="A442" s="57" t="s">
        <v>664</v>
      </c>
      <c r="B442" s="57" t="s">
        <v>47</v>
      </c>
      <c r="C442" s="57" t="s">
        <v>47</v>
      </c>
      <c r="D442" s="57" t="str">
        <f t="shared" si="6"/>
        <v>Isingiro Town Council</v>
      </c>
      <c r="F442" s="57">
        <v>380</v>
      </c>
    </row>
    <row r="443" spans="1:6">
      <c r="A443" s="57" t="s">
        <v>665</v>
      </c>
      <c r="D443" s="57" t="str">
        <f t="shared" si="6"/>
        <v>Kaberebere Town Council</v>
      </c>
      <c r="F443" s="57">
        <v>380</v>
      </c>
    </row>
    <row r="444" spans="1:6">
      <c r="A444" s="57" t="s">
        <v>666</v>
      </c>
      <c r="B444" s="57" t="s">
        <v>47</v>
      </c>
      <c r="C444" s="57" t="s">
        <v>47</v>
      </c>
      <c r="D444" s="57" t="str">
        <f t="shared" si="6"/>
        <v>KABEREBE</v>
      </c>
      <c r="F444" s="57">
        <v>381</v>
      </c>
    </row>
    <row r="445" spans="1:6">
      <c r="A445" s="57" t="s">
        <v>667</v>
      </c>
      <c r="B445" s="57" t="s">
        <v>47</v>
      </c>
      <c r="C445" s="57" t="s">
        <v>47</v>
      </c>
      <c r="D445" s="57" t="str">
        <f t="shared" si="6"/>
        <v>Kabingo</v>
      </c>
      <c r="F445" s="57">
        <v>382</v>
      </c>
    </row>
    <row r="446" spans="1:6">
      <c r="A446" s="57" t="s">
        <v>668</v>
      </c>
      <c r="B446" s="57" t="s">
        <v>47</v>
      </c>
      <c r="C446" s="57" t="s">
        <v>47</v>
      </c>
      <c r="D446" s="57" t="str">
        <f t="shared" si="6"/>
        <v>Kabuyanda</v>
      </c>
      <c r="F446" s="57">
        <v>383</v>
      </c>
    </row>
    <row r="447" spans="1:6">
      <c r="A447" s="57" t="s">
        <v>669</v>
      </c>
      <c r="B447" s="57" t="s">
        <v>47</v>
      </c>
      <c r="C447" s="57" t="s">
        <v>660</v>
      </c>
      <c r="D447" s="57" t="str">
        <f t="shared" si="6"/>
        <v>Kabuyanda Town Council</v>
      </c>
      <c r="F447" s="57">
        <v>384</v>
      </c>
    </row>
    <row r="448" spans="1:6">
      <c r="A448" s="57" t="s">
        <v>670</v>
      </c>
      <c r="D448" s="57" t="str">
        <f t="shared" si="6"/>
        <v>Kakamba-Isingiro</v>
      </c>
      <c r="F448" s="57">
        <v>385</v>
      </c>
    </row>
    <row r="449" spans="1:6">
      <c r="A449" s="57" t="s">
        <v>671</v>
      </c>
      <c r="B449" s="57" t="s">
        <v>47</v>
      </c>
      <c r="C449" s="57" t="s">
        <v>47</v>
      </c>
      <c r="D449" s="57" t="str">
        <f t="shared" si="6"/>
        <v>KIKAGATI</v>
      </c>
      <c r="F449" s="57">
        <v>385</v>
      </c>
    </row>
    <row r="450" spans="1:6">
      <c r="A450" s="57" t="s">
        <v>672</v>
      </c>
      <c r="B450" s="57" t="s">
        <v>47</v>
      </c>
      <c r="C450" s="57" t="s">
        <v>47</v>
      </c>
      <c r="D450" s="57" t="str">
        <f t="shared" si="6"/>
        <v>Kikagate</v>
      </c>
      <c r="F450" s="57">
        <v>386</v>
      </c>
    </row>
    <row r="451" spans="1:6">
      <c r="A451" s="57" t="s">
        <v>673</v>
      </c>
      <c r="B451" s="57" t="s">
        <v>47</v>
      </c>
      <c r="C451" s="57" t="s">
        <v>660</v>
      </c>
      <c r="D451" s="57" t="str">
        <f t="shared" ref="D451:D514" si="7">A451</f>
        <v>Masha</v>
      </c>
      <c r="F451" s="57">
        <v>387</v>
      </c>
    </row>
    <row r="452" spans="1:6">
      <c r="A452" s="57" t="s">
        <v>674</v>
      </c>
      <c r="B452" s="57" t="s">
        <v>47</v>
      </c>
      <c r="C452" s="57" t="s">
        <v>660</v>
      </c>
      <c r="D452" s="57" t="str">
        <f t="shared" si="7"/>
        <v>Mbaare</v>
      </c>
      <c r="F452" s="57">
        <v>388</v>
      </c>
    </row>
    <row r="453" spans="1:6">
      <c r="A453" s="57" t="s">
        <v>675</v>
      </c>
      <c r="B453" s="57" t="s">
        <v>47</v>
      </c>
      <c r="C453" s="57" t="s">
        <v>660</v>
      </c>
      <c r="D453" s="57" t="str">
        <f t="shared" si="7"/>
        <v>Nakivale Refugee Camp</v>
      </c>
      <c r="F453" s="57">
        <v>389</v>
      </c>
    </row>
    <row r="454" spans="1:6">
      <c r="A454" s="57" t="s">
        <v>676</v>
      </c>
      <c r="B454" s="57" t="s">
        <v>47</v>
      </c>
      <c r="C454" s="57" t="s">
        <v>47</v>
      </c>
      <c r="D454" s="57" t="str">
        <f t="shared" si="7"/>
        <v>Ngarama</v>
      </c>
      <c r="F454" s="57">
        <v>390</v>
      </c>
    </row>
    <row r="455" spans="1:6">
      <c r="A455" s="57" t="s">
        <v>677</v>
      </c>
      <c r="B455" s="57" t="s">
        <v>47</v>
      </c>
      <c r="C455" s="57" t="s">
        <v>47</v>
      </c>
      <c r="D455" s="57" t="str">
        <f t="shared" si="7"/>
        <v>Nyakitunda</v>
      </c>
      <c r="F455" s="57">
        <v>391</v>
      </c>
    </row>
    <row r="456" spans="1:6">
      <c r="A456" s="57" t="s">
        <v>678</v>
      </c>
      <c r="B456" s="57" t="s">
        <v>47</v>
      </c>
      <c r="C456" s="57" t="s">
        <v>47</v>
      </c>
      <c r="D456" s="57" t="str">
        <f t="shared" si="7"/>
        <v>Nyamuyanja</v>
      </c>
      <c r="F456" s="57">
        <v>392</v>
      </c>
    </row>
    <row r="457" spans="1:6">
      <c r="A457" s="57" t="s">
        <v>679</v>
      </c>
      <c r="B457" s="57" t="s">
        <v>47</v>
      </c>
      <c r="C457" s="57" t="s">
        <v>47</v>
      </c>
      <c r="D457" s="57" t="str">
        <f t="shared" si="7"/>
        <v>Oruchinga Refugee Camp</v>
      </c>
      <c r="F457" s="57">
        <v>393</v>
      </c>
    </row>
    <row r="458" spans="1:6">
      <c r="A458" s="57" t="s">
        <v>680</v>
      </c>
      <c r="B458" s="57" t="s">
        <v>47</v>
      </c>
      <c r="C458" s="57" t="s">
        <v>660</v>
      </c>
      <c r="D458" s="57" t="str">
        <f t="shared" si="7"/>
        <v>Ruborogota</v>
      </c>
      <c r="F458" s="57">
        <v>394</v>
      </c>
    </row>
    <row r="459" spans="1:6">
      <c r="A459" s="57" t="s">
        <v>681</v>
      </c>
      <c r="B459" s="57" t="s">
        <v>47</v>
      </c>
      <c r="C459" s="57" t="s">
        <v>660</v>
      </c>
      <c r="D459" s="57" t="str">
        <f t="shared" si="7"/>
        <v>Rugaaga</v>
      </c>
      <c r="F459" s="57">
        <v>395</v>
      </c>
    </row>
    <row r="460" spans="1:6">
      <c r="A460" s="57" t="s">
        <v>682</v>
      </c>
      <c r="B460" s="57" t="s">
        <v>683</v>
      </c>
      <c r="C460" s="57" t="s">
        <v>684</v>
      </c>
      <c r="D460" s="57" t="str">
        <f t="shared" si="7"/>
        <v>Rushasha</v>
      </c>
      <c r="F460" s="57">
        <v>396</v>
      </c>
    </row>
    <row r="461" spans="1:6">
      <c r="A461" s="57" t="s">
        <v>685</v>
      </c>
      <c r="B461" s="57" t="s">
        <v>683</v>
      </c>
      <c r="C461" s="57" t="s">
        <v>686</v>
      </c>
      <c r="D461" s="57" t="str">
        <f t="shared" si="7"/>
        <v>Budondo</v>
      </c>
      <c r="F461" s="57">
        <v>397</v>
      </c>
    </row>
    <row r="462" spans="1:6">
      <c r="A462" s="57" t="s">
        <v>687</v>
      </c>
      <c r="B462" s="57" t="s">
        <v>683</v>
      </c>
      <c r="C462" s="57" t="s">
        <v>686</v>
      </c>
      <c r="D462" s="57" t="str">
        <f t="shared" si="7"/>
        <v>Bugembe Town Council</v>
      </c>
      <c r="F462" s="57">
        <v>398</v>
      </c>
    </row>
    <row r="463" spans="1:6">
      <c r="A463" s="57" t="s">
        <v>688</v>
      </c>
      <c r="B463" s="57" t="s">
        <v>683</v>
      </c>
      <c r="C463" s="57" t="s">
        <v>684</v>
      </c>
      <c r="D463" s="57" t="str">
        <f t="shared" si="7"/>
        <v>Busedde</v>
      </c>
      <c r="F463" s="57">
        <v>399</v>
      </c>
    </row>
    <row r="464" spans="1:6">
      <c r="A464" s="57" t="s">
        <v>689</v>
      </c>
      <c r="B464" s="57" t="s">
        <v>683</v>
      </c>
      <c r="C464" s="57" t="s">
        <v>684</v>
      </c>
      <c r="D464" s="57" t="str">
        <f t="shared" si="7"/>
        <v>Butagaya</v>
      </c>
      <c r="F464" s="57">
        <v>400</v>
      </c>
    </row>
    <row r="465" spans="1:6">
      <c r="A465" s="57" t="s">
        <v>690</v>
      </c>
      <c r="B465" s="57" t="s">
        <v>683</v>
      </c>
      <c r="C465" s="57" t="s">
        <v>684</v>
      </c>
      <c r="D465" s="57" t="str">
        <f t="shared" si="7"/>
        <v>Buwenge</v>
      </c>
      <c r="F465" s="57">
        <v>401</v>
      </c>
    </row>
    <row r="466" spans="1:6">
      <c r="A466" s="57" t="s">
        <v>691</v>
      </c>
      <c r="B466" s="57" t="s">
        <v>683</v>
      </c>
      <c r="C466" s="57" t="s">
        <v>684</v>
      </c>
      <c r="D466" s="57" t="str">
        <f t="shared" si="7"/>
        <v>Buwenge Town Council</v>
      </c>
      <c r="F466" s="57">
        <v>402</v>
      </c>
    </row>
    <row r="467" spans="1:6">
      <c r="A467" s="57" t="s">
        <v>692</v>
      </c>
      <c r="B467" s="57" t="s">
        <v>683</v>
      </c>
      <c r="C467" s="57" t="s">
        <v>693</v>
      </c>
      <c r="D467" s="57" t="str">
        <f t="shared" si="7"/>
        <v>Buyengo</v>
      </c>
      <c r="F467" s="57">
        <v>403</v>
      </c>
    </row>
    <row r="468" spans="1:6">
      <c r="A468" s="57" t="s">
        <v>693</v>
      </c>
      <c r="D468" s="57" t="str">
        <f t="shared" si="7"/>
        <v>Jinja Municipality</v>
      </c>
      <c r="F468" s="57">
        <v>403</v>
      </c>
    </row>
    <row r="469" spans="1:6">
      <c r="A469" s="57" t="s">
        <v>694</v>
      </c>
      <c r="D469" s="57" t="str">
        <f t="shared" si="7"/>
        <v>JINJA</v>
      </c>
      <c r="F469" s="57">
        <v>403</v>
      </c>
    </row>
    <row r="470" spans="1:6">
      <c r="A470" s="57" t="s">
        <v>695</v>
      </c>
      <c r="D470" s="57" t="str">
        <f t="shared" si="7"/>
        <v>LUMBASI</v>
      </c>
      <c r="F470" s="57">
        <v>404</v>
      </c>
    </row>
    <row r="471" spans="1:6">
      <c r="A471" s="57" t="s">
        <v>696</v>
      </c>
      <c r="B471" s="57" t="s">
        <v>683</v>
      </c>
      <c r="C471" s="57" t="s">
        <v>686</v>
      </c>
      <c r="D471" s="57" t="str">
        <f t="shared" si="7"/>
        <v>KAKIRA</v>
      </c>
      <c r="F471" s="57">
        <v>404</v>
      </c>
    </row>
    <row r="472" spans="1:6">
      <c r="A472" s="57" t="s">
        <v>697</v>
      </c>
      <c r="B472" s="57" t="s">
        <v>683</v>
      </c>
      <c r="C472" s="57" t="s">
        <v>686</v>
      </c>
      <c r="D472" s="57" t="str">
        <f t="shared" si="7"/>
        <v>Kakira Town Council</v>
      </c>
      <c r="F472" s="57">
        <v>405</v>
      </c>
    </row>
    <row r="473" spans="1:6">
      <c r="A473" s="57" t="s">
        <v>698</v>
      </c>
      <c r="B473" s="57" t="s">
        <v>699</v>
      </c>
      <c r="C473" s="57" t="s">
        <v>700</v>
      </c>
      <c r="D473" s="57" t="str">
        <f t="shared" si="7"/>
        <v>Mafubira</v>
      </c>
      <c r="F473" s="57">
        <v>406</v>
      </c>
    </row>
    <row r="474" spans="1:6">
      <c r="A474" s="57" t="s">
        <v>701</v>
      </c>
      <c r="B474" s="57" t="s">
        <v>699</v>
      </c>
      <c r="C474" s="57" t="s">
        <v>700</v>
      </c>
      <c r="D474" s="57" t="str">
        <f t="shared" si="7"/>
        <v>Kaabong East</v>
      </c>
      <c r="F474" s="57">
        <v>407</v>
      </c>
    </row>
    <row r="475" spans="1:6">
      <c r="A475" s="57" t="s">
        <v>702</v>
      </c>
      <c r="B475" s="57" t="s">
        <v>699</v>
      </c>
      <c r="C475" s="57" t="s">
        <v>700</v>
      </c>
      <c r="D475" s="57" t="str">
        <f t="shared" si="7"/>
        <v>Kaabong Town Council</v>
      </c>
      <c r="F475" s="57">
        <v>408</v>
      </c>
    </row>
    <row r="476" spans="1:6">
      <c r="A476" s="57" t="s">
        <v>703</v>
      </c>
      <c r="B476" s="57" t="s">
        <v>699</v>
      </c>
      <c r="C476" s="57" t="s">
        <v>700</v>
      </c>
      <c r="D476" s="57" t="str">
        <f t="shared" si="7"/>
        <v>Kaabong West</v>
      </c>
      <c r="F476" s="57">
        <v>409</v>
      </c>
    </row>
    <row r="477" spans="1:6">
      <c r="A477" s="57" t="s">
        <v>704</v>
      </c>
      <c r="B477" s="57" t="s">
        <v>699</v>
      </c>
      <c r="C477" s="57" t="s">
        <v>700</v>
      </c>
      <c r="D477" s="57" t="str">
        <f t="shared" si="7"/>
        <v>Kalapata</v>
      </c>
      <c r="F477" s="57">
        <v>410</v>
      </c>
    </row>
    <row r="478" spans="1:6">
      <c r="A478" s="57" t="s">
        <v>705</v>
      </c>
      <c r="B478" s="57" t="s">
        <v>699</v>
      </c>
      <c r="C478" s="57" t="s">
        <v>700</v>
      </c>
      <c r="D478" s="57" t="str">
        <f t="shared" si="7"/>
        <v>Kamion</v>
      </c>
      <c r="F478" s="57">
        <v>411</v>
      </c>
    </row>
    <row r="479" spans="1:6">
      <c r="A479" s="57" t="s">
        <v>706</v>
      </c>
      <c r="B479" s="57" t="s">
        <v>699</v>
      </c>
      <c r="C479" s="57" t="s">
        <v>700</v>
      </c>
      <c r="D479" s="57" t="str">
        <f t="shared" si="7"/>
        <v>Kapedo</v>
      </c>
      <c r="F479" s="57">
        <v>412</v>
      </c>
    </row>
    <row r="480" spans="1:6">
      <c r="A480" s="57" t="s">
        <v>707</v>
      </c>
      <c r="B480" s="57" t="s">
        <v>699</v>
      </c>
      <c r="C480" s="57" t="s">
        <v>700</v>
      </c>
      <c r="D480" s="57" t="str">
        <f t="shared" si="7"/>
        <v>Kathile</v>
      </c>
      <c r="F480" s="57">
        <v>413</v>
      </c>
    </row>
    <row r="481" spans="1:6">
      <c r="A481" s="57" t="s">
        <v>708</v>
      </c>
      <c r="B481" s="57" t="s">
        <v>699</v>
      </c>
      <c r="C481" s="57" t="s">
        <v>700</v>
      </c>
      <c r="D481" s="57" t="str">
        <f t="shared" si="7"/>
        <v>Kawalakol</v>
      </c>
      <c r="F481" s="57">
        <v>414</v>
      </c>
    </row>
    <row r="482" spans="1:6">
      <c r="A482" s="57" t="s">
        <v>709</v>
      </c>
      <c r="B482" s="57" t="s">
        <v>699</v>
      </c>
      <c r="C482" s="57" t="s">
        <v>700</v>
      </c>
      <c r="D482" s="57" t="str">
        <f t="shared" si="7"/>
        <v>Lobalangit</v>
      </c>
      <c r="F482" s="57">
        <v>415</v>
      </c>
    </row>
    <row r="483" spans="1:6">
      <c r="A483" s="57" t="s">
        <v>710</v>
      </c>
      <c r="B483" s="57" t="s">
        <v>699</v>
      </c>
      <c r="C483" s="57" t="s">
        <v>700</v>
      </c>
      <c r="D483" s="57" t="str">
        <f t="shared" si="7"/>
        <v>Lodiko</v>
      </c>
      <c r="F483" s="57">
        <v>416</v>
      </c>
    </row>
    <row r="484" spans="1:6">
      <c r="A484" s="57" t="s">
        <v>711</v>
      </c>
      <c r="B484" s="57" t="s">
        <v>699</v>
      </c>
      <c r="C484" s="57" t="s">
        <v>700</v>
      </c>
      <c r="D484" s="57" t="str">
        <f t="shared" si="7"/>
        <v>Lolelia</v>
      </c>
      <c r="F484" s="57">
        <v>417</v>
      </c>
    </row>
    <row r="485" spans="1:6">
      <c r="A485" s="57" t="s">
        <v>712</v>
      </c>
      <c r="B485" s="57" t="s">
        <v>699</v>
      </c>
      <c r="C485" s="57" t="s">
        <v>700</v>
      </c>
      <c r="D485" s="57" t="str">
        <f t="shared" si="7"/>
        <v>Loyoro</v>
      </c>
      <c r="F485" s="57">
        <v>418</v>
      </c>
    </row>
    <row r="486" spans="1:6">
      <c r="A486" s="57" t="s">
        <v>713</v>
      </c>
      <c r="B486" s="57" t="s">
        <v>699</v>
      </c>
      <c r="C486" s="57" t="s">
        <v>700</v>
      </c>
      <c r="D486" s="57" t="str">
        <f t="shared" si="7"/>
        <v>Napore Karenga</v>
      </c>
      <c r="F486" s="57">
        <v>419</v>
      </c>
    </row>
    <row r="487" spans="1:6">
      <c r="A487" s="57" t="s">
        <v>714</v>
      </c>
      <c r="B487" s="57" t="s">
        <v>715</v>
      </c>
      <c r="C487" s="57" t="s">
        <v>716</v>
      </c>
      <c r="D487" s="57" t="str">
        <f t="shared" si="7"/>
        <v>Sidok</v>
      </c>
      <c r="F487" s="57">
        <v>420</v>
      </c>
    </row>
    <row r="488" spans="1:6">
      <c r="A488" s="57" t="s">
        <v>717</v>
      </c>
      <c r="B488" s="57" t="s">
        <v>715</v>
      </c>
      <c r="C488" s="57" t="s">
        <v>716</v>
      </c>
      <c r="D488" s="57" t="str">
        <f t="shared" si="7"/>
        <v>Buhara</v>
      </c>
      <c r="F488" s="57">
        <v>421</v>
      </c>
    </row>
    <row r="489" spans="1:6">
      <c r="A489" s="57" t="s">
        <v>718</v>
      </c>
      <c r="B489" s="57" t="s">
        <v>715</v>
      </c>
      <c r="C489" s="57" t="s">
        <v>719</v>
      </c>
      <c r="D489" s="57" t="str">
        <f t="shared" si="7"/>
        <v>Butanda</v>
      </c>
      <c r="F489" s="57">
        <v>422</v>
      </c>
    </row>
    <row r="490" spans="1:6">
      <c r="A490" s="57" t="s">
        <v>719</v>
      </c>
      <c r="D490" s="57" t="str">
        <f t="shared" si="7"/>
        <v>Kabale Municipality</v>
      </c>
      <c r="F490" s="57">
        <v>422</v>
      </c>
    </row>
    <row r="491" spans="1:6">
      <c r="A491" s="57" t="s">
        <v>720</v>
      </c>
      <c r="D491" s="57" t="str">
        <f t="shared" si="7"/>
        <v>town</v>
      </c>
    </row>
    <row r="492" spans="1:6">
      <c r="D492" s="57">
        <f t="shared" si="7"/>
        <v>0</v>
      </c>
      <c r="F492" s="57">
        <v>422</v>
      </c>
    </row>
    <row r="493" spans="1:6">
      <c r="A493" s="57" t="s">
        <v>721</v>
      </c>
      <c r="D493" s="57" t="str">
        <f t="shared" si="7"/>
        <v>NYABUSHENYI</v>
      </c>
      <c r="F493" s="57">
        <v>422</v>
      </c>
    </row>
    <row r="494" spans="1:6">
      <c r="A494" s="57" t="s">
        <v>722</v>
      </c>
      <c r="D494" s="57" t="str">
        <f t="shared" si="7"/>
        <v>KABALE</v>
      </c>
      <c r="F494" s="57">
        <v>422</v>
      </c>
    </row>
    <row r="495" spans="1:6">
      <c r="A495" s="57" t="s">
        <v>723</v>
      </c>
      <c r="D495" s="57" t="str">
        <f t="shared" si="7"/>
        <v>CENTRAL DIVISION</v>
      </c>
      <c r="F495" s="57">
        <v>422</v>
      </c>
    </row>
    <row r="496" spans="1:6">
      <c r="A496" s="57" t="s">
        <v>724</v>
      </c>
      <c r="B496" s="57" t="s">
        <v>715</v>
      </c>
      <c r="C496" s="57" t="s">
        <v>716</v>
      </c>
      <c r="D496" s="57" t="str">
        <f t="shared" si="7"/>
        <v>KABALE TOWN</v>
      </c>
      <c r="F496" s="57">
        <v>423</v>
      </c>
    </row>
    <row r="497" spans="1:6">
      <c r="A497" s="57" t="s">
        <v>725</v>
      </c>
      <c r="B497" s="57" t="s">
        <v>715</v>
      </c>
      <c r="C497" s="57" t="s">
        <v>716</v>
      </c>
      <c r="D497" s="57" t="str">
        <f t="shared" si="7"/>
        <v>Kaharo</v>
      </c>
      <c r="F497" s="57">
        <v>424</v>
      </c>
    </row>
    <row r="498" spans="1:6">
      <c r="A498" s="57" t="s">
        <v>726</v>
      </c>
      <c r="B498" s="57" t="s">
        <v>715</v>
      </c>
      <c r="C498" s="57" t="s">
        <v>716</v>
      </c>
      <c r="D498" s="57" t="str">
        <f t="shared" si="7"/>
        <v>Kamuganguzi</v>
      </c>
      <c r="F498" s="57">
        <v>425</v>
      </c>
    </row>
    <row r="499" spans="1:6">
      <c r="A499" s="57" t="s">
        <v>727</v>
      </c>
      <c r="D499" s="57" t="str">
        <f t="shared" si="7"/>
        <v>Katuna Town Council</v>
      </c>
      <c r="F499" s="57">
        <v>426</v>
      </c>
    </row>
    <row r="500" spans="1:6">
      <c r="A500" s="57" t="s">
        <v>728</v>
      </c>
      <c r="B500" s="57" t="s">
        <v>715</v>
      </c>
      <c r="C500" s="57" t="s">
        <v>716</v>
      </c>
      <c r="D500" s="57" t="str">
        <f t="shared" si="7"/>
        <v>BWAMA</v>
      </c>
      <c r="F500" s="57">
        <v>426</v>
      </c>
    </row>
    <row r="501" spans="1:6">
      <c r="A501" s="57" t="s">
        <v>729</v>
      </c>
      <c r="B501" s="57" t="s">
        <v>715</v>
      </c>
      <c r="C501" s="57" t="s">
        <v>716</v>
      </c>
      <c r="D501" s="57" t="str">
        <f t="shared" si="7"/>
        <v>Kitumba</v>
      </c>
      <c r="F501" s="57">
        <v>427</v>
      </c>
    </row>
    <row r="502" spans="1:6">
      <c r="A502" s="57" t="s">
        <v>730</v>
      </c>
      <c r="B502" s="57" t="s">
        <v>715</v>
      </c>
      <c r="C502" s="57" t="s">
        <v>716</v>
      </c>
      <c r="D502" s="57" t="str">
        <f t="shared" si="7"/>
        <v>Kyanamira</v>
      </c>
      <c r="F502" s="57">
        <v>428</v>
      </c>
    </row>
    <row r="503" spans="1:6">
      <c r="A503" s="57" t="s">
        <v>731</v>
      </c>
      <c r="D503" s="57" t="str">
        <f t="shared" si="7"/>
        <v>KABULA</v>
      </c>
      <c r="F503" s="57">
        <v>428</v>
      </c>
    </row>
    <row r="504" spans="1:6">
      <c r="A504" s="57" t="s">
        <v>732</v>
      </c>
      <c r="B504" s="57" t="s">
        <v>715</v>
      </c>
      <c r="C504" s="57" t="s">
        <v>716</v>
      </c>
      <c r="D504" s="57" t="str">
        <f t="shared" si="7"/>
        <v>Maziba</v>
      </c>
      <c r="F504" s="57">
        <v>429</v>
      </c>
    </row>
    <row r="505" spans="1:6">
      <c r="A505" s="57" t="s">
        <v>733</v>
      </c>
      <c r="B505" s="57" t="s">
        <v>715</v>
      </c>
      <c r="C505" s="57" t="s">
        <v>716</v>
      </c>
      <c r="D505" s="57" t="str">
        <f t="shared" si="7"/>
        <v>Rubaya-Kabale</v>
      </c>
      <c r="F505" s="57">
        <v>430</v>
      </c>
    </row>
    <row r="506" spans="1:6">
      <c r="A506" s="57" t="s">
        <v>734</v>
      </c>
      <c r="B506" s="57" t="s">
        <v>735</v>
      </c>
      <c r="C506" s="57" t="s">
        <v>736</v>
      </c>
      <c r="D506" s="57" t="str">
        <f t="shared" si="7"/>
        <v>Ryakirimira Town Council</v>
      </c>
      <c r="F506" s="57">
        <v>431</v>
      </c>
    </row>
    <row r="507" spans="1:6">
      <c r="A507" s="57" t="s">
        <v>737</v>
      </c>
      <c r="B507" s="57" t="s">
        <v>735</v>
      </c>
      <c r="C507" s="57" t="s">
        <v>736</v>
      </c>
      <c r="D507" s="57" t="str">
        <f t="shared" si="7"/>
        <v>Bukuuku</v>
      </c>
      <c r="F507" s="57">
        <v>432</v>
      </c>
    </row>
    <row r="508" spans="1:6">
      <c r="A508" s="57" t="s">
        <v>738</v>
      </c>
      <c r="D508" s="57" t="str">
        <f t="shared" si="7"/>
        <v>Busoro</v>
      </c>
      <c r="F508" s="57">
        <v>433</v>
      </c>
    </row>
    <row r="509" spans="1:6">
      <c r="A509" s="57" t="s">
        <v>739</v>
      </c>
      <c r="D509" s="57" t="str">
        <f t="shared" si="7"/>
        <v>Fort</v>
      </c>
      <c r="F509" s="57">
        <v>433</v>
      </c>
    </row>
    <row r="510" spans="1:6">
      <c r="A510" s="57" t="s">
        <v>740</v>
      </c>
      <c r="B510" s="57" t="s">
        <v>735</v>
      </c>
      <c r="C510" s="57" t="s">
        <v>741</v>
      </c>
      <c r="D510" s="57" t="str">
        <f t="shared" si="7"/>
        <v>FORT PORTAL</v>
      </c>
      <c r="F510" s="57">
        <v>433</v>
      </c>
    </row>
    <row r="511" spans="1:6">
      <c r="A511" s="57" t="s">
        <v>741</v>
      </c>
      <c r="D511" s="57" t="str">
        <f t="shared" si="7"/>
        <v>Fort Portal Municipality</v>
      </c>
      <c r="F511" s="57">
        <v>433</v>
      </c>
    </row>
    <row r="512" spans="1:6">
      <c r="A512" s="57" t="s">
        <v>742</v>
      </c>
      <c r="B512" s="57" t="s">
        <v>735</v>
      </c>
      <c r="C512" s="57" t="s">
        <v>736</v>
      </c>
      <c r="D512" s="57" t="str">
        <f t="shared" si="7"/>
        <v>FORT PORTAL TOWN</v>
      </c>
      <c r="F512" s="57">
        <v>434</v>
      </c>
    </row>
    <row r="513" spans="1:6">
      <c r="A513" s="57" t="s">
        <v>743</v>
      </c>
      <c r="D513" s="57" t="str">
        <f t="shared" si="7"/>
        <v>Hakibaale</v>
      </c>
      <c r="F513" s="57">
        <v>435</v>
      </c>
    </row>
    <row r="514" spans="1:6">
      <c r="A514" s="57" t="s">
        <v>744</v>
      </c>
      <c r="B514" s="57" t="s">
        <v>735</v>
      </c>
      <c r="C514" s="57" t="s">
        <v>736</v>
      </c>
      <c r="D514" s="57" t="str">
        <f t="shared" si="7"/>
        <v>SOUTH DIVISION</v>
      </c>
      <c r="F514" s="57">
        <v>435</v>
      </c>
    </row>
    <row r="515" spans="1:6">
      <c r="A515" s="57" t="s">
        <v>745</v>
      </c>
      <c r="B515" s="57" t="s">
        <v>735</v>
      </c>
      <c r="C515" s="57" t="s">
        <v>736</v>
      </c>
      <c r="D515" s="57" t="str">
        <f t="shared" ref="D515:D578" si="8">A515</f>
        <v>Karago Town Council</v>
      </c>
      <c r="F515" s="57">
        <v>436</v>
      </c>
    </row>
    <row r="516" spans="1:6">
      <c r="A516" s="57" t="s">
        <v>746</v>
      </c>
      <c r="B516" s="57" t="s">
        <v>735</v>
      </c>
      <c r="C516" s="57" t="s">
        <v>736</v>
      </c>
      <c r="D516" s="57" t="str">
        <f t="shared" si="8"/>
        <v>Karambi-Kabarole</v>
      </c>
      <c r="F516" s="57">
        <v>437</v>
      </c>
    </row>
    <row r="517" spans="1:6">
      <c r="A517" s="57" t="s">
        <v>747</v>
      </c>
      <c r="B517" s="57" t="s">
        <v>735</v>
      </c>
      <c r="C517" s="57" t="s">
        <v>736</v>
      </c>
      <c r="D517" s="57" t="str">
        <f t="shared" si="8"/>
        <v>Karangura</v>
      </c>
      <c r="F517" s="57">
        <v>438</v>
      </c>
    </row>
    <row r="518" spans="1:6">
      <c r="A518" s="57" t="s">
        <v>748</v>
      </c>
      <c r="B518" s="57" t="s">
        <v>735</v>
      </c>
      <c r="C518" s="57" t="s">
        <v>736</v>
      </c>
      <c r="D518" s="57" t="str">
        <f t="shared" si="8"/>
        <v>Kasenda</v>
      </c>
      <c r="F518" s="57">
        <v>439</v>
      </c>
    </row>
    <row r="519" spans="1:6">
      <c r="A519" s="57" t="s">
        <v>749</v>
      </c>
      <c r="B519" s="57" t="s">
        <v>735</v>
      </c>
      <c r="C519" s="57" t="s">
        <v>736</v>
      </c>
      <c r="D519" s="57" t="str">
        <f t="shared" si="8"/>
        <v>Kicwamba</v>
      </c>
      <c r="F519" s="57">
        <v>440</v>
      </c>
    </row>
    <row r="520" spans="1:6">
      <c r="A520" s="57" t="s">
        <v>750</v>
      </c>
      <c r="B520" s="57" t="s">
        <v>735</v>
      </c>
      <c r="C520" s="57" t="s">
        <v>736</v>
      </c>
      <c r="D520" s="57" t="str">
        <f t="shared" si="8"/>
        <v>Kijura Town Council</v>
      </c>
      <c r="F520" s="57">
        <v>441</v>
      </c>
    </row>
    <row r="521" spans="1:6">
      <c r="A521" s="57" t="s">
        <v>751</v>
      </c>
      <c r="B521" s="57" t="s">
        <v>735</v>
      </c>
      <c r="C521" s="57" t="s">
        <v>736</v>
      </c>
      <c r="D521" s="57" t="str">
        <f t="shared" si="8"/>
        <v>Kiko Town Council</v>
      </c>
      <c r="F521" s="57">
        <v>442</v>
      </c>
    </row>
    <row r="522" spans="1:6">
      <c r="A522" s="57" t="s">
        <v>752</v>
      </c>
      <c r="B522" s="57" t="s">
        <v>735</v>
      </c>
      <c r="C522" s="57" t="s">
        <v>736</v>
      </c>
      <c r="D522" s="57" t="str">
        <f t="shared" si="8"/>
        <v>Mugusu</v>
      </c>
      <c r="F522" s="57">
        <v>443</v>
      </c>
    </row>
    <row r="523" spans="1:6">
      <c r="A523" s="57" t="s">
        <v>753</v>
      </c>
      <c r="D523" s="57" t="str">
        <f t="shared" si="8"/>
        <v>KABANGO</v>
      </c>
      <c r="F523" s="57">
        <v>443</v>
      </c>
    </row>
    <row r="524" spans="1:6">
      <c r="A524" s="57" t="s">
        <v>754</v>
      </c>
      <c r="B524" s="57" t="s">
        <v>735</v>
      </c>
      <c r="C524" s="57" t="s">
        <v>736</v>
      </c>
      <c r="D524" s="57" t="str">
        <f t="shared" si="8"/>
        <v>Mugusu Town Council</v>
      </c>
      <c r="F524" s="57">
        <v>444</v>
      </c>
    </row>
    <row r="525" spans="1:6">
      <c r="A525" s="57" t="s">
        <v>755</v>
      </c>
      <c r="B525" s="57" t="s">
        <v>756</v>
      </c>
      <c r="C525" s="57" t="s">
        <v>756</v>
      </c>
      <c r="D525" s="57" t="str">
        <f t="shared" si="8"/>
        <v>Ruteete-Kabarole</v>
      </c>
      <c r="F525" s="57">
        <v>445</v>
      </c>
    </row>
    <row r="526" spans="1:6">
      <c r="A526" s="57" t="s">
        <v>757</v>
      </c>
      <c r="B526" s="57" t="s">
        <v>756</v>
      </c>
      <c r="C526" s="57" t="s">
        <v>758</v>
      </c>
      <c r="D526" s="57" t="str">
        <f t="shared" si="8"/>
        <v>Alwa</v>
      </c>
      <c r="F526" s="57">
        <v>446</v>
      </c>
    </row>
    <row r="527" spans="1:6">
      <c r="A527" s="57" t="s">
        <v>759</v>
      </c>
      <c r="B527" s="57" t="s">
        <v>756</v>
      </c>
      <c r="C527" s="57" t="s">
        <v>758</v>
      </c>
      <c r="D527" s="57" t="str">
        <f t="shared" si="8"/>
        <v>Anyara</v>
      </c>
      <c r="F527" s="57">
        <v>447</v>
      </c>
    </row>
    <row r="528" spans="1:6">
      <c r="A528" s="57" t="s">
        <v>760</v>
      </c>
      <c r="B528" s="57" t="s">
        <v>756</v>
      </c>
      <c r="C528" s="57" t="s">
        <v>756</v>
      </c>
      <c r="D528" s="57" t="str">
        <f t="shared" si="8"/>
        <v>Apapai</v>
      </c>
      <c r="F528" s="57">
        <v>448</v>
      </c>
    </row>
    <row r="529" spans="1:6">
      <c r="A529" s="57" t="s">
        <v>761</v>
      </c>
      <c r="B529" s="57" t="s">
        <v>756</v>
      </c>
      <c r="C529" s="57" t="s">
        <v>758</v>
      </c>
      <c r="D529" s="57" t="str">
        <f t="shared" si="8"/>
        <v>Aperkira</v>
      </c>
      <c r="F529" s="57">
        <v>449</v>
      </c>
    </row>
    <row r="530" spans="1:6">
      <c r="A530" s="57" t="s">
        <v>762</v>
      </c>
      <c r="B530" s="57" t="s">
        <v>756</v>
      </c>
      <c r="C530" s="57" t="s">
        <v>756</v>
      </c>
      <c r="D530" s="57" t="str">
        <f t="shared" si="8"/>
        <v>Bululu</v>
      </c>
      <c r="F530" s="57">
        <v>450</v>
      </c>
    </row>
    <row r="531" spans="1:6">
      <c r="A531" s="57" t="s">
        <v>756</v>
      </c>
      <c r="B531" s="57" t="s">
        <v>756</v>
      </c>
      <c r="C531" s="57" t="s">
        <v>756</v>
      </c>
      <c r="D531" s="57" t="str">
        <f t="shared" si="8"/>
        <v>Kaberamaido</v>
      </c>
      <c r="F531" s="57">
        <v>451</v>
      </c>
    </row>
    <row r="532" spans="1:6">
      <c r="A532" s="57" t="s">
        <v>763</v>
      </c>
      <c r="B532" s="57" t="s">
        <v>756</v>
      </c>
      <c r="C532" s="57" t="s">
        <v>758</v>
      </c>
      <c r="D532" s="57" t="str">
        <f t="shared" si="8"/>
        <v>Kaberamaido Town Council</v>
      </c>
      <c r="F532" s="57">
        <v>452</v>
      </c>
    </row>
    <row r="533" spans="1:6">
      <c r="A533" s="57" t="s">
        <v>764</v>
      </c>
      <c r="B533" s="57" t="s">
        <v>756</v>
      </c>
      <c r="C533" s="57" t="s">
        <v>758</v>
      </c>
      <c r="D533" s="57" t="str">
        <f t="shared" si="8"/>
        <v>Kakure</v>
      </c>
      <c r="F533" s="57">
        <v>453</v>
      </c>
    </row>
    <row r="534" spans="1:6">
      <c r="A534" s="57" t="s">
        <v>758</v>
      </c>
      <c r="B534" s="57" t="s">
        <v>756</v>
      </c>
      <c r="C534" s="57" t="s">
        <v>756</v>
      </c>
      <c r="D534" s="57" t="str">
        <f t="shared" si="8"/>
        <v>Kalaki</v>
      </c>
      <c r="F534" s="57">
        <v>454</v>
      </c>
    </row>
    <row r="535" spans="1:6">
      <c r="A535" s="57" t="s">
        <v>765</v>
      </c>
      <c r="B535" s="57" t="s">
        <v>756</v>
      </c>
      <c r="C535" s="57" t="s">
        <v>756</v>
      </c>
      <c r="D535" s="57" t="str">
        <f t="shared" si="8"/>
        <v>Kobulubulu</v>
      </c>
      <c r="F535" s="57">
        <v>455</v>
      </c>
    </row>
    <row r="536" spans="1:6">
      <c r="A536" s="57" t="s">
        <v>766</v>
      </c>
      <c r="B536" s="57" t="s">
        <v>756</v>
      </c>
      <c r="C536" s="57" t="s">
        <v>758</v>
      </c>
      <c r="D536" s="57" t="str">
        <f t="shared" si="8"/>
        <v>Ochero</v>
      </c>
      <c r="F536" s="57">
        <v>456</v>
      </c>
    </row>
    <row r="537" spans="1:6">
      <c r="A537" s="57" t="s">
        <v>767</v>
      </c>
      <c r="B537" s="57" t="s">
        <v>768</v>
      </c>
      <c r="C537" s="57" t="s">
        <v>769</v>
      </c>
      <c r="D537" s="57" t="str">
        <f t="shared" si="8"/>
        <v>Otuboi</v>
      </c>
      <c r="F537" s="57">
        <v>457</v>
      </c>
    </row>
    <row r="538" spans="1:6">
      <c r="A538" s="57" t="s">
        <v>770</v>
      </c>
      <c r="B538" s="57" t="s">
        <v>768</v>
      </c>
      <c r="C538" s="57" t="s">
        <v>769</v>
      </c>
      <c r="D538" s="57" t="str">
        <f t="shared" si="8"/>
        <v>Burora</v>
      </c>
      <c r="F538" s="57">
        <v>458</v>
      </c>
    </row>
    <row r="539" spans="1:6">
      <c r="A539" s="57" t="s">
        <v>771</v>
      </c>
      <c r="B539" s="57" t="s">
        <v>768</v>
      </c>
      <c r="C539" s="57" t="s">
        <v>769</v>
      </c>
      <c r="D539" s="57" t="str">
        <f t="shared" si="8"/>
        <v>Bwikara</v>
      </c>
      <c r="F539" s="57">
        <v>459</v>
      </c>
    </row>
    <row r="540" spans="1:6">
      <c r="A540" s="57" t="s">
        <v>772</v>
      </c>
      <c r="B540" s="57" t="s">
        <v>768</v>
      </c>
      <c r="C540" s="57" t="s">
        <v>769</v>
      </c>
      <c r="D540" s="57" t="str">
        <f t="shared" si="8"/>
        <v>Kabamba</v>
      </c>
      <c r="F540" s="57">
        <v>460</v>
      </c>
    </row>
    <row r="541" spans="1:6">
      <c r="A541" s="57" t="s">
        <v>768</v>
      </c>
      <c r="B541" s="57" t="s">
        <v>768</v>
      </c>
      <c r="C541" s="57" t="s">
        <v>769</v>
      </c>
      <c r="D541" s="57" t="str">
        <f t="shared" si="8"/>
        <v>Kagadi</v>
      </c>
      <c r="F541" s="57">
        <v>461</v>
      </c>
    </row>
    <row r="542" spans="1:6">
      <c r="A542" s="57" t="s">
        <v>773</v>
      </c>
      <c r="B542" s="57" t="s">
        <v>768</v>
      </c>
      <c r="C542" s="57" t="s">
        <v>769</v>
      </c>
      <c r="D542" s="57" t="str">
        <f t="shared" si="8"/>
        <v>Kagadi Town Council</v>
      </c>
      <c r="F542" s="57">
        <v>462</v>
      </c>
    </row>
    <row r="543" spans="1:6">
      <c r="A543" s="57" t="s">
        <v>774</v>
      </c>
      <c r="B543" s="57" t="s">
        <v>768</v>
      </c>
      <c r="C543" s="57" t="s">
        <v>769</v>
      </c>
      <c r="D543" s="57" t="str">
        <f t="shared" si="8"/>
        <v>Kiryanga</v>
      </c>
      <c r="F543" s="57">
        <v>463</v>
      </c>
    </row>
    <row r="544" spans="1:6">
      <c r="A544" s="57" t="s">
        <v>775</v>
      </c>
      <c r="B544" s="57" t="s">
        <v>768</v>
      </c>
      <c r="C544" s="57" t="s">
        <v>769</v>
      </c>
      <c r="D544" s="57" t="str">
        <f t="shared" si="8"/>
        <v>Kyakabadiima</v>
      </c>
      <c r="F544" s="57">
        <v>464</v>
      </c>
    </row>
    <row r="545" spans="1:6">
      <c r="A545" s="57" t="s">
        <v>776</v>
      </c>
      <c r="B545" s="57" t="s">
        <v>768</v>
      </c>
      <c r="C545" s="57" t="s">
        <v>769</v>
      </c>
      <c r="D545" s="57" t="str">
        <f t="shared" si="8"/>
        <v>Kyanaisoke</v>
      </c>
      <c r="F545" s="57">
        <v>465</v>
      </c>
    </row>
    <row r="546" spans="1:6">
      <c r="A546" s="57" t="s">
        <v>777</v>
      </c>
      <c r="B546" s="57" t="s">
        <v>768</v>
      </c>
      <c r="C546" s="57" t="s">
        <v>769</v>
      </c>
      <c r="D546" s="57" t="str">
        <f t="shared" si="8"/>
        <v>Kyaterekera</v>
      </c>
      <c r="F546" s="57">
        <v>466</v>
      </c>
    </row>
    <row r="547" spans="1:6">
      <c r="A547" s="57" t="s">
        <v>778</v>
      </c>
      <c r="B547" s="57" t="s">
        <v>768</v>
      </c>
      <c r="C547" s="57" t="s">
        <v>769</v>
      </c>
      <c r="D547" s="57" t="str">
        <f t="shared" si="8"/>
        <v>Kyenzige</v>
      </c>
      <c r="F547" s="57">
        <v>467</v>
      </c>
    </row>
    <row r="548" spans="1:6">
      <c r="A548" s="57" t="s">
        <v>779</v>
      </c>
      <c r="B548" s="57" t="s">
        <v>768</v>
      </c>
      <c r="C548" s="57" t="s">
        <v>769</v>
      </c>
      <c r="D548" s="57" t="str">
        <f t="shared" si="8"/>
        <v>Mabaale</v>
      </c>
      <c r="F548" s="57">
        <v>468</v>
      </c>
    </row>
    <row r="549" spans="1:6">
      <c r="A549" s="57" t="s">
        <v>780</v>
      </c>
      <c r="B549" s="57" t="s">
        <v>768</v>
      </c>
      <c r="C549" s="57" t="s">
        <v>769</v>
      </c>
      <c r="D549" s="57" t="str">
        <f t="shared" si="8"/>
        <v>Mpeefu</v>
      </c>
      <c r="F549" s="57">
        <v>469</v>
      </c>
    </row>
    <row r="550" spans="1:6">
      <c r="A550" s="57" t="s">
        <v>781</v>
      </c>
      <c r="B550" s="57" t="s">
        <v>768</v>
      </c>
      <c r="C550" s="57" t="s">
        <v>769</v>
      </c>
      <c r="D550" s="57" t="str">
        <f t="shared" si="8"/>
        <v>Muhorro</v>
      </c>
      <c r="F550" s="57">
        <v>470</v>
      </c>
    </row>
    <row r="551" spans="1:6">
      <c r="A551" s="57" t="s">
        <v>782</v>
      </c>
      <c r="B551" s="57" t="s">
        <v>768</v>
      </c>
      <c r="C551" s="57" t="s">
        <v>769</v>
      </c>
      <c r="D551" s="57" t="str">
        <f t="shared" si="8"/>
        <v>Muhorro Town Council</v>
      </c>
      <c r="F551" s="57">
        <v>471</v>
      </c>
    </row>
    <row r="552" spans="1:6">
      <c r="A552" s="57" t="s">
        <v>783</v>
      </c>
      <c r="B552" s="57" t="s">
        <v>768</v>
      </c>
      <c r="C552" s="57" t="s">
        <v>769</v>
      </c>
      <c r="D552" s="57" t="str">
        <f t="shared" si="8"/>
        <v>Ndaiga</v>
      </c>
      <c r="F552" s="57">
        <v>472</v>
      </c>
    </row>
    <row r="553" spans="1:6">
      <c r="A553" s="57" t="s">
        <v>784</v>
      </c>
      <c r="B553" s="57" t="s">
        <v>768</v>
      </c>
      <c r="C553" s="57" t="s">
        <v>769</v>
      </c>
      <c r="D553" s="57" t="str">
        <f t="shared" si="8"/>
        <v>Paacwa</v>
      </c>
      <c r="F553" s="57">
        <v>473</v>
      </c>
    </row>
    <row r="554" spans="1:6">
      <c r="A554" s="57" t="s">
        <v>785</v>
      </c>
      <c r="B554" s="57" t="s">
        <v>768</v>
      </c>
      <c r="C554" s="57" t="s">
        <v>769</v>
      </c>
      <c r="D554" s="57" t="str">
        <f t="shared" si="8"/>
        <v>Rugashari</v>
      </c>
      <c r="F554" s="57">
        <v>474</v>
      </c>
    </row>
    <row r="555" spans="1:6">
      <c r="A555" s="57" t="s">
        <v>786</v>
      </c>
      <c r="B555" s="57" t="s">
        <v>787</v>
      </c>
      <c r="C555" s="57" t="s">
        <v>788</v>
      </c>
      <c r="D555" s="57" t="str">
        <f t="shared" si="8"/>
        <v>Ruteete-Kagadi</v>
      </c>
      <c r="F555" s="57">
        <v>475</v>
      </c>
    </row>
    <row r="556" spans="1:6">
      <c r="A556" s="57" t="s">
        <v>789</v>
      </c>
      <c r="B556" s="57" t="s">
        <v>787</v>
      </c>
      <c r="C556" s="57" t="s">
        <v>788</v>
      </c>
      <c r="D556" s="57" t="str">
        <f t="shared" si="8"/>
        <v>Birembo</v>
      </c>
      <c r="F556" s="57">
        <v>476</v>
      </c>
    </row>
    <row r="557" spans="1:6">
      <c r="A557" s="57" t="s">
        <v>790</v>
      </c>
      <c r="B557" s="57" t="s">
        <v>787</v>
      </c>
      <c r="C557" s="57" t="s">
        <v>788</v>
      </c>
      <c r="D557" s="57" t="str">
        <f t="shared" si="8"/>
        <v>Bwanswa</v>
      </c>
      <c r="F557" s="57">
        <v>477</v>
      </c>
    </row>
    <row r="558" spans="1:6">
      <c r="A558" s="57" t="s">
        <v>791</v>
      </c>
      <c r="D558" s="57" t="str">
        <f t="shared" si="8"/>
        <v>Kakindo</v>
      </c>
      <c r="F558" s="57">
        <v>478</v>
      </c>
    </row>
    <row r="559" spans="1:6">
      <c r="A559" s="57" t="s">
        <v>792</v>
      </c>
      <c r="B559" s="57" t="s">
        <v>787</v>
      </c>
      <c r="C559" s="57" t="s">
        <v>788</v>
      </c>
      <c r="D559" s="57" t="str">
        <f t="shared" si="8"/>
        <v>KAKUMIRO</v>
      </c>
      <c r="F559" s="57">
        <v>478</v>
      </c>
    </row>
    <row r="560" spans="1:6">
      <c r="A560" s="57" t="s">
        <v>793</v>
      </c>
      <c r="B560" s="57" t="s">
        <v>787</v>
      </c>
      <c r="C560" s="57" t="s">
        <v>788</v>
      </c>
      <c r="D560" s="57" t="str">
        <f t="shared" si="8"/>
        <v>Kakumiro Town Council</v>
      </c>
      <c r="F560" s="57">
        <v>479</v>
      </c>
    </row>
    <row r="561" spans="1:6">
      <c r="A561" s="57" t="s">
        <v>794</v>
      </c>
      <c r="B561" s="57" t="s">
        <v>787</v>
      </c>
      <c r="C561" s="57" t="s">
        <v>788</v>
      </c>
      <c r="D561" s="57" t="str">
        <f t="shared" si="8"/>
        <v>Kasambya-Kakumiro</v>
      </c>
      <c r="F561" s="57">
        <v>480</v>
      </c>
    </row>
    <row r="562" spans="1:6">
      <c r="A562" s="57" t="s">
        <v>795</v>
      </c>
      <c r="B562" s="57" t="s">
        <v>787</v>
      </c>
      <c r="C562" s="57" t="s">
        <v>788</v>
      </c>
      <c r="D562" s="57" t="str">
        <f t="shared" si="8"/>
        <v>Kikwaya</v>
      </c>
      <c r="F562" s="57">
        <v>481</v>
      </c>
    </row>
    <row r="563" spans="1:6">
      <c r="A563" s="57" t="s">
        <v>796</v>
      </c>
      <c r="B563" s="57" t="s">
        <v>787</v>
      </c>
      <c r="C563" s="57" t="s">
        <v>788</v>
      </c>
      <c r="D563" s="57" t="str">
        <f t="shared" si="8"/>
        <v>Kisiita</v>
      </c>
      <c r="F563" s="57">
        <v>482</v>
      </c>
    </row>
    <row r="564" spans="1:6">
      <c r="A564" s="57" t="s">
        <v>797</v>
      </c>
      <c r="B564" s="57" t="s">
        <v>787</v>
      </c>
      <c r="C564" s="57" t="s">
        <v>788</v>
      </c>
      <c r="D564" s="57" t="str">
        <f t="shared" si="8"/>
        <v>Kitaihuka</v>
      </c>
      <c r="F564" s="57">
        <v>483</v>
      </c>
    </row>
    <row r="565" spans="1:6">
      <c r="A565" s="57" t="s">
        <v>798</v>
      </c>
      <c r="B565" s="57" t="s">
        <v>787</v>
      </c>
      <c r="C565" s="57" t="s">
        <v>788</v>
      </c>
      <c r="D565" s="57" t="str">
        <f t="shared" si="8"/>
        <v>Mpasaana</v>
      </c>
      <c r="F565" s="57">
        <v>484</v>
      </c>
    </row>
    <row r="566" spans="1:6">
      <c r="A566" s="57" t="s">
        <v>799</v>
      </c>
      <c r="B566" s="57" t="s">
        <v>787</v>
      </c>
      <c r="C566" s="57" t="s">
        <v>788</v>
      </c>
      <c r="D566" s="57" t="str">
        <f t="shared" si="8"/>
        <v>Nalweyo</v>
      </c>
      <c r="F566" s="57">
        <v>485</v>
      </c>
    </row>
    <row r="567" spans="1:6">
      <c r="A567" s="57" t="s">
        <v>800</v>
      </c>
      <c r="B567" s="57" t="s">
        <v>801</v>
      </c>
      <c r="C567" s="57" t="s">
        <v>802</v>
      </c>
      <c r="D567" s="57" t="str">
        <f t="shared" si="8"/>
        <v>Nkooko</v>
      </c>
      <c r="F567" s="57">
        <v>486</v>
      </c>
    </row>
    <row r="568" spans="1:6">
      <c r="A568" s="57" t="s">
        <v>803</v>
      </c>
      <c r="B568" s="57" t="s">
        <v>801</v>
      </c>
      <c r="C568" s="57" t="s">
        <v>802</v>
      </c>
      <c r="D568" s="57" t="str">
        <f t="shared" si="8"/>
        <v>Bubeke</v>
      </c>
      <c r="F568" s="57">
        <v>487</v>
      </c>
    </row>
    <row r="569" spans="1:6">
      <c r="A569" s="57" t="s">
        <v>804</v>
      </c>
      <c r="B569" s="57" t="s">
        <v>801</v>
      </c>
      <c r="C569" s="57" t="s">
        <v>805</v>
      </c>
      <c r="D569" s="57" t="str">
        <f t="shared" si="8"/>
        <v>Bufumira</v>
      </c>
      <c r="F569" s="57">
        <v>488</v>
      </c>
    </row>
    <row r="570" spans="1:6">
      <c r="A570" s="57" t="s">
        <v>805</v>
      </c>
      <c r="D570" s="57" t="str">
        <f t="shared" si="8"/>
        <v>Bujumba</v>
      </c>
      <c r="F570" s="57">
        <v>489</v>
      </c>
    </row>
    <row r="571" spans="1:6">
      <c r="A571" s="57" t="s">
        <v>806</v>
      </c>
      <c r="B571" s="57" t="s">
        <v>801</v>
      </c>
      <c r="C571" s="57" t="s">
        <v>805</v>
      </c>
      <c r="D571" s="57" t="str">
        <f t="shared" si="8"/>
        <v>KALANGALA</v>
      </c>
      <c r="F571" s="57">
        <v>489</v>
      </c>
    </row>
    <row r="572" spans="1:6">
      <c r="A572" s="57" t="s">
        <v>807</v>
      </c>
      <c r="B572" s="57" t="s">
        <v>801</v>
      </c>
      <c r="C572" s="57" t="s">
        <v>802</v>
      </c>
      <c r="D572" s="57" t="str">
        <f t="shared" si="8"/>
        <v>Kalangala Town Council</v>
      </c>
      <c r="F572" s="57">
        <v>490</v>
      </c>
    </row>
    <row r="573" spans="1:6">
      <c r="A573" s="57" t="s">
        <v>802</v>
      </c>
      <c r="B573" s="57" t="s">
        <v>801</v>
      </c>
      <c r="C573" s="57" t="s">
        <v>802</v>
      </c>
      <c r="D573" s="57" t="str">
        <f t="shared" si="8"/>
        <v>Kyamuswa</v>
      </c>
      <c r="F573" s="57">
        <v>491</v>
      </c>
    </row>
    <row r="574" spans="1:6">
      <c r="A574" s="57" t="s">
        <v>808</v>
      </c>
      <c r="B574" s="57" t="s">
        <v>801</v>
      </c>
      <c r="C574" s="57" t="s">
        <v>805</v>
      </c>
      <c r="D574" s="57" t="str">
        <f t="shared" si="8"/>
        <v>Mazinga</v>
      </c>
      <c r="F574" s="57">
        <v>492</v>
      </c>
    </row>
    <row r="575" spans="1:6">
      <c r="A575" s="57" t="s">
        <v>809</v>
      </c>
      <c r="B575" s="57" t="s">
        <v>810</v>
      </c>
      <c r="C575" s="57" t="s">
        <v>643</v>
      </c>
      <c r="D575" s="57" t="str">
        <f t="shared" si="8"/>
        <v>Mugoye</v>
      </c>
      <c r="F575" s="57">
        <v>493</v>
      </c>
    </row>
    <row r="576" spans="1:6">
      <c r="A576" s="57" t="s">
        <v>811</v>
      </c>
      <c r="B576" s="57" t="s">
        <v>810</v>
      </c>
      <c r="C576" s="57" t="s">
        <v>643</v>
      </c>
      <c r="D576" s="57" t="str">
        <f t="shared" si="8"/>
        <v>Budomero</v>
      </c>
      <c r="F576" s="57">
        <v>494</v>
      </c>
    </row>
    <row r="577" spans="1:6">
      <c r="A577" s="57" t="s">
        <v>812</v>
      </c>
      <c r="B577" s="57" t="s">
        <v>810</v>
      </c>
      <c r="C577" s="57" t="s">
        <v>643</v>
      </c>
      <c r="D577" s="57" t="str">
        <f t="shared" si="8"/>
        <v>Bukamba</v>
      </c>
      <c r="F577" s="57">
        <v>495</v>
      </c>
    </row>
    <row r="578" spans="1:6">
      <c r="A578" s="57" t="s">
        <v>813</v>
      </c>
      <c r="B578" s="57" t="s">
        <v>810</v>
      </c>
      <c r="C578" s="57" t="s">
        <v>643</v>
      </c>
      <c r="D578" s="57" t="str">
        <f t="shared" si="8"/>
        <v>Bumanya</v>
      </c>
      <c r="F578" s="57">
        <v>496</v>
      </c>
    </row>
    <row r="579" spans="1:6">
      <c r="A579" s="57" t="s">
        <v>814</v>
      </c>
      <c r="B579" s="57" t="s">
        <v>810</v>
      </c>
      <c r="C579" s="57" t="s">
        <v>643</v>
      </c>
      <c r="D579" s="57" t="str">
        <f t="shared" ref="D579:D642" si="9">A579</f>
        <v>Buyinda</v>
      </c>
      <c r="F579" s="57">
        <v>497</v>
      </c>
    </row>
    <row r="580" spans="1:6">
      <c r="A580" s="57" t="s">
        <v>815</v>
      </c>
      <c r="B580" s="57" t="s">
        <v>810</v>
      </c>
      <c r="C580" s="57" t="s">
        <v>643</v>
      </c>
      <c r="D580" s="57" t="str">
        <f t="shared" si="9"/>
        <v>Gadumire</v>
      </c>
      <c r="F580" s="57">
        <v>498</v>
      </c>
    </row>
    <row r="581" spans="1:6">
      <c r="A581" s="57" t="s">
        <v>816</v>
      </c>
      <c r="B581" s="57" t="s">
        <v>810</v>
      </c>
      <c r="C581" s="57" t="s">
        <v>643</v>
      </c>
      <c r="D581" s="57" t="str">
        <f t="shared" si="9"/>
        <v>Kaliro Town Council</v>
      </c>
      <c r="F581" s="57">
        <v>499</v>
      </c>
    </row>
    <row r="582" spans="1:6">
      <c r="A582" s="57" t="s">
        <v>817</v>
      </c>
      <c r="B582" s="57" t="s">
        <v>810</v>
      </c>
      <c r="C582" s="57" t="s">
        <v>643</v>
      </c>
      <c r="D582" s="57" t="str">
        <f t="shared" si="9"/>
        <v>Kasokwe</v>
      </c>
      <c r="F582" s="57">
        <v>500</v>
      </c>
    </row>
    <row r="583" spans="1:6">
      <c r="A583" s="57" t="s">
        <v>818</v>
      </c>
      <c r="B583" s="57" t="s">
        <v>810</v>
      </c>
      <c r="C583" s="57" t="s">
        <v>643</v>
      </c>
      <c r="D583" s="57" t="str">
        <f t="shared" si="9"/>
        <v>Kisinda</v>
      </c>
      <c r="F583" s="57">
        <v>501</v>
      </c>
    </row>
    <row r="584" spans="1:6">
      <c r="A584" s="57" t="s">
        <v>819</v>
      </c>
      <c r="B584" s="57" t="s">
        <v>810</v>
      </c>
      <c r="C584" s="57" t="s">
        <v>643</v>
      </c>
      <c r="D584" s="57" t="str">
        <f t="shared" si="9"/>
        <v>Namugongo-Kaliro</v>
      </c>
      <c r="F584" s="57">
        <v>502</v>
      </c>
    </row>
    <row r="585" spans="1:6">
      <c r="A585" s="57" t="s">
        <v>820</v>
      </c>
      <c r="B585" s="57" t="s">
        <v>810</v>
      </c>
      <c r="C585" s="57" t="s">
        <v>643</v>
      </c>
      <c r="D585" s="57" t="str">
        <f t="shared" si="9"/>
        <v>Namwiwa</v>
      </c>
      <c r="F585" s="57">
        <v>503</v>
      </c>
    </row>
    <row r="586" spans="1:6">
      <c r="A586" s="57" t="s">
        <v>821</v>
      </c>
      <c r="B586" s="57" t="s">
        <v>810</v>
      </c>
      <c r="C586" s="57" t="s">
        <v>643</v>
      </c>
      <c r="D586" s="57" t="str">
        <f t="shared" si="9"/>
        <v>Nansololo</v>
      </c>
      <c r="F586" s="57">
        <v>504</v>
      </c>
    </row>
    <row r="587" spans="1:6">
      <c r="A587" s="57" t="s">
        <v>822</v>
      </c>
      <c r="B587" s="57" t="s">
        <v>823</v>
      </c>
      <c r="C587" s="57" t="s">
        <v>823</v>
      </c>
      <c r="D587" s="57" t="str">
        <f t="shared" si="9"/>
        <v>Nawaikoke</v>
      </c>
      <c r="F587" s="57">
        <v>505</v>
      </c>
    </row>
    <row r="588" spans="1:6">
      <c r="A588" s="57" t="s">
        <v>824</v>
      </c>
      <c r="D588" s="57" t="str">
        <f t="shared" si="9"/>
        <v>Bukulula</v>
      </c>
      <c r="F588" s="57">
        <v>506</v>
      </c>
    </row>
    <row r="589" spans="1:6">
      <c r="A589" s="57" t="s">
        <v>825</v>
      </c>
      <c r="D589" s="57" t="str">
        <f t="shared" si="9"/>
        <v>VILLA MARIA</v>
      </c>
      <c r="F589" s="57">
        <v>506</v>
      </c>
    </row>
    <row r="590" spans="1:6">
      <c r="A590" s="57" t="s">
        <v>826</v>
      </c>
      <c r="B590" s="57" t="s">
        <v>823</v>
      </c>
      <c r="C590" s="57" t="s">
        <v>823</v>
      </c>
      <c r="D590" s="57" t="str">
        <f t="shared" si="9"/>
        <v>BUKALASA</v>
      </c>
      <c r="F590" s="57">
        <v>506</v>
      </c>
    </row>
    <row r="591" spans="1:6">
      <c r="A591" s="57" t="s">
        <v>823</v>
      </c>
      <c r="D591" s="57" t="str">
        <f t="shared" si="9"/>
        <v>Kalungu</v>
      </c>
      <c r="F591" s="57">
        <v>506</v>
      </c>
    </row>
    <row r="592" spans="1:6">
      <c r="A592" s="57" t="s">
        <v>827</v>
      </c>
      <c r="B592" s="57" t="s">
        <v>823</v>
      </c>
      <c r="C592" s="57" t="s">
        <v>823</v>
      </c>
      <c r="D592" s="57" t="str">
        <f t="shared" si="9"/>
        <v>MPUGWE</v>
      </c>
      <c r="F592" s="57">
        <v>507</v>
      </c>
    </row>
    <row r="593" spans="1:6">
      <c r="A593" s="57" t="s">
        <v>828</v>
      </c>
      <c r="B593" s="57" t="s">
        <v>823</v>
      </c>
      <c r="C593" s="57" t="s">
        <v>823</v>
      </c>
      <c r="D593" s="57" t="str">
        <f t="shared" si="9"/>
        <v>Kalungu Town Council</v>
      </c>
      <c r="F593" s="57">
        <v>508</v>
      </c>
    </row>
    <row r="594" spans="1:6">
      <c r="A594" s="57" t="s">
        <v>829</v>
      </c>
      <c r="D594" s="57" t="str">
        <f t="shared" si="9"/>
        <v>Kitamba</v>
      </c>
      <c r="F594" s="57">
        <v>508</v>
      </c>
    </row>
    <row r="595" spans="1:6">
      <c r="A595" s="57" t="s">
        <v>830</v>
      </c>
      <c r="B595" s="57" t="s">
        <v>823</v>
      </c>
      <c r="C595" s="57" t="s">
        <v>823</v>
      </c>
      <c r="D595" s="57" t="str">
        <f t="shared" si="9"/>
        <v>Kyamulibwa</v>
      </c>
      <c r="F595" s="57">
        <v>509</v>
      </c>
    </row>
    <row r="596" spans="1:6">
      <c r="A596" s="57" t="s">
        <v>831</v>
      </c>
      <c r="D596" s="57" t="str">
        <f t="shared" si="9"/>
        <v>Kyamulibwa Town Council</v>
      </c>
      <c r="F596" s="57">
        <v>510</v>
      </c>
    </row>
    <row r="597" spans="1:6">
      <c r="A597" s="57" t="s">
        <v>832</v>
      </c>
      <c r="B597" s="57" t="s">
        <v>823</v>
      </c>
      <c r="C597" s="57" t="s">
        <v>823</v>
      </c>
      <c r="D597" s="57" t="str">
        <f t="shared" si="9"/>
        <v>LUKAYA</v>
      </c>
      <c r="F597" s="57">
        <v>510</v>
      </c>
    </row>
    <row r="598" spans="1:6">
      <c r="A598" s="57" t="s">
        <v>833</v>
      </c>
      <c r="D598" s="57" t="str">
        <f t="shared" si="9"/>
        <v>NTALE</v>
      </c>
      <c r="F598" s="57">
        <v>510</v>
      </c>
    </row>
    <row r="599" spans="1:6">
      <c r="A599" s="57" t="s">
        <v>834</v>
      </c>
      <c r="B599" s="57" t="s">
        <v>823</v>
      </c>
      <c r="C599" s="57" t="s">
        <v>823</v>
      </c>
      <c r="D599" s="57" t="str">
        <f t="shared" si="9"/>
        <v>Lukaya Town Council</v>
      </c>
      <c r="F599" s="57">
        <v>511</v>
      </c>
    </row>
    <row r="600" spans="1:6">
      <c r="A600" s="57" t="s">
        <v>835</v>
      </c>
      <c r="D600" s="57" t="str">
        <f t="shared" si="9"/>
        <v>Lwabenge</v>
      </c>
      <c r="F600" s="57">
        <v>511</v>
      </c>
    </row>
    <row r="601" spans="1:6">
      <c r="A601" s="57" t="s">
        <v>836</v>
      </c>
      <c r="B601" s="57" t="s">
        <v>837</v>
      </c>
      <c r="C601" s="57" t="s">
        <v>838</v>
      </c>
      <c r="D601" s="57" t="str">
        <f t="shared" si="9"/>
        <v>KISANJE</v>
      </c>
      <c r="E601" s="57" t="str">
        <f>A602</f>
        <v>Banda</v>
      </c>
      <c r="F601" s="57">
        <v>512</v>
      </c>
    </row>
    <row r="602" spans="1:6">
      <c r="A602" s="57" t="s">
        <v>839</v>
      </c>
      <c r="D602" s="57" t="str">
        <f t="shared" si="9"/>
        <v>Banda</v>
      </c>
      <c r="F602" s="57">
        <v>512</v>
      </c>
    </row>
    <row r="603" spans="1:6">
      <c r="A603" s="57" t="s">
        <v>840</v>
      </c>
      <c r="D603" s="57" t="str">
        <f t="shared" si="9"/>
        <v>NGAMOTOKA</v>
      </c>
      <c r="F603" s="57">
        <v>513</v>
      </c>
    </row>
    <row r="604" spans="1:6">
      <c r="A604" s="57" t="s">
        <v>841</v>
      </c>
      <c r="B604" s="57" t="s">
        <v>837</v>
      </c>
      <c r="C604" s="57" t="s">
        <v>838</v>
      </c>
      <c r="D604" s="57" t="str">
        <f t="shared" si="9"/>
        <v>MTN</v>
      </c>
      <c r="E604" s="57" t="str">
        <f>A605</f>
        <v>Bugolobi</v>
      </c>
      <c r="F604" s="57">
        <v>513</v>
      </c>
    </row>
    <row r="605" spans="1:6">
      <c r="A605" s="57" t="s">
        <v>842</v>
      </c>
      <c r="D605" s="57" t="str">
        <f t="shared" si="9"/>
        <v>Bugolobi</v>
      </c>
      <c r="F605" s="57">
        <v>513</v>
      </c>
    </row>
    <row r="606" spans="1:6">
      <c r="A606" s="57" t="s">
        <v>843</v>
      </c>
      <c r="D606" s="57" t="str">
        <f t="shared" si="9"/>
        <v>NAKUMAT</v>
      </c>
      <c r="F606" s="57">
        <v>513</v>
      </c>
    </row>
    <row r="607" spans="1:6">
      <c r="A607" s="57" t="s">
        <v>844</v>
      </c>
      <c r="D607" s="57" t="str">
        <f t="shared" si="9"/>
        <v>KITINTALE</v>
      </c>
      <c r="F607" s="57">
        <v>513</v>
      </c>
    </row>
    <row r="608" spans="1:6">
      <c r="A608" s="57" t="s">
        <v>845</v>
      </c>
      <c r="D608" s="57" t="str">
        <f t="shared" si="9"/>
        <v>OLD PORT BELL RD</v>
      </c>
      <c r="F608" s="57">
        <v>513</v>
      </c>
    </row>
    <row r="609" spans="1:6">
      <c r="A609" s="57" t="s">
        <v>846</v>
      </c>
      <c r="D609" s="57" t="str">
        <f t="shared" si="9"/>
        <v>PORTBELL</v>
      </c>
      <c r="F609" s="57">
        <v>513</v>
      </c>
    </row>
    <row r="610" spans="1:6">
      <c r="A610" s="57" t="s">
        <v>847</v>
      </c>
      <c r="B610" s="57" t="s">
        <v>837</v>
      </c>
      <c r="C610" s="57" t="s">
        <v>838</v>
      </c>
      <c r="D610" s="57" t="str">
        <f t="shared" si="9"/>
        <v>IMPERIAL ROYAL</v>
      </c>
      <c r="E610" s="57" t="str">
        <f>A611</f>
        <v>Bukasa</v>
      </c>
      <c r="F610" s="57">
        <v>514</v>
      </c>
    </row>
    <row r="611" spans="1:6">
      <c r="A611" s="57" t="s">
        <v>848</v>
      </c>
      <c r="B611" s="57" t="s">
        <v>837</v>
      </c>
      <c r="C611" s="57" t="s">
        <v>838</v>
      </c>
      <c r="D611" s="57" t="str">
        <f t="shared" si="9"/>
        <v>Bukasa</v>
      </c>
      <c r="E611" s="57" t="str">
        <f>A612</f>
        <v>Bukesa</v>
      </c>
      <c r="F611" s="57">
        <v>515</v>
      </c>
    </row>
    <row r="612" spans="1:6">
      <c r="A612" s="57" t="s">
        <v>849</v>
      </c>
      <c r="B612" s="57" t="s">
        <v>837</v>
      </c>
      <c r="C612" s="57" t="s">
        <v>838</v>
      </c>
      <c r="D612" s="57" t="str">
        <f t="shared" si="9"/>
        <v>Bukesa</v>
      </c>
      <c r="E612" s="57" t="str">
        <f>A613</f>
        <v>Bukoto</v>
      </c>
      <c r="F612" s="57">
        <v>516</v>
      </c>
    </row>
    <row r="613" spans="1:6">
      <c r="A613" s="57" t="s">
        <v>23</v>
      </c>
      <c r="D613" s="57" t="str">
        <f t="shared" si="9"/>
        <v>Bukoto</v>
      </c>
      <c r="F613" s="57">
        <v>516</v>
      </c>
    </row>
    <row r="614" spans="1:6">
      <c r="A614" s="57" t="s">
        <v>850</v>
      </c>
      <c r="D614" s="57" t="str">
        <f t="shared" si="9"/>
        <v>KINAWATAKA</v>
      </c>
      <c r="F614" s="57">
        <v>516</v>
      </c>
    </row>
    <row r="615" spans="1:6">
      <c r="A615" s="57" t="s">
        <v>851</v>
      </c>
      <c r="D615" s="57" t="str">
        <f t="shared" si="9"/>
        <v>NAKAWA INDUSTRIAL PARK</v>
      </c>
      <c r="F615" s="57">
        <v>516</v>
      </c>
    </row>
    <row r="616" spans="1:6">
      <c r="A616" s="57" t="s">
        <v>852</v>
      </c>
      <c r="D616" s="57" t="str">
        <f t="shared" si="9"/>
        <v>NAKASERO</v>
      </c>
      <c r="F616" s="57">
        <v>516</v>
      </c>
    </row>
    <row r="617" spans="1:6">
      <c r="D617" s="57">
        <f t="shared" si="9"/>
        <v>0</v>
      </c>
      <c r="F617" s="57">
        <v>516</v>
      </c>
    </row>
    <row r="618" spans="1:6">
      <c r="A618" s="57" t="s">
        <v>853</v>
      </c>
      <c r="D618" s="57" t="str">
        <f t="shared" si="9"/>
        <v>WOKERS HOUSE</v>
      </c>
      <c r="F618" s="57">
        <v>516</v>
      </c>
    </row>
    <row r="619" spans="1:6">
      <c r="A619" s="57" t="s">
        <v>854</v>
      </c>
      <c r="D619" s="57" t="str">
        <f t="shared" si="9"/>
        <v>LUWUM STREET</v>
      </c>
      <c r="F619" s="57">
        <v>516</v>
      </c>
    </row>
    <row r="620" spans="1:6">
      <c r="A620" s="57" t="s">
        <v>855</v>
      </c>
      <c r="D620" s="57" t="str">
        <f t="shared" si="9"/>
        <v>MAPEERA</v>
      </c>
      <c r="F620" s="57">
        <v>516</v>
      </c>
    </row>
    <row r="621" spans="1:6">
      <c r="A621" s="57" t="s">
        <v>856</v>
      </c>
      <c r="D621" s="57" t="str">
        <f t="shared" si="9"/>
        <v>CAIRO BANK</v>
      </c>
      <c r="F621" s="57">
        <v>517</v>
      </c>
    </row>
    <row r="622" spans="1:6">
      <c r="A622" s="57" t="s">
        <v>857</v>
      </c>
      <c r="D622" s="57" t="str">
        <f t="shared" si="9"/>
        <v>Busega</v>
      </c>
      <c r="F622" s="57">
        <v>517</v>
      </c>
    </row>
    <row r="623" spans="1:6">
      <c r="A623" s="57" t="s">
        <v>858</v>
      </c>
      <c r="B623" s="57" t="s">
        <v>837</v>
      </c>
      <c r="C623" s="57" t="s">
        <v>838</v>
      </c>
      <c r="D623" s="57" t="str">
        <f t="shared" si="9"/>
        <v>LUBIRI SS</v>
      </c>
      <c r="E623" s="57" t="str">
        <f>A624</f>
        <v>Busega</v>
      </c>
      <c r="F623" s="57">
        <v>517</v>
      </c>
    </row>
    <row r="624" spans="1:6">
      <c r="A624" s="57" t="s">
        <v>857</v>
      </c>
      <c r="D624" s="57" t="str">
        <f t="shared" si="9"/>
        <v>Busega</v>
      </c>
      <c r="F624" s="57">
        <v>517</v>
      </c>
    </row>
    <row r="625" spans="1:6">
      <c r="A625" s="57" t="s">
        <v>859</v>
      </c>
      <c r="D625" s="57" t="str">
        <f t="shared" si="9"/>
        <v>BUSUBIZI</v>
      </c>
      <c r="F625" s="57">
        <v>517</v>
      </c>
    </row>
    <row r="626" spans="1:6">
      <c r="A626" s="57" t="s">
        <v>860</v>
      </c>
      <c r="D626" s="57" t="str">
        <f t="shared" si="9"/>
        <v>NATETE</v>
      </c>
      <c r="F626" s="57">
        <v>517</v>
      </c>
    </row>
    <row r="627" spans="1:6">
      <c r="A627" s="57" t="s">
        <v>861</v>
      </c>
      <c r="D627" s="57" t="str">
        <f t="shared" si="9"/>
        <v>NATEETE</v>
      </c>
      <c r="F627" s="57">
        <v>517</v>
      </c>
    </row>
    <row r="628" spans="1:6">
      <c r="A628" s="57" t="s">
        <v>862</v>
      </c>
      <c r="D628" s="57" t="str">
        <f t="shared" si="9"/>
        <v>NATETE PARK</v>
      </c>
      <c r="F628" s="57">
        <v>517</v>
      </c>
    </row>
    <row r="629" spans="1:6">
      <c r="A629" s="57" t="s">
        <v>863</v>
      </c>
      <c r="B629" s="57" t="s">
        <v>837</v>
      </c>
      <c r="C629" s="57" t="s">
        <v>838</v>
      </c>
      <c r="D629" s="57" t="str">
        <f t="shared" si="9"/>
        <v>KIGAGGA</v>
      </c>
      <c r="E629" s="57" t="str">
        <f>A630</f>
        <v>Butabika</v>
      </c>
      <c r="F629" s="57">
        <v>518</v>
      </c>
    </row>
    <row r="630" spans="1:6">
      <c r="A630" s="57" t="s">
        <v>864</v>
      </c>
      <c r="B630" s="57" t="s">
        <v>837</v>
      </c>
      <c r="C630" s="57" t="s">
        <v>838</v>
      </c>
      <c r="D630" s="57" t="str">
        <f t="shared" si="9"/>
        <v>Butabika</v>
      </c>
      <c r="E630" s="57" t="str">
        <f>A631</f>
        <v>Buziga</v>
      </c>
      <c r="F630" s="57">
        <v>519</v>
      </c>
    </row>
    <row r="631" spans="1:6">
      <c r="A631" s="57" t="s">
        <v>865</v>
      </c>
      <c r="B631" s="57" t="s">
        <v>837</v>
      </c>
      <c r="C631" s="57" t="s">
        <v>838</v>
      </c>
      <c r="D631" s="57" t="str">
        <f t="shared" si="9"/>
        <v>Buziga</v>
      </c>
      <c r="E631" s="57" t="str">
        <f>A632</f>
        <v>Bwaise</v>
      </c>
      <c r="F631" s="57">
        <v>520</v>
      </c>
    </row>
    <row r="632" spans="1:6">
      <c r="A632" s="57" t="s">
        <v>866</v>
      </c>
      <c r="D632" s="57" t="str">
        <f t="shared" si="9"/>
        <v>Bwaise</v>
      </c>
      <c r="F632" s="57">
        <v>520</v>
      </c>
    </row>
    <row r="633" spans="1:6">
      <c r="A633" s="57" t="s">
        <v>867</v>
      </c>
      <c r="D633" s="57" t="str">
        <f t="shared" si="9"/>
        <v>Northern Bypass</v>
      </c>
      <c r="E633" s="57" t="str">
        <f>A634</f>
        <v>NILE AVE KAMPALA</v>
      </c>
      <c r="F633" s="57">
        <v>520</v>
      </c>
    </row>
    <row r="634" spans="1:6">
      <c r="A634" s="57" t="s">
        <v>868</v>
      </c>
      <c r="D634" s="57" t="str">
        <f t="shared" si="9"/>
        <v>NILE AVE KAMPALA</v>
      </c>
      <c r="F634" s="57">
        <v>521</v>
      </c>
    </row>
    <row r="635" spans="1:6">
      <c r="A635" s="57" t="s">
        <v>869</v>
      </c>
      <c r="D635" s="57" t="str">
        <f t="shared" si="9"/>
        <v>YOUTH CENTER</v>
      </c>
      <c r="F635" s="57">
        <v>521</v>
      </c>
    </row>
    <row r="636" spans="1:6">
      <c r="A636" s="57" t="s">
        <v>870</v>
      </c>
      <c r="D636" s="57" t="str">
        <f t="shared" si="9"/>
        <v>ROYAL HOTEL</v>
      </c>
      <c r="F636" s="57">
        <v>521</v>
      </c>
    </row>
    <row r="637" spans="1:6">
      <c r="A637" s="57" t="s">
        <v>871</v>
      </c>
      <c r="D637" s="57" t="str">
        <f t="shared" si="9"/>
        <v>KIKUBO</v>
      </c>
      <c r="F637" s="57">
        <v>521</v>
      </c>
    </row>
    <row r="638" spans="1:6">
      <c r="A638" s="57" t="s">
        <v>872</v>
      </c>
      <c r="D638" s="57" t="str">
        <f t="shared" si="9"/>
        <v>KIWANUKA</v>
      </c>
      <c r="F638" s="57">
        <v>521</v>
      </c>
    </row>
    <row r="639" spans="1:6">
      <c r="A639" s="57" t="s">
        <v>873</v>
      </c>
      <c r="D639" s="57" t="str">
        <f t="shared" si="9"/>
        <v>SHAURIYAKO</v>
      </c>
      <c r="F639" s="57">
        <v>521</v>
      </c>
    </row>
    <row r="640" spans="1:6">
      <c r="A640" s="57" t="s">
        <v>874</v>
      </c>
      <c r="D640" s="57" t="str">
        <f t="shared" si="9"/>
        <v>HOUSING FINANCE</v>
      </c>
      <c r="F640" s="57">
        <v>521</v>
      </c>
    </row>
    <row r="641" spans="1:6">
      <c r="A641" s="57" t="s">
        <v>875</v>
      </c>
      <c r="B641" s="57" t="s">
        <v>837</v>
      </c>
      <c r="C641" s="57" t="s">
        <v>838</v>
      </c>
      <c r="D641" s="57" t="str">
        <f t="shared" si="9"/>
        <v>Entebbe Rd</v>
      </c>
      <c r="E641" s="57" t="str">
        <f>A642</f>
        <v>Civic Centre</v>
      </c>
      <c r="F641" s="57">
        <v>521</v>
      </c>
    </row>
    <row r="642" spans="1:6">
      <c r="A642" s="57" t="s">
        <v>876</v>
      </c>
      <c r="D642" s="57" t="str">
        <f t="shared" si="9"/>
        <v>Civic Centre</v>
      </c>
      <c r="F642" s="57">
        <v>521</v>
      </c>
    </row>
    <row r="643" spans="1:6">
      <c r="A643" s="57" t="s">
        <v>877</v>
      </c>
      <c r="D643" s="57" t="str">
        <f t="shared" ref="D643:D706" si="10">A643</f>
        <v>RAA LTD</v>
      </c>
      <c r="F643" s="57">
        <v>521</v>
      </c>
    </row>
    <row r="644" spans="1:6">
      <c r="A644" s="57" t="s">
        <v>878</v>
      </c>
      <c r="D644" s="57" t="str">
        <f t="shared" si="10"/>
        <v>KUNYA</v>
      </c>
      <c r="F644" s="57">
        <v>521</v>
      </c>
    </row>
    <row r="645" spans="1:6">
      <c r="A645" s="57" t="s">
        <v>879</v>
      </c>
      <c r="D645" s="57" t="str">
        <f t="shared" si="10"/>
        <v>Clemeti Hill Rd</v>
      </c>
      <c r="F645" s="57">
        <v>521</v>
      </c>
    </row>
    <row r="646" spans="1:6">
      <c r="A646" s="57" t="s">
        <v>880</v>
      </c>
      <c r="D646" s="57" t="str">
        <f t="shared" si="10"/>
        <v xml:space="preserve">Nkrumah </v>
      </c>
      <c r="F646" s="57">
        <v>521</v>
      </c>
    </row>
    <row r="647" spans="1:6">
      <c r="A647" s="57" t="s">
        <v>881</v>
      </c>
      <c r="D647" s="57" t="str">
        <f t="shared" si="10"/>
        <v>DIRECTORATE OF INDUSTRIES</v>
      </c>
      <c r="F647" s="57">
        <v>521</v>
      </c>
    </row>
    <row r="648" spans="1:6">
      <c r="A648" s="57" t="s">
        <v>882</v>
      </c>
      <c r="D648" s="57" t="str">
        <f t="shared" si="10"/>
        <v>FARMER HOUSE</v>
      </c>
      <c r="F648" s="57">
        <v>521</v>
      </c>
    </row>
    <row r="649" spans="1:6">
      <c r="A649" s="57" t="s">
        <v>883</v>
      </c>
      <c r="D649" s="57" t="str">
        <f t="shared" si="10"/>
        <v>PROTEA</v>
      </c>
      <c r="F649" s="57">
        <v>521</v>
      </c>
    </row>
    <row r="650" spans="1:6">
      <c r="A650" s="57" t="s">
        <v>884</v>
      </c>
      <c r="D650" s="57" t="str">
        <f t="shared" si="10"/>
        <v>YUSUF LULE</v>
      </c>
      <c r="F650" s="57">
        <v>521</v>
      </c>
    </row>
    <row r="651" spans="1:6">
      <c r="A651" s="57" t="s">
        <v>885</v>
      </c>
      <c r="D651" s="57" t="str">
        <f t="shared" si="10"/>
        <v>CITY TYRES</v>
      </c>
      <c r="F651" s="57">
        <v>521</v>
      </c>
    </row>
    <row r="652" spans="1:6">
      <c r="A652" s="57" t="s">
        <v>886</v>
      </c>
      <c r="D652" s="57" t="str">
        <f t="shared" si="10"/>
        <v>CITI BANK</v>
      </c>
      <c r="F652" s="57">
        <v>521</v>
      </c>
    </row>
    <row r="653" spans="1:6">
      <c r="A653" s="57" t="s">
        <v>887</v>
      </c>
      <c r="D653" s="57" t="str">
        <f t="shared" si="10"/>
        <v>DTB</v>
      </c>
      <c r="F653" s="57">
        <v>521</v>
      </c>
    </row>
    <row r="654" spans="1:6">
      <c r="A654" s="57" t="s">
        <v>888</v>
      </c>
      <c r="D654" s="57" t="str">
        <f t="shared" si="10"/>
        <v>SPEKE ROAD</v>
      </c>
      <c r="F654" s="57">
        <v>521</v>
      </c>
    </row>
    <row r="655" spans="1:6">
      <c r="A655" s="57" t="s">
        <v>889</v>
      </c>
      <c r="D655" s="57" t="str">
        <f t="shared" si="10"/>
        <v>Centenary Park</v>
      </c>
      <c r="F655" s="57">
        <v>521</v>
      </c>
    </row>
    <row r="656" spans="1:6">
      <c r="A656" s="57" t="s">
        <v>890</v>
      </c>
      <c r="D656" s="57" t="str">
        <f t="shared" si="10"/>
        <v>JINJA RD</v>
      </c>
      <c r="F656" s="57">
        <v>521</v>
      </c>
    </row>
    <row r="657" spans="1:6">
      <c r="A657" s="57" t="s">
        <v>891</v>
      </c>
      <c r="D657" s="57" t="str">
        <f t="shared" si="10"/>
        <v>FUELIX</v>
      </c>
      <c r="F657" s="57">
        <v>521</v>
      </c>
    </row>
    <row r="658" spans="1:6">
      <c r="A658" s="57" t="s">
        <v>892</v>
      </c>
      <c r="D658" s="57" t="str">
        <f t="shared" si="10"/>
        <v>SEROMA</v>
      </c>
      <c r="F658" s="57">
        <v>521</v>
      </c>
    </row>
    <row r="659" spans="1:6">
      <c r="A659" s="57" t="s">
        <v>893</v>
      </c>
      <c r="D659" s="57" t="str">
        <f t="shared" si="10"/>
        <v>WATOTO</v>
      </c>
      <c r="F659" s="57">
        <v>521</v>
      </c>
    </row>
    <row r="660" spans="1:6">
      <c r="A660" s="57" t="s">
        <v>894</v>
      </c>
      <c r="D660" s="57" t="str">
        <f t="shared" si="10"/>
        <v>WAMPONYE</v>
      </c>
      <c r="F660" s="57">
        <v>521</v>
      </c>
    </row>
    <row r="661" spans="1:6">
      <c r="A661" s="57" t="s">
        <v>895</v>
      </c>
      <c r="D661" s="57" t="str">
        <f t="shared" si="10"/>
        <v>MUKIKUBO</v>
      </c>
      <c r="F661" s="57">
        <v>521</v>
      </c>
    </row>
    <row r="662" spans="1:6">
      <c r="A662" s="57" t="s">
        <v>896</v>
      </c>
      <c r="D662" s="57" t="str">
        <f t="shared" si="10"/>
        <v>TOWN CENTER</v>
      </c>
      <c r="F662" s="57">
        <v>521</v>
      </c>
    </row>
    <row r="663" spans="1:6">
      <c r="A663" s="57" t="s">
        <v>897</v>
      </c>
      <c r="D663" s="57" t="str">
        <f t="shared" si="10"/>
        <v>KAMPALA CITY</v>
      </c>
      <c r="F663" s="57">
        <v>521</v>
      </c>
    </row>
    <row r="664" spans="1:6">
      <c r="A664" s="57" t="s">
        <v>898</v>
      </c>
      <c r="D664" s="57" t="str">
        <f t="shared" si="10"/>
        <v>City centre</v>
      </c>
      <c r="F664" s="57">
        <v>521</v>
      </c>
    </row>
    <row r="665" spans="1:6">
      <c r="A665" s="57" t="s">
        <v>899</v>
      </c>
      <c r="D665" s="57" t="str">
        <f t="shared" si="10"/>
        <v>CITY CENTER</v>
      </c>
      <c r="F665" s="57">
        <v>521</v>
      </c>
    </row>
    <row r="666" spans="1:6">
      <c r="A666" s="57" t="s">
        <v>900</v>
      </c>
      <c r="D666" s="57" t="str">
        <f t="shared" si="10"/>
        <v>Clock tower</v>
      </c>
      <c r="F666" s="57">
        <v>521</v>
      </c>
    </row>
    <row r="667" spans="1:6">
      <c r="A667" s="57" t="s">
        <v>901</v>
      </c>
      <c r="D667" s="57" t="str">
        <f t="shared" si="10"/>
        <v>WUSAFI</v>
      </c>
      <c r="F667" s="57">
        <v>521</v>
      </c>
    </row>
    <row r="668" spans="1:6">
      <c r="A668" s="57" t="s">
        <v>902</v>
      </c>
      <c r="D668" s="57" t="str">
        <f t="shared" si="10"/>
        <v>USAFI</v>
      </c>
      <c r="F668" s="57">
        <v>521</v>
      </c>
    </row>
    <row r="669" spans="1:6">
      <c r="A669" s="57" t="s">
        <v>903</v>
      </c>
      <c r="D669" s="57" t="str">
        <f t="shared" si="10"/>
        <v>Shoprite</v>
      </c>
      <c r="F669" s="57">
        <v>521</v>
      </c>
    </row>
    <row r="670" spans="1:6">
      <c r="A670" s="57" t="s">
        <v>904</v>
      </c>
      <c r="D670" s="57" t="str">
        <f t="shared" si="10"/>
        <v>Ben kiwanuka</v>
      </c>
      <c r="F670" s="57">
        <v>521</v>
      </c>
    </row>
    <row r="671" spans="1:6">
      <c r="A671" s="57" t="s">
        <v>905</v>
      </c>
      <c r="D671" s="57" t="str">
        <f t="shared" si="10"/>
        <v>SAAWA YA QUEEN</v>
      </c>
      <c r="F671" s="57">
        <v>521</v>
      </c>
    </row>
    <row r="672" spans="1:6">
      <c r="A672" s="57" t="s">
        <v>906</v>
      </c>
      <c r="D672" s="57" t="str">
        <f t="shared" si="10"/>
        <v>Central</v>
      </c>
      <c r="F672" s="57">
        <v>521</v>
      </c>
    </row>
    <row r="673" spans="1:6">
      <c r="A673" s="57" t="s">
        <v>907</v>
      </c>
      <c r="D673" s="57" t="str">
        <f t="shared" si="10"/>
        <v>Zai plaza</v>
      </c>
      <c r="F673" s="57">
        <v>521</v>
      </c>
    </row>
    <row r="674" spans="1:6">
      <c r="A674" s="57" t="s">
        <v>908</v>
      </c>
      <c r="D674" s="57" t="str">
        <f t="shared" si="10"/>
        <v>Old taxi park</v>
      </c>
      <c r="F674" s="57">
        <v>521</v>
      </c>
    </row>
    <row r="675" spans="1:6">
      <c r="A675" s="57" t="s">
        <v>909</v>
      </c>
      <c r="D675" s="57" t="str">
        <f t="shared" si="10"/>
        <v>TAXI PARK</v>
      </c>
      <c r="F675" s="57">
        <v>521</v>
      </c>
    </row>
    <row r="676" spans="1:6">
      <c r="A676" s="57" t="s">
        <v>910</v>
      </c>
      <c r="D676" s="57" t="str">
        <f t="shared" si="10"/>
        <v>PARK</v>
      </c>
      <c r="F676" s="57">
        <v>521</v>
      </c>
    </row>
    <row r="677" spans="1:6">
      <c r="A677" s="57" t="s">
        <v>911</v>
      </c>
      <c r="D677" s="57" t="str">
        <f t="shared" si="10"/>
        <v>Old Park</v>
      </c>
      <c r="F677" s="57">
        <v>521</v>
      </c>
    </row>
    <row r="678" spans="1:6">
      <c r="A678" s="57" t="s">
        <v>912</v>
      </c>
      <c r="D678" s="57" t="str">
        <f t="shared" si="10"/>
        <v>OLDPARK</v>
      </c>
      <c r="F678" s="57">
        <v>521</v>
      </c>
    </row>
    <row r="679" spans="1:6">
      <c r="A679" s="57" t="s">
        <v>913</v>
      </c>
      <c r="D679" s="57" t="str">
        <f t="shared" si="10"/>
        <v>Kikuubo</v>
      </c>
      <c r="F679" s="57">
        <v>521</v>
      </c>
    </row>
    <row r="680" spans="1:6">
      <c r="A680" s="57" t="s">
        <v>914</v>
      </c>
      <c r="D680" s="57" t="str">
        <f t="shared" si="10"/>
        <v>BUS PARK</v>
      </c>
      <c r="F680" s="57">
        <v>521</v>
      </c>
    </row>
    <row r="681" spans="1:6">
      <c r="A681" s="57" t="s">
        <v>915</v>
      </c>
      <c r="D681" s="57" t="str">
        <f t="shared" si="10"/>
        <v>ARUA PARK</v>
      </c>
      <c r="F681" s="57">
        <v>521</v>
      </c>
    </row>
    <row r="682" spans="1:6">
      <c r="A682" s="57" t="s">
        <v>916</v>
      </c>
      <c r="D682" s="57" t="str">
        <f t="shared" si="10"/>
        <v>Commercial plaza</v>
      </c>
      <c r="F682" s="57">
        <v>521</v>
      </c>
    </row>
    <row r="683" spans="1:6">
      <c r="A683" s="57" t="s">
        <v>917</v>
      </c>
      <c r="D683" s="57" t="str">
        <f t="shared" si="10"/>
        <v>William street</v>
      </c>
      <c r="F683" s="57">
        <v>521</v>
      </c>
    </row>
    <row r="684" spans="1:6">
      <c r="A684" s="57" t="s">
        <v>918</v>
      </c>
      <c r="D684" s="57" t="str">
        <f t="shared" si="10"/>
        <v>Africana</v>
      </c>
      <c r="F684" s="57">
        <v>521</v>
      </c>
    </row>
    <row r="685" spans="1:6">
      <c r="A685" s="57" t="s">
        <v>919</v>
      </c>
      <c r="D685" s="57" t="str">
        <f t="shared" si="10"/>
        <v>City parents</v>
      </c>
      <c r="F685" s="57">
        <v>521</v>
      </c>
    </row>
    <row r="686" spans="1:6">
      <c r="A686" s="57" t="s">
        <v>920</v>
      </c>
      <c r="D686" s="57" t="str">
        <f t="shared" si="10"/>
        <v>Mega supermarket</v>
      </c>
      <c r="F686" s="57">
        <v>521</v>
      </c>
    </row>
    <row r="687" spans="1:6">
      <c r="A687" s="57" t="s">
        <v>921</v>
      </c>
      <c r="D687" s="57" t="str">
        <f t="shared" si="10"/>
        <v>Sir Apollo</v>
      </c>
      <c r="F687" s="57">
        <v>521</v>
      </c>
    </row>
    <row r="688" spans="1:6">
      <c r="A688" s="57" t="s">
        <v>922</v>
      </c>
      <c r="D688" s="57" t="str">
        <f t="shared" si="10"/>
        <v>City square</v>
      </c>
      <c r="F688" s="57">
        <v>521</v>
      </c>
    </row>
    <row r="689" spans="1:6">
      <c r="A689" s="57" t="s">
        <v>923</v>
      </c>
      <c r="D689" s="57" t="str">
        <f t="shared" si="10"/>
        <v>Bank of Baroda</v>
      </c>
      <c r="F689" s="57">
        <v>521</v>
      </c>
    </row>
    <row r="690" spans="1:6">
      <c r="A690" s="57" t="s">
        <v>924</v>
      </c>
      <c r="D690" s="57" t="str">
        <f t="shared" si="10"/>
        <v>Kafumbe road</v>
      </c>
      <c r="F690" s="57">
        <v>521</v>
      </c>
    </row>
    <row r="691" spans="1:6">
      <c r="A691" s="57" t="s">
        <v>925</v>
      </c>
      <c r="D691" s="57" t="str">
        <f t="shared" si="10"/>
        <v xml:space="preserve">Speke road </v>
      </c>
      <c r="F691" s="57">
        <v>521</v>
      </c>
    </row>
    <row r="692" spans="1:6">
      <c r="A692" s="57" t="s">
        <v>926</v>
      </c>
      <c r="D692" s="57" t="str">
        <f t="shared" si="10"/>
        <v>Nassa</v>
      </c>
      <c r="F692" s="57">
        <v>521</v>
      </c>
    </row>
    <row r="693" spans="1:6">
      <c r="A693" s="57" t="s">
        <v>927</v>
      </c>
      <c r="D693" s="57" t="str">
        <f t="shared" si="10"/>
        <v>Nasser</v>
      </c>
      <c r="F693" s="57">
        <v>521</v>
      </c>
    </row>
    <row r="694" spans="1:6">
      <c r="A694" s="57" t="s">
        <v>928</v>
      </c>
      <c r="D694" s="57" t="str">
        <f t="shared" si="10"/>
        <v>La bonita</v>
      </c>
      <c r="F694" s="57">
        <v>521</v>
      </c>
    </row>
    <row r="695" spans="1:6">
      <c r="A695" s="57" t="s">
        <v>929</v>
      </c>
      <c r="D695" s="57" t="str">
        <f t="shared" si="10"/>
        <v>Magistrate court</v>
      </c>
      <c r="F695" s="57">
        <v>521</v>
      </c>
    </row>
    <row r="696" spans="1:6">
      <c r="A696" s="57" t="s">
        <v>930</v>
      </c>
      <c r="D696" s="57" t="str">
        <f t="shared" si="10"/>
        <v>Jinja road</v>
      </c>
      <c r="F696" s="57">
        <v>521</v>
      </c>
    </row>
    <row r="697" spans="1:6">
      <c r="A697" s="57" t="s">
        <v>931</v>
      </c>
      <c r="D697" s="57" t="str">
        <f t="shared" si="10"/>
        <v>Newpark</v>
      </c>
      <c r="F697" s="57">
        <v>521</v>
      </c>
    </row>
    <row r="698" spans="1:6">
      <c r="A698" s="57" t="s">
        <v>932</v>
      </c>
      <c r="D698" s="57" t="str">
        <f t="shared" si="10"/>
        <v>New taxi park</v>
      </c>
      <c r="F698" s="57">
        <v>521</v>
      </c>
    </row>
    <row r="699" spans="1:6">
      <c r="A699" s="57" t="s">
        <v>933</v>
      </c>
      <c r="D699" s="57" t="str">
        <f t="shared" si="10"/>
        <v>NEWTAXI PARK</v>
      </c>
      <c r="F699" s="57">
        <v>521</v>
      </c>
    </row>
    <row r="700" spans="1:6">
      <c r="A700" s="57" t="s">
        <v>934</v>
      </c>
      <c r="D700" s="57" t="str">
        <f t="shared" si="10"/>
        <v>Mini price</v>
      </c>
      <c r="E700" s="57" t="str">
        <f>A701</f>
        <v>Kampala</v>
      </c>
      <c r="F700" s="57">
        <v>521</v>
      </c>
    </row>
    <row r="701" spans="1:6">
      <c r="A701" s="57" t="s">
        <v>837</v>
      </c>
      <c r="D701" s="57" t="str">
        <f t="shared" si="10"/>
        <v>Kampala</v>
      </c>
      <c r="F701" s="57">
        <v>522</v>
      </c>
    </row>
    <row r="702" spans="1:6">
      <c r="A702" s="57" t="s">
        <v>935</v>
      </c>
      <c r="D702" s="57" t="str">
        <f t="shared" si="10"/>
        <v>KALENDA</v>
      </c>
      <c r="F702" s="57">
        <v>522</v>
      </c>
    </row>
    <row r="703" spans="1:6">
      <c r="A703" s="57" t="s">
        <v>936</v>
      </c>
      <c r="D703" s="57" t="str">
        <f t="shared" si="10"/>
        <v>GABBA</v>
      </c>
      <c r="E703" s="57" t="str">
        <f>A704</f>
        <v>Gaba</v>
      </c>
      <c r="F703" s="57">
        <v>522</v>
      </c>
    </row>
    <row r="704" spans="1:6">
      <c r="A704" s="57" t="s">
        <v>937</v>
      </c>
      <c r="D704" s="57" t="str">
        <f t="shared" si="10"/>
        <v>Gaba</v>
      </c>
      <c r="E704" s="57" t="str">
        <f>A705</f>
        <v>Munyonyo</v>
      </c>
      <c r="F704" s="57">
        <v>522</v>
      </c>
    </row>
    <row r="705" spans="1:6">
      <c r="A705" s="57" t="s">
        <v>938</v>
      </c>
      <c r="D705" s="57" t="str">
        <f t="shared" si="10"/>
        <v>Munyonyo</v>
      </c>
      <c r="F705" s="57">
        <v>522</v>
      </c>
    </row>
    <row r="706" spans="1:6">
      <c r="A706" s="57" t="s">
        <v>939</v>
      </c>
      <c r="D706" s="57" t="str">
        <f t="shared" si="10"/>
        <v>Busaabala</v>
      </c>
      <c r="F706" s="57">
        <v>522</v>
      </c>
    </row>
    <row r="707" spans="1:6">
      <c r="A707" s="57" t="s">
        <v>940</v>
      </c>
      <c r="D707" s="57" t="str">
        <f t="shared" ref="D707:D770" si="11">A707</f>
        <v>Busabaala</v>
      </c>
      <c r="F707" s="57">
        <v>522</v>
      </c>
    </row>
    <row r="708" spans="1:6">
      <c r="A708" s="57" t="s">
        <v>941</v>
      </c>
      <c r="D708" s="57" t="str">
        <f t="shared" si="11"/>
        <v>BUSABALA</v>
      </c>
      <c r="F708" s="57">
        <v>522</v>
      </c>
    </row>
    <row r="709" spans="1:6">
      <c r="A709" s="57" t="s">
        <v>942</v>
      </c>
      <c r="D709" s="57" t="str">
        <f t="shared" si="11"/>
        <v>Gangu</v>
      </c>
      <c r="F709" s="57">
        <v>522</v>
      </c>
    </row>
    <row r="710" spans="1:6">
      <c r="A710" s="57" t="s">
        <v>943</v>
      </c>
      <c r="B710" s="57" t="s">
        <v>837</v>
      </c>
      <c r="C710" s="57" t="s">
        <v>838</v>
      </c>
      <c r="D710" s="57" t="str">
        <f t="shared" si="11"/>
        <v>Kazi</v>
      </c>
      <c r="E710" s="57" t="str">
        <f>A711</f>
        <v>Ggaba</v>
      </c>
      <c r="F710" s="57">
        <v>522</v>
      </c>
    </row>
    <row r="711" spans="1:6">
      <c r="A711" s="57" t="s">
        <v>944</v>
      </c>
      <c r="D711" s="57" t="str">
        <f t="shared" si="11"/>
        <v>Ggaba</v>
      </c>
      <c r="F711" s="57">
        <v>522</v>
      </c>
    </row>
    <row r="712" spans="1:6">
      <c r="A712" s="57" t="s">
        <v>945</v>
      </c>
      <c r="D712" s="57" t="str">
        <f t="shared" si="11"/>
        <v xml:space="preserve">Bunga  </v>
      </c>
      <c r="F712" s="57">
        <v>522</v>
      </c>
    </row>
    <row r="713" spans="1:6">
      <c r="A713" s="57" t="s">
        <v>946</v>
      </c>
      <c r="D713" s="57" t="str">
        <f t="shared" si="11"/>
        <v>BUNGA</v>
      </c>
      <c r="F713" s="57">
        <v>522</v>
      </c>
    </row>
    <row r="714" spans="1:6">
      <c r="A714" s="57" t="s">
        <v>947</v>
      </c>
      <c r="D714" s="57" t="str">
        <f t="shared" si="11"/>
        <v>Kiruddu</v>
      </c>
      <c r="F714" s="57">
        <v>522</v>
      </c>
    </row>
    <row r="715" spans="1:6">
      <c r="A715" s="57" t="s">
        <v>948</v>
      </c>
      <c r="D715" s="57" t="str">
        <f t="shared" si="11"/>
        <v>Kirundu</v>
      </c>
      <c r="F715" s="57">
        <v>522</v>
      </c>
    </row>
    <row r="716" spans="1:6">
      <c r="A716" s="57" t="s">
        <v>949</v>
      </c>
      <c r="D716" s="57" t="str">
        <f t="shared" si="11"/>
        <v>Kirudu</v>
      </c>
      <c r="F716" s="57">
        <v>522</v>
      </c>
    </row>
    <row r="717" spans="1:6">
      <c r="A717" s="57" t="s">
        <v>950</v>
      </c>
      <c r="D717" s="57" t="str">
        <f t="shared" si="11"/>
        <v>KONGE</v>
      </c>
      <c r="F717" s="57">
        <v>522</v>
      </c>
    </row>
    <row r="718" spans="1:6">
      <c r="A718" s="57" t="s">
        <v>951</v>
      </c>
      <c r="D718" s="57" t="str">
        <f t="shared" si="11"/>
        <v>KAWUKU</v>
      </c>
      <c r="F718" s="57">
        <v>522</v>
      </c>
    </row>
    <row r="719" spans="1:6">
      <c r="A719" s="57" t="s">
        <v>952</v>
      </c>
      <c r="B719" s="57" t="s">
        <v>837</v>
      </c>
      <c r="C719" s="57" t="s">
        <v>838</v>
      </c>
      <c r="D719" s="57" t="str">
        <f t="shared" si="11"/>
        <v>MAKINDYE</v>
      </c>
      <c r="E719" s="57" t="str">
        <f>A720</f>
        <v>Industrial Area</v>
      </c>
      <c r="F719" s="57">
        <v>523</v>
      </c>
    </row>
    <row r="720" spans="1:6">
      <c r="A720" s="57" t="s">
        <v>953</v>
      </c>
      <c r="D720" s="57" t="str">
        <f t="shared" si="11"/>
        <v>Industrial Area</v>
      </c>
      <c r="F720" s="57">
        <v>523</v>
      </c>
    </row>
    <row r="721" spans="1:6">
      <c r="A721" s="57" t="s">
        <v>954</v>
      </c>
      <c r="D721" s="57" t="str">
        <f t="shared" si="11"/>
        <v>Mukwano</v>
      </c>
      <c r="F721" s="57">
        <v>523</v>
      </c>
    </row>
    <row r="722" spans="1:6">
      <c r="A722" s="57" t="s">
        <v>955</v>
      </c>
      <c r="B722" s="57" t="s">
        <v>837</v>
      </c>
      <c r="C722" s="57" t="s">
        <v>838</v>
      </c>
      <c r="D722" s="57" t="str">
        <f t="shared" si="11"/>
        <v>NEW VISION</v>
      </c>
      <c r="E722" s="57" t="str">
        <f>A723</f>
        <v>Itek</v>
      </c>
      <c r="F722" s="57">
        <v>524</v>
      </c>
    </row>
    <row r="723" spans="1:6">
      <c r="A723" s="57" t="s">
        <v>956</v>
      </c>
      <c r="B723" s="57" t="s">
        <v>837</v>
      </c>
      <c r="C723" s="57" t="s">
        <v>838</v>
      </c>
      <c r="D723" s="57" t="str">
        <f t="shared" si="11"/>
        <v>Itek</v>
      </c>
      <c r="E723" s="57" t="str">
        <f>A724</f>
        <v>Kabalagala</v>
      </c>
      <c r="F723" s="57">
        <v>525</v>
      </c>
    </row>
    <row r="724" spans="1:6">
      <c r="A724" s="57" t="s">
        <v>957</v>
      </c>
      <c r="D724" s="57" t="str">
        <f t="shared" si="11"/>
        <v>Kabalagala</v>
      </c>
      <c r="F724" s="57">
        <v>525</v>
      </c>
    </row>
    <row r="725" spans="1:6">
      <c r="A725" s="57" t="s">
        <v>958</v>
      </c>
      <c r="D725" s="57" t="str">
        <f t="shared" si="11"/>
        <v>MUYEGA</v>
      </c>
      <c r="F725" s="57">
        <v>525</v>
      </c>
    </row>
    <row r="726" spans="1:6">
      <c r="A726" s="57" t="s">
        <v>959</v>
      </c>
      <c r="D726" s="57" t="str">
        <f t="shared" si="11"/>
        <v>Muyenga</v>
      </c>
      <c r="F726" s="57">
        <v>525</v>
      </c>
    </row>
    <row r="727" spans="1:6">
      <c r="A727" s="57" t="s">
        <v>960</v>
      </c>
      <c r="B727" s="57" t="s">
        <v>837</v>
      </c>
      <c r="C727" s="57" t="s">
        <v>838</v>
      </c>
      <c r="D727" s="57" t="str">
        <f t="shared" si="11"/>
        <v xml:space="preserve">MUYENGA </v>
      </c>
      <c r="E727" s="57" t="str">
        <f t="shared" ref="E727:E737" si="12">A728</f>
        <v>Kabowa</v>
      </c>
      <c r="F727" s="57">
        <v>526</v>
      </c>
    </row>
    <row r="728" spans="1:6">
      <c r="A728" s="57" t="s">
        <v>961</v>
      </c>
      <c r="D728" s="57" t="str">
        <f t="shared" si="11"/>
        <v>Kabowa</v>
      </c>
      <c r="F728" s="57">
        <v>526</v>
      </c>
    </row>
    <row r="729" spans="1:6">
      <c r="A729" s="57" t="s">
        <v>962</v>
      </c>
      <c r="D729" s="57" t="str">
        <f t="shared" si="11"/>
        <v>OLX</v>
      </c>
      <c r="E729" s="57" t="str">
        <f t="shared" si="12"/>
        <v>Wankulukuku</v>
      </c>
      <c r="F729" s="57">
        <v>526</v>
      </c>
    </row>
    <row r="730" spans="1:6">
      <c r="A730" s="57" t="s">
        <v>963</v>
      </c>
      <c r="B730" s="57" t="s">
        <v>837</v>
      </c>
      <c r="C730" s="57" t="s">
        <v>838</v>
      </c>
      <c r="D730" s="57" t="str">
        <f t="shared" si="11"/>
        <v>Wankulukuku</v>
      </c>
      <c r="E730" s="57" t="str">
        <f t="shared" si="12"/>
        <v>Kagugube</v>
      </c>
      <c r="F730" s="57">
        <v>527</v>
      </c>
    </row>
    <row r="731" spans="1:6">
      <c r="A731" s="57" t="s">
        <v>964</v>
      </c>
      <c r="B731" s="57" t="s">
        <v>837</v>
      </c>
      <c r="C731" s="57" t="s">
        <v>838</v>
      </c>
      <c r="D731" s="57" t="str">
        <f t="shared" si="11"/>
        <v>Kagugube</v>
      </c>
      <c r="E731" s="57" t="str">
        <f t="shared" si="12"/>
        <v>Kamwokya</v>
      </c>
      <c r="F731" s="57">
        <v>528</v>
      </c>
    </row>
    <row r="732" spans="1:6">
      <c r="A732" s="57" t="s">
        <v>965</v>
      </c>
      <c r="D732" s="57" t="str">
        <f t="shared" si="11"/>
        <v>Kamwokya</v>
      </c>
      <c r="F732" s="57">
        <v>528</v>
      </c>
    </row>
    <row r="733" spans="1:6">
      <c r="A733" s="57" t="s">
        <v>966</v>
      </c>
      <c r="D733" s="57" t="str">
        <f t="shared" si="11"/>
        <v>ACACIA</v>
      </c>
      <c r="F733" s="57">
        <v>528</v>
      </c>
    </row>
    <row r="734" spans="1:6">
      <c r="A734" s="57" t="s">
        <v>967</v>
      </c>
      <c r="D734" s="57" t="str">
        <f t="shared" si="11"/>
        <v>JAVA HOUSE</v>
      </c>
      <c r="F734" s="57">
        <v>528</v>
      </c>
    </row>
    <row r="735" spans="1:6">
      <c r="A735" s="57" t="s">
        <v>968</v>
      </c>
      <c r="B735" s="57" t="s">
        <v>837</v>
      </c>
      <c r="C735" s="57" t="s">
        <v>838</v>
      </c>
      <c r="D735" s="57" t="str">
        <f t="shared" si="11"/>
        <v>KISEMENTI</v>
      </c>
      <c r="E735" s="57" t="str">
        <f t="shared" si="12"/>
        <v>Kansanga</v>
      </c>
      <c r="F735" s="57">
        <v>529</v>
      </c>
    </row>
    <row r="736" spans="1:6">
      <c r="A736" s="57" t="s">
        <v>969</v>
      </c>
      <c r="B736" s="57" t="s">
        <v>837</v>
      </c>
      <c r="C736" s="57" t="s">
        <v>838</v>
      </c>
      <c r="D736" s="57" t="str">
        <f t="shared" si="11"/>
        <v>Kansanga</v>
      </c>
      <c r="E736" s="57" t="str">
        <f t="shared" si="12"/>
        <v>Kanyanya</v>
      </c>
      <c r="F736" s="57">
        <v>530</v>
      </c>
    </row>
    <row r="737" spans="1:6">
      <c r="A737" s="57" t="s">
        <v>970</v>
      </c>
      <c r="B737" s="57" t="s">
        <v>837</v>
      </c>
      <c r="C737" s="57" t="s">
        <v>838</v>
      </c>
      <c r="D737" s="57" t="str">
        <f t="shared" si="11"/>
        <v>Kanyanya</v>
      </c>
      <c r="E737" s="57" t="str">
        <f t="shared" si="12"/>
        <v>Kasubi</v>
      </c>
      <c r="F737" s="57">
        <v>531</v>
      </c>
    </row>
    <row r="738" spans="1:6">
      <c r="A738" s="57" t="s">
        <v>971</v>
      </c>
      <c r="D738" s="57" t="str">
        <f t="shared" si="11"/>
        <v>Kasubi</v>
      </c>
      <c r="F738" s="57">
        <v>531</v>
      </c>
    </row>
    <row r="739" spans="1:6">
      <c r="A739" s="57" t="s">
        <v>972</v>
      </c>
      <c r="D739" s="57" t="str">
        <f t="shared" si="11"/>
        <v>NAMUNGONA</v>
      </c>
      <c r="F739" s="57">
        <v>531</v>
      </c>
    </row>
    <row r="740" spans="1:6">
      <c r="A740" s="57" t="s">
        <v>973</v>
      </c>
      <c r="B740" s="57" t="s">
        <v>837</v>
      </c>
      <c r="C740" s="57" t="s">
        <v>838</v>
      </c>
      <c r="D740" s="57" t="str">
        <f t="shared" si="11"/>
        <v>NAMUNGOONA</v>
      </c>
      <c r="E740" s="57" t="str">
        <f>A741</f>
        <v>Katwe</v>
      </c>
      <c r="F740" s="57">
        <v>532</v>
      </c>
    </row>
    <row r="741" spans="1:6">
      <c r="A741" s="57" t="s">
        <v>974</v>
      </c>
      <c r="D741" s="57" t="str">
        <f t="shared" si="11"/>
        <v>Katwe</v>
      </c>
      <c r="F741" s="57">
        <v>532</v>
      </c>
    </row>
    <row r="742" spans="1:6">
      <c r="A742" s="57" t="s">
        <v>975</v>
      </c>
      <c r="D742" s="57" t="str">
        <f t="shared" si="11"/>
        <v>KABUSU</v>
      </c>
      <c r="F742" s="57">
        <v>533</v>
      </c>
    </row>
    <row r="743" spans="1:6">
      <c r="A743" s="57" t="s">
        <v>976</v>
      </c>
      <c r="D743" s="57" t="str">
        <f t="shared" si="11"/>
        <v>MBOGGO</v>
      </c>
      <c r="F743" s="57">
        <v>533</v>
      </c>
    </row>
    <row r="744" spans="1:6">
      <c r="A744" s="57" t="s">
        <v>977</v>
      </c>
      <c r="D744" s="57" t="str">
        <f t="shared" si="11"/>
        <v>NAMERE</v>
      </c>
      <c r="F744" s="57">
        <v>533</v>
      </c>
    </row>
    <row r="745" spans="1:6">
      <c r="A745" s="57" t="s">
        <v>978</v>
      </c>
      <c r="B745" s="57" t="s">
        <v>837</v>
      </c>
      <c r="C745" s="57" t="s">
        <v>838</v>
      </c>
      <c r="D745" s="57" t="str">
        <f t="shared" si="11"/>
        <v>MAGANJO</v>
      </c>
      <c r="E745" s="57" t="str">
        <f>A746</f>
        <v>Kawempe</v>
      </c>
      <c r="F745" s="57">
        <v>533</v>
      </c>
    </row>
    <row r="746" spans="1:6">
      <c r="A746" s="57" t="s">
        <v>979</v>
      </c>
      <c r="D746" s="57" t="str">
        <f t="shared" si="11"/>
        <v>Kawempe</v>
      </c>
      <c r="F746" s="57">
        <v>533</v>
      </c>
    </row>
    <row r="747" spans="1:6">
      <c r="A747" s="57" t="s">
        <v>980</v>
      </c>
      <c r="B747" s="57" t="s">
        <v>837</v>
      </c>
      <c r="C747" s="57" t="s">
        <v>838</v>
      </c>
      <c r="D747" s="57" t="str">
        <f t="shared" si="11"/>
        <v>KUMBUZI</v>
      </c>
      <c r="E747" s="57" t="str">
        <f>A748</f>
        <v>Kazo Angola</v>
      </c>
      <c r="F747" s="57">
        <v>534</v>
      </c>
    </row>
    <row r="748" spans="1:6">
      <c r="A748" s="57" t="s">
        <v>981</v>
      </c>
      <c r="D748" s="57" t="str">
        <f t="shared" si="11"/>
        <v>Kazo Angola</v>
      </c>
      <c r="F748" s="57">
        <v>534</v>
      </c>
    </row>
    <row r="749" spans="1:6">
      <c r="A749" s="57" t="s">
        <v>982</v>
      </c>
      <c r="D749" s="57" t="str">
        <f t="shared" si="11"/>
        <v>KAWAALA</v>
      </c>
      <c r="F749" s="57">
        <v>535</v>
      </c>
    </row>
    <row r="750" spans="1:6">
      <c r="A750" s="57" t="s">
        <v>983</v>
      </c>
      <c r="B750" s="57" t="s">
        <v>837</v>
      </c>
      <c r="C750" s="57" t="s">
        <v>838</v>
      </c>
      <c r="D750" s="57" t="str">
        <f t="shared" si="11"/>
        <v>GREEN HILL</v>
      </c>
      <c r="E750" s="57" t="str">
        <f>A751</f>
        <v>Kibuli</v>
      </c>
      <c r="F750" s="57">
        <v>535</v>
      </c>
    </row>
    <row r="751" spans="1:6">
      <c r="A751" s="57" t="s">
        <v>984</v>
      </c>
      <c r="D751" s="57" t="str">
        <f t="shared" si="11"/>
        <v>Kibuli</v>
      </c>
      <c r="F751" s="57">
        <v>536</v>
      </c>
    </row>
    <row r="752" spans="1:6">
      <c r="A752" s="57" t="s">
        <v>985</v>
      </c>
      <c r="B752" s="57" t="s">
        <v>837</v>
      </c>
      <c r="C752" s="57" t="s">
        <v>838</v>
      </c>
      <c r="D752" s="57" t="str">
        <f t="shared" si="11"/>
        <v xml:space="preserve">KIBUYE </v>
      </c>
      <c r="E752" s="57" t="str">
        <f>A753</f>
        <v>Kibuye</v>
      </c>
      <c r="F752" s="57">
        <v>536</v>
      </c>
    </row>
    <row r="753" spans="1:6">
      <c r="A753" s="57" t="s">
        <v>986</v>
      </c>
      <c r="D753" s="57" t="str">
        <f t="shared" si="11"/>
        <v>Kibuye</v>
      </c>
      <c r="F753" s="57">
        <v>536</v>
      </c>
    </row>
    <row r="754" spans="1:6">
      <c r="A754" s="57" t="s">
        <v>987</v>
      </c>
      <c r="B754" s="57" t="s">
        <v>837</v>
      </c>
      <c r="C754" s="57" t="s">
        <v>838</v>
      </c>
      <c r="D754" s="57" t="str">
        <f t="shared" si="11"/>
        <v>KOBIL</v>
      </c>
      <c r="E754" s="57" t="str">
        <f>A755</f>
        <v>Kikaaya</v>
      </c>
      <c r="F754" s="57">
        <v>537</v>
      </c>
    </row>
    <row r="755" spans="1:6">
      <c r="A755" s="57" t="s">
        <v>988</v>
      </c>
      <c r="B755" s="57" t="s">
        <v>837</v>
      </c>
      <c r="C755" s="57" t="s">
        <v>838</v>
      </c>
      <c r="D755" s="57" t="str">
        <f t="shared" si="11"/>
        <v>Kikaaya</v>
      </c>
      <c r="E755" s="57" t="str">
        <f>A756</f>
        <v xml:space="preserve">Kisenyi </v>
      </c>
      <c r="F755" s="57">
        <v>538</v>
      </c>
    </row>
    <row r="756" spans="1:6">
      <c r="A756" s="57" t="s">
        <v>989</v>
      </c>
      <c r="D756" s="57" t="str">
        <f t="shared" si="11"/>
        <v xml:space="preserve">Kisenyi </v>
      </c>
      <c r="F756" s="57">
        <v>538</v>
      </c>
    </row>
    <row r="757" spans="1:6">
      <c r="A757" s="57" t="s">
        <v>990</v>
      </c>
      <c r="D757" s="57" t="str">
        <f t="shared" si="11"/>
        <v>KAFUMBE</v>
      </c>
      <c r="F757" s="57">
        <v>538</v>
      </c>
    </row>
    <row r="758" spans="1:6">
      <c r="A758" s="57" t="s">
        <v>52</v>
      </c>
      <c r="D758" s="57" t="str">
        <f t="shared" si="11"/>
        <v>Kisenyi</v>
      </c>
      <c r="F758" s="57">
        <v>538</v>
      </c>
    </row>
    <row r="759" spans="1:6">
      <c r="A759" s="57" t="s">
        <v>991</v>
      </c>
      <c r="D759" s="57" t="str">
        <f t="shared" si="11"/>
        <v xml:space="preserve">OWINO </v>
      </c>
      <c r="F759" s="57">
        <v>538</v>
      </c>
    </row>
    <row r="760" spans="1:6">
      <c r="A760" s="57" t="s">
        <v>992</v>
      </c>
      <c r="D760" s="57" t="str">
        <f t="shared" si="11"/>
        <v>OWINO</v>
      </c>
      <c r="F760" s="57">
        <v>538</v>
      </c>
    </row>
    <row r="761" spans="1:6">
      <c r="A761" s="57" t="s">
        <v>993</v>
      </c>
      <c r="B761" s="57" t="s">
        <v>837</v>
      </c>
      <c r="C761" s="57" t="s">
        <v>838</v>
      </c>
      <c r="D761" s="57" t="str">
        <f t="shared" si="11"/>
        <v>OWINO MARKET</v>
      </c>
      <c r="E761" s="57" t="str">
        <f>A762</f>
        <v>Kisugu</v>
      </c>
      <c r="F761" s="57">
        <v>539</v>
      </c>
    </row>
    <row r="762" spans="1:6">
      <c r="A762" s="57" t="s">
        <v>994</v>
      </c>
      <c r="D762" s="57" t="str">
        <f t="shared" si="11"/>
        <v>Kisugu</v>
      </c>
      <c r="F762" s="57">
        <v>539</v>
      </c>
    </row>
    <row r="763" spans="1:6">
      <c r="A763" s="57" t="s">
        <v>995</v>
      </c>
      <c r="D763" s="57" t="str">
        <f t="shared" si="11"/>
        <v>NAMUWONGO</v>
      </c>
      <c r="F763" s="57">
        <v>539</v>
      </c>
    </row>
    <row r="764" spans="1:6">
      <c r="A764" s="57" t="s">
        <v>996</v>
      </c>
      <c r="B764" s="57" t="s">
        <v>837</v>
      </c>
      <c r="C764" s="57" t="s">
        <v>838</v>
      </c>
      <c r="D764" s="57" t="str">
        <f t="shared" si="11"/>
        <v>MULWANA</v>
      </c>
      <c r="E764" s="57" t="str">
        <f>A765</f>
        <v>Kiswa</v>
      </c>
      <c r="F764" s="57">
        <v>540</v>
      </c>
    </row>
    <row r="765" spans="1:6">
      <c r="A765" s="57" t="s">
        <v>997</v>
      </c>
      <c r="B765" s="57" t="s">
        <v>837</v>
      </c>
      <c r="C765" s="57" t="s">
        <v>838</v>
      </c>
      <c r="D765" s="57" t="str">
        <f t="shared" si="11"/>
        <v>Kiswa</v>
      </c>
      <c r="E765" s="57" t="str">
        <f>A766</f>
        <v>Kiwatule</v>
      </c>
      <c r="F765" s="57">
        <v>541</v>
      </c>
    </row>
    <row r="766" spans="1:6">
      <c r="A766" s="57" t="s">
        <v>998</v>
      </c>
      <c r="D766" s="57" t="str">
        <f t="shared" si="11"/>
        <v>Kiwatule</v>
      </c>
      <c r="F766" s="57">
        <v>541</v>
      </c>
    </row>
    <row r="767" spans="1:6">
      <c r="A767" s="57" t="s">
        <v>999</v>
      </c>
      <c r="D767" s="57" t="str">
        <f t="shared" si="11"/>
        <v>KIGOOWA</v>
      </c>
      <c r="F767" s="57">
        <v>541</v>
      </c>
    </row>
    <row r="768" spans="1:6">
      <c r="A768" s="57" t="s">
        <v>1000</v>
      </c>
      <c r="D768" s="57" t="str">
        <f t="shared" si="11"/>
        <v>KINYARWANDA</v>
      </c>
      <c r="F768" s="57">
        <v>541</v>
      </c>
    </row>
    <row r="769" spans="1:6">
      <c r="A769" s="57" t="s">
        <v>1001</v>
      </c>
      <c r="D769" s="57" t="str">
        <f t="shared" si="11"/>
        <v>NAALYA</v>
      </c>
      <c r="F769" s="57">
        <v>542</v>
      </c>
    </row>
    <row r="770" spans="1:6">
      <c r="A770" s="57" t="s">
        <v>1002</v>
      </c>
      <c r="B770" s="57" t="s">
        <v>837</v>
      </c>
      <c r="C770" s="57" t="s">
        <v>838</v>
      </c>
      <c r="D770" s="57" t="str">
        <f t="shared" si="11"/>
        <v>GARDEN CITY</v>
      </c>
      <c r="E770" s="57" t="str">
        <f>A771</f>
        <v>Kololo</v>
      </c>
      <c r="F770" s="57">
        <v>542</v>
      </c>
    </row>
    <row r="771" spans="1:6">
      <c r="A771" s="57" t="s">
        <v>1003</v>
      </c>
      <c r="D771" s="57" t="str">
        <f t="shared" ref="D771:D834" si="13">A771</f>
        <v>Kololo</v>
      </c>
      <c r="F771" s="57">
        <v>542</v>
      </c>
    </row>
    <row r="772" spans="1:6">
      <c r="A772" s="57" t="s">
        <v>1004</v>
      </c>
      <c r="D772" s="57" t="str">
        <f t="shared" si="13"/>
        <v>UNICARLO HOUSE</v>
      </c>
      <c r="F772" s="57">
        <v>542</v>
      </c>
    </row>
    <row r="773" spans="1:6">
      <c r="A773" s="57" t="s">
        <v>1005</v>
      </c>
      <c r="D773" s="57" t="str">
        <f t="shared" si="13"/>
        <v>ARCHER ROAD</v>
      </c>
      <c r="F773" s="57">
        <v>542</v>
      </c>
    </row>
    <row r="774" spans="1:6">
      <c r="A774" s="57" t="s">
        <v>1006</v>
      </c>
      <c r="D774" s="57" t="str">
        <f t="shared" si="13"/>
        <v>Speke Apartments</v>
      </c>
      <c r="F774" s="57">
        <v>542</v>
      </c>
    </row>
    <row r="775" spans="1:6">
      <c r="A775" s="57" t="s">
        <v>1007</v>
      </c>
      <c r="D775" s="57" t="str">
        <f t="shared" si="13"/>
        <v>KYADONDO</v>
      </c>
      <c r="F775" s="57">
        <v>542</v>
      </c>
    </row>
    <row r="776" spans="1:6">
      <c r="A776" s="57" t="s">
        <v>1008</v>
      </c>
      <c r="D776" s="57" t="str">
        <f t="shared" si="13"/>
        <v>KATI KATI</v>
      </c>
      <c r="F776" s="57">
        <v>542</v>
      </c>
    </row>
    <row r="777" spans="1:6">
      <c r="A777" s="57" t="s">
        <v>1009</v>
      </c>
      <c r="D777" s="57" t="str">
        <f t="shared" si="13"/>
        <v>Isbat University</v>
      </c>
      <c r="F777" s="57">
        <v>542</v>
      </c>
    </row>
    <row r="778" spans="1:6">
      <c r="A778" s="57" t="s">
        <v>1010</v>
      </c>
      <c r="D778" s="57" t="str">
        <f t="shared" si="13"/>
        <v>MTN ARENA</v>
      </c>
      <c r="F778" s="57">
        <v>542</v>
      </c>
    </row>
    <row r="779" spans="1:6">
      <c r="A779" s="57" t="s">
        <v>1011</v>
      </c>
      <c r="D779" s="57" t="str">
        <f t="shared" si="13"/>
        <v>KFC</v>
      </c>
      <c r="F779" s="57">
        <v>542</v>
      </c>
    </row>
    <row r="780" spans="1:6">
      <c r="A780" s="57" t="s">
        <v>1012</v>
      </c>
      <c r="D780" s="57" t="str">
        <f t="shared" si="13"/>
        <v>LUGOGO</v>
      </c>
      <c r="F780" s="57">
        <v>542</v>
      </c>
    </row>
    <row r="781" spans="1:6">
      <c r="A781" s="57" t="s">
        <v>1013</v>
      </c>
      <c r="D781" s="57" t="str">
        <f t="shared" si="13"/>
        <v>ORYX</v>
      </c>
      <c r="F781" s="57">
        <v>542</v>
      </c>
    </row>
    <row r="782" spans="1:6">
      <c r="A782" s="57" t="s">
        <v>1014</v>
      </c>
      <c r="D782" s="57" t="str">
        <f t="shared" si="13"/>
        <v>UMI</v>
      </c>
      <c r="F782" s="57">
        <v>542</v>
      </c>
    </row>
    <row r="783" spans="1:6">
      <c r="A783" s="57" t="s">
        <v>1015</v>
      </c>
      <c r="D783" s="57" t="str">
        <f t="shared" si="13"/>
        <v>LUGOGO BYPASS</v>
      </c>
      <c r="F783" s="57">
        <v>542</v>
      </c>
    </row>
    <row r="784" spans="1:6">
      <c r="A784" s="57" t="s">
        <v>1016</v>
      </c>
      <c r="D784" s="57" t="str">
        <f t="shared" si="13"/>
        <v>LEGENDS</v>
      </c>
      <c r="F784" s="57">
        <v>542</v>
      </c>
    </row>
    <row r="785" spans="1:6">
      <c r="A785" s="57" t="s">
        <v>1017</v>
      </c>
      <c r="D785" s="57" t="str">
        <f t="shared" si="13"/>
        <v>GAME</v>
      </c>
      <c r="F785" s="57">
        <v>542</v>
      </c>
    </row>
    <row r="786" spans="1:6">
      <c r="A786" s="57" t="s">
        <v>1018</v>
      </c>
      <c r="D786" s="57" t="str">
        <f t="shared" si="13"/>
        <v>CRICKECT OVAL</v>
      </c>
      <c r="F786" s="57">
        <v>542</v>
      </c>
    </row>
    <row r="787" spans="1:6">
      <c r="A787" s="57" t="s">
        <v>1019</v>
      </c>
      <c r="D787" s="57" t="str">
        <f t="shared" si="13"/>
        <v>UMA</v>
      </c>
      <c r="F787" s="57">
        <v>542</v>
      </c>
    </row>
    <row r="788" spans="1:6">
      <c r="A788" s="57" t="s">
        <v>1020</v>
      </c>
      <c r="D788" s="57" t="str">
        <f t="shared" si="13"/>
        <v>FOREST MALL</v>
      </c>
      <c r="F788" s="57">
        <v>542</v>
      </c>
    </row>
    <row r="789" spans="1:6">
      <c r="A789" s="57" t="s">
        <v>1021</v>
      </c>
      <c r="B789" s="57" t="s">
        <v>837</v>
      </c>
      <c r="C789" s="57" t="s">
        <v>838</v>
      </c>
      <c r="D789" s="57" t="str">
        <f t="shared" si="13"/>
        <v>MUSAAZI</v>
      </c>
      <c r="E789" s="57" t="str">
        <f>A790</f>
        <v>Komamboga</v>
      </c>
      <c r="F789" s="57">
        <v>543</v>
      </c>
    </row>
    <row r="790" spans="1:6">
      <c r="A790" s="57" t="s">
        <v>1022</v>
      </c>
      <c r="B790" s="57" t="s">
        <v>837</v>
      </c>
      <c r="C790" s="57" t="s">
        <v>838</v>
      </c>
      <c r="D790" s="57" t="str">
        <f t="shared" si="13"/>
        <v>Komamboga</v>
      </c>
      <c r="E790" s="57" t="str">
        <f>A791</f>
        <v>Kyambogo</v>
      </c>
      <c r="F790" s="57">
        <v>544</v>
      </c>
    </row>
    <row r="791" spans="1:6">
      <c r="A791" s="57" t="s">
        <v>1023</v>
      </c>
      <c r="D791" s="57" t="str">
        <f t="shared" si="13"/>
        <v>Kyambogo</v>
      </c>
      <c r="F791" s="57">
        <v>544</v>
      </c>
    </row>
    <row r="792" spans="1:6">
      <c r="A792" s="57" t="s">
        <v>1024</v>
      </c>
      <c r="D792" s="57" t="str">
        <f t="shared" si="13"/>
        <v>KISAASI</v>
      </c>
      <c r="F792" s="57">
        <v>544</v>
      </c>
    </row>
    <row r="793" spans="1:6">
      <c r="A793" s="57" t="s">
        <v>1025</v>
      </c>
      <c r="D793" s="57" t="str">
        <f t="shared" si="13"/>
        <v>KIKAYA</v>
      </c>
      <c r="F793" s="57">
        <v>545</v>
      </c>
    </row>
    <row r="794" spans="1:6">
      <c r="A794" s="57" t="s">
        <v>1026</v>
      </c>
      <c r="D794" s="57" t="str">
        <f t="shared" si="13"/>
        <v>KISASI</v>
      </c>
      <c r="F794" s="57">
        <v>545</v>
      </c>
    </row>
    <row r="795" spans="1:6">
      <c r="A795" s="57" t="s">
        <v>1027</v>
      </c>
      <c r="B795" s="57" t="s">
        <v>837</v>
      </c>
      <c r="C795" s="57" t="s">
        <v>838</v>
      </c>
      <c r="D795" s="57" t="str">
        <f t="shared" si="13"/>
        <v>KULAMBIRO</v>
      </c>
      <c r="E795" s="57" t="str">
        <f>A796</f>
        <v>Kyanja</v>
      </c>
      <c r="F795" s="57">
        <v>545</v>
      </c>
    </row>
    <row r="796" spans="1:6">
      <c r="A796" s="57" t="s">
        <v>1028</v>
      </c>
      <c r="B796" s="57" t="s">
        <v>837</v>
      </c>
      <c r="C796" s="57" t="s">
        <v>838</v>
      </c>
      <c r="D796" s="57" t="str">
        <f t="shared" si="13"/>
        <v>Kyanja</v>
      </c>
      <c r="E796" s="57" t="str">
        <f>A797</f>
        <v>Kyebando</v>
      </c>
      <c r="F796" s="57">
        <v>546</v>
      </c>
    </row>
    <row r="797" spans="1:6">
      <c r="A797" s="57" t="s">
        <v>1029</v>
      </c>
      <c r="D797" s="57" t="str">
        <f t="shared" si="13"/>
        <v>Kyebando</v>
      </c>
      <c r="F797" s="57">
        <v>546</v>
      </c>
    </row>
    <row r="798" spans="1:6">
      <c r="A798" s="57" t="s">
        <v>1030</v>
      </c>
      <c r="D798" s="57" t="str">
        <f t="shared" si="13"/>
        <v>KALWERE</v>
      </c>
      <c r="F798" s="57">
        <v>546</v>
      </c>
    </row>
    <row r="799" spans="1:6">
      <c r="A799" s="57" t="s">
        <v>1031</v>
      </c>
      <c r="D799" s="57" t="str">
        <f t="shared" si="13"/>
        <v>Kalerwe</v>
      </c>
      <c r="F799" s="57">
        <v>546</v>
      </c>
    </row>
    <row r="800" spans="1:6">
      <c r="A800" s="57" t="s">
        <v>1032</v>
      </c>
      <c r="D800" s="57" t="str">
        <f t="shared" si="13"/>
        <v>LUGALA</v>
      </c>
      <c r="F800" s="57">
        <v>547</v>
      </c>
    </row>
    <row r="801" spans="1:6">
      <c r="A801" s="57" t="s">
        <v>1033</v>
      </c>
      <c r="B801" s="57" t="s">
        <v>837</v>
      </c>
      <c r="C801" s="57" t="s">
        <v>838</v>
      </c>
      <c r="D801" s="57" t="str">
        <f t="shared" si="13"/>
        <v>GOOD SHADE</v>
      </c>
      <c r="E801" s="57" t="str">
        <f>A802</f>
        <v>Lubaga</v>
      </c>
      <c r="F801" s="57">
        <v>547</v>
      </c>
    </row>
    <row r="802" spans="1:6">
      <c r="A802" s="57" t="s">
        <v>1034</v>
      </c>
      <c r="D802" s="57" t="str">
        <f t="shared" si="13"/>
        <v>Lubaga</v>
      </c>
      <c r="F802" s="57">
        <v>547</v>
      </c>
    </row>
    <row r="803" spans="1:6">
      <c r="A803" s="57" t="s">
        <v>1035</v>
      </c>
      <c r="D803" s="57" t="str">
        <f t="shared" si="13"/>
        <v>PALACE</v>
      </c>
      <c r="F803" s="57">
        <v>547</v>
      </c>
    </row>
    <row r="804" spans="1:6">
      <c r="A804" s="57" t="s">
        <v>1036</v>
      </c>
      <c r="D804" s="57" t="str">
        <f t="shared" si="13"/>
        <v>Bulega</v>
      </c>
      <c r="F804" s="57">
        <v>547</v>
      </c>
    </row>
    <row r="805" spans="1:6">
      <c r="A805" s="57" t="s">
        <v>1037</v>
      </c>
      <c r="D805" s="57" t="str">
        <f t="shared" si="13"/>
        <v>NTAKE</v>
      </c>
      <c r="F805" s="57">
        <v>547</v>
      </c>
    </row>
    <row r="806" spans="1:6">
      <c r="A806" s="57" t="s">
        <v>1038</v>
      </c>
      <c r="D806" s="57" t="str">
        <f t="shared" si="13"/>
        <v>LUBAGA ROAD</v>
      </c>
      <c r="F806" s="57">
        <v>547</v>
      </c>
    </row>
    <row r="807" spans="1:6">
      <c r="A807" s="57" t="s">
        <v>1039</v>
      </c>
      <c r="D807" s="57" t="str">
        <f t="shared" si="13"/>
        <v>KALEMA ROAD</v>
      </c>
      <c r="F807" s="57">
        <v>547</v>
      </c>
    </row>
    <row r="808" spans="1:6">
      <c r="A808" s="57" t="s">
        <v>1040</v>
      </c>
      <c r="D808" s="57" t="str">
        <f t="shared" si="13"/>
        <v>NDEEBA</v>
      </c>
      <c r="F808" s="57">
        <v>547</v>
      </c>
    </row>
    <row r="809" spans="1:6">
      <c r="A809" s="57" t="s">
        <v>1041</v>
      </c>
      <c r="D809" s="57" t="str">
        <f t="shared" si="13"/>
        <v>MUDEMBA</v>
      </c>
      <c r="F809" s="57">
        <v>547</v>
      </c>
    </row>
    <row r="810" spans="1:6">
      <c r="D810" s="57">
        <f t="shared" si="13"/>
        <v>0</v>
      </c>
      <c r="E810" s="57" t="str">
        <f>A811</f>
        <v>Rubaga</v>
      </c>
      <c r="F810" s="57">
        <v>547</v>
      </c>
    </row>
    <row r="811" spans="1:6">
      <c r="A811" s="57" t="s">
        <v>1042</v>
      </c>
      <c r="D811" s="57" t="str">
        <f t="shared" si="13"/>
        <v>Rubaga</v>
      </c>
      <c r="F811" s="57">
        <v>547</v>
      </c>
    </row>
    <row r="812" spans="1:6">
      <c r="A812" s="57" t="s">
        <v>1043</v>
      </c>
      <c r="D812" s="57" t="str">
        <f t="shared" si="13"/>
        <v>MASANAFU</v>
      </c>
      <c r="F812" s="57">
        <v>547</v>
      </c>
    </row>
    <row r="813" spans="1:6">
      <c r="A813" s="57" t="s">
        <v>1044</v>
      </c>
      <c r="D813" s="57" t="str">
        <f t="shared" si="13"/>
        <v>KIGOOMA</v>
      </c>
      <c r="F813" s="57">
        <v>547</v>
      </c>
    </row>
    <row r="814" spans="1:6">
      <c r="A814" s="57" t="s">
        <v>1045</v>
      </c>
      <c r="D814" s="57" t="str">
        <f t="shared" si="13"/>
        <v>WAKALIGA</v>
      </c>
      <c r="F814" s="57">
        <v>547</v>
      </c>
    </row>
    <row r="815" spans="1:6">
      <c r="A815" s="57" t="s">
        <v>1046</v>
      </c>
      <c r="D815" s="57" t="str">
        <f t="shared" si="13"/>
        <v>NALUKOLONGO</v>
      </c>
      <c r="F815" s="57">
        <v>547</v>
      </c>
    </row>
    <row r="816" spans="1:6">
      <c r="A816" s="57" t="s">
        <v>1047</v>
      </c>
      <c r="B816" s="57" t="s">
        <v>837</v>
      </c>
      <c r="C816" s="57" t="s">
        <v>838</v>
      </c>
      <c r="D816" s="57" t="str">
        <f t="shared" si="13"/>
        <v>SEMBULE</v>
      </c>
      <c r="E816" s="57" t="str">
        <f>A817</f>
        <v>Lubya</v>
      </c>
      <c r="F816" s="57">
        <v>548</v>
      </c>
    </row>
    <row r="817" spans="1:6">
      <c r="A817" s="57" t="s">
        <v>554</v>
      </c>
      <c r="B817" s="57" t="s">
        <v>837</v>
      </c>
      <c r="C817" s="57" t="s">
        <v>838</v>
      </c>
      <c r="D817" s="57" t="str">
        <f t="shared" si="13"/>
        <v>Lubya</v>
      </c>
      <c r="E817" s="57" t="str">
        <f>A818</f>
        <v>Lukuli</v>
      </c>
      <c r="F817" s="57">
        <v>549</v>
      </c>
    </row>
    <row r="818" spans="1:6">
      <c r="A818" s="57" t="s">
        <v>1048</v>
      </c>
      <c r="D818" s="57" t="str">
        <f t="shared" si="13"/>
        <v>Lukuli</v>
      </c>
      <c r="F818" s="57">
        <v>549</v>
      </c>
    </row>
    <row r="819" spans="1:6">
      <c r="A819" s="57" t="s">
        <v>1049</v>
      </c>
      <c r="D819" s="57" t="str">
        <f t="shared" si="13"/>
        <v>LUNGUJA</v>
      </c>
      <c r="F819" s="57">
        <v>549</v>
      </c>
    </row>
    <row r="820" spans="1:6">
      <c r="A820" s="57" t="s">
        <v>1050</v>
      </c>
      <c r="B820" s="57" t="s">
        <v>837</v>
      </c>
      <c r="C820" s="57" t="s">
        <v>838</v>
      </c>
      <c r="D820" s="57" t="str">
        <f t="shared" si="13"/>
        <v>COSOVO</v>
      </c>
      <c r="E820" s="57" t="str">
        <f>A821</f>
        <v>Lungujja</v>
      </c>
      <c r="F820" s="57">
        <v>550</v>
      </c>
    </row>
    <row r="821" spans="1:6">
      <c r="A821" s="57" t="s">
        <v>1051</v>
      </c>
      <c r="D821" s="57" t="str">
        <f t="shared" si="13"/>
        <v>Lungujja</v>
      </c>
      <c r="F821" s="57">
        <v>550</v>
      </c>
    </row>
    <row r="822" spans="1:6">
      <c r="A822" s="57" t="s">
        <v>1052</v>
      </c>
      <c r="D822" s="57" t="str">
        <f t="shared" si="13"/>
        <v>LOYD MAYOR VILLAGE</v>
      </c>
      <c r="F822" s="57">
        <v>550</v>
      </c>
    </row>
    <row r="823" spans="1:6">
      <c r="A823" s="57" t="s">
        <v>1053</v>
      </c>
      <c r="B823" s="57" t="s">
        <v>837</v>
      </c>
      <c r="C823" s="57" t="s">
        <v>838</v>
      </c>
      <c r="D823" s="57" t="str">
        <f t="shared" si="13"/>
        <v>LUBIRI</v>
      </c>
      <c r="E823" s="57" t="str">
        <f>A824</f>
        <v>Luwafu</v>
      </c>
      <c r="F823" s="57">
        <v>551</v>
      </c>
    </row>
    <row r="824" spans="1:6">
      <c r="A824" s="57" t="s">
        <v>1054</v>
      </c>
      <c r="D824" s="57" t="str">
        <f t="shared" si="13"/>
        <v>Luwafu</v>
      </c>
      <c r="F824" s="57">
        <v>551</v>
      </c>
    </row>
    <row r="825" spans="1:6">
      <c r="A825" s="57" t="s">
        <v>1055</v>
      </c>
      <c r="D825" s="57" t="str">
        <f t="shared" si="13"/>
        <v>Lyati stage</v>
      </c>
      <c r="F825" s="57">
        <v>551</v>
      </c>
    </row>
    <row r="826" spans="1:6">
      <c r="A826" s="57" t="s">
        <v>1056</v>
      </c>
      <c r="D826" s="57" t="str">
        <f t="shared" si="13"/>
        <v>Lwasa stage</v>
      </c>
      <c r="F826" s="57">
        <v>551</v>
      </c>
    </row>
    <row r="827" spans="1:6">
      <c r="A827" s="57" t="s">
        <v>1057</v>
      </c>
      <c r="D827" s="57" t="str">
        <f t="shared" si="13"/>
        <v>LUWASA</v>
      </c>
      <c r="F827" s="57">
        <v>551</v>
      </c>
    </row>
    <row r="828" spans="1:6">
      <c r="A828" s="57" t="s">
        <v>1058</v>
      </c>
      <c r="D828" s="57" t="str">
        <f t="shared" si="13"/>
        <v>Kulwasa</v>
      </c>
      <c r="F828" s="57">
        <v>551</v>
      </c>
    </row>
    <row r="829" spans="1:6">
      <c r="A829" s="57" t="s">
        <v>1059</v>
      </c>
      <c r="D829" s="57" t="str">
        <f t="shared" si="13"/>
        <v>Katuba stage</v>
      </c>
      <c r="F829" s="57">
        <v>552</v>
      </c>
    </row>
    <row r="830" spans="1:6">
      <c r="A830" s="57" t="s">
        <v>1060</v>
      </c>
      <c r="B830" s="57" t="s">
        <v>837</v>
      </c>
      <c r="C830" s="57" t="s">
        <v>838</v>
      </c>
      <c r="D830" s="57" t="str">
        <f t="shared" si="13"/>
        <v>UG RAILWAYS</v>
      </c>
      <c r="E830" s="57" t="str">
        <f>A831</f>
        <v>Luzira</v>
      </c>
      <c r="F830" s="57">
        <v>552</v>
      </c>
    </row>
    <row r="831" spans="1:6">
      <c r="A831" s="57" t="s">
        <v>1061</v>
      </c>
      <c r="D831" s="57" t="str">
        <f t="shared" si="13"/>
        <v>Luzira</v>
      </c>
      <c r="F831" s="57">
        <v>552</v>
      </c>
    </row>
    <row r="832" spans="1:6">
      <c r="A832" s="57" t="s">
        <v>1062</v>
      </c>
      <c r="B832" s="57" t="s">
        <v>837</v>
      </c>
      <c r="C832" s="57" t="s">
        <v>838</v>
      </c>
      <c r="D832" s="57" t="str">
        <f t="shared" si="13"/>
        <v>Luzira Portbell</v>
      </c>
      <c r="E832" s="57" t="str">
        <f>A833</f>
        <v>Luzira Prisons</v>
      </c>
      <c r="F832" s="57">
        <v>553</v>
      </c>
    </row>
    <row r="833" spans="1:6">
      <c r="A833" s="57" t="s">
        <v>1063</v>
      </c>
      <c r="D833" s="57" t="str">
        <f t="shared" si="13"/>
        <v>Luzira Prisons</v>
      </c>
      <c r="F833" s="57">
        <v>553</v>
      </c>
    </row>
    <row r="834" spans="1:6">
      <c r="A834" s="57" t="s">
        <v>1064</v>
      </c>
      <c r="B834" s="57" t="s">
        <v>837</v>
      </c>
      <c r="C834" s="57" t="s">
        <v>838</v>
      </c>
      <c r="D834" s="57" t="str">
        <f t="shared" si="13"/>
        <v>BUGEMA</v>
      </c>
      <c r="E834" s="57" t="str">
        <f>A835</f>
        <v>Makerere</v>
      </c>
      <c r="F834" s="57">
        <v>554</v>
      </c>
    </row>
    <row r="835" spans="1:6">
      <c r="A835" s="57" t="s">
        <v>1065</v>
      </c>
      <c r="D835" s="57" t="str">
        <f t="shared" ref="D835:D898" si="14">A835</f>
        <v>Makerere</v>
      </c>
      <c r="F835" s="57">
        <v>555</v>
      </c>
    </row>
    <row r="836" spans="1:6">
      <c r="A836" s="57" t="s">
        <v>1066</v>
      </c>
      <c r="B836" s="57" t="s">
        <v>837</v>
      </c>
      <c r="C836" s="57" t="s">
        <v>838</v>
      </c>
      <c r="D836" s="57" t="str">
        <f t="shared" si="14"/>
        <v>MAKERERE COLLEGE</v>
      </c>
      <c r="E836" s="57" t="str">
        <f>A837</f>
        <v>Makerere University</v>
      </c>
      <c r="F836" s="57">
        <v>555</v>
      </c>
    </row>
    <row r="837" spans="1:6">
      <c r="A837" s="57" t="s">
        <v>1067</v>
      </c>
      <c r="D837" s="57" t="str">
        <f t="shared" si="14"/>
        <v>Makerere University</v>
      </c>
      <c r="F837" s="57">
        <v>555</v>
      </c>
    </row>
    <row r="838" spans="1:6">
      <c r="A838" s="57" t="s">
        <v>1068</v>
      </c>
      <c r="D838" s="57" t="str">
        <f t="shared" si="14"/>
        <v>FEMA</v>
      </c>
      <c r="F838" s="57">
        <v>555</v>
      </c>
    </row>
    <row r="839" spans="1:6">
      <c r="A839" s="57" t="s">
        <v>1069</v>
      </c>
      <c r="D839" s="57" t="str">
        <f t="shared" si="14"/>
        <v>KIKONI</v>
      </c>
      <c r="F839" s="57">
        <v>555</v>
      </c>
    </row>
    <row r="840" spans="1:6">
      <c r="A840" s="57" t="s">
        <v>1070</v>
      </c>
      <c r="D840" s="57" t="str">
        <f t="shared" si="14"/>
        <v>BIIRA</v>
      </c>
      <c r="F840" s="57">
        <v>555</v>
      </c>
    </row>
    <row r="841" spans="1:6">
      <c r="A841" s="57" t="s">
        <v>1071</v>
      </c>
      <c r="D841" s="57" t="str">
        <f t="shared" si="14"/>
        <v>MWENDA-BIIRA</v>
      </c>
      <c r="F841" s="57">
        <v>555</v>
      </c>
    </row>
    <row r="842" spans="1:6">
      <c r="A842" s="57" t="s">
        <v>1072</v>
      </c>
      <c r="B842" s="57" t="s">
        <v>837</v>
      </c>
      <c r="C842" s="57" t="s">
        <v>838</v>
      </c>
      <c r="D842" s="57" t="str">
        <f t="shared" si="14"/>
        <v>SIR APOLO</v>
      </c>
      <c r="E842" s="57" t="str">
        <f>A843</f>
        <v>Makindye</v>
      </c>
      <c r="F842" s="57">
        <v>556</v>
      </c>
    </row>
    <row r="843" spans="1:6">
      <c r="A843" s="57" t="s">
        <v>1073</v>
      </c>
      <c r="B843" s="57" t="s">
        <v>837</v>
      </c>
      <c r="C843" s="57" t="s">
        <v>838</v>
      </c>
      <c r="D843" s="57" t="str">
        <f t="shared" si="14"/>
        <v>Makindye</v>
      </c>
      <c r="E843" s="57" t="str">
        <f>A844</f>
        <v xml:space="preserve">MBUYA </v>
      </c>
      <c r="F843" s="57">
        <v>557</v>
      </c>
    </row>
    <row r="844" spans="1:6">
      <c r="A844" s="57" t="s">
        <v>1074</v>
      </c>
      <c r="D844" s="57" t="str">
        <f t="shared" si="14"/>
        <v xml:space="preserve">MBUYA </v>
      </c>
      <c r="F844" s="57">
        <v>558</v>
      </c>
    </row>
    <row r="845" spans="1:6">
      <c r="A845" s="57" t="s">
        <v>1075</v>
      </c>
      <c r="D845" s="57" t="str">
        <f t="shared" si="14"/>
        <v>NABUNYA</v>
      </c>
      <c r="F845" s="57">
        <v>558</v>
      </c>
    </row>
    <row r="846" spans="1:6">
      <c r="A846" s="57" t="s">
        <v>1076</v>
      </c>
      <c r="D846" s="57" t="str">
        <f t="shared" si="14"/>
        <v>SEKABAKA ROAD</v>
      </c>
      <c r="F846" s="57">
        <v>558</v>
      </c>
    </row>
    <row r="847" spans="1:6">
      <c r="A847" s="57" t="s">
        <v>1077</v>
      </c>
      <c r="B847" s="57" t="s">
        <v>837</v>
      </c>
      <c r="C847" s="57" t="s">
        <v>838</v>
      </c>
      <c r="D847" s="57" t="str">
        <f t="shared" si="14"/>
        <v>SSEKABAKA</v>
      </c>
      <c r="E847" s="57" t="str">
        <f>A848</f>
        <v>Mengo</v>
      </c>
      <c r="F847" s="57">
        <v>558</v>
      </c>
    </row>
    <row r="848" spans="1:6">
      <c r="A848" s="57" t="s">
        <v>1078</v>
      </c>
      <c r="D848" s="57" t="str">
        <f t="shared" si="14"/>
        <v>Mengo</v>
      </c>
      <c r="F848" s="57">
        <v>558</v>
      </c>
    </row>
    <row r="849" spans="1:6">
      <c r="A849" s="57" t="s">
        <v>1079</v>
      </c>
      <c r="D849" s="57" t="str">
        <f t="shared" si="14"/>
        <v>NABULAGALA MENGO</v>
      </c>
      <c r="F849" s="57">
        <v>559</v>
      </c>
    </row>
    <row r="850" spans="1:6">
      <c r="A850" s="57" t="s">
        <v>1080</v>
      </c>
      <c r="D850" s="57" t="str">
        <f t="shared" si="14"/>
        <v>KITEZI</v>
      </c>
      <c r="F850" s="57">
        <v>559</v>
      </c>
    </row>
    <row r="851" spans="1:6">
      <c r="A851" s="57" t="s">
        <v>1081</v>
      </c>
      <c r="B851" s="57" t="s">
        <v>837</v>
      </c>
      <c r="C851" s="57" t="s">
        <v>838</v>
      </c>
      <c r="D851" s="57" t="str">
        <f t="shared" si="14"/>
        <v>LUSANJA</v>
      </c>
      <c r="E851" s="57" t="str">
        <f>A852</f>
        <v>Mpererwe</v>
      </c>
      <c r="F851" s="57">
        <v>559</v>
      </c>
    </row>
    <row r="852" spans="1:6">
      <c r="A852" s="57" t="s">
        <v>1082</v>
      </c>
      <c r="B852" s="57" t="s">
        <v>837</v>
      </c>
      <c r="C852" s="57" t="s">
        <v>838</v>
      </c>
      <c r="D852" s="57" t="str">
        <f t="shared" si="14"/>
        <v>Mpererwe</v>
      </c>
      <c r="E852" s="57" t="str">
        <f>A853</f>
        <v>Mulago</v>
      </c>
      <c r="F852" s="57">
        <v>560</v>
      </c>
    </row>
    <row r="853" spans="1:6">
      <c r="A853" s="57" t="s">
        <v>1083</v>
      </c>
      <c r="D853" s="57" t="str">
        <f t="shared" si="14"/>
        <v>Mulago</v>
      </c>
      <c r="F853" s="57">
        <v>560</v>
      </c>
    </row>
    <row r="854" spans="1:6">
      <c r="A854" s="57" t="s">
        <v>1084</v>
      </c>
      <c r="D854" s="57" t="str">
        <f t="shared" si="14"/>
        <v>Mawanda</v>
      </c>
      <c r="F854" s="57">
        <v>560</v>
      </c>
    </row>
    <row r="855" spans="1:6">
      <c r="A855" s="57" t="s">
        <v>1085</v>
      </c>
      <c r="D855" s="57" t="str">
        <f t="shared" si="14"/>
        <v>Mawanda Rd</v>
      </c>
      <c r="F855" s="57">
        <v>560</v>
      </c>
    </row>
    <row r="856" spans="1:6">
      <c r="A856" s="57" t="s">
        <v>1086</v>
      </c>
      <c r="B856" s="57" t="s">
        <v>837</v>
      </c>
      <c r="C856" s="57" t="s">
        <v>838</v>
      </c>
      <c r="D856" s="57" t="str">
        <f t="shared" si="14"/>
        <v>KITANTE</v>
      </c>
      <c r="E856" s="57" t="str">
        <f>A857</f>
        <v>Mutundwe</v>
      </c>
      <c r="F856" s="57">
        <v>561</v>
      </c>
    </row>
    <row r="857" spans="1:6">
      <c r="A857" s="57" t="s">
        <v>1087</v>
      </c>
      <c r="D857" s="57" t="str">
        <f t="shared" si="14"/>
        <v>Mutundwe</v>
      </c>
      <c r="F857" s="57">
        <v>561</v>
      </c>
    </row>
    <row r="858" spans="1:6">
      <c r="A858" s="57" t="s">
        <v>1088</v>
      </c>
      <c r="D858" s="57" t="str">
        <f t="shared" si="14"/>
        <v>KITEBI</v>
      </c>
      <c r="F858" s="57">
        <v>561</v>
      </c>
    </row>
    <row r="859" spans="1:6">
      <c r="A859" s="57" t="s">
        <v>1089</v>
      </c>
      <c r="D859" s="57" t="str">
        <f t="shared" si="14"/>
        <v>KISIGULA</v>
      </c>
      <c r="F859" s="57">
        <v>561</v>
      </c>
    </row>
    <row r="860" spans="1:6">
      <c r="A860" s="57" t="s">
        <v>1090</v>
      </c>
      <c r="D860" s="57" t="str">
        <f t="shared" si="14"/>
        <v>NALUMUNYE</v>
      </c>
      <c r="F860" s="57">
        <v>561</v>
      </c>
    </row>
    <row r="861" spans="1:6">
      <c r="A861" s="57" t="s">
        <v>1091</v>
      </c>
      <c r="D861" s="57" t="str">
        <f t="shared" si="14"/>
        <v>NALUMUYE</v>
      </c>
      <c r="F861" s="57">
        <v>561</v>
      </c>
    </row>
    <row r="862" spans="1:6">
      <c r="A862" s="57" t="s">
        <v>1092</v>
      </c>
      <c r="D862" s="57" t="str">
        <f t="shared" si="14"/>
        <v>MUTUNDO</v>
      </c>
      <c r="F862" s="57">
        <v>561</v>
      </c>
    </row>
    <row r="863" spans="1:6">
      <c r="A863" s="57" t="s">
        <v>1093</v>
      </c>
      <c r="B863" s="57" t="s">
        <v>837</v>
      </c>
      <c r="C863" s="57" t="s">
        <v>838</v>
      </c>
      <c r="D863" s="57" t="str">
        <f t="shared" si="14"/>
        <v>Nyanama</v>
      </c>
      <c r="E863" s="57" t="str">
        <f>A864</f>
        <v>Mutungo</v>
      </c>
      <c r="F863" s="57">
        <v>562</v>
      </c>
    </row>
    <row r="864" spans="1:6">
      <c r="A864" s="57" t="s">
        <v>1094</v>
      </c>
      <c r="D864" s="57" t="str">
        <f t="shared" si="14"/>
        <v>Mutungo</v>
      </c>
      <c r="F864" s="57">
        <v>562</v>
      </c>
    </row>
    <row r="865" spans="1:6">
      <c r="A865" s="57" t="s">
        <v>1095</v>
      </c>
      <c r="D865" s="57" t="str">
        <f t="shared" si="14"/>
        <v>Kigowa</v>
      </c>
      <c r="F865" s="57">
        <v>562</v>
      </c>
    </row>
    <row r="866" spans="1:6">
      <c r="A866" s="57" t="s">
        <v>1096</v>
      </c>
      <c r="B866" s="57" t="s">
        <v>837</v>
      </c>
      <c r="C866" s="57" t="s">
        <v>838</v>
      </c>
      <c r="D866" s="57" t="str">
        <f t="shared" si="14"/>
        <v>BIINA</v>
      </c>
      <c r="E866" s="57" t="str">
        <f>A867</f>
        <v>Nabisunsa</v>
      </c>
      <c r="F866" s="57">
        <v>563</v>
      </c>
    </row>
    <row r="867" spans="1:6">
      <c r="A867" s="57" t="s">
        <v>1097</v>
      </c>
      <c r="B867" s="57" t="s">
        <v>837</v>
      </c>
      <c r="C867" s="57" t="s">
        <v>838</v>
      </c>
      <c r="D867" s="57" t="str">
        <f t="shared" si="14"/>
        <v>Nabisunsa</v>
      </c>
      <c r="E867" s="57" t="str">
        <f>A868</f>
        <v>Naguru</v>
      </c>
      <c r="F867" s="57">
        <v>564</v>
      </c>
    </row>
    <row r="868" spans="1:6">
      <c r="A868" s="57" t="s">
        <v>1098</v>
      </c>
      <c r="D868" s="57" t="str">
        <f t="shared" si="14"/>
        <v>Naguru</v>
      </c>
      <c r="F868" s="57">
        <v>564</v>
      </c>
    </row>
    <row r="869" spans="1:6">
      <c r="A869" s="57" t="s">
        <v>838</v>
      </c>
      <c r="B869" s="57" t="s">
        <v>837</v>
      </c>
      <c r="C869" s="57" t="s">
        <v>838</v>
      </c>
      <c r="D869" s="57" t="str">
        <f t="shared" si="14"/>
        <v>KCCA</v>
      </c>
      <c r="E869" s="57" t="str">
        <f>A870</f>
        <v>Najjanankumbi</v>
      </c>
      <c r="F869" s="57">
        <v>565</v>
      </c>
    </row>
    <row r="870" spans="1:6">
      <c r="A870" s="57" t="s">
        <v>1099</v>
      </c>
      <c r="D870" s="57" t="str">
        <f t="shared" si="14"/>
        <v>Najjanankumbi</v>
      </c>
      <c r="F870" s="57">
        <v>565</v>
      </c>
    </row>
    <row r="871" spans="1:6">
      <c r="A871" s="57" t="s">
        <v>1100</v>
      </c>
      <c r="D871" s="57" t="str">
        <f t="shared" si="14"/>
        <v>NAJJANAKUMBI</v>
      </c>
      <c r="F871" s="57">
        <v>565</v>
      </c>
    </row>
    <row r="872" spans="1:6">
      <c r="A872" s="57" t="s">
        <v>1101</v>
      </c>
      <c r="D872" s="57" t="str">
        <f t="shared" si="14"/>
        <v>STELLA</v>
      </c>
      <c r="F872" s="57">
        <v>565</v>
      </c>
    </row>
    <row r="873" spans="1:6">
      <c r="A873" s="57" t="s">
        <v>1102</v>
      </c>
      <c r="D873" s="57" t="str">
        <f t="shared" si="14"/>
        <v>Freedom city</v>
      </c>
      <c r="F873" s="57">
        <v>565</v>
      </c>
    </row>
    <row r="874" spans="1:6">
      <c r="A874" s="57" t="s">
        <v>1103</v>
      </c>
      <c r="D874" s="57" t="str">
        <f t="shared" si="14"/>
        <v>Zana</v>
      </c>
      <c r="F874" s="57">
        <v>565</v>
      </c>
    </row>
    <row r="875" spans="1:6">
      <c r="A875" s="57" t="s">
        <v>1104</v>
      </c>
      <c r="D875" s="57" t="str">
        <f t="shared" si="14"/>
        <v>ZAANA</v>
      </c>
      <c r="F875" s="57">
        <v>566</v>
      </c>
    </row>
    <row r="876" spans="1:6">
      <c r="A876" s="57" t="s">
        <v>1105</v>
      </c>
      <c r="B876" s="57" t="s">
        <v>837</v>
      </c>
      <c r="C876" s="57" t="s">
        <v>838</v>
      </c>
      <c r="D876" s="57" t="str">
        <f t="shared" si="14"/>
        <v>SERENA</v>
      </c>
      <c r="E876" s="57" t="str">
        <f>A877</f>
        <v>Nakasero</v>
      </c>
      <c r="F876" s="57">
        <v>566</v>
      </c>
    </row>
    <row r="877" spans="1:6">
      <c r="A877" s="57" t="s">
        <v>1106</v>
      </c>
      <c r="D877" s="57" t="str">
        <f t="shared" si="14"/>
        <v>Nakasero</v>
      </c>
      <c r="F877" s="57">
        <v>566</v>
      </c>
    </row>
    <row r="878" spans="1:6">
      <c r="A878" s="57" t="s">
        <v>1107</v>
      </c>
      <c r="D878" s="57" t="str">
        <f t="shared" si="14"/>
        <v>TURKISH EMBASSY</v>
      </c>
      <c r="F878" s="57">
        <v>566</v>
      </c>
    </row>
    <row r="879" spans="1:6">
      <c r="A879" s="57" t="s">
        <v>1108</v>
      </c>
      <c r="D879" s="57" t="str">
        <f t="shared" si="14"/>
        <v>Hotel Africana</v>
      </c>
      <c r="F879" s="57">
        <v>566</v>
      </c>
    </row>
    <row r="880" spans="1:6">
      <c r="A880" s="57" t="s">
        <v>1109</v>
      </c>
      <c r="D880" s="57" t="str">
        <f t="shared" si="14"/>
        <v>National theatre</v>
      </c>
      <c r="F880" s="57">
        <v>566</v>
      </c>
    </row>
    <row r="881" spans="1:6">
      <c r="A881" s="57" t="s">
        <v>1110</v>
      </c>
      <c r="D881" s="57" t="str">
        <f t="shared" si="14"/>
        <v>SUPREME COURT</v>
      </c>
      <c r="F881" s="57">
        <v>566</v>
      </c>
    </row>
    <row r="882" spans="1:6">
      <c r="A882" s="57" t="s">
        <v>1111</v>
      </c>
      <c r="D882" s="57" t="str">
        <f t="shared" si="14"/>
        <v>NAKASERO MARKET</v>
      </c>
      <c r="F882" s="57">
        <v>566</v>
      </c>
    </row>
    <row r="883" spans="1:6">
      <c r="A883" s="57" t="s">
        <v>1112</v>
      </c>
      <c r="D883" s="57" t="str">
        <f t="shared" si="14"/>
        <v>PARLIAMENT</v>
      </c>
      <c r="F883" s="57">
        <v>566</v>
      </c>
    </row>
    <row r="884" spans="1:6">
      <c r="A884" s="57" t="s">
        <v>1113</v>
      </c>
      <c r="D884" s="57" t="str">
        <f t="shared" si="14"/>
        <v>PARLIAMENT AVENUE</v>
      </c>
      <c r="F884" s="57">
        <v>566</v>
      </c>
    </row>
    <row r="885" spans="1:6">
      <c r="A885" s="57" t="s">
        <v>1114</v>
      </c>
      <c r="D885" s="57" t="str">
        <f t="shared" si="14"/>
        <v>PALIAMENT AVE</v>
      </c>
      <c r="F885" s="57">
        <v>566</v>
      </c>
    </row>
    <row r="886" spans="1:6">
      <c r="A886" s="57" t="s">
        <v>1115</v>
      </c>
      <c r="B886" s="57" t="s">
        <v>837</v>
      </c>
      <c r="C886" s="57" t="s">
        <v>838</v>
      </c>
      <c r="D886" s="57" t="str">
        <f t="shared" si="14"/>
        <v>KAMPALA ROAD</v>
      </c>
      <c r="E886" s="57" t="str">
        <f>A887</f>
        <v>Nakawa</v>
      </c>
      <c r="F886" s="57">
        <v>567</v>
      </c>
    </row>
    <row r="887" spans="1:6">
      <c r="A887" s="57" t="s">
        <v>1116</v>
      </c>
      <c r="D887" s="57" t="str">
        <f t="shared" si="14"/>
        <v>Nakawa</v>
      </c>
      <c r="F887" s="57">
        <v>567</v>
      </c>
    </row>
    <row r="888" spans="1:6">
      <c r="A888" s="57" t="s">
        <v>1117</v>
      </c>
      <c r="D888" s="57" t="str">
        <f t="shared" si="14"/>
        <v>UBER HOUSE</v>
      </c>
      <c r="F888" s="57">
        <v>567</v>
      </c>
    </row>
    <row r="889" spans="1:6">
      <c r="A889" s="57" t="s">
        <v>1118</v>
      </c>
      <c r="B889" s="57" t="s">
        <v>837</v>
      </c>
      <c r="C889" s="57" t="s">
        <v>838</v>
      </c>
      <c r="D889" s="57" t="str">
        <f t="shared" si="14"/>
        <v>BOND NAKAWA</v>
      </c>
      <c r="E889" s="57" t="str">
        <f>A890</f>
        <v>Nakawa Institute</v>
      </c>
      <c r="F889" s="57">
        <v>568</v>
      </c>
    </row>
    <row r="890" spans="1:6">
      <c r="A890" s="57" t="s">
        <v>1119</v>
      </c>
      <c r="B890" s="57" t="s">
        <v>837</v>
      </c>
      <c r="C890" s="57" t="s">
        <v>838</v>
      </c>
      <c r="D890" s="57" t="str">
        <f t="shared" si="14"/>
        <v>Nakawa Institute</v>
      </c>
      <c r="E890" s="57" t="str">
        <f>A891</f>
        <v>Nakivubo Shauriyaako</v>
      </c>
      <c r="F890" s="57">
        <v>569</v>
      </c>
    </row>
    <row r="891" spans="1:6">
      <c r="A891" s="57" t="s">
        <v>1120</v>
      </c>
      <c r="D891" s="57" t="str">
        <f t="shared" si="14"/>
        <v>Nakivubo Shauriyaako</v>
      </c>
      <c r="F891" s="57">
        <v>569</v>
      </c>
    </row>
    <row r="892" spans="1:6">
      <c r="A892" s="57" t="s">
        <v>1121</v>
      </c>
      <c r="D892" s="57" t="str">
        <f t="shared" si="14"/>
        <v>NAKIVUBO</v>
      </c>
      <c r="F892" s="57">
        <v>569</v>
      </c>
    </row>
    <row r="893" spans="1:6">
      <c r="A893" s="57" t="s">
        <v>1122</v>
      </c>
      <c r="D893" s="57" t="str">
        <f t="shared" si="14"/>
        <v>KISEKA</v>
      </c>
      <c r="F893" s="57">
        <v>569</v>
      </c>
    </row>
    <row r="894" spans="1:6">
      <c r="A894" s="57" t="s">
        <v>1123</v>
      </c>
      <c r="D894" s="57" t="str">
        <f t="shared" si="14"/>
        <v>WILIAM STREET</v>
      </c>
      <c r="F894" s="57">
        <v>569</v>
      </c>
    </row>
    <row r="895" spans="1:6">
      <c r="A895" s="57" t="s">
        <v>1124</v>
      </c>
      <c r="D895" s="57" t="str">
        <f t="shared" si="14"/>
        <v>NAMAVE</v>
      </c>
      <c r="F895" s="57">
        <v>569</v>
      </c>
    </row>
    <row r="896" spans="1:6">
      <c r="A896" s="57" t="s">
        <v>1125</v>
      </c>
      <c r="D896" s="57" t="str">
        <f t="shared" si="14"/>
        <v>NAMANVE</v>
      </c>
      <c r="F896" s="57">
        <v>570</v>
      </c>
    </row>
    <row r="897" spans="1:6">
      <c r="A897" s="57" t="s">
        <v>1126</v>
      </c>
      <c r="B897" s="57" t="s">
        <v>837</v>
      </c>
      <c r="C897" s="57" t="s">
        <v>838</v>
      </c>
      <c r="D897" s="57" t="str">
        <f t="shared" si="14"/>
        <v xml:space="preserve">KAYIWA STAGE </v>
      </c>
      <c r="E897" s="57" t="str">
        <f>A898</f>
        <v>Namirembe</v>
      </c>
      <c r="F897" s="57">
        <v>570</v>
      </c>
    </row>
    <row r="898" spans="1:6">
      <c r="A898" s="57" t="s">
        <v>1127</v>
      </c>
      <c r="D898" s="57" t="str">
        <f t="shared" si="14"/>
        <v>Namirembe</v>
      </c>
      <c r="F898" s="57">
        <v>570</v>
      </c>
    </row>
    <row r="899" spans="1:6">
      <c r="A899" s="57" t="s">
        <v>1128</v>
      </c>
      <c r="D899" s="57" t="str">
        <f t="shared" ref="D899:D962" si="15">A899</f>
        <v>NAMIREMBE ROAD</v>
      </c>
      <c r="F899" s="57">
        <v>570</v>
      </c>
    </row>
    <row r="900" spans="1:6">
      <c r="A900" s="57" t="s">
        <v>1129</v>
      </c>
      <c r="D900" s="57" t="str">
        <f t="shared" si="15"/>
        <v>BILALI</v>
      </c>
      <c r="E900" s="57" t="str">
        <f>A901</f>
        <v>bakuli</v>
      </c>
      <c r="F900" s="57">
        <v>570</v>
      </c>
    </row>
    <row r="901" spans="1:6">
      <c r="A901" s="57" t="s">
        <v>1130</v>
      </c>
      <c r="B901" s="57" t="s">
        <v>837</v>
      </c>
      <c r="C901" s="57" t="s">
        <v>838</v>
      </c>
      <c r="D901" s="57" t="str">
        <f t="shared" si="15"/>
        <v>bakuli</v>
      </c>
      <c r="E901" s="57" t="str">
        <f>A902</f>
        <v>Nankulabye</v>
      </c>
      <c r="F901" s="57">
        <v>571</v>
      </c>
    </row>
    <row r="902" spans="1:6">
      <c r="A902" s="57" t="s">
        <v>1131</v>
      </c>
      <c r="D902" s="57" t="str">
        <f t="shared" si="15"/>
        <v>Nankulabye</v>
      </c>
      <c r="F902" s="57">
        <v>571</v>
      </c>
    </row>
    <row r="903" spans="1:6">
      <c r="A903" s="57" t="s">
        <v>1132</v>
      </c>
      <c r="B903" s="57" t="s">
        <v>837</v>
      </c>
      <c r="C903" s="57" t="s">
        <v>838</v>
      </c>
      <c r="D903" s="57" t="str">
        <f t="shared" si="15"/>
        <v>NAKULABYE</v>
      </c>
      <c r="E903" s="57" t="str">
        <f>A904</f>
        <v>Nateete</v>
      </c>
      <c r="F903" s="57">
        <v>572</v>
      </c>
    </row>
    <row r="904" spans="1:6">
      <c r="A904" s="57" t="s">
        <v>1133</v>
      </c>
      <c r="D904" s="57" t="str">
        <f t="shared" si="15"/>
        <v>Nateete</v>
      </c>
      <c r="F904" s="57">
        <v>572</v>
      </c>
    </row>
    <row r="905" spans="1:6">
      <c r="A905" s="57" t="s">
        <v>1134</v>
      </c>
      <c r="D905" s="57" t="str">
        <f t="shared" si="15"/>
        <v>NATEETE PARKING</v>
      </c>
      <c r="E905" s="57" t="str">
        <f t="shared" ref="E905:E914" si="16">A906</f>
        <v>Natete</v>
      </c>
      <c r="F905" s="57">
        <v>572</v>
      </c>
    </row>
    <row r="906" spans="1:6">
      <c r="A906" s="57" t="s">
        <v>1135</v>
      </c>
      <c r="B906" s="57" t="s">
        <v>837</v>
      </c>
      <c r="C906" s="57" t="s">
        <v>838</v>
      </c>
      <c r="D906" s="57" t="str">
        <f t="shared" si="15"/>
        <v>Natete</v>
      </c>
      <c r="E906" s="57" t="str">
        <f t="shared" si="16"/>
        <v>Ndeeba</v>
      </c>
      <c r="F906" s="57">
        <v>573</v>
      </c>
    </row>
    <row r="907" spans="1:6">
      <c r="A907" s="57" t="s">
        <v>1136</v>
      </c>
      <c r="D907" s="57" t="str">
        <f t="shared" si="15"/>
        <v>Ndeeba</v>
      </c>
      <c r="E907" s="57" t="str">
        <f t="shared" si="16"/>
        <v>Ndeba</v>
      </c>
      <c r="F907" s="57">
        <v>573</v>
      </c>
    </row>
    <row r="908" spans="1:6">
      <c r="A908" s="57" t="s">
        <v>1137</v>
      </c>
      <c r="B908" s="57" t="s">
        <v>837</v>
      </c>
      <c r="C908" s="57" t="s">
        <v>838</v>
      </c>
      <c r="D908" s="57" t="str">
        <f t="shared" si="15"/>
        <v>Ndeba</v>
      </c>
      <c r="E908" s="57" t="str">
        <f t="shared" si="16"/>
        <v>Nsambya</v>
      </c>
      <c r="F908" s="57">
        <v>574</v>
      </c>
    </row>
    <row r="909" spans="1:6">
      <c r="A909" s="57" t="s">
        <v>1138</v>
      </c>
      <c r="D909" s="57" t="str">
        <f t="shared" si="15"/>
        <v>Nsambya</v>
      </c>
      <c r="F909" s="57">
        <v>574</v>
      </c>
    </row>
    <row r="910" spans="1:6">
      <c r="A910" s="57" t="s">
        <v>1139</v>
      </c>
      <c r="D910" s="57" t="str">
        <f t="shared" si="15"/>
        <v>Kinkizi Traders</v>
      </c>
      <c r="F910" s="57">
        <v>574</v>
      </c>
    </row>
    <row r="911" spans="1:6">
      <c r="A911" s="57" t="s">
        <v>1140</v>
      </c>
      <c r="D911" s="57" t="str">
        <f t="shared" si="15"/>
        <v>VILLA PARK</v>
      </c>
      <c r="E911" s="57" t="str">
        <f t="shared" si="16"/>
        <v>Nsabya</v>
      </c>
      <c r="F911" s="57">
        <v>574</v>
      </c>
    </row>
    <row r="912" spans="1:6">
      <c r="A912" s="57" t="s">
        <v>1141</v>
      </c>
      <c r="B912" s="57" t="s">
        <v>837</v>
      </c>
      <c r="C912" s="57" t="s">
        <v>838</v>
      </c>
      <c r="D912" s="57" t="str">
        <f t="shared" si="15"/>
        <v>Nsabya</v>
      </c>
      <c r="E912" s="57" t="str">
        <f t="shared" si="16"/>
        <v>Nsambya Police Barracks</v>
      </c>
      <c r="F912" s="57">
        <v>575</v>
      </c>
    </row>
    <row r="913" spans="1:6">
      <c r="A913" s="57" t="s">
        <v>1142</v>
      </c>
      <c r="B913" s="57" t="s">
        <v>837</v>
      </c>
      <c r="C913" s="57" t="s">
        <v>838</v>
      </c>
      <c r="D913" s="57" t="str">
        <f t="shared" si="15"/>
        <v>Nsambya Police Barracks</v>
      </c>
      <c r="E913" s="57" t="str">
        <f t="shared" si="16"/>
        <v>Nsambya Railway</v>
      </c>
      <c r="F913" s="57">
        <v>576</v>
      </c>
    </row>
    <row r="914" spans="1:6">
      <c r="A914" s="57" t="s">
        <v>1143</v>
      </c>
      <c r="B914" s="57" t="s">
        <v>837</v>
      </c>
      <c r="C914" s="57" t="s">
        <v>838</v>
      </c>
      <c r="D914" s="57" t="str">
        <f t="shared" si="15"/>
        <v>Nsambya Railway</v>
      </c>
      <c r="E914" s="57" t="str">
        <f t="shared" si="16"/>
        <v>Ntinda</v>
      </c>
      <c r="F914" s="57">
        <v>577</v>
      </c>
    </row>
    <row r="915" spans="1:6">
      <c r="A915" s="57" t="s">
        <v>1144</v>
      </c>
      <c r="D915" s="57" t="str">
        <f t="shared" si="15"/>
        <v>Ntinda</v>
      </c>
      <c r="F915" s="57">
        <v>577</v>
      </c>
    </row>
    <row r="916" spans="1:6">
      <c r="A916" s="57" t="s">
        <v>1145</v>
      </c>
      <c r="B916" s="57" t="s">
        <v>837</v>
      </c>
      <c r="C916" s="57" t="s">
        <v>838</v>
      </c>
      <c r="D916" s="57" t="str">
        <f t="shared" si="15"/>
        <v>MTINDA</v>
      </c>
      <c r="E916" s="57" t="str">
        <f>A917</f>
        <v>Old Kampala</v>
      </c>
      <c r="F916" s="57">
        <v>578</v>
      </c>
    </row>
    <row r="917" spans="1:6">
      <c r="A917" s="57" t="s">
        <v>1146</v>
      </c>
      <c r="D917" s="57" t="str">
        <f t="shared" si="15"/>
        <v>Old Kampala</v>
      </c>
      <c r="F917" s="57">
        <v>578</v>
      </c>
    </row>
    <row r="918" spans="1:6">
      <c r="A918" s="57" t="s">
        <v>1147</v>
      </c>
      <c r="D918" s="57" t="str">
        <f t="shared" si="15"/>
        <v>MUKWANO MALL</v>
      </c>
      <c r="F918" s="57">
        <v>578</v>
      </c>
    </row>
    <row r="919" spans="1:6">
      <c r="A919" s="57" t="s">
        <v>1148</v>
      </c>
      <c r="D919" s="57" t="str">
        <f t="shared" si="15"/>
        <v>OLD KAKPALA</v>
      </c>
      <c r="F919" s="57">
        <v>579</v>
      </c>
    </row>
    <row r="920" spans="1:6">
      <c r="A920" s="57" t="s">
        <v>1149</v>
      </c>
      <c r="B920" s="57" t="s">
        <v>837</v>
      </c>
      <c r="C920" s="57" t="s">
        <v>838</v>
      </c>
      <c r="D920" s="57" t="str">
        <f t="shared" si="15"/>
        <v>KIBIRI</v>
      </c>
      <c r="E920" s="57" t="str">
        <f>A921</f>
        <v>Salaama</v>
      </c>
      <c r="F920" s="57">
        <v>579</v>
      </c>
    </row>
    <row r="921" spans="1:6">
      <c r="A921" s="57" t="s">
        <v>1150</v>
      </c>
      <c r="D921" s="57" t="str">
        <f t="shared" si="15"/>
        <v>Salaama</v>
      </c>
      <c r="E921" s="57" t="str">
        <f>A922</f>
        <v>Salama</v>
      </c>
      <c r="F921" s="57">
        <v>579</v>
      </c>
    </row>
    <row r="922" spans="1:6">
      <c r="A922" s="57" t="s">
        <v>1151</v>
      </c>
      <c r="D922" s="57" t="str">
        <f t="shared" si="15"/>
        <v>Salama</v>
      </c>
      <c r="F922" s="57">
        <v>579</v>
      </c>
    </row>
    <row r="923" spans="1:6">
      <c r="A923" s="57" t="s">
        <v>1152</v>
      </c>
      <c r="D923" s="57" t="str">
        <f t="shared" si="15"/>
        <v>SALAMA ROAD</v>
      </c>
      <c r="E923" s="57" t="str">
        <f>A924</f>
        <v>Mayanja</v>
      </c>
      <c r="F923" s="57">
        <v>579</v>
      </c>
    </row>
    <row r="924" spans="1:6">
      <c r="A924" s="57" t="s">
        <v>1153</v>
      </c>
      <c r="D924" s="57" t="str">
        <f t="shared" si="15"/>
        <v>Mayanja</v>
      </c>
      <c r="E924" s="57" t="str">
        <f>A925</f>
        <v>Kyamula</v>
      </c>
      <c r="F924" s="57">
        <v>579</v>
      </c>
    </row>
    <row r="925" spans="1:6">
      <c r="A925" s="57" t="s">
        <v>1154</v>
      </c>
      <c r="D925" s="57" t="str">
        <f t="shared" si="15"/>
        <v>Kyamula</v>
      </c>
      <c r="E925" s="57" t="str">
        <f>A926</f>
        <v>St Ponsiano</v>
      </c>
      <c r="F925" s="57">
        <v>579</v>
      </c>
    </row>
    <row r="926" spans="1:6">
      <c r="A926" s="57" t="s">
        <v>1155</v>
      </c>
      <c r="D926" s="57" t="str">
        <f t="shared" si="15"/>
        <v>St Ponsiano</v>
      </c>
      <c r="F926" s="57">
        <v>579</v>
      </c>
    </row>
    <row r="927" spans="1:6">
      <c r="A927" s="57" t="s">
        <v>1156</v>
      </c>
      <c r="D927" s="57" t="str">
        <f t="shared" si="15"/>
        <v>Muswangali</v>
      </c>
      <c r="F927" s="57">
        <v>579</v>
      </c>
    </row>
    <row r="928" spans="1:6">
      <c r="A928" s="57" t="s">
        <v>1157</v>
      </c>
      <c r="B928" s="57" t="s">
        <v>837</v>
      </c>
      <c r="C928" s="57" t="s">
        <v>838</v>
      </c>
      <c r="D928" s="57" t="str">
        <f t="shared" si="15"/>
        <v>Kulekana</v>
      </c>
      <c r="E928" s="57" t="str">
        <f>A929</f>
        <v>Upk</v>
      </c>
      <c r="F928" s="57">
        <v>580</v>
      </c>
    </row>
    <row r="929" spans="1:6">
      <c r="A929" s="57" t="s">
        <v>1158</v>
      </c>
      <c r="B929" s="57" t="s">
        <v>837</v>
      </c>
      <c r="C929" s="57" t="s">
        <v>838</v>
      </c>
      <c r="D929" s="57" t="str">
        <f t="shared" si="15"/>
        <v>Upk</v>
      </c>
      <c r="E929" s="57" t="str">
        <f>A930</f>
        <v>Upper Estate</v>
      </c>
      <c r="F929" s="57">
        <v>581</v>
      </c>
    </row>
    <row r="930" spans="1:6">
      <c r="A930" s="57" t="s">
        <v>1159</v>
      </c>
      <c r="B930" s="57" t="s">
        <v>837</v>
      </c>
      <c r="C930" s="57" t="s">
        <v>838</v>
      </c>
      <c r="D930" s="57" t="str">
        <f t="shared" si="15"/>
        <v>Upper Estate</v>
      </c>
      <c r="E930" s="57" t="str">
        <f>A931</f>
        <v>Wabigalo</v>
      </c>
      <c r="F930" s="57">
        <v>582</v>
      </c>
    </row>
    <row r="931" spans="1:6">
      <c r="A931" s="57" t="s">
        <v>1160</v>
      </c>
      <c r="D931" s="57" t="str">
        <f t="shared" si="15"/>
        <v>Wabigalo</v>
      </c>
      <c r="F931" s="57">
        <v>582</v>
      </c>
    </row>
    <row r="932" spans="1:6">
      <c r="A932" s="57" t="s">
        <v>1161</v>
      </c>
      <c r="D932" s="57" t="str">
        <f t="shared" si="15"/>
        <v>BUGANDA ROAD</v>
      </c>
      <c r="F932" s="57">
        <v>583</v>
      </c>
    </row>
    <row r="933" spans="1:6">
      <c r="A933" s="57" t="s">
        <v>1162</v>
      </c>
      <c r="D933" s="57" t="str">
        <f t="shared" si="15"/>
        <v>Ham towers</v>
      </c>
      <c r="F933" s="57">
        <v>583</v>
      </c>
    </row>
    <row r="934" spans="1:6">
      <c r="A934" s="57" t="s">
        <v>1163</v>
      </c>
      <c r="D934" s="57" t="str">
        <f t="shared" si="15"/>
        <v>WANDEGEYA</v>
      </c>
      <c r="F934" s="57">
        <v>583</v>
      </c>
    </row>
    <row r="935" spans="1:6">
      <c r="A935" s="57" t="s">
        <v>1164</v>
      </c>
      <c r="B935" s="57" t="s">
        <v>837</v>
      </c>
      <c r="C935" s="57" t="s">
        <v>838</v>
      </c>
      <c r="D935" s="57" t="str">
        <f t="shared" si="15"/>
        <v>LUMUMBA</v>
      </c>
      <c r="E935" s="57" t="str">
        <f>A936</f>
        <v>Wandegeya</v>
      </c>
      <c r="F935" s="57">
        <v>583</v>
      </c>
    </row>
    <row r="936" spans="1:6">
      <c r="A936" s="57" t="s">
        <v>1165</v>
      </c>
      <c r="B936" s="57" t="s">
        <v>1166</v>
      </c>
      <c r="C936" s="57" t="s">
        <v>1167</v>
      </c>
      <c r="D936" s="57" t="str">
        <f t="shared" si="15"/>
        <v>Wandegeya</v>
      </c>
      <c r="F936" s="57">
        <v>584</v>
      </c>
    </row>
    <row r="937" spans="1:6">
      <c r="A937" s="57" t="s">
        <v>1168</v>
      </c>
      <c r="B937" s="57" t="s">
        <v>1166</v>
      </c>
      <c r="C937" s="57" t="s">
        <v>1169</v>
      </c>
      <c r="D937" s="57" t="str">
        <f t="shared" si="15"/>
        <v>Balawoli</v>
      </c>
      <c r="F937" s="57">
        <v>585</v>
      </c>
    </row>
    <row r="938" spans="1:6">
      <c r="A938" s="57" t="s">
        <v>1170</v>
      </c>
      <c r="B938" s="57" t="s">
        <v>1166</v>
      </c>
      <c r="C938" s="57" t="s">
        <v>1167</v>
      </c>
      <c r="D938" s="57" t="str">
        <f t="shared" si="15"/>
        <v>Bugulumbya</v>
      </c>
      <c r="F938" s="57">
        <v>586</v>
      </c>
    </row>
    <row r="939" spans="1:6">
      <c r="A939" s="57" t="s">
        <v>1171</v>
      </c>
      <c r="B939" s="57" t="s">
        <v>1166</v>
      </c>
      <c r="C939" s="57" t="s">
        <v>1167</v>
      </c>
      <c r="D939" s="57" t="str">
        <f t="shared" si="15"/>
        <v>Bulopa</v>
      </c>
      <c r="F939" s="57">
        <v>587</v>
      </c>
    </row>
    <row r="940" spans="1:6">
      <c r="A940" s="57" t="s">
        <v>1172</v>
      </c>
      <c r="D940" s="57" t="str">
        <f t="shared" si="15"/>
        <v>Butansi</v>
      </c>
      <c r="F940" s="57">
        <v>588</v>
      </c>
    </row>
    <row r="941" spans="1:6">
      <c r="A941" s="57" t="s">
        <v>1166</v>
      </c>
      <c r="B941" s="57" t="s">
        <v>1166</v>
      </c>
      <c r="C941" s="57" t="s">
        <v>1173</v>
      </c>
      <c r="D941" s="57" t="str">
        <f t="shared" si="15"/>
        <v>Kamuli</v>
      </c>
      <c r="F941" s="57">
        <v>588</v>
      </c>
    </row>
    <row r="942" spans="1:6">
      <c r="A942" s="57" t="s">
        <v>1173</v>
      </c>
      <c r="B942" s="57" t="s">
        <v>1166</v>
      </c>
      <c r="C942" s="57" t="s">
        <v>1169</v>
      </c>
      <c r="D942" s="57" t="str">
        <f t="shared" si="15"/>
        <v>Kamuli Municipality</v>
      </c>
      <c r="F942" s="57">
        <v>589</v>
      </c>
    </row>
    <row r="943" spans="1:6">
      <c r="A943" s="57" t="s">
        <v>1174</v>
      </c>
      <c r="B943" s="57" t="s">
        <v>1166</v>
      </c>
      <c r="C943" s="57" t="s">
        <v>1167</v>
      </c>
      <c r="D943" s="57" t="str">
        <f t="shared" si="15"/>
        <v>Kisozi</v>
      </c>
      <c r="F943" s="57">
        <v>590</v>
      </c>
    </row>
    <row r="944" spans="1:6">
      <c r="A944" s="57" t="s">
        <v>1175</v>
      </c>
      <c r="B944" s="57" t="s">
        <v>1166</v>
      </c>
      <c r="C944" s="57" t="s">
        <v>1169</v>
      </c>
      <c r="D944" s="57" t="str">
        <f t="shared" si="15"/>
        <v>Kitayunjwa</v>
      </c>
      <c r="F944" s="57">
        <v>591</v>
      </c>
    </row>
    <row r="945" spans="1:6">
      <c r="A945" s="57" t="s">
        <v>1176</v>
      </c>
      <c r="B945" s="57" t="s">
        <v>1166</v>
      </c>
      <c r="C945" s="57" t="s">
        <v>1167</v>
      </c>
      <c r="D945" s="57" t="str">
        <f t="shared" si="15"/>
        <v>Mbulamuti</v>
      </c>
      <c r="F945" s="57">
        <v>592</v>
      </c>
    </row>
    <row r="946" spans="1:6">
      <c r="A946" s="57" t="s">
        <v>1177</v>
      </c>
      <c r="B946" s="57" t="s">
        <v>1166</v>
      </c>
      <c r="C946" s="57" t="s">
        <v>1167</v>
      </c>
      <c r="D946" s="57" t="str">
        <f t="shared" si="15"/>
        <v>Nabwigulu</v>
      </c>
      <c r="F946" s="57">
        <v>593</v>
      </c>
    </row>
    <row r="947" spans="1:6">
      <c r="A947" s="57" t="s">
        <v>1178</v>
      </c>
      <c r="B947" s="57" t="s">
        <v>1166</v>
      </c>
      <c r="C947" s="57" t="s">
        <v>1167</v>
      </c>
      <c r="D947" s="57" t="str">
        <f t="shared" si="15"/>
        <v>Namasagali</v>
      </c>
      <c r="F947" s="57">
        <v>594</v>
      </c>
    </row>
    <row r="948" spans="1:6">
      <c r="A948" s="57" t="s">
        <v>1179</v>
      </c>
      <c r="B948" s="57" t="s">
        <v>1166</v>
      </c>
      <c r="C948" s="57" t="s">
        <v>1169</v>
      </c>
      <c r="D948" s="57" t="str">
        <f t="shared" si="15"/>
        <v>Namwendwa</v>
      </c>
      <c r="F948" s="57">
        <v>595</v>
      </c>
    </row>
    <row r="949" spans="1:6">
      <c r="A949" s="57" t="s">
        <v>1180</v>
      </c>
      <c r="B949" s="57" t="s">
        <v>1166</v>
      </c>
      <c r="C949" s="57" t="s">
        <v>1169</v>
      </c>
      <c r="D949" s="57" t="str">
        <f t="shared" si="15"/>
        <v>Nawanyago</v>
      </c>
      <c r="F949" s="57">
        <v>596</v>
      </c>
    </row>
    <row r="950" spans="1:6">
      <c r="A950" s="57" t="s">
        <v>1181</v>
      </c>
      <c r="B950" s="57" t="s">
        <v>44</v>
      </c>
      <c r="C950" s="57" t="s">
        <v>544</v>
      </c>
      <c r="D950" s="57" t="str">
        <f t="shared" si="15"/>
        <v>Wankole</v>
      </c>
      <c r="F950" s="57">
        <v>597</v>
      </c>
    </row>
    <row r="951" spans="1:6">
      <c r="A951" s="57" t="s">
        <v>1182</v>
      </c>
      <c r="B951" s="57" t="s">
        <v>44</v>
      </c>
      <c r="C951" s="57" t="s">
        <v>544</v>
      </c>
      <c r="D951" s="57" t="str">
        <f t="shared" si="15"/>
        <v>Biguli</v>
      </c>
      <c r="F951" s="57">
        <v>598</v>
      </c>
    </row>
    <row r="952" spans="1:6">
      <c r="A952" s="57" t="s">
        <v>1183</v>
      </c>
      <c r="B952" s="57" t="s">
        <v>44</v>
      </c>
      <c r="C952" s="57" t="s">
        <v>1184</v>
      </c>
      <c r="D952" s="57" t="str">
        <f t="shared" si="15"/>
        <v>Bihanga-Kamwenge</v>
      </c>
      <c r="F952" s="57">
        <v>599</v>
      </c>
    </row>
    <row r="953" spans="1:6">
      <c r="A953" s="57" t="s">
        <v>1185</v>
      </c>
      <c r="B953" s="57" t="s">
        <v>44</v>
      </c>
      <c r="C953" s="57" t="s">
        <v>544</v>
      </c>
      <c r="D953" s="57" t="str">
        <f t="shared" si="15"/>
        <v>Buhanda</v>
      </c>
      <c r="F953" s="57">
        <v>600</v>
      </c>
    </row>
    <row r="954" spans="1:6">
      <c r="A954" s="57" t="s">
        <v>1186</v>
      </c>
      <c r="B954" s="57" t="s">
        <v>44</v>
      </c>
      <c r="C954" s="57" t="s">
        <v>544</v>
      </c>
      <c r="D954" s="57" t="str">
        <f t="shared" si="15"/>
        <v>Busiriba</v>
      </c>
      <c r="F954" s="57">
        <v>601</v>
      </c>
    </row>
    <row r="955" spans="1:6">
      <c r="A955" s="57" t="s">
        <v>1187</v>
      </c>
      <c r="B955" s="57" t="s">
        <v>44</v>
      </c>
      <c r="C955" s="57" t="s">
        <v>544</v>
      </c>
      <c r="D955" s="57" t="str">
        <f t="shared" si="15"/>
        <v>Bwizi</v>
      </c>
      <c r="F955" s="57">
        <v>602</v>
      </c>
    </row>
    <row r="956" spans="1:6">
      <c r="A956" s="57" t="s">
        <v>1188</v>
      </c>
      <c r="B956" s="57" t="s">
        <v>44</v>
      </c>
      <c r="C956" s="57" t="s">
        <v>544</v>
      </c>
      <c r="D956" s="57" t="str">
        <f t="shared" si="15"/>
        <v>Kabambiro</v>
      </c>
      <c r="F956" s="57">
        <v>603</v>
      </c>
    </row>
    <row r="957" spans="1:6">
      <c r="A957" s="57" t="s">
        <v>1189</v>
      </c>
      <c r="B957" s="57" t="s">
        <v>44</v>
      </c>
      <c r="C957" s="57" t="s">
        <v>544</v>
      </c>
      <c r="D957" s="57" t="str">
        <f t="shared" si="15"/>
        <v>Kahunge</v>
      </c>
      <c r="F957" s="57">
        <v>604</v>
      </c>
    </row>
    <row r="958" spans="1:6">
      <c r="A958" s="57" t="s">
        <v>44</v>
      </c>
      <c r="B958" s="57" t="s">
        <v>44</v>
      </c>
      <c r="C958" s="57" t="s">
        <v>544</v>
      </c>
      <c r="D958" s="57" t="str">
        <f t="shared" si="15"/>
        <v>Kamwenge</v>
      </c>
      <c r="F958" s="57">
        <v>605</v>
      </c>
    </row>
    <row r="959" spans="1:6">
      <c r="A959" s="57" t="s">
        <v>1190</v>
      </c>
      <c r="B959" s="57" t="s">
        <v>44</v>
      </c>
      <c r="C959" s="57" t="s">
        <v>1184</v>
      </c>
      <c r="D959" s="57" t="str">
        <f t="shared" si="15"/>
        <v>Kamwenge Town Council</v>
      </c>
      <c r="F959" s="57">
        <v>606</v>
      </c>
    </row>
    <row r="960" spans="1:6">
      <c r="A960" s="57" t="s">
        <v>1191</v>
      </c>
      <c r="B960" s="57" t="s">
        <v>44</v>
      </c>
      <c r="C960" s="57" t="s">
        <v>1184</v>
      </c>
      <c r="D960" s="57" t="str">
        <f t="shared" si="15"/>
        <v>Kanara-Kamwenge</v>
      </c>
      <c r="F960" s="57">
        <v>607</v>
      </c>
    </row>
    <row r="961" spans="1:6">
      <c r="A961" s="57" t="s">
        <v>1192</v>
      </c>
      <c r="B961" s="57" t="s">
        <v>44</v>
      </c>
      <c r="C961" s="57" t="s">
        <v>1184</v>
      </c>
      <c r="D961" s="57" t="str">
        <f t="shared" si="15"/>
        <v>Kicheche</v>
      </c>
      <c r="F961" s="57">
        <v>608</v>
      </c>
    </row>
    <row r="962" spans="1:6">
      <c r="A962" s="57" t="s">
        <v>1193</v>
      </c>
      <c r="B962" s="57" t="s">
        <v>44</v>
      </c>
      <c r="C962" s="57" t="s">
        <v>544</v>
      </c>
      <c r="D962" s="57" t="str">
        <f t="shared" si="15"/>
        <v>Mahyoro</v>
      </c>
      <c r="F962" s="57">
        <v>609</v>
      </c>
    </row>
    <row r="963" spans="1:6">
      <c r="A963" s="57" t="s">
        <v>1194</v>
      </c>
      <c r="B963" s="57" t="s">
        <v>44</v>
      </c>
      <c r="C963" s="57" t="s">
        <v>1184</v>
      </c>
      <c r="D963" s="57" t="str">
        <f t="shared" ref="D963:D1026" si="17">A963</f>
        <v>Nkoma</v>
      </c>
      <c r="F963" s="57">
        <v>610</v>
      </c>
    </row>
    <row r="964" spans="1:6">
      <c r="A964" s="57" t="s">
        <v>1195</v>
      </c>
      <c r="B964" s="57" t="s">
        <v>44</v>
      </c>
      <c r="C964" s="57" t="s">
        <v>1184</v>
      </c>
      <c r="D964" s="57" t="str">
        <f t="shared" si="17"/>
        <v>Ntara</v>
      </c>
      <c r="F964" s="57">
        <v>611</v>
      </c>
    </row>
    <row r="965" spans="1:6">
      <c r="A965" s="57" t="s">
        <v>1196</v>
      </c>
      <c r="B965" s="57" t="s">
        <v>44</v>
      </c>
      <c r="C965" s="57" t="s">
        <v>544</v>
      </c>
      <c r="D965" s="57" t="str">
        <f t="shared" si="17"/>
        <v>Nyabbani</v>
      </c>
      <c r="F965" s="57">
        <v>612</v>
      </c>
    </row>
    <row r="966" spans="1:6">
      <c r="A966" s="57" t="s">
        <v>1197</v>
      </c>
      <c r="B966" s="57" t="s">
        <v>1198</v>
      </c>
      <c r="C966" s="57" t="s">
        <v>1199</v>
      </c>
      <c r="D966" s="57" t="str">
        <f t="shared" si="17"/>
        <v>Rwamwanja Refugee Camp</v>
      </c>
      <c r="F966" s="57">
        <v>613</v>
      </c>
    </row>
    <row r="967" spans="1:6">
      <c r="A967" s="57" t="s">
        <v>1200</v>
      </c>
      <c r="B967" s="57" t="s">
        <v>1198</v>
      </c>
      <c r="C967" s="57" t="s">
        <v>1199</v>
      </c>
      <c r="D967" s="57" t="str">
        <f t="shared" si="17"/>
        <v>Butogota Town Council</v>
      </c>
      <c r="F967" s="57">
        <v>614</v>
      </c>
    </row>
    <row r="968" spans="1:6">
      <c r="A968" s="57" t="s">
        <v>1201</v>
      </c>
      <c r="B968" s="57" t="s">
        <v>1198</v>
      </c>
      <c r="C968" s="57" t="s">
        <v>1199</v>
      </c>
      <c r="D968" s="57" t="str">
        <f t="shared" si="17"/>
        <v>Kambuga</v>
      </c>
      <c r="F968" s="57">
        <v>615</v>
      </c>
    </row>
    <row r="969" spans="1:6">
      <c r="A969" s="57" t="s">
        <v>1202</v>
      </c>
      <c r="D969" s="57" t="str">
        <f t="shared" si="17"/>
        <v>Kambuga Town Council</v>
      </c>
      <c r="F969" s="57">
        <v>616</v>
      </c>
    </row>
    <row r="970" spans="1:6">
      <c r="A970" s="57" t="s">
        <v>1203</v>
      </c>
      <c r="D970" s="57" t="str">
        <f t="shared" si="17"/>
        <v>BWINDI</v>
      </c>
      <c r="F970" s="57">
        <v>616</v>
      </c>
    </row>
    <row r="971" spans="1:6">
      <c r="A971" s="57" t="s">
        <v>1204</v>
      </c>
      <c r="D971" s="57" t="str">
        <f t="shared" si="17"/>
        <v>BWINDI AND LAKE MBURO</v>
      </c>
      <c r="F971" s="57">
        <v>616</v>
      </c>
    </row>
    <row r="972" spans="1:6">
      <c r="A972" s="57" t="s">
        <v>1205</v>
      </c>
      <c r="D972" s="57" t="str">
        <f t="shared" si="17"/>
        <v>LAKE MBURO NATIONAL PARK</v>
      </c>
      <c r="F972" s="57">
        <v>616</v>
      </c>
    </row>
    <row r="973" spans="1:6">
      <c r="A973" s="57" t="s">
        <v>1206</v>
      </c>
      <c r="D973" s="57" t="str">
        <f t="shared" si="17"/>
        <v>BWINDI GAME PARK</v>
      </c>
      <c r="F973" s="57">
        <v>616</v>
      </c>
    </row>
    <row r="974" spans="1:6">
      <c r="A974" s="57" t="s">
        <v>1207</v>
      </c>
      <c r="B974" s="57" t="s">
        <v>1198</v>
      </c>
      <c r="C974" s="57" t="s">
        <v>1199</v>
      </c>
      <c r="D974" s="57" t="str">
        <f t="shared" si="17"/>
        <v>KANUNGU</v>
      </c>
      <c r="F974" s="57">
        <v>616</v>
      </c>
    </row>
    <row r="975" spans="1:6">
      <c r="A975" s="57" t="s">
        <v>1208</v>
      </c>
      <c r="B975" s="57" t="s">
        <v>1198</v>
      </c>
      <c r="C975" s="57" t="s">
        <v>1199</v>
      </c>
      <c r="D975" s="57" t="str">
        <f t="shared" si="17"/>
        <v>Kanungu Town Council</v>
      </c>
      <c r="F975" s="57">
        <v>617</v>
      </c>
    </row>
    <row r="976" spans="1:6">
      <c r="A976" s="57" t="s">
        <v>1209</v>
      </c>
      <c r="B976" s="57" t="s">
        <v>1198</v>
      </c>
      <c r="C976" s="57" t="s">
        <v>1199</v>
      </c>
      <c r="D976" s="57" t="str">
        <f t="shared" si="17"/>
        <v>Kanyantorogo</v>
      </c>
      <c r="F976" s="57">
        <v>618</v>
      </c>
    </row>
    <row r="977" spans="1:6">
      <c r="A977" s="57" t="s">
        <v>1210</v>
      </c>
      <c r="B977" s="57" t="s">
        <v>1198</v>
      </c>
      <c r="C977" s="57" t="s">
        <v>1199</v>
      </c>
      <c r="D977" s="57" t="str">
        <f t="shared" si="17"/>
        <v>Katete</v>
      </c>
      <c r="F977" s="57">
        <v>619</v>
      </c>
    </row>
    <row r="978" spans="1:6">
      <c r="A978" s="57" t="s">
        <v>1211</v>
      </c>
      <c r="B978" s="57" t="s">
        <v>1198</v>
      </c>
      <c r="C978" s="57" t="s">
        <v>1199</v>
      </c>
      <c r="D978" s="57" t="str">
        <f t="shared" si="17"/>
        <v>Kayonza-Kanungu</v>
      </c>
      <c r="F978" s="57">
        <v>620</v>
      </c>
    </row>
    <row r="979" spans="1:6">
      <c r="A979" s="57" t="s">
        <v>1212</v>
      </c>
      <c r="B979" s="57" t="s">
        <v>1198</v>
      </c>
      <c r="C979" s="57" t="s">
        <v>1199</v>
      </c>
      <c r="D979" s="57" t="str">
        <f t="shared" si="17"/>
        <v>Kihihi</v>
      </c>
      <c r="F979" s="57">
        <v>621</v>
      </c>
    </row>
    <row r="980" spans="1:6">
      <c r="A980" s="57" t="s">
        <v>1213</v>
      </c>
      <c r="B980" s="57" t="s">
        <v>1198</v>
      </c>
      <c r="C980" s="57" t="s">
        <v>1199</v>
      </c>
      <c r="D980" s="57" t="str">
        <f t="shared" si="17"/>
        <v>Kihiihi Town Council</v>
      </c>
      <c r="F980" s="57">
        <v>622</v>
      </c>
    </row>
    <row r="981" spans="1:6">
      <c r="A981" s="57" t="s">
        <v>1214</v>
      </c>
      <c r="B981" s="57" t="s">
        <v>1198</v>
      </c>
      <c r="C981" s="57" t="s">
        <v>1199</v>
      </c>
      <c r="D981" s="57" t="str">
        <f t="shared" si="17"/>
        <v>Kinaaba</v>
      </c>
      <c r="F981" s="57">
        <v>623</v>
      </c>
    </row>
    <row r="982" spans="1:6">
      <c r="A982" s="57" t="s">
        <v>1215</v>
      </c>
      <c r="B982" s="57" t="s">
        <v>1198</v>
      </c>
      <c r="C982" s="57" t="s">
        <v>1199</v>
      </c>
      <c r="D982" s="57" t="str">
        <f t="shared" si="17"/>
        <v>Kirima</v>
      </c>
      <c r="F982" s="57">
        <v>624</v>
      </c>
    </row>
    <row r="983" spans="1:6">
      <c r="A983" s="57" t="s">
        <v>1216</v>
      </c>
      <c r="B983" s="57" t="s">
        <v>1198</v>
      </c>
      <c r="C983" s="57" t="s">
        <v>1199</v>
      </c>
      <c r="D983" s="57" t="str">
        <f t="shared" si="17"/>
        <v>Mpungu</v>
      </c>
      <c r="F983" s="57">
        <v>625</v>
      </c>
    </row>
    <row r="984" spans="1:6">
      <c r="A984" s="57" t="s">
        <v>1217</v>
      </c>
      <c r="B984" s="57" t="s">
        <v>1198</v>
      </c>
      <c r="C984" s="57" t="s">
        <v>1199</v>
      </c>
      <c r="D984" s="57" t="str">
        <f t="shared" si="17"/>
        <v>Nyakinoni</v>
      </c>
      <c r="F984" s="57">
        <v>626</v>
      </c>
    </row>
    <row r="985" spans="1:6">
      <c r="A985" s="57" t="s">
        <v>1218</v>
      </c>
      <c r="B985" s="57" t="s">
        <v>1198</v>
      </c>
      <c r="C985" s="57" t="s">
        <v>1199</v>
      </c>
      <c r="D985" s="57" t="str">
        <f t="shared" si="17"/>
        <v>Nyamirama</v>
      </c>
      <c r="F985" s="57">
        <v>627</v>
      </c>
    </row>
    <row r="986" spans="1:6">
      <c r="A986" s="57" t="s">
        <v>1219</v>
      </c>
      <c r="B986" s="57" t="s">
        <v>1198</v>
      </c>
      <c r="C986" s="57" t="s">
        <v>1199</v>
      </c>
      <c r="D986" s="57" t="str">
        <f t="shared" si="17"/>
        <v>Nyanga</v>
      </c>
      <c r="F986" s="57">
        <v>628</v>
      </c>
    </row>
    <row r="987" spans="1:6">
      <c r="A987" s="57" t="s">
        <v>1220</v>
      </c>
      <c r="B987" s="57" t="s">
        <v>1198</v>
      </c>
      <c r="C987" s="57" t="s">
        <v>1199</v>
      </c>
      <c r="D987" s="57" t="str">
        <f t="shared" si="17"/>
        <v>Rugyeyo</v>
      </c>
      <c r="F987" s="57">
        <v>629</v>
      </c>
    </row>
    <row r="988" spans="1:6">
      <c r="A988" s="57" t="s">
        <v>1221</v>
      </c>
      <c r="B988" s="57" t="s">
        <v>1222</v>
      </c>
      <c r="C988" s="57" t="s">
        <v>1223</v>
      </c>
      <c r="D988" s="57" t="str">
        <f t="shared" si="17"/>
        <v>Rutenga</v>
      </c>
      <c r="F988" s="57">
        <v>630</v>
      </c>
    </row>
    <row r="989" spans="1:6">
      <c r="A989" s="57" t="s">
        <v>1224</v>
      </c>
      <c r="B989" s="57" t="s">
        <v>1222</v>
      </c>
      <c r="C989" s="57" t="s">
        <v>1223</v>
      </c>
      <c r="D989" s="57" t="str">
        <f t="shared" si="17"/>
        <v>Amukol</v>
      </c>
      <c r="F989" s="57">
        <v>631</v>
      </c>
    </row>
    <row r="990" spans="1:6">
      <c r="A990" s="57" t="s">
        <v>1225</v>
      </c>
      <c r="B990" s="57" t="s">
        <v>1222</v>
      </c>
      <c r="C990" s="57" t="s">
        <v>1223</v>
      </c>
      <c r="D990" s="57" t="str">
        <f t="shared" si="17"/>
        <v>Chema</v>
      </c>
      <c r="F990" s="57">
        <v>632</v>
      </c>
    </row>
    <row r="991" spans="1:6">
      <c r="A991" s="57" t="s">
        <v>1226</v>
      </c>
      <c r="B991" s="57" t="s">
        <v>1222</v>
      </c>
      <c r="C991" s="57" t="s">
        <v>1223</v>
      </c>
      <c r="D991" s="57" t="str">
        <f t="shared" si="17"/>
        <v>Chepterech</v>
      </c>
      <c r="F991" s="57">
        <v>633</v>
      </c>
    </row>
    <row r="992" spans="1:6">
      <c r="A992" s="57" t="s">
        <v>1227</v>
      </c>
      <c r="B992" s="57" t="s">
        <v>1222</v>
      </c>
      <c r="C992" s="57" t="s">
        <v>1223</v>
      </c>
      <c r="D992" s="57" t="str">
        <f t="shared" si="17"/>
        <v>Gamogo</v>
      </c>
      <c r="F992" s="57">
        <v>634</v>
      </c>
    </row>
    <row r="993" spans="1:6">
      <c r="A993" s="57" t="s">
        <v>1228</v>
      </c>
      <c r="D993" s="57" t="str">
        <f t="shared" si="17"/>
        <v>Kabeywa</v>
      </c>
      <c r="F993" s="57">
        <v>635</v>
      </c>
    </row>
    <row r="994" spans="1:6">
      <c r="A994" s="57" t="s">
        <v>1229</v>
      </c>
      <c r="B994" s="57" t="s">
        <v>1222</v>
      </c>
      <c r="C994" s="57" t="s">
        <v>1230</v>
      </c>
      <c r="D994" s="57" t="str">
        <f t="shared" si="17"/>
        <v>KAMU-NURUKUT</v>
      </c>
      <c r="F994" s="57">
        <v>635</v>
      </c>
    </row>
    <row r="995" spans="1:6">
      <c r="A995" s="57" t="s">
        <v>1231</v>
      </c>
      <c r="D995" s="57" t="str">
        <f t="shared" si="17"/>
        <v>KAPCHORWA</v>
      </c>
      <c r="F995" s="57">
        <v>636</v>
      </c>
    </row>
    <row r="996" spans="1:6">
      <c r="A996" s="57" t="s">
        <v>1230</v>
      </c>
      <c r="B996" s="57" t="s">
        <v>1222</v>
      </c>
      <c r="C996" s="57" t="s">
        <v>1223</v>
      </c>
      <c r="D996" s="57" t="str">
        <f t="shared" si="17"/>
        <v>Kapchorwa Municipality</v>
      </c>
      <c r="F996" s="57">
        <v>636</v>
      </c>
    </row>
    <row r="997" spans="1:6">
      <c r="A997" s="57" t="s">
        <v>1232</v>
      </c>
      <c r="B997" s="57" t="s">
        <v>1222</v>
      </c>
      <c r="C997" s="57" t="s">
        <v>1223</v>
      </c>
      <c r="D997" s="57" t="str">
        <f t="shared" si="17"/>
        <v>Kapsinda</v>
      </c>
      <c r="F997" s="57">
        <v>637</v>
      </c>
    </row>
    <row r="998" spans="1:6">
      <c r="A998" s="57" t="s">
        <v>1233</v>
      </c>
      <c r="B998" s="57" t="s">
        <v>1222</v>
      </c>
      <c r="C998" s="57" t="s">
        <v>1223</v>
      </c>
      <c r="D998" s="57" t="str">
        <f t="shared" si="17"/>
        <v>Kaptanya</v>
      </c>
      <c r="F998" s="57">
        <v>638</v>
      </c>
    </row>
    <row r="999" spans="1:6">
      <c r="A999" s="57" t="s">
        <v>1234</v>
      </c>
      <c r="B999" s="57" t="s">
        <v>1222</v>
      </c>
      <c r="C999" s="57" t="s">
        <v>1223</v>
      </c>
      <c r="D999" s="57" t="str">
        <f t="shared" si="17"/>
        <v>Kaserem</v>
      </c>
      <c r="F999" s="57">
        <v>639</v>
      </c>
    </row>
    <row r="1000" spans="1:6">
      <c r="A1000" s="57" t="s">
        <v>1235</v>
      </c>
      <c r="B1000" s="57" t="s">
        <v>1222</v>
      </c>
      <c r="C1000" s="57" t="s">
        <v>1223</v>
      </c>
      <c r="D1000" s="57" t="str">
        <f t="shared" si="17"/>
        <v>Kawowo</v>
      </c>
      <c r="F1000" s="57">
        <v>640</v>
      </c>
    </row>
    <row r="1001" spans="1:6">
      <c r="A1001" s="57" t="s">
        <v>1236</v>
      </c>
      <c r="B1001" s="57" t="s">
        <v>1222</v>
      </c>
      <c r="C1001" s="57" t="s">
        <v>1223</v>
      </c>
      <c r="D1001" s="57" t="str">
        <f t="shared" si="17"/>
        <v>Munarya</v>
      </c>
      <c r="F1001" s="57">
        <v>641</v>
      </c>
    </row>
    <row r="1002" spans="1:6">
      <c r="A1002" s="57" t="s">
        <v>1237</v>
      </c>
      <c r="B1002" s="57" t="s">
        <v>36</v>
      </c>
      <c r="C1002" s="57" t="s">
        <v>1238</v>
      </c>
      <c r="D1002" s="57" t="str">
        <f t="shared" si="17"/>
        <v>Sipi</v>
      </c>
      <c r="F1002" s="57">
        <v>642</v>
      </c>
    </row>
    <row r="1003" spans="1:6">
      <c r="A1003" s="57" t="s">
        <v>1239</v>
      </c>
      <c r="B1003" s="57" t="s">
        <v>36</v>
      </c>
      <c r="C1003" s="57" t="s">
        <v>1238</v>
      </c>
      <c r="D1003" s="57" t="str">
        <f t="shared" si="17"/>
        <v>Bugoye</v>
      </c>
      <c r="F1003" s="57">
        <v>643</v>
      </c>
    </row>
    <row r="1004" spans="1:6">
      <c r="A1004" s="57" t="s">
        <v>1240</v>
      </c>
      <c r="B1004" s="57" t="s">
        <v>36</v>
      </c>
      <c r="C1004" s="57" t="s">
        <v>449</v>
      </c>
      <c r="D1004" s="57" t="str">
        <f t="shared" si="17"/>
        <v>Buhuhira</v>
      </c>
      <c r="F1004" s="57">
        <v>644</v>
      </c>
    </row>
    <row r="1005" spans="1:6">
      <c r="A1005" s="57" t="s">
        <v>37</v>
      </c>
      <c r="B1005" s="57" t="s">
        <v>36</v>
      </c>
      <c r="C1005" s="57" t="s">
        <v>1238</v>
      </c>
      <c r="D1005" s="57" t="str">
        <f t="shared" si="17"/>
        <v>Bwera</v>
      </c>
      <c r="F1005" s="57">
        <v>645</v>
      </c>
    </row>
    <row r="1006" spans="1:6">
      <c r="A1006" s="57" t="s">
        <v>1241</v>
      </c>
      <c r="D1006" s="57" t="str">
        <f t="shared" si="17"/>
        <v>Bwesumbu</v>
      </c>
      <c r="F1006" s="57">
        <v>646</v>
      </c>
    </row>
    <row r="1007" spans="1:6">
      <c r="A1007" s="57" t="s">
        <v>1242</v>
      </c>
      <c r="B1007" s="57" t="s">
        <v>36</v>
      </c>
      <c r="C1007" s="57" t="s">
        <v>1238</v>
      </c>
      <c r="D1007" s="57" t="str">
        <f t="shared" si="17"/>
        <v>HIMA</v>
      </c>
      <c r="F1007" s="57">
        <v>646</v>
      </c>
    </row>
    <row r="1008" spans="1:6">
      <c r="A1008" s="57" t="s">
        <v>1243</v>
      </c>
      <c r="B1008" s="57" t="s">
        <v>36</v>
      </c>
      <c r="C1008" s="57" t="s">
        <v>449</v>
      </c>
      <c r="D1008" s="57" t="str">
        <f t="shared" si="17"/>
        <v>Hima Town Council</v>
      </c>
      <c r="F1008" s="57">
        <v>647</v>
      </c>
    </row>
    <row r="1009" spans="1:6">
      <c r="A1009" s="57" t="s">
        <v>1244</v>
      </c>
      <c r="B1009" s="57" t="s">
        <v>36</v>
      </c>
      <c r="C1009" s="57" t="s">
        <v>449</v>
      </c>
      <c r="D1009" s="57" t="str">
        <f t="shared" si="17"/>
        <v>Ihandiro</v>
      </c>
      <c r="F1009" s="57">
        <v>648</v>
      </c>
    </row>
    <row r="1010" spans="1:6">
      <c r="A1010" s="57" t="s">
        <v>1245</v>
      </c>
      <c r="B1010" s="57" t="s">
        <v>36</v>
      </c>
      <c r="C1010" s="57" t="s">
        <v>449</v>
      </c>
      <c r="D1010" s="57" t="str">
        <f t="shared" si="17"/>
        <v>Isango</v>
      </c>
      <c r="F1010" s="57">
        <v>649</v>
      </c>
    </row>
    <row r="1011" spans="1:6">
      <c r="A1011" s="57" t="s">
        <v>1246</v>
      </c>
      <c r="B1011" s="57" t="s">
        <v>36</v>
      </c>
      <c r="C1011" s="57" t="s">
        <v>1238</v>
      </c>
      <c r="D1011" s="57" t="str">
        <f t="shared" si="17"/>
        <v>Karambi-Kasese</v>
      </c>
      <c r="F1011" s="57">
        <v>650</v>
      </c>
    </row>
    <row r="1012" spans="1:6">
      <c r="A1012" s="57" t="s">
        <v>1247</v>
      </c>
      <c r="D1012" s="57" t="str">
        <f t="shared" si="17"/>
        <v>Karusandara</v>
      </c>
      <c r="F1012" s="57">
        <v>651</v>
      </c>
    </row>
    <row r="1013" spans="1:6">
      <c r="A1013" s="57" t="s">
        <v>1248</v>
      </c>
      <c r="D1013" s="57" t="str">
        <f t="shared" si="17"/>
        <v>AIRFIELD</v>
      </c>
      <c r="F1013" s="57">
        <v>651</v>
      </c>
    </row>
    <row r="1014" spans="1:6">
      <c r="A1014" s="57" t="s">
        <v>1249</v>
      </c>
      <c r="B1014" s="57" t="s">
        <v>36</v>
      </c>
      <c r="C1014" s="57" t="s">
        <v>1250</v>
      </c>
      <c r="D1014" s="57" t="str">
        <f t="shared" si="17"/>
        <v>KASESE</v>
      </c>
      <c r="F1014" s="57">
        <v>651</v>
      </c>
    </row>
    <row r="1015" spans="1:6">
      <c r="A1015" s="57" t="s">
        <v>1251</v>
      </c>
      <c r="D1015" s="57" t="str">
        <f t="shared" si="17"/>
        <v>KASESE TOWN</v>
      </c>
      <c r="F1015" s="57">
        <v>652</v>
      </c>
    </row>
    <row r="1016" spans="1:6">
      <c r="A1016" s="57" t="s">
        <v>1250</v>
      </c>
      <c r="B1016" s="57" t="s">
        <v>36</v>
      </c>
      <c r="C1016" s="57" t="s">
        <v>1238</v>
      </c>
      <c r="D1016" s="57" t="str">
        <f t="shared" si="17"/>
        <v>Kasese Municipality</v>
      </c>
      <c r="F1016" s="57">
        <v>652</v>
      </c>
    </row>
    <row r="1017" spans="1:6">
      <c r="A1017" s="57" t="s">
        <v>1252</v>
      </c>
      <c r="B1017" s="57" t="s">
        <v>36</v>
      </c>
      <c r="C1017" s="57" t="s">
        <v>1238</v>
      </c>
      <c r="D1017" s="57" t="str">
        <f t="shared" si="17"/>
        <v>Katwe Kabatoro Town Council</v>
      </c>
      <c r="F1017" s="57">
        <v>653</v>
      </c>
    </row>
    <row r="1018" spans="1:6">
      <c r="A1018" s="57" t="s">
        <v>1253</v>
      </c>
      <c r="B1018" s="57" t="s">
        <v>36</v>
      </c>
      <c r="C1018" s="57" t="s">
        <v>449</v>
      </c>
      <c r="D1018" s="57" t="str">
        <f t="shared" si="17"/>
        <v>Kilembe</v>
      </c>
      <c r="F1018" s="57">
        <v>654</v>
      </c>
    </row>
    <row r="1019" spans="1:6">
      <c r="A1019" s="57" t="s">
        <v>1254</v>
      </c>
      <c r="B1019" s="57" t="s">
        <v>36</v>
      </c>
      <c r="C1019" s="57" t="s">
        <v>449</v>
      </c>
      <c r="D1019" s="57" t="str">
        <f t="shared" si="17"/>
        <v>Kisinga</v>
      </c>
      <c r="F1019" s="57">
        <v>655</v>
      </c>
    </row>
    <row r="1020" spans="1:6">
      <c r="A1020" s="57" t="s">
        <v>1255</v>
      </c>
      <c r="B1020" s="57" t="s">
        <v>36</v>
      </c>
      <c r="C1020" s="57" t="s">
        <v>449</v>
      </c>
      <c r="D1020" s="57" t="str">
        <f t="shared" si="17"/>
        <v>Kisinga Town Council</v>
      </c>
      <c r="F1020" s="57">
        <v>656</v>
      </c>
    </row>
    <row r="1021" spans="1:6">
      <c r="A1021" s="57" t="s">
        <v>1256</v>
      </c>
      <c r="B1021" s="57" t="s">
        <v>36</v>
      </c>
      <c r="C1021" s="57" t="s">
        <v>1238</v>
      </c>
      <c r="D1021" s="57" t="str">
        <f t="shared" si="17"/>
        <v>Kitholhu</v>
      </c>
      <c r="F1021" s="57">
        <v>657</v>
      </c>
    </row>
    <row r="1022" spans="1:6">
      <c r="A1022" s="57" t="s">
        <v>1257</v>
      </c>
      <c r="B1022" s="57" t="s">
        <v>36</v>
      </c>
      <c r="C1022" s="57" t="s">
        <v>1238</v>
      </c>
      <c r="D1022" s="57" t="str">
        <f t="shared" si="17"/>
        <v>Kitswamba</v>
      </c>
      <c r="F1022" s="57">
        <v>658</v>
      </c>
    </row>
    <row r="1023" spans="1:6">
      <c r="A1023" s="57" t="s">
        <v>1258</v>
      </c>
      <c r="B1023" s="57" t="s">
        <v>36</v>
      </c>
      <c r="C1023" s="57" t="s">
        <v>449</v>
      </c>
      <c r="D1023" s="57" t="str">
        <f t="shared" si="17"/>
        <v>Kyabarungira</v>
      </c>
      <c r="F1023" s="57">
        <v>659</v>
      </c>
    </row>
    <row r="1024" spans="1:6">
      <c r="A1024" s="57" t="s">
        <v>1259</v>
      </c>
      <c r="B1024" s="57" t="s">
        <v>36</v>
      </c>
      <c r="C1024" s="57" t="s">
        <v>449</v>
      </c>
      <c r="D1024" s="57" t="str">
        <f t="shared" si="17"/>
        <v>Kyarumba</v>
      </c>
      <c r="F1024" s="57">
        <v>660</v>
      </c>
    </row>
    <row r="1025" spans="1:6">
      <c r="A1025" s="57" t="s">
        <v>1260</v>
      </c>
      <c r="B1025" s="57" t="s">
        <v>36</v>
      </c>
      <c r="C1025" s="57" t="s">
        <v>1238</v>
      </c>
      <c r="D1025" s="57" t="str">
        <f t="shared" si="17"/>
        <v>Kyondo</v>
      </c>
      <c r="F1025" s="57">
        <v>661</v>
      </c>
    </row>
    <row r="1026" spans="1:6">
      <c r="A1026" s="57" t="s">
        <v>1261</v>
      </c>
      <c r="B1026" s="57" t="s">
        <v>36</v>
      </c>
      <c r="C1026" s="57" t="s">
        <v>449</v>
      </c>
      <c r="D1026" s="57" t="str">
        <f t="shared" si="17"/>
        <v>Lake Katwe</v>
      </c>
      <c r="F1026" s="57">
        <v>662</v>
      </c>
    </row>
    <row r="1027" spans="1:6">
      <c r="A1027" s="57" t="s">
        <v>1262</v>
      </c>
      <c r="B1027" s="57" t="s">
        <v>36</v>
      </c>
      <c r="C1027" s="57" t="s">
        <v>1238</v>
      </c>
      <c r="D1027" s="57" t="str">
        <f t="shared" ref="D1027:D1090" si="18">A1027</f>
        <v>Mahango</v>
      </c>
      <c r="F1027" s="57">
        <v>663</v>
      </c>
    </row>
    <row r="1028" spans="1:6">
      <c r="A1028" s="57" t="s">
        <v>1263</v>
      </c>
      <c r="B1028" s="57" t="s">
        <v>36</v>
      </c>
      <c r="C1028" s="57" t="s">
        <v>449</v>
      </c>
      <c r="D1028" s="57" t="str">
        <f t="shared" si="18"/>
        <v>Maliba</v>
      </c>
      <c r="F1028" s="57">
        <v>664</v>
      </c>
    </row>
    <row r="1029" spans="1:6">
      <c r="A1029" s="57" t="s">
        <v>1264</v>
      </c>
      <c r="B1029" s="57" t="s">
        <v>36</v>
      </c>
      <c r="C1029" s="57" t="s">
        <v>1238</v>
      </c>
      <c r="D1029" s="57" t="str">
        <f t="shared" si="18"/>
        <v>Mpondwe-Lhubiriha</v>
      </c>
      <c r="F1029" s="57">
        <v>665</v>
      </c>
    </row>
    <row r="1030" spans="1:6">
      <c r="A1030" s="57" t="s">
        <v>1265</v>
      </c>
      <c r="B1030" s="57" t="s">
        <v>36</v>
      </c>
      <c r="C1030" s="57" t="s">
        <v>449</v>
      </c>
      <c r="D1030" s="57" t="str">
        <f t="shared" si="18"/>
        <v>Muhokya</v>
      </c>
      <c r="F1030" s="57">
        <v>666</v>
      </c>
    </row>
    <row r="1031" spans="1:6">
      <c r="A1031" s="57" t="s">
        <v>1266</v>
      </c>
      <c r="B1031" s="57" t="s">
        <v>36</v>
      </c>
      <c r="C1031" s="57" t="s">
        <v>449</v>
      </c>
      <c r="D1031" s="57" t="str">
        <f t="shared" si="18"/>
        <v>Munkunyu</v>
      </c>
      <c r="F1031" s="57">
        <v>667</v>
      </c>
    </row>
    <row r="1032" spans="1:6">
      <c r="A1032" s="57" t="s">
        <v>1267</v>
      </c>
      <c r="B1032" s="57" t="s">
        <v>36</v>
      </c>
      <c r="C1032" s="57" t="s">
        <v>449</v>
      </c>
      <c r="D1032" s="57" t="str">
        <f t="shared" si="18"/>
        <v>Nyakatonzi</v>
      </c>
      <c r="F1032" s="57">
        <v>668</v>
      </c>
    </row>
    <row r="1033" spans="1:6">
      <c r="A1033" s="57" t="s">
        <v>1268</v>
      </c>
      <c r="B1033" s="57" t="s">
        <v>36</v>
      </c>
      <c r="C1033" s="57" t="s">
        <v>1238</v>
      </c>
      <c r="D1033" s="57" t="str">
        <f t="shared" si="18"/>
        <v>Nyakiyumbu</v>
      </c>
      <c r="F1033" s="57">
        <v>669</v>
      </c>
    </row>
    <row r="1034" spans="1:6">
      <c r="A1034" s="57" t="s">
        <v>1269</v>
      </c>
      <c r="B1034" s="57" t="s">
        <v>1270</v>
      </c>
      <c r="C1034" s="57" t="s">
        <v>1271</v>
      </c>
      <c r="D1034" s="57" t="str">
        <f t="shared" si="18"/>
        <v>Rukoki</v>
      </c>
      <c r="F1034" s="57">
        <v>670</v>
      </c>
    </row>
    <row r="1035" spans="1:6">
      <c r="A1035" s="57" t="s">
        <v>1272</v>
      </c>
      <c r="B1035" s="57" t="s">
        <v>1270</v>
      </c>
      <c r="C1035" s="57" t="s">
        <v>1273</v>
      </c>
      <c r="D1035" s="57" t="str">
        <f t="shared" si="18"/>
        <v>Kapujan</v>
      </c>
      <c r="F1035" s="57">
        <v>671</v>
      </c>
    </row>
    <row r="1036" spans="1:6">
      <c r="A1036" s="57" t="s">
        <v>1270</v>
      </c>
      <c r="B1036" s="57" t="s">
        <v>1270</v>
      </c>
      <c r="C1036" s="57" t="s">
        <v>1273</v>
      </c>
      <c r="D1036" s="57" t="str">
        <f t="shared" si="18"/>
        <v>Katakwi</v>
      </c>
      <c r="F1036" s="57">
        <v>672</v>
      </c>
    </row>
    <row r="1037" spans="1:6">
      <c r="A1037" s="57" t="s">
        <v>1274</v>
      </c>
      <c r="B1037" s="57" t="s">
        <v>1270</v>
      </c>
      <c r="C1037" s="57" t="s">
        <v>1271</v>
      </c>
      <c r="D1037" s="57" t="str">
        <f t="shared" si="18"/>
        <v>Katakwi Town Council</v>
      </c>
      <c r="F1037" s="57">
        <v>673</v>
      </c>
    </row>
    <row r="1038" spans="1:6">
      <c r="A1038" s="57" t="s">
        <v>1275</v>
      </c>
      <c r="B1038" s="57" t="s">
        <v>1270</v>
      </c>
      <c r="C1038" s="57" t="s">
        <v>1273</v>
      </c>
      <c r="D1038" s="57" t="str">
        <f t="shared" si="18"/>
        <v>Magoro</v>
      </c>
      <c r="F1038" s="57">
        <v>674</v>
      </c>
    </row>
    <row r="1039" spans="1:6">
      <c r="A1039" s="57" t="s">
        <v>1276</v>
      </c>
      <c r="B1039" s="57" t="s">
        <v>1270</v>
      </c>
      <c r="C1039" s="57" t="s">
        <v>1271</v>
      </c>
      <c r="D1039" s="57" t="str">
        <f t="shared" si="18"/>
        <v>Ngariam</v>
      </c>
      <c r="F1039" s="57">
        <v>675</v>
      </c>
    </row>
    <row r="1040" spans="1:6">
      <c r="A1040" s="57" t="s">
        <v>1277</v>
      </c>
      <c r="B1040" s="57" t="s">
        <v>1270</v>
      </c>
      <c r="C1040" s="57" t="s">
        <v>1273</v>
      </c>
      <c r="D1040" s="57" t="str">
        <f t="shared" si="18"/>
        <v>Omodoi</v>
      </c>
      <c r="F1040" s="57">
        <v>676</v>
      </c>
    </row>
    <row r="1041" spans="1:6">
      <c r="A1041" s="57" t="s">
        <v>1278</v>
      </c>
      <c r="B1041" s="57" t="s">
        <v>1270</v>
      </c>
      <c r="C1041" s="57" t="s">
        <v>1273</v>
      </c>
      <c r="D1041" s="57" t="str">
        <f t="shared" si="18"/>
        <v>Ongongoja</v>
      </c>
      <c r="F1041" s="57">
        <v>677</v>
      </c>
    </row>
    <row r="1042" spans="1:6">
      <c r="A1042" s="57" t="s">
        <v>1279</v>
      </c>
      <c r="B1042" s="57" t="s">
        <v>1270</v>
      </c>
      <c r="C1042" s="57" t="s">
        <v>1271</v>
      </c>
      <c r="D1042" s="57" t="str">
        <f t="shared" si="18"/>
        <v>Palam</v>
      </c>
      <c r="F1042" s="57">
        <v>678</v>
      </c>
    </row>
    <row r="1043" spans="1:6">
      <c r="A1043" s="57" t="s">
        <v>1271</v>
      </c>
      <c r="B1043" s="57" t="s">
        <v>1270</v>
      </c>
      <c r="C1043" s="57" t="s">
        <v>1273</v>
      </c>
      <c r="D1043" s="57" t="str">
        <f t="shared" si="18"/>
        <v>Toroma</v>
      </c>
      <c r="F1043" s="57">
        <v>679</v>
      </c>
    </row>
    <row r="1044" spans="1:6">
      <c r="A1044" s="57" t="s">
        <v>1273</v>
      </c>
      <c r="B1044" s="57" t="s">
        <v>1280</v>
      </c>
      <c r="C1044" s="57" t="s">
        <v>1281</v>
      </c>
      <c r="D1044" s="57" t="str">
        <f t="shared" si="18"/>
        <v>Usuk</v>
      </c>
      <c r="F1044" s="57">
        <v>680</v>
      </c>
    </row>
    <row r="1045" spans="1:6">
      <c r="A1045" s="57" t="s">
        <v>1281</v>
      </c>
      <c r="B1045" s="57" t="s">
        <v>1280</v>
      </c>
      <c r="C1045" s="57" t="s">
        <v>1282</v>
      </c>
      <c r="D1045" s="57" t="str">
        <f t="shared" si="18"/>
        <v>Bbaale</v>
      </c>
      <c r="F1045" s="57">
        <v>681</v>
      </c>
    </row>
    <row r="1046" spans="1:6">
      <c r="A1046" s="57" t="s">
        <v>1283</v>
      </c>
      <c r="B1046" s="57" t="s">
        <v>1280</v>
      </c>
      <c r="C1046" s="57" t="s">
        <v>1281</v>
      </c>
      <c r="D1046" s="57" t="str">
        <f t="shared" si="18"/>
        <v>Busaana</v>
      </c>
      <c r="F1046" s="57">
        <v>682</v>
      </c>
    </row>
    <row r="1047" spans="1:6">
      <c r="A1047" s="57" t="s">
        <v>1284</v>
      </c>
      <c r="B1047" s="57" t="s">
        <v>1280</v>
      </c>
      <c r="C1047" s="57" t="s">
        <v>1282</v>
      </c>
      <c r="D1047" s="57" t="str">
        <f t="shared" si="18"/>
        <v>Galiraya</v>
      </c>
      <c r="F1047" s="57">
        <v>683</v>
      </c>
    </row>
    <row r="1048" spans="1:6">
      <c r="A1048" s="57" t="s">
        <v>1285</v>
      </c>
      <c r="B1048" s="57" t="s">
        <v>1280</v>
      </c>
      <c r="C1048" s="57" t="s">
        <v>1281</v>
      </c>
      <c r="D1048" s="57" t="str">
        <f t="shared" si="18"/>
        <v>Kangulumira</v>
      </c>
      <c r="F1048" s="57">
        <v>684</v>
      </c>
    </row>
    <row r="1049" spans="1:6">
      <c r="A1049" s="57" t="s">
        <v>1286</v>
      </c>
      <c r="B1049" s="57" t="s">
        <v>1280</v>
      </c>
      <c r="C1049" s="57" t="s">
        <v>1282</v>
      </c>
      <c r="D1049" s="57" t="str">
        <f t="shared" si="18"/>
        <v>Kayonza-Kayunga</v>
      </c>
      <c r="F1049" s="57">
        <v>685</v>
      </c>
    </row>
    <row r="1050" spans="1:6">
      <c r="A1050" s="57" t="s">
        <v>1280</v>
      </c>
      <c r="B1050" s="57" t="s">
        <v>1280</v>
      </c>
      <c r="C1050" s="57" t="s">
        <v>1282</v>
      </c>
      <c r="D1050" s="57" t="str">
        <f t="shared" si="18"/>
        <v>Kayunga</v>
      </c>
      <c r="F1050" s="57">
        <v>686</v>
      </c>
    </row>
    <row r="1051" spans="1:6">
      <c r="A1051" s="57" t="s">
        <v>1287</v>
      </c>
      <c r="B1051" s="57" t="s">
        <v>1280</v>
      </c>
      <c r="C1051" s="57" t="s">
        <v>1281</v>
      </c>
      <c r="D1051" s="57" t="str">
        <f t="shared" si="18"/>
        <v>Kayunga Town Council</v>
      </c>
      <c r="F1051" s="57">
        <v>687</v>
      </c>
    </row>
    <row r="1052" spans="1:6">
      <c r="A1052" s="57" t="s">
        <v>1288</v>
      </c>
      <c r="B1052" s="57" t="s">
        <v>1280</v>
      </c>
      <c r="C1052" s="57" t="s">
        <v>1282</v>
      </c>
      <c r="D1052" s="57" t="str">
        <f t="shared" si="18"/>
        <v>Kitimbwa</v>
      </c>
      <c r="F1052" s="57">
        <v>688</v>
      </c>
    </row>
    <row r="1053" spans="1:6">
      <c r="A1053" s="57" t="s">
        <v>1289</v>
      </c>
      <c r="B1053" s="57" t="s">
        <v>1290</v>
      </c>
      <c r="C1053" s="57" t="s">
        <v>1291</v>
      </c>
      <c r="D1053" s="57" t="str">
        <f t="shared" si="18"/>
        <v>Nazigo</v>
      </c>
      <c r="F1053" s="57">
        <v>689</v>
      </c>
    </row>
    <row r="1054" spans="1:6">
      <c r="A1054" s="57" t="s">
        <v>1292</v>
      </c>
      <c r="B1054" s="57" t="s">
        <v>1290</v>
      </c>
      <c r="C1054" s="57" t="s">
        <v>1291</v>
      </c>
      <c r="D1054" s="57" t="str">
        <f t="shared" si="18"/>
        <v>Bubango</v>
      </c>
      <c r="F1054" s="57">
        <v>690</v>
      </c>
    </row>
    <row r="1055" spans="1:6">
      <c r="A1055" s="57" t="s">
        <v>1293</v>
      </c>
      <c r="B1055" s="57" t="s">
        <v>1290</v>
      </c>
      <c r="C1055" s="57" t="s">
        <v>1291</v>
      </c>
      <c r="D1055" s="57" t="str">
        <f t="shared" si="18"/>
        <v>Bwamiramira</v>
      </c>
      <c r="F1055" s="57">
        <v>691</v>
      </c>
    </row>
    <row r="1056" spans="1:6">
      <c r="A1056" s="57" t="s">
        <v>1294</v>
      </c>
      <c r="B1056" s="57" t="s">
        <v>1290</v>
      </c>
      <c r="C1056" s="57" t="s">
        <v>1291</v>
      </c>
      <c r="D1056" s="57" t="str">
        <f t="shared" si="18"/>
        <v>Kabasekende</v>
      </c>
      <c r="F1056" s="57">
        <v>692</v>
      </c>
    </row>
    <row r="1057" spans="1:6">
      <c r="A1057" s="57" t="s">
        <v>1295</v>
      </c>
      <c r="B1057" s="57" t="s">
        <v>1290</v>
      </c>
      <c r="C1057" s="57" t="s">
        <v>1291</v>
      </c>
      <c r="D1057" s="57" t="str">
        <f t="shared" si="18"/>
        <v>Kasimbi</v>
      </c>
      <c r="F1057" s="57">
        <v>693</v>
      </c>
    </row>
    <row r="1058" spans="1:6">
      <c r="A1058" s="57" t="s">
        <v>1296</v>
      </c>
      <c r="B1058" s="57" t="s">
        <v>1290</v>
      </c>
      <c r="C1058" s="57" t="s">
        <v>1291</v>
      </c>
      <c r="D1058" s="57" t="str">
        <f t="shared" si="18"/>
        <v>Kibaale Town Council</v>
      </c>
      <c r="F1058" s="57">
        <v>694</v>
      </c>
    </row>
    <row r="1059" spans="1:6">
      <c r="A1059" s="57" t="s">
        <v>1029</v>
      </c>
      <c r="B1059" s="57" t="s">
        <v>1290</v>
      </c>
      <c r="C1059" s="57" t="s">
        <v>1291</v>
      </c>
      <c r="D1059" s="57" t="str">
        <f t="shared" si="18"/>
        <v>Kyebando</v>
      </c>
      <c r="F1059" s="57">
        <v>695</v>
      </c>
    </row>
    <row r="1060" spans="1:6">
      <c r="A1060" s="57" t="s">
        <v>1297</v>
      </c>
      <c r="B1060" s="57" t="s">
        <v>1290</v>
      </c>
      <c r="C1060" s="57" t="s">
        <v>1291</v>
      </c>
      <c r="D1060" s="57" t="str">
        <f t="shared" si="18"/>
        <v>Matale</v>
      </c>
      <c r="F1060" s="57">
        <v>696</v>
      </c>
    </row>
    <row r="1061" spans="1:6">
      <c r="A1061" s="57" t="s">
        <v>1298</v>
      </c>
      <c r="B1061" s="57" t="s">
        <v>1290</v>
      </c>
      <c r="C1061" s="57" t="s">
        <v>1291</v>
      </c>
      <c r="D1061" s="57" t="str">
        <f t="shared" si="18"/>
        <v>Mugarama</v>
      </c>
      <c r="F1061" s="57">
        <v>697</v>
      </c>
    </row>
    <row r="1062" spans="1:6">
      <c r="A1062" s="57" t="s">
        <v>1299</v>
      </c>
      <c r="B1062" s="57" t="s">
        <v>1290</v>
      </c>
      <c r="C1062" s="57" t="s">
        <v>1291</v>
      </c>
      <c r="D1062" s="57" t="str">
        <f t="shared" si="18"/>
        <v>Nyamarunda</v>
      </c>
      <c r="F1062" s="57">
        <v>698</v>
      </c>
    </row>
    <row r="1063" spans="1:6">
      <c r="A1063" s="57" t="s">
        <v>1300</v>
      </c>
      <c r="B1063" s="57" t="s">
        <v>1301</v>
      </c>
      <c r="C1063" s="57" t="s">
        <v>1301</v>
      </c>
      <c r="D1063" s="57" t="str">
        <f t="shared" si="18"/>
        <v>Nyamarwa</v>
      </c>
      <c r="F1063" s="57">
        <v>699</v>
      </c>
    </row>
    <row r="1064" spans="1:6">
      <c r="A1064" s="57" t="s">
        <v>1302</v>
      </c>
      <c r="D1064" s="57" t="str">
        <f t="shared" si="18"/>
        <v>Bukomero</v>
      </c>
      <c r="F1064" s="57">
        <v>699</v>
      </c>
    </row>
    <row r="1065" spans="1:6">
      <c r="A1065" s="57" t="s">
        <v>611</v>
      </c>
      <c r="D1065" s="57" t="str">
        <f t="shared" si="18"/>
        <v>KIBOGA</v>
      </c>
      <c r="F1065" s="57">
        <v>699</v>
      </c>
    </row>
    <row r="1066" spans="1:6">
      <c r="A1066" s="57" t="s">
        <v>1303</v>
      </c>
      <c r="B1066" s="57" t="s">
        <v>1301</v>
      </c>
      <c r="C1066" s="57" t="s">
        <v>1301</v>
      </c>
      <c r="D1066" s="57" t="str">
        <f t="shared" si="18"/>
        <v>KYENDA</v>
      </c>
      <c r="F1066" s="57">
        <v>700</v>
      </c>
    </row>
    <row r="1067" spans="1:6">
      <c r="A1067" s="57" t="s">
        <v>1304</v>
      </c>
      <c r="B1067" s="57" t="s">
        <v>1301</v>
      </c>
      <c r="C1067" s="57" t="s">
        <v>1301</v>
      </c>
      <c r="D1067" s="57" t="str">
        <f t="shared" si="18"/>
        <v>Bukomero Town Council</v>
      </c>
      <c r="F1067" s="57">
        <v>701</v>
      </c>
    </row>
    <row r="1068" spans="1:6">
      <c r="A1068" s="57" t="s">
        <v>1305</v>
      </c>
      <c r="B1068" s="57" t="s">
        <v>1301</v>
      </c>
      <c r="C1068" s="57" t="s">
        <v>1301</v>
      </c>
      <c r="D1068" s="57" t="str">
        <f t="shared" si="18"/>
        <v>Ddwaniro-Kiboga</v>
      </c>
      <c r="F1068" s="57">
        <v>702</v>
      </c>
    </row>
    <row r="1069" spans="1:6">
      <c r="A1069" s="57" t="s">
        <v>1306</v>
      </c>
      <c r="B1069" s="57" t="s">
        <v>1301</v>
      </c>
      <c r="C1069" s="57" t="s">
        <v>1301</v>
      </c>
      <c r="D1069" s="57" t="str">
        <f t="shared" si="18"/>
        <v>Kapeke</v>
      </c>
      <c r="F1069" s="57">
        <v>703</v>
      </c>
    </row>
    <row r="1070" spans="1:6">
      <c r="A1070" s="57" t="s">
        <v>1307</v>
      </c>
      <c r="B1070" s="57" t="s">
        <v>1301</v>
      </c>
      <c r="C1070" s="57" t="s">
        <v>1301</v>
      </c>
      <c r="D1070" s="57" t="str">
        <f t="shared" si="18"/>
        <v>Kibiga</v>
      </c>
      <c r="F1070" s="57">
        <v>704</v>
      </c>
    </row>
    <row r="1071" spans="1:6">
      <c r="A1071" s="57" t="s">
        <v>1308</v>
      </c>
      <c r="B1071" s="57" t="s">
        <v>1301</v>
      </c>
      <c r="C1071" s="57" t="s">
        <v>1301</v>
      </c>
      <c r="D1071" s="57" t="str">
        <f t="shared" si="18"/>
        <v>Kiboga Town Council</v>
      </c>
      <c r="F1071" s="57">
        <v>705</v>
      </c>
    </row>
    <row r="1072" spans="1:6">
      <c r="A1072" s="57" t="s">
        <v>1309</v>
      </c>
      <c r="B1072" s="57" t="s">
        <v>1301</v>
      </c>
      <c r="C1072" s="57" t="s">
        <v>1301</v>
      </c>
      <c r="D1072" s="57" t="str">
        <f t="shared" si="18"/>
        <v>Lwamata</v>
      </c>
      <c r="F1072" s="57">
        <v>706</v>
      </c>
    </row>
    <row r="1073" spans="1:6">
      <c r="A1073" s="57" t="s">
        <v>1310</v>
      </c>
      <c r="B1073" s="57" t="s">
        <v>1311</v>
      </c>
      <c r="C1073" s="57" t="s">
        <v>1311</v>
      </c>
      <c r="D1073" s="57" t="str">
        <f t="shared" si="18"/>
        <v>Muwanga</v>
      </c>
      <c r="F1073" s="57">
        <v>707</v>
      </c>
    </row>
    <row r="1074" spans="1:6">
      <c r="A1074" s="57" t="s">
        <v>1312</v>
      </c>
      <c r="B1074" s="57" t="s">
        <v>1311</v>
      </c>
      <c r="C1074" s="57" t="s">
        <v>1311</v>
      </c>
      <c r="D1074" s="57" t="str">
        <f t="shared" si="18"/>
        <v>Bulangira</v>
      </c>
      <c r="F1074" s="57">
        <v>708</v>
      </c>
    </row>
    <row r="1075" spans="1:6">
      <c r="A1075" s="57" t="s">
        <v>1313</v>
      </c>
      <c r="B1075" s="57" t="s">
        <v>1311</v>
      </c>
      <c r="C1075" s="57" t="s">
        <v>1311</v>
      </c>
      <c r="D1075" s="57" t="str">
        <f t="shared" si="18"/>
        <v>Buseta</v>
      </c>
      <c r="F1075" s="57">
        <v>709</v>
      </c>
    </row>
    <row r="1076" spans="1:6">
      <c r="A1076" s="57" t="s">
        <v>1314</v>
      </c>
      <c r="B1076" s="57" t="s">
        <v>1311</v>
      </c>
      <c r="C1076" s="57" t="s">
        <v>1311</v>
      </c>
      <c r="D1076" s="57" t="str">
        <f t="shared" si="18"/>
        <v>Kabweri</v>
      </c>
      <c r="F1076" s="57">
        <v>710</v>
      </c>
    </row>
    <row r="1077" spans="1:6">
      <c r="A1077" s="57" t="s">
        <v>1315</v>
      </c>
      <c r="B1077" s="57" t="s">
        <v>1311</v>
      </c>
      <c r="C1077" s="57" t="s">
        <v>1311</v>
      </c>
      <c r="D1077" s="57" t="str">
        <f t="shared" si="18"/>
        <v>Kadama</v>
      </c>
      <c r="F1077" s="57">
        <v>711</v>
      </c>
    </row>
    <row r="1078" spans="1:6">
      <c r="A1078" s="57" t="s">
        <v>1316</v>
      </c>
      <c r="B1078" s="57" t="s">
        <v>1311</v>
      </c>
      <c r="C1078" s="57" t="s">
        <v>1311</v>
      </c>
      <c r="D1078" s="57" t="str">
        <f t="shared" si="18"/>
        <v>Kagumu</v>
      </c>
      <c r="F1078" s="57">
        <v>712</v>
      </c>
    </row>
    <row r="1079" spans="1:6">
      <c r="A1079" s="57" t="s">
        <v>1317</v>
      </c>
      <c r="B1079" s="57" t="s">
        <v>1311</v>
      </c>
      <c r="C1079" s="57" t="s">
        <v>1311</v>
      </c>
      <c r="D1079" s="57" t="str">
        <f t="shared" si="18"/>
        <v>Kasasira</v>
      </c>
      <c r="F1079" s="57">
        <v>713</v>
      </c>
    </row>
    <row r="1080" spans="1:6">
      <c r="A1080" s="57" t="s">
        <v>1311</v>
      </c>
      <c r="B1080" s="57" t="s">
        <v>1311</v>
      </c>
      <c r="C1080" s="57" t="s">
        <v>1311</v>
      </c>
      <c r="D1080" s="57" t="str">
        <f t="shared" si="18"/>
        <v>Kibuku</v>
      </c>
      <c r="F1080" s="57">
        <v>714</v>
      </c>
    </row>
    <row r="1081" spans="1:6">
      <c r="A1081" s="57" t="s">
        <v>1318</v>
      </c>
      <c r="B1081" s="57" t="s">
        <v>1311</v>
      </c>
      <c r="C1081" s="57" t="s">
        <v>1311</v>
      </c>
      <c r="D1081" s="57" t="str">
        <f t="shared" si="18"/>
        <v>Kibuku Town Council</v>
      </c>
      <c r="F1081" s="57">
        <v>715</v>
      </c>
    </row>
    <row r="1082" spans="1:6">
      <c r="A1082" s="57" t="s">
        <v>1319</v>
      </c>
      <c r="B1082" s="57" t="s">
        <v>1311</v>
      </c>
      <c r="C1082" s="57" t="s">
        <v>1311</v>
      </c>
      <c r="D1082" s="57" t="str">
        <f t="shared" si="18"/>
        <v>Kirika</v>
      </c>
      <c r="F1082" s="57">
        <v>716</v>
      </c>
    </row>
    <row r="1083" spans="1:6">
      <c r="A1083" s="57" t="s">
        <v>1320</v>
      </c>
      <c r="B1083" s="57" t="s">
        <v>1321</v>
      </c>
      <c r="C1083" s="57" t="s">
        <v>1322</v>
      </c>
      <c r="D1083" s="57" t="str">
        <f t="shared" si="18"/>
        <v>Tirinyi</v>
      </c>
      <c r="F1083" s="57">
        <v>717</v>
      </c>
    </row>
    <row r="1084" spans="1:6">
      <c r="A1084" s="57" t="s">
        <v>1323</v>
      </c>
      <c r="B1084" s="57" t="s">
        <v>1321</v>
      </c>
      <c r="C1084" s="57" t="s">
        <v>1322</v>
      </c>
      <c r="D1084" s="57" t="str">
        <f t="shared" si="18"/>
        <v>Buremba</v>
      </c>
      <c r="F1084" s="57">
        <v>718</v>
      </c>
    </row>
    <row r="1085" spans="1:6">
      <c r="A1085" s="57" t="s">
        <v>1324</v>
      </c>
      <c r="B1085" s="57" t="s">
        <v>1321</v>
      </c>
      <c r="C1085" s="57" t="s">
        <v>1322</v>
      </c>
      <c r="D1085" s="57" t="str">
        <f t="shared" si="18"/>
        <v>Burunga</v>
      </c>
      <c r="F1085" s="57">
        <v>719</v>
      </c>
    </row>
    <row r="1086" spans="1:6">
      <c r="A1086" s="57" t="s">
        <v>1325</v>
      </c>
      <c r="B1086" s="57" t="s">
        <v>1321</v>
      </c>
      <c r="C1086" s="57" t="s">
        <v>1322</v>
      </c>
      <c r="D1086" s="57" t="str">
        <f t="shared" si="18"/>
        <v>Engari</v>
      </c>
      <c r="F1086" s="57">
        <v>720</v>
      </c>
    </row>
    <row r="1087" spans="1:6">
      <c r="A1087" s="57" t="s">
        <v>1326</v>
      </c>
      <c r="B1087" s="57" t="s">
        <v>1321</v>
      </c>
      <c r="C1087" s="57" t="s">
        <v>1327</v>
      </c>
      <c r="D1087" s="57" t="str">
        <f t="shared" si="18"/>
        <v>Kanoni</v>
      </c>
      <c r="F1087" s="57">
        <v>721</v>
      </c>
    </row>
    <row r="1088" spans="1:6">
      <c r="A1088" s="57" t="s">
        <v>1328</v>
      </c>
      <c r="B1088" s="57" t="s">
        <v>1321</v>
      </c>
      <c r="C1088" s="57" t="s">
        <v>1327</v>
      </c>
      <c r="D1088" s="57" t="str">
        <f t="shared" si="18"/>
        <v>Kanyaryeru</v>
      </c>
      <c r="F1088" s="57">
        <v>722</v>
      </c>
    </row>
    <row r="1089" spans="1:6">
      <c r="A1089" s="57" t="s">
        <v>1329</v>
      </c>
      <c r="D1089" s="57" t="str">
        <f t="shared" si="18"/>
        <v>Kashongi</v>
      </c>
      <c r="F1089" s="57">
        <v>723</v>
      </c>
    </row>
    <row r="1090" spans="1:6">
      <c r="A1090" s="57" t="s">
        <v>1330</v>
      </c>
      <c r="D1090" s="57" t="str">
        <f t="shared" si="18"/>
        <v>RUSHERE</v>
      </c>
      <c r="F1090" s="57">
        <v>723</v>
      </c>
    </row>
    <row r="1091" spans="1:6">
      <c r="A1091" s="57" t="s">
        <v>1331</v>
      </c>
      <c r="B1091" s="57" t="s">
        <v>1321</v>
      </c>
      <c r="C1091" s="57" t="s">
        <v>1322</v>
      </c>
      <c r="D1091" s="57" t="str">
        <f t="shared" ref="D1091:D1154" si="19">A1091</f>
        <v>KIRUHURA TOWN</v>
      </c>
      <c r="F1091" s="57">
        <v>723</v>
      </c>
    </row>
    <row r="1092" spans="1:6">
      <c r="A1092" s="57" t="s">
        <v>1322</v>
      </c>
      <c r="B1092" s="57" t="s">
        <v>1321</v>
      </c>
      <c r="C1092" s="57" t="s">
        <v>1322</v>
      </c>
      <c r="D1092" s="57" t="str">
        <f t="shared" si="19"/>
        <v>Kazo</v>
      </c>
      <c r="F1092" s="57">
        <v>724</v>
      </c>
    </row>
    <row r="1093" spans="1:6">
      <c r="A1093" s="57" t="s">
        <v>1332</v>
      </c>
      <c r="B1093" s="57" t="s">
        <v>1321</v>
      </c>
      <c r="C1093" s="57" t="s">
        <v>1327</v>
      </c>
      <c r="D1093" s="57" t="str">
        <f t="shared" si="19"/>
        <v>Kazo Town Council</v>
      </c>
      <c r="F1093" s="57">
        <v>725</v>
      </c>
    </row>
    <row r="1094" spans="1:6">
      <c r="A1094" s="57" t="s">
        <v>1333</v>
      </c>
      <c r="B1094" s="57" t="s">
        <v>1321</v>
      </c>
      <c r="C1094" s="57" t="s">
        <v>1327</v>
      </c>
      <c r="D1094" s="57" t="str">
        <f t="shared" si="19"/>
        <v>Kenshunga</v>
      </c>
      <c r="F1094" s="57">
        <v>726</v>
      </c>
    </row>
    <row r="1095" spans="1:6">
      <c r="A1095" s="57" t="s">
        <v>1334</v>
      </c>
      <c r="B1095" s="57" t="s">
        <v>1321</v>
      </c>
      <c r="C1095" s="57" t="s">
        <v>1327</v>
      </c>
      <c r="D1095" s="57" t="str">
        <f t="shared" si="19"/>
        <v>Kikaatsi</v>
      </c>
      <c r="F1095" s="57">
        <v>727</v>
      </c>
    </row>
    <row r="1096" spans="1:6">
      <c r="A1096" s="57" t="s">
        <v>1335</v>
      </c>
      <c r="B1096" s="57" t="s">
        <v>1321</v>
      </c>
      <c r="C1096" s="57" t="s">
        <v>1327</v>
      </c>
      <c r="D1096" s="57" t="str">
        <f t="shared" si="19"/>
        <v>Kinoni-Kiruhura</v>
      </c>
      <c r="F1096" s="57">
        <v>728</v>
      </c>
    </row>
    <row r="1097" spans="1:6">
      <c r="A1097" s="57" t="s">
        <v>1336</v>
      </c>
      <c r="D1097" s="57" t="str">
        <f t="shared" si="19"/>
        <v>Kiruhura Town Council</v>
      </c>
      <c r="F1097" s="57">
        <v>728</v>
      </c>
    </row>
    <row r="1098" spans="1:6">
      <c r="A1098" s="57" t="s">
        <v>1337</v>
      </c>
      <c r="B1098" s="57" t="s">
        <v>1321</v>
      </c>
      <c r="C1098" s="57" t="s">
        <v>1327</v>
      </c>
      <c r="D1098" s="57" t="str">
        <f t="shared" si="19"/>
        <v>KIRUHURA</v>
      </c>
      <c r="F1098" s="57">
        <v>729</v>
      </c>
    </row>
    <row r="1099" spans="1:6">
      <c r="A1099" s="57" t="s">
        <v>1338</v>
      </c>
      <c r="B1099" s="57" t="s">
        <v>1321</v>
      </c>
      <c r="C1099" s="57" t="s">
        <v>1322</v>
      </c>
      <c r="D1099" s="57" t="str">
        <f t="shared" si="19"/>
        <v>Kitura</v>
      </c>
      <c r="F1099" s="57">
        <v>730</v>
      </c>
    </row>
    <row r="1100" spans="1:6">
      <c r="A1100" s="57" t="s">
        <v>1339</v>
      </c>
      <c r="B1100" s="57" t="s">
        <v>1321</v>
      </c>
      <c r="C1100" s="57" t="s">
        <v>1327</v>
      </c>
      <c r="D1100" s="57" t="str">
        <f t="shared" si="19"/>
        <v>Nkungu</v>
      </c>
      <c r="F1100" s="57">
        <v>731</v>
      </c>
    </row>
    <row r="1101" spans="1:6">
      <c r="A1101" s="57" t="s">
        <v>1340</v>
      </c>
      <c r="B1101" s="57" t="s">
        <v>1321</v>
      </c>
      <c r="C1101" s="57" t="s">
        <v>1322</v>
      </c>
      <c r="D1101" s="57" t="str">
        <f t="shared" si="19"/>
        <v>Nyakashashara</v>
      </c>
      <c r="F1101" s="57">
        <v>732</v>
      </c>
    </row>
    <row r="1102" spans="1:6">
      <c r="A1102" s="57" t="s">
        <v>1341</v>
      </c>
      <c r="B1102" s="57" t="s">
        <v>1321</v>
      </c>
      <c r="C1102" s="57" t="s">
        <v>1327</v>
      </c>
      <c r="D1102" s="57" t="str">
        <f t="shared" si="19"/>
        <v>Rwemikoma</v>
      </c>
      <c r="F1102" s="57">
        <v>733</v>
      </c>
    </row>
    <row r="1103" spans="1:6">
      <c r="A1103" s="57" t="s">
        <v>1342</v>
      </c>
      <c r="B1103" s="57" t="s">
        <v>1321</v>
      </c>
      <c r="C1103" s="57" t="s">
        <v>1327</v>
      </c>
      <c r="D1103" s="57" t="str">
        <f t="shared" si="19"/>
        <v>Sanga</v>
      </c>
      <c r="F1103" s="57">
        <v>734</v>
      </c>
    </row>
    <row r="1104" spans="1:6">
      <c r="A1104" s="57" t="s">
        <v>1343</v>
      </c>
      <c r="B1104" s="57" t="s">
        <v>1344</v>
      </c>
      <c r="C1104" s="57" t="s">
        <v>1345</v>
      </c>
      <c r="D1104" s="57" t="str">
        <f t="shared" si="19"/>
        <v>Sanga Town Council</v>
      </c>
      <c r="F1104" s="57">
        <v>735</v>
      </c>
    </row>
    <row r="1105" spans="1:6">
      <c r="A1105" s="57" t="s">
        <v>1346</v>
      </c>
      <c r="B1105" s="57" t="s">
        <v>1344</v>
      </c>
      <c r="C1105" s="57" t="s">
        <v>1345</v>
      </c>
      <c r="D1105" s="57" t="str">
        <f t="shared" si="19"/>
        <v>Bweyale Town Council</v>
      </c>
      <c r="F1105" s="57">
        <v>736</v>
      </c>
    </row>
    <row r="1106" spans="1:6">
      <c r="A1106" s="57" t="s">
        <v>1347</v>
      </c>
      <c r="B1106" s="57" t="s">
        <v>1344</v>
      </c>
      <c r="C1106" s="57" t="s">
        <v>1345</v>
      </c>
      <c r="D1106" s="57" t="str">
        <f t="shared" si="19"/>
        <v>Kigumba</v>
      </c>
      <c r="F1106" s="57">
        <v>737</v>
      </c>
    </row>
    <row r="1107" spans="1:6">
      <c r="A1107" s="57" t="s">
        <v>1348</v>
      </c>
      <c r="D1107" s="57" t="str">
        <f t="shared" si="19"/>
        <v>Karuma</v>
      </c>
      <c r="F1107" s="57">
        <v>738</v>
      </c>
    </row>
    <row r="1108" spans="1:6">
      <c r="A1108" s="57" t="s">
        <v>1349</v>
      </c>
      <c r="B1108" s="57" t="s">
        <v>1344</v>
      </c>
      <c r="C1108" s="57" t="s">
        <v>1345</v>
      </c>
      <c r="D1108" s="57" t="str">
        <f t="shared" si="19"/>
        <v>Kigumba Town Council</v>
      </c>
      <c r="F1108" s="57">
        <v>738</v>
      </c>
    </row>
    <row r="1109" spans="1:6">
      <c r="A1109" s="57" t="s">
        <v>1344</v>
      </c>
      <c r="B1109" s="57" t="s">
        <v>1344</v>
      </c>
      <c r="C1109" s="57" t="s">
        <v>1345</v>
      </c>
      <c r="D1109" s="57" t="str">
        <f t="shared" si="19"/>
        <v>Kiryandongo</v>
      </c>
      <c r="F1109" s="57">
        <v>739</v>
      </c>
    </row>
    <row r="1110" spans="1:6">
      <c r="A1110" s="57" t="s">
        <v>1350</v>
      </c>
      <c r="B1110" s="57" t="s">
        <v>1344</v>
      </c>
      <c r="C1110" s="57" t="s">
        <v>1345</v>
      </c>
      <c r="D1110" s="57" t="str">
        <f t="shared" si="19"/>
        <v>Kiryandongo Refugee Camp</v>
      </c>
      <c r="F1110" s="57">
        <v>740</v>
      </c>
    </row>
    <row r="1111" spans="1:6">
      <c r="A1111" s="57" t="s">
        <v>1351</v>
      </c>
      <c r="B1111" s="57" t="s">
        <v>1344</v>
      </c>
      <c r="C1111" s="57" t="s">
        <v>1345</v>
      </c>
      <c r="D1111" s="57" t="str">
        <f t="shared" si="19"/>
        <v>Kiryandongo Town Council</v>
      </c>
      <c r="F1111" s="57">
        <v>741</v>
      </c>
    </row>
    <row r="1112" spans="1:6">
      <c r="A1112" s="57" t="s">
        <v>1352</v>
      </c>
      <c r="B1112" s="57" t="s">
        <v>1344</v>
      </c>
      <c r="C1112" s="57" t="s">
        <v>1345</v>
      </c>
      <c r="D1112" s="57" t="str">
        <f t="shared" si="19"/>
        <v>Masindi Port</v>
      </c>
      <c r="F1112" s="57">
        <v>742</v>
      </c>
    </row>
    <row r="1113" spans="1:6">
      <c r="A1113" s="57" t="s">
        <v>1353</v>
      </c>
      <c r="B1113" s="57" t="s">
        <v>1354</v>
      </c>
      <c r="C1113" s="57" t="s">
        <v>1355</v>
      </c>
      <c r="D1113" s="57" t="str">
        <f t="shared" si="19"/>
        <v>Mutunda</v>
      </c>
      <c r="F1113" s="57">
        <v>743</v>
      </c>
    </row>
    <row r="1114" spans="1:6">
      <c r="A1114" s="57" t="s">
        <v>1356</v>
      </c>
      <c r="B1114" s="57" t="s">
        <v>1354</v>
      </c>
      <c r="C1114" s="57" t="s">
        <v>1355</v>
      </c>
      <c r="D1114" s="57" t="str">
        <f t="shared" si="19"/>
        <v>Bukimbiri</v>
      </c>
      <c r="F1114" s="57">
        <v>744</v>
      </c>
    </row>
    <row r="1115" spans="1:6">
      <c r="A1115" s="57" t="s">
        <v>1357</v>
      </c>
      <c r="B1115" s="57" t="s">
        <v>1354</v>
      </c>
      <c r="C1115" s="57" t="s">
        <v>1355</v>
      </c>
      <c r="D1115" s="57" t="str">
        <f t="shared" si="19"/>
        <v>Busanza</v>
      </c>
      <c r="F1115" s="57">
        <v>745</v>
      </c>
    </row>
    <row r="1116" spans="1:6">
      <c r="A1116" s="57" t="s">
        <v>1358</v>
      </c>
      <c r="B1116" s="57" t="s">
        <v>1354</v>
      </c>
      <c r="C1116" s="57" t="s">
        <v>1355</v>
      </c>
      <c r="D1116" s="57" t="str">
        <f t="shared" si="19"/>
        <v>Chahi</v>
      </c>
      <c r="F1116" s="57">
        <v>746</v>
      </c>
    </row>
    <row r="1117" spans="1:6">
      <c r="A1117" s="57" t="s">
        <v>1359</v>
      </c>
      <c r="B1117" s="57" t="s">
        <v>1354</v>
      </c>
      <c r="C1117" s="57" t="s">
        <v>1355</v>
      </c>
      <c r="D1117" s="57" t="str">
        <f t="shared" si="19"/>
        <v>Kanaba</v>
      </c>
      <c r="F1117" s="57">
        <v>747</v>
      </c>
    </row>
    <row r="1118" spans="1:6">
      <c r="A1118" s="57" t="s">
        <v>1360</v>
      </c>
      <c r="D1118" s="57" t="str">
        <f t="shared" si="19"/>
        <v>Kirundo</v>
      </c>
      <c r="F1118" s="57">
        <v>748</v>
      </c>
    </row>
    <row r="1119" spans="1:6">
      <c r="A1119" s="57" t="s">
        <v>1361</v>
      </c>
      <c r="B1119" s="57" t="s">
        <v>1354</v>
      </c>
      <c r="C1119" s="57" t="s">
        <v>1362</v>
      </c>
      <c r="D1119" s="57" t="str">
        <f t="shared" si="19"/>
        <v>KISORO</v>
      </c>
      <c r="F1119" s="57">
        <v>748</v>
      </c>
    </row>
    <row r="1120" spans="1:6">
      <c r="A1120" s="57" t="s">
        <v>1362</v>
      </c>
      <c r="B1120" s="57" t="s">
        <v>1354</v>
      </c>
      <c r="C1120" s="57" t="s">
        <v>1355</v>
      </c>
      <c r="D1120" s="57" t="str">
        <f t="shared" si="19"/>
        <v>Kisoro Municipality</v>
      </c>
      <c r="F1120" s="57">
        <v>749</v>
      </c>
    </row>
    <row r="1121" spans="1:6">
      <c r="A1121" s="57" t="s">
        <v>1363</v>
      </c>
      <c r="B1121" s="57" t="s">
        <v>1354</v>
      </c>
      <c r="C1121" s="57" t="s">
        <v>1355</v>
      </c>
      <c r="D1121" s="57" t="str">
        <f t="shared" si="19"/>
        <v>Muramba</v>
      </c>
      <c r="F1121" s="57">
        <v>750</v>
      </c>
    </row>
    <row r="1122" spans="1:6">
      <c r="A1122" s="57" t="s">
        <v>1364</v>
      </c>
      <c r="B1122" s="57" t="s">
        <v>1354</v>
      </c>
      <c r="C1122" s="57" t="s">
        <v>1355</v>
      </c>
      <c r="D1122" s="57" t="str">
        <f t="shared" si="19"/>
        <v>Murora</v>
      </c>
      <c r="F1122" s="57">
        <v>751</v>
      </c>
    </row>
    <row r="1123" spans="1:6">
      <c r="A1123" s="57" t="s">
        <v>1365</v>
      </c>
      <c r="B1123" s="57" t="s">
        <v>1354</v>
      </c>
      <c r="C1123" s="57" t="s">
        <v>1355</v>
      </c>
      <c r="D1123" s="57" t="str">
        <f t="shared" si="19"/>
        <v>Nyabwishenya</v>
      </c>
      <c r="F1123" s="57">
        <v>752</v>
      </c>
    </row>
    <row r="1124" spans="1:6">
      <c r="A1124" s="57" t="s">
        <v>1366</v>
      </c>
      <c r="B1124" s="57" t="s">
        <v>1354</v>
      </c>
      <c r="C1124" s="57" t="s">
        <v>1355</v>
      </c>
      <c r="D1124" s="57" t="str">
        <f t="shared" si="19"/>
        <v>Nyakabande</v>
      </c>
      <c r="F1124" s="57">
        <v>753</v>
      </c>
    </row>
    <row r="1125" spans="1:6">
      <c r="A1125" s="57" t="s">
        <v>1367</v>
      </c>
      <c r="B1125" s="57" t="s">
        <v>1354</v>
      </c>
      <c r="C1125" s="57" t="s">
        <v>1355</v>
      </c>
      <c r="D1125" s="57" t="str">
        <f t="shared" si="19"/>
        <v>Nyakinama</v>
      </c>
      <c r="F1125" s="57">
        <v>754</v>
      </c>
    </row>
    <row r="1126" spans="1:6">
      <c r="A1126" s="57" t="s">
        <v>1368</v>
      </c>
      <c r="B1126" s="57" t="s">
        <v>1354</v>
      </c>
      <c r="C1126" s="57" t="s">
        <v>1355</v>
      </c>
      <c r="D1126" s="57" t="str">
        <f t="shared" si="19"/>
        <v>Nyarubuye</v>
      </c>
      <c r="F1126" s="57">
        <v>755</v>
      </c>
    </row>
    <row r="1127" spans="1:6">
      <c r="A1127" s="57" t="s">
        <v>1369</v>
      </c>
      <c r="B1127" s="57" t="s">
        <v>1354</v>
      </c>
      <c r="C1127" s="57" t="s">
        <v>1355</v>
      </c>
      <c r="D1127" s="57" t="str">
        <f t="shared" si="19"/>
        <v>Nyarusiza</v>
      </c>
      <c r="F1127" s="57">
        <v>756</v>
      </c>
    </row>
    <row r="1128" spans="1:6">
      <c r="A1128" s="57" t="s">
        <v>1370</v>
      </c>
      <c r="B1128" s="57" t="s">
        <v>1354</v>
      </c>
      <c r="C1128" s="57" t="s">
        <v>1355</v>
      </c>
      <c r="D1128" s="57" t="str">
        <f t="shared" si="19"/>
        <v>Nyundo</v>
      </c>
      <c r="F1128" s="57">
        <v>757</v>
      </c>
    </row>
    <row r="1129" spans="1:6">
      <c r="A1129" s="57" t="s">
        <v>1371</v>
      </c>
      <c r="B1129" s="57" t="s">
        <v>1372</v>
      </c>
      <c r="C1129" s="57" t="s">
        <v>1373</v>
      </c>
      <c r="D1129" s="57" t="str">
        <f t="shared" si="19"/>
        <v>Rubuguri Town Council</v>
      </c>
      <c r="F1129" s="57">
        <v>758</v>
      </c>
    </row>
    <row r="1130" spans="1:6">
      <c r="A1130" s="57" t="s">
        <v>1374</v>
      </c>
      <c r="D1130" s="57" t="str">
        <f t="shared" si="19"/>
        <v>Kitgum Matidi</v>
      </c>
      <c r="F1130" s="57">
        <v>759</v>
      </c>
    </row>
    <row r="1131" spans="1:6">
      <c r="A1131" s="57" t="s">
        <v>177</v>
      </c>
      <c r="B1131" s="57" t="s">
        <v>1372</v>
      </c>
      <c r="C1131" s="57" t="s">
        <v>1375</v>
      </c>
      <c r="D1131" s="57" t="str">
        <f t="shared" si="19"/>
        <v>KITGUM</v>
      </c>
      <c r="F1131" s="57">
        <v>759</v>
      </c>
    </row>
    <row r="1132" spans="1:6">
      <c r="A1132" s="57" t="s">
        <v>184</v>
      </c>
      <c r="B1132" s="57" t="s">
        <v>1372</v>
      </c>
      <c r="C1132" s="57" t="s">
        <v>1375</v>
      </c>
      <c r="D1132" s="57" t="str">
        <f t="shared" si="19"/>
        <v>KITGUM TOWN</v>
      </c>
      <c r="F1132" s="57">
        <v>759</v>
      </c>
    </row>
    <row r="1133" spans="1:6">
      <c r="A1133" s="57" t="s">
        <v>1375</v>
      </c>
      <c r="B1133" s="57" t="s">
        <v>1372</v>
      </c>
      <c r="C1133" s="57" t="s">
        <v>1373</v>
      </c>
      <c r="D1133" s="57" t="str">
        <f t="shared" si="19"/>
        <v>Kitgum Municipality</v>
      </c>
      <c r="F1133" s="57">
        <v>760</v>
      </c>
    </row>
    <row r="1134" spans="1:6">
      <c r="A1134" s="57" t="s">
        <v>1376</v>
      </c>
      <c r="B1134" s="57" t="s">
        <v>1372</v>
      </c>
      <c r="C1134" s="57" t="s">
        <v>1373</v>
      </c>
      <c r="D1134" s="57" t="str">
        <f t="shared" si="19"/>
        <v>Labongo Akwang</v>
      </c>
      <c r="F1134" s="57">
        <v>761</v>
      </c>
    </row>
    <row r="1135" spans="1:6">
      <c r="A1135" s="57" t="s">
        <v>1377</v>
      </c>
      <c r="B1135" s="57" t="s">
        <v>1372</v>
      </c>
      <c r="C1135" s="57" t="s">
        <v>1373</v>
      </c>
      <c r="D1135" s="57" t="str">
        <f t="shared" si="19"/>
        <v>Labongo Amida</v>
      </c>
      <c r="F1135" s="57">
        <v>762</v>
      </c>
    </row>
    <row r="1136" spans="1:6">
      <c r="A1136" s="57" t="s">
        <v>1378</v>
      </c>
      <c r="B1136" s="57" t="s">
        <v>1372</v>
      </c>
      <c r="C1136" s="57" t="s">
        <v>1373</v>
      </c>
      <c r="D1136" s="57" t="str">
        <f t="shared" si="19"/>
        <v>Labongo Layamo</v>
      </c>
      <c r="F1136" s="57">
        <v>763</v>
      </c>
    </row>
    <row r="1137" spans="1:6">
      <c r="A1137" s="57" t="s">
        <v>1379</v>
      </c>
      <c r="B1137" s="57" t="s">
        <v>1372</v>
      </c>
      <c r="C1137" s="57" t="s">
        <v>1373</v>
      </c>
      <c r="D1137" s="57" t="str">
        <f t="shared" si="19"/>
        <v>Lagoro</v>
      </c>
      <c r="F1137" s="57">
        <v>764</v>
      </c>
    </row>
    <row r="1138" spans="1:6">
      <c r="A1138" s="57" t="s">
        <v>1380</v>
      </c>
      <c r="B1138" s="57" t="s">
        <v>1372</v>
      </c>
      <c r="C1138" s="57" t="s">
        <v>1373</v>
      </c>
      <c r="D1138" s="57" t="str">
        <f t="shared" si="19"/>
        <v>Mucwini</v>
      </c>
      <c r="F1138" s="57">
        <v>765</v>
      </c>
    </row>
    <row r="1139" spans="1:6">
      <c r="A1139" s="57" t="s">
        <v>1381</v>
      </c>
      <c r="B1139" s="57" t="s">
        <v>1372</v>
      </c>
      <c r="C1139" s="57" t="s">
        <v>1373</v>
      </c>
      <c r="D1139" s="57" t="str">
        <f t="shared" si="19"/>
        <v>Namokora</v>
      </c>
      <c r="F1139" s="57">
        <v>766</v>
      </c>
    </row>
    <row r="1140" spans="1:6">
      <c r="A1140" s="57" t="s">
        <v>1382</v>
      </c>
      <c r="B1140" s="57" t="s">
        <v>1372</v>
      </c>
      <c r="C1140" s="57" t="s">
        <v>1373</v>
      </c>
      <c r="D1140" s="57" t="str">
        <f t="shared" si="19"/>
        <v>Omiya Anyima</v>
      </c>
      <c r="F1140" s="57">
        <v>767</v>
      </c>
    </row>
    <row r="1141" spans="1:6">
      <c r="A1141" s="57" t="s">
        <v>181</v>
      </c>
      <c r="B1141" s="57" t="s">
        <v>1372</v>
      </c>
      <c r="C1141" s="57" t="s">
        <v>1373</v>
      </c>
      <c r="D1141" s="57" t="str">
        <f t="shared" si="19"/>
        <v>OGILI</v>
      </c>
      <c r="F1141" s="57">
        <v>767</v>
      </c>
    </row>
    <row r="1142" spans="1:6">
      <c r="A1142" s="57" t="s">
        <v>1383</v>
      </c>
      <c r="B1142" s="57" t="s">
        <v>1384</v>
      </c>
      <c r="C1142" s="57" t="s">
        <v>1384</v>
      </c>
      <c r="D1142" s="57" t="str">
        <f t="shared" si="19"/>
        <v>Orom</v>
      </c>
      <c r="F1142" s="57">
        <v>768</v>
      </c>
    </row>
    <row r="1143" spans="1:6">
      <c r="A1143" s="57" t="s">
        <v>1385</v>
      </c>
      <c r="B1143" s="57" t="s">
        <v>1384</v>
      </c>
      <c r="C1143" s="57" t="s">
        <v>1384</v>
      </c>
      <c r="D1143" s="57" t="str">
        <f t="shared" si="19"/>
        <v>Abuku</v>
      </c>
      <c r="F1143" s="57">
        <v>769</v>
      </c>
    </row>
    <row r="1144" spans="1:6">
      <c r="A1144" s="57" t="s">
        <v>1386</v>
      </c>
      <c r="B1144" s="57" t="s">
        <v>1384</v>
      </c>
      <c r="C1144" s="57" t="s">
        <v>1387</v>
      </c>
      <c r="D1144" s="57" t="str">
        <f t="shared" si="19"/>
        <v>Dranya</v>
      </c>
      <c r="F1144" s="57">
        <v>770</v>
      </c>
    </row>
    <row r="1145" spans="1:6">
      <c r="A1145" s="57" t="s">
        <v>1387</v>
      </c>
      <c r="B1145" s="57" t="s">
        <v>1384</v>
      </c>
      <c r="C1145" s="57" t="s">
        <v>1384</v>
      </c>
      <c r="D1145" s="57" t="str">
        <f t="shared" si="19"/>
        <v>Koboko Municipality</v>
      </c>
      <c r="F1145" s="57">
        <v>771</v>
      </c>
    </row>
    <row r="1146" spans="1:6">
      <c r="A1146" s="57" t="s">
        <v>1388</v>
      </c>
      <c r="D1146" s="57" t="str">
        <f t="shared" si="19"/>
        <v>Nyarilo</v>
      </c>
      <c r="F1146" s="57">
        <v>771</v>
      </c>
    </row>
    <row r="1147" spans="1:6">
      <c r="A1147" s="57" t="s">
        <v>1389</v>
      </c>
      <c r="D1147" s="57" t="str">
        <f t="shared" si="19"/>
        <v>Nyarilo Sec</v>
      </c>
      <c r="F1147" s="57">
        <v>771</v>
      </c>
    </row>
    <row r="1148" spans="1:6">
      <c r="A1148" s="57" t="s">
        <v>1384</v>
      </c>
      <c r="D1148" s="57" t="str">
        <f t="shared" si="19"/>
        <v>Koboko</v>
      </c>
      <c r="F1148" s="57">
        <v>771</v>
      </c>
    </row>
    <row r="1149" spans="1:6">
      <c r="A1149" s="57" t="s">
        <v>1390</v>
      </c>
      <c r="D1149" s="57" t="str">
        <f t="shared" si="19"/>
        <v>Half London</v>
      </c>
      <c r="F1149" s="57">
        <v>771</v>
      </c>
    </row>
    <row r="1150" spans="1:6">
      <c r="A1150" s="57" t="s">
        <v>1391</v>
      </c>
      <c r="B1150" s="57" t="s">
        <v>1384</v>
      </c>
      <c r="C1150" s="57" t="s">
        <v>1384</v>
      </c>
      <c r="D1150" s="57" t="str">
        <f t="shared" si="19"/>
        <v>Kuluba</v>
      </c>
      <c r="F1150" s="57">
        <v>772</v>
      </c>
    </row>
    <row r="1151" spans="1:6">
      <c r="A1151" s="57" t="s">
        <v>1392</v>
      </c>
      <c r="B1151" s="57" t="s">
        <v>1384</v>
      </c>
      <c r="C1151" s="57" t="s">
        <v>1384</v>
      </c>
      <c r="D1151" s="57" t="str">
        <f t="shared" si="19"/>
        <v>Lobule</v>
      </c>
      <c r="F1151" s="57">
        <v>773</v>
      </c>
    </row>
    <row r="1152" spans="1:6">
      <c r="A1152" s="57" t="s">
        <v>1393</v>
      </c>
      <c r="D1152" s="57" t="str">
        <f t="shared" si="19"/>
        <v>Lobijo</v>
      </c>
      <c r="F1152" s="57">
        <v>773</v>
      </c>
    </row>
    <row r="1153" spans="1:6">
      <c r="A1153" s="57" t="s">
        <v>1394</v>
      </c>
      <c r="D1153" s="57" t="str">
        <f t="shared" si="19"/>
        <v>Gborokolongo</v>
      </c>
      <c r="F1153" s="57">
        <v>773</v>
      </c>
    </row>
    <row r="1154" spans="1:6">
      <c r="A1154" s="57" t="s">
        <v>1395</v>
      </c>
      <c r="D1154" s="57" t="str">
        <f t="shared" si="19"/>
        <v>Kuniro</v>
      </c>
      <c r="F1154" s="57">
        <v>773</v>
      </c>
    </row>
    <row r="1155" spans="1:6">
      <c r="A1155" s="57" t="s">
        <v>1396</v>
      </c>
      <c r="D1155" s="57" t="str">
        <f t="shared" ref="D1155:D1218" si="20">A1155</f>
        <v>Nyai</v>
      </c>
      <c r="F1155" s="57">
        <v>773</v>
      </c>
    </row>
    <row r="1156" spans="1:6">
      <c r="A1156" s="57" t="s">
        <v>1397</v>
      </c>
      <c r="B1156" s="57" t="s">
        <v>1384</v>
      </c>
      <c r="C1156" s="57" t="s">
        <v>1384</v>
      </c>
      <c r="D1156" s="57" t="str">
        <f t="shared" si="20"/>
        <v>Ludara</v>
      </c>
      <c r="F1156" s="57">
        <v>774</v>
      </c>
    </row>
    <row r="1157" spans="1:6">
      <c r="A1157" s="57" t="s">
        <v>1398</v>
      </c>
      <c r="D1157" s="57" t="str">
        <f t="shared" si="20"/>
        <v>Aringili</v>
      </c>
      <c r="F1157" s="57">
        <v>774</v>
      </c>
    </row>
    <row r="1158" spans="1:6">
      <c r="A1158" s="57" t="s">
        <v>1399</v>
      </c>
      <c r="D1158" s="57" t="str">
        <f t="shared" si="20"/>
        <v>Bamure</v>
      </c>
      <c r="F1158" s="57">
        <v>774</v>
      </c>
    </row>
    <row r="1159" spans="1:6">
      <c r="A1159" s="57" t="s">
        <v>1400</v>
      </c>
      <c r="B1159" s="57" t="s">
        <v>1401</v>
      </c>
      <c r="C1159" s="57" t="s">
        <v>1401</v>
      </c>
      <c r="D1159" s="57" t="str">
        <f t="shared" si="20"/>
        <v>Midia</v>
      </c>
      <c r="F1159" s="57">
        <v>775</v>
      </c>
    </row>
    <row r="1160" spans="1:6">
      <c r="A1160" s="57" t="s">
        <v>1402</v>
      </c>
      <c r="B1160" s="57" t="s">
        <v>1401</v>
      </c>
      <c r="C1160" s="57" t="s">
        <v>1401</v>
      </c>
      <c r="D1160" s="57" t="str">
        <f t="shared" si="20"/>
        <v>Aboke</v>
      </c>
      <c r="F1160" s="57">
        <v>776</v>
      </c>
    </row>
    <row r="1161" spans="1:6">
      <c r="A1161" s="57" t="s">
        <v>1403</v>
      </c>
      <c r="B1161" s="57" t="s">
        <v>1401</v>
      </c>
      <c r="C1161" s="57" t="s">
        <v>1401</v>
      </c>
      <c r="D1161" s="57" t="str">
        <f t="shared" si="20"/>
        <v>Akalo</v>
      </c>
      <c r="F1161" s="57">
        <v>777</v>
      </c>
    </row>
    <row r="1162" spans="1:6">
      <c r="A1162" s="57" t="s">
        <v>1404</v>
      </c>
      <c r="B1162" s="57" t="s">
        <v>1401</v>
      </c>
      <c r="C1162" s="57" t="s">
        <v>1401</v>
      </c>
      <c r="D1162" s="57" t="str">
        <f t="shared" si="20"/>
        <v>Alito</v>
      </c>
      <c r="F1162" s="57">
        <v>778</v>
      </c>
    </row>
    <row r="1163" spans="1:6">
      <c r="A1163" s="57" t="s">
        <v>1405</v>
      </c>
      <c r="B1163" s="57" t="s">
        <v>1401</v>
      </c>
      <c r="C1163" s="57" t="s">
        <v>1401</v>
      </c>
      <c r="D1163" s="57" t="str">
        <f t="shared" si="20"/>
        <v>Ayer</v>
      </c>
      <c r="F1163" s="57">
        <v>779</v>
      </c>
    </row>
    <row r="1164" spans="1:6">
      <c r="A1164" s="57" t="s">
        <v>1406</v>
      </c>
      <c r="B1164" s="57" t="s">
        <v>1401</v>
      </c>
      <c r="C1164" s="57" t="s">
        <v>1401</v>
      </c>
      <c r="D1164" s="57" t="str">
        <f t="shared" si="20"/>
        <v>Bala</v>
      </c>
      <c r="F1164" s="57">
        <v>780</v>
      </c>
    </row>
    <row r="1165" spans="1:6">
      <c r="A1165" s="57" t="s">
        <v>1407</v>
      </c>
      <c r="B1165" s="57" t="s">
        <v>1401</v>
      </c>
      <c r="C1165" s="57" t="s">
        <v>1401</v>
      </c>
      <c r="D1165" s="57" t="str">
        <f t="shared" si="20"/>
        <v>Kole Town Council</v>
      </c>
      <c r="F1165" s="57">
        <v>781</v>
      </c>
    </row>
    <row r="1166" spans="1:6">
      <c r="A1166" s="57" t="s">
        <v>1408</v>
      </c>
      <c r="B1166" s="57" t="s">
        <v>1409</v>
      </c>
      <c r="C1166" s="57" t="s">
        <v>1410</v>
      </c>
      <c r="D1166" s="57" t="str">
        <f t="shared" si="20"/>
        <v>Okwerodot</v>
      </c>
      <c r="F1166" s="57">
        <v>782</v>
      </c>
    </row>
    <row r="1167" spans="1:6">
      <c r="A1167" s="57" t="s">
        <v>1411</v>
      </c>
      <c r="B1167" s="57" t="s">
        <v>1409</v>
      </c>
      <c r="C1167" s="57" t="s">
        <v>1410</v>
      </c>
      <c r="D1167" s="57" t="str">
        <f t="shared" si="20"/>
        <v>Kacheri</v>
      </c>
      <c r="F1167" s="57">
        <v>783</v>
      </c>
    </row>
    <row r="1168" spans="1:6">
      <c r="A1168" s="57" t="s">
        <v>1409</v>
      </c>
      <c r="B1168" s="57" t="s">
        <v>1409</v>
      </c>
      <c r="C1168" s="57" t="s">
        <v>1412</v>
      </c>
      <c r="D1168" s="57" t="str">
        <f t="shared" si="20"/>
        <v>Kotido</v>
      </c>
      <c r="F1168" s="57">
        <v>784</v>
      </c>
    </row>
    <row r="1169" spans="1:6">
      <c r="A1169" s="57" t="s">
        <v>1412</v>
      </c>
      <c r="B1169" s="57" t="s">
        <v>1409</v>
      </c>
      <c r="C1169" s="57" t="s">
        <v>1410</v>
      </c>
      <c r="D1169" s="57" t="str">
        <f t="shared" si="20"/>
        <v>Kotido Municipality</v>
      </c>
      <c r="F1169" s="57">
        <v>785</v>
      </c>
    </row>
    <row r="1170" spans="1:6">
      <c r="A1170" s="57" t="s">
        <v>1413</v>
      </c>
      <c r="B1170" s="57" t="s">
        <v>1409</v>
      </c>
      <c r="C1170" s="57" t="s">
        <v>1410</v>
      </c>
      <c r="D1170" s="57" t="str">
        <f t="shared" si="20"/>
        <v>Nakapelimoru</v>
      </c>
      <c r="F1170" s="57">
        <v>786</v>
      </c>
    </row>
    <row r="1171" spans="1:6">
      <c r="A1171" s="57" t="s">
        <v>1414</v>
      </c>
      <c r="B1171" s="57" t="s">
        <v>1409</v>
      </c>
      <c r="C1171" s="57" t="s">
        <v>1410</v>
      </c>
      <c r="D1171" s="57" t="str">
        <f t="shared" si="20"/>
        <v>Panyangara</v>
      </c>
      <c r="F1171" s="57">
        <v>787</v>
      </c>
    </row>
    <row r="1172" spans="1:6">
      <c r="A1172" s="57" t="s">
        <v>1415</v>
      </c>
      <c r="B1172" s="57" t="s">
        <v>1416</v>
      </c>
      <c r="C1172" s="57" t="s">
        <v>1416</v>
      </c>
      <c r="D1172" s="57" t="str">
        <f t="shared" si="20"/>
        <v>Rengen</v>
      </c>
      <c r="F1172" s="57">
        <v>788</v>
      </c>
    </row>
    <row r="1173" spans="1:6">
      <c r="A1173" s="57" t="s">
        <v>1417</v>
      </c>
      <c r="B1173" s="57" t="s">
        <v>1416</v>
      </c>
      <c r="C1173" s="57" t="s">
        <v>1416</v>
      </c>
      <c r="D1173" s="57" t="str">
        <f t="shared" si="20"/>
        <v>Atutur</v>
      </c>
      <c r="F1173" s="57">
        <v>789</v>
      </c>
    </row>
    <row r="1174" spans="1:6">
      <c r="A1174" s="57" t="s">
        <v>1418</v>
      </c>
      <c r="B1174" s="57" t="s">
        <v>1416</v>
      </c>
      <c r="C1174" s="57" t="s">
        <v>1416</v>
      </c>
      <c r="D1174" s="57" t="str">
        <f t="shared" si="20"/>
        <v>Kanyum</v>
      </c>
      <c r="F1174" s="57">
        <v>790</v>
      </c>
    </row>
    <row r="1175" spans="1:6">
      <c r="A1175" s="57" t="s">
        <v>1416</v>
      </c>
      <c r="B1175" s="57" t="s">
        <v>1416</v>
      </c>
      <c r="C1175" s="57" t="s">
        <v>1419</v>
      </c>
      <c r="D1175" s="57" t="str">
        <f t="shared" si="20"/>
        <v>Kumi</v>
      </c>
      <c r="F1175" s="57">
        <v>791</v>
      </c>
    </row>
    <row r="1176" spans="1:6">
      <c r="A1176" s="57" t="s">
        <v>1419</v>
      </c>
      <c r="B1176" s="57" t="s">
        <v>1416</v>
      </c>
      <c r="C1176" s="57" t="s">
        <v>1416</v>
      </c>
      <c r="D1176" s="57" t="str">
        <f t="shared" si="20"/>
        <v>Kumi Municipality</v>
      </c>
      <c r="F1176" s="57">
        <v>792</v>
      </c>
    </row>
    <row r="1177" spans="1:6">
      <c r="A1177" s="57" t="s">
        <v>1420</v>
      </c>
      <c r="B1177" s="57" t="s">
        <v>1416</v>
      </c>
      <c r="C1177" s="57" t="s">
        <v>1416</v>
      </c>
      <c r="D1177" s="57" t="str">
        <f t="shared" si="20"/>
        <v>Mukongoro</v>
      </c>
      <c r="F1177" s="57">
        <v>793</v>
      </c>
    </row>
    <row r="1178" spans="1:6">
      <c r="A1178" s="57" t="s">
        <v>1421</v>
      </c>
      <c r="B1178" s="57" t="s">
        <v>1416</v>
      </c>
      <c r="C1178" s="57" t="s">
        <v>1416</v>
      </c>
      <c r="D1178" s="57" t="str">
        <f t="shared" si="20"/>
        <v>Nyero</v>
      </c>
      <c r="F1178" s="57">
        <v>794</v>
      </c>
    </row>
    <row r="1179" spans="1:6">
      <c r="A1179" s="57" t="s">
        <v>1422</v>
      </c>
      <c r="B1179" s="57" t="s">
        <v>1423</v>
      </c>
      <c r="C1179" s="57" t="s">
        <v>1423</v>
      </c>
      <c r="D1179" s="57" t="str">
        <f t="shared" si="20"/>
        <v>Ongino</v>
      </c>
      <c r="F1179" s="57">
        <v>795</v>
      </c>
    </row>
    <row r="1180" spans="1:6">
      <c r="A1180" s="57" t="s">
        <v>1424</v>
      </c>
      <c r="B1180" s="57" t="s">
        <v>1423</v>
      </c>
      <c r="C1180" s="57" t="s">
        <v>1423</v>
      </c>
      <c r="D1180" s="57" t="str">
        <f t="shared" si="20"/>
        <v>Benet</v>
      </c>
      <c r="F1180" s="57">
        <v>796</v>
      </c>
    </row>
    <row r="1181" spans="1:6">
      <c r="A1181" s="57" t="s">
        <v>1425</v>
      </c>
      <c r="B1181" s="57" t="s">
        <v>1423</v>
      </c>
      <c r="C1181" s="57" t="s">
        <v>1423</v>
      </c>
      <c r="D1181" s="57" t="str">
        <f t="shared" si="20"/>
        <v>Binyiny</v>
      </c>
      <c r="F1181" s="57">
        <v>797</v>
      </c>
    </row>
    <row r="1182" spans="1:6">
      <c r="A1182" s="57" t="s">
        <v>1426</v>
      </c>
      <c r="B1182" s="57" t="s">
        <v>1423</v>
      </c>
      <c r="C1182" s="57" t="s">
        <v>1423</v>
      </c>
      <c r="D1182" s="57" t="str">
        <f t="shared" si="20"/>
        <v>Binyiny Town Council</v>
      </c>
      <c r="F1182" s="57">
        <v>798</v>
      </c>
    </row>
    <row r="1183" spans="1:6">
      <c r="A1183" s="57" t="s">
        <v>1427</v>
      </c>
      <c r="B1183" s="57" t="s">
        <v>1423</v>
      </c>
      <c r="C1183" s="57" t="s">
        <v>1423</v>
      </c>
      <c r="D1183" s="57" t="str">
        <f t="shared" si="20"/>
        <v>Kaproron</v>
      </c>
      <c r="F1183" s="57">
        <v>799</v>
      </c>
    </row>
    <row r="1184" spans="1:6">
      <c r="A1184" s="57" t="s">
        <v>1428</v>
      </c>
      <c r="B1184" s="57" t="s">
        <v>1423</v>
      </c>
      <c r="C1184" s="57" t="s">
        <v>1423</v>
      </c>
      <c r="D1184" s="57" t="str">
        <f t="shared" si="20"/>
        <v>Kaptoyoy</v>
      </c>
      <c r="F1184" s="57">
        <v>800</v>
      </c>
    </row>
    <row r="1185" spans="1:6">
      <c r="A1185" s="57" t="s">
        <v>1429</v>
      </c>
      <c r="B1185" s="57" t="s">
        <v>1423</v>
      </c>
      <c r="C1185" s="57" t="s">
        <v>1423</v>
      </c>
      <c r="D1185" s="57" t="str">
        <f t="shared" si="20"/>
        <v>Kaptum</v>
      </c>
      <c r="F1185" s="57">
        <v>801</v>
      </c>
    </row>
    <row r="1186" spans="1:6">
      <c r="A1186" s="57" t="s">
        <v>1430</v>
      </c>
      <c r="B1186" s="57" t="s">
        <v>1423</v>
      </c>
      <c r="C1186" s="57" t="s">
        <v>1423</v>
      </c>
      <c r="D1186" s="57" t="str">
        <f t="shared" si="20"/>
        <v>Kiriki</v>
      </c>
      <c r="F1186" s="57">
        <v>802</v>
      </c>
    </row>
    <row r="1187" spans="1:6">
      <c r="A1187" s="57" t="s">
        <v>1431</v>
      </c>
      <c r="B1187" s="57" t="s">
        <v>1423</v>
      </c>
      <c r="C1187" s="57" t="s">
        <v>1423</v>
      </c>
      <c r="D1187" s="57" t="str">
        <f t="shared" si="20"/>
        <v>Kitawoi</v>
      </c>
      <c r="F1187" s="57">
        <v>803</v>
      </c>
    </row>
    <row r="1188" spans="1:6">
      <c r="A1188" s="57" t="s">
        <v>1432</v>
      </c>
      <c r="B1188" s="57" t="s">
        <v>1423</v>
      </c>
      <c r="C1188" s="57" t="s">
        <v>1423</v>
      </c>
      <c r="D1188" s="57" t="str">
        <f t="shared" si="20"/>
        <v>Kwanyiy</v>
      </c>
      <c r="F1188" s="57">
        <v>804</v>
      </c>
    </row>
    <row r="1189" spans="1:6">
      <c r="A1189" s="57" t="s">
        <v>1433</v>
      </c>
      <c r="B1189" s="57" t="s">
        <v>1423</v>
      </c>
      <c r="C1189" s="57" t="s">
        <v>1423</v>
      </c>
      <c r="D1189" s="57" t="str">
        <f t="shared" si="20"/>
        <v>Kwosir</v>
      </c>
      <c r="F1189" s="57">
        <v>805</v>
      </c>
    </row>
    <row r="1190" spans="1:6">
      <c r="A1190" s="57" t="s">
        <v>1434</v>
      </c>
      <c r="B1190" s="57" t="s">
        <v>1423</v>
      </c>
      <c r="C1190" s="57" t="s">
        <v>1423</v>
      </c>
      <c r="D1190" s="57" t="str">
        <f t="shared" si="20"/>
        <v>Moyok</v>
      </c>
      <c r="F1190" s="57">
        <v>806</v>
      </c>
    </row>
    <row r="1191" spans="1:6">
      <c r="A1191" s="57" t="s">
        <v>1435</v>
      </c>
      <c r="B1191" s="57" t="s">
        <v>1436</v>
      </c>
      <c r="C1191" s="57" t="s">
        <v>1301</v>
      </c>
      <c r="D1191" s="57" t="str">
        <f t="shared" si="20"/>
        <v>Ngenge</v>
      </c>
      <c r="F1191" s="57">
        <v>807</v>
      </c>
    </row>
    <row r="1192" spans="1:6">
      <c r="A1192" s="57" t="s">
        <v>1437</v>
      </c>
      <c r="D1192" s="57" t="str">
        <f t="shared" si="20"/>
        <v>Bananywa</v>
      </c>
      <c r="F1192" s="57">
        <v>808</v>
      </c>
    </row>
    <row r="1193" spans="1:6">
      <c r="A1193" s="57" t="s">
        <v>1438</v>
      </c>
      <c r="B1193" s="57" t="s">
        <v>1436</v>
      </c>
      <c r="C1193" s="57" t="s">
        <v>1301</v>
      </c>
      <c r="D1193" s="57" t="str">
        <f t="shared" si="20"/>
        <v>KIKOOMA</v>
      </c>
      <c r="F1193" s="57">
        <v>808</v>
      </c>
    </row>
    <row r="1194" spans="1:6">
      <c r="A1194" s="57" t="s">
        <v>1439</v>
      </c>
      <c r="B1194" s="57" t="s">
        <v>1436</v>
      </c>
      <c r="C1194" s="57" t="s">
        <v>1301</v>
      </c>
      <c r="D1194" s="57" t="str">
        <f t="shared" si="20"/>
        <v>Butemba</v>
      </c>
      <c r="F1194" s="57">
        <v>809</v>
      </c>
    </row>
    <row r="1195" spans="1:6">
      <c r="A1195" s="57" t="s">
        <v>1440</v>
      </c>
      <c r="B1195" s="57" t="s">
        <v>1436</v>
      </c>
      <c r="C1195" s="57" t="s">
        <v>1301</v>
      </c>
      <c r="D1195" s="57" t="str">
        <f t="shared" si="20"/>
        <v>Butemba Town Council</v>
      </c>
      <c r="F1195" s="57">
        <v>810</v>
      </c>
    </row>
    <row r="1196" spans="1:6">
      <c r="A1196" s="57" t="s">
        <v>1441</v>
      </c>
      <c r="D1196" s="57" t="str">
        <f t="shared" si="20"/>
        <v>Byerima</v>
      </c>
      <c r="F1196" s="57">
        <v>811</v>
      </c>
    </row>
    <row r="1197" spans="1:6">
      <c r="A1197" s="57" t="s">
        <v>1442</v>
      </c>
      <c r="B1197" s="57" t="s">
        <v>1436</v>
      </c>
      <c r="C1197" s="57" t="s">
        <v>1301</v>
      </c>
      <c r="D1197" s="57" t="str">
        <f t="shared" si="20"/>
        <v>KITETIKA</v>
      </c>
      <c r="F1197" s="57">
        <v>811</v>
      </c>
    </row>
    <row r="1198" spans="1:6">
      <c r="A1198" s="57" t="s">
        <v>1443</v>
      </c>
      <c r="B1198" s="57" t="s">
        <v>1436</v>
      </c>
      <c r="C1198" s="57" t="s">
        <v>1301</v>
      </c>
      <c r="D1198" s="57" t="str">
        <f t="shared" si="20"/>
        <v>Gayaza</v>
      </c>
      <c r="F1198" s="57">
        <v>812</v>
      </c>
    </row>
    <row r="1199" spans="1:6">
      <c r="A1199" s="57" t="s">
        <v>1436</v>
      </c>
      <c r="B1199" s="57" t="s">
        <v>1436</v>
      </c>
      <c r="C1199" s="57" t="s">
        <v>1301</v>
      </c>
      <c r="D1199" s="57" t="str">
        <f t="shared" si="20"/>
        <v>Kyankwanzi</v>
      </c>
      <c r="F1199" s="57">
        <v>813</v>
      </c>
    </row>
    <row r="1200" spans="1:6">
      <c r="A1200" s="57" t="s">
        <v>1444</v>
      </c>
      <c r="B1200" s="57" t="s">
        <v>1436</v>
      </c>
      <c r="C1200" s="57" t="s">
        <v>1301</v>
      </c>
      <c r="D1200" s="57" t="str">
        <f t="shared" si="20"/>
        <v>Kyankwanzi Town Council</v>
      </c>
      <c r="F1200" s="57">
        <v>814</v>
      </c>
    </row>
    <row r="1201" spans="1:6">
      <c r="A1201" s="57" t="s">
        <v>1445</v>
      </c>
      <c r="B1201" s="57" t="s">
        <v>1436</v>
      </c>
      <c r="C1201" s="57" t="s">
        <v>1301</v>
      </c>
      <c r="D1201" s="57" t="str">
        <f t="shared" si="20"/>
        <v>Mulagi</v>
      </c>
      <c r="F1201" s="57">
        <v>815</v>
      </c>
    </row>
    <row r="1202" spans="1:6">
      <c r="A1202" s="57" t="s">
        <v>1446</v>
      </c>
      <c r="B1202" s="57" t="s">
        <v>1436</v>
      </c>
      <c r="C1202" s="57" t="s">
        <v>1301</v>
      </c>
      <c r="D1202" s="57" t="str">
        <f t="shared" si="20"/>
        <v>Nkandwa</v>
      </c>
      <c r="F1202" s="57">
        <v>816</v>
      </c>
    </row>
    <row r="1203" spans="1:6">
      <c r="A1203" s="57" t="s">
        <v>1138</v>
      </c>
      <c r="B1203" s="57" t="s">
        <v>1436</v>
      </c>
      <c r="C1203" s="57" t="s">
        <v>1301</v>
      </c>
      <c r="D1203" s="57" t="str">
        <f t="shared" si="20"/>
        <v>Nsambya</v>
      </c>
      <c r="F1203" s="57">
        <v>817</v>
      </c>
    </row>
    <row r="1204" spans="1:6">
      <c r="A1204" s="57" t="s">
        <v>1447</v>
      </c>
      <c r="B1204" s="57" t="s">
        <v>1436</v>
      </c>
      <c r="C1204" s="57" t="s">
        <v>1301</v>
      </c>
      <c r="D1204" s="57" t="str">
        <f t="shared" si="20"/>
        <v>Ntwetwe</v>
      </c>
      <c r="F1204" s="57">
        <v>818</v>
      </c>
    </row>
    <row r="1205" spans="1:6">
      <c r="A1205" s="57" t="s">
        <v>1448</v>
      </c>
      <c r="B1205" s="57" t="s">
        <v>1436</v>
      </c>
      <c r="C1205" s="57" t="s">
        <v>1301</v>
      </c>
      <c r="D1205" s="57" t="str">
        <f t="shared" si="20"/>
        <v>Ntwetwe Town Council</v>
      </c>
      <c r="F1205" s="57">
        <v>819</v>
      </c>
    </row>
    <row r="1206" spans="1:6">
      <c r="A1206" s="57" t="s">
        <v>1449</v>
      </c>
      <c r="B1206" s="57" t="s">
        <v>1450</v>
      </c>
      <c r="C1206" s="57" t="s">
        <v>1451</v>
      </c>
      <c r="D1206" s="57" t="str">
        <f t="shared" si="20"/>
        <v>Wattuba</v>
      </c>
      <c r="F1206" s="57">
        <v>820</v>
      </c>
    </row>
    <row r="1207" spans="1:6">
      <c r="A1207" s="57" t="s">
        <v>1452</v>
      </c>
      <c r="B1207" s="57" t="s">
        <v>1450</v>
      </c>
      <c r="C1207" s="57" t="s">
        <v>1451</v>
      </c>
      <c r="D1207" s="57" t="str">
        <f t="shared" si="20"/>
        <v>Hapuuyo</v>
      </c>
      <c r="F1207" s="57">
        <v>821</v>
      </c>
    </row>
    <row r="1208" spans="1:6">
      <c r="A1208" s="57" t="s">
        <v>1453</v>
      </c>
      <c r="B1208" s="57" t="s">
        <v>1450</v>
      </c>
      <c r="C1208" s="57" t="s">
        <v>1451</v>
      </c>
      <c r="D1208" s="57" t="str">
        <f t="shared" si="20"/>
        <v>Kabweza Kyegegwa</v>
      </c>
      <c r="F1208" s="57">
        <v>822</v>
      </c>
    </row>
    <row r="1209" spans="1:6">
      <c r="A1209" s="57" t="s">
        <v>1454</v>
      </c>
      <c r="B1209" s="57" t="s">
        <v>1450</v>
      </c>
      <c r="C1209" s="57" t="s">
        <v>1451</v>
      </c>
      <c r="D1209" s="57" t="str">
        <f t="shared" si="20"/>
        <v>Kakabara</v>
      </c>
      <c r="F1209" s="57">
        <v>823</v>
      </c>
    </row>
    <row r="1210" spans="1:6">
      <c r="A1210" s="57" t="s">
        <v>1455</v>
      </c>
      <c r="B1210" s="57" t="s">
        <v>1450</v>
      </c>
      <c r="C1210" s="57" t="s">
        <v>1451</v>
      </c>
      <c r="D1210" s="57" t="str">
        <f t="shared" si="20"/>
        <v>Kasule</v>
      </c>
      <c r="F1210" s="57">
        <v>824</v>
      </c>
    </row>
    <row r="1211" spans="1:6">
      <c r="A1211" s="57" t="s">
        <v>1456</v>
      </c>
      <c r="D1211" s="57" t="str">
        <f t="shared" si="20"/>
        <v>Kyaka Ii Refugee Camp</v>
      </c>
      <c r="F1211" s="57">
        <v>825</v>
      </c>
    </row>
    <row r="1212" spans="1:6">
      <c r="A1212" s="57" t="s">
        <v>1457</v>
      </c>
      <c r="B1212" s="57" t="s">
        <v>1450</v>
      </c>
      <c r="C1212" s="57" t="s">
        <v>1451</v>
      </c>
      <c r="D1212" s="57" t="str">
        <f t="shared" si="20"/>
        <v>KYEGEGWA</v>
      </c>
      <c r="F1212" s="57">
        <v>825</v>
      </c>
    </row>
    <row r="1213" spans="1:6">
      <c r="A1213" s="57" t="s">
        <v>1458</v>
      </c>
      <c r="D1213" s="57" t="str">
        <f t="shared" si="20"/>
        <v>Kyegegwa Town Council</v>
      </c>
      <c r="F1213" s="57">
        <v>826</v>
      </c>
    </row>
    <row r="1214" spans="1:6">
      <c r="A1214" s="57" t="s">
        <v>1459</v>
      </c>
      <c r="B1214" s="57" t="s">
        <v>1450</v>
      </c>
      <c r="C1214" s="57" t="s">
        <v>1451</v>
      </c>
      <c r="D1214" s="57" t="str">
        <f t="shared" si="20"/>
        <v>Mukiganda</v>
      </c>
      <c r="F1214" s="57">
        <v>826</v>
      </c>
    </row>
    <row r="1215" spans="1:6">
      <c r="A1215" s="57" t="s">
        <v>1460</v>
      </c>
      <c r="B1215" s="57" t="s">
        <v>1450</v>
      </c>
      <c r="C1215" s="57" t="s">
        <v>1451</v>
      </c>
      <c r="D1215" s="57" t="str">
        <f t="shared" si="20"/>
        <v>Mpala</v>
      </c>
      <c r="F1215" s="57">
        <v>827</v>
      </c>
    </row>
    <row r="1216" spans="1:6">
      <c r="A1216" s="57" t="s">
        <v>1461</v>
      </c>
      <c r="B1216" s="57" t="s">
        <v>1450</v>
      </c>
      <c r="C1216" s="57" t="s">
        <v>1451</v>
      </c>
      <c r="D1216" s="57" t="str">
        <f t="shared" si="20"/>
        <v>Ruyonza</v>
      </c>
      <c r="F1216" s="57">
        <v>828</v>
      </c>
    </row>
    <row r="1217" spans="1:6">
      <c r="A1217" s="57" t="s">
        <v>1462</v>
      </c>
      <c r="B1217" s="57" t="s">
        <v>1463</v>
      </c>
      <c r="C1217" s="57" t="s">
        <v>1464</v>
      </c>
      <c r="D1217" s="57" t="str">
        <f t="shared" si="20"/>
        <v>Rwentuha</v>
      </c>
      <c r="F1217" s="57">
        <v>829</v>
      </c>
    </row>
    <row r="1218" spans="1:6">
      <c r="A1218" s="57" t="s">
        <v>1465</v>
      </c>
      <c r="B1218" s="57" t="s">
        <v>1463</v>
      </c>
      <c r="C1218" s="57" t="s">
        <v>1464</v>
      </c>
      <c r="D1218" s="57" t="str">
        <f t="shared" si="20"/>
        <v>Bufunjo</v>
      </c>
      <c r="F1218" s="57">
        <v>830</v>
      </c>
    </row>
    <row r="1219" spans="1:6">
      <c r="A1219" s="57" t="s">
        <v>1466</v>
      </c>
      <c r="B1219" s="57" t="s">
        <v>1463</v>
      </c>
      <c r="C1219" s="57" t="s">
        <v>1464</v>
      </c>
      <c r="D1219" s="57" t="str">
        <f t="shared" ref="D1219:D1282" si="21">A1219</f>
        <v>Bugaaki</v>
      </c>
      <c r="F1219" s="57">
        <v>831</v>
      </c>
    </row>
    <row r="1220" spans="1:6">
      <c r="A1220" s="57" t="s">
        <v>1467</v>
      </c>
      <c r="B1220" s="57" t="s">
        <v>1463</v>
      </c>
      <c r="C1220" s="57" t="s">
        <v>1464</v>
      </c>
      <c r="D1220" s="57" t="str">
        <f t="shared" si="21"/>
        <v>Butiiti</v>
      </c>
      <c r="F1220" s="57">
        <v>832</v>
      </c>
    </row>
    <row r="1221" spans="1:6">
      <c r="A1221" s="57" t="s">
        <v>1468</v>
      </c>
      <c r="B1221" s="57" t="s">
        <v>1463</v>
      </c>
      <c r="C1221" s="57" t="s">
        <v>1464</v>
      </c>
      <c r="D1221" s="57" t="str">
        <f t="shared" si="21"/>
        <v>Butunduzi</v>
      </c>
      <c r="F1221" s="57">
        <v>833</v>
      </c>
    </row>
    <row r="1222" spans="1:6">
      <c r="A1222" s="57" t="s">
        <v>1469</v>
      </c>
      <c r="B1222" s="57" t="s">
        <v>1463</v>
      </c>
      <c r="C1222" s="57" t="s">
        <v>1464</v>
      </c>
      <c r="D1222" s="57" t="str">
        <f t="shared" si="21"/>
        <v>Butunduzi Town Council</v>
      </c>
      <c r="F1222" s="57">
        <v>834</v>
      </c>
    </row>
    <row r="1223" spans="1:6">
      <c r="A1223" s="57" t="s">
        <v>1470</v>
      </c>
      <c r="B1223" s="57" t="s">
        <v>1463</v>
      </c>
      <c r="C1223" s="57" t="s">
        <v>1464</v>
      </c>
      <c r="D1223" s="57" t="str">
        <f t="shared" si="21"/>
        <v>Katooke</v>
      </c>
      <c r="F1223" s="57">
        <v>835</v>
      </c>
    </row>
    <row r="1224" spans="1:6">
      <c r="A1224" s="57" t="s">
        <v>1471</v>
      </c>
      <c r="B1224" s="57" t="s">
        <v>1463</v>
      </c>
      <c r="C1224" s="57" t="s">
        <v>1464</v>
      </c>
      <c r="D1224" s="57" t="str">
        <f t="shared" si="21"/>
        <v>Katooke Town Council</v>
      </c>
      <c r="F1224" s="57">
        <v>836</v>
      </c>
    </row>
    <row r="1225" spans="1:6">
      <c r="A1225" s="57" t="s">
        <v>1472</v>
      </c>
      <c r="B1225" s="57" t="s">
        <v>1463</v>
      </c>
      <c r="C1225" s="57" t="s">
        <v>1464</v>
      </c>
      <c r="D1225" s="57" t="str">
        <f t="shared" si="21"/>
        <v>Kigaraale</v>
      </c>
      <c r="F1225" s="57">
        <v>837</v>
      </c>
    </row>
    <row r="1226" spans="1:6">
      <c r="A1226" s="57" t="s">
        <v>1473</v>
      </c>
      <c r="B1226" s="57" t="s">
        <v>1463</v>
      </c>
      <c r="C1226" s="57" t="s">
        <v>1464</v>
      </c>
      <c r="D1226" s="57" t="str">
        <f t="shared" si="21"/>
        <v>Kihuura</v>
      </c>
      <c r="F1226" s="57">
        <v>838</v>
      </c>
    </row>
    <row r="1227" spans="1:6">
      <c r="A1227" s="57" t="s">
        <v>1474</v>
      </c>
      <c r="B1227" s="57" t="s">
        <v>1463</v>
      </c>
      <c r="C1227" s="57" t="s">
        <v>1464</v>
      </c>
      <c r="D1227" s="57" t="str">
        <f t="shared" si="21"/>
        <v>Kisojo</v>
      </c>
      <c r="F1227" s="57">
        <v>839</v>
      </c>
    </row>
    <row r="1228" spans="1:6">
      <c r="A1228" s="57" t="s">
        <v>1475</v>
      </c>
      <c r="B1228" s="57" t="s">
        <v>1463</v>
      </c>
      <c r="C1228" s="57" t="s">
        <v>1464</v>
      </c>
      <c r="D1228" s="57" t="str">
        <f t="shared" si="21"/>
        <v>Kyarusozi</v>
      </c>
      <c r="F1228" s="57">
        <v>840</v>
      </c>
    </row>
    <row r="1229" spans="1:6">
      <c r="A1229" s="57" t="s">
        <v>1476</v>
      </c>
      <c r="B1229" s="57" t="s">
        <v>1463</v>
      </c>
      <c r="C1229" s="57" t="s">
        <v>1464</v>
      </c>
      <c r="D1229" s="57" t="str">
        <f t="shared" si="21"/>
        <v>Kyarusozi Town Council</v>
      </c>
      <c r="F1229" s="57">
        <v>841</v>
      </c>
    </row>
    <row r="1230" spans="1:6">
      <c r="A1230" s="57" t="s">
        <v>1477</v>
      </c>
      <c r="B1230" s="57" t="s">
        <v>1463</v>
      </c>
      <c r="C1230" s="57" t="s">
        <v>1464</v>
      </c>
      <c r="D1230" s="57" t="str">
        <f t="shared" si="21"/>
        <v>Kyenjojo Town Council</v>
      </c>
      <c r="F1230" s="57">
        <v>842</v>
      </c>
    </row>
    <row r="1231" spans="1:6">
      <c r="A1231" s="57" t="s">
        <v>1478</v>
      </c>
      <c r="B1231" s="57" t="s">
        <v>1463</v>
      </c>
      <c r="C1231" s="57" t="s">
        <v>1464</v>
      </c>
      <c r="D1231" s="57" t="str">
        <f t="shared" si="21"/>
        <v>Nyabuharwa</v>
      </c>
      <c r="F1231" s="57">
        <v>843</v>
      </c>
    </row>
    <row r="1232" spans="1:6">
      <c r="A1232" s="57" t="s">
        <v>1479</v>
      </c>
      <c r="B1232" s="57" t="s">
        <v>1463</v>
      </c>
      <c r="C1232" s="57" t="s">
        <v>1464</v>
      </c>
      <c r="D1232" s="57" t="str">
        <f t="shared" si="21"/>
        <v>Nyankwanzi</v>
      </c>
      <c r="F1232" s="57">
        <v>844</v>
      </c>
    </row>
    <row r="1233" spans="1:6">
      <c r="A1233" s="57" t="s">
        <v>1480</v>
      </c>
      <c r="B1233" s="57" t="s">
        <v>1481</v>
      </c>
      <c r="C1233" s="57" t="s">
        <v>1481</v>
      </c>
      <c r="D1233" s="57" t="str">
        <f t="shared" si="21"/>
        <v>Nyantungo</v>
      </c>
      <c r="F1233" s="57">
        <v>845</v>
      </c>
    </row>
    <row r="1234" spans="1:6">
      <c r="A1234" s="57" t="s">
        <v>1482</v>
      </c>
      <c r="D1234" s="57" t="str">
        <f t="shared" si="21"/>
        <v>Kabira</v>
      </c>
      <c r="F1234" s="57">
        <v>846</v>
      </c>
    </row>
    <row r="1235" spans="1:6">
      <c r="A1235" s="57" t="s">
        <v>1483</v>
      </c>
      <c r="D1235" s="57" t="str">
        <f t="shared" si="21"/>
        <v>DDIMO</v>
      </c>
      <c r="F1235" s="57">
        <v>846</v>
      </c>
    </row>
    <row r="1236" spans="1:6">
      <c r="A1236" s="57" t="s">
        <v>1484</v>
      </c>
      <c r="D1236" s="57" t="str">
        <f t="shared" si="21"/>
        <v>KAMUZINDA</v>
      </c>
      <c r="F1236" s="57">
        <v>846</v>
      </c>
    </row>
    <row r="1237" spans="1:6">
      <c r="A1237" s="57" t="s">
        <v>1485</v>
      </c>
      <c r="D1237" s="57" t="str">
        <f t="shared" si="21"/>
        <v>BOTEERA</v>
      </c>
      <c r="F1237" s="57">
        <v>846</v>
      </c>
    </row>
    <row r="1238" spans="1:6">
      <c r="A1238" s="57" t="s">
        <v>1486</v>
      </c>
      <c r="D1238" s="57" t="str">
        <f t="shared" si="21"/>
        <v>BUGAAJU</v>
      </c>
      <c r="F1238" s="57">
        <v>846</v>
      </c>
    </row>
    <row r="1239" spans="1:6">
      <c r="A1239" s="57" t="s">
        <v>1487</v>
      </c>
      <c r="D1239" s="57" t="str">
        <f t="shared" si="21"/>
        <v>KYALURANGIRA</v>
      </c>
      <c r="F1239" s="57">
        <v>846</v>
      </c>
    </row>
    <row r="1240" spans="1:6">
      <c r="A1240" s="57" t="s">
        <v>1488</v>
      </c>
      <c r="D1240" s="57" t="str">
        <f t="shared" si="21"/>
        <v>KABILA</v>
      </c>
      <c r="F1240" s="57">
        <v>846</v>
      </c>
    </row>
    <row r="1241" spans="1:6">
      <c r="A1241" s="57" t="s">
        <v>1489</v>
      </c>
      <c r="D1241" s="57" t="str">
        <f t="shared" si="21"/>
        <v>MUSAMBYA</v>
      </c>
      <c r="F1241" s="57">
        <v>846</v>
      </c>
    </row>
    <row r="1242" spans="1:6">
      <c r="A1242" s="57" t="s">
        <v>1490</v>
      </c>
      <c r="D1242" s="57" t="str">
        <f t="shared" si="21"/>
        <v>LWAMPONI</v>
      </c>
      <c r="F1242" s="57">
        <v>846</v>
      </c>
    </row>
    <row r="1243" spans="1:6">
      <c r="A1243" s="57" t="s">
        <v>1491</v>
      </c>
      <c r="D1243" s="57" t="str">
        <f t="shared" si="21"/>
        <v>LWAGULWE</v>
      </c>
      <c r="F1243" s="57">
        <v>846</v>
      </c>
    </row>
    <row r="1244" spans="1:6">
      <c r="A1244" s="57" t="s">
        <v>1492</v>
      </c>
      <c r="D1244" s="57" t="str">
        <f t="shared" si="21"/>
        <v>GGULAMA</v>
      </c>
      <c r="F1244" s="57">
        <v>846</v>
      </c>
    </row>
    <row r="1245" spans="1:6">
      <c r="A1245" s="57" t="s">
        <v>1493</v>
      </c>
      <c r="D1245" s="57" t="str">
        <f t="shared" si="21"/>
        <v>KYANAMUKAKA</v>
      </c>
      <c r="F1245" s="57">
        <v>846</v>
      </c>
    </row>
    <row r="1246" spans="1:6">
      <c r="A1246" s="57" t="s">
        <v>1494</v>
      </c>
      <c r="D1246" s="57" t="str">
        <f t="shared" si="21"/>
        <v>KALIVALIYO</v>
      </c>
      <c r="F1246" s="57">
        <v>846</v>
      </c>
    </row>
    <row r="1247" spans="1:6">
      <c r="A1247" s="57" t="s">
        <v>1495</v>
      </c>
      <c r="D1247" s="57" t="str">
        <f t="shared" si="21"/>
        <v>BISANJE</v>
      </c>
      <c r="F1247" s="57">
        <v>846</v>
      </c>
    </row>
    <row r="1248" spans="1:6">
      <c r="A1248" s="57" t="s">
        <v>1496</v>
      </c>
      <c r="D1248" s="57" t="str">
        <f t="shared" si="21"/>
        <v>KYANJALE</v>
      </c>
      <c r="F1248" s="57">
        <v>846</v>
      </c>
    </row>
    <row r="1249" spans="1:6">
      <c r="A1249" s="57" t="s">
        <v>1497</v>
      </c>
      <c r="D1249" s="57" t="str">
        <f t="shared" si="21"/>
        <v>BUTAAYA</v>
      </c>
      <c r="F1249" s="57">
        <v>846</v>
      </c>
    </row>
    <row r="1250" spans="1:6">
      <c r="A1250" s="57" t="s">
        <v>1498</v>
      </c>
      <c r="D1250" s="57" t="str">
        <f t="shared" si="21"/>
        <v>BUKUNDA</v>
      </c>
      <c r="F1250" s="57">
        <v>846</v>
      </c>
    </row>
    <row r="1251" spans="1:6">
      <c r="A1251" s="57" t="s">
        <v>1499</v>
      </c>
      <c r="D1251" s="57" t="str">
        <f t="shared" si="21"/>
        <v>KIRIMYA</v>
      </c>
      <c r="F1251" s="57">
        <v>846</v>
      </c>
    </row>
    <row r="1252" spans="1:6">
      <c r="A1252" s="57" t="s">
        <v>1500</v>
      </c>
      <c r="D1252" s="57" t="str">
        <f t="shared" si="21"/>
        <v>KASENSERO</v>
      </c>
      <c r="F1252" s="57">
        <v>846</v>
      </c>
    </row>
    <row r="1253" spans="1:6">
      <c r="A1253" s="57" t="s">
        <v>1501</v>
      </c>
      <c r="D1253" s="57" t="str">
        <f t="shared" si="21"/>
        <v>Kalisizo</v>
      </c>
      <c r="F1253" s="57">
        <v>846</v>
      </c>
    </row>
    <row r="1254" spans="1:6">
      <c r="A1254" s="57" t="s">
        <v>1502</v>
      </c>
      <c r="D1254" s="57" t="str">
        <f t="shared" si="21"/>
        <v>KABUWOKO</v>
      </c>
      <c r="F1254" s="57">
        <v>846</v>
      </c>
    </row>
    <row r="1255" spans="1:6">
      <c r="A1255" s="57" t="s">
        <v>1503</v>
      </c>
      <c r="D1255" s="57" t="str">
        <f t="shared" si="21"/>
        <v>Kalisizo Town Council</v>
      </c>
      <c r="F1255" s="57">
        <v>846</v>
      </c>
    </row>
    <row r="1256" spans="1:6">
      <c r="A1256" s="57" t="s">
        <v>1504</v>
      </c>
      <c r="D1256" s="57" t="str">
        <f t="shared" si="21"/>
        <v>Kasasa</v>
      </c>
      <c r="F1256" s="57">
        <v>846</v>
      </c>
    </row>
    <row r="1257" spans="1:6">
      <c r="A1257" s="57" t="s">
        <v>1345</v>
      </c>
      <c r="B1257" s="57" t="s">
        <v>1481</v>
      </c>
      <c r="C1257" s="57" t="s">
        <v>1481</v>
      </c>
      <c r="D1257" s="57" t="str">
        <f t="shared" si="21"/>
        <v>Kibanda</v>
      </c>
      <c r="F1257" s="57">
        <v>846</v>
      </c>
    </row>
    <row r="1258" spans="1:6">
      <c r="A1258" s="57" t="s">
        <v>1505</v>
      </c>
      <c r="B1258" s="57" t="s">
        <v>1481</v>
      </c>
      <c r="C1258" s="57" t="s">
        <v>1481</v>
      </c>
      <c r="D1258" s="57" t="str">
        <f t="shared" si="21"/>
        <v>Kirumba</v>
      </c>
      <c r="F1258" s="57">
        <v>847</v>
      </c>
    </row>
    <row r="1259" spans="1:6">
      <c r="A1259" s="57" t="s">
        <v>1506</v>
      </c>
      <c r="B1259" s="57" t="s">
        <v>1481</v>
      </c>
      <c r="C1259" s="57" t="s">
        <v>1507</v>
      </c>
      <c r="D1259" s="57" t="str">
        <f t="shared" si="21"/>
        <v>Kyebe</v>
      </c>
      <c r="F1259" s="57">
        <v>848</v>
      </c>
    </row>
    <row r="1260" spans="1:6">
      <c r="A1260" s="57" t="s">
        <v>1508</v>
      </c>
      <c r="B1260" s="57" t="s">
        <v>1481</v>
      </c>
      <c r="C1260" s="57" t="s">
        <v>1507</v>
      </c>
      <c r="D1260" s="57" t="str">
        <f t="shared" si="21"/>
        <v>KYOTERA</v>
      </c>
      <c r="F1260" s="57">
        <v>849</v>
      </c>
    </row>
    <row r="1261" spans="1:6">
      <c r="A1261" s="57" t="s">
        <v>1509</v>
      </c>
      <c r="B1261" s="57" t="s">
        <v>1481</v>
      </c>
      <c r="C1261" s="57" t="s">
        <v>1481</v>
      </c>
      <c r="D1261" s="57" t="str">
        <f t="shared" si="21"/>
        <v>Kyotera Town Council</v>
      </c>
      <c r="F1261" s="57">
        <v>850</v>
      </c>
    </row>
    <row r="1262" spans="1:6">
      <c r="A1262" s="57" t="s">
        <v>1510</v>
      </c>
      <c r="B1262" s="57" t="s">
        <v>1481</v>
      </c>
      <c r="C1262" s="57" t="s">
        <v>1507</v>
      </c>
      <c r="D1262" s="57" t="str">
        <f t="shared" si="21"/>
        <v>Lwankoni</v>
      </c>
      <c r="F1262" s="57">
        <v>851</v>
      </c>
    </row>
    <row r="1263" spans="1:6">
      <c r="A1263" s="57" t="s">
        <v>1511</v>
      </c>
      <c r="D1263" s="57" t="str">
        <f t="shared" si="21"/>
        <v>Nabigasa</v>
      </c>
      <c r="F1263" s="57">
        <v>852</v>
      </c>
    </row>
    <row r="1264" spans="1:6">
      <c r="A1264" s="57" t="s">
        <v>1512</v>
      </c>
      <c r="B1264" s="57" t="s">
        <v>1481</v>
      </c>
      <c r="C1264" s="57" t="s">
        <v>1481</v>
      </c>
      <c r="D1264" s="57" t="str">
        <f t="shared" si="21"/>
        <v>Agoro</v>
      </c>
      <c r="F1264" s="57">
        <v>852</v>
      </c>
    </row>
    <row r="1265" spans="1:6">
      <c r="A1265" s="57" t="s">
        <v>1513</v>
      </c>
      <c r="B1265" s="57" t="s">
        <v>1481</v>
      </c>
      <c r="C1265" s="57" t="s">
        <v>1481</v>
      </c>
      <c r="D1265" s="57" t="str">
        <f t="shared" si="21"/>
        <v>Lamwo Town Council</v>
      </c>
      <c r="F1265" s="57">
        <v>853</v>
      </c>
    </row>
    <row r="1266" spans="1:6">
      <c r="A1266" s="57" t="s">
        <v>1514</v>
      </c>
      <c r="B1266" s="57" t="s">
        <v>1481</v>
      </c>
      <c r="C1266" s="57" t="s">
        <v>1481</v>
      </c>
      <c r="D1266" s="57" t="str">
        <f t="shared" si="21"/>
        <v>Lokung</v>
      </c>
      <c r="F1266" s="57">
        <v>854</v>
      </c>
    </row>
    <row r="1267" spans="1:6">
      <c r="A1267" s="57" t="s">
        <v>1515</v>
      </c>
      <c r="B1267" s="57" t="s">
        <v>1516</v>
      </c>
      <c r="C1267" s="57" t="s">
        <v>1516</v>
      </c>
      <c r="D1267" s="57" t="str">
        <f t="shared" si="21"/>
        <v>Madi Opei</v>
      </c>
      <c r="F1267" s="57">
        <v>855</v>
      </c>
    </row>
    <row r="1268" spans="1:6">
      <c r="A1268" s="57" t="s">
        <v>1517</v>
      </c>
      <c r="B1268" s="57" t="s">
        <v>1516</v>
      </c>
      <c r="C1268" s="57" t="s">
        <v>1516</v>
      </c>
      <c r="D1268" s="57" t="str">
        <f t="shared" si="21"/>
        <v>Padibe</v>
      </c>
      <c r="F1268" s="57">
        <v>856</v>
      </c>
    </row>
    <row r="1269" spans="1:6">
      <c r="A1269" s="57" t="s">
        <v>157</v>
      </c>
      <c r="B1269" s="57" t="s">
        <v>1516</v>
      </c>
      <c r="C1269" s="57" t="s">
        <v>1516</v>
      </c>
      <c r="D1269" s="57" t="str">
        <f t="shared" si="21"/>
        <v>Palabek</v>
      </c>
      <c r="F1269" s="57">
        <v>857</v>
      </c>
    </row>
    <row r="1270" spans="1:6">
      <c r="A1270" s="57" t="s">
        <v>1518</v>
      </c>
      <c r="B1270" s="57" t="s">
        <v>1516</v>
      </c>
      <c r="C1270" s="57" t="s">
        <v>1516</v>
      </c>
      <c r="D1270" s="57" t="str">
        <f t="shared" si="21"/>
        <v>Paloga</v>
      </c>
      <c r="F1270" s="57">
        <v>858</v>
      </c>
    </row>
    <row r="1271" spans="1:6">
      <c r="A1271" s="57" t="s">
        <v>1519</v>
      </c>
      <c r="B1271" s="57" t="s">
        <v>1516</v>
      </c>
      <c r="C1271" s="57" t="s">
        <v>1516</v>
      </c>
      <c r="D1271" s="57" t="str">
        <f t="shared" si="21"/>
        <v>Adekokwok</v>
      </c>
      <c r="F1271" s="57">
        <v>859</v>
      </c>
    </row>
    <row r="1272" spans="1:6">
      <c r="A1272" s="57" t="s">
        <v>1520</v>
      </c>
      <c r="B1272" s="57" t="s">
        <v>1516</v>
      </c>
      <c r="C1272" s="57" t="s">
        <v>1516</v>
      </c>
      <c r="D1272" s="57" t="str">
        <f t="shared" si="21"/>
        <v>Agali</v>
      </c>
      <c r="F1272" s="57">
        <v>860</v>
      </c>
    </row>
    <row r="1273" spans="1:6">
      <c r="A1273" s="57" t="s">
        <v>1521</v>
      </c>
      <c r="B1273" s="57" t="s">
        <v>1516</v>
      </c>
      <c r="C1273" s="57" t="s">
        <v>1516</v>
      </c>
      <c r="D1273" s="57" t="str">
        <f t="shared" si="21"/>
        <v>Agweng</v>
      </c>
      <c r="F1273" s="57">
        <v>861</v>
      </c>
    </row>
    <row r="1274" spans="1:6">
      <c r="A1274" s="57" t="s">
        <v>1522</v>
      </c>
      <c r="B1274" s="57" t="s">
        <v>1523</v>
      </c>
      <c r="C1274" s="57" t="s">
        <v>1524</v>
      </c>
      <c r="D1274" s="57" t="str">
        <f t="shared" si="21"/>
        <v>Amach</v>
      </c>
      <c r="F1274" s="57">
        <v>862</v>
      </c>
    </row>
    <row r="1275" spans="1:6">
      <c r="A1275" s="57" t="s">
        <v>1525</v>
      </c>
      <c r="B1275" s="57" t="s">
        <v>1523</v>
      </c>
      <c r="C1275" s="57" t="s">
        <v>1524</v>
      </c>
      <c r="D1275" s="57" t="str">
        <f t="shared" si="21"/>
        <v>Aromo</v>
      </c>
      <c r="F1275" s="57">
        <v>863</v>
      </c>
    </row>
    <row r="1276" spans="1:6">
      <c r="A1276" s="57" t="s">
        <v>1526</v>
      </c>
      <c r="B1276" s="57" t="s">
        <v>1523</v>
      </c>
      <c r="C1276" s="57" t="s">
        <v>1524</v>
      </c>
      <c r="D1276" s="57" t="str">
        <f t="shared" si="21"/>
        <v>Barr</v>
      </c>
      <c r="F1276" s="57">
        <v>864</v>
      </c>
    </row>
    <row r="1277" spans="1:6">
      <c r="A1277" s="57" t="s">
        <v>1523</v>
      </c>
      <c r="B1277" s="57" t="s">
        <v>1523</v>
      </c>
      <c r="C1277" s="57" t="s">
        <v>1524</v>
      </c>
      <c r="D1277" s="57" t="str">
        <f t="shared" si="21"/>
        <v>Lira</v>
      </c>
      <c r="F1277" s="57">
        <v>865</v>
      </c>
    </row>
    <row r="1278" spans="1:6">
      <c r="A1278" s="57" t="s">
        <v>1527</v>
      </c>
      <c r="B1278" s="57" t="s">
        <v>1523</v>
      </c>
      <c r="C1278" s="57" t="s">
        <v>1524</v>
      </c>
      <c r="D1278" s="57" t="str">
        <f t="shared" si="21"/>
        <v>Lira Municipality</v>
      </c>
      <c r="F1278" s="57">
        <v>866</v>
      </c>
    </row>
    <row r="1279" spans="1:6">
      <c r="A1279" s="57" t="s">
        <v>1528</v>
      </c>
      <c r="B1279" s="57" t="s">
        <v>1523</v>
      </c>
      <c r="C1279" s="57" t="s">
        <v>1524</v>
      </c>
      <c r="D1279" s="57" t="str">
        <f t="shared" si="21"/>
        <v>Ngetta</v>
      </c>
      <c r="F1279" s="57">
        <v>867</v>
      </c>
    </row>
    <row r="1280" spans="1:6">
      <c r="A1280" s="57" t="s">
        <v>1529</v>
      </c>
      <c r="B1280" s="57" t="s">
        <v>1523</v>
      </c>
      <c r="C1280" s="57" t="s">
        <v>1524</v>
      </c>
      <c r="D1280" s="57" t="str">
        <f t="shared" si="21"/>
        <v>Ogur</v>
      </c>
      <c r="F1280" s="57">
        <v>868</v>
      </c>
    </row>
    <row r="1281" spans="1:6">
      <c r="A1281" s="57" t="s">
        <v>660</v>
      </c>
      <c r="B1281" s="57" t="s">
        <v>1523</v>
      </c>
      <c r="C1281" s="57" t="s">
        <v>1527</v>
      </c>
      <c r="D1281" s="57" t="str">
        <f t="shared" si="21"/>
        <v>Bukanga</v>
      </c>
      <c r="F1281" s="57">
        <v>869</v>
      </c>
    </row>
    <row r="1282" spans="1:6">
      <c r="A1282" s="57" t="s">
        <v>1530</v>
      </c>
      <c r="B1282" s="57" t="s">
        <v>1523</v>
      </c>
      <c r="C1282" s="57" t="s">
        <v>1524</v>
      </c>
      <c r="D1282" s="57" t="str">
        <f t="shared" si="21"/>
        <v>Bukooma</v>
      </c>
      <c r="F1282" s="57">
        <v>870</v>
      </c>
    </row>
    <row r="1283" spans="1:6">
      <c r="A1283" s="57" t="s">
        <v>1531</v>
      </c>
      <c r="B1283" s="57" t="s">
        <v>1523</v>
      </c>
      <c r="C1283" s="57" t="s">
        <v>1524</v>
      </c>
      <c r="D1283" s="57" t="str">
        <f t="shared" ref="D1283:D1345" si="22">A1283</f>
        <v>Bulongo</v>
      </c>
      <c r="F1283" s="57">
        <v>871</v>
      </c>
    </row>
    <row r="1284" spans="1:6">
      <c r="A1284" s="57" t="s">
        <v>1532</v>
      </c>
      <c r="B1284" s="57" t="s">
        <v>1533</v>
      </c>
      <c r="C1284" s="57" t="s">
        <v>1533</v>
      </c>
      <c r="D1284" s="57" t="str">
        <f t="shared" si="22"/>
        <v>Ikumbya</v>
      </c>
      <c r="F1284" s="57">
        <v>872</v>
      </c>
    </row>
    <row r="1285" spans="1:6">
      <c r="A1285" s="57" t="s">
        <v>1534</v>
      </c>
      <c r="B1285" s="57" t="s">
        <v>1533</v>
      </c>
      <c r="C1285" s="57" t="s">
        <v>1533</v>
      </c>
      <c r="D1285" s="57" t="str">
        <f t="shared" si="22"/>
        <v>Irongo</v>
      </c>
      <c r="F1285" s="57">
        <v>873</v>
      </c>
    </row>
    <row r="1286" spans="1:6">
      <c r="A1286" s="57" t="s">
        <v>1535</v>
      </c>
      <c r="B1286" s="57" t="s">
        <v>1533</v>
      </c>
      <c r="C1286" s="57" t="s">
        <v>1533</v>
      </c>
      <c r="D1286" s="57" t="str">
        <f t="shared" si="22"/>
        <v>Luuka Town Council</v>
      </c>
      <c r="F1286" s="57">
        <v>874</v>
      </c>
    </row>
    <row r="1287" spans="1:6">
      <c r="A1287" s="57" t="s">
        <v>1536</v>
      </c>
      <c r="B1287" s="57" t="s">
        <v>1533</v>
      </c>
      <c r="C1287" s="57" t="s">
        <v>1533</v>
      </c>
      <c r="D1287" s="57" t="str">
        <f t="shared" si="22"/>
        <v>Nawampiti</v>
      </c>
      <c r="F1287" s="57">
        <v>875</v>
      </c>
    </row>
    <row r="1288" spans="1:6">
      <c r="A1288" s="57" t="s">
        <v>1537</v>
      </c>
      <c r="B1288" s="57" t="s">
        <v>1533</v>
      </c>
      <c r="C1288" s="57" t="s">
        <v>1533</v>
      </c>
      <c r="D1288" s="57" t="str">
        <f t="shared" si="22"/>
        <v>Waibuga</v>
      </c>
      <c r="F1288" s="57">
        <v>876</v>
      </c>
    </row>
    <row r="1289" spans="1:6">
      <c r="A1289" s="57" t="s">
        <v>1538</v>
      </c>
      <c r="B1289" s="57" t="s">
        <v>1533</v>
      </c>
      <c r="C1289" s="57" t="s">
        <v>1533</v>
      </c>
      <c r="D1289" s="57" t="str">
        <f t="shared" si="22"/>
        <v>Bamunanika</v>
      </c>
      <c r="F1289" s="57">
        <v>877</v>
      </c>
    </row>
    <row r="1290" spans="1:6">
      <c r="A1290" s="57" t="s">
        <v>1539</v>
      </c>
      <c r="B1290" s="57" t="s">
        <v>1533</v>
      </c>
      <c r="C1290" s="57" t="s">
        <v>1533</v>
      </c>
      <c r="D1290" s="57" t="str">
        <f t="shared" si="22"/>
        <v>Bombo</v>
      </c>
      <c r="F1290" s="57">
        <v>878</v>
      </c>
    </row>
    <row r="1291" spans="1:6">
      <c r="A1291" s="57" t="s">
        <v>1540</v>
      </c>
      <c r="B1291" s="57" t="s">
        <v>1533</v>
      </c>
      <c r="C1291" s="57" t="s">
        <v>1533</v>
      </c>
      <c r="D1291" s="57" t="str">
        <f t="shared" si="22"/>
        <v>Bombo Town Council</v>
      </c>
      <c r="F1291" s="57">
        <v>879</v>
      </c>
    </row>
    <row r="1292" spans="1:6">
      <c r="A1292" s="57" t="s">
        <v>1541</v>
      </c>
      <c r="B1292" s="57" t="s">
        <v>1542</v>
      </c>
      <c r="C1292" s="57" t="s">
        <v>1538</v>
      </c>
      <c r="D1292" s="57" t="str">
        <f t="shared" si="22"/>
        <v>Butuntumula</v>
      </c>
      <c r="F1292" s="57">
        <v>880</v>
      </c>
    </row>
    <row r="1293" spans="1:6">
      <c r="A1293" s="57" t="s">
        <v>1543</v>
      </c>
      <c r="D1293" s="57" t="str">
        <f t="shared" si="22"/>
        <v>BUSIIKA</v>
      </c>
      <c r="F1293" s="57">
        <v>881</v>
      </c>
    </row>
    <row r="1294" spans="1:6">
      <c r="A1294" s="57" t="s">
        <v>1544</v>
      </c>
      <c r="D1294" s="57" t="str">
        <f t="shared" si="22"/>
        <v>Kalagala</v>
      </c>
      <c r="F1294" s="57">
        <v>881</v>
      </c>
    </row>
    <row r="1295" spans="1:6">
      <c r="A1295" s="57" t="s">
        <v>1545</v>
      </c>
      <c r="B1295" s="57" t="s">
        <v>1542</v>
      </c>
      <c r="C1295" s="57" t="s">
        <v>1546</v>
      </c>
      <c r="D1295" s="57" t="str">
        <f t="shared" si="22"/>
        <v xml:space="preserve">KINONI </v>
      </c>
      <c r="F1295" s="57">
        <v>881</v>
      </c>
    </row>
    <row r="1296" spans="1:6">
      <c r="A1296" s="57" t="s">
        <v>1547</v>
      </c>
      <c r="B1296" s="57" t="s">
        <v>1542</v>
      </c>
      <c r="C1296" s="57" t="s">
        <v>1546</v>
      </c>
      <c r="D1296" s="57" t="str">
        <f t="shared" si="22"/>
        <v>Kamira</v>
      </c>
      <c r="F1296" s="57">
        <v>882</v>
      </c>
    </row>
    <row r="1297" spans="1:6">
      <c r="A1297" s="57" t="s">
        <v>1546</v>
      </c>
      <c r="D1297" s="57" t="str">
        <f t="shared" si="22"/>
        <v>Katikamu</v>
      </c>
      <c r="F1297" s="57">
        <v>883</v>
      </c>
    </row>
    <row r="1298" spans="1:6">
      <c r="A1298" s="57" t="s">
        <v>1548</v>
      </c>
      <c r="B1298" s="57" t="s">
        <v>1542</v>
      </c>
      <c r="C1298" s="57" t="s">
        <v>1538</v>
      </c>
      <c r="D1298" s="57" t="str">
        <f t="shared" si="22"/>
        <v>Kikyusa</v>
      </c>
      <c r="F1298" s="57">
        <v>883</v>
      </c>
    </row>
    <row r="1299" spans="1:6">
      <c r="A1299" s="57" t="s">
        <v>1549</v>
      </c>
      <c r="B1299" s="57" t="s">
        <v>1542</v>
      </c>
      <c r="C1299" s="57" t="s">
        <v>1538</v>
      </c>
      <c r="D1299" s="57" t="str">
        <f t="shared" si="22"/>
        <v>KASANA</v>
      </c>
      <c r="F1299" s="57">
        <v>884</v>
      </c>
    </row>
    <row r="1300" spans="1:6">
      <c r="A1300" s="57" t="s">
        <v>1542</v>
      </c>
      <c r="B1300" s="57" t="s">
        <v>1542</v>
      </c>
      <c r="C1300" s="57" t="s">
        <v>1546</v>
      </c>
      <c r="D1300" s="57" t="str">
        <f t="shared" si="22"/>
        <v>Luwero</v>
      </c>
      <c r="F1300" s="57">
        <v>885</v>
      </c>
    </row>
    <row r="1301" spans="1:6">
      <c r="A1301" s="57" t="s">
        <v>1550</v>
      </c>
      <c r="B1301" s="57" t="s">
        <v>1542</v>
      </c>
      <c r="C1301" s="57" t="s">
        <v>1538</v>
      </c>
      <c r="D1301" s="57" t="str">
        <f t="shared" si="22"/>
        <v>LUWERO TOWN</v>
      </c>
      <c r="F1301" s="57">
        <v>886</v>
      </c>
    </row>
    <row r="1302" spans="1:6">
      <c r="A1302" s="57" t="s">
        <v>1551</v>
      </c>
      <c r="D1302" s="57" t="str">
        <f t="shared" si="22"/>
        <v>Luwero Town Council</v>
      </c>
      <c r="F1302" s="57">
        <v>886</v>
      </c>
    </row>
    <row r="1303" spans="1:6">
      <c r="B1303" s="57" t="s">
        <v>1542</v>
      </c>
      <c r="C1303" s="57" t="s">
        <v>1546</v>
      </c>
      <c r="D1303" s="57">
        <f t="shared" si="22"/>
        <v>0</v>
      </c>
      <c r="F1303" s="57">
        <v>887</v>
      </c>
    </row>
    <row r="1304" spans="1:6">
      <c r="A1304" s="57" t="s">
        <v>1552</v>
      </c>
      <c r="D1304" s="57" t="str">
        <f t="shared" si="22"/>
        <v>Makulubita</v>
      </c>
      <c r="F1304" s="57">
        <v>887</v>
      </c>
    </row>
    <row r="1305" spans="1:6">
      <c r="A1305" s="57" t="s">
        <v>1553</v>
      </c>
      <c r="B1305" s="57" t="s">
        <v>1542</v>
      </c>
      <c r="C1305" s="57" t="s">
        <v>1546</v>
      </c>
      <c r="D1305" s="57" t="str">
        <f t="shared" si="22"/>
        <v>LUWELO TOWN</v>
      </c>
      <c r="F1305" s="57">
        <v>888</v>
      </c>
    </row>
    <row r="1306" spans="1:6">
      <c r="A1306" s="57" t="s">
        <v>1554</v>
      </c>
      <c r="D1306" s="57" t="str">
        <f t="shared" si="22"/>
        <v>Nyimbwa</v>
      </c>
    </row>
    <row r="1307" spans="1:6">
      <c r="A1307" s="57" t="s">
        <v>1555</v>
      </c>
      <c r="B1307" s="57" t="s">
        <v>1542</v>
      </c>
      <c r="C1307" s="57" t="s">
        <v>1546</v>
      </c>
      <c r="D1307" s="57" t="str">
        <f t="shared" si="22"/>
        <v>WOBULENZI</v>
      </c>
      <c r="F1307" s="57">
        <v>889</v>
      </c>
    </row>
    <row r="1308" spans="1:6">
      <c r="A1308" s="57" t="s">
        <v>1556</v>
      </c>
      <c r="D1308" s="57" t="str">
        <f t="shared" si="22"/>
        <v>Wobulenzi Town Council</v>
      </c>
      <c r="F1308" s="57">
        <v>889</v>
      </c>
    </row>
    <row r="1309" spans="1:6">
      <c r="A1309" s="57" t="s">
        <v>1557</v>
      </c>
      <c r="B1309" s="57" t="s">
        <v>1542</v>
      </c>
      <c r="C1309" s="57" t="s">
        <v>1546</v>
      </c>
      <c r="D1309" s="57" t="str">
        <f t="shared" si="22"/>
        <v>Zirobwe</v>
      </c>
      <c r="F1309" s="57">
        <v>890</v>
      </c>
    </row>
    <row r="1310" spans="1:6">
      <c r="A1310" s="57" t="s">
        <v>1558</v>
      </c>
      <c r="D1310" s="57" t="str">
        <f t="shared" si="22"/>
        <v>BISANJALA</v>
      </c>
      <c r="F1310" s="57">
        <v>891</v>
      </c>
    </row>
    <row r="1311" spans="1:6">
      <c r="A1311" s="57" t="s">
        <v>1559</v>
      </c>
      <c r="D1311" s="57" t="str">
        <f t="shared" si="22"/>
        <v>Kisekka</v>
      </c>
      <c r="F1311" s="57">
        <v>891</v>
      </c>
    </row>
    <row r="1312" spans="1:6">
      <c r="A1312" s="57" t="s">
        <v>1560</v>
      </c>
      <c r="B1312" s="57" t="s">
        <v>1542</v>
      </c>
      <c r="C1312" s="57" t="s">
        <v>1546</v>
      </c>
      <c r="D1312" s="57" t="str">
        <f t="shared" si="22"/>
        <v>NAKATETE</v>
      </c>
      <c r="F1312" s="57">
        <v>891</v>
      </c>
    </row>
    <row r="1313" spans="1:6">
      <c r="A1313" s="57" t="s">
        <v>1561</v>
      </c>
      <c r="B1313" s="57" t="s">
        <v>1542</v>
      </c>
      <c r="C1313" s="57" t="s">
        <v>1538</v>
      </c>
      <c r="D1313" s="57" t="str">
        <f t="shared" si="22"/>
        <v>Kkingo</v>
      </c>
      <c r="F1313" s="57">
        <v>892</v>
      </c>
    </row>
    <row r="1314" spans="1:6">
      <c r="A1314" s="57" t="s">
        <v>1562</v>
      </c>
      <c r="D1314" s="57" t="str">
        <f t="shared" si="22"/>
        <v>Kyazanga</v>
      </c>
      <c r="F1314" s="57">
        <v>893</v>
      </c>
    </row>
    <row r="1315" spans="1:6">
      <c r="A1315" s="57" t="s">
        <v>1563</v>
      </c>
      <c r="B1315" s="57" t="s">
        <v>1564</v>
      </c>
      <c r="C1315" s="57" t="s">
        <v>23</v>
      </c>
      <c r="D1315" s="57" t="str">
        <f t="shared" si="22"/>
        <v>Kyazanga Town Council</v>
      </c>
      <c r="F1315" s="57">
        <v>893</v>
      </c>
    </row>
    <row r="1316" spans="1:6">
      <c r="A1316" s="57" t="s">
        <v>1565</v>
      </c>
      <c r="D1316" s="57" t="str">
        <f t="shared" si="22"/>
        <v>KIWANGALA</v>
      </c>
      <c r="F1316" s="57">
        <v>894</v>
      </c>
    </row>
    <row r="1317" spans="1:6">
      <c r="A1317" s="57" t="s">
        <v>1566</v>
      </c>
      <c r="B1317" s="57" t="s">
        <v>1564</v>
      </c>
      <c r="C1317" s="57" t="s">
        <v>23</v>
      </c>
      <c r="D1317" s="57" t="str">
        <f t="shared" si="22"/>
        <v>KASWA</v>
      </c>
      <c r="F1317" s="57">
        <v>894</v>
      </c>
    </row>
    <row r="1318" spans="1:6">
      <c r="A1318" s="57" t="s">
        <v>1564</v>
      </c>
      <c r="D1318" s="57" t="str">
        <f t="shared" si="22"/>
        <v>Lwengo</v>
      </c>
      <c r="F1318" s="57">
        <v>894</v>
      </c>
    </row>
    <row r="1319" spans="1:6">
      <c r="A1319" s="57" t="s">
        <v>1567</v>
      </c>
      <c r="D1319" s="57" t="str">
        <f t="shared" si="22"/>
        <v>NKONI</v>
      </c>
      <c r="F1319" s="57">
        <v>894</v>
      </c>
    </row>
    <row r="1320" spans="1:6">
      <c r="A1320" s="57" t="s">
        <v>1568</v>
      </c>
      <c r="D1320" s="57" t="str">
        <f t="shared" si="22"/>
        <v>MUSUBIRO</v>
      </c>
      <c r="F1320" s="57">
        <v>894</v>
      </c>
    </row>
    <row r="1321" spans="1:6">
      <c r="A1321" s="57" t="s">
        <v>1569</v>
      </c>
      <c r="D1321" s="57" t="str">
        <f t="shared" si="22"/>
        <v>KABALUNGI</v>
      </c>
      <c r="F1321" s="57">
        <v>894</v>
      </c>
    </row>
    <row r="1322" spans="1:6">
      <c r="A1322" s="57" t="s">
        <v>1570</v>
      </c>
      <c r="D1322" s="57" t="str">
        <f t="shared" si="22"/>
        <v>DONGWA</v>
      </c>
      <c r="F1322" s="57">
        <v>894</v>
      </c>
    </row>
    <row r="1323" spans="1:6">
      <c r="A1323" s="57" t="s">
        <v>1571</v>
      </c>
      <c r="D1323" s="57" t="str">
        <f t="shared" si="22"/>
        <v>KYAWAGONYA</v>
      </c>
      <c r="F1323" s="57">
        <v>894</v>
      </c>
    </row>
    <row r="1324" spans="1:6">
      <c r="A1324" s="57" t="s">
        <v>1572</v>
      </c>
      <c r="D1324" s="57" t="str">
        <f t="shared" si="22"/>
        <v>KYETUME</v>
      </c>
      <c r="F1324" s="57">
        <v>894</v>
      </c>
    </row>
    <row r="1325" spans="1:6">
      <c r="D1325" s="57">
        <f t="shared" si="22"/>
        <v>0</v>
      </c>
      <c r="F1325" s="57">
        <v>894</v>
      </c>
    </row>
    <row r="1326" spans="1:6">
      <c r="A1326" s="57" t="s">
        <v>1573</v>
      </c>
      <c r="D1326" s="57" t="str">
        <f t="shared" si="22"/>
        <v>MBIRIZI</v>
      </c>
      <c r="F1326" s="57">
        <v>895</v>
      </c>
    </row>
    <row r="1327" spans="1:6">
      <c r="A1327" s="57" t="s">
        <v>1574</v>
      </c>
      <c r="B1327" s="57" t="s">
        <v>1564</v>
      </c>
      <c r="C1327" s="57" t="s">
        <v>23</v>
      </c>
      <c r="D1327" s="57" t="str">
        <f t="shared" si="22"/>
        <v>KYABAGONYA</v>
      </c>
      <c r="F1327" s="57">
        <v>895</v>
      </c>
    </row>
    <row r="1328" spans="1:6">
      <c r="A1328" s="57" t="s">
        <v>1575</v>
      </c>
      <c r="D1328" s="57" t="str">
        <f t="shared" si="22"/>
        <v>Lwengo Town Council</v>
      </c>
      <c r="F1328" s="57">
        <v>895</v>
      </c>
    </row>
    <row r="1329" spans="1:6">
      <c r="A1329" s="57" t="s">
        <v>1576</v>
      </c>
      <c r="D1329" s="57" t="str">
        <f t="shared" si="22"/>
        <v>KAGANDA</v>
      </c>
      <c r="F1329" s="57">
        <v>895</v>
      </c>
    </row>
    <row r="1330" spans="1:6">
      <c r="A1330" s="57" t="s">
        <v>1577</v>
      </c>
      <c r="D1330" s="57" t="str">
        <f t="shared" si="22"/>
        <v>KYETEREKERA</v>
      </c>
      <c r="F1330" s="57">
        <v>895</v>
      </c>
    </row>
    <row r="1331" spans="1:6">
      <c r="A1331" s="57" t="s">
        <v>1578</v>
      </c>
      <c r="D1331" s="57" t="str">
        <f t="shared" si="22"/>
        <v>KILAYANGOMA</v>
      </c>
      <c r="F1331" s="57">
        <v>896</v>
      </c>
    </row>
    <row r="1332" spans="1:6">
      <c r="A1332" s="57" t="s">
        <v>1579</v>
      </c>
      <c r="B1332" s="57" t="s">
        <v>1564</v>
      </c>
      <c r="C1332" s="57" t="s">
        <v>23</v>
      </c>
      <c r="D1332" s="57" t="str">
        <f t="shared" si="22"/>
        <v>KATOVU</v>
      </c>
      <c r="F1332" s="57">
        <v>896</v>
      </c>
    </row>
    <row r="1333" spans="1:6">
      <c r="A1333" s="57" t="s">
        <v>1580</v>
      </c>
      <c r="D1333" s="57" t="str">
        <f t="shared" si="22"/>
        <v>Malongo-Lwengo</v>
      </c>
      <c r="F1333" s="57">
        <v>896</v>
      </c>
    </row>
    <row r="1334" spans="1:6">
      <c r="A1334" s="57" t="s">
        <v>1578</v>
      </c>
      <c r="D1334" s="57" t="str">
        <f t="shared" si="22"/>
        <v>KILAYANGOMA</v>
      </c>
      <c r="F1334" s="57">
        <v>897</v>
      </c>
    </row>
    <row r="1335" spans="1:6">
      <c r="A1335" s="57" t="s">
        <v>1581</v>
      </c>
      <c r="B1335" s="57" t="s">
        <v>1564</v>
      </c>
      <c r="C1335" s="57" t="s">
        <v>23</v>
      </c>
      <c r="D1335" s="57" t="str">
        <f t="shared" si="22"/>
        <v>Ndagwe</v>
      </c>
      <c r="F1335" s="57">
        <v>897</v>
      </c>
    </row>
    <row r="1336" spans="1:6">
      <c r="A1336" s="57" t="s">
        <v>1582</v>
      </c>
      <c r="B1336" s="57" t="s">
        <v>1564</v>
      </c>
      <c r="C1336" s="57" t="s">
        <v>23</v>
      </c>
      <c r="D1336" s="57" t="str">
        <f t="shared" si="22"/>
        <v>Kaliiro</v>
      </c>
      <c r="F1336" s="57">
        <v>898</v>
      </c>
    </row>
    <row r="1337" spans="1:6">
      <c r="A1337" s="57" t="s">
        <v>1583</v>
      </c>
      <c r="B1337" s="57" t="s">
        <v>1564</v>
      </c>
      <c r="C1337" s="57" t="s">
        <v>23</v>
      </c>
      <c r="D1337" s="57" t="str">
        <f t="shared" si="22"/>
        <v>Kasagama</v>
      </c>
      <c r="F1337" s="57">
        <v>899</v>
      </c>
    </row>
    <row r="1338" spans="1:6">
      <c r="A1338" s="57" t="s">
        <v>1584</v>
      </c>
      <c r="B1338" s="57" t="s">
        <v>1564</v>
      </c>
      <c r="C1338" s="57" t="s">
        <v>23</v>
      </c>
      <c r="D1338" s="57" t="str">
        <f t="shared" si="22"/>
        <v>Kinuuka</v>
      </c>
      <c r="F1338" s="57">
        <v>900</v>
      </c>
    </row>
    <row r="1339" spans="1:6">
      <c r="A1339" s="57" t="s">
        <v>1585</v>
      </c>
      <c r="B1339" s="57" t="s">
        <v>1585</v>
      </c>
      <c r="C1339" s="57" t="s">
        <v>1586</v>
      </c>
      <c r="D1339" s="57" t="str">
        <f t="shared" si="22"/>
        <v>Lyantonde</v>
      </c>
      <c r="F1339" s="57">
        <v>901</v>
      </c>
    </row>
    <row r="1340" spans="1:6">
      <c r="A1340" s="57" t="s">
        <v>1587</v>
      </c>
      <c r="B1340" s="57" t="s">
        <v>1585</v>
      </c>
      <c r="C1340" s="57" t="s">
        <v>1586</v>
      </c>
      <c r="D1340" s="57" t="str">
        <f t="shared" si="22"/>
        <v>Lyantonde Town Council</v>
      </c>
      <c r="F1340" s="57">
        <v>902</v>
      </c>
    </row>
    <row r="1341" spans="1:6">
      <c r="A1341" s="57" t="s">
        <v>1588</v>
      </c>
      <c r="D1341" s="57" t="str">
        <f t="shared" si="22"/>
        <v>LYANTONDE TOWN</v>
      </c>
      <c r="F1341" s="57">
        <v>902</v>
      </c>
    </row>
    <row r="1342" spans="1:6">
      <c r="A1342" s="57" t="s">
        <v>1589</v>
      </c>
      <c r="B1342" s="57" t="s">
        <v>1585</v>
      </c>
      <c r="C1342" s="57" t="s">
        <v>1586</v>
      </c>
      <c r="D1342" s="57" t="str">
        <f t="shared" si="22"/>
        <v>Mpumudde-Lyantonde</v>
      </c>
      <c r="F1342" s="57">
        <v>903</v>
      </c>
    </row>
    <row r="1343" spans="1:6">
      <c r="A1343" s="57" t="s">
        <v>1590</v>
      </c>
      <c r="B1343" s="57" t="s">
        <v>1585</v>
      </c>
      <c r="C1343" s="57" t="s">
        <v>1586</v>
      </c>
      <c r="D1343" s="57" t="str">
        <f t="shared" si="22"/>
        <v>Bugobero</v>
      </c>
      <c r="F1343" s="57">
        <v>904</v>
      </c>
    </row>
    <row r="1344" spans="1:6">
      <c r="A1344" s="57" t="s">
        <v>1591</v>
      </c>
      <c r="B1344" s="57" t="s">
        <v>1585</v>
      </c>
      <c r="C1344" s="57" t="s">
        <v>1586</v>
      </c>
      <c r="D1344" s="57" t="str">
        <f t="shared" si="22"/>
        <v>Bukhofu</v>
      </c>
      <c r="F1344" s="57">
        <v>905</v>
      </c>
    </row>
    <row r="1345" spans="1:6">
      <c r="A1345" s="57" t="s">
        <v>1592</v>
      </c>
      <c r="B1345" s="57" t="s">
        <v>1585</v>
      </c>
      <c r="C1345" s="57" t="s">
        <v>1586</v>
      </c>
      <c r="D1345" s="57" t="str">
        <f t="shared" si="22"/>
        <v>Bukusu</v>
      </c>
      <c r="F1345" s="57">
        <v>906</v>
      </c>
    </row>
    <row r="1346" spans="1:6">
      <c r="A1346" s="57" t="s">
        <v>1593</v>
      </c>
      <c r="B1346" s="57" t="s">
        <v>1594</v>
      </c>
      <c r="C1346" s="57" t="s">
        <v>1595</v>
      </c>
      <c r="D1346" s="57" t="str">
        <f t="shared" ref="D1346:D1409" si="23">A1346</f>
        <v>Bunabwana</v>
      </c>
      <c r="F1346" s="57">
        <v>907</v>
      </c>
    </row>
    <row r="1347" spans="1:6">
      <c r="A1347" s="57" t="s">
        <v>1596</v>
      </c>
      <c r="B1347" s="57" t="s">
        <v>1594</v>
      </c>
      <c r="C1347" s="57" t="s">
        <v>1595</v>
      </c>
      <c r="D1347" s="57" t="str">
        <f t="shared" si="23"/>
        <v>Bunyinza Town Council</v>
      </c>
      <c r="F1347" s="57">
        <v>908</v>
      </c>
    </row>
    <row r="1348" spans="1:6">
      <c r="A1348" s="57" t="s">
        <v>1597</v>
      </c>
      <c r="B1348" s="57" t="s">
        <v>1594</v>
      </c>
      <c r="C1348" s="57" t="s">
        <v>1595</v>
      </c>
      <c r="D1348" s="57" t="str">
        <f t="shared" si="23"/>
        <v>Busukuya</v>
      </c>
      <c r="F1348" s="57">
        <v>909</v>
      </c>
    </row>
    <row r="1349" spans="1:6">
      <c r="A1349" s="57" t="s">
        <v>1598</v>
      </c>
      <c r="B1349" s="57" t="s">
        <v>1594</v>
      </c>
      <c r="C1349" s="57" t="s">
        <v>1595</v>
      </c>
      <c r="D1349" s="57" t="str">
        <f t="shared" si="23"/>
        <v>Butiru</v>
      </c>
      <c r="F1349" s="57">
        <v>910</v>
      </c>
    </row>
    <row r="1350" spans="1:6">
      <c r="A1350" s="57" t="s">
        <v>1599</v>
      </c>
      <c r="B1350" s="57" t="s">
        <v>1594</v>
      </c>
      <c r="C1350" s="57" t="s">
        <v>1595</v>
      </c>
      <c r="D1350" s="57" t="str">
        <f t="shared" si="23"/>
        <v>Butta</v>
      </c>
      <c r="F1350" s="57">
        <v>911</v>
      </c>
    </row>
    <row r="1351" spans="1:6">
      <c r="A1351" s="57" t="s">
        <v>1600</v>
      </c>
      <c r="B1351" s="57" t="s">
        <v>1594</v>
      </c>
      <c r="C1351" s="57" t="s">
        <v>1595</v>
      </c>
      <c r="D1351" s="57" t="str">
        <f t="shared" si="23"/>
        <v>Buwagogo</v>
      </c>
      <c r="F1351" s="57">
        <v>912</v>
      </c>
    </row>
    <row r="1352" spans="1:6">
      <c r="A1352" s="57" t="s">
        <v>1601</v>
      </c>
      <c r="B1352" s="57" t="s">
        <v>1594</v>
      </c>
      <c r="C1352" s="57" t="s">
        <v>1595</v>
      </c>
      <c r="D1352" s="57" t="str">
        <f t="shared" si="23"/>
        <v>Buwangani Town Council</v>
      </c>
      <c r="F1352" s="57">
        <v>913</v>
      </c>
    </row>
    <row r="1353" spans="1:6">
      <c r="A1353" s="57" t="s">
        <v>1602</v>
      </c>
      <c r="B1353" s="57" t="s">
        <v>1594</v>
      </c>
      <c r="C1353" s="57" t="s">
        <v>1595</v>
      </c>
      <c r="D1353" s="57" t="str">
        <f t="shared" si="23"/>
        <v>Kaato</v>
      </c>
      <c r="F1353" s="57">
        <v>914</v>
      </c>
    </row>
    <row r="1354" spans="1:6">
      <c r="A1354" s="57" t="s">
        <v>1603</v>
      </c>
      <c r="B1354" s="57" t="s">
        <v>1594</v>
      </c>
      <c r="C1354" s="57" t="s">
        <v>1595</v>
      </c>
      <c r="D1354" s="57" t="str">
        <f t="shared" si="23"/>
        <v>Khabutoola</v>
      </c>
      <c r="F1354" s="57">
        <v>915</v>
      </c>
    </row>
    <row r="1355" spans="1:6">
      <c r="A1355" s="57" t="s">
        <v>1604</v>
      </c>
      <c r="B1355" s="57" t="s">
        <v>1594</v>
      </c>
      <c r="C1355" s="57" t="s">
        <v>1595</v>
      </c>
      <c r="D1355" s="57" t="str">
        <f t="shared" si="23"/>
        <v>Manafwa Town Council</v>
      </c>
      <c r="F1355" s="57">
        <v>916</v>
      </c>
    </row>
    <row r="1356" spans="1:6">
      <c r="A1356" s="57" t="s">
        <v>1605</v>
      </c>
      <c r="B1356" s="57" t="s">
        <v>1594</v>
      </c>
      <c r="C1356" s="57" t="s">
        <v>1595</v>
      </c>
      <c r="D1356" s="57" t="str">
        <f t="shared" si="23"/>
        <v>Nalondo</v>
      </c>
      <c r="F1356" s="57">
        <v>917</v>
      </c>
    </row>
    <row r="1357" spans="1:6">
      <c r="A1357" s="57" t="s">
        <v>1606</v>
      </c>
      <c r="B1357" s="57" t="s">
        <v>1594</v>
      </c>
      <c r="C1357" s="57" t="s">
        <v>1595</v>
      </c>
      <c r="D1357" s="57" t="str">
        <f t="shared" si="23"/>
        <v>Sibanga</v>
      </c>
      <c r="F1357" s="57">
        <v>918</v>
      </c>
    </row>
    <row r="1358" spans="1:6">
      <c r="A1358" s="57" t="s">
        <v>1607</v>
      </c>
      <c r="B1358" s="57" t="s">
        <v>1594</v>
      </c>
      <c r="C1358" s="57" t="s">
        <v>1595</v>
      </c>
      <c r="D1358" s="57" t="str">
        <f t="shared" si="23"/>
        <v>Sisuni</v>
      </c>
      <c r="F1358" s="57">
        <v>919</v>
      </c>
    </row>
    <row r="1359" spans="1:6">
      <c r="A1359" s="57" t="s">
        <v>1608</v>
      </c>
      <c r="B1359" s="57" t="s">
        <v>1594</v>
      </c>
      <c r="C1359" s="57" t="s">
        <v>1595</v>
      </c>
      <c r="D1359" s="57" t="str">
        <f t="shared" si="23"/>
        <v>Weswa</v>
      </c>
      <c r="F1359" s="57">
        <v>920</v>
      </c>
    </row>
    <row r="1360" spans="1:6">
      <c r="A1360" s="57" t="s">
        <v>1609</v>
      </c>
      <c r="B1360" s="57" t="s">
        <v>1594</v>
      </c>
      <c r="C1360" s="57" t="s">
        <v>1595</v>
      </c>
      <c r="D1360" s="57" t="str">
        <f t="shared" si="23"/>
        <v>Kijomoro</v>
      </c>
      <c r="F1360" s="57">
        <v>921</v>
      </c>
    </row>
    <row r="1361" spans="1:6">
      <c r="A1361" s="57" t="s">
        <v>1610</v>
      </c>
      <c r="B1361" s="57" t="s">
        <v>1594</v>
      </c>
      <c r="C1361" s="57" t="s">
        <v>1595</v>
      </c>
      <c r="D1361" s="57" t="str">
        <f t="shared" si="23"/>
        <v>Maracha Town Council</v>
      </c>
      <c r="F1361" s="57">
        <v>922</v>
      </c>
    </row>
    <row r="1362" spans="1:6">
      <c r="A1362" s="57" t="s">
        <v>1611</v>
      </c>
      <c r="B1362" s="57" t="s">
        <v>1594</v>
      </c>
      <c r="C1362" s="57" t="s">
        <v>1595</v>
      </c>
      <c r="D1362" s="57" t="str">
        <f t="shared" si="23"/>
        <v>Nyadri</v>
      </c>
      <c r="F1362" s="57">
        <v>923</v>
      </c>
    </row>
    <row r="1363" spans="1:6">
      <c r="A1363" s="57" t="s">
        <v>1612</v>
      </c>
      <c r="B1363" s="57" t="s">
        <v>1613</v>
      </c>
      <c r="C1363" s="57" t="s">
        <v>1613</v>
      </c>
      <c r="D1363" s="57" t="str">
        <f t="shared" si="23"/>
        <v>Oleba</v>
      </c>
      <c r="F1363" s="57">
        <v>924</v>
      </c>
    </row>
    <row r="1364" spans="1:6">
      <c r="A1364" s="57" t="s">
        <v>1614</v>
      </c>
      <c r="B1364" s="57" t="s">
        <v>1613</v>
      </c>
      <c r="C1364" s="57" t="s">
        <v>1613</v>
      </c>
      <c r="D1364" s="57" t="str">
        <f t="shared" si="23"/>
        <v>Oluffe</v>
      </c>
      <c r="F1364" s="57">
        <v>925</v>
      </c>
    </row>
    <row r="1365" spans="1:6">
      <c r="A1365" s="57" t="s">
        <v>1615</v>
      </c>
      <c r="B1365" s="57" t="s">
        <v>1613</v>
      </c>
      <c r="C1365" s="57" t="s">
        <v>1613</v>
      </c>
      <c r="D1365" s="57" t="str">
        <f t="shared" si="23"/>
        <v>Oluvu</v>
      </c>
      <c r="F1365" s="57">
        <v>926</v>
      </c>
    </row>
    <row r="1366" spans="1:6">
      <c r="A1366" s="57" t="s">
        <v>1616</v>
      </c>
      <c r="B1366" s="57" t="s">
        <v>1613</v>
      </c>
      <c r="C1366" s="57" t="s">
        <v>1613</v>
      </c>
      <c r="D1366" s="57" t="str">
        <f t="shared" si="23"/>
        <v>Tara</v>
      </c>
      <c r="F1366" s="57">
        <v>927</v>
      </c>
    </row>
    <row r="1367" spans="1:6">
      <c r="A1367" s="57" t="s">
        <v>1617</v>
      </c>
      <c r="B1367" s="57" t="s">
        <v>1613</v>
      </c>
      <c r="C1367" s="57" t="s">
        <v>1613</v>
      </c>
      <c r="D1367" s="57" t="str">
        <f t="shared" si="23"/>
        <v>Yivu</v>
      </c>
      <c r="F1367" s="57">
        <v>928</v>
      </c>
    </row>
    <row r="1368" spans="1:6">
      <c r="A1368" s="57" t="s">
        <v>1618</v>
      </c>
      <c r="B1368" s="57" t="s">
        <v>1613</v>
      </c>
      <c r="C1368" s="57" t="s">
        <v>1613</v>
      </c>
      <c r="D1368" s="57" t="str">
        <f t="shared" si="23"/>
        <v>Bukakata</v>
      </c>
      <c r="F1368" s="57">
        <v>929</v>
      </c>
    </row>
    <row r="1369" spans="1:6">
      <c r="A1369" s="57" t="s">
        <v>1619</v>
      </c>
      <c r="B1369" s="57" t="s">
        <v>1613</v>
      </c>
      <c r="C1369" s="57" t="s">
        <v>1613</v>
      </c>
      <c r="D1369" s="57" t="str">
        <f t="shared" si="23"/>
        <v>BUYINDO</v>
      </c>
      <c r="F1369" s="57">
        <v>930</v>
      </c>
    </row>
    <row r="1370" spans="1:6">
      <c r="A1370" s="57" t="s">
        <v>1620</v>
      </c>
      <c r="B1370" s="57" t="s">
        <v>1613</v>
      </c>
      <c r="C1370" s="57" t="s">
        <v>1613</v>
      </c>
      <c r="D1370" s="57" t="str">
        <f t="shared" si="23"/>
        <v>Buwunga-Masaka</v>
      </c>
      <c r="F1370" s="57">
        <v>931</v>
      </c>
    </row>
    <row r="1371" spans="1:6">
      <c r="A1371" s="57" t="s">
        <v>1621</v>
      </c>
      <c r="D1371" s="57" t="str">
        <f t="shared" si="23"/>
        <v>Kabonera</v>
      </c>
      <c r="F1371" s="57">
        <v>931</v>
      </c>
    </row>
    <row r="1372" spans="1:6">
      <c r="A1372" s="57" t="s">
        <v>1622</v>
      </c>
      <c r="D1372" s="57" t="str">
        <f t="shared" si="23"/>
        <v>KITANGA</v>
      </c>
      <c r="F1372" s="57">
        <v>931</v>
      </c>
    </row>
    <row r="1373" spans="1:6">
      <c r="A1373" s="57" t="s">
        <v>1623</v>
      </c>
      <c r="B1373" s="57" t="s">
        <v>39</v>
      </c>
      <c r="C1373" s="57" t="s">
        <v>23</v>
      </c>
      <c r="D1373" s="57" t="str">
        <f t="shared" si="23"/>
        <v>KASANGO</v>
      </c>
      <c r="F1373" s="57">
        <v>932</v>
      </c>
    </row>
    <row r="1374" spans="1:6">
      <c r="A1374" s="57" t="s">
        <v>1624</v>
      </c>
      <c r="D1374" s="57" t="str">
        <f t="shared" si="23"/>
        <v>KYABADAAZA</v>
      </c>
      <c r="F1374" s="57">
        <v>933</v>
      </c>
    </row>
    <row r="1375" spans="1:6">
      <c r="A1375" s="57" t="s">
        <v>1625</v>
      </c>
      <c r="B1375" s="57" t="s">
        <v>39</v>
      </c>
      <c r="C1375" s="57" t="s">
        <v>23</v>
      </c>
      <c r="D1375" s="57" t="str">
        <f t="shared" si="23"/>
        <v>Kyanamukaaka</v>
      </c>
      <c r="F1375" s="57">
        <v>933</v>
      </c>
    </row>
    <row r="1376" spans="1:6">
      <c r="A1376" s="57" t="s">
        <v>1626</v>
      </c>
      <c r="B1376" s="57" t="s">
        <v>39</v>
      </c>
      <c r="C1376" s="57" t="s">
        <v>23</v>
      </c>
      <c r="D1376" s="57" t="str">
        <f t="shared" si="23"/>
        <v>Kyesiiga</v>
      </c>
      <c r="F1376" s="57">
        <v>934</v>
      </c>
    </row>
    <row r="1377" spans="1:6">
      <c r="A1377" s="57" t="s">
        <v>1627</v>
      </c>
      <c r="D1377" s="57" t="str">
        <f t="shared" si="23"/>
        <v>LWEELA</v>
      </c>
      <c r="F1377" s="57">
        <v>934</v>
      </c>
    </row>
    <row r="1378" spans="1:6">
      <c r="A1378" s="57" t="s">
        <v>1628</v>
      </c>
      <c r="B1378" s="57" t="s">
        <v>39</v>
      </c>
      <c r="C1378" s="57" t="s">
        <v>23</v>
      </c>
      <c r="D1378" s="57" t="str">
        <f t="shared" si="23"/>
        <v>LWERA</v>
      </c>
      <c r="F1378" s="57">
        <v>935</v>
      </c>
    </row>
    <row r="1379" spans="1:6">
      <c r="A1379" s="57" t="s">
        <v>1629</v>
      </c>
      <c r="D1379" s="57" t="str">
        <f t="shared" si="23"/>
        <v>KIMANYA</v>
      </c>
      <c r="F1379" s="57">
        <v>936</v>
      </c>
    </row>
    <row r="1380" spans="1:6">
      <c r="A1380" s="57" t="s">
        <v>1630</v>
      </c>
      <c r="D1380" s="57" t="str">
        <f t="shared" si="23"/>
        <v>VILLA</v>
      </c>
      <c r="F1380" s="57">
        <v>936</v>
      </c>
    </row>
    <row r="1381" spans="1:6">
      <c r="A1381" s="57" t="s">
        <v>1631</v>
      </c>
      <c r="D1381" s="57" t="str">
        <f t="shared" si="23"/>
        <v>KYAMUYIMBWA</v>
      </c>
      <c r="F1381" s="57">
        <v>936</v>
      </c>
    </row>
    <row r="1382" spans="1:6">
      <c r="A1382" s="57" t="s">
        <v>1632</v>
      </c>
      <c r="B1382" s="57" t="s">
        <v>39</v>
      </c>
      <c r="C1382" s="57" t="s">
        <v>23</v>
      </c>
      <c r="D1382" s="57" t="str">
        <f t="shared" si="23"/>
        <v>MASAKA</v>
      </c>
      <c r="F1382" s="57">
        <v>936</v>
      </c>
    </row>
    <row r="1383" spans="1:6">
      <c r="A1383" s="57" t="s">
        <v>1633</v>
      </c>
      <c r="D1383" s="57" t="str">
        <f t="shared" si="23"/>
        <v>Masaka Municipality</v>
      </c>
      <c r="F1383" s="57">
        <v>936</v>
      </c>
    </row>
    <row r="1384" spans="1:6">
      <c r="A1384" s="57" t="s">
        <v>1634</v>
      </c>
      <c r="D1384" s="57" t="str">
        <f t="shared" si="23"/>
        <v>KASAJAGIRWA</v>
      </c>
      <c r="F1384" s="57">
        <v>936</v>
      </c>
    </row>
    <row r="1385" spans="1:6">
      <c r="A1385" s="57" t="s">
        <v>39</v>
      </c>
      <c r="D1385" s="57" t="str">
        <f t="shared" si="23"/>
        <v>Masaka</v>
      </c>
      <c r="F1385" s="57">
        <v>937</v>
      </c>
    </row>
    <row r="1386" spans="1:6">
      <c r="A1386" s="57" t="s">
        <v>1635</v>
      </c>
      <c r="D1386" s="57" t="str">
        <f t="shared" si="23"/>
        <v>MASAKA TOWN</v>
      </c>
      <c r="F1386" s="57">
        <v>937</v>
      </c>
    </row>
    <row r="1387" spans="1:6">
      <c r="A1387" s="57" t="s">
        <v>1636</v>
      </c>
      <c r="D1387" s="57" t="str">
        <f t="shared" si="23"/>
        <v>NAKAYIBA</v>
      </c>
      <c r="F1387" s="57">
        <v>937</v>
      </c>
    </row>
    <row r="1388" spans="1:6">
      <c r="A1388" s="57" t="s">
        <v>1637</v>
      </c>
      <c r="D1388" s="57" t="str">
        <f t="shared" si="23"/>
        <v>GULAMA</v>
      </c>
      <c r="F1388" s="57">
        <v>937</v>
      </c>
    </row>
    <row r="1389" spans="1:6">
      <c r="A1389" s="57" t="s">
        <v>1638</v>
      </c>
      <c r="D1389" s="57" t="str">
        <f t="shared" si="23"/>
        <v>NAMBYA</v>
      </c>
      <c r="F1389" s="57">
        <v>937</v>
      </c>
    </row>
    <row r="1390" spans="1:6">
      <c r="A1390" s="57" t="s">
        <v>1639</v>
      </c>
      <c r="D1390" s="57" t="str">
        <f t="shared" si="23"/>
        <v>KAGEZI</v>
      </c>
      <c r="F1390" s="57">
        <v>937</v>
      </c>
    </row>
    <row r="1391" spans="1:6">
      <c r="A1391" s="57" t="s">
        <v>1640</v>
      </c>
      <c r="D1391" s="57" t="str">
        <f t="shared" si="23"/>
        <v>BUSENSE</v>
      </c>
      <c r="F1391" s="57">
        <v>937</v>
      </c>
    </row>
    <row r="1392" spans="1:6">
      <c r="A1392" s="57" t="s">
        <v>1641</v>
      </c>
      <c r="D1392" s="57" t="str">
        <f t="shared" si="23"/>
        <v>KYANJAALI</v>
      </c>
      <c r="F1392" s="57">
        <v>937</v>
      </c>
    </row>
    <row r="1393" spans="1:6">
      <c r="A1393" s="57" t="s">
        <v>1642</v>
      </c>
      <c r="D1393" s="57" t="str">
        <f t="shared" si="23"/>
        <v>KITENGESA</v>
      </c>
      <c r="F1393" s="57">
        <v>937</v>
      </c>
    </row>
    <row r="1394" spans="1:6">
      <c r="A1394" s="57" t="s">
        <v>1643</v>
      </c>
      <c r="D1394" s="57" t="str">
        <f t="shared" si="23"/>
        <v>SSAZA</v>
      </c>
      <c r="F1394" s="57">
        <v>937</v>
      </c>
    </row>
    <row r="1395" spans="1:6">
      <c r="A1395" s="57" t="s">
        <v>1644</v>
      </c>
      <c r="D1395" s="57" t="str">
        <f t="shared" si="23"/>
        <v>KYABAKUZA</v>
      </c>
      <c r="F1395" s="57">
        <v>937</v>
      </c>
    </row>
    <row r="1396" spans="1:6">
      <c r="A1396" s="57" t="s">
        <v>1645</v>
      </c>
      <c r="D1396" s="57" t="str">
        <f t="shared" si="23"/>
        <v>KIJJABWEMI</v>
      </c>
      <c r="F1396" s="57">
        <v>937</v>
      </c>
    </row>
    <row r="1397" spans="1:6">
      <c r="A1397" s="57" t="s">
        <v>1646</v>
      </c>
      <c r="D1397" s="57" t="str">
        <f t="shared" si="23"/>
        <v>KASONEERA</v>
      </c>
      <c r="F1397" s="57">
        <v>937</v>
      </c>
    </row>
    <row r="1398" spans="1:6">
      <c r="A1398" s="57" t="s">
        <v>1647</v>
      </c>
      <c r="D1398" s="57" t="str">
        <f t="shared" si="23"/>
        <v>NABINENE</v>
      </c>
      <c r="F1398" s="57">
        <v>937</v>
      </c>
    </row>
    <row r="1399" spans="1:6">
      <c r="A1399" s="57" t="s">
        <v>1648</v>
      </c>
      <c r="D1399" s="57" t="str">
        <f t="shared" si="23"/>
        <v>KIGEZI</v>
      </c>
      <c r="F1399" s="57">
        <v>937</v>
      </c>
    </row>
    <row r="1400" spans="1:6">
      <c r="A1400" s="57" t="s">
        <v>1649</v>
      </c>
      <c r="D1400" s="57" t="str">
        <f t="shared" si="23"/>
        <v>MALEMBO</v>
      </c>
      <c r="F1400" s="57">
        <v>937</v>
      </c>
    </row>
    <row r="1401" spans="1:6">
      <c r="A1401" s="57" t="s">
        <v>1650</v>
      </c>
      <c r="D1401" s="57" t="str">
        <f t="shared" si="23"/>
        <v>KYESIGA</v>
      </c>
      <c r="F1401" s="57">
        <v>937</v>
      </c>
    </row>
    <row r="1402" spans="1:6">
      <c r="A1402" s="57" t="s">
        <v>1651</v>
      </c>
      <c r="D1402" s="57" t="str">
        <f t="shared" si="23"/>
        <v>JOWETO</v>
      </c>
      <c r="F1402" s="57">
        <v>937</v>
      </c>
    </row>
    <row r="1403" spans="1:6">
      <c r="A1403" s="57" t="s">
        <v>1652</v>
      </c>
      <c r="D1403" s="57" t="str">
        <f t="shared" si="23"/>
        <v>MPODWE</v>
      </c>
      <c r="F1403" s="57">
        <v>937</v>
      </c>
    </row>
    <row r="1404" spans="1:6">
      <c r="A1404" s="57" t="s">
        <v>1653</v>
      </c>
      <c r="D1404" s="57" t="str">
        <f t="shared" si="23"/>
        <v>KYANJALI</v>
      </c>
      <c r="F1404" s="57">
        <v>937</v>
      </c>
    </row>
    <row r="1405" spans="1:6">
      <c r="A1405" s="57" t="s">
        <v>1654</v>
      </c>
      <c r="D1405" s="57" t="str">
        <f t="shared" si="23"/>
        <v>GRAMMA</v>
      </c>
      <c r="F1405" s="57">
        <v>937</v>
      </c>
    </row>
    <row r="1406" spans="1:6">
      <c r="A1406" s="57" t="s">
        <v>1655</v>
      </c>
      <c r="D1406" s="57" t="str">
        <f t="shared" si="23"/>
        <v>SAZA</v>
      </c>
      <c r="F1406" s="57">
        <v>937</v>
      </c>
    </row>
    <row r="1407" spans="1:6">
      <c r="A1407" s="57" t="s">
        <v>1656</v>
      </c>
      <c r="B1407" s="57" t="s">
        <v>39</v>
      </c>
      <c r="C1407" s="57" t="s">
        <v>1633</v>
      </c>
      <c r="D1407" s="57" t="str">
        <f t="shared" si="23"/>
        <v>KYAJJUBIRA</v>
      </c>
      <c r="F1407" s="57">
        <v>937</v>
      </c>
    </row>
    <row r="1408" spans="1:6">
      <c r="A1408" s="57" t="s">
        <v>1657</v>
      </c>
      <c r="D1408" s="57" t="str">
        <f t="shared" si="23"/>
        <v>Mukungwe</v>
      </c>
      <c r="F1408" s="57">
        <v>937</v>
      </c>
    </row>
    <row r="1409" spans="1:6">
      <c r="A1409" s="57" t="s">
        <v>1658</v>
      </c>
      <c r="D1409" s="57" t="str">
        <f t="shared" si="23"/>
        <v>NYENDO</v>
      </c>
      <c r="F1409" s="57">
        <v>937</v>
      </c>
    </row>
    <row r="1410" spans="1:6">
      <c r="A1410" s="57" t="s">
        <v>1659</v>
      </c>
      <c r="D1410" s="57" t="str">
        <f t="shared" ref="D1410:D1473" si="24">A1410</f>
        <v>Budongo</v>
      </c>
      <c r="F1410" s="57">
        <v>937</v>
      </c>
    </row>
    <row r="1411" spans="1:6">
      <c r="A1411" s="57" t="s">
        <v>1660</v>
      </c>
      <c r="D1411" s="57" t="str">
        <f t="shared" si="24"/>
        <v>Bwijanga</v>
      </c>
      <c r="F1411" s="57">
        <v>938</v>
      </c>
    </row>
    <row r="1412" spans="1:6">
      <c r="A1412" s="57" t="s">
        <v>1661</v>
      </c>
      <c r="B1412" s="57" t="s">
        <v>39</v>
      </c>
      <c r="C1412" s="57" t="s">
        <v>23</v>
      </c>
      <c r="D1412" s="57" t="str">
        <f t="shared" si="24"/>
        <v>KYAJUBIRA</v>
      </c>
      <c r="F1412" s="57">
        <v>938</v>
      </c>
    </row>
    <row r="1413" spans="1:6">
      <c r="A1413" s="57" t="s">
        <v>1662</v>
      </c>
      <c r="D1413" s="57" t="str">
        <f t="shared" si="24"/>
        <v>Kimengo</v>
      </c>
      <c r="F1413" s="57">
        <v>938</v>
      </c>
    </row>
    <row r="1414" spans="1:6">
      <c r="A1414" s="57" t="s">
        <v>1663</v>
      </c>
      <c r="B1414" s="57" t="s">
        <v>1663</v>
      </c>
      <c r="C1414" s="57" t="s">
        <v>1664</v>
      </c>
      <c r="D1414" s="57" t="str">
        <f t="shared" si="24"/>
        <v>Masindi</v>
      </c>
      <c r="F1414" s="57">
        <v>939</v>
      </c>
    </row>
    <row r="1415" spans="1:6">
      <c r="A1415" s="57" t="s">
        <v>1665</v>
      </c>
      <c r="B1415" s="57" t="s">
        <v>1663</v>
      </c>
      <c r="C1415" s="57" t="s">
        <v>1664</v>
      </c>
      <c r="D1415" s="57" t="str">
        <f t="shared" si="24"/>
        <v>Masindi Municipality</v>
      </c>
      <c r="F1415" s="57">
        <v>940</v>
      </c>
    </row>
    <row r="1416" spans="1:6">
      <c r="A1416" s="57" t="s">
        <v>1666</v>
      </c>
      <c r="B1416" s="57" t="s">
        <v>1663</v>
      </c>
      <c r="C1416" s="57" t="s">
        <v>1667</v>
      </c>
      <c r="D1416" s="57" t="str">
        <f t="shared" si="24"/>
        <v>Miirya</v>
      </c>
      <c r="F1416" s="57">
        <v>941</v>
      </c>
    </row>
    <row r="1417" spans="1:6">
      <c r="A1417" s="57" t="s">
        <v>1668</v>
      </c>
      <c r="D1417" s="57" t="str">
        <f t="shared" si="24"/>
        <v>Pakanyi</v>
      </c>
      <c r="F1417" s="57">
        <v>941</v>
      </c>
    </row>
    <row r="1418" spans="1:6">
      <c r="A1418" s="57" t="s">
        <v>1669</v>
      </c>
      <c r="B1418" s="57" t="s">
        <v>1663</v>
      </c>
      <c r="C1418" s="57" t="s">
        <v>1665</v>
      </c>
      <c r="D1418" s="57" t="str">
        <f t="shared" si="24"/>
        <v>Baitambogwe</v>
      </c>
      <c r="F1418" s="57">
        <v>942</v>
      </c>
    </row>
    <row r="1419" spans="1:6">
      <c r="A1419" s="57" t="s">
        <v>1670</v>
      </c>
      <c r="B1419" s="57" t="s">
        <v>1663</v>
      </c>
      <c r="C1419" s="57" t="s">
        <v>1667</v>
      </c>
      <c r="D1419" s="57" t="str">
        <f t="shared" si="24"/>
        <v>Bukabooli</v>
      </c>
      <c r="F1419" s="57">
        <v>943</v>
      </c>
    </row>
    <row r="1420" spans="1:6">
      <c r="A1420" s="57" t="s">
        <v>1671</v>
      </c>
      <c r="B1420" s="57" t="s">
        <v>1663</v>
      </c>
      <c r="C1420" s="57" t="s">
        <v>1667</v>
      </c>
      <c r="D1420" s="57" t="str">
        <f t="shared" si="24"/>
        <v>Bukatube</v>
      </c>
      <c r="F1420" s="57">
        <v>944</v>
      </c>
    </row>
    <row r="1421" spans="1:6">
      <c r="A1421" s="57" t="s">
        <v>1672</v>
      </c>
      <c r="B1421" s="57" t="s">
        <v>1673</v>
      </c>
      <c r="C1421" s="57" t="s">
        <v>1674</v>
      </c>
      <c r="D1421" s="57" t="str">
        <f t="shared" si="24"/>
        <v>Busakira</v>
      </c>
      <c r="F1421" s="57">
        <v>945</v>
      </c>
    </row>
    <row r="1422" spans="1:6">
      <c r="A1422" s="57" t="s">
        <v>1675</v>
      </c>
      <c r="B1422" s="57" t="s">
        <v>1673</v>
      </c>
      <c r="C1422" s="57" t="s">
        <v>1674</v>
      </c>
      <c r="D1422" s="57" t="str">
        <f t="shared" si="24"/>
        <v>Buwaaya</v>
      </c>
      <c r="F1422" s="57">
        <v>946</v>
      </c>
    </row>
    <row r="1423" spans="1:6">
      <c r="A1423" s="57" t="s">
        <v>1676</v>
      </c>
      <c r="B1423" s="57" t="s">
        <v>1673</v>
      </c>
      <c r="C1423" s="57" t="s">
        <v>1674</v>
      </c>
      <c r="D1423" s="57" t="str">
        <f t="shared" si="24"/>
        <v>Imanyiro</v>
      </c>
      <c r="F1423" s="57">
        <v>947</v>
      </c>
    </row>
    <row r="1424" spans="1:6">
      <c r="A1424" s="57" t="s">
        <v>1677</v>
      </c>
      <c r="B1424" s="57" t="s">
        <v>1673</v>
      </c>
      <c r="C1424" s="57" t="s">
        <v>1674</v>
      </c>
      <c r="D1424" s="57" t="str">
        <f t="shared" si="24"/>
        <v>Jaguzi</v>
      </c>
      <c r="F1424" s="57">
        <v>948</v>
      </c>
    </row>
    <row r="1425" spans="1:6">
      <c r="A1425" s="57" t="s">
        <v>1678</v>
      </c>
      <c r="B1425" s="57" t="s">
        <v>1673</v>
      </c>
      <c r="C1425" s="57" t="s">
        <v>1674</v>
      </c>
      <c r="D1425" s="57" t="str">
        <f t="shared" si="24"/>
        <v>Kigandalo</v>
      </c>
      <c r="F1425" s="57">
        <v>949</v>
      </c>
    </row>
    <row r="1426" spans="1:6">
      <c r="A1426" s="57" t="s">
        <v>1679</v>
      </c>
      <c r="B1426" s="57" t="s">
        <v>1673</v>
      </c>
      <c r="C1426" s="57" t="s">
        <v>1674</v>
      </c>
      <c r="D1426" s="57" t="str">
        <f t="shared" si="24"/>
        <v>Kityerera</v>
      </c>
      <c r="F1426" s="57">
        <v>950</v>
      </c>
    </row>
    <row r="1427" spans="1:6">
      <c r="A1427" s="57" t="s">
        <v>1680</v>
      </c>
      <c r="B1427" s="57" t="s">
        <v>1673</v>
      </c>
      <c r="C1427" s="57" t="s">
        <v>1674</v>
      </c>
      <c r="D1427" s="57" t="str">
        <f t="shared" si="24"/>
        <v>Magamaga Town Council</v>
      </c>
      <c r="F1427" s="57">
        <v>951</v>
      </c>
    </row>
    <row r="1428" spans="1:6">
      <c r="A1428" s="57" t="s">
        <v>1681</v>
      </c>
      <c r="B1428" s="57" t="s">
        <v>1673</v>
      </c>
      <c r="C1428" s="57" t="s">
        <v>1674</v>
      </c>
      <c r="D1428" s="57" t="str">
        <f t="shared" si="24"/>
        <v>Malongo-Mayuge</v>
      </c>
      <c r="F1428" s="57">
        <v>952</v>
      </c>
    </row>
    <row r="1429" spans="1:6">
      <c r="A1429" s="57" t="s">
        <v>1682</v>
      </c>
      <c r="B1429" s="57" t="s">
        <v>1673</v>
      </c>
      <c r="C1429" s="57" t="s">
        <v>1674</v>
      </c>
      <c r="D1429" s="57" t="str">
        <f t="shared" si="24"/>
        <v>Mayuge Town Council</v>
      </c>
      <c r="F1429" s="57">
        <v>953</v>
      </c>
    </row>
    <row r="1430" spans="1:6">
      <c r="A1430" s="57" t="s">
        <v>1683</v>
      </c>
      <c r="B1430" s="57" t="s">
        <v>1673</v>
      </c>
      <c r="C1430" s="57" t="s">
        <v>1674</v>
      </c>
      <c r="D1430" s="57" t="str">
        <f t="shared" si="24"/>
        <v>Mpungwe</v>
      </c>
      <c r="F1430" s="57">
        <v>954</v>
      </c>
    </row>
    <row r="1431" spans="1:6">
      <c r="A1431" s="57" t="s">
        <v>1684</v>
      </c>
      <c r="B1431" s="57" t="s">
        <v>1673</v>
      </c>
      <c r="C1431" s="57" t="s">
        <v>1674</v>
      </c>
      <c r="D1431" s="57" t="str">
        <f t="shared" si="24"/>
        <v>Wairasa</v>
      </c>
      <c r="F1431" s="57">
        <v>955</v>
      </c>
    </row>
    <row r="1432" spans="1:6">
      <c r="A1432" s="57" t="s">
        <v>1685</v>
      </c>
      <c r="B1432" s="57" t="s">
        <v>1673</v>
      </c>
      <c r="C1432" s="57" t="s">
        <v>1674</v>
      </c>
      <c r="D1432" s="57" t="str">
        <f t="shared" si="24"/>
        <v>Bubyangu</v>
      </c>
      <c r="F1432" s="57">
        <v>956</v>
      </c>
    </row>
    <row r="1433" spans="1:6">
      <c r="A1433" s="57" t="s">
        <v>1686</v>
      </c>
      <c r="B1433" s="57" t="s">
        <v>1673</v>
      </c>
      <c r="C1433" s="57" t="s">
        <v>1674</v>
      </c>
      <c r="D1433" s="57" t="str">
        <f t="shared" si="24"/>
        <v>Budwale</v>
      </c>
      <c r="F1433" s="57">
        <v>957</v>
      </c>
    </row>
    <row r="1434" spans="1:6">
      <c r="A1434" s="57" t="s">
        <v>1687</v>
      </c>
      <c r="B1434" s="57" t="s">
        <v>1673</v>
      </c>
      <c r="C1434" s="57" t="s">
        <v>1674</v>
      </c>
      <c r="D1434" s="57" t="str">
        <f t="shared" si="24"/>
        <v>Bufumbo</v>
      </c>
      <c r="F1434" s="57">
        <v>958</v>
      </c>
    </row>
    <row r="1435" spans="1:6">
      <c r="A1435" s="57" t="s">
        <v>1688</v>
      </c>
      <c r="B1435" s="57" t="s">
        <v>1689</v>
      </c>
      <c r="C1435" s="57" t="s">
        <v>1690</v>
      </c>
      <c r="D1435" s="57" t="str">
        <f t="shared" si="24"/>
        <v>Bukasakya</v>
      </c>
      <c r="F1435" s="57">
        <v>959</v>
      </c>
    </row>
    <row r="1436" spans="1:6">
      <c r="A1436" s="57" t="s">
        <v>1691</v>
      </c>
      <c r="B1436" s="57" t="s">
        <v>1689</v>
      </c>
      <c r="C1436" s="57" t="s">
        <v>1690</v>
      </c>
      <c r="D1436" s="57" t="str">
        <f t="shared" si="24"/>
        <v>Bukiende</v>
      </c>
      <c r="F1436" s="57">
        <v>960</v>
      </c>
    </row>
    <row r="1437" spans="1:6">
      <c r="A1437" s="57" t="s">
        <v>1692</v>
      </c>
      <c r="B1437" s="57" t="s">
        <v>1689</v>
      </c>
      <c r="C1437" s="57" t="s">
        <v>1690</v>
      </c>
      <c r="D1437" s="57" t="str">
        <f t="shared" si="24"/>
        <v>Bukonde</v>
      </c>
      <c r="F1437" s="57">
        <v>961</v>
      </c>
    </row>
    <row r="1438" spans="1:6">
      <c r="A1438" s="57" t="s">
        <v>1693</v>
      </c>
      <c r="B1438" s="57" t="s">
        <v>1689</v>
      </c>
      <c r="C1438" s="57" t="s">
        <v>1690</v>
      </c>
      <c r="D1438" s="57" t="str">
        <f t="shared" si="24"/>
        <v>Bumasikye</v>
      </c>
      <c r="F1438" s="57">
        <v>962</v>
      </c>
    </row>
    <row r="1439" spans="1:6">
      <c r="A1439" s="57" t="s">
        <v>1694</v>
      </c>
      <c r="B1439" s="57" t="s">
        <v>1689</v>
      </c>
      <c r="C1439" s="57" t="s">
        <v>1690</v>
      </c>
      <c r="D1439" s="57" t="str">
        <f t="shared" si="24"/>
        <v>Bumbobi</v>
      </c>
      <c r="F1439" s="57">
        <v>963</v>
      </c>
    </row>
    <row r="1440" spans="1:6">
      <c r="A1440" s="57" t="s">
        <v>1690</v>
      </c>
      <c r="B1440" s="57" t="s">
        <v>1689</v>
      </c>
      <c r="C1440" s="57" t="s">
        <v>1690</v>
      </c>
      <c r="D1440" s="57" t="str">
        <f t="shared" si="24"/>
        <v>Bungokho</v>
      </c>
      <c r="F1440" s="57">
        <v>964</v>
      </c>
    </row>
    <row r="1441" spans="1:6">
      <c r="A1441" s="57" t="s">
        <v>1695</v>
      </c>
      <c r="B1441" s="57" t="s">
        <v>1689</v>
      </c>
      <c r="C1441" s="57" t="s">
        <v>1690</v>
      </c>
      <c r="D1441" s="57" t="str">
        <f t="shared" si="24"/>
        <v>Bungokho Mutoto</v>
      </c>
      <c r="F1441" s="57">
        <v>965</v>
      </c>
    </row>
    <row r="1442" spans="1:6">
      <c r="A1442" s="57" t="s">
        <v>1696</v>
      </c>
      <c r="B1442" s="57" t="s">
        <v>1689</v>
      </c>
      <c r="C1442" s="57" t="s">
        <v>1690</v>
      </c>
      <c r="D1442" s="57" t="str">
        <f t="shared" si="24"/>
        <v>Busano</v>
      </c>
      <c r="F1442" s="57">
        <v>966</v>
      </c>
    </row>
    <row r="1443" spans="1:6">
      <c r="A1443" s="57" t="s">
        <v>1697</v>
      </c>
      <c r="B1443" s="57" t="s">
        <v>1689</v>
      </c>
      <c r="C1443" s="57" t="s">
        <v>1690</v>
      </c>
      <c r="D1443" s="57" t="str">
        <f t="shared" si="24"/>
        <v>Busiu</v>
      </c>
      <c r="F1443" s="57">
        <v>967</v>
      </c>
    </row>
    <row r="1444" spans="1:6">
      <c r="A1444" s="57" t="s">
        <v>1698</v>
      </c>
      <c r="B1444" s="57" t="s">
        <v>1689</v>
      </c>
      <c r="C1444" s="57" t="s">
        <v>1690</v>
      </c>
      <c r="D1444" s="57" t="str">
        <f t="shared" si="24"/>
        <v>Busiu Town Council</v>
      </c>
      <c r="F1444" s="57">
        <v>968</v>
      </c>
    </row>
    <row r="1445" spans="1:6">
      <c r="A1445" s="57" t="s">
        <v>1699</v>
      </c>
      <c r="B1445" s="57" t="s">
        <v>1689</v>
      </c>
      <c r="C1445" s="57" t="s">
        <v>1690</v>
      </c>
      <c r="D1445" s="57" t="str">
        <f t="shared" si="24"/>
        <v>Busoba</v>
      </c>
      <c r="F1445" s="57">
        <v>969</v>
      </c>
    </row>
    <row r="1446" spans="1:6">
      <c r="A1446" s="57" t="s">
        <v>1700</v>
      </c>
      <c r="B1446" s="57" t="s">
        <v>1689</v>
      </c>
      <c r="C1446" s="57" t="s">
        <v>1690</v>
      </c>
      <c r="D1446" s="57" t="str">
        <f t="shared" si="24"/>
        <v>Lukhonge</v>
      </c>
      <c r="F1446" s="57">
        <v>970</v>
      </c>
    </row>
    <row r="1447" spans="1:6">
      <c r="A1447" s="57" t="s">
        <v>1701</v>
      </c>
      <c r="B1447" s="57" t="s">
        <v>1689</v>
      </c>
      <c r="C1447" s="57" t="s">
        <v>1690</v>
      </c>
      <c r="D1447" s="57" t="str">
        <f t="shared" si="24"/>
        <v>Lwasso</v>
      </c>
      <c r="F1447" s="57">
        <v>971</v>
      </c>
    </row>
    <row r="1448" spans="1:6">
      <c r="A1448" s="57" t="s">
        <v>1702</v>
      </c>
      <c r="B1448" s="57" t="s">
        <v>1689</v>
      </c>
      <c r="C1448" s="57" t="s">
        <v>1690</v>
      </c>
      <c r="D1448" s="57" t="str">
        <f t="shared" si="24"/>
        <v>Mbale Municipality</v>
      </c>
      <c r="F1448" s="57">
        <v>972</v>
      </c>
    </row>
    <row r="1449" spans="1:6">
      <c r="A1449" s="57" t="s">
        <v>1703</v>
      </c>
      <c r="B1449" s="57" t="s">
        <v>1689</v>
      </c>
      <c r="C1449" s="57" t="s">
        <v>1690</v>
      </c>
      <c r="D1449" s="57" t="str">
        <f t="shared" si="24"/>
        <v>MBALE</v>
      </c>
      <c r="F1449" s="57">
        <v>973</v>
      </c>
    </row>
    <row r="1450" spans="1:6">
      <c r="A1450" s="57" t="s">
        <v>1704</v>
      </c>
      <c r="B1450" s="57" t="s">
        <v>1689</v>
      </c>
      <c r="C1450" s="57" t="s">
        <v>1690</v>
      </c>
      <c r="D1450" s="57" t="str">
        <f t="shared" si="24"/>
        <v>Nabumali Town Council</v>
      </c>
      <c r="F1450" s="57">
        <v>974</v>
      </c>
    </row>
    <row r="1451" spans="1:6">
      <c r="A1451" s="57" t="s">
        <v>1705</v>
      </c>
      <c r="B1451" s="57" t="s">
        <v>1689</v>
      </c>
      <c r="C1451" s="57" t="s">
        <v>1702</v>
      </c>
      <c r="D1451" s="57" t="str">
        <f t="shared" si="24"/>
        <v>Nakaloke</v>
      </c>
      <c r="F1451" s="57">
        <v>975</v>
      </c>
    </row>
    <row r="1452" spans="1:6">
      <c r="A1452" s="57" t="s">
        <v>1706</v>
      </c>
      <c r="D1452" s="57" t="str">
        <f t="shared" si="24"/>
        <v>Nakaloke Town Council</v>
      </c>
      <c r="F1452" s="57">
        <v>975</v>
      </c>
    </row>
    <row r="1453" spans="1:6">
      <c r="A1453" s="57" t="s">
        <v>1707</v>
      </c>
      <c r="B1453" s="57" t="s">
        <v>1689</v>
      </c>
      <c r="C1453" s="57" t="s">
        <v>1690</v>
      </c>
      <c r="D1453" s="57" t="str">
        <f t="shared" si="24"/>
        <v>Namanyonyi</v>
      </c>
      <c r="F1453" s="57">
        <v>976</v>
      </c>
    </row>
    <row r="1454" spans="1:6">
      <c r="A1454" s="57" t="s">
        <v>1708</v>
      </c>
      <c r="B1454" s="57" t="s">
        <v>1689</v>
      </c>
      <c r="C1454" s="57" t="s">
        <v>1690</v>
      </c>
      <c r="D1454" s="57" t="str">
        <f t="shared" si="24"/>
        <v>Nyondo</v>
      </c>
      <c r="F1454" s="57">
        <v>977</v>
      </c>
    </row>
    <row r="1455" spans="1:6">
      <c r="A1455" s="57" t="s">
        <v>1709</v>
      </c>
      <c r="B1455" s="57" t="s">
        <v>1689</v>
      </c>
      <c r="C1455" s="57" t="s">
        <v>1690</v>
      </c>
      <c r="D1455" s="57" t="str">
        <f t="shared" si="24"/>
        <v>Wanale</v>
      </c>
      <c r="F1455" s="57">
        <v>978</v>
      </c>
    </row>
    <row r="1456" spans="1:6">
      <c r="A1456" s="57" t="s">
        <v>1710</v>
      </c>
      <c r="B1456" s="57" t="s">
        <v>1689</v>
      </c>
      <c r="C1456" s="57" t="s">
        <v>1690</v>
      </c>
      <c r="D1456" s="57" t="str">
        <f t="shared" si="24"/>
        <v>Bubaare-Mbarara</v>
      </c>
      <c r="F1456" s="57">
        <v>979</v>
      </c>
    </row>
    <row r="1457" spans="1:6">
      <c r="A1457" s="57" t="s">
        <v>1711</v>
      </c>
      <c r="B1457" s="57" t="s">
        <v>1689</v>
      </c>
      <c r="C1457" s="57" t="s">
        <v>1690</v>
      </c>
      <c r="D1457" s="57" t="str">
        <f t="shared" si="24"/>
        <v>Bugamba</v>
      </c>
      <c r="F1457" s="57">
        <v>980</v>
      </c>
    </row>
    <row r="1458" spans="1:6">
      <c r="A1458" s="57" t="s">
        <v>1712</v>
      </c>
      <c r="B1458" s="57" t="s">
        <v>1689</v>
      </c>
      <c r="C1458" s="57" t="s">
        <v>1690</v>
      </c>
      <c r="D1458" s="57" t="str">
        <f t="shared" si="24"/>
        <v>Bukiro</v>
      </c>
      <c r="F1458" s="57">
        <v>981</v>
      </c>
    </row>
    <row r="1459" spans="1:6">
      <c r="A1459" s="57" t="s">
        <v>1713</v>
      </c>
      <c r="B1459" s="57" t="s">
        <v>1714</v>
      </c>
      <c r="C1459" s="57" t="s">
        <v>1715</v>
      </c>
      <c r="D1459" s="57" t="str">
        <f t="shared" si="24"/>
        <v>Kagongi</v>
      </c>
      <c r="F1459" s="57">
        <v>982</v>
      </c>
    </row>
    <row r="1460" spans="1:6">
      <c r="A1460" s="57" t="s">
        <v>1716</v>
      </c>
      <c r="B1460" s="57" t="s">
        <v>1714</v>
      </c>
      <c r="C1460" s="57" t="s">
        <v>1717</v>
      </c>
      <c r="D1460" s="57" t="str">
        <f t="shared" si="24"/>
        <v>Kashare</v>
      </c>
      <c r="F1460" s="57">
        <v>983</v>
      </c>
    </row>
    <row r="1461" spans="1:6">
      <c r="A1461" s="57" t="s">
        <v>1718</v>
      </c>
      <c r="B1461" s="57" t="s">
        <v>1714</v>
      </c>
      <c r="C1461" s="57" t="s">
        <v>1715</v>
      </c>
      <c r="D1461" s="57" t="str">
        <f t="shared" si="24"/>
        <v>Mbarara Municipality</v>
      </c>
      <c r="F1461" s="57">
        <v>984</v>
      </c>
    </row>
    <row r="1462" spans="1:6">
      <c r="A1462" s="57" t="s">
        <v>1719</v>
      </c>
      <c r="B1462" s="57" t="s">
        <v>1714</v>
      </c>
      <c r="C1462" s="57" t="s">
        <v>1715</v>
      </c>
      <c r="D1462" s="57" t="str">
        <f t="shared" si="24"/>
        <v xml:space="preserve">Mbarara   </v>
      </c>
      <c r="F1462" s="57">
        <v>985</v>
      </c>
    </row>
    <row r="1463" spans="1:6">
      <c r="A1463" s="57" t="s">
        <v>1720</v>
      </c>
      <c r="B1463" s="57" t="s">
        <v>1714</v>
      </c>
      <c r="C1463" s="57" t="s">
        <v>1715</v>
      </c>
      <c r="D1463" s="57" t="str">
        <f t="shared" si="24"/>
        <v>LUTI</v>
      </c>
      <c r="F1463" s="57">
        <v>986</v>
      </c>
    </row>
    <row r="1464" spans="1:6">
      <c r="A1464" s="57" t="s">
        <v>1721</v>
      </c>
      <c r="D1464" s="57" t="str">
        <f t="shared" si="24"/>
        <v>MBARARA</v>
      </c>
      <c r="F1464" s="57">
        <v>986</v>
      </c>
    </row>
    <row r="1465" spans="1:6">
      <c r="A1465" s="57" t="s">
        <v>1722</v>
      </c>
      <c r="D1465" s="57" t="str">
        <f t="shared" si="24"/>
        <v>LAKE MBURO</v>
      </c>
      <c r="F1465" s="57">
        <v>986</v>
      </c>
    </row>
    <row r="1466" spans="1:6">
      <c r="A1466" s="57" t="s">
        <v>1723</v>
      </c>
      <c r="D1466" s="57" t="str">
        <f t="shared" si="24"/>
        <v>KASHARI</v>
      </c>
      <c r="F1466" s="57">
        <v>986</v>
      </c>
    </row>
    <row r="1467" spans="1:6">
      <c r="A1467" s="57" t="s">
        <v>1724</v>
      </c>
      <c r="D1467" s="57" t="str">
        <f t="shared" si="24"/>
        <v>NTARE</v>
      </c>
      <c r="F1467" s="57">
        <v>987</v>
      </c>
    </row>
    <row r="1468" spans="1:6">
      <c r="A1468" s="57" t="s">
        <v>1725</v>
      </c>
      <c r="B1468" s="57" t="s">
        <v>1714</v>
      </c>
      <c r="C1468" s="57" t="s">
        <v>1718</v>
      </c>
      <c r="D1468" s="57" t="str">
        <f t="shared" si="24"/>
        <v>RUTI</v>
      </c>
      <c r="F1468" s="57">
        <v>987</v>
      </c>
    </row>
    <row r="1469" spans="1:6">
      <c r="A1469" s="57" t="s">
        <v>1726</v>
      </c>
      <c r="D1469" s="57" t="str">
        <f t="shared" si="24"/>
        <v>MBARARA TOWN</v>
      </c>
      <c r="F1469" s="57">
        <v>987</v>
      </c>
    </row>
    <row r="1470" spans="1:6">
      <c r="A1470" s="57" t="s">
        <v>1727</v>
      </c>
      <c r="D1470" s="57" t="str">
        <f t="shared" si="24"/>
        <v>MBULO</v>
      </c>
      <c r="F1470" s="57">
        <v>987</v>
      </c>
    </row>
    <row r="1471" spans="1:6">
      <c r="A1471" s="57" t="s">
        <v>1728</v>
      </c>
      <c r="D1471" s="57" t="str">
        <f t="shared" si="24"/>
        <v>Mwizi</v>
      </c>
      <c r="F1471" s="57">
        <v>987</v>
      </c>
    </row>
    <row r="1472" spans="1:6">
      <c r="A1472" s="57" t="s">
        <v>1729</v>
      </c>
      <c r="D1472" s="57" t="str">
        <f t="shared" si="24"/>
        <v>RWAMPARA</v>
      </c>
      <c r="F1472" s="57">
        <v>987</v>
      </c>
    </row>
    <row r="1473" spans="1:6">
      <c r="A1473" s="57" t="s">
        <v>1730</v>
      </c>
      <c r="D1473" s="57" t="str">
        <f t="shared" si="24"/>
        <v>Ndeija</v>
      </c>
      <c r="F1473" s="57">
        <v>987</v>
      </c>
    </row>
    <row r="1474" spans="1:6">
      <c r="A1474" s="57" t="s">
        <v>1731</v>
      </c>
      <c r="D1474" s="57" t="str">
        <f t="shared" ref="D1474:D1537" si="25">A1474</f>
        <v>Rubaya-Mbarara</v>
      </c>
      <c r="F1474" s="57">
        <v>987</v>
      </c>
    </row>
    <row r="1475" spans="1:6">
      <c r="A1475" s="57" t="s">
        <v>1732</v>
      </c>
      <c r="D1475" s="57" t="str">
        <f t="shared" si="25"/>
        <v>RWEBIKONA</v>
      </c>
      <c r="F1475" s="57">
        <v>987</v>
      </c>
    </row>
    <row r="1476" spans="1:6">
      <c r="A1476" s="57" t="s">
        <v>1733</v>
      </c>
      <c r="B1476" s="57" t="s">
        <v>1714</v>
      </c>
      <c r="C1476" s="57" t="s">
        <v>1717</v>
      </c>
      <c r="D1476" s="57" t="str">
        <f t="shared" si="25"/>
        <v>Rubindi</v>
      </c>
      <c r="F1476" s="57">
        <v>988</v>
      </c>
    </row>
    <row r="1477" spans="1:6">
      <c r="A1477" s="57" t="s">
        <v>1734</v>
      </c>
      <c r="B1477" s="57" t="s">
        <v>1714</v>
      </c>
      <c r="C1477" s="57" t="s">
        <v>1717</v>
      </c>
      <c r="D1477" s="57" t="str">
        <f t="shared" si="25"/>
        <v>Rugando</v>
      </c>
      <c r="F1477" s="57">
        <v>989</v>
      </c>
    </row>
    <row r="1478" spans="1:6">
      <c r="A1478" s="57" t="s">
        <v>1735</v>
      </c>
      <c r="B1478" s="57" t="s">
        <v>1714</v>
      </c>
      <c r="C1478" s="57" t="s">
        <v>1715</v>
      </c>
      <c r="D1478" s="57" t="str">
        <f t="shared" si="25"/>
        <v>Rwanyamahembe</v>
      </c>
      <c r="F1478" s="57">
        <v>990</v>
      </c>
    </row>
    <row r="1479" spans="1:6">
      <c r="A1479" s="57" t="s">
        <v>1736</v>
      </c>
      <c r="B1479" s="57" t="s">
        <v>1714</v>
      </c>
      <c r="C1479" s="57" t="s">
        <v>1715</v>
      </c>
      <c r="D1479" s="57" t="str">
        <f t="shared" si="25"/>
        <v>Bitereko</v>
      </c>
      <c r="F1479" s="57">
        <v>991</v>
      </c>
    </row>
    <row r="1480" spans="1:6">
      <c r="A1480" s="57" t="s">
        <v>1482</v>
      </c>
      <c r="B1480" s="57" t="s">
        <v>1714</v>
      </c>
      <c r="C1480" s="57" t="s">
        <v>1717</v>
      </c>
      <c r="D1480" s="57" t="str">
        <f t="shared" si="25"/>
        <v>Kabira</v>
      </c>
      <c r="F1480" s="57">
        <v>992</v>
      </c>
    </row>
    <row r="1481" spans="1:6">
      <c r="A1481" s="57" t="s">
        <v>1737</v>
      </c>
      <c r="B1481" s="57" t="s">
        <v>1714</v>
      </c>
      <c r="C1481" s="57" t="s">
        <v>1715</v>
      </c>
      <c r="D1481" s="57" t="str">
        <f t="shared" si="25"/>
        <v>Kanyabwanga</v>
      </c>
      <c r="F1481" s="57">
        <v>993</v>
      </c>
    </row>
    <row r="1482" spans="1:6">
      <c r="A1482" s="57" t="s">
        <v>1738</v>
      </c>
      <c r="B1482" s="57" t="s">
        <v>45</v>
      </c>
      <c r="C1482" s="57" t="s">
        <v>1739</v>
      </c>
      <c r="D1482" s="57" t="str">
        <f t="shared" si="25"/>
        <v>Kashenshero</v>
      </c>
      <c r="F1482" s="57">
        <v>994</v>
      </c>
    </row>
    <row r="1483" spans="1:6">
      <c r="A1483" s="57" t="s">
        <v>1740</v>
      </c>
      <c r="B1483" s="57" t="s">
        <v>45</v>
      </c>
      <c r="C1483" s="57" t="s">
        <v>1739</v>
      </c>
      <c r="D1483" s="57" t="str">
        <f t="shared" si="25"/>
        <v>Kashenshero Town Council</v>
      </c>
      <c r="F1483" s="57">
        <v>995</v>
      </c>
    </row>
    <row r="1484" spans="1:6">
      <c r="A1484" s="57" t="s">
        <v>1741</v>
      </c>
      <c r="B1484" s="57" t="s">
        <v>45</v>
      </c>
      <c r="C1484" s="57" t="s">
        <v>1739</v>
      </c>
      <c r="D1484" s="57" t="str">
        <f t="shared" si="25"/>
        <v>Katenga</v>
      </c>
      <c r="F1484" s="57">
        <v>996</v>
      </c>
    </row>
    <row r="1485" spans="1:6">
      <c r="A1485" s="57" t="s">
        <v>1742</v>
      </c>
      <c r="B1485" s="57" t="s">
        <v>45</v>
      </c>
      <c r="C1485" s="57" t="s">
        <v>1739</v>
      </c>
      <c r="D1485" s="57" t="str">
        <f t="shared" si="25"/>
        <v>Kiyanga</v>
      </c>
      <c r="F1485" s="57">
        <v>997</v>
      </c>
    </row>
    <row r="1486" spans="1:6">
      <c r="A1486" s="57" t="s">
        <v>1743</v>
      </c>
      <c r="B1486" s="57" t="s">
        <v>45</v>
      </c>
      <c r="C1486" s="57" t="s">
        <v>1739</v>
      </c>
      <c r="D1486" s="57" t="str">
        <f t="shared" si="25"/>
        <v>Mayanga</v>
      </c>
      <c r="F1486" s="57">
        <v>998</v>
      </c>
    </row>
    <row r="1487" spans="1:6">
      <c r="A1487" s="57" t="s">
        <v>57</v>
      </c>
      <c r="B1487" s="57" t="s">
        <v>45</v>
      </c>
      <c r="C1487" s="57" t="s">
        <v>1739</v>
      </c>
      <c r="D1487" s="57" t="str">
        <f t="shared" si="25"/>
        <v>Mitoma</v>
      </c>
      <c r="F1487" s="57">
        <v>999</v>
      </c>
    </row>
    <row r="1488" spans="1:6">
      <c r="A1488" s="57" t="s">
        <v>45</v>
      </c>
      <c r="B1488" s="57" t="s">
        <v>45</v>
      </c>
      <c r="C1488" s="57" t="s">
        <v>1739</v>
      </c>
      <c r="D1488" s="57" t="str">
        <f t="shared" si="25"/>
        <v>Mitooma</v>
      </c>
      <c r="F1488" s="57">
        <v>1000</v>
      </c>
    </row>
    <row r="1489" spans="1:6">
      <c r="A1489" s="57" t="s">
        <v>1744</v>
      </c>
      <c r="B1489" s="57" t="s">
        <v>45</v>
      </c>
      <c r="C1489" s="57" t="s">
        <v>1739</v>
      </c>
      <c r="D1489" s="57" t="str">
        <f t="shared" si="25"/>
        <v>Mitooma Town Council</v>
      </c>
      <c r="F1489" s="57">
        <v>1001</v>
      </c>
    </row>
    <row r="1490" spans="1:6">
      <c r="A1490" s="57" t="s">
        <v>1745</v>
      </c>
      <c r="D1490" s="57" t="str">
        <f t="shared" si="25"/>
        <v>Mutara</v>
      </c>
      <c r="F1490" s="57">
        <v>1002</v>
      </c>
    </row>
    <row r="1491" spans="1:6">
      <c r="A1491" s="57" t="s">
        <v>1746</v>
      </c>
      <c r="B1491" s="57" t="s">
        <v>45</v>
      </c>
      <c r="C1491" s="57" t="s">
        <v>1739</v>
      </c>
      <c r="D1491" s="57" t="str">
        <f t="shared" si="25"/>
        <v>Rurehe</v>
      </c>
      <c r="F1491" s="57">
        <v>1002</v>
      </c>
    </row>
    <row r="1492" spans="1:6">
      <c r="A1492" s="57" t="s">
        <v>1747</v>
      </c>
      <c r="B1492" s="57" t="s">
        <v>45</v>
      </c>
      <c r="C1492" s="57" t="s">
        <v>1739</v>
      </c>
      <c r="D1492" s="57" t="str">
        <f t="shared" si="25"/>
        <v>Bbanda</v>
      </c>
      <c r="F1492" s="57">
        <v>1003</v>
      </c>
    </row>
    <row r="1493" spans="1:6">
      <c r="A1493" s="57" t="s">
        <v>1748</v>
      </c>
      <c r="B1493" s="57" t="s">
        <v>45</v>
      </c>
      <c r="C1493" s="57" t="s">
        <v>1739</v>
      </c>
      <c r="D1493" s="57" t="str">
        <f t="shared" si="25"/>
        <v>Bulera</v>
      </c>
      <c r="F1493" s="57">
        <v>1004</v>
      </c>
    </row>
    <row r="1494" spans="1:6">
      <c r="A1494" s="57" t="s">
        <v>1749</v>
      </c>
      <c r="B1494" s="57" t="s">
        <v>45</v>
      </c>
      <c r="C1494" s="57" t="s">
        <v>1739</v>
      </c>
      <c r="D1494" s="57" t="str">
        <f t="shared" si="25"/>
        <v>Busimbi Division</v>
      </c>
      <c r="F1494" s="57">
        <v>1005</v>
      </c>
    </row>
    <row r="1495" spans="1:6">
      <c r="A1495" s="57" t="s">
        <v>1750</v>
      </c>
      <c r="B1495" s="57" t="s">
        <v>1751</v>
      </c>
      <c r="C1495" s="57" t="s">
        <v>1752</v>
      </c>
      <c r="D1495" s="57" t="str">
        <f t="shared" si="25"/>
        <v>BUSUNJU</v>
      </c>
      <c r="F1495" s="57">
        <v>1006</v>
      </c>
    </row>
    <row r="1496" spans="1:6">
      <c r="A1496" s="57" t="s">
        <v>1753</v>
      </c>
      <c r="B1496" s="57" t="s">
        <v>1751</v>
      </c>
      <c r="C1496" s="57" t="s">
        <v>1751</v>
      </c>
      <c r="D1496" s="57" t="str">
        <f t="shared" si="25"/>
        <v>Busunju Town Council</v>
      </c>
      <c r="F1496" s="57">
        <v>1007</v>
      </c>
    </row>
    <row r="1497" spans="1:6">
      <c r="A1497" s="57" t="s">
        <v>1754</v>
      </c>
      <c r="B1497" s="57" t="s">
        <v>1751</v>
      </c>
      <c r="C1497" s="57" t="s">
        <v>1755</v>
      </c>
      <c r="D1497" s="57" t="str">
        <f t="shared" si="25"/>
        <v>Butayunja</v>
      </c>
      <c r="F1497" s="57">
        <v>1008</v>
      </c>
    </row>
    <row r="1498" spans="1:6">
      <c r="A1498" s="57" t="s">
        <v>1756</v>
      </c>
      <c r="D1498" s="57" t="str">
        <f t="shared" si="25"/>
        <v>Kakindu</v>
      </c>
      <c r="F1498" s="57">
        <v>1009</v>
      </c>
    </row>
    <row r="1499" spans="1:6">
      <c r="A1499" s="57" t="s">
        <v>1757</v>
      </c>
      <c r="B1499" s="57" t="s">
        <v>1751</v>
      </c>
      <c r="C1499" s="57" t="s">
        <v>1751</v>
      </c>
      <c r="D1499" s="57" t="str">
        <f t="shared" si="25"/>
        <v>Kalangaalo</v>
      </c>
      <c r="F1499" s="57">
        <v>1009</v>
      </c>
    </row>
    <row r="1500" spans="1:6">
      <c r="A1500" s="57" t="s">
        <v>1758</v>
      </c>
      <c r="D1500" s="57" t="str">
        <f t="shared" si="25"/>
        <v>Kikandwa</v>
      </c>
      <c r="F1500" s="57">
        <v>1009</v>
      </c>
    </row>
    <row r="1501" spans="1:6">
      <c r="A1501" s="57" t="s">
        <v>1759</v>
      </c>
      <c r="B1501" s="57" t="s">
        <v>1751</v>
      </c>
      <c r="C1501" s="57" t="s">
        <v>1752</v>
      </c>
      <c r="D1501" s="57" t="str">
        <f t="shared" si="25"/>
        <v>BUSUJJU</v>
      </c>
      <c r="F1501" s="57">
        <v>1010</v>
      </c>
    </row>
    <row r="1502" spans="1:6">
      <c r="A1502" s="57" t="s">
        <v>1760</v>
      </c>
      <c r="B1502" s="57" t="s">
        <v>1751</v>
      </c>
      <c r="C1502" s="57" t="s">
        <v>1752</v>
      </c>
      <c r="D1502" s="57" t="str">
        <f t="shared" si="25"/>
        <v>Maanyi</v>
      </c>
      <c r="F1502" s="57">
        <v>1011</v>
      </c>
    </row>
    <row r="1503" spans="1:6">
      <c r="A1503" s="57" t="s">
        <v>1761</v>
      </c>
      <c r="B1503" s="57" t="s">
        <v>1751</v>
      </c>
      <c r="C1503" s="57" t="s">
        <v>1751</v>
      </c>
      <c r="D1503" s="57" t="str">
        <f t="shared" si="25"/>
        <v>KIWAWU</v>
      </c>
      <c r="F1503" s="57">
        <v>1012</v>
      </c>
    </row>
    <row r="1504" spans="1:6">
      <c r="A1504" s="57" t="s">
        <v>1762</v>
      </c>
      <c r="B1504" s="57" t="s">
        <v>1751</v>
      </c>
      <c r="C1504" s="57" t="s">
        <v>1751</v>
      </c>
      <c r="D1504" s="57" t="str">
        <f t="shared" si="25"/>
        <v>Malangala</v>
      </c>
      <c r="F1504" s="57">
        <v>1013</v>
      </c>
    </row>
    <row r="1505" spans="1:6">
      <c r="A1505" s="57" t="s">
        <v>1763</v>
      </c>
      <c r="B1505" s="57" t="s">
        <v>1751</v>
      </c>
      <c r="C1505" s="57" t="s">
        <v>1752</v>
      </c>
      <c r="D1505" s="57" t="str">
        <f t="shared" si="25"/>
        <v>ZIGOTI</v>
      </c>
      <c r="F1505" s="57">
        <v>1014</v>
      </c>
    </row>
    <row r="1506" spans="1:6">
      <c r="A1506" s="57" t="s">
        <v>1764</v>
      </c>
      <c r="D1506" s="57" t="str">
        <f t="shared" si="25"/>
        <v>KYENZA</v>
      </c>
      <c r="F1506" s="57">
        <v>1015</v>
      </c>
    </row>
    <row r="1507" spans="1:6">
      <c r="A1507" s="57" t="s">
        <v>1755</v>
      </c>
      <c r="D1507" s="57" t="str">
        <f t="shared" si="25"/>
        <v>Mityana Municipality</v>
      </c>
      <c r="F1507" s="57">
        <v>1015</v>
      </c>
    </row>
    <row r="1508" spans="1:6">
      <c r="A1508" s="57" t="s">
        <v>1765</v>
      </c>
      <c r="B1508" s="57" t="s">
        <v>1751</v>
      </c>
      <c r="C1508" s="57" t="s">
        <v>1752</v>
      </c>
      <c r="D1508" s="57" t="str">
        <f t="shared" si="25"/>
        <v>MITYANA TOWN</v>
      </c>
      <c r="F1508" s="57">
        <v>1015</v>
      </c>
    </row>
    <row r="1509" spans="1:6">
      <c r="A1509" s="57" t="s">
        <v>1766</v>
      </c>
      <c r="D1509" s="57" t="str">
        <f t="shared" si="25"/>
        <v xml:space="preserve">Mityana  </v>
      </c>
      <c r="F1509" s="57">
        <v>1015</v>
      </c>
    </row>
    <row r="1510" spans="1:6">
      <c r="A1510" s="57" t="s">
        <v>1767</v>
      </c>
      <c r="D1510" s="57" t="str">
        <f t="shared" si="25"/>
        <v>MITYANA</v>
      </c>
      <c r="F1510" s="57">
        <v>1016</v>
      </c>
    </row>
    <row r="1511" spans="1:6">
      <c r="A1511" s="57" t="s">
        <v>1768</v>
      </c>
      <c r="B1511" s="57" t="s">
        <v>1751</v>
      </c>
      <c r="C1511" s="57" t="s">
        <v>1755</v>
      </c>
      <c r="D1511" s="57" t="str">
        <f t="shared" si="25"/>
        <v>Namungo</v>
      </c>
      <c r="F1511" s="57">
        <v>1016</v>
      </c>
    </row>
    <row r="1512" spans="1:6">
      <c r="A1512" s="57" t="s">
        <v>1769</v>
      </c>
      <c r="D1512" s="57" t="str">
        <f t="shared" si="25"/>
        <v>KIKONGE</v>
      </c>
      <c r="F1512" s="57">
        <v>1016</v>
      </c>
    </row>
    <row r="1513" spans="1:6">
      <c r="A1513" s="57" t="s">
        <v>1770</v>
      </c>
      <c r="D1513" s="57" t="str">
        <f t="shared" si="25"/>
        <v>Ssekanyonyi</v>
      </c>
      <c r="F1513" s="57">
        <v>1016</v>
      </c>
    </row>
    <row r="1514" spans="1:6">
      <c r="A1514" s="57" t="s">
        <v>1771</v>
      </c>
      <c r="B1514" s="57" t="s">
        <v>1751</v>
      </c>
      <c r="C1514" s="57" t="s">
        <v>1751</v>
      </c>
      <c r="D1514" s="57" t="str">
        <f t="shared" si="25"/>
        <v>BUWALULA</v>
      </c>
      <c r="F1514" s="57">
        <v>1017</v>
      </c>
    </row>
    <row r="1515" spans="1:6">
      <c r="A1515" s="57" t="s">
        <v>1772</v>
      </c>
      <c r="D1515" s="57" t="str">
        <f t="shared" si="25"/>
        <v>Katikekile</v>
      </c>
      <c r="F1515" s="57">
        <v>1018</v>
      </c>
    </row>
    <row r="1516" spans="1:6">
      <c r="A1516" s="57" t="s">
        <v>229</v>
      </c>
      <c r="B1516" s="57" t="s">
        <v>1751</v>
      </c>
      <c r="C1516" s="57" t="s">
        <v>1751</v>
      </c>
      <c r="D1516" s="57" t="str">
        <f t="shared" si="25"/>
        <v>Moroto</v>
      </c>
      <c r="F1516" s="57">
        <v>1018</v>
      </c>
    </row>
    <row r="1517" spans="1:6">
      <c r="A1517" s="57" t="s">
        <v>1773</v>
      </c>
      <c r="D1517" s="57" t="str">
        <f t="shared" si="25"/>
        <v>Moroto Municipality</v>
      </c>
      <c r="F1517" s="57">
        <v>1018</v>
      </c>
    </row>
    <row r="1518" spans="1:6">
      <c r="A1518" s="57" t="s">
        <v>1774</v>
      </c>
      <c r="B1518" s="57" t="s">
        <v>229</v>
      </c>
      <c r="C1518" s="57" t="s">
        <v>1775</v>
      </c>
      <c r="D1518" s="57" t="str">
        <f t="shared" si="25"/>
        <v>Nadunget</v>
      </c>
      <c r="F1518" s="57">
        <v>1019</v>
      </c>
    </row>
    <row r="1519" spans="1:6">
      <c r="A1519" s="57" t="s">
        <v>1776</v>
      </c>
      <c r="D1519" s="57" t="str">
        <f t="shared" si="25"/>
        <v>Rupa</v>
      </c>
      <c r="F1519" s="57">
        <v>1020</v>
      </c>
    </row>
    <row r="1520" spans="1:6">
      <c r="A1520" s="57" t="s">
        <v>1777</v>
      </c>
      <c r="B1520" s="57" t="s">
        <v>229</v>
      </c>
      <c r="C1520" s="57" t="s">
        <v>1773</v>
      </c>
      <c r="D1520" s="57" t="str">
        <f t="shared" si="25"/>
        <v>Tapac</v>
      </c>
      <c r="F1520" s="57">
        <v>1020</v>
      </c>
    </row>
    <row r="1521" spans="1:6">
      <c r="A1521" s="57" t="s">
        <v>1778</v>
      </c>
      <c r="B1521" s="57" t="s">
        <v>229</v>
      </c>
      <c r="C1521" s="57" t="s">
        <v>1775</v>
      </c>
      <c r="D1521" s="57" t="str">
        <f t="shared" si="25"/>
        <v>Aliba</v>
      </c>
      <c r="F1521" s="57">
        <v>1021</v>
      </c>
    </row>
    <row r="1522" spans="1:6">
      <c r="A1522" s="57" t="s">
        <v>1779</v>
      </c>
      <c r="B1522" s="57" t="s">
        <v>229</v>
      </c>
      <c r="C1522" s="57" t="s">
        <v>1775</v>
      </c>
      <c r="D1522" s="57" t="str">
        <f t="shared" si="25"/>
        <v>Difule</v>
      </c>
      <c r="F1522" s="57">
        <v>1022</v>
      </c>
    </row>
    <row r="1523" spans="1:6">
      <c r="A1523" s="57" t="s">
        <v>1780</v>
      </c>
      <c r="B1523" s="57" t="s">
        <v>175</v>
      </c>
      <c r="D1523" s="57" t="str">
        <f t="shared" si="25"/>
        <v>Gimara</v>
      </c>
      <c r="F1523" s="57">
        <v>1023</v>
      </c>
    </row>
    <row r="1524" spans="1:6">
      <c r="A1524" s="57" t="s">
        <v>1781</v>
      </c>
      <c r="D1524" s="57" t="str">
        <f t="shared" si="25"/>
        <v>Obongi</v>
      </c>
      <c r="F1524" s="57">
        <v>1023</v>
      </c>
    </row>
    <row r="1525" spans="1:6">
      <c r="A1525" s="57" t="s">
        <v>1782</v>
      </c>
      <c r="B1525" s="57" t="s">
        <v>1783</v>
      </c>
      <c r="C1525" s="57" t="s">
        <v>1781</v>
      </c>
      <c r="D1525" s="57" t="str">
        <f t="shared" si="25"/>
        <v>Itula</v>
      </c>
      <c r="F1525" s="57">
        <v>1024</v>
      </c>
    </row>
    <row r="1526" spans="1:6">
      <c r="A1526" s="57" t="s">
        <v>1784</v>
      </c>
      <c r="D1526" s="57" t="str">
        <f t="shared" si="25"/>
        <v>Palorinya</v>
      </c>
      <c r="F1526" s="57">
        <v>1024</v>
      </c>
    </row>
    <row r="1527" spans="1:6">
      <c r="A1527" s="57" t="s">
        <v>1785</v>
      </c>
      <c r="B1527" s="57" t="s">
        <v>1783</v>
      </c>
      <c r="C1527" s="57" t="s">
        <v>1786</v>
      </c>
      <c r="D1527" s="57" t="str">
        <f t="shared" si="25"/>
        <v>Laropi</v>
      </c>
      <c r="F1527" s="57">
        <v>1025</v>
      </c>
    </row>
    <row r="1528" spans="1:6">
      <c r="A1528" s="57" t="s">
        <v>1787</v>
      </c>
      <c r="B1528" s="57" t="s">
        <v>1783</v>
      </c>
      <c r="C1528" s="57" t="s">
        <v>1781</v>
      </c>
      <c r="D1528" s="57" t="str">
        <f t="shared" si="25"/>
        <v>Lefori</v>
      </c>
      <c r="F1528" s="57">
        <v>1026</v>
      </c>
    </row>
    <row r="1529" spans="1:6">
      <c r="A1529" s="57" t="s">
        <v>1788</v>
      </c>
      <c r="B1529" s="57" t="s">
        <v>1783</v>
      </c>
      <c r="C1529" s="57" t="s">
        <v>1781</v>
      </c>
      <c r="D1529" s="57" t="str">
        <f t="shared" si="25"/>
        <v>Metu</v>
      </c>
      <c r="F1529" s="57">
        <v>1027</v>
      </c>
    </row>
    <row r="1530" spans="1:6">
      <c r="A1530" s="57" t="s">
        <v>1783</v>
      </c>
      <c r="B1530" s="57" t="s">
        <v>1783</v>
      </c>
      <c r="C1530" s="57" t="s">
        <v>1786</v>
      </c>
      <c r="D1530" s="57" t="str">
        <f t="shared" si="25"/>
        <v>Moyo</v>
      </c>
      <c r="F1530" s="57">
        <v>1028</v>
      </c>
    </row>
    <row r="1531" spans="1:6">
      <c r="A1531" s="57" t="s">
        <v>1783</v>
      </c>
      <c r="B1531" s="57" t="s">
        <v>1783</v>
      </c>
      <c r="C1531" s="57" t="s">
        <v>1786</v>
      </c>
      <c r="D1531" s="57" t="str">
        <f t="shared" si="25"/>
        <v>Moyo</v>
      </c>
      <c r="F1531" s="57">
        <v>1028</v>
      </c>
    </row>
    <row r="1532" spans="1:6">
      <c r="A1532" s="57" t="s">
        <v>1789</v>
      </c>
      <c r="B1532" s="57" t="s">
        <v>1783</v>
      </c>
      <c r="C1532" s="57" t="s">
        <v>1786</v>
      </c>
      <c r="D1532" s="57" t="str">
        <f t="shared" si="25"/>
        <v>Moyo Town Council</v>
      </c>
      <c r="F1532" s="57">
        <v>1029</v>
      </c>
    </row>
    <row r="1533" spans="1:6">
      <c r="A1533" s="57" t="s">
        <v>1790</v>
      </c>
      <c r="D1533" s="57" t="str">
        <f t="shared" si="25"/>
        <v xml:space="preserve">Moyo </v>
      </c>
      <c r="F1533" s="57">
        <v>1029</v>
      </c>
    </row>
    <row r="1534" spans="1:6">
      <c r="A1534" s="57" t="s">
        <v>1791</v>
      </c>
      <c r="B1534" s="57" t="s">
        <v>1783</v>
      </c>
      <c r="C1534" s="57" t="s">
        <v>1786</v>
      </c>
      <c r="D1534" s="57" t="str">
        <f t="shared" si="25"/>
        <v>BUMWAMA</v>
      </c>
      <c r="F1534" s="57">
        <v>1030</v>
      </c>
    </row>
    <row r="1535" spans="1:6">
      <c r="A1535" s="57" t="s">
        <v>1792</v>
      </c>
      <c r="B1535" s="57" t="s">
        <v>1783</v>
      </c>
      <c r="C1535" s="57" t="s">
        <v>1786</v>
      </c>
      <c r="D1535" s="57" t="str">
        <f t="shared" si="25"/>
        <v>Buwama</v>
      </c>
      <c r="F1535" s="57">
        <v>1031</v>
      </c>
    </row>
    <row r="1536" spans="1:6">
      <c r="A1536" s="57" t="s">
        <v>1793</v>
      </c>
      <c r="B1536" s="57" t="s">
        <v>1783</v>
      </c>
      <c r="C1536" s="57" t="s">
        <v>1786</v>
      </c>
      <c r="D1536" s="57" t="str">
        <f t="shared" si="25"/>
        <v>BUBULE</v>
      </c>
      <c r="F1536" s="57">
        <v>1032</v>
      </c>
    </row>
    <row r="1537" spans="1:6">
      <c r="A1537" s="57" t="s">
        <v>1794</v>
      </c>
      <c r="D1537" s="57" t="str">
        <f t="shared" si="25"/>
        <v xml:space="preserve">KAYABWE </v>
      </c>
      <c r="F1537" s="57">
        <v>1033</v>
      </c>
    </row>
    <row r="1538" spans="1:6">
      <c r="A1538" s="57" t="s">
        <v>1795</v>
      </c>
      <c r="B1538" s="57" t="s">
        <v>1796</v>
      </c>
      <c r="C1538" s="57" t="s">
        <v>1797</v>
      </c>
      <c r="D1538" s="57" t="str">
        <f t="shared" ref="D1538:D1601" si="26">A1538</f>
        <v>MWENDA</v>
      </c>
      <c r="F1538" s="57">
        <v>1033</v>
      </c>
    </row>
    <row r="1539" spans="1:6">
      <c r="A1539" s="57" t="s">
        <v>1798</v>
      </c>
      <c r="D1539" s="57" t="str">
        <f t="shared" si="26"/>
        <v>KAYABWE</v>
      </c>
      <c r="F1539" s="57">
        <v>1033</v>
      </c>
    </row>
    <row r="1540" spans="1:6">
      <c r="A1540" s="57" t="s">
        <v>1799</v>
      </c>
      <c r="D1540" s="57" t="str">
        <f t="shared" si="26"/>
        <v>KYABWE</v>
      </c>
      <c r="F1540" s="57">
        <v>1033</v>
      </c>
    </row>
    <row r="1541" spans="1:6">
      <c r="A1541" s="57" t="s">
        <v>1800</v>
      </c>
      <c r="D1541" s="57" t="str">
        <f t="shared" si="26"/>
        <v>WUKA</v>
      </c>
      <c r="F1541" s="57">
        <v>1033</v>
      </c>
    </row>
    <row r="1542" spans="1:6">
      <c r="A1542" s="57" t="s">
        <v>1801</v>
      </c>
      <c r="D1542" s="57" t="str">
        <f t="shared" si="26"/>
        <v>Kiringente</v>
      </c>
      <c r="F1542" s="57">
        <v>1033</v>
      </c>
    </row>
    <row r="1543" spans="1:6">
      <c r="A1543" s="57" t="s">
        <v>1802</v>
      </c>
      <c r="D1543" s="57" t="str">
        <f t="shared" si="26"/>
        <v>Kituntu</v>
      </c>
      <c r="F1543" s="57">
        <v>1033</v>
      </c>
    </row>
    <row r="1544" spans="1:6">
      <c r="A1544" s="57" t="s">
        <v>1803</v>
      </c>
      <c r="D1544" s="57" t="str">
        <f t="shared" si="26"/>
        <v>Kasozi</v>
      </c>
      <c r="F1544" s="57">
        <v>1033</v>
      </c>
    </row>
    <row r="1545" spans="1:6">
      <c r="A1545" s="57" t="s">
        <v>1804</v>
      </c>
      <c r="B1545" s="57" t="s">
        <v>1796</v>
      </c>
      <c r="C1545" s="57" t="s">
        <v>1797</v>
      </c>
      <c r="D1545" s="57" t="str">
        <f t="shared" si="26"/>
        <v>KAMENGO</v>
      </c>
      <c r="F1545" s="57">
        <v>1034</v>
      </c>
    </row>
    <row r="1546" spans="1:6">
      <c r="A1546" s="57" t="s">
        <v>1805</v>
      </c>
      <c r="B1546" s="57" t="s">
        <v>1796</v>
      </c>
      <c r="C1546" s="57" t="s">
        <v>1797</v>
      </c>
      <c r="D1546" s="57" t="str">
        <f t="shared" si="26"/>
        <v>MAAYA</v>
      </c>
      <c r="F1546" s="57">
        <v>1035</v>
      </c>
    </row>
    <row r="1547" spans="1:6">
      <c r="A1547" s="57" t="s">
        <v>1806</v>
      </c>
      <c r="B1547" s="57" t="s">
        <v>1796</v>
      </c>
      <c r="C1547" s="57" t="s">
        <v>1797</v>
      </c>
      <c r="D1547" s="57" t="str">
        <f t="shared" si="26"/>
        <v>MAYA</v>
      </c>
      <c r="F1547" s="57">
        <v>1036</v>
      </c>
    </row>
    <row r="1548" spans="1:6">
      <c r="A1548" s="57" t="s">
        <v>1807</v>
      </c>
      <c r="D1548" s="57" t="str">
        <f t="shared" si="26"/>
        <v>MPABBIRE</v>
      </c>
      <c r="F1548" s="57">
        <v>1037</v>
      </c>
    </row>
    <row r="1549" spans="1:6">
      <c r="A1549" s="57" t="s">
        <v>1808</v>
      </c>
      <c r="D1549" s="57" t="str">
        <f t="shared" si="26"/>
        <v>BUYALA</v>
      </c>
      <c r="F1549" s="57">
        <v>1037</v>
      </c>
    </row>
    <row r="1550" spans="1:6">
      <c r="A1550" s="57" t="s">
        <v>1809</v>
      </c>
      <c r="D1550" s="57" t="str">
        <f t="shared" si="26"/>
        <v>BUNGO</v>
      </c>
      <c r="F1550" s="57">
        <v>1037</v>
      </c>
    </row>
    <row r="1551" spans="1:6">
      <c r="A1551" s="57" t="s">
        <v>1810</v>
      </c>
      <c r="D1551" s="57" t="str">
        <f t="shared" si="26"/>
        <v>NAKIREBE</v>
      </c>
      <c r="F1551" s="57">
        <v>1037</v>
      </c>
    </row>
    <row r="1552" spans="1:6">
      <c r="A1552" s="57" t="s">
        <v>1811</v>
      </c>
      <c r="D1552" s="57" t="str">
        <f t="shared" si="26"/>
        <v>MPIGI</v>
      </c>
      <c r="F1552" s="57">
        <v>1037</v>
      </c>
    </row>
    <row r="1553" spans="1:6">
      <c r="A1553" s="57" t="s">
        <v>1812</v>
      </c>
      <c r="D1553" s="57" t="str">
        <f t="shared" si="26"/>
        <v>KYALI</v>
      </c>
      <c r="F1553" s="57">
        <v>1037</v>
      </c>
    </row>
    <row r="1554" spans="1:6">
      <c r="A1554" s="57" t="s">
        <v>1813</v>
      </c>
      <c r="D1554" s="57" t="str">
        <f t="shared" si="26"/>
        <v>NABUSANKE</v>
      </c>
      <c r="F1554" s="57">
        <v>1037</v>
      </c>
    </row>
    <row r="1555" spans="1:6">
      <c r="A1555" s="57" t="s">
        <v>1814</v>
      </c>
      <c r="D1555" s="57" t="str">
        <f t="shared" si="26"/>
        <v>MAWOKOTA</v>
      </c>
      <c r="F1555" s="57">
        <v>1037</v>
      </c>
    </row>
    <row r="1556" spans="1:6">
      <c r="A1556" s="57" t="s">
        <v>1815</v>
      </c>
      <c r="D1556" s="57" t="str">
        <f t="shared" si="26"/>
        <v>MALEGALA</v>
      </c>
      <c r="F1556" s="57">
        <v>1037</v>
      </c>
    </row>
    <row r="1557" spans="1:6">
      <c r="A1557" s="57" t="s">
        <v>1816</v>
      </c>
      <c r="D1557" s="57" t="str">
        <f t="shared" si="26"/>
        <v>MPANGA</v>
      </c>
      <c r="F1557" s="57">
        <v>1037</v>
      </c>
    </row>
    <row r="1558" spans="1:6">
      <c r="A1558" s="57" t="s">
        <v>1817</v>
      </c>
      <c r="D1558" s="57" t="str">
        <f t="shared" si="26"/>
        <v>Mpigi Town Council</v>
      </c>
      <c r="F1558" s="57">
        <v>1037</v>
      </c>
    </row>
    <row r="1559" spans="1:6">
      <c r="A1559" s="57" t="s">
        <v>1818</v>
      </c>
      <c r="D1559" s="57" t="str">
        <f t="shared" si="26"/>
        <v>WATOTO SSUBI</v>
      </c>
      <c r="F1559" s="57">
        <v>1037</v>
      </c>
    </row>
    <row r="1560" spans="1:6">
      <c r="A1560" s="57" t="s">
        <v>1819</v>
      </c>
      <c r="D1560" s="57" t="str">
        <f t="shared" si="26"/>
        <v>MPIGI TOWN</v>
      </c>
      <c r="F1560" s="57">
        <v>1037</v>
      </c>
    </row>
    <row r="1561" spans="1:6">
      <c r="A1561" s="57" t="s">
        <v>1820</v>
      </c>
      <c r="B1561" s="57" t="s">
        <v>1796</v>
      </c>
      <c r="C1561" s="57" t="s">
        <v>1797</v>
      </c>
      <c r="D1561" s="57" t="str">
        <f t="shared" si="26"/>
        <v>BUJJUKO</v>
      </c>
      <c r="F1561" s="57">
        <v>1037</v>
      </c>
    </row>
    <row r="1562" spans="1:6">
      <c r="A1562" s="57" t="s">
        <v>1821</v>
      </c>
      <c r="D1562" s="57" t="str">
        <f t="shared" si="26"/>
        <v>Muduma</v>
      </c>
      <c r="F1562" s="57">
        <v>1037</v>
      </c>
    </row>
    <row r="1563" spans="1:6">
      <c r="A1563" s="57" t="s">
        <v>1822</v>
      </c>
      <c r="D1563" s="57" t="str">
        <f t="shared" si="26"/>
        <v>Muduuma</v>
      </c>
      <c r="F1563" s="57">
        <v>1037</v>
      </c>
    </row>
    <row r="1564" spans="1:6">
      <c r="A1564" s="57" t="s">
        <v>1823</v>
      </c>
      <c r="D1564" s="57" t="str">
        <f t="shared" si="26"/>
        <v>Nkozi</v>
      </c>
      <c r="F1564" s="57">
        <v>1038</v>
      </c>
    </row>
    <row r="1565" spans="1:6">
      <c r="A1565" s="57" t="s">
        <v>1824</v>
      </c>
      <c r="D1565" s="57" t="str">
        <f t="shared" si="26"/>
        <v>NGOMA</v>
      </c>
      <c r="F1565" s="57">
        <v>1038</v>
      </c>
    </row>
    <row r="1566" spans="1:6">
      <c r="A1566" s="57" t="s">
        <v>1825</v>
      </c>
      <c r="B1566" s="57" t="s">
        <v>1796</v>
      </c>
      <c r="C1566" s="57" t="s">
        <v>1797</v>
      </c>
      <c r="D1566" s="57" t="str">
        <f t="shared" si="26"/>
        <v>Bagezza</v>
      </c>
      <c r="F1566" s="57">
        <v>1038</v>
      </c>
    </row>
    <row r="1567" spans="1:6">
      <c r="A1567" s="57" t="s">
        <v>1826</v>
      </c>
      <c r="B1567" s="57" t="s">
        <v>1796</v>
      </c>
      <c r="C1567" s="57" t="s">
        <v>1797</v>
      </c>
      <c r="D1567" s="57" t="str">
        <f t="shared" si="26"/>
        <v>Bukuya</v>
      </c>
      <c r="F1567" s="57">
        <v>1039</v>
      </c>
    </row>
    <row r="1568" spans="1:6">
      <c r="A1568" s="57" t="s">
        <v>1827</v>
      </c>
      <c r="D1568" s="57" t="str">
        <f t="shared" si="26"/>
        <v>Butoloogo</v>
      </c>
      <c r="F1568" s="57">
        <v>1039</v>
      </c>
    </row>
    <row r="1569" spans="1:6">
      <c r="A1569" s="57" t="s">
        <v>1828</v>
      </c>
      <c r="B1569" s="57" t="s">
        <v>1829</v>
      </c>
      <c r="C1569" s="57" t="s">
        <v>1830</v>
      </c>
      <c r="D1569" s="57" t="str">
        <f t="shared" si="26"/>
        <v>Kalwana</v>
      </c>
      <c r="F1569" s="57">
        <v>1040</v>
      </c>
    </row>
    <row r="1570" spans="1:6">
      <c r="A1570" s="57" t="s">
        <v>1831</v>
      </c>
      <c r="B1570" s="57" t="s">
        <v>1829</v>
      </c>
      <c r="C1570" s="57" t="s">
        <v>1832</v>
      </c>
      <c r="D1570" s="57" t="str">
        <f t="shared" si="26"/>
        <v>Kasambya-Mubende</v>
      </c>
      <c r="F1570" s="57">
        <v>1041</v>
      </c>
    </row>
    <row r="1571" spans="1:6">
      <c r="A1571" s="57" t="s">
        <v>1833</v>
      </c>
      <c r="B1571" s="57" t="s">
        <v>1829</v>
      </c>
      <c r="C1571" s="57" t="s">
        <v>1834</v>
      </c>
      <c r="D1571" s="57" t="str">
        <f t="shared" si="26"/>
        <v>MUKATOGO</v>
      </c>
      <c r="F1571" s="57">
        <v>1042</v>
      </c>
    </row>
    <row r="1572" spans="1:6">
      <c r="A1572" s="57" t="s">
        <v>1835</v>
      </c>
      <c r="B1572" s="57" t="s">
        <v>1829</v>
      </c>
      <c r="C1572" s="57" t="s">
        <v>1832</v>
      </c>
      <c r="D1572" s="57" t="str">
        <f t="shared" si="26"/>
        <v>KASANDA</v>
      </c>
      <c r="F1572" s="57">
        <v>1043</v>
      </c>
    </row>
    <row r="1573" spans="1:6">
      <c r="A1573" s="57" t="s">
        <v>1832</v>
      </c>
      <c r="B1573" s="57" t="s">
        <v>1829</v>
      </c>
      <c r="C1573" s="57" t="s">
        <v>1830</v>
      </c>
      <c r="D1573" s="57" t="str">
        <f t="shared" si="26"/>
        <v>Kassanda</v>
      </c>
      <c r="F1573" s="57">
        <v>1044</v>
      </c>
    </row>
    <row r="1574" spans="1:6">
      <c r="A1574" s="57" t="s">
        <v>1836</v>
      </c>
      <c r="D1574" s="57" t="str">
        <f t="shared" si="26"/>
        <v>Kibalinga</v>
      </c>
      <c r="F1574" s="57">
        <v>1044</v>
      </c>
    </row>
    <row r="1575" spans="1:6">
      <c r="A1575" s="57" t="s">
        <v>1837</v>
      </c>
      <c r="D1575" s="57" t="str">
        <f t="shared" si="26"/>
        <v>Kiganda</v>
      </c>
      <c r="F1575" s="57">
        <v>1045</v>
      </c>
    </row>
    <row r="1576" spans="1:6">
      <c r="A1576" s="57" t="s">
        <v>1838</v>
      </c>
      <c r="D1576" s="57" t="str">
        <f t="shared" si="26"/>
        <v>LUTUNKU</v>
      </c>
      <c r="F1576" s="57">
        <v>1045</v>
      </c>
    </row>
    <row r="1577" spans="1:6">
      <c r="A1577" s="57" t="s">
        <v>1839</v>
      </c>
      <c r="B1577" s="57" t="s">
        <v>1829</v>
      </c>
      <c r="C1577" s="57" t="s">
        <v>1832</v>
      </c>
      <c r="D1577" s="57" t="str">
        <f t="shared" si="26"/>
        <v>Kigando</v>
      </c>
      <c r="F1577" s="57">
        <v>1045</v>
      </c>
    </row>
    <row r="1578" spans="1:6">
      <c r="A1578" s="57" t="s">
        <v>1840</v>
      </c>
      <c r="B1578" s="57" t="s">
        <v>1829</v>
      </c>
      <c r="C1578" s="57" t="s">
        <v>1830</v>
      </c>
      <c r="D1578" s="57" t="str">
        <f t="shared" si="26"/>
        <v>Kitenga</v>
      </c>
      <c r="F1578" s="57">
        <v>1046</v>
      </c>
    </row>
    <row r="1579" spans="1:6">
      <c r="A1579" s="57" t="s">
        <v>1841</v>
      </c>
      <c r="B1579" s="57" t="s">
        <v>1829</v>
      </c>
      <c r="C1579" s="57" t="s">
        <v>1832</v>
      </c>
      <c r="D1579" s="57" t="str">
        <f t="shared" si="26"/>
        <v>Kitumbi</v>
      </c>
      <c r="F1579" s="57">
        <v>1047</v>
      </c>
    </row>
    <row r="1580" spans="1:6">
      <c r="A1580" s="57" t="s">
        <v>1842</v>
      </c>
      <c r="B1580" s="57" t="s">
        <v>1829</v>
      </c>
      <c r="C1580" s="57" t="s">
        <v>1830</v>
      </c>
      <c r="D1580" s="57" t="str">
        <f t="shared" si="26"/>
        <v>Kiyuni</v>
      </c>
      <c r="F1580" s="57">
        <v>1048</v>
      </c>
    </row>
    <row r="1581" spans="1:6">
      <c r="A1581" s="57" t="s">
        <v>1843</v>
      </c>
      <c r="B1581" s="57" t="s">
        <v>1829</v>
      </c>
      <c r="C1581" s="57" t="s">
        <v>1834</v>
      </c>
      <c r="D1581" s="57" t="str">
        <f t="shared" si="26"/>
        <v>Madudu</v>
      </c>
      <c r="F1581" s="57">
        <v>1049</v>
      </c>
    </row>
    <row r="1582" spans="1:6">
      <c r="A1582" s="57" t="s">
        <v>1844</v>
      </c>
      <c r="B1582" s="57" t="s">
        <v>1829</v>
      </c>
      <c r="C1582" s="57" t="s">
        <v>1832</v>
      </c>
      <c r="D1582" s="57" t="str">
        <f t="shared" si="26"/>
        <v>Makokoto</v>
      </c>
      <c r="F1582" s="57">
        <v>1050</v>
      </c>
    </row>
    <row r="1583" spans="1:6">
      <c r="A1583" s="57" t="s">
        <v>1845</v>
      </c>
      <c r="B1583" s="57" t="s">
        <v>1829</v>
      </c>
      <c r="C1583" s="57" t="s">
        <v>1834</v>
      </c>
      <c r="D1583" s="57" t="str">
        <f t="shared" si="26"/>
        <v>Manyogaseka</v>
      </c>
      <c r="F1583" s="57">
        <v>1051</v>
      </c>
    </row>
    <row r="1584" spans="1:6">
      <c r="A1584" s="57" t="s">
        <v>1846</v>
      </c>
      <c r="B1584" s="57" t="s">
        <v>1829</v>
      </c>
      <c r="C1584" s="57" t="s">
        <v>1834</v>
      </c>
      <c r="D1584" s="57" t="str">
        <f t="shared" si="26"/>
        <v>Mubende Municipality</v>
      </c>
      <c r="F1584" s="57">
        <v>1052</v>
      </c>
    </row>
    <row r="1585" spans="1:6">
      <c r="A1585" s="57" t="s">
        <v>1847</v>
      </c>
      <c r="B1585" s="57" t="s">
        <v>1829</v>
      </c>
      <c r="C1585" s="57" t="s">
        <v>1832</v>
      </c>
      <c r="D1585" s="57" t="str">
        <f t="shared" si="26"/>
        <v xml:space="preserve">Mubende  </v>
      </c>
      <c r="F1585" s="57">
        <v>1053</v>
      </c>
    </row>
    <row r="1586" spans="1:6">
      <c r="A1586" s="57" t="s">
        <v>1848</v>
      </c>
      <c r="B1586" s="57" t="s">
        <v>1829</v>
      </c>
      <c r="C1586" s="57" t="s">
        <v>1832</v>
      </c>
      <c r="D1586" s="57" t="str">
        <f t="shared" si="26"/>
        <v>MUBENDE</v>
      </c>
      <c r="F1586" s="57">
        <v>1054</v>
      </c>
    </row>
    <row r="1587" spans="1:6">
      <c r="A1587" s="57" t="s">
        <v>1849</v>
      </c>
      <c r="B1587" s="57" t="s">
        <v>1829</v>
      </c>
      <c r="C1587" s="57" t="s">
        <v>1846</v>
      </c>
      <c r="D1587" s="57" t="str">
        <f t="shared" si="26"/>
        <v>MUBENDE TOWN</v>
      </c>
      <c r="F1587" s="57">
        <v>1055</v>
      </c>
    </row>
    <row r="1588" spans="1:6">
      <c r="A1588" s="57" t="s">
        <v>1850</v>
      </c>
      <c r="D1588" s="57" t="str">
        <f t="shared" si="26"/>
        <v>Myanzi</v>
      </c>
      <c r="F1588" s="57">
        <v>1055</v>
      </c>
    </row>
    <row r="1589" spans="1:6">
      <c r="A1589" s="57" t="s">
        <v>1851</v>
      </c>
      <c r="D1589" s="57" t="str">
        <f t="shared" si="26"/>
        <v>Nabingoola</v>
      </c>
      <c r="F1589" s="57">
        <v>1056</v>
      </c>
    </row>
    <row r="1590" spans="1:6">
      <c r="A1590" s="57" t="s">
        <v>1852</v>
      </c>
      <c r="D1590" s="57" t="str">
        <f t="shared" si="26"/>
        <v>Kasawo</v>
      </c>
      <c r="F1590" s="57">
        <v>1056</v>
      </c>
    </row>
    <row r="1591" spans="1:6">
      <c r="A1591" s="57" t="s">
        <v>1853</v>
      </c>
      <c r="B1591" s="57" t="s">
        <v>1829</v>
      </c>
      <c r="C1591" s="57" t="s">
        <v>1832</v>
      </c>
      <c r="D1591" s="57" t="str">
        <f t="shared" si="26"/>
        <v>Nakifuma</v>
      </c>
      <c r="F1591" s="57">
        <v>1056</v>
      </c>
    </row>
    <row r="1592" spans="1:6">
      <c r="A1592" s="57" t="s">
        <v>1854</v>
      </c>
      <c r="B1592" s="57" t="s">
        <v>1829</v>
      </c>
      <c r="C1592" s="57" t="s">
        <v>1830</v>
      </c>
      <c r="D1592" s="57" t="str">
        <f t="shared" si="26"/>
        <v>MAYANGAYANGA</v>
      </c>
      <c r="F1592" s="57">
        <v>1057</v>
      </c>
    </row>
    <row r="1593" spans="1:6">
      <c r="A1593" s="57" t="s">
        <v>1855</v>
      </c>
      <c r="B1593" s="57" t="s">
        <v>1856</v>
      </c>
      <c r="C1593" s="57" t="s">
        <v>1853</v>
      </c>
      <c r="D1593" s="57" t="str">
        <f t="shared" si="26"/>
        <v>Kimenyedde</v>
      </c>
      <c r="F1593" s="57">
        <v>1058</v>
      </c>
    </row>
    <row r="1594" spans="1:6">
      <c r="A1594" s="57" t="s">
        <v>1857</v>
      </c>
      <c r="D1594" s="57" t="str">
        <f t="shared" si="26"/>
        <v>Koome Island</v>
      </c>
      <c r="F1594" s="57">
        <v>1058</v>
      </c>
    </row>
    <row r="1595" spans="1:6">
      <c r="A1595" s="57" t="s">
        <v>1858</v>
      </c>
      <c r="D1595" s="57" t="str">
        <f t="shared" si="26"/>
        <v>Kyampisi</v>
      </c>
      <c r="F1595" s="57">
        <v>1059</v>
      </c>
    </row>
    <row r="1596" spans="1:6">
      <c r="A1596" s="57" t="s">
        <v>1859</v>
      </c>
      <c r="B1596" s="57" t="s">
        <v>1856</v>
      </c>
      <c r="C1596" s="57" t="s">
        <v>1853</v>
      </c>
      <c r="D1596" s="57" t="str">
        <f t="shared" si="26"/>
        <v>Mpatta</v>
      </c>
      <c r="F1596" s="57">
        <v>1059</v>
      </c>
    </row>
    <row r="1597" spans="1:6">
      <c r="A1597" s="57" t="s">
        <v>1860</v>
      </c>
      <c r="B1597" s="57" t="s">
        <v>1856</v>
      </c>
      <c r="C1597" s="57" t="s">
        <v>1856</v>
      </c>
      <c r="D1597" s="57" t="str">
        <f t="shared" si="26"/>
        <v>Mpunge</v>
      </c>
      <c r="F1597" s="57">
        <v>1060</v>
      </c>
    </row>
    <row r="1598" spans="1:6">
      <c r="A1598" s="57" t="s">
        <v>1861</v>
      </c>
      <c r="B1598" s="57" t="s">
        <v>1856</v>
      </c>
      <c r="C1598" s="57" t="s">
        <v>1856</v>
      </c>
      <c r="D1598" s="57" t="str">
        <f t="shared" si="26"/>
        <v>WANTONI</v>
      </c>
      <c r="F1598" s="57">
        <v>1061</v>
      </c>
    </row>
    <row r="1599" spans="1:6">
      <c r="A1599" s="57" t="s">
        <v>1862</v>
      </c>
      <c r="B1599" s="57" t="s">
        <v>1856</v>
      </c>
      <c r="C1599" s="57" t="s">
        <v>1856</v>
      </c>
      <c r="D1599" s="57" t="str">
        <f t="shared" si="26"/>
        <v>Mukono Municipality</v>
      </c>
      <c r="F1599" s="57">
        <v>1062</v>
      </c>
    </row>
    <row r="1600" spans="1:6">
      <c r="A1600" s="57" t="s">
        <v>1863</v>
      </c>
      <c r="D1600" s="57" t="str">
        <f t="shared" si="26"/>
        <v>MUKONO</v>
      </c>
      <c r="F1600" s="57">
        <v>1062</v>
      </c>
    </row>
    <row r="1601" spans="1:6">
      <c r="A1601" s="57" t="s">
        <v>1864</v>
      </c>
      <c r="B1601" s="57" t="s">
        <v>1856</v>
      </c>
      <c r="C1601" s="57" t="s">
        <v>1856</v>
      </c>
      <c r="D1601" s="57" t="str">
        <f t="shared" si="26"/>
        <v>RILY PACKAGING MUKONO</v>
      </c>
      <c r="F1601" s="57">
        <v>1063</v>
      </c>
    </row>
    <row r="1602" spans="1:6">
      <c r="A1602" s="57" t="s">
        <v>1865</v>
      </c>
      <c r="D1602" s="57" t="str">
        <f t="shared" ref="D1602:D1665" si="27">A1602</f>
        <v>SONDE</v>
      </c>
      <c r="F1602" s="57">
        <v>1064</v>
      </c>
    </row>
    <row r="1603" spans="1:6">
      <c r="A1603" s="57" t="s">
        <v>1866</v>
      </c>
      <c r="B1603" s="57" t="s">
        <v>1856</v>
      </c>
      <c r="C1603" s="57" t="s">
        <v>1862</v>
      </c>
      <c r="D1603" s="57" t="str">
        <f t="shared" si="27"/>
        <v>MUKONO TOWN</v>
      </c>
      <c r="F1603" s="57">
        <v>1064</v>
      </c>
    </row>
    <row r="1604" spans="1:6">
      <c r="A1604" s="57" t="s">
        <v>1867</v>
      </c>
      <c r="D1604" s="57" t="str">
        <f t="shared" si="27"/>
        <v xml:space="preserve">MBALALA </v>
      </c>
      <c r="F1604" s="57">
        <v>1064</v>
      </c>
    </row>
    <row r="1605" spans="1:6">
      <c r="A1605" s="57" t="s">
        <v>1868</v>
      </c>
      <c r="D1605" s="57" t="str">
        <f t="shared" si="27"/>
        <v>MBALALA</v>
      </c>
      <c r="F1605" s="57">
        <v>1064</v>
      </c>
    </row>
    <row r="1606" spans="1:6">
      <c r="A1606" s="57" t="s">
        <v>1869</v>
      </c>
      <c r="D1606" s="57" t="str">
        <f t="shared" si="27"/>
        <v>NKONKO NJERU</v>
      </c>
      <c r="F1606" s="57">
        <v>1064</v>
      </c>
    </row>
    <row r="1607" spans="1:6">
      <c r="A1607" s="57" t="s">
        <v>1870</v>
      </c>
      <c r="D1607" s="57" t="str">
        <f t="shared" si="27"/>
        <v>NAMATABA</v>
      </c>
      <c r="F1607" s="57">
        <v>1064</v>
      </c>
    </row>
    <row r="1608" spans="1:6">
      <c r="A1608" s="57" t="s">
        <v>1871</v>
      </c>
      <c r="D1608" s="57" t="str">
        <f t="shared" si="27"/>
        <v>Namawojolo</v>
      </c>
      <c r="F1608" s="57">
        <v>1064</v>
      </c>
    </row>
    <row r="1609" spans="1:6">
      <c r="A1609" s="57" t="s">
        <v>1872</v>
      </c>
      <c r="D1609" s="57" t="str">
        <f t="shared" si="27"/>
        <v>NAMAWAJJOLO</v>
      </c>
      <c r="F1609" s="57">
        <v>1064</v>
      </c>
    </row>
    <row r="1610" spans="1:6">
      <c r="A1610" s="57" t="s">
        <v>1873</v>
      </c>
      <c r="D1610" s="57" t="str">
        <f t="shared" si="27"/>
        <v>Nabbaale</v>
      </c>
      <c r="F1610" s="57">
        <v>1064</v>
      </c>
    </row>
    <row r="1611" spans="1:6">
      <c r="A1611" s="57" t="s">
        <v>1874</v>
      </c>
      <c r="D1611" s="57" t="str">
        <f t="shared" si="27"/>
        <v>Nagojje</v>
      </c>
      <c r="F1611" s="57">
        <v>1064</v>
      </c>
    </row>
    <row r="1612" spans="1:6">
      <c r="A1612" s="57" t="s">
        <v>1875</v>
      </c>
      <c r="D1612" s="57" t="str">
        <f t="shared" si="27"/>
        <v>Nakisunga</v>
      </c>
      <c r="F1612" s="57">
        <v>1064</v>
      </c>
    </row>
    <row r="1613" spans="1:6">
      <c r="A1613" s="57" t="s">
        <v>1876</v>
      </c>
      <c r="B1613" s="57" t="s">
        <v>1856</v>
      </c>
      <c r="C1613" s="57" t="s">
        <v>1853</v>
      </c>
      <c r="D1613" s="57" t="str">
        <f t="shared" si="27"/>
        <v>Nama</v>
      </c>
      <c r="F1613" s="57">
        <v>1065</v>
      </c>
    </row>
    <row r="1614" spans="1:6">
      <c r="A1614" s="57" t="s">
        <v>1282</v>
      </c>
      <c r="B1614" s="57" t="s">
        <v>1856</v>
      </c>
      <c r="C1614" s="57" t="s">
        <v>1853</v>
      </c>
      <c r="D1614" s="57" t="str">
        <f t="shared" si="27"/>
        <v>Ntenjeru</v>
      </c>
      <c r="F1614" s="57">
        <v>1066</v>
      </c>
    </row>
    <row r="1615" spans="1:6">
      <c r="A1615" s="57" t="s">
        <v>1877</v>
      </c>
      <c r="B1615" s="57" t="s">
        <v>1856</v>
      </c>
      <c r="C1615" s="57" t="s">
        <v>1856</v>
      </c>
      <c r="D1615" s="57" t="str">
        <f t="shared" si="27"/>
        <v>Ntunda</v>
      </c>
      <c r="F1615" s="57">
        <v>1067</v>
      </c>
    </row>
    <row r="1616" spans="1:6">
      <c r="A1616" s="57" t="s">
        <v>1878</v>
      </c>
      <c r="B1616" s="57" t="s">
        <v>1856</v>
      </c>
      <c r="C1616" s="57" t="s">
        <v>1856</v>
      </c>
      <c r="D1616" s="57" t="str">
        <f t="shared" si="27"/>
        <v>SEETA</v>
      </c>
      <c r="F1616" s="57">
        <v>1068</v>
      </c>
    </row>
    <row r="1617" spans="1:6">
      <c r="A1617" s="57" t="s">
        <v>1879</v>
      </c>
      <c r="B1617" s="57" t="s">
        <v>1856</v>
      </c>
      <c r="C1617" s="57" t="s">
        <v>1856</v>
      </c>
      <c r="D1617" s="57" t="str">
        <f t="shared" si="27"/>
        <v>GOMA</v>
      </c>
      <c r="F1617" s="57">
        <v>1069</v>
      </c>
    </row>
    <row r="1618" spans="1:6">
      <c r="A1618" s="57" t="s">
        <v>1880</v>
      </c>
      <c r="B1618" s="57" t="s">
        <v>1856</v>
      </c>
      <c r="C1618" s="57" t="s">
        <v>1853</v>
      </c>
      <c r="D1618" s="57" t="str">
        <f t="shared" si="27"/>
        <v>Seeta Namuganga</v>
      </c>
      <c r="F1618" s="57">
        <v>1070</v>
      </c>
    </row>
    <row r="1619" spans="1:6">
      <c r="A1619" s="57" t="s">
        <v>1881</v>
      </c>
      <c r="D1619" s="57" t="str">
        <f t="shared" si="27"/>
        <v>Kakomongole</v>
      </c>
      <c r="F1619" s="57">
        <v>1071</v>
      </c>
    </row>
    <row r="1620" spans="1:6">
      <c r="A1620" s="57" t="s">
        <v>1882</v>
      </c>
      <c r="D1620" s="57" t="str">
        <f t="shared" si="27"/>
        <v>Lolachat</v>
      </c>
      <c r="F1620" s="57">
        <v>1071</v>
      </c>
    </row>
    <row r="1621" spans="1:6">
      <c r="A1621" s="57" t="s">
        <v>1883</v>
      </c>
      <c r="B1621" s="57" t="s">
        <v>1856</v>
      </c>
      <c r="C1621" s="57" t="s">
        <v>1853</v>
      </c>
      <c r="D1621" s="57" t="str">
        <f t="shared" si="27"/>
        <v>Loregae</v>
      </c>
      <c r="F1621" s="57">
        <v>1071</v>
      </c>
    </row>
    <row r="1622" spans="1:6">
      <c r="A1622" s="57" t="s">
        <v>1884</v>
      </c>
      <c r="B1622" s="57" t="s">
        <v>1885</v>
      </c>
      <c r="C1622" s="57" t="s">
        <v>1886</v>
      </c>
      <c r="D1622" s="57" t="str">
        <f t="shared" si="27"/>
        <v>Lorengedwat</v>
      </c>
      <c r="F1622" s="57">
        <v>1072</v>
      </c>
    </row>
    <row r="1623" spans="1:6">
      <c r="A1623" s="57" t="s">
        <v>1887</v>
      </c>
      <c r="B1623" s="57" t="s">
        <v>1885</v>
      </c>
      <c r="C1623" s="57" t="s">
        <v>1888</v>
      </c>
      <c r="D1623" s="57" t="str">
        <f t="shared" si="27"/>
        <v>Moruita</v>
      </c>
      <c r="F1623" s="57">
        <v>1073</v>
      </c>
    </row>
    <row r="1624" spans="1:6">
      <c r="A1624" s="57" t="s">
        <v>1889</v>
      </c>
      <c r="B1624" s="57" t="s">
        <v>1885</v>
      </c>
      <c r="C1624" s="57" t="s">
        <v>1886</v>
      </c>
      <c r="D1624" s="57" t="str">
        <f t="shared" si="27"/>
        <v>Nabilatuk</v>
      </c>
      <c r="F1624" s="57">
        <v>1074</v>
      </c>
    </row>
    <row r="1625" spans="1:6">
      <c r="A1625" s="57" t="s">
        <v>1890</v>
      </c>
      <c r="B1625" s="57" t="s">
        <v>1885</v>
      </c>
      <c r="C1625" s="57" t="s">
        <v>1888</v>
      </c>
      <c r="D1625" s="57" t="str">
        <f t="shared" si="27"/>
        <v>Nakapiripirit Town Council</v>
      </c>
      <c r="F1625" s="57">
        <v>1075</v>
      </c>
    </row>
    <row r="1626" spans="1:6">
      <c r="A1626" s="57" t="s">
        <v>1891</v>
      </c>
      <c r="B1626" s="57" t="s">
        <v>1885</v>
      </c>
      <c r="C1626" s="57" t="s">
        <v>1886</v>
      </c>
      <c r="D1626" s="57" t="str">
        <f t="shared" si="27"/>
        <v>Namalu</v>
      </c>
      <c r="F1626" s="57">
        <v>1076</v>
      </c>
    </row>
    <row r="1627" spans="1:6">
      <c r="A1627" s="57" t="s">
        <v>1892</v>
      </c>
      <c r="B1627" s="57" t="s">
        <v>1885</v>
      </c>
      <c r="C1627" s="57" t="s">
        <v>1888</v>
      </c>
      <c r="D1627" s="57" t="str">
        <f t="shared" si="27"/>
        <v>Butalangu Town Council</v>
      </c>
      <c r="F1627" s="57">
        <v>1077</v>
      </c>
    </row>
    <row r="1628" spans="1:6">
      <c r="A1628" s="57" t="s">
        <v>1893</v>
      </c>
      <c r="B1628" s="57" t="s">
        <v>1885</v>
      </c>
      <c r="C1628" s="57" t="s">
        <v>1886</v>
      </c>
      <c r="D1628" s="57" t="str">
        <f t="shared" si="27"/>
        <v>Kapeeka</v>
      </c>
      <c r="F1628" s="57">
        <v>1078</v>
      </c>
    </row>
    <row r="1629" spans="1:6">
      <c r="A1629" s="57" t="s">
        <v>1894</v>
      </c>
      <c r="B1629" s="57" t="s">
        <v>1885</v>
      </c>
      <c r="C1629" s="57" t="s">
        <v>1886</v>
      </c>
      <c r="D1629" s="57" t="str">
        <f t="shared" si="27"/>
        <v>Kasangombe</v>
      </c>
      <c r="F1629" s="57">
        <v>1079</v>
      </c>
    </row>
    <row r="1630" spans="1:6">
      <c r="A1630" s="57" t="s">
        <v>1895</v>
      </c>
      <c r="B1630" s="57" t="s">
        <v>1896</v>
      </c>
      <c r="C1630" s="57" t="s">
        <v>1896</v>
      </c>
      <c r="D1630" s="57" t="str">
        <f t="shared" si="27"/>
        <v>Kikamulo</v>
      </c>
      <c r="F1630" s="57">
        <v>1080</v>
      </c>
    </row>
    <row r="1631" spans="1:6">
      <c r="A1631" s="57" t="s">
        <v>1897</v>
      </c>
      <c r="B1631" s="57" t="s">
        <v>1896</v>
      </c>
      <c r="C1631" s="57" t="s">
        <v>1896</v>
      </c>
      <c r="D1631" s="57" t="str">
        <f t="shared" si="27"/>
        <v>Kinoni-Nakaseke</v>
      </c>
      <c r="F1631" s="57">
        <v>1081</v>
      </c>
    </row>
    <row r="1632" spans="1:6">
      <c r="A1632" s="57" t="s">
        <v>1898</v>
      </c>
      <c r="B1632" s="57" t="s">
        <v>1896</v>
      </c>
      <c r="C1632" s="57" t="s">
        <v>1896</v>
      </c>
      <c r="D1632" s="57" t="str">
        <f t="shared" si="27"/>
        <v>Kinyogoga</v>
      </c>
      <c r="F1632" s="57">
        <v>1082</v>
      </c>
    </row>
    <row r="1633" spans="1:6">
      <c r="A1633" s="57" t="s">
        <v>1899</v>
      </c>
      <c r="B1633" s="57" t="s">
        <v>1896</v>
      </c>
      <c r="C1633" s="57" t="s">
        <v>1896</v>
      </c>
      <c r="D1633" s="57" t="str">
        <f t="shared" si="27"/>
        <v>Kito</v>
      </c>
      <c r="F1633" s="57">
        <v>1083</v>
      </c>
    </row>
    <row r="1634" spans="1:6">
      <c r="A1634" s="57" t="s">
        <v>1900</v>
      </c>
      <c r="B1634" s="57" t="s">
        <v>1896</v>
      </c>
      <c r="C1634" s="57" t="s">
        <v>1896</v>
      </c>
      <c r="D1634" s="57" t="str">
        <f t="shared" si="27"/>
        <v>Kiwoko Town Council</v>
      </c>
      <c r="F1634" s="57">
        <v>1084</v>
      </c>
    </row>
    <row r="1635" spans="1:6">
      <c r="A1635" s="57" t="s">
        <v>1896</v>
      </c>
      <c r="B1635" s="57" t="s">
        <v>1896</v>
      </c>
      <c r="C1635" s="57" t="s">
        <v>1896</v>
      </c>
      <c r="D1635" s="57" t="str">
        <f t="shared" si="27"/>
        <v>Nakaseke</v>
      </c>
      <c r="F1635" s="57">
        <v>1085</v>
      </c>
    </row>
    <row r="1636" spans="1:6">
      <c r="A1636" s="57" t="s">
        <v>1901</v>
      </c>
      <c r="B1636" s="57" t="s">
        <v>1896</v>
      </c>
      <c r="C1636" s="57" t="s">
        <v>1896</v>
      </c>
      <c r="D1636" s="57" t="str">
        <f t="shared" si="27"/>
        <v>Nakaseke Town Council</v>
      </c>
      <c r="F1636" s="57">
        <v>1086</v>
      </c>
    </row>
    <row r="1637" spans="1:6">
      <c r="A1637" s="57" t="s">
        <v>1902</v>
      </c>
      <c r="B1637" s="57" t="s">
        <v>1896</v>
      </c>
      <c r="C1637" s="57" t="s">
        <v>1896</v>
      </c>
      <c r="D1637" s="57" t="str">
        <f t="shared" si="27"/>
        <v>Ngoma Town Council</v>
      </c>
      <c r="F1637" s="57">
        <v>1087</v>
      </c>
    </row>
    <row r="1638" spans="1:6">
      <c r="A1638" s="57" t="s">
        <v>1903</v>
      </c>
      <c r="B1638" s="57" t="s">
        <v>1896</v>
      </c>
      <c r="C1638" s="57" t="s">
        <v>1896</v>
      </c>
      <c r="D1638" s="57" t="str">
        <f t="shared" si="27"/>
        <v>Ngoma-Nakaseke</v>
      </c>
      <c r="F1638" s="57">
        <v>1088</v>
      </c>
    </row>
    <row r="1639" spans="1:6">
      <c r="A1639" s="57" t="s">
        <v>1904</v>
      </c>
      <c r="B1639" s="57" t="s">
        <v>1896</v>
      </c>
      <c r="C1639" s="57" t="s">
        <v>1896</v>
      </c>
      <c r="D1639" s="57" t="str">
        <f t="shared" si="27"/>
        <v>Semuto</v>
      </c>
      <c r="F1639" s="57">
        <v>1089</v>
      </c>
    </row>
    <row r="1640" spans="1:6">
      <c r="A1640" s="57" t="s">
        <v>1905</v>
      </c>
      <c r="B1640" s="57" t="s">
        <v>1896</v>
      </c>
      <c r="C1640" s="57" t="s">
        <v>1896</v>
      </c>
      <c r="D1640" s="57" t="str">
        <f t="shared" si="27"/>
        <v>Ssemuto</v>
      </c>
      <c r="F1640" s="57">
        <v>1090</v>
      </c>
    </row>
    <row r="1641" spans="1:6">
      <c r="A1641" s="57" t="s">
        <v>1906</v>
      </c>
      <c r="B1641" s="57" t="s">
        <v>1896</v>
      </c>
      <c r="C1641" s="57" t="s">
        <v>1896</v>
      </c>
      <c r="D1641" s="57" t="str">
        <f t="shared" si="27"/>
        <v>Semuto Town Council</v>
      </c>
      <c r="F1641" s="57">
        <v>1091</v>
      </c>
    </row>
    <row r="1642" spans="1:6">
      <c r="A1642" s="57" t="s">
        <v>1907</v>
      </c>
      <c r="B1642" s="57" t="s">
        <v>1896</v>
      </c>
      <c r="C1642" s="57" t="s">
        <v>1896</v>
      </c>
      <c r="D1642" s="57" t="str">
        <f t="shared" si="27"/>
        <v>Wakyato</v>
      </c>
      <c r="F1642" s="57">
        <v>1092</v>
      </c>
    </row>
    <row r="1643" spans="1:6">
      <c r="A1643" s="57" t="s">
        <v>1908</v>
      </c>
      <c r="D1643" s="57" t="str">
        <f t="shared" si="27"/>
        <v>Kakooge</v>
      </c>
      <c r="F1643" s="57">
        <v>1092</v>
      </c>
    </row>
    <row r="1644" spans="1:6">
      <c r="A1644" s="57" t="s">
        <v>1909</v>
      </c>
      <c r="B1644" s="57" t="s">
        <v>1896</v>
      </c>
      <c r="C1644" s="57" t="s">
        <v>1896</v>
      </c>
      <c r="D1644" s="57" t="str">
        <f t="shared" si="27"/>
        <v>Kakooge Town Council</v>
      </c>
      <c r="F1644" s="57">
        <v>1093</v>
      </c>
    </row>
    <row r="1645" spans="1:6">
      <c r="A1645" s="57" t="s">
        <v>1910</v>
      </c>
      <c r="B1645" s="57" t="s">
        <v>1896</v>
      </c>
      <c r="C1645" s="57" t="s">
        <v>1896</v>
      </c>
      <c r="D1645" s="57" t="str">
        <f t="shared" si="27"/>
        <v>Kalongo</v>
      </c>
      <c r="F1645" s="57">
        <v>1094</v>
      </c>
    </row>
    <row r="1646" spans="1:6">
      <c r="A1646" s="57" t="s">
        <v>1911</v>
      </c>
      <c r="B1646" s="57" t="s">
        <v>1912</v>
      </c>
      <c r="C1646" s="57" t="s">
        <v>1667</v>
      </c>
      <c r="D1646" s="57" t="str">
        <f t="shared" si="27"/>
        <v>Kalungi</v>
      </c>
      <c r="F1646" s="57">
        <v>1095</v>
      </c>
    </row>
    <row r="1647" spans="1:6">
      <c r="A1647" s="57" t="s">
        <v>1913</v>
      </c>
      <c r="B1647" s="57" t="s">
        <v>1912</v>
      </c>
      <c r="C1647" s="57" t="s">
        <v>1667</v>
      </c>
      <c r="D1647" s="57" t="str">
        <f t="shared" si="27"/>
        <v>Lwabiyata</v>
      </c>
      <c r="F1647" s="57">
        <v>1096</v>
      </c>
    </row>
    <row r="1648" spans="1:6">
      <c r="A1648" s="57" t="s">
        <v>1914</v>
      </c>
      <c r="B1648" s="57" t="s">
        <v>1912</v>
      </c>
      <c r="C1648" s="57" t="s">
        <v>1667</v>
      </c>
      <c r="D1648" s="57" t="str">
        <f t="shared" si="27"/>
        <v>Lwampanga</v>
      </c>
      <c r="F1648" s="57">
        <v>1097</v>
      </c>
    </row>
    <row r="1649" spans="1:6">
      <c r="A1649" s="57" t="s">
        <v>1915</v>
      </c>
      <c r="B1649" s="57" t="s">
        <v>1912</v>
      </c>
      <c r="C1649" s="57" t="s">
        <v>1667</v>
      </c>
      <c r="D1649" s="57" t="str">
        <f t="shared" si="27"/>
        <v>Migeera Town Council</v>
      </c>
      <c r="F1649" s="57">
        <v>1098</v>
      </c>
    </row>
    <row r="1650" spans="1:6">
      <c r="A1650" s="57" t="s">
        <v>1916</v>
      </c>
      <c r="B1650" s="57" t="s">
        <v>1912</v>
      </c>
      <c r="C1650" s="57" t="s">
        <v>1667</v>
      </c>
      <c r="D1650" s="57" t="str">
        <f t="shared" si="27"/>
        <v>Nabisweera</v>
      </c>
      <c r="F1650" s="57">
        <v>1099</v>
      </c>
    </row>
    <row r="1651" spans="1:6">
      <c r="A1651" s="57" t="s">
        <v>1917</v>
      </c>
      <c r="B1651" s="57" t="s">
        <v>1912</v>
      </c>
      <c r="C1651" s="57" t="s">
        <v>1667</v>
      </c>
      <c r="D1651" s="57" t="str">
        <f t="shared" si="27"/>
        <v>NAKASONGOLA</v>
      </c>
      <c r="F1651" s="57">
        <v>1100</v>
      </c>
    </row>
    <row r="1652" spans="1:6">
      <c r="A1652" s="57" t="s">
        <v>1918</v>
      </c>
      <c r="B1652" s="57" t="s">
        <v>1912</v>
      </c>
      <c r="C1652" s="57" t="s">
        <v>1667</v>
      </c>
      <c r="D1652" s="57" t="str">
        <f t="shared" si="27"/>
        <v>Nakasongola Town Council</v>
      </c>
      <c r="F1652" s="57">
        <v>1101</v>
      </c>
    </row>
    <row r="1653" spans="1:6">
      <c r="A1653" s="57" t="s">
        <v>1919</v>
      </c>
      <c r="B1653" s="57" t="s">
        <v>1912</v>
      </c>
      <c r="C1653" s="57" t="s">
        <v>1667</v>
      </c>
      <c r="D1653" s="57" t="str">
        <f t="shared" si="27"/>
        <v>Nakitoma</v>
      </c>
      <c r="F1653" s="57">
        <v>1102</v>
      </c>
    </row>
    <row r="1654" spans="1:6">
      <c r="A1654" s="57" t="s">
        <v>1920</v>
      </c>
      <c r="D1654" s="57" t="str">
        <f t="shared" si="27"/>
        <v>Wabinyonyi</v>
      </c>
      <c r="F1654" s="57">
        <v>1103</v>
      </c>
    </row>
    <row r="1655" spans="1:6">
      <c r="A1655" s="57" t="s">
        <v>839</v>
      </c>
      <c r="B1655" s="57" t="s">
        <v>1912</v>
      </c>
      <c r="C1655" s="57" t="s">
        <v>1667</v>
      </c>
      <c r="D1655" s="57" t="str">
        <f t="shared" si="27"/>
        <v>Banda</v>
      </c>
      <c r="F1655" s="57">
        <v>1103</v>
      </c>
    </row>
    <row r="1656" spans="1:6">
      <c r="A1656" s="57" t="s">
        <v>1921</v>
      </c>
      <c r="B1656" s="57" t="s">
        <v>1912</v>
      </c>
      <c r="C1656" s="57" t="s">
        <v>1667</v>
      </c>
      <c r="D1656" s="57" t="str">
        <f t="shared" si="27"/>
        <v>Buhemba</v>
      </c>
      <c r="F1656" s="57">
        <v>1104</v>
      </c>
    </row>
    <row r="1657" spans="1:6">
      <c r="A1657" s="57" t="s">
        <v>1922</v>
      </c>
      <c r="B1657" s="57" t="s">
        <v>1912</v>
      </c>
      <c r="C1657" s="57" t="s">
        <v>1667</v>
      </c>
      <c r="D1657" s="57" t="str">
        <f t="shared" si="27"/>
        <v>Bukana</v>
      </c>
      <c r="F1657" s="57">
        <v>1105</v>
      </c>
    </row>
    <row r="1658" spans="1:6">
      <c r="A1658" s="57" t="s">
        <v>1923</v>
      </c>
      <c r="B1658" s="57" t="s">
        <v>1924</v>
      </c>
      <c r="C1658" s="57" t="s">
        <v>1925</v>
      </c>
      <c r="D1658" s="57" t="str">
        <f t="shared" si="27"/>
        <v>Buswale</v>
      </c>
      <c r="F1658" s="57">
        <v>1106</v>
      </c>
    </row>
    <row r="1659" spans="1:6">
      <c r="A1659" s="57" t="s">
        <v>1926</v>
      </c>
      <c r="B1659" s="57" t="s">
        <v>1924</v>
      </c>
      <c r="C1659" s="57" t="s">
        <v>1925</v>
      </c>
      <c r="D1659" s="57" t="str">
        <f t="shared" si="27"/>
        <v>Buyinja</v>
      </c>
      <c r="F1659" s="57">
        <v>1107</v>
      </c>
    </row>
    <row r="1660" spans="1:6">
      <c r="A1660" s="57" t="s">
        <v>1927</v>
      </c>
      <c r="B1660" s="57" t="s">
        <v>1924</v>
      </c>
      <c r="C1660" s="57" t="s">
        <v>1925</v>
      </c>
      <c r="D1660" s="57" t="str">
        <f t="shared" si="27"/>
        <v>Lolwe</v>
      </c>
      <c r="F1660" s="57">
        <v>1108</v>
      </c>
    </row>
    <row r="1661" spans="1:6">
      <c r="A1661" s="57" t="s">
        <v>1928</v>
      </c>
      <c r="B1661" s="57" t="s">
        <v>1924</v>
      </c>
      <c r="C1661" s="57" t="s">
        <v>1925</v>
      </c>
      <c r="D1661" s="57" t="str">
        <f t="shared" si="27"/>
        <v>Mutumba</v>
      </c>
      <c r="F1661" s="57">
        <v>1109</v>
      </c>
    </row>
    <row r="1662" spans="1:6">
      <c r="A1662" s="57" t="s">
        <v>1929</v>
      </c>
      <c r="B1662" s="57" t="s">
        <v>1924</v>
      </c>
      <c r="C1662" s="57" t="s">
        <v>1925</v>
      </c>
      <c r="D1662" s="57" t="str">
        <f t="shared" si="27"/>
        <v>Namayingo Town Council</v>
      </c>
      <c r="F1662" s="57">
        <v>1110</v>
      </c>
    </row>
    <row r="1663" spans="1:6">
      <c r="A1663" s="57" t="s">
        <v>1930</v>
      </c>
      <c r="B1663" s="57" t="s">
        <v>1924</v>
      </c>
      <c r="C1663" s="57" t="s">
        <v>1925</v>
      </c>
      <c r="D1663" s="57" t="str">
        <f t="shared" si="27"/>
        <v>Sigulu Island</v>
      </c>
      <c r="F1663" s="57">
        <v>1111</v>
      </c>
    </row>
    <row r="1664" spans="1:6">
      <c r="A1664" s="57" t="s">
        <v>1931</v>
      </c>
      <c r="B1664" s="57" t="s">
        <v>1924</v>
      </c>
      <c r="C1664" s="57" t="s">
        <v>1925</v>
      </c>
      <c r="D1664" s="57" t="str">
        <f t="shared" si="27"/>
        <v>Bubutu</v>
      </c>
      <c r="F1664" s="57">
        <v>1112</v>
      </c>
    </row>
    <row r="1665" spans="1:6">
      <c r="A1665" s="57" t="s">
        <v>1932</v>
      </c>
      <c r="B1665" s="57" t="s">
        <v>1924</v>
      </c>
      <c r="C1665" s="57" t="s">
        <v>1925</v>
      </c>
      <c r="D1665" s="57" t="str">
        <f t="shared" si="27"/>
        <v>Bukhabusi</v>
      </c>
      <c r="F1665" s="57">
        <v>1113</v>
      </c>
    </row>
    <row r="1666" spans="1:6">
      <c r="A1666" s="57" t="s">
        <v>1933</v>
      </c>
      <c r="B1666" s="57" t="s">
        <v>1924</v>
      </c>
      <c r="C1666" s="57" t="s">
        <v>1925</v>
      </c>
      <c r="D1666" s="57" t="str">
        <f t="shared" ref="D1666:D1729" si="28">A1666</f>
        <v>Bukhaweka</v>
      </c>
      <c r="F1666" s="57">
        <v>1114</v>
      </c>
    </row>
    <row r="1667" spans="1:6">
      <c r="A1667" s="57" t="s">
        <v>1934</v>
      </c>
      <c r="B1667" s="57" t="s">
        <v>1935</v>
      </c>
      <c r="C1667" s="57" t="s">
        <v>1935</v>
      </c>
      <c r="D1667" s="57" t="str">
        <f t="shared" si="28"/>
        <v>Bukiabi</v>
      </c>
      <c r="F1667" s="57">
        <v>1115</v>
      </c>
    </row>
    <row r="1668" spans="1:6">
      <c r="A1668" s="57" t="s">
        <v>1936</v>
      </c>
      <c r="B1668" s="57" t="s">
        <v>1935</v>
      </c>
      <c r="C1668" s="57" t="s">
        <v>1935</v>
      </c>
      <c r="D1668" s="57" t="str">
        <f t="shared" si="28"/>
        <v>Bukokho</v>
      </c>
      <c r="F1668" s="57">
        <v>1116</v>
      </c>
    </row>
    <row r="1669" spans="1:6">
      <c r="A1669" s="57" t="s">
        <v>1937</v>
      </c>
      <c r="B1669" s="57" t="s">
        <v>1935</v>
      </c>
      <c r="C1669" s="57" t="s">
        <v>1935</v>
      </c>
      <c r="D1669" s="57" t="str">
        <f t="shared" si="28"/>
        <v>Bumbo</v>
      </c>
      <c r="F1669" s="57">
        <v>1117</v>
      </c>
    </row>
    <row r="1670" spans="1:6">
      <c r="A1670" s="57" t="s">
        <v>1938</v>
      </c>
      <c r="B1670" s="57" t="s">
        <v>1935</v>
      </c>
      <c r="C1670" s="57" t="s">
        <v>1935</v>
      </c>
      <c r="D1670" s="57" t="str">
        <f t="shared" si="28"/>
        <v>Bumwoni</v>
      </c>
      <c r="F1670" s="57">
        <v>1118</v>
      </c>
    </row>
    <row r="1671" spans="1:6">
      <c r="A1671" s="57" t="s">
        <v>1939</v>
      </c>
      <c r="B1671" s="57" t="s">
        <v>1935</v>
      </c>
      <c r="C1671" s="57" t="s">
        <v>1935</v>
      </c>
      <c r="D1671" s="57" t="str">
        <f t="shared" si="28"/>
        <v>Bupoto</v>
      </c>
      <c r="F1671" s="57">
        <v>1119</v>
      </c>
    </row>
    <row r="1672" spans="1:6">
      <c r="A1672" s="57" t="s">
        <v>1940</v>
      </c>
      <c r="B1672" s="57" t="s">
        <v>1935</v>
      </c>
      <c r="C1672" s="57" t="s">
        <v>1935</v>
      </c>
      <c r="D1672" s="57" t="str">
        <f t="shared" si="28"/>
        <v>Buwabwala</v>
      </c>
      <c r="F1672" s="57">
        <v>1120</v>
      </c>
    </row>
    <row r="1673" spans="1:6">
      <c r="A1673" s="57" t="s">
        <v>1941</v>
      </c>
      <c r="B1673" s="57" t="s">
        <v>1935</v>
      </c>
      <c r="C1673" s="57" t="s">
        <v>1935</v>
      </c>
      <c r="D1673" s="57" t="str">
        <f t="shared" si="28"/>
        <v>Lwakhakha Town Council</v>
      </c>
      <c r="F1673" s="57">
        <v>1121</v>
      </c>
    </row>
    <row r="1674" spans="1:6">
      <c r="A1674" s="57" t="s">
        <v>1942</v>
      </c>
      <c r="B1674" s="57" t="s">
        <v>1935</v>
      </c>
      <c r="C1674" s="57" t="s">
        <v>1935</v>
      </c>
      <c r="D1674" s="57" t="str">
        <f t="shared" si="28"/>
        <v>Magale</v>
      </c>
      <c r="F1674" s="57">
        <v>1122</v>
      </c>
    </row>
    <row r="1675" spans="1:6">
      <c r="A1675" s="57" t="s">
        <v>1943</v>
      </c>
      <c r="B1675" s="57" t="s">
        <v>1935</v>
      </c>
      <c r="C1675" s="57" t="s">
        <v>1935</v>
      </c>
      <c r="D1675" s="57" t="str">
        <f t="shared" si="28"/>
        <v>Magale Town Council</v>
      </c>
      <c r="F1675" s="57">
        <v>1123</v>
      </c>
    </row>
    <row r="1676" spans="1:6">
      <c r="A1676" s="57" t="s">
        <v>1944</v>
      </c>
      <c r="B1676" s="57" t="s">
        <v>1935</v>
      </c>
      <c r="C1676" s="57" t="s">
        <v>1935</v>
      </c>
      <c r="D1676" s="57" t="str">
        <f t="shared" si="28"/>
        <v>Mukoto</v>
      </c>
      <c r="F1676" s="57">
        <v>1124</v>
      </c>
    </row>
    <row r="1677" spans="1:6">
      <c r="A1677" s="57" t="s">
        <v>1945</v>
      </c>
      <c r="B1677" s="57" t="s">
        <v>1935</v>
      </c>
      <c r="C1677" s="57" t="s">
        <v>1935</v>
      </c>
      <c r="D1677" s="57" t="str">
        <f t="shared" si="28"/>
        <v>Namabya</v>
      </c>
      <c r="F1677" s="57">
        <v>1125</v>
      </c>
    </row>
    <row r="1678" spans="1:6">
      <c r="A1678" s="57" t="s">
        <v>1946</v>
      </c>
      <c r="B1678" s="57" t="s">
        <v>1935</v>
      </c>
      <c r="C1678" s="57" t="s">
        <v>1935</v>
      </c>
      <c r="D1678" s="57" t="str">
        <f t="shared" si="28"/>
        <v>Namboko</v>
      </c>
      <c r="F1678" s="57">
        <v>1126</v>
      </c>
    </row>
    <row r="1679" spans="1:6">
      <c r="A1679" s="57" t="s">
        <v>1947</v>
      </c>
      <c r="B1679" s="57" t="s">
        <v>1935</v>
      </c>
      <c r="C1679" s="57" t="s">
        <v>1935</v>
      </c>
      <c r="D1679" s="57" t="str">
        <f t="shared" si="28"/>
        <v>Namisindwa Town Council</v>
      </c>
      <c r="F1679" s="57">
        <v>1127</v>
      </c>
    </row>
    <row r="1680" spans="1:6">
      <c r="A1680" s="57" t="s">
        <v>1948</v>
      </c>
      <c r="B1680" s="57" t="s">
        <v>1935</v>
      </c>
      <c r="C1680" s="57" t="s">
        <v>1935</v>
      </c>
      <c r="D1680" s="57" t="str">
        <f t="shared" si="28"/>
        <v>Tsekululu</v>
      </c>
      <c r="F1680" s="57">
        <v>1128</v>
      </c>
    </row>
    <row r="1681" spans="1:6">
      <c r="A1681" s="57" t="s">
        <v>1949</v>
      </c>
      <c r="B1681" s="57" t="s">
        <v>1935</v>
      </c>
      <c r="C1681" s="57" t="s">
        <v>1935</v>
      </c>
      <c r="D1681" s="57" t="str">
        <f t="shared" si="28"/>
        <v>Bulange</v>
      </c>
      <c r="F1681" s="57">
        <v>1129</v>
      </c>
    </row>
    <row r="1682" spans="1:6">
      <c r="A1682" s="57" t="s">
        <v>1950</v>
      </c>
      <c r="B1682" s="57" t="s">
        <v>1935</v>
      </c>
      <c r="C1682" s="57" t="s">
        <v>1935</v>
      </c>
      <c r="D1682" s="57" t="str">
        <f t="shared" si="28"/>
        <v>Ivukula</v>
      </c>
      <c r="F1682" s="57">
        <v>1130</v>
      </c>
    </row>
    <row r="1683" spans="1:6">
      <c r="A1683" s="57" t="s">
        <v>1290</v>
      </c>
      <c r="B1683" s="57" t="s">
        <v>1935</v>
      </c>
      <c r="C1683" s="57" t="s">
        <v>1935</v>
      </c>
      <c r="D1683" s="57" t="str">
        <f t="shared" si="28"/>
        <v>Kibaale</v>
      </c>
      <c r="F1683" s="57">
        <v>1131</v>
      </c>
    </row>
    <row r="1684" spans="1:6">
      <c r="A1684" s="57" t="s">
        <v>1951</v>
      </c>
      <c r="B1684" s="57" t="s">
        <v>1952</v>
      </c>
      <c r="C1684" s="57" t="s">
        <v>1953</v>
      </c>
      <c r="D1684" s="57" t="str">
        <f t="shared" si="28"/>
        <v>Magada</v>
      </c>
      <c r="F1684" s="57">
        <v>1132</v>
      </c>
    </row>
    <row r="1685" spans="1:6">
      <c r="A1685" s="57" t="s">
        <v>1954</v>
      </c>
      <c r="B1685" s="57" t="s">
        <v>1952</v>
      </c>
      <c r="C1685" s="57" t="s">
        <v>1953</v>
      </c>
      <c r="D1685" s="57" t="str">
        <f t="shared" si="28"/>
        <v>Nabweyo</v>
      </c>
      <c r="F1685" s="57">
        <v>1133</v>
      </c>
    </row>
    <row r="1686" spans="1:6">
      <c r="A1686" s="57" t="s">
        <v>1952</v>
      </c>
      <c r="B1686" s="57" t="s">
        <v>1952</v>
      </c>
      <c r="C1686" s="57" t="s">
        <v>1953</v>
      </c>
      <c r="D1686" s="57" t="str">
        <f t="shared" si="28"/>
        <v>Namutumba</v>
      </c>
      <c r="F1686" s="57">
        <v>1134</v>
      </c>
    </row>
    <row r="1687" spans="1:6">
      <c r="A1687" s="57" t="s">
        <v>1955</v>
      </c>
      <c r="B1687" s="57" t="s">
        <v>1952</v>
      </c>
      <c r="C1687" s="57" t="s">
        <v>1953</v>
      </c>
      <c r="D1687" s="57" t="str">
        <f t="shared" si="28"/>
        <v>Namutumba Town Council</v>
      </c>
      <c r="F1687" s="57">
        <v>1135</v>
      </c>
    </row>
    <row r="1688" spans="1:6">
      <c r="A1688" s="57" t="s">
        <v>1956</v>
      </c>
      <c r="B1688" s="57" t="s">
        <v>1952</v>
      </c>
      <c r="C1688" s="57" t="s">
        <v>1953</v>
      </c>
      <c r="D1688" s="57" t="str">
        <f t="shared" si="28"/>
        <v>Nangonde</v>
      </c>
      <c r="F1688" s="57">
        <v>1136</v>
      </c>
    </row>
    <row r="1689" spans="1:6">
      <c r="A1689" s="57" t="s">
        <v>1957</v>
      </c>
      <c r="B1689" s="57" t="s">
        <v>1952</v>
      </c>
      <c r="C1689" s="57" t="s">
        <v>1953</v>
      </c>
      <c r="D1689" s="57" t="str">
        <f t="shared" si="28"/>
        <v>Nsinze</v>
      </c>
      <c r="F1689" s="57">
        <v>1137</v>
      </c>
    </row>
    <row r="1690" spans="1:6">
      <c r="A1690" s="57" t="s">
        <v>1958</v>
      </c>
      <c r="B1690" s="57" t="s">
        <v>1952</v>
      </c>
      <c r="C1690" s="57" t="s">
        <v>1953</v>
      </c>
      <c r="D1690" s="57" t="str">
        <f t="shared" si="28"/>
        <v>Iriiri</v>
      </c>
      <c r="F1690" s="57">
        <v>1138</v>
      </c>
    </row>
    <row r="1691" spans="1:6">
      <c r="A1691" s="57" t="s">
        <v>1959</v>
      </c>
      <c r="B1691" s="57" t="s">
        <v>1952</v>
      </c>
      <c r="C1691" s="57" t="s">
        <v>1953</v>
      </c>
      <c r="D1691" s="57" t="str">
        <f t="shared" si="28"/>
        <v>Lokopo</v>
      </c>
      <c r="F1691" s="57">
        <v>1139</v>
      </c>
    </row>
    <row r="1692" spans="1:6">
      <c r="A1692" s="57" t="s">
        <v>1960</v>
      </c>
      <c r="B1692" s="57" t="s">
        <v>1952</v>
      </c>
      <c r="C1692" s="57" t="s">
        <v>1953</v>
      </c>
      <c r="D1692" s="57" t="str">
        <f t="shared" si="28"/>
        <v>Lopeei</v>
      </c>
      <c r="F1692" s="57">
        <v>1140</v>
      </c>
    </row>
    <row r="1693" spans="1:6">
      <c r="A1693" s="57" t="s">
        <v>1961</v>
      </c>
      <c r="B1693" s="57" t="s">
        <v>1962</v>
      </c>
      <c r="C1693" s="57" t="s">
        <v>1963</v>
      </c>
      <c r="D1693" s="57" t="str">
        <f t="shared" si="28"/>
        <v>Lorengecora</v>
      </c>
      <c r="F1693" s="57">
        <v>1141</v>
      </c>
    </row>
    <row r="1694" spans="1:6">
      <c r="A1694" s="57" t="s">
        <v>1964</v>
      </c>
      <c r="B1694" s="57" t="s">
        <v>1962</v>
      </c>
      <c r="C1694" s="57" t="s">
        <v>1963</v>
      </c>
      <c r="D1694" s="57" t="str">
        <f t="shared" si="28"/>
        <v>Lotome</v>
      </c>
      <c r="F1694" s="57">
        <v>1142</v>
      </c>
    </row>
    <row r="1695" spans="1:6">
      <c r="A1695" s="57" t="s">
        <v>1965</v>
      </c>
      <c r="B1695" s="57" t="s">
        <v>1962</v>
      </c>
      <c r="C1695" s="57" t="s">
        <v>1963</v>
      </c>
      <c r="D1695" s="57" t="str">
        <f t="shared" si="28"/>
        <v>Matany</v>
      </c>
      <c r="F1695" s="57">
        <v>1143</v>
      </c>
    </row>
    <row r="1696" spans="1:6">
      <c r="A1696" s="57" t="s">
        <v>1966</v>
      </c>
      <c r="B1696" s="57" t="s">
        <v>1962</v>
      </c>
      <c r="C1696" s="57" t="s">
        <v>1963</v>
      </c>
      <c r="D1696" s="57" t="str">
        <f t="shared" si="28"/>
        <v>Napak Town Council</v>
      </c>
      <c r="F1696" s="57">
        <v>1144</v>
      </c>
    </row>
    <row r="1697" spans="1:6">
      <c r="A1697" s="57" t="s">
        <v>1967</v>
      </c>
      <c r="B1697" s="57" t="s">
        <v>1962</v>
      </c>
      <c r="C1697" s="57" t="s">
        <v>1963</v>
      </c>
      <c r="D1697" s="57" t="str">
        <f t="shared" si="28"/>
        <v>Ngoleriet</v>
      </c>
      <c r="F1697" s="57">
        <v>1145</v>
      </c>
    </row>
    <row r="1698" spans="1:6">
      <c r="A1698" s="57" t="s">
        <v>1968</v>
      </c>
      <c r="B1698" s="57" t="s">
        <v>1962</v>
      </c>
      <c r="C1698" s="57" t="s">
        <v>1963</v>
      </c>
      <c r="D1698" s="57" t="str">
        <f t="shared" si="28"/>
        <v>Akworo</v>
      </c>
      <c r="F1698" s="57">
        <v>1146</v>
      </c>
    </row>
    <row r="1699" spans="1:6">
      <c r="A1699" s="57" t="s">
        <v>1969</v>
      </c>
      <c r="B1699" s="57" t="s">
        <v>1962</v>
      </c>
      <c r="C1699" s="57" t="s">
        <v>1963</v>
      </c>
      <c r="D1699" s="57" t="str">
        <f t="shared" si="28"/>
        <v>Atego</v>
      </c>
      <c r="F1699" s="57">
        <v>1147</v>
      </c>
    </row>
    <row r="1700" spans="1:6">
      <c r="A1700" s="57" t="s">
        <v>1970</v>
      </c>
      <c r="B1700" s="57" t="s">
        <v>1962</v>
      </c>
      <c r="C1700" s="57" t="s">
        <v>1963</v>
      </c>
      <c r="D1700" s="57" t="str">
        <f t="shared" si="28"/>
        <v>Erussi</v>
      </c>
      <c r="F1700" s="57">
        <v>1148</v>
      </c>
    </row>
    <row r="1701" spans="1:6">
      <c r="A1701" s="57" t="s">
        <v>1971</v>
      </c>
      <c r="B1701" s="57" t="s">
        <v>1972</v>
      </c>
      <c r="C1701" s="57" t="s">
        <v>1973</v>
      </c>
      <c r="D1701" s="57" t="str">
        <f t="shared" si="28"/>
        <v>Kucwiny</v>
      </c>
      <c r="F1701" s="57">
        <v>1149</v>
      </c>
    </row>
    <row r="1702" spans="1:6">
      <c r="A1702" s="57" t="s">
        <v>1974</v>
      </c>
      <c r="B1702" s="57" t="s">
        <v>1972</v>
      </c>
      <c r="C1702" s="57" t="s">
        <v>1973</v>
      </c>
      <c r="D1702" s="57" t="str">
        <f t="shared" si="28"/>
        <v>Ndhew</v>
      </c>
      <c r="F1702" s="57">
        <v>1150</v>
      </c>
    </row>
    <row r="1703" spans="1:6">
      <c r="A1703" s="57" t="s">
        <v>1972</v>
      </c>
      <c r="B1703" s="57" t="s">
        <v>1972</v>
      </c>
      <c r="C1703" s="57" t="s">
        <v>1973</v>
      </c>
      <c r="D1703" s="57" t="str">
        <f t="shared" si="28"/>
        <v>Nebbi</v>
      </c>
      <c r="F1703" s="57">
        <v>1151</v>
      </c>
    </row>
    <row r="1704" spans="1:6">
      <c r="A1704" s="57" t="s">
        <v>1975</v>
      </c>
      <c r="B1704" s="57" t="s">
        <v>1972</v>
      </c>
      <c r="C1704" s="57" t="s">
        <v>1973</v>
      </c>
      <c r="D1704" s="57" t="str">
        <f t="shared" si="28"/>
        <v>Nebbi Municipality</v>
      </c>
      <c r="F1704" s="57">
        <v>1152</v>
      </c>
    </row>
    <row r="1705" spans="1:6">
      <c r="A1705" s="57" t="s">
        <v>1976</v>
      </c>
      <c r="B1705" s="57" t="s">
        <v>1972</v>
      </c>
      <c r="C1705" s="57" t="s">
        <v>1973</v>
      </c>
      <c r="D1705" s="57" t="str">
        <f t="shared" si="28"/>
        <v>Nyaravur</v>
      </c>
      <c r="F1705" s="57">
        <v>1153</v>
      </c>
    </row>
    <row r="1706" spans="1:6">
      <c r="A1706" s="57" t="s">
        <v>1977</v>
      </c>
      <c r="B1706" s="57" t="s">
        <v>1972</v>
      </c>
      <c r="C1706" s="57" t="s">
        <v>1973</v>
      </c>
      <c r="D1706" s="57" t="str">
        <f t="shared" si="28"/>
        <v>Parombo</v>
      </c>
      <c r="F1706" s="57">
        <v>1154</v>
      </c>
    </row>
    <row r="1707" spans="1:6">
      <c r="A1707" s="57" t="s">
        <v>1978</v>
      </c>
      <c r="B1707" s="57" t="s">
        <v>1972</v>
      </c>
      <c r="C1707" s="57" t="s">
        <v>1975</v>
      </c>
      <c r="D1707" s="57" t="str">
        <f t="shared" si="28"/>
        <v>Kapir</v>
      </c>
      <c r="F1707" s="57">
        <v>1155</v>
      </c>
    </row>
    <row r="1708" spans="1:6">
      <c r="A1708" s="57" t="s">
        <v>1979</v>
      </c>
      <c r="B1708" s="57" t="s">
        <v>1972</v>
      </c>
      <c r="C1708" s="57" t="s">
        <v>1973</v>
      </c>
      <c r="D1708" s="57" t="str">
        <f t="shared" si="28"/>
        <v>Kobwin</v>
      </c>
      <c r="F1708" s="57">
        <v>1156</v>
      </c>
    </row>
    <row r="1709" spans="1:6">
      <c r="A1709" s="57" t="s">
        <v>1980</v>
      </c>
      <c r="B1709" s="57" t="s">
        <v>1972</v>
      </c>
      <c r="C1709" s="57" t="s">
        <v>1973</v>
      </c>
      <c r="D1709" s="57" t="str">
        <f t="shared" si="28"/>
        <v>Mukura</v>
      </c>
      <c r="F1709" s="57">
        <v>1157</v>
      </c>
    </row>
    <row r="1710" spans="1:6">
      <c r="A1710" s="57" t="s">
        <v>1981</v>
      </c>
      <c r="B1710" s="57" t="s">
        <v>1981</v>
      </c>
      <c r="C1710" s="57" t="s">
        <v>1981</v>
      </c>
      <c r="D1710" s="57" t="str">
        <f t="shared" si="28"/>
        <v>Ngora</v>
      </c>
      <c r="F1710" s="57">
        <v>1158</v>
      </c>
    </row>
    <row r="1711" spans="1:6">
      <c r="A1711" s="57" t="s">
        <v>1982</v>
      </c>
      <c r="B1711" s="57" t="s">
        <v>1981</v>
      </c>
      <c r="C1711" s="57" t="s">
        <v>1981</v>
      </c>
      <c r="D1711" s="57" t="str">
        <f t="shared" si="28"/>
        <v>Ngora Town Council</v>
      </c>
      <c r="F1711" s="57">
        <v>1159</v>
      </c>
    </row>
    <row r="1712" spans="1:6">
      <c r="A1712" s="57" t="s">
        <v>1983</v>
      </c>
      <c r="B1712" s="57" t="s">
        <v>1981</v>
      </c>
      <c r="C1712" s="57" t="s">
        <v>1981</v>
      </c>
      <c r="D1712" s="57" t="str">
        <f t="shared" si="28"/>
        <v>Butungama</v>
      </c>
      <c r="F1712" s="57">
        <v>1160</v>
      </c>
    </row>
    <row r="1713" spans="1:6">
      <c r="A1713" s="57" t="s">
        <v>1984</v>
      </c>
      <c r="B1713" s="57" t="s">
        <v>1981</v>
      </c>
      <c r="C1713" s="57" t="s">
        <v>1981</v>
      </c>
      <c r="D1713" s="57" t="str">
        <f t="shared" si="28"/>
        <v>Bweramule</v>
      </c>
      <c r="F1713" s="57">
        <v>1161</v>
      </c>
    </row>
    <row r="1714" spans="1:6">
      <c r="A1714" s="57" t="s">
        <v>1985</v>
      </c>
      <c r="B1714" s="57" t="s">
        <v>1981</v>
      </c>
      <c r="C1714" s="57" t="s">
        <v>1981</v>
      </c>
      <c r="D1714" s="57" t="str">
        <f t="shared" si="28"/>
        <v>Kanara Town Council</v>
      </c>
      <c r="F1714" s="57">
        <v>1162</v>
      </c>
    </row>
    <row r="1715" spans="1:6">
      <c r="A1715" s="57" t="s">
        <v>1986</v>
      </c>
      <c r="B1715" s="57" t="s">
        <v>1987</v>
      </c>
      <c r="C1715" s="57" t="s">
        <v>1987</v>
      </c>
      <c r="D1715" s="57" t="str">
        <f t="shared" si="28"/>
        <v>Kanara-Ntoroko</v>
      </c>
      <c r="F1715" s="57">
        <v>1163</v>
      </c>
    </row>
    <row r="1716" spans="1:6">
      <c r="A1716" s="57" t="s">
        <v>1988</v>
      </c>
      <c r="B1716" s="57" t="s">
        <v>1987</v>
      </c>
      <c r="C1716" s="57" t="s">
        <v>1987</v>
      </c>
      <c r="D1716" s="57" t="str">
        <f t="shared" si="28"/>
        <v>Karugutu</v>
      </c>
      <c r="F1716" s="57">
        <v>1164</v>
      </c>
    </row>
    <row r="1717" spans="1:6">
      <c r="A1717" s="57" t="s">
        <v>1989</v>
      </c>
      <c r="B1717" s="57" t="s">
        <v>1987</v>
      </c>
      <c r="C1717" s="57" t="s">
        <v>1987</v>
      </c>
      <c r="D1717" s="57" t="str">
        <f t="shared" si="28"/>
        <v>Karugutu Town Council</v>
      </c>
      <c r="F1717" s="57">
        <v>1165</v>
      </c>
    </row>
    <row r="1718" spans="1:6">
      <c r="A1718" s="57" t="s">
        <v>1990</v>
      </c>
      <c r="B1718" s="57" t="s">
        <v>1987</v>
      </c>
      <c r="C1718" s="57" t="s">
        <v>1987</v>
      </c>
      <c r="D1718" s="57" t="str">
        <f t="shared" si="28"/>
        <v>Kibuuku Town Council</v>
      </c>
      <c r="F1718" s="57">
        <v>1166</v>
      </c>
    </row>
    <row r="1719" spans="1:6">
      <c r="A1719" s="57" t="s">
        <v>1991</v>
      </c>
      <c r="B1719" s="57" t="s">
        <v>1987</v>
      </c>
      <c r="C1719" s="57" t="s">
        <v>1987</v>
      </c>
      <c r="D1719" s="57" t="str">
        <f t="shared" si="28"/>
        <v>Nombe</v>
      </c>
      <c r="F1719" s="57">
        <v>1167</v>
      </c>
    </row>
    <row r="1720" spans="1:6">
      <c r="A1720" s="57" t="s">
        <v>1992</v>
      </c>
      <c r="B1720" s="57" t="s">
        <v>1987</v>
      </c>
      <c r="C1720" s="57" t="s">
        <v>1987</v>
      </c>
      <c r="D1720" s="57" t="str">
        <f t="shared" si="28"/>
        <v>Rwebisengo</v>
      </c>
      <c r="F1720" s="57">
        <v>1168</v>
      </c>
    </row>
    <row r="1721" spans="1:6">
      <c r="A1721" s="57" t="s">
        <v>1993</v>
      </c>
      <c r="B1721" s="57" t="s">
        <v>1987</v>
      </c>
      <c r="C1721" s="57" t="s">
        <v>1987</v>
      </c>
      <c r="D1721" s="57" t="str">
        <f t="shared" si="28"/>
        <v>Rwebisengo Town Council</v>
      </c>
      <c r="F1721" s="57">
        <v>1169</v>
      </c>
    </row>
    <row r="1722" spans="1:6">
      <c r="A1722" s="57" t="s">
        <v>1994</v>
      </c>
      <c r="B1722" s="57" t="s">
        <v>1987</v>
      </c>
      <c r="C1722" s="57" t="s">
        <v>1987</v>
      </c>
      <c r="D1722" s="57" t="str">
        <f t="shared" si="28"/>
        <v>Bwongyera</v>
      </c>
      <c r="F1722" s="57">
        <v>1170</v>
      </c>
    </row>
    <row r="1723" spans="1:6">
      <c r="A1723" s="57" t="s">
        <v>1995</v>
      </c>
      <c r="B1723" s="57" t="s">
        <v>1987</v>
      </c>
      <c r="C1723" s="57" t="s">
        <v>1987</v>
      </c>
      <c r="D1723" s="57" t="str">
        <f t="shared" si="28"/>
        <v>Ihunga</v>
      </c>
      <c r="F1723" s="57">
        <v>1171</v>
      </c>
    </row>
    <row r="1724" spans="1:6">
      <c r="A1724" s="57" t="s">
        <v>1996</v>
      </c>
      <c r="B1724" s="57" t="s">
        <v>1987</v>
      </c>
      <c r="C1724" s="57" t="s">
        <v>1987</v>
      </c>
      <c r="D1724" s="57" t="str">
        <f t="shared" si="28"/>
        <v>Itojo</v>
      </c>
      <c r="F1724" s="57">
        <v>1172</v>
      </c>
    </row>
    <row r="1725" spans="1:6">
      <c r="A1725" s="57" t="s">
        <v>1997</v>
      </c>
      <c r="B1725" s="57" t="s">
        <v>46</v>
      </c>
      <c r="C1725" s="57" t="s">
        <v>1998</v>
      </c>
      <c r="D1725" s="57" t="str">
        <f t="shared" si="28"/>
        <v>Kagarama Town Council</v>
      </c>
      <c r="F1725" s="57">
        <v>1173</v>
      </c>
    </row>
    <row r="1726" spans="1:6">
      <c r="A1726" s="57" t="s">
        <v>1999</v>
      </c>
      <c r="B1726" s="57" t="s">
        <v>46</v>
      </c>
      <c r="C1726" s="57" t="s">
        <v>1998</v>
      </c>
      <c r="D1726" s="57" t="str">
        <f t="shared" si="28"/>
        <v>Kayonza-Ntungamo</v>
      </c>
      <c r="F1726" s="57">
        <v>1174</v>
      </c>
    </row>
    <row r="1727" spans="1:6">
      <c r="A1727" s="57" t="s">
        <v>2000</v>
      </c>
      <c r="B1727" s="57" t="s">
        <v>46</v>
      </c>
      <c r="C1727" s="57" t="s">
        <v>2001</v>
      </c>
      <c r="D1727" s="57" t="str">
        <f t="shared" si="28"/>
        <v>Kibatsi</v>
      </c>
      <c r="F1727" s="57">
        <v>1175</v>
      </c>
    </row>
    <row r="1728" spans="1:6">
      <c r="A1728" s="57" t="s">
        <v>2002</v>
      </c>
      <c r="B1728" s="57" t="s">
        <v>46</v>
      </c>
      <c r="C1728" s="57" t="s">
        <v>1998</v>
      </c>
      <c r="D1728" s="57" t="str">
        <f t="shared" si="28"/>
        <v>Kitwe Town Council</v>
      </c>
      <c r="F1728" s="57">
        <v>1176</v>
      </c>
    </row>
    <row r="1729" spans="1:6">
      <c r="A1729" s="57" t="s">
        <v>2003</v>
      </c>
      <c r="B1729" s="57" t="s">
        <v>46</v>
      </c>
      <c r="C1729" s="57" t="s">
        <v>2004</v>
      </c>
      <c r="D1729" s="57" t="str">
        <f t="shared" si="28"/>
        <v>Ngoma-Ntungamo</v>
      </c>
      <c r="F1729" s="57">
        <v>1177</v>
      </c>
    </row>
    <row r="1730" spans="1:6">
      <c r="A1730" s="57" t="s">
        <v>46</v>
      </c>
      <c r="B1730" s="57" t="s">
        <v>46</v>
      </c>
      <c r="C1730" s="57" t="s">
        <v>1998</v>
      </c>
      <c r="D1730" s="57" t="str">
        <f t="shared" ref="D1730:D1793" si="29">A1730</f>
        <v>Ntungamo</v>
      </c>
      <c r="F1730" s="57">
        <v>1178</v>
      </c>
    </row>
    <row r="1731" spans="1:6">
      <c r="A1731" s="57" t="s">
        <v>2005</v>
      </c>
      <c r="B1731" s="57" t="s">
        <v>46</v>
      </c>
      <c r="C1731" s="57" t="s">
        <v>2001</v>
      </c>
      <c r="D1731" s="57" t="str">
        <f t="shared" si="29"/>
        <v>Ntungamo Municipality</v>
      </c>
      <c r="F1731" s="57">
        <v>1179</v>
      </c>
    </row>
    <row r="1732" spans="1:6">
      <c r="A1732" s="57" t="s">
        <v>2006</v>
      </c>
      <c r="B1732" s="57" t="s">
        <v>46</v>
      </c>
      <c r="C1732" s="57" t="s">
        <v>2004</v>
      </c>
      <c r="D1732" s="57" t="str">
        <f t="shared" si="29"/>
        <v>Nyabihoko</v>
      </c>
      <c r="F1732" s="57">
        <v>1180</v>
      </c>
    </row>
    <row r="1733" spans="1:6">
      <c r="A1733" s="57" t="s">
        <v>2007</v>
      </c>
      <c r="B1733" s="57" t="s">
        <v>46</v>
      </c>
      <c r="C1733" s="57" t="s">
        <v>2001</v>
      </c>
      <c r="D1733" s="57" t="str">
        <f t="shared" si="29"/>
        <v>Nyakyera</v>
      </c>
      <c r="F1733" s="57">
        <v>1181</v>
      </c>
    </row>
    <row r="1734" spans="1:6">
      <c r="A1734" s="57" t="s">
        <v>56</v>
      </c>
      <c r="B1734" s="57" t="s">
        <v>46</v>
      </c>
      <c r="C1734" s="57" t="s">
        <v>2005</v>
      </c>
      <c r="D1734" s="57" t="str">
        <f t="shared" si="29"/>
        <v>Rubaare</v>
      </c>
      <c r="F1734" s="57">
        <v>1182</v>
      </c>
    </row>
    <row r="1735" spans="1:6">
      <c r="A1735" s="57" t="s">
        <v>2008</v>
      </c>
      <c r="B1735" s="57" t="s">
        <v>46</v>
      </c>
      <c r="C1735" s="57" t="s">
        <v>1998</v>
      </c>
      <c r="D1735" s="57" t="str">
        <f t="shared" si="29"/>
        <v>Rubaare Town Council</v>
      </c>
      <c r="F1735" s="57">
        <v>1183</v>
      </c>
    </row>
    <row r="1736" spans="1:6">
      <c r="A1736" s="57" t="s">
        <v>2009</v>
      </c>
      <c r="B1736" s="57" t="s">
        <v>46</v>
      </c>
      <c r="C1736" s="57" t="s">
        <v>2001</v>
      </c>
      <c r="D1736" s="57" t="str">
        <f t="shared" si="29"/>
        <v>Rugarama-Ntungamo</v>
      </c>
      <c r="F1736" s="57">
        <v>1184</v>
      </c>
    </row>
    <row r="1737" spans="1:6">
      <c r="A1737" s="57" t="s">
        <v>2001</v>
      </c>
      <c r="B1737" s="57" t="s">
        <v>46</v>
      </c>
      <c r="C1737" s="57" t="s">
        <v>2004</v>
      </c>
      <c r="D1737" s="57" t="str">
        <f t="shared" si="29"/>
        <v>Ruhaama</v>
      </c>
      <c r="F1737" s="57">
        <v>1185</v>
      </c>
    </row>
    <row r="1738" spans="1:6">
      <c r="A1738" s="57" t="s">
        <v>2010</v>
      </c>
      <c r="B1738" s="57" t="s">
        <v>46</v>
      </c>
      <c r="C1738" s="57" t="s">
        <v>2004</v>
      </c>
      <c r="D1738" s="57" t="str">
        <f t="shared" si="29"/>
        <v>Rukoni East</v>
      </c>
      <c r="F1738" s="57">
        <v>1186</v>
      </c>
    </row>
    <row r="1739" spans="1:6">
      <c r="A1739" s="57" t="s">
        <v>2011</v>
      </c>
      <c r="B1739" s="57" t="s">
        <v>46</v>
      </c>
      <c r="C1739" s="57" t="s">
        <v>2004</v>
      </c>
      <c r="D1739" s="57" t="str">
        <f t="shared" si="29"/>
        <v>Rukoni West</v>
      </c>
      <c r="F1739" s="57">
        <v>1187</v>
      </c>
    </row>
    <row r="1740" spans="1:6">
      <c r="A1740" s="57" t="s">
        <v>2012</v>
      </c>
      <c r="B1740" s="57" t="s">
        <v>46</v>
      </c>
      <c r="C1740" s="57" t="s">
        <v>2001</v>
      </c>
      <c r="D1740" s="57" t="str">
        <f t="shared" si="29"/>
        <v>Rwashamaire Town Council</v>
      </c>
      <c r="F1740" s="57">
        <v>1188</v>
      </c>
    </row>
    <row r="1741" spans="1:6">
      <c r="A1741" s="57" t="s">
        <v>2013</v>
      </c>
      <c r="B1741" s="57" t="s">
        <v>46</v>
      </c>
      <c r="C1741" s="57" t="s">
        <v>2001</v>
      </c>
      <c r="D1741" s="57" t="str">
        <f t="shared" si="29"/>
        <v>Rweikiniro</v>
      </c>
      <c r="F1741" s="57">
        <v>1189</v>
      </c>
    </row>
    <row r="1742" spans="1:6">
      <c r="A1742" s="57" t="s">
        <v>2014</v>
      </c>
      <c r="B1742" s="57" t="s">
        <v>46</v>
      </c>
      <c r="C1742" s="57" t="s">
        <v>2001</v>
      </c>
      <c r="D1742" s="57" t="str">
        <f t="shared" si="29"/>
        <v>Alero</v>
      </c>
      <c r="F1742" s="57">
        <v>1190</v>
      </c>
    </row>
    <row r="1743" spans="1:6">
      <c r="A1743" s="57" t="s">
        <v>2015</v>
      </c>
      <c r="B1743" s="57" t="s">
        <v>46</v>
      </c>
      <c r="C1743" s="57" t="s">
        <v>1998</v>
      </c>
      <c r="D1743" s="57" t="str">
        <f t="shared" si="29"/>
        <v>Anaka Payira</v>
      </c>
      <c r="F1743" s="57">
        <v>1191</v>
      </c>
    </row>
    <row r="1744" spans="1:6">
      <c r="A1744" s="57" t="s">
        <v>2016</v>
      </c>
      <c r="B1744" s="57" t="s">
        <v>46</v>
      </c>
      <c r="C1744" s="57" t="s">
        <v>2001</v>
      </c>
      <c r="D1744" s="57" t="str">
        <f t="shared" si="29"/>
        <v>Anaka Town Council</v>
      </c>
      <c r="F1744" s="57">
        <v>1192</v>
      </c>
    </row>
    <row r="1745" spans="1:6">
      <c r="A1745" s="57" t="s">
        <v>2017</v>
      </c>
      <c r="B1745" s="57" t="s">
        <v>2018</v>
      </c>
      <c r="C1745" s="57" t="s">
        <v>2018</v>
      </c>
      <c r="D1745" s="57" t="str">
        <f t="shared" si="29"/>
        <v>Koch-Goma</v>
      </c>
      <c r="F1745" s="57">
        <v>1193</v>
      </c>
    </row>
    <row r="1746" spans="1:6">
      <c r="A1746" s="57" t="s">
        <v>2019</v>
      </c>
      <c r="B1746" s="57" t="s">
        <v>2018</v>
      </c>
      <c r="C1746" s="57" t="s">
        <v>2018</v>
      </c>
      <c r="D1746" s="57" t="str">
        <f t="shared" si="29"/>
        <v>Purongo</v>
      </c>
      <c r="F1746" s="57">
        <v>1194</v>
      </c>
    </row>
    <row r="1747" spans="1:6">
      <c r="A1747" s="57" t="s">
        <v>2020</v>
      </c>
      <c r="B1747" s="57" t="s">
        <v>2018</v>
      </c>
      <c r="C1747" s="57" t="s">
        <v>2018</v>
      </c>
      <c r="D1747" s="57" t="str">
        <f t="shared" si="29"/>
        <v>Bobi</v>
      </c>
      <c r="F1747" s="57">
        <v>1195</v>
      </c>
    </row>
    <row r="1748" spans="1:6">
      <c r="A1748" s="57" t="s">
        <v>2021</v>
      </c>
      <c r="B1748" s="57" t="s">
        <v>2018</v>
      </c>
      <c r="C1748" s="57" t="s">
        <v>2018</v>
      </c>
      <c r="D1748" s="57" t="str">
        <f t="shared" si="29"/>
        <v>Koro</v>
      </c>
      <c r="F1748" s="57">
        <v>1196</v>
      </c>
    </row>
    <row r="1749" spans="1:6">
      <c r="A1749" s="57" t="s">
        <v>2022</v>
      </c>
      <c r="B1749" s="57" t="s">
        <v>2018</v>
      </c>
      <c r="C1749" s="57" t="s">
        <v>2018</v>
      </c>
      <c r="D1749" s="57" t="str">
        <f t="shared" si="29"/>
        <v>Lakwana</v>
      </c>
      <c r="F1749" s="57">
        <v>1197</v>
      </c>
    </row>
    <row r="1750" spans="1:6">
      <c r="A1750" s="57" t="s">
        <v>2023</v>
      </c>
      <c r="B1750" s="57" t="s">
        <v>237</v>
      </c>
      <c r="C1750" s="57" t="s">
        <v>237</v>
      </c>
      <c r="D1750" s="57" t="str">
        <f t="shared" si="29"/>
        <v>Lalogi</v>
      </c>
      <c r="F1750" s="57">
        <v>1198</v>
      </c>
    </row>
    <row r="1751" spans="1:6">
      <c r="A1751" s="57" t="s">
        <v>2024</v>
      </c>
      <c r="B1751" s="57" t="s">
        <v>237</v>
      </c>
      <c r="C1751" s="57" t="s">
        <v>237</v>
      </c>
      <c r="D1751" s="57" t="str">
        <f t="shared" si="29"/>
        <v>Odek</v>
      </c>
      <c r="F1751" s="57">
        <v>1199</v>
      </c>
    </row>
    <row r="1752" spans="1:6">
      <c r="A1752" s="57" t="s">
        <v>2025</v>
      </c>
      <c r="B1752" s="57" t="s">
        <v>237</v>
      </c>
      <c r="C1752" s="57" t="s">
        <v>237</v>
      </c>
      <c r="D1752" s="57" t="str">
        <f t="shared" si="29"/>
        <v>Omoro Town Council</v>
      </c>
      <c r="F1752" s="57">
        <v>1200</v>
      </c>
    </row>
    <row r="1753" spans="1:6">
      <c r="A1753" s="57" t="s">
        <v>2026</v>
      </c>
      <c r="B1753" s="57" t="s">
        <v>237</v>
      </c>
      <c r="C1753" s="57" t="s">
        <v>237</v>
      </c>
      <c r="D1753" s="57" t="str">
        <f t="shared" si="29"/>
        <v>Ongako</v>
      </c>
      <c r="F1753" s="57">
        <v>1201</v>
      </c>
    </row>
    <row r="1754" spans="1:6">
      <c r="A1754" s="57" t="s">
        <v>2027</v>
      </c>
      <c r="B1754" s="57" t="s">
        <v>237</v>
      </c>
      <c r="C1754" s="57" t="s">
        <v>237</v>
      </c>
      <c r="D1754" s="57" t="str">
        <f t="shared" si="29"/>
        <v>Adwari</v>
      </c>
      <c r="F1754" s="57">
        <v>1202</v>
      </c>
    </row>
    <row r="1755" spans="1:6">
      <c r="A1755" s="57" t="s">
        <v>2028</v>
      </c>
      <c r="B1755" s="57" t="s">
        <v>237</v>
      </c>
      <c r="C1755" s="57" t="s">
        <v>237</v>
      </c>
      <c r="D1755" s="57" t="str">
        <f t="shared" si="29"/>
        <v>Alango</v>
      </c>
      <c r="F1755" s="57">
        <v>1203</v>
      </c>
    </row>
    <row r="1756" spans="1:6">
      <c r="A1756" s="57" t="s">
        <v>2029</v>
      </c>
      <c r="B1756" s="57" t="s">
        <v>237</v>
      </c>
      <c r="C1756" s="57" t="s">
        <v>237</v>
      </c>
      <c r="D1756" s="57" t="str">
        <f t="shared" si="29"/>
        <v>Ogor</v>
      </c>
      <c r="F1756" s="57">
        <v>1204</v>
      </c>
    </row>
    <row r="1757" spans="1:6">
      <c r="A1757" s="57" t="s">
        <v>2030</v>
      </c>
      <c r="B1757" s="57" t="s">
        <v>2031</v>
      </c>
      <c r="C1757" s="57" t="s">
        <v>2031</v>
      </c>
      <c r="D1757" s="57" t="str">
        <f t="shared" si="29"/>
        <v>Ogwette</v>
      </c>
      <c r="F1757" s="57">
        <v>1205</v>
      </c>
    </row>
    <row r="1758" spans="1:6">
      <c r="A1758" s="57" t="s">
        <v>2032</v>
      </c>
      <c r="B1758" s="57" t="s">
        <v>2031</v>
      </c>
      <c r="C1758" s="57" t="s">
        <v>2031</v>
      </c>
      <c r="D1758" s="57" t="str">
        <f t="shared" si="29"/>
        <v>Okwang</v>
      </c>
      <c r="F1758" s="57">
        <v>1206</v>
      </c>
    </row>
    <row r="1759" spans="1:6">
      <c r="A1759" s="57" t="s">
        <v>2033</v>
      </c>
      <c r="B1759" s="57" t="s">
        <v>2031</v>
      </c>
      <c r="C1759" s="57" t="s">
        <v>2031</v>
      </c>
      <c r="D1759" s="57" t="str">
        <f t="shared" si="29"/>
        <v>Olilim</v>
      </c>
      <c r="F1759" s="57">
        <v>1207</v>
      </c>
    </row>
    <row r="1760" spans="1:6">
      <c r="A1760" s="57" t="s">
        <v>2034</v>
      </c>
      <c r="B1760" s="57" t="s">
        <v>2031</v>
      </c>
      <c r="C1760" s="57" t="s">
        <v>2031</v>
      </c>
      <c r="D1760" s="57" t="str">
        <f t="shared" si="29"/>
        <v>Orum</v>
      </c>
      <c r="F1760" s="57">
        <v>1208</v>
      </c>
    </row>
    <row r="1761" spans="1:6">
      <c r="A1761" s="57" t="s">
        <v>2035</v>
      </c>
      <c r="B1761" s="57" t="s">
        <v>2031</v>
      </c>
      <c r="C1761" s="57" t="s">
        <v>2031</v>
      </c>
      <c r="D1761" s="57" t="str">
        <f t="shared" si="29"/>
        <v>Otuke Town Council</v>
      </c>
      <c r="F1761" s="57">
        <v>1209</v>
      </c>
    </row>
    <row r="1762" spans="1:6">
      <c r="A1762" s="57" t="s">
        <v>2036</v>
      </c>
      <c r="B1762" s="57" t="s">
        <v>2031</v>
      </c>
      <c r="C1762" s="57" t="s">
        <v>2031</v>
      </c>
      <c r="D1762" s="57" t="str">
        <f t="shared" si="29"/>
        <v>Aber</v>
      </c>
      <c r="F1762" s="57">
        <v>1210</v>
      </c>
    </row>
    <row r="1763" spans="1:6">
      <c r="A1763" s="57" t="s">
        <v>2037</v>
      </c>
      <c r="B1763" s="57" t="s">
        <v>2031</v>
      </c>
      <c r="C1763" s="57" t="s">
        <v>2031</v>
      </c>
      <c r="D1763" s="57" t="str">
        <f t="shared" si="29"/>
        <v>Abok</v>
      </c>
      <c r="F1763" s="57">
        <v>1211</v>
      </c>
    </row>
    <row r="1764" spans="1:6">
      <c r="A1764" s="57" t="s">
        <v>2038</v>
      </c>
      <c r="B1764" s="57" t="s">
        <v>2031</v>
      </c>
      <c r="C1764" s="57" t="s">
        <v>2031</v>
      </c>
      <c r="D1764" s="57" t="str">
        <f t="shared" si="29"/>
        <v>Acaba</v>
      </c>
      <c r="F1764" s="57">
        <v>1212</v>
      </c>
    </row>
    <row r="1765" spans="1:6">
      <c r="A1765" s="57" t="s">
        <v>2039</v>
      </c>
      <c r="B1765" s="57" t="s">
        <v>2040</v>
      </c>
      <c r="C1765" s="57" t="s">
        <v>2040</v>
      </c>
      <c r="D1765" s="57" t="str">
        <f t="shared" si="29"/>
        <v>Aleka</v>
      </c>
      <c r="F1765" s="57">
        <v>1213</v>
      </c>
    </row>
    <row r="1766" spans="1:6">
      <c r="A1766" s="57" t="s">
        <v>2041</v>
      </c>
      <c r="B1766" s="57" t="s">
        <v>2040</v>
      </c>
      <c r="C1766" s="57" t="s">
        <v>2040</v>
      </c>
      <c r="D1766" s="57" t="str">
        <f t="shared" si="29"/>
        <v>Iceme</v>
      </c>
      <c r="F1766" s="57">
        <v>1214</v>
      </c>
    </row>
    <row r="1767" spans="1:6">
      <c r="A1767" s="57" t="s">
        <v>2042</v>
      </c>
      <c r="B1767" s="57" t="s">
        <v>2040</v>
      </c>
      <c r="C1767" s="57" t="s">
        <v>2040</v>
      </c>
      <c r="D1767" s="57" t="str">
        <f t="shared" si="29"/>
        <v>Kamdini</v>
      </c>
      <c r="F1767" s="57">
        <v>1215</v>
      </c>
    </row>
    <row r="1768" spans="1:6">
      <c r="A1768" s="57" t="s">
        <v>2043</v>
      </c>
      <c r="B1768" s="57" t="s">
        <v>2040</v>
      </c>
      <c r="C1768" s="57" t="s">
        <v>2040</v>
      </c>
      <c r="D1768" s="57" t="str">
        <f t="shared" si="29"/>
        <v>Loro</v>
      </c>
      <c r="F1768" s="57">
        <v>1216</v>
      </c>
    </row>
    <row r="1769" spans="1:6">
      <c r="A1769" s="57" t="s">
        <v>2044</v>
      </c>
      <c r="B1769" s="57" t="s">
        <v>2040</v>
      </c>
      <c r="C1769" s="57" t="s">
        <v>2040</v>
      </c>
      <c r="D1769" s="57" t="str">
        <f t="shared" si="29"/>
        <v>Minakulu</v>
      </c>
      <c r="F1769" s="57">
        <v>1217</v>
      </c>
    </row>
    <row r="1770" spans="1:6">
      <c r="A1770" s="57" t="s">
        <v>2045</v>
      </c>
      <c r="B1770" s="57" t="s">
        <v>2040</v>
      </c>
      <c r="C1770" s="57" t="s">
        <v>2040</v>
      </c>
      <c r="D1770" s="57" t="str">
        <f t="shared" si="29"/>
        <v>Myene</v>
      </c>
      <c r="F1770" s="57">
        <v>1218</v>
      </c>
    </row>
    <row r="1771" spans="1:6">
      <c r="A1771" s="57" t="s">
        <v>2046</v>
      </c>
      <c r="B1771" s="57" t="s">
        <v>2040</v>
      </c>
      <c r="C1771" s="57" t="s">
        <v>2040</v>
      </c>
      <c r="D1771" s="57" t="str">
        <f t="shared" si="29"/>
        <v>Ngai</v>
      </c>
      <c r="F1771" s="57">
        <v>1219</v>
      </c>
    </row>
    <row r="1772" spans="1:6">
      <c r="A1772" s="57" t="s">
        <v>2047</v>
      </c>
      <c r="B1772" s="57" t="s">
        <v>2040</v>
      </c>
      <c r="C1772" s="57" t="s">
        <v>2040</v>
      </c>
      <c r="D1772" s="57" t="str">
        <f t="shared" si="29"/>
        <v>Otwal</v>
      </c>
      <c r="F1772" s="57">
        <v>1220</v>
      </c>
    </row>
    <row r="1773" spans="1:6">
      <c r="A1773" s="57" t="s">
        <v>2048</v>
      </c>
      <c r="B1773" s="57" t="s">
        <v>2040</v>
      </c>
      <c r="C1773" s="57" t="s">
        <v>2040</v>
      </c>
      <c r="D1773" s="57" t="str">
        <f t="shared" si="29"/>
        <v>Oyam Town Council</v>
      </c>
      <c r="F1773" s="57">
        <v>1221</v>
      </c>
    </row>
    <row r="1774" spans="1:6">
      <c r="A1774" s="57" t="s">
        <v>2049</v>
      </c>
      <c r="B1774" s="57" t="s">
        <v>2040</v>
      </c>
      <c r="C1774" s="57" t="s">
        <v>2040</v>
      </c>
      <c r="D1774" s="57" t="str">
        <f t="shared" si="29"/>
        <v>Acholibur</v>
      </c>
      <c r="F1774" s="57">
        <v>1222</v>
      </c>
    </row>
    <row r="1775" spans="1:6">
      <c r="A1775" s="57" t="s">
        <v>2050</v>
      </c>
      <c r="B1775" s="57" t="s">
        <v>2040</v>
      </c>
      <c r="C1775" s="57" t="s">
        <v>2040</v>
      </c>
      <c r="D1775" s="57" t="str">
        <f t="shared" si="29"/>
        <v>Angagura</v>
      </c>
      <c r="F1775" s="57">
        <v>1223</v>
      </c>
    </row>
    <row r="1776" spans="1:6">
      <c r="A1776" s="57" t="s">
        <v>2051</v>
      </c>
      <c r="B1776" s="57" t="s">
        <v>2040</v>
      </c>
      <c r="C1776" s="57" t="s">
        <v>2040</v>
      </c>
      <c r="D1776" s="57" t="str">
        <f t="shared" si="29"/>
        <v>Atanga</v>
      </c>
      <c r="F1776" s="57">
        <v>1224</v>
      </c>
    </row>
    <row r="1777" spans="1:6">
      <c r="A1777" s="57" t="s">
        <v>2052</v>
      </c>
      <c r="B1777" s="57" t="s">
        <v>2053</v>
      </c>
      <c r="C1777" s="57" t="s">
        <v>2054</v>
      </c>
      <c r="D1777" s="57" t="str">
        <f t="shared" si="29"/>
        <v>Awere</v>
      </c>
      <c r="F1777" s="57">
        <v>1225</v>
      </c>
    </row>
    <row r="1778" spans="1:6">
      <c r="A1778" s="57" t="s">
        <v>2055</v>
      </c>
      <c r="B1778" s="57" t="s">
        <v>2053</v>
      </c>
      <c r="C1778" s="57" t="s">
        <v>2054</v>
      </c>
      <c r="D1778" s="57" t="str">
        <f t="shared" si="29"/>
        <v>Laguti</v>
      </c>
      <c r="F1778" s="57">
        <v>1226</v>
      </c>
    </row>
    <row r="1779" spans="1:6">
      <c r="A1779" s="57" t="s">
        <v>2056</v>
      </c>
      <c r="B1779" s="57" t="s">
        <v>2053</v>
      </c>
      <c r="C1779" s="57" t="s">
        <v>2054</v>
      </c>
      <c r="D1779" s="57" t="str">
        <f t="shared" si="29"/>
        <v>Lapul</v>
      </c>
      <c r="F1779" s="57">
        <v>1227</v>
      </c>
    </row>
    <row r="1780" spans="1:6">
      <c r="A1780" s="57" t="s">
        <v>2057</v>
      </c>
      <c r="B1780" s="57" t="s">
        <v>2053</v>
      </c>
      <c r="C1780" s="57" t="s">
        <v>2054</v>
      </c>
      <c r="D1780" s="57" t="str">
        <f t="shared" si="29"/>
        <v>Latanya</v>
      </c>
      <c r="F1780" s="57">
        <v>1228</v>
      </c>
    </row>
    <row r="1781" spans="1:6">
      <c r="A1781" s="57" t="s">
        <v>2058</v>
      </c>
      <c r="B1781" s="57" t="s">
        <v>2053</v>
      </c>
      <c r="C1781" s="57" t="s">
        <v>2054</v>
      </c>
      <c r="D1781" s="57" t="str">
        <f t="shared" si="29"/>
        <v>Ogom</v>
      </c>
      <c r="F1781" s="57">
        <v>1229</v>
      </c>
    </row>
    <row r="1782" spans="1:6">
      <c r="A1782" s="57" t="s">
        <v>2053</v>
      </c>
      <c r="B1782" s="57" t="s">
        <v>2053</v>
      </c>
      <c r="C1782" s="57" t="s">
        <v>2054</v>
      </c>
      <c r="D1782" s="57" t="str">
        <f t="shared" si="29"/>
        <v>Pader</v>
      </c>
      <c r="F1782" s="57">
        <v>1230</v>
      </c>
    </row>
    <row r="1783" spans="1:6">
      <c r="A1783" s="57" t="s">
        <v>2059</v>
      </c>
      <c r="B1783" s="57" t="s">
        <v>2053</v>
      </c>
      <c r="C1783" s="57" t="s">
        <v>2054</v>
      </c>
      <c r="D1783" s="57" t="str">
        <f t="shared" si="29"/>
        <v>Pader Town Council</v>
      </c>
      <c r="F1783" s="57">
        <v>1231</v>
      </c>
    </row>
    <row r="1784" spans="1:6">
      <c r="A1784" s="57" t="s">
        <v>2060</v>
      </c>
      <c r="B1784" s="57" t="s">
        <v>2053</v>
      </c>
      <c r="C1784" s="57" t="s">
        <v>2054</v>
      </c>
      <c r="D1784" s="57" t="str">
        <f t="shared" si="29"/>
        <v>Pajule</v>
      </c>
      <c r="F1784" s="57">
        <v>1232</v>
      </c>
    </row>
    <row r="1785" spans="1:6">
      <c r="A1785" s="57" t="s">
        <v>2061</v>
      </c>
      <c r="B1785" s="57" t="s">
        <v>2053</v>
      </c>
      <c r="C1785" s="57" t="s">
        <v>2054</v>
      </c>
      <c r="D1785" s="57" t="str">
        <f t="shared" si="29"/>
        <v>Puranga</v>
      </c>
      <c r="F1785" s="57">
        <v>1233</v>
      </c>
    </row>
    <row r="1786" spans="1:6">
      <c r="A1786" s="57" t="s">
        <v>2062</v>
      </c>
      <c r="B1786" s="57" t="s">
        <v>2053</v>
      </c>
      <c r="C1786" s="57" t="s">
        <v>2054</v>
      </c>
      <c r="D1786" s="57" t="str">
        <f t="shared" si="29"/>
        <v>Alwi</v>
      </c>
      <c r="F1786" s="57">
        <v>1234</v>
      </c>
    </row>
    <row r="1787" spans="1:6">
      <c r="A1787" s="57" t="s">
        <v>2063</v>
      </c>
      <c r="B1787" s="57" t="s">
        <v>2053</v>
      </c>
      <c r="C1787" s="57" t="s">
        <v>2054</v>
      </c>
      <c r="D1787" s="57" t="str">
        <f t="shared" si="29"/>
        <v>Pakwach</v>
      </c>
      <c r="F1787" s="57">
        <v>1235</v>
      </c>
    </row>
    <row r="1788" spans="1:6">
      <c r="A1788" s="57" t="s">
        <v>2064</v>
      </c>
      <c r="B1788" s="57" t="s">
        <v>2053</v>
      </c>
      <c r="C1788" s="57" t="s">
        <v>2054</v>
      </c>
      <c r="D1788" s="57" t="str">
        <f t="shared" si="29"/>
        <v>Pakwach Town Council</v>
      </c>
      <c r="F1788" s="57">
        <v>1236</v>
      </c>
    </row>
    <row r="1789" spans="1:6">
      <c r="A1789" s="57" t="s">
        <v>2065</v>
      </c>
      <c r="B1789" s="57" t="s">
        <v>2063</v>
      </c>
      <c r="C1789" s="57" t="s">
        <v>2066</v>
      </c>
      <c r="D1789" s="57" t="str">
        <f t="shared" si="29"/>
        <v>Panyango</v>
      </c>
      <c r="F1789" s="57">
        <v>1237</v>
      </c>
    </row>
    <row r="1790" spans="1:6">
      <c r="A1790" s="57" t="s">
        <v>2067</v>
      </c>
      <c r="B1790" s="57" t="s">
        <v>2063</v>
      </c>
      <c r="C1790" s="57" t="s">
        <v>2066</v>
      </c>
      <c r="D1790" s="57" t="str">
        <f t="shared" si="29"/>
        <v>Panyimur</v>
      </c>
      <c r="F1790" s="57">
        <v>1238</v>
      </c>
    </row>
    <row r="1791" spans="1:6">
      <c r="A1791" s="57" t="s">
        <v>2068</v>
      </c>
      <c r="B1791" s="57" t="s">
        <v>2063</v>
      </c>
      <c r="C1791" s="57" t="s">
        <v>2066</v>
      </c>
      <c r="D1791" s="57" t="str">
        <f t="shared" si="29"/>
        <v>Wadelai</v>
      </c>
      <c r="F1791" s="57">
        <v>1239</v>
      </c>
    </row>
    <row r="1792" spans="1:6">
      <c r="A1792" s="57" t="s">
        <v>2069</v>
      </c>
      <c r="B1792" s="57" t="s">
        <v>2063</v>
      </c>
      <c r="C1792" s="57" t="s">
        <v>2066</v>
      </c>
      <c r="D1792" s="57" t="str">
        <f t="shared" si="29"/>
        <v>Agule</v>
      </c>
      <c r="F1792" s="57">
        <v>1240</v>
      </c>
    </row>
    <row r="1793" spans="1:6">
      <c r="A1793" s="57" t="s">
        <v>2070</v>
      </c>
      <c r="B1793" s="57" t="s">
        <v>2063</v>
      </c>
      <c r="C1793" s="57" t="s">
        <v>2066</v>
      </c>
      <c r="D1793" s="57" t="str">
        <f t="shared" si="29"/>
        <v>Akisim</v>
      </c>
      <c r="F1793" s="57">
        <v>1241</v>
      </c>
    </row>
    <row r="1794" spans="1:6">
      <c r="A1794" s="57" t="s">
        <v>2071</v>
      </c>
      <c r="B1794" s="57" t="s">
        <v>2063</v>
      </c>
      <c r="C1794" s="57" t="s">
        <v>2066</v>
      </c>
      <c r="D1794" s="57" t="str">
        <f t="shared" ref="D1794:D1857" si="30">A1794</f>
        <v>Apopong</v>
      </c>
      <c r="F1794" s="57">
        <v>1242</v>
      </c>
    </row>
    <row r="1795" spans="1:6">
      <c r="A1795" s="57" t="s">
        <v>2072</v>
      </c>
      <c r="B1795" s="57" t="s">
        <v>2073</v>
      </c>
      <c r="C1795" s="57" t="s">
        <v>2069</v>
      </c>
      <c r="D1795" s="57" t="str">
        <f t="shared" si="30"/>
        <v>Chelekura</v>
      </c>
      <c r="F1795" s="57">
        <v>1243</v>
      </c>
    </row>
    <row r="1796" spans="1:6">
      <c r="A1796" s="57" t="s">
        <v>2074</v>
      </c>
      <c r="B1796" s="57" t="s">
        <v>2073</v>
      </c>
      <c r="C1796" s="57" t="s">
        <v>2069</v>
      </c>
      <c r="D1796" s="57" t="str">
        <f t="shared" si="30"/>
        <v>Gogonyo</v>
      </c>
      <c r="F1796" s="57">
        <v>1244</v>
      </c>
    </row>
    <row r="1797" spans="1:6">
      <c r="A1797" s="57" t="s">
        <v>2075</v>
      </c>
      <c r="B1797" s="57" t="s">
        <v>2073</v>
      </c>
      <c r="C1797" s="57" t="s">
        <v>2069</v>
      </c>
      <c r="D1797" s="57" t="str">
        <f t="shared" si="30"/>
        <v>Kameke</v>
      </c>
      <c r="F1797" s="57">
        <v>1245</v>
      </c>
    </row>
    <row r="1798" spans="1:6">
      <c r="A1798" s="57" t="s">
        <v>2076</v>
      </c>
      <c r="B1798" s="57" t="s">
        <v>2073</v>
      </c>
      <c r="C1798" s="57" t="s">
        <v>2069</v>
      </c>
      <c r="D1798" s="57" t="str">
        <f t="shared" si="30"/>
        <v>Kamuge</v>
      </c>
      <c r="F1798" s="57">
        <v>1246</v>
      </c>
    </row>
    <row r="1799" spans="1:6">
      <c r="A1799" s="57" t="s">
        <v>2077</v>
      </c>
      <c r="B1799" s="57" t="s">
        <v>2073</v>
      </c>
      <c r="C1799" s="57" t="s">
        <v>2069</v>
      </c>
      <c r="D1799" s="57" t="str">
        <f t="shared" si="30"/>
        <v>Kasodo</v>
      </c>
      <c r="F1799" s="57">
        <v>1247</v>
      </c>
    </row>
    <row r="1800" spans="1:6">
      <c r="A1800" s="57" t="s">
        <v>2078</v>
      </c>
      <c r="B1800" s="57" t="s">
        <v>2073</v>
      </c>
      <c r="C1800" s="57" t="s">
        <v>2069</v>
      </c>
      <c r="D1800" s="57" t="str">
        <f t="shared" si="30"/>
        <v>Olok</v>
      </c>
      <c r="F1800" s="57">
        <v>1248</v>
      </c>
    </row>
    <row r="1801" spans="1:6">
      <c r="A1801" s="57" t="s">
        <v>2073</v>
      </c>
      <c r="B1801" s="57" t="s">
        <v>2073</v>
      </c>
      <c r="C1801" s="57" t="s">
        <v>2073</v>
      </c>
      <c r="D1801" s="57" t="str">
        <f t="shared" si="30"/>
        <v>Pallisa</v>
      </c>
      <c r="F1801" s="57">
        <v>1249</v>
      </c>
    </row>
    <row r="1802" spans="1:6">
      <c r="A1802" s="57" t="s">
        <v>2079</v>
      </c>
      <c r="B1802" s="57" t="s">
        <v>2073</v>
      </c>
      <c r="C1802" s="57" t="s">
        <v>2073</v>
      </c>
      <c r="D1802" s="57" t="str">
        <f t="shared" si="30"/>
        <v>Pallisa Town Council</v>
      </c>
      <c r="F1802" s="57">
        <v>1250</v>
      </c>
    </row>
    <row r="1803" spans="1:6">
      <c r="A1803" s="57" t="s">
        <v>2080</v>
      </c>
      <c r="B1803" s="57" t="s">
        <v>2073</v>
      </c>
      <c r="C1803" s="57" t="s">
        <v>2073</v>
      </c>
      <c r="D1803" s="57" t="str">
        <f t="shared" si="30"/>
        <v>Puti-Puti</v>
      </c>
      <c r="F1803" s="57">
        <v>1251</v>
      </c>
    </row>
    <row r="1804" spans="1:6">
      <c r="A1804" s="57" t="s">
        <v>2081</v>
      </c>
      <c r="B1804" s="57" t="s">
        <v>2073</v>
      </c>
      <c r="C1804" s="57" t="s">
        <v>2073</v>
      </c>
      <c r="D1804" s="57" t="str">
        <f t="shared" si="30"/>
        <v>Byakabanda</v>
      </c>
      <c r="F1804" s="57">
        <v>1252</v>
      </c>
    </row>
    <row r="1805" spans="1:6">
      <c r="A1805" s="57" t="s">
        <v>2082</v>
      </c>
      <c r="B1805" s="57" t="s">
        <v>2073</v>
      </c>
      <c r="C1805" s="57" t="s">
        <v>2073</v>
      </c>
      <c r="D1805" s="57" t="str">
        <f t="shared" si="30"/>
        <v>Ddwaniro-Rakai</v>
      </c>
      <c r="F1805" s="57">
        <v>1253</v>
      </c>
    </row>
    <row r="1806" spans="1:6">
      <c r="A1806" s="57" t="s">
        <v>2083</v>
      </c>
      <c r="B1806" s="57" t="s">
        <v>2073</v>
      </c>
      <c r="C1806" s="57" t="s">
        <v>2073</v>
      </c>
      <c r="D1806" s="57" t="str">
        <f t="shared" si="30"/>
        <v>Kacheera</v>
      </c>
      <c r="F1806" s="57">
        <v>1254</v>
      </c>
    </row>
    <row r="1807" spans="1:6">
      <c r="A1807" s="57" t="s">
        <v>2084</v>
      </c>
      <c r="B1807" s="57" t="s">
        <v>2085</v>
      </c>
      <c r="C1807" s="57" t="s">
        <v>1507</v>
      </c>
      <c r="D1807" s="57" t="str">
        <f t="shared" si="30"/>
        <v>Kagamba</v>
      </c>
      <c r="F1807" s="57">
        <v>1255</v>
      </c>
    </row>
    <row r="1808" spans="1:6">
      <c r="A1808" s="57" t="s">
        <v>2086</v>
      </c>
      <c r="B1808" s="57" t="s">
        <v>2085</v>
      </c>
      <c r="C1808" s="57" t="s">
        <v>1507</v>
      </c>
      <c r="D1808" s="57" t="str">
        <f t="shared" si="30"/>
        <v>Kakuuto</v>
      </c>
      <c r="F1808" s="57">
        <v>1256</v>
      </c>
    </row>
    <row r="1809" spans="1:6">
      <c r="A1809" s="57" t="s">
        <v>2087</v>
      </c>
      <c r="B1809" s="57" t="s">
        <v>2085</v>
      </c>
      <c r="C1809" s="57" t="s">
        <v>1507</v>
      </c>
      <c r="D1809" s="57" t="str">
        <f t="shared" si="30"/>
        <v>Kifamba</v>
      </c>
      <c r="F1809" s="57">
        <v>1257</v>
      </c>
    </row>
    <row r="1810" spans="1:6">
      <c r="A1810" s="57" t="s">
        <v>2088</v>
      </c>
      <c r="B1810" s="57" t="s">
        <v>2085</v>
      </c>
      <c r="C1810" s="57" t="s">
        <v>1507</v>
      </c>
      <c r="D1810" s="57" t="str">
        <f t="shared" si="30"/>
        <v>Kiziba</v>
      </c>
      <c r="F1810" s="57">
        <v>1258</v>
      </c>
    </row>
    <row r="1811" spans="1:6">
      <c r="A1811" s="57" t="s">
        <v>2089</v>
      </c>
      <c r="B1811" s="57" t="s">
        <v>2085</v>
      </c>
      <c r="C1811" s="57" t="s">
        <v>2086</v>
      </c>
      <c r="D1811" s="57" t="str">
        <f t="shared" si="30"/>
        <v>Kyalulangira</v>
      </c>
      <c r="F1811" s="57">
        <v>1259</v>
      </c>
    </row>
    <row r="1812" spans="1:6">
      <c r="A1812" s="57" t="s">
        <v>2090</v>
      </c>
      <c r="B1812" s="57" t="s">
        <v>2085</v>
      </c>
      <c r="C1812" s="57" t="s">
        <v>2086</v>
      </c>
      <c r="D1812" s="57" t="str">
        <f t="shared" si="30"/>
        <v>Lwamaggwa</v>
      </c>
      <c r="F1812" s="57">
        <v>1260</v>
      </c>
    </row>
    <row r="1813" spans="1:6">
      <c r="A1813" s="57" t="s">
        <v>2091</v>
      </c>
      <c r="D1813" s="57" t="str">
        <f t="shared" si="30"/>
        <v>Lwanda</v>
      </c>
      <c r="F1813" s="57">
        <v>1261</v>
      </c>
    </row>
    <row r="1814" spans="1:6">
      <c r="A1814" s="57" t="s">
        <v>1502</v>
      </c>
      <c r="D1814" s="57" t="str">
        <f t="shared" si="30"/>
        <v>KABUWOKO</v>
      </c>
      <c r="F1814" s="57">
        <v>1261</v>
      </c>
    </row>
    <row r="1815" spans="1:6" ht="20.25" customHeight="1">
      <c r="A1815" s="57" t="s">
        <v>2092</v>
      </c>
      <c r="B1815" s="57" t="s">
        <v>2085</v>
      </c>
      <c r="C1815" s="57" t="s">
        <v>1507</v>
      </c>
      <c r="D1815" s="57" t="str">
        <f t="shared" si="30"/>
        <v>BUYAMBA</v>
      </c>
      <c r="F1815" s="57">
        <v>1261</v>
      </c>
    </row>
    <row r="1816" spans="1:6">
      <c r="A1816" s="57" t="s">
        <v>2093</v>
      </c>
      <c r="D1816" s="57" t="str">
        <f t="shared" si="30"/>
        <v>RAKAI</v>
      </c>
      <c r="F1816" s="57">
        <v>1261</v>
      </c>
    </row>
    <row r="1817" spans="1:6">
      <c r="A1817" s="57" t="s">
        <v>2094</v>
      </c>
      <c r="D1817" s="57" t="str">
        <f t="shared" si="30"/>
        <v>DWANIRO</v>
      </c>
      <c r="F1817" s="57">
        <v>1261</v>
      </c>
    </row>
    <row r="1818" spans="1:6">
      <c r="D1818" s="57">
        <f t="shared" si="30"/>
        <v>0</v>
      </c>
      <c r="F1818" s="57">
        <v>1261</v>
      </c>
    </row>
    <row r="1819" spans="1:6">
      <c r="B1819" s="57" t="s">
        <v>2085</v>
      </c>
      <c r="C1819" s="57" t="s">
        <v>1507</v>
      </c>
      <c r="D1819" s="57">
        <f t="shared" si="30"/>
        <v>0</v>
      </c>
      <c r="F1819" s="57">
        <v>1262</v>
      </c>
    </row>
    <row r="1820" spans="1:6">
      <c r="A1820" s="57" t="s">
        <v>2095</v>
      </c>
      <c r="B1820" s="57" t="s">
        <v>2085</v>
      </c>
      <c r="C1820" s="57" t="s">
        <v>1507</v>
      </c>
      <c r="D1820" s="57" t="str">
        <f t="shared" si="30"/>
        <v>KASAMBYA</v>
      </c>
      <c r="F1820" s="57">
        <v>1263</v>
      </c>
    </row>
    <row r="1821" spans="1:6">
      <c r="A1821" s="57" t="s">
        <v>2096</v>
      </c>
      <c r="D1821" s="57" t="str">
        <f t="shared" si="30"/>
        <v>KOOKI</v>
      </c>
      <c r="F1821" s="57">
        <v>1263</v>
      </c>
    </row>
    <row r="1822" spans="1:6">
      <c r="A1822" s="57" t="s">
        <v>2097</v>
      </c>
      <c r="D1822" s="57" t="str">
        <f t="shared" si="30"/>
        <v>MANYA</v>
      </c>
      <c r="F1822" s="57">
        <v>1264</v>
      </c>
    </row>
    <row r="1823" spans="1:6">
      <c r="A1823" s="57" t="s">
        <v>2098</v>
      </c>
      <c r="B1823" s="57" t="s">
        <v>2085</v>
      </c>
      <c r="C1823" s="57" t="s">
        <v>1507</v>
      </c>
      <c r="D1823" s="57" t="str">
        <f t="shared" si="30"/>
        <v>SANJE</v>
      </c>
      <c r="F1823" s="57">
        <v>1264</v>
      </c>
    </row>
    <row r="1824" spans="1:6">
      <c r="A1824" s="57" t="s">
        <v>2099</v>
      </c>
      <c r="D1824" s="57" t="str">
        <f t="shared" si="30"/>
        <v>Rakai Town Council</v>
      </c>
      <c r="F1824" s="57">
        <v>1265</v>
      </c>
    </row>
    <row r="1825" spans="1:6">
      <c r="A1825" s="57" t="s">
        <v>2100</v>
      </c>
      <c r="D1825" s="57" t="str">
        <f t="shared" si="30"/>
        <v>Bubaare-Rubanda</v>
      </c>
      <c r="F1825" s="57">
        <v>1265</v>
      </c>
    </row>
    <row r="1826" spans="1:6">
      <c r="A1826" s="57" t="s">
        <v>2101</v>
      </c>
      <c r="D1826" s="57" t="str">
        <f t="shared" si="30"/>
        <v>RUBANDA</v>
      </c>
      <c r="F1826" s="57">
        <v>1265</v>
      </c>
    </row>
    <row r="1827" spans="1:6">
      <c r="A1827" s="57" t="s">
        <v>2102</v>
      </c>
      <c r="D1827" s="57" t="str">
        <f t="shared" si="30"/>
        <v>Bufundi</v>
      </c>
      <c r="F1827" s="57">
        <v>1265</v>
      </c>
    </row>
    <row r="1828" spans="1:6">
      <c r="A1828" s="57" t="s">
        <v>2103</v>
      </c>
      <c r="B1828" s="57" t="s">
        <v>2085</v>
      </c>
      <c r="C1828" s="57" t="s">
        <v>1507</v>
      </c>
      <c r="D1828" s="57" t="str">
        <f t="shared" si="30"/>
        <v>Hamurwa</v>
      </c>
      <c r="F1828" s="57">
        <v>1265</v>
      </c>
    </row>
    <row r="1829" spans="1:6">
      <c r="A1829" s="57" t="s">
        <v>2104</v>
      </c>
      <c r="B1829" s="57" t="s">
        <v>2105</v>
      </c>
      <c r="C1829" s="57" t="s">
        <v>2105</v>
      </c>
      <c r="D1829" s="57" t="str">
        <f t="shared" si="30"/>
        <v>Hamurwa Town Council</v>
      </c>
      <c r="F1829" s="57">
        <v>1266</v>
      </c>
    </row>
    <row r="1830" spans="1:6">
      <c r="A1830" s="57" t="s">
        <v>2106</v>
      </c>
      <c r="B1830" s="57" t="s">
        <v>2105</v>
      </c>
      <c r="C1830" s="57" t="s">
        <v>2105</v>
      </c>
      <c r="D1830" s="57" t="str">
        <f t="shared" si="30"/>
        <v>Ikumba</v>
      </c>
      <c r="F1830" s="57">
        <v>1267</v>
      </c>
    </row>
    <row r="1831" spans="1:6">
      <c r="A1831" s="57" t="s">
        <v>2107</v>
      </c>
      <c r="B1831" s="57" t="s">
        <v>2105</v>
      </c>
      <c r="C1831" s="57" t="s">
        <v>2105</v>
      </c>
      <c r="D1831" s="57" t="str">
        <f t="shared" si="30"/>
        <v>Muko</v>
      </c>
      <c r="F1831" s="57">
        <v>1268</v>
      </c>
    </row>
    <row r="1832" spans="1:6">
      <c r="A1832" s="57" t="s">
        <v>2108</v>
      </c>
      <c r="B1832" s="57" t="s">
        <v>2105</v>
      </c>
      <c r="C1832" s="57" t="s">
        <v>2105</v>
      </c>
      <c r="D1832" s="57" t="str">
        <f t="shared" si="30"/>
        <v>Nyamweru</v>
      </c>
      <c r="F1832" s="57">
        <v>1269</v>
      </c>
    </row>
    <row r="1833" spans="1:6">
      <c r="A1833" s="57" t="s">
        <v>2109</v>
      </c>
      <c r="B1833" s="57" t="s">
        <v>2105</v>
      </c>
      <c r="C1833" s="57" t="s">
        <v>2105</v>
      </c>
      <c r="D1833" s="57" t="str">
        <f t="shared" si="30"/>
        <v>Rubanda Town Council</v>
      </c>
      <c r="F1833" s="57">
        <v>1270</v>
      </c>
    </row>
    <row r="1834" spans="1:6">
      <c r="A1834" s="57" t="s">
        <v>2110</v>
      </c>
      <c r="B1834" s="57" t="s">
        <v>2105</v>
      </c>
      <c r="C1834" s="57" t="s">
        <v>2105</v>
      </c>
      <c r="D1834" s="57" t="str">
        <f t="shared" si="30"/>
        <v>Ruhija</v>
      </c>
      <c r="F1834" s="57">
        <v>1271</v>
      </c>
    </row>
    <row r="1835" spans="1:6">
      <c r="A1835" s="57" t="s">
        <v>2111</v>
      </c>
      <c r="B1835" s="57" t="s">
        <v>2105</v>
      </c>
      <c r="C1835" s="57" t="s">
        <v>2105</v>
      </c>
      <c r="D1835" s="57" t="str">
        <f t="shared" si="30"/>
        <v>Katanda</v>
      </c>
      <c r="F1835" s="57">
        <v>1272</v>
      </c>
    </row>
    <row r="1836" spans="1:6">
      <c r="A1836" s="57" t="s">
        <v>2112</v>
      </c>
      <c r="B1836" s="57" t="s">
        <v>2105</v>
      </c>
      <c r="C1836" s="57" t="s">
        <v>2105</v>
      </c>
      <c r="D1836" s="57" t="str">
        <f t="shared" si="30"/>
        <v>Katerera</v>
      </c>
      <c r="F1836" s="57">
        <v>1273</v>
      </c>
    </row>
    <row r="1837" spans="1:6">
      <c r="A1837" s="57" t="s">
        <v>2113</v>
      </c>
      <c r="B1837" s="57" t="s">
        <v>2105</v>
      </c>
      <c r="C1837" s="57" t="s">
        <v>2105</v>
      </c>
      <c r="D1837" s="57" t="str">
        <f t="shared" si="30"/>
        <v>Katerera Town Council</v>
      </c>
      <c r="F1837" s="57">
        <v>1274</v>
      </c>
    </row>
    <row r="1838" spans="1:6">
      <c r="A1838" s="57" t="s">
        <v>2114</v>
      </c>
      <c r="B1838" s="57" t="s">
        <v>2115</v>
      </c>
      <c r="C1838" s="57" t="s">
        <v>2112</v>
      </c>
      <c r="D1838" s="57" t="str">
        <f t="shared" si="30"/>
        <v>Katunguru</v>
      </c>
      <c r="F1838" s="57">
        <v>1275</v>
      </c>
    </row>
    <row r="1839" spans="1:6">
      <c r="A1839" s="57" t="s">
        <v>51</v>
      </c>
      <c r="B1839" s="57" t="s">
        <v>2115</v>
      </c>
      <c r="C1839" s="57" t="s">
        <v>2112</v>
      </c>
      <c r="D1839" s="57" t="str">
        <f t="shared" si="30"/>
        <v>Kichwamba</v>
      </c>
      <c r="F1839" s="57">
        <v>1276</v>
      </c>
    </row>
    <row r="1840" spans="1:6">
      <c r="A1840" s="57" t="s">
        <v>2116</v>
      </c>
      <c r="B1840" s="57" t="s">
        <v>2115</v>
      </c>
      <c r="C1840" s="57" t="s">
        <v>2112</v>
      </c>
      <c r="D1840" s="57" t="str">
        <f t="shared" si="30"/>
        <v>Kirugu</v>
      </c>
      <c r="F1840" s="57">
        <v>1277</v>
      </c>
    </row>
    <row r="1841" spans="1:6">
      <c r="A1841" s="57" t="s">
        <v>2117</v>
      </c>
      <c r="B1841" s="57" t="s">
        <v>2115</v>
      </c>
      <c r="C1841" s="57" t="s">
        <v>48</v>
      </c>
      <c r="D1841" s="57" t="str">
        <f t="shared" si="30"/>
        <v>Kyabakara</v>
      </c>
      <c r="F1841" s="57">
        <v>1278</v>
      </c>
    </row>
    <row r="1842" spans="1:6">
      <c r="A1842" s="57" t="s">
        <v>2118</v>
      </c>
      <c r="B1842" s="57" t="s">
        <v>2115</v>
      </c>
      <c r="C1842" s="57" t="s">
        <v>48</v>
      </c>
      <c r="D1842" s="57" t="str">
        <f t="shared" si="30"/>
        <v>Magambo</v>
      </c>
      <c r="F1842" s="57">
        <v>1279</v>
      </c>
    </row>
    <row r="1843" spans="1:6">
      <c r="A1843" s="57" t="s">
        <v>2119</v>
      </c>
      <c r="B1843" s="57" t="s">
        <v>2115</v>
      </c>
      <c r="C1843" s="57" t="s">
        <v>2112</v>
      </c>
      <c r="D1843" s="57" t="str">
        <f t="shared" si="30"/>
        <v>Rubiriziri Town Council</v>
      </c>
      <c r="F1843" s="57">
        <v>1280</v>
      </c>
    </row>
    <row r="1844" spans="1:6">
      <c r="A1844" s="57" t="s">
        <v>2120</v>
      </c>
      <c r="B1844" s="57" t="s">
        <v>2115</v>
      </c>
      <c r="C1844" s="57" t="s">
        <v>2112</v>
      </c>
      <c r="D1844" s="57" t="str">
        <f t="shared" si="30"/>
        <v>Rutoto</v>
      </c>
      <c r="F1844" s="57">
        <v>1281</v>
      </c>
    </row>
    <row r="1845" spans="1:6">
      <c r="A1845" s="57" t="s">
        <v>2121</v>
      </c>
      <c r="B1845" s="57" t="s">
        <v>2115</v>
      </c>
      <c r="C1845" s="57" t="s">
        <v>48</v>
      </c>
      <c r="D1845" s="57" t="str">
        <f t="shared" si="30"/>
        <v>Ryeru</v>
      </c>
      <c r="F1845" s="57">
        <v>1282</v>
      </c>
    </row>
    <row r="1846" spans="1:6">
      <c r="A1846" s="57" t="s">
        <v>2122</v>
      </c>
      <c r="B1846" s="57" t="s">
        <v>2115</v>
      </c>
      <c r="C1846" s="57" t="s">
        <v>48</v>
      </c>
      <c r="D1846" s="57" t="str">
        <f t="shared" si="30"/>
        <v>Bukinda</v>
      </c>
      <c r="F1846" s="57">
        <v>1283</v>
      </c>
    </row>
    <row r="1847" spans="1:6">
      <c r="A1847" s="57" t="s">
        <v>2123</v>
      </c>
      <c r="B1847" s="57" t="s">
        <v>2115</v>
      </c>
      <c r="C1847" s="57" t="s">
        <v>48</v>
      </c>
      <c r="D1847" s="57" t="str">
        <f t="shared" si="30"/>
        <v>Kamwezi</v>
      </c>
      <c r="F1847" s="57">
        <v>1284</v>
      </c>
    </row>
    <row r="1848" spans="1:6">
      <c r="A1848" s="57" t="s">
        <v>2124</v>
      </c>
      <c r="B1848" s="57" t="s">
        <v>2115</v>
      </c>
      <c r="C1848" s="57" t="s">
        <v>48</v>
      </c>
      <c r="D1848" s="57" t="str">
        <f t="shared" si="30"/>
        <v>Kashambya</v>
      </c>
      <c r="F1848" s="57">
        <v>1285</v>
      </c>
    </row>
    <row r="1849" spans="1:6">
      <c r="A1849" s="57" t="s">
        <v>2125</v>
      </c>
      <c r="B1849" s="57" t="s">
        <v>2126</v>
      </c>
      <c r="C1849" s="57" t="s">
        <v>2126</v>
      </c>
      <c r="D1849" s="57" t="str">
        <f t="shared" si="30"/>
        <v>Mparo Town Council</v>
      </c>
      <c r="F1849" s="57">
        <v>1286</v>
      </c>
    </row>
    <row r="1850" spans="1:6">
      <c r="A1850" s="57" t="s">
        <v>2127</v>
      </c>
      <c r="B1850" s="57" t="s">
        <v>2126</v>
      </c>
      <c r="C1850" s="57" t="s">
        <v>2126</v>
      </c>
      <c r="D1850" s="57" t="str">
        <f t="shared" si="30"/>
        <v>Muhanga Town Council</v>
      </c>
      <c r="F1850" s="57">
        <v>1287</v>
      </c>
    </row>
    <row r="1851" spans="1:6">
      <c r="A1851" s="57" t="s">
        <v>2128</v>
      </c>
      <c r="B1851" s="57" t="s">
        <v>2126</v>
      </c>
      <c r="C1851" s="57" t="s">
        <v>2126</v>
      </c>
      <c r="D1851" s="57" t="str">
        <f t="shared" si="30"/>
        <v>Rwamucucu</v>
      </c>
      <c r="F1851" s="57">
        <v>1288</v>
      </c>
    </row>
    <row r="1852" spans="1:6">
      <c r="A1852" s="57" t="s">
        <v>2129</v>
      </c>
      <c r="B1852" s="57" t="s">
        <v>2126</v>
      </c>
      <c r="C1852" s="57" t="s">
        <v>2126</v>
      </c>
      <c r="D1852" s="57" t="str">
        <f t="shared" si="30"/>
        <v>Bugangari</v>
      </c>
      <c r="F1852" s="57">
        <v>1289</v>
      </c>
    </row>
    <row r="1853" spans="1:6">
      <c r="A1853" s="57" t="s">
        <v>2130</v>
      </c>
      <c r="B1853" s="57" t="s">
        <v>2126</v>
      </c>
      <c r="C1853" s="57" t="s">
        <v>2126</v>
      </c>
      <c r="D1853" s="57" t="str">
        <f t="shared" si="30"/>
        <v>Buhunga</v>
      </c>
      <c r="F1853" s="57">
        <v>1290</v>
      </c>
    </row>
    <row r="1854" spans="1:6">
      <c r="A1854" s="57" t="s">
        <v>1291</v>
      </c>
      <c r="B1854" s="57" t="s">
        <v>2126</v>
      </c>
      <c r="C1854" s="57" t="s">
        <v>2126</v>
      </c>
      <c r="D1854" s="57" t="str">
        <f t="shared" si="30"/>
        <v>Buyanja</v>
      </c>
      <c r="F1854" s="57">
        <v>1291</v>
      </c>
    </row>
    <row r="1855" spans="1:6">
      <c r="A1855" s="57" t="s">
        <v>2131</v>
      </c>
      <c r="B1855" s="57" t="s">
        <v>40</v>
      </c>
      <c r="C1855" s="57" t="s">
        <v>2132</v>
      </c>
      <c r="D1855" s="57" t="str">
        <f t="shared" si="30"/>
        <v>Buyanja Town Council</v>
      </c>
      <c r="F1855" s="57">
        <v>1292</v>
      </c>
    </row>
    <row r="1856" spans="1:6">
      <c r="A1856" s="57" t="s">
        <v>2133</v>
      </c>
      <c r="B1856" s="57" t="s">
        <v>40</v>
      </c>
      <c r="C1856" s="57" t="s">
        <v>2132</v>
      </c>
      <c r="D1856" s="57" t="str">
        <f t="shared" si="30"/>
        <v>Bwambara</v>
      </c>
      <c r="F1856" s="57">
        <v>1293</v>
      </c>
    </row>
    <row r="1857" spans="1:6">
      <c r="A1857" s="57" t="s">
        <v>2134</v>
      </c>
      <c r="B1857" s="57" t="s">
        <v>40</v>
      </c>
      <c r="C1857" s="57" t="s">
        <v>2135</v>
      </c>
      <c r="D1857" s="57" t="str">
        <f t="shared" si="30"/>
        <v>Kebisoni</v>
      </c>
      <c r="F1857" s="57">
        <v>1294</v>
      </c>
    </row>
    <row r="1858" spans="1:6">
      <c r="A1858" s="57" t="s">
        <v>2136</v>
      </c>
      <c r="B1858" s="57" t="s">
        <v>40</v>
      </c>
      <c r="C1858" s="57" t="s">
        <v>2135</v>
      </c>
      <c r="D1858" s="57" t="str">
        <f t="shared" ref="D1858:D1921" si="31">A1858</f>
        <v>Kebisoni Town Council</v>
      </c>
      <c r="F1858" s="57">
        <v>1295</v>
      </c>
    </row>
    <row r="1859" spans="1:6">
      <c r="A1859" s="57" t="s">
        <v>2137</v>
      </c>
      <c r="B1859" s="57" t="s">
        <v>40</v>
      </c>
      <c r="C1859" s="57" t="s">
        <v>2132</v>
      </c>
      <c r="D1859" s="57" t="str">
        <f t="shared" si="31"/>
        <v>Nyakagyeme</v>
      </c>
      <c r="F1859" s="57">
        <v>1296</v>
      </c>
    </row>
    <row r="1860" spans="1:6">
      <c r="A1860" s="57" t="s">
        <v>2138</v>
      </c>
      <c r="B1860" s="57" t="s">
        <v>40</v>
      </c>
      <c r="C1860" s="57" t="s">
        <v>2135</v>
      </c>
      <c r="D1860" s="57" t="str">
        <f t="shared" si="31"/>
        <v>Nyakishenyi</v>
      </c>
      <c r="F1860" s="57">
        <v>1297</v>
      </c>
    </row>
    <row r="1861" spans="1:6">
      <c r="A1861" s="57" t="s">
        <v>2139</v>
      </c>
      <c r="B1861" s="57" t="s">
        <v>40</v>
      </c>
      <c r="C1861" s="57" t="s">
        <v>2135</v>
      </c>
      <c r="D1861" s="57" t="str">
        <f t="shared" si="31"/>
        <v>Nyarushanje</v>
      </c>
      <c r="F1861" s="57">
        <v>1298</v>
      </c>
    </row>
    <row r="1862" spans="1:6">
      <c r="A1862" s="57" t="s">
        <v>1739</v>
      </c>
      <c r="B1862" s="57" t="s">
        <v>40</v>
      </c>
      <c r="C1862" s="57" t="s">
        <v>2132</v>
      </c>
      <c r="D1862" s="57" t="str">
        <f t="shared" si="31"/>
        <v>Ruhinda</v>
      </c>
      <c r="F1862" s="57">
        <v>1299</v>
      </c>
    </row>
    <row r="1863" spans="1:6">
      <c r="A1863" s="57" t="s">
        <v>2140</v>
      </c>
      <c r="B1863" s="57" t="s">
        <v>40</v>
      </c>
      <c r="C1863" s="57" t="s">
        <v>2135</v>
      </c>
      <c r="D1863" s="57" t="str">
        <f t="shared" si="31"/>
        <v>RUKUNGIRI</v>
      </c>
      <c r="F1863" s="57">
        <v>1300</v>
      </c>
    </row>
    <row r="1864" spans="1:6">
      <c r="A1864" s="57" t="s">
        <v>2141</v>
      </c>
      <c r="B1864" s="57" t="s">
        <v>40</v>
      </c>
      <c r="C1864" s="57" t="s">
        <v>2135</v>
      </c>
      <c r="D1864" s="57" t="str">
        <f t="shared" si="31"/>
        <v>Rukungiri Municipality</v>
      </c>
      <c r="F1864" s="57">
        <v>1301</v>
      </c>
    </row>
    <row r="1865" spans="1:6">
      <c r="A1865" s="57" t="s">
        <v>2142</v>
      </c>
      <c r="B1865" s="57" t="s">
        <v>40</v>
      </c>
      <c r="C1865" s="57" t="s">
        <v>2132</v>
      </c>
      <c r="D1865" s="57" t="str">
        <f t="shared" si="31"/>
        <v>Atiira</v>
      </c>
      <c r="F1865" s="57">
        <v>1302</v>
      </c>
    </row>
    <row r="1866" spans="1:6">
      <c r="A1866" s="57" t="s">
        <v>2143</v>
      </c>
      <c r="D1866" s="57" t="str">
        <f t="shared" si="31"/>
        <v>Bugondo</v>
      </c>
      <c r="F1866" s="57">
        <v>1303</v>
      </c>
    </row>
    <row r="1867" spans="1:6">
      <c r="A1867" s="57" t="s">
        <v>2144</v>
      </c>
      <c r="B1867" s="57" t="s">
        <v>40</v>
      </c>
      <c r="C1867" s="57" t="s">
        <v>2141</v>
      </c>
      <c r="D1867" s="57" t="str">
        <f t="shared" si="31"/>
        <v>Kadungulu</v>
      </c>
      <c r="F1867" s="57">
        <v>1303</v>
      </c>
    </row>
    <row r="1868" spans="1:6">
      <c r="A1868" s="57" t="s">
        <v>2145</v>
      </c>
      <c r="B1868" s="57" t="s">
        <v>2146</v>
      </c>
      <c r="C1868" s="57" t="s">
        <v>2146</v>
      </c>
      <c r="D1868" s="57" t="str">
        <f t="shared" si="31"/>
        <v>Kasilo Town Council</v>
      </c>
      <c r="F1868" s="57">
        <v>1304</v>
      </c>
    </row>
    <row r="1869" spans="1:6">
      <c r="A1869" s="57" t="s">
        <v>2147</v>
      </c>
      <c r="B1869" s="57" t="s">
        <v>2146</v>
      </c>
      <c r="C1869" s="57" t="s">
        <v>2148</v>
      </c>
      <c r="D1869" s="57" t="str">
        <f t="shared" si="31"/>
        <v>Kateta</v>
      </c>
      <c r="F1869" s="57">
        <v>1305</v>
      </c>
    </row>
    <row r="1870" spans="1:6">
      <c r="A1870" s="57" t="s">
        <v>2149</v>
      </c>
      <c r="B1870" s="57" t="s">
        <v>2146</v>
      </c>
      <c r="C1870" s="57" t="s">
        <v>2148</v>
      </c>
      <c r="D1870" s="57" t="str">
        <f t="shared" si="31"/>
        <v>Kyere</v>
      </c>
      <c r="F1870" s="57">
        <v>1306</v>
      </c>
    </row>
    <row r="1871" spans="1:6">
      <c r="A1871" s="57" t="s">
        <v>2150</v>
      </c>
      <c r="B1871" s="57" t="s">
        <v>2146</v>
      </c>
      <c r="C1871" s="57" t="s">
        <v>2148</v>
      </c>
      <c r="D1871" s="57" t="str">
        <f t="shared" si="31"/>
        <v>Labori</v>
      </c>
      <c r="F1871" s="57">
        <v>1307</v>
      </c>
    </row>
    <row r="1872" spans="1:6">
      <c r="A1872" s="57" t="s">
        <v>2151</v>
      </c>
      <c r="B1872" s="57" t="s">
        <v>2146</v>
      </c>
      <c r="C1872" s="57" t="s">
        <v>2146</v>
      </c>
      <c r="D1872" s="57" t="str">
        <f t="shared" si="31"/>
        <v>Olio</v>
      </c>
      <c r="F1872" s="57">
        <v>1308</v>
      </c>
    </row>
    <row r="1873" spans="1:6">
      <c r="A1873" s="57" t="s">
        <v>2152</v>
      </c>
      <c r="B1873" s="57" t="s">
        <v>2146</v>
      </c>
      <c r="C1873" s="57" t="s">
        <v>2146</v>
      </c>
      <c r="D1873" s="57" t="str">
        <f t="shared" si="31"/>
        <v>Pingire</v>
      </c>
      <c r="F1873" s="57">
        <v>1309</v>
      </c>
    </row>
    <row r="1874" spans="1:6">
      <c r="A1874" s="57" t="s">
        <v>2153</v>
      </c>
      <c r="B1874" s="57" t="s">
        <v>2146</v>
      </c>
      <c r="C1874" s="57" t="s">
        <v>2148</v>
      </c>
      <c r="D1874" s="57" t="str">
        <f t="shared" si="31"/>
        <v>Serere Town Council</v>
      </c>
      <c r="F1874" s="57">
        <v>1310</v>
      </c>
    </row>
    <row r="1875" spans="1:6">
      <c r="A1875" s="57" t="s">
        <v>2154</v>
      </c>
      <c r="B1875" s="57" t="s">
        <v>2146</v>
      </c>
      <c r="C1875" s="57" t="s">
        <v>2146</v>
      </c>
      <c r="D1875" s="57" t="str">
        <f t="shared" si="31"/>
        <v>Bugongi Town Council</v>
      </c>
      <c r="F1875" s="57">
        <v>1311</v>
      </c>
    </row>
    <row r="1876" spans="1:6">
      <c r="A1876" s="57" t="s">
        <v>2155</v>
      </c>
      <c r="B1876" s="57" t="s">
        <v>2146</v>
      </c>
      <c r="C1876" s="57" t="s">
        <v>2148</v>
      </c>
      <c r="D1876" s="57" t="str">
        <f t="shared" si="31"/>
        <v>Kagango Division-Sheema</v>
      </c>
      <c r="F1876" s="57">
        <v>1312</v>
      </c>
    </row>
    <row r="1877" spans="1:6">
      <c r="A1877" s="57" t="s">
        <v>2156</v>
      </c>
      <c r="B1877" s="57" t="s">
        <v>2146</v>
      </c>
      <c r="C1877" s="57" t="s">
        <v>2146</v>
      </c>
      <c r="D1877" s="57" t="str">
        <f t="shared" si="31"/>
        <v>Kakindo Town Council</v>
      </c>
      <c r="F1877" s="57">
        <v>1313</v>
      </c>
    </row>
    <row r="1878" spans="1:6">
      <c r="A1878" s="57" t="s">
        <v>2157</v>
      </c>
      <c r="B1878" s="57" t="s">
        <v>41</v>
      </c>
      <c r="C1878" s="57" t="s">
        <v>41</v>
      </c>
      <c r="D1878" s="57" t="str">
        <f t="shared" si="31"/>
        <v>Kasaana</v>
      </c>
      <c r="F1878" s="57">
        <v>1314</v>
      </c>
    </row>
    <row r="1879" spans="1:6">
      <c r="A1879" s="57" t="s">
        <v>2158</v>
      </c>
      <c r="B1879" s="57" t="s">
        <v>41</v>
      </c>
      <c r="C1879" s="57" t="s">
        <v>2159</v>
      </c>
      <c r="D1879" s="57" t="str">
        <f t="shared" si="31"/>
        <v>Kigarama</v>
      </c>
      <c r="F1879" s="57">
        <v>1315</v>
      </c>
    </row>
    <row r="1880" spans="1:6">
      <c r="A1880" s="57" t="s">
        <v>2160</v>
      </c>
      <c r="B1880" s="57" t="s">
        <v>41</v>
      </c>
      <c r="C1880" s="57" t="s">
        <v>41</v>
      </c>
      <c r="D1880" s="57" t="str">
        <f t="shared" si="31"/>
        <v>Kitagata</v>
      </c>
      <c r="F1880" s="57">
        <v>1316</v>
      </c>
    </row>
    <row r="1881" spans="1:6">
      <c r="A1881" s="57" t="s">
        <v>2161</v>
      </c>
      <c r="B1881" s="57" t="s">
        <v>41</v>
      </c>
      <c r="C1881" s="57" t="s">
        <v>41</v>
      </c>
      <c r="D1881" s="57" t="str">
        <f t="shared" si="31"/>
        <v>Kyangyenyi</v>
      </c>
      <c r="F1881" s="57">
        <v>1317</v>
      </c>
    </row>
    <row r="1882" spans="1:6">
      <c r="A1882" s="57" t="s">
        <v>2162</v>
      </c>
      <c r="B1882" s="57" t="s">
        <v>41</v>
      </c>
      <c r="C1882" s="57" t="s">
        <v>41</v>
      </c>
      <c r="D1882" s="57" t="str">
        <f t="shared" si="31"/>
        <v>Masheruka</v>
      </c>
      <c r="F1882" s="57">
        <v>1318</v>
      </c>
    </row>
    <row r="1883" spans="1:6">
      <c r="A1883" s="57" t="s">
        <v>2163</v>
      </c>
      <c r="B1883" s="57" t="s">
        <v>41</v>
      </c>
      <c r="C1883" s="57" t="s">
        <v>41</v>
      </c>
      <c r="D1883" s="57" t="str">
        <f t="shared" si="31"/>
        <v>Rugarama-Sheema</v>
      </c>
      <c r="F1883" s="57">
        <v>1319</v>
      </c>
    </row>
    <row r="1884" spans="1:6">
      <c r="A1884" s="57" t="s">
        <v>2164</v>
      </c>
      <c r="B1884" s="57" t="s">
        <v>41</v>
      </c>
      <c r="C1884" s="57" t="s">
        <v>41</v>
      </c>
      <c r="D1884" s="57" t="str">
        <f t="shared" si="31"/>
        <v>ITENDERO</v>
      </c>
      <c r="F1884" s="57">
        <v>1320</v>
      </c>
    </row>
    <row r="1885" spans="1:6">
      <c r="A1885" s="57" t="s">
        <v>2165</v>
      </c>
      <c r="D1885" s="57" t="str">
        <f t="shared" si="31"/>
        <v>KABWOHE</v>
      </c>
      <c r="F1885" s="57">
        <v>1321</v>
      </c>
    </row>
    <row r="1886" spans="1:6">
      <c r="A1886" s="57" t="s">
        <v>2166</v>
      </c>
      <c r="B1886" s="57" t="s">
        <v>41</v>
      </c>
      <c r="C1886" s="57" t="s">
        <v>41</v>
      </c>
      <c r="D1886" s="57" t="str">
        <f t="shared" si="31"/>
        <v>SHEEMA</v>
      </c>
      <c r="F1886" s="57">
        <v>1321</v>
      </c>
    </row>
    <row r="1887" spans="1:6">
      <c r="A1887" s="57" t="s">
        <v>2159</v>
      </c>
      <c r="B1887" s="57" t="s">
        <v>41</v>
      </c>
      <c r="C1887" s="57" t="s">
        <v>41</v>
      </c>
      <c r="D1887" s="57" t="str">
        <f t="shared" si="31"/>
        <v>Sheema Municipality</v>
      </c>
      <c r="F1887" s="57">
        <v>1322</v>
      </c>
    </row>
    <row r="1888" spans="1:6">
      <c r="A1888" s="57" t="s">
        <v>2167</v>
      </c>
      <c r="D1888" s="57" t="str">
        <f t="shared" si="31"/>
        <v>Shuuku</v>
      </c>
      <c r="F1888" s="57">
        <v>1323</v>
      </c>
    </row>
    <row r="1889" spans="1:6">
      <c r="A1889" s="57" t="s">
        <v>2168</v>
      </c>
      <c r="D1889" s="57" t="str">
        <f t="shared" si="31"/>
        <v>Shuuku Town Council</v>
      </c>
      <c r="F1889" s="57">
        <v>1323</v>
      </c>
    </row>
    <row r="1890" spans="1:6">
      <c r="A1890" s="57" t="s">
        <v>2169</v>
      </c>
      <c r="B1890" s="57" t="s">
        <v>41</v>
      </c>
      <c r="C1890" s="57" t="s">
        <v>2159</v>
      </c>
      <c r="D1890" s="57" t="str">
        <f t="shared" si="31"/>
        <v>Budadiri Town Council</v>
      </c>
      <c r="F1890" s="57">
        <v>1323</v>
      </c>
    </row>
    <row r="1891" spans="1:6">
      <c r="A1891" s="57" t="s">
        <v>2170</v>
      </c>
      <c r="B1891" s="57" t="s">
        <v>41</v>
      </c>
      <c r="C1891" s="57" t="s">
        <v>41</v>
      </c>
      <c r="D1891" s="57" t="str">
        <f t="shared" si="31"/>
        <v>Bugitimwa</v>
      </c>
      <c r="F1891" s="57">
        <v>1324</v>
      </c>
    </row>
    <row r="1892" spans="1:6">
      <c r="A1892" s="57" t="s">
        <v>2171</v>
      </c>
      <c r="B1892" s="57" t="s">
        <v>41</v>
      </c>
      <c r="C1892" s="57" t="s">
        <v>41</v>
      </c>
      <c r="D1892" s="57" t="str">
        <f t="shared" si="31"/>
        <v>Buhugu</v>
      </c>
      <c r="F1892" s="57">
        <v>1325</v>
      </c>
    </row>
    <row r="1893" spans="1:6">
      <c r="A1893" s="57" t="s">
        <v>2172</v>
      </c>
      <c r="B1893" s="57" t="s">
        <v>2173</v>
      </c>
      <c r="C1893" s="57" t="s">
        <v>2174</v>
      </c>
      <c r="D1893" s="57" t="str">
        <f t="shared" si="31"/>
        <v>Bukhulo</v>
      </c>
      <c r="F1893" s="57">
        <v>1326</v>
      </c>
    </row>
    <row r="1894" spans="1:6">
      <c r="A1894" s="57" t="s">
        <v>2175</v>
      </c>
      <c r="B1894" s="57" t="s">
        <v>2173</v>
      </c>
      <c r="C1894" s="57" t="s">
        <v>2174</v>
      </c>
      <c r="D1894" s="57" t="str">
        <f t="shared" si="31"/>
        <v>Bukiise</v>
      </c>
      <c r="F1894" s="57">
        <v>1327</v>
      </c>
    </row>
    <row r="1895" spans="1:6">
      <c r="A1895" s="57" t="s">
        <v>2176</v>
      </c>
      <c r="B1895" s="57" t="s">
        <v>2173</v>
      </c>
      <c r="C1895" s="57" t="s">
        <v>2174</v>
      </c>
      <c r="D1895" s="57" t="str">
        <f t="shared" si="31"/>
        <v>Bukiyi</v>
      </c>
      <c r="F1895" s="57">
        <v>1328</v>
      </c>
    </row>
    <row r="1896" spans="1:6">
      <c r="A1896" s="57" t="s">
        <v>2177</v>
      </c>
      <c r="B1896" s="57" t="s">
        <v>2173</v>
      </c>
      <c r="C1896" s="57" t="s">
        <v>2174</v>
      </c>
      <c r="D1896" s="57" t="str">
        <f t="shared" si="31"/>
        <v>Bukyabo</v>
      </c>
      <c r="F1896" s="57">
        <v>1329</v>
      </c>
    </row>
    <row r="1897" spans="1:6">
      <c r="A1897" s="57" t="s">
        <v>2178</v>
      </c>
      <c r="B1897" s="57" t="s">
        <v>2173</v>
      </c>
      <c r="C1897" s="57" t="s">
        <v>2174</v>
      </c>
      <c r="D1897" s="57" t="str">
        <f t="shared" si="31"/>
        <v>Bukyambi</v>
      </c>
      <c r="F1897" s="57">
        <v>1330</v>
      </c>
    </row>
    <row r="1898" spans="1:6">
      <c r="A1898" s="57" t="s">
        <v>2179</v>
      </c>
      <c r="B1898" s="57" t="s">
        <v>2173</v>
      </c>
      <c r="C1898" s="57" t="s">
        <v>2174</v>
      </c>
      <c r="D1898" s="57" t="str">
        <f t="shared" si="31"/>
        <v>Bumalimba</v>
      </c>
      <c r="F1898" s="57">
        <v>1331</v>
      </c>
    </row>
    <row r="1899" spans="1:6">
      <c r="A1899" s="57" t="s">
        <v>2180</v>
      </c>
      <c r="B1899" s="57" t="s">
        <v>2173</v>
      </c>
      <c r="C1899" s="57" t="s">
        <v>2174</v>
      </c>
      <c r="D1899" s="57" t="str">
        <f t="shared" si="31"/>
        <v>Bumasifwa</v>
      </c>
      <c r="F1899" s="57">
        <v>1332</v>
      </c>
    </row>
    <row r="1900" spans="1:6">
      <c r="A1900" s="57" t="s">
        <v>2181</v>
      </c>
      <c r="B1900" s="57" t="s">
        <v>2173</v>
      </c>
      <c r="C1900" s="57" t="s">
        <v>2174</v>
      </c>
      <c r="D1900" s="57" t="str">
        <f t="shared" si="31"/>
        <v>Bunyafa</v>
      </c>
      <c r="F1900" s="57">
        <v>1333</v>
      </c>
    </row>
    <row r="1901" spans="1:6">
      <c r="A1901" s="57" t="s">
        <v>2182</v>
      </c>
      <c r="B1901" s="57" t="s">
        <v>2173</v>
      </c>
      <c r="C1901" s="57" t="s">
        <v>2174</v>
      </c>
      <c r="D1901" s="57" t="str">
        <f t="shared" si="31"/>
        <v>Busulani</v>
      </c>
      <c r="F1901" s="57">
        <v>1334</v>
      </c>
    </row>
    <row r="1902" spans="1:6">
      <c r="A1902" s="57" t="s">
        <v>2183</v>
      </c>
      <c r="B1902" s="57" t="s">
        <v>2173</v>
      </c>
      <c r="C1902" s="57" t="s">
        <v>2174</v>
      </c>
      <c r="D1902" s="57" t="str">
        <f t="shared" si="31"/>
        <v>Butandiga</v>
      </c>
      <c r="F1902" s="57">
        <v>1335</v>
      </c>
    </row>
    <row r="1903" spans="1:6">
      <c r="A1903" s="57" t="s">
        <v>2184</v>
      </c>
      <c r="B1903" s="57" t="s">
        <v>2173</v>
      </c>
      <c r="C1903" s="57" t="s">
        <v>2174</v>
      </c>
      <c r="D1903" s="57" t="str">
        <f t="shared" si="31"/>
        <v>Buteza</v>
      </c>
      <c r="F1903" s="57">
        <v>1336</v>
      </c>
    </row>
    <row r="1904" spans="1:6">
      <c r="A1904" s="57" t="s">
        <v>2185</v>
      </c>
      <c r="B1904" s="57" t="s">
        <v>2173</v>
      </c>
      <c r="C1904" s="57" t="s">
        <v>2174</v>
      </c>
      <c r="D1904" s="57" t="str">
        <f t="shared" si="31"/>
        <v>Buwalasi</v>
      </c>
      <c r="F1904" s="57">
        <v>1337</v>
      </c>
    </row>
    <row r="1905" spans="1:6">
      <c r="A1905" s="57" t="s">
        <v>2186</v>
      </c>
      <c r="B1905" s="57" t="s">
        <v>2173</v>
      </c>
      <c r="C1905" s="57" t="s">
        <v>2174</v>
      </c>
      <c r="D1905" s="57" t="str">
        <f t="shared" si="31"/>
        <v>Buwasa</v>
      </c>
      <c r="F1905" s="57">
        <v>1338</v>
      </c>
    </row>
    <row r="1906" spans="1:6">
      <c r="A1906" s="57" t="s">
        <v>2187</v>
      </c>
      <c r="B1906" s="57" t="s">
        <v>2173</v>
      </c>
      <c r="C1906" s="57" t="s">
        <v>2174</v>
      </c>
      <c r="D1906" s="57" t="str">
        <f t="shared" si="31"/>
        <v>Buyobo</v>
      </c>
      <c r="F1906" s="57">
        <v>1339</v>
      </c>
    </row>
    <row r="1907" spans="1:6">
      <c r="A1907" s="57" t="s">
        <v>2188</v>
      </c>
      <c r="B1907" s="57" t="s">
        <v>2173</v>
      </c>
      <c r="C1907" s="57" t="s">
        <v>2174</v>
      </c>
      <c r="D1907" s="57" t="str">
        <f t="shared" si="31"/>
        <v>Masaba-Sironko</v>
      </c>
      <c r="F1907" s="57">
        <v>1340</v>
      </c>
    </row>
    <row r="1908" spans="1:6">
      <c r="A1908" s="57" t="s">
        <v>2189</v>
      </c>
      <c r="B1908" s="57" t="s">
        <v>2173</v>
      </c>
      <c r="C1908" s="57" t="s">
        <v>2174</v>
      </c>
      <c r="D1908" s="57" t="str">
        <f t="shared" si="31"/>
        <v>Nalusala</v>
      </c>
      <c r="F1908" s="57">
        <v>1341</v>
      </c>
    </row>
    <row r="1909" spans="1:6">
      <c r="A1909" s="57" t="s">
        <v>2190</v>
      </c>
      <c r="B1909" s="57" t="s">
        <v>2173</v>
      </c>
      <c r="C1909" s="57" t="s">
        <v>2174</v>
      </c>
      <c r="D1909" s="57" t="str">
        <f t="shared" si="31"/>
        <v>Sironko Town Council</v>
      </c>
      <c r="F1909" s="57">
        <v>1342</v>
      </c>
    </row>
    <row r="1910" spans="1:6">
      <c r="A1910" s="57" t="s">
        <v>2191</v>
      </c>
      <c r="B1910" s="57" t="s">
        <v>2173</v>
      </c>
      <c r="C1910" s="57" t="s">
        <v>2174</v>
      </c>
      <c r="D1910" s="57" t="str">
        <f t="shared" si="31"/>
        <v>Zesui</v>
      </c>
      <c r="F1910" s="57">
        <v>1343</v>
      </c>
    </row>
    <row r="1911" spans="1:6">
      <c r="A1911" s="57" t="s">
        <v>2192</v>
      </c>
      <c r="B1911" s="57" t="s">
        <v>2173</v>
      </c>
      <c r="C1911" s="57" t="s">
        <v>2174</v>
      </c>
      <c r="D1911" s="57" t="str">
        <f t="shared" si="31"/>
        <v>Arapai</v>
      </c>
      <c r="F1911" s="57">
        <v>1344</v>
      </c>
    </row>
    <row r="1912" spans="1:6">
      <c r="A1912" s="57" t="s">
        <v>2193</v>
      </c>
      <c r="B1912" s="57" t="s">
        <v>2173</v>
      </c>
      <c r="C1912" s="57" t="s">
        <v>2174</v>
      </c>
      <c r="D1912" s="57" t="str">
        <f t="shared" si="31"/>
        <v>Asuret</v>
      </c>
      <c r="F1912" s="57">
        <v>1345</v>
      </c>
    </row>
    <row r="1913" spans="1:6">
      <c r="A1913" s="57" t="s">
        <v>2194</v>
      </c>
      <c r="B1913" s="57" t="s">
        <v>2173</v>
      </c>
      <c r="C1913" s="57" t="s">
        <v>2174</v>
      </c>
      <c r="D1913" s="57" t="str">
        <f t="shared" si="31"/>
        <v>Gweri</v>
      </c>
      <c r="F1913" s="57">
        <v>1346</v>
      </c>
    </row>
    <row r="1914" spans="1:6">
      <c r="A1914" s="57" t="s">
        <v>2195</v>
      </c>
      <c r="B1914" s="57" t="s">
        <v>2196</v>
      </c>
      <c r="C1914" s="57" t="s">
        <v>2196</v>
      </c>
      <c r="D1914" s="57" t="str">
        <f t="shared" si="31"/>
        <v>Kamuda</v>
      </c>
      <c r="F1914" s="57">
        <v>1347</v>
      </c>
    </row>
    <row r="1915" spans="1:6">
      <c r="A1915" s="57" t="s">
        <v>2197</v>
      </c>
      <c r="B1915" s="57" t="s">
        <v>2196</v>
      </c>
      <c r="C1915" s="57" t="s">
        <v>2196</v>
      </c>
      <c r="D1915" s="57" t="str">
        <f t="shared" si="31"/>
        <v>Katine</v>
      </c>
      <c r="F1915" s="57">
        <v>1348</v>
      </c>
    </row>
    <row r="1916" spans="1:6">
      <c r="A1916" s="57" t="s">
        <v>2196</v>
      </c>
      <c r="B1916" s="57" t="s">
        <v>2196</v>
      </c>
      <c r="C1916" s="57" t="s">
        <v>2196</v>
      </c>
      <c r="D1916" s="57" t="str">
        <f t="shared" si="31"/>
        <v>Soroti</v>
      </c>
      <c r="F1916" s="57">
        <v>1349</v>
      </c>
    </row>
    <row r="1917" spans="1:6">
      <c r="A1917" s="57" t="s">
        <v>2198</v>
      </c>
      <c r="B1917" s="57" t="s">
        <v>2196</v>
      </c>
      <c r="C1917" s="57" t="s">
        <v>2196</v>
      </c>
      <c r="D1917" s="57" t="str">
        <f t="shared" si="31"/>
        <v>Soroti Municipality</v>
      </c>
      <c r="F1917" s="57">
        <v>1350</v>
      </c>
    </row>
    <row r="1918" spans="1:6">
      <c r="A1918" s="57" t="s">
        <v>2199</v>
      </c>
      <c r="D1918" s="57" t="str">
        <f t="shared" si="31"/>
        <v>Tubur</v>
      </c>
      <c r="F1918" s="57">
        <v>1355</v>
      </c>
    </row>
    <row r="1919" spans="1:6">
      <c r="A1919" s="57" t="s">
        <v>2200</v>
      </c>
      <c r="D1919" s="57" t="str">
        <f t="shared" si="31"/>
        <v>Lugusulu</v>
      </c>
      <c r="F1919" s="57">
        <v>1355</v>
      </c>
    </row>
    <row r="1920" spans="1:6">
      <c r="A1920" s="57" t="s">
        <v>2201</v>
      </c>
      <c r="D1920" s="57" t="str">
        <f t="shared" si="31"/>
        <v>KYAMABOGO</v>
      </c>
      <c r="F1920" s="57">
        <v>1355</v>
      </c>
    </row>
    <row r="1921" spans="1:6">
      <c r="A1921" s="57" t="s">
        <v>2202</v>
      </c>
      <c r="D1921" s="57" t="str">
        <f t="shared" si="31"/>
        <v>KYABALESA</v>
      </c>
      <c r="F1921" s="57">
        <v>1355</v>
      </c>
    </row>
    <row r="1922" spans="1:6">
      <c r="A1922" s="57" t="s">
        <v>2203</v>
      </c>
      <c r="D1922" s="57" t="str">
        <f t="shared" ref="D1922:D1985" si="32">A1922</f>
        <v>KASANSA</v>
      </c>
      <c r="F1922" s="57">
        <v>1355</v>
      </c>
    </row>
    <row r="1923" spans="1:6">
      <c r="A1923" s="57" t="s">
        <v>2204</v>
      </c>
      <c r="D1923" s="57" t="str">
        <f t="shared" si="32"/>
        <v>BUSOBOLWA</v>
      </c>
      <c r="F1923" s="57">
        <v>1355</v>
      </c>
    </row>
    <row r="1924" spans="1:6">
      <c r="A1924" s="57" t="s">
        <v>2205</v>
      </c>
      <c r="D1924" s="57" t="str">
        <f t="shared" si="32"/>
        <v>BISHESHE</v>
      </c>
      <c r="F1924" s="57">
        <v>1355</v>
      </c>
    </row>
    <row r="1925" spans="1:6">
      <c r="A1925" s="57" t="s">
        <v>2206</v>
      </c>
      <c r="D1925" s="57" t="str">
        <f t="shared" si="32"/>
        <v>Lwebitakuli</v>
      </c>
      <c r="F1925" s="57">
        <v>1355</v>
      </c>
    </row>
    <row r="1926" spans="1:6">
      <c r="A1926" s="57" t="s">
        <v>2207</v>
      </c>
      <c r="D1926" s="57" t="str">
        <f t="shared" si="32"/>
        <v>Lwemiyaga</v>
      </c>
      <c r="F1926" s="57">
        <v>1355</v>
      </c>
    </row>
    <row r="1927" spans="1:6">
      <c r="A1927" s="57" t="s">
        <v>2208</v>
      </c>
      <c r="D1927" s="57" t="str">
        <f t="shared" si="32"/>
        <v>LUMEGERE</v>
      </c>
      <c r="F1927" s="57">
        <v>1355</v>
      </c>
    </row>
    <row r="1928" spans="1:6">
      <c r="A1928" s="57" t="s">
        <v>2209</v>
      </c>
      <c r="D1928" s="57" t="str">
        <f t="shared" si="32"/>
        <v>GOLO/ KATONGA</v>
      </c>
      <c r="F1928" s="57">
        <v>1355</v>
      </c>
    </row>
    <row r="1929" spans="1:6">
      <c r="A1929" s="57" t="s">
        <v>2210</v>
      </c>
      <c r="B1929" s="57" t="s">
        <v>2211</v>
      </c>
      <c r="C1929" s="57" t="s">
        <v>2212</v>
      </c>
      <c r="D1929" s="57" t="str">
        <f t="shared" si="32"/>
        <v>Mateete</v>
      </c>
      <c r="F1929" s="57">
        <v>1355</v>
      </c>
    </row>
    <row r="1930" spans="1:6">
      <c r="A1930" s="57" t="s">
        <v>2213</v>
      </c>
      <c r="D1930" s="57" t="str">
        <f t="shared" si="32"/>
        <v>Mateete Town Council</v>
      </c>
      <c r="F1930" s="57">
        <v>1355</v>
      </c>
    </row>
    <row r="1931" spans="1:6">
      <c r="A1931" s="57" t="s">
        <v>2214</v>
      </c>
      <c r="D1931" s="57" t="str">
        <f t="shared" si="32"/>
        <v>BUGENGE</v>
      </c>
      <c r="F1931" s="57">
        <v>1356</v>
      </c>
    </row>
    <row r="1932" spans="1:6">
      <c r="A1932" s="57" t="s">
        <v>2215</v>
      </c>
      <c r="D1932" s="57" t="str">
        <f t="shared" si="32"/>
        <v>MITIMA</v>
      </c>
      <c r="F1932" s="57">
        <v>1356</v>
      </c>
    </row>
    <row r="1933" spans="1:6">
      <c r="A1933" s="57" t="s">
        <v>2216</v>
      </c>
      <c r="B1933" s="57" t="s">
        <v>2211</v>
      </c>
      <c r="C1933" s="57" t="s">
        <v>2212</v>
      </c>
      <c r="D1933" s="57" t="str">
        <f t="shared" si="32"/>
        <v>KYABI</v>
      </c>
      <c r="F1933" s="57">
        <v>1356</v>
      </c>
    </row>
    <row r="1934" spans="1:6">
      <c r="A1934" s="57" t="s">
        <v>2217</v>
      </c>
      <c r="D1934" s="57" t="str">
        <f t="shared" si="32"/>
        <v>Mijwala</v>
      </c>
      <c r="F1934" s="57">
        <v>1356</v>
      </c>
    </row>
    <row r="1935" spans="1:6">
      <c r="A1935" s="57" t="s">
        <v>2218</v>
      </c>
      <c r="D1935" s="57" t="str">
        <f t="shared" si="32"/>
        <v>KISEKERA</v>
      </c>
      <c r="F1935" s="57">
        <v>1356</v>
      </c>
    </row>
    <row r="1936" spans="1:6">
      <c r="A1936" s="57" t="s">
        <v>2219</v>
      </c>
      <c r="D1936" s="57" t="str">
        <f t="shared" si="32"/>
        <v>KIKOMA</v>
      </c>
      <c r="F1936" s="57">
        <v>1356</v>
      </c>
    </row>
    <row r="1937" spans="1:6">
      <c r="A1937" s="57" t="s">
        <v>2220</v>
      </c>
      <c r="D1937" s="57" t="str">
        <f t="shared" si="32"/>
        <v>NAMBIRIZI</v>
      </c>
      <c r="F1937" s="57">
        <v>1356</v>
      </c>
    </row>
    <row r="1938" spans="1:6">
      <c r="A1938" s="57" t="s">
        <v>2221</v>
      </c>
      <c r="D1938" s="57" t="str">
        <f t="shared" si="32"/>
        <v>NANSEKO</v>
      </c>
      <c r="F1938" s="57">
        <v>1356</v>
      </c>
    </row>
    <row r="1939" spans="1:6">
      <c r="A1939" s="57" t="s">
        <v>2222</v>
      </c>
      <c r="D1939" s="57" t="str">
        <f t="shared" si="32"/>
        <v>KAWANGA</v>
      </c>
      <c r="F1939" s="57">
        <v>1356</v>
      </c>
    </row>
    <row r="1940" spans="1:6">
      <c r="A1940" s="57" t="s">
        <v>2223</v>
      </c>
      <c r="B1940" s="57" t="s">
        <v>2211</v>
      </c>
      <c r="C1940" s="57" t="s">
        <v>2207</v>
      </c>
      <c r="D1940" s="57" t="str">
        <f t="shared" si="32"/>
        <v>MABINDO</v>
      </c>
      <c r="F1940" s="57">
        <v>1357</v>
      </c>
    </row>
    <row r="1941" spans="1:6">
      <c r="A1941" s="57" t="s">
        <v>2224</v>
      </c>
      <c r="B1941" s="57" t="s">
        <v>2211</v>
      </c>
      <c r="C1941" s="57" t="s">
        <v>2212</v>
      </c>
      <c r="D1941" s="57" t="str">
        <f t="shared" si="32"/>
        <v>Ntuusi</v>
      </c>
      <c r="F1941" s="57">
        <v>1358</v>
      </c>
    </row>
    <row r="1942" spans="1:6">
      <c r="A1942" s="57" t="s">
        <v>2225</v>
      </c>
      <c r="B1942" s="57" t="s">
        <v>2211</v>
      </c>
      <c r="C1942" s="57" t="s">
        <v>2212</v>
      </c>
      <c r="D1942" s="57" t="str">
        <f t="shared" si="32"/>
        <v>SSEMBULE</v>
      </c>
      <c r="F1942" s="57">
        <v>1359</v>
      </c>
    </row>
    <row r="1943" spans="1:6">
      <c r="A1943" s="57" t="s">
        <v>2226</v>
      </c>
      <c r="D1943" s="57" t="str">
        <f t="shared" si="32"/>
        <v>SEMBABULE</v>
      </c>
      <c r="F1943" s="57">
        <v>1359</v>
      </c>
    </row>
    <row r="1944" spans="1:6">
      <c r="A1944" s="57" t="s">
        <v>2227</v>
      </c>
      <c r="D1944" s="57" t="str">
        <f t="shared" si="32"/>
        <v>KISONKO</v>
      </c>
      <c r="F1944" s="57">
        <v>1360</v>
      </c>
    </row>
    <row r="1945" spans="1:6">
      <c r="A1945" s="57" t="s">
        <v>2228</v>
      </c>
      <c r="B1945" s="57" t="s">
        <v>2211</v>
      </c>
      <c r="C1945" s="57" t="s">
        <v>2212</v>
      </c>
      <c r="D1945" s="57" t="str">
        <f t="shared" si="32"/>
        <v>NTUSI</v>
      </c>
      <c r="F1945" s="57">
        <v>1360</v>
      </c>
    </row>
    <row r="1946" spans="1:6">
      <c r="A1946" s="57" t="s">
        <v>2229</v>
      </c>
      <c r="D1946" s="57" t="str">
        <f t="shared" si="32"/>
        <v>KALUSHONSHOMEZI</v>
      </c>
      <c r="F1946" s="57">
        <v>1360</v>
      </c>
    </row>
    <row r="1947" spans="1:6">
      <c r="A1947" s="57" t="s">
        <v>2230</v>
      </c>
      <c r="D1947" s="57" t="str">
        <f t="shared" si="32"/>
        <v>Sembabule Town Council</v>
      </c>
      <c r="F1947" s="57">
        <v>1360</v>
      </c>
    </row>
    <row r="1948" spans="1:6">
      <c r="A1948" s="57" t="s">
        <v>2231</v>
      </c>
      <c r="D1948" s="57" t="str">
        <f t="shared" si="32"/>
        <v>SEMBABULE TOWN</v>
      </c>
      <c r="F1948" s="57">
        <v>1360</v>
      </c>
    </row>
    <row r="1949" spans="1:6">
      <c r="A1949" s="57" t="s">
        <v>2232</v>
      </c>
      <c r="B1949" s="57" t="s">
        <v>2211</v>
      </c>
      <c r="C1949" s="57" t="s">
        <v>2207</v>
      </c>
      <c r="D1949" s="57" t="str">
        <f t="shared" si="32"/>
        <v>KIWUULA</v>
      </c>
      <c r="F1949" s="57">
        <v>1361</v>
      </c>
    </row>
    <row r="1950" spans="1:6">
      <c r="A1950" s="57" t="s">
        <v>2233</v>
      </c>
      <c r="D1950" s="57" t="str">
        <f t="shared" si="32"/>
        <v>Iyolwa</v>
      </c>
      <c r="F1950" s="57">
        <v>1362</v>
      </c>
    </row>
    <row r="1951" spans="1:6">
      <c r="A1951" s="57" t="s">
        <v>2234</v>
      </c>
      <c r="D1951" s="57" t="str">
        <f t="shared" si="32"/>
        <v>Kirewa</v>
      </c>
      <c r="F1951" s="57">
        <v>1362</v>
      </c>
    </row>
    <row r="1952" spans="1:6">
      <c r="A1952" s="57" t="s">
        <v>2235</v>
      </c>
      <c r="B1952" s="57" t="s">
        <v>2211</v>
      </c>
      <c r="C1952" s="57" t="s">
        <v>2212</v>
      </c>
      <c r="D1952" s="57" t="str">
        <f t="shared" si="32"/>
        <v>Kisoko</v>
      </c>
      <c r="F1952" s="57">
        <v>1362</v>
      </c>
    </row>
    <row r="1953" spans="1:6">
      <c r="A1953" s="57" t="s">
        <v>2236</v>
      </c>
      <c r="B1953" s="57" t="s">
        <v>2237</v>
      </c>
      <c r="C1953" s="57" t="s">
        <v>2238</v>
      </c>
      <c r="D1953" s="57" t="str">
        <f t="shared" si="32"/>
        <v>Kwapa</v>
      </c>
      <c r="F1953" s="57">
        <v>1363</v>
      </c>
    </row>
    <row r="1954" spans="1:6">
      <c r="A1954" s="57" t="s">
        <v>2239</v>
      </c>
      <c r="B1954" s="57" t="s">
        <v>2237</v>
      </c>
      <c r="C1954" s="57" t="s">
        <v>2238</v>
      </c>
      <c r="D1954" s="57" t="str">
        <f t="shared" si="32"/>
        <v>Magola</v>
      </c>
      <c r="F1954" s="57">
        <v>1364</v>
      </c>
    </row>
    <row r="1955" spans="1:6">
      <c r="A1955" s="57" t="s">
        <v>2240</v>
      </c>
      <c r="B1955" s="57" t="s">
        <v>2237</v>
      </c>
      <c r="C1955" s="57" t="s">
        <v>2238</v>
      </c>
      <c r="D1955" s="57" t="str">
        <f t="shared" si="32"/>
        <v>Malaba Town Council</v>
      </c>
      <c r="F1955" s="57">
        <v>1365</v>
      </c>
    </row>
    <row r="1956" spans="1:6">
      <c r="A1956" s="57" t="s">
        <v>2241</v>
      </c>
      <c r="B1956" s="57" t="s">
        <v>2237</v>
      </c>
      <c r="C1956" s="57" t="s">
        <v>2237</v>
      </c>
      <c r="D1956" s="57" t="str">
        <f t="shared" si="32"/>
        <v>Lubowa</v>
      </c>
      <c r="F1956" s="57">
        <v>1366</v>
      </c>
    </row>
    <row r="1957" spans="1:6">
      <c r="A1957" s="57" t="s">
        <v>2242</v>
      </c>
      <c r="B1957" s="57" t="s">
        <v>2237</v>
      </c>
      <c r="C1957" s="57" t="s">
        <v>2238</v>
      </c>
      <c r="D1957" s="57" t="str">
        <f t="shared" si="32"/>
        <v>Bunamwaya</v>
      </c>
      <c r="F1957" s="57">
        <v>1367</v>
      </c>
    </row>
    <row r="1958" spans="1:6">
      <c r="A1958" s="57" t="s">
        <v>2243</v>
      </c>
      <c r="B1958" s="57" t="s">
        <v>2237</v>
      </c>
      <c r="C1958" s="57" t="s">
        <v>2237</v>
      </c>
      <c r="D1958" s="57" t="str">
        <f t="shared" si="32"/>
        <v>Mella</v>
      </c>
      <c r="F1958" s="57">
        <v>1368</v>
      </c>
    </row>
    <row r="1959" spans="1:6">
      <c r="A1959" s="57" t="s">
        <v>2244</v>
      </c>
      <c r="D1959" s="57" t="str">
        <f t="shared" si="32"/>
        <v>Merikit</v>
      </c>
      <c r="F1959" s="57">
        <v>1368</v>
      </c>
    </row>
    <row r="1960" spans="1:6">
      <c r="A1960" s="57" t="s">
        <v>2245</v>
      </c>
      <c r="D1960" s="57" t="str">
        <f t="shared" si="32"/>
        <v>Molo</v>
      </c>
      <c r="F1960" s="57">
        <v>1368</v>
      </c>
    </row>
    <row r="1961" spans="1:6">
      <c r="A1961" s="57" t="s">
        <v>2246</v>
      </c>
      <c r="B1961" s="57" t="s">
        <v>2237</v>
      </c>
      <c r="C1961" s="57" t="s">
        <v>2237</v>
      </c>
      <c r="D1961" s="57" t="str">
        <f t="shared" si="32"/>
        <v>Mukuju</v>
      </c>
      <c r="F1961" s="57">
        <v>1369</v>
      </c>
    </row>
    <row r="1962" spans="1:6">
      <c r="A1962" s="57" t="s">
        <v>2247</v>
      </c>
      <c r="B1962" s="57" t="s">
        <v>2237</v>
      </c>
      <c r="C1962" s="57" t="s">
        <v>2237</v>
      </c>
      <c r="D1962" s="57" t="str">
        <f t="shared" si="32"/>
        <v>Mulanda</v>
      </c>
      <c r="F1962" s="57">
        <v>1370</v>
      </c>
    </row>
    <row r="1963" spans="1:6">
      <c r="A1963" s="57" t="s">
        <v>2248</v>
      </c>
      <c r="B1963" s="57" t="s">
        <v>2237</v>
      </c>
      <c r="C1963" s="57" t="s">
        <v>2237</v>
      </c>
      <c r="D1963" s="57" t="str">
        <f t="shared" si="32"/>
        <v>Nabuyoga</v>
      </c>
      <c r="F1963" s="57">
        <v>1371</v>
      </c>
    </row>
    <row r="1964" spans="1:6">
      <c r="A1964" s="57" t="s">
        <v>2249</v>
      </c>
      <c r="B1964" s="57" t="s">
        <v>2237</v>
      </c>
      <c r="C1964" s="57" t="s">
        <v>2237</v>
      </c>
      <c r="D1964" s="57" t="str">
        <f t="shared" si="32"/>
        <v>Nagongera</v>
      </c>
      <c r="F1964" s="57">
        <v>1372</v>
      </c>
    </row>
    <row r="1965" spans="1:6">
      <c r="A1965" s="57" t="s">
        <v>2250</v>
      </c>
      <c r="B1965" s="57" t="s">
        <v>2237</v>
      </c>
      <c r="C1965" s="57" t="s">
        <v>2238</v>
      </c>
      <c r="D1965" s="57" t="str">
        <f t="shared" si="32"/>
        <v>Nagongera Town Council</v>
      </c>
      <c r="F1965" s="57">
        <v>1373</v>
      </c>
    </row>
    <row r="1966" spans="1:6">
      <c r="A1966" s="57" t="s">
        <v>2251</v>
      </c>
      <c r="B1966" s="57" t="s">
        <v>2237</v>
      </c>
      <c r="C1966" s="57" t="s">
        <v>2238</v>
      </c>
      <c r="D1966" s="57" t="str">
        <f t="shared" si="32"/>
        <v>Osukuru</v>
      </c>
      <c r="F1966" s="57">
        <v>1374</v>
      </c>
    </row>
    <row r="1967" spans="1:6">
      <c r="A1967" s="57" t="s">
        <v>2252</v>
      </c>
      <c r="B1967" s="57" t="s">
        <v>2237</v>
      </c>
      <c r="C1967" s="57" t="s">
        <v>2238</v>
      </c>
      <c r="D1967" s="57" t="str">
        <f t="shared" si="32"/>
        <v>Paya</v>
      </c>
      <c r="F1967" s="57">
        <v>1375</v>
      </c>
    </row>
    <row r="1968" spans="1:6">
      <c r="A1968" s="57" t="s">
        <v>2253</v>
      </c>
      <c r="B1968" s="57" t="s">
        <v>2237</v>
      </c>
      <c r="C1968" s="57" t="s">
        <v>2238</v>
      </c>
      <c r="D1968" s="57" t="str">
        <f t="shared" si="32"/>
        <v>Petta</v>
      </c>
      <c r="F1968" s="57">
        <v>1376</v>
      </c>
    </row>
    <row r="1969" spans="1:6">
      <c r="A1969" s="57" t="s">
        <v>2254</v>
      </c>
      <c r="B1969" s="57" t="s">
        <v>2237</v>
      </c>
      <c r="C1969" s="57" t="s">
        <v>2237</v>
      </c>
      <c r="D1969" s="57" t="str">
        <f t="shared" si="32"/>
        <v>Rubongi</v>
      </c>
      <c r="F1969" s="57">
        <v>1377</v>
      </c>
    </row>
    <row r="1970" spans="1:6">
      <c r="A1970" s="57" t="s">
        <v>2255</v>
      </c>
      <c r="B1970" s="57" t="s">
        <v>2237</v>
      </c>
      <c r="C1970" s="57" t="s">
        <v>2238</v>
      </c>
      <c r="D1970" s="57" t="str">
        <f t="shared" si="32"/>
        <v>Sop-Sop</v>
      </c>
      <c r="F1970" s="57">
        <v>1378</v>
      </c>
    </row>
    <row r="1971" spans="1:6">
      <c r="A1971" s="57" t="s">
        <v>2256</v>
      </c>
      <c r="B1971" s="57" t="s">
        <v>2237</v>
      </c>
      <c r="C1971" s="57" t="s">
        <v>2238</v>
      </c>
      <c r="D1971" s="57" t="str">
        <f t="shared" si="32"/>
        <v>GREENLAND</v>
      </c>
      <c r="F1971" s="57">
        <v>1379</v>
      </c>
    </row>
    <row r="1972" spans="1:6">
      <c r="A1972" s="57" t="s">
        <v>2257</v>
      </c>
      <c r="B1972" s="57" t="s">
        <v>2237</v>
      </c>
      <c r="C1972" s="57" t="s">
        <v>2238</v>
      </c>
      <c r="D1972" s="57" t="str">
        <f t="shared" si="32"/>
        <v>TORORO</v>
      </c>
      <c r="F1972" s="57">
        <v>1380</v>
      </c>
    </row>
    <row r="1973" spans="1:6">
      <c r="A1973" s="57" t="s">
        <v>2258</v>
      </c>
      <c r="B1973" s="57" t="s">
        <v>2237</v>
      </c>
      <c r="C1973" s="57" t="s">
        <v>2238</v>
      </c>
      <c r="D1973" s="57" t="str">
        <f t="shared" si="32"/>
        <v>Tororo Municipality</v>
      </c>
      <c r="F1973" s="57">
        <v>1381</v>
      </c>
    </row>
    <row r="1974" spans="1:6">
      <c r="A1974" s="57" t="s">
        <v>2242</v>
      </c>
      <c r="D1974" s="57" t="str">
        <f t="shared" si="32"/>
        <v>Bunamwaya</v>
      </c>
      <c r="F1974" s="57">
        <v>1381</v>
      </c>
    </row>
    <row r="1975" spans="1:6">
      <c r="A1975" s="57" t="s">
        <v>2259</v>
      </c>
      <c r="D1975" s="57" t="str">
        <f t="shared" si="32"/>
        <v>Bata Bata</v>
      </c>
      <c r="F1975" s="57">
        <v>1382</v>
      </c>
    </row>
    <row r="1976" spans="1:6">
      <c r="A1976" s="57" t="s">
        <v>2260</v>
      </c>
      <c r="B1976" s="57" t="s">
        <v>2237</v>
      </c>
      <c r="C1976" s="57" t="s">
        <v>2258</v>
      </c>
      <c r="D1976" s="57" t="str">
        <f t="shared" si="32"/>
        <v>Namasuba</v>
      </c>
      <c r="F1976" s="57">
        <v>1382</v>
      </c>
    </row>
    <row r="1977" spans="1:6">
      <c r="A1977" s="57" t="s">
        <v>2261</v>
      </c>
      <c r="B1977" s="57" t="s">
        <v>2262</v>
      </c>
      <c r="C1977" s="57" t="s">
        <v>2263</v>
      </c>
      <c r="D1977" s="57" t="str">
        <f t="shared" si="32"/>
        <v>KIKAJJO</v>
      </c>
      <c r="F1977" s="57">
        <v>1383</v>
      </c>
    </row>
    <row r="1978" spans="1:6">
      <c r="A1978" s="57" t="s">
        <v>2264</v>
      </c>
      <c r="D1978" s="57" t="str">
        <f t="shared" si="32"/>
        <v>BULAGA</v>
      </c>
      <c r="F1978" s="57">
        <v>1383</v>
      </c>
    </row>
    <row r="1979" spans="1:6">
      <c r="A1979" s="57" t="s">
        <v>2265</v>
      </c>
      <c r="D1979" s="57" t="str">
        <f t="shared" si="32"/>
        <v>Bussi</v>
      </c>
      <c r="F1979" s="57">
        <v>1383</v>
      </c>
    </row>
    <row r="1980" spans="1:6">
      <c r="A1980" s="57" t="s">
        <v>2266</v>
      </c>
      <c r="D1980" s="57" t="str">
        <f t="shared" si="32"/>
        <v xml:space="preserve">KIWENDA </v>
      </c>
      <c r="F1980" s="57">
        <v>1383</v>
      </c>
    </row>
    <row r="1981" spans="1:6">
      <c r="A1981" s="57" t="s">
        <v>2267</v>
      </c>
      <c r="D1981" s="57" t="str">
        <f t="shared" si="32"/>
        <v>Busukuma</v>
      </c>
      <c r="F1981" s="57">
        <v>1383</v>
      </c>
    </row>
    <row r="1982" spans="1:6">
      <c r="A1982" s="57" t="s">
        <v>2268</v>
      </c>
      <c r="B1982" s="57" t="s">
        <v>2262</v>
      </c>
      <c r="C1982" s="57" t="s">
        <v>2269</v>
      </c>
      <c r="D1982" s="57" t="str">
        <f t="shared" si="32"/>
        <v>JOMAYI</v>
      </c>
      <c r="F1982" s="57">
        <v>1384</v>
      </c>
    </row>
    <row r="1983" spans="1:6">
      <c r="A1983" s="57" t="s">
        <v>28</v>
      </c>
      <c r="D1983" s="57" t="str">
        <f t="shared" si="32"/>
        <v>Bweyogerere</v>
      </c>
      <c r="F1983" s="57">
        <v>1385</v>
      </c>
    </row>
    <row r="1984" spans="1:6">
      <c r="A1984" s="57" t="s">
        <v>2270</v>
      </c>
      <c r="B1984" s="57" t="s">
        <v>2262</v>
      </c>
      <c r="C1984" s="57" t="s">
        <v>2271</v>
      </c>
      <c r="D1984" s="57" t="str">
        <f t="shared" si="32"/>
        <v>NAMBOOLE</v>
      </c>
      <c r="F1984" s="57">
        <v>1385</v>
      </c>
    </row>
    <row r="1985" spans="1:6">
      <c r="A1985" s="57" t="s">
        <v>2272</v>
      </c>
      <c r="D1985" s="57" t="str">
        <f t="shared" si="32"/>
        <v>ENTEBE</v>
      </c>
      <c r="F1985" s="57">
        <v>1385</v>
      </c>
    </row>
    <row r="1986" spans="1:6">
      <c r="A1986" s="57" t="s">
        <v>2273</v>
      </c>
      <c r="B1986" s="57" t="s">
        <v>2262</v>
      </c>
      <c r="C1986" s="57" t="s">
        <v>2274</v>
      </c>
      <c r="D1986" s="57" t="str">
        <f t="shared" ref="D1986:D2049" si="33">A1986</f>
        <v xml:space="preserve">ENTEBBE </v>
      </c>
      <c r="F1986" s="57">
        <v>1386</v>
      </c>
    </row>
    <row r="1987" spans="1:6">
      <c r="A1987" s="57" t="s">
        <v>2275</v>
      </c>
      <c r="D1987" s="57" t="str">
        <f t="shared" si="33"/>
        <v>Namulanda</v>
      </c>
      <c r="F1987" s="57">
        <v>1386</v>
      </c>
    </row>
    <row r="1988" spans="1:6">
      <c r="A1988" s="57" t="s">
        <v>2276</v>
      </c>
      <c r="D1988" s="57" t="str">
        <f t="shared" si="33"/>
        <v>AIRPORT</v>
      </c>
      <c r="F1988" s="57">
        <v>1387</v>
      </c>
    </row>
    <row r="1989" spans="1:6">
      <c r="A1989" s="57" t="s">
        <v>2277</v>
      </c>
      <c r="D1989" s="57" t="str">
        <f t="shared" si="33"/>
        <v>Entebbe Airport</v>
      </c>
      <c r="F1989" s="57">
        <v>1387</v>
      </c>
    </row>
    <row r="1990" spans="1:6">
      <c r="A1990" s="57" t="s">
        <v>2278</v>
      </c>
      <c r="D1990" s="57" t="str">
        <f t="shared" si="33"/>
        <v>ENTEBBE AIR PORT</v>
      </c>
      <c r="F1990" s="57">
        <v>1387</v>
      </c>
    </row>
    <row r="1991" spans="1:6">
      <c r="A1991" s="57" t="s">
        <v>2279</v>
      </c>
      <c r="D1991" s="57" t="str">
        <f t="shared" si="33"/>
        <v xml:space="preserve">ENTEBBE  </v>
      </c>
      <c r="F1991" s="57">
        <v>1387</v>
      </c>
    </row>
    <row r="1992" spans="1:6">
      <c r="A1992" s="57" t="s">
        <v>2280</v>
      </c>
      <c r="D1992" s="57" t="str">
        <f t="shared" si="33"/>
        <v>NKUMBA</v>
      </c>
      <c r="F1992" s="57">
        <v>1387</v>
      </c>
    </row>
    <row r="1993" spans="1:6">
      <c r="A1993" s="57" t="s">
        <v>2281</v>
      </c>
      <c r="B1993" s="57" t="s">
        <v>2262</v>
      </c>
      <c r="C1993" s="57" t="s">
        <v>2282</v>
      </c>
      <c r="D1993" s="57" t="str">
        <f t="shared" si="33"/>
        <v>BAYITABABIRI</v>
      </c>
      <c r="F1993" s="57">
        <v>1387</v>
      </c>
    </row>
    <row r="1994" spans="1:6">
      <c r="A1994" s="57" t="s">
        <v>2283</v>
      </c>
      <c r="D1994" s="57" t="str">
        <f t="shared" si="33"/>
        <v>Kisubi</v>
      </c>
      <c r="F1994" s="57">
        <v>1387</v>
      </c>
    </row>
    <row r="1995" spans="1:6">
      <c r="A1995" s="57" t="s">
        <v>2284</v>
      </c>
      <c r="D1995" s="57" t="str">
        <f t="shared" si="33"/>
        <v>KITOORO</v>
      </c>
      <c r="F1995" s="57">
        <v>1388</v>
      </c>
    </row>
    <row r="1996" spans="1:6">
      <c r="A1996" s="57" t="s">
        <v>2285</v>
      </c>
      <c r="D1996" s="57" t="str">
        <f t="shared" si="33"/>
        <v>KITORO</v>
      </c>
      <c r="F1996" s="57">
        <v>1388</v>
      </c>
    </row>
    <row r="1997" spans="1:6">
      <c r="A1997" s="57" t="s">
        <v>2286</v>
      </c>
      <c r="D1997" s="57" t="str">
        <f t="shared" si="33"/>
        <v>NAKIWOGO</v>
      </c>
      <c r="F1997" s="57">
        <v>1388</v>
      </c>
    </row>
    <row r="1998" spans="1:6">
      <c r="A1998" s="57" t="s">
        <v>2282</v>
      </c>
      <c r="D1998" s="57" t="str">
        <f t="shared" si="33"/>
        <v>Entebbe Municipality</v>
      </c>
      <c r="F1998" s="57">
        <v>1388</v>
      </c>
    </row>
    <row r="1999" spans="1:6">
      <c r="A1999" s="57" t="s">
        <v>30</v>
      </c>
      <c r="D1999" s="57" t="str">
        <f t="shared" si="33"/>
        <v>Entebbe</v>
      </c>
      <c r="F1999" s="57">
        <v>1388</v>
      </c>
    </row>
    <row r="2000" spans="1:6">
      <c r="A2000" s="57" t="s">
        <v>2287</v>
      </c>
      <c r="D2000" s="57" t="str">
        <f t="shared" si="33"/>
        <v>NTEBBE</v>
      </c>
      <c r="F2000" s="57">
        <v>1388</v>
      </c>
    </row>
    <row r="2001" spans="1:6">
      <c r="A2001" s="57" t="s">
        <v>2288</v>
      </c>
      <c r="B2001" s="57" t="s">
        <v>2262</v>
      </c>
      <c r="C2001" s="57" t="s">
        <v>2282</v>
      </c>
      <c r="D2001" s="57" t="str">
        <f t="shared" si="33"/>
        <v>NTEBE TOWN</v>
      </c>
      <c r="F2001" s="57">
        <v>1388</v>
      </c>
    </row>
    <row r="2002" spans="1:6">
      <c r="A2002" s="57" t="s">
        <v>2289</v>
      </c>
      <c r="D2002" s="57" t="str">
        <f t="shared" si="33"/>
        <v>Gombe</v>
      </c>
      <c r="F2002" s="57">
        <v>1388</v>
      </c>
    </row>
    <row r="2003" spans="1:6">
      <c r="A2003" s="57" t="s">
        <v>2290</v>
      </c>
      <c r="D2003" s="57" t="str">
        <f t="shared" si="33"/>
        <v>Katende</v>
      </c>
      <c r="F2003" s="57">
        <v>1388</v>
      </c>
    </row>
    <row r="2004" spans="1:6">
      <c r="A2004" s="57" t="s">
        <v>2291</v>
      </c>
      <c r="D2004" s="57" t="str">
        <f t="shared" si="33"/>
        <v>Kajjansi Town Council</v>
      </c>
      <c r="F2004" s="57">
        <v>1388</v>
      </c>
    </row>
    <row r="2005" spans="1:6">
      <c r="A2005" s="57" t="s">
        <v>2292</v>
      </c>
      <c r="B2005" s="57" t="s">
        <v>2262</v>
      </c>
      <c r="C2005" s="57" t="s">
        <v>2271</v>
      </c>
      <c r="D2005" s="57" t="str">
        <f t="shared" si="33"/>
        <v>Kajjansi</v>
      </c>
      <c r="F2005" s="57">
        <v>1389</v>
      </c>
    </row>
    <row r="2006" spans="1:6">
      <c r="A2006" s="57" t="s">
        <v>2293</v>
      </c>
      <c r="D2006" s="57" t="str">
        <f t="shared" si="33"/>
        <v>KAJANSI</v>
      </c>
      <c r="F2006" s="57">
        <v>1389</v>
      </c>
    </row>
    <row r="2007" spans="1:6">
      <c r="A2007" s="57" t="s">
        <v>2294</v>
      </c>
      <c r="B2007" s="57" t="s">
        <v>2262</v>
      </c>
      <c r="C2007" s="57" t="s">
        <v>2269</v>
      </c>
      <c r="D2007" s="57" t="str">
        <f t="shared" si="33"/>
        <v>KITENDE</v>
      </c>
      <c r="F2007" s="57">
        <v>1390</v>
      </c>
    </row>
    <row r="2008" spans="1:6">
      <c r="A2008" s="57" t="s">
        <v>2295</v>
      </c>
      <c r="D2008" s="57" t="str">
        <f t="shared" si="33"/>
        <v>KITOVU</v>
      </c>
      <c r="F2008" s="57">
        <v>1390</v>
      </c>
    </row>
    <row r="2009" spans="1:6">
      <c r="A2009" s="57" t="s">
        <v>2296</v>
      </c>
      <c r="D2009" s="57" t="str">
        <f t="shared" si="33"/>
        <v>Seguku</v>
      </c>
      <c r="F2009" s="57">
        <v>1390</v>
      </c>
    </row>
    <row r="2010" spans="1:6">
      <c r="A2010" s="57" t="s">
        <v>2297</v>
      </c>
      <c r="D2010" s="57" t="str">
        <f t="shared" si="33"/>
        <v>Katale</v>
      </c>
      <c r="F2010" s="57">
        <v>1390</v>
      </c>
    </row>
    <row r="2011" spans="1:6">
      <c r="A2011" s="57" t="s">
        <v>2298</v>
      </c>
      <c r="D2011" s="57" t="str">
        <f t="shared" si="33"/>
        <v>Kakiri</v>
      </c>
      <c r="F2011" s="57">
        <v>1390</v>
      </c>
    </row>
    <row r="2012" spans="1:6">
      <c r="A2012" s="57" t="s">
        <v>2299</v>
      </c>
      <c r="D2012" s="57" t="str">
        <f t="shared" si="33"/>
        <v>Kakiri Town Council</v>
      </c>
      <c r="F2012" s="57">
        <v>1390</v>
      </c>
    </row>
    <row r="2013" spans="1:6">
      <c r="A2013" s="57" t="s">
        <v>2300</v>
      </c>
      <c r="D2013" s="57" t="str">
        <f t="shared" si="33"/>
        <v>Kasangati Town Council</v>
      </c>
      <c r="F2013" s="57">
        <v>1390</v>
      </c>
    </row>
    <row r="2014" spans="1:6">
      <c r="A2014" s="57" t="s">
        <v>2301</v>
      </c>
      <c r="D2014" s="57" t="str">
        <f t="shared" si="33"/>
        <v>MANYANGWA</v>
      </c>
      <c r="F2014" s="57">
        <v>1390</v>
      </c>
    </row>
    <row r="2015" spans="1:6">
      <c r="A2015" s="57" t="s">
        <v>2302</v>
      </c>
      <c r="B2015" s="57" t="s">
        <v>2262</v>
      </c>
      <c r="C2015" s="57" t="s">
        <v>2269</v>
      </c>
      <c r="D2015" s="57" t="str">
        <f t="shared" si="33"/>
        <v>KIBIRA RD.</v>
      </c>
      <c r="F2015" s="57">
        <v>1391</v>
      </c>
    </row>
    <row r="2016" spans="1:6">
      <c r="A2016" s="57" t="s">
        <v>2303</v>
      </c>
      <c r="B2016" s="57" t="s">
        <v>2262</v>
      </c>
      <c r="C2016" s="57" t="s">
        <v>2269</v>
      </c>
      <c r="D2016" s="57" t="str">
        <f t="shared" si="33"/>
        <v>WAMPEWO</v>
      </c>
      <c r="F2016" s="57">
        <v>1392</v>
      </c>
    </row>
    <row r="2017" spans="1:6">
      <c r="A2017" s="57" t="s">
        <v>2304</v>
      </c>
      <c r="B2017" s="57" t="s">
        <v>2262</v>
      </c>
      <c r="C2017" s="57" t="s">
        <v>2305</v>
      </c>
      <c r="D2017" s="57" t="str">
        <f t="shared" si="33"/>
        <v>MAGERE</v>
      </c>
      <c r="F2017" s="57">
        <v>1393</v>
      </c>
    </row>
    <row r="2018" spans="1:6">
      <c r="A2018" s="57" t="s">
        <v>2306</v>
      </c>
      <c r="D2018" s="57" t="str">
        <f t="shared" si="33"/>
        <v>Kasangati</v>
      </c>
      <c r="F2018" s="57">
        <v>1393</v>
      </c>
    </row>
    <row r="2019" spans="1:6">
      <c r="A2019" s="57" t="s">
        <v>2307</v>
      </c>
      <c r="D2019" s="57" t="str">
        <f t="shared" si="33"/>
        <v>MATUGA</v>
      </c>
      <c r="F2019" s="57">
        <v>1393</v>
      </c>
    </row>
    <row r="2020" spans="1:6">
      <c r="A2020" s="57" t="s">
        <v>2308</v>
      </c>
      <c r="D2020" s="57" t="str">
        <f t="shared" si="33"/>
        <v>KAWANDA</v>
      </c>
      <c r="F2020" s="57">
        <v>1393</v>
      </c>
    </row>
    <row r="2021" spans="1:6">
      <c r="A2021" s="57" t="s">
        <v>2309</v>
      </c>
      <c r="D2021" s="57" t="str">
        <f t="shared" si="33"/>
        <v>KASAAMU</v>
      </c>
      <c r="F2021" s="57">
        <v>1393</v>
      </c>
    </row>
    <row r="2022" spans="1:6">
      <c r="A2022" s="57" t="s">
        <v>2310</v>
      </c>
      <c r="D2022" s="57" t="str">
        <f t="shared" si="33"/>
        <v>KASANGYE</v>
      </c>
      <c r="F2022" s="57">
        <v>1393</v>
      </c>
    </row>
    <row r="2023" spans="1:6">
      <c r="A2023" s="57" t="s">
        <v>2311</v>
      </c>
      <c r="D2023" s="57" t="str">
        <f t="shared" si="33"/>
        <v>BUTENDE</v>
      </c>
      <c r="F2023" s="57">
        <v>1393</v>
      </c>
    </row>
    <row r="2024" spans="1:6">
      <c r="A2024" s="57" t="s">
        <v>2312</v>
      </c>
      <c r="D2024" s="57" t="str">
        <f t="shared" si="33"/>
        <v>Kasanje</v>
      </c>
      <c r="F2024" s="57">
        <v>1394</v>
      </c>
    </row>
    <row r="2025" spans="1:6">
      <c r="A2025" s="57" t="s">
        <v>2313</v>
      </c>
      <c r="D2025" s="57" t="str">
        <f t="shared" si="33"/>
        <v>KASAJE</v>
      </c>
      <c r="F2025" s="57">
        <v>1394</v>
      </c>
    </row>
    <row r="2026" spans="1:6">
      <c r="A2026" s="57" t="s">
        <v>2314</v>
      </c>
      <c r="D2026" s="57" t="str">
        <f t="shared" si="33"/>
        <v>KATABI</v>
      </c>
      <c r="F2026" s="57">
        <v>1394</v>
      </c>
    </row>
    <row r="2027" spans="1:6">
      <c r="A2027" s="57" t="s">
        <v>2315</v>
      </c>
      <c r="B2027" s="57" t="s">
        <v>2262</v>
      </c>
      <c r="C2027" s="57" t="s">
        <v>2269</v>
      </c>
      <c r="D2027" s="57" t="str">
        <f t="shared" si="33"/>
        <v>Katabi Town Council</v>
      </c>
      <c r="F2027" s="57">
        <v>1394</v>
      </c>
    </row>
    <row r="2028" spans="1:6">
      <c r="A2028" s="57" t="s">
        <v>2316</v>
      </c>
      <c r="D2028" s="57" t="str">
        <f t="shared" si="33"/>
        <v>BULINDO</v>
      </c>
      <c r="F2028" s="57">
        <v>1394</v>
      </c>
    </row>
    <row r="2029" spans="1:6">
      <c r="A2029" s="57" t="s">
        <v>2317</v>
      </c>
      <c r="D2029" s="57" t="str">
        <f t="shared" si="33"/>
        <v>BUWATE</v>
      </c>
      <c r="F2029" s="57">
        <v>1395</v>
      </c>
    </row>
    <row r="2030" spans="1:6">
      <c r="A2030" s="57" t="s">
        <v>2318</v>
      </c>
      <c r="B2030" s="57" t="s">
        <v>2262</v>
      </c>
      <c r="C2030" s="57" t="s">
        <v>2269</v>
      </c>
      <c r="D2030" s="57" t="str">
        <f t="shared" si="33"/>
        <v>Kira</v>
      </c>
      <c r="F2030" s="57">
        <v>1395</v>
      </c>
    </row>
    <row r="2031" spans="1:6">
      <c r="A2031" s="57" t="s">
        <v>2319</v>
      </c>
      <c r="D2031" s="57" t="str">
        <f t="shared" si="33"/>
        <v>KIRA ROAD</v>
      </c>
      <c r="F2031" s="57">
        <v>1396</v>
      </c>
    </row>
    <row r="2032" spans="1:6">
      <c r="A2032" s="57" t="s">
        <v>2320</v>
      </c>
      <c r="D2032" s="57" t="str">
        <f t="shared" si="33"/>
        <v>KYALIWAJJALA</v>
      </c>
      <c r="F2032" s="57">
        <v>1396</v>
      </c>
    </row>
    <row r="2033" spans="1:6">
      <c r="A2033" s="57" t="s">
        <v>2321</v>
      </c>
      <c r="B2033" s="57" t="s">
        <v>2262</v>
      </c>
      <c r="C2033" s="57" t="s">
        <v>2274</v>
      </c>
      <c r="D2033" s="57" t="str">
        <f t="shared" si="33"/>
        <v>KUNGU</v>
      </c>
      <c r="F2033" s="57">
        <v>1396</v>
      </c>
    </row>
    <row r="2034" spans="1:6">
      <c r="A2034" s="57" t="s">
        <v>2322</v>
      </c>
      <c r="D2034" s="57" t="str">
        <f t="shared" si="33"/>
        <v>NAJJERA</v>
      </c>
      <c r="F2034" s="57">
        <v>1396</v>
      </c>
    </row>
    <row r="2035" spans="1:6">
      <c r="A2035" s="57" t="s">
        <v>153</v>
      </c>
      <c r="D2035" s="57" t="str">
        <f t="shared" si="33"/>
        <v>Kireka</v>
      </c>
      <c r="F2035" s="57">
        <v>1396</v>
      </c>
    </row>
    <row r="2036" spans="1:6">
      <c r="A2036" s="57" t="s">
        <v>2323</v>
      </c>
      <c r="D2036" s="57" t="str">
        <f t="shared" si="33"/>
        <v>KINAWA</v>
      </c>
      <c r="F2036" s="57">
        <v>1396</v>
      </c>
    </row>
    <row r="2037" spans="1:6">
      <c r="A2037" s="57" t="s">
        <v>2324</v>
      </c>
      <c r="D2037" s="57" t="str">
        <f t="shared" si="33"/>
        <v>KABOJA</v>
      </c>
      <c r="F2037" s="57">
        <v>1396</v>
      </c>
    </row>
    <row r="2038" spans="1:6">
      <c r="A2038" s="57" t="s">
        <v>2325</v>
      </c>
      <c r="D2038" s="57" t="str">
        <f t="shared" si="33"/>
        <v>KABOJJA</v>
      </c>
      <c r="F2038" s="57">
        <v>1396</v>
      </c>
    </row>
    <row r="2039" spans="1:6">
      <c r="A2039" s="57" t="s">
        <v>2326</v>
      </c>
      <c r="D2039" s="57" t="str">
        <f t="shared" si="33"/>
        <v>Kyengera Town Council</v>
      </c>
      <c r="F2039" s="57">
        <v>1397</v>
      </c>
    </row>
    <row r="2040" spans="1:6">
      <c r="A2040" s="57" t="s">
        <v>2327</v>
      </c>
      <c r="D2040" s="57" t="str">
        <f t="shared" si="33"/>
        <v>NAKAWUKA</v>
      </c>
      <c r="F2040" s="57">
        <v>1397</v>
      </c>
    </row>
    <row r="2041" spans="1:6">
      <c r="A2041" s="57" t="s">
        <v>2328</v>
      </c>
      <c r="D2041" s="57" t="str">
        <f t="shared" si="33"/>
        <v>KYENGERA</v>
      </c>
      <c r="F2041" s="57">
        <v>1397</v>
      </c>
    </row>
    <row r="2042" spans="1:6">
      <c r="A2042" s="57" t="s">
        <v>2329</v>
      </c>
      <c r="B2042" s="57" t="s">
        <v>2262</v>
      </c>
      <c r="C2042" s="57" t="s">
        <v>2269</v>
      </c>
      <c r="D2042" s="57" t="str">
        <f t="shared" si="33"/>
        <v>Nabbingo</v>
      </c>
      <c r="F2042" s="57">
        <v>1397</v>
      </c>
    </row>
    <row r="2043" spans="1:6">
      <c r="A2043" s="57" t="s">
        <v>2330</v>
      </c>
      <c r="D2043" s="57" t="str">
        <f t="shared" si="33"/>
        <v>NABINGO</v>
      </c>
      <c r="F2043" s="57">
        <v>1397</v>
      </c>
    </row>
    <row r="2044" spans="1:6">
      <c r="A2044" s="57" t="s">
        <v>2331</v>
      </c>
      <c r="D2044" s="57" t="str">
        <f t="shared" si="33"/>
        <v>KASENGE</v>
      </c>
      <c r="F2044" s="57">
        <v>1397</v>
      </c>
    </row>
    <row r="2045" spans="1:6">
      <c r="A2045" s="57" t="s">
        <v>2332</v>
      </c>
      <c r="D2045" s="57" t="str">
        <f t="shared" si="33"/>
        <v>BANDWE</v>
      </c>
      <c r="F2045" s="57">
        <v>1397</v>
      </c>
    </row>
    <row r="2046" spans="1:6">
      <c r="D2046" s="57">
        <f t="shared" si="33"/>
        <v>0</v>
      </c>
      <c r="F2046" s="57">
        <v>1397</v>
      </c>
    </row>
    <row r="2047" spans="1:6">
      <c r="A2047" s="57" t="s">
        <v>2333</v>
      </c>
      <c r="D2047" s="57" t="str">
        <f t="shared" si="33"/>
        <v>Masajja</v>
      </c>
      <c r="F2047" s="57">
        <v>1397</v>
      </c>
    </row>
    <row r="2048" spans="1:6">
      <c r="A2048" s="57" t="s">
        <v>2334</v>
      </c>
      <c r="D2048" s="57" t="str">
        <f t="shared" si="33"/>
        <v>Masuliita</v>
      </c>
      <c r="F2048" s="57">
        <v>1397</v>
      </c>
    </row>
    <row r="2049" spans="1:6">
      <c r="A2049" s="57" t="s">
        <v>2335</v>
      </c>
      <c r="B2049" s="57" t="s">
        <v>2262</v>
      </c>
      <c r="C2049" s="57" t="s">
        <v>2263</v>
      </c>
      <c r="D2049" s="57" t="str">
        <f t="shared" si="33"/>
        <v>Masulita Town Council</v>
      </c>
      <c r="F2049" s="57">
        <v>1398</v>
      </c>
    </row>
    <row r="2050" spans="1:6">
      <c r="A2050" s="57" t="s">
        <v>2336</v>
      </c>
      <c r="B2050" s="57" t="s">
        <v>2262</v>
      </c>
      <c r="C2050" s="57" t="s">
        <v>2269</v>
      </c>
      <c r="D2050" s="57" t="str">
        <f t="shared" ref="D2050:D2113" si="34">A2050</f>
        <v>Mende</v>
      </c>
      <c r="F2050" s="57">
        <v>1399</v>
      </c>
    </row>
    <row r="2051" spans="1:6">
      <c r="A2051" s="57" t="s">
        <v>2337</v>
      </c>
      <c r="B2051" s="57" t="s">
        <v>2262</v>
      </c>
      <c r="C2051" s="57" t="s">
        <v>2269</v>
      </c>
      <c r="D2051" s="57" t="str">
        <f t="shared" si="34"/>
        <v>KIRINYA BIGO</v>
      </c>
      <c r="F2051" s="57">
        <v>1400</v>
      </c>
    </row>
    <row r="2052" spans="1:6">
      <c r="A2052" s="57" t="s">
        <v>2338</v>
      </c>
      <c r="B2052" s="57" t="s">
        <v>2262</v>
      </c>
      <c r="C2052" s="57" t="s">
        <v>2269</v>
      </c>
      <c r="D2052" s="57" t="str">
        <f t="shared" si="34"/>
        <v>Nabweru</v>
      </c>
      <c r="F2052" s="57">
        <v>1401</v>
      </c>
    </row>
    <row r="2053" spans="1:6">
      <c r="B2053" s="57" t="s">
        <v>2262</v>
      </c>
      <c r="C2053" s="57" t="s">
        <v>2271</v>
      </c>
      <c r="D2053" s="57">
        <f t="shared" si="34"/>
        <v>0</v>
      </c>
      <c r="F2053" s="57">
        <v>1402</v>
      </c>
    </row>
    <row r="2054" spans="1:6">
      <c r="A2054" s="57" t="s">
        <v>2339</v>
      </c>
      <c r="D2054" s="57" t="str">
        <f t="shared" si="34"/>
        <v>Namayumba</v>
      </c>
      <c r="F2054" s="57">
        <v>1403</v>
      </c>
    </row>
    <row r="2055" spans="1:6">
      <c r="A2055" s="57" t="s">
        <v>2340</v>
      </c>
      <c r="B2055" s="57" t="s">
        <v>2262</v>
      </c>
      <c r="C2055" s="57" t="s">
        <v>2269</v>
      </c>
      <c r="D2055" s="57" t="str">
        <f t="shared" si="34"/>
        <v>Namayumba Town Council</v>
      </c>
      <c r="F2055" s="57">
        <v>1403</v>
      </c>
    </row>
    <row r="2056" spans="1:6">
      <c r="A2056" s="57" t="s">
        <v>152</v>
      </c>
      <c r="D2056" s="57" t="str">
        <f t="shared" si="34"/>
        <v>Namugongo</v>
      </c>
      <c r="F2056" s="57">
        <v>1403</v>
      </c>
    </row>
    <row r="2057" spans="1:6">
      <c r="A2057" s="57" t="s">
        <v>2341</v>
      </c>
      <c r="B2057" s="57" t="s">
        <v>2262</v>
      </c>
      <c r="C2057" s="57" t="s">
        <v>2269</v>
      </c>
      <c r="D2057" s="57" t="str">
        <f t="shared" si="34"/>
        <v>KIRA NAMUGONGO</v>
      </c>
      <c r="F2057" s="57">
        <v>1404</v>
      </c>
    </row>
    <row r="2058" spans="1:6">
      <c r="A2058" s="57" t="s">
        <v>2342</v>
      </c>
      <c r="B2058" s="57" t="s">
        <v>2262</v>
      </c>
      <c r="C2058" s="57" t="s">
        <v>2274</v>
      </c>
      <c r="D2058" s="57" t="str">
        <f t="shared" si="34"/>
        <v>NALUVULE</v>
      </c>
      <c r="F2058" s="57">
        <v>1405</v>
      </c>
    </row>
    <row r="2059" spans="1:6">
      <c r="A2059" s="57" t="s">
        <v>2343</v>
      </c>
      <c r="B2059" s="57" t="s">
        <v>2262</v>
      </c>
      <c r="C2059" s="57" t="s">
        <v>2271</v>
      </c>
      <c r="D2059" s="57" t="str">
        <f t="shared" si="34"/>
        <v>Nansana</v>
      </c>
      <c r="F2059" s="57">
        <v>1406</v>
      </c>
    </row>
    <row r="2060" spans="1:6">
      <c r="A2060" s="57" t="s">
        <v>2344</v>
      </c>
      <c r="D2060" s="57" t="str">
        <f t="shared" si="34"/>
        <v>Kabumbi</v>
      </c>
      <c r="F2060" s="57">
        <v>1406</v>
      </c>
    </row>
    <row r="2061" spans="1:6">
      <c r="A2061" s="57" t="s">
        <v>2345</v>
      </c>
      <c r="D2061" s="57" t="str">
        <f t="shared" si="34"/>
        <v>MITYANA ROAD</v>
      </c>
      <c r="F2061" s="57">
        <v>1407</v>
      </c>
    </row>
    <row r="2062" spans="1:6">
      <c r="A2062" s="57" t="s">
        <v>2346</v>
      </c>
      <c r="B2062" s="57" t="s">
        <v>2262</v>
      </c>
      <c r="C2062" s="57" t="s">
        <v>2263</v>
      </c>
      <c r="D2062" s="57" t="str">
        <f t="shared" si="34"/>
        <v>Ndejje</v>
      </c>
      <c r="F2062" s="57">
        <v>1407</v>
      </c>
    </row>
    <row r="2063" spans="1:6">
      <c r="A2063" s="57" t="s">
        <v>2347</v>
      </c>
      <c r="D2063" s="57" t="str">
        <f t="shared" si="34"/>
        <v>NDEEJE</v>
      </c>
      <c r="F2063" s="57">
        <v>1407</v>
      </c>
    </row>
    <row r="2064" spans="1:6">
      <c r="A2064" s="57" t="s">
        <v>2348</v>
      </c>
      <c r="D2064" s="57" t="str">
        <f t="shared" si="34"/>
        <v>KUMUSANVU</v>
      </c>
      <c r="F2064" s="57">
        <v>1407</v>
      </c>
    </row>
    <row r="2065" spans="1:6">
      <c r="A2065" s="57" t="s">
        <v>2262</v>
      </c>
      <c r="D2065" s="57" t="str">
        <f t="shared" si="34"/>
        <v>Wakiso</v>
      </c>
      <c r="F2065" s="57">
        <v>1407</v>
      </c>
    </row>
    <row r="2066" spans="1:6">
      <c r="A2066" s="57" t="s">
        <v>2349</v>
      </c>
      <c r="B2066" s="57" t="s">
        <v>2262</v>
      </c>
      <c r="C2066" s="57" t="s">
        <v>2269</v>
      </c>
      <c r="D2066" s="57" t="str">
        <f t="shared" si="34"/>
        <v>NAMUSERA</v>
      </c>
      <c r="F2066" s="57">
        <v>1408</v>
      </c>
    </row>
    <row r="2067" spans="1:6">
      <c r="A2067" s="57" t="s">
        <v>2350</v>
      </c>
      <c r="D2067" s="57" t="str">
        <f t="shared" si="34"/>
        <v>waakiso</v>
      </c>
      <c r="F2067" s="57">
        <v>1408</v>
      </c>
    </row>
    <row r="2068" spans="1:6">
      <c r="A2068" s="57" t="s">
        <v>2351</v>
      </c>
      <c r="D2068" s="57" t="str">
        <f t="shared" si="34"/>
        <v>Bulenga</v>
      </c>
      <c r="F2068" s="57">
        <v>1408</v>
      </c>
    </row>
    <row r="2069" spans="1:6">
      <c r="A2069" s="57" t="s">
        <v>2352</v>
      </c>
      <c r="D2069" s="57" t="str">
        <f t="shared" si="34"/>
        <v>NSANJI</v>
      </c>
      <c r="F2069" s="57">
        <v>1408</v>
      </c>
    </row>
    <row r="2070" spans="1:6">
      <c r="A2070" s="57" t="s">
        <v>2353</v>
      </c>
      <c r="B2070" s="57" t="s">
        <v>2262</v>
      </c>
      <c r="C2070" s="57" t="s">
        <v>2269</v>
      </c>
      <c r="D2070" s="57" t="str">
        <f t="shared" si="34"/>
        <v xml:space="preserve">KITALA </v>
      </c>
      <c r="F2070" s="57">
        <v>1408</v>
      </c>
    </row>
    <row r="2071" spans="1:6">
      <c r="A2071" s="57" t="s">
        <v>2354</v>
      </c>
      <c r="B2071" s="57" t="s">
        <v>2262</v>
      </c>
      <c r="C2071" s="57" t="s">
        <v>2269</v>
      </c>
      <c r="D2071" s="57" t="str">
        <f t="shared" si="34"/>
        <v>NSANGI</v>
      </c>
      <c r="F2071" s="57">
        <v>1408</v>
      </c>
    </row>
    <row r="2072" spans="1:6">
      <c r="A2072" s="57" t="s">
        <v>2355</v>
      </c>
      <c r="B2072" s="57" t="s">
        <v>2262</v>
      </c>
      <c r="D2072" s="57" t="str">
        <f t="shared" si="34"/>
        <v>NAMAGOMA</v>
      </c>
      <c r="F2072" s="57">
        <v>1408</v>
      </c>
    </row>
    <row r="2073" spans="1:6">
      <c r="A2073" s="57" t="s">
        <v>2356</v>
      </c>
      <c r="D2073" s="57" t="str">
        <f t="shared" si="34"/>
        <v>NAKASOZI</v>
      </c>
      <c r="F2073" s="57">
        <v>1408</v>
      </c>
    </row>
    <row r="2074" spans="1:6">
      <c r="A2074" s="57" t="s">
        <v>2357</v>
      </c>
      <c r="D2074" s="57" t="str">
        <f t="shared" si="34"/>
        <v>KITEMU</v>
      </c>
      <c r="F2074" s="57">
        <v>1408</v>
      </c>
    </row>
    <row r="2075" spans="1:6">
      <c r="A2075" s="57" t="s">
        <v>2358</v>
      </c>
      <c r="D2075" s="57" t="str">
        <f t="shared" si="34"/>
        <v>BUDDO</v>
      </c>
      <c r="F2075" s="57">
        <v>1408</v>
      </c>
    </row>
    <row r="2076" spans="1:6">
      <c r="A2076" s="57" t="s">
        <v>2359</v>
      </c>
      <c r="D2076" s="57" t="str">
        <f t="shared" si="34"/>
        <v>Buloba</v>
      </c>
      <c r="F2076" s="57">
        <v>1408</v>
      </c>
    </row>
    <row r="2077" spans="1:6">
      <c r="A2077" s="57" t="s">
        <v>2360</v>
      </c>
      <c r="D2077" s="57" t="str">
        <f t="shared" si="34"/>
        <v>BULOOBA</v>
      </c>
      <c r="F2077" s="57">
        <v>1408</v>
      </c>
    </row>
    <row r="2078" spans="1:6">
      <c r="A2078" s="57" t="s">
        <v>2361</v>
      </c>
      <c r="D2078" s="57" t="str">
        <f t="shared" si="34"/>
        <v>SENTEMA</v>
      </c>
      <c r="F2078" s="57">
        <v>1408</v>
      </c>
    </row>
    <row r="2079" spans="1:6">
      <c r="A2079" s="57" t="s">
        <v>2362</v>
      </c>
      <c r="B2079" s="57" t="s">
        <v>2262</v>
      </c>
      <c r="C2079" s="57" t="s">
        <v>2269</v>
      </c>
      <c r="D2079" s="57" t="str">
        <f t="shared" si="34"/>
        <v>NANKUWADE</v>
      </c>
      <c r="F2079" s="57">
        <v>1409</v>
      </c>
    </row>
    <row r="2080" spans="1:6">
      <c r="A2080" s="57" t="s">
        <v>2363</v>
      </c>
      <c r="D2080" s="57" t="str">
        <f t="shared" si="34"/>
        <v>NANKUWADDE</v>
      </c>
      <c r="F2080" s="57">
        <v>1409</v>
      </c>
    </row>
    <row r="2081" spans="1:6">
      <c r="A2081" s="57" t="s">
        <v>2364</v>
      </c>
      <c r="D2081" s="57" t="str">
        <f t="shared" si="34"/>
        <v>NAKUWADDE</v>
      </c>
      <c r="F2081" s="57">
        <v>1409</v>
      </c>
    </row>
    <row r="2082" spans="1:6">
      <c r="A2082" s="57" t="s">
        <v>2365</v>
      </c>
      <c r="D2082" s="57" t="str">
        <f t="shared" si="34"/>
        <v>KITALYA</v>
      </c>
      <c r="F2082" s="57">
        <v>1409</v>
      </c>
    </row>
    <row r="2083" spans="1:6">
      <c r="A2083" s="57" t="s">
        <v>2366</v>
      </c>
      <c r="D2083" s="57" t="str">
        <f t="shared" si="34"/>
        <v>Wakiso Town Council</v>
      </c>
      <c r="F2083" s="57">
        <v>1409</v>
      </c>
    </row>
    <row r="2084" spans="1:6">
      <c r="A2084" s="57" t="s">
        <v>2367</v>
      </c>
      <c r="D2084" s="57" t="str">
        <f t="shared" si="34"/>
        <v>WAKISO TOWN</v>
      </c>
      <c r="F2084" s="57">
        <v>1409</v>
      </c>
    </row>
    <row r="2085" spans="1:6">
      <c r="A2085" s="57" t="s">
        <v>2368</v>
      </c>
      <c r="D2085" s="57" t="str">
        <f t="shared" si="34"/>
        <v>Apo</v>
      </c>
      <c r="F2085" s="57">
        <v>1409</v>
      </c>
    </row>
    <row r="2086" spans="1:6">
      <c r="A2086" s="57" t="s">
        <v>2369</v>
      </c>
      <c r="D2086" s="57" t="str">
        <f t="shared" si="34"/>
        <v>Ariwa</v>
      </c>
      <c r="F2086" s="57">
        <v>1410</v>
      </c>
    </row>
    <row r="2087" spans="1:6">
      <c r="A2087" s="57" t="s">
        <v>2370</v>
      </c>
      <c r="B2087" s="57" t="s">
        <v>2371</v>
      </c>
      <c r="C2087" s="57" t="s">
        <v>2372</v>
      </c>
      <c r="D2087" s="57" t="str">
        <f t="shared" si="34"/>
        <v>Drajini</v>
      </c>
      <c r="F2087" s="57">
        <v>1410</v>
      </c>
    </row>
    <row r="2088" spans="1:6">
      <c r="A2088" s="57" t="s">
        <v>2373</v>
      </c>
      <c r="B2088" s="57" t="s">
        <v>2371</v>
      </c>
      <c r="C2088" s="57" t="s">
        <v>2372</v>
      </c>
      <c r="D2088" s="57" t="str">
        <f t="shared" si="34"/>
        <v>Kei</v>
      </c>
      <c r="F2088" s="57">
        <v>1411</v>
      </c>
    </row>
    <row r="2089" spans="1:6">
      <c r="A2089" s="57" t="s">
        <v>2374</v>
      </c>
      <c r="B2089" s="57" t="s">
        <v>2371</v>
      </c>
      <c r="C2089" s="57" t="s">
        <v>2372</v>
      </c>
      <c r="D2089" s="57" t="str">
        <f t="shared" si="34"/>
        <v>Kerwa</v>
      </c>
      <c r="F2089" s="57">
        <v>1412</v>
      </c>
    </row>
    <row r="2090" spans="1:6">
      <c r="A2090" s="57" t="s">
        <v>2375</v>
      </c>
      <c r="B2090" s="57" t="s">
        <v>2371</v>
      </c>
      <c r="C2090" s="57" t="s">
        <v>2372</v>
      </c>
      <c r="D2090" s="57" t="str">
        <f t="shared" si="34"/>
        <v>Kochi</v>
      </c>
      <c r="F2090" s="57">
        <v>1413</v>
      </c>
    </row>
    <row r="2091" spans="1:6">
      <c r="A2091" s="57" t="s">
        <v>2376</v>
      </c>
      <c r="B2091" s="57" t="s">
        <v>2371</v>
      </c>
      <c r="C2091" s="57" t="s">
        <v>2372</v>
      </c>
      <c r="D2091" s="57" t="str">
        <f t="shared" si="34"/>
        <v>Kululu</v>
      </c>
      <c r="F2091" s="57">
        <v>1414</v>
      </c>
    </row>
    <row r="2092" spans="1:6">
      <c r="A2092" s="57" t="s">
        <v>2377</v>
      </c>
      <c r="B2092" s="57" t="s">
        <v>2371</v>
      </c>
      <c r="C2092" s="57" t="s">
        <v>2372</v>
      </c>
      <c r="D2092" s="57" t="str">
        <f t="shared" si="34"/>
        <v>Kuru</v>
      </c>
      <c r="F2092" s="57">
        <v>1415</v>
      </c>
    </row>
    <row r="2093" spans="1:6">
      <c r="A2093" s="57" t="s">
        <v>2378</v>
      </c>
      <c r="D2093" s="57" t="str">
        <f t="shared" si="34"/>
        <v>yoyo</v>
      </c>
      <c r="F2093" s="57">
        <v>1415</v>
      </c>
    </row>
    <row r="2094" spans="1:6">
      <c r="A2094" s="57" t="s">
        <v>2379</v>
      </c>
      <c r="B2094" s="57" t="s">
        <v>2371</v>
      </c>
      <c r="C2094" s="57" t="s">
        <v>2372</v>
      </c>
      <c r="D2094" s="57" t="str">
        <f t="shared" si="34"/>
        <v>Lodonga</v>
      </c>
      <c r="F2094" s="57">
        <v>1416</v>
      </c>
    </row>
    <row r="2095" spans="1:6">
      <c r="A2095" s="57" t="s">
        <v>2380</v>
      </c>
      <c r="B2095" s="57" t="s">
        <v>2371</v>
      </c>
      <c r="C2095" s="57" t="s">
        <v>2372</v>
      </c>
      <c r="D2095" s="57" t="str">
        <f t="shared" si="34"/>
        <v>Midigo</v>
      </c>
      <c r="F2095" s="57">
        <v>1417</v>
      </c>
    </row>
    <row r="2096" spans="1:6">
      <c r="A2096" s="57" t="s">
        <v>2381</v>
      </c>
      <c r="B2096" s="57" t="s">
        <v>2371</v>
      </c>
      <c r="C2096" s="57" t="s">
        <v>2372</v>
      </c>
      <c r="D2096" s="57" t="str">
        <f t="shared" si="34"/>
        <v>Odravu</v>
      </c>
      <c r="F2096" s="57">
        <v>1418</v>
      </c>
    </row>
    <row r="2097" spans="1:6">
      <c r="A2097" s="57" t="s">
        <v>2382</v>
      </c>
      <c r="B2097" s="57" t="s">
        <v>2371</v>
      </c>
      <c r="C2097" s="57" t="s">
        <v>2372</v>
      </c>
      <c r="D2097" s="57" t="str">
        <f t="shared" si="34"/>
        <v>Romogi</v>
      </c>
      <c r="F2097" s="57">
        <v>1419</v>
      </c>
    </row>
    <row r="2098" spans="1:6">
      <c r="A2098" s="57" t="s">
        <v>2383</v>
      </c>
      <c r="D2098" s="57" t="str">
        <f t="shared" si="34"/>
        <v>Swinga</v>
      </c>
      <c r="F2098" s="57">
        <v>1419</v>
      </c>
    </row>
    <row r="2099" spans="1:6">
      <c r="A2099" s="57" t="s">
        <v>2384</v>
      </c>
      <c r="D2099" s="57" t="str">
        <f t="shared" si="34"/>
        <v>Swinga town</v>
      </c>
      <c r="F2099" s="57">
        <v>1419</v>
      </c>
    </row>
    <row r="2100" spans="1:6">
      <c r="A2100" s="57" t="s">
        <v>2385</v>
      </c>
      <c r="D2100" s="57" t="str">
        <f t="shared" si="34"/>
        <v>Camp Swinga</v>
      </c>
      <c r="F2100" s="57">
        <v>1419</v>
      </c>
    </row>
    <row r="2101" spans="1:6">
      <c r="A2101" s="57" t="s">
        <v>2386</v>
      </c>
      <c r="D2101" s="57" t="str">
        <f t="shared" si="34"/>
        <v>Bidibidi</v>
      </c>
      <c r="F2101" s="57">
        <v>1419</v>
      </c>
    </row>
    <row r="2102" spans="1:6">
      <c r="A2102" s="57" t="s">
        <v>2387</v>
      </c>
      <c r="B2102" s="57" t="s">
        <v>2371</v>
      </c>
      <c r="C2102" s="57" t="s">
        <v>2372</v>
      </c>
      <c r="D2102" s="57" t="str">
        <f t="shared" si="34"/>
        <v>Yumbe Town Council</v>
      </c>
      <c r="F2102" s="57">
        <v>1420</v>
      </c>
    </row>
    <row r="2103" spans="1:6">
      <c r="A2103" s="57" t="s">
        <v>2371</v>
      </c>
      <c r="D2103" s="57" t="str">
        <f t="shared" si="34"/>
        <v>Yumbe</v>
      </c>
      <c r="F2103" s="57">
        <v>1420</v>
      </c>
    </row>
    <row r="2104" spans="1:6">
      <c r="A2104" s="57" t="s">
        <v>2388</v>
      </c>
      <c r="B2104" s="57" t="s">
        <v>2371</v>
      </c>
      <c r="C2104" s="57" t="s">
        <v>2372</v>
      </c>
      <c r="D2104" s="57" t="str">
        <f t="shared" si="34"/>
        <v>Abanga</v>
      </c>
      <c r="F2104" s="57">
        <v>1421</v>
      </c>
    </row>
    <row r="2105" spans="1:6">
      <c r="A2105" s="57" t="s">
        <v>2389</v>
      </c>
      <c r="B2105" s="57" t="s">
        <v>2371</v>
      </c>
      <c r="C2105" s="57" t="s">
        <v>2372</v>
      </c>
      <c r="D2105" s="57" t="str">
        <f t="shared" si="34"/>
        <v>Atyak</v>
      </c>
      <c r="F2105" s="57">
        <v>1422</v>
      </c>
    </row>
    <row r="2106" spans="1:6">
      <c r="A2106" s="57" t="s">
        <v>2390</v>
      </c>
      <c r="B2106" s="57" t="s">
        <v>2391</v>
      </c>
      <c r="C2106" s="57" t="s">
        <v>2392</v>
      </c>
      <c r="D2106" s="57" t="str">
        <f t="shared" si="34"/>
        <v>Jangokoro</v>
      </c>
      <c r="F2106" s="57">
        <v>1423</v>
      </c>
    </row>
    <row r="2107" spans="1:6">
      <c r="A2107" s="57" t="s">
        <v>2393</v>
      </c>
      <c r="B2107" s="57" t="s">
        <v>2391</v>
      </c>
      <c r="C2107" s="57" t="s">
        <v>2392</v>
      </c>
      <c r="D2107" s="57" t="str">
        <f t="shared" si="34"/>
        <v>Kango</v>
      </c>
      <c r="F2107" s="57">
        <v>1424</v>
      </c>
    </row>
    <row r="2108" spans="1:6">
      <c r="A2108" s="57" t="s">
        <v>2394</v>
      </c>
      <c r="B2108" s="57" t="s">
        <v>2391</v>
      </c>
      <c r="C2108" s="57" t="s">
        <v>2392</v>
      </c>
      <c r="D2108" s="57" t="str">
        <f t="shared" si="34"/>
        <v>Nyapea</v>
      </c>
      <c r="F2108" s="57">
        <v>1425</v>
      </c>
    </row>
    <row r="2109" spans="1:6">
      <c r="A2109" s="57" t="s">
        <v>2395</v>
      </c>
      <c r="B2109" s="57" t="s">
        <v>2391</v>
      </c>
      <c r="C2109" s="57" t="s">
        <v>2392</v>
      </c>
      <c r="D2109" s="57" t="str">
        <f t="shared" si="34"/>
        <v>Paidha</v>
      </c>
      <c r="F2109" s="57">
        <v>1426</v>
      </c>
    </row>
    <row r="2110" spans="1:6">
      <c r="A2110" s="57" t="s">
        <v>2396</v>
      </c>
      <c r="B2110" s="57" t="s">
        <v>2391</v>
      </c>
      <c r="C2110" s="57" t="s">
        <v>2392</v>
      </c>
      <c r="D2110" s="57" t="str">
        <f t="shared" si="34"/>
        <v>Paidha Town Council</v>
      </c>
      <c r="F2110" s="57">
        <v>1427</v>
      </c>
    </row>
    <row r="2111" spans="1:6">
      <c r="A2111" s="57" t="s">
        <v>2397</v>
      </c>
      <c r="B2111" s="57" t="s">
        <v>2391</v>
      </c>
      <c r="C2111" s="57" t="s">
        <v>2392</v>
      </c>
      <c r="D2111" s="57" t="str">
        <f t="shared" si="34"/>
        <v>Warr</v>
      </c>
      <c r="F2111" s="57">
        <v>1428</v>
      </c>
    </row>
    <row r="2112" spans="1:6">
      <c r="A2112" s="57" t="s">
        <v>2398</v>
      </c>
      <c r="B2112" s="57" t="s">
        <v>2391</v>
      </c>
      <c r="C2112" s="57" t="s">
        <v>2392</v>
      </c>
      <c r="D2112" s="57" t="str">
        <f t="shared" si="34"/>
        <v>Zeu</v>
      </c>
      <c r="F2112" s="57">
        <v>1429</v>
      </c>
    </row>
    <row r="2113" spans="1:6">
      <c r="A2113" s="57" t="s">
        <v>2399</v>
      </c>
      <c r="B2113" s="57" t="s">
        <v>2391</v>
      </c>
      <c r="C2113" s="57" t="s">
        <v>2392</v>
      </c>
      <c r="D2113" s="57" t="str">
        <f t="shared" si="34"/>
        <v>Zombo Town Council</v>
      </c>
      <c r="F2113" s="57">
        <v>1430</v>
      </c>
    </row>
    <row r="2114" spans="1:6">
      <c r="A2114" s="61" t="s">
        <v>2400</v>
      </c>
      <c r="B2114" s="61"/>
      <c r="C2114" s="61"/>
      <c r="D2114" s="61"/>
      <c r="E2114" s="61"/>
      <c r="F2114" s="61"/>
    </row>
    <row r="2115" spans="1:6">
      <c r="A2115" s="57" t="s">
        <v>2401</v>
      </c>
      <c r="D2115" s="57" t="str">
        <f t="shared" ref="D2115:D2172" si="35">A2115</f>
        <v xml:space="preserve">Malaba </v>
      </c>
      <c r="F2115" s="57">
        <v>1433</v>
      </c>
    </row>
    <row r="2116" spans="1:6" s="60" customFormat="1">
      <c r="A2116" s="57" t="s">
        <v>2402</v>
      </c>
      <c r="B2116" s="57"/>
      <c r="C2116" s="57"/>
      <c r="D2116" s="57" t="str">
        <f t="shared" si="35"/>
        <v>MALABA</v>
      </c>
      <c r="E2116" s="57"/>
      <c r="F2116" s="57">
        <v>1433</v>
      </c>
    </row>
    <row r="2117" spans="1:6" s="60" customFormat="1">
      <c r="A2117" s="57" t="s">
        <v>497</v>
      </c>
      <c r="B2117" s="57"/>
      <c r="C2117" s="57"/>
      <c r="D2117" s="57" t="str">
        <f t="shared" si="35"/>
        <v>Busia</v>
      </c>
      <c r="E2117" s="57"/>
      <c r="F2117" s="57">
        <v>1432</v>
      </c>
    </row>
    <row r="2118" spans="1:6">
      <c r="A2118" s="57" t="s">
        <v>2403</v>
      </c>
      <c r="D2118" s="57" t="str">
        <f t="shared" si="35"/>
        <v>KISINDI</v>
      </c>
      <c r="F2118" s="57">
        <v>1432</v>
      </c>
    </row>
    <row r="2119" spans="1:6">
      <c r="A2119" s="57" t="s">
        <v>2404</v>
      </c>
      <c r="B2119" s="57" t="s">
        <v>2237</v>
      </c>
      <c r="C2119" s="57" t="s">
        <v>49</v>
      </c>
      <c r="D2119" s="57" t="str">
        <f t="shared" si="35"/>
        <v>KISUMU</v>
      </c>
      <c r="F2119" s="57">
        <v>1433</v>
      </c>
    </row>
    <row r="2120" spans="1:6">
      <c r="A2120" s="57" t="s">
        <v>2405</v>
      </c>
      <c r="D2120" s="57" t="str">
        <f t="shared" si="35"/>
        <v>Nairobi</v>
      </c>
      <c r="F2120" s="57">
        <v>1433</v>
      </c>
    </row>
    <row r="2121" spans="1:6">
      <c r="A2121" s="57" t="s">
        <v>2406</v>
      </c>
      <c r="D2121" s="57" t="str">
        <f t="shared" si="35"/>
        <v>MIASI</v>
      </c>
      <c r="F2121" s="57">
        <v>1433</v>
      </c>
    </row>
    <row r="2122" spans="1:6">
      <c r="A2122" s="57" t="s">
        <v>2407</v>
      </c>
      <c r="D2122" s="57" t="str">
        <f t="shared" si="35"/>
        <v>MIGORI</v>
      </c>
      <c r="F2122" s="57">
        <v>1433</v>
      </c>
    </row>
    <row r="2123" spans="1:6">
      <c r="A2123" s="57" t="s">
        <v>2408</v>
      </c>
      <c r="D2123" s="57" t="str">
        <f t="shared" si="35"/>
        <v>ELDORET</v>
      </c>
      <c r="F2123" s="57">
        <v>1433</v>
      </c>
    </row>
    <row r="2124" spans="1:6">
      <c r="A2124" s="57" t="s">
        <v>2409</v>
      </c>
      <c r="B2124" s="57" t="s">
        <v>2410</v>
      </c>
      <c r="C2124" s="57" t="s">
        <v>2411</v>
      </c>
      <c r="D2124" s="57" t="str">
        <f t="shared" si="35"/>
        <v>KENYA</v>
      </c>
      <c r="F2124" s="57">
        <v>1434</v>
      </c>
    </row>
    <row r="2125" spans="1:6">
      <c r="A2125" s="57" t="s">
        <v>2412</v>
      </c>
      <c r="D2125" s="57" t="str">
        <f t="shared" si="35"/>
        <v>MACHAKOS</v>
      </c>
      <c r="F2125" s="57">
        <v>1434</v>
      </c>
    </row>
    <row r="2126" spans="1:6">
      <c r="A2126" s="57" t="s">
        <v>53</v>
      </c>
      <c r="D2126" s="57" t="str">
        <f t="shared" si="35"/>
        <v>mombasa</v>
      </c>
      <c r="F2126" s="57">
        <v>1434</v>
      </c>
    </row>
    <row r="2127" spans="1:6">
      <c r="A2127" s="57" t="s">
        <v>2413</v>
      </c>
      <c r="D2127" s="57" t="str">
        <f t="shared" si="35"/>
        <v>TANZANIA</v>
      </c>
      <c r="F2127" s="57">
        <v>1434</v>
      </c>
    </row>
    <row r="2128" spans="1:6">
      <c r="A2128" s="57" t="s">
        <v>2414</v>
      </c>
      <c r="D2128" s="57" t="str">
        <f t="shared" si="35"/>
        <v>KAGERA</v>
      </c>
      <c r="F2128" s="57">
        <v>1434</v>
      </c>
    </row>
    <row r="2129" spans="1:6">
      <c r="A2129" s="57" t="s">
        <v>2415</v>
      </c>
      <c r="D2129" s="57" t="str">
        <f t="shared" si="35"/>
        <v>DODOMA</v>
      </c>
      <c r="F2129" s="57">
        <v>1434</v>
      </c>
    </row>
    <row r="2130" spans="1:6">
      <c r="A2130" s="57" t="s">
        <v>2416</v>
      </c>
      <c r="D2130" s="57" t="str">
        <f t="shared" si="35"/>
        <v>BUKOBA</v>
      </c>
      <c r="F2130" s="57">
        <v>1434</v>
      </c>
    </row>
    <row r="2131" spans="1:6">
      <c r="A2131" s="57" t="s">
        <v>2417</v>
      </c>
      <c r="D2131" s="57" t="str">
        <f t="shared" si="35"/>
        <v>IRINGA</v>
      </c>
    </row>
    <row r="2132" spans="1:6">
      <c r="D2132" s="57">
        <f t="shared" si="35"/>
        <v>0</v>
      </c>
      <c r="F2132" s="57">
        <v>1434</v>
      </c>
    </row>
    <row r="2133" spans="1:6">
      <c r="A2133" s="57" t="s">
        <v>2418</v>
      </c>
      <c r="D2133" s="57" t="str">
        <f t="shared" si="35"/>
        <v>DAR-ES-SALAAM</v>
      </c>
      <c r="F2133" s="57">
        <v>1434</v>
      </c>
    </row>
    <row r="2134" spans="1:6">
      <c r="A2134" s="57" t="s">
        <v>2419</v>
      </c>
      <c r="B2134" s="57" t="s">
        <v>2413</v>
      </c>
      <c r="D2134" s="57" t="str">
        <f t="shared" si="35"/>
        <v>KHAAMA</v>
      </c>
      <c r="F2134" s="57">
        <v>1434</v>
      </c>
    </row>
    <row r="2135" spans="1:6">
      <c r="A2135" s="57" t="s">
        <v>2420</v>
      </c>
      <c r="D2135" s="57" t="str">
        <f t="shared" si="35"/>
        <v>Mutukula</v>
      </c>
      <c r="F2135" s="57">
        <v>1434</v>
      </c>
    </row>
    <row r="2136" spans="1:6">
      <c r="A2136" s="57" t="s">
        <v>2421</v>
      </c>
      <c r="D2136" s="57" t="str">
        <f t="shared" si="35"/>
        <v>MUTUKULA TOWN</v>
      </c>
      <c r="F2136" s="57">
        <v>1434</v>
      </c>
    </row>
    <row r="2137" spans="1:6">
      <c r="A2137" s="57" t="s">
        <v>2422</v>
      </c>
      <c r="D2137" s="57" t="str">
        <f t="shared" si="35"/>
        <v>SONGENA</v>
      </c>
      <c r="F2137" s="57">
        <v>1434</v>
      </c>
    </row>
    <row r="2138" spans="1:6">
      <c r="A2138" s="57" t="s">
        <v>2423</v>
      </c>
      <c r="D2138" s="57" t="str">
        <f t="shared" si="35"/>
        <v>ARUSHA</v>
      </c>
      <c r="F2138" s="57">
        <v>1434</v>
      </c>
    </row>
    <row r="2139" spans="1:6">
      <c r="A2139" s="57" t="s">
        <v>2424</v>
      </c>
      <c r="D2139" s="57" t="str">
        <f t="shared" si="35"/>
        <v>MWANZA</v>
      </c>
      <c r="F2139" s="57">
        <v>1434</v>
      </c>
    </row>
    <row r="2140" spans="1:6">
      <c r="A2140" s="57" t="s">
        <v>2425</v>
      </c>
      <c r="B2140" s="57" t="s">
        <v>2426</v>
      </c>
      <c r="D2140" s="57" t="str">
        <f t="shared" si="35"/>
        <v>KALAGWE</v>
      </c>
      <c r="F2140" s="57">
        <v>1434</v>
      </c>
    </row>
    <row r="2141" spans="1:6">
      <c r="A2141" s="57" t="s">
        <v>2427</v>
      </c>
      <c r="D2141" s="57" t="str">
        <f t="shared" si="35"/>
        <v>Katuna</v>
      </c>
      <c r="F2141" s="57">
        <v>1434</v>
      </c>
    </row>
    <row r="2142" spans="1:6">
      <c r="A2142" s="57" t="s">
        <v>2428</v>
      </c>
      <c r="D2142" s="57" t="str">
        <f t="shared" si="35"/>
        <v>KIBIWO</v>
      </c>
      <c r="F2142" s="57">
        <v>1434</v>
      </c>
    </row>
    <row r="2143" spans="1:6">
      <c r="A2143" s="57" t="s">
        <v>2429</v>
      </c>
      <c r="D2143" s="57" t="str">
        <f t="shared" si="35"/>
        <v>KISASA</v>
      </c>
      <c r="F2143" s="57">
        <v>1434</v>
      </c>
    </row>
    <row r="2144" spans="1:6">
      <c r="A2144" s="57" t="s">
        <v>2430</v>
      </c>
      <c r="D2144" s="57" t="str">
        <f t="shared" si="35"/>
        <v>KAYONZA</v>
      </c>
      <c r="F2144" s="57">
        <v>1434</v>
      </c>
    </row>
    <row r="2145" spans="1:6">
      <c r="A2145" s="57" t="s">
        <v>2431</v>
      </c>
      <c r="D2145" s="57" t="str">
        <f t="shared" si="35"/>
        <v>KIGALI</v>
      </c>
      <c r="F2145" s="57">
        <v>1434</v>
      </c>
    </row>
    <row r="2146" spans="1:6">
      <c r="A2146" s="57" t="s">
        <v>2432</v>
      </c>
      <c r="D2146" s="57" t="str">
        <f t="shared" si="35"/>
        <v xml:space="preserve">KIGALI </v>
      </c>
      <c r="F2146" s="57">
        <v>1434</v>
      </c>
    </row>
    <row r="2147" spans="1:6">
      <c r="A2147" s="57" t="s">
        <v>2433</v>
      </c>
      <c r="D2147" s="57" t="str">
        <f t="shared" si="35"/>
        <v>GISENYI</v>
      </c>
      <c r="F2147" s="57">
        <v>1434</v>
      </c>
    </row>
    <row r="2148" spans="1:6">
      <c r="A2148" s="57" t="s">
        <v>2426</v>
      </c>
      <c r="B2148" s="57" t="s">
        <v>715</v>
      </c>
      <c r="C2148" s="57" t="s">
        <v>42</v>
      </c>
      <c r="D2148" s="57" t="str">
        <f t="shared" si="35"/>
        <v>RWANDA</v>
      </c>
      <c r="F2148" s="57">
        <v>1436</v>
      </c>
    </row>
    <row r="2149" spans="1:6">
      <c r="A2149" s="57" t="s">
        <v>2434</v>
      </c>
      <c r="B2149" s="57" t="s">
        <v>1354</v>
      </c>
      <c r="C2149" s="57" t="s">
        <v>42</v>
      </c>
      <c r="D2149" s="57" t="str">
        <f t="shared" si="35"/>
        <v>Cyanika</v>
      </c>
      <c r="F2149" s="57">
        <v>1437</v>
      </c>
    </row>
    <row r="2150" spans="1:6">
      <c r="A2150" s="57" t="s">
        <v>2435</v>
      </c>
      <c r="D2150" s="57" t="str">
        <f t="shared" si="35"/>
        <v>Kiyumba</v>
      </c>
      <c r="F2150" s="57">
        <v>1437</v>
      </c>
    </row>
    <row r="2151" spans="1:6">
      <c r="A2151" s="57" t="s">
        <v>2436</v>
      </c>
      <c r="D2151" s="57" t="str">
        <f t="shared" si="35"/>
        <v>Bunagana</v>
      </c>
      <c r="F2151" s="57">
        <v>1437</v>
      </c>
    </row>
    <row r="2152" spans="1:6">
      <c r="A2152" s="57" t="s">
        <v>55</v>
      </c>
      <c r="D2152" s="57" t="str">
        <f t="shared" si="35"/>
        <v>Ishasha</v>
      </c>
      <c r="F2152" s="57">
        <v>1438</v>
      </c>
    </row>
    <row r="2153" spans="1:6">
      <c r="A2153" s="57" t="s">
        <v>2437</v>
      </c>
      <c r="D2153" s="57" t="str">
        <f t="shared" si="35"/>
        <v>Mpondwe</v>
      </c>
      <c r="F2153" s="57">
        <v>1438</v>
      </c>
    </row>
    <row r="2154" spans="1:6">
      <c r="A2154" s="57" t="s">
        <v>2438</v>
      </c>
      <c r="B2154" s="57" t="s">
        <v>1354</v>
      </c>
      <c r="C2154" s="57" t="s">
        <v>54</v>
      </c>
      <c r="D2154" s="57" t="str">
        <f t="shared" si="35"/>
        <v>BUNYA</v>
      </c>
      <c r="F2154" s="57">
        <v>1438</v>
      </c>
    </row>
    <row r="2155" spans="1:6">
      <c r="A2155" s="57" t="s">
        <v>2439</v>
      </c>
      <c r="B2155" s="57" t="s">
        <v>1198</v>
      </c>
      <c r="C2155" s="57" t="s">
        <v>54</v>
      </c>
      <c r="D2155" s="57" t="str">
        <f t="shared" si="35"/>
        <v>Goli</v>
      </c>
      <c r="F2155" s="57">
        <v>1439</v>
      </c>
    </row>
    <row r="2156" spans="1:6">
      <c r="A2156" s="57" t="s">
        <v>416</v>
      </c>
      <c r="D2156" s="57" t="str">
        <f t="shared" si="35"/>
        <v>Suam</v>
      </c>
      <c r="F2156" s="57">
        <v>1439</v>
      </c>
    </row>
    <row r="2157" spans="1:6">
      <c r="A2157" s="57" t="s">
        <v>2440</v>
      </c>
      <c r="D2157" s="57" t="str">
        <f t="shared" si="35"/>
        <v>BENI</v>
      </c>
      <c r="F2157" s="57">
        <v>1439</v>
      </c>
    </row>
    <row r="2158" spans="1:6">
      <c r="A2158" s="57" t="s">
        <v>2441</v>
      </c>
      <c r="D2158" s="57" t="str">
        <f t="shared" si="35"/>
        <v>KIWANJA</v>
      </c>
      <c r="F2158" s="57">
        <v>1439</v>
      </c>
    </row>
    <row r="2159" spans="1:6">
      <c r="A2159" s="57" t="s">
        <v>2438</v>
      </c>
      <c r="D2159" s="57" t="str">
        <f t="shared" si="35"/>
        <v>BUNYA</v>
      </c>
      <c r="F2159" s="57">
        <v>1440</v>
      </c>
    </row>
    <row r="2160" spans="1:6">
      <c r="A2160" s="57" t="s">
        <v>2442</v>
      </c>
      <c r="B2160" s="57" t="s">
        <v>36</v>
      </c>
      <c r="C2160" s="57" t="s">
        <v>54</v>
      </c>
      <c r="D2160" s="57" t="str">
        <f t="shared" si="35"/>
        <v>CONGO</v>
      </c>
      <c r="F2160" s="57">
        <v>1440</v>
      </c>
    </row>
    <row r="2161" spans="1:6">
      <c r="A2161" s="57" t="s">
        <v>2443</v>
      </c>
      <c r="B2161" s="57" t="s">
        <v>1972</v>
      </c>
      <c r="C2161" s="57" t="s">
        <v>54</v>
      </c>
      <c r="D2161" s="57" t="str">
        <f t="shared" si="35"/>
        <v>NIMRE</v>
      </c>
      <c r="F2161" s="57">
        <v>1441</v>
      </c>
    </row>
    <row r="2162" spans="1:6">
      <c r="A2162" s="57" t="s">
        <v>2444</v>
      </c>
      <c r="B2162" s="57" t="s">
        <v>405</v>
      </c>
      <c r="C2162" s="57" t="s">
        <v>49</v>
      </c>
      <c r="D2162" s="57" t="str">
        <f t="shared" si="35"/>
        <v>SUDAN</v>
      </c>
      <c r="F2162" s="57">
        <v>1443</v>
      </c>
    </row>
    <row r="2163" spans="1:6">
      <c r="A2163" s="57" t="s">
        <v>2445</v>
      </c>
      <c r="B2163" s="57" t="s">
        <v>273</v>
      </c>
      <c r="C2163" s="57" t="s">
        <v>2446</v>
      </c>
      <c r="D2163" s="57" t="str">
        <f t="shared" si="35"/>
        <v>Elegu</v>
      </c>
      <c r="F2163" s="57">
        <v>1443</v>
      </c>
    </row>
    <row r="2164" spans="1:6">
      <c r="A2164" s="57" t="s">
        <v>161</v>
      </c>
      <c r="D2164" s="57" t="str">
        <f t="shared" si="35"/>
        <v>ELEGU TOWN</v>
      </c>
      <c r="F2164" s="57">
        <v>1443</v>
      </c>
    </row>
    <row r="2165" spans="1:6">
      <c r="A2165" s="57" t="s">
        <v>2447</v>
      </c>
      <c r="D2165" s="57" t="str">
        <f t="shared" si="35"/>
        <v>Nimule</v>
      </c>
      <c r="F2165" s="57">
        <v>1443</v>
      </c>
    </row>
    <row r="2166" spans="1:6">
      <c r="A2166" s="57" t="s">
        <v>164</v>
      </c>
      <c r="D2166" s="57" t="str">
        <f t="shared" si="35"/>
        <v>JUBA TOWN</v>
      </c>
      <c r="F2166" s="57">
        <v>1443</v>
      </c>
    </row>
    <row r="2167" spans="1:6">
      <c r="A2167" s="57" t="s">
        <v>2448</v>
      </c>
      <c r="D2167" s="57" t="str">
        <f t="shared" si="35"/>
        <v>Mirama Hills</v>
      </c>
      <c r="F2167" s="57">
        <v>1443</v>
      </c>
    </row>
    <row r="2168" spans="1:6">
      <c r="A2168" s="57" t="s">
        <v>2449</v>
      </c>
      <c r="B2168" s="57" t="s">
        <v>273</v>
      </c>
      <c r="C2168" s="57" t="s">
        <v>2446</v>
      </c>
      <c r="D2168" s="57" t="str">
        <f t="shared" si="35"/>
        <v>Oraba</v>
      </c>
      <c r="F2168" s="57">
        <v>1443</v>
      </c>
    </row>
    <row r="2169" spans="1:6">
      <c r="A2169" s="57" t="s">
        <v>2450</v>
      </c>
      <c r="B2169" s="57" t="s">
        <v>46</v>
      </c>
      <c r="C2169" s="57" t="s">
        <v>42</v>
      </c>
      <c r="D2169" s="57" t="str">
        <f t="shared" si="35"/>
        <v>BUKAYI</v>
      </c>
      <c r="F2169" s="57">
        <v>1444</v>
      </c>
    </row>
    <row r="2170" spans="1:6">
      <c r="A2170" s="57" t="s">
        <v>2451</v>
      </c>
      <c r="B2170" s="57" t="s">
        <v>1384</v>
      </c>
      <c r="C2170" s="57" t="s">
        <v>2446</v>
      </c>
      <c r="D2170" s="57" t="str">
        <f t="shared" si="35"/>
        <v>BUTEMBO</v>
      </c>
      <c r="F2170" s="57">
        <v>1445</v>
      </c>
    </row>
    <row r="2171" spans="1:6">
      <c r="A2171" s="57" t="s">
        <v>2452</v>
      </c>
      <c r="B2171" s="57" t="s">
        <v>2391</v>
      </c>
      <c r="C2171" s="57" t="s">
        <v>54</v>
      </c>
      <c r="D2171" s="57" t="str">
        <f t="shared" si="35"/>
        <v>Padea</v>
      </c>
      <c r="F2171" s="57">
        <v>1446</v>
      </c>
    </row>
    <row r="2172" spans="1:6">
      <c r="A2172" s="57" t="s">
        <v>299</v>
      </c>
      <c r="D2172" s="57" t="str">
        <f t="shared" si="35"/>
        <v>Vurra</v>
      </c>
      <c r="F2172" s="57">
        <v>1446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23"/>
  <sheetViews>
    <sheetView zoomScale="75" zoomScaleNormal="75" zoomScaleSheetLayoutView="80" workbookViewId="0">
      <selection activeCell="L20" sqref="L2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0" t="s">
        <v>131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6"/>
      <c r="AD1" s="6"/>
      <c r="AE1" s="6"/>
      <c r="AF1" s="6"/>
      <c r="AG1" s="6"/>
      <c r="AH1" s="6"/>
      <c r="AI1" s="6"/>
    </row>
    <row r="2" spans="2:35" ht="1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45" t="s">
        <v>155</v>
      </c>
      <c r="E4" s="1" t="s">
        <v>67</v>
      </c>
      <c r="F4" s="101" t="s">
        <v>156</v>
      </c>
      <c r="G4" s="102"/>
      <c r="I4" s="27" t="s">
        <v>68</v>
      </c>
      <c r="J4" s="5"/>
      <c r="K4" s="5"/>
      <c r="L4" s="46" t="s">
        <v>157</v>
      </c>
      <c r="M4" s="2"/>
      <c r="N4" s="1" t="s">
        <v>70</v>
      </c>
      <c r="O4" s="103" t="s">
        <v>150</v>
      </c>
      <c r="P4" s="104"/>
      <c r="Q4" s="104"/>
      <c r="R4" s="104"/>
      <c r="S4" s="104"/>
      <c r="T4" s="104"/>
      <c r="V4" s="1" t="s">
        <v>71</v>
      </c>
      <c r="W4" s="42" t="s">
        <v>151</v>
      </c>
      <c r="Y4" s="27" t="s">
        <v>6</v>
      </c>
      <c r="Z4" s="48" t="s">
        <v>149</v>
      </c>
      <c r="AA4" s="31" t="s">
        <v>7</v>
      </c>
      <c r="AB4" s="48" t="s">
        <v>72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69</v>
      </c>
      <c r="J5" s="2"/>
      <c r="K5" s="2"/>
      <c r="L5" s="47" t="s">
        <v>158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05" t="s">
        <v>34</v>
      </c>
      <c r="C7" s="98" t="s">
        <v>58</v>
      </c>
      <c r="D7" s="107" t="s">
        <v>9</v>
      </c>
      <c r="E7" s="98" t="s">
        <v>35</v>
      </c>
      <c r="F7" s="110" t="s">
        <v>12</v>
      </c>
      <c r="G7" s="111"/>
      <c r="H7" s="112"/>
      <c r="I7" s="107" t="s">
        <v>61</v>
      </c>
      <c r="J7" s="98" t="s">
        <v>15</v>
      </c>
      <c r="K7" s="98" t="s">
        <v>132</v>
      </c>
      <c r="L7" s="110" t="s">
        <v>17</v>
      </c>
      <c r="M7" s="111"/>
      <c r="N7" s="112"/>
      <c r="O7" s="107" t="s">
        <v>62</v>
      </c>
      <c r="P7" s="98" t="s">
        <v>18</v>
      </c>
      <c r="Q7" s="98" t="s">
        <v>133</v>
      </c>
      <c r="R7" s="98" t="s">
        <v>134</v>
      </c>
      <c r="S7" s="98" t="s">
        <v>136</v>
      </c>
      <c r="T7" s="98" t="s">
        <v>135</v>
      </c>
      <c r="U7" s="98" t="s">
        <v>63</v>
      </c>
      <c r="V7" s="115" t="s">
        <v>66</v>
      </c>
      <c r="W7" s="116"/>
      <c r="X7" s="117"/>
      <c r="Y7" s="98" t="s">
        <v>65</v>
      </c>
      <c r="Z7" s="98" t="s">
        <v>139</v>
      </c>
      <c r="AA7" s="107" t="s">
        <v>20</v>
      </c>
      <c r="AB7" s="113" t="s">
        <v>21</v>
      </c>
      <c r="AD7" s="19"/>
    </row>
    <row r="8" spans="2:35" ht="38.25" customHeight="1">
      <c r="B8" s="106"/>
      <c r="C8" s="99"/>
      <c r="D8" s="108"/>
      <c r="E8" s="109"/>
      <c r="F8" s="23" t="s">
        <v>73</v>
      </c>
      <c r="G8" s="23" t="s">
        <v>59</v>
      </c>
      <c r="H8" s="24" t="s">
        <v>60</v>
      </c>
      <c r="I8" s="108"/>
      <c r="J8" s="99"/>
      <c r="K8" s="99"/>
      <c r="L8" s="23" t="s">
        <v>73</v>
      </c>
      <c r="M8" s="23" t="s">
        <v>59</v>
      </c>
      <c r="N8" s="23" t="s">
        <v>60</v>
      </c>
      <c r="O8" s="108"/>
      <c r="P8" s="99"/>
      <c r="Q8" s="99"/>
      <c r="R8" s="99"/>
      <c r="S8" s="99"/>
      <c r="T8" s="99"/>
      <c r="U8" s="99"/>
      <c r="V8" s="29" t="s">
        <v>64</v>
      </c>
      <c r="W8" s="30" t="s">
        <v>137</v>
      </c>
      <c r="X8" s="30" t="s">
        <v>138</v>
      </c>
      <c r="Y8" s="99"/>
      <c r="Z8" s="99"/>
      <c r="AA8" s="108"/>
      <c r="AB8" s="114"/>
    </row>
    <row r="9" spans="2:35" s="19" customFormat="1">
      <c r="B9" s="39">
        <v>2.0833333333333332E-2</v>
      </c>
      <c r="C9" s="39"/>
      <c r="D9" s="40">
        <v>1</v>
      </c>
      <c r="E9" s="40">
        <v>6</v>
      </c>
      <c r="F9" s="41" t="s">
        <v>159</v>
      </c>
      <c r="G9" s="41" t="s">
        <v>160</v>
      </c>
      <c r="H9" s="41" t="s">
        <v>170</v>
      </c>
      <c r="I9" s="41"/>
      <c r="J9" s="41">
        <v>4</v>
      </c>
      <c r="K9" s="25" t="str">
        <f>VLOOKUP(J9,Key!$E$2:$F$9,2,FALSE)</f>
        <v>Commercial</v>
      </c>
      <c r="L9" s="41" t="s">
        <v>171</v>
      </c>
      <c r="M9" s="42" t="s">
        <v>160</v>
      </c>
      <c r="N9" s="42" t="s">
        <v>170</v>
      </c>
      <c r="O9" s="42"/>
      <c r="P9" s="42">
        <v>4</v>
      </c>
      <c r="Q9" s="25" t="str">
        <f>VLOOKUP(P9,Key!$E$2:$F$9,2,FALSE)</f>
        <v>Commercial</v>
      </c>
      <c r="R9" s="25" t="str">
        <f>K9&amp;"-"&amp;Q9</f>
        <v>Commercial-Commercial</v>
      </c>
      <c r="S9" s="43"/>
      <c r="T9" s="43">
        <v>1.5</v>
      </c>
      <c r="U9" s="52">
        <v>1</v>
      </c>
      <c r="V9" s="52">
        <v>10</v>
      </c>
      <c r="W9" s="43">
        <v>15</v>
      </c>
      <c r="X9" s="43"/>
      <c r="Y9" s="44"/>
      <c r="Z9" s="53"/>
      <c r="AA9" s="25"/>
      <c r="AB9" s="25"/>
    </row>
    <row r="10" spans="2:35">
      <c r="B10" s="39">
        <v>0.5625</v>
      </c>
      <c r="C10" s="39"/>
      <c r="D10" s="40">
        <v>11</v>
      </c>
      <c r="E10" s="40">
        <v>2</v>
      </c>
      <c r="F10" s="41" t="s">
        <v>159</v>
      </c>
      <c r="G10" s="41" t="s">
        <v>160</v>
      </c>
      <c r="H10" s="41" t="s">
        <v>170</v>
      </c>
      <c r="I10" s="41"/>
      <c r="J10" s="41">
        <v>4</v>
      </c>
      <c r="K10" s="25" t="str">
        <f>VLOOKUP(J10,Key!$E$2:$F$9,2,FALSE)</f>
        <v>Commercial</v>
      </c>
      <c r="L10" s="41" t="s">
        <v>172</v>
      </c>
      <c r="M10" s="42" t="s">
        <v>173</v>
      </c>
      <c r="N10" s="42" t="s">
        <v>170</v>
      </c>
      <c r="O10" s="42"/>
      <c r="P10" s="42">
        <v>4</v>
      </c>
      <c r="Q10" s="25" t="str">
        <f>VLOOKUP(P10,Key!$E$2:$F$9,2,FALSE)</f>
        <v>Commercial</v>
      </c>
      <c r="R10" s="25" t="str">
        <f t="shared" ref="R10:R23" si="0">K10&amp;"-"&amp;Q10</f>
        <v>Commercial-Commercial</v>
      </c>
      <c r="S10" s="43"/>
      <c r="T10" s="43">
        <v>20</v>
      </c>
      <c r="U10" s="52">
        <v>3</v>
      </c>
      <c r="V10" s="52">
        <v>10</v>
      </c>
      <c r="W10" s="43">
        <v>30</v>
      </c>
      <c r="X10" s="43"/>
      <c r="Y10" s="44"/>
      <c r="Z10" s="53"/>
      <c r="AA10" s="25"/>
      <c r="AB10" s="25"/>
    </row>
    <row r="11" spans="2:35">
      <c r="B11" s="39">
        <v>0.63888888888888895</v>
      </c>
      <c r="C11" s="39"/>
      <c r="D11" s="40">
        <v>11</v>
      </c>
      <c r="E11" s="40">
        <v>2</v>
      </c>
      <c r="F11" s="41" t="s">
        <v>159</v>
      </c>
      <c r="G11" s="41" t="s">
        <v>160</v>
      </c>
      <c r="H11" s="41" t="s">
        <v>170</v>
      </c>
      <c r="I11" s="41"/>
      <c r="J11" s="41">
        <v>4</v>
      </c>
      <c r="K11" s="25" t="str">
        <f>VLOOKUP(J11,Key!$E$2:$F$9,2,FALSE)</f>
        <v>Commercial</v>
      </c>
      <c r="L11" s="41" t="s">
        <v>172</v>
      </c>
      <c r="M11" s="42" t="s">
        <v>173</v>
      </c>
      <c r="N11" s="42" t="s">
        <v>170</v>
      </c>
      <c r="O11" s="42"/>
      <c r="P11" s="42">
        <v>4</v>
      </c>
      <c r="Q11" s="25" t="str">
        <f>VLOOKUP(P11,Key!$E$2:$F$9,2,FALSE)</f>
        <v>Commercial</v>
      </c>
      <c r="R11" s="25" t="str">
        <f t="shared" si="0"/>
        <v>Commercial-Commercial</v>
      </c>
      <c r="S11" s="43"/>
      <c r="T11" s="43">
        <v>12</v>
      </c>
      <c r="U11" s="52">
        <v>3</v>
      </c>
      <c r="V11" s="52">
        <v>10</v>
      </c>
      <c r="W11" s="43">
        <v>30</v>
      </c>
      <c r="X11" s="43"/>
      <c r="Y11" s="44"/>
      <c r="Z11" s="53"/>
      <c r="AA11" s="25"/>
      <c r="AB11" s="25"/>
    </row>
    <row r="12" spans="2:35">
      <c r="B12" s="39">
        <v>0.66805555555555562</v>
      </c>
      <c r="C12" s="39"/>
      <c r="D12" s="40">
        <v>8</v>
      </c>
      <c r="E12" s="40">
        <v>1</v>
      </c>
      <c r="F12" s="41" t="s">
        <v>161</v>
      </c>
      <c r="G12" s="41" t="s">
        <v>160</v>
      </c>
      <c r="H12" s="41" t="s">
        <v>170</v>
      </c>
      <c r="I12" s="41"/>
      <c r="J12" s="41">
        <v>4</v>
      </c>
      <c r="K12" s="25" t="str">
        <f>VLOOKUP(J12,Key!$E$2:$F$9,2,FALSE)</f>
        <v>Commercial</v>
      </c>
      <c r="L12" s="41" t="s">
        <v>171</v>
      </c>
      <c r="M12" s="42" t="s">
        <v>160</v>
      </c>
      <c r="N12" s="42" t="s">
        <v>170</v>
      </c>
      <c r="O12" s="42"/>
      <c r="P12" s="42">
        <v>1</v>
      </c>
      <c r="Q12" s="25" t="str">
        <f>VLOOKUP(P12,Key!$E$2:$F$9,2,FALSE)</f>
        <v>Home</v>
      </c>
      <c r="R12" s="25" t="str">
        <f t="shared" si="0"/>
        <v>Commercial-Home</v>
      </c>
      <c r="S12" s="43"/>
      <c r="T12" s="43">
        <v>0.7</v>
      </c>
      <c r="U12" s="52">
        <v>2</v>
      </c>
      <c r="V12" s="52">
        <v>10</v>
      </c>
      <c r="W12" s="43"/>
      <c r="X12" s="43"/>
      <c r="Y12" s="44"/>
      <c r="Z12" s="53"/>
      <c r="AA12" s="25"/>
      <c r="AB12" s="25"/>
    </row>
    <row r="13" spans="2:35">
      <c r="B13" s="39">
        <v>0.69444444444444453</v>
      </c>
      <c r="C13" s="39"/>
      <c r="D13" s="40">
        <v>1</v>
      </c>
      <c r="E13" s="40">
        <v>1</v>
      </c>
      <c r="F13" s="41" t="s">
        <v>159</v>
      </c>
      <c r="G13" s="41" t="s">
        <v>160</v>
      </c>
      <c r="H13" s="41" t="s">
        <v>170</v>
      </c>
      <c r="I13" s="41"/>
      <c r="J13" s="41">
        <v>2</v>
      </c>
      <c r="K13" s="25" t="str">
        <f>VLOOKUP(J13,Key!$E$2:$F$9,2,FALSE)</f>
        <v>Work</v>
      </c>
      <c r="L13" s="41" t="s">
        <v>174</v>
      </c>
      <c r="M13" s="42" t="s">
        <v>175</v>
      </c>
      <c r="N13" s="42" t="s">
        <v>170</v>
      </c>
      <c r="O13" s="42"/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3"/>
      <c r="T13" s="43">
        <v>4</v>
      </c>
      <c r="U13" s="52">
        <v>3</v>
      </c>
      <c r="V13" s="52">
        <v>3</v>
      </c>
      <c r="W13" s="43"/>
      <c r="X13" s="43"/>
      <c r="Y13" s="44"/>
      <c r="Z13" s="53"/>
      <c r="AA13" s="25"/>
      <c r="AB13" s="25"/>
    </row>
    <row r="14" spans="2:35">
      <c r="B14" s="39">
        <v>0.41875000000000001</v>
      </c>
      <c r="C14" s="39"/>
      <c r="D14" s="40">
        <v>9</v>
      </c>
      <c r="E14" s="40">
        <v>2</v>
      </c>
      <c r="F14" s="41" t="s">
        <v>162</v>
      </c>
      <c r="G14" s="41" t="s">
        <v>163</v>
      </c>
      <c r="H14" s="41" t="s">
        <v>170</v>
      </c>
      <c r="I14" s="41"/>
      <c r="J14" s="41">
        <v>2</v>
      </c>
      <c r="K14" s="25" t="str">
        <f>VLOOKUP(J14,Key!$E$2:$F$9,2,FALSE)</f>
        <v>Work</v>
      </c>
      <c r="L14" s="41" t="s">
        <v>159</v>
      </c>
      <c r="M14" s="42" t="s">
        <v>160</v>
      </c>
      <c r="N14" s="42" t="s">
        <v>170</v>
      </c>
      <c r="O14" s="42"/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43"/>
      <c r="T14" s="43">
        <v>7</v>
      </c>
      <c r="U14" s="52">
        <v>2</v>
      </c>
      <c r="V14" s="52">
        <v>8</v>
      </c>
      <c r="W14" s="43">
        <v>1.5</v>
      </c>
      <c r="X14" s="43"/>
      <c r="Y14" s="44"/>
      <c r="Z14" s="53"/>
      <c r="AA14" s="25"/>
      <c r="AB14" s="25"/>
    </row>
    <row r="15" spans="2:35">
      <c r="B15" s="39">
        <v>0.4236111111111111</v>
      </c>
      <c r="C15" s="39"/>
      <c r="D15" s="40">
        <v>5</v>
      </c>
      <c r="E15" s="40">
        <v>68</v>
      </c>
      <c r="F15" s="41" t="s">
        <v>162</v>
      </c>
      <c r="G15" s="41" t="s">
        <v>163</v>
      </c>
      <c r="H15" s="41" t="s">
        <v>170</v>
      </c>
      <c r="I15" s="41"/>
      <c r="J15" s="41">
        <v>8</v>
      </c>
      <c r="K15" s="25" t="str">
        <f>VLOOKUP(J15,Key!$E$2:$F$9,2,FALSE)</f>
        <v>Others</v>
      </c>
      <c r="L15" s="41" t="s">
        <v>159</v>
      </c>
      <c r="M15" s="42" t="s">
        <v>160</v>
      </c>
      <c r="N15" s="42" t="s">
        <v>170</v>
      </c>
      <c r="O15" s="42"/>
      <c r="P15" s="42">
        <v>8</v>
      </c>
      <c r="Q15" s="25" t="str">
        <f>VLOOKUP(P15,Key!$E$2:$F$9,2,FALSE)</f>
        <v>Others</v>
      </c>
      <c r="R15" s="25" t="str">
        <f t="shared" si="0"/>
        <v>Others-Others</v>
      </c>
      <c r="S15" s="43"/>
      <c r="T15" s="43">
        <v>8</v>
      </c>
      <c r="U15" s="52">
        <v>2</v>
      </c>
      <c r="V15" s="52">
        <v>10</v>
      </c>
      <c r="W15" s="43"/>
      <c r="X15" s="43"/>
      <c r="Y15" s="44"/>
      <c r="Z15" s="53"/>
      <c r="AA15" s="25"/>
      <c r="AB15" s="25"/>
    </row>
    <row r="16" spans="2:35">
      <c r="B16" s="39">
        <v>0.44444444444444442</v>
      </c>
      <c r="C16" s="39"/>
      <c r="D16" s="40">
        <v>5</v>
      </c>
      <c r="E16" s="40">
        <v>6</v>
      </c>
      <c r="F16" s="41" t="s">
        <v>161</v>
      </c>
      <c r="G16" s="41" t="s">
        <v>160</v>
      </c>
      <c r="H16" s="41" t="s">
        <v>170</v>
      </c>
      <c r="I16" s="41"/>
      <c r="J16" s="41">
        <v>2</v>
      </c>
      <c r="K16" s="25" t="str">
        <f>VLOOKUP(J16,Key!$E$2:$F$9,2,FALSE)</f>
        <v>Work</v>
      </c>
      <c r="L16" s="41" t="s">
        <v>176</v>
      </c>
      <c r="M16" s="42" t="s">
        <v>160</v>
      </c>
      <c r="N16" s="42" t="s">
        <v>170</v>
      </c>
      <c r="O16" s="42"/>
      <c r="P16" s="42">
        <v>2</v>
      </c>
      <c r="Q16" s="25" t="str">
        <f>VLOOKUP(P16,Key!$E$2:$F$9,2,FALSE)</f>
        <v>Work</v>
      </c>
      <c r="R16" s="25" t="str">
        <f t="shared" si="0"/>
        <v>Work-Work</v>
      </c>
      <c r="S16" s="43"/>
      <c r="T16" s="43">
        <v>6.5</v>
      </c>
      <c r="U16" s="52">
        <v>6</v>
      </c>
      <c r="V16" s="52">
        <v>10</v>
      </c>
      <c r="W16" s="43">
        <v>6</v>
      </c>
      <c r="X16" s="43"/>
      <c r="Y16" s="44"/>
      <c r="Z16" s="53"/>
      <c r="AA16" s="25"/>
      <c r="AB16" s="25"/>
    </row>
    <row r="17" spans="2:28">
      <c r="B17" s="39">
        <v>0.4458333333333333</v>
      </c>
      <c r="C17" s="39"/>
      <c r="D17" s="40">
        <v>5</v>
      </c>
      <c r="E17" s="40">
        <v>3</v>
      </c>
      <c r="F17" s="41" t="s">
        <v>164</v>
      </c>
      <c r="G17" s="41" t="s">
        <v>165</v>
      </c>
      <c r="H17" s="41" t="s">
        <v>178</v>
      </c>
      <c r="I17" s="41"/>
      <c r="J17" s="41">
        <v>2</v>
      </c>
      <c r="K17" s="25" t="str">
        <f>VLOOKUP(J17,Key!$E$2:$F$9,2,FALSE)</f>
        <v>Work</v>
      </c>
      <c r="L17" s="41" t="s">
        <v>176</v>
      </c>
      <c r="M17" s="42" t="s">
        <v>160</v>
      </c>
      <c r="N17" s="42" t="s">
        <v>170</v>
      </c>
      <c r="O17" s="42"/>
      <c r="P17" s="42">
        <v>4</v>
      </c>
      <c r="Q17" s="25" t="str">
        <f>VLOOKUP(P17,Key!$E$2:$F$9,2,FALSE)</f>
        <v>Commercial</v>
      </c>
      <c r="R17" s="25" t="str">
        <f t="shared" si="0"/>
        <v>Work-Commercial</v>
      </c>
      <c r="S17" s="43"/>
      <c r="T17" s="43">
        <v>5</v>
      </c>
      <c r="U17" s="52">
        <v>4</v>
      </c>
      <c r="V17" s="52">
        <v>10</v>
      </c>
      <c r="W17" s="43"/>
      <c r="X17" s="43"/>
      <c r="Y17" s="44"/>
      <c r="Z17" s="53"/>
      <c r="AA17" s="25"/>
      <c r="AB17" s="25"/>
    </row>
    <row r="18" spans="2:28">
      <c r="B18" s="39">
        <v>0.45208333333333334</v>
      </c>
      <c r="C18" s="39"/>
      <c r="D18" s="40">
        <v>5</v>
      </c>
      <c r="E18" s="40">
        <v>10</v>
      </c>
      <c r="F18" s="41" t="s">
        <v>166</v>
      </c>
      <c r="G18" s="41" t="s">
        <v>167</v>
      </c>
      <c r="H18" s="41" t="s">
        <v>170</v>
      </c>
      <c r="I18" s="41"/>
      <c r="J18" s="41">
        <v>5</v>
      </c>
      <c r="K18" s="25" t="str">
        <f>VLOOKUP(J18,Key!$E$2:$F$9,2,FALSE)</f>
        <v>Tourism</v>
      </c>
      <c r="L18" s="41" t="s">
        <v>176</v>
      </c>
      <c r="M18" s="42" t="s">
        <v>160</v>
      </c>
      <c r="N18" s="42" t="s">
        <v>170</v>
      </c>
      <c r="O18" s="42"/>
      <c r="P18" s="42">
        <v>4</v>
      </c>
      <c r="Q18" s="25" t="str">
        <f>VLOOKUP(P18,Key!$E$2:$F$9,2,FALSE)</f>
        <v>Commercial</v>
      </c>
      <c r="R18" s="25" t="str">
        <f t="shared" si="0"/>
        <v>Tourism-Commercial</v>
      </c>
      <c r="S18" s="43"/>
      <c r="T18" s="43">
        <v>1.5</v>
      </c>
      <c r="U18" s="52">
        <v>5</v>
      </c>
      <c r="V18" s="52">
        <v>10</v>
      </c>
      <c r="W18" s="43"/>
      <c r="X18" s="43"/>
      <c r="Y18" s="44"/>
      <c r="Z18" s="53"/>
      <c r="AA18" s="25"/>
      <c r="AB18" s="25"/>
    </row>
    <row r="19" spans="2:28">
      <c r="B19" s="39">
        <v>3.7499999999999999E-2</v>
      </c>
      <c r="C19" s="39"/>
      <c r="D19" s="40">
        <v>2</v>
      </c>
      <c r="E19" s="40">
        <v>4</v>
      </c>
      <c r="F19" s="41" t="s">
        <v>168</v>
      </c>
      <c r="G19" s="41" t="s">
        <v>160</v>
      </c>
      <c r="H19" s="41" t="s">
        <v>170</v>
      </c>
      <c r="I19" s="41"/>
      <c r="J19" s="41">
        <v>1</v>
      </c>
      <c r="K19" s="25" t="str">
        <f>VLOOKUP(J19,Key!$E$2:$F$9,2,FALSE)</f>
        <v>Home</v>
      </c>
      <c r="L19" s="41" t="s">
        <v>159</v>
      </c>
      <c r="M19" s="42" t="s">
        <v>160</v>
      </c>
      <c r="N19" s="42" t="s">
        <v>170</v>
      </c>
      <c r="O19" s="42"/>
      <c r="P19" s="42">
        <v>4</v>
      </c>
      <c r="Q19" s="25" t="str">
        <f>VLOOKUP(P19,Key!$E$2:$F$9,2,FALSE)</f>
        <v>Commercial</v>
      </c>
      <c r="R19" s="25" t="str">
        <f t="shared" si="0"/>
        <v>Home-Commercial</v>
      </c>
      <c r="S19" s="43"/>
      <c r="T19" s="43">
        <v>0.5</v>
      </c>
      <c r="U19" s="52">
        <v>3</v>
      </c>
      <c r="V19" s="52">
        <v>10</v>
      </c>
      <c r="W19" s="43"/>
      <c r="X19" s="43"/>
      <c r="Y19" s="44"/>
      <c r="Z19" s="53"/>
      <c r="AA19" s="25"/>
      <c r="AB19" s="25"/>
    </row>
    <row r="20" spans="2:28">
      <c r="B20" s="39">
        <v>0.60277777777777775</v>
      </c>
      <c r="C20" s="39"/>
      <c r="D20" s="40">
        <v>8</v>
      </c>
      <c r="E20" s="40">
        <v>5</v>
      </c>
      <c r="F20" s="41" t="s">
        <v>169</v>
      </c>
      <c r="G20" s="41" t="s">
        <v>169</v>
      </c>
      <c r="H20" s="41" t="s">
        <v>170</v>
      </c>
      <c r="I20" s="41"/>
      <c r="J20" s="41">
        <v>2</v>
      </c>
      <c r="K20" s="25" t="str">
        <f>VLOOKUP(J20,Key!$E$2:$F$9,2,FALSE)</f>
        <v>Work</v>
      </c>
      <c r="L20" s="41" t="s">
        <v>159</v>
      </c>
      <c r="M20" s="42" t="s">
        <v>160</v>
      </c>
      <c r="N20" s="42" t="s">
        <v>170</v>
      </c>
      <c r="O20" s="42"/>
      <c r="P20" s="42">
        <v>4</v>
      </c>
      <c r="Q20" s="25" t="str">
        <f>VLOOKUP(P20,Key!$E$2:$F$9,2,FALSE)</f>
        <v>Commercial</v>
      </c>
      <c r="R20" s="25" t="str">
        <f t="shared" si="0"/>
        <v>Work-Commercial</v>
      </c>
      <c r="S20" s="43"/>
      <c r="T20" s="43">
        <v>1.5</v>
      </c>
      <c r="U20" s="52">
        <v>3</v>
      </c>
      <c r="V20" s="52"/>
      <c r="W20" s="43"/>
      <c r="X20" s="43"/>
      <c r="Y20" s="44"/>
      <c r="Z20" s="53"/>
      <c r="AA20" s="25"/>
      <c r="AB20" s="25"/>
    </row>
    <row r="21" spans="2:28">
      <c r="B21" s="39">
        <v>0.67499999999999993</v>
      </c>
      <c r="C21" s="39"/>
      <c r="D21" s="40">
        <v>10</v>
      </c>
      <c r="E21" s="40">
        <v>2</v>
      </c>
      <c r="F21" s="41" t="s">
        <v>161</v>
      </c>
      <c r="G21" s="41" t="s">
        <v>160</v>
      </c>
      <c r="H21" s="41" t="s">
        <v>170</v>
      </c>
      <c r="I21" s="41"/>
      <c r="J21" s="41">
        <v>4</v>
      </c>
      <c r="K21" s="25" t="str">
        <f>VLOOKUP(J21,Key!$E$2:$F$9,2,FALSE)</f>
        <v>Commercial</v>
      </c>
      <c r="L21" s="41" t="s">
        <v>177</v>
      </c>
      <c r="M21" s="42" t="s">
        <v>177</v>
      </c>
      <c r="N21" s="42" t="s">
        <v>170</v>
      </c>
      <c r="O21" s="42"/>
      <c r="P21" s="42">
        <v>4</v>
      </c>
      <c r="Q21" s="25" t="str">
        <f>VLOOKUP(P21,Key!$E$2:$F$9,2,FALSE)</f>
        <v>Commercial</v>
      </c>
      <c r="R21" s="25" t="str">
        <f t="shared" si="0"/>
        <v>Commercial-Commercial</v>
      </c>
      <c r="S21" s="43"/>
      <c r="T21" s="43">
        <v>5</v>
      </c>
      <c r="U21" s="52">
        <v>3</v>
      </c>
      <c r="V21" s="52">
        <v>10</v>
      </c>
      <c r="W21" s="43"/>
      <c r="X21" s="43"/>
      <c r="Y21" s="44"/>
      <c r="Z21" s="53"/>
      <c r="AA21" s="25"/>
      <c r="AB21" s="25"/>
    </row>
    <row r="22" spans="2:28">
      <c r="B22" s="39">
        <v>0.72916666666666663</v>
      </c>
      <c r="C22" s="39"/>
      <c r="D22" s="40">
        <v>2</v>
      </c>
      <c r="E22" s="40">
        <v>3</v>
      </c>
      <c r="F22" s="41" t="s">
        <v>166</v>
      </c>
      <c r="G22" s="41" t="s">
        <v>167</v>
      </c>
      <c r="H22" s="41" t="s">
        <v>170</v>
      </c>
      <c r="I22" s="41"/>
      <c r="J22" s="41">
        <v>4</v>
      </c>
      <c r="K22" s="25" t="str">
        <f>VLOOKUP(J22,Key!$E$2:$F$9,2,FALSE)</f>
        <v>Commercial</v>
      </c>
      <c r="L22" s="41" t="s">
        <v>159</v>
      </c>
      <c r="M22" s="42" t="s">
        <v>160</v>
      </c>
      <c r="N22" s="42" t="s">
        <v>170</v>
      </c>
      <c r="O22" s="42"/>
      <c r="P22" s="42">
        <v>4</v>
      </c>
      <c r="Q22" s="25" t="str">
        <f>VLOOKUP(P22,Key!$E$2:$F$9,2,FALSE)</f>
        <v>Commercial</v>
      </c>
      <c r="R22" s="25" t="str">
        <f t="shared" si="0"/>
        <v>Commercial-Commercial</v>
      </c>
      <c r="S22" s="43"/>
      <c r="T22" s="43">
        <v>1.5</v>
      </c>
      <c r="U22" s="52">
        <v>4</v>
      </c>
      <c r="V22" s="52">
        <v>9</v>
      </c>
      <c r="W22" s="43">
        <v>1</v>
      </c>
      <c r="X22" s="43"/>
      <c r="Y22" s="44"/>
      <c r="Z22" s="53"/>
      <c r="AA22" s="25"/>
      <c r="AB22" s="25"/>
    </row>
    <row r="23" spans="2:28">
      <c r="B23" s="39">
        <v>0.74861111111111101</v>
      </c>
      <c r="C23" s="39"/>
      <c r="D23" s="40">
        <v>1</v>
      </c>
      <c r="E23" s="40">
        <v>2</v>
      </c>
      <c r="F23" s="41" t="s">
        <v>164</v>
      </c>
      <c r="G23" s="41" t="s">
        <v>165</v>
      </c>
      <c r="H23" s="41" t="s">
        <v>178</v>
      </c>
      <c r="I23" s="41"/>
      <c r="J23" s="41">
        <v>4</v>
      </c>
      <c r="K23" s="25" t="str">
        <f>VLOOKUP(J23,Key!$E$2:$F$9,2,FALSE)</f>
        <v>Commercial</v>
      </c>
      <c r="L23" s="41" t="s">
        <v>159</v>
      </c>
      <c r="M23" s="42" t="s">
        <v>160</v>
      </c>
      <c r="N23" s="42" t="s">
        <v>170</v>
      </c>
      <c r="O23" s="42"/>
      <c r="P23" s="42">
        <v>1</v>
      </c>
      <c r="Q23" s="25" t="str">
        <f>VLOOKUP(P23,Key!$E$2:$F$9,2,FALSE)</f>
        <v>Home</v>
      </c>
      <c r="R23" s="25" t="str">
        <f t="shared" si="0"/>
        <v>Commercial-Home</v>
      </c>
      <c r="S23" s="43"/>
      <c r="T23" s="43">
        <v>11</v>
      </c>
      <c r="U23" s="52">
        <v>3</v>
      </c>
      <c r="V23" s="52">
        <v>10</v>
      </c>
      <c r="W23" s="43"/>
      <c r="X23" s="43"/>
      <c r="Y23" s="44"/>
      <c r="Z23" s="53"/>
      <c r="AA23" s="25"/>
      <c r="AB23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05" t="s">
        <v>8</v>
      </c>
      <c r="C7" s="107" t="s">
        <v>9</v>
      </c>
      <c r="D7" s="107" t="s">
        <v>10</v>
      </c>
      <c r="E7" s="107" t="s">
        <v>11</v>
      </c>
      <c r="F7" s="107" t="s">
        <v>12</v>
      </c>
      <c r="G7" s="107"/>
      <c r="H7" s="107" t="s">
        <v>15</v>
      </c>
      <c r="I7" s="107" t="s">
        <v>16</v>
      </c>
      <c r="J7" s="107" t="s">
        <v>17</v>
      </c>
      <c r="K7" s="107"/>
      <c r="L7" s="107" t="s">
        <v>18</v>
      </c>
      <c r="M7" s="107" t="s">
        <v>19</v>
      </c>
      <c r="N7" s="107" t="s">
        <v>20</v>
      </c>
      <c r="O7" s="113" t="s">
        <v>21</v>
      </c>
      <c r="P7" s="118" t="s">
        <v>27</v>
      </c>
      <c r="Q7" s="119"/>
    </row>
    <row r="8" spans="2:25" ht="24.75" customHeight="1" thickBot="1">
      <c r="B8" s="122"/>
      <c r="C8" s="123"/>
      <c r="D8" s="123"/>
      <c r="E8" s="123"/>
      <c r="F8" s="18" t="s">
        <v>13</v>
      </c>
      <c r="G8" s="18" t="s">
        <v>14</v>
      </c>
      <c r="H8" s="123"/>
      <c r="I8" s="123"/>
      <c r="J8" s="18" t="s">
        <v>13</v>
      </c>
      <c r="K8" s="18" t="s">
        <v>14</v>
      </c>
      <c r="L8" s="123"/>
      <c r="M8" s="123"/>
      <c r="N8" s="123"/>
      <c r="O8" s="124"/>
      <c r="P8" s="120"/>
      <c r="Q8" s="121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I14"/>
  <sheetViews>
    <sheetView topLeftCell="A2" zoomScale="75" zoomScaleNormal="75" zoomScaleSheetLayoutView="80" workbookViewId="0">
      <selection activeCell="B9" sqref="B9:AB1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0" t="s">
        <v>131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6"/>
      <c r="AD1" s="6"/>
      <c r="AE1" s="6"/>
      <c r="AF1" s="6"/>
      <c r="AG1" s="6"/>
      <c r="AH1" s="6"/>
      <c r="AI1" s="6"/>
    </row>
    <row r="2" spans="2:35" ht="1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7" t="str">
        <f>'03.08 Palabek-Atiak'!C4</f>
        <v>03.08.19</v>
      </c>
      <c r="E4" s="1" t="s">
        <v>67</v>
      </c>
      <c r="F4" s="125" t="str">
        <f>'03.08 Palabek-Atiak'!F4:G4</f>
        <v>Kitgum Atiak</v>
      </c>
      <c r="G4" s="126"/>
      <c r="I4" s="27" t="s">
        <v>68</v>
      </c>
      <c r="J4" s="5"/>
      <c r="K4" s="5"/>
      <c r="L4" s="46" t="s">
        <v>158</v>
      </c>
      <c r="M4" s="2"/>
      <c r="N4" s="1" t="s">
        <v>70</v>
      </c>
      <c r="O4" s="103" t="s">
        <v>154</v>
      </c>
      <c r="P4" s="104"/>
      <c r="Q4" s="104"/>
      <c r="R4" s="104"/>
      <c r="S4" s="104"/>
      <c r="T4" s="104"/>
      <c r="V4" s="1" t="s">
        <v>71</v>
      </c>
      <c r="W4" s="49" t="str">
        <f>'03.08 Palabek-Atiak'!W4</f>
        <v>Isaac</v>
      </c>
      <c r="Y4" s="27" t="s">
        <v>6</v>
      </c>
      <c r="Z4" s="38" t="str">
        <f>'03.08 Palabek-Atiak'!Z4</f>
        <v>Sheba N</v>
      </c>
      <c r="AA4" s="31" t="s">
        <v>7</v>
      </c>
      <c r="AB4" s="38" t="str">
        <f>'03.08 Palabek-Atiak'!AB4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69</v>
      </c>
      <c r="J5" s="2"/>
      <c r="K5" s="2"/>
      <c r="L5" s="47" t="s">
        <v>157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05" t="s">
        <v>34</v>
      </c>
      <c r="C7" s="98" t="s">
        <v>58</v>
      </c>
      <c r="D7" s="107" t="s">
        <v>9</v>
      </c>
      <c r="E7" s="98" t="s">
        <v>35</v>
      </c>
      <c r="F7" s="110" t="s">
        <v>12</v>
      </c>
      <c r="G7" s="111"/>
      <c r="H7" s="112"/>
      <c r="I7" s="107" t="s">
        <v>61</v>
      </c>
      <c r="J7" s="98" t="s">
        <v>15</v>
      </c>
      <c r="K7" s="98" t="s">
        <v>132</v>
      </c>
      <c r="L7" s="110" t="s">
        <v>17</v>
      </c>
      <c r="M7" s="111"/>
      <c r="N7" s="112"/>
      <c r="O7" s="107" t="s">
        <v>62</v>
      </c>
      <c r="P7" s="98" t="s">
        <v>18</v>
      </c>
      <c r="Q7" s="98" t="s">
        <v>133</v>
      </c>
      <c r="R7" s="98" t="s">
        <v>134</v>
      </c>
      <c r="S7" s="98" t="s">
        <v>136</v>
      </c>
      <c r="T7" s="98" t="s">
        <v>135</v>
      </c>
      <c r="U7" s="98" t="s">
        <v>63</v>
      </c>
      <c r="V7" s="115" t="s">
        <v>66</v>
      </c>
      <c r="W7" s="116"/>
      <c r="X7" s="117"/>
      <c r="Y7" s="98" t="s">
        <v>65</v>
      </c>
      <c r="Z7" s="98" t="s">
        <v>139</v>
      </c>
      <c r="AA7" s="107" t="s">
        <v>20</v>
      </c>
      <c r="AB7" s="113" t="s">
        <v>21</v>
      </c>
      <c r="AD7" s="19"/>
    </row>
    <row r="8" spans="2:35" ht="38.25" customHeight="1">
      <c r="B8" s="106"/>
      <c r="C8" s="99"/>
      <c r="D8" s="108"/>
      <c r="E8" s="109"/>
      <c r="F8" s="23" t="s">
        <v>73</v>
      </c>
      <c r="G8" s="23" t="s">
        <v>59</v>
      </c>
      <c r="H8" s="24" t="s">
        <v>60</v>
      </c>
      <c r="I8" s="108"/>
      <c r="J8" s="99"/>
      <c r="K8" s="99"/>
      <c r="L8" s="23" t="s">
        <v>73</v>
      </c>
      <c r="M8" s="23" t="s">
        <v>59</v>
      </c>
      <c r="N8" s="23" t="s">
        <v>60</v>
      </c>
      <c r="O8" s="108"/>
      <c r="P8" s="99"/>
      <c r="Q8" s="99"/>
      <c r="R8" s="99"/>
      <c r="S8" s="99"/>
      <c r="T8" s="99"/>
      <c r="U8" s="99"/>
      <c r="V8" s="29" t="s">
        <v>64</v>
      </c>
      <c r="W8" s="30" t="s">
        <v>137</v>
      </c>
      <c r="X8" s="30" t="s">
        <v>138</v>
      </c>
      <c r="Y8" s="99"/>
      <c r="Z8" s="99"/>
      <c r="AA8" s="108"/>
      <c r="AB8" s="114"/>
    </row>
    <row r="9" spans="2:35" s="19" customFormat="1">
      <c r="B9" s="39">
        <v>0.77083333333333337</v>
      </c>
      <c r="C9" s="39"/>
      <c r="D9" s="40">
        <v>2</v>
      </c>
      <c r="E9" s="41">
        <v>2</v>
      </c>
      <c r="F9" s="41" t="s">
        <v>179</v>
      </c>
      <c r="G9" s="42" t="s">
        <v>160</v>
      </c>
      <c r="H9" s="41" t="s">
        <v>170</v>
      </c>
      <c r="I9" s="42"/>
      <c r="J9" s="42">
        <v>2</v>
      </c>
      <c r="K9" s="25" t="str">
        <f>VLOOKUP(J9,Key!$E$2:$F$9,2,FALSE)</f>
        <v>Work</v>
      </c>
      <c r="L9" s="41" t="s">
        <v>166</v>
      </c>
      <c r="M9" s="42" t="s">
        <v>167</v>
      </c>
      <c r="N9" s="41" t="s">
        <v>170</v>
      </c>
      <c r="O9" s="42"/>
      <c r="P9" s="42">
        <v>1</v>
      </c>
      <c r="Q9" s="25" t="str">
        <f>VLOOKUP(P9,Key!$E$2:$F$9,2,FALSE)</f>
        <v>Home</v>
      </c>
      <c r="R9" s="25" t="str">
        <f>K9&amp;"-"&amp;Q9</f>
        <v>Work-Home</v>
      </c>
      <c r="S9" s="43"/>
      <c r="T9" s="43">
        <v>2.5</v>
      </c>
      <c r="U9" s="42">
        <v>2</v>
      </c>
      <c r="V9" s="42">
        <v>9</v>
      </c>
      <c r="W9" s="43"/>
      <c r="X9" s="43"/>
      <c r="Y9" s="44"/>
      <c r="Z9" s="54"/>
      <c r="AA9" s="25"/>
      <c r="AB9" s="25"/>
    </row>
    <row r="10" spans="2:35">
      <c r="B10" s="39">
        <v>0.39305555555555555</v>
      </c>
      <c r="C10" s="39"/>
      <c r="D10" s="40">
        <v>10</v>
      </c>
      <c r="E10" s="41">
        <v>1</v>
      </c>
      <c r="F10" s="41" t="s">
        <v>174</v>
      </c>
      <c r="G10" s="42" t="s">
        <v>175</v>
      </c>
      <c r="H10" s="41" t="s">
        <v>170</v>
      </c>
      <c r="I10" s="42"/>
      <c r="J10" s="42">
        <v>2</v>
      </c>
      <c r="K10" s="25" t="str">
        <f>VLOOKUP(J10,Key!$E$2:$F$9,2,FALSE)</f>
        <v>Work</v>
      </c>
      <c r="L10" s="41" t="s">
        <v>181</v>
      </c>
      <c r="M10" s="42" t="s">
        <v>160</v>
      </c>
      <c r="N10" s="41" t="s">
        <v>170</v>
      </c>
      <c r="O10" s="42"/>
      <c r="P10" s="42">
        <v>4</v>
      </c>
      <c r="Q10" s="25" t="str">
        <f>VLOOKUP(P10,Key!$E$2:$F$9,2,FALSE)</f>
        <v>Commercial</v>
      </c>
      <c r="R10" s="25" t="str">
        <f t="shared" ref="R10:R14" si="0">K10&amp;"-"&amp;Q10</f>
        <v>Work-Commercial</v>
      </c>
      <c r="S10" s="43"/>
      <c r="T10" s="43">
        <v>8</v>
      </c>
      <c r="U10" s="42">
        <v>3</v>
      </c>
      <c r="V10" s="42"/>
      <c r="W10" s="43"/>
      <c r="X10" s="43"/>
      <c r="Y10" s="44"/>
      <c r="Z10" s="54"/>
      <c r="AA10" s="25"/>
      <c r="AB10" s="25"/>
    </row>
    <row r="11" spans="2:35">
      <c r="B11" s="39">
        <v>0.37986111111111115</v>
      </c>
      <c r="C11" s="39"/>
      <c r="D11" s="40">
        <v>8</v>
      </c>
      <c r="E11" s="41">
        <v>2</v>
      </c>
      <c r="F11" s="41" t="s">
        <v>168</v>
      </c>
      <c r="G11" s="42" t="s">
        <v>160</v>
      </c>
      <c r="H11" s="41" t="s">
        <v>170</v>
      </c>
      <c r="I11" s="42"/>
      <c r="J11" s="42">
        <v>1</v>
      </c>
      <c r="K11" s="25" t="str">
        <f>VLOOKUP(J11,Key!$E$2:$F$9,2,FALSE)</f>
        <v>Home</v>
      </c>
      <c r="L11" s="41" t="s">
        <v>176</v>
      </c>
      <c r="M11" s="42" t="s">
        <v>160</v>
      </c>
      <c r="N11" s="41" t="s">
        <v>170</v>
      </c>
      <c r="O11" s="42"/>
      <c r="P11" s="42">
        <v>1</v>
      </c>
      <c r="Q11" s="25" t="str">
        <f>VLOOKUP(P11,Key!$E$2:$F$9,2,FALSE)</f>
        <v>Home</v>
      </c>
      <c r="R11" s="25" t="str">
        <f t="shared" si="0"/>
        <v>Home-Home</v>
      </c>
      <c r="S11" s="43"/>
      <c r="T11" s="43">
        <v>0.7</v>
      </c>
      <c r="U11" s="42">
        <v>3</v>
      </c>
      <c r="V11" s="42"/>
      <c r="W11" s="43"/>
      <c r="X11" s="43"/>
      <c r="Y11" s="44"/>
      <c r="Z11" s="54"/>
      <c r="AA11" s="25"/>
      <c r="AB11" s="25"/>
    </row>
    <row r="12" spans="2:35">
      <c r="B12" s="39">
        <v>0.34027777777777773</v>
      </c>
      <c r="C12" s="39"/>
      <c r="D12" s="40">
        <v>8</v>
      </c>
      <c r="E12" s="41">
        <v>1</v>
      </c>
      <c r="F12" s="41" t="s">
        <v>166</v>
      </c>
      <c r="G12" s="42" t="s">
        <v>167</v>
      </c>
      <c r="H12" s="41" t="s">
        <v>170</v>
      </c>
      <c r="I12" s="42"/>
      <c r="J12" s="42">
        <v>2</v>
      </c>
      <c r="K12" s="25" t="str">
        <f>VLOOKUP(J12,Key!$E$2:$F$9,2,FALSE)</f>
        <v>Work</v>
      </c>
      <c r="L12" s="41" t="s">
        <v>182</v>
      </c>
      <c r="M12" s="42" t="s">
        <v>160</v>
      </c>
      <c r="N12" s="41" t="s">
        <v>170</v>
      </c>
      <c r="O12" s="42"/>
      <c r="P12" s="42">
        <v>4</v>
      </c>
      <c r="Q12" s="25" t="str">
        <f>VLOOKUP(P12,Key!$E$2:$F$9,2,FALSE)</f>
        <v>Commercial</v>
      </c>
      <c r="R12" s="25" t="str">
        <f t="shared" si="0"/>
        <v>Work-Commercial</v>
      </c>
      <c r="S12" s="43"/>
      <c r="T12" s="43">
        <v>1.5</v>
      </c>
      <c r="U12" s="42">
        <v>2</v>
      </c>
      <c r="V12" s="42">
        <v>10</v>
      </c>
      <c r="W12" s="43"/>
      <c r="X12" s="43"/>
      <c r="Y12" s="44"/>
      <c r="Z12" s="54"/>
      <c r="AA12" s="25"/>
      <c r="AB12" s="25"/>
    </row>
    <row r="13" spans="2:35">
      <c r="B13" s="39">
        <v>0.34375</v>
      </c>
      <c r="C13" s="39"/>
      <c r="D13" s="40">
        <v>8</v>
      </c>
      <c r="E13" s="41">
        <v>2</v>
      </c>
      <c r="F13" s="41" t="s">
        <v>166</v>
      </c>
      <c r="G13" s="42" t="s">
        <v>167</v>
      </c>
      <c r="H13" s="41" t="s">
        <v>170</v>
      </c>
      <c r="I13" s="42"/>
      <c r="J13" s="42">
        <v>2</v>
      </c>
      <c r="K13" s="25" t="str">
        <f>VLOOKUP(J13,Key!$E$2:$F$9,2,FALSE)</f>
        <v>Work</v>
      </c>
      <c r="L13" s="41" t="s">
        <v>183</v>
      </c>
      <c r="M13" s="42" t="s">
        <v>160</v>
      </c>
      <c r="N13" s="41" t="s">
        <v>170</v>
      </c>
      <c r="O13" s="42"/>
      <c r="P13" s="42">
        <v>4</v>
      </c>
      <c r="Q13" s="25" t="str">
        <f>VLOOKUP(P13,Key!$E$2:$F$9,2,FALSE)</f>
        <v>Commercial</v>
      </c>
      <c r="R13" s="25" t="str">
        <f t="shared" si="0"/>
        <v>Work-Commercial</v>
      </c>
      <c r="S13" s="43"/>
      <c r="T13" s="43">
        <v>1.5</v>
      </c>
      <c r="U13" s="42">
        <v>1</v>
      </c>
      <c r="V13" s="42"/>
      <c r="W13" s="43"/>
      <c r="X13" s="43"/>
      <c r="Y13" s="44"/>
      <c r="Z13" s="54"/>
      <c r="AA13" s="25"/>
      <c r="AB13" s="25"/>
    </row>
    <row r="14" spans="2:35">
      <c r="B14" s="39">
        <v>0.33749999999999997</v>
      </c>
      <c r="C14" s="39"/>
      <c r="D14" s="40">
        <v>8</v>
      </c>
      <c r="E14" s="41">
        <v>2</v>
      </c>
      <c r="F14" s="41" t="s">
        <v>180</v>
      </c>
      <c r="G14" s="42" t="s">
        <v>180</v>
      </c>
      <c r="H14" s="41" t="s">
        <v>170</v>
      </c>
      <c r="I14" s="42"/>
      <c r="J14" s="42">
        <v>1</v>
      </c>
      <c r="K14" s="25" t="str">
        <f>VLOOKUP(J14,Key!$E$2:$F$9,2,FALSE)</f>
        <v>Home</v>
      </c>
      <c r="L14" s="41" t="s">
        <v>184</v>
      </c>
      <c r="M14" s="42" t="s">
        <v>177</v>
      </c>
      <c r="N14" s="41" t="s">
        <v>170</v>
      </c>
      <c r="O14" s="42"/>
      <c r="P14" s="42">
        <v>4</v>
      </c>
      <c r="Q14" s="25" t="str">
        <f>VLOOKUP(P14,Key!$E$2:$F$9,2,FALSE)</f>
        <v>Commercial</v>
      </c>
      <c r="R14" s="25" t="str">
        <f t="shared" si="0"/>
        <v>Home-Commercial</v>
      </c>
      <c r="S14" s="43"/>
      <c r="T14" s="43">
        <v>8</v>
      </c>
      <c r="U14" s="42">
        <v>3</v>
      </c>
      <c r="V14" s="42"/>
      <c r="W14" s="43"/>
      <c r="X14" s="43"/>
      <c r="Y14" s="44"/>
      <c r="Z14" s="54"/>
      <c r="AA14" s="25"/>
      <c r="AB14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86</v>
      </c>
      <c r="E1" s="33"/>
      <c r="F1" s="34" t="s">
        <v>103</v>
      </c>
      <c r="G1" s="35"/>
      <c r="H1" s="35" t="s">
        <v>111</v>
      </c>
      <c r="I1" s="35"/>
      <c r="J1" s="35" t="s">
        <v>118</v>
      </c>
      <c r="K1" s="35"/>
      <c r="L1" s="35"/>
      <c r="M1" s="35"/>
      <c r="N1" s="35"/>
      <c r="O1" s="35"/>
    </row>
    <row r="2" spans="1:15">
      <c r="A2">
        <v>1</v>
      </c>
      <c r="B2" s="32" t="s">
        <v>74</v>
      </c>
      <c r="C2" s="10">
        <v>1</v>
      </c>
      <c r="D2" s="32" t="s">
        <v>87</v>
      </c>
      <c r="E2" s="10">
        <v>1</v>
      </c>
      <c r="F2" t="s">
        <v>104</v>
      </c>
      <c r="G2">
        <v>1</v>
      </c>
      <c r="H2" s="19" t="s">
        <v>112</v>
      </c>
      <c r="I2">
        <v>1</v>
      </c>
      <c r="J2" s="19" t="s">
        <v>119</v>
      </c>
    </row>
    <row r="3" spans="1:15">
      <c r="A3">
        <v>2</v>
      </c>
      <c r="B3" s="32" t="s">
        <v>75</v>
      </c>
      <c r="C3" s="10">
        <v>2</v>
      </c>
      <c r="D3" s="32" t="s">
        <v>88</v>
      </c>
      <c r="E3" s="10">
        <v>2</v>
      </c>
      <c r="F3" t="s">
        <v>105</v>
      </c>
      <c r="G3">
        <v>2</v>
      </c>
      <c r="H3" s="19" t="s">
        <v>113</v>
      </c>
      <c r="I3">
        <v>2</v>
      </c>
      <c r="J3" s="19" t="s">
        <v>120</v>
      </c>
    </row>
    <row r="4" spans="1:15">
      <c r="A4">
        <v>3</v>
      </c>
      <c r="B4" s="32" t="s">
        <v>76</v>
      </c>
      <c r="C4" s="10">
        <v>3</v>
      </c>
      <c r="D4" s="32" t="s">
        <v>89</v>
      </c>
      <c r="E4" s="10">
        <v>3</v>
      </c>
      <c r="F4" t="s">
        <v>106</v>
      </c>
      <c r="G4">
        <v>3</v>
      </c>
      <c r="H4" s="19" t="s">
        <v>114</v>
      </c>
      <c r="I4">
        <v>3</v>
      </c>
      <c r="J4" s="19" t="s">
        <v>121</v>
      </c>
    </row>
    <row r="5" spans="1:15">
      <c r="A5">
        <v>4</v>
      </c>
      <c r="B5" s="32" t="s">
        <v>77</v>
      </c>
      <c r="C5" s="10">
        <v>4</v>
      </c>
      <c r="D5" s="32" t="s">
        <v>90</v>
      </c>
      <c r="E5" s="10">
        <v>4</v>
      </c>
      <c r="F5" t="s">
        <v>107</v>
      </c>
      <c r="G5">
        <v>4</v>
      </c>
      <c r="H5" s="19" t="s">
        <v>115</v>
      </c>
      <c r="I5">
        <v>4</v>
      </c>
      <c r="J5" s="36" t="s">
        <v>122</v>
      </c>
    </row>
    <row r="6" spans="1:15">
      <c r="A6">
        <v>5</v>
      </c>
      <c r="B6" s="32" t="s">
        <v>78</v>
      </c>
      <c r="C6" s="10">
        <v>5</v>
      </c>
      <c r="D6" s="32" t="s">
        <v>91</v>
      </c>
      <c r="E6" s="10">
        <v>5</v>
      </c>
      <c r="F6" t="s">
        <v>108</v>
      </c>
      <c r="G6">
        <v>5</v>
      </c>
      <c r="H6" s="19" t="s">
        <v>116</v>
      </c>
      <c r="I6">
        <v>5</v>
      </c>
      <c r="J6" s="19" t="s">
        <v>123</v>
      </c>
    </row>
    <row r="7" spans="1:15">
      <c r="A7">
        <v>6</v>
      </c>
      <c r="B7" s="32" t="s">
        <v>79</v>
      </c>
      <c r="C7" s="10">
        <v>6</v>
      </c>
      <c r="D7" s="32" t="s">
        <v>92</v>
      </c>
      <c r="E7" s="10">
        <v>6</v>
      </c>
      <c r="F7" t="s">
        <v>109</v>
      </c>
      <c r="G7">
        <v>6</v>
      </c>
      <c r="H7" s="19" t="s">
        <v>117</v>
      </c>
      <c r="I7">
        <v>6</v>
      </c>
      <c r="J7" s="19" t="s">
        <v>124</v>
      </c>
    </row>
    <row r="8" spans="1:15">
      <c r="A8">
        <v>7</v>
      </c>
      <c r="B8" s="32" t="s">
        <v>80</v>
      </c>
      <c r="C8" s="10">
        <v>7</v>
      </c>
      <c r="D8" s="32" t="s">
        <v>93</v>
      </c>
      <c r="E8" s="10">
        <v>7</v>
      </c>
      <c r="F8" t="s">
        <v>91</v>
      </c>
      <c r="I8">
        <v>7</v>
      </c>
      <c r="J8" s="19" t="s">
        <v>125</v>
      </c>
    </row>
    <row r="9" spans="1:15">
      <c r="A9">
        <v>8</v>
      </c>
      <c r="B9" s="32" t="s">
        <v>81</v>
      </c>
      <c r="C9" s="10">
        <v>8</v>
      </c>
      <c r="D9" s="32" t="s">
        <v>94</v>
      </c>
      <c r="E9" s="10">
        <v>8</v>
      </c>
      <c r="F9" t="s">
        <v>110</v>
      </c>
      <c r="I9">
        <v>8</v>
      </c>
      <c r="J9" s="19" t="s">
        <v>126</v>
      </c>
    </row>
    <row r="10" spans="1:15">
      <c r="A10">
        <v>9</v>
      </c>
      <c r="B10" s="32" t="s">
        <v>82</v>
      </c>
      <c r="C10" s="10">
        <v>9</v>
      </c>
      <c r="D10" s="32" t="s">
        <v>95</v>
      </c>
      <c r="E10" s="10"/>
      <c r="I10">
        <v>9</v>
      </c>
      <c r="J10" s="19" t="s">
        <v>127</v>
      </c>
    </row>
    <row r="11" spans="1:15">
      <c r="A11">
        <v>10</v>
      </c>
      <c r="B11" s="32" t="s">
        <v>83</v>
      </c>
      <c r="C11" s="10">
        <v>10</v>
      </c>
      <c r="D11" s="32" t="s">
        <v>96</v>
      </c>
      <c r="E11" s="10"/>
      <c r="I11">
        <v>10</v>
      </c>
      <c r="J11" s="36" t="s">
        <v>128</v>
      </c>
    </row>
    <row r="12" spans="1:15">
      <c r="A12">
        <v>11</v>
      </c>
      <c r="B12" s="32" t="s">
        <v>85</v>
      </c>
      <c r="C12" s="10">
        <v>11</v>
      </c>
      <c r="D12" s="32" t="s">
        <v>97</v>
      </c>
      <c r="E12" s="10"/>
      <c r="I12">
        <v>11</v>
      </c>
      <c r="J12" s="19" t="s">
        <v>129</v>
      </c>
    </row>
    <row r="13" spans="1:15">
      <c r="A13">
        <v>12</v>
      </c>
      <c r="B13" s="32" t="s">
        <v>84</v>
      </c>
      <c r="C13" s="10">
        <v>12</v>
      </c>
      <c r="D13" s="32" t="s">
        <v>98</v>
      </c>
      <c r="E13" s="10"/>
      <c r="I13">
        <v>12</v>
      </c>
      <c r="J13" s="19" t="s">
        <v>130</v>
      </c>
    </row>
    <row r="14" spans="1:15">
      <c r="C14" s="10">
        <v>13</v>
      </c>
      <c r="D14" s="19" t="s">
        <v>99</v>
      </c>
    </row>
    <row r="15" spans="1:15">
      <c r="B15" s="1"/>
      <c r="C15" s="10">
        <v>14</v>
      </c>
      <c r="D15" s="19" t="s">
        <v>100</v>
      </c>
    </row>
    <row r="16" spans="1:15">
      <c r="C16" s="10">
        <v>15</v>
      </c>
      <c r="D16" s="19" t="s">
        <v>101</v>
      </c>
    </row>
    <row r="17" spans="3:4">
      <c r="C17" s="10">
        <v>16</v>
      </c>
      <c r="D17" s="19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Analysis</vt:lpstr>
      <vt:lpstr>ALL DATA</vt:lpstr>
      <vt:lpstr>Zones</vt:lpstr>
      <vt:lpstr>03.08 Palabek-Atiak</vt:lpstr>
      <vt:lpstr>RSI FORM</vt:lpstr>
      <vt:lpstr>03.08 Atiak-Palabek</vt:lpstr>
      <vt:lpstr>Key</vt:lpstr>
      <vt:lpstr>Dist</vt:lpstr>
      <vt:lpstr>Jtime</vt:lpstr>
      <vt:lpstr>Pay</vt:lpstr>
      <vt:lpstr>Tripfreq</vt:lpstr>
      <vt:lpstr>Veh</vt:lpstr>
      <vt:lpstr>'03.08 Atiak-Palabek'!Veh_Type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2020-04-10T01:05:39Z</dcterms:modified>
</cp:coreProperties>
</file>