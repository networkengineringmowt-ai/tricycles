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8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9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0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2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ing Folder\EDMP\Analysed Data\MCC-OD\C-5 Analysis Complete\STN125 KOTIDO-KABONG\MCC\"/>
    </mc:Choice>
  </mc:AlternateContent>
  <xr:revisionPtr revIDLastSave="0" documentId="13_ncr:1_{4912E65D-CA22-43AA-81C5-46C7713A1C38}" xr6:coauthVersionLast="45" xr6:coauthVersionMax="45" xr10:uidLastSave="{00000000-0000-0000-0000-000000000000}"/>
  <bookViews>
    <workbookView xWindow="-120" yWindow="-120" windowWidth="20730" windowHeight="11160" tabRatio="891" firstSheet="12" activeTab="16" xr2:uid="{00000000-000D-0000-FFFF-FFFF00000000}"/>
  </bookViews>
  <sheets>
    <sheet name="05.08 KABONG-KOTIDO" sheetId="93" r:id="rId1"/>
    <sheet name="05.08 KOTIDO-KABONG" sheetId="94" r:id="rId2"/>
    <sheet name="06.07 KABONG-KOTIDO" sheetId="95" r:id="rId3"/>
    <sheet name="06.08 KOTIDO-KABONG" sheetId="96" r:id="rId4"/>
    <sheet name="07.08 KABONG-KOTIDO" sheetId="97" r:id="rId5"/>
    <sheet name="07.08 KOTIDO-KABONG" sheetId="98" r:id="rId6"/>
    <sheet name="08.08 KABONG-KOTIDO" sheetId="99" r:id="rId7"/>
    <sheet name="08.08 KITIDO-KABONG " sheetId="113" r:id="rId8"/>
    <sheet name="9.08 KABONG-KOTIDO-24h" sheetId="105" r:id="rId9"/>
    <sheet name="9.08 KOTIDO-KABONG-24h" sheetId="110" r:id="rId10"/>
    <sheet name="10.08 KABONG-KOTIDO-24h" sheetId="101" r:id="rId11"/>
    <sheet name="10.08 KOTIDO-KABONG-24h" sheetId="109" r:id="rId12"/>
    <sheet name="11.08 KABONG-KOTITDO" sheetId="112" r:id="rId13"/>
    <sheet name="11.08 KITIDO-KABONG" sheetId="100" r:id="rId14"/>
    <sheet name="Avg Week KABONG-KOTIDO" sheetId="107" r:id="rId15"/>
    <sheet name="Avg Week KOTIDO-KABONG" sheetId="108" r:id="rId16"/>
    <sheet name="Avg Week KABONG-KOTIDO-2Dir" sheetId="111" r:id="rId17"/>
  </sheets>
  <definedNames>
    <definedName name="_xlnm.Print_Area" localSheetId="0">'05.08 KABONG-KOTIDO'!$A$1:$AF$60</definedName>
    <definedName name="_xlnm.Print_Area" localSheetId="1">'05.08 KOTIDO-KABONG'!$A$1:$AF$60</definedName>
    <definedName name="_xlnm.Print_Area" localSheetId="2">'06.07 KABONG-KOTIDO'!$A$1:$AF$60</definedName>
    <definedName name="_xlnm.Print_Area" localSheetId="3">'06.08 KOTIDO-KABONG'!$A$1:$AF$60</definedName>
    <definedName name="_xlnm.Print_Area" localSheetId="4">'07.08 KABONG-KOTIDO'!$A$1:$AF$60</definedName>
    <definedName name="_xlnm.Print_Area" localSheetId="5">'07.08 KOTIDO-KABONG'!$A$1:$AF$60</definedName>
    <definedName name="_xlnm.Print_Area" localSheetId="6">'08.08 KABONG-KOTIDO'!$A$1:$AF$60</definedName>
    <definedName name="_xlnm.Print_Area" localSheetId="7">'08.08 KITIDO-KABONG '!$A$1:$AF$60</definedName>
    <definedName name="_xlnm.Print_Area" localSheetId="10">'10.08 KABONG-KOTIDO-24h'!$A$1:$AF$108</definedName>
    <definedName name="_xlnm.Print_Area" localSheetId="11">'10.08 KOTIDO-KABONG-24h'!$A$1:$AF$108</definedName>
    <definedName name="_xlnm.Print_Area" localSheetId="12">'11.08 KABONG-KOTITDO'!$A$1:$AF$60</definedName>
    <definedName name="_xlnm.Print_Area" localSheetId="13">'11.08 KITIDO-KABONG'!$A$1:$AF$60</definedName>
    <definedName name="_xlnm.Print_Area" localSheetId="8">'9.08 KABONG-KOTIDO-24h'!$A$1:$AF$108</definedName>
    <definedName name="_xlnm.Print_Area" localSheetId="9">'9.08 KOTIDO-KABONG-24h'!$A$1:$AF$108</definedName>
    <definedName name="_xlnm.Print_Area" localSheetId="14">'Avg Week KABONG-KOTIDO'!$A$1:$AF$108</definedName>
    <definedName name="_xlnm.Print_Area" localSheetId="16">'Avg Week KABONG-KOTIDO-2Dir'!$A$1:$AF$108</definedName>
    <definedName name="_xlnm.Print_Area" localSheetId="15">'Avg Week KOTIDO-KABONG'!$A$1:$AF$108</definedName>
    <definedName name="_xlnm.Print_Titles" localSheetId="0">'05.08 KABONG-KOTIDO'!$1:$8</definedName>
    <definedName name="_xlnm.Print_Titles" localSheetId="1">'05.08 KOTIDO-KABONG'!$1:$8</definedName>
    <definedName name="_xlnm.Print_Titles" localSheetId="2">'06.07 KABONG-KOTIDO'!$1:$8</definedName>
    <definedName name="_xlnm.Print_Titles" localSheetId="3">'06.08 KOTIDO-KABONG'!$1:$8</definedName>
    <definedName name="_xlnm.Print_Titles" localSheetId="4">'07.08 KABONG-KOTIDO'!$1:$8</definedName>
    <definedName name="_xlnm.Print_Titles" localSheetId="5">'07.08 KOTIDO-KABONG'!$1:$8</definedName>
    <definedName name="_xlnm.Print_Titles" localSheetId="6">'08.08 KABONG-KOTIDO'!$1:$8</definedName>
    <definedName name="_xlnm.Print_Titles" localSheetId="7">'08.08 KITIDO-KABONG '!$1:$8</definedName>
    <definedName name="_xlnm.Print_Titles" localSheetId="10">'10.08 KABONG-KOTIDO-24h'!$1:$8</definedName>
    <definedName name="_xlnm.Print_Titles" localSheetId="11">'10.08 KOTIDO-KABONG-24h'!$1:$8</definedName>
    <definedName name="_xlnm.Print_Titles" localSheetId="12">'11.08 KABONG-KOTITDO'!$1:$8</definedName>
    <definedName name="_xlnm.Print_Titles" localSheetId="13">'11.08 KITIDO-KABONG'!$1:$8</definedName>
    <definedName name="_xlnm.Print_Titles" localSheetId="8">'9.08 KABONG-KOTIDO-24h'!$1:$8</definedName>
    <definedName name="_xlnm.Print_Titles" localSheetId="9">'9.08 KOTIDO-KABONG-24h'!$1:$8</definedName>
    <definedName name="_xlnm.Print_Titles" localSheetId="14">'Avg Week KABONG-KOTIDO'!$1:$8</definedName>
    <definedName name="_xlnm.Print_Titles" localSheetId="16">'Avg Week KABONG-KOTIDO-2Dir'!$1:$8</definedName>
    <definedName name="_xlnm.Print_Titles" localSheetId="15">'Avg Week KOTIDO-KABONG'!$1:$8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9" i="108" l="1"/>
  <c r="D59" i="108"/>
  <c r="E59" i="108"/>
  <c r="F59" i="108"/>
  <c r="G59" i="108"/>
  <c r="H59" i="108"/>
  <c r="I59" i="108"/>
  <c r="J59" i="108"/>
  <c r="K59" i="108"/>
  <c r="L59" i="108"/>
  <c r="M59" i="108"/>
  <c r="N59" i="108"/>
  <c r="C60" i="108"/>
  <c r="D60" i="108"/>
  <c r="E60" i="108"/>
  <c r="F60" i="108"/>
  <c r="G60" i="108"/>
  <c r="H60" i="108"/>
  <c r="I60" i="108"/>
  <c r="J60" i="108"/>
  <c r="K60" i="108"/>
  <c r="L60" i="108"/>
  <c r="M60" i="108"/>
  <c r="N60" i="108"/>
  <c r="C61" i="108"/>
  <c r="D61" i="108"/>
  <c r="E61" i="108"/>
  <c r="F61" i="108"/>
  <c r="G61" i="108"/>
  <c r="H61" i="108"/>
  <c r="I61" i="108"/>
  <c r="J61" i="108"/>
  <c r="K61" i="108"/>
  <c r="L61" i="108"/>
  <c r="M61" i="108"/>
  <c r="N61" i="108"/>
  <c r="C62" i="108"/>
  <c r="D62" i="108"/>
  <c r="E62" i="108"/>
  <c r="F62" i="108"/>
  <c r="G62" i="108"/>
  <c r="H62" i="108"/>
  <c r="I62" i="108"/>
  <c r="J62" i="108"/>
  <c r="K62" i="108"/>
  <c r="L62" i="108"/>
  <c r="M62" i="108"/>
  <c r="N62" i="108"/>
  <c r="C63" i="108"/>
  <c r="D63" i="108"/>
  <c r="E63" i="108"/>
  <c r="U23" i="108" s="1"/>
  <c r="F63" i="108"/>
  <c r="G63" i="108"/>
  <c r="H63" i="108"/>
  <c r="I63" i="108"/>
  <c r="J63" i="108"/>
  <c r="K63" i="108"/>
  <c r="L63" i="108"/>
  <c r="M63" i="108"/>
  <c r="N63" i="108"/>
  <c r="C64" i="108"/>
  <c r="D64" i="108"/>
  <c r="E64" i="108"/>
  <c r="F64" i="108"/>
  <c r="G64" i="108"/>
  <c r="H64" i="108"/>
  <c r="I64" i="108"/>
  <c r="J64" i="108"/>
  <c r="K64" i="108"/>
  <c r="L64" i="108"/>
  <c r="M64" i="108"/>
  <c r="N64" i="108"/>
  <c r="C65" i="108"/>
  <c r="D65" i="108"/>
  <c r="E65" i="108"/>
  <c r="F65" i="108"/>
  <c r="G65" i="108"/>
  <c r="H65" i="108"/>
  <c r="I65" i="108"/>
  <c r="J65" i="108"/>
  <c r="K65" i="108"/>
  <c r="L65" i="108"/>
  <c r="M65" i="108"/>
  <c r="N65" i="108"/>
  <c r="C66" i="108"/>
  <c r="P66" i="108" s="1"/>
  <c r="D66" i="108"/>
  <c r="E66" i="108"/>
  <c r="F66" i="108"/>
  <c r="G66" i="108"/>
  <c r="H66" i="108"/>
  <c r="I66" i="108"/>
  <c r="J66" i="108"/>
  <c r="K66" i="108"/>
  <c r="L66" i="108"/>
  <c r="M66" i="108"/>
  <c r="N66" i="108"/>
  <c r="C67" i="108"/>
  <c r="D67" i="108"/>
  <c r="E67" i="108"/>
  <c r="F67" i="108"/>
  <c r="G67" i="108"/>
  <c r="H67" i="108"/>
  <c r="I67" i="108"/>
  <c r="J67" i="108"/>
  <c r="K67" i="108"/>
  <c r="L67" i="108"/>
  <c r="M67" i="108"/>
  <c r="N67" i="108"/>
  <c r="C68" i="108"/>
  <c r="D68" i="108"/>
  <c r="E68" i="108"/>
  <c r="F68" i="108"/>
  <c r="G68" i="108"/>
  <c r="H68" i="108"/>
  <c r="I68" i="108"/>
  <c r="J68" i="108"/>
  <c r="K68" i="108"/>
  <c r="L68" i="108"/>
  <c r="M68" i="108"/>
  <c r="N68" i="108"/>
  <c r="C69" i="108"/>
  <c r="D69" i="108"/>
  <c r="E69" i="108"/>
  <c r="F69" i="108"/>
  <c r="G69" i="108"/>
  <c r="H69" i="108"/>
  <c r="I69" i="108"/>
  <c r="J69" i="108"/>
  <c r="K69" i="108"/>
  <c r="L69" i="108"/>
  <c r="M69" i="108"/>
  <c r="N69" i="108"/>
  <c r="C70" i="108"/>
  <c r="D70" i="108"/>
  <c r="E70" i="108"/>
  <c r="F70" i="108"/>
  <c r="G70" i="108"/>
  <c r="H70" i="108"/>
  <c r="I70" i="108"/>
  <c r="J70" i="108"/>
  <c r="K70" i="108"/>
  <c r="L70" i="108"/>
  <c r="M70" i="108"/>
  <c r="N70" i="108"/>
  <c r="C71" i="108"/>
  <c r="D71" i="108"/>
  <c r="E71" i="108"/>
  <c r="U25" i="108" s="1"/>
  <c r="F71" i="108"/>
  <c r="G71" i="108"/>
  <c r="W25" i="108" s="1"/>
  <c r="H71" i="108"/>
  <c r="I71" i="108"/>
  <c r="J71" i="108"/>
  <c r="K71" i="108"/>
  <c r="L71" i="108"/>
  <c r="M71" i="108"/>
  <c r="N71" i="108"/>
  <c r="C72" i="108"/>
  <c r="D72" i="108"/>
  <c r="E72" i="108"/>
  <c r="F72" i="108"/>
  <c r="G72" i="108"/>
  <c r="H72" i="108"/>
  <c r="I72" i="108"/>
  <c r="J72" i="108"/>
  <c r="K72" i="108"/>
  <c r="L72" i="108"/>
  <c r="M72" i="108"/>
  <c r="N72" i="108"/>
  <c r="C73" i="108"/>
  <c r="D73" i="108"/>
  <c r="E73" i="108"/>
  <c r="F73" i="108"/>
  <c r="G73" i="108"/>
  <c r="H73" i="108"/>
  <c r="I73" i="108"/>
  <c r="J73" i="108"/>
  <c r="K73" i="108"/>
  <c r="L73" i="108"/>
  <c r="M73" i="108"/>
  <c r="N73" i="108"/>
  <c r="C74" i="108"/>
  <c r="D74" i="108"/>
  <c r="E74" i="108"/>
  <c r="F74" i="108"/>
  <c r="G74" i="108"/>
  <c r="H74" i="108"/>
  <c r="I74" i="108"/>
  <c r="J74" i="108"/>
  <c r="K74" i="108"/>
  <c r="L74" i="108"/>
  <c r="M74" i="108"/>
  <c r="N74" i="108"/>
  <c r="C75" i="108"/>
  <c r="D75" i="108"/>
  <c r="E75" i="108"/>
  <c r="F75" i="108"/>
  <c r="G75" i="108"/>
  <c r="H75" i="108"/>
  <c r="I75" i="108"/>
  <c r="J75" i="108"/>
  <c r="K75" i="108"/>
  <c r="L75" i="108"/>
  <c r="M75" i="108"/>
  <c r="N75" i="108"/>
  <c r="C76" i="108"/>
  <c r="D76" i="108"/>
  <c r="E76" i="108"/>
  <c r="F76" i="108"/>
  <c r="G76" i="108"/>
  <c r="H76" i="108"/>
  <c r="I76" i="108"/>
  <c r="J76" i="108"/>
  <c r="K76" i="108"/>
  <c r="L76" i="108"/>
  <c r="M76" i="108"/>
  <c r="N76" i="108"/>
  <c r="C77" i="108"/>
  <c r="D77" i="108"/>
  <c r="E77" i="108"/>
  <c r="F77" i="108"/>
  <c r="G77" i="108"/>
  <c r="H77" i="108"/>
  <c r="I77" i="108"/>
  <c r="J77" i="108"/>
  <c r="K77" i="108"/>
  <c r="L77" i="108"/>
  <c r="M77" i="108"/>
  <c r="N77" i="108"/>
  <c r="C78" i="108"/>
  <c r="D78" i="108"/>
  <c r="E78" i="108"/>
  <c r="F78" i="108"/>
  <c r="G78" i="108"/>
  <c r="H78" i="108"/>
  <c r="I78" i="108"/>
  <c r="J78" i="108"/>
  <c r="K78" i="108"/>
  <c r="L78" i="108"/>
  <c r="M78" i="108"/>
  <c r="N78" i="108"/>
  <c r="C79" i="108"/>
  <c r="D79" i="108"/>
  <c r="E79" i="108"/>
  <c r="F79" i="108"/>
  <c r="G79" i="108"/>
  <c r="H79" i="108"/>
  <c r="I79" i="108"/>
  <c r="J79" i="108"/>
  <c r="K79" i="108"/>
  <c r="L79" i="108"/>
  <c r="M79" i="108"/>
  <c r="AC27" i="108" s="1"/>
  <c r="N79" i="108"/>
  <c r="C80" i="108"/>
  <c r="D80" i="108"/>
  <c r="E80" i="108"/>
  <c r="F80" i="108"/>
  <c r="G80" i="108"/>
  <c r="H80" i="108"/>
  <c r="I80" i="108"/>
  <c r="J80" i="108"/>
  <c r="K80" i="108"/>
  <c r="L80" i="108"/>
  <c r="M80" i="108"/>
  <c r="N80" i="108"/>
  <c r="C81" i="108"/>
  <c r="D81" i="108"/>
  <c r="E81" i="108"/>
  <c r="F81" i="108"/>
  <c r="G81" i="108"/>
  <c r="H81" i="108"/>
  <c r="I81" i="108"/>
  <c r="J81" i="108"/>
  <c r="K81" i="108"/>
  <c r="L81" i="108"/>
  <c r="M81" i="108"/>
  <c r="N81" i="108"/>
  <c r="C82" i="108"/>
  <c r="O82" i="108" s="1"/>
  <c r="D82" i="108"/>
  <c r="E82" i="108"/>
  <c r="F82" i="108"/>
  <c r="G82" i="108"/>
  <c r="H82" i="108"/>
  <c r="I82" i="108"/>
  <c r="J82" i="108"/>
  <c r="K82" i="108"/>
  <c r="L82" i="108"/>
  <c r="M82" i="108"/>
  <c r="N82" i="108"/>
  <c r="C83" i="108"/>
  <c r="D83" i="108"/>
  <c r="E83" i="108"/>
  <c r="F83" i="108"/>
  <c r="G83" i="108"/>
  <c r="W28" i="108" s="1"/>
  <c r="H83" i="108"/>
  <c r="I83" i="108"/>
  <c r="J83" i="108"/>
  <c r="K83" i="108"/>
  <c r="L83" i="108"/>
  <c r="M83" i="108"/>
  <c r="N83" i="108"/>
  <c r="C84" i="108"/>
  <c r="D84" i="108"/>
  <c r="E84" i="108"/>
  <c r="F84" i="108"/>
  <c r="G84" i="108"/>
  <c r="H84" i="108"/>
  <c r="I84" i="108"/>
  <c r="J84" i="108"/>
  <c r="K84" i="108"/>
  <c r="L84" i="108"/>
  <c r="M84" i="108"/>
  <c r="N84" i="108"/>
  <c r="C85" i="108"/>
  <c r="D85" i="108"/>
  <c r="E85" i="108"/>
  <c r="F85" i="108"/>
  <c r="G85" i="108"/>
  <c r="H85" i="108"/>
  <c r="I85" i="108"/>
  <c r="J85" i="108"/>
  <c r="K85" i="108"/>
  <c r="L85" i="108"/>
  <c r="M85" i="108"/>
  <c r="N85" i="108"/>
  <c r="C86" i="108"/>
  <c r="D86" i="108"/>
  <c r="E86" i="108"/>
  <c r="F86" i="108"/>
  <c r="G86" i="108"/>
  <c r="H86" i="108"/>
  <c r="I86" i="108"/>
  <c r="J86" i="108"/>
  <c r="K86" i="108"/>
  <c r="L86" i="108"/>
  <c r="M86" i="108"/>
  <c r="N86" i="108"/>
  <c r="C87" i="108"/>
  <c r="D87" i="108"/>
  <c r="E87" i="108"/>
  <c r="F87" i="108"/>
  <c r="G87" i="108"/>
  <c r="H87" i="108"/>
  <c r="I87" i="108"/>
  <c r="J87" i="108"/>
  <c r="K87" i="108"/>
  <c r="L87" i="108"/>
  <c r="M87" i="108"/>
  <c r="AC29" i="108" s="1"/>
  <c r="N87" i="108"/>
  <c r="C88" i="108"/>
  <c r="D88" i="108"/>
  <c r="E88" i="108"/>
  <c r="F88" i="108"/>
  <c r="G88" i="108"/>
  <c r="H88" i="108"/>
  <c r="I88" i="108"/>
  <c r="J88" i="108"/>
  <c r="K88" i="108"/>
  <c r="L88" i="108"/>
  <c r="M88" i="108"/>
  <c r="N88" i="108"/>
  <c r="C89" i="108"/>
  <c r="D89" i="108"/>
  <c r="E89" i="108"/>
  <c r="F89" i="108"/>
  <c r="G89" i="108"/>
  <c r="H89" i="108"/>
  <c r="I89" i="108"/>
  <c r="J89" i="108"/>
  <c r="K89" i="108"/>
  <c r="L89" i="108"/>
  <c r="M89" i="108"/>
  <c r="N89" i="108"/>
  <c r="C90" i="108"/>
  <c r="D90" i="108"/>
  <c r="E90" i="108"/>
  <c r="F90" i="108"/>
  <c r="G90" i="108"/>
  <c r="H90" i="108"/>
  <c r="I90" i="108"/>
  <c r="J90" i="108"/>
  <c r="K90" i="108"/>
  <c r="L90" i="108"/>
  <c r="M90" i="108"/>
  <c r="N90" i="108"/>
  <c r="C91" i="108"/>
  <c r="D91" i="108"/>
  <c r="E91" i="108"/>
  <c r="F91" i="108"/>
  <c r="G91" i="108"/>
  <c r="W30" i="108" s="1"/>
  <c r="H91" i="108"/>
  <c r="I91" i="108"/>
  <c r="J91" i="108"/>
  <c r="K91" i="108"/>
  <c r="L91" i="108"/>
  <c r="M91" i="108"/>
  <c r="N91" i="108"/>
  <c r="C92" i="108"/>
  <c r="D92" i="108"/>
  <c r="E92" i="108"/>
  <c r="F92" i="108"/>
  <c r="G92" i="108"/>
  <c r="H92" i="108"/>
  <c r="I92" i="108"/>
  <c r="J92" i="108"/>
  <c r="K92" i="108"/>
  <c r="L92" i="108"/>
  <c r="M92" i="108"/>
  <c r="N92" i="108"/>
  <c r="C93" i="108"/>
  <c r="D93" i="108"/>
  <c r="E93" i="108"/>
  <c r="F93" i="108"/>
  <c r="G93" i="108"/>
  <c r="H93" i="108"/>
  <c r="I93" i="108"/>
  <c r="J93" i="108"/>
  <c r="K93" i="108"/>
  <c r="L93" i="108"/>
  <c r="M93" i="108"/>
  <c r="N93" i="108"/>
  <c r="C94" i="108"/>
  <c r="D94" i="108"/>
  <c r="E94" i="108"/>
  <c r="F94" i="108"/>
  <c r="G94" i="108"/>
  <c r="H94" i="108"/>
  <c r="I94" i="108"/>
  <c r="J94" i="108"/>
  <c r="K94" i="108"/>
  <c r="L94" i="108"/>
  <c r="M94" i="108"/>
  <c r="N94" i="108"/>
  <c r="C95" i="108"/>
  <c r="D95" i="108"/>
  <c r="E95" i="108"/>
  <c r="F95" i="108"/>
  <c r="G95" i="108"/>
  <c r="H95" i="108"/>
  <c r="I95" i="108"/>
  <c r="J95" i="108"/>
  <c r="K95" i="108"/>
  <c r="L95" i="108"/>
  <c r="M95" i="108"/>
  <c r="N95" i="108"/>
  <c r="C96" i="108"/>
  <c r="D96" i="108"/>
  <c r="E96" i="108"/>
  <c r="F96" i="108"/>
  <c r="G96" i="108"/>
  <c r="H96" i="108"/>
  <c r="I96" i="108"/>
  <c r="J96" i="108"/>
  <c r="K96" i="108"/>
  <c r="L96" i="108"/>
  <c r="M96" i="108"/>
  <c r="N96" i="108"/>
  <c r="C97" i="108"/>
  <c r="D97" i="108"/>
  <c r="E97" i="108"/>
  <c r="F97" i="108"/>
  <c r="G97" i="108"/>
  <c r="H97" i="108"/>
  <c r="I97" i="108"/>
  <c r="J97" i="108"/>
  <c r="K97" i="108"/>
  <c r="L97" i="108"/>
  <c r="M97" i="108"/>
  <c r="N97" i="108"/>
  <c r="C98" i="108"/>
  <c r="D98" i="108"/>
  <c r="E98" i="108"/>
  <c r="F98" i="108"/>
  <c r="G98" i="108"/>
  <c r="H98" i="108"/>
  <c r="I98" i="108"/>
  <c r="J98" i="108"/>
  <c r="K98" i="108"/>
  <c r="L98" i="108"/>
  <c r="M98" i="108"/>
  <c r="N98" i="108"/>
  <c r="C99" i="108"/>
  <c r="D99" i="108"/>
  <c r="E99" i="108"/>
  <c r="F99" i="108"/>
  <c r="G99" i="108"/>
  <c r="W32" i="108" s="1"/>
  <c r="H99" i="108"/>
  <c r="I99" i="108"/>
  <c r="J99" i="108"/>
  <c r="K99" i="108"/>
  <c r="L99" i="108"/>
  <c r="M99" i="108"/>
  <c r="N99" i="108"/>
  <c r="C100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C101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C102" i="108"/>
  <c r="S33" i="108" s="1"/>
  <c r="D102" i="108"/>
  <c r="E102" i="108"/>
  <c r="F102" i="108"/>
  <c r="G102" i="108"/>
  <c r="H102" i="108"/>
  <c r="I102" i="108"/>
  <c r="J102" i="108"/>
  <c r="K102" i="108"/>
  <c r="L102" i="108"/>
  <c r="M102" i="108"/>
  <c r="N102" i="108"/>
  <c r="C103" i="108"/>
  <c r="D103" i="108"/>
  <c r="E103" i="108"/>
  <c r="F103" i="108"/>
  <c r="G103" i="108"/>
  <c r="H103" i="108"/>
  <c r="I103" i="108"/>
  <c r="J103" i="108"/>
  <c r="K103" i="108"/>
  <c r="L103" i="108"/>
  <c r="M103" i="108"/>
  <c r="N103" i="108"/>
  <c r="C104" i="108"/>
  <c r="D104" i="108"/>
  <c r="E104" i="108"/>
  <c r="F104" i="108"/>
  <c r="G104" i="108"/>
  <c r="H104" i="108"/>
  <c r="I104" i="108"/>
  <c r="J104" i="108"/>
  <c r="K104" i="108"/>
  <c r="L104" i="108"/>
  <c r="M104" i="108"/>
  <c r="N104" i="108"/>
  <c r="C105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D58" i="108"/>
  <c r="T22" i="108" s="1"/>
  <c r="E58" i="108"/>
  <c r="F58" i="108"/>
  <c r="G58" i="108"/>
  <c r="H58" i="108"/>
  <c r="I58" i="108"/>
  <c r="J58" i="108"/>
  <c r="K58" i="108"/>
  <c r="L58" i="108"/>
  <c r="AB22" i="108" s="1"/>
  <c r="M58" i="108"/>
  <c r="N58" i="108"/>
  <c r="C58" i="108"/>
  <c r="C59" i="107"/>
  <c r="C59" i="111" s="1"/>
  <c r="D59" i="107"/>
  <c r="D59" i="111" s="1"/>
  <c r="E59" i="107"/>
  <c r="F59" i="107"/>
  <c r="F59" i="111" s="1"/>
  <c r="G59" i="107"/>
  <c r="H59" i="107"/>
  <c r="H59" i="111" s="1"/>
  <c r="I59" i="107"/>
  <c r="I59" i="111" s="1"/>
  <c r="J59" i="107"/>
  <c r="J59" i="111" s="1"/>
  <c r="K59" i="107"/>
  <c r="K59" i="111" s="1"/>
  <c r="L59" i="107"/>
  <c r="L59" i="111" s="1"/>
  <c r="M59" i="107"/>
  <c r="N59" i="107"/>
  <c r="N59" i="111" s="1"/>
  <c r="C60" i="107"/>
  <c r="D60" i="107"/>
  <c r="D60" i="111" s="1"/>
  <c r="E60" i="107"/>
  <c r="E60" i="111" s="1"/>
  <c r="F60" i="107"/>
  <c r="F60" i="111" s="1"/>
  <c r="G60" i="107"/>
  <c r="G60" i="111" s="1"/>
  <c r="H60" i="107"/>
  <c r="H60" i="111" s="1"/>
  <c r="I60" i="107"/>
  <c r="J60" i="107"/>
  <c r="J60" i="111" s="1"/>
  <c r="K60" i="107"/>
  <c r="L60" i="107"/>
  <c r="L60" i="111" s="1"/>
  <c r="M60" i="107"/>
  <c r="M60" i="111" s="1"/>
  <c r="N60" i="107"/>
  <c r="N60" i="111" s="1"/>
  <c r="C61" i="107"/>
  <c r="C61" i="111" s="1"/>
  <c r="D61" i="107"/>
  <c r="D61" i="111" s="1"/>
  <c r="E61" i="107"/>
  <c r="F61" i="107"/>
  <c r="F61" i="111" s="1"/>
  <c r="G61" i="107"/>
  <c r="H61" i="107"/>
  <c r="H61" i="111" s="1"/>
  <c r="I61" i="107"/>
  <c r="I61" i="111" s="1"/>
  <c r="J61" i="107"/>
  <c r="J61" i="111" s="1"/>
  <c r="K61" i="107"/>
  <c r="K61" i="111" s="1"/>
  <c r="L61" i="107"/>
  <c r="L61" i="111" s="1"/>
  <c r="M61" i="107"/>
  <c r="N61" i="107"/>
  <c r="N61" i="111" s="1"/>
  <c r="C62" i="107"/>
  <c r="D62" i="107"/>
  <c r="D62" i="111" s="1"/>
  <c r="E62" i="107"/>
  <c r="E62" i="111" s="1"/>
  <c r="F62" i="107"/>
  <c r="F62" i="111" s="1"/>
  <c r="G62" i="107"/>
  <c r="G62" i="111" s="1"/>
  <c r="H62" i="107"/>
  <c r="H62" i="111" s="1"/>
  <c r="I62" i="107"/>
  <c r="J62" i="107"/>
  <c r="J62" i="111" s="1"/>
  <c r="Z23" i="111" s="1"/>
  <c r="K62" i="107"/>
  <c r="L62" i="107"/>
  <c r="L62" i="111" s="1"/>
  <c r="M62" i="107"/>
  <c r="M62" i="111" s="1"/>
  <c r="N62" i="107"/>
  <c r="N62" i="111" s="1"/>
  <c r="C63" i="107"/>
  <c r="C63" i="111" s="1"/>
  <c r="D63" i="107"/>
  <c r="D63" i="111" s="1"/>
  <c r="E63" i="107"/>
  <c r="F63" i="107"/>
  <c r="F63" i="111" s="1"/>
  <c r="G63" i="107"/>
  <c r="H63" i="107"/>
  <c r="H63" i="111" s="1"/>
  <c r="I63" i="107"/>
  <c r="J63" i="107"/>
  <c r="J63" i="111" s="1"/>
  <c r="K63" i="107"/>
  <c r="K63" i="111" s="1"/>
  <c r="L63" i="107"/>
  <c r="L63" i="111" s="1"/>
  <c r="M63" i="107"/>
  <c r="N63" i="107"/>
  <c r="N63" i="111" s="1"/>
  <c r="C64" i="107"/>
  <c r="D64" i="107"/>
  <c r="D64" i="111" s="1"/>
  <c r="E64" i="107"/>
  <c r="E64" i="111" s="1"/>
  <c r="F64" i="107"/>
  <c r="F64" i="111" s="1"/>
  <c r="G64" i="107"/>
  <c r="G64" i="111" s="1"/>
  <c r="H64" i="107"/>
  <c r="H64" i="111" s="1"/>
  <c r="I64" i="107"/>
  <c r="J64" i="107"/>
  <c r="J64" i="111" s="1"/>
  <c r="K64" i="107"/>
  <c r="L64" i="107"/>
  <c r="L64" i="111" s="1"/>
  <c r="M64" i="107"/>
  <c r="M64" i="111" s="1"/>
  <c r="N64" i="107"/>
  <c r="N64" i="111" s="1"/>
  <c r="C65" i="107"/>
  <c r="C65" i="111" s="1"/>
  <c r="D65" i="107"/>
  <c r="D65" i="111" s="1"/>
  <c r="E65" i="107"/>
  <c r="F65" i="107"/>
  <c r="F65" i="111" s="1"/>
  <c r="G65" i="107"/>
  <c r="H65" i="107"/>
  <c r="H65" i="111" s="1"/>
  <c r="I65" i="107"/>
  <c r="I65" i="111" s="1"/>
  <c r="J65" i="107"/>
  <c r="J65" i="111" s="1"/>
  <c r="K65" i="107"/>
  <c r="K65" i="111" s="1"/>
  <c r="L65" i="107"/>
  <c r="L65" i="111" s="1"/>
  <c r="M65" i="107"/>
  <c r="N65" i="107"/>
  <c r="N65" i="111" s="1"/>
  <c r="C66" i="107"/>
  <c r="D66" i="107"/>
  <c r="E66" i="107"/>
  <c r="E66" i="111" s="1"/>
  <c r="F66" i="107"/>
  <c r="F66" i="111" s="1"/>
  <c r="G66" i="107"/>
  <c r="G66" i="111" s="1"/>
  <c r="H66" i="107"/>
  <c r="H66" i="111" s="1"/>
  <c r="I66" i="107"/>
  <c r="J66" i="107"/>
  <c r="J66" i="111" s="1"/>
  <c r="K66" i="107"/>
  <c r="L66" i="107"/>
  <c r="L66" i="111" s="1"/>
  <c r="M66" i="107"/>
  <c r="M66" i="111" s="1"/>
  <c r="N66" i="107"/>
  <c r="N66" i="111" s="1"/>
  <c r="C67" i="107"/>
  <c r="D67" i="107"/>
  <c r="D67" i="111" s="1"/>
  <c r="E67" i="107"/>
  <c r="F67" i="107"/>
  <c r="F67" i="111" s="1"/>
  <c r="G67" i="107"/>
  <c r="H67" i="107"/>
  <c r="H67" i="111" s="1"/>
  <c r="I67" i="107"/>
  <c r="I67" i="111" s="1"/>
  <c r="J67" i="107"/>
  <c r="J67" i="111" s="1"/>
  <c r="K67" i="107"/>
  <c r="K67" i="111" s="1"/>
  <c r="L67" i="107"/>
  <c r="L67" i="111" s="1"/>
  <c r="M67" i="107"/>
  <c r="N67" i="107"/>
  <c r="N67" i="111" s="1"/>
  <c r="C68" i="107"/>
  <c r="D68" i="107"/>
  <c r="D68" i="111" s="1"/>
  <c r="E68" i="107"/>
  <c r="E68" i="111" s="1"/>
  <c r="F68" i="107"/>
  <c r="F68" i="111" s="1"/>
  <c r="G68" i="107"/>
  <c r="G68" i="111" s="1"/>
  <c r="H68" i="107"/>
  <c r="H68" i="111" s="1"/>
  <c r="I68" i="107"/>
  <c r="J68" i="107"/>
  <c r="J68" i="111" s="1"/>
  <c r="K68" i="107"/>
  <c r="L68" i="107"/>
  <c r="M68" i="107"/>
  <c r="M68" i="111" s="1"/>
  <c r="N68" i="107"/>
  <c r="N68" i="111" s="1"/>
  <c r="C69" i="107"/>
  <c r="C69" i="111" s="1"/>
  <c r="D69" i="107"/>
  <c r="D69" i="111" s="1"/>
  <c r="E69" i="107"/>
  <c r="F69" i="107"/>
  <c r="F69" i="111" s="1"/>
  <c r="G69" i="107"/>
  <c r="H69" i="107"/>
  <c r="H69" i="111" s="1"/>
  <c r="I69" i="107"/>
  <c r="I69" i="111" s="1"/>
  <c r="J69" i="107"/>
  <c r="J69" i="111" s="1"/>
  <c r="K69" i="107"/>
  <c r="K69" i="111" s="1"/>
  <c r="L69" i="107"/>
  <c r="L69" i="111" s="1"/>
  <c r="M69" i="107"/>
  <c r="N69" i="107"/>
  <c r="N69" i="111" s="1"/>
  <c r="C70" i="107"/>
  <c r="D70" i="107"/>
  <c r="D70" i="111" s="1"/>
  <c r="E70" i="107"/>
  <c r="E70" i="111" s="1"/>
  <c r="F70" i="107"/>
  <c r="F70" i="111" s="1"/>
  <c r="G70" i="107"/>
  <c r="H70" i="107"/>
  <c r="H70" i="111" s="1"/>
  <c r="I70" i="107"/>
  <c r="J70" i="107"/>
  <c r="J70" i="111" s="1"/>
  <c r="K70" i="107"/>
  <c r="L70" i="107"/>
  <c r="L70" i="111" s="1"/>
  <c r="M70" i="107"/>
  <c r="M70" i="111" s="1"/>
  <c r="N70" i="107"/>
  <c r="N70" i="111" s="1"/>
  <c r="C71" i="107"/>
  <c r="C71" i="111" s="1"/>
  <c r="D71" i="107"/>
  <c r="D71" i="111" s="1"/>
  <c r="E71" i="107"/>
  <c r="F71" i="107"/>
  <c r="F71" i="111" s="1"/>
  <c r="G71" i="107"/>
  <c r="H71" i="107"/>
  <c r="H71" i="111" s="1"/>
  <c r="I71" i="107"/>
  <c r="I71" i="111" s="1"/>
  <c r="J71" i="107"/>
  <c r="J71" i="111" s="1"/>
  <c r="K71" i="107"/>
  <c r="K71" i="111" s="1"/>
  <c r="L71" i="107"/>
  <c r="L71" i="111" s="1"/>
  <c r="M71" i="107"/>
  <c r="N71" i="107"/>
  <c r="N71" i="111" s="1"/>
  <c r="C72" i="107"/>
  <c r="D72" i="107"/>
  <c r="D72" i="111" s="1"/>
  <c r="E72" i="107"/>
  <c r="E72" i="111" s="1"/>
  <c r="F72" i="107"/>
  <c r="F72" i="111" s="1"/>
  <c r="G72" i="107"/>
  <c r="G72" i="111" s="1"/>
  <c r="H72" i="107"/>
  <c r="H72" i="111" s="1"/>
  <c r="I72" i="107"/>
  <c r="J72" i="107"/>
  <c r="J72" i="111" s="1"/>
  <c r="K72" i="107"/>
  <c r="L72" i="107"/>
  <c r="L72" i="111" s="1"/>
  <c r="M72" i="107"/>
  <c r="M72" i="111" s="1"/>
  <c r="N72" i="107"/>
  <c r="N72" i="111" s="1"/>
  <c r="C73" i="107"/>
  <c r="C73" i="111" s="1"/>
  <c r="D73" i="107"/>
  <c r="D73" i="111" s="1"/>
  <c r="E73" i="107"/>
  <c r="F73" i="107"/>
  <c r="F73" i="111" s="1"/>
  <c r="G73" i="107"/>
  <c r="H73" i="107"/>
  <c r="H73" i="111" s="1"/>
  <c r="I73" i="107"/>
  <c r="I73" i="111" s="1"/>
  <c r="J73" i="107"/>
  <c r="J73" i="111" s="1"/>
  <c r="K73" i="107"/>
  <c r="K73" i="111" s="1"/>
  <c r="L73" i="107"/>
  <c r="L73" i="111" s="1"/>
  <c r="M73" i="107"/>
  <c r="N73" i="107"/>
  <c r="N73" i="111" s="1"/>
  <c r="C74" i="107"/>
  <c r="D74" i="107"/>
  <c r="D74" i="111" s="1"/>
  <c r="E74" i="107"/>
  <c r="E74" i="111" s="1"/>
  <c r="F74" i="107"/>
  <c r="F74" i="111" s="1"/>
  <c r="G74" i="107"/>
  <c r="G74" i="111" s="1"/>
  <c r="H74" i="107"/>
  <c r="H74" i="111" s="1"/>
  <c r="I74" i="107"/>
  <c r="J74" i="107"/>
  <c r="J74" i="111" s="1"/>
  <c r="K74" i="107"/>
  <c r="L74" i="107"/>
  <c r="L74" i="111" s="1"/>
  <c r="M74" i="107"/>
  <c r="M74" i="111" s="1"/>
  <c r="N74" i="107"/>
  <c r="N74" i="111" s="1"/>
  <c r="C75" i="107"/>
  <c r="C75" i="111" s="1"/>
  <c r="D75" i="107"/>
  <c r="D75" i="111" s="1"/>
  <c r="E75" i="107"/>
  <c r="F75" i="107"/>
  <c r="F75" i="111" s="1"/>
  <c r="G75" i="107"/>
  <c r="H75" i="107"/>
  <c r="I75" i="107"/>
  <c r="I75" i="111" s="1"/>
  <c r="J75" i="107"/>
  <c r="J75" i="111" s="1"/>
  <c r="K75" i="107"/>
  <c r="K75" i="111" s="1"/>
  <c r="L75" i="107"/>
  <c r="L75" i="111" s="1"/>
  <c r="M75" i="107"/>
  <c r="N75" i="107"/>
  <c r="N75" i="111" s="1"/>
  <c r="C76" i="107"/>
  <c r="D76" i="107"/>
  <c r="D76" i="111" s="1"/>
  <c r="E76" i="107"/>
  <c r="E76" i="111" s="1"/>
  <c r="F76" i="107"/>
  <c r="F76" i="111" s="1"/>
  <c r="G76" i="107"/>
  <c r="G76" i="111" s="1"/>
  <c r="H76" i="107"/>
  <c r="H76" i="111" s="1"/>
  <c r="I76" i="107"/>
  <c r="J76" i="107"/>
  <c r="J76" i="111" s="1"/>
  <c r="K76" i="107"/>
  <c r="L76" i="107"/>
  <c r="M76" i="107"/>
  <c r="M76" i="111" s="1"/>
  <c r="N76" i="107"/>
  <c r="N76" i="111" s="1"/>
  <c r="C77" i="107"/>
  <c r="C77" i="111" s="1"/>
  <c r="D77" i="107"/>
  <c r="D77" i="111" s="1"/>
  <c r="E77" i="107"/>
  <c r="F77" i="107"/>
  <c r="F77" i="111" s="1"/>
  <c r="G77" i="107"/>
  <c r="H77" i="107"/>
  <c r="H77" i="111" s="1"/>
  <c r="I77" i="107"/>
  <c r="I77" i="111" s="1"/>
  <c r="J77" i="107"/>
  <c r="J77" i="111" s="1"/>
  <c r="K77" i="107"/>
  <c r="K77" i="111" s="1"/>
  <c r="L77" i="107"/>
  <c r="L77" i="111" s="1"/>
  <c r="M77" i="107"/>
  <c r="N77" i="107"/>
  <c r="N77" i="111" s="1"/>
  <c r="C78" i="107"/>
  <c r="D78" i="107"/>
  <c r="D78" i="111" s="1"/>
  <c r="E78" i="107"/>
  <c r="F78" i="107"/>
  <c r="F78" i="111" s="1"/>
  <c r="G78" i="107"/>
  <c r="G78" i="111" s="1"/>
  <c r="H78" i="107"/>
  <c r="H78" i="111" s="1"/>
  <c r="I78" i="107"/>
  <c r="J78" i="107"/>
  <c r="J78" i="111" s="1"/>
  <c r="K78" i="107"/>
  <c r="L78" i="107"/>
  <c r="L78" i="111" s="1"/>
  <c r="M78" i="107"/>
  <c r="N78" i="107"/>
  <c r="N78" i="111" s="1"/>
  <c r="C79" i="107"/>
  <c r="D79" i="107"/>
  <c r="D79" i="111" s="1"/>
  <c r="E79" i="107"/>
  <c r="F79" i="107"/>
  <c r="F79" i="111" s="1"/>
  <c r="G79" i="107"/>
  <c r="H79" i="107"/>
  <c r="H79" i="111" s="1"/>
  <c r="I79" i="107"/>
  <c r="I79" i="111" s="1"/>
  <c r="J79" i="107"/>
  <c r="J79" i="111" s="1"/>
  <c r="K79" i="107"/>
  <c r="K79" i="111" s="1"/>
  <c r="L79" i="107"/>
  <c r="L79" i="111" s="1"/>
  <c r="M79" i="107"/>
  <c r="N79" i="107"/>
  <c r="N79" i="111" s="1"/>
  <c r="C80" i="107"/>
  <c r="D80" i="107"/>
  <c r="D80" i="111" s="1"/>
  <c r="E80" i="107"/>
  <c r="E80" i="111" s="1"/>
  <c r="F80" i="107"/>
  <c r="F80" i="111" s="1"/>
  <c r="G80" i="107"/>
  <c r="G80" i="111" s="1"/>
  <c r="H80" i="107"/>
  <c r="H80" i="111" s="1"/>
  <c r="I80" i="107"/>
  <c r="J80" i="107"/>
  <c r="J80" i="111" s="1"/>
  <c r="K80" i="107"/>
  <c r="L80" i="107"/>
  <c r="L80" i="111" s="1"/>
  <c r="M80" i="107"/>
  <c r="M80" i="111" s="1"/>
  <c r="N80" i="107"/>
  <c r="N80" i="111" s="1"/>
  <c r="C81" i="107"/>
  <c r="C81" i="111" s="1"/>
  <c r="D81" i="107"/>
  <c r="D81" i="111" s="1"/>
  <c r="E81" i="107"/>
  <c r="F81" i="107"/>
  <c r="F81" i="111" s="1"/>
  <c r="G81" i="107"/>
  <c r="H81" i="107"/>
  <c r="H81" i="111" s="1"/>
  <c r="I81" i="107"/>
  <c r="I81" i="111" s="1"/>
  <c r="J81" i="107"/>
  <c r="J81" i="111" s="1"/>
  <c r="K81" i="107"/>
  <c r="K81" i="111" s="1"/>
  <c r="L81" i="107"/>
  <c r="L81" i="111" s="1"/>
  <c r="M81" i="107"/>
  <c r="N81" i="107"/>
  <c r="N81" i="111" s="1"/>
  <c r="C82" i="107"/>
  <c r="D82" i="107"/>
  <c r="D82" i="111" s="1"/>
  <c r="E82" i="107"/>
  <c r="E82" i="111" s="1"/>
  <c r="F82" i="107"/>
  <c r="F82" i="111" s="1"/>
  <c r="V28" i="111" s="1"/>
  <c r="G82" i="107"/>
  <c r="G82" i="111" s="1"/>
  <c r="H82" i="107"/>
  <c r="H82" i="111" s="1"/>
  <c r="I82" i="107"/>
  <c r="J82" i="107"/>
  <c r="J82" i="111" s="1"/>
  <c r="K82" i="107"/>
  <c r="L82" i="107"/>
  <c r="L82" i="111" s="1"/>
  <c r="M82" i="107"/>
  <c r="M82" i="111" s="1"/>
  <c r="N82" i="107"/>
  <c r="N82" i="111" s="1"/>
  <c r="C83" i="107"/>
  <c r="D83" i="107"/>
  <c r="D83" i="111" s="1"/>
  <c r="E83" i="107"/>
  <c r="F83" i="107"/>
  <c r="F83" i="111" s="1"/>
  <c r="G83" i="107"/>
  <c r="H83" i="107"/>
  <c r="H83" i="111" s="1"/>
  <c r="I83" i="107"/>
  <c r="I83" i="111" s="1"/>
  <c r="J83" i="107"/>
  <c r="J83" i="111" s="1"/>
  <c r="K83" i="107"/>
  <c r="K83" i="111" s="1"/>
  <c r="L83" i="107"/>
  <c r="L83" i="111" s="1"/>
  <c r="M83" i="107"/>
  <c r="N83" i="107"/>
  <c r="N83" i="111" s="1"/>
  <c r="C84" i="107"/>
  <c r="D84" i="107"/>
  <c r="D84" i="111" s="1"/>
  <c r="E84" i="107"/>
  <c r="E84" i="111" s="1"/>
  <c r="F84" i="107"/>
  <c r="F84" i="111" s="1"/>
  <c r="G84" i="107"/>
  <c r="G84" i="111" s="1"/>
  <c r="H84" i="107"/>
  <c r="H84" i="111" s="1"/>
  <c r="I84" i="107"/>
  <c r="J84" i="107"/>
  <c r="J84" i="111" s="1"/>
  <c r="K84" i="107"/>
  <c r="L84" i="107"/>
  <c r="L84" i="111" s="1"/>
  <c r="M84" i="107"/>
  <c r="M84" i="111" s="1"/>
  <c r="N84" i="107"/>
  <c r="N84" i="111" s="1"/>
  <c r="C85" i="107"/>
  <c r="C85" i="111" s="1"/>
  <c r="D85" i="107"/>
  <c r="D85" i="111" s="1"/>
  <c r="E85" i="107"/>
  <c r="F85" i="107"/>
  <c r="F85" i="111" s="1"/>
  <c r="G85" i="107"/>
  <c r="H85" i="107"/>
  <c r="H85" i="111" s="1"/>
  <c r="I85" i="107"/>
  <c r="I85" i="111" s="1"/>
  <c r="J85" i="107"/>
  <c r="J85" i="111" s="1"/>
  <c r="K85" i="107"/>
  <c r="K85" i="111" s="1"/>
  <c r="L85" i="107"/>
  <c r="L85" i="111" s="1"/>
  <c r="M85" i="107"/>
  <c r="N85" i="107"/>
  <c r="N85" i="111" s="1"/>
  <c r="C86" i="107"/>
  <c r="D86" i="107"/>
  <c r="D86" i="111" s="1"/>
  <c r="E86" i="107"/>
  <c r="F86" i="107"/>
  <c r="F86" i="111" s="1"/>
  <c r="G86" i="107"/>
  <c r="G86" i="111" s="1"/>
  <c r="H86" i="107"/>
  <c r="H86" i="111" s="1"/>
  <c r="I86" i="107"/>
  <c r="J86" i="107"/>
  <c r="J86" i="111" s="1"/>
  <c r="K86" i="107"/>
  <c r="L86" i="107"/>
  <c r="L86" i="111" s="1"/>
  <c r="M86" i="107"/>
  <c r="N86" i="107"/>
  <c r="N86" i="111" s="1"/>
  <c r="C87" i="107"/>
  <c r="D87" i="107"/>
  <c r="D87" i="111" s="1"/>
  <c r="E87" i="107"/>
  <c r="F87" i="107"/>
  <c r="F87" i="111" s="1"/>
  <c r="G87" i="107"/>
  <c r="H87" i="107"/>
  <c r="H87" i="111" s="1"/>
  <c r="I87" i="107"/>
  <c r="I87" i="111" s="1"/>
  <c r="J87" i="107"/>
  <c r="J87" i="111" s="1"/>
  <c r="K87" i="107"/>
  <c r="K87" i="111" s="1"/>
  <c r="L87" i="107"/>
  <c r="L87" i="111" s="1"/>
  <c r="M87" i="107"/>
  <c r="N87" i="107"/>
  <c r="N87" i="111" s="1"/>
  <c r="C88" i="107"/>
  <c r="D88" i="107"/>
  <c r="D88" i="111" s="1"/>
  <c r="E88" i="107"/>
  <c r="E88" i="111" s="1"/>
  <c r="F88" i="107"/>
  <c r="F88" i="111" s="1"/>
  <c r="G88" i="107"/>
  <c r="G88" i="111" s="1"/>
  <c r="H88" i="107"/>
  <c r="H88" i="111" s="1"/>
  <c r="I88" i="107"/>
  <c r="J88" i="107"/>
  <c r="J88" i="111" s="1"/>
  <c r="K88" i="107"/>
  <c r="L88" i="107"/>
  <c r="L88" i="111" s="1"/>
  <c r="M88" i="107"/>
  <c r="M88" i="111" s="1"/>
  <c r="N88" i="107"/>
  <c r="N88" i="111" s="1"/>
  <c r="C89" i="107"/>
  <c r="C89" i="111" s="1"/>
  <c r="D89" i="107"/>
  <c r="D89" i="111" s="1"/>
  <c r="E89" i="107"/>
  <c r="F89" i="107"/>
  <c r="F89" i="111" s="1"/>
  <c r="G89" i="107"/>
  <c r="H89" i="107"/>
  <c r="H89" i="111" s="1"/>
  <c r="I89" i="107"/>
  <c r="I89" i="111" s="1"/>
  <c r="J89" i="107"/>
  <c r="J89" i="111" s="1"/>
  <c r="K89" i="107"/>
  <c r="K89" i="111" s="1"/>
  <c r="L89" i="107"/>
  <c r="L89" i="111" s="1"/>
  <c r="M89" i="107"/>
  <c r="N89" i="107"/>
  <c r="N89" i="111" s="1"/>
  <c r="C90" i="107"/>
  <c r="D90" i="107"/>
  <c r="D90" i="111" s="1"/>
  <c r="E90" i="107"/>
  <c r="E90" i="111" s="1"/>
  <c r="F90" i="107"/>
  <c r="F90" i="111" s="1"/>
  <c r="V30" i="111" s="1"/>
  <c r="G90" i="107"/>
  <c r="G90" i="111" s="1"/>
  <c r="H90" i="107"/>
  <c r="H90" i="111" s="1"/>
  <c r="I90" i="107"/>
  <c r="J90" i="107"/>
  <c r="J90" i="111" s="1"/>
  <c r="K90" i="107"/>
  <c r="L90" i="107"/>
  <c r="L90" i="111" s="1"/>
  <c r="M90" i="107"/>
  <c r="N90" i="107"/>
  <c r="N90" i="111" s="1"/>
  <c r="C91" i="107"/>
  <c r="C91" i="111" s="1"/>
  <c r="D91" i="107"/>
  <c r="D91" i="111" s="1"/>
  <c r="E91" i="107"/>
  <c r="F91" i="107"/>
  <c r="F91" i="111" s="1"/>
  <c r="G91" i="107"/>
  <c r="H91" i="107"/>
  <c r="H91" i="111" s="1"/>
  <c r="I91" i="107"/>
  <c r="I91" i="111" s="1"/>
  <c r="J91" i="107"/>
  <c r="J91" i="111" s="1"/>
  <c r="K91" i="107"/>
  <c r="L91" i="107"/>
  <c r="L91" i="111" s="1"/>
  <c r="M91" i="107"/>
  <c r="N91" i="107"/>
  <c r="N91" i="111" s="1"/>
  <c r="C92" i="107"/>
  <c r="D92" i="107"/>
  <c r="D92" i="111" s="1"/>
  <c r="E92" i="107"/>
  <c r="E92" i="111" s="1"/>
  <c r="F92" i="107"/>
  <c r="F92" i="111" s="1"/>
  <c r="G92" i="107"/>
  <c r="G92" i="111" s="1"/>
  <c r="H92" i="107"/>
  <c r="H92" i="111" s="1"/>
  <c r="I92" i="107"/>
  <c r="J92" i="107"/>
  <c r="J92" i="111" s="1"/>
  <c r="K92" i="107"/>
  <c r="L92" i="107"/>
  <c r="L92" i="111" s="1"/>
  <c r="M92" i="107"/>
  <c r="M92" i="111" s="1"/>
  <c r="N92" i="107"/>
  <c r="N92" i="111" s="1"/>
  <c r="C93" i="107"/>
  <c r="C93" i="111" s="1"/>
  <c r="D93" i="107"/>
  <c r="D93" i="111" s="1"/>
  <c r="E93" i="107"/>
  <c r="F93" i="107"/>
  <c r="F93" i="111" s="1"/>
  <c r="G93" i="107"/>
  <c r="H93" i="107"/>
  <c r="H93" i="111" s="1"/>
  <c r="I93" i="107"/>
  <c r="I93" i="111" s="1"/>
  <c r="J93" i="107"/>
  <c r="J93" i="111" s="1"/>
  <c r="K93" i="107"/>
  <c r="K93" i="111" s="1"/>
  <c r="L93" i="107"/>
  <c r="L93" i="111" s="1"/>
  <c r="M93" i="107"/>
  <c r="N93" i="107"/>
  <c r="N93" i="111" s="1"/>
  <c r="C94" i="107"/>
  <c r="D94" i="107"/>
  <c r="D94" i="111" s="1"/>
  <c r="E94" i="107"/>
  <c r="F94" i="107"/>
  <c r="F94" i="111" s="1"/>
  <c r="G94" i="107"/>
  <c r="G94" i="111" s="1"/>
  <c r="H94" i="107"/>
  <c r="H94" i="111" s="1"/>
  <c r="I94" i="107"/>
  <c r="J94" i="107"/>
  <c r="J94" i="111" s="1"/>
  <c r="K94" i="107"/>
  <c r="L94" i="107"/>
  <c r="L94" i="111" s="1"/>
  <c r="M94" i="107"/>
  <c r="N94" i="107"/>
  <c r="N94" i="111" s="1"/>
  <c r="C95" i="107"/>
  <c r="C95" i="111" s="1"/>
  <c r="D95" i="107"/>
  <c r="D95" i="111" s="1"/>
  <c r="E95" i="107"/>
  <c r="F95" i="107"/>
  <c r="F95" i="111" s="1"/>
  <c r="G95" i="107"/>
  <c r="H95" i="107"/>
  <c r="H95" i="111" s="1"/>
  <c r="I95" i="107"/>
  <c r="I95" i="111" s="1"/>
  <c r="J95" i="107"/>
  <c r="J95" i="111" s="1"/>
  <c r="K95" i="107"/>
  <c r="K95" i="111" s="1"/>
  <c r="L95" i="107"/>
  <c r="L95" i="111" s="1"/>
  <c r="M95" i="107"/>
  <c r="N95" i="107"/>
  <c r="N95" i="111" s="1"/>
  <c r="C96" i="107"/>
  <c r="D96" i="107"/>
  <c r="D96" i="111" s="1"/>
  <c r="E96" i="107"/>
  <c r="E96" i="111" s="1"/>
  <c r="F96" i="107"/>
  <c r="F96" i="111" s="1"/>
  <c r="G96" i="107"/>
  <c r="G96" i="111" s="1"/>
  <c r="H96" i="107"/>
  <c r="H96" i="111" s="1"/>
  <c r="I96" i="107"/>
  <c r="J96" i="107"/>
  <c r="J96" i="111" s="1"/>
  <c r="K96" i="107"/>
  <c r="L96" i="107"/>
  <c r="L96" i="111" s="1"/>
  <c r="M96" i="107"/>
  <c r="M96" i="111" s="1"/>
  <c r="N96" i="107"/>
  <c r="N96" i="111" s="1"/>
  <c r="C97" i="107"/>
  <c r="C97" i="111" s="1"/>
  <c r="D97" i="107"/>
  <c r="D97" i="111" s="1"/>
  <c r="E97" i="107"/>
  <c r="F97" i="107"/>
  <c r="F97" i="111" s="1"/>
  <c r="G97" i="107"/>
  <c r="H97" i="107"/>
  <c r="H97" i="111" s="1"/>
  <c r="I97" i="107"/>
  <c r="I97" i="111" s="1"/>
  <c r="J97" i="107"/>
  <c r="J97" i="111" s="1"/>
  <c r="K97" i="107"/>
  <c r="K97" i="111" s="1"/>
  <c r="L97" i="107"/>
  <c r="L97" i="111" s="1"/>
  <c r="M97" i="107"/>
  <c r="N97" i="107"/>
  <c r="N97" i="111" s="1"/>
  <c r="C98" i="107"/>
  <c r="D98" i="107"/>
  <c r="D98" i="111" s="1"/>
  <c r="E98" i="107"/>
  <c r="E98" i="111" s="1"/>
  <c r="F98" i="107"/>
  <c r="F98" i="111" s="1"/>
  <c r="G98" i="107"/>
  <c r="G98" i="111" s="1"/>
  <c r="H98" i="107"/>
  <c r="I98" i="107"/>
  <c r="J98" i="107"/>
  <c r="J98" i="111" s="1"/>
  <c r="K98" i="107"/>
  <c r="L98" i="107"/>
  <c r="L98" i="111" s="1"/>
  <c r="M98" i="107"/>
  <c r="M98" i="111" s="1"/>
  <c r="N98" i="107"/>
  <c r="N98" i="111" s="1"/>
  <c r="C99" i="107"/>
  <c r="D99" i="107"/>
  <c r="D99" i="111" s="1"/>
  <c r="E99" i="107"/>
  <c r="F99" i="107"/>
  <c r="F99" i="111" s="1"/>
  <c r="G99" i="107"/>
  <c r="H99" i="107"/>
  <c r="H99" i="111" s="1"/>
  <c r="I99" i="107"/>
  <c r="I99" i="111" s="1"/>
  <c r="J99" i="107"/>
  <c r="J99" i="111" s="1"/>
  <c r="K99" i="107"/>
  <c r="L99" i="107"/>
  <c r="L99" i="111" s="1"/>
  <c r="M99" i="107"/>
  <c r="N99" i="107"/>
  <c r="N99" i="111" s="1"/>
  <c r="C100" i="107"/>
  <c r="D100" i="107"/>
  <c r="D100" i="111" s="1"/>
  <c r="E100" i="107"/>
  <c r="E100" i="111" s="1"/>
  <c r="F100" i="107"/>
  <c r="F100" i="111" s="1"/>
  <c r="G100" i="107"/>
  <c r="G100" i="111" s="1"/>
  <c r="H100" i="107"/>
  <c r="H100" i="111" s="1"/>
  <c r="I100" i="107"/>
  <c r="J100" i="107"/>
  <c r="J100" i="111" s="1"/>
  <c r="K100" i="107"/>
  <c r="L100" i="107"/>
  <c r="L100" i="111" s="1"/>
  <c r="M100" i="107"/>
  <c r="M100" i="111" s="1"/>
  <c r="N100" i="107"/>
  <c r="N100" i="111" s="1"/>
  <c r="C101" i="107"/>
  <c r="C101" i="111" s="1"/>
  <c r="D101" i="107"/>
  <c r="D101" i="111" s="1"/>
  <c r="E101" i="107"/>
  <c r="F101" i="107"/>
  <c r="F101" i="111" s="1"/>
  <c r="G101" i="107"/>
  <c r="H101" i="107"/>
  <c r="H101" i="111" s="1"/>
  <c r="I101" i="107"/>
  <c r="I101" i="111" s="1"/>
  <c r="J101" i="107"/>
  <c r="J101" i="111" s="1"/>
  <c r="K101" i="107"/>
  <c r="K101" i="111" s="1"/>
  <c r="L101" i="107"/>
  <c r="L101" i="111" s="1"/>
  <c r="M101" i="107"/>
  <c r="N101" i="107"/>
  <c r="N101" i="111" s="1"/>
  <c r="C102" i="107"/>
  <c r="D102" i="107"/>
  <c r="D102" i="111" s="1"/>
  <c r="E102" i="107"/>
  <c r="F102" i="107"/>
  <c r="F102" i="111" s="1"/>
  <c r="G102" i="107"/>
  <c r="G102" i="111" s="1"/>
  <c r="H102" i="107"/>
  <c r="H102" i="111" s="1"/>
  <c r="I102" i="107"/>
  <c r="J102" i="107"/>
  <c r="J102" i="111" s="1"/>
  <c r="K102" i="107"/>
  <c r="L102" i="107"/>
  <c r="L102" i="111" s="1"/>
  <c r="M102" i="107"/>
  <c r="N102" i="107"/>
  <c r="N102" i="111" s="1"/>
  <c r="C103" i="107"/>
  <c r="C103" i="111" s="1"/>
  <c r="D103" i="107"/>
  <c r="D103" i="111" s="1"/>
  <c r="E103" i="107"/>
  <c r="F103" i="107"/>
  <c r="F103" i="111" s="1"/>
  <c r="G103" i="107"/>
  <c r="H103" i="107"/>
  <c r="H103" i="111" s="1"/>
  <c r="I103" i="107"/>
  <c r="I103" i="111" s="1"/>
  <c r="J103" i="107"/>
  <c r="J103" i="111" s="1"/>
  <c r="K103" i="107"/>
  <c r="K103" i="111" s="1"/>
  <c r="L103" i="107"/>
  <c r="L103" i="111" s="1"/>
  <c r="M103" i="107"/>
  <c r="N103" i="107"/>
  <c r="N103" i="111" s="1"/>
  <c r="C104" i="107"/>
  <c r="D104" i="107"/>
  <c r="D104" i="111" s="1"/>
  <c r="E104" i="107"/>
  <c r="E104" i="111" s="1"/>
  <c r="F104" i="107"/>
  <c r="F104" i="111" s="1"/>
  <c r="G104" i="107"/>
  <c r="G104" i="111" s="1"/>
  <c r="H104" i="107"/>
  <c r="H104" i="111" s="1"/>
  <c r="I104" i="107"/>
  <c r="J104" i="107"/>
  <c r="J104" i="111" s="1"/>
  <c r="K104" i="107"/>
  <c r="L104" i="107"/>
  <c r="L104" i="111" s="1"/>
  <c r="M104" i="107"/>
  <c r="M104" i="111" s="1"/>
  <c r="N104" i="107"/>
  <c r="N104" i="111" s="1"/>
  <c r="C105" i="107"/>
  <c r="C105" i="111" s="1"/>
  <c r="D105" i="107"/>
  <c r="D105" i="111" s="1"/>
  <c r="E105" i="107"/>
  <c r="F105" i="107"/>
  <c r="F105" i="111" s="1"/>
  <c r="G105" i="107"/>
  <c r="H105" i="107"/>
  <c r="H105" i="111" s="1"/>
  <c r="I105" i="107"/>
  <c r="I105" i="111" s="1"/>
  <c r="J105" i="107"/>
  <c r="J105" i="111" s="1"/>
  <c r="K105" i="107"/>
  <c r="K105" i="111" s="1"/>
  <c r="L105" i="107"/>
  <c r="L105" i="111" s="1"/>
  <c r="M105" i="107"/>
  <c r="N105" i="107"/>
  <c r="N105" i="111" s="1"/>
  <c r="D58" i="107"/>
  <c r="E58" i="107"/>
  <c r="E58" i="111" s="1"/>
  <c r="F58" i="107"/>
  <c r="F58" i="111" s="1"/>
  <c r="G58" i="107"/>
  <c r="G58" i="111" s="1"/>
  <c r="H58" i="107"/>
  <c r="I58" i="107"/>
  <c r="I58" i="111" s="1"/>
  <c r="J58" i="107"/>
  <c r="K58" i="107"/>
  <c r="K58" i="111" s="1"/>
  <c r="L58" i="107"/>
  <c r="M58" i="107"/>
  <c r="M58" i="111" s="1"/>
  <c r="N58" i="107"/>
  <c r="N58" i="111" s="1"/>
  <c r="C58" i="107"/>
  <c r="C58" i="111" s="1"/>
  <c r="AC33" i="108"/>
  <c r="AB33" i="108"/>
  <c r="X33" i="108"/>
  <c r="X32" i="108"/>
  <c r="AC31" i="108"/>
  <c r="X31" i="108"/>
  <c r="T31" i="108"/>
  <c r="S31" i="108"/>
  <c r="X30" i="108"/>
  <c r="AB29" i="108"/>
  <c r="Y29" i="108"/>
  <c r="X29" i="108"/>
  <c r="U29" i="108"/>
  <c r="AB28" i="108"/>
  <c r="T28" i="108"/>
  <c r="AB27" i="108"/>
  <c r="Y27" i="108"/>
  <c r="U27" i="108"/>
  <c r="AB26" i="108"/>
  <c r="T26" i="108"/>
  <c r="AB25" i="108"/>
  <c r="AA25" i="108"/>
  <c r="AB24" i="108"/>
  <c r="AA24" i="108"/>
  <c r="T24" i="108"/>
  <c r="AC23" i="108"/>
  <c r="AB23" i="108"/>
  <c r="Y23" i="108"/>
  <c r="X23" i="108"/>
  <c r="X22" i="108"/>
  <c r="W22" i="108"/>
  <c r="AA33" i="107"/>
  <c r="Y33" i="107"/>
  <c r="Y29" i="107"/>
  <c r="X29" i="107"/>
  <c r="T29" i="107"/>
  <c r="X28" i="107"/>
  <c r="AB27" i="107"/>
  <c r="Y27" i="107"/>
  <c r="X27" i="107"/>
  <c r="W27" i="107"/>
  <c r="AA26" i="107"/>
  <c r="X26" i="107"/>
  <c r="AB25" i="107"/>
  <c r="Y25" i="107"/>
  <c r="U25" i="107"/>
  <c r="AB24" i="107"/>
  <c r="T24" i="107"/>
  <c r="U23" i="107"/>
  <c r="T23" i="107"/>
  <c r="AB22" i="107"/>
  <c r="AA22" i="107"/>
  <c r="T22" i="107"/>
  <c r="T31" i="111"/>
  <c r="X30" i="111"/>
  <c r="X29" i="111"/>
  <c r="T29" i="111"/>
  <c r="X28" i="111"/>
  <c r="AB27" i="111"/>
  <c r="X27" i="111"/>
  <c r="T23" i="111"/>
  <c r="M90" i="111" l="1"/>
  <c r="AC30" i="111" s="1"/>
  <c r="K91" i="111"/>
  <c r="P91" i="111" s="1"/>
  <c r="AA30" i="107"/>
  <c r="C67" i="111"/>
  <c r="S24" i="107"/>
  <c r="O67" i="107"/>
  <c r="P67" i="107"/>
  <c r="O98" i="107"/>
  <c r="U33" i="108"/>
  <c r="Y33" i="108"/>
  <c r="U31" i="108"/>
  <c r="Y31" i="108"/>
  <c r="AC25" i="108"/>
  <c r="Y25" i="108"/>
  <c r="C83" i="111"/>
  <c r="O83" i="107"/>
  <c r="P83" i="107"/>
  <c r="T31" i="107"/>
  <c r="M102" i="111"/>
  <c r="AC33" i="111" s="1"/>
  <c r="AC33" i="107"/>
  <c r="E78" i="111"/>
  <c r="U27" i="111" s="1"/>
  <c r="U27" i="107"/>
  <c r="AA23" i="107"/>
  <c r="Y31" i="107"/>
  <c r="P82" i="107"/>
  <c r="O99" i="108"/>
  <c r="O83" i="108"/>
  <c r="P67" i="108"/>
  <c r="X22" i="107"/>
  <c r="H58" i="111"/>
  <c r="X22" i="111" s="1"/>
  <c r="C99" i="111"/>
  <c r="P99" i="107"/>
  <c r="O99" i="107"/>
  <c r="C79" i="111"/>
  <c r="S27" i="107"/>
  <c r="E94" i="111"/>
  <c r="U31" i="111" s="1"/>
  <c r="U31" i="107"/>
  <c r="M86" i="111"/>
  <c r="AC29" i="107"/>
  <c r="P98" i="107"/>
  <c r="AC23" i="107"/>
  <c r="AC25" i="107"/>
  <c r="W28" i="107"/>
  <c r="AA31" i="107"/>
  <c r="S30" i="107"/>
  <c r="AA25" i="107"/>
  <c r="M94" i="111"/>
  <c r="AC31" i="107"/>
  <c r="O66" i="108"/>
  <c r="K99" i="111"/>
  <c r="AA32" i="107"/>
  <c r="C87" i="111"/>
  <c r="S29" i="107"/>
  <c r="G70" i="111"/>
  <c r="W25" i="107"/>
  <c r="E102" i="111"/>
  <c r="U33" i="107"/>
  <c r="E86" i="111"/>
  <c r="U29" i="107"/>
  <c r="M78" i="111"/>
  <c r="AC27" i="111" s="1"/>
  <c r="AC27" i="107"/>
  <c r="I63" i="111"/>
  <c r="Y23" i="107"/>
  <c r="S22" i="107"/>
  <c r="S26" i="107"/>
  <c r="S32" i="107"/>
  <c r="AA24" i="107"/>
  <c r="T33" i="107"/>
  <c r="T33" i="111"/>
  <c r="H98" i="111"/>
  <c r="X32" i="111" s="1"/>
  <c r="X32" i="107"/>
  <c r="W33" i="108"/>
  <c r="O98" i="108"/>
  <c r="P98" i="108"/>
  <c r="W29" i="108"/>
  <c r="S29" i="108"/>
  <c r="P82" i="108"/>
  <c r="W27" i="108"/>
  <c r="AA27" i="108"/>
  <c r="W26" i="108"/>
  <c r="S24" i="108"/>
  <c r="W23" i="108"/>
  <c r="S23" i="108"/>
  <c r="O67" i="108"/>
  <c r="X30" i="107"/>
  <c r="L76" i="111"/>
  <c r="AB26" i="111" s="1"/>
  <c r="H75" i="111"/>
  <c r="X26" i="111" s="1"/>
  <c r="L68" i="111"/>
  <c r="AB24" i="111" s="1"/>
  <c r="D66" i="111"/>
  <c r="T24" i="111" s="1"/>
  <c r="P99" i="108"/>
  <c r="L58" i="111"/>
  <c r="AB22" i="111" s="1"/>
  <c r="D58" i="111"/>
  <c r="T22" i="111" s="1"/>
  <c r="G105" i="111"/>
  <c r="K104" i="111"/>
  <c r="C104" i="111"/>
  <c r="G103" i="111"/>
  <c r="W33" i="111" s="1"/>
  <c r="K102" i="111"/>
  <c r="AA33" i="111" s="1"/>
  <c r="C102" i="111"/>
  <c r="G101" i="111"/>
  <c r="K100" i="111"/>
  <c r="C100" i="111"/>
  <c r="G99" i="111"/>
  <c r="K98" i="111"/>
  <c r="AA32" i="111" s="1"/>
  <c r="C98" i="111"/>
  <c r="P98" i="111" s="1"/>
  <c r="G97" i="111"/>
  <c r="K96" i="111"/>
  <c r="C96" i="111"/>
  <c r="G95" i="111"/>
  <c r="K94" i="111"/>
  <c r="AA31" i="111" s="1"/>
  <c r="C94" i="111"/>
  <c r="G93" i="111"/>
  <c r="K92" i="111"/>
  <c r="C92" i="111"/>
  <c r="G91" i="111"/>
  <c r="K90" i="111"/>
  <c r="C90" i="111"/>
  <c r="G89" i="111"/>
  <c r="K88" i="111"/>
  <c r="C88" i="111"/>
  <c r="G87" i="111"/>
  <c r="W29" i="111" s="1"/>
  <c r="K86" i="111"/>
  <c r="AA29" i="111" s="1"/>
  <c r="C86" i="111"/>
  <c r="G85" i="111"/>
  <c r="K84" i="111"/>
  <c r="C84" i="111"/>
  <c r="G83" i="111"/>
  <c r="W28" i="111" s="1"/>
  <c r="K82" i="111"/>
  <c r="C82" i="111"/>
  <c r="G81" i="111"/>
  <c r="K80" i="111"/>
  <c r="C80" i="111"/>
  <c r="G79" i="111"/>
  <c r="K78" i="111"/>
  <c r="C78" i="111"/>
  <c r="G77" i="111"/>
  <c r="K76" i="111"/>
  <c r="AA26" i="111" s="1"/>
  <c r="C76" i="111"/>
  <c r="O76" i="111" s="1"/>
  <c r="G75" i="111"/>
  <c r="K74" i="111"/>
  <c r="C74" i="111"/>
  <c r="G73" i="111"/>
  <c r="K72" i="111"/>
  <c r="C72" i="111"/>
  <c r="P72" i="111" s="1"/>
  <c r="W25" i="111"/>
  <c r="G71" i="111"/>
  <c r="K70" i="111"/>
  <c r="AA25" i="111" s="1"/>
  <c r="C70" i="111"/>
  <c r="G69" i="111"/>
  <c r="K68" i="111"/>
  <c r="C68" i="111"/>
  <c r="G67" i="111"/>
  <c r="P67" i="111" s="1"/>
  <c r="K66" i="111"/>
  <c r="AA24" i="111" s="1"/>
  <c r="C66" i="111"/>
  <c r="G65" i="111"/>
  <c r="K64" i="111"/>
  <c r="C64" i="111"/>
  <c r="G63" i="111"/>
  <c r="K62" i="111"/>
  <c r="AA23" i="111" s="1"/>
  <c r="C62" i="111"/>
  <c r="G61" i="111"/>
  <c r="K60" i="111"/>
  <c r="AA22" i="111" s="1"/>
  <c r="C60" i="111"/>
  <c r="G59" i="111"/>
  <c r="O82" i="107"/>
  <c r="P66" i="107"/>
  <c r="P91" i="108"/>
  <c r="P75" i="108"/>
  <c r="P59" i="108"/>
  <c r="P83" i="108"/>
  <c r="J58" i="111"/>
  <c r="M105" i="111"/>
  <c r="E105" i="111"/>
  <c r="I104" i="111"/>
  <c r="M103" i="111"/>
  <c r="E103" i="111"/>
  <c r="U33" i="111" s="1"/>
  <c r="I102" i="111"/>
  <c r="M101" i="111"/>
  <c r="E101" i="111"/>
  <c r="I100" i="111"/>
  <c r="M99" i="111"/>
  <c r="E99" i="111"/>
  <c r="I98" i="111"/>
  <c r="Y32" i="111" s="1"/>
  <c r="M97" i="111"/>
  <c r="E97" i="111"/>
  <c r="I96" i="111"/>
  <c r="M95" i="111"/>
  <c r="E95" i="111"/>
  <c r="I94" i="111"/>
  <c r="M93" i="111"/>
  <c r="E93" i="111"/>
  <c r="I92" i="111"/>
  <c r="Y30" i="111" s="1"/>
  <c r="M91" i="111"/>
  <c r="E91" i="111"/>
  <c r="U30" i="111" s="1"/>
  <c r="I90" i="111"/>
  <c r="M89" i="111"/>
  <c r="E89" i="111"/>
  <c r="I88" i="111"/>
  <c r="M87" i="111"/>
  <c r="AC29" i="111" s="1"/>
  <c r="E87" i="111"/>
  <c r="U29" i="111" s="1"/>
  <c r="I86" i="111"/>
  <c r="M85" i="111"/>
  <c r="E85" i="111"/>
  <c r="I84" i="111"/>
  <c r="M83" i="111"/>
  <c r="E83" i="111"/>
  <c r="U28" i="111" s="1"/>
  <c r="I82" i="111"/>
  <c r="Y28" i="111" s="1"/>
  <c r="M81" i="111"/>
  <c r="E81" i="111"/>
  <c r="I80" i="111"/>
  <c r="M79" i="111"/>
  <c r="E79" i="111"/>
  <c r="I78" i="111"/>
  <c r="M77" i="111"/>
  <c r="E77" i="111"/>
  <c r="U26" i="111" s="1"/>
  <c r="I76" i="111"/>
  <c r="Y26" i="111" s="1"/>
  <c r="M75" i="111"/>
  <c r="E75" i="111"/>
  <c r="I74" i="111"/>
  <c r="M73" i="111"/>
  <c r="E73" i="111"/>
  <c r="I72" i="111"/>
  <c r="M71" i="111"/>
  <c r="AC25" i="111" s="1"/>
  <c r="E71" i="111"/>
  <c r="U25" i="111" s="1"/>
  <c r="I70" i="111"/>
  <c r="M69" i="111"/>
  <c r="E69" i="111"/>
  <c r="I68" i="111"/>
  <c r="M67" i="111"/>
  <c r="E67" i="111"/>
  <c r="I66" i="111"/>
  <c r="Y24" i="111" s="1"/>
  <c r="M65" i="111"/>
  <c r="E65" i="111"/>
  <c r="I64" i="111"/>
  <c r="M63" i="111"/>
  <c r="AC23" i="111" s="1"/>
  <c r="E63" i="111"/>
  <c r="U23" i="111" s="1"/>
  <c r="I62" i="111"/>
  <c r="M61" i="111"/>
  <c r="AC22" i="111" s="1"/>
  <c r="E61" i="111"/>
  <c r="I60" i="111"/>
  <c r="M59" i="111"/>
  <c r="E59" i="111"/>
  <c r="O66" i="107"/>
  <c r="AB25" i="111"/>
  <c r="X33" i="107"/>
  <c r="X33" i="111"/>
  <c r="AB33" i="107"/>
  <c r="AB33" i="111"/>
  <c r="AB32" i="111"/>
  <c r="AB32" i="107"/>
  <c r="T32" i="111"/>
  <c r="T32" i="107"/>
  <c r="AB31" i="111"/>
  <c r="AB31" i="107"/>
  <c r="X31" i="111"/>
  <c r="X31" i="107"/>
  <c r="AB30" i="111"/>
  <c r="AB30" i="107"/>
  <c r="T30" i="111"/>
  <c r="T30" i="107"/>
  <c r="AB29" i="111"/>
  <c r="AB29" i="107"/>
  <c r="AB28" i="111"/>
  <c r="AB28" i="107"/>
  <c r="T28" i="111"/>
  <c r="T28" i="107"/>
  <c r="T27" i="111"/>
  <c r="T27" i="107"/>
  <c r="AB26" i="107"/>
  <c r="T26" i="107"/>
  <c r="X25" i="111"/>
  <c r="X25" i="107"/>
  <c r="T25" i="107"/>
  <c r="X24" i="107"/>
  <c r="X24" i="111"/>
  <c r="AB23" i="111"/>
  <c r="AB23" i="107"/>
  <c r="X23" i="111"/>
  <c r="X23" i="107"/>
  <c r="O91" i="107"/>
  <c r="O75" i="107"/>
  <c r="O59" i="107"/>
  <c r="P91" i="107"/>
  <c r="P75" i="107"/>
  <c r="P59" i="107"/>
  <c r="T33" i="108"/>
  <c r="AB32" i="108"/>
  <c r="T32" i="108"/>
  <c r="AB31" i="108"/>
  <c r="AB30" i="108"/>
  <c r="T30" i="108"/>
  <c r="T29" i="108"/>
  <c r="X28" i="108"/>
  <c r="X27" i="108"/>
  <c r="T27" i="108"/>
  <c r="X26" i="108"/>
  <c r="X25" i="108"/>
  <c r="T25" i="108"/>
  <c r="X24" i="108"/>
  <c r="T23" i="108"/>
  <c r="O91" i="108"/>
  <c r="O75" i="108"/>
  <c r="O59" i="108"/>
  <c r="T26" i="111"/>
  <c r="T25" i="111"/>
  <c r="AD22" i="111"/>
  <c r="AD33" i="111"/>
  <c r="AD32" i="111"/>
  <c r="P76" i="111"/>
  <c r="P68" i="111"/>
  <c r="O68" i="111"/>
  <c r="P105" i="107"/>
  <c r="O105" i="107"/>
  <c r="P104" i="107"/>
  <c r="O104" i="107"/>
  <c r="P103" i="107"/>
  <c r="O103" i="107"/>
  <c r="W33" i="107"/>
  <c r="P102" i="107"/>
  <c r="O102" i="107"/>
  <c r="S33" i="107"/>
  <c r="P101" i="107"/>
  <c r="O101" i="107"/>
  <c r="P100" i="107"/>
  <c r="O100" i="107"/>
  <c r="P99" i="111"/>
  <c r="O99" i="111"/>
  <c r="W32" i="111"/>
  <c r="W32" i="107"/>
  <c r="P97" i="107"/>
  <c r="O97" i="107"/>
  <c r="P96" i="107"/>
  <c r="O96" i="107"/>
  <c r="P95" i="107"/>
  <c r="O95" i="107"/>
  <c r="W31" i="111"/>
  <c r="W31" i="107"/>
  <c r="P94" i="107"/>
  <c r="O94" i="107"/>
  <c r="S31" i="107"/>
  <c r="P93" i="107"/>
  <c r="O93" i="107"/>
  <c r="P92" i="107"/>
  <c r="O92" i="107"/>
  <c r="W30" i="111"/>
  <c r="W30" i="107"/>
  <c r="P89" i="107"/>
  <c r="O89" i="107"/>
  <c r="P88" i="107"/>
  <c r="O88" i="107"/>
  <c r="P87" i="107"/>
  <c r="O87" i="107"/>
  <c r="AA29" i="107"/>
  <c r="W29" i="107"/>
  <c r="P86" i="107"/>
  <c r="O86" i="107"/>
  <c r="P85" i="107"/>
  <c r="O85" i="107"/>
  <c r="P84" i="107"/>
  <c r="O84" i="107"/>
  <c r="P83" i="111"/>
  <c r="O83" i="111"/>
  <c r="AA28" i="111"/>
  <c r="AA28" i="107"/>
  <c r="S28" i="107"/>
  <c r="P81" i="107"/>
  <c r="O81" i="107"/>
  <c r="P80" i="107"/>
  <c r="O80" i="107"/>
  <c r="P79" i="107"/>
  <c r="O79" i="107"/>
  <c r="AA27" i="111"/>
  <c r="AA27" i="107"/>
  <c r="P78" i="107"/>
  <c r="O78" i="107"/>
  <c r="P77" i="107"/>
  <c r="O77" i="107"/>
  <c r="P76" i="107"/>
  <c r="O76" i="107"/>
  <c r="P75" i="111"/>
  <c r="O75" i="111"/>
  <c r="W26" i="111"/>
  <c r="W26" i="107"/>
  <c r="P73" i="107"/>
  <c r="O73" i="107"/>
  <c r="P72" i="107"/>
  <c r="O72" i="107"/>
  <c r="P71" i="107"/>
  <c r="O71" i="107"/>
  <c r="P70" i="107"/>
  <c r="O70" i="107"/>
  <c r="S25" i="107"/>
  <c r="P69" i="107"/>
  <c r="O69" i="107"/>
  <c r="AE24" i="107" s="1"/>
  <c r="S24" i="111"/>
  <c r="P68" i="107"/>
  <c r="O68" i="107"/>
  <c r="W24" i="107"/>
  <c r="P65" i="107"/>
  <c r="O65" i="107"/>
  <c r="P64" i="107"/>
  <c r="O64" i="107"/>
  <c r="P63" i="107"/>
  <c r="O63" i="107"/>
  <c r="W23" i="111"/>
  <c r="W23" i="107"/>
  <c r="P62" i="107"/>
  <c r="O62" i="107"/>
  <c r="S23" i="107"/>
  <c r="P61" i="107"/>
  <c r="O61" i="107"/>
  <c r="P60" i="107"/>
  <c r="O60" i="107"/>
  <c r="W22" i="111"/>
  <c r="W22" i="107"/>
  <c r="O59" i="111"/>
  <c r="O90" i="107"/>
  <c r="O74" i="107"/>
  <c r="O58" i="107"/>
  <c r="P90" i="107"/>
  <c r="P74" i="107"/>
  <c r="P58" i="107"/>
  <c r="P105" i="108"/>
  <c r="O105" i="108"/>
  <c r="P104" i="108"/>
  <c r="O104" i="108"/>
  <c r="P103" i="108"/>
  <c r="O103" i="108"/>
  <c r="AA33" i="108"/>
  <c r="P102" i="108"/>
  <c r="O102" i="108"/>
  <c r="P101" i="108"/>
  <c r="AF32" i="108" s="1"/>
  <c r="O101" i="108"/>
  <c r="P100" i="108"/>
  <c r="O100" i="108"/>
  <c r="AA32" i="108"/>
  <c r="S32" i="108"/>
  <c r="P97" i="108"/>
  <c r="O97" i="108"/>
  <c r="P96" i="108"/>
  <c r="O96" i="108"/>
  <c r="P95" i="108"/>
  <c r="O95" i="108"/>
  <c r="AA31" i="108"/>
  <c r="W31" i="108"/>
  <c r="P94" i="108"/>
  <c r="O94" i="108"/>
  <c r="P93" i="108"/>
  <c r="O93" i="108"/>
  <c r="P92" i="108"/>
  <c r="O92" i="108"/>
  <c r="AA30" i="108"/>
  <c r="S30" i="108"/>
  <c r="P89" i="108"/>
  <c r="O89" i="108"/>
  <c r="P88" i="108"/>
  <c r="O88" i="108"/>
  <c r="P87" i="108"/>
  <c r="O87" i="108"/>
  <c r="AA29" i="108"/>
  <c r="P86" i="108"/>
  <c r="O86" i="108"/>
  <c r="P85" i="108"/>
  <c r="O85" i="108"/>
  <c r="AE28" i="108" s="1"/>
  <c r="P84" i="108"/>
  <c r="O84" i="108"/>
  <c r="AA28" i="108"/>
  <c r="S28" i="108"/>
  <c r="P81" i="108"/>
  <c r="O81" i="108"/>
  <c r="P80" i="108"/>
  <c r="O80" i="108"/>
  <c r="P79" i="108"/>
  <c r="O79" i="108"/>
  <c r="P78" i="108"/>
  <c r="O78" i="108"/>
  <c r="S27" i="108"/>
  <c r="P77" i="108"/>
  <c r="O77" i="108"/>
  <c r="P76" i="108"/>
  <c r="O76" i="108"/>
  <c r="AA26" i="108"/>
  <c r="S26" i="108"/>
  <c r="P73" i="108"/>
  <c r="O73" i="108"/>
  <c r="P72" i="108"/>
  <c r="O72" i="108"/>
  <c r="P71" i="108"/>
  <c r="O71" i="108"/>
  <c r="P70" i="108"/>
  <c r="O70" i="108"/>
  <c r="S25" i="108"/>
  <c r="P69" i="108"/>
  <c r="O69" i="108"/>
  <c r="P68" i="108"/>
  <c r="O68" i="108"/>
  <c r="AE24" i="108" s="1"/>
  <c r="W24" i="108"/>
  <c r="P65" i="108"/>
  <c r="O65" i="108"/>
  <c r="P64" i="108"/>
  <c r="O64" i="108"/>
  <c r="P63" i="108"/>
  <c r="O63" i="108"/>
  <c r="AA23" i="108"/>
  <c r="P62" i="108"/>
  <c r="O62" i="108"/>
  <c r="P61" i="108"/>
  <c r="O61" i="108"/>
  <c r="P60" i="108"/>
  <c r="O60" i="108"/>
  <c r="AA22" i="108"/>
  <c r="S22" i="108"/>
  <c r="O90" i="108"/>
  <c r="O74" i="108"/>
  <c r="O58" i="108"/>
  <c r="P90" i="108"/>
  <c r="P74" i="108"/>
  <c r="P58" i="108"/>
  <c r="P58" i="111"/>
  <c r="O58" i="111"/>
  <c r="AD33" i="107"/>
  <c r="Z33" i="107"/>
  <c r="Z33" i="111"/>
  <c r="V33" i="107"/>
  <c r="AD32" i="107"/>
  <c r="Z32" i="107"/>
  <c r="Z32" i="111"/>
  <c r="V32" i="107"/>
  <c r="AD31" i="107"/>
  <c r="AD31" i="111"/>
  <c r="Z31" i="107"/>
  <c r="Z31" i="111"/>
  <c r="V31" i="107"/>
  <c r="AD30" i="107"/>
  <c r="AD30" i="111"/>
  <c r="Z30" i="107"/>
  <c r="Z30" i="111"/>
  <c r="V30" i="107"/>
  <c r="AD29" i="107"/>
  <c r="AD29" i="111"/>
  <c r="Z29" i="107"/>
  <c r="Z29" i="111"/>
  <c r="V29" i="107"/>
  <c r="AD28" i="107"/>
  <c r="AD28" i="111"/>
  <c r="Z28" i="107"/>
  <c r="Z28" i="111"/>
  <c r="V28" i="107"/>
  <c r="AD27" i="107"/>
  <c r="AD27" i="111"/>
  <c r="Z27" i="107"/>
  <c r="Z27" i="111"/>
  <c r="V27" i="107"/>
  <c r="AD26" i="107"/>
  <c r="AD26" i="111"/>
  <c r="Z26" i="107"/>
  <c r="Z26" i="111"/>
  <c r="V26" i="107"/>
  <c r="V26" i="111"/>
  <c r="AD25" i="107"/>
  <c r="AD25" i="111"/>
  <c r="Z25" i="107"/>
  <c r="Z25" i="111"/>
  <c r="V25" i="107"/>
  <c r="V25" i="111"/>
  <c r="AD24" i="107"/>
  <c r="AD24" i="111"/>
  <c r="Z24" i="107"/>
  <c r="Z24" i="111"/>
  <c r="V24" i="107"/>
  <c r="V24" i="111"/>
  <c r="AD23" i="107"/>
  <c r="AD23" i="111"/>
  <c r="Z23" i="107"/>
  <c r="V23" i="107"/>
  <c r="V23" i="111"/>
  <c r="AD22" i="107"/>
  <c r="V22" i="111"/>
  <c r="V33" i="111"/>
  <c r="V32" i="111"/>
  <c r="V31" i="111"/>
  <c r="V29" i="111"/>
  <c r="V27" i="111"/>
  <c r="Y33" i="111"/>
  <c r="AC32" i="107"/>
  <c r="Y32" i="107"/>
  <c r="U32" i="107"/>
  <c r="Y31" i="111"/>
  <c r="AC30" i="107"/>
  <c r="Y30" i="107"/>
  <c r="U30" i="107"/>
  <c r="Y29" i="111"/>
  <c r="AC28" i="107"/>
  <c r="AC28" i="111"/>
  <c r="Y28" i="107"/>
  <c r="U28" i="107"/>
  <c r="Y27" i="111"/>
  <c r="AC26" i="107"/>
  <c r="AC26" i="111"/>
  <c r="Y26" i="107"/>
  <c r="U26" i="107"/>
  <c r="AC24" i="107"/>
  <c r="AC24" i="111"/>
  <c r="Y24" i="107"/>
  <c r="U24" i="107"/>
  <c r="U24" i="111"/>
  <c r="AC22" i="107"/>
  <c r="U32" i="111"/>
  <c r="Z22" i="107"/>
  <c r="V22" i="107"/>
  <c r="AD33" i="108"/>
  <c r="Z33" i="108"/>
  <c r="V33" i="108"/>
  <c r="AD32" i="108"/>
  <c r="Z32" i="108"/>
  <c r="V32" i="108"/>
  <c r="AD31" i="108"/>
  <c r="Z31" i="108"/>
  <c r="V31" i="108"/>
  <c r="AD30" i="108"/>
  <c r="Z30" i="108"/>
  <c r="V30" i="108"/>
  <c r="AD29" i="108"/>
  <c r="Z29" i="108"/>
  <c r="V29" i="108"/>
  <c r="AD28" i="108"/>
  <c r="Z28" i="108"/>
  <c r="V28" i="108"/>
  <c r="AD27" i="108"/>
  <c r="Z27" i="108"/>
  <c r="V27" i="108"/>
  <c r="AD26" i="108"/>
  <c r="Z26" i="108"/>
  <c r="V26" i="108"/>
  <c r="AD25" i="108"/>
  <c r="Z25" i="108"/>
  <c r="V25" i="108"/>
  <c r="AD24" i="108"/>
  <c r="Z24" i="108"/>
  <c r="V24" i="108"/>
  <c r="AD23" i="108"/>
  <c r="Z23" i="108"/>
  <c r="V23" i="108"/>
  <c r="AD22" i="108"/>
  <c r="Z22" i="108"/>
  <c r="V22" i="108"/>
  <c r="Z22" i="111"/>
  <c r="Y22" i="107"/>
  <c r="U22" i="107"/>
  <c r="AC32" i="108"/>
  <c r="Y32" i="108"/>
  <c r="U32" i="108"/>
  <c r="AC30" i="108"/>
  <c r="Y30" i="108"/>
  <c r="U30" i="108"/>
  <c r="AC28" i="108"/>
  <c r="Y28" i="108"/>
  <c r="U28" i="108"/>
  <c r="AC26" i="108"/>
  <c r="Y26" i="108"/>
  <c r="U26" i="108"/>
  <c r="AC24" i="108"/>
  <c r="Y24" i="108"/>
  <c r="U24" i="108"/>
  <c r="AC22" i="108"/>
  <c r="Y22" i="108"/>
  <c r="U22" i="108"/>
  <c r="Y22" i="111"/>
  <c r="C11" i="108"/>
  <c r="D11" i="108"/>
  <c r="E11" i="108"/>
  <c r="F11" i="108"/>
  <c r="G11" i="108"/>
  <c r="H11" i="108"/>
  <c r="I11" i="108"/>
  <c r="J11" i="108"/>
  <c r="K11" i="108"/>
  <c r="L11" i="108"/>
  <c r="M11" i="108"/>
  <c r="N11" i="108"/>
  <c r="C12" i="108"/>
  <c r="D12" i="108"/>
  <c r="E12" i="108"/>
  <c r="F12" i="108"/>
  <c r="G12" i="108"/>
  <c r="H12" i="108"/>
  <c r="I12" i="108"/>
  <c r="J12" i="108"/>
  <c r="K12" i="108"/>
  <c r="L12" i="108"/>
  <c r="M12" i="108"/>
  <c r="N12" i="108"/>
  <c r="C13" i="108"/>
  <c r="D13" i="108"/>
  <c r="E13" i="108"/>
  <c r="F13" i="108"/>
  <c r="G13" i="108"/>
  <c r="H13" i="108"/>
  <c r="I13" i="108"/>
  <c r="J13" i="108"/>
  <c r="K13" i="108"/>
  <c r="L13" i="108"/>
  <c r="M13" i="108"/>
  <c r="N13" i="108"/>
  <c r="C14" i="108"/>
  <c r="D14" i="108"/>
  <c r="E14" i="108"/>
  <c r="F14" i="108"/>
  <c r="G14" i="108"/>
  <c r="H14" i="108"/>
  <c r="I14" i="108"/>
  <c r="J14" i="108"/>
  <c r="K14" i="108"/>
  <c r="L14" i="108"/>
  <c r="M14" i="108"/>
  <c r="N14" i="108"/>
  <c r="C15" i="108"/>
  <c r="D15" i="108"/>
  <c r="E15" i="108"/>
  <c r="F15" i="108"/>
  <c r="G15" i="108"/>
  <c r="H15" i="108"/>
  <c r="I15" i="108"/>
  <c r="J15" i="108"/>
  <c r="K15" i="108"/>
  <c r="L15" i="108"/>
  <c r="M15" i="108"/>
  <c r="N15" i="108"/>
  <c r="C16" i="108"/>
  <c r="D16" i="108"/>
  <c r="E16" i="108"/>
  <c r="F16" i="108"/>
  <c r="G16" i="108"/>
  <c r="H16" i="108"/>
  <c r="I16" i="108"/>
  <c r="J16" i="108"/>
  <c r="K16" i="108"/>
  <c r="L16" i="108"/>
  <c r="M16" i="108"/>
  <c r="N16" i="108"/>
  <c r="C17" i="108"/>
  <c r="D17" i="108"/>
  <c r="E17" i="108"/>
  <c r="F17" i="108"/>
  <c r="G17" i="108"/>
  <c r="H17" i="108"/>
  <c r="I17" i="108"/>
  <c r="J17" i="108"/>
  <c r="K17" i="108"/>
  <c r="L17" i="108"/>
  <c r="M17" i="108"/>
  <c r="N17" i="108"/>
  <c r="C18" i="108"/>
  <c r="D18" i="108"/>
  <c r="E18" i="108"/>
  <c r="F18" i="108"/>
  <c r="G18" i="108"/>
  <c r="H18" i="108"/>
  <c r="I18" i="108"/>
  <c r="J18" i="108"/>
  <c r="K18" i="108"/>
  <c r="L18" i="108"/>
  <c r="M18" i="108"/>
  <c r="N18" i="108"/>
  <c r="C19" i="108"/>
  <c r="D19" i="108"/>
  <c r="E19" i="108"/>
  <c r="F19" i="108"/>
  <c r="G19" i="108"/>
  <c r="H19" i="108"/>
  <c r="I19" i="108"/>
  <c r="J19" i="108"/>
  <c r="K19" i="108"/>
  <c r="L19" i="108"/>
  <c r="M19" i="108"/>
  <c r="N19" i="108"/>
  <c r="C20" i="108"/>
  <c r="D20" i="108"/>
  <c r="E20" i="108"/>
  <c r="F20" i="108"/>
  <c r="G20" i="108"/>
  <c r="H20" i="108"/>
  <c r="I20" i="108"/>
  <c r="J20" i="108"/>
  <c r="K20" i="108"/>
  <c r="L20" i="108"/>
  <c r="M20" i="108"/>
  <c r="N20" i="108"/>
  <c r="C21" i="108"/>
  <c r="D21" i="108"/>
  <c r="E21" i="108"/>
  <c r="F21" i="108"/>
  <c r="G21" i="108"/>
  <c r="H21" i="108"/>
  <c r="I21" i="108"/>
  <c r="J21" i="108"/>
  <c r="K21" i="108"/>
  <c r="L21" i="108"/>
  <c r="M21" i="108"/>
  <c r="N21" i="108"/>
  <c r="C22" i="108"/>
  <c r="D22" i="108"/>
  <c r="E22" i="108"/>
  <c r="F22" i="108"/>
  <c r="G22" i="108"/>
  <c r="H22" i="108"/>
  <c r="I22" i="108"/>
  <c r="J22" i="108"/>
  <c r="K22" i="108"/>
  <c r="L22" i="108"/>
  <c r="M22" i="108"/>
  <c r="N22" i="108"/>
  <c r="C23" i="108"/>
  <c r="D23" i="108"/>
  <c r="E23" i="108"/>
  <c r="F23" i="108"/>
  <c r="G23" i="108"/>
  <c r="H23" i="108"/>
  <c r="I23" i="108"/>
  <c r="J23" i="108"/>
  <c r="K23" i="108"/>
  <c r="L23" i="108"/>
  <c r="M23" i="108"/>
  <c r="N23" i="108"/>
  <c r="C24" i="108"/>
  <c r="D24" i="108"/>
  <c r="E24" i="108"/>
  <c r="F24" i="108"/>
  <c r="G24" i="108"/>
  <c r="H24" i="108"/>
  <c r="I24" i="108"/>
  <c r="J24" i="108"/>
  <c r="K24" i="108"/>
  <c r="L24" i="108"/>
  <c r="M24" i="108"/>
  <c r="N24" i="108"/>
  <c r="C25" i="108"/>
  <c r="D25" i="108"/>
  <c r="E25" i="108"/>
  <c r="F25" i="108"/>
  <c r="G25" i="108"/>
  <c r="H25" i="108"/>
  <c r="I25" i="108"/>
  <c r="J25" i="108"/>
  <c r="K25" i="108"/>
  <c r="L25" i="108"/>
  <c r="M25" i="108"/>
  <c r="N25" i="108"/>
  <c r="C26" i="108"/>
  <c r="D26" i="108"/>
  <c r="E26" i="108"/>
  <c r="F26" i="108"/>
  <c r="G26" i="108"/>
  <c r="H26" i="108"/>
  <c r="I26" i="108"/>
  <c r="J26" i="108"/>
  <c r="K26" i="108"/>
  <c r="L26" i="108"/>
  <c r="M26" i="108"/>
  <c r="N26" i="108"/>
  <c r="C27" i="108"/>
  <c r="D27" i="108"/>
  <c r="E27" i="108"/>
  <c r="F27" i="108"/>
  <c r="G27" i="108"/>
  <c r="H27" i="108"/>
  <c r="I27" i="108"/>
  <c r="J27" i="108"/>
  <c r="K27" i="108"/>
  <c r="L27" i="108"/>
  <c r="M27" i="108"/>
  <c r="N27" i="108"/>
  <c r="C28" i="108"/>
  <c r="D28" i="108"/>
  <c r="E28" i="108"/>
  <c r="F28" i="108"/>
  <c r="G28" i="108"/>
  <c r="H28" i="108"/>
  <c r="I28" i="108"/>
  <c r="J28" i="108"/>
  <c r="K28" i="108"/>
  <c r="L28" i="108"/>
  <c r="M28" i="108"/>
  <c r="N28" i="108"/>
  <c r="C29" i="108"/>
  <c r="D29" i="108"/>
  <c r="E29" i="108"/>
  <c r="F29" i="108"/>
  <c r="G29" i="108"/>
  <c r="H29" i="108"/>
  <c r="I29" i="108"/>
  <c r="J29" i="108"/>
  <c r="K29" i="108"/>
  <c r="L29" i="108"/>
  <c r="M29" i="108"/>
  <c r="N29" i="108"/>
  <c r="C30" i="108"/>
  <c r="D30" i="108"/>
  <c r="E30" i="108"/>
  <c r="F30" i="108"/>
  <c r="G30" i="108"/>
  <c r="H30" i="108"/>
  <c r="I30" i="108"/>
  <c r="J30" i="108"/>
  <c r="K30" i="108"/>
  <c r="L30" i="108"/>
  <c r="M30" i="108"/>
  <c r="N30" i="108"/>
  <c r="C31" i="108"/>
  <c r="D31" i="108"/>
  <c r="E31" i="108"/>
  <c r="F31" i="108"/>
  <c r="G31" i="108"/>
  <c r="H31" i="108"/>
  <c r="I31" i="108"/>
  <c r="J31" i="108"/>
  <c r="K31" i="108"/>
  <c r="L31" i="108"/>
  <c r="M31" i="108"/>
  <c r="N31" i="108"/>
  <c r="C32" i="108"/>
  <c r="D32" i="108"/>
  <c r="E32" i="108"/>
  <c r="F32" i="108"/>
  <c r="G32" i="108"/>
  <c r="H32" i="108"/>
  <c r="I32" i="108"/>
  <c r="J32" i="108"/>
  <c r="K32" i="108"/>
  <c r="L32" i="108"/>
  <c r="M32" i="108"/>
  <c r="N32" i="108"/>
  <c r="C33" i="108"/>
  <c r="D33" i="108"/>
  <c r="E33" i="108"/>
  <c r="F33" i="108"/>
  <c r="G33" i="108"/>
  <c r="H33" i="108"/>
  <c r="I33" i="108"/>
  <c r="J33" i="108"/>
  <c r="K33" i="108"/>
  <c r="L33" i="108"/>
  <c r="M33" i="108"/>
  <c r="N33" i="108"/>
  <c r="C34" i="108"/>
  <c r="D34" i="108"/>
  <c r="E34" i="108"/>
  <c r="F34" i="108"/>
  <c r="G34" i="108"/>
  <c r="H34" i="108"/>
  <c r="I34" i="108"/>
  <c r="J34" i="108"/>
  <c r="K34" i="108"/>
  <c r="L34" i="108"/>
  <c r="M34" i="108"/>
  <c r="N34" i="108"/>
  <c r="C35" i="108"/>
  <c r="D35" i="108"/>
  <c r="E35" i="108"/>
  <c r="F35" i="108"/>
  <c r="G35" i="108"/>
  <c r="H35" i="108"/>
  <c r="I35" i="108"/>
  <c r="J35" i="108"/>
  <c r="K35" i="108"/>
  <c r="L35" i="108"/>
  <c r="M35" i="108"/>
  <c r="N35" i="108"/>
  <c r="C36" i="108"/>
  <c r="D36" i="108"/>
  <c r="E36" i="108"/>
  <c r="F36" i="108"/>
  <c r="G36" i="108"/>
  <c r="H36" i="108"/>
  <c r="I36" i="108"/>
  <c r="J36" i="108"/>
  <c r="K36" i="108"/>
  <c r="L36" i="108"/>
  <c r="M36" i="108"/>
  <c r="N36" i="108"/>
  <c r="C37" i="108"/>
  <c r="D37" i="108"/>
  <c r="E37" i="108"/>
  <c r="F37" i="108"/>
  <c r="G37" i="108"/>
  <c r="H37" i="108"/>
  <c r="I37" i="108"/>
  <c r="J37" i="108"/>
  <c r="K37" i="108"/>
  <c r="L37" i="108"/>
  <c r="M37" i="108"/>
  <c r="N37" i="108"/>
  <c r="C38" i="108"/>
  <c r="D38" i="108"/>
  <c r="E38" i="108"/>
  <c r="F38" i="108"/>
  <c r="G38" i="108"/>
  <c r="H38" i="108"/>
  <c r="I38" i="108"/>
  <c r="J38" i="108"/>
  <c r="K38" i="108"/>
  <c r="L38" i="108"/>
  <c r="M38" i="108"/>
  <c r="N38" i="108"/>
  <c r="C39" i="108"/>
  <c r="D39" i="108"/>
  <c r="E39" i="108"/>
  <c r="F39" i="108"/>
  <c r="G39" i="108"/>
  <c r="H39" i="108"/>
  <c r="I39" i="108"/>
  <c r="J39" i="108"/>
  <c r="K39" i="108"/>
  <c r="L39" i="108"/>
  <c r="M39" i="108"/>
  <c r="N39" i="108"/>
  <c r="C40" i="108"/>
  <c r="D40" i="108"/>
  <c r="E40" i="108"/>
  <c r="F40" i="108"/>
  <c r="G40" i="108"/>
  <c r="H40" i="108"/>
  <c r="I40" i="108"/>
  <c r="J40" i="108"/>
  <c r="K40" i="108"/>
  <c r="L40" i="108"/>
  <c r="M40" i="108"/>
  <c r="N40" i="108"/>
  <c r="C41" i="108"/>
  <c r="D41" i="108"/>
  <c r="E41" i="108"/>
  <c r="F41" i="108"/>
  <c r="G41" i="108"/>
  <c r="H41" i="108"/>
  <c r="I41" i="108"/>
  <c r="J41" i="108"/>
  <c r="K41" i="108"/>
  <c r="L41" i="108"/>
  <c r="M41" i="108"/>
  <c r="N41" i="108"/>
  <c r="C42" i="108"/>
  <c r="D42" i="108"/>
  <c r="E42" i="108"/>
  <c r="F42" i="108"/>
  <c r="G42" i="108"/>
  <c r="H42" i="108"/>
  <c r="I42" i="108"/>
  <c r="J42" i="108"/>
  <c r="K42" i="108"/>
  <c r="L42" i="108"/>
  <c r="M42" i="108"/>
  <c r="N42" i="108"/>
  <c r="C43" i="108"/>
  <c r="D43" i="108"/>
  <c r="E43" i="108"/>
  <c r="F43" i="108"/>
  <c r="G43" i="108"/>
  <c r="H43" i="108"/>
  <c r="I43" i="108"/>
  <c r="J43" i="108"/>
  <c r="K43" i="108"/>
  <c r="L43" i="108"/>
  <c r="M43" i="108"/>
  <c r="N43" i="108"/>
  <c r="C44" i="108"/>
  <c r="D44" i="108"/>
  <c r="E44" i="108"/>
  <c r="F44" i="108"/>
  <c r="G44" i="108"/>
  <c r="H44" i="108"/>
  <c r="I44" i="108"/>
  <c r="J44" i="108"/>
  <c r="K44" i="108"/>
  <c r="L44" i="108"/>
  <c r="M44" i="108"/>
  <c r="N44" i="108"/>
  <c r="C45" i="108"/>
  <c r="D45" i="108"/>
  <c r="E45" i="108"/>
  <c r="F45" i="108"/>
  <c r="G45" i="108"/>
  <c r="H45" i="108"/>
  <c r="I45" i="108"/>
  <c r="J45" i="108"/>
  <c r="K45" i="108"/>
  <c r="L45" i="108"/>
  <c r="M45" i="108"/>
  <c r="N45" i="108"/>
  <c r="C46" i="108"/>
  <c r="D46" i="108"/>
  <c r="E46" i="108"/>
  <c r="F46" i="108"/>
  <c r="G46" i="108"/>
  <c r="H46" i="108"/>
  <c r="I46" i="108"/>
  <c r="J46" i="108"/>
  <c r="K46" i="108"/>
  <c r="L46" i="108"/>
  <c r="M46" i="108"/>
  <c r="N46" i="108"/>
  <c r="C47" i="108"/>
  <c r="D47" i="108"/>
  <c r="E47" i="108"/>
  <c r="F47" i="108"/>
  <c r="G47" i="108"/>
  <c r="H47" i="108"/>
  <c r="I47" i="108"/>
  <c r="J47" i="108"/>
  <c r="K47" i="108"/>
  <c r="L47" i="108"/>
  <c r="M47" i="108"/>
  <c r="N47" i="108"/>
  <c r="C48" i="108"/>
  <c r="D48" i="108"/>
  <c r="E48" i="108"/>
  <c r="F48" i="108"/>
  <c r="G48" i="108"/>
  <c r="H48" i="108"/>
  <c r="I48" i="108"/>
  <c r="J48" i="108"/>
  <c r="K48" i="108"/>
  <c r="L48" i="108"/>
  <c r="M48" i="108"/>
  <c r="N48" i="108"/>
  <c r="C49" i="108"/>
  <c r="D49" i="108"/>
  <c r="E49" i="108"/>
  <c r="F49" i="108"/>
  <c r="G49" i="108"/>
  <c r="H49" i="108"/>
  <c r="I49" i="108"/>
  <c r="J49" i="108"/>
  <c r="K49" i="108"/>
  <c r="L49" i="108"/>
  <c r="M49" i="108"/>
  <c r="N49" i="108"/>
  <c r="C50" i="108"/>
  <c r="D50" i="108"/>
  <c r="E50" i="108"/>
  <c r="F50" i="108"/>
  <c r="G50" i="108"/>
  <c r="H50" i="108"/>
  <c r="I50" i="108"/>
  <c r="J50" i="108"/>
  <c r="K50" i="108"/>
  <c r="L50" i="108"/>
  <c r="M50" i="108"/>
  <c r="N50" i="108"/>
  <c r="C51" i="108"/>
  <c r="D51" i="108"/>
  <c r="E51" i="108"/>
  <c r="F51" i="108"/>
  <c r="G51" i="108"/>
  <c r="H51" i="108"/>
  <c r="I51" i="108"/>
  <c r="J51" i="108"/>
  <c r="K51" i="108"/>
  <c r="L51" i="108"/>
  <c r="M51" i="108"/>
  <c r="N51" i="108"/>
  <c r="C52" i="108"/>
  <c r="D52" i="108"/>
  <c r="E52" i="108"/>
  <c r="F52" i="108"/>
  <c r="G52" i="108"/>
  <c r="H52" i="108"/>
  <c r="I52" i="108"/>
  <c r="J52" i="108"/>
  <c r="K52" i="108"/>
  <c r="L52" i="108"/>
  <c r="M52" i="108"/>
  <c r="N52" i="108"/>
  <c r="C53" i="108"/>
  <c r="D53" i="108"/>
  <c r="E53" i="108"/>
  <c r="F53" i="108"/>
  <c r="G53" i="108"/>
  <c r="H53" i="108"/>
  <c r="I53" i="108"/>
  <c r="J53" i="108"/>
  <c r="K53" i="108"/>
  <c r="L53" i="108"/>
  <c r="M53" i="108"/>
  <c r="N53" i="108"/>
  <c r="C54" i="108"/>
  <c r="D54" i="108"/>
  <c r="E54" i="108"/>
  <c r="F54" i="108"/>
  <c r="G54" i="108"/>
  <c r="H54" i="108"/>
  <c r="I54" i="108"/>
  <c r="J54" i="108"/>
  <c r="K54" i="108"/>
  <c r="L54" i="108"/>
  <c r="M54" i="108"/>
  <c r="N54" i="108"/>
  <c r="C55" i="108"/>
  <c r="D55" i="108"/>
  <c r="E55" i="108"/>
  <c r="F55" i="108"/>
  <c r="G55" i="108"/>
  <c r="H55" i="108"/>
  <c r="I55" i="108"/>
  <c r="J55" i="108"/>
  <c r="K55" i="108"/>
  <c r="L55" i="108"/>
  <c r="M55" i="108"/>
  <c r="N55" i="108"/>
  <c r="C56" i="108"/>
  <c r="D56" i="108"/>
  <c r="E56" i="108"/>
  <c r="F56" i="108"/>
  <c r="G56" i="108"/>
  <c r="H56" i="108"/>
  <c r="I56" i="108"/>
  <c r="J56" i="108"/>
  <c r="K56" i="108"/>
  <c r="L56" i="108"/>
  <c r="M56" i="108"/>
  <c r="N56" i="108"/>
  <c r="C57" i="108"/>
  <c r="D57" i="108"/>
  <c r="E57" i="108"/>
  <c r="F57" i="108"/>
  <c r="G57" i="108"/>
  <c r="H57" i="108"/>
  <c r="I57" i="108"/>
  <c r="J57" i="108"/>
  <c r="K57" i="108"/>
  <c r="L57" i="108"/>
  <c r="M57" i="108"/>
  <c r="N57" i="108"/>
  <c r="D10" i="108"/>
  <c r="E10" i="108"/>
  <c r="F10" i="108"/>
  <c r="G10" i="108"/>
  <c r="H10" i="108"/>
  <c r="I10" i="108"/>
  <c r="J10" i="108"/>
  <c r="K10" i="108"/>
  <c r="L10" i="108"/>
  <c r="M10" i="108"/>
  <c r="N10" i="108"/>
  <c r="C10" i="108"/>
  <c r="C11" i="107"/>
  <c r="C11" i="111" s="1"/>
  <c r="D11" i="107"/>
  <c r="D11" i="111" s="1"/>
  <c r="E11" i="107"/>
  <c r="E11" i="111" s="1"/>
  <c r="F11" i="107"/>
  <c r="F11" i="111" s="1"/>
  <c r="G11" i="107"/>
  <c r="G11" i="111" s="1"/>
  <c r="H11" i="107"/>
  <c r="H11" i="111" s="1"/>
  <c r="I11" i="107"/>
  <c r="I11" i="111" s="1"/>
  <c r="J11" i="107"/>
  <c r="J11" i="111" s="1"/>
  <c r="K11" i="107"/>
  <c r="K11" i="111" s="1"/>
  <c r="L11" i="107"/>
  <c r="L11" i="111" s="1"/>
  <c r="M11" i="107"/>
  <c r="M11" i="111" s="1"/>
  <c r="N11" i="107"/>
  <c r="N11" i="111" s="1"/>
  <c r="C12" i="107"/>
  <c r="C12" i="111" s="1"/>
  <c r="D12" i="107"/>
  <c r="D12" i="111" s="1"/>
  <c r="E12" i="107"/>
  <c r="E12" i="111" s="1"/>
  <c r="F12" i="107"/>
  <c r="F12" i="111" s="1"/>
  <c r="G12" i="107"/>
  <c r="G12" i="111" s="1"/>
  <c r="H12" i="107"/>
  <c r="H12" i="111" s="1"/>
  <c r="I12" i="107"/>
  <c r="I12" i="111" s="1"/>
  <c r="J12" i="107"/>
  <c r="J12" i="111" s="1"/>
  <c r="K12" i="107"/>
  <c r="K12" i="111" s="1"/>
  <c r="L12" i="107"/>
  <c r="L12" i="111" s="1"/>
  <c r="M12" i="107"/>
  <c r="M12" i="111" s="1"/>
  <c r="N12" i="107"/>
  <c r="N12" i="111" s="1"/>
  <c r="C13" i="107"/>
  <c r="C13" i="111" s="1"/>
  <c r="D13" i="107"/>
  <c r="D13" i="111" s="1"/>
  <c r="E13" i="107"/>
  <c r="E13" i="111" s="1"/>
  <c r="F13" i="107"/>
  <c r="F13" i="111" s="1"/>
  <c r="G13" i="107"/>
  <c r="G13" i="111" s="1"/>
  <c r="H13" i="107"/>
  <c r="H13" i="111" s="1"/>
  <c r="I13" i="107"/>
  <c r="I13" i="111" s="1"/>
  <c r="J13" i="107"/>
  <c r="J13" i="111" s="1"/>
  <c r="K13" i="107"/>
  <c r="K13" i="111" s="1"/>
  <c r="L13" i="107"/>
  <c r="L13" i="111" s="1"/>
  <c r="M13" i="107"/>
  <c r="M13" i="111" s="1"/>
  <c r="N13" i="107"/>
  <c r="N13" i="111" s="1"/>
  <c r="C14" i="107"/>
  <c r="C14" i="111" s="1"/>
  <c r="D14" i="107"/>
  <c r="D14" i="111" s="1"/>
  <c r="E14" i="107"/>
  <c r="E14" i="111" s="1"/>
  <c r="F14" i="107"/>
  <c r="F14" i="111" s="1"/>
  <c r="G14" i="107"/>
  <c r="G14" i="111" s="1"/>
  <c r="H14" i="107"/>
  <c r="H14" i="111" s="1"/>
  <c r="I14" i="107"/>
  <c r="I14" i="111" s="1"/>
  <c r="J14" i="107"/>
  <c r="J14" i="111" s="1"/>
  <c r="K14" i="107"/>
  <c r="K14" i="111" s="1"/>
  <c r="L14" i="107"/>
  <c r="L14" i="111" s="1"/>
  <c r="M14" i="107"/>
  <c r="M14" i="111" s="1"/>
  <c r="N14" i="107"/>
  <c r="N14" i="111" s="1"/>
  <c r="C15" i="107"/>
  <c r="C15" i="111" s="1"/>
  <c r="D15" i="107"/>
  <c r="D15" i="111" s="1"/>
  <c r="E15" i="107"/>
  <c r="E15" i="111" s="1"/>
  <c r="F15" i="107"/>
  <c r="F15" i="111" s="1"/>
  <c r="G15" i="107"/>
  <c r="G15" i="111" s="1"/>
  <c r="H15" i="107"/>
  <c r="H15" i="111" s="1"/>
  <c r="I15" i="107"/>
  <c r="I15" i="111" s="1"/>
  <c r="J15" i="107"/>
  <c r="J15" i="111" s="1"/>
  <c r="K15" i="107"/>
  <c r="K15" i="111" s="1"/>
  <c r="L15" i="107"/>
  <c r="L15" i="111" s="1"/>
  <c r="M15" i="107"/>
  <c r="M15" i="111" s="1"/>
  <c r="N15" i="107"/>
  <c r="N15" i="111" s="1"/>
  <c r="C16" i="107"/>
  <c r="C16" i="111" s="1"/>
  <c r="D16" i="107"/>
  <c r="D16" i="111" s="1"/>
  <c r="E16" i="107"/>
  <c r="E16" i="111" s="1"/>
  <c r="F16" i="107"/>
  <c r="F16" i="111" s="1"/>
  <c r="G16" i="107"/>
  <c r="G16" i="111" s="1"/>
  <c r="H16" i="107"/>
  <c r="H16" i="111" s="1"/>
  <c r="I16" i="107"/>
  <c r="I16" i="111" s="1"/>
  <c r="J16" i="107"/>
  <c r="J16" i="111" s="1"/>
  <c r="K16" i="107"/>
  <c r="K16" i="111" s="1"/>
  <c r="L16" i="107"/>
  <c r="L16" i="111" s="1"/>
  <c r="M16" i="107"/>
  <c r="M16" i="111" s="1"/>
  <c r="N16" i="107"/>
  <c r="N16" i="111" s="1"/>
  <c r="C17" i="107"/>
  <c r="C17" i="111" s="1"/>
  <c r="D17" i="107"/>
  <c r="D17" i="111" s="1"/>
  <c r="E17" i="107"/>
  <c r="E17" i="111" s="1"/>
  <c r="F17" i="107"/>
  <c r="F17" i="111" s="1"/>
  <c r="G17" i="107"/>
  <c r="G17" i="111" s="1"/>
  <c r="H17" i="107"/>
  <c r="H17" i="111" s="1"/>
  <c r="I17" i="107"/>
  <c r="I17" i="111" s="1"/>
  <c r="J17" i="107"/>
  <c r="J17" i="111" s="1"/>
  <c r="K17" i="107"/>
  <c r="K17" i="111" s="1"/>
  <c r="L17" i="107"/>
  <c r="L17" i="111" s="1"/>
  <c r="M17" i="107"/>
  <c r="M17" i="111" s="1"/>
  <c r="N17" i="107"/>
  <c r="N17" i="111" s="1"/>
  <c r="C18" i="107"/>
  <c r="C18" i="111" s="1"/>
  <c r="D18" i="107"/>
  <c r="D18" i="111" s="1"/>
  <c r="E18" i="107"/>
  <c r="E18" i="111" s="1"/>
  <c r="F18" i="107"/>
  <c r="F18" i="111" s="1"/>
  <c r="G18" i="107"/>
  <c r="G18" i="111" s="1"/>
  <c r="H18" i="107"/>
  <c r="H18" i="111" s="1"/>
  <c r="I18" i="107"/>
  <c r="I18" i="111" s="1"/>
  <c r="J18" i="107"/>
  <c r="J18" i="111" s="1"/>
  <c r="K18" i="107"/>
  <c r="K18" i="111" s="1"/>
  <c r="L18" i="107"/>
  <c r="L18" i="111" s="1"/>
  <c r="M18" i="107"/>
  <c r="M18" i="111" s="1"/>
  <c r="N18" i="107"/>
  <c r="N18" i="111" s="1"/>
  <c r="C19" i="107"/>
  <c r="C19" i="111" s="1"/>
  <c r="D19" i="107"/>
  <c r="D19" i="111" s="1"/>
  <c r="E19" i="107"/>
  <c r="E19" i="111" s="1"/>
  <c r="F19" i="107"/>
  <c r="F19" i="111" s="1"/>
  <c r="G19" i="107"/>
  <c r="G19" i="111" s="1"/>
  <c r="H19" i="107"/>
  <c r="H19" i="111" s="1"/>
  <c r="I19" i="107"/>
  <c r="I19" i="111" s="1"/>
  <c r="J19" i="107"/>
  <c r="J19" i="111" s="1"/>
  <c r="K19" i="107"/>
  <c r="K19" i="111" s="1"/>
  <c r="L19" i="107"/>
  <c r="L19" i="111" s="1"/>
  <c r="M19" i="107"/>
  <c r="M19" i="111" s="1"/>
  <c r="N19" i="107"/>
  <c r="N19" i="111" s="1"/>
  <c r="C20" i="107"/>
  <c r="C20" i="111" s="1"/>
  <c r="D20" i="107"/>
  <c r="D20" i="111" s="1"/>
  <c r="E20" i="107"/>
  <c r="E20" i="111" s="1"/>
  <c r="F20" i="107"/>
  <c r="F20" i="111" s="1"/>
  <c r="G20" i="107"/>
  <c r="G20" i="111" s="1"/>
  <c r="H20" i="107"/>
  <c r="H20" i="111" s="1"/>
  <c r="I20" i="107"/>
  <c r="I20" i="111" s="1"/>
  <c r="J20" i="107"/>
  <c r="J20" i="111" s="1"/>
  <c r="K20" i="107"/>
  <c r="K20" i="111" s="1"/>
  <c r="L20" i="107"/>
  <c r="L20" i="111" s="1"/>
  <c r="M20" i="107"/>
  <c r="M20" i="111" s="1"/>
  <c r="N20" i="107"/>
  <c r="N20" i="111" s="1"/>
  <c r="C21" i="107"/>
  <c r="C21" i="111" s="1"/>
  <c r="D21" i="107"/>
  <c r="D21" i="111" s="1"/>
  <c r="E21" i="107"/>
  <c r="E21" i="111" s="1"/>
  <c r="F21" i="107"/>
  <c r="F21" i="111" s="1"/>
  <c r="G21" i="107"/>
  <c r="G21" i="111" s="1"/>
  <c r="H21" i="107"/>
  <c r="H21" i="111" s="1"/>
  <c r="I21" i="107"/>
  <c r="I21" i="111" s="1"/>
  <c r="J21" i="107"/>
  <c r="J21" i="111" s="1"/>
  <c r="K21" i="107"/>
  <c r="K21" i="111" s="1"/>
  <c r="L21" i="107"/>
  <c r="L21" i="111" s="1"/>
  <c r="M21" i="107"/>
  <c r="M21" i="111" s="1"/>
  <c r="N21" i="107"/>
  <c r="N21" i="111" s="1"/>
  <c r="C22" i="107"/>
  <c r="C22" i="111" s="1"/>
  <c r="D22" i="107"/>
  <c r="D22" i="111" s="1"/>
  <c r="E22" i="107"/>
  <c r="E22" i="111" s="1"/>
  <c r="F22" i="107"/>
  <c r="F22" i="111" s="1"/>
  <c r="G22" i="107"/>
  <c r="G22" i="111" s="1"/>
  <c r="H22" i="107"/>
  <c r="H22" i="111" s="1"/>
  <c r="I22" i="107"/>
  <c r="I22" i="111" s="1"/>
  <c r="J22" i="107"/>
  <c r="J22" i="111" s="1"/>
  <c r="K22" i="107"/>
  <c r="K22" i="111" s="1"/>
  <c r="L22" i="107"/>
  <c r="L22" i="111" s="1"/>
  <c r="M22" i="107"/>
  <c r="M22" i="111" s="1"/>
  <c r="N22" i="107"/>
  <c r="N22" i="111" s="1"/>
  <c r="C23" i="107"/>
  <c r="C23" i="111" s="1"/>
  <c r="D23" i="107"/>
  <c r="D23" i="111" s="1"/>
  <c r="E23" i="107"/>
  <c r="E23" i="111" s="1"/>
  <c r="F23" i="107"/>
  <c r="F23" i="111" s="1"/>
  <c r="G23" i="107"/>
  <c r="G23" i="111" s="1"/>
  <c r="H23" i="107"/>
  <c r="H23" i="111" s="1"/>
  <c r="I23" i="107"/>
  <c r="I23" i="111" s="1"/>
  <c r="J23" i="107"/>
  <c r="J23" i="111" s="1"/>
  <c r="K23" i="107"/>
  <c r="K23" i="111" s="1"/>
  <c r="L23" i="107"/>
  <c r="L23" i="111" s="1"/>
  <c r="M23" i="107"/>
  <c r="M23" i="111" s="1"/>
  <c r="N23" i="107"/>
  <c r="N23" i="111" s="1"/>
  <c r="C24" i="107"/>
  <c r="C24" i="111" s="1"/>
  <c r="D24" i="107"/>
  <c r="D24" i="111" s="1"/>
  <c r="E24" i="107"/>
  <c r="E24" i="111" s="1"/>
  <c r="F24" i="107"/>
  <c r="F24" i="111" s="1"/>
  <c r="G24" i="107"/>
  <c r="G24" i="111" s="1"/>
  <c r="H24" i="107"/>
  <c r="H24" i="111" s="1"/>
  <c r="I24" i="107"/>
  <c r="I24" i="111" s="1"/>
  <c r="J24" i="107"/>
  <c r="J24" i="111" s="1"/>
  <c r="K24" i="107"/>
  <c r="K24" i="111" s="1"/>
  <c r="L24" i="107"/>
  <c r="L24" i="111" s="1"/>
  <c r="M24" i="107"/>
  <c r="M24" i="111" s="1"/>
  <c r="N24" i="107"/>
  <c r="N24" i="111" s="1"/>
  <c r="C25" i="107"/>
  <c r="C25" i="111" s="1"/>
  <c r="D25" i="107"/>
  <c r="D25" i="111" s="1"/>
  <c r="E25" i="107"/>
  <c r="E25" i="111" s="1"/>
  <c r="F25" i="107"/>
  <c r="F25" i="111" s="1"/>
  <c r="G25" i="107"/>
  <c r="G25" i="111" s="1"/>
  <c r="H25" i="107"/>
  <c r="H25" i="111" s="1"/>
  <c r="I25" i="107"/>
  <c r="I25" i="111" s="1"/>
  <c r="J25" i="107"/>
  <c r="J25" i="111" s="1"/>
  <c r="K25" i="107"/>
  <c r="K25" i="111" s="1"/>
  <c r="L25" i="107"/>
  <c r="L25" i="111" s="1"/>
  <c r="M25" i="107"/>
  <c r="M25" i="111" s="1"/>
  <c r="N25" i="107"/>
  <c r="N25" i="111" s="1"/>
  <c r="C26" i="107"/>
  <c r="D26" i="107"/>
  <c r="D26" i="111" s="1"/>
  <c r="E26" i="107"/>
  <c r="E26" i="111" s="1"/>
  <c r="F26" i="107"/>
  <c r="F26" i="111" s="1"/>
  <c r="G26" i="107"/>
  <c r="G26" i="111" s="1"/>
  <c r="H26" i="107"/>
  <c r="H26" i="111" s="1"/>
  <c r="I26" i="107"/>
  <c r="I26" i="111" s="1"/>
  <c r="J26" i="107"/>
  <c r="J26" i="111" s="1"/>
  <c r="K26" i="107"/>
  <c r="K26" i="111" s="1"/>
  <c r="L26" i="107"/>
  <c r="L26" i="111" s="1"/>
  <c r="M26" i="107"/>
  <c r="M26" i="111" s="1"/>
  <c r="N26" i="107"/>
  <c r="N26" i="111" s="1"/>
  <c r="C27" i="107"/>
  <c r="C27" i="111" s="1"/>
  <c r="D27" i="107"/>
  <c r="D27" i="111" s="1"/>
  <c r="E27" i="107"/>
  <c r="E27" i="111" s="1"/>
  <c r="F27" i="107"/>
  <c r="F27" i="111" s="1"/>
  <c r="G27" i="107"/>
  <c r="G27" i="111" s="1"/>
  <c r="H27" i="107"/>
  <c r="H27" i="111" s="1"/>
  <c r="I27" i="107"/>
  <c r="I27" i="111" s="1"/>
  <c r="J27" i="107"/>
  <c r="J27" i="111" s="1"/>
  <c r="K27" i="107"/>
  <c r="K27" i="111" s="1"/>
  <c r="L27" i="107"/>
  <c r="L27" i="111" s="1"/>
  <c r="M27" i="107"/>
  <c r="M27" i="111" s="1"/>
  <c r="N27" i="107"/>
  <c r="N27" i="111" s="1"/>
  <c r="C28" i="107"/>
  <c r="C28" i="111" s="1"/>
  <c r="D28" i="107"/>
  <c r="D28" i="111" s="1"/>
  <c r="E28" i="107"/>
  <c r="E28" i="111" s="1"/>
  <c r="F28" i="107"/>
  <c r="F28" i="111" s="1"/>
  <c r="G28" i="107"/>
  <c r="G28" i="111" s="1"/>
  <c r="H28" i="107"/>
  <c r="H28" i="111" s="1"/>
  <c r="I28" i="107"/>
  <c r="I28" i="111" s="1"/>
  <c r="J28" i="107"/>
  <c r="J28" i="111" s="1"/>
  <c r="K28" i="107"/>
  <c r="K28" i="111" s="1"/>
  <c r="L28" i="107"/>
  <c r="L28" i="111" s="1"/>
  <c r="M28" i="107"/>
  <c r="M28" i="111" s="1"/>
  <c r="N28" i="107"/>
  <c r="N28" i="111" s="1"/>
  <c r="C29" i="107"/>
  <c r="C29" i="111" s="1"/>
  <c r="D29" i="107"/>
  <c r="D29" i="111" s="1"/>
  <c r="E29" i="107"/>
  <c r="E29" i="111" s="1"/>
  <c r="F29" i="107"/>
  <c r="F29" i="111" s="1"/>
  <c r="G29" i="107"/>
  <c r="G29" i="111" s="1"/>
  <c r="H29" i="107"/>
  <c r="H29" i="111" s="1"/>
  <c r="I29" i="107"/>
  <c r="I29" i="111" s="1"/>
  <c r="J29" i="107"/>
  <c r="J29" i="111" s="1"/>
  <c r="K29" i="107"/>
  <c r="K29" i="111" s="1"/>
  <c r="L29" i="107"/>
  <c r="L29" i="111" s="1"/>
  <c r="M29" i="107"/>
  <c r="M29" i="111" s="1"/>
  <c r="N29" i="107"/>
  <c r="N29" i="111" s="1"/>
  <c r="C30" i="107"/>
  <c r="C30" i="111" s="1"/>
  <c r="D30" i="107"/>
  <c r="D30" i="111" s="1"/>
  <c r="E30" i="107"/>
  <c r="E30" i="111" s="1"/>
  <c r="F30" i="107"/>
  <c r="F30" i="111" s="1"/>
  <c r="G30" i="107"/>
  <c r="G30" i="111" s="1"/>
  <c r="H30" i="107"/>
  <c r="H30" i="111" s="1"/>
  <c r="I30" i="107"/>
  <c r="I30" i="111" s="1"/>
  <c r="J30" i="107"/>
  <c r="J30" i="111" s="1"/>
  <c r="K30" i="107"/>
  <c r="K30" i="111" s="1"/>
  <c r="L30" i="107"/>
  <c r="L30" i="111" s="1"/>
  <c r="M30" i="107"/>
  <c r="M30" i="111" s="1"/>
  <c r="N30" i="107"/>
  <c r="N30" i="111" s="1"/>
  <c r="C31" i="107"/>
  <c r="C31" i="111" s="1"/>
  <c r="D31" i="107"/>
  <c r="D31" i="111" s="1"/>
  <c r="E31" i="107"/>
  <c r="E31" i="111" s="1"/>
  <c r="F31" i="107"/>
  <c r="F31" i="111" s="1"/>
  <c r="G31" i="107"/>
  <c r="G31" i="111" s="1"/>
  <c r="H31" i="107"/>
  <c r="H31" i="111" s="1"/>
  <c r="I31" i="107"/>
  <c r="I31" i="111" s="1"/>
  <c r="J31" i="107"/>
  <c r="J31" i="111" s="1"/>
  <c r="K31" i="107"/>
  <c r="K31" i="111" s="1"/>
  <c r="L31" i="107"/>
  <c r="L31" i="111" s="1"/>
  <c r="M31" i="107"/>
  <c r="M31" i="111" s="1"/>
  <c r="N31" i="107"/>
  <c r="N31" i="111" s="1"/>
  <c r="C32" i="107"/>
  <c r="C32" i="111" s="1"/>
  <c r="D32" i="107"/>
  <c r="D32" i="111" s="1"/>
  <c r="E32" i="107"/>
  <c r="E32" i="111" s="1"/>
  <c r="F32" i="107"/>
  <c r="F32" i="111" s="1"/>
  <c r="G32" i="107"/>
  <c r="G32" i="111" s="1"/>
  <c r="H32" i="107"/>
  <c r="H32" i="111" s="1"/>
  <c r="I32" i="107"/>
  <c r="I32" i="111" s="1"/>
  <c r="J32" i="107"/>
  <c r="J32" i="111" s="1"/>
  <c r="K32" i="107"/>
  <c r="K32" i="111" s="1"/>
  <c r="L32" i="107"/>
  <c r="L32" i="111" s="1"/>
  <c r="M32" i="107"/>
  <c r="M32" i="111" s="1"/>
  <c r="N32" i="107"/>
  <c r="N32" i="111" s="1"/>
  <c r="C33" i="107"/>
  <c r="C33" i="111" s="1"/>
  <c r="D33" i="107"/>
  <c r="D33" i="111" s="1"/>
  <c r="E33" i="107"/>
  <c r="E33" i="111" s="1"/>
  <c r="F33" i="107"/>
  <c r="F33" i="111" s="1"/>
  <c r="G33" i="107"/>
  <c r="G33" i="111" s="1"/>
  <c r="H33" i="107"/>
  <c r="H33" i="111" s="1"/>
  <c r="I33" i="107"/>
  <c r="I33" i="111" s="1"/>
  <c r="J33" i="107"/>
  <c r="J33" i="111" s="1"/>
  <c r="K33" i="107"/>
  <c r="K33" i="111" s="1"/>
  <c r="L33" i="107"/>
  <c r="L33" i="111" s="1"/>
  <c r="M33" i="107"/>
  <c r="M33" i="111" s="1"/>
  <c r="N33" i="107"/>
  <c r="N33" i="111" s="1"/>
  <c r="C34" i="107"/>
  <c r="C34" i="111" s="1"/>
  <c r="D34" i="107"/>
  <c r="D34" i="111" s="1"/>
  <c r="E34" i="107"/>
  <c r="E34" i="111" s="1"/>
  <c r="F34" i="107"/>
  <c r="F34" i="111" s="1"/>
  <c r="G34" i="107"/>
  <c r="G34" i="111" s="1"/>
  <c r="H34" i="107"/>
  <c r="H34" i="111" s="1"/>
  <c r="I34" i="107"/>
  <c r="I34" i="111" s="1"/>
  <c r="J34" i="107"/>
  <c r="J34" i="111" s="1"/>
  <c r="K34" i="107"/>
  <c r="K34" i="111" s="1"/>
  <c r="L34" i="107"/>
  <c r="L34" i="111" s="1"/>
  <c r="M34" i="107"/>
  <c r="M34" i="111" s="1"/>
  <c r="N34" i="107"/>
  <c r="N34" i="111" s="1"/>
  <c r="C35" i="107"/>
  <c r="C35" i="111" s="1"/>
  <c r="D35" i="107"/>
  <c r="D35" i="111" s="1"/>
  <c r="E35" i="107"/>
  <c r="E35" i="111" s="1"/>
  <c r="F35" i="107"/>
  <c r="F35" i="111" s="1"/>
  <c r="G35" i="107"/>
  <c r="G35" i="111" s="1"/>
  <c r="H35" i="107"/>
  <c r="H35" i="111" s="1"/>
  <c r="I35" i="107"/>
  <c r="I35" i="111" s="1"/>
  <c r="J35" i="107"/>
  <c r="J35" i="111" s="1"/>
  <c r="K35" i="107"/>
  <c r="K35" i="111" s="1"/>
  <c r="L35" i="107"/>
  <c r="L35" i="111" s="1"/>
  <c r="M35" i="107"/>
  <c r="M35" i="111" s="1"/>
  <c r="N35" i="107"/>
  <c r="N35" i="111" s="1"/>
  <c r="C36" i="107"/>
  <c r="C36" i="111" s="1"/>
  <c r="D36" i="107"/>
  <c r="D36" i="111" s="1"/>
  <c r="E36" i="107"/>
  <c r="E36" i="111" s="1"/>
  <c r="F36" i="107"/>
  <c r="F36" i="111" s="1"/>
  <c r="G36" i="107"/>
  <c r="G36" i="111" s="1"/>
  <c r="H36" i="107"/>
  <c r="H36" i="111" s="1"/>
  <c r="I36" i="107"/>
  <c r="I36" i="111" s="1"/>
  <c r="J36" i="107"/>
  <c r="J36" i="111" s="1"/>
  <c r="K36" i="107"/>
  <c r="K36" i="111" s="1"/>
  <c r="L36" i="107"/>
  <c r="L36" i="111" s="1"/>
  <c r="M36" i="107"/>
  <c r="M36" i="111" s="1"/>
  <c r="N36" i="107"/>
  <c r="N36" i="111" s="1"/>
  <c r="C37" i="107"/>
  <c r="C37" i="111" s="1"/>
  <c r="D37" i="107"/>
  <c r="D37" i="111" s="1"/>
  <c r="E37" i="107"/>
  <c r="E37" i="111" s="1"/>
  <c r="F37" i="107"/>
  <c r="F37" i="111" s="1"/>
  <c r="G37" i="107"/>
  <c r="G37" i="111" s="1"/>
  <c r="H37" i="107"/>
  <c r="H37" i="111" s="1"/>
  <c r="I37" i="107"/>
  <c r="I37" i="111" s="1"/>
  <c r="J37" i="107"/>
  <c r="J37" i="111" s="1"/>
  <c r="K37" i="107"/>
  <c r="K37" i="111" s="1"/>
  <c r="L37" i="107"/>
  <c r="L37" i="111" s="1"/>
  <c r="M37" i="107"/>
  <c r="M37" i="111" s="1"/>
  <c r="N37" i="107"/>
  <c r="N37" i="111" s="1"/>
  <c r="C38" i="107"/>
  <c r="C38" i="111" s="1"/>
  <c r="D38" i="107"/>
  <c r="D38" i="111" s="1"/>
  <c r="E38" i="107"/>
  <c r="E38" i="111" s="1"/>
  <c r="F38" i="107"/>
  <c r="F38" i="111" s="1"/>
  <c r="G38" i="107"/>
  <c r="G38" i="111" s="1"/>
  <c r="H38" i="107"/>
  <c r="H38" i="111" s="1"/>
  <c r="I38" i="107"/>
  <c r="I38" i="111" s="1"/>
  <c r="J38" i="107"/>
  <c r="J38" i="111" s="1"/>
  <c r="K38" i="107"/>
  <c r="K38" i="111" s="1"/>
  <c r="L38" i="107"/>
  <c r="L38" i="111" s="1"/>
  <c r="M38" i="107"/>
  <c r="M38" i="111" s="1"/>
  <c r="N38" i="107"/>
  <c r="N38" i="111" s="1"/>
  <c r="C39" i="107"/>
  <c r="C39" i="111" s="1"/>
  <c r="D39" i="107"/>
  <c r="D39" i="111" s="1"/>
  <c r="E39" i="107"/>
  <c r="E39" i="111" s="1"/>
  <c r="F39" i="107"/>
  <c r="F39" i="111" s="1"/>
  <c r="G39" i="107"/>
  <c r="G39" i="111" s="1"/>
  <c r="H39" i="107"/>
  <c r="H39" i="111" s="1"/>
  <c r="I39" i="107"/>
  <c r="I39" i="111" s="1"/>
  <c r="J39" i="107"/>
  <c r="J39" i="111" s="1"/>
  <c r="K39" i="107"/>
  <c r="K39" i="111" s="1"/>
  <c r="L39" i="107"/>
  <c r="L39" i="111" s="1"/>
  <c r="M39" i="107"/>
  <c r="M39" i="111" s="1"/>
  <c r="N39" i="107"/>
  <c r="N39" i="111" s="1"/>
  <c r="C40" i="107"/>
  <c r="C40" i="111" s="1"/>
  <c r="D40" i="107"/>
  <c r="D40" i="111" s="1"/>
  <c r="E40" i="107"/>
  <c r="E40" i="111" s="1"/>
  <c r="F40" i="107"/>
  <c r="F40" i="111" s="1"/>
  <c r="G40" i="107"/>
  <c r="G40" i="111" s="1"/>
  <c r="H40" i="107"/>
  <c r="H40" i="111" s="1"/>
  <c r="I40" i="107"/>
  <c r="I40" i="111" s="1"/>
  <c r="J40" i="107"/>
  <c r="J40" i="111" s="1"/>
  <c r="K40" i="107"/>
  <c r="K40" i="111" s="1"/>
  <c r="L40" i="107"/>
  <c r="L40" i="111" s="1"/>
  <c r="M40" i="107"/>
  <c r="M40" i="111" s="1"/>
  <c r="N40" i="107"/>
  <c r="N40" i="111" s="1"/>
  <c r="C41" i="107"/>
  <c r="C41" i="111" s="1"/>
  <c r="D41" i="107"/>
  <c r="D41" i="111" s="1"/>
  <c r="E41" i="107"/>
  <c r="E41" i="111" s="1"/>
  <c r="F41" i="107"/>
  <c r="F41" i="111" s="1"/>
  <c r="G41" i="107"/>
  <c r="G41" i="111" s="1"/>
  <c r="H41" i="107"/>
  <c r="H41" i="111" s="1"/>
  <c r="I41" i="107"/>
  <c r="I41" i="111" s="1"/>
  <c r="J41" i="107"/>
  <c r="J41" i="111" s="1"/>
  <c r="K41" i="107"/>
  <c r="K41" i="111" s="1"/>
  <c r="L41" i="107"/>
  <c r="L41" i="111" s="1"/>
  <c r="M41" i="107"/>
  <c r="M41" i="111" s="1"/>
  <c r="N41" i="107"/>
  <c r="N41" i="111" s="1"/>
  <c r="C42" i="107"/>
  <c r="C42" i="111" s="1"/>
  <c r="D42" i="107"/>
  <c r="D42" i="111" s="1"/>
  <c r="E42" i="107"/>
  <c r="E42" i="111" s="1"/>
  <c r="F42" i="107"/>
  <c r="F42" i="111" s="1"/>
  <c r="G42" i="107"/>
  <c r="G42" i="111" s="1"/>
  <c r="H42" i="107"/>
  <c r="H42" i="111" s="1"/>
  <c r="I42" i="107"/>
  <c r="I42" i="111" s="1"/>
  <c r="J42" i="107"/>
  <c r="J42" i="111" s="1"/>
  <c r="K42" i="107"/>
  <c r="K42" i="111" s="1"/>
  <c r="L42" i="107"/>
  <c r="L42" i="111" s="1"/>
  <c r="M42" i="107"/>
  <c r="M42" i="111" s="1"/>
  <c r="N42" i="107"/>
  <c r="N42" i="111" s="1"/>
  <c r="C43" i="107"/>
  <c r="C43" i="111" s="1"/>
  <c r="D43" i="107"/>
  <c r="D43" i="111" s="1"/>
  <c r="E43" i="107"/>
  <c r="E43" i="111" s="1"/>
  <c r="F43" i="107"/>
  <c r="F43" i="111" s="1"/>
  <c r="G43" i="107"/>
  <c r="G43" i="111" s="1"/>
  <c r="H43" i="107"/>
  <c r="H43" i="111" s="1"/>
  <c r="I43" i="107"/>
  <c r="I43" i="111" s="1"/>
  <c r="J43" i="107"/>
  <c r="J43" i="111" s="1"/>
  <c r="K43" i="107"/>
  <c r="K43" i="111" s="1"/>
  <c r="L43" i="107"/>
  <c r="L43" i="111" s="1"/>
  <c r="M43" i="107"/>
  <c r="M43" i="111" s="1"/>
  <c r="N43" i="107"/>
  <c r="N43" i="111" s="1"/>
  <c r="C44" i="107"/>
  <c r="C44" i="111" s="1"/>
  <c r="D44" i="107"/>
  <c r="D44" i="111" s="1"/>
  <c r="E44" i="107"/>
  <c r="E44" i="111" s="1"/>
  <c r="F44" i="107"/>
  <c r="F44" i="111" s="1"/>
  <c r="G44" i="107"/>
  <c r="G44" i="111" s="1"/>
  <c r="H44" i="107"/>
  <c r="H44" i="111" s="1"/>
  <c r="I44" i="107"/>
  <c r="I44" i="111" s="1"/>
  <c r="J44" i="107"/>
  <c r="J44" i="111" s="1"/>
  <c r="K44" i="107"/>
  <c r="K44" i="111" s="1"/>
  <c r="L44" i="107"/>
  <c r="L44" i="111" s="1"/>
  <c r="M44" i="107"/>
  <c r="M44" i="111" s="1"/>
  <c r="N44" i="107"/>
  <c r="N44" i="111" s="1"/>
  <c r="C45" i="107"/>
  <c r="C45" i="111" s="1"/>
  <c r="D45" i="107"/>
  <c r="D45" i="111" s="1"/>
  <c r="E45" i="107"/>
  <c r="E45" i="111" s="1"/>
  <c r="F45" i="107"/>
  <c r="F45" i="111" s="1"/>
  <c r="G45" i="107"/>
  <c r="G45" i="111" s="1"/>
  <c r="H45" i="107"/>
  <c r="H45" i="111" s="1"/>
  <c r="I45" i="107"/>
  <c r="I45" i="111" s="1"/>
  <c r="J45" i="107"/>
  <c r="J45" i="111" s="1"/>
  <c r="K45" i="107"/>
  <c r="K45" i="111" s="1"/>
  <c r="L45" i="107"/>
  <c r="L45" i="111" s="1"/>
  <c r="M45" i="107"/>
  <c r="M45" i="111" s="1"/>
  <c r="N45" i="107"/>
  <c r="N45" i="111" s="1"/>
  <c r="C46" i="107"/>
  <c r="C46" i="111" s="1"/>
  <c r="D46" i="107"/>
  <c r="D46" i="111" s="1"/>
  <c r="E46" i="107"/>
  <c r="E46" i="111" s="1"/>
  <c r="F46" i="107"/>
  <c r="F46" i="111" s="1"/>
  <c r="G46" i="107"/>
  <c r="G46" i="111" s="1"/>
  <c r="H46" i="107"/>
  <c r="H46" i="111" s="1"/>
  <c r="I46" i="107"/>
  <c r="I46" i="111" s="1"/>
  <c r="J46" i="107"/>
  <c r="J46" i="111" s="1"/>
  <c r="K46" i="107"/>
  <c r="K46" i="111" s="1"/>
  <c r="L46" i="107"/>
  <c r="L46" i="111" s="1"/>
  <c r="M46" i="107"/>
  <c r="M46" i="111" s="1"/>
  <c r="N46" i="107"/>
  <c r="N46" i="111" s="1"/>
  <c r="C47" i="107"/>
  <c r="C47" i="111" s="1"/>
  <c r="D47" i="107"/>
  <c r="D47" i="111" s="1"/>
  <c r="E47" i="107"/>
  <c r="E47" i="111" s="1"/>
  <c r="F47" i="107"/>
  <c r="F47" i="111" s="1"/>
  <c r="G47" i="107"/>
  <c r="G47" i="111" s="1"/>
  <c r="H47" i="107"/>
  <c r="H47" i="111" s="1"/>
  <c r="I47" i="107"/>
  <c r="I47" i="111" s="1"/>
  <c r="J47" i="107"/>
  <c r="J47" i="111" s="1"/>
  <c r="K47" i="107"/>
  <c r="K47" i="111" s="1"/>
  <c r="L47" i="107"/>
  <c r="L47" i="111" s="1"/>
  <c r="M47" i="107"/>
  <c r="M47" i="111" s="1"/>
  <c r="N47" i="107"/>
  <c r="N47" i="111" s="1"/>
  <c r="C48" i="107"/>
  <c r="C48" i="111" s="1"/>
  <c r="D48" i="107"/>
  <c r="D48" i="111" s="1"/>
  <c r="E48" i="107"/>
  <c r="E48" i="111" s="1"/>
  <c r="F48" i="107"/>
  <c r="F48" i="111" s="1"/>
  <c r="G48" i="107"/>
  <c r="G48" i="111" s="1"/>
  <c r="H48" i="107"/>
  <c r="H48" i="111" s="1"/>
  <c r="I48" i="107"/>
  <c r="I48" i="111" s="1"/>
  <c r="J48" i="107"/>
  <c r="J48" i="111" s="1"/>
  <c r="K48" i="107"/>
  <c r="K48" i="111" s="1"/>
  <c r="L48" i="107"/>
  <c r="L48" i="111" s="1"/>
  <c r="M48" i="107"/>
  <c r="M48" i="111" s="1"/>
  <c r="N48" i="107"/>
  <c r="N48" i="111" s="1"/>
  <c r="C49" i="107"/>
  <c r="C49" i="111" s="1"/>
  <c r="D49" i="107"/>
  <c r="D49" i="111" s="1"/>
  <c r="E49" i="107"/>
  <c r="E49" i="111" s="1"/>
  <c r="F49" i="107"/>
  <c r="F49" i="111" s="1"/>
  <c r="G49" i="107"/>
  <c r="G49" i="111" s="1"/>
  <c r="H49" i="107"/>
  <c r="H49" i="111" s="1"/>
  <c r="I49" i="107"/>
  <c r="I49" i="111" s="1"/>
  <c r="J49" i="107"/>
  <c r="J49" i="111" s="1"/>
  <c r="K49" i="107"/>
  <c r="K49" i="111" s="1"/>
  <c r="L49" i="107"/>
  <c r="L49" i="111" s="1"/>
  <c r="M49" i="107"/>
  <c r="M49" i="111" s="1"/>
  <c r="N49" i="107"/>
  <c r="N49" i="111" s="1"/>
  <c r="C50" i="107"/>
  <c r="C50" i="111" s="1"/>
  <c r="D50" i="107"/>
  <c r="D50" i="111" s="1"/>
  <c r="E50" i="107"/>
  <c r="E50" i="111" s="1"/>
  <c r="F50" i="107"/>
  <c r="F50" i="111" s="1"/>
  <c r="G50" i="107"/>
  <c r="G50" i="111" s="1"/>
  <c r="H50" i="107"/>
  <c r="H50" i="111" s="1"/>
  <c r="I50" i="107"/>
  <c r="I50" i="111" s="1"/>
  <c r="J50" i="107"/>
  <c r="J50" i="111" s="1"/>
  <c r="K50" i="107"/>
  <c r="K50" i="111" s="1"/>
  <c r="L50" i="107"/>
  <c r="L50" i="111" s="1"/>
  <c r="M50" i="107"/>
  <c r="M50" i="111" s="1"/>
  <c r="N50" i="107"/>
  <c r="N50" i="111" s="1"/>
  <c r="C51" i="107"/>
  <c r="C51" i="111" s="1"/>
  <c r="D51" i="107"/>
  <c r="D51" i="111" s="1"/>
  <c r="E51" i="107"/>
  <c r="E51" i="111" s="1"/>
  <c r="F51" i="107"/>
  <c r="F51" i="111" s="1"/>
  <c r="G51" i="107"/>
  <c r="G51" i="111" s="1"/>
  <c r="H51" i="107"/>
  <c r="H51" i="111" s="1"/>
  <c r="I51" i="107"/>
  <c r="I51" i="111" s="1"/>
  <c r="J51" i="107"/>
  <c r="J51" i="111" s="1"/>
  <c r="K51" i="107"/>
  <c r="K51" i="111" s="1"/>
  <c r="L51" i="107"/>
  <c r="L51" i="111" s="1"/>
  <c r="M51" i="107"/>
  <c r="M51" i="111" s="1"/>
  <c r="N51" i="107"/>
  <c r="N51" i="111" s="1"/>
  <c r="C52" i="107"/>
  <c r="C52" i="111" s="1"/>
  <c r="D52" i="107"/>
  <c r="D52" i="111" s="1"/>
  <c r="E52" i="107"/>
  <c r="E52" i="111" s="1"/>
  <c r="F52" i="107"/>
  <c r="F52" i="111" s="1"/>
  <c r="G52" i="107"/>
  <c r="G52" i="111" s="1"/>
  <c r="H52" i="107"/>
  <c r="H52" i="111" s="1"/>
  <c r="I52" i="107"/>
  <c r="I52" i="111" s="1"/>
  <c r="J52" i="107"/>
  <c r="J52" i="111" s="1"/>
  <c r="K52" i="107"/>
  <c r="K52" i="111" s="1"/>
  <c r="L52" i="107"/>
  <c r="L52" i="111" s="1"/>
  <c r="M52" i="107"/>
  <c r="M52" i="111" s="1"/>
  <c r="N52" i="107"/>
  <c r="N52" i="111" s="1"/>
  <c r="C53" i="107"/>
  <c r="C53" i="111" s="1"/>
  <c r="D53" i="107"/>
  <c r="D53" i="111" s="1"/>
  <c r="E53" i="107"/>
  <c r="E53" i="111" s="1"/>
  <c r="F53" i="107"/>
  <c r="F53" i="111" s="1"/>
  <c r="G53" i="107"/>
  <c r="G53" i="111" s="1"/>
  <c r="H53" i="107"/>
  <c r="H53" i="111" s="1"/>
  <c r="I53" i="107"/>
  <c r="I53" i="111" s="1"/>
  <c r="J53" i="107"/>
  <c r="J53" i="111" s="1"/>
  <c r="K53" i="107"/>
  <c r="K53" i="111" s="1"/>
  <c r="L53" i="107"/>
  <c r="L53" i="111" s="1"/>
  <c r="M53" i="107"/>
  <c r="M53" i="111" s="1"/>
  <c r="N53" i="107"/>
  <c r="N53" i="111" s="1"/>
  <c r="C54" i="107"/>
  <c r="C54" i="111" s="1"/>
  <c r="D54" i="107"/>
  <c r="D54" i="111" s="1"/>
  <c r="E54" i="107"/>
  <c r="E54" i="111" s="1"/>
  <c r="F54" i="107"/>
  <c r="F54" i="111" s="1"/>
  <c r="G54" i="107"/>
  <c r="G54" i="111" s="1"/>
  <c r="H54" i="107"/>
  <c r="H54" i="111" s="1"/>
  <c r="I54" i="107"/>
  <c r="I54" i="111" s="1"/>
  <c r="J54" i="107"/>
  <c r="J54" i="111" s="1"/>
  <c r="K54" i="107"/>
  <c r="K54" i="111" s="1"/>
  <c r="L54" i="107"/>
  <c r="L54" i="111" s="1"/>
  <c r="M54" i="107"/>
  <c r="M54" i="111" s="1"/>
  <c r="N54" i="107"/>
  <c r="N54" i="111" s="1"/>
  <c r="C55" i="107"/>
  <c r="C55" i="111" s="1"/>
  <c r="D55" i="107"/>
  <c r="D55" i="111" s="1"/>
  <c r="E55" i="107"/>
  <c r="E55" i="111" s="1"/>
  <c r="F55" i="107"/>
  <c r="F55" i="111" s="1"/>
  <c r="G55" i="107"/>
  <c r="G55" i="111" s="1"/>
  <c r="H55" i="107"/>
  <c r="H55" i="111" s="1"/>
  <c r="I55" i="107"/>
  <c r="I55" i="111" s="1"/>
  <c r="J55" i="107"/>
  <c r="J55" i="111" s="1"/>
  <c r="K55" i="107"/>
  <c r="K55" i="111" s="1"/>
  <c r="L55" i="107"/>
  <c r="L55" i="111" s="1"/>
  <c r="M55" i="107"/>
  <c r="M55" i="111" s="1"/>
  <c r="N55" i="107"/>
  <c r="N55" i="111" s="1"/>
  <c r="C56" i="107"/>
  <c r="C56" i="111" s="1"/>
  <c r="D56" i="107"/>
  <c r="D56" i="111" s="1"/>
  <c r="E56" i="107"/>
  <c r="E56" i="111" s="1"/>
  <c r="F56" i="107"/>
  <c r="F56" i="111" s="1"/>
  <c r="G56" i="107"/>
  <c r="G56" i="111" s="1"/>
  <c r="H56" i="107"/>
  <c r="H56" i="111" s="1"/>
  <c r="I56" i="107"/>
  <c r="I56" i="111" s="1"/>
  <c r="J56" i="107"/>
  <c r="J56" i="111" s="1"/>
  <c r="K56" i="107"/>
  <c r="K56" i="111" s="1"/>
  <c r="L56" i="107"/>
  <c r="L56" i="111" s="1"/>
  <c r="M56" i="107"/>
  <c r="M56" i="111" s="1"/>
  <c r="N56" i="107"/>
  <c r="N56" i="111" s="1"/>
  <c r="C57" i="107"/>
  <c r="C57" i="111" s="1"/>
  <c r="D57" i="107"/>
  <c r="D57" i="111" s="1"/>
  <c r="E57" i="107"/>
  <c r="E57" i="111" s="1"/>
  <c r="F57" i="107"/>
  <c r="F57" i="111" s="1"/>
  <c r="G57" i="107"/>
  <c r="G57" i="111" s="1"/>
  <c r="H57" i="107"/>
  <c r="H57" i="111" s="1"/>
  <c r="I57" i="107"/>
  <c r="I57" i="111" s="1"/>
  <c r="J57" i="107"/>
  <c r="J57" i="111" s="1"/>
  <c r="K57" i="107"/>
  <c r="K57" i="111" s="1"/>
  <c r="L57" i="107"/>
  <c r="L57" i="111" s="1"/>
  <c r="M57" i="107"/>
  <c r="M57" i="111" s="1"/>
  <c r="N57" i="107"/>
  <c r="N57" i="111" s="1"/>
  <c r="D10" i="107"/>
  <c r="D10" i="111" s="1"/>
  <c r="E10" i="107"/>
  <c r="E10" i="111" s="1"/>
  <c r="F10" i="107"/>
  <c r="F10" i="111" s="1"/>
  <c r="G10" i="107"/>
  <c r="G10" i="111" s="1"/>
  <c r="H10" i="107"/>
  <c r="H10" i="111" s="1"/>
  <c r="I10" i="107"/>
  <c r="I10" i="111" s="1"/>
  <c r="J10" i="107"/>
  <c r="J10" i="111" s="1"/>
  <c r="K10" i="107"/>
  <c r="K10" i="111" s="1"/>
  <c r="L10" i="107"/>
  <c r="L10" i="111" s="1"/>
  <c r="M10" i="107"/>
  <c r="M10" i="111" s="1"/>
  <c r="N10" i="107"/>
  <c r="N10" i="111" s="1"/>
  <c r="C10" i="107"/>
  <c r="J106" i="110"/>
  <c r="N106" i="110"/>
  <c r="I106" i="110"/>
  <c r="M106" i="110"/>
  <c r="G106" i="110"/>
  <c r="K106" i="110"/>
  <c r="C106" i="110"/>
  <c r="D106" i="110"/>
  <c r="E106" i="110"/>
  <c r="F106" i="110"/>
  <c r="H106" i="110"/>
  <c r="L106" i="110"/>
  <c r="AC32" i="111" l="1"/>
  <c r="AC31" i="111"/>
  <c r="AD12" i="108"/>
  <c r="AF28" i="108"/>
  <c r="AE31" i="108"/>
  <c r="AF33" i="107"/>
  <c r="AE29" i="108"/>
  <c r="O72" i="111"/>
  <c r="Y23" i="111"/>
  <c r="W24" i="111"/>
  <c r="O26" i="107"/>
  <c r="C26" i="111"/>
  <c r="AF25" i="108"/>
  <c r="AE27" i="108"/>
  <c r="O67" i="111"/>
  <c r="AE31" i="107"/>
  <c r="U22" i="111"/>
  <c r="W27" i="111"/>
  <c r="AE25" i="108"/>
  <c r="AE32" i="108"/>
  <c r="AF25" i="107"/>
  <c r="O91" i="111"/>
  <c r="AF31" i="107"/>
  <c r="AE32" i="107"/>
  <c r="AA30" i="111"/>
  <c r="AE26" i="108"/>
  <c r="AE23" i="108"/>
  <c r="AF28" i="107"/>
  <c r="Y25" i="111"/>
  <c r="Z12" i="108"/>
  <c r="V12" i="108"/>
  <c r="AD11" i="108"/>
  <c r="Z11" i="108"/>
  <c r="V11" i="108"/>
  <c r="P70" i="111"/>
  <c r="O70" i="111"/>
  <c r="S25" i="111"/>
  <c r="AE22" i="108"/>
  <c r="AF22" i="108"/>
  <c r="AE33" i="108"/>
  <c r="AF33" i="108"/>
  <c r="P59" i="111"/>
  <c r="P61" i="111"/>
  <c r="O61" i="111"/>
  <c r="P62" i="111"/>
  <c r="O62" i="111"/>
  <c r="S23" i="111"/>
  <c r="P64" i="111"/>
  <c r="O64" i="111"/>
  <c r="AF24" i="107"/>
  <c r="P77" i="111"/>
  <c r="O77" i="111"/>
  <c r="P79" i="111"/>
  <c r="O79" i="111"/>
  <c r="AE27" i="107"/>
  <c r="P82" i="111"/>
  <c r="O82" i="111"/>
  <c r="S28" i="111"/>
  <c r="AE28" i="107"/>
  <c r="P87" i="111"/>
  <c r="O87" i="111"/>
  <c r="AE29" i="107"/>
  <c r="P90" i="111"/>
  <c r="AE30" i="107"/>
  <c r="AF32" i="107"/>
  <c r="P105" i="111"/>
  <c r="O105" i="111"/>
  <c r="S26" i="111"/>
  <c r="C106" i="107"/>
  <c r="S10" i="107"/>
  <c r="D106" i="107"/>
  <c r="T10" i="107"/>
  <c r="W21" i="107"/>
  <c r="AA20" i="107"/>
  <c r="S20" i="107"/>
  <c r="W19" i="107"/>
  <c r="AA18" i="107"/>
  <c r="S18" i="107"/>
  <c r="W17" i="107"/>
  <c r="W16" i="107"/>
  <c r="W15" i="107"/>
  <c r="W14" i="107"/>
  <c r="W13" i="107"/>
  <c r="W12" i="107"/>
  <c r="W11" i="107"/>
  <c r="H106" i="108"/>
  <c r="X10" i="108"/>
  <c r="AA21" i="108"/>
  <c r="S21" i="108"/>
  <c r="W20" i="108"/>
  <c r="AA19" i="108"/>
  <c r="S19" i="108"/>
  <c r="W18" i="108"/>
  <c r="AA17" i="108"/>
  <c r="S17" i="108"/>
  <c r="W16" i="108"/>
  <c r="AA15" i="108"/>
  <c r="S15" i="108"/>
  <c r="W14" i="108"/>
  <c r="AA13" i="108"/>
  <c r="S13" i="108"/>
  <c r="AA12" i="108"/>
  <c r="S12" i="108"/>
  <c r="AA11" i="108"/>
  <c r="S11" i="108"/>
  <c r="P78" i="111"/>
  <c r="O78" i="111"/>
  <c r="S27" i="111"/>
  <c r="P80" i="111"/>
  <c r="O80" i="111"/>
  <c r="O90" i="111"/>
  <c r="P92" i="111"/>
  <c r="O92" i="111"/>
  <c r="S30" i="111"/>
  <c r="P95" i="111"/>
  <c r="O95" i="111"/>
  <c r="G106" i="107"/>
  <c r="W10" i="107"/>
  <c r="AD21" i="107"/>
  <c r="O54" i="107"/>
  <c r="V21" i="107"/>
  <c r="AD20" i="107"/>
  <c r="O50" i="107"/>
  <c r="V20" i="107"/>
  <c r="AD19" i="107"/>
  <c r="O46" i="107"/>
  <c r="V19" i="107"/>
  <c r="Z18" i="107"/>
  <c r="Z17" i="107"/>
  <c r="Z16" i="107"/>
  <c r="Z15" i="107"/>
  <c r="Z14" i="107"/>
  <c r="O25" i="107"/>
  <c r="Z13" i="107"/>
  <c r="Z12" i="107"/>
  <c r="AD11" i="107"/>
  <c r="V11" i="107"/>
  <c r="K106" i="108"/>
  <c r="AA10" i="108"/>
  <c r="AD21" i="108"/>
  <c r="V21" i="108"/>
  <c r="V20" i="108"/>
  <c r="V19" i="108"/>
  <c r="Z18" i="108"/>
  <c r="Z17" i="108"/>
  <c r="Z16" i="108"/>
  <c r="AD15" i="108"/>
  <c r="V15" i="108"/>
  <c r="AD14" i="108"/>
  <c r="Z14" i="108"/>
  <c r="V14" i="108"/>
  <c r="AD13" i="108"/>
  <c r="Z13" i="108"/>
  <c r="V13" i="108"/>
  <c r="N106" i="107"/>
  <c r="AD10" i="107"/>
  <c r="J106" i="107"/>
  <c r="Z10" i="107"/>
  <c r="F106" i="107"/>
  <c r="V10" i="107"/>
  <c r="AC21" i="107"/>
  <c r="Y21" i="107"/>
  <c r="U21" i="107"/>
  <c r="AC20" i="107"/>
  <c r="Y20" i="107"/>
  <c r="U20" i="107"/>
  <c r="AC19" i="107"/>
  <c r="Y19" i="107"/>
  <c r="U19" i="107"/>
  <c r="AC18" i="107"/>
  <c r="Y18" i="107"/>
  <c r="U18" i="107"/>
  <c r="AC17" i="107"/>
  <c r="Y17" i="107"/>
  <c r="U17" i="107"/>
  <c r="AC16" i="107"/>
  <c r="Y16" i="107"/>
  <c r="U16" i="107"/>
  <c r="AC15" i="107"/>
  <c r="Y15" i="107"/>
  <c r="U15" i="107"/>
  <c r="AC14" i="107"/>
  <c r="Y14" i="107"/>
  <c r="U14" i="107"/>
  <c r="AC13" i="107"/>
  <c r="Y13" i="107"/>
  <c r="U13" i="107"/>
  <c r="AC12" i="107"/>
  <c r="Y12" i="107"/>
  <c r="U12" i="107"/>
  <c r="AC11" i="107"/>
  <c r="Y11" i="107"/>
  <c r="U11" i="107"/>
  <c r="N106" i="108"/>
  <c r="AD10" i="108"/>
  <c r="J106" i="108"/>
  <c r="Z10" i="108"/>
  <c r="F106" i="108"/>
  <c r="V10" i="108"/>
  <c r="AC21" i="108"/>
  <c r="Y21" i="108"/>
  <c r="U21" i="108"/>
  <c r="AC20" i="108"/>
  <c r="Y20" i="108"/>
  <c r="U20" i="108"/>
  <c r="AC19" i="108"/>
  <c r="Y19" i="108"/>
  <c r="U19" i="108"/>
  <c r="AC18" i="108"/>
  <c r="Y18" i="108"/>
  <c r="U18" i="108"/>
  <c r="AC17" i="108"/>
  <c r="Y17" i="108"/>
  <c r="U17" i="108"/>
  <c r="AC16" i="108"/>
  <c r="Y16" i="108"/>
  <c r="U16" i="108"/>
  <c r="AC15" i="108"/>
  <c r="Y15" i="108"/>
  <c r="U15" i="108"/>
  <c r="AC14" i="108"/>
  <c r="Y14" i="108"/>
  <c r="U14" i="108"/>
  <c r="AC13" i="108"/>
  <c r="Y13" i="108"/>
  <c r="U13" i="108"/>
  <c r="AC12" i="108"/>
  <c r="Y12" i="108"/>
  <c r="U12" i="108"/>
  <c r="AC11" i="108"/>
  <c r="Y11" i="108"/>
  <c r="U11" i="108"/>
  <c r="AF29" i="108"/>
  <c r="AF31" i="108"/>
  <c r="AF22" i="107"/>
  <c r="AE26" i="107"/>
  <c r="P60" i="111"/>
  <c r="O60" i="111"/>
  <c r="S22" i="111"/>
  <c r="P63" i="111"/>
  <c r="O63" i="111"/>
  <c r="P65" i="111"/>
  <c r="O65" i="111"/>
  <c r="P73" i="111"/>
  <c r="O73" i="111"/>
  <c r="AF27" i="107"/>
  <c r="P86" i="111"/>
  <c r="O86" i="111"/>
  <c r="S29" i="111"/>
  <c r="AF29" i="107"/>
  <c r="AF30" i="107"/>
  <c r="P97" i="111"/>
  <c r="O97" i="111"/>
  <c r="P101" i="111"/>
  <c r="O101" i="111"/>
  <c r="P102" i="111"/>
  <c r="O102" i="111"/>
  <c r="S33" i="111"/>
  <c r="P104" i="111"/>
  <c r="O104" i="111"/>
  <c r="O74" i="111"/>
  <c r="L106" i="107"/>
  <c r="AB10" i="107"/>
  <c r="H106" i="107"/>
  <c r="X10" i="107"/>
  <c r="AA21" i="107"/>
  <c r="S21" i="107"/>
  <c r="W20" i="107"/>
  <c r="AA19" i="107"/>
  <c r="S19" i="107"/>
  <c r="W18" i="107"/>
  <c r="AA17" i="107"/>
  <c r="S17" i="107"/>
  <c r="AA16" i="107"/>
  <c r="S16" i="107"/>
  <c r="AA15" i="107"/>
  <c r="S15" i="107"/>
  <c r="AA14" i="107"/>
  <c r="S14" i="107"/>
  <c r="AA13" i="107"/>
  <c r="S13" i="107"/>
  <c r="AA12" i="107"/>
  <c r="S12" i="107"/>
  <c r="AA11" i="107"/>
  <c r="S11" i="107"/>
  <c r="L106" i="108"/>
  <c r="AB10" i="108"/>
  <c r="D106" i="108"/>
  <c r="T10" i="108"/>
  <c r="W21" i="108"/>
  <c r="AA20" i="108"/>
  <c r="S20" i="108"/>
  <c r="W19" i="108"/>
  <c r="AA18" i="108"/>
  <c r="S18" i="108"/>
  <c r="W17" i="108"/>
  <c r="AA16" i="108"/>
  <c r="S16" i="108"/>
  <c r="W15" i="108"/>
  <c r="AA14" i="108"/>
  <c r="S14" i="108"/>
  <c r="W13" i="108"/>
  <c r="W12" i="108"/>
  <c r="W11" i="108"/>
  <c r="AF30" i="108"/>
  <c r="AF23" i="107"/>
  <c r="P84" i="111"/>
  <c r="O84" i="111"/>
  <c r="O88" i="111"/>
  <c r="P88" i="111"/>
  <c r="P66" i="111"/>
  <c r="K106" i="107"/>
  <c r="AA10" i="107"/>
  <c r="Z21" i="107"/>
  <c r="O51" i="107"/>
  <c r="Z20" i="107"/>
  <c r="Z19" i="107"/>
  <c r="O45" i="107"/>
  <c r="O44" i="107"/>
  <c r="AD18" i="107"/>
  <c r="V18" i="107"/>
  <c r="O40" i="107"/>
  <c r="AD17" i="107"/>
  <c r="O38" i="107"/>
  <c r="V17" i="107"/>
  <c r="AD16" i="107"/>
  <c r="O34" i="107"/>
  <c r="V16" i="107"/>
  <c r="AD15" i="107"/>
  <c r="V15" i="107"/>
  <c r="AD14" i="107"/>
  <c r="V14" i="107"/>
  <c r="AD13" i="107"/>
  <c r="V13" i="107"/>
  <c r="AD12" i="107"/>
  <c r="O18" i="107"/>
  <c r="V12" i="107"/>
  <c r="O17" i="107"/>
  <c r="Z11" i="107"/>
  <c r="O12" i="107"/>
  <c r="C106" i="108"/>
  <c r="S10" i="108"/>
  <c r="G106" i="108"/>
  <c r="W10" i="108"/>
  <c r="Z21" i="108"/>
  <c r="AD20" i="108"/>
  <c r="Z20" i="108"/>
  <c r="AD19" i="108"/>
  <c r="Z19" i="108"/>
  <c r="AD18" i="108"/>
  <c r="V18" i="108"/>
  <c r="AD17" i="108"/>
  <c r="V17" i="108"/>
  <c r="AD16" i="108"/>
  <c r="V16" i="108"/>
  <c r="Z15" i="108"/>
  <c r="M106" i="107"/>
  <c r="AC10" i="107"/>
  <c r="I106" i="107"/>
  <c r="Y10" i="107"/>
  <c r="E106" i="107"/>
  <c r="U10" i="107"/>
  <c r="AB21" i="107"/>
  <c r="X21" i="107"/>
  <c r="T21" i="107"/>
  <c r="AB20" i="107"/>
  <c r="X20" i="107"/>
  <c r="T20" i="107"/>
  <c r="AB19" i="107"/>
  <c r="X19" i="107"/>
  <c r="T19" i="107"/>
  <c r="AB18" i="107"/>
  <c r="X18" i="107"/>
  <c r="T18" i="107"/>
  <c r="AB17" i="107"/>
  <c r="X17" i="107"/>
  <c r="T17" i="107"/>
  <c r="AB16" i="107"/>
  <c r="X16" i="107"/>
  <c r="T16" i="107"/>
  <c r="AB15" i="107"/>
  <c r="X15" i="107"/>
  <c r="T15" i="107"/>
  <c r="AB14" i="107"/>
  <c r="X14" i="107"/>
  <c r="T14" i="107"/>
  <c r="AB13" i="107"/>
  <c r="X13" i="107"/>
  <c r="T13" i="107"/>
  <c r="AB12" i="107"/>
  <c r="X12" i="107"/>
  <c r="T12" i="107"/>
  <c r="AB11" i="107"/>
  <c r="X11" i="107"/>
  <c r="T11" i="107"/>
  <c r="M106" i="108"/>
  <c r="AC10" i="108"/>
  <c r="I106" i="108"/>
  <c r="Y10" i="108"/>
  <c r="E106" i="108"/>
  <c r="U10" i="108"/>
  <c r="AB21" i="108"/>
  <c r="X21" i="108"/>
  <c r="T21" i="108"/>
  <c r="AB20" i="108"/>
  <c r="X20" i="108"/>
  <c r="T20" i="108"/>
  <c r="AB19" i="108"/>
  <c r="X19" i="108"/>
  <c r="T19" i="108"/>
  <c r="AB18" i="108"/>
  <c r="X18" i="108"/>
  <c r="T18" i="108"/>
  <c r="AB17" i="108"/>
  <c r="X17" i="108"/>
  <c r="T17" i="108"/>
  <c r="AB16" i="108"/>
  <c r="X16" i="108"/>
  <c r="T16" i="108"/>
  <c r="AB15" i="108"/>
  <c r="X15" i="108"/>
  <c r="T15" i="108"/>
  <c r="AB14" i="108"/>
  <c r="X14" i="108"/>
  <c r="T14" i="108"/>
  <c r="AB13" i="108"/>
  <c r="X13" i="108"/>
  <c r="T13" i="108"/>
  <c r="AB12" i="108"/>
  <c r="X12" i="108"/>
  <c r="T12" i="108"/>
  <c r="AB11" i="108"/>
  <c r="X11" i="108"/>
  <c r="T11" i="108"/>
  <c r="AF26" i="108"/>
  <c r="AE30" i="108"/>
  <c r="AF23" i="108"/>
  <c r="AF24" i="108"/>
  <c r="AF27" i="108"/>
  <c r="AF26" i="107"/>
  <c r="AE22" i="107"/>
  <c r="AE23" i="107"/>
  <c r="P69" i="111"/>
  <c r="O69" i="111"/>
  <c r="AE25" i="107"/>
  <c r="P71" i="111"/>
  <c r="O71" i="111"/>
  <c r="P81" i="111"/>
  <c r="O81" i="111"/>
  <c r="P85" i="111"/>
  <c r="O85" i="111"/>
  <c r="O89" i="111"/>
  <c r="P89" i="111"/>
  <c r="P93" i="111"/>
  <c r="O93" i="111"/>
  <c r="P94" i="111"/>
  <c r="O94" i="111"/>
  <c r="S31" i="111"/>
  <c r="P96" i="111"/>
  <c r="O96" i="111"/>
  <c r="O98" i="111"/>
  <c r="P100" i="111"/>
  <c r="O100" i="111"/>
  <c r="S32" i="111"/>
  <c r="P103" i="111"/>
  <c r="O103" i="111"/>
  <c r="AE33" i="107"/>
  <c r="O66" i="111"/>
  <c r="P74" i="111"/>
  <c r="O57" i="107"/>
  <c r="O47" i="107"/>
  <c r="O37" i="107"/>
  <c r="O31" i="107"/>
  <c r="O30" i="107"/>
  <c r="O24" i="107"/>
  <c r="O19" i="107"/>
  <c r="O13" i="107"/>
  <c r="O10" i="107"/>
  <c r="O53" i="107"/>
  <c r="O33" i="107"/>
  <c r="O27" i="107"/>
  <c r="O22" i="107"/>
  <c r="AE13" i="107" s="1"/>
  <c r="O15" i="107"/>
  <c r="O14" i="107"/>
  <c r="O56" i="107"/>
  <c r="O52" i="107"/>
  <c r="O49" i="107"/>
  <c r="O41" i="107"/>
  <c r="O36" i="107"/>
  <c r="O28" i="107"/>
  <c r="O21" i="107"/>
  <c r="O42" i="107"/>
  <c r="O55" i="107"/>
  <c r="O48" i="107"/>
  <c r="O43" i="107"/>
  <c r="O39" i="107"/>
  <c r="O35" i="107"/>
  <c r="O32" i="107"/>
  <c r="O29" i="107"/>
  <c r="O23" i="107"/>
  <c r="O16" i="107"/>
  <c r="O11" i="107"/>
  <c r="O20" i="107"/>
  <c r="N58" i="113"/>
  <c r="M58" i="113"/>
  <c r="L58" i="113"/>
  <c r="K58" i="113"/>
  <c r="J58" i="113"/>
  <c r="I58" i="113"/>
  <c r="H58" i="113"/>
  <c r="G58" i="113"/>
  <c r="F58" i="113"/>
  <c r="E58" i="113"/>
  <c r="D58" i="113"/>
  <c r="C58" i="113"/>
  <c r="P57" i="113"/>
  <c r="O57" i="113"/>
  <c r="P56" i="113"/>
  <c r="O56" i="113"/>
  <c r="P55" i="113"/>
  <c r="O55" i="113"/>
  <c r="P54" i="113"/>
  <c r="O54" i="113"/>
  <c r="P53" i="113"/>
  <c r="O53" i="113"/>
  <c r="P52" i="113"/>
  <c r="O52" i="113"/>
  <c r="P51" i="113"/>
  <c r="O51" i="113"/>
  <c r="P50" i="113"/>
  <c r="O50" i="113"/>
  <c r="P49" i="113"/>
  <c r="O49" i="113"/>
  <c r="P48" i="113"/>
  <c r="O48" i="113"/>
  <c r="P47" i="113"/>
  <c r="O47" i="113"/>
  <c r="P46" i="113"/>
  <c r="O46" i="113"/>
  <c r="P45" i="113"/>
  <c r="O45" i="113"/>
  <c r="P44" i="113"/>
  <c r="O44" i="113"/>
  <c r="P43" i="113"/>
  <c r="O43" i="113"/>
  <c r="P42" i="113"/>
  <c r="O42" i="113"/>
  <c r="P41" i="113"/>
  <c r="O41" i="113"/>
  <c r="P40" i="113"/>
  <c r="O40" i="113"/>
  <c r="P39" i="113"/>
  <c r="O39" i="113"/>
  <c r="P38" i="113"/>
  <c r="O38" i="113"/>
  <c r="P37" i="113"/>
  <c r="O37" i="113"/>
  <c r="P36" i="113"/>
  <c r="O36" i="113"/>
  <c r="P35" i="113"/>
  <c r="O35" i="113"/>
  <c r="P34" i="113"/>
  <c r="O34" i="113"/>
  <c r="P33" i="113"/>
  <c r="O33" i="113"/>
  <c r="P32" i="113"/>
  <c r="O32" i="113"/>
  <c r="P31" i="113"/>
  <c r="O31" i="113"/>
  <c r="P30" i="113"/>
  <c r="O30" i="113"/>
  <c r="P29" i="113"/>
  <c r="O29" i="113"/>
  <c r="P28" i="113"/>
  <c r="O28" i="113"/>
  <c r="P27" i="113"/>
  <c r="O27" i="113"/>
  <c r="P26" i="113"/>
  <c r="O26" i="113"/>
  <c r="P25" i="113"/>
  <c r="O25" i="113"/>
  <c r="P24" i="113"/>
  <c r="O24" i="113"/>
  <c r="P23" i="113"/>
  <c r="O23" i="113"/>
  <c r="P22" i="113"/>
  <c r="O22" i="113"/>
  <c r="AD21" i="113"/>
  <c r="AC21" i="113"/>
  <c r="AB21" i="113"/>
  <c r="AA21" i="113"/>
  <c r="Z21" i="113"/>
  <c r="Y21" i="113"/>
  <c r="X21" i="113"/>
  <c r="W21" i="113"/>
  <c r="V21" i="113"/>
  <c r="U21" i="113"/>
  <c r="T21" i="113"/>
  <c r="S21" i="113"/>
  <c r="P21" i="113"/>
  <c r="O21" i="113"/>
  <c r="AD20" i="113"/>
  <c r="AC20" i="113"/>
  <c r="AB20" i="113"/>
  <c r="AA20" i="113"/>
  <c r="Z20" i="113"/>
  <c r="Y20" i="113"/>
  <c r="X20" i="113"/>
  <c r="W20" i="113"/>
  <c r="V20" i="113"/>
  <c r="U20" i="113"/>
  <c r="T20" i="113"/>
  <c r="S20" i="113"/>
  <c r="P20" i="113"/>
  <c r="O20" i="113"/>
  <c r="AD19" i="113"/>
  <c r="AC19" i="113"/>
  <c r="AB19" i="113"/>
  <c r="AA19" i="113"/>
  <c r="Z19" i="113"/>
  <c r="Y19" i="113"/>
  <c r="X19" i="113"/>
  <c r="W19" i="113"/>
  <c r="V19" i="113"/>
  <c r="U19" i="113"/>
  <c r="T19" i="113"/>
  <c r="S19" i="113"/>
  <c r="P19" i="113"/>
  <c r="O19" i="113"/>
  <c r="AD18" i="113"/>
  <c r="AC18" i="113"/>
  <c r="AB18" i="113"/>
  <c r="AA18" i="113"/>
  <c r="Z18" i="113"/>
  <c r="Y18" i="113"/>
  <c r="X18" i="113"/>
  <c r="W18" i="113"/>
  <c r="V18" i="113"/>
  <c r="U18" i="113"/>
  <c r="T18" i="113"/>
  <c r="S18" i="113"/>
  <c r="P18" i="113"/>
  <c r="O18" i="113"/>
  <c r="AD17" i="113"/>
  <c r="AC17" i="113"/>
  <c r="AB17" i="113"/>
  <c r="AA17" i="113"/>
  <c r="Z17" i="113"/>
  <c r="Y17" i="113"/>
  <c r="X17" i="113"/>
  <c r="W17" i="113"/>
  <c r="V17" i="113"/>
  <c r="U17" i="113"/>
  <c r="T17" i="113"/>
  <c r="S17" i="113"/>
  <c r="P17" i="113"/>
  <c r="O17" i="113"/>
  <c r="AD16" i="113"/>
  <c r="AC16" i="113"/>
  <c r="AB16" i="113"/>
  <c r="AA16" i="113"/>
  <c r="Z16" i="113"/>
  <c r="Y16" i="113"/>
  <c r="X16" i="113"/>
  <c r="W16" i="113"/>
  <c r="V16" i="113"/>
  <c r="U16" i="113"/>
  <c r="T16" i="113"/>
  <c r="S16" i="113"/>
  <c r="P16" i="113"/>
  <c r="O16" i="113"/>
  <c r="AD15" i="113"/>
  <c r="AC15" i="113"/>
  <c r="AB15" i="113"/>
  <c r="AA15" i="113"/>
  <c r="Z15" i="113"/>
  <c r="Y15" i="113"/>
  <c r="X15" i="113"/>
  <c r="W15" i="113"/>
  <c r="V15" i="113"/>
  <c r="U15" i="113"/>
  <c r="T15" i="113"/>
  <c r="S15" i="113"/>
  <c r="P15" i="113"/>
  <c r="O15" i="113"/>
  <c r="AD14" i="113"/>
  <c r="AC14" i="113"/>
  <c r="AB14" i="113"/>
  <c r="AA14" i="113"/>
  <c r="Z14" i="113"/>
  <c r="Y14" i="113"/>
  <c r="X14" i="113"/>
  <c r="W14" i="113"/>
  <c r="V14" i="113"/>
  <c r="U14" i="113"/>
  <c r="T14" i="113"/>
  <c r="S14" i="113"/>
  <c r="P14" i="113"/>
  <c r="O14" i="113"/>
  <c r="AD13" i="113"/>
  <c r="AC13" i="113"/>
  <c r="AB13" i="113"/>
  <c r="AA13" i="113"/>
  <c r="Z13" i="113"/>
  <c r="Y13" i="113"/>
  <c r="X13" i="113"/>
  <c r="W13" i="113"/>
  <c r="V13" i="113"/>
  <c r="U13" i="113"/>
  <c r="T13" i="113"/>
  <c r="S13" i="113"/>
  <c r="P13" i="113"/>
  <c r="O13" i="113"/>
  <c r="AD12" i="113"/>
  <c r="AC12" i="113"/>
  <c r="AB12" i="113"/>
  <c r="AA12" i="113"/>
  <c r="Z12" i="113"/>
  <c r="Y12" i="113"/>
  <c r="X12" i="113"/>
  <c r="W12" i="113"/>
  <c r="V12" i="113"/>
  <c r="U12" i="113"/>
  <c r="T12" i="113"/>
  <c r="S12" i="113"/>
  <c r="P12" i="113"/>
  <c r="O12" i="113"/>
  <c r="AD11" i="113"/>
  <c r="AC11" i="113"/>
  <c r="AB11" i="113"/>
  <c r="AA11" i="113"/>
  <c r="Z11" i="113"/>
  <c r="Y11" i="113"/>
  <c r="X11" i="113"/>
  <c r="W11" i="113"/>
  <c r="V11" i="113"/>
  <c r="U11" i="113"/>
  <c r="T11" i="113"/>
  <c r="S11" i="113"/>
  <c r="P11" i="113"/>
  <c r="O11" i="113"/>
  <c r="AD10" i="113"/>
  <c r="AC10" i="113"/>
  <c r="AB10" i="113"/>
  <c r="AA10" i="113"/>
  <c r="Z10" i="113"/>
  <c r="Y10" i="113"/>
  <c r="X10" i="113"/>
  <c r="W10" i="113"/>
  <c r="V10" i="113"/>
  <c r="U10" i="113"/>
  <c r="T10" i="113"/>
  <c r="S10" i="113"/>
  <c r="P10" i="113"/>
  <c r="O10" i="113"/>
  <c r="G6" i="113"/>
  <c r="D6" i="113"/>
  <c r="D5" i="113"/>
  <c r="N58" i="112"/>
  <c r="M58" i="112"/>
  <c r="L58" i="112"/>
  <c r="K58" i="112"/>
  <c r="J58" i="112"/>
  <c r="I58" i="112"/>
  <c r="H58" i="112"/>
  <c r="G58" i="112"/>
  <c r="F58" i="112"/>
  <c r="E58" i="112"/>
  <c r="D58" i="112"/>
  <c r="C58" i="112"/>
  <c r="P57" i="112"/>
  <c r="O57" i="112"/>
  <c r="P56" i="112"/>
  <c r="O56" i="112"/>
  <c r="P55" i="112"/>
  <c r="O55" i="112"/>
  <c r="P54" i="112"/>
  <c r="AF21" i="112" s="1"/>
  <c r="O54" i="112"/>
  <c r="P53" i="112"/>
  <c r="O53" i="112"/>
  <c r="P52" i="112"/>
  <c r="O52" i="112"/>
  <c r="P51" i="112"/>
  <c r="O51" i="112"/>
  <c r="P50" i="112"/>
  <c r="AF20" i="112" s="1"/>
  <c r="O50" i="112"/>
  <c r="P49" i="112"/>
  <c r="O49" i="112"/>
  <c r="P48" i="112"/>
  <c r="O48" i="112"/>
  <c r="P47" i="112"/>
  <c r="O47" i="112"/>
  <c r="P46" i="112"/>
  <c r="AF19" i="112" s="1"/>
  <c r="AF27" i="112" s="1"/>
  <c r="O46" i="112"/>
  <c r="P45" i="112"/>
  <c r="O45" i="112"/>
  <c r="P44" i="112"/>
  <c r="O44" i="112"/>
  <c r="P43" i="112"/>
  <c r="O43" i="112"/>
  <c r="P42" i="112"/>
  <c r="AF18" i="112" s="1"/>
  <c r="O42" i="112"/>
  <c r="AE18" i="112" s="1"/>
  <c r="P41" i="112"/>
  <c r="O41" i="112"/>
  <c r="P40" i="112"/>
  <c r="O40" i="112"/>
  <c r="P39" i="112"/>
  <c r="O39" i="112"/>
  <c r="P38" i="112"/>
  <c r="AF17" i="112" s="1"/>
  <c r="O38" i="112"/>
  <c r="P37" i="112"/>
  <c r="O37" i="112"/>
  <c r="P36" i="112"/>
  <c r="O36" i="112"/>
  <c r="P35" i="112"/>
  <c r="O35" i="112"/>
  <c r="P34" i="112"/>
  <c r="AF16" i="112" s="1"/>
  <c r="O34" i="112"/>
  <c r="P33" i="112"/>
  <c r="O33" i="112"/>
  <c r="P32" i="112"/>
  <c r="O32" i="112"/>
  <c r="P31" i="112"/>
  <c r="O31" i="112"/>
  <c r="P30" i="112"/>
  <c r="AF15" i="112" s="1"/>
  <c r="O30" i="112"/>
  <c r="P29" i="112"/>
  <c r="O29" i="112"/>
  <c r="P28" i="112"/>
  <c r="O28" i="112"/>
  <c r="P27" i="112"/>
  <c r="O27" i="112"/>
  <c r="P26" i="112"/>
  <c r="AF14" i="112" s="1"/>
  <c r="O26" i="112"/>
  <c r="AE14" i="112" s="1"/>
  <c r="P25" i="112"/>
  <c r="O25" i="112"/>
  <c r="P24" i="112"/>
  <c r="O24" i="112"/>
  <c r="P23" i="112"/>
  <c r="O23" i="112"/>
  <c r="P22" i="112"/>
  <c r="AF13" i="112" s="1"/>
  <c r="O22" i="112"/>
  <c r="AD21" i="112"/>
  <c r="AC21" i="112"/>
  <c r="AB21" i="112"/>
  <c r="AA21" i="112"/>
  <c r="Z21" i="112"/>
  <c r="Y21" i="112"/>
  <c r="X21" i="112"/>
  <c r="W21" i="112"/>
  <c r="V21" i="112"/>
  <c r="U21" i="112"/>
  <c r="T21" i="112"/>
  <c r="S21" i="112"/>
  <c r="P21" i="112"/>
  <c r="O21" i="112"/>
  <c r="AD20" i="112"/>
  <c r="AC20" i="112"/>
  <c r="AB20" i="112"/>
  <c r="AA20" i="112"/>
  <c r="Z20" i="112"/>
  <c r="Y20" i="112"/>
  <c r="X20" i="112"/>
  <c r="W20" i="112"/>
  <c r="V20" i="112"/>
  <c r="U20" i="112"/>
  <c r="T20" i="112"/>
  <c r="S20" i="112"/>
  <c r="P20" i="112"/>
  <c r="O20" i="112"/>
  <c r="AD19" i="112"/>
  <c r="AC19" i="112"/>
  <c r="AB19" i="112"/>
  <c r="AB27" i="112" s="1"/>
  <c r="AA19" i="112"/>
  <c r="AA27" i="112" s="1"/>
  <c r="Z19" i="112"/>
  <c r="Y19" i="112"/>
  <c r="X19" i="112"/>
  <c r="W19" i="112"/>
  <c r="V19" i="112"/>
  <c r="U19" i="112"/>
  <c r="T19" i="112"/>
  <c r="T24" i="112" s="1"/>
  <c r="S19" i="112"/>
  <c r="S27" i="112" s="1"/>
  <c r="P19" i="112"/>
  <c r="O19" i="112"/>
  <c r="AD18" i="112"/>
  <c r="AC18" i="112"/>
  <c r="AB18" i="112"/>
  <c r="AA18" i="112"/>
  <c r="Z18" i="112"/>
  <c r="Y18" i="112"/>
  <c r="X18" i="112"/>
  <c r="W18" i="112"/>
  <c r="V18" i="112"/>
  <c r="U18" i="112"/>
  <c r="T18" i="112"/>
  <c r="S18" i="112"/>
  <c r="P18" i="112"/>
  <c r="O18" i="112"/>
  <c r="AD17" i="112"/>
  <c r="AC17" i="112"/>
  <c r="AB17" i="112"/>
  <c r="AA17" i="112"/>
  <c r="Z17" i="112"/>
  <c r="Y17" i="112"/>
  <c r="X17" i="112"/>
  <c r="W17" i="112"/>
  <c r="V17" i="112"/>
  <c r="U17" i="112"/>
  <c r="T17" i="112"/>
  <c r="S17" i="112"/>
  <c r="P17" i="112"/>
  <c r="O17" i="112"/>
  <c r="AD16" i="112"/>
  <c r="AC16" i="112"/>
  <c r="AB16" i="112"/>
  <c r="AA16" i="112"/>
  <c r="Z16" i="112"/>
  <c r="Y16" i="112"/>
  <c r="X16" i="112"/>
  <c r="W16" i="112"/>
  <c r="V16" i="112"/>
  <c r="U16" i="112"/>
  <c r="T16" i="112"/>
  <c r="S16" i="112"/>
  <c r="P16" i="112"/>
  <c r="O16" i="112"/>
  <c r="AD15" i="112"/>
  <c r="AC15" i="112"/>
  <c r="AB15" i="112"/>
  <c r="AA15" i="112"/>
  <c r="Z15" i="112"/>
  <c r="Y15" i="112"/>
  <c r="X15" i="112"/>
  <c r="W15" i="112"/>
  <c r="V15" i="112"/>
  <c r="U15" i="112"/>
  <c r="T15" i="112"/>
  <c r="S15" i="112"/>
  <c r="P15" i="112"/>
  <c r="O15" i="112"/>
  <c r="AD14" i="112"/>
  <c r="AC14" i="112"/>
  <c r="AB14" i="112"/>
  <c r="AA14" i="112"/>
  <c r="Z14" i="112"/>
  <c r="Y14" i="112"/>
  <c r="X14" i="112"/>
  <c r="W14" i="112"/>
  <c r="V14" i="112"/>
  <c r="U14" i="112"/>
  <c r="T14" i="112"/>
  <c r="S14" i="112"/>
  <c r="P14" i="112"/>
  <c r="O14" i="112"/>
  <c r="AD13" i="112"/>
  <c r="AC13" i="112"/>
  <c r="AB13" i="112"/>
  <c r="AA13" i="112"/>
  <c r="Z13" i="112"/>
  <c r="Y13" i="112"/>
  <c r="X13" i="112"/>
  <c r="W13" i="112"/>
  <c r="V13" i="112"/>
  <c r="U13" i="112"/>
  <c r="T13" i="112"/>
  <c r="S13" i="112"/>
  <c r="P13" i="112"/>
  <c r="O13" i="112"/>
  <c r="AD12" i="112"/>
  <c r="AC12" i="112"/>
  <c r="AB12" i="112"/>
  <c r="AA12" i="112"/>
  <c r="Z12" i="112"/>
  <c r="Y12" i="112"/>
  <c r="X12" i="112"/>
  <c r="W12" i="112"/>
  <c r="V12" i="112"/>
  <c r="U12" i="112"/>
  <c r="T12" i="112"/>
  <c r="S12" i="112"/>
  <c r="P12" i="112"/>
  <c r="O12" i="112"/>
  <c r="AD11" i="112"/>
  <c r="AC11" i="112"/>
  <c r="AB11" i="112"/>
  <c r="AA11" i="112"/>
  <c r="Z11" i="112"/>
  <c r="Y11" i="112"/>
  <c r="X11" i="112"/>
  <c r="W11" i="112"/>
  <c r="V11" i="112"/>
  <c r="U11" i="112"/>
  <c r="T11" i="112"/>
  <c r="S11" i="112"/>
  <c r="P11" i="112"/>
  <c r="O11" i="112"/>
  <c r="AD10" i="112"/>
  <c r="AC10" i="112"/>
  <c r="AB10" i="112"/>
  <c r="AA10" i="112"/>
  <c r="Z10" i="112"/>
  <c r="Y10" i="112"/>
  <c r="X10" i="112"/>
  <c r="W10" i="112"/>
  <c r="V10" i="112"/>
  <c r="U10" i="112"/>
  <c r="T10" i="112"/>
  <c r="S10" i="112"/>
  <c r="P10" i="112"/>
  <c r="O10" i="112"/>
  <c r="C3" i="94"/>
  <c r="C3" i="113" s="1"/>
  <c r="AE14" i="107" l="1"/>
  <c r="AE12" i="107"/>
  <c r="AC35" i="108"/>
  <c r="U39" i="108"/>
  <c r="U38" i="107"/>
  <c r="Y39" i="107"/>
  <c r="W27" i="112"/>
  <c r="AE12" i="112"/>
  <c r="AF26" i="112"/>
  <c r="X24" i="112"/>
  <c r="AE17" i="107"/>
  <c r="Y36" i="108"/>
  <c r="AC36" i="107"/>
  <c r="AF24" i="111"/>
  <c r="AE29" i="111"/>
  <c r="AF25" i="111"/>
  <c r="AE26" i="111"/>
  <c r="AE22" i="111"/>
  <c r="AE30" i="111"/>
  <c r="AF26" i="111"/>
  <c r="AF22" i="111"/>
  <c r="AE15" i="107"/>
  <c r="X38" i="107"/>
  <c r="X35" i="107"/>
  <c r="AD39" i="108"/>
  <c r="AD36" i="108"/>
  <c r="AF31" i="111"/>
  <c r="AD37" i="107"/>
  <c r="AD41" i="107"/>
  <c r="AD34" i="107"/>
  <c r="AD40" i="107"/>
  <c r="AE21" i="107"/>
  <c r="T40" i="107"/>
  <c r="T41" i="107"/>
  <c r="T37" i="107"/>
  <c r="T34" i="107"/>
  <c r="Z23" i="112"/>
  <c r="X38" i="108"/>
  <c r="X35" i="108"/>
  <c r="AB38" i="107"/>
  <c r="AB35" i="107"/>
  <c r="T36" i="107"/>
  <c r="T39" i="107"/>
  <c r="AE16" i="107"/>
  <c r="AB40" i="108"/>
  <c r="AB37" i="108"/>
  <c r="AB34" i="108"/>
  <c r="AB41" i="108"/>
  <c r="AB40" i="107"/>
  <c r="AB34" i="107"/>
  <c r="AB37" i="107"/>
  <c r="AB41" i="107"/>
  <c r="U38" i="108"/>
  <c r="AC36" i="108"/>
  <c r="AD41" i="108"/>
  <c r="AD37" i="108"/>
  <c r="AD40" i="108"/>
  <c r="AD34" i="108"/>
  <c r="Y38" i="107"/>
  <c r="AA40" i="108"/>
  <c r="AA37" i="108"/>
  <c r="AA34" i="108"/>
  <c r="AA41" i="108"/>
  <c r="AE20" i="107"/>
  <c r="AE13" i="112"/>
  <c r="AE15" i="112"/>
  <c r="AE16" i="112"/>
  <c r="AE17" i="112"/>
  <c r="AE19" i="112"/>
  <c r="AE20" i="112"/>
  <c r="AE21" i="112"/>
  <c r="V22" i="113"/>
  <c r="Z22" i="113"/>
  <c r="AD22" i="113"/>
  <c r="V23" i="113"/>
  <c r="Z23" i="113"/>
  <c r="AD23" i="113"/>
  <c r="V27" i="113"/>
  <c r="Z27" i="113"/>
  <c r="AD27" i="113"/>
  <c r="AE18" i="107"/>
  <c r="AE11" i="107"/>
  <c r="AF30" i="111"/>
  <c r="AF28" i="111"/>
  <c r="AB38" i="108"/>
  <c r="AB35" i="108"/>
  <c r="T36" i="108"/>
  <c r="T39" i="108"/>
  <c r="X36" i="107"/>
  <c r="X39" i="107"/>
  <c r="U41" i="107"/>
  <c r="U37" i="107"/>
  <c r="U40" i="107"/>
  <c r="U42" i="107" s="1"/>
  <c r="U34" i="107"/>
  <c r="AC41" i="107"/>
  <c r="AC34" i="107"/>
  <c r="AC37" i="107"/>
  <c r="AC40" i="107"/>
  <c r="S40" i="108"/>
  <c r="S34" i="108"/>
  <c r="S41" i="108"/>
  <c r="S42" i="108" s="1"/>
  <c r="V35" i="107"/>
  <c r="V38" i="107"/>
  <c r="W38" i="108"/>
  <c r="W35" i="108"/>
  <c r="S36" i="107"/>
  <c r="S39" i="107"/>
  <c r="AF32" i="111"/>
  <c r="AF23" i="111"/>
  <c r="U35" i="108"/>
  <c r="Y38" i="108"/>
  <c r="AC39" i="108"/>
  <c r="Y35" i="107"/>
  <c r="AC38" i="107"/>
  <c r="U36" i="107"/>
  <c r="Z41" i="107"/>
  <c r="Z34" i="107"/>
  <c r="Z37" i="107"/>
  <c r="Z40" i="107"/>
  <c r="V35" i="108"/>
  <c r="V38" i="108"/>
  <c r="Z35" i="107"/>
  <c r="Z38" i="107"/>
  <c r="AE19" i="107"/>
  <c r="W40" i="107"/>
  <c r="W34" i="107"/>
  <c r="W41" i="107"/>
  <c r="W37" i="107"/>
  <c r="AF27" i="111"/>
  <c r="S40" i="107"/>
  <c r="S37" i="107"/>
  <c r="S41" i="107"/>
  <c r="S42" i="107" s="1"/>
  <c r="S34" i="107"/>
  <c r="AF33" i="111"/>
  <c r="AE23" i="111"/>
  <c r="AE35" i="107"/>
  <c r="O106" i="107"/>
  <c r="AE10" i="107"/>
  <c r="AE24" i="111"/>
  <c r="T38" i="108"/>
  <c r="T35" i="108"/>
  <c r="AB36" i="108"/>
  <c r="AB39" i="108"/>
  <c r="Y34" i="107"/>
  <c r="Y37" i="107"/>
  <c r="Y41" i="107"/>
  <c r="Y40" i="107"/>
  <c r="W40" i="108"/>
  <c r="W34" i="108"/>
  <c r="W41" i="108"/>
  <c r="W37" i="108"/>
  <c r="AA38" i="107"/>
  <c r="AA35" i="107"/>
  <c r="V40" i="107"/>
  <c r="V41" i="107"/>
  <c r="V34" i="107"/>
  <c r="V37" i="107"/>
  <c r="AD35" i="108"/>
  <c r="AD38" i="108"/>
  <c r="AA38" i="108"/>
  <c r="AA35" i="108"/>
  <c r="S36" i="108"/>
  <c r="S39" i="108"/>
  <c r="W36" i="107"/>
  <c r="W39" i="107"/>
  <c r="V23" i="112"/>
  <c r="AD23" i="112"/>
  <c r="AE28" i="111"/>
  <c r="Y40" i="108"/>
  <c r="Y37" i="108"/>
  <c r="Y34" i="108"/>
  <c r="Y41" i="108"/>
  <c r="Y42" i="108" s="1"/>
  <c r="Y39" i="108"/>
  <c r="V34" i="108"/>
  <c r="V37" i="108"/>
  <c r="V40" i="108"/>
  <c r="V41" i="108"/>
  <c r="U35" i="107"/>
  <c r="AC39" i="107"/>
  <c r="V39" i="108"/>
  <c r="V36" i="108"/>
  <c r="V39" i="107"/>
  <c r="V36" i="107"/>
  <c r="AA39" i="108"/>
  <c r="AA36" i="108"/>
  <c r="X40" i="108"/>
  <c r="X34" i="108"/>
  <c r="X41" i="108"/>
  <c r="X42" i="108" s="1"/>
  <c r="X37" i="108"/>
  <c r="W35" i="107"/>
  <c r="W38" i="107"/>
  <c r="S26" i="113"/>
  <c r="W26" i="113"/>
  <c r="AA26" i="113"/>
  <c r="AE11" i="113"/>
  <c r="AE12" i="113"/>
  <c r="S27" i="113"/>
  <c r="W27" i="113"/>
  <c r="AA27" i="113"/>
  <c r="AE13" i="113"/>
  <c r="AE26" i="113" s="1"/>
  <c r="AE14" i="113"/>
  <c r="AE15" i="113"/>
  <c r="AE16" i="113"/>
  <c r="AE17" i="113"/>
  <c r="AE18" i="113"/>
  <c r="AE19" i="113"/>
  <c r="AE20" i="113"/>
  <c r="AE21" i="113"/>
  <c r="AE32" i="111"/>
  <c r="AF29" i="111"/>
  <c r="AE27" i="111"/>
  <c r="X36" i="108"/>
  <c r="X39" i="108"/>
  <c r="U34" i="108"/>
  <c r="U37" i="108"/>
  <c r="U41" i="108"/>
  <c r="U42" i="108" s="1"/>
  <c r="U40" i="108"/>
  <c r="AC34" i="108"/>
  <c r="AC41" i="108"/>
  <c r="AC40" i="108"/>
  <c r="AC37" i="108"/>
  <c r="T38" i="107"/>
  <c r="T35" i="107"/>
  <c r="AB36" i="107"/>
  <c r="AB39" i="107"/>
  <c r="Z39" i="108"/>
  <c r="Z36" i="108"/>
  <c r="AD35" i="107"/>
  <c r="AD38" i="107"/>
  <c r="Z39" i="107"/>
  <c r="Z36" i="107"/>
  <c r="AA40" i="107"/>
  <c r="AA34" i="107"/>
  <c r="AA41" i="107"/>
  <c r="AA37" i="107"/>
  <c r="W36" i="108"/>
  <c r="W39" i="108"/>
  <c r="T40" i="108"/>
  <c r="T41" i="108"/>
  <c r="T42" i="108" s="1"/>
  <c r="T34" i="108"/>
  <c r="T37" i="108"/>
  <c r="S38" i="107"/>
  <c r="S35" i="107"/>
  <c r="AA39" i="107"/>
  <c r="AA36" i="107"/>
  <c r="X40" i="107"/>
  <c r="X41" i="107"/>
  <c r="X42" i="107" s="1"/>
  <c r="X34" i="107"/>
  <c r="X37" i="107"/>
  <c r="AE33" i="111"/>
  <c r="AE31" i="111"/>
  <c r="AE25" i="111"/>
  <c r="Y35" i="108"/>
  <c r="AC38" i="108"/>
  <c r="U36" i="108"/>
  <c r="Z37" i="108"/>
  <c r="Z34" i="108"/>
  <c r="Z41" i="108"/>
  <c r="Z40" i="108"/>
  <c r="Z42" i="108" s="1"/>
  <c r="AC35" i="107"/>
  <c r="U39" i="107"/>
  <c r="Y36" i="107"/>
  <c r="Z35" i="108"/>
  <c r="Z38" i="108"/>
  <c r="AD39" i="107"/>
  <c r="AD36" i="107"/>
  <c r="S37" i="108"/>
  <c r="S35" i="108"/>
  <c r="S38" i="108"/>
  <c r="S26" i="112"/>
  <c r="W26" i="112"/>
  <c r="AA26" i="112"/>
  <c r="U27" i="112"/>
  <c r="Y27" i="112"/>
  <c r="AC27" i="112"/>
  <c r="W28" i="112"/>
  <c r="AA28" i="112"/>
  <c r="T26" i="112"/>
  <c r="X26" i="112"/>
  <c r="AB26" i="112"/>
  <c r="V27" i="112"/>
  <c r="Z27" i="112"/>
  <c r="AD27" i="112"/>
  <c r="T26" i="113"/>
  <c r="X26" i="113"/>
  <c r="AB26" i="113"/>
  <c r="AF11" i="113"/>
  <c r="AF12" i="113"/>
  <c r="T24" i="113"/>
  <c r="X24" i="113"/>
  <c r="AB27" i="113"/>
  <c r="AF13" i="113"/>
  <c r="AF14" i="113"/>
  <c r="AF15" i="113"/>
  <c r="AF16" i="113"/>
  <c r="AF17" i="113"/>
  <c r="AF18" i="113"/>
  <c r="AF19" i="113"/>
  <c r="AF20" i="113"/>
  <c r="AF21" i="113"/>
  <c r="U26" i="112"/>
  <c r="Y26" i="112"/>
  <c r="AC26" i="112"/>
  <c r="AF11" i="112"/>
  <c r="AF12" i="112"/>
  <c r="S28" i="113"/>
  <c r="W28" i="113"/>
  <c r="AA28" i="113"/>
  <c r="U26" i="113"/>
  <c r="Y26" i="113"/>
  <c r="AC26" i="113"/>
  <c r="U27" i="113"/>
  <c r="Y27" i="113"/>
  <c r="AC27" i="113"/>
  <c r="V22" i="112"/>
  <c r="C3" i="112"/>
  <c r="O58" i="113"/>
  <c r="C60" i="113" s="1"/>
  <c r="U28" i="113"/>
  <c r="Y28" i="113"/>
  <c r="AC28" i="113"/>
  <c r="AD22" i="112"/>
  <c r="X25" i="112"/>
  <c r="AB25" i="112"/>
  <c r="AF10" i="113"/>
  <c r="X25" i="113"/>
  <c r="AB25" i="113"/>
  <c r="S28" i="112"/>
  <c r="U28" i="112"/>
  <c r="Y28" i="112"/>
  <c r="AC28" i="112"/>
  <c r="AE11" i="112"/>
  <c r="O58" i="112"/>
  <c r="C60" i="112" s="1"/>
  <c r="Z22" i="112"/>
  <c r="AF10" i="112"/>
  <c r="T25" i="112"/>
  <c r="T25" i="113"/>
  <c r="T23" i="113"/>
  <c r="X23" i="113"/>
  <c r="AB23" i="113"/>
  <c r="V24" i="113"/>
  <c r="Z24" i="113"/>
  <c r="AD24" i="113"/>
  <c r="V26" i="113"/>
  <c r="Z26" i="113"/>
  <c r="AD26" i="113"/>
  <c r="T27" i="113"/>
  <c r="X27" i="113"/>
  <c r="G60" i="113"/>
  <c r="I60" i="113"/>
  <c r="P58" i="113"/>
  <c r="M59" i="113" s="1"/>
  <c r="T28" i="113"/>
  <c r="V28" i="113"/>
  <c r="X28" i="113"/>
  <c r="Z28" i="113"/>
  <c r="AB28" i="113"/>
  <c r="AD28" i="113"/>
  <c r="T22" i="113"/>
  <c r="X22" i="113"/>
  <c r="AB22" i="113"/>
  <c r="AB24" i="113"/>
  <c r="V25" i="113"/>
  <c r="Z25" i="113"/>
  <c r="AD25" i="113"/>
  <c r="F60" i="113"/>
  <c r="H60" i="113"/>
  <c r="N60" i="113"/>
  <c r="AE10" i="113"/>
  <c r="S22" i="113"/>
  <c r="U22" i="113"/>
  <c r="W22" i="113"/>
  <c r="Y22" i="113"/>
  <c r="AA22" i="113"/>
  <c r="AC22" i="113"/>
  <c r="S23" i="113"/>
  <c r="U23" i="113"/>
  <c r="W23" i="113"/>
  <c r="Y23" i="113"/>
  <c r="AA23" i="113"/>
  <c r="AC23" i="113"/>
  <c r="S24" i="113"/>
  <c r="U24" i="113"/>
  <c r="W24" i="113"/>
  <c r="Y24" i="113"/>
  <c r="AA24" i="113"/>
  <c r="AC24" i="113"/>
  <c r="S25" i="113"/>
  <c r="U25" i="113"/>
  <c r="W25" i="113"/>
  <c r="Y25" i="113"/>
  <c r="AA25" i="113"/>
  <c r="AC25" i="113"/>
  <c r="T23" i="112"/>
  <c r="X23" i="112"/>
  <c r="AB23" i="112"/>
  <c r="AF23" i="112"/>
  <c r="V24" i="112"/>
  <c r="Z24" i="112"/>
  <c r="AD24" i="112"/>
  <c r="V26" i="112"/>
  <c r="Z26" i="112"/>
  <c r="AD26" i="112"/>
  <c r="T27" i="112"/>
  <c r="X27" i="112"/>
  <c r="P58" i="112"/>
  <c r="M59" i="112" s="1"/>
  <c r="T28" i="112"/>
  <c r="V28" i="112"/>
  <c r="X28" i="112"/>
  <c r="Z28" i="112"/>
  <c r="AB28" i="112"/>
  <c r="AD28" i="112"/>
  <c r="T22" i="112"/>
  <c r="X22" i="112"/>
  <c r="AB22" i="112"/>
  <c r="AB24" i="112"/>
  <c r="AF24" i="112"/>
  <c r="V25" i="112"/>
  <c r="Z25" i="112"/>
  <c r="AD25" i="112"/>
  <c r="AE10" i="112"/>
  <c r="S22" i="112"/>
  <c r="U22" i="112"/>
  <c r="W22" i="112"/>
  <c r="Y22" i="112"/>
  <c r="AA22" i="112"/>
  <c r="AC22" i="112"/>
  <c r="S23" i="112"/>
  <c r="U23" i="112"/>
  <c r="W23" i="112"/>
  <c r="Y23" i="112"/>
  <c r="AA23" i="112"/>
  <c r="AC23" i="112"/>
  <c r="S24" i="112"/>
  <c r="U24" i="112"/>
  <c r="W24" i="112"/>
  <c r="Y24" i="112"/>
  <c r="AA24" i="112"/>
  <c r="AC24" i="112"/>
  <c r="S25" i="112"/>
  <c r="U25" i="112"/>
  <c r="W25" i="112"/>
  <c r="Y25" i="112"/>
  <c r="AA25" i="112"/>
  <c r="AC25" i="112"/>
  <c r="K6" i="98"/>
  <c r="K6" i="99" s="1"/>
  <c r="K5" i="98"/>
  <c r="K5" i="99" s="1"/>
  <c r="G5" i="98"/>
  <c r="G5" i="99" s="1"/>
  <c r="K6" i="97"/>
  <c r="K5" i="97"/>
  <c r="G5" i="97"/>
  <c r="K6" i="96"/>
  <c r="K5" i="96"/>
  <c r="G5" i="96"/>
  <c r="K6" i="95"/>
  <c r="K5" i="95"/>
  <c r="G5" i="95"/>
  <c r="K6" i="94"/>
  <c r="K5" i="94"/>
  <c r="G5" i="94"/>
  <c r="G6" i="108"/>
  <c r="G6" i="110"/>
  <c r="G6" i="100"/>
  <c r="G6" i="98"/>
  <c r="G6" i="96"/>
  <c r="G6" i="109" s="1"/>
  <c r="G6" i="107"/>
  <c r="G6" i="105"/>
  <c r="G6" i="101"/>
  <c r="G6" i="99"/>
  <c r="G6" i="97"/>
  <c r="G6" i="95"/>
  <c r="D6" i="108"/>
  <c r="D6" i="110"/>
  <c r="D6" i="109"/>
  <c r="D6" i="100"/>
  <c r="D6" i="98"/>
  <c r="D6" i="96"/>
  <c r="D6" i="107"/>
  <c r="D6" i="105"/>
  <c r="D6" i="101"/>
  <c r="D6" i="99"/>
  <c r="D6" i="97"/>
  <c r="D6" i="95"/>
  <c r="D5" i="110"/>
  <c r="D5" i="109"/>
  <c r="D5" i="98"/>
  <c r="D5" i="96"/>
  <c r="D5" i="94"/>
  <c r="AC42" i="108" l="1"/>
  <c r="AE24" i="112"/>
  <c r="Z42" i="107"/>
  <c r="N60" i="112"/>
  <c r="AE24" i="113"/>
  <c r="AE38" i="107"/>
  <c r="AE26" i="112"/>
  <c r="AB42" i="107"/>
  <c r="AB42" i="108"/>
  <c r="AE36" i="107"/>
  <c r="AE39" i="107"/>
  <c r="AE23" i="112"/>
  <c r="AE27" i="112"/>
  <c r="AA42" i="107"/>
  <c r="AE27" i="113"/>
  <c r="V42" i="107"/>
  <c r="W42" i="108"/>
  <c r="Y42" i="107"/>
  <c r="AE40" i="107"/>
  <c r="AE41" i="107"/>
  <c r="AE34" i="107"/>
  <c r="AE37" i="107"/>
  <c r="W42" i="107"/>
  <c r="AA42" i="108"/>
  <c r="AD42" i="108"/>
  <c r="AD42" i="107"/>
  <c r="AE23" i="113"/>
  <c r="D59" i="113"/>
  <c r="AF28" i="113"/>
  <c r="AF24" i="113"/>
  <c r="AF26" i="113"/>
  <c r="V42" i="108"/>
  <c r="AC42" i="107"/>
  <c r="T42" i="107"/>
  <c r="AF22" i="113"/>
  <c r="AF28" i="112"/>
  <c r="AF27" i="113"/>
  <c r="AF25" i="113"/>
  <c r="AF23" i="113"/>
  <c r="K6" i="100"/>
  <c r="K6" i="101" s="1"/>
  <c r="K6" i="109" s="1"/>
  <c r="K6" i="105" s="1"/>
  <c r="K6" i="110" s="1"/>
  <c r="K6" i="113"/>
  <c r="K6" i="112"/>
  <c r="L60" i="113"/>
  <c r="D60" i="113"/>
  <c r="E60" i="113"/>
  <c r="K5" i="100"/>
  <c r="K5" i="101" s="1"/>
  <c r="K5" i="109" s="1"/>
  <c r="K5" i="105" s="1"/>
  <c r="K5" i="110" s="1"/>
  <c r="K5" i="113"/>
  <c r="K5" i="112"/>
  <c r="G5" i="100"/>
  <c r="G5" i="101" s="1"/>
  <c r="G5" i="109" s="1"/>
  <c r="G5" i="105" s="1"/>
  <c r="G5" i="110" s="1"/>
  <c r="G5" i="112"/>
  <c r="G5" i="113"/>
  <c r="J60" i="113"/>
  <c r="K60" i="113"/>
  <c r="F60" i="112"/>
  <c r="I60" i="112"/>
  <c r="J60" i="112"/>
  <c r="E60" i="112"/>
  <c r="L60" i="112"/>
  <c r="H60" i="112"/>
  <c r="D60" i="112"/>
  <c r="K60" i="112"/>
  <c r="G60" i="112"/>
  <c r="AF22" i="112"/>
  <c r="AF25" i="112"/>
  <c r="G59" i="112"/>
  <c r="J59" i="112"/>
  <c r="K59" i="112"/>
  <c r="C59" i="112"/>
  <c r="N59" i="112"/>
  <c r="F59" i="112"/>
  <c r="E59" i="113"/>
  <c r="L59" i="113"/>
  <c r="I59" i="113"/>
  <c r="H59" i="113"/>
  <c r="AE28" i="113"/>
  <c r="AE25" i="113"/>
  <c r="AE22" i="113"/>
  <c r="K59" i="113"/>
  <c r="G59" i="113"/>
  <c r="C59" i="113"/>
  <c r="N59" i="113"/>
  <c r="J59" i="113"/>
  <c r="F59" i="113"/>
  <c r="I59" i="112"/>
  <c r="E59" i="112"/>
  <c r="AE28" i="112"/>
  <c r="AE25" i="112"/>
  <c r="AE22" i="112"/>
  <c r="L59" i="112"/>
  <c r="H59" i="112"/>
  <c r="D59" i="112"/>
  <c r="K6" i="107"/>
  <c r="K6" i="108"/>
  <c r="K6" i="111" s="1"/>
  <c r="K5" i="108"/>
  <c r="K5" i="111" s="1"/>
  <c r="K5" i="107"/>
  <c r="G5" i="107"/>
  <c r="G5" i="108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A19" i="109"/>
  <c r="Y19" i="109"/>
  <c r="W19" i="109"/>
  <c r="U19" i="109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C19" i="105"/>
  <c r="AB19" i="105"/>
  <c r="AA19" i="105"/>
  <c r="Z19" i="105"/>
  <c r="Y19" i="105"/>
  <c r="X19" i="105"/>
  <c r="W19" i="105"/>
  <c r="V19" i="105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V19" i="10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C19" i="99"/>
  <c r="AB19" i="99"/>
  <c r="AA19" i="99"/>
  <c r="Z19" i="99"/>
  <c r="Y19" i="99"/>
  <c r="X19" i="99"/>
  <c r="W19" i="99"/>
  <c r="V19" i="99"/>
  <c r="U19" i="99"/>
  <c r="T19" i="99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C19" i="97"/>
  <c r="AB19" i="97"/>
  <c r="AB27" i="97" s="1"/>
  <c r="AA19" i="97"/>
  <c r="Z19" i="97"/>
  <c r="Z27" i="97" s="1"/>
  <c r="Y19" i="97"/>
  <c r="X19" i="97"/>
  <c r="W19" i="97"/>
  <c r="V19" i="97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V27" i="97" l="1"/>
  <c r="AD27" i="97"/>
  <c r="T27" i="99"/>
  <c r="W27" i="99"/>
  <c r="W39" i="101"/>
  <c r="X27" i="97"/>
  <c r="V27" i="99"/>
  <c r="V39" i="101"/>
  <c r="AD27" i="99"/>
  <c r="AA26" i="95"/>
  <c r="U39" i="109"/>
  <c r="AC39" i="109"/>
  <c r="AE42" i="107"/>
  <c r="AD39" i="105"/>
  <c r="V39" i="105"/>
  <c r="Z39" i="105"/>
  <c r="W39" i="105"/>
  <c r="AA39" i="105"/>
  <c r="AA27" i="99"/>
  <c r="AA39" i="101"/>
  <c r="X39" i="105"/>
  <c r="AD38" i="101"/>
  <c r="Y39" i="109"/>
  <c r="X26" i="98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AB15" i="95"/>
  <c r="U17" i="97"/>
  <c r="U26" i="97" s="1"/>
  <c r="P23" i="110"/>
  <c r="S13" i="110"/>
  <c r="P31" i="110"/>
  <c r="S15" i="110"/>
  <c r="X10" i="110"/>
  <c r="P13" i="110"/>
  <c r="P15" i="110"/>
  <c r="W11" i="110"/>
  <c r="AA14" i="94"/>
  <c r="AA15" i="94"/>
  <c r="AA16" i="94"/>
  <c r="AA18" i="94"/>
  <c r="P19" i="110"/>
  <c r="S12" i="110"/>
  <c r="Z13" i="109"/>
  <c r="P12" i="110"/>
  <c r="P27" i="110"/>
  <c r="S14" i="110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V13" i="109"/>
  <c r="AD13" i="109"/>
  <c r="V15" i="109"/>
  <c r="AD15" i="109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AA10" i="110"/>
  <c r="P17" i="110"/>
  <c r="S17" i="110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U38" i="110"/>
  <c r="W38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P35" i="105"/>
  <c r="P36" i="105"/>
  <c r="P37" i="105"/>
  <c r="P38" i="105"/>
  <c r="P39" i="105"/>
  <c r="P40" i="105"/>
  <c r="P41" i="105"/>
  <c r="P42" i="105"/>
  <c r="P43" i="105"/>
  <c r="P44" i="105"/>
  <c r="P45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8" i="105"/>
  <c r="P29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6" i="105"/>
  <c r="O21" i="105"/>
  <c r="O22" i="105"/>
  <c r="O23" i="105"/>
  <c r="O24" i="105"/>
  <c r="O25" i="105"/>
  <c r="O26" i="105"/>
  <c r="O28" i="105"/>
  <c r="O29" i="105"/>
  <c r="O35" i="105"/>
  <c r="O36" i="105"/>
  <c r="W36" i="105"/>
  <c r="Y36" i="105"/>
  <c r="AA36" i="105"/>
  <c r="AC36" i="105"/>
  <c r="O37" i="105"/>
  <c r="O38" i="105"/>
  <c r="O39" i="105"/>
  <c r="O40" i="105"/>
  <c r="O41" i="105"/>
  <c r="O43" i="105"/>
  <c r="O44" i="105"/>
  <c r="O45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69" i="101"/>
  <c r="P91" i="101"/>
  <c r="U15" i="94"/>
  <c r="W17" i="96"/>
  <c r="Z19" i="98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AF32" i="101" s="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AD12" i="101"/>
  <c r="U12" i="101"/>
  <c r="W12" i="101"/>
  <c r="Y12" i="101"/>
  <c r="AA12" i="101"/>
  <c r="AC12" i="101"/>
  <c r="V11" i="101"/>
  <c r="AC36" i="101"/>
  <c r="W18" i="9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T11" i="101"/>
  <c r="X11" i="101"/>
  <c r="Z11" i="101"/>
  <c r="AB11" i="101"/>
  <c r="AD11" i="101"/>
  <c r="Y39" i="101"/>
  <c r="Y36" i="101"/>
  <c r="Z13" i="101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V39" i="109" l="1"/>
  <c r="X26" i="96"/>
  <c r="S38" i="110"/>
  <c r="AB26" i="98"/>
  <c r="U38" i="109"/>
  <c r="AF33" i="101"/>
  <c r="S35" i="110"/>
  <c r="Y38" i="105"/>
  <c r="Z26" i="95"/>
  <c r="AF25" i="101"/>
  <c r="AF28" i="101"/>
  <c r="S38" i="105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S18" i="111"/>
  <c r="S17" i="111"/>
  <c r="S24" i="94"/>
  <c r="C10" i="111"/>
  <c r="X21" i="111"/>
  <c r="X20" i="111"/>
  <c r="X19" i="111"/>
  <c r="X18" i="111"/>
  <c r="X17" i="111"/>
  <c r="X16" i="111"/>
  <c r="X15" i="111"/>
  <c r="X14" i="111"/>
  <c r="X13" i="111"/>
  <c r="V11" i="111"/>
  <c r="W27" i="95"/>
  <c r="W24" i="95"/>
  <c r="S14" i="111"/>
  <c r="S13" i="111"/>
  <c r="S12" i="111"/>
  <c r="S11" i="111"/>
  <c r="AB24" i="98"/>
  <c r="W26" i="96"/>
  <c r="AC26" i="97"/>
  <c r="AC23" i="97"/>
  <c r="Z21" i="111"/>
  <c r="Z20" i="111"/>
  <c r="Z19" i="111"/>
  <c r="Z18" i="111"/>
  <c r="Z17" i="111"/>
  <c r="Z16" i="111"/>
  <c r="Z15" i="111"/>
  <c r="Z14" i="111"/>
  <c r="Z13" i="111"/>
  <c r="AB12" i="111"/>
  <c r="V12" i="111"/>
  <c r="AB11" i="111"/>
  <c r="Z11" i="111"/>
  <c r="AC24" i="94"/>
  <c r="Y24" i="94"/>
  <c r="S27" i="94"/>
  <c r="AA38" i="110"/>
  <c r="W24" i="94"/>
  <c r="AC19" i="111"/>
  <c r="AA19" i="111"/>
  <c r="Y19" i="111"/>
  <c r="AC17" i="111"/>
  <c r="W27" i="94"/>
  <c r="S26" i="94"/>
  <c r="U23" i="97"/>
  <c r="AA27" i="94"/>
  <c r="U27" i="95"/>
  <c r="U24" i="95"/>
  <c r="S16" i="111"/>
  <c r="S15" i="111"/>
  <c r="X22" i="100"/>
  <c r="AC26" i="96"/>
  <c r="AA35" i="110"/>
  <c r="W35" i="110"/>
  <c r="Z39" i="110"/>
  <c r="AD38" i="110"/>
  <c r="Z38" i="110"/>
  <c r="V38" i="110"/>
  <c r="X37" i="110"/>
  <c r="AD36" i="110"/>
  <c r="V36" i="110"/>
  <c r="AC35" i="109"/>
  <c r="AC38" i="110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AA35" i="109"/>
  <c r="U36" i="110"/>
  <c r="V35" i="109"/>
  <c r="S41" i="110"/>
  <c r="AF32" i="110"/>
  <c r="S35" i="109"/>
  <c r="V24" i="98"/>
  <c r="X23" i="97"/>
  <c r="AD23" i="99"/>
  <c r="AB38" i="109"/>
  <c r="AD35" i="110"/>
  <c r="V35" i="110"/>
  <c r="AA40" i="110"/>
  <c r="Y36" i="110"/>
  <c r="S37" i="110"/>
  <c r="W40" i="110"/>
  <c r="AD36" i="109"/>
  <c r="Z39" i="109"/>
  <c r="S26" i="97"/>
  <c r="AF33" i="110"/>
  <c r="AF31" i="110"/>
  <c r="AB35" i="110"/>
  <c r="X38" i="110"/>
  <c r="AA41" i="110"/>
  <c r="W41" i="110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A24" i="94"/>
  <c r="AC23" i="96"/>
  <c r="AB36" i="105"/>
  <c r="P16" i="108"/>
  <c r="O56" i="108"/>
  <c r="O11" i="108"/>
  <c r="O57" i="108"/>
  <c r="P40" i="108"/>
  <c r="O35" i="108"/>
  <c r="O10" i="108"/>
  <c r="AA26" i="94"/>
  <c r="P29" i="108"/>
  <c r="O16" i="108"/>
  <c r="P49" i="108"/>
  <c r="P22" i="108"/>
  <c r="O49" i="108"/>
  <c r="P43" i="108"/>
  <c r="O28" i="108"/>
  <c r="O36" i="108"/>
  <c r="O20" i="108"/>
  <c r="P57" i="108"/>
  <c r="P55" i="108"/>
  <c r="P52" i="108"/>
  <c r="P35" i="108"/>
  <c r="P21" i="108"/>
  <c r="O13" i="108"/>
  <c r="P12" i="108"/>
  <c r="O53" i="108"/>
  <c r="O48" i="108"/>
  <c r="P46" i="108"/>
  <c r="O38" i="108"/>
  <c r="P45" i="108"/>
  <c r="P38" i="108"/>
  <c r="P32" i="108"/>
  <c r="O30" i="108"/>
  <c r="O31" i="108"/>
  <c r="P24" i="108"/>
  <c r="P17" i="108"/>
  <c r="O14" i="108"/>
  <c r="O43" i="108"/>
  <c r="P56" i="108"/>
  <c r="O55" i="108"/>
  <c r="P53" i="108"/>
  <c r="P51" i="108"/>
  <c r="P48" i="108"/>
  <c r="O39" i="108"/>
  <c r="P37" i="108"/>
  <c r="P27" i="108"/>
  <c r="P13" i="108"/>
  <c r="O12" i="108"/>
  <c r="P11" i="108"/>
  <c r="P10" i="108"/>
  <c r="O52" i="108"/>
  <c r="P47" i="108"/>
  <c r="P26" i="108"/>
  <c r="AF14" i="108" s="1"/>
  <c r="U24" i="94"/>
  <c r="AC26" i="94"/>
  <c r="O51" i="108"/>
  <c r="O47" i="108"/>
  <c r="O26" i="108"/>
  <c r="O22" i="108"/>
  <c r="O18" i="108"/>
  <c r="P54" i="108"/>
  <c r="AF21" i="108" s="1"/>
  <c r="O50" i="108"/>
  <c r="O44" i="108"/>
  <c r="O46" i="108"/>
  <c r="O45" i="108"/>
  <c r="P41" i="108"/>
  <c r="P39" i="108"/>
  <c r="O37" i="108"/>
  <c r="O32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P20" i="108"/>
  <c r="O17" i="108"/>
  <c r="P15" i="108"/>
  <c r="P14" i="108"/>
  <c r="O41" i="108"/>
  <c r="O33" i="108"/>
  <c r="O25" i="108"/>
  <c r="O23" i="108"/>
  <c r="O19" i="108"/>
  <c r="O15" i="108"/>
  <c r="P50" i="108"/>
  <c r="P42" i="108"/>
  <c r="P34" i="108"/>
  <c r="O54" i="108"/>
  <c r="AE21" i="108" s="1"/>
  <c r="O42" i="108"/>
  <c r="O34" i="108"/>
  <c r="P18" i="108"/>
  <c r="AF12" i="108" s="1"/>
  <c r="Z38" i="105"/>
  <c r="V38" i="105"/>
  <c r="X38" i="105"/>
  <c r="AC35" i="105"/>
  <c r="U38" i="105"/>
  <c r="P36" i="107"/>
  <c r="P35" i="107"/>
  <c r="P31" i="107"/>
  <c r="P28" i="107"/>
  <c r="P18" i="107"/>
  <c r="P14" i="107"/>
  <c r="P33" i="107"/>
  <c r="P24" i="107"/>
  <c r="P22" i="107"/>
  <c r="P57" i="107"/>
  <c r="P56" i="107"/>
  <c r="P55" i="107"/>
  <c r="P54" i="107"/>
  <c r="P53" i="107"/>
  <c r="P52" i="107"/>
  <c r="P51" i="107"/>
  <c r="P50" i="107"/>
  <c r="P49" i="107"/>
  <c r="P48" i="107"/>
  <c r="P47" i="107"/>
  <c r="P46" i="107"/>
  <c r="P45" i="107"/>
  <c r="P44" i="107"/>
  <c r="P43" i="107"/>
  <c r="P42" i="107"/>
  <c r="P41" i="107"/>
  <c r="P40" i="107"/>
  <c r="P39" i="107"/>
  <c r="P37" i="107"/>
  <c r="P32" i="107"/>
  <c r="P29" i="107"/>
  <c r="P27" i="107"/>
  <c r="P25" i="107"/>
  <c r="P23" i="107"/>
  <c r="P21" i="107"/>
  <c r="P17" i="107"/>
  <c r="P20" i="107"/>
  <c r="P19" i="107"/>
  <c r="P16" i="107"/>
  <c r="P15" i="107"/>
  <c r="P13" i="107"/>
  <c r="P12" i="107"/>
  <c r="P11" i="107"/>
  <c r="P26" i="107"/>
  <c r="AF14" i="107" s="1"/>
  <c r="P38" i="107"/>
  <c r="P30" i="107"/>
  <c r="AF15" i="107" s="1"/>
  <c r="P34" i="107"/>
  <c r="AB38" i="105"/>
  <c r="T38" i="105"/>
  <c r="P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V23" i="95"/>
  <c r="W23" i="94"/>
  <c r="AA38" i="101"/>
  <c r="AC38" i="101"/>
  <c r="Y35" i="101"/>
  <c r="U38" i="101"/>
  <c r="Y23" i="100"/>
  <c r="W28" i="100"/>
  <c r="AB26" i="99"/>
  <c r="T26" i="99"/>
  <c r="AF13" i="100"/>
  <c r="Z35" i="101"/>
  <c r="AC26" i="99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V22" i="93" s="1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AF15" i="108" l="1"/>
  <c r="AE20" i="108"/>
  <c r="AE15" i="108"/>
  <c r="Z39" i="111"/>
  <c r="Z36" i="111"/>
  <c r="X38" i="111"/>
  <c r="X35" i="111"/>
  <c r="X36" i="111"/>
  <c r="X39" i="111"/>
  <c r="AF16" i="107"/>
  <c r="AF16" i="108"/>
  <c r="AE19" i="108"/>
  <c r="AE12" i="108"/>
  <c r="AF19" i="108"/>
  <c r="O106" i="108"/>
  <c r="H108" i="108" s="1"/>
  <c r="AE10" i="108"/>
  <c r="AA42" i="110"/>
  <c r="G106" i="111"/>
  <c r="W10" i="111"/>
  <c r="U11" i="111"/>
  <c r="U12" i="111"/>
  <c r="U13" i="111"/>
  <c r="W14" i="111"/>
  <c r="U15" i="111"/>
  <c r="W16" i="111"/>
  <c r="S19" i="111"/>
  <c r="W20" i="111"/>
  <c r="S21" i="111"/>
  <c r="F106" i="111"/>
  <c r="V10" i="111"/>
  <c r="AD12" i="111"/>
  <c r="AB13" i="111"/>
  <c r="AD14" i="111"/>
  <c r="AD15" i="111"/>
  <c r="AD16" i="111"/>
  <c r="AD17" i="111"/>
  <c r="AD18" i="111"/>
  <c r="AD19" i="111"/>
  <c r="AD20" i="111"/>
  <c r="AD21" i="111"/>
  <c r="W11" i="111"/>
  <c r="W12" i="111"/>
  <c r="W13" i="111"/>
  <c r="U14" i="111"/>
  <c r="W15" i="111"/>
  <c r="U16" i="111"/>
  <c r="X11" i="111"/>
  <c r="Z12" i="111"/>
  <c r="AD13" i="111"/>
  <c r="AB14" i="111"/>
  <c r="AB15" i="111"/>
  <c r="AB16" i="111"/>
  <c r="AB17" i="111"/>
  <c r="AB18" i="111"/>
  <c r="AB19" i="111"/>
  <c r="AB20" i="111"/>
  <c r="AB21" i="111"/>
  <c r="M106" i="111"/>
  <c r="AC10" i="111"/>
  <c r="U17" i="111"/>
  <c r="U18" i="111"/>
  <c r="U19" i="111"/>
  <c r="S20" i="111"/>
  <c r="W21" i="111"/>
  <c r="D106" i="111"/>
  <c r="T10" i="111"/>
  <c r="AE11" i="108"/>
  <c r="AE17" i="108"/>
  <c r="AF13" i="108"/>
  <c r="Z35" i="111"/>
  <c r="Z38" i="111"/>
  <c r="S35" i="111"/>
  <c r="S38" i="111"/>
  <c r="X12" i="111"/>
  <c r="I106" i="111"/>
  <c r="Y10" i="111"/>
  <c r="AC20" i="111"/>
  <c r="P106" i="107"/>
  <c r="C107" i="107" s="1"/>
  <c r="AF10" i="107"/>
  <c r="AF11" i="107"/>
  <c r="AE16" i="108"/>
  <c r="AF18" i="108"/>
  <c r="AF11" i="108"/>
  <c r="AE13" i="108"/>
  <c r="AF17" i="108"/>
  <c r="K106" i="111"/>
  <c r="AA10" i="111"/>
  <c r="Y11" i="111"/>
  <c r="Y12" i="111"/>
  <c r="Y13" i="111"/>
  <c r="Y14" i="111"/>
  <c r="AC15" i="111"/>
  <c r="AC16" i="111"/>
  <c r="W17" i="111"/>
  <c r="W18" i="111"/>
  <c r="Y39" i="111"/>
  <c r="Y20" i="111"/>
  <c r="U21" i="111"/>
  <c r="H106" i="111"/>
  <c r="X10" i="111"/>
  <c r="T11" i="111"/>
  <c r="T12" i="111"/>
  <c r="T13" i="111"/>
  <c r="AA11" i="111"/>
  <c r="AA12" i="111"/>
  <c r="AA13" i="111"/>
  <c r="AA14" i="111"/>
  <c r="Y15" i="111"/>
  <c r="Y16" i="111"/>
  <c r="AD11" i="111"/>
  <c r="C106" i="111"/>
  <c r="S10" i="111"/>
  <c r="AA17" i="111"/>
  <c r="Y18" i="111"/>
  <c r="W19" i="111"/>
  <c r="U20" i="111"/>
  <c r="Y21" i="111"/>
  <c r="J106" i="111"/>
  <c r="Z10" i="111"/>
  <c r="AF17" i="107"/>
  <c r="AF18" i="107"/>
  <c r="AF19" i="107"/>
  <c r="AF20" i="107"/>
  <c r="AF21" i="107"/>
  <c r="AF13" i="107"/>
  <c r="AF12" i="107"/>
  <c r="AE18" i="108"/>
  <c r="AF20" i="108"/>
  <c r="AE14" i="108"/>
  <c r="P106" i="108"/>
  <c r="H107" i="108" s="1"/>
  <c r="AF10" i="108"/>
  <c r="AC11" i="111"/>
  <c r="AC12" i="111"/>
  <c r="AC13" i="111"/>
  <c r="Y17" i="111"/>
  <c r="AC18" i="111"/>
  <c r="AC21" i="111"/>
  <c r="N106" i="111"/>
  <c r="AD10" i="111"/>
  <c r="V13" i="111"/>
  <c r="V14" i="111"/>
  <c r="V15" i="111"/>
  <c r="V16" i="111"/>
  <c r="V17" i="111"/>
  <c r="V18" i="111"/>
  <c r="V19" i="111"/>
  <c r="V20" i="111"/>
  <c r="V21" i="111"/>
  <c r="AC14" i="111"/>
  <c r="AA15" i="111"/>
  <c r="AA16" i="111"/>
  <c r="T14" i="111"/>
  <c r="T15" i="111"/>
  <c r="T16" i="111"/>
  <c r="T17" i="111"/>
  <c r="T18" i="111"/>
  <c r="T19" i="111"/>
  <c r="T20" i="111"/>
  <c r="T21" i="111"/>
  <c r="E106" i="111"/>
  <c r="U10" i="111"/>
  <c r="AA18" i="111"/>
  <c r="AA20" i="111"/>
  <c r="AA21" i="111"/>
  <c r="AA39" i="111" s="1"/>
  <c r="L106" i="111"/>
  <c r="AB10" i="111"/>
  <c r="C107" i="110"/>
  <c r="G107" i="110"/>
  <c r="K107" i="110"/>
  <c r="D107" i="110"/>
  <c r="H107" i="110"/>
  <c r="L107" i="110"/>
  <c r="E107" i="110"/>
  <c r="I107" i="110"/>
  <c r="M107" i="110"/>
  <c r="F107" i="110"/>
  <c r="J107" i="110"/>
  <c r="N107" i="110"/>
  <c r="S42" i="110"/>
  <c r="X42" i="109"/>
  <c r="AE24" i="98"/>
  <c r="O47" i="111"/>
  <c r="O52" i="111"/>
  <c r="O12" i="111"/>
  <c r="P26" i="111"/>
  <c r="P46" i="111"/>
  <c r="P10" i="111"/>
  <c r="O22" i="111"/>
  <c r="P31" i="111"/>
  <c r="O34" i="111"/>
  <c r="P17" i="111"/>
  <c r="O21" i="111"/>
  <c r="O37" i="111"/>
  <c r="P41" i="111"/>
  <c r="O42" i="111"/>
  <c r="P53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P38" i="111"/>
  <c r="P39" i="111"/>
  <c r="O40" i="111"/>
  <c r="P44" i="111"/>
  <c r="P47" i="111"/>
  <c r="P50" i="111"/>
  <c r="P51" i="111"/>
  <c r="P54" i="111"/>
  <c r="O55" i="111"/>
  <c r="P23" i="111"/>
  <c r="O23" i="111"/>
  <c r="O43" i="111"/>
  <c r="O49" i="111"/>
  <c r="P49" i="111"/>
  <c r="P56" i="111"/>
  <c r="O10" i="111"/>
  <c r="C108" i="110"/>
  <c r="P15" i="111"/>
  <c r="O28" i="111"/>
  <c r="O35" i="111"/>
  <c r="O25" i="111"/>
  <c r="O44" i="111"/>
  <c r="O54" i="111"/>
  <c r="P36" i="111"/>
  <c r="O57" i="111"/>
  <c r="O11" i="111"/>
  <c r="O13" i="111"/>
  <c r="O16" i="111"/>
  <c r="O20" i="111"/>
  <c r="P21" i="111"/>
  <c r="P24" i="111"/>
  <c r="P29" i="111"/>
  <c r="O30" i="111"/>
  <c r="O33" i="111"/>
  <c r="P34" i="111"/>
  <c r="P35" i="111"/>
  <c r="O36" i="111"/>
  <c r="P37" i="111"/>
  <c r="O38" i="111"/>
  <c r="O41" i="111"/>
  <c r="P42" i="111"/>
  <c r="P45" i="111"/>
  <c r="O46" i="111"/>
  <c r="O48" i="111"/>
  <c r="O50" i="111"/>
  <c r="O51" i="111"/>
  <c r="O53" i="111"/>
  <c r="P55" i="111"/>
  <c r="O56" i="111"/>
  <c r="P57" i="111"/>
  <c r="P14" i="111"/>
  <c r="P16" i="111"/>
  <c r="O18" i="111"/>
  <c r="O27" i="111"/>
  <c r="O29" i="111"/>
  <c r="O39" i="111"/>
  <c r="P48" i="111"/>
  <c r="P52" i="111"/>
  <c r="P12" i="111"/>
  <c r="P19" i="111"/>
  <c r="O24" i="111"/>
  <c r="O31" i="111"/>
  <c r="O45" i="111"/>
  <c r="P11" i="111"/>
  <c r="P18" i="111"/>
  <c r="P22" i="111"/>
  <c r="P27" i="111"/>
  <c r="P32" i="111"/>
  <c r="P40" i="111"/>
  <c r="P43" i="111"/>
  <c r="F108" i="110"/>
  <c r="H108" i="110"/>
  <c r="N108" i="110"/>
  <c r="AE39" i="110"/>
  <c r="W42" i="110"/>
  <c r="AE36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F107" i="105"/>
  <c r="E107" i="105"/>
  <c r="D107" i="105"/>
  <c r="C107" i="105"/>
  <c r="AF35" i="105"/>
  <c r="H108" i="107"/>
  <c r="D108" i="105"/>
  <c r="F108" i="105"/>
  <c r="C108" i="105"/>
  <c r="E108" i="105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H60" i="94"/>
  <c r="AF35" i="101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AF15" i="111" l="1"/>
  <c r="AE11" i="111"/>
  <c r="AE16" i="111"/>
  <c r="AF13" i="111"/>
  <c r="AE12" i="111"/>
  <c r="U36" i="111"/>
  <c r="AA36" i="111"/>
  <c r="S40" i="111"/>
  <c r="S41" i="111"/>
  <c r="S34" i="111"/>
  <c r="AD35" i="111"/>
  <c r="AD38" i="111"/>
  <c r="AF12" i="111"/>
  <c r="AE20" i="111"/>
  <c r="AF18" i="111"/>
  <c r="AE15" i="111"/>
  <c r="AF17" i="111"/>
  <c r="AF14" i="111"/>
  <c r="U40" i="111"/>
  <c r="U34" i="111"/>
  <c r="U37" i="111"/>
  <c r="U41" i="111"/>
  <c r="T36" i="111"/>
  <c r="T39" i="111"/>
  <c r="AC38" i="111"/>
  <c r="AF40" i="108"/>
  <c r="AF41" i="108"/>
  <c r="AF42" i="108" s="1"/>
  <c r="AF37" i="108"/>
  <c r="AF34" i="108"/>
  <c r="Z40" i="111"/>
  <c r="Z37" i="111"/>
  <c r="Z41" i="111"/>
  <c r="Z34" i="111"/>
  <c r="W39" i="111"/>
  <c r="W36" i="111"/>
  <c r="T38" i="111"/>
  <c r="T35" i="111"/>
  <c r="Y38" i="111"/>
  <c r="AA40" i="111"/>
  <c r="AA41" i="111"/>
  <c r="AA37" i="111"/>
  <c r="AA34" i="111"/>
  <c r="AF40" i="107"/>
  <c r="AF37" i="107"/>
  <c r="AF34" i="107"/>
  <c r="AF41" i="107"/>
  <c r="AF42" i="107" s="1"/>
  <c r="U38" i="111"/>
  <c r="AB38" i="111"/>
  <c r="AB35" i="111"/>
  <c r="AE40" i="108"/>
  <c r="AE41" i="108"/>
  <c r="AE42" i="108" s="1"/>
  <c r="AE34" i="108"/>
  <c r="AE36" i="108"/>
  <c r="AE39" i="108"/>
  <c r="AF19" i="111"/>
  <c r="V39" i="111"/>
  <c r="V36" i="111"/>
  <c r="X40" i="111"/>
  <c r="X37" i="111"/>
  <c r="X34" i="111"/>
  <c r="X41" i="111"/>
  <c r="O106" i="111"/>
  <c r="K108" i="111" s="1"/>
  <c r="AE10" i="111"/>
  <c r="AF21" i="111"/>
  <c r="AE14" i="111"/>
  <c r="AE13" i="111"/>
  <c r="V35" i="111"/>
  <c r="V38" i="111"/>
  <c r="AC35" i="111"/>
  <c r="AF36" i="107"/>
  <c r="AF39" i="107"/>
  <c r="AA38" i="111"/>
  <c r="AA35" i="111"/>
  <c r="Y35" i="111"/>
  <c r="AE37" i="108"/>
  <c r="AC41" i="111"/>
  <c r="AC34" i="111"/>
  <c r="AC37" i="111"/>
  <c r="AC40" i="111"/>
  <c r="AB36" i="111"/>
  <c r="AB39" i="111"/>
  <c r="W38" i="111"/>
  <c r="W35" i="111"/>
  <c r="W40" i="111"/>
  <c r="W41" i="111"/>
  <c r="W37" i="111"/>
  <c r="W34" i="111"/>
  <c r="AF20" i="111"/>
  <c r="AB40" i="111"/>
  <c r="AB37" i="111"/>
  <c r="AB41" i="111"/>
  <c r="AB34" i="111"/>
  <c r="AE35" i="108"/>
  <c r="AE38" i="108"/>
  <c r="Y40" i="111"/>
  <c r="Y42" i="111" s="1"/>
  <c r="Y34" i="111"/>
  <c r="Y41" i="111"/>
  <c r="Y37" i="111"/>
  <c r="AF38" i="108"/>
  <c r="AF35" i="108"/>
  <c r="S37" i="111"/>
  <c r="AF11" i="111"/>
  <c r="AE19" i="111"/>
  <c r="AE17" i="111"/>
  <c r="AF16" i="111"/>
  <c r="AE21" i="111"/>
  <c r="AE18" i="111"/>
  <c r="P106" i="111"/>
  <c r="K107" i="111" s="1"/>
  <c r="AF10" i="111"/>
  <c r="AD40" i="111"/>
  <c r="AD34" i="111"/>
  <c r="AD41" i="111"/>
  <c r="AD37" i="111"/>
  <c r="AF38" i="107"/>
  <c r="AF35" i="107"/>
  <c r="Y36" i="111"/>
  <c r="AC36" i="111"/>
  <c r="AC39" i="111"/>
  <c r="T40" i="111"/>
  <c r="T34" i="111"/>
  <c r="T41" i="111"/>
  <c r="T37" i="111"/>
  <c r="U39" i="111"/>
  <c r="AD39" i="111"/>
  <c r="AD36" i="111"/>
  <c r="V41" i="111"/>
  <c r="V37" i="111"/>
  <c r="V34" i="111"/>
  <c r="V40" i="111"/>
  <c r="S36" i="111"/>
  <c r="S39" i="111"/>
  <c r="U35" i="111"/>
  <c r="AF36" i="108"/>
  <c r="AF39" i="108"/>
  <c r="M107" i="107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F108" i="108"/>
  <c r="C108" i="108"/>
  <c r="K108" i="108"/>
  <c r="N108" i="108"/>
  <c r="K108" i="107"/>
  <c r="L108" i="108"/>
  <c r="D108" i="108"/>
  <c r="I108" i="108"/>
  <c r="E108" i="108"/>
  <c r="J108" i="108"/>
  <c r="D107" i="107"/>
  <c r="G107" i="107"/>
  <c r="J107" i="107"/>
  <c r="N108" i="107"/>
  <c r="G108" i="107"/>
  <c r="D107" i="108"/>
  <c r="M107" i="108"/>
  <c r="K107" i="108"/>
  <c r="L108" i="107"/>
  <c r="F107" i="107"/>
  <c r="I107" i="107"/>
  <c r="E107" i="107"/>
  <c r="N107" i="107"/>
  <c r="C107" i="108"/>
  <c r="N107" i="108"/>
  <c r="F107" i="108"/>
  <c r="I107" i="108"/>
  <c r="E107" i="108"/>
  <c r="H107" i="107"/>
  <c r="D108" i="107"/>
  <c r="J108" i="107"/>
  <c r="I108" i="107"/>
  <c r="E108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N107" i="111" l="1"/>
  <c r="AB42" i="111"/>
  <c r="AF38" i="111"/>
  <c r="X42" i="111"/>
  <c r="S42" i="111"/>
  <c r="AA42" i="111"/>
  <c r="AE36" i="111"/>
  <c r="AE39" i="111"/>
  <c r="AC42" i="111"/>
  <c r="AE40" i="111"/>
  <c r="AE34" i="111"/>
  <c r="AE41" i="111"/>
  <c r="AF36" i="111"/>
  <c r="AF39" i="111"/>
  <c r="AD42" i="111"/>
  <c r="AE35" i="111"/>
  <c r="AE38" i="111"/>
  <c r="AE37" i="111"/>
  <c r="AF35" i="111"/>
  <c r="V42" i="111"/>
  <c r="T42" i="111"/>
  <c r="AF40" i="111"/>
  <c r="AF41" i="111"/>
  <c r="AF34" i="111"/>
  <c r="AF37" i="111"/>
  <c r="W42" i="111"/>
  <c r="Z42" i="111"/>
  <c r="U42" i="111"/>
  <c r="E108" i="111"/>
  <c r="F108" i="111"/>
  <c r="H107" i="111"/>
  <c r="F107" i="111"/>
  <c r="E107" i="111"/>
  <c r="C107" i="111"/>
  <c r="I107" i="111"/>
  <c r="N108" i="111"/>
  <c r="H108" i="111"/>
  <c r="C108" i="111"/>
  <c r="M107" i="111"/>
  <c r="D107" i="111"/>
  <c r="L107" i="111"/>
  <c r="G107" i="111"/>
  <c r="J107" i="111"/>
  <c r="J108" i="111"/>
  <c r="I108" i="111"/>
  <c r="D108" i="111"/>
  <c r="L108" i="111"/>
  <c r="G108" i="111"/>
  <c r="AF42" i="111" l="1"/>
  <c r="AE42" i="111"/>
</calcChain>
</file>

<file path=xl/sharedStrings.xml><?xml version="1.0" encoding="utf-8"?>
<sst xmlns="http://schemas.openxmlformats.org/spreadsheetml/2006/main" count="2327" uniqueCount="180">
  <si>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</si>
  <si>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</si>
  <si>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</si>
  <si>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</si>
  <si>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</si>
  <si>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</si>
  <si>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</si>
  <si>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</si>
  <si>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</si>
  <si>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</si>
  <si>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</si>
  <si>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</si>
  <si>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</si>
  <si>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</si>
  <si>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</si>
  <si>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</si>
  <si>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</si>
  <si>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</si>
  <si>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</si>
  <si>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</si>
  <si>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</si>
  <si>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</si>
  <si>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</si>
  <si>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</si>
  <si>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</si>
  <si>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</si>
  <si>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</si>
  <si>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</si>
  <si>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</si>
  <si>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</si>
  <si>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</si>
  <si>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</si>
  <si>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</si>
  <si>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</si>
  <si>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</si>
  <si>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</si>
  <si>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</si>
  <si>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</si>
  <si>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</si>
  <si>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</si>
  <si>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</si>
  <si>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</si>
  <si>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</si>
  <si>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</si>
  <si>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</si>
  <si>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</si>
  <si>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</si>
  <si>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</si>
  <si>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</si>
  <si>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</si>
  <si>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</si>
  <si>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</si>
  <si>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</si>
  <si>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</si>
  <si>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</si>
  <si>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</si>
  <si>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</si>
  <si>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</si>
  <si>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</si>
  <si>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</si>
  <si>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</si>
  <si>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</si>
  <si>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</si>
  <si>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</si>
  <si>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</si>
  <si>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</si>
  <si>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</si>
  <si>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</si>
  <si>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</si>
  <si>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</si>
  <si>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</si>
  <si>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</si>
  <si>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</si>
  <si>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</si>
  <si>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</si>
  <si>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</si>
  <si>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</si>
  <si>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</si>
  <si>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</si>
  <si>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</si>
  <si>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</si>
  <si>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</si>
  <si>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</si>
  <si>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</si>
  <si>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</si>
  <si>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</si>
  <si>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</si>
  <si>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</si>
  <si>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</si>
  <si>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</si>
  <si>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</si>
  <si>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</si>
  <si>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</si>
  <si>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</si>
  <si>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</si>
  <si>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</si>
  <si>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</si>
  <si>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</si>
  <si>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</si>
  <si>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</si>
  <si>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</si>
  <si>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</si>
  <si>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</si>
  <si>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</si>
  <si>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</si>
  <si>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</si>
  <si>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</si>
  <si>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</si>
  <si>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</si>
  <si>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</si>
  <si>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</si>
  <si>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</si>
  <si>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</si>
  <si>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</si>
  <si>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</si>
  <si>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</si>
  <si>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</si>
  <si>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</si>
  <si>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</si>
  <si>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</si>
  <si>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</si>
  <si>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</si>
  <si>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</si>
  <si>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</si>
  <si>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</si>
  <si>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</si>
  <si>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</si>
  <si>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</si>
  <si>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</si>
  <si>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</si>
  <si>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</si>
  <si>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</si>
  <si>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</si>
  <si>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</si>
  <si>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</si>
  <si>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</si>
  <si>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</si>
  <si>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</si>
  <si>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</si>
  <si>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</si>
  <si>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</si>
  <si>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</si>
  <si>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</si>
  <si>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</si>
  <si>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</si>
  <si>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</si>
  <si>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</si>
  <si>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</si>
  <si>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</si>
  <si>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</si>
  <si>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</si>
  <si>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</si>
  <si>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</si>
  <si>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</si>
  <si>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</si>
  <si>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</si>
  <si>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</si>
  <si>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</si>
  <si>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</si>
  <si>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</si>
  <si>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</si>
  <si>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</si>
  <si>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26.07.19</t>
  </si>
  <si>
    <t>27.07.19</t>
  </si>
  <si>
    <t>xxx</t>
  </si>
  <si>
    <t>AVERAGE WEEK</t>
  </si>
  <si>
    <t>MCC - C5 - STN0125 - KAABONG-KOTIDO ROAD</t>
  </si>
  <si>
    <t>5.08.19</t>
  </si>
  <si>
    <t>KABONG</t>
  </si>
  <si>
    <t>KOTIDO</t>
  </si>
  <si>
    <t>NALUBEGA JOSEPHINE</t>
  </si>
  <si>
    <t>CRANIMER</t>
  </si>
  <si>
    <t>KITIDO</t>
  </si>
  <si>
    <t>06.08.19</t>
  </si>
  <si>
    <t>07.08.19</t>
  </si>
  <si>
    <t>1\</t>
  </si>
  <si>
    <t>08.08.19</t>
  </si>
  <si>
    <t>KOTITDO</t>
  </si>
  <si>
    <t>10.08.19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</si>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</sst>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0.0%"/>
    <numFmt numFmtId="166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72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5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11" fillId="0" borderId="9" xfId="0" applyFont="1" applyBorder="1"/>
    <xf numFmtId="1" fontId="11" fillId="0" borderId="9" xfId="0" applyNumberFormat="1" applyFont="1" applyBorder="1" applyAlignment="1">
      <alignment horizontal="center"/>
    </xf>
    <xf numFmtId="164" fontId="1" fillId="0" borderId="8" xfId="2" applyFont="1" applyBorder="1" applyAlignment="1">
      <alignment horizontal="center"/>
    </xf>
    <xf numFmtId="164" fontId="1" fillId="0" borderId="1" xfId="2" applyFont="1" applyBorder="1" applyAlignment="1">
      <alignment horizontal="center"/>
    </xf>
    <xf numFmtId="164" fontId="1" fillId="3" borderId="1" xfId="2" applyFont="1" applyFill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'05.08 KABONG-KOTIDO'!$AE$9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'05.08 KABONG-KOTIDO'!$R$10:$R$21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'05.08 KABONG-KOTIDO'!$AE$10:$AE$21</c:f>
              <c:numCache>
                <c:formatCode>0</c:formatCode>
                <c:ptCount val="12"/>
                <c:pt idx="0">
                  <c:v>8</c:v>
                </c:pt>
                <c:pt idx="1">
                  <c:v>5</c:v>
                </c:pt>
                <c:pt idx="2">
                  <c:v>7</c:v>
                </c:pt>
                <c:pt idx="3">
                  <c:v>6</c:v>
                </c:pt>
                <c:pt idx="4">
                  <c:v>3</c:v>
                </c:pt>
                <c:pt idx="5">
                  <c:v>1</c:v>
                </c:pt>
                <c:pt idx="6">
                  <c:v>5</c:v>
                </c:pt>
                <c:pt idx="7">
                  <c:v>4</c:v>
                </c:pt>
                <c:pt idx="8">
                  <c:v>10</c:v>
                </c:pt>
                <c:pt idx="9">
                  <c:v>5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'05.08 KABONG-KOTIDO'!$AF$9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'05.08 KABONG-KOTIDO'!$R$10:$R$21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'05.08 KABONG-KOTIDO'!$AF$10:$AF$21</c:f>
              <c:numCache>
                <c:formatCode>0</c:formatCode>
                <c:ptCount val="12"/>
                <c:pt idx="0">
                  <c:v>8</c:v>
                </c:pt>
                <c:pt idx="1">
                  <c:v>7</c:v>
                </c:pt>
                <c:pt idx="2">
                  <c:v>13</c:v>
                </c:pt>
                <c:pt idx="3">
                  <c:v>8</c:v>
                </c:pt>
                <c:pt idx="4">
                  <c:v>3</c:v>
                </c:pt>
                <c:pt idx="5">
                  <c:v>2</c:v>
                </c:pt>
                <c:pt idx="6">
                  <c:v>8</c:v>
                </c:pt>
                <c:pt idx="7">
                  <c:v>4</c:v>
                </c:pt>
                <c:pt idx="8">
                  <c:v>14</c:v>
                </c:pt>
                <c:pt idx="9">
                  <c:v>7</c:v>
                </c:pt>
                <c:pt idx="10">
                  <c:v>6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937856"/>
        <c:axId val="77542144"/>
      </c:lineChart>
      <c:catAx>
        <c:axId val="769378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7542144"/>
        <c:crosses val="autoZero"/>
        <c:auto val="1"/>
        <c:lblAlgn val="ctr"/>
        <c:lblOffset val="100"/>
        <c:noMultiLvlLbl val="0"/>
      </c:catAx>
      <c:valAx>
        <c:axId val="775421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69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'05.08 KABONG-KOTIDO'!$C$9:$N$9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'05.08 KABONG-KOTIDO'!$C$59:$N$59</c:f>
              <c:numCache>
                <c:formatCode>0.0%</c:formatCode>
                <c:ptCount val="12"/>
                <c:pt idx="0">
                  <c:v>6.097560975609756E-2</c:v>
                </c:pt>
                <c:pt idx="1">
                  <c:v>0.13414634146341464</c:v>
                </c:pt>
                <c:pt idx="2">
                  <c:v>0.13414634146341464</c:v>
                </c:pt>
                <c:pt idx="3">
                  <c:v>2.4390243902439025E-2</c:v>
                </c:pt>
                <c:pt idx="4">
                  <c:v>0</c:v>
                </c:pt>
                <c:pt idx="5">
                  <c:v>1.2195121951219513E-2</c:v>
                </c:pt>
                <c:pt idx="6">
                  <c:v>0.14634146341463414</c:v>
                </c:pt>
                <c:pt idx="7">
                  <c:v>0.14634146341463414</c:v>
                </c:pt>
                <c:pt idx="8">
                  <c:v>3.6585365853658534E-2</c:v>
                </c:pt>
                <c:pt idx="9">
                  <c:v>0</c:v>
                </c:pt>
                <c:pt idx="10">
                  <c:v>0.29268292682926828</c:v>
                </c:pt>
                <c:pt idx="11">
                  <c:v>1.2195121951219513E-2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'05.08 KABONG-KOTIDO'!$C$9:$N$9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'05.08 KABONG-KOTIDO'!$C$60:$N$60</c:f>
              <c:numCache>
                <c:formatCode>0.00%</c:formatCode>
                <c:ptCount val="12"/>
                <c:pt idx="0">
                  <c:v>8.6206896551724144E-2</c:v>
                </c:pt>
                <c:pt idx="1">
                  <c:v>0.18965517241379309</c:v>
                </c:pt>
                <c:pt idx="2">
                  <c:v>0.18965517241379309</c:v>
                </c:pt>
                <c:pt idx="3">
                  <c:v>3.4482758620689655E-2</c:v>
                </c:pt>
                <c:pt idx="4">
                  <c:v>0</c:v>
                </c:pt>
                <c:pt idx="5">
                  <c:v>1.7241379310344827E-2</c:v>
                </c:pt>
                <c:pt idx="6">
                  <c:v>0.20689655172413793</c:v>
                </c:pt>
                <c:pt idx="7">
                  <c:v>0.20689655172413793</c:v>
                </c:pt>
                <c:pt idx="8">
                  <c:v>5.1724137931034482E-2</c:v>
                </c:pt>
                <c:pt idx="9">
                  <c:v>0</c:v>
                </c:pt>
                <c:pt idx="11">
                  <c:v>1.7241379310344827E-2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'05.08 KOTIDO-KABONG'!$AE$9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'05.08 KOTIDO-KABONG'!$R$10:$R$21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'05.08 KOTIDO-KABONG'!$AE$10:$AE$21</c:f>
              <c:numCache>
                <c:formatCode>0</c:formatCode>
                <c:ptCount val="12"/>
                <c:pt idx="0">
                  <c:v>5</c:v>
                </c:pt>
                <c:pt idx="1">
                  <c:v>14</c:v>
                </c:pt>
                <c:pt idx="2">
                  <c:v>11</c:v>
                </c:pt>
                <c:pt idx="3">
                  <c:v>7</c:v>
                </c:pt>
                <c:pt idx="4">
                  <c:v>2</c:v>
                </c:pt>
                <c:pt idx="5">
                  <c:v>7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'05.08 KOTIDO-KABONG'!$AF$9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'05.08 KOTIDO-KABONG'!$R$10:$R$21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'05.08 KOTIDO-KABONG'!$AF$10:$AF$21</c:f>
              <c:numCache>
                <c:formatCode>0</c:formatCode>
                <c:ptCount val="12"/>
                <c:pt idx="0">
                  <c:v>7</c:v>
                </c:pt>
                <c:pt idx="1">
                  <c:v>21</c:v>
                </c:pt>
                <c:pt idx="2">
                  <c:v>19</c:v>
                </c:pt>
                <c:pt idx="3">
                  <c:v>9</c:v>
                </c:pt>
                <c:pt idx="4">
                  <c:v>2</c:v>
                </c:pt>
                <c:pt idx="5">
                  <c:v>8</c:v>
                </c:pt>
                <c:pt idx="6">
                  <c:v>6</c:v>
                </c:pt>
                <c:pt idx="7">
                  <c:v>5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425280"/>
        <c:axId val="77443840"/>
      </c:lineChart>
      <c:catAx>
        <c:axId val="774252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7443840"/>
        <c:crosses val="autoZero"/>
        <c:auto val="1"/>
        <c:lblAlgn val="ctr"/>
        <c:lblOffset val="100"/>
        <c:noMultiLvlLbl val="0"/>
      </c:catAx>
      <c:valAx>
        <c:axId val="774438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742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'05.08 KOTIDO-KABONG'!$C$9:$N$9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'05.08 KOTIDO-KABONG'!$C$59:$N$59</c:f>
              <c:numCache>
                <c:formatCode>0.0%</c:formatCode>
                <c:ptCount val="12"/>
                <c:pt idx="0">
                  <c:v>7.8651685393258425E-2</c:v>
                </c:pt>
                <c:pt idx="1">
                  <c:v>0.16853932584269662</c:v>
                </c:pt>
                <c:pt idx="2">
                  <c:v>0.11235955056179775</c:v>
                </c:pt>
                <c:pt idx="3">
                  <c:v>0</c:v>
                </c:pt>
                <c:pt idx="4">
                  <c:v>1.1235955056179775E-2</c:v>
                </c:pt>
                <c:pt idx="5">
                  <c:v>2.247191011235955E-2</c:v>
                </c:pt>
                <c:pt idx="6">
                  <c:v>5.6179775280898875E-2</c:v>
                </c:pt>
                <c:pt idx="7">
                  <c:v>0.20224719101123595</c:v>
                </c:pt>
                <c:pt idx="8">
                  <c:v>1.1235955056179775E-2</c:v>
                </c:pt>
                <c:pt idx="9">
                  <c:v>0</c:v>
                </c:pt>
                <c:pt idx="10">
                  <c:v>0.33707865168539325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'05.08 KOTIDO-KABONG'!$S$9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'05.08 KOTIDO-KABONG'!$R$10:$R$21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'05.08 KOTIDO-KABONG'!$S$10:$S$21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'05.08 KOTIDO-KABONG'!$T$9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'05.08 KOTIDO-KABONG'!$R$10:$R$21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'05.08 KOTIDO-KABONG'!$T$10:$T$21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'05.08 KOTIDO-KABONG'!$U$9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'05.08 KOTIDO-KABONG'!$U$10:$U$21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'05.08 KOTIDO-KABONG'!$V$9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'05.08 KOTIDO-KABONG'!$V$10:$V$21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'05.08 KOTIDO-KABONG'!$W$9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'05.08 KOTIDO-KABONG'!$W$10:$W$21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'05.08 KOTIDO-KABONG'!$X$9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'05.08 KOTIDO-KABONG'!$X$10:$X$21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'05.08 KOTIDO-KABONG'!$Y$9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KOTIDO-KABONG'!$Y$10:$Y$21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'05.08 KOTIDO-KABONG'!$Z$9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KOTIDO-KABONG'!$Z$10:$Z$21</c:f>
              <c:numCache>
                <c:formatCode>0</c:formatCode>
                <c:ptCount val="12"/>
                <c:pt idx="0">
                  <c:v>1</c:v>
                </c:pt>
                <c:pt idx="1">
                  <c:v>8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'05.08 KOTIDO-KABONG'!$AA$9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KOTIDO-KABONG'!$AA$10:$AA$21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'05.08 KOTIDO-KABONG'!$AB$9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KOTIDO-KABONG'!$AB$10:$AB$21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'05.08 KOTIDO-KABONG'!$AC$9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KOTIDO-KABONG'!$AC$10:$AC$21</c:f>
              <c:numCache>
                <c:formatCode>0</c:formatCode>
                <c:ptCount val="12"/>
                <c:pt idx="0">
                  <c:v>2</c:v>
                </c:pt>
                <c:pt idx="1">
                  <c:v>7</c:v>
                </c:pt>
                <c:pt idx="2">
                  <c:v>8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'05.08 KOTIDO-KABONG'!$AD$9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'05.08 KOTIDO-KABONG'!$AD$10:$AD$21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806592"/>
        <c:axId val="77812480"/>
      </c:lineChart>
      <c:catAx>
        <c:axId val="77806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7812480"/>
        <c:crosses val="autoZero"/>
        <c:auto val="1"/>
        <c:lblAlgn val="ctr"/>
        <c:lblOffset val="100"/>
        <c:noMultiLvlLbl val="0"/>
      </c:catAx>
      <c:valAx>
        <c:axId val="7781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780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'05.08 KOTIDO-KABONG'!$C$9:$N$9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'05.08 KOTIDO-KABONG'!$C$60:$N$60</c:f>
              <c:numCache>
                <c:formatCode>0.00%</c:formatCode>
                <c:ptCount val="12"/>
                <c:pt idx="0">
                  <c:v>0.11864406779661017</c:v>
                </c:pt>
                <c:pt idx="1">
                  <c:v>0.25423728813559321</c:v>
                </c:pt>
                <c:pt idx="2">
                  <c:v>0.16949152542372881</c:v>
                </c:pt>
                <c:pt idx="3">
                  <c:v>0</c:v>
                </c:pt>
                <c:pt idx="4">
                  <c:v>1.6949152542372881E-2</c:v>
                </c:pt>
                <c:pt idx="5">
                  <c:v>3.3898305084745763E-2</c:v>
                </c:pt>
                <c:pt idx="6">
                  <c:v>8.4745762711864403E-2</c:v>
                </c:pt>
                <c:pt idx="7">
                  <c:v>0.30508474576271188</c:v>
                </c:pt>
                <c:pt idx="8">
                  <c:v>1.6949152542372881E-2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'06.07 KABONG-KOTIDO'!$AE$9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'06.07 KABONG-KOTIDO'!$R$10:$R$21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'06.07 KABONG-KOTIDO'!$AE$10:$AE$21</c:f>
              <c:numCache>
                <c:formatCode>0</c:formatCode>
                <c:ptCount val="12"/>
                <c:pt idx="0">
                  <c:v>10</c:v>
                </c:pt>
                <c:pt idx="1">
                  <c:v>4</c:v>
                </c:pt>
                <c:pt idx="2">
                  <c:v>4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  <c:pt idx="7">
                  <c:v>4</c:v>
                </c:pt>
                <c:pt idx="8">
                  <c:v>2</c:v>
                </c:pt>
                <c:pt idx="9">
                  <c:v>2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'06.07 KABONG-KOTIDO'!$AF$9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'06.07 KABONG-KOTIDO'!$R$10:$R$21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'06.07 KABONG-KOTIDO'!$AF$10:$AF$21</c:f>
              <c:numCache>
                <c:formatCode>0</c:formatCode>
                <c:ptCount val="12"/>
                <c:pt idx="0">
                  <c:v>13</c:v>
                </c:pt>
                <c:pt idx="1">
                  <c:v>6</c:v>
                </c:pt>
                <c:pt idx="2">
                  <c:v>7</c:v>
                </c:pt>
                <c:pt idx="3">
                  <c:v>7</c:v>
                </c:pt>
                <c:pt idx="4">
                  <c:v>1</c:v>
                </c:pt>
                <c:pt idx="5">
                  <c:v>1</c:v>
                </c:pt>
                <c:pt idx="6">
                  <c:v>6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10</c:v>
                </c:pt>
                <c:pt idx="11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977472"/>
        <c:axId val="77979648"/>
      </c:lineChart>
      <c:catAx>
        <c:axId val="779774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7979648"/>
        <c:crosses val="autoZero"/>
        <c:auto val="1"/>
        <c:lblAlgn val="ctr"/>
        <c:lblOffset val="100"/>
        <c:noMultiLvlLbl val="0"/>
      </c:catAx>
      <c:valAx>
        <c:axId val="77979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797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'06.07 KABONG-KOTIDO'!$C$9:$N$9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'06.07 KABONG-KOTIDO'!$C$59:$N$59</c:f>
              <c:numCache>
                <c:formatCode>0.0%</c:formatCode>
                <c:ptCount val="12"/>
                <c:pt idx="0">
                  <c:v>5.5555555555555552E-2</c:v>
                </c:pt>
                <c:pt idx="1">
                  <c:v>0.15277777777777779</c:v>
                </c:pt>
                <c:pt idx="2">
                  <c:v>0.16666666666666666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0.18055555555555555</c:v>
                </c:pt>
                <c:pt idx="7">
                  <c:v>0.125</c:v>
                </c:pt>
                <c:pt idx="8">
                  <c:v>0</c:v>
                </c:pt>
                <c:pt idx="9">
                  <c:v>0</c:v>
                </c:pt>
                <c:pt idx="10">
                  <c:v>0.31944444444444442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'06.07 KABONG-KOTIDO'!$S$9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'06.07 KABONG-KOTIDO'!$R$10:$R$21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'06.07 KABONG-KOTIDO'!$S$10:$S$21</c:f>
              <c:numCache>
                <c:formatCode>0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'06.07 KABONG-KOTIDO'!$T$9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'06.07 KABONG-KOTIDO'!$R$10:$R$21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'06.07 KABONG-KOTIDO'!$T$10:$T$21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'06.07 KABONG-KOTIDO'!$U$9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'06.07 KABONG-KOTIDO'!$U$10:$U$21</c:f>
              <c:numCache>
                <c:formatCode>0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'06.07 KABONG-KOTIDO'!$V$9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'06.07 KABONG-KOTIDO'!$V$10:$V$21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'06.07 KABONG-KOTIDO'!$W$9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'06.07 KABONG-KOTIDO'!$W$10:$W$21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'06.07 KABONG-KOTIDO'!$X$9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'06.07 KABONG-KOTIDO'!$X$10:$X$21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'06.07 KABONG-KOTIDO'!$Y$9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'06.07 KABONG-KOTIDO'!$Y$10:$Y$21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'06.07 KABONG-KOTIDO'!$Z$9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'06.07 KABONG-KOTIDO'!$Z$10:$Z$21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'06.07 KABONG-KOTIDO'!$AA$9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'06.07 KABONG-KOTIDO'!$AA$10:$AA$21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'06.07 KABONG-KOTIDO'!$AB$9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'06.07 KABONG-KOTIDO'!$AB$10:$AB$21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'06.07 KABONG-KOTIDO'!$AC$9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'06.07 KABONG-KOTIDO'!$AC$10:$AC$21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'06.07 KABONG-KOTIDO'!$AD$9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'06.07 KABONG-KOTIDO'!$AD$10:$AD$21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338880"/>
        <c:axId val="79340672"/>
      </c:lineChart>
      <c:catAx>
        <c:axId val="7933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340672"/>
        <c:crosses val="autoZero"/>
        <c:auto val="1"/>
        <c:lblAlgn val="ctr"/>
        <c:lblOffset val="100"/>
        <c:noMultiLvlLbl val="0"/>
      </c:catAx>
      <c:valAx>
        <c:axId val="7934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33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'06.07 KABONG-KOTIDO'!$C$9:$N$9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'06.07 KABONG-KOTIDO'!$C$60:$N$60</c:f>
              <c:numCache>
                <c:formatCode>0.00%</c:formatCode>
                <c:ptCount val="12"/>
                <c:pt idx="0">
                  <c:v>8.1632653061224483E-2</c:v>
                </c:pt>
                <c:pt idx="1">
                  <c:v>0.22448979591836735</c:v>
                </c:pt>
                <c:pt idx="2">
                  <c:v>0.24489795918367346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0.26530612244897961</c:v>
                </c:pt>
                <c:pt idx="7">
                  <c:v>0.18367346938775511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'06.08 KOTIDO-KABONG'!$AE$9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'06.08 KOTIDO-KABONG'!$R$10:$R$21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KOTIDO-KABONG'!$AE$10:$AE$21</c:f>
              <c:numCache>
                <c:formatCode>0</c:formatCode>
                <c:ptCount val="12"/>
                <c:pt idx="0">
                  <c:v>5</c:v>
                </c:pt>
                <c:pt idx="1">
                  <c:v>9</c:v>
                </c:pt>
                <c:pt idx="2">
                  <c:v>4</c:v>
                </c:pt>
                <c:pt idx="3">
                  <c:v>4</c:v>
                </c:pt>
                <c:pt idx="4">
                  <c:v>6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4</c:v>
                </c:pt>
                <c:pt idx="10">
                  <c:v>2</c:v>
                </c:pt>
                <c:pt idx="11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'06.08 KOTIDO-KABONG'!$AF$9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'06.08 KOTIDO-KABONG'!$R$10:$R$21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KOTIDO-KABONG'!$AF$10:$AF$21</c:f>
              <c:numCache>
                <c:formatCode>0</c:formatCode>
                <c:ptCount val="12"/>
                <c:pt idx="0">
                  <c:v>9</c:v>
                </c:pt>
                <c:pt idx="1">
                  <c:v>11</c:v>
                </c:pt>
                <c:pt idx="2">
                  <c:v>7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3</c:v>
                </c:pt>
                <c:pt idx="7">
                  <c:v>5</c:v>
                </c:pt>
                <c:pt idx="8">
                  <c:v>16</c:v>
                </c:pt>
                <c:pt idx="9">
                  <c:v>5</c:v>
                </c:pt>
                <c:pt idx="10">
                  <c:v>2</c:v>
                </c:pt>
                <c:pt idx="11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09536"/>
        <c:axId val="79411456"/>
      </c:lineChart>
      <c:catAx>
        <c:axId val="794095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411456"/>
        <c:crosses val="autoZero"/>
        <c:auto val="1"/>
        <c:lblAlgn val="ctr"/>
        <c:lblOffset val="100"/>
        <c:noMultiLvlLbl val="0"/>
      </c:catAx>
      <c:valAx>
        <c:axId val="79411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40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'06.08 KOTIDO-KABONG'!$C$9:$N$9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'06.08 KOTIDO-KABONG'!$C$59:$N$59</c:f>
              <c:numCache>
                <c:formatCode>0.0%</c:formatCode>
                <c:ptCount val="12"/>
                <c:pt idx="0">
                  <c:v>6.097560975609756E-2</c:v>
                </c:pt>
                <c:pt idx="1">
                  <c:v>0.18292682926829268</c:v>
                </c:pt>
                <c:pt idx="2">
                  <c:v>9.7560975609756101E-2</c:v>
                </c:pt>
                <c:pt idx="3">
                  <c:v>0</c:v>
                </c:pt>
                <c:pt idx="4">
                  <c:v>0</c:v>
                </c:pt>
                <c:pt idx="5">
                  <c:v>3.6585365853658534E-2</c:v>
                </c:pt>
                <c:pt idx="6">
                  <c:v>7.3170731707317069E-2</c:v>
                </c:pt>
                <c:pt idx="7">
                  <c:v>0.10975609756097561</c:v>
                </c:pt>
                <c:pt idx="8">
                  <c:v>0</c:v>
                </c:pt>
                <c:pt idx="9">
                  <c:v>0</c:v>
                </c:pt>
                <c:pt idx="10">
                  <c:v>0.43902439024390244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'06.08 KOTIDO-KABONG'!$S$9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'06.08 KOTIDO-KABONG'!$R$10:$R$21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KOTIDO-KABONG'!$S$10:$S$21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'06.08 KOTIDO-KABONG'!$T$9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'06.08 KOTIDO-KABONG'!$R$10:$R$21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'06.08 KOTIDO-KABONG'!$T$10:$T$21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'06.08 KOTIDO-KABONG'!$U$9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'06.08 KOTIDO-KABONG'!$U$10:$U$21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'06.08 KOTIDO-KABONG'!$V$9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'06.08 KOTIDO-KABONG'!$V$10:$V$21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'06.08 KOTIDO-KABONG'!$W$9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'06.08 KOTIDO-KABONG'!$W$10:$W$21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'06.08 KOTIDO-KABONG'!$X$9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'06.08 KOTIDO-KABONG'!$X$10:$X$21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'06.08 KOTIDO-KABONG'!$Y$9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KOTIDO-KABONG'!$Y$10:$Y$21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'06.08 KOTIDO-KABONG'!$Z$9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KOTIDO-KABONG'!$Z$10:$Z$21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'06.08 KOTIDO-KABONG'!$AA$9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KOTIDO-KABONG'!$AA$10:$AA$21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'06.08 KOTIDO-KABONG'!$AB$9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KOTIDO-KABONG'!$AB$10:$AB$21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'06.08 KOTIDO-KABONG'!$AC$9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KOTIDO-KABONG'!$AC$10:$AC$21</c:f>
              <c:numCache>
                <c:formatCode>0</c:formatCode>
                <c:ptCount val="12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15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'06.08 KOTIDO-KABONG'!$AD$9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'06.08 KOTIDO-KABONG'!$AD$10:$AD$21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710464"/>
        <c:axId val="79716352"/>
      </c:lineChart>
      <c:catAx>
        <c:axId val="7971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716352"/>
        <c:crosses val="autoZero"/>
        <c:auto val="1"/>
        <c:lblAlgn val="ctr"/>
        <c:lblOffset val="100"/>
        <c:noMultiLvlLbl val="0"/>
      </c:catAx>
      <c:valAx>
        <c:axId val="7971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71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'06.08 KOTIDO-KABONG'!$C$9:$N$9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'06.08 KOTIDO-KABONG'!$C$60:$N$60</c:f>
              <c:numCache>
                <c:formatCode>0.00%</c:formatCode>
                <c:ptCount val="12"/>
                <c:pt idx="0">
                  <c:v>0.10869565217391304</c:v>
                </c:pt>
                <c:pt idx="1">
                  <c:v>0.32608695652173914</c:v>
                </c:pt>
                <c:pt idx="2">
                  <c:v>0.17391304347826086</c:v>
                </c:pt>
                <c:pt idx="3">
                  <c:v>0</c:v>
                </c:pt>
                <c:pt idx="4">
                  <c:v>0</c:v>
                </c:pt>
                <c:pt idx="5">
                  <c:v>6.5217391304347824E-2</c:v>
                </c:pt>
                <c:pt idx="6">
                  <c:v>0.13043478260869565</c:v>
                </c:pt>
                <c:pt idx="7">
                  <c:v>0.19565217391304349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'07.08 KABONG-KOTIDO'!$AE$9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'07.08 KABONG-KOTIDO'!$R$10:$R$21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'07.08 KABONG-KOTIDO'!$AE$10:$AE$21</c:f>
              <c:numCache>
                <c:formatCode>0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6</c:v>
                </c:pt>
                <c:pt idx="11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'07.08 KABONG-KOTIDO'!$AF$9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'07.08 KABONG-KOTIDO'!$R$10:$R$21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'07.08 KABONG-KOTIDO'!$AF$10:$AF$21</c:f>
              <c:numCache>
                <c:formatCode>0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7</c:v>
                </c:pt>
                <c:pt idx="10">
                  <c:v>8</c:v>
                </c:pt>
                <c:pt idx="11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81248"/>
        <c:axId val="81397248"/>
      </c:lineChart>
      <c:catAx>
        <c:axId val="797812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397248"/>
        <c:crosses val="autoZero"/>
        <c:auto val="1"/>
        <c:lblAlgn val="ctr"/>
        <c:lblOffset val="100"/>
        <c:noMultiLvlLbl val="0"/>
      </c:catAx>
      <c:valAx>
        <c:axId val="813972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78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'07.08 KABONG-KOTIDO'!$C$9:$N$9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'07.08 KABONG-KOTIDO'!$C$59:$N$59</c:f>
              <c:numCache>
                <c:formatCode>0.0%</c:formatCode>
                <c:ptCount val="12"/>
                <c:pt idx="0">
                  <c:v>3.3898305084745763E-2</c:v>
                </c:pt>
                <c:pt idx="1">
                  <c:v>0.1864406779661017</c:v>
                </c:pt>
                <c:pt idx="2">
                  <c:v>0.22033898305084745</c:v>
                </c:pt>
                <c:pt idx="3">
                  <c:v>0</c:v>
                </c:pt>
                <c:pt idx="4">
                  <c:v>0</c:v>
                </c:pt>
                <c:pt idx="5">
                  <c:v>5.0847457627118647E-2</c:v>
                </c:pt>
                <c:pt idx="6">
                  <c:v>0.10169491525423729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0.40677966101694918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'07.08 KABONG-KOTIDO'!$S$9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'07.08 KABONG-KOTIDO'!$R$10:$R$21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'07.08 KABONG-KOTIDO'!$S$10:$S$21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'07.08 KABONG-KOTIDO'!$T$9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'07.08 KABONG-KOTIDO'!$R$10:$R$21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'07.08 KABONG-KOTIDO'!$T$10:$T$21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'07.08 KABONG-KOTIDO'!$U$9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'07.08 KABONG-KOTIDO'!$U$10:$U$21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'07.08 KABONG-KOTIDO'!$V$9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'07.08 KABONG-KOTIDO'!$V$10:$V$21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'07.08 KABONG-KOTIDO'!$W$9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'07.08 KABONG-KOTIDO'!$W$10:$W$21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'07.08 KABONG-KOTIDO'!$X$9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'07.08 KABONG-KOTIDO'!$X$10:$X$21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'07.08 KABONG-KOTIDO'!$Y$9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'07.08 KABONG-KOTIDO'!$Y$10:$Y$21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'07.08 KABONG-KOTIDO'!$Z$9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'07.08 KABONG-KOTIDO'!$Z$10:$Z$21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'07.08 KABONG-KOTIDO'!$AA$9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'07.08 KABONG-KOTIDO'!$AA$10:$AA$21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'07.08 KABONG-KOTIDO'!$AB$9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'07.08 KABONG-KOTIDO'!$AB$10:$AB$21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'07.08 KABONG-KOTIDO'!$AC$9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'07.08 KABONG-KOTIDO'!$AC$10:$AC$21</c:f>
              <c:numCache>
                <c:formatCode>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0</c:v>
                </c:pt>
                <c:pt idx="8">
                  <c:v>1</c:v>
                </c:pt>
                <c:pt idx="9">
                  <c:v>4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'07.08 KABONG-KOTIDO'!$AD$9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'07.08 KABONG-KOTIDO'!$AD$10:$AD$21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364096"/>
        <c:axId val="81365632"/>
      </c:lineChart>
      <c:catAx>
        <c:axId val="81364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365632"/>
        <c:crosses val="autoZero"/>
        <c:auto val="1"/>
        <c:lblAlgn val="ctr"/>
        <c:lblOffset val="100"/>
        <c:noMultiLvlLbl val="0"/>
      </c:catAx>
      <c:valAx>
        <c:axId val="8136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36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'07.08 KABONG-KOTIDO'!$C$9:$N$9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'07.08 KABONG-KOTIDO'!$C$60:$N$60</c:f>
              <c:numCache>
                <c:formatCode>0.00%</c:formatCode>
                <c:ptCount val="12"/>
                <c:pt idx="0">
                  <c:v>5.7142857142857141E-2</c:v>
                </c:pt>
                <c:pt idx="1">
                  <c:v>0.31428571428571428</c:v>
                </c:pt>
                <c:pt idx="2">
                  <c:v>0.37142857142857144</c:v>
                </c:pt>
                <c:pt idx="3">
                  <c:v>0</c:v>
                </c:pt>
                <c:pt idx="4">
                  <c:v>0</c:v>
                </c:pt>
                <c:pt idx="5">
                  <c:v>8.5714285714285715E-2</c:v>
                </c:pt>
                <c:pt idx="6">
                  <c:v>0.17142857142857143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'07.08 KOTIDO-KABONG'!$AE$9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'07.08 KOTIDO-KABONG'!$R$10:$R$21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'07.08 KOTIDO-KABONG'!$AE$10:$AE$21</c:f>
              <c:numCache>
                <c:formatCode>0</c:formatCode>
                <c:ptCount val="12"/>
                <c:pt idx="0">
                  <c:v>10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8</c:v>
                </c:pt>
                <c:pt idx="9">
                  <c:v>2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'07.08 KOTIDO-KABONG'!$AF$9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'07.08 KOTIDO-KABONG'!$R$10:$R$21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'07.08 KOTIDO-KABONG'!$AF$10:$AF$21</c:f>
              <c:numCache>
                <c:formatCode>0</c:formatCode>
                <c:ptCount val="12"/>
                <c:pt idx="0">
                  <c:v>13</c:v>
                </c:pt>
                <c:pt idx="1">
                  <c:v>6</c:v>
                </c:pt>
                <c:pt idx="2">
                  <c:v>7</c:v>
                </c:pt>
                <c:pt idx="3">
                  <c:v>6</c:v>
                </c:pt>
                <c:pt idx="4">
                  <c:v>4</c:v>
                </c:pt>
                <c:pt idx="5">
                  <c:v>5</c:v>
                </c:pt>
                <c:pt idx="6">
                  <c:v>2</c:v>
                </c:pt>
                <c:pt idx="7">
                  <c:v>1</c:v>
                </c:pt>
                <c:pt idx="8">
                  <c:v>11</c:v>
                </c:pt>
                <c:pt idx="9">
                  <c:v>7</c:v>
                </c:pt>
                <c:pt idx="10">
                  <c:v>11</c:v>
                </c:pt>
                <c:pt idx="11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827712"/>
        <c:axId val="81838080"/>
      </c:lineChart>
      <c:catAx>
        <c:axId val="818277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838080"/>
        <c:crosses val="autoZero"/>
        <c:auto val="1"/>
        <c:lblAlgn val="ctr"/>
        <c:lblOffset val="100"/>
        <c:noMultiLvlLbl val="0"/>
      </c:catAx>
      <c:valAx>
        <c:axId val="818380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82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'07.08 KOTIDO-KABONG'!$C$9:$N$9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'07.08 KOTIDO-KABONG'!$C$59:$N$59</c:f>
              <c:numCache>
                <c:formatCode>0.0%</c:formatCode>
                <c:ptCount val="12"/>
                <c:pt idx="0">
                  <c:v>7.0588235294117646E-2</c:v>
                </c:pt>
                <c:pt idx="1">
                  <c:v>0.2</c:v>
                </c:pt>
                <c:pt idx="2">
                  <c:v>0.17647058823529413</c:v>
                </c:pt>
                <c:pt idx="3">
                  <c:v>1.1764705882352941E-2</c:v>
                </c:pt>
                <c:pt idx="4">
                  <c:v>0</c:v>
                </c:pt>
                <c:pt idx="5">
                  <c:v>2.3529411764705882E-2</c:v>
                </c:pt>
                <c:pt idx="6">
                  <c:v>9.4117647058823528E-2</c:v>
                </c:pt>
                <c:pt idx="7">
                  <c:v>4.7058823529411764E-2</c:v>
                </c:pt>
                <c:pt idx="8">
                  <c:v>0</c:v>
                </c:pt>
                <c:pt idx="9">
                  <c:v>0</c:v>
                </c:pt>
                <c:pt idx="10">
                  <c:v>0.37647058823529411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'07.08 KOTIDO-KABONG'!$C$9:$N$9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'07.08 KOTIDO-KABONG'!$C$60:$N$60</c:f>
              <c:numCache>
                <c:formatCode>0.00%</c:formatCode>
                <c:ptCount val="12"/>
                <c:pt idx="0">
                  <c:v>0.11320754716981132</c:v>
                </c:pt>
                <c:pt idx="1">
                  <c:v>0.32075471698113206</c:v>
                </c:pt>
                <c:pt idx="2">
                  <c:v>0.28301886792452829</c:v>
                </c:pt>
                <c:pt idx="3">
                  <c:v>1.8867924528301886E-2</c:v>
                </c:pt>
                <c:pt idx="4">
                  <c:v>0</c:v>
                </c:pt>
                <c:pt idx="5">
                  <c:v>3.7735849056603772E-2</c:v>
                </c:pt>
                <c:pt idx="6">
                  <c:v>0.15094339622641509</c:v>
                </c:pt>
                <c:pt idx="7">
                  <c:v>7.5471698113207544E-2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'08.08 KABONG-KOTIDO'!$AE$9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'08.08 KABONG-KOTIDO'!$R$10:$R$21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'08.08 KABONG-KOTIDO'!$AE$10:$AE$21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'08.08 KABONG-KOTIDO'!$AF$9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'08.08 KABONG-KOTIDO'!$R$10:$R$21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'08.08 KABONG-KOTIDO'!$AF$10:$AF$21</c:f>
              <c:numCache>
                <c:formatCode>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  <c:pt idx="4">
                  <c:v>5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5</c:v>
                </c:pt>
                <c:pt idx="10">
                  <c:v>4</c:v>
                </c:pt>
                <c:pt idx="11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215296"/>
        <c:axId val="82217216"/>
      </c:lineChart>
      <c:catAx>
        <c:axId val="822152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2217216"/>
        <c:crosses val="autoZero"/>
        <c:auto val="1"/>
        <c:lblAlgn val="ctr"/>
        <c:lblOffset val="100"/>
        <c:noMultiLvlLbl val="0"/>
      </c:catAx>
      <c:valAx>
        <c:axId val="822172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221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'08.08 KABONG-KOTIDO'!$C$9:$N$9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'08.08 KABONG-KOTIDO'!$C$59:$N$59</c:f>
              <c:numCache>
                <c:formatCode>0.0%</c:formatCode>
                <c:ptCount val="12"/>
                <c:pt idx="0">
                  <c:v>0</c:v>
                </c:pt>
                <c:pt idx="1">
                  <c:v>0.24528301886792453</c:v>
                </c:pt>
                <c:pt idx="2">
                  <c:v>0.13207547169811321</c:v>
                </c:pt>
                <c:pt idx="3">
                  <c:v>1.8867924528301886E-2</c:v>
                </c:pt>
                <c:pt idx="4">
                  <c:v>0</c:v>
                </c:pt>
                <c:pt idx="5">
                  <c:v>0</c:v>
                </c:pt>
                <c:pt idx="6">
                  <c:v>0.11320754716981132</c:v>
                </c:pt>
                <c:pt idx="7">
                  <c:v>1.8867924528301886E-2</c:v>
                </c:pt>
                <c:pt idx="8">
                  <c:v>0</c:v>
                </c:pt>
                <c:pt idx="9">
                  <c:v>0</c:v>
                </c:pt>
                <c:pt idx="10">
                  <c:v>0.47169811320754718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'08.08 KABONG-KOTIDO'!$S$9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'08.08 KABONG-KOTIDO'!$R$10:$R$21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'08.08 KABONG-KOTIDO'!$S$10:$S$21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'08.08 KABONG-KOTIDO'!$T$9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'08.08 KABONG-KOTIDO'!$R$10:$R$21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'08.08 KABONG-KOTIDO'!$T$10:$T$21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3</c:v>
                </c:pt>
                <c:pt idx="7">
                  <c:v>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'08.08 KABONG-KOTIDO'!$U$9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'08.08 KABONG-KOTIDO'!$U$10:$U$21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'08.08 KABONG-KOTIDO'!$V$9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'08.08 KABONG-KOTIDO'!$V$10:$V$21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'08.08 KABONG-KOTIDO'!$W$9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'08.08 KABONG-KOTIDO'!$W$10:$W$21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'08.08 KABONG-KOTIDO'!$X$9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'08.08 KABONG-KOTIDO'!$X$10:$X$21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'08.08 KABONG-KOTIDO'!$Y$9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'08.08 KABONG-KOTIDO'!$Y$10:$Y$21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'08.08 KABONG-KOTIDO'!$Z$9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'08.08 KABONG-KOTIDO'!$Z$10:$Z$21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'08.08 KABONG-KOTIDO'!$AA$9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'08.08 KABONG-KOTIDO'!$AA$10:$AA$21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'08.08 KABONG-KOTIDO'!$AB$9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'08.08 KABONG-KOTIDO'!$AB$10:$AB$21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'08.08 KABONG-KOTIDO'!$AC$9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'08.08 KABONG-KOTIDO'!$AC$10:$AC$21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5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'08.08 KABONG-KOTIDO'!$AD$9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'08.08 KABONG-KOTIDO'!$AD$10:$AD$21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393344"/>
        <c:axId val="82407424"/>
      </c:lineChart>
      <c:catAx>
        <c:axId val="82393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2407424"/>
        <c:crosses val="autoZero"/>
        <c:auto val="1"/>
        <c:lblAlgn val="ctr"/>
        <c:lblOffset val="100"/>
        <c:noMultiLvlLbl val="0"/>
      </c:catAx>
      <c:valAx>
        <c:axId val="8240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239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'08.08 KABONG-KOTIDO'!$C$9:$N$9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'08.08 KABONG-KOTIDO'!$C$60:$N$60</c:f>
              <c:numCache>
                <c:formatCode>0.00%</c:formatCode>
                <c:ptCount val="12"/>
                <c:pt idx="0">
                  <c:v>0</c:v>
                </c:pt>
                <c:pt idx="1">
                  <c:v>0.4642857142857143</c:v>
                </c:pt>
                <c:pt idx="2">
                  <c:v>0.25</c:v>
                </c:pt>
                <c:pt idx="3">
                  <c:v>3.5714285714285712E-2</c:v>
                </c:pt>
                <c:pt idx="4">
                  <c:v>0</c:v>
                </c:pt>
                <c:pt idx="5">
                  <c:v>0</c:v>
                </c:pt>
                <c:pt idx="6">
                  <c:v>0.21428571428571427</c:v>
                </c:pt>
                <c:pt idx="7">
                  <c:v>3.5714285714285712E-2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'08.08 KITIDO-KABONG 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'08.08 KITIDO-KABONG 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'08.08 KITIDO-KABONG '!$AE$10:$AE$21</c:f>
              <c:numCache>
                <c:formatCode>0</c:formatCode>
                <c:ptCount val="12"/>
                <c:pt idx="0">
                  <c:v>5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4</c:v>
                </c:pt>
                <c:pt idx="10">
                  <c:v>6</c:v>
                </c:pt>
                <c:pt idx="11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197-4E23-8E9B-4B6E5122BC0F}"/>
            </c:ext>
          </c:extLst>
        </c:ser>
        <c:ser>
          <c:idx val="1"/>
          <c:order val="1"/>
          <c:tx>
            <c:strRef>
              <c:f>'08.08 KITIDO-KABONG 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'08.08 KITIDO-KABONG 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'08.08 KITIDO-KABONG '!$AF$10:$AF$21</c:f>
              <c:numCache>
                <c:formatCode>0</c:formatCode>
                <c:ptCount val="12"/>
                <c:pt idx="0">
                  <c:v>8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6</c:v>
                </c:pt>
                <c:pt idx="5">
                  <c:v>4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  <c:pt idx="9">
                  <c:v>6</c:v>
                </c:pt>
                <c:pt idx="10">
                  <c:v>9</c:v>
                </c:pt>
                <c:pt idx="11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197-4E23-8E9B-4B6E5122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050432"/>
        <c:axId val="76502144"/>
      </c:lineChart>
      <c:catAx>
        <c:axId val="820504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6502144"/>
        <c:crosses val="autoZero"/>
        <c:auto val="1"/>
        <c:lblAlgn val="ctr"/>
        <c:lblOffset val="100"/>
        <c:noMultiLvlLbl val="0"/>
      </c:catAx>
      <c:valAx>
        <c:axId val="765021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205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1A7-46D9-A696-CA3E5C74FA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1A7-46D9-A696-CA3E5C74FA8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1A7-46D9-A696-CA3E5C74FA8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1A7-46D9-A696-CA3E5C74FA8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1A7-46D9-A696-CA3E5C74FA8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1A7-46D9-A696-CA3E5C74FA8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1A7-46D9-A696-CA3E5C74FA8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1A7-46D9-A696-CA3E5C74FA8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1A7-46D9-A696-CA3E5C74FA8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1A7-46D9-A696-CA3E5C74FA8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1A7-46D9-A696-CA3E5C74FA8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1A7-46D9-A696-CA3E5C74FA8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1A7-46D9-A696-CA3E5C74FA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'08.08 KITIDO-KABONG 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'08.08 KITIDO-KABONG '!$C$59:$N$59</c:f>
              <c:numCache>
                <c:formatCode>0.0%</c:formatCode>
                <c:ptCount val="12"/>
                <c:pt idx="0">
                  <c:v>1.7241379310344827E-2</c:v>
                </c:pt>
                <c:pt idx="1">
                  <c:v>0.22413793103448276</c:v>
                </c:pt>
                <c:pt idx="2">
                  <c:v>0.13793103448275862</c:v>
                </c:pt>
                <c:pt idx="3">
                  <c:v>0</c:v>
                </c:pt>
                <c:pt idx="4">
                  <c:v>0</c:v>
                </c:pt>
                <c:pt idx="5">
                  <c:v>1.7241379310344827E-2</c:v>
                </c:pt>
                <c:pt idx="6">
                  <c:v>0.13793103448275862</c:v>
                </c:pt>
                <c:pt idx="7">
                  <c:v>1.7241379310344827E-2</c:v>
                </c:pt>
                <c:pt idx="8">
                  <c:v>0</c:v>
                </c:pt>
                <c:pt idx="9">
                  <c:v>0</c:v>
                </c:pt>
                <c:pt idx="10">
                  <c:v>0.44827586206896552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1A7-46D9-A696-CA3E5C74F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'08.08 KITIDO-KABONG 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'08.08 KITIDO-KABONG 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'08.08 KITIDO-KABONG '!$S$10:$S$21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FB-4B94-A9D6-D506E43F7993}"/>
            </c:ext>
          </c:extLst>
        </c:ser>
        <c:ser>
          <c:idx val="1"/>
          <c:order val="1"/>
          <c:tx>
            <c:strRef>
              <c:f>'08.08 KITIDO-KABONG 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'08.08 KITIDO-KABONG 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'08.08 KITIDO-KABONG '!$T$10:$T$21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FB-4B94-A9D6-D506E43F7993}"/>
            </c:ext>
          </c:extLst>
        </c:ser>
        <c:ser>
          <c:idx val="2"/>
          <c:order val="2"/>
          <c:tx>
            <c:strRef>
              <c:f>'08.08 KITIDO-KABONG 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'08.08 KITIDO-KABONG '!$U$10:$U$21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FB-4B94-A9D6-D506E43F7993}"/>
            </c:ext>
          </c:extLst>
        </c:ser>
        <c:ser>
          <c:idx val="3"/>
          <c:order val="3"/>
          <c:tx>
            <c:strRef>
              <c:f>'08.08 KITIDO-KABONG 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'08.08 KITIDO-KABONG 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FB-4B94-A9D6-D506E43F7993}"/>
            </c:ext>
          </c:extLst>
        </c:ser>
        <c:ser>
          <c:idx val="4"/>
          <c:order val="4"/>
          <c:tx>
            <c:strRef>
              <c:f>'08.08 KITIDO-KABONG 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'08.08 KITIDO-KABONG 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FB-4B94-A9D6-D506E43F7993}"/>
            </c:ext>
          </c:extLst>
        </c:ser>
        <c:ser>
          <c:idx val="5"/>
          <c:order val="5"/>
          <c:tx>
            <c:strRef>
              <c:f>'08.08 KITIDO-KABONG 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'08.08 KITIDO-KABONG 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FB-4B94-A9D6-D506E43F7993}"/>
            </c:ext>
          </c:extLst>
        </c:ser>
        <c:ser>
          <c:idx val="6"/>
          <c:order val="6"/>
          <c:tx>
            <c:strRef>
              <c:f>'08.08 KITIDO-KABONG 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'08.08 KITIDO-KABONG '!$Y$10:$Y$21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FB-4B94-A9D6-D506E43F7993}"/>
            </c:ext>
          </c:extLst>
        </c:ser>
        <c:ser>
          <c:idx val="7"/>
          <c:order val="7"/>
          <c:tx>
            <c:strRef>
              <c:f>'08.08 KITIDO-KABONG 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'08.08 KITIDO-KABONG 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FB-4B94-A9D6-D506E43F7993}"/>
            </c:ext>
          </c:extLst>
        </c:ser>
        <c:ser>
          <c:idx val="8"/>
          <c:order val="8"/>
          <c:tx>
            <c:strRef>
              <c:f>'08.08 KITIDO-KABONG 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'08.08 KITIDO-KABONG 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FB-4B94-A9D6-D506E43F7993}"/>
            </c:ext>
          </c:extLst>
        </c:ser>
        <c:ser>
          <c:idx val="9"/>
          <c:order val="9"/>
          <c:tx>
            <c:strRef>
              <c:f>'08.08 KITIDO-KABONG 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'08.08 KITIDO-KABONG 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FB-4B94-A9D6-D506E43F7993}"/>
            </c:ext>
          </c:extLst>
        </c:ser>
        <c:ser>
          <c:idx val="10"/>
          <c:order val="10"/>
          <c:tx>
            <c:strRef>
              <c:f>'08.08 KITIDO-KABONG 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'08.08 KITIDO-KABONG '!$AC$10:$AC$21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4</c:v>
                </c:pt>
                <c:pt idx="6">
                  <c:v>3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FB-4B94-A9D6-D506E43F7993}"/>
            </c:ext>
          </c:extLst>
        </c:ser>
        <c:ser>
          <c:idx val="11"/>
          <c:order val="11"/>
          <c:tx>
            <c:strRef>
              <c:f>'08.08 KITIDO-KABONG 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'08.08 KITIDO-KABONG 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FB-4B94-A9D6-D506E43F7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608640"/>
        <c:axId val="76610176"/>
      </c:lineChart>
      <c:catAx>
        <c:axId val="7660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6610176"/>
        <c:crosses val="autoZero"/>
        <c:auto val="1"/>
        <c:lblAlgn val="ctr"/>
        <c:lblOffset val="100"/>
        <c:noMultiLvlLbl val="0"/>
      </c:catAx>
      <c:valAx>
        <c:axId val="7661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660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551-40C5-BC47-6518821262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551-40C5-BC47-6518821262A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551-40C5-BC47-6518821262A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551-40C5-BC47-6518821262A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551-40C5-BC47-6518821262A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551-40C5-BC47-6518821262A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551-40C5-BC47-6518821262A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551-40C5-BC47-6518821262A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551-40C5-BC47-6518821262A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551-40C5-BC47-6518821262A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551-40C5-BC47-6518821262A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551-40C5-BC47-6518821262A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551-40C5-BC47-6518821262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'08.08 KITIDO-KABONG 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'08.08 KITIDO-KABONG '!$C$60:$N$60</c:f>
              <c:numCache>
                <c:formatCode>0.00%</c:formatCode>
                <c:ptCount val="12"/>
                <c:pt idx="0">
                  <c:v>3.125E-2</c:v>
                </c:pt>
                <c:pt idx="1">
                  <c:v>0.40625</c:v>
                </c:pt>
                <c:pt idx="2">
                  <c:v>0.25</c:v>
                </c:pt>
                <c:pt idx="3">
                  <c:v>0</c:v>
                </c:pt>
                <c:pt idx="4">
                  <c:v>0</c:v>
                </c:pt>
                <c:pt idx="5">
                  <c:v>3.125E-2</c:v>
                </c:pt>
                <c:pt idx="6">
                  <c:v>0.25</c:v>
                </c:pt>
                <c:pt idx="7">
                  <c:v>3.125E-2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551-40C5-BC47-651882126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'9.08 KABONG-KOTIDO-24h'!$AE$9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'9.08 KABONG-KOTIDO-24h'!$R$10:$R$33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'9.08 KABONG-KOTIDO-24h'!$AE$10:$AE$33</c:f>
              <c:numCache>
                <c:formatCode>0</c:formatCode>
                <c:ptCount val="24"/>
                <c:pt idx="0">
                  <c:v>6</c:v>
                </c:pt>
                <c:pt idx="1">
                  <c:v>3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14</c:v>
                </c:pt>
                <c:pt idx="13">
                  <c:v>7</c:v>
                </c:pt>
                <c:pt idx="14">
                  <c:v>3</c:v>
                </c:pt>
                <c:pt idx="15">
                  <c:v>3</c:v>
                </c:pt>
                <c:pt idx="16">
                  <c:v>1</c:v>
                </c:pt>
                <c:pt idx="17">
                  <c:v>1</c:v>
                </c:pt>
                <c:pt idx="18">
                  <c:v>4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'9.08 KABONG-KOTIDO-24h'!$AF$9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'9.08 KABONG-KOTIDO-24h'!$R$10:$R$33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'9.08 KABONG-KOTIDO-24h'!$AF$10:$AF$33</c:f>
              <c:numCache>
                <c:formatCode>0</c:formatCode>
                <c:ptCount val="24"/>
                <c:pt idx="0">
                  <c:v>9</c:v>
                </c:pt>
                <c:pt idx="1">
                  <c:v>6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6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6</c:v>
                </c:pt>
                <c:pt idx="11">
                  <c:v>6</c:v>
                </c:pt>
                <c:pt idx="12">
                  <c:v>17</c:v>
                </c:pt>
                <c:pt idx="13">
                  <c:v>11</c:v>
                </c:pt>
                <c:pt idx="14">
                  <c:v>8</c:v>
                </c:pt>
                <c:pt idx="15">
                  <c:v>6</c:v>
                </c:pt>
                <c:pt idx="16">
                  <c:v>4</c:v>
                </c:pt>
                <c:pt idx="17">
                  <c:v>5</c:v>
                </c:pt>
                <c:pt idx="18">
                  <c:v>8</c:v>
                </c:pt>
                <c:pt idx="19">
                  <c:v>6</c:v>
                </c:pt>
                <c:pt idx="20">
                  <c:v>6</c:v>
                </c:pt>
                <c:pt idx="21">
                  <c:v>7</c:v>
                </c:pt>
                <c:pt idx="22">
                  <c:v>9</c:v>
                </c:pt>
                <c:pt idx="23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143296"/>
        <c:axId val="83149568"/>
      </c:lineChart>
      <c:catAx>
        <c:axId val="831432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3149568"/>
        <c:crosses val="autoZero"/>
        <c:auto val="1"/>
        <c:lblAlgn val="ctr"/>
        <c:lblOffset val="100"/>
        <c:noMultiLvlLbl val="0"/>
      </c:catAx>
      <c:valAx>
        <c:axId val="831495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314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'9.08 KABONG-KOTIDO-24h'!$C$9:$N$9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'9.08 KABONG-KOTIDO-24h'!$C$107:$N$107</c:f>
              <c:numCache>
                <c:formatCode>0.0%</c:formatCode>
                <c:ptCount val="12"/>
                <c:pt idx="0">
                  <c:v>1.9736842105263157E-2</c:v>
                </c:pt>
                <c:pt idx="1">
                  <c:v>0.19078947368421054</c:v>
                </c:pt>
                <c:pt idx="2">
                  <c:v>0.17105263157894737</c:v>
                </c:pt>
                <c:pt idx="3">
                  <c:v>0</c:v>
                </c:pt>
                <c:pt idx="4">
                  <c:v>0</c:v>
                </c:pt>
                <c:pt idx="5">
                  <c:v>1.3157894736842105E-2</c:v>
                </c:pt>
                <c:pt idx="6">
                  <c:v>0.15789473684210525</c:v>
                </c:pt>
                <c:pt idx="7">
                  <c:v>4.6052631578947366E-2</c:v>
                </c:pt>
                <c:pt idx="8">
                  <c:v>6.5789473684210523E-3</c:v>
                </c:pt>
                <c:pt idx="9">
                  <c:v>0</c:v>
                </c:pt>
                <c:pt idx="10">
                  <c:v>0.39473684210526316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'9.08 KABONG-KOTIDO-24h'!$C$9:$N$9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'9.08 KABONG-KOTIDO-24h'!$C$108:$N$108</c:f>
              <c:numCache>
                <c:formatCode>0.00%</c:formatCode>
                <c:ptCount val="12"/>
                <c:pt idx="0">
                  <c:v>3.2608695652173912E-2</c:v>
                </c:pt>
                <c:pt idx="1">
                  <c:v>0.31521739130434784</c:v>
                </c:pt>
                <c:pt idx="2">
                  <c:v>0.28260869565217389</c:v>
                </c:pt>
                <c:pt idx="3">
                  <c:v>0</c:v>
                </c:pt>
                <c:pt idx="4">
                  <c:v>0</c:v>
                </c:pt>
                <c:pt idx="5">
                  <c:v>2.1739130434782608E-2</c:v>
                </c:pt>
                <c:pt idx="6">
                  <c:v>0.2608695652173913</c:v>
                </c:pt>
                <c:pt idx="7">
                  <c:v>7.6086956521739135E-2</c:v>
                </c:pt>
                <c:pt idx="8">
                  <c:v>1.0869565217391304E-2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'9.08 KOTIDO-KABONG-24h'!$AE$9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'9.08 KOTIDO-KABONG-24h'!$R$10:$R$33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'9.08 KOTIDO-KABONG-24h'!$AE$10:$AE$33</c:f>
              <c:numCache>
                <c:formatCode>0</c:formatCode>
                <c:ptCount val="24"/>
                <c:pt idx="0">
                  <c:v>4</c:v>
                </c:pt>
                <c:pt idx="1">
                  <c:v>6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7</c:v>
                </c:pt>
                <c:pt idx="13">
                  <c:v>8</c:v>
                </c:pt>
                <c:pt idx="14">
                  <c:v>4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'9.08 KOTIDO-KABONG-24h'!$AF$9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'9.08 KOTIDO-KABONG-24h'!$R$10:$R$33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'9.08 KOTIDO-KABONG-24h'!$AF$10:$AF$33</c:f>
              <c:numCache>
                <c:formatCode>0</c:formatCode>
                <c:ptCount val="24"/>
                <c:pt idx="0">
                  <c:v>7</c:v>
                </c:pt>
                <c:pt idx="1">
                  <c:v>8</c:v>
                </c:pt>
                <c:pt idx="2">
                  <c:v>6</c:v>
                </c:pt>
                <c:pt idx="3">
                  <c:v>5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6</c:v>
                </c:pt>
                <c:pt idx="10">
                  <c:v>4</c:v>
                </c:pt>
                <c:pt idx="11">
                  <c:v>5</c:v>
                </c:pt>
                <c:pt idx="12">
                  <c:v>11</c:v>
                </c:pt>
                <c:pt idx="13">
                  <c:v>11</c:v>
                </c:pt>
                <c:pt idx="14">
                  <c:v>10</c:v>
                </c:pt>
                <c:pt idx="15">
                  <c:v>5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081856"/>
        <c:axId val="81083776"/>
      </c:lineChart>
      <c:catAx>
        <c:axId val="810818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083776"/>
        <c:crosses val="autoZero"/>
        <c:auto val="1"/>
        <c:lblAlgn val="ctr"/>
        <c:lblOffset val="100"/>
        <c:noMultiLvlLbl val="0"/>
      </c:catAx>
      <c:valAx>
        <c:axId val="810837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08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'9.08 KOTIDO-KABONG-24h'!$C$9:$N$9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'9.08 KOTIDO-KABONG-24h'!$C$107:$N$107</c:f>
              <c:numCache>
                <c:formatCode>0.0%</c:formatCode>
                <c:ptCount val="12"/>
                <c:pt idx="0">
                  <c:v>1.8691588785046728E-2</c:v>
                </c:pt>
                <c:pt idx="1">
                  <c:v>0.18691588785046728</c:v>
                </c:pt>
                <c:pt idx="2">
                  <c:v>0.14953271028037382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5.6074766355140186E-2</c:v>
                </c:pt>
                <c:pt idx="7">
                  <c:v>8.4112149532710276E-2</c:v>
                </c:pt>
                <c:pt idx="8">
                  <c:v>0</c:v>
                </c:pt>
                <c:pt idx="9">
                  <c:v>0</c:v>
                </c:pt>
                <c:pt idx="10">
                  <c:v>0.50467289719626163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'9.08 KOTIDO-KABONG-24h'!$C$9:$N$9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'9.08 KOTIDO-KABONG-24h'!$C$108:$N$108</c:f>
              <c:numCache>
                <c:formatCode>0.00%</c:formatCode>
                <c:ptCount val="12"/>
                <c:pt idx="0">
                  <c:v>3.7735849056603772E-2</c:v>
                </c:pt>
                <c:pt idx="1">
                  <c:v>0.37735849056603776</c:v>
                </c:pt>
                <c:pt idx="2">
                  <c:v>0.30188679245283018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0.11320754716981132</c:v>
                </c:pt>
                <c:pt idx="7">
                  <c:v>0.16981132075471697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'10.08 KABONG-KOTIDO-24h'!$AE$9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'10.08 KABONG-KOTIDO-24h'!$R$10:$R$33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'10.08 KABONG-KOTIDO-24h'!$AE$10:$AE$33</c:f>
              <c:numCache>
                <c:formatCode>0</c:formatCode>
                <c:ptCount val="24"/>
                <c:pt idx="0">
                  <c:v>6</c:v>
                </c:pt>
                <c:pt idx="1">
                  <c:v>3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6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'10.08 KABONG-KOTIDO-24h'!$AF$9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'10.08 KABONG-KOTIDO-24h'!$R$10:$R$33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'10.08 KABONG-KOTIDO-24h'!$AF$10:$AF$33</c:f>
              <c:numCache>
                <c:formatCode>0</c:formatCode>
                <c:ptCount val="24"/>
                <c:pt idx="0">
                  <c:v>9</c:v>
                </c:pt>
                <c:pt idx="1">
                  <c:v>6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6</c:v>
                </c:pt>
                <c:pt idx="7">
                  <c:v>2</c:v>
                </c:pt>
                <c:pt idx="8">
                  <c:v>4</c:v>
                </c:pt>
                <c:pt idx="9">
                  <c:v>4</c:v>
                </c:pt>
                <c:pt idx="10">
                  <c:v>6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6</c:v>
                </c:pt>
                <c:pt idx="15">
                  <c:v>5</c:v>
                </c:pt>
                <c:pt idx="16">
                  <c:v>2</c:v>
                </c:pt>
                <c:pt idx="17">
                  <c:v>3</c:v>
                </c:pt>
                <c:pt idx="18">
                  <c:v>2</c:v>
                </c:pt>
                <c:pt idx="19">
                  <c:v>0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907904"/>
        <c:axId val="82996608"/>
      </c:lineChart>
      <c:catAx>
        <c:axId val="829079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2996608"/>
        <c:crosses val="autoZero"/>
        <c:auto val="1"/>
        <c:lblAlgn val="ctr"/>
        <c:lblOffset val="100"/>
        <c:noMultiLvlLbl val="0"/>
      </c:catAx>
      <c:valAx>
        <c:axId val="829966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290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'10.08 KABONG-KOTIDO-24h'!$C$9:$N$9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'10.08 KABONG-KOTIDO-24h'!$C$107:$N$107</c:f>
              <c:numCache>
                <c:formatCode>0.0%</c:formatCode>
                <c:ptCount val="12"/>
                <c:pt idx="0">
                  <c:v>1.020408163265306E-2</c:v>
                </c:pt>
                <c:pt idx="1">
                  <c:v>0.18367346938775511</c:v>
                </c:pt>
                <c:pt idx="2">
                  <c:v>0.17346938775510204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8.1632653061224483E-2</c:v>
                </c:pt>
                <c:pt idx="7">
                  <c:v>5.1020408163265307E-2</c:v>
                </c:pt>
                <c:pt idx="8">
                  <c:v>0</c:v>
                </c:pt>
                <c:pt idx="9">
                  <c:v>0</c:v>
                </c:pt>
                <c:pt idx="10">
                  <c:v>0.5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'10.08 KABONG-KOTIDO-24h'!$C$9:$N$9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'10.08 KABONG-KOTIDO-24h'!$C$108:$N$108</c:f>
              <c:numCache>
                <c:formatCode>0.00%</c:formatCode>
                <c:ptCount val="12"/>
                <c:pt idx="0">
                  <c:v>2.0408163265306121E-2</c:v>
                </c:pt>
                <c:pt idx="1">
                  <c:v>0.36734693877551022</c:v>
                </c:pt>
                <c:pt idx="2">
                  <c:v>0.34693877551020408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0.16326530612244897</c:v>
                </c:pt>
                <c:pt idx="7">
                  <c:v>0.10204081632653061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'10.08 KOTIDO-KABONG-24h'!$AE$9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'10.08 KOTIDO-KABONG-24h'!$R$10:$R$33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'10.08 KOTIDO-KABONG-24h'!$AE$10:$AE$33</c:f>
              <c:numCache>
                <c:formatCode>0</c:formatCode>
                <c:ptCount val="24"/>
                <c:pt idx="0">
                  <c:v>4</c:v>
                </c:pt>
                <c:pt idx="1">
                  <c:v>6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4</c:v>
                </c:pt>
                <c:pt idx="13">
                  <c:v>6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'10.08 KOTIDO-KABONG-24h'!$AF$9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'10.08 KOTIDO-KABONG-24h'!$R$10:$R$33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'10.08 KOTIDO-KABONG-24h'!$AF$10:$AF$33</c:f>
              <c:numCache>
                <c:formatCode>0</c:formatCode>
                <c:ptCount val="24"/>
                <c:pt idx="0">
                  <c:v>7</c:v>
                </c:pt>
                <c:pt idx="1">
                  <c:v>8</c:v>
                </c:pt>
                <c:pt idx="2">
                  <c:v>6</c:v>
                </c:pt>
                <c:pt idx="3">
                  <c:v>5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6</c:v>
                </c:pt>
                <c:pt idx="10">
                  <c:v>4</c:v>
                </c:pt>
                <c:pt idx="11">
                  <c:v>5</c:v>
                </c:pt>
                <c:pt idx="12">
                  <c:v>7</c:v>
                </c:pt>
                <c:pt idx="13">
                  <c:v>9</c:v>
                </c:pt>
                <c:pt idx="14">
                  <c:v>7</c:v>
                </c:pt>
                <c:pt idx="15">
                  <c:v>5</c:v>
                </c:pt>
                <c:pt idx="16">
                  <c:v>2</c:v>
                </c:pt>
                <c:pt idx="17">
                  <c:v>3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3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307520"/>
        <c:axId val="83330176"/>
      </c:lineChart>
      <c:catAx>
        <c:axId val="833075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3330176"/>
        <c:crosses val="autoZero"/>
        <c:auto val="1"/>
        <c:lblAlgn val="ctr"/>
        <c:lblOffset val="100"/>
        <c:noMultiLvlLbl val="0"/>
      </c:catAx>
      <c:valAx>
        <c:axId val="833301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330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'10.08 KOTIDO-KABONG-24h'!$C$9:$N$9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'10.08 KOTIDO-KABONG-24h'!$C$107:$N$107</c:f>
              <c:numCache>
                <c:formatCode>0.0%</c:formatCode>
                <c:ptCount val="12"/>
                <c:pt idx="0">
                  <c:v>1.9801980198019802E-2</c:v>
                </c:pt>
                <c:pt idx="1">
                  <c:v>0.21782178217821782</c:v>
                </c:pt>
                <c:pt idx="2">
                  <c:v>0.13861386138613863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1.9801980198019802E-2</c:v>
                </c:pt>
                <c:pt idx="7">
                  <c:v>7.9207920792079209E-2</c:v>
                </c:pt>
                <c:pt idx="8">
                  <c:v>0</c:v>
                </c:pt>
                <c:pt idx="9">
                  <c:v>0</c:v>
                </c:pt>
                <c:pt idx="10">
                  <c:v>0.52475247524752477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'10.08 KOTIDO-KABONG-24h'!$C$9:$N$9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'10.08 KOTIDO-KABONG-24h'!$C$108:$N$108</c:f>
              <c:numCache>
                <c:formatCode>0.00%</c:formatCode>
                <c:ptCount val="12"/>
                <c:pt idx="0">
                  <c:v>4.1666666666666664E-2</c:v>
                </c:pt>
                <c:pt idx="1">
                  <c:v>0.45833333333333331</c:v>
                </c:pt>
                <c:pt idx="2">
                  <c:v>0.29166666666666669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4.1666666666666664E-2</c:v>
                </c:pt>
                <c:pt idx="7">
                  <c:v>0.16666666666666666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'11.08 KABONG-KOTITDO'!$AE$9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'11.08 KABONG-KOTITDO'!$R$10:$R$21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'11.08 KABONG-KOTITDO'!$AE$10:$AE$21</c:f>
              <c:numCache>
                <c:formatCode>0</c:formatCode>
                <c:ptCount val="12"/>
                <c:pt idx="0">
                  <c:v>14</c:v>
                </c:pt>
                <c:pt idx="1">
                  <c:v>8</c:v>
                </c:pt>
                <c:pt idx="2">
                  <c:v>1</c:v>
                </c:pt>
                <c:pt idx="3">
                  <c:v>5</c:v>
                </c:pt>
                <c:pt idx="4">
                  <c:v>5</c:v>
                </c:pt>
                <c:pt idx="5">
                  <c:v>2</c:v>
                </c:pt>
                <c:pt idx="6">
                  <c:v>5</c:v>
                </c:pt>
                <c:pt idx="7">
                  <c:v>4</c:v>
                </c:pt>
                <c:pt idx="8">
                  <c:v>1</c:v>
                </c:pt>
                <c:pt idx="9">
                  <c:v>8</c:v>
                </c:pt>
                <c:pt idx="10">
                  <c:v>6</c:v>
                </c:pt>
                <c:pt idx="11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02D-4D85-BEFA-2832599AF6B4}"/>
            </c:ext>
          </c:extLst>
        </c:ser>
        <c:ser>
          <c:idx val="1"/>
          <c:order val="1"/>
          <c:tx>
            <c:strRef>
              <c:f>'11.08 KABONG-KOTITDO'!$AF$9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'11.08 KABONG-KOTITDO'!$R$10:$R$21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'11.08 KABONG-KOTITDO'!$AF$10:$AF$21</c:f>
              <c:numCache>
                <c:formatCode>0</c:formatCode>
                <c:ptCount val="12"/>
                <c:pt idx="0">
                  <c:v>15</c:v>
                </c:pt>
                <c:pt idx="1">
                  <c:v>12</c:v>
                </c:pt>
                <c:pt idx="2">
                  <c:v>3</c:v>
                </c:pt>
                <c:pt idx="3">
                  <c:v>8</c:v>
                </c:pt>
                <c:pt idx="4">
                  <c:v>7</c:v>
                </c:pt>
                <c:pt idx="5">
                  <c:v>5</c:v>
                </c:pt>
                <c:pt idx="6">
                  <c:v>8</c:v>
                </c:pt>
                <c:pt idx="7">
                  <c:v>4</c:v>
                </c:pt>
                <c:pt idx="8">
                  <c:v>3</c:v>
                </c:pt>
                <c:pt idx="9">
                  <c:v>9</c:v>
                </c:pt>
                <c:pt idx="10">
                  <c:v>9</c:v>
                </c:pt>
                <c:pt idx="11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02D-4D85-BEFA-2832599AF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776640"/>
        <c:axId val="83778560"/>
      </c:lineChart>
      <c:catAx>
        <c:axId val="837766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3778560"/>
        <c:crosses val="autoZero"/>
        <c:auto val="1"/>
        <c:lblAlgn val="ctr"/>
        <c:lblOffset val="100"/>
        <c:noMultiLvlLbl val="0"/>
      </c:catAx>
      <c:valAx>
        <c:axId val="837785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377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857-4CD2-B6E2-DABD8D92BF8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857-4CD2-B6E2-DABD8D92BF8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857-4CD2-B6E2-DABD8D92BF8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857-4CD2-B6E2-DABD8D92BF8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857-4CD2-B6E2-DABD8D92BF8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857-4CD2-B6E2-DABD8D92BF8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857-4CD2-B6E2-DABD8D92BF8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857-4CD2-B6E2-DABD8D92BF8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857-4CD2-B6E2-DABD8D92BF8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857-4CD2-B6E2-DABD8D92BF8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857-4CD2-B6E2-DABD8D92BF8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857-4CD2-B6E2-DABD8D92BF8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857-4CD2-B6E2-DABD8D92BF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'11.08 KABONG-KOTITDO'!$C$9:$N$9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'11.08 KABONG-KOTITDO'!$C$59:$N$59</c:f>
              <c:numCache>
                <c:formatCode>0.0%</c:formatCode>
                <c:ptCount val="12"/>
                <c:pt idx="0">
                  <c:v>3.125E-2</c:v>
                </c:pt>
                <c:pt idx="1">
                  <c:v>0.19791666666666666</c:v>
                </c:pt>
                <c:pt idx="2">
                  <c:v>0.21875</c:v>
                </c:pt>
                <c:pt idx="3">
                  <c:v>0</c:v>
                </c:pt>
                <c:pt idx="4">
                  <c:v>0</c:v>
                </c:pt>
                <c:pt idx="5">
                  <c:v>2.0833333333333332E-2</c:v>
                </c:pt>
                <c:pt idx="6">
                  <c:v>0.17708333333333334</c:v>
                </c:pt>
                <c:pt idx="7">
                  <c:v>6.25E-2</c:v>
                </c:pt>
                <c:pt idx="8">
                  <c:v>0</c:v>
                </c:pt>
                <c:pt idx="9">
                  <c:v>0</c:v>
                </c:pt>
                <c:pt idx="10">
                  <c:v>0.29166666666666669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857-4CD2-B6E2-DABD8D92B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'11.08 KABONG-KOTITDO'!$S$9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'11.08 KABONG-KOTITDO'!$R$10:$R$21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'11.08 KABONG-KOTITDO'!$S$10:$S$21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E4E-45F8-9ED7-FE579631EF16}"/>
            </c:ext>
          </c:extLst>
        </c:ser>
        <c:ser>
          <c:idx val="1"/>
          <c:order val="1"/>
          <c:tx>
            <c:strRef>
              <c:f>'11.08 KABONG-KOTITDO'!$T$9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'11.08 KABONG-KOTITDO'!$R$10:$R$21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'11.08 KABONG-KOTITDO'!$T$10:$T$21</c:f>
              <c:numCache>
                <c:formatCode>0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4</c:v>
                </c:pt>
                <c:pt idx="7">
                  <c:v>1</c:v>
                </c:pt>
                <c:pt idx="8">
                  <c:v>0</c:v>
                </c:pt>
                <c:pt idx="9">
                  <c:v>4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E4E-45F8-9ED7-FE579631EF16}"/>
            </c:ext>
          </c:extLst>
        </c:ser>
        <c:ser>
          <c:idx val="2"/>
          <c:order val="2"/>
          <c:tx>
            <c:strRef>
              <c:f>'11.08 KABONG-KOTITDO'!$U$9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'11.08 KABONG-KOTITDO'!$U$10:$U$21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4E-45F8-9ED7-FE579631EF16}"/>
            </c:ext>
          </c:extLst>
        </c:ser>
        <c:ser>
          <c:idx val="3"/>
          <c:order val="3"/>
          <c:tx>
            <c:strRef>
              <c:f>'11.08 KABONG-KOTITDO'!$V$9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'11.08 KABONG-KOTITDO'!$V$10:$V$21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4E-45F8-9ED7-FE579631EF16}"/>
            </c:ext>
          </c:extLst>
        </c:ser>
        <c:ser>
          <c:idx val="4"/>
          <c:order val="4"/>
          <c:tx>
            <c:strRef>
              <c:f>'11.08 KABONG-KOTITDO'!$W$9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'11.08 KABONG-KOTITDO'!$W$10:$W$21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4E-45F8-9ED7-FE579631EF16}"/>
            </c:ext>
          </c:extLst>
        </c:ser>
        <c:ser>
          <c:idx val="5"/>
          <c:order val="5"/>
          <c:tx>
            <c:strRef>
              <c:f>'11.08 KABONG-KOTITDO'!$X$9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'11.08 KABONG-KOTITDO'!$X$10:$X$21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E4E-45F8-9ED7-FE579631EF16}"/>
            </c:ext>
          </c:extLst>
        </c:ser>
        <c:ser>
          <c:idx val="6"/>
          <c:order val="6"/>
          <c:tx>
            <c:strRef>
              <c:f>'11.08 KABONG-KOTITDO'!$Y$9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KABONG-KOTITDO'!$Y$10:$Y$21</c:f>
              <c:numCache>
                <c:formatCode>0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E4E-45F8-9ED7-FE579631EF16}"/>
            </c:ext>
          </c:extLst>
        </c:ser>
        <c:ser>
          <c:idx val="7"/>
          <c:order val="7"/>
          <c:tx>
            <c:strRef>
              <c:f>'11.08 KABONG-KOTITDO'!$Z$9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KABONG-KOTITDO'!$Z$10:$Z$21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E4E-45F8-9ED7-FE579631EF16}"/>
            </c:ext>
          </c:extLst>
        </c:ser>
        <c:ser>
          <c:idx val="8"/>
          <c:order val="8"/>
          <c:tx>
            <c:strRef>
              <c:f>'11.08 KABONG-KOTITDO'!$AA$9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KABONG-KOTITDO'!$AA$10:$AA$21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E4E-45F8-9ED7-FE579631EF16}"/>
            </c:ext>
          </c:extLst>
        </c:ser>
        <c:ser>
          <c:idx val="9"/>
          <c:order val="9"/>
          <c:tx>
            <c:strRef>
              <c:f>'11.08 KABONG-KOTITDO'!$AB$9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KABONG-KOTITDO'!$AB$10:$AB$21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E4E-45F8-9ED7-FE579631EF16}"/>
            </c:ext>
          </c:extLst>
        </c:ser>
        <c:ser>
          <c:idx val="10"/>
          <c:order val="10"/>
          <c:tx>
            <c:strRef>
              <c:f>'11.08 KABONG-KOTITDO'!$AC$9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KABONG-KOTITDO'!$AC$10:$AC$21</c:f>
              <c:numCache>
                <c:formatCode>0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E4E-45F8-9ED7-FE579631EF16}"/>
            </c:ext>
          </c:extLst>
        </c:ser>
        <c:ser>
          <c:idx val="11"/>
          <c:order val="11"/>
          <c:tx>
            <c:strRef>
              <c:f>'11.08 KABONG-KOTITDO'!$AD$9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KABONG-KOTITDO'!$AD$10:$AD$21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E4E-45F8-9ED7-FE579631E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856384"/>
        <c:axId val="83858176"/>
      </c:lineChart>
      <c:catAx>
        <c:axId val="8385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3858176"/>
        <c:crosses val="autoZero"/>
        <c:auto val="1"/>
        <c:lblAlgn val="ctr"/>
        <c:lblOffset val="100"/>
        <c:noMultiLvlLbl val="0"/>
      </c:catAx>
      <c:valAx>
        <c:axId val="8385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385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4C4-4119-9BB3-96C20D8507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4C4-4119-9BB3-96C20D85075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4C4-4119-9BB3-96C20D85075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4C4-4119-9BB3-96C20D85075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4C4-4119-9BB3-96C20D85075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4C4-4119-9BB3-96C20D85075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4C4-4119-9BB3-96C20D85075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4C4-4119-9BB3-96C20D85075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4C4-4119-9BB3-96C20D85075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4C4-4119-9BB3-96C20D85075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4C4-4119-9BB3-96C20D85075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4C4-4119-9BB3-96C20D85075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4C4-4119-9BB3-96C20D8507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'11.08 KABONG-KOTITDO'!$C$9:$N$9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'11.08 KABONG-KOTITDO'!$C$60:$N$60</c:f>
              <c:numCache>
                <c:formatCode>0.00%</c:formatCode>
                <c:ptCount val="12"/>
                <c:pt idx="0">
                  <c:v>4.4117647058823532E-2</c:v>
                </c:pt>
                <c:pt idx="1">
                  <c:v>0.27941176470588236</c:v>
                </c:pt>
                <c:pt idx="2">
                  <c:v>0.30882352941176472</c:v>
                </c:pt>
                <c:pt idx="3">
                  <c:v>0</c:v>
                </c:pt>
                <c:pt idx="4">
                  <c:v>0</c:v>
                </c:pt>
                <c:pt idx="5">
                  <c:v>2.9411764705882353E-2</c:v>
                </c:pt>
                <c:pt idx="6">
                  <c:v>0.25</c:v>
                </c:pt>
                <c:pt idx="7">
                  <c:v>8.8235294117647065E-2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4C4-4119-9BB3-96C20D850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'11.08 KITIDO-KABONG'!$AE$9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'11.08 KITIDO-KABONG'!$R$10:$R$21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'11.08 KITIDO-KABONG'!$AE$10:$AE$21</c:f>
              <c:numCache>
                <c:formatCode>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7</c:v>
                </c:pt>
                <c:pt idx="7">
                  <c:v>2</c:v>
                </c:pt>
                <c:pt idx="8">
                  <c:v>3</c:v>
                </c:pt>
                <c:pt idx="9">
                  <c:v>11</c:v>
                </c:pt>
                <c:pt idx="10">
                  <c:v>9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'11.08 KITIDO-KABONG'!$AF$9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'11.08 KITIDO-KABONG'!$R$10:$R$21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'11.08 KITIDO-KABONG'!$AF$10:$AF$21</c:f>
              <c:numCache>
                <c:formatCode>0</c:formatCode>
                <c:ptCount val="12"/>
                <c:pt idx="0">
                  <c:v>6</c:v>
                </c:pt>
                <c:pt idx="1">
                  <c:v>6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2</c:v>
                </c:pt>
                <c:pt idx="6">
                  <c:v>8</c:v>
                </c:pt>
                <c:pt idx="7">
                  <c:v>5</c:v>
                </c:pt>
                <c:pt idx="8">
                  <c:v>3</c:v>
                </c:pt>
                <c:pt idx="9">
                  <c:v>15</c:v>
                </c:pt>
                <c:pt idx="10">
                  <c:v>12</c:v>
                </c:pt>
                <c:pt idx="11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381120"/>
        <c:axId val="85383040"/>
      </c:lineChart>
      <c:catAx>
        <c:axId val="853811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5383040"/>
        <c:crosses val="autoZero"/>
        <c:auto val="1"/>
        <c:lblAlgn val="ctr"/>
        <c:lblOffset val="100"/>
        <c:noMultiLvlLbl val="0"/>
      </c:catAx>
      <c:valAx>
        <c:axId val="853830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538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'11.08 KITIDO-KABONG'!$C$9:$N$9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'11.08 KITIDO-KABONG'!$C$59:$N$59</c:f>
              <c:numCache>
                <c:formatCode>0.0%</c:formatCode>
                <c:ptCount val="12"/>
                <c:pt idx="0">
                  <c:v>5.7471264367816091E-2</c:v>
                </c:pt>
                <c:pt idx="1">
                  <c:v>0.17241379310344829</c:v>
                </c:pt>
                <c:pt idx="2">
                  <c:v>0.17241379310344829</c:v>
                </c:pt>
                <c:pt idx="3">
                  <c:v>0</c:v>
                </c:pt>
                <c:pt idx="4">
                  <c:v>1.1494252873563218E-2</c:v>
                </c:pt>
                <c:pt idx="5">
                  <c:v>0</c:v>
                </c:pt>
                <c:pt idx="6">
                  <c:v>9.1954022988505746E-2</c:v>
                </c:pt>
                <c:pt idx="7">
                  <c:v>0.11494252873563218</c:v>
                </c:pt>
                <c:pt idx="8">
                  <c:v>0</c:v>
                </c:pt>
                <c:pt idx="9">
                  <c:v>0</c:v>
                </c:pt>
                <c:pt idx="10">
                  <c:v>0.37931034482758619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'11.08 KITIDO-KABONG'!$S$9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'11.08 KITIDO-KABONG'!$R$10:$R$21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'11.08 KITIDO-KABONG'!$S$10:$S$21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'11.08 KITIDO-KABONG'!$T$9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'11.08 KITIDO-KABONG'!$R$10:$R$21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'11.08 KITIDO-KABONG'!$T$10:$T$21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'11.08 KITIDO-KABONG'!$U$9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'11.08 KITIDO-KABONG'!$U$10:$U$21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'11.08 KITIDO-KABONG'!$V$9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'11.08 KITIDO-KABONG'!$V$10:$V$21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'11.08 KITIDO-KABONG'!$W$9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'11.08 KITIDO-KABONG'!$W$10:$W$21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'11.08 KITIDO-KABONG'!$X$9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'11.08 KITIDO-KABONG'!$X$10:$X$21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'11.08 KITIDO-KABONG'!$Y$9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KITIDO-KABONG'!$Y$10:$Y$21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'11.08 KITIDO-KABONG'!$Z$9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KITIDO-KABONG'!$Z$10:$Z$21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4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'11.08 KITIDO-KABONG'!$AA$9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KITIDO-KABONG'!$AA$10:$AA$21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'11.08 KITIDO-KABONG'!$AB$9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KITIDO-KABONG'!$AB$10:$AB$21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'11.08 KITIDO-KABONG'!$AC$9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KITIDO-KABONG'!$AC$10:$AC$21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'11.08 KITIDO-KABONG'!$AD$9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KITIDO-KABONG'!$AD$10:$AD$21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235008"/>
        <c:axId val="86236544"/>
      </c:lineChart>
      <c:catAx>
        <c:axId val="8623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6236544"/>
        <c:crosses val="autoZero"/>
        <c:auto val="1"/>
        <c:lblAlgn val="ctr"/>
        <c:lblOffset val="100"/>
        <c:noMultiLvlLbl val="0"/>
      </c:catAx>
      <c:valAx>
        <c:axId val="8623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623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'11.08 KITIDO-KABONG'!$C$9:$N$9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'11.08 KITIDO-KABONG'!$C$60:$N$60</c:f>
              <c:numCache>
                <c:formatCode>0.00%</c:formatCode>
                <c:ptCount val="12"/>
                <c:pt idx="0">
                  <c:v>9.2592592592592587E-2</c:v>
                </c:pt>
                <c:pt idx="1">
                  <c:v>0.27777777777777779</c:v>
                </c:pt>
                <c:pt idx="2">
                  <c:v>0.27777777777777779</c:v>
                </c:pt>
                <c:pt idx="3">
                  <c:v>0</c:v>
                </c:pt>
                <c:pt idx="4">
                  <c:v>1.8518518518518517E-2</c:v>
                </c:pt>
                <c:pt idx="5">
                  <c:v>0</c:v>
                </c:pt>
                <c:pt idx="6">
                  <c:v>0.14814814814814814</c:v>
                </c:pt>
                <c:pt idx="7">
                  <c:v>0.18518518518518517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KABONG-KOTIDO'!$AE$9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KABONG-KOTIDO'!$R$10:$R$33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KABONG-KOTIDO'!$AE$10:$AE$33</c:f>
              <c:numCache>
                <c:formatCode>0</c:formatCode>
                <c:ptCount val="24"/>
                <c:pt idx="0">
                  <c:v>7.2857142857142865</c:v>
                </c:pt>
                <c:pt idx="1">
                  <c:v>4.2857142857142856</c:v>
                </c:pt>
                <c:pt idx="2">
                  <c:v>1.8571428571428568</c:v>
                </c:pt>
                <c:pt idx="3">
                  <c:v>3.1428571428571423</c:v>
                </c:pt>
                <c:pt idx="4">
                  <c:v>1.4285714285714284</c:v>
                </c:pt>
                <c:pt idx="5">
                  <c:v>0.5714285714285714</c:v>
                </c:pt>
                <c:pt idx="6">
                  <c:v>3.5714285714285712</c:v>
                </c:pt>
                <c:pt idx="7">
                  <c:v>3.1428571428571423</c:v>
                </c:pt>
                <c:pt idx="8">
                  <c:v>3</c:v>
                </c:pt>
                <c:pt idx="9">
                  <c:v>3.5714285714285712</c:v>
                </c:pt>
                <c:pt idx="10">
                  <c:v>4.2857142857142847</c:v>
                </c:pt>
                <c:pt idx="11">
                  <c:v>5.1428571428571423</c:v>
                </c:pt>
                <c:pt idx="12">
                  <c:v>9</c:v>
                </c:pt>
                <c:pt idx="13">
                  <c:v>6.5</c:v>
                </c:pt>
                <c:pt idx="14">
                  <c:v>2.5</c:v>
                </c:pt>
                <c:pt idx="15">
                  <c:v>2.5</c:v>
                </c:pt>
                <c:pt idx="16">
                  <c:v>1</c:v>
                </c:pt>
                <c:pt idx="17">
                  <c:v>1</c:v>
                </c:pt>
                <c:pt idx="18">
                  <c:v>2.5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KABONG-KOTIDO'!$AF$9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KABONG-KOTIDO'!$R$10:$R$33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KABONG-KOTIDO'!$AF$10:$AF$33</c:f>
              <c:numCache>
                <c:formatCode>0</c:formatCode>
                <c:ptCount val="24"/>
                <c:pt idx="0">
                  <c:v>9.4285714285714288</c:v>
                </c:pt>
                <c:pt idx="1">
                  <c:v>7.1428571428571423</c:v>
                </c:pt>
                <c:pt idx="2">
                  <c:v>4.8571428571428568</c:v>
                </c:pt>
                <c:pt idx="3">
                  <c:v>4.5714285714285712</c:v>
                </c:pt>
                <c:pt idx="4">
                  <c:v>2.714285714285714</c:v>
                </c:pt>
                <c:pt idx="5">
                  <c:v>3.1428571428571428</c:v>
                </c:pt>
                <c:pt idx="6">
                  <c:v>5.9999999999999991</c:v>
                </c:pt>
                <c:pt idx="7">
                  <c:v>3.5714285714285712</c:v>
                </c:pt>
                <c:pt idx="8">
                  <c:v>5</c:v>
                </c:pt>
                <c:pt idx="9">
                  <c:v>5.7142857142857135</c:v>
                </c:pt>
                <c:pt idx="10">
                  <c:v>7</c:v>
                </c:pt>
                <c:pt idx="11">
                  <c:v>7.5714285714285712</c:v>
                </c:pt>
                <c:pt idx="12">
                  <c:v>12</c:v>
                </c:pt>
                <c:pt idx="13">
                  <c:v>9.5</c:v>
                </c:pt>
                <c:pt idx="14">
                  <c:v>7</c:v>
                </c:pt>
                <c:pt idx="15">
                  <c:v>5.5</c:v>
                </c:pt>
                <c:pt idx="16">
                  <c:v>3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  <c:pt idx="21">
                  <c:v>4.5</c:v>
                </c:pt>
                <c:pt idx="22">
                  <c:v>6</c:v>
                </c:pt>
                <c:pt idx="23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305408"/>
        <c:axId val="86582016"/>
      </c:lineChart>
      <c:catAx>
        <c:axId val="863054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6582016"/>
        <c:crosses val="autoZero"/>
        <c:auto val="1"/>
        <c:lblAlgn val="ctr"/>
        <c:lblOffset val="100"/>
        <c:noMultiLvlLbl val="0"/>
      </c:catAx>
      <c:valAx>
        <c:axId val="865820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630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KABONG-KOTIDO'!$C$9:$N$9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KABONG-KOTIDO'!$C$107:$N$107</c:f>
              <c:numCache>
                <c:formatCode>0.0%</c:formatCode>
                <c:ptCount val="12"/>
                <c:pt idx="0">
                  <c:v>2.873268342739866E-2</c:v>
                </c:pt>
                <c:pt idx="1">
                  <c:v>0.1944586967675731</c:v>
                </c:pt>
                <c:pt idx="2">
                  <c:v>0.17136993329912778</c:v>
                </c:pt>
                <c:pt idx="3">
                  <c:v>3.0785017957927138E-3</c:v>
                </c:pt>
                <c:pt idx="4">
                  <c:v>0</c:v>
                </c:pt>
                <c:pt idx="5">
                  <c:v>1.3340174448435094E-2</c:v>
                </c:pt>
                <c:pt idx="6">
                  <c:v>0.13442791174961519</c:v>
                </c:pt>
                <c:pt idx="7">
                  <c:v>6.6700872242175469E-2</c:v>
                </c:pt>
                <c:pt idx="8">
                  <c:v>6.6700872242175472E-3</c:v>
                </c:pt>
                <c:pt idx="9">
                  <c:v>0</c:v>
                </c:pt>
                <c:pt idx="10">
                  <c:v>0.38019497178040018</c:v>
                </c:pt>
                <c:pt idx="11">
                  <c:v>1.026167265264238E-3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KABONG-KOTIDO'!$C$9:$N$9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KABONG-KOTIDO'!$C$108:$N$108</c:f>
              <c:numCache>
                <c:formatCode>0.00%</c:formatCode>
                <c:ptCount val="12"/>
                <c:pt idx="0">
                  <c:v>4.6357615894039736E-2</c:v>
                </c:pt>
                <c:pt idx="1">
                  <c:v>0.31374172185430466</c:v>
                </c:pt>
                <c:pt idx="2">
                  <c:v>0.27649006622516564</c:v>
                </c:pt>
                <c:pt idx="3">
                  <c:v>4.9668874172185433E-3</c:v>
                </c:pt>
                <c:pt idx="4">
                  <c:v>0</c:v>
                </c:pt>
                <c:pt idx="5">
                  <c:v>2.1523178807947022E-2</c:v>
                </c:pt>
                <c:pt idx="6">
                  <c:v>0.21688741721854307</c:v>
                </c:pt>
                <c:pt idx="7">
                  <c:v>0.10761589403973509</c:v>
                </c:pt>
                <c:pt idx="8">
                  <c:v>1.0761589403973511E-2</c:v>
                </c:pt>
                <c:pt idx="9">
                  <c:v>0</c:v>
                </c:pt>
                <c:pt idx="11">
                  <c:v>1.6556291390728477E-3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KOTIDO-KABONG'!$AE$9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KOTIDO-KABONG'!$R$10:$R$33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KOTIDO-KABONG'!$AE$10:$AE$33</c:f>
              <c:numCache>
                <c:formatCode>0</c:formatCode>
                <c:ptCount val="24"/>
                <c:pt idx="0">
                  <c:v>5</c:v>
                </c:pt>
                <c:pt idx="1">
                  <c:v>6.5714285714285712</c:v>
                </c:pt>
                <c:pt idx="2">
                  <c:v>4.1428571428571423</c:v>
                </c:pt>
                <c:pt idx="3">
                  <c:v>3.1428571428571428</c:v>
                </c:pt>
                <c:pt idx="4">
                  <c:v>2.2857142857142856</c:v>
                </c:pt>
                <c:pt idx="5">
                  <c:v>2.1428571428571423</c:v>
                </c:pt>
                <c:pt idx="6">
                  <c:v>2.7142857142857144</c:v>
                </c:pt>
                <c:pt idx="7">
                  <c:v>1.857142857142857</c:v>
                </c:pt>
                <c:pt idx="8">
                  <c:v>2.4285714285714284</c:v>
                </c:pt>
                <c:pt idx="9">
                  <c:v>3.5714285714285712</c:v>
                </c:pt>
                <c:pt idx="10">
                  <c:v>3.9999999999999996</c:v>
                </c:pt>
                <c:pt idx="11">
                  <c:v>3.5714285714285712</c:v>
                </c:pt>
                <c:pt idx="12">
                  <c:v>5.5</c:v>
                </c:pt>
                <c:pt idx="13">
                  <c:v>7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0.5</c:v>
                </c:pt>
                <c:pt idx="18">
                  <c:v>0.5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1.5</c:v>
                </c:pt>
                <c:pt idx="23">
                  <c:v>3.5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KOTIDO-KABONG'!$AF$9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KOTIDO-KABONG'!$R$10:$R$33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KOTIDO-KABONG'!$AF$10:$AF$33</c:f>
              <c:numCache>
                <c:formatCode>0</c:formatCode>
                <c:ptCount val="24"/>
                <c:pt idx="0">
                  <c:v>7.5714285714285703</c:v>
                </c:pt>
                <c:pt idx="1">
                  <c:v>9.1428571428571423</c:v>
                </c:pt>
                <c:pt idx="2">
                  <c:v>8.2857142857142847</c:v>
                </c:pt>
                <c:pt idx="3">
                  <c:v>5.4285714285714288</c:v>
                </c:pt>
                <c:pt idx="4">
                  <c:v>3.8571428571428568</c:v>
                </c:pt>
                <c:pt idx="5">
                  <c:v>4.7142857142857135</c:v>
                </c:pt>
                <c:pt idx="6">
                  <c:v>4</c:v>
                </c:pt>
                <c:pt idx="7">
                  <c:v>3.8571428571428572</c:v>
                </c:pt>
                <c:pt idx="8">
                  <c:v>6.2857142857142847</c:v>
                </c:pt>
                <c:pt idx="9">
                  <c:v>6.8571428571428577</c:v>
                </c:pt>
                <c:pt idx="10">
                  <c:v>5.8571428571428568</c:v>
                </c:pt>
                <c:pt idx="11">
                  <c:v>6.4285714285714288</c:v>
                </c:pt>
                <c:pt idx="12">
                  <c:v>9</c:v>
                </c:pt>
                <c:pt idx="13">
                  <c:v>10</c:v>
                </c:pt>
                <c:pt idx="14">
                  <c:v>8.5</c:v>
                </c:pt>
                <c:pt idx="15">
                  <c:v>5</c:v>
                </c:pt>
                <c:pt idx="16">
                  <c:v>2</c:v>
                </c:pt>
                <c:pt idx="17">
                  <c:v>2.5</c:v>
                </c:pt>
                <c:pt idx="18">
                  <c:v>1.5</c:v>
                </c:pt>
                <c:pt idx="19">
                  <c:v>0</c:v>
                </c:pt>
                <c:pt idx="20">
                  <c:v>0</c:v>
                </c:pt>
                <c:pt idx="21">
                  <c:v>1.5</c:v>
                </c:pt>
                <c:pt idx="22">
                  <c:v>2.5</c:v>
                </c:pt>
                <c:pt idx="23">
                  <c:v>6.5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616128"/>
        <c:axId val="85618048"/>
      </c:lineChart>
      <c:catAx>
        <c:axId val="856161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5618048"/>
        <c:crosses val="autoZero"/>
        <c:auto val="1"/>
        <c:lblAlgn val="ctr"/>
        <c:lblOffset val="100"/>
        <c:noMultiLvlLbl val="0"/>
      </c:catAx>
      <c:valAx>
        <c:axId val="856180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561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KOTIDO-KABONG'!$C$9:$N$9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KOTIDO-KABONG'!$C$107:$N$107</c:f>
              <c:numCache>
                <c:formatCode>0.0%</c:formatCode>
                <c:ptCount val="12"/>
                <c:pt idx="0">
                  <c:v>3.7691401648998819E-2</c:v>
                </c:pt>
                <c:pt idx="1">
                  <c:v>0.19081272084805651</c:v>
                </c:pt>
                <c:pt idx="2">
                  <c:v>0.1472320376914017</c:v>
                </c:pt>
                <c:pt idx="3">
                  <c:v>2.3557126030624262E-3</c:v>
                </c:pt>
                <c:pt idx="4">
                  <c:v>2.3557126030624262E-3</c:v>
                </c:pt>
                <c:pt idx="5">
                  <c:v>8.2449941107184902E-3</c:v>
                </c:pt>
                <c:pt idx="6">
                  <c:v>6.5959952885747949E-2</c:v>
                </c:pt>
                <c:pt idx="7">
                  <c:v>9.5995288574793891E-2</c:v>
                </c:pt>
                <c:pt idx="8">
                  <c:v>1.1778563015312131E-3</c:v>
                </c:pt>
                <c:pt idx="9">
                  <c:v>0</c:v>
                </c:pt>
                <c:pt idx="10">
                  <c:v>0.4481743227326267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KOTIDO-KABONG'!$C$9:$N$9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KOTIDO-KABONG'!$C$108:$N$108</c:f>
              <c:numCache>
                <c:formatCode>0.00%</c:formatCode>
                <c:ptCount val="12"/>
                <c:pt idx="0">
                  <c:v>6.8303094983991453E-2</c:v>
                </c:pt>
                <c:pt idx="1">
                  <c:v>0.34578441835645668</c:v>
                </c:pt>
                <c:pt idx="2">
                  <c:v>0.26680896478121668</c:v>
                </c:pt>
                <c:pt idx="3">
                  <c:v>4.2689434364994658E-3</c:v>
                </c:pt>
                <c:pt idx="4">
                  <c:v>4.2689434364994658E-3</c:v>
                </c:pt>
                <c:pt idx="5">
                  <c:v>1.4941302027748129E-2</c:v>
                </c:pt>
                <c:pt idx="6">
                  <c:v>0.11953041622198506</c:v>
                </c:pt>
                <c:pt idx="7">
                  <c:v>0.17395944503735328</c:v>
                </c:pt>
                <c:pt idx="8">
                  <c:v>2.1344717182497329E-3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KABONG-KOTIDO-2Dir'!$C$9:$N$9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KABONG-KOTIDO-2Dir'!$C$107:$N$107</c:f>
              <c:numCache>
                <c:formatCode>0.0%</c:formatCode>
                <c:ptCount val="12"/>
                <c:pt idx="0">
                  <c:v>3.2903756512201815E-2</c:v>
                </c:pt>
                <c:pt idx="1">
                  <c:v>0.19276117356731562</c:v>
                </c:pt>
                <c:pt idx="2">
                  <c:v>0.16013161502604881</c:v>
                </c:pt>
                <c:pt idx="3">
                  <c:v>2.7419797093501505E-3</c:v>
                </c:pt>
                <c:pt idx="4">
                  <c:v>1.0967918837400603E-3</c:v>
                </c:pt>
                <c:pt idx="5">
                  <c:v>1.0967918837400602E-2</c:v>
                </c:pt>
                <c:pt idx="6">
                  <c:v>0.10255004112969564</c:v>
                </c:pt>
                <c:pt idx="7">
                  <c:v>8.0340005483959448E-2</c:v>
                </c:pt>
                <c:pt idx="8">
                  <c:v>4.112969564025226E-3</c:v>
                </c:pt>
                <c:pt idx="9">
                  <c:v>0</c:v>
                </c:pt>
                <c:pt idx="10">
                  <c:v>0.41184535234439268</c:v>
                </c:pt>
                <c:pt idx="11">
                  <c:v>5.4839594187003013E-4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KABONG-KOTIDO-2Dir'!$C$9:$N$9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KABONG-KOTIDO-2Dir'!$C$108:$N$108</c:f>
              <c:numCache>
                <c:formatCode>0.00%</c:formatCode>
                <c:ptCount val="12"/>
                <c:pt idx="0">
                  <c:v>5.5944055944055951E-2</c:v>
                </c:pt>
                <c:pt idx="1">
                  <c:v>0.32773892773892771</c:v>
                </c:pt>
                <c:pt idx="2">
                  <c:v>0.27226107226107227</c:v>
                </c:pt>
                <c:pt idx="3">
                  <c:v>4.6620046620046611E-3</c:v>
                </c:pt>
                <c:pt idx="4">
                  <c:v>1.8648018648018646E-3</c:v>
                </c:pt>
                <c:pt idx="5">
                  <c:v>1.8648018648018645E-2</c:v>
                </c:pt>
                <c:pt idx="6">
                  <c:v>0.17435897435897435</c:v>
                </c:pt>
                <c:pt idx="7">
                  <c:v>0.13659673659673666</c:v>
                </c:pt>
                <c:pt idx="8">
                  <c:v>6.9930069930069921E-3</c:v>
                </c:pt>
                <c:pt idx="9">
                  <c:v>0</c:v>
                </c:pt>
                <c:pt idx="11">
                  <c:v>9.3240093240093229E-4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KABONG-KOTIDO-2Dir'!$AE$9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KABONG-KOTIDO-2Dir'!$R$10:$R$33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KABONG-KOTIDO-2Dir'!$AE$10:$AE$33</c:f>
              <c:numCache>
                <c:formatCode>0</c:formatCode>
                <c:ptCount val="24"/>
                <c:pt idx="0">
                  <c:v>12.285714285714286</c:v>
                </c:pt>
                <c:pt idx="1">
                  <c:v>10.857142857142856</c:v>
                </c:pt>
                <c:pt idx="2">
                  <c:v>6</c:v>
                </c:pt>
                <c:pt idx="3">
                  <c:v>6.2857142857142847</c:v>
                </c:pt>
                <c:pt idx="4">
                  <c:v>3.7142857142857135</c:v>
                </c:pt>
                <c:pt idx="5">
                  <c:v>2.714285714285714</c:v>
                </c:pt>
                <c:pt idx="6">
                  <c:v>6.2857142857142847</c:v>
                </c:pt>
                <c:pt idx="7">
                  <c:v>5</c:v>
                </c:pt>
                <c:pt idx="8">
                  <c:v>5.4285714285714279</c:v>
                </c:pt>
                <c:pt idx="9">
                  <c:v>7.1428571428571415</c:v>
                </c:pt>
                <c:pt idx="10">
                  <c:v>8.2857142857142847</c:v>
                </c:pt>
                <c:pt idx="11">
                  <c:v>8.7142857142857135</c:v>
                </c:pt>
                <c:pt idx="12">
                  <c:v>14.5</c:v>
                </c:pt>
                <c:pt idx="13">
                  <c:v>13.5</c:v>
                </c:pt>
                <c:pt idx="14">
                  <c:v>5.5</c:v>
                </c:pt>
                <c:pt idx="15">
                  <c:v>4.5</c:v>
                </c:pt>
                <c:pt idx="16">
                  <c:v>2</c:v>
                </c:pt>
                <c:pt idx="17">
                  <c:v>1.5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5</c:v>
                </c:pt>
                <c:pt idx="22">
                  <c:v>5.5</c:v>
                </c:pt>
                <c:pt idx="23">
                  <c:v>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77E-4CCD-9FE5-B570522DE5BC}"/>
            </c:ext>
          </c:extLst>
        </c:ser>
        <c:ser>
          <c:idx val="1"/>
          <c:order val="1"/>
          <c:tx>
            <c:strRef>
              <c:f>'Avg Week KABONG-KOTIDO-2Dir'!$AF$9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KABONG-KOTIDO-2Dir'!$R$10:$R$33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KABONG-KOTIDO-2Dir'!$AF$10:$AF$33</c:f>
              <c:numCache>
                <c:formatCode>0</c:formatCode>
                <c:ptCount val="24"/>
                <c:pt idx="0">
                  <c:v>17</c:v>
                </c:pt>
                <c:pt idx="1">
                  <c:v>16.285714285714285</c:v>
                </c:pt>
                <c:pt idx="2">
                  <c:v>13.142857142857142</c:v>
                </c:pt>
                <c:pt idx="3">
                  <c:v>10</c:v>
                </c:pt>
                <c:pt idx="4">
                  <c:v>6.5714285714285712</c:v>
                </c:pt>
                <c:pt idx="5">
                  <c:v>7.8571428571428568</c:v>
                </c:pt>
                <c:pt idx="6">
                  <c:v>10</c:v>
                </c:pt>
                <c:pt idx="7">
                  <c:v>7.4285714285714279</c:v>
                </c:pt>
                <c:pt idx="8">
                  <c:v>11.285714285714285</c:v>
                </c:pt>
                <c:pt idx="9">
                  <c:v>12.571428571428571</c:v>
                </c:pt>
                <c:pt idx="10">
                  <c:v>12.857142857142856</c:v>
                </c:pt>
                <c:pt idx="11">
                  <c:v>14</c:v>
                </c:pt>
                <c:pt idx="12">
                  <c:v>21</c:v>
                </c:pt>
                <c:pt idx="13">
                  <c:v>19.5</c:v>
                </c:pt>
                <c:pt idx="14">
                  <c:v>15.5</c:v>
                </c:pt>
                <c:pt idx="15">
                  <c:v>10.5</c:v>
                </c:pt>
                <c:pt idx="16">
                  <c:v>5</c:v>
                </c:pt>
                <c:pt idx="17">
                  <c:v>6.5</c:v>
                </c:pt>
                <c:pt idx="18">
                  <c:v>6.5</c:v>
                </c:pt>
                <c:pt idx="19">
                  <c:v>3</c:v>
                </c:pt>
                <c:pt idx="20">
                  <c:v>4</c:v>
                </c:pt>
                <c:pt idx="21">
                  <c:v>6</c:v>
                </c:pt>
                <c:pt idx="22">
                  <c:v>8.5</c:v>
                </c:pt>
                <c:pt idx="23">
                  <c:v>15.5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77E-4CCD-9FE5-B570522DE5BC}"/>
            </c:ext>
          </c:extLst>
        </c:ser>
        <c:ser>
          <c:idx val="5"/>
          <c:order val="2"/>
          <c:tx>
            <c:strRef>
              <c:f>'Avg Week KABONG-KOTIDO-2Dir'!$AC$9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KABONG-KOTIDO-2Dir'!$R$10:$R$33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KABONG-KOTIDO-2Dir'!$AC$10:$AC$33</c:f>
              <c:numCache>
                <c:formatCode>0</c:formatCode>
                <c:ptCount val="24"/>
                <c:pt idx="0">
                  <c:v>4.7142857142857144</c:v>
                </c:pt>
                <c:pt idx="1">
                  <c:v>5.4285714285714279</c:v>
                </c:pt>
                <c:pt idx="2">
                  <c:v>7.1428571428571423</c:v>
                </c:pt>
                <c:pt idx="3">
                  <c:v>3.714285714285714</c:v>
                </c:pt>
                <c:pt idx="4">
                  <c:v>2.8571428571428568</c:v>
                </c:pt>
                <c:pt idx="5">
                  <c:v>5.1428571428571423</c:v>
                </c:pt>
                <c:pt idx="6">
                  <c:v>3.714285714285714</c:v>
                </c:pt>
                <c:pt idx="7">
                  <c:v>2.4285714285714288</c:v>
                </c:pt>
                <c:pt idx="8">
                  <c:v>5.8571428571428568</c:v>
                </c:pt>
                <c:pt idx="9">
                  <c:v>5.4285714285714279</c:v>
                </c:pt>
                <c:pt idx="10">
                  <c:v>4.5714285714285712</c:v>
                </c:pt>
                <c:pt idx="11">
                  <c:v>5.2857142857142865</c:v>
                </c:pt>
                <c:pt idx="12">
                  <c:v>6.5</c:v>
                </c:pt>
                <c:pt idx="13">
                  <c:v>6</c:v>
                </c:pt>
                <c:pt idx="14">
                  <c:v>10</c:v>
                </c:pt>
                <c:pt idx="15">
                  <c:v>6</c:v>
                </c:pt>
                <c:pt idx="16">
                  <c:v>3</c:v>
                </c:pt>
                <c:pt idx="17">
                  <c:v>5</c:v>
                </c:pt>
                <c:pt idx="18">
                  <c:v>3.5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3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7E-4CCD-9FE5-B570522DE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3088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KABONG-KOTIDO-2Dir'!$S$9:$AF$9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KABONG-KOTIDO-2Dir'!$S$41:$AF$41</c:f>
              <c:numCache>
                <c:formatCode>_(* #,##0_);_(* \(#,##0\);_(* "-"_);_(@_)</c:formatCode>
                <c:ptCount val="14"/>
                <c:pt idx="0">
                  <c:v>8.5714285714285712</c:v>
                </c:pt>
                <c:pt idx="1">
                  <c:v>50.214285714285708</c:v>
                </c:pt>
                <c:pt idx="2">
                  <c:v>41.714285714285708</c:v>
                </c:pt>
                <c:pt idx="3">
                  <c:v>0.71428571428571419</c:v>
                </c:pt>
                <c:pt idx="4">
                  <c:v>0.2857142857142857</c:v>
                </c:pt>
                <c:pt idx="5">
                  <c:v>2.8571428571428568</c:v>
                </c:pt>
                <c:pt idx="6">
                  <c:v>26.714285714285708</c:v>
                </c:pt>
                <c:pt idx="7">
                  <c:v>20.928571428571427</c:v>
                </c:pt>
                <c:pt idx="8">
                  <c:v>1.0714285714285714</c:v>
                </c:pt>
                <c:pt idx="9">
                  <c:v>0</c:v>
                </c:pt>
                <c:pt idx="10">
                  <c:v>107.28571428571428</c:v>
                </c:pt>
                <c:pt idx="11">
                  <c:v>0.14285714285714285</c:v>
                </c:pt>
                <c:pt idx="12">
                  <c:v>153.21428571428572</c:v>
                </c:pt>
                <c:pt idx="13">
                  <c:v>260.5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7F-4A18-B987-C303530303A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KABONG-KOTIDO-2Dir'!$S$9:$AF$9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KABONG-KOTIDO-2Dir'!$S$42:$AF$42</c:f>
              <c:numCache>
                <c:formatCode>0.000</c:formatCode>
                <c:ptCount val="14"/>
                <c:pt idx="0">
                  <c:v>1.5384615384615385</c:v>
                </c:pt>
                <c:pt idx="1">
                  <c:v>1.9527777777777777</c:v>
                </c:pt>
                <c:pt idx="2">
                  <c:v>1.9210526315789473</c:v>
                </c:pt>
                <c:pt idx="3">
                  <c:v>1</c:v>
                </c:pt>
                <c:pt idx="4">
                  <c:v>1</c:v>
                </c:pt>
                <c:pt idx="5">
                  <c:v>1.5384615384615383</c:v>
                </c:pt>
                <c:pt idx="6">
                  <c:v>1.8155339805825244</c:v>
                </c:pt>
                <c:pt idx="7">
                  <c:v>1.83125</c:v>
                </c:pt>
                <c:pt idx="8">
                  <c:v>1.875</c:v>
                </c:pt>
                <c:pt idx="9">
                  <c:v>0</c:v>
                </c:pt>
                <c:pt idx="10">
                  <c:v>1.9060913705583755</c:v>
                </c:pt>
                <c:pt idx="11">
                  <c:v>1</c:v>
                </c:pt>
                <c:pt idx="12">
                  <c:v>1.8523316062176167</c:v>
                </c:pt>
                <c:pt idx="13">
                  <c:v>1.8741007194244603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A-4DF4-B843-88E62C124E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9.xml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26.xml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6" Type="http://schemas.openxmlformats.org/officeDocument/2006/relationships/chart" Target="../charts/chart30.xml"/><Relationship Id="rId1" Type="http://schemas.openxmlformats.org/officeDocument/2006/relationships/chart" Target="../charts/chart2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31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2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3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3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5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37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3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40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4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8.pn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5EAC3B-C2C6-448E-9BE7-CF5F826EC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82DB5A-EF1E-421A-B89D-1EEC5C146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F4B6EF5-33AC-4DEB-B14F-2D8F08802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9F24B65-CA9A-4899-A4D6-24EF162CB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D47D29-A6FA-4810-A21D-171ADBAFC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69640FA-0B37-4592-A573-406FBAE0F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8DED1F1-92D2-4A38-B86D-06D7DB356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E2D377A-5C6D-4D5F-A7BC-86FF1ECBA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1AA07C6-E372-417B-BDDC-494329F44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4A7D54C-D944-4A71-816A-79170B149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3A0201A2-EE54-407D-91AF-72A2BD1ED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3F44204-B257-49B9-8701-382E22CDF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FD63C5E-9940-402F-88BD-50F5D6EB2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0845E6E-3E1F-4FA5-BDE5-31A001326E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6C9808E-A8E7-434A-808F-41B0CDEF82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F4611B1-BAA6-4231-9EEB-F86501DC40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FDE114-80F9-4BD3-A4D2-67A6B4DDD8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D8EC1B-3989-4F67-B16C-8BE6824C3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8595090-B1A3-44A1-BC11-3C55B933F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9C9949B-57DE-4DAE-AC78-518ACCDC6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D958B06-61C3-4D4A-AD80-443D31378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63843EF-05E3-4937-A514-BA0A02B6F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5E5B002-95ED-480E-9B12-1D2B2A0C3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0571A19-1E55-424F-ADD9-953ABD032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037C5DA-BD44-4E49-97FE-D86723469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D0123DF-4A24-4597-8D07-8C61022FC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5972DD89-3625-4578-A1FF-D61777ADA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7E777E2-131E-44A1-86CF-48B967116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A5F2DBC-E60F-45C0-A4C2-56CBE3219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DEB81A6-4173-40BB-A8C5-D4007887F1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1D64E04-DBCB-4C65-9F61-F11B319D13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B43B99E-B30E-4F9D-AAFE-CBBADE1ACF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43</xdr:row>
      <xdr:rowOff>276225</xdr:rowOff>
    </xdr:from>
    <xdr:to>
      <xdr:col>28</xdr:col>
      <xdr:colOff>0</xdr:colOff>
      <xdr:row>58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58</xdr:row>
      <xdr:rowOff>279400</xdr:rowOff>
    </xdr:from>
    <xdr:to>
      <xdr:col>23</xdr:col>
      <xdr:colOff>698500</xdr:colOff>
      <xdr:row>73</xdr:row>
      <xdr:rowOff>79375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25</xdr:col>
      <xdr:colOff>15875</xdr:colOff>
      <xdr:row>59</xdr:row>
      <xdr:rowOff>15875</xdr:rowOff>
    </xdr:from>
    <xdr:to>
      <xdr:col>31</xdr:col>
      <xdr:colOff>698500</xdr:colOff>
      <xdr:row>73</xdr:row>
      <xdr:rowOff>101600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2642</xdr:colOff>
      <xdr:row>43</xdr:row>
      <xdr:rowOff>4906</xdr:rowOff>
    </xdr:from>
    <xdr:to>
      <xdr:col>28</xdr:col>
      <xdr:colOff>-1</xdr:colOff>
      <xdr:row>57</xdr:row>
      <xdr:rowOff>277091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16</xdr:col>
      <xdr:colOff>144317</xdr:colOff>
      <xdr:row>58</xdr:row>
      <xdr:rowOff>251980</xdr:rowOff>
    </xdr:from>
    <xdr:to>
      <xdr:col>24</xdr:col>
      <xdr:colOff>17318</xdr:colOff>
      <xdr:row>73</xdr:row>
      <xdr:rowOff>43296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25</xdr:col>
      <xdr:colOff>12987</xdr:colOff>
      <xdr:row>59</xdr:row>
      <xdr:rowOff>4329</xdr:rowOff>
    </xdr:from>
    <xdr:to>
      <xdr:col>31</xdr:col>
      <xdr:colOff>692727</xdr:colOff>
      <xdr:row>73</xdr:row>
      <xdr:rowOff>90054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59</xdr:row>
      <xdr:rowOff>9525</xdr:rowOff>
    </xdr:from>
    <xdr:to>
      <xdr:col>23</xdr:col>
      <xdr:colOff>650874</xdr:colOff>
      <xdr:row>75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15875</xdr:colOff>
      <xdr:row>74</xdr:row>
      <xdr:rowOff>285749</xdr:rowOff>
    </xdr:from>
    <xdr:to>
      <xdr:col>23</xdr:col>
      <xdr:colOff>650874</xdr:colOff>
      <xdr:row>91</xdr:row>
      <xdr:rowOff>15874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43</xdr:row>
      <xdr:rowOff>0</xdr:rowOff>
    </xdr:from>
    <xdr:to>
      <xdr:col>28</xdr:col>
      <xdr:colOff>186414</xdr:colOff>
      <xdr:row>58</xdr:row>
      <xdr:rowOff>279403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960E17E-7368-4D79-8D40-34A0F2CF90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666750</xdr:colOff>
      <xdr:row>59</xdr:row>
      <xdr:rowOff>0</xdr:rowOff>
    </xdr:from>
    <xdr:to>
      <xdr:col>30</xdr:col>
      <xdr:colOff>698500</xdr:colOff>
      <xdr:row>74</xdr:row>
      <xdr:rowOff>284163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13C7C6E-BE99-4F83-8082-75F11FB4E1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666750</xdr:colOff>
      <xdr:row>74</xdr:row>
      <xdr:rowOff>254000</xdr:rowOff>
    </xdr:from>
    <xdr:to>
      <xdr:col>30</xdr:col>
      <xdr:colOff>698500</xdr:colOff>
      <xdr:row>91</xdr:row>
      <xdr:rowOff>31750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2598EE8-4C88-4453-817A-902256CB78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26"/>
  <sheetViews>
    <sheetView view="pageBreakPreview" zoomScale="60" workbookViewId="0">
      <selection activeCell="C56" sqref="C5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1" t="s">
        <v>96</v>
      </c>
      <c r="C3" s="62" t="s">
        <v>166</v>
      </c>
      <c r="D3" s="62"/>
      <c r="E3" s="62"/>
      <c r="F3" s="62"/>
      <c r="G3" s="62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167</v>
      </c>
      <c r="E5" s="3"/>
      <c r="F5" s="41" t="s">
        <v>1</v>
      </c>
      <c r="G5" s="57" t="s">
        <v>164</v>
      </c>
      <c r="H5" s="58"/>
      <c r="I5" s="14"/>
      <c r="J5" s="2" t="s">
        <v>5</v>
      </c>
      <c r="K5" s="57" t="s">
        <v>170</v>
      </c>
      <c r="L5" s="58"/>
      <c r="M5" s="10"/>
      <c r="N5" s="10"/>
      <c r="O5" s="3"/>
      <c r="P5" s="3"/>
    </row>
    <row r="6" spans="2:32" ht="23.25" customHeight="1" x14ac:dyDescent="0.25">
      <c r="C6" s="2" t="s">
        <v>4</v>
      </c>
      <c r="D6" s="57" t="s">
        <v>168</v>
      </c>
      <c r="E6" s="58"/>
      <c r="F6" s="2" t="s">
        <v>2</v>
      </c>
      <c r="G6" s="57" t="s">
        <v>169</v>
      </c>
      <c r="H6" s="58"/>
      <c r="J6" s="2" t="s">
        <v>21</v>
      </c>
      <c r="K6" s="57" t="s">
        <v>171</v>
      </c>
      <c r="L6" s="58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1</v>
      </c>
      <c r="F10" s="50">
        <v>0</v>
      </c>
      <c r="G10" s="50">
        <v>0</v>
      </c>
      <c r="H10" s="50">
        <v>0</v>
      </c>
      <c r="I10" s="50">
        <v>0</v>
      </c>
      <c r="J10" s="50">
        <v>1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2</v>
      </c>
      <c r="R10" s="1" t="s">
        <v>6</v>
      </c>
      <c r="S10" s="17">
        <f t="shared" ref="S10:AF10" si="2">SUM(C10:C13)</f>
        <v>0</v>
      </c>
      <c r="T10" s="17">
        <f t="shared" si="2"/>
        <v>2</v>
      </c>
      <c r="U10" s="17">
        <f t="shared" si="2"/>
        <v>1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2</v>
      </c>
      <c r="AA10" s="17">
        <f t="shared" si="2"/>
        <v>2</v>
      </c>
      <c r="AB10" s="17">
        <f t="shared" si="2"/>
        <v>0</v>
      </c>
      <c r="AC10" s="17">
        <f t="shared" si="2"/>
        <v>0</v>
      </c>
      <c r="AD10" s="17">
        <f t="shared" si="2"/>
        <v>1</v>
      </c>
      <c r="AE10" s="31">
        <f t="shared" si="2"/>
        <v>8</v>
      </c>
      <c r="AF10" s="31">
        <f t="shared" si="2"/>
        <v>8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2</v>
      </c>
      <c r="L11" s="50">
        <v>0</v>
      </c>
      <c r="M11" s="50">
        <v>0</v>
      </c>
      <c r="N11" s="50">
        <v>0</v>
      </c>
      <c r="O11" s="15">
        <f t="shared" si="0"/>
        <v>2</v>
      </c>
      <c r="P11" s="15">
        <f t="shared" si="1"/>
        <v>2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1</v>
      </c>
      <c r="V11" s="17">
        <f t="shared" si="3"/>
        <v>0</v>
      </c>
      <c r="W11" s="17">
        <f t="shared" si="3"/>
        <v>0</v>
      </c>
      <c r="X11" s="17">
        <f t="shared" si="3"/>
        <v>1</v>
      </c>
      <c r="Y11" s="17">
        <f t="shared" si="3"/>
        <v>1</v>
      </c>
      <c r="Z11" s="17">
        <f t="shared" si="3"/>
        <v>1</v>
      </c>
      <c r="AA11" s="17">
        <f t="shared" si="3"/>
        <v>1</v>
      </c>
      <c r="AB11" s="17">
        <f t="shared" si="3"/>
        <v>0</v>
      </c>
      <c r="AC11" s="17">
        <f t="shared" si="3"/>
        <v>2</v>
      </c>
      <c r="AD11" s="17">
        <f t="shared" si="3"/>
        <v>0</v>
      </c>
      <c r="AE11" s="31">
        <f t="shared" si="3"/>
        <v>5</v>
      </c>
      <c r="AF11" s="31">
        <f t="shared" si="3"/>
        <v>7</v>
      </c>
    </row>
    <row r="12" spans="2:32" ht="23.1" customHeight="1" x14ac:dyDescent="0.25">
      <c r="B12" s="23" t="s">
        <v>39</v>
      </c>
      <c r="C12" s="50">
        <v>0</v>
      </c>
      <c r="D12" s="50">
        <v>1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15">
        <f t="shared" si="0"/>
        <v>1</v>
      </c>
      <c r="P12" s="15">
        <f t="shared" si="1"/>
        <v>1</v>
      </c>
      <c r="R12" s="1" t="s">
        <v>8</v>
      </c>
      <c r="S12" s="17">
        <f t="shared" ref="S12:AF12" si="4">SUM(C18:C21)</f>
        <v>2</v>
      </c>
      <c r="T12" s="17">
        <f t="shared" si="4"/>
        <v>2</v>
      </c>
      <c r="U12" s="17">
        <f t="shared" si="4"/>
        <v>0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6</v>
      </c>
      <c r="AD12" s="17">
        <f t="shared" si="4"/>
        <v>0</v>
      </c>
      <c r="AE12" s="31">
        <f t="shared" si="4"/>
        <v>7</v>
      </c>
      <c r="AF12" s="31">
        <f t="shared" si="4"/>
        <v>13</v>
      </c>
    </row>
    <row r="13" spans="2:32" ht="23.1" customHeight="1" x14ac:dyDescent="0.25">
      <c r="B13" s="23" t="s">
        <v>40</v>
      </c>
      <c r="C13" s="50">
        <v>0</v>
      </c>
      <c r="D13" s="50">
        <v>1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1</v>
      </c>
      <c r="K13" s="50">
        <v>0</v>
      </c>
      <c r="L13" s="50">
        <v>0</v>
      </c>
      <c r="M13" s="50">
        <v>0</v>
      </c>
      <c r="N13" s="50">
        <v>1</v>
      </c>
      <c r="O13" s="15">
        <f t="shared" si="0"/>
        <v>3</v>
      </c>
      <c r="P13" s="15">
        <f t="shared" si="1"/>
        <v>3</v>
      </c>
      <c r="R13" s="1" t="s">
        <v>9</v>
      </c>
      <c r="S13" s="17">
        <f t="shared" ref="S13:AF13" si="5">SUM(C22:C25)</f>
        <v>1</v>
      </c>
      <c r="T13" s="17">
        <f t="shared" si="5"/>
        <v>2</v>
      </c>
      <c r="U13" s="17">
        <f t="shared" si="5"/>
        <v>1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2</v>
      </c>
      <c r="AD13" s="17">
        <f t="shared" si="5"/>
        <v>0</v>
      </c>
      <c r="AE13" s="31">
        <f t="shared" si="5"/>
        <v>6</v>
      </c>
      <c r="AF13" s="31">
        <f t="shared" si="5"/>
        <v>8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1</v>
      </c>
      <c r="I14" s="50">
        <v>1</v>
      </c>
      <c r="J14" s="50">
        <v>0</v>
      </c>
      <c r="K14" s="50">
        <v>1</v>
      </c>
      <c r="L14" s="50">
        <v>0</v>
      </c>
      <c r="M14" s="50">
        <v>0</v>
      </c>
      <c r="N14" s="50">
        <v>0</v>
      </c>
      <c r="O14" s="15">
        <f t="shared" si="0"/>
        <v>3</v>
      </c>
      <c r="P14" s="15">
        <f t="shared" si="1"/>
        <v>3</v>
      </c>
      <c r="R14" s="1" t="s">
        <v>10</v>
      </c>
      <c r="S14" s="17">
        <f t="shared" ref="S14:AF14" si="6">SUM(C26:C29)</f>
        <v>0</v>
      </c>
      <c r="T14" s="17">
        <f t="shared" si="6"/>
        <v>1</v>
      </c>
      <c r="U14" s="17">
        <f t="shared" si="6"/>
        <v>0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2</v>
      </c>
      <c r="AA14" s="17">
        <f t="shared" si="6"/>
        <v>0</v>
      </c>
      <c r="AB14" s="17">
        <f t="shared" si="6"/>
        <v>0</v>
      </c>
      <c r="AC14" s="17">
        <f t="shared" si="6"/>
        <v>0</v>
      </c>
      <c r="AD14" s="17">
        <f t="shared" si="6"/>
        <v>0</v>
      </c>
      <c r="AE14" s="31">
        <f t="shared" si="6"/>
        <v>3</v>
      </c>
      <c r="AF14" s="31">
        <f t="shared" si="6"/>
        <v>3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1</v>
      </c>
      <c r="K15" s="50">
        <v>0</v>
      </c>
      <c r="L15" s="50">
        <v>0</v>
      </c>
      <c r="M15" s="50">
        <v>2</v>
      </c>
      <c r="N15" s="50">
        <v>0</v>
      </c>
      <c r="O15" s="15">
        <f t="shared" si="0"/>
        <v>1</v>
      </c>
      <c r="P15" s="15">
        <f t="shared" si="1"/>
        <v>3</v>
      </c>
      <c r="R15" s="1" t="s">
        <v>11</v>
      </c>
      <c r="S15" s="17">
        <f t="shared" ref="S15:AF15" si="7">SUM(C30:C33)</f>
        <v>0</v>
      </c>
      <c r="T15" s="17">
        <f t="shared" si="7"/>
        <v>0</v>
      </c>
      <c r="U15" s="17">
        <f t="shared" si="7"/>
        <v>1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</v>
      </c>
      <c r="AD15" s="17">
        <f t="shared" si="7"/>
        <v>0</v>
      </c>
      <c r="AE15" s="31">
        <f t="shared" si="7"/>
        <v>1</v>
      </c>
      <c r="AF15" s="31">
        <f t="shared" si="7"/>
        <v>2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15">
        <f t="shared" si="0"/>
        <v>0</v>
      </c>
      <c r="P16" s="15">
        <f t="shared" si="1"/>
        <v>0</v>
      </c>
      <c r="R16" s="1" t="s">
        <v>12</v>
      </c>
      <c r="S16" s="17">
        <f t="shared" ref="S16:AF16" si="8">SUM(C34:C37)</f>
        <v>1</v>
      </c>
      <c r="T16" s="17">
        <f t="shared" si="8"/>
        <v>1</v>
      </c>
      <c r="U16" s="17">
        <f t="shared" si="8"/>
        <v>0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3</v>
      </c>
      <c r="AD16" s="17">
        <f t="shared" si="8"/>
        <v>0</v>
      </c>
      <c r="AE16" s="31">
        <f t="shared" si="8"/>
        <v>5</v>
      </c>
      <c r="AF16" s="31">
        <f t="shared" si="8"/>
        <v>8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1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15">
        <f t="shared" si="0"/>
        <v>1</v>
      </c>
      <c r="P17" s="15">
        <f t="shared" si="1"/>
        <v>1</v>
      </c>
      <c r="R17" s="1" t="s">
        <v>13</v>
      </c>
      <c r="S17" s="17">
        <f t="shared" ref="S17:AF17" si="9">SUM(C38:C41)</f>
        <v>0</v>
      </c>
      <c r="T17" s="17">
        <f t="shared" si="9"/>
        <v>0</v>
      </c>
      <c r="U17" s="17">
        <f t="shared" si="9"/>
        <v>0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0</v>
      </c>
      <c r="AD17" s="17">
        <f t="shared" si="9"/>
        <v>0</v>
      </c>
      <c r="AE17" s="31">
        <f t="shared" si="9"/>
        <v>4</v>
      </c>
      <c r="AF17" s="31">
        <f t="shared" si="9"/>
        <v>4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1</v>
      </c>
      <c r="K18" s="50">
        <v>0</v>
      </c>
      <c r="L18" s="50">
        <v>0</v>
      </c>
      <c r="M18" s="50">
        <v>2</v>
      </c>
      <c r="N18" s="50">
        <v>0</v>
      </c>
      <c r="O18" s="15">
        <f t="shared" si="0"/>
        <v>1</v>
      </c>
      <c r="P18" s="15">
        <f t="shared" si="1"/>
        <v>3</v>
      </c>
      <c r="R18" s="1" t="s">
        <v>14</v>
      </c>
      <c r="S18" s="17">
        <f t="shared" ref="S18:AF18" si="10">SUM(C42:C45)</f>
        <v>0</v>
      </c>
      <c r="T18" s="17">
        <f t="shared" si="10"/>
        <v>2</v>
      </c>
      <c r="U18" s="17">
        <f t="shared" si="10"/>
        <v>2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4</v>
      </c>
      <c r="AD18" s="17">
        <f t="shared" si="10"/>
        <v>0</v>
      </c>
      <c r="AE18" s="31">
        <f t="shared" si="10"/>
        <v>10</v>
      </c>
      <c r="AF18" s="31">
        <f t="shared" si="10"/>
        <v>14</v>
      </c>
    </row>
    <row r="19" spans="2:32" ht="23.1" customHeight="1" x14ac:dyDescent="0.25">
      <c r="B19" s="23" t="s">
        <v>46</v>
      </c>
      <c r="C19" s="50">
        <v>2</v>
      </c>
      <c r="D19" s="50">
        <v>2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1</v>
      </c>
      <c r="K19" s="50">
        <v>0</v>
      </c>
      <c r="L19" s="50">
        <v>0</v>
      </c>
      <c r="M19" s="50">
        <v>1</v>
      </c>
      <c r="N19" s="50">
        <v>0</v>
      </c>
      <c r="O19" s="15">
        <f t="shared" si="0"/>
        <v>5</v>
      </c>
      <c r="P19" s="15">
        <f t="shared" si="1"/>
        <v>6</v>
      </c>
      <c r="R19" s="1" t="s">
        <v>15</v>
      </c>
      <c r="S19" s="17">
        <f t="shared" ref="S19:AF19" si="11">SUM(C46:C49)</f>
        <v>0</v>
      </c>
      <c r="T19" s="17">
        <f t="shared" si="11"/>
        <v>1</v>
      </c>
      <c r="U19" s="17">
        <f t="shared" si="11"/>
        <v>2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2</v>
      </c>
      <c r="AD19" s="17">
        <f t="shared" si="11"/>
        <v>0</v>
      </c>
      <c r="AE19" s="31">
        <f t="shared" si="11"/>
        <v>5</v>
      </c>
      <c r="AF19" s="31">
        <f t="shared" si="11"/>
        <v>7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3</v>
      </c>
      <c r="N20" s="50">
        <v>0</v>
      </c>
      <c r="O20" s="15">
        <f t="shared" si="0"/>
        <v>1</v>
      </c>
      <c r="P20" s="15">
        <f t="shared" si="1"/>
        <v>4</v>
      </c>
      <c r="R20" s="1" t="s">
        <v>16</v>
      </c>
      <c r="S20" s="17">
        <f t="shared" ref="S20:AF20" si="12">SUM(C50:C53)</f>
        <v>0</v>
      </c>
      <c r="T20" s="17">
        <f t="shared" si="12"/>
        <v>0</v>
      </c>
      <c r="U20" s="17">
        <f t="shared" si="12"/>
        <v>3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3</v>
      </c>
      <c r="AD20" s="17">
        <f t="shared" si="12"/>
        <v>0</v>
      </c>
      <c r="AE20" s="31">
        <f t="shared" si="12"/>
        <v>3</v>
      </c>
      <c r="AF20" s="31">
        <f t="shared" si="12"/>
        <v>6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15">
        <f t="shared" si="0"/>
        <v>0</v>
      </c>
      <c r="P21" s="15">
        <f t="shared" si="1"/>
        <v>0</v>
      </c>
      <c r="R21" s="36" t="s">
        <v>20</v>
      </c>
      <c r="S21" s="34">
        <f t="shared" ref="S21:AF21" si="13">SUM(C54:C57)</f>
        <v>1</v>
      </c>
      <c r="T21" s="17">
        <f t="shared" si="13"/>
        <v>0</v>
      </c>
      <c r="U21" s="17">
        <f t="shared" si="13"/>
        <v>0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1</v>
      </c>
      <c r="AD21" s="17">
        <f t="shared" si="13"/>
        <v>0</v>
      </c>
      <c r="AE21" s="31">
        <f t="shared" si="13"/>
        <v>1</v>
      </c>
      <c r="AF21" s="31">
        <f t="shared" si="13"/>
        <v>2</v>
      </c>
    </row>
    <row r="22" spans="2:32" ht="23.1" customHeight="1" x14ac:dyDescent="0.25">
      <c r="B22" s="23" t="s">
        <v>49</v>
      </c>
      <c r="C22" s="50">
        <v>0</v>
      </c>
      <c r="D22" s="50">
        <v>1</v>
      </c>
      <c r="E22" s="50">
        <v>1</v>
      </c>
      <c r="F22" s="50">
        <v>0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1</v>
      </c>
      <c r="N22" s="50">
        <v>0</v>
      </c>
      <c r="O22" s="15">
        <f t="shared" si="0"/>
        <v>3</v>
      </c>
      <c r="P22" s="15">
        <f t="shared" si="1"/>
        <v>4</v>
      </c>
      <c r="R22" s="38" t="s">
        <v>90</v>
      </c>
      <c r="S22" s="39">
        <f>MAX(S10:S12)</f>
        <v>2</v>
      </c>
      <c r="T22" s="39">
        <f t="shared" ref="T22:AF22" si="14">MAX(T10:T12)</f>
        <v>2</v>
      </c>
      <c r="U22" s="39">
        <f t="shared" si="14"/>
        <v>1</v>
      </c>
      <c r="V22" s="39">
        <f t="shared" si="14"/>
        <v>1</v>
      </c>
      <c r="W22" s="39">
        <f t="shared" si="14"/>
        <v>0</v>
      </c>
      <c r="X22" s="39">
        <f t="shared" si="14"/>
        <v>1</v>
      </c>
      <c r="Y22" s="39">
        <f t="shared" si="14"/>
        <v>1</v>
      </c>
      <c r="Z22" s="39">
        <f t="shared" si="14"/>
        <v>2</v>
      </c>
      <c r="AA22" s="39">
        <f t="shared" si="14"/>
        <v>2</v>
      </c>
      <c r="AB22" s="39">
        <f t="shared" si="14"/>
        <v>0</v>
      </c>
      <c r="AC22" s="39">
        <f t="shared" si="14"/>
        <v>6</v>
      </c>
      <c r="AD22" s="39">
        <f t="shared" si="14"/>
        <v>1</v>
      </c>
      <c r="AE22" s="40">
        <f t="shared" si="14"/>
        <v>8</v>
      </c>
      <c r="AF22" s="40">
        <f t="shared" si="14"/>
        <v>13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15">
        <f t="shared" si="0"/>
        <v>0</v>
      </c>
      <c r="P23" s="15">
        <f t="shared" si="1"/>
        <v>0</v>
      </c>
      <c r="R23" s="38" t="s">
        <v>91</v>
      </c>
      <c r="S23" s="39">
        <f>MAX(S13:S18)</f>
        <v>1</v>
      </c>
      <c r="T23" s="39">
        <f t="shared" ref="T23:AF23" si="15">MAX(T13:T18)</f>
        <v>2</v>
      </c>
      <c r="U23" s="39">
        <f t="shared" si="15"/>
        <v>2</v>
      </c>
      <c r="V23" s="39">
        <f t="shared" si="15"/>
        <v>1</v>
      </c>
      <c r="W23" s="39">
        <f t="shared" si="15"/>
        <v>0</v>
      </c>
      <c r="X23" s="39">
        <f t="shared" si="15"/>
        <v>0</v>
      </c>
      <c r="Y23" s="39">
        <f t="shared" si="15"/>
        <v>4</v>
      </c>
      <c r="Z23" s="39">
        <f t="shared" si="15"/>
        <v>2</v>
      </c>
      <c r="AA23" s="39">
        <f t="shared" si="15"/>
        <v>0</v>
      </c>
      <c r="AB23" s="39">
        <f t="shared" si="15"/>
        <v>0</v>
      </c>
      <c r="AC23" s="39">
        <f t="shared" si="15"/>
        <v>4</v>
      </c>
      <c r="AD23" s="39">
        <f t="shared" si="15"/>
        <v>0</v>
      </c>
      <c r="AE23" s="40">
        <f t="shared" si="15"/>
        <v>10</v>
      </c>
      <c r="AF23" s="40">
        <f t="shared" si="15"/>
        <v>14</v>
      </c>
    </row>
    <row r="24" spans="2:32" ht="23.1" customHeight="1" x14ac:dyDescent="0.25">
      <c r="B24" s="23" t="s">
        <v>51</v>
      </c>
      <c r="C24" s="50">
        <v>1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1</v>
      </c>
      <c r="N24" s="50">
        <v>0</v>
      </c>
      <c r="O24" s="15">
        <f t="shared" si="0"/>
        <v>2</v>
      </c>
      <c r="P24" s="15">
        <f t="shared" si="1"/>
        <v>3</v>
      </c>
      <c r="R24" s="38" t="s">
        <v>92</v>
      </c>
      <c r="S24" s="39">
        <f>MAX(S19:S21)</f>
        <v>1</v>
      </c>
      <c r="T24" s="39">
        <f t="shared" ref="T24:AF24" si="16">MAX(T19:T21)</f>
        <v>1</v>
      </c>
      <c r="U24" s="39">
        <f t="shared" si="16"/>
        <v>3</v>
      </c>
      <c r="V24" s="39">
        <f t="shared" si="16"/>
        <v>0</v>
      </c>
      <c r="W24" s="39">
        <f t="shared" si="16"/>
        <v>0</v>
      </c>
      <c r="X24" s="39">
        <f t="shared" si="16"/>
        <v>0</v>
      </c>
      <c r="Y24" s="39">
        <f t="shared" si="16"/>
        <v>1</v>
      </c>
      <c r="Z24" s="39">
        <f t="shared" si="16"/>
        <v>1</v>
      </c>
      <c r="AA24" s="39">
        <f t="shared" si="16"/>
        <v>0</v>
      </c>
      <c r="AB24" s="39">
        <f t="shared" si="16"/>
        <v>0</v>
      </c>
      <c r="AC24" s="39">
        <f t="shared" si="16"/>
        <v>3</v>
      </c>
      <c r="AD24" s="39">
        <f t="shared" si="16"/>
        <v>0</v>
      </c>
      <c r="AE24" s="40">
        <f t="shared" si="16"/>
        <v>5</v>
      </c>
      <c r="AF24" s="40">
        <f t="shared" si="16"/>
        <v>7</v>
      </c>
    </row>
    <row r="25" spans="2:32" ht="23.1" customHeight="1" x14ac:dyDescent="0.25">
      <c r="B25" s="23" t="s">
        <v>52</v>
      </c>
      <c r="C25" s="50">
        <v>0</v>
      </c>
      <c r="D25" s="50">
        <v>1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15">
        <f t="shared" si="0"/>
        <v>1</v>
      </c>
      <c r="P25" s="15">
        <f t="shared" si="1"/>
        <v>1</v>
      </c>
      <c r="R25" s="37" t="s">
        <v>85</v>
      </c>
      <c r="S25" s="35">
        <f t="shared" ref="S25:AF25" si="17">SUM(S10:S12)</f>
        <v>2</v>
      </c>
      <c r="T25" s="16">
        <f t="shared" si="17"/>
        <v>4</v>
      </c>
      <c r="U25" s="16">
        <f t="shared" si="17"/>
        <v>2</v>
      </c>
      <c r="V25" s="16">
        <f t="shared" si="17"/>
        <v>1</v>
      </c>
      <c r="W25" s="16">
        <f t="shared" si="17"/>
        <v>0</v>
      </c>
      <c r="X25" s="16">
        <f t="shared" si="17"/>
        <v>1</v>
      </c>
      <c r="Y25" s="16">
        <f t="shared" si="17"/>
        <v>1</v>
      </c>
      <c r="Z25" s="16">
        <f t="shared" si="17"/>
        <v>5</v>
      </c>
      <c r="AA25" s="16">
        <f t="shared" si="17"/>
        <v>3</v>
      </c>
      <c r="AB25" s="16">
        <f t="shared" si="17"/>
        <v>0</v>
      </c>
      <c r="AC25" s="16">
        <f t="shared" si="17"/>
        <v>8</v>
      </c>
      <c r="AD25" s="16">
        <f t="shared" si="17"/>
        <v>1</v>
      </c>
      <c r="AE25" s="32">
        <f t="shared" si="17"/>
        <v>20</v>
      </c>
      <c r="AF25" s="32">
        <f t="shared" si="17"/>
        <v>28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1</v>
      </c>
      <c r="K26" s="50">
        <v>0</v>
      </c>
      <c r="L26" s="50">
        <v>0</v>
      </c>
      <c r="M26" s="50">
        <v>0</v>
      </c>
      <c r="N26" s="50">
        <v>0</v>
      </c>
      <c r="O26" s="15">
        <f t="shared" si="0"/>
        <v>1</v>
      </c>
      <c r="P26" s="15">
        <f t="shared" si="1"/>
        <v>1</v>
      </c>
      <c r="R26" s="28" t="s">
        <v>86</v>
      </c>
      <c r="S26" s="16">
        <f t="shared" ref="S26:AF26" si="18">SUM(S13:S18)</f>
        <v>2</v>
      </c>
      <c r="T26" s="16">
        <f t="shared" si="18"/>
        <v>6</v>
      </c>
      <c r="U26" s="16">
        <f t="shared" si="18"/>
        <v>4</v>
      </c>
      <c r="V26" s="16">
        <f t="shared" si="18"/>
        <v>1</v>
      </c>
      <c r="W26" s="16">
        <f t="shared" si="18"/>
        <v>0</v>
      </c>
      <c r="X26" s="16">
        <f t="shared" si="18"/>
        <v>0</v>
      </c>
      <c r="Y26" s="16">
        <f t="shared" si="18"/>
        <v>10</v>
      </c>
      <c r="Z26" s="16">
        <f t="shared" si="18"/>
        <v>6</v>
      </c>
      <c r="AA26" s="16">
        <f t="shared" si="18"/>
        <v>0</v>
      </c>
      <c r="AB26" s="16">
        <f t="shared" si="18"/>
        <v>0</v>
      </c>
      <c r="AC26" s="16">
        <f t="shared" si="18"/>
        <v>10</v>
      </c>
      <c r="AD26" s="16">
        <f t="shared" si="18"/>
        <v>0</v>
      </c>
      <c r="AE26" s="32">
        <f t="shared" si="18"/>
        <v>29</v>
      </c>
      <c r="AF26" s="32">
        <f t="shared" si="18"/>
        <v>39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15">
        <f t="shared" si="0"/>
        <v>0</v>
      </c>
      <c r="P27" s="15">
        <f t="shared" si="1"/>
        <v>0</v>
      </c>
      <c r="R27" s="29" t="s">
        <v>87</v>
      </c>
      <c r="S27" s="16">
        <f t="shared" ref="S27:AF27" si="19">SUM(S19:S21)</f>
        <v>1</v>
      </c>
      <c r="T27" s="16">
        <f t="shared" si="19"/>
        <v>1</v>
      </c>
      <c r="U27" s="16">
        <f t="shared" si="19"/>
        <v>5</v>
      </c>
      <c r="V27" s="16">
        <f t="shared" si="19"/>
        <v>0</v>
      </c>
      <c r="W27" s="16">
        <f t="shared" si="19"/>
        <v>0</v>
      </c>
      <c r="X27" s="16">
        <f t="shared" si="19"/>
        <v>0</v>
      </c>
      <c r="Y27" s="16">
        <f t="shared" si="19"/>
        <v>1</v>
      </c>
      <c r="Z27" s="16">
        <f t="shared" si="19"/>
        <v>1</v>
      </c>
      <c r="AA27" s="16">
        <f t="shared" si="19"/>
        <v>0</v>
      </c>
      <c r="AB27" s="16">
        <f t="shared" si="19"/>
        <v>0</v>
      </c>
      <c r="AC27" s="16">
        <f t="shared" si="19"/>
        <v>6</v>
      </c>
      <c r="AD27" s="16">
        <f t="shared" si="19"/>
        <v>0</v>
      </c>
      <c r="AE27" s="32">
        <f t="shared" si="19"/>
        <v>9</v>
      </c>
      <c r="AF27" s="32">
        <f t="shared" si="19"/>
        <v>15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15">
        <f t="shared" si="0"/>
        <v>0</v>
      </c>
      <c r="P28" s="15">
        <f t="shared" si="1"/>
        <v>0</v>
      </c>
      <c r="R28" s="5" t="s">
        <v>17</v>
      </c>
      <c r="S28" s="16">
        <f t="shared" ref="S28:AF28" si="20">SUM(S10:S21)</f>
        <v>5</v>
      </c>
      <c r="T28" s="16">
        <f t="shared" si="20"/>
        <v>11</v>
      </c>
      <c r="U28" s="16">
        <f t="shared" si="20"/>
        <v>11</v>
      </c>
      <c r="V28" s="16">
        <f t="shared" si="20"/>
        <v>2</v>
      </c>
      <c r="W28" s="16">
        <f t="shared" si="20"/>
        <v>0</v>
      </c>
      <c r="X28" s="16">
        <f t="shared" si="20"/>
        <v>1</v>
      </c>
      <c r="Y28" s="16">
        <f t="shared" si="20"/>
        <v>12</v>
      </c>
      <c r="Z28" s="16">
        <f t="shared" si="20"/>
        <v>12</v>
      </c>
      <c r="AA28" s="16">
        <f t="shared" si="20"/>
        <v>3</v>
      </c>
      <c r="AB28" s="16">
        <f t="shared" si="20"/>
        <v>0</v>
      </c>
      <c r="AC28" s="16">
        <f t="shared" si="20"/>
        <v>24</v>
      </c>
      <c r="AD28" s="16">
        <f t="shared" si="20"/>
        <v>1</v>
      </c>
      <c r="AE28" s="32">
        <f t="shared" si="20"/>
        <v>58</v>
      </c>
      <c r="AF28" s="32">
        <f t="shared" si="20"/>
        <v>82</v>
      </c>
    </row>
    <row r="29" spans="2:32" ht="23.1" customHeight="1" x14ac:dyDescent="0.25">
      <c r="B29" s="23" t="s">
        <v>56</v>
      </c>
      <c r="C29" s="50">
        <v>0</v>
      </c>
      <c r="D29" s="50">
        <v>1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1</v>
      </c>
      <c r="K29" s="50">
        <v>0</v>
      </c>
      <c r="L29" s="50">
        <v>0</v>
      </c>
      <c r="M29" s="50">
        <v>0</v>
      </c>
      <c r="N29" s="50">
        <v>0</v>
      </c>
      <c r="O29" s="15">
        <f t="shared" si="0"/>
        <v>2</v>
      </c>
      <c r="P29" s="15">
        <f t="shared" si="1"/>
        <v>2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15">
        <f t="shared" si="0"/>
        <v>0</v>
      </c>
      <c r="P30" s="15">
        <f t="shared" si="1"/>
        <v>0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1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15">
        <f t="shared" si="0"/>
        <v>1</v>
      </c>
      <c r="P31" s="15">
        <f t="shared" si="1"/>
        <v>1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</v>
      </c>
      <c r="N32" s="50">
        <v>0</v>
      </c>
      <c r="O32" s="15">
        <f t="shared" si="0"/>
        <v>0</v>
      </c>
      <c r="P32" s="15">
        <f t="shared" si="1"/>
        <v>1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15">
        <f t="shared" si="0"/>
        <v>0</v>
      </c>
      <c r="P33" s="15">
        <f t="shared" si="1"/>
        <v>0</v>
      </c>
    </row>
    <row r="34" spans="2:20" ht="23.1" customHeight="1" x14ac:dyDescent="0.25">
      <c r="B34" s="24" t="s">
        <v>61</v>
      </c>
      <c r="C34" s="50">
        <v>1</v>
      </c>
      <c r="D34" s="50">
        <v>1</v>
      </c>
      <c r="E34" s="50">
        <v>0</v>
      </c>
      <c r="F34" s="50">
        <v>0</v>
      </c>
      <c r="G34" s="50">
        <v>0</v>
      </c>
      <c r="H34" s="50">
        <v>0</v>
      </c>
      <c r="I34" s="50">
        <v>1</v>
      </c>
      <c r="J34" s="50">
        <v>1</v>
      </c>
      <c r="K34" s="50">
        <v>0</v>
      </c>
      <c r="L34" s="50">
        <v>0</v>
      </c>
      <c r="M34" s="50">
        <v>2</v>
      </c>
      <c r="N34" s="50">
        <v>0</v>
      </c>
      <c r="O34" s="15">
        <f t="shared" si="0"/>
        <v>4</v>
      </c>
      <c r="P34" s="15">
        <f t="shared" si="1"/>
        <v>6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1</v>
      </c>
      <c r="K35" s="50">
        <v>0</v>
      </c>
      <c r="L35" s="50">
        <v>0</v>
      </c>
      <c r="M35" s="50">
        <v>1</v>
      </c>
      <c r="N35" s="50">
        <v>0</v>
      </c>
      <c r="O35" s="15">
        <f t="shared" si="0"/>
        <v>1</v>
      </c>
      <c r="P35" s="15">
        <f t="shared" si="1"/>
        <v>2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0</v>
      </c>
      <c r="N36" s="50">
        <v>0</v>
      </c>
      <c r="O36" s="15">
        <f t="shared" si="0"/>
        <v>0</v>
      </c>
      <c r="P36" s="15">
        <f t="shared" si="1"/>
        <v>0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0</v>
      </c>
      <c r="N37" s="50">
        <v>0</v>
      </c>
      <c r="O37" s="15">
        <f t="shared" si="0"/>
        <v>0</v>
      </c>
      <c r="P37" s="15">
        <f t="shared" si="1"/>
        <v>0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0</v>
      </c>
      <c r="N38" s="50">
        <v>0</v>
      </c>
      <c r="O38" s="15">
        <f t="shared" si="0"/>
        <v>0</v>
      </c>
      <c r="P38" s="15">
        <f t="shared" si="1"/>
        <v>0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0</v>
      </c>
      <c r="N39" s="50">
        <v>0</v>
      </c>
      <c r="O39" s="15">
        <f t="shared" si="0"/>
        <v>0</v>
      </c>
      <c r="P39" s="15">
        <f t="shared" si="1"/>
        <v>0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0</v>
      </c>
      <c r="N40" s="50">
        <v>0</v>
      </c>
      <c r="O40" s="15">
        <f t="shared" si="0"/>
        <v>2</v>
      </c>
      <c r="P40" s="15">
        <f t="shared" si="1"/>
        <v>2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1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0</v>
      </c>
      <c r="N41" s="50">
        <v>0</v>
      </c>
      <c r="O41" s="15">
        <f t="shared" si="0"/>
        <v>2</v>
      </c>
      <c r="P41" s="15">
        <f t="shared" si="1"/>
        <v>2</v>
      </c>
    </row>
    <row r="42" spans="2:20" ht="23.1" customHeight="1" x14ac:dyDescent="0.25">
      <c r="B42" s="24" t="s">
        <v>69</v>
      </c>
      <c r="C42" s="50">
        <v>0</v>
      </c>
      <c r="D42" s="50">
        <v>1</v>
      </c>
      <c r="E42" s="50">
        <v>1</v>
      </c>
      <c r="F42" s="50">
        <v>0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0</v>
      </c>
      <c r="N42" s="50">
        <v>0</v>
      </c>
      <c r="O42" s="15">
        <f t="shared" si="0"/>
        <v>4</v>
      </c>
      <c r="P42" s="15">
        <f t="shared" si="1"/>
        <v>4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0</v>
      </c>
      <c r="N43" s="50">
        <v>0</v>
      </c>
      <c r="O43" s="15">
        <f t="shared" si="0"/>
        <v>0</v>
      </c>
      <c r="P43" s="15">
        <f t="shared" si="1"/>
        <v>0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1</v>
      </c>
      <c r="F44" s="50">
        <v>0</v>
      </c>
      <c r="G44" s="50">
        <v>0</v>
      </c>
      <c r="H44" s="50">
        <v>0</v>
      </c>
      <c r="I44" s="50">
        <v>0</v>
      </c>
      <c r="J44" s="50">
        <v>2</v>
      </c>
      <c r="K44" s="50">
        <v>0</v>
      </c>
      <c r="L44" s="50">
        <v>0</v>
      </c>
      <c r="M44" s="50">
        <v>2</v>
      </c>
      <c r="N44" s="50">
        <v>0</v>
      </c>
      <c r="O44" s="15">
        <f t="shared" si="0"/>
        <v>3</v>
      </c>
      <c r="P44" s="15">
        <f t="shared" si="1"/>
        <v>5</v>
      </c>
    </row>
    <row r="45" spans="2:20" ht="23.1" customHeight="1" x14ac:dyDescent="0.25">
      <c r="B45" s="23" t="s">
        <v>72</v>
      </c>
      <c r="C45" s="50">
        <v>0</v>
      </c>
      <c r="D45" s="50">
        <v>1</v>
      </c>
      <c r="E45" s="50">
        <v>0</v>
      </c>
      <c r="F45" s="50">
        <v>0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2</v>
      </c>
      <c r="N45" s="50">
        <v>0</v>
      </c>
      <c r="O45" s="15">
        <f t="shared" si="0"/>
        <v>3</v>
      </c>
      <c r="P45" s="15">
        <f t="shared" si="1"/>
        <v>5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1</v>
      </c>
      <c r="J46" s="50">
        <v>1</v>
      </c>
      <c r="K46" s="50">
        <v>0</v>
      </c>
      <c r="L46" s="50">
        <v>0</v>
      </c>
      <c r="M46" s="50">
        <v>2</v>
      </c>
      <c r="N46" s="50">
        <v>0</v>
      </c>
      <c r="O46" s="15">
        <f t="shared" si="0"/>
        <v>2</v>
      </c>
      <c r="P46" s="15">
        <f t="shared" si="1"/>
        <v>4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0</v>
      </c>
      <c r="N47" s="50">
        <v>0</v>
      </c>
      <c r="O47" s="15">
        <f t="shared" si="0"/>
        <v>0</v>
      </c>
      <c r="P47" s="15">
        <f t="shared" si="1"/>
        <v>0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1</v>
      </c>
      <c r="E48" s="50">
        <v>2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0</v>
      </c>
      <c r="N48" s="50">
        <v>0</v>
      </c>
      <c r="O48" s="15">
        <f t="shared" si="0"/>
        <v>3</v>
      </c>
      <c r="P48" s="15">
        <f t="shared" si="1"/>
        <v>3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0</v>
      </c>
      <c r="N49" s="50">
        <v>0</v>
      </c>
      <c r="O49" s="15">
        <f t="shared" si="0"/>
        <v>0</v>
      </c>
      <c r="P49" s="15">
        <f t="shared" si="1"/>
        <v>0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2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</v>
      </c>
      <c r="N50" s="50">
        <v>0</v>
      </c>
      <c r="O50" s="15">
        <f t="shared" si="0"/>
        <v>2</v>
      </c>
      <c r="P50" s="15">
        <f t="shared" si="1"/>
        <v>3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</v>
      </c>
      <c r="N51" s="50">
        <v>0</v>
      </c>
      <c r="O51" s="15">
        <f t="shared" si="0"/>
        <v>0</v>
      </c>
      <c r="P51" s="15">
        <f t="shared" si="1"/>
        <v>1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0</v>
      </c>
      <c r="N52" s="50">
        <v>0</v>
      </c>
      <c r="O52" s="15">
        <f t="shared" si="0"/>
        <v>0</v>
      </c>
      <c r="P52" s="15">
        <f t="shared" si="1"/>
        <v>0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1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</v>
      </c>
      <c r="N53" s="50">
        <v>0</v>
      </c>
      <c r="O53" s="15">
        <f t="shared" si="0"/>
        <v>1</v>
      </c>
      <c r="P53" s="15">
        <f t="shared" si="1"/>
        <v>2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0</v>
      </c>
      <c r="N54" s="50">
        <v>0</v>
      </c>
      <c r="O54" s="15">
        <f t="shared" si="0"/>
        <v>0</v>
      </c>
      <c r="P54" s="15">
        <f t="shared" si="1"/>
        <v>0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</v>
      </c>
      <c r="N55" s="50">
        <v>0</v>
      </c>
      <c r="O55" s="15">
        <f t="shared" si="0"/>
        <v>0</v>
      </c>
      <c r="P55" s="15">
        <f t="shared" si="1"/>
        <v>1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0</v>
      </c>
      <c r="N56" s="50">
        <v>0</v>
      </c>
      <c r="O56" s="15">
        <f t="shared" si="0"/>
        <v>1</v>
      </c>
      <c r="P56" s="15">
        <f t="shared" si="1"/>
        <v>1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15">
        <f t="shared" si="0"/>
        <v>0</v>
      </c>
      <c r="P57" s="15">
        <f t="shared" si="1"/>
        <v>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5</v>
      </c>
      <c r="D58" s="16">
        <f t="shared" si="21"/>
        <v>11</v>
      </c>
      <c r="E58" s="16">
        <f t="shared" si="21"/>
        <v>11</v>
      </c>
      <c r="F58" s="16">
        <f t="shared" si="21"/>
        <v>2</v>
      </c>
      <c r="G58" s="16">
        <f t="shared" si="21"/>
        <v>0</v>
      </c>
      <c r="H58" s="16">
        <f t="shared" si="21"/>
        <v>1</v>
      </c>
      <c r="I58" s="16">
        <f t="shared" si="21"/>
        <v>12</v>
      </c>
      <c r="J58" s="16">
        <f t="shared" si="21"/>
        <v>12</v>
      </c>
      <c r="K58" s="16">
        <f t="shared" si="21"/>
        <v>3</v>
      </c>
      <c r="L58" s="16">
        <f t="shared" si="21"/>
        <v>0</v>
      </c>
      <c r="M58" s="16">
        <f t="shared" si="21"/>
        <v>24</v>
      </c>
      <c r="N58" s="16">
        <f t="shared" si="21"/>
        <v>1</v>
      </c>
      <c r="O58" s="16">
        <f t="shared" si="21"/>
        <v>58</v>
      </c>
      <c r="P58" s="16">
        <f t="shared" si="21"/>
        <v>82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6.097560975609756E-2</v>
      </c>
      <c r="D59" s="43">
        <f t="shared" si="22"/>
        <v>0.13414634146341464</v>
      </c>
      <c r="E59" s="43">
        <f t="shared" si="22"/>
        <v>0.13414634146341464</v>
      </c>
      <c r="F59" s="43">
        <f t="shared" si="22"/>
        <v>2.4390243902439025E-2</v>
      </c>
      <c r="G59" s="43">
        <f t="shared" si="22"/>
        <v>0</v>
      </c>
      <c r="H59" s="43">
        <f t="shared" si="22"/>
        <v>1.2195121951219513E-2</v>
      </c>
      <c r="I59" s="43">
        <f t="shared" si="22"/>
        <v>0.14634146341463414</v>
      </c>
      <c r="J59" s="43">
        <f t="shared" si="22"/>
        <v>0.14634146341463414</v>
      </c>
      <c r="K59" s="43">
        <f t="shared" si="22"/>
        <v>3.6585365853658534E-2</v>
      </c>
      <c r="L59" s="43">
        <f t="shared" si="22"/>
        <v>0</v>
      </c>
      <c r="M59" s="43">
        <f t="shared" si="22"/>
        <v>0.29268292682926828</v>
      </c>
      <c r="N59" s="43">
        <f t="shared" si="22"/>
        <v>1.2195121951219513E-2</v>
      </c>
      <c r="R59" s="8"/>
      <c r="T59"/>
    </row>
    <row r="60" spans="2:20" ht="23.1" customHeight="1" x14ac:dyDescent="0.25">
      <c r="B60" s="42" t="s">
        <v>94</v>
      </c>
      <c r="C60" s="44">
        <f>C58/$O$58</f>
        <v>8.6206896551724144E-2</v>
      </c>
      <c r="D60" s="44">
        <f t="shared" ref="D60:N60" si="23">D58/$O$58</f>
        <v>0.18965517241379309</v>
      </c>
      <c r="E60" s="44">
        <f t="shared" si="23"/>
        <v>0.18965517241379309</v>
      </c>
      <c r="F60" s="44">
        <f t="shared" si="23"/>
        <v>3.4482758620689655E-2</v>
      </c>
      <c r="G60" s="44">
        <f t="shared" si="23"/>
        <v>0</v>
      </c>
      <c r="H60" s="44">
        <f t="shared" si="23"/>
        <v>1.7241379310344827E-2</v>
      </c>
      <c r="I60" s="44">
        <f t="shared" si="23"/>
        <v>0.20689655172413793</v>
      </c>
      <c r="J60" s="44">
        <f t="shared" si="23"/>
        <v>0.20689655172413793</v>
      </c>
      <c r="K60" s="44">
        <f t="shared" si="23"/>
        <v>5.1724137931034482E-2</v>
      </c>
      <c r="L60" s="44">
        <f t="shared" si="23"/>
        <v>0</v>
      </c>
      <c r="M60" s="44"/>
      <c r="N60" s="44">
        <f t="shared" si="23"/>
        <v>1.7241379310344827E-2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126"/>
  <sheetViews>
    <sheetView view="pageBreakPreview" zoomScale="60" workbookViewId="0">
      <selection activeCell="C55" sqref="C5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'05.08 KABONG-KOTIDO'!C3:G3</f>
        <v>MCC - C5 - STN0125 - KAABONG-KOTIDO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'05.08 KABONG-KOTIDO'!D5</f>
        <v>5.08.19</v>
      </c>
      <c r="E5" s="3"/>
      <c r="F5" s="41" t="s">
        <v>1</v>
      </c>
      <c r="G5" s="63" t="str">
        <f>'05.08 KABONG-KOTIDO'!G5:H5</f>
        <v>xxx</v>
      </c>
      <c r="H5" s="64"/>
      <c r="I5" s="14"/>
      <c r="J5" s="2" t="s">
        <v>5</v>
      </c>
      <c r="K5" s="63" t="str">
        <f>'05.08 KABONG-KOTIDO'!K5:L5</f>
        <v>NALUBEGA JOSEPHINE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57" t="s">
        <v>172</v>
      </c>
      <c r="E6" s="58"/>
      <c r="F6" s="2" t="s">
        <v>2</v>
      </c>
      <c r="G6" s="57" t="s">
        <v>168</v>
      </c>
      <c r="H6" s="58"/>
      <c r="J6" s="2" t="s">
        <v>21</v>
      </c>
      <c r="K6" s="63" t="str">
        <f>'05.08 KABONG-KOTIDO'!K6:L6</f>
        <v>CRANIMER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2</v>
      </c>
      <c r="F10" s="50">
        <v>0</v>
      </c>
      <c r="G10" s="50">
        <v>0</v>
      </c>
      <c r="H10" s="50">
        <v>0</v>
      </c>
      <c r="I10" s="50">
        <v>0</v>
      </c>
      <c r="J10" s="50">
        <v>1</v>
      </c>
      <c r="K10" s="50">
        <v>0</v>
      </c>
      <c r="L10" s="50">
        <v>0</v>
      </c>
      <c r="M10" s="50">
        <v>1</v>
      </c>
      <c r="N10" s="50">
        <v>0</v>
      </c>
      <c r="O10" s="15">
        <f t="shared" ref="O10:O57" si="0">SUM(C10:L10,N10)</f>
        <v>3</v>
      </c>
      <c r="P10" s="15">
        <f t="shared" ref="P10:P57" si="1">SUM(C10:N10)</f>
        <v>4</v>
      </c>
      <c r="R10" s="1" t="s">
        <v>6</v>
      </c>
      <c r="S10" s="17">
        <f t="shared" ref="S10:AF10" si="2">SUM(C10:C13)</f>
        <v>1</v>
      </c>
      <c r="T10" s="17">
        <f t="shared" si="2"/>
        <v>1</v>
      </c>
      <c r="U10" s="17">
        <f t="shared" si="2"/>
        <v>2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2</v>
      </c>
      <c r="AD10" s="17">
        <f t="shared" si="2"/>
        <v>0</v>
      </c>
      <c r="AE10" s="31">
        <f t="shared" si="2"/>
        <v>5</v>
      </c>
      <c r="AF10" s="31">
        <f t="shared" si="2"/>
        <v>7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0</v>
      </c>
      <c r="P11" s="15">
        <f t="shared" si="1"/>
        <v>0</v>
      </c>
      <c r="R11" s="1" t="s">
        <v>7</v>
      </c>
      <c r="S11" s="17">
        <f t="shared" ref="S11:AF11" si="3">SUM(C14:C17)</f>
        <v>1</v>
      </c>
      <c r="T11" s="17">
        <f t="shared" si="3"/>
        <v>3</v>
      </c>
      <c r="U11" s="17">
        <f t="shared" si="3"/>
        <v>1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8</v>
      </c>
      <c r="AA11" s="17">
        <f t="shared" si="3"/>
        <v>0</v>
      </c>
      <c r="AB11" s="17">
        <f t="shared" si="3"/>
        <v>0</v>
      </c>
      <c r="AC11" s="17">
        <f t="shared" si="3"/>
        <v>7</v>
      </c>
      <c r="AD11" s="17">
        <f t="shared" si="3"/>
        <v>0</v>
      </c>
      <c r="AE11" s="31">
        <f t="shared" si="3"/>
        <v>14</v>
      </c>
      <c r="AF11" s="31">
        <f t="shared" si="3"/>
        <v>21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15">
        <f t="shared" si="0"/>
        <v>0</v>
      </c>
      <c r="P12" s="15">
        <f t="shared" si="1"/>
        <v>0</v>
      </c>
      <c r="R12" s="1" t="s">
        <v>8</v>
      </c>
      <c r="S12" s="17">
        <f t="shared" ref="S12:AF12" si="4">SUM(C18:C21)</f>
        <v>2</v>
      </c>
      <c r="T12" s="17">
        <f t="shared" si="4"/>
        <v>4</v>
      </c>
      <c r="U12" s="17">
        <f t="shared" si="4"/>
        <v>1</v>
      </c>
      <c r="V12" s="17">
        <f t="shared" si="4"/>
        <v>0</v>
      </c>
      <c r="W12" s="17">
        <f t="shared" si="4"/>
        <v>0</v>
      </c>
      <c r="X12" s="17">
        <f t="shared" si="4"/>
        <v>2</v>
      </c>
      <c r="Y12" s="17">
        <f t="shared" si="4"/>
        <v>2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8</v>
      </c>
      <c r="AD12" s="17">
        <f t="shared" si="4"/>
        <v>0</v>
      </c>
      <c r="AE12" s="31">
        <f t="shared" si="4"/>
        <v>11</v>
      </c>
      <c r="AF12" s="31">
        <f t="shared" si="4"/>
        <v>19</v>
      </c>
    </row>
    <row r="13" spans="2:32" ht="23.1" customHeight="1" x14ac:dyDescent="0.25">
      <c r="B13" s="23" t="s">
        <v>40</v>
      </c>
      <c r="C13" s="50">
        <v>1</v>
      </c>
      <c r="D13" s="50">
        <v>1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</v>
      </c>
      <c r="N13" s="50">
        <v>0</v>
      </c>
      <c r="O13" s="15">
        <f t="shared" si="0"/>
        <v>2</v>
      </c>
      <c r="P13" s="15">
        <f t="shared" si="1"/>
        <v>3</v>
      </c>
      <c r="R13" s="1" t="s">
        <v>9</v>
      </c>
      <c r="S13" s="17">
        <f t="shared" ref="S13:AF13" si="5">SUM(C22:C25)</f>
        <v>0</v>
      </c>
      <c r="T13" s="17">
        <f t="shared" si="5"/>
        <v>2</v>
      </c>
      <c r="U13" s="17">
        <f t="shared" si="5"/>
        <v>1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2</v>
      </c>
      <c r="AA13" s="17">
        <f t="shared" si="5"/>
        <v>1</v>
      </c>
      <c r="AB13" s="17">
        <f t="shared" si="5"/>
        <v>0</v>
      </c>
      <c r="AC13" s="17">
        <f t="shared" si="5"/>
        <v>2</v>
      </c>
      <c r="AD13" s="17">
        <f t="shared" si="5"/>
        <v>0</v>
      </c>
      <c r="AE13" s="31">
        <f t="shared" si="5"/>
        <v>7</v>
      </c>
      <c r="AF13" s="31">
        <f t="shared" si="5"/>
        <v>9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3</v>
      </c>
      <c r="N14" s="50">
        <v>0</v>
      </c>
      <c r="O14" s="15">
        <f t="shared" si="0"/>
        <v>1</v>
      </c>
      <c r="P14" s="15">
        <f t="shared" si="1"/>
        <v>4</v>
      </c>
      <c r="R14" s="1" t="s">
        <v>10</v>
      </c>
      <c r="S14" s="17">
        <f t="shared" ref="S14:AF14" si="6">SUM(C26:C29)</f>
        <v>1</v>
      </c>
      <c r="T14" s="17">
        <f t="shared" si="6"/>
        <v>0</v>
      </c>
      <c r="U14" s="17">
        <f t="shared" si="6"/>
        <v>0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0</v>
      </c>
      <c r="AD14" s="17">
        <f t="shared" si="6"/>
        <v>0</v>
      </c>
      <c r="AE14" s="31">
        <f t="shared" si="6"/>
        <v>2</v>
      </c>
      <c r="AF14" s="31">
        <f t="shared" si="6"/>
        <v>2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2</v>
      </c>
      <c r="N15" s="50">
        <v>0</v>
      </c>
      <c r="O15" s="15">
        <f t="shared" si="0"/>
        <v>0</v>
      </c>
      <c r="P15" s="15">
        <f t="shared" si="1"/>
        <v>2</v>
      </c>
      <c r="R15" s="1" t="s">
        <v>11</v>
      </c>
      <c r="S15" s="17">
        <f t="shared" ref="S15:AF15" si="7">SUM(C30:C33)</f>
        <v>2</v>
      </c>
      <c r="T15" s="17">
        <f t="shared" si="7"/>
        <v>1</v>
      </c>
      <c r="U15" s="17">
        <f t="shared" si="7"/>
        <v>2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1</v>
      </c>
      <c r="AD15" s="17">
        <f t="shared" si="7"/>
        <v>0</v>
      </c>
      <c r="AE15" s="31">
        <f t="shared" si="7"/>
        <v>7</v>
      </c>
      <c r="AF15" s="31">
        <f t="shared" si="7"/>
        <v>8</v>
      </c>
    </row>
    <row r="16" spans="2:32" ht="23.1" customHeight="1" x14ac:dyDescent="0.25">
      <c r="B16" s="23" t="s">
        <v>43</v>
      </c>
      <c r="C16" s="50">
        <v>1</v>
      </c>
      <c r="D16" s="50">
        <v>1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2</v>
      </c>
      <c r="N16" s="50">
        <v>0</v>
      </c>
      <c r="O16" s="15">
        <f t="shared" si="0"/>
        <v>2</v>
      </c>
      <c r="P16" s="15">
        <f t="shared" si="1"/>
        <v>4</v>
      </c>
      <c r="R16" s="1" t="s">
        <v>12</v>
      </c>
      <c r="S16" s="17">
        <f t="shared" ref="S16:AF16" si="8">SUM(C34:C37)</f>
        <v>0</v>
      </c>
      <c r="T16" s="17">
        <f t="shared" si="8"/>
        <v>0</v>
      </c>
      <c r="U16" s="17">
        <f t="shared" si="8"/>
        <v>1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3</v>
      </c>
      <c r="AA16" s="17">
        <f t="shared" si="8"/>
        <v>0</v>
      </c>
      <c r="AB16" s="17">
        <f t="shared" si="8"/>
        <v>0</v>
      </c>
      <c r="AC16" s="17">
        <f t="shared" si="8"/>
        <v>2</v>
      </c>
      <c r="AD16" s="17">
        <f t="shared" si="8"/>
        <v>0</v>
      </c>
      <c r="AE16" s="31">
        <f t="shared" si="8"/>
        <v>4</v>
      </c>
      <c r="AF16" s="31">
        <f t="shared" si="8"/>
        <v>6</v>
      </c>
    </row>
    <row r="17" spans="2:32" ht="23.1" customHeight="1" x14ac:dyDescent="0.25">
      <c r="B17" s="23" t="s">
        <v>44</v>
      </c>
      <c r="C17" s="50">
        <v>0</v>
      </c>
      <c r="D17" s="50">
        <v>2</v>
      </c>
      <c r="E17" s="50">
        <v>1</v>
      </c>
      <c r="F17" s="50">
        <v>0</v>
      </c>
      <c r="G17" s="50">
        <v>0</v>
      </c>
      <c r="H17" s="50">
        <v>0</v>
      </c>
      <c r="I17" s="50">
        <v>0</v>
      </c>
      <c r="J17" s="50">
        <v>8</v>
      </c>
      <c r="K17" s="50">
        <v>0</v>
      </c>
      <c r="L17" s="50">
        <v>0</v>
      </c>
      <c r="M17" s="50">
        <v>0</v>
      </c>
      <c r="N17" s="50">
        <v>0</v>
      </c>
      <c r="O17" s="15">
        <f t="shared" si="0"/>
        <v>11</v>
      </c>
      <c r="P17" s="15">
        <f t="shared" si="1"/>
        <v>11</v>
      </c>
      <c r="R17" s="1" t="s">
        <v>13</v>
      </c>
      <c r="S17" s="17">
        <f t="shared" ref="S17:AF17" si="9">SUM(C38:C41)</f>
        <v>0</v>
      </c>
      <c r="T17" s="17">
        <f t="shared" si="9"/>
        <v>2</v>
      </c>
      <c r="U17" s="17">
        <f t="shared" si="9"/>
        <v>1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0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2</v>
      </c>
      <c r="AD17" s="17">
        <f t="shared" si="9"/>
        <v>0</v>
      </c>
      <c r="AE17" s="31">
        <f t="shared" si="9"/>
        <v>3</v>
      </c>
      <c r="AF17" s="31">
        <f t="shared" si="9"/>
        <v>5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3</v>
      </c>
      <c r="N18" s="50">
        <v>0</v>
      </c>
      <c r="O18" s="15">
        <f t="shared" si="0"/>
        <v>0</v>
      </c>
      <c r="P18" s="15">
        <f t="shared" si="1"/>
        <v>3</v>
      </c>
      <c r="R18" s="1" t="s">
        <v>14</v>
      </c>
      <c r="S18" s="17">
        <f t="shared" ref="S18:AF18" si="10">SUM(C42:C45)</f>
        <v>0</v>
      </c>
      <c r="T18" s="17">
        <f t="shared" si="10"/>
        <v>0</v>
      </c>
      <c r="U18" s="17">
        <f t="shared" si="10"/>
        <v>1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1</v>
      </c>
      <c r="AD18" s="17">
        <f t="shared" si="10"/>
        <v>0</v>
      </c>
      <c r="AE18" s="31">
        <f t="shared" si="10"/>
        <v>1</v>
      </c>
      <c r="AF18" s="31">
        <f t="shared" si="10"/>
        <v>2</v>
      </c>
    </row>
    <row r="19" spans="2:32" ht="23.1" customHeight="1" x14ac:dyDescent="0.25">
      <c r="B19" s="23" t="s">
        <v>46</v>
      </c>
      <c r="C19" s="50">
        <v>0</v>
      </c>
      <c r="D19" s="50">
        <v>2</v>
      </c>
      <c r="E19" s="50">
        <v>1</v>
      </c>
      <c r="F19" s="50">
        <v>0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3</v>
      </c>
      <c r="N19" s="50">
        <v>0</v>
      </c>
      <c r="O19" s="15">
        <f t="shared" si="0"/>
        <v>5</v>
      </c>
      <c r="P19" s="15">
        <f t="shared" si="1"/>
        <v>8</v>
      </c>
      <c r="R19" s="1" t="s">
        <v>15</v>
      </c>
      <c r="S19" s="17">
        <f t="shared" ref="S19:AF19" si="11">SUM(C46:C49)</f>
        <v>0</v>
      </c>
      <c r="T19" s="17">
        <f t="shared" si="11"/>
        <v>0</v>
      </c>
      <c r="U19" s="17">
        <f t="shared" si="11"/>
        <v>0</v>
      </c>
      <c r="V19" s="17">
        <f t="shared" si="11"/>
        <v>0</v>
      </c>
      <c r="W19" s="17">
        <f t="shared" si="11"/>
        <v>1</v>
      </c>
      <c r="X19" s="17">
        <f t="shared" si="11"/>
        <v>0</v>
      </c>
      <c r="Y19" s="17">
        <f t="shared" si="11"/>
        <v>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3</v>
      </c>
      <c r="AD19" s="17">
        <f t="shared" si="11"/>
        <v>0</v>
      </c>
      <c r="AE19" s="31">
        <f t="shared" si="11"/>
        <v>1</v>
      </c>
      <c r="AF19" s="31">
        <f t="shared" si="11"/>
        <v>4</v>
      </c>
    </row>
    <row r="20" spans="2:32" ht="23.1" customHeight="1" x14ac:dyDescent="0.25">
      <c r="B20" s="23" t="s">
        <v>47</v>
      </c>
      <c r="C20" s="50">
        <v>2</v>
      </c>
      <c r="D20" s="50">
        <v>0</v>
      </c>
      <c r="E20" s="50">
        <v>0</v>
      </c>
      <c r="F20" s="50">
        <v>0</v>
      </c>
      <c r="G20" s="50">
        <v>0</v>
      </c>
      <c r="H20" s="50">
        <v>2</v>
      </c>
      <c r="I20" s="50">
        <v>0</v>
      </c>
      <c r="J20" s="50">
        <v>0</v>
      </c>
      <c r="K20" s="50">
        <v>0</v>
      </c>
      <c r="L20" s="50">
        <v>0</v>
      </c>
      <c r="M20" s="50">
        <v>1</v>
      </c>
      <c r="N20" s="50">
        <v>0</v>
      </c>
      <c r="O20" s="15">
        <f t="shared" si="0"/>
        <v>4</v>
      </c>
      <c r="P20" s="15">
        <f t="shared" si="1"/>
        <v>5</v>
      </c>
      <c r="R20" s="1" t="s">
        <v>16</v>
      </c>
      <c r="S20" s="17">
        <f t="shared" ref="S20:AF20" si="12">SUM(C50:C53)</f>
        <v>0</v>
      </c>
      <c r="T20" s="17">
        <f t="shared" si="12"/>
        <v>1</v>
      </c>
      <c r="U20" s="17">
        <f t="shared" si="12"/>
        <v>0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1</v>
      </c>
      <c r="AD20" s="17">
        <f t="shared" si="12"/>
        <v>0</v>
      </c>
      <c r="AE20" s="31">
        <f t="shared" si="12"/>
        <v>3</v>
      </c>
      <c r="AF20" s="31">
        <f t="shared" si="12"/>
        <v>4</v>
      </c>
    </row>
    <row r="21" spans="2:32" ht="23.1" customHeight="1" x14ac:dyDescent="0.25">
      <c r="B21" s="23" t="s">
        <v>48</v>
      </c>
      <c r="C21" s="50">
        <v>0</v>
      </c>
      <c r="D21" s="50">
        <v>2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</v>
      </c>
      <c r="N21" s="50">
        <v>0</v>
      </c>
      <c r="O21" s="15">
        <f t="shared" si="0"/>
        <v>2</v>
      </c>
      <c r="P21" s="15">
        <f t="shared" si="1"/>
        <v>3</v>
      </c>
      <c r="R21" s="36" t="s">
        <v>20</v>
      </c>
      <c r="S21" s="34">
        <f t="shared" ref="S21:AF21" si="13">SUM(C54:C57)</f>
        <v>0</v>
      </c>
      <c r="T21" s="17">
        <f t="shared" si="13"/>
        <v>1</v>
      </c>
      <c r="U21" s="17">
        <f t="shared" si="13"/>
        <v>0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1</v>
      </c>
      <c r="AD21" s="17">
        <f t="shared" si="13"/>
        <v>0</v>
      </c>
      <c r="AE21" s="31">
        <f t="shared" si="13"/>
        <v>1</v>
      </c>
      <c r="AF21" s="31">
        <f t="shared" si="13"/>
        <v>2</v>
      </c>
    </row>
    <row r="22" spans="2:32" ht="23.1" customHeight="1" x14ac:dyDescent="0.25">
      <c r="B22" s="23" t="s">
        <v>49</v>
      </c>
      <c r="C22" s="50">
        <v>0</v>
      </c>
      <c r="D22" s="50">
        <v>1</v>
      </c>
      <c r="E22" s="50">
        <v>0</v>
      </c>
      <c r="F22" s="50">
        <v>0</v>
      </c>
      <c r="G22" s="50">
        <v>0</v>
      </c>
      <c r="H22" s="50">
        <v>0</v>
      </c>
      <c r="I22" s="50">
        <v>1</v>
      </c>
      <c r="J22" s="50">
        <v>2</v>
      </c>
      <c r="K22" s="50">
        <v>0</v>
      </c>
      <c r="L22" s="50">
        <v>0</v>
      </c>
      <c r="M22" s="50">
        <v>2</v>
      </c>
      <c r="N22" s="50">
        <v>0</v>
      </c>
      <c r="O22" s="15">
        <f t="shared" si="0"/>
        <v>4</v>
      </c>
      <c r="P22" s="15">
        <f t="shared" si="1"/>
        <v>6</v>
      </c>
      <c r="R22" s="38" t="s">
        <v>90</v>
      </c>
      <c r="S22" s="39">
        <f>MAX(S10:S12)</f>
        <v>2</v>
      </c>
      <c r="T22" s="39">
        <f t="shared" ref="T22:AF22" si="14">MAX(T10:T12)</f>
        <v>4</v>
      </c>
      <c r="U22" s="39">
        <f t="shared" si="14"/>
        <v>2</v>
      </c>
      <c r="V22" s="39">
        <f t="shared" si="14"/>
        <v>0</v>
      </c>
      <c r="W22" s="39">
        <f t="shared" si="14"/>
        <v>0</v>
      </c>
      <c r="X22" s="39">
        <f t="shared" si="14"/>
        <v>2</v>
      </c>
      <c r="Y22" s="39">
        <f t="shared" si="14"/>
        <v>2</v>
      </c>
      <c r="Z22" s="39">
        <f t="shared" si="14"/>
        <v>8</v>
      </c>
      <c r="AA22" s="39">
        <f t="shared" si="14"/>
        <v>0</v>
      </c>
      <c r="AB22" s="39">
        <f t="shared" si="14"/>
        <v>0</v>
      </c>
      <c r="AC22" s="39">
        <f t="shared" si="14"/>
        <v>8</v>
      </c>
      <c r="AD22" s="39">
        <f t="shared" si="14"/>
        <v>0</v>
      </c>
      <c r="AE22" s="40">
        <f t="shared" si="14"/>
        <v>14</v>
      </c>
      <c r="AF22" s="40">
        <f t="shared" si="14"/>
        <v>21</v>
      </c>
    </row>
    <row r="23" spans="2:32" ht="23.1" customHeight="1" x14ac:dyDescent="0.25">
      <c r="B23" s="23" t="s">
        <v>50</v>
      </c>
      <c r="C23" s="50">
        <v>0</v>
      </c>
      <c r="D23" s="50">
        <v>1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15">
        <f t="shared" si="0"/>
        <v>1</v>
      </c>
      <c r="P23" s="15">
        <f t="shared" si="1"/>
        <v>1</v>
      </c>
      <c r="R23" s="38" t="s">
        <v>91</v>
      </c>
      <c r="S23" s="39">
        <f>MAX(S13:S18)</f>
        <v>2</v>
      </c>
      <c r="T23" s="39">
        <f t="shared" ref="T23:AF23" si="15">MAX(T13:T18)</f>
        <v>2</v>
      </c>
      <c r="U23" s="39">
        <f t="shared" si="15"/>
        <v>2</v>
      </c>
      <c r="V23" s="39">
        <f t="shared" si="15"/>
        <v>0</v>
      </c>
      <c r="W23" s="39">
        <f t="shared" si="15"/>
        <v>0</v>
      </c>
      <c r="X23" s="39">
        <f t="shared" si="15"/>
        <v>0</v>
      </c>
      <c r="Y23" s="39">
        <f t="shared" si="15"/>
        <v>1</v>
      </c>
      <c r="Z23" s="39">
        <f t="shared" si="15"/>
        <v>3</v>
      </c>
      <c r="AA23" s="39">
        <f t="shared" si="15"/>
        <v>1</v>
      </c>
      <c r="AB23" s="39">
        <f t="shared" si="15"/>
        <v>0</v>
      </c>
      <c r="AC23" s="39">
        <f t="shared" si="15"/>
        <v>2</v>
      </c>
      <c r="AD23" s="39">
        <f t="shared" si="15"/>
        <v>0</v>
      </c>
      <c r="AE23" s="40">
        <f t="shared" si="15"/>
        <v>7</v>
      </c>
      <c r="AF23" s="40">
        <f t="shared" si="15"/>
        <v>9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1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15">
        <f t="shared" si="0"/>
        <v>1</v>
      </c>
      <c r="P24" s="15">
        <f t="shared" si="1"/>
        <v>1</v>
      </c>
      <c r="R24" s="38" t="s">
        <v>92</v>
      </c>
      <c r="S24" s="39">
        <f>MAX(S19:S21)</f>
        <v>0</v>
      </c>
      <c r="T24" s="39">
        <f t="shared" ref="T24:AF24" si="16">MAX(T19:T21)</f>
        <v>1</v>
      </c>
      <c r="U24" s="39">
        <f t="shared" si="16"/>
        <v>0</v>
      </c>
      <c r="V24" s="39">
        <f t="shared" si="16"/>
        <v>0</v>
      </c>
      <c r="W24" s="39">
        <f t="shared" si="16"/>
        <v>1</v>
      </c>
      <c r="X24" s="39">
        <f t="shared" si="16"/>
        <v>0</v>
      </c>
      <c r="Y24" s="39">
        <f t="shared" si="16"/>
        <v>0</v>
      </c>
      <c r="Z24" s="39">
        <f t="shared" si="16"/>
        <v>2</v>
      </c>
      <c r="AA24" s="39">
        <f t="shared" si="16"/>
        <v>0</v>
      </c>
      <c r="AB24" s="39">
        <f t="shared" si="16"/>
        <v>0</v>
      </c>
      <c r="AC24" s="39">
        <f t="shared" si="16"/>
        <v>3</v>
      </c>
      <c r="AD24" s="39">
        <f t="shared" si="16"/>
        <v>0</v>
      </c>
      <c r="AE24" s="40">
        <f t="shared" si="16"/>
        <v>3</v>
      </c>
      <c r="AF24" s="40">
        <f t="shared" si="16"/>
        <v>4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1</v>
      </c>
      <c r="L25" s="50">
        <v>0</v>
      </c>
      <c r="M25" s="50">
        <v>0</v>
      </c>
      <c r="N25" s="50">
        <v>0</v>
      </c>
      <c r="O25" s="15">
        <f t="shared" si="0"/>
        <v>1</v>
      </c>
      <c r="P25" s="15">
        <f t="shared" si="1"/>
        <v>1</v>
      </c>
      <c r="R25" s="37" t="s">
        <v>85</v>
      </c>
      <c r="S25" s="35">
        <f t="shared" ref="S25:AF25" si="17">SUM(S10:S12)</f>
        <v>4</v>
      </c>
      <c r="T25" s="16">
        <f t="shared" si="17"/>
        <v>8</v>
      </c>
      <c r="U25" s="16">
        <f t="shared" si="17"/>
        <v>4</v>
      </c>
      <c r="V25" s="16">
        <f t="shared" si="17"/>
        <v>0</v>
      </c>
      <c r="W25" s="16">
        <f t="shared" si="17"/>
        <v>0</v>
      </c>
      <c r="X25" s="16">
        <f t="shared" si="17"/>
        <v>2</v>
      </c>
      <c r="Y25" s="16">
        <f t="shared" si="17"/>
        <v>3</v>
      </c>
      <c r="Z25" s="16">
        <f t="shared" si="17"/>
        <v>9</v>
      </c>
      <c r="AA25" s="16">
        <f t="shared" si="17"/>
        <v>0</v>
      </c>
      <c r="AB25" s="16">
        <f t="shared" si="17"/>
        <v>0</v>
      </c>
      <c r="AC25" s="16">
        <f t="shared" si="17"/>
        <v>17</v>
      </c>
      <c r="AD25" s="16">
        <f t="shared" si="17"/>
        <v>0</v>
      </c>
      <c r="AE25" s="32">
        <f t="shared" si="17"/>
        <v>30</v>
      </c>
      <c r="AF25" s="32">
        <f t="shared" si="17"/>
        <v>47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15">
        <f t="shared" si="0"/>
        <v>1</v>
      </c>
      <c r="P26" s="15">
        <f t="shared" si="1"/>
        <v>1</v>
      </c>
      <c r="R26" s="28" t="s">
        <v>86</v>
      </c>
      <c r="S26" s="16">
        <f t="shared" ref="S26:AF26" si="18">SUM(S13:S18)</f>
        <v>3</v>
      </c>
      <c r="T26" s="16">
        <f t="shared" si="18"/>
        <v>5</v>
      </c>
      <c r="U26" s="16">
        <f t="shared" si="18"/>
        <v>6</v>
      </c>
      <c r="V26" s="16">
        <f t="shared" si="18"/>
        <v>0</v>
      </c>
      <c r="W26" s="16">
        <f t="shared" si="18"/>
        <v>0</v>
      </c>
      <c r="X26" s="16">
        <f t="shared" si="18"/>
        <v>0</v>
      </c>
      <c r="Y26" s="16">
        <f t="shared" si="18"/>
        <v>2</v>
      </c>
      <c r="Z26" s="16">
        <f t="shared" si="18"/>
        <v>7</v>
      </c>
      <c r="AA26" s="16">
        <f t="shared" si="18"/>
        <v>1</v>
      </c>
      <c r="AB26" s="16">
        <f t="shared" si="18"/>
        <v>0</v>
      </c>
      <c r="AC26" s="16">
        <f t="shared" si="18"/>
        <v>8</v>
      </c>
      <c r="AD26" s="16">
        <f t="shared" si="18"/>
        <v>0</v>
      </c>
      <c r="AE26" s="32">
        <f t="shared" si="18"/>
        <v>24</v>
      </c>
      <c r="AF26" s="32">
        <f t="shared" si="18"/>
        <v>32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15">
        <f t="shared" si="0"/>
        <v>0</v>
      </c>
      <c r="P27" s="15">
        <f t="shared" si="1"/>
        <v>0</v>
      </c>
      <c r="R27" s="29" t="s">
        <v>87</v>
      </c>
      <c r="S27" s="16">
        <f t="shared" ref="S27:AF27" si="19">SUM(S19:S21)</f>
        <v>0</v>
      </c>
      <c r="T27" s="16">
        <f t="shared" si="19"/>
        <v>2</v>
      </c>
      <c r="U27" s="16">
        <f t="shared" si="19"/>
        <v>0</v>
      </c>
      <c r="V27" s="16">
        <f t="shared" si="19"/>
        <v>0</v>
      </c>
      <c r="W27" s="16">
        <f t="shared" si="19"/>
        <v>1</v>
      </c>
      <c r="X27" s="16">
        <f t="shared" si="19"/>
        <v>0</v>
      </c>
      <c r="Y27" s="16">
        <f t="shared" si="19"/>
        <v>0</v>
      </c>
      <c r="Z27" s="16">
        <f t="shared" si="19"/>
        <v>2</v>
      </c>
      <c r="AA27" s="16">
        <f t="shared" si="19"/>
        <v>0</v>
      </c>
      <c r="AB27" s="16">
        <f t="shared" si="19"/>
        <v>0</v>
      </c>
      <c r="AC27" s="16">
        <f t="shared" si="19"/>
        <v>5</v>
      </c>
      <c r="AD27" s="16">
        <f t="shared" si="19"/>
        <v>0</v>
      </c>
      <c r="AE27" s="32">
        <f t="shared" si="19"/>
        <v>5</v>
      </c>
      <c r="AF27" s="32">
        <f t="shared" si="19"/>
        <v>10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15">
        <f t="shared" si="0"/>
        <v>0</v>
      </c>
      <c r="P28" s="15">
        <f t="shared" si="1"/>
        <v>0</v>
      </c>
      <c r="R28" s="5" t="s">
        <v>17</v>
      </c>
      <c r="S28" s="16">
        <f t="shared" ref="S28:AF28" si="20">SUM(S10:S21)</f>
        <v>7</v>
      </c>
      <c r="T28" s="16">
        <f t="shared" si="20"/>
        <v>15</v>
      </c>
      <c r="U28" s="16">
        <f t="shared" si="20"/>
        <v>10</v>
      </c>
      <c r="V28" s="16">
        <f t="shared" si="20"/>
        <v>0</v>
      </c>
      <c r="W28" s="16">
        <f t="shared" si="20"/>
        <v>1</v>
      </c>
      <c r="X28" s="16">
        <f t="shared" si="20"/>
        <v>2</v>
      </c>
      <c r="Y28" s="16">
        <f t="shared" si="20"/>
        <v>5</v>
      </c>
      <c r="Z28" s="16">
        <f t="shared" si="20"/>
        <v>18</v>
      </c>
      <c r="AA28" s="16">
        <f t="shared" si="20"/>
        <v>1</v>
      </c>
      <c r="AB28" s="16">
        <f t="shared" si="20"/>
        <v>0</v>
      </c>
      <c r="AC28" s="16">
        <f t="shared" si="20"/>
        <v>30</v>
      </c>
      <c r="AD28" s="16">
        <f t="shared" si="20"/>
        <v>0</v>
      </c>
      <c r="AE28" s="32">
        <f t="shared" si="20"/>
        <v>59</v>
      </c>
      <c r="AF28" s="32">
        <f t="shared" si="20"/>
        <v>89</v>
      </c>
    </row>
    <row r="29" spans="2:32" ht="23.1" customHeight="1" x14ac:dyDescent="0.25">
      <c r="B29" s="23" t="s">
        <v>56</v>
      </c>
      <c r="C29" s="50">
        <v>1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15">
        <f t="shared" si="0"/>
        <v>1</v>
      </c>
      <c r="P29" s="15">
        <f t="shared" si="1"/>
        <v>1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15">
        <f t="shared" si="0"/>
        <v>0</v>
      </c>
      <c r="P30" s="15">
        <f t="shared" si="1"/>
        <v>0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2</v>
      </c>
      <c r="F31" s="50">
        <v>0</v>
      </c>
      <c r="G31" s="50">
        <v>0</v>
      </c>
      <c r="H31" s="50">
        <v>0</v>
      </c>
      <c r="I31" s="50">
        <v>0</v>
      </c>
      <c r="J31" s="50">
        <v>1</v>
      </c>
      <c r="K31" s="50">
        <v>0</v>
      </c>
      <c r="L31" s="50">
        <v>0</v>
      </c>
      <c r="M31" s="50">
        <v>0</v>
      </c>
      <c r="N31" s="50">
        <v>0</v>
      </c>
      <c r="O31" s="15">
        <f t="shared" si="0"/>
        <v>3</v>
      </c>
      <c r="P31" s="15">
        <f t="shared" si="1"/>
        <v>3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</v>
      </c>
      <c r="N32" s="50">
        <v>0</v>
      </c>
      <c r="O32" s="15">
        <f t="shared" si="0"/>
        <v>0</v>
      </c>
      <c r="P32" s="15">
        <f t="shared" si="1"/>
        <v>1</v>
      </c>
    </row>
    <row r="33" spans="2:20" ht="23.1" customHeight="1" x14ac:dyDescent="0.25">
      <c r="B33" s="23" t="s">
        <v>60</v>
      </c>
      <c r="C33" s="50">
        <v>2</v>
      </c>
      <c r="D33" s="50">
        <v>1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1</v>
      </c>
      <c r="K33" s="50">
        <v>0</v>
      </c>
      <c r="L33" s="50">
        <v>0</v>
      </c>
      <c r="M33" s="50">
        <v>0</v>
      </c>
      <c r="N33" s="50">
        <v>0</v>
      </c>
      <c r="O33" s="15">
        <f t="shared" si="0"/>
        <v>4</v>
      </c>
      <c r="P33" s="15">
        <f t="shared" si="1"/>
        <v>4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1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0</v>
      </c>
      <c r="N34" s="50">
        <v>0</v>
      </c>
      <c r="O34" s="15">
        <f t="shared" si="0"/>
        <v>1</v>
      </c>
      <c r="P34" s="15">
        <f t="shared" si="1"/>
        <v>1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2</v>
      </c>
      <c r="N35" s="50">
        <v>0</v>
      </c>
      <c r="O35" s="15">
        <f t="shared" si="0"/>
        <v>0</v>
      </c>
      <c r="P35" s="15">
        <f t="shared" si="1"/>
        <v>2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2</v>
      </c>
      <c r="K36" s="50">
        <v>0</v>
      </c>
      <c r="L36" s="50">
        <v>0</v>
      </c>
      <c r="M36" s="50">
        <v>0</v>
      </c>
      <c r="N36" s="50">
        <v>0</v>
      </c>
      <c r="O36" s="15">
        <f t="shared" si="0"/>
        <v>2</v>
      </c>
      <c r="P36" s="15">
        <f t="shared" si="1"/>
        <v>2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1</v>
      </c>
      <c r="K37" s="50">
        <v>0</v>
      </c>
      <c r="L37" s="50">
        <v>0</v>
      </c>
      <c r="M37" s="50">
        <v>0</v>
      </c>
      <c r="N37" s="50">
        <v>0</v>
      </c>
      <c r="O37" s="15">
        <f t="shared" si="0"/>
        <v>1</v>
      </c>
      <c r="P37" s="15">
        <f t="shared" si="1"/>
        <v>1</v>
      </c>
    </row>
    <row r="38" spans="2:20" ht="23.1" customHeight="1" x14ac:dyDescent="0.25">
      <c r="B38" s="24" t="s">
        <v>65</v>
      </c>
      <c r="C38" s="50">
        <v>0</v>
      </c>
      <c r="D38" s="50">
        <v>2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0</v>
      </c>
      <c r="N38" s="50">
        <v>0</v>
      </c>
      <c r="O38" s="15">
        <f t="shared" si="0"/>
        <v>2</v>
      </c>
      <c r="P38" s="15">
        <f t="shared" si="1"/>
        <v>2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1</v>
      </c>
      <c r="N39" s="50">
        <v>0</v>
      </c>
      <c r="O39" s="15">
        <f t="shared" si="0"/>
        <v>0</v>
      </c>
      <c r="P39" s="15">
        <f t="shared" si="1"/>
        <v>1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0</v>
      </c>
      <c r="N40" s="50">
        <v>0</v>
      </c>
      <c r="O40" s="15">
        <f t="shared" si="0"/>
        <v>0</v>
      </c>
      <c r="P40" s="15">
        <f t="shared" si="1"/>
        <v>0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1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1</v>
      </c>
      <c r="N41" s="50">
        <v>0</v>
      </c>
      <c r="O41" s="15">
        <f t="shared" si="0"/>
        <v>1</v>
      </c>
      <c r="P41" s="15">
        <f t="shared" si="1"/>
        <v>2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</v>
      </c>
      <c r="N42" s="50">
        <v>0</v>
      </c>
      <c r="O42" s="15">
        <f t="shared" si="0"/>
        <v>0</v>
      </c>
      <c r="P42" s="15">
        <f t="shared" si="1"/>
        <v>1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0</v>
      </c>
      <c r="N43" s="50">
        <v>0</v>
      </c>
      <c r="O43" s="15">
        <f t="shared" si="0"/>
        <v>0</v>
      </c>
      <c r="P43" s="15">
        <f t="shared" si="1"/>
        <v>0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1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0</v>
      </c>
      <c r="N44" s="50">
        <v>0</v>
      </c>
      <c r="O44" s="15">
        <f t="shared" si="0"/>
        <v>1</v>
      </c>
      <c r="P44" s="15">
        <f t="shared" si="1"/>
        <v>1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15">
        <f t="shared" si="0"/>
        <v>0</v>
      </c>
      <c r="P45" s="15">
        <f t="shared" si="1"/>
        <v>0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3</v>
      </c>
      <c r="N46" s="50">
        <v>0</v>
      </c>
      <c r="O46" s="15">
        <f t="shared" si="0"/>
        <v>0</v>
      </c>
      <c r="P46" s="15">
        <f t="shared" si="1"/>
        <v>3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0</v>
      </c>
      <c r="N47" s="50">
        <v>0</v>
      </c>
      <c r="O47" s="15">
        <f t="shared" si="0"/>
        <v>0</v>
      </c>
      <c r="P47" s="15">
        <f t="shared" si="1"/>
        <v>0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1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0</v>
      </c>
      <c r="N48" s="50">
        <v>0</v>
      </c>
      <c r="O48" s="15">
        <f t="shared" si="0"/>
        <v>1</v>
      </c>
      <c r="P48" s="15">
        <f t="shared" si="1"/>
        <v>1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0</v>
      </c>
      <c r="N49" s="50">
        <v>0</v>
      </c>
      <c r="O49" s="15">
        <f t="shared" si="0"/>
        <v>0</v>
      </c>
      <c r="P49" s="15">
        <f t="shared" si="1"/>
        <v>0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1</v>
      </c>
      <c r="K50" s="50">
        <v>0</v>
      </c>
      <c r="L50" s="50">
        <v>0</v>
      </c>
      <c r="M50" s="50">
        <v>1</v>
      </c>
      <c r="N50" s="50">
        <v>0</v>
      </c>
      <c r="O50" s="15">
        <f t="shared" si="0"/>
        <v>1</v>
      </c>
      <c r="P50" s="15">
        <f t="shared" si="1"/>
        <v>2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1</v>
      </c>
      <c r="K51" s="50">
        <v>0</v>
      </c>
      <c r="L51" s="50">
        <v>0</v>
      </c>
      <c r="M51" s="50">
        <v>0</v>
      </c>
      <c r="N51" s="50">
        <v>0</v>
      </c>
      <c r="O51" s="15">
        <f t="shared" si="0"/>
        <v>1</v>
      </c>
      <c r="P51" s="15">
        <f t="shared" si="1"/>
        <v>1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1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0</v>
      </c>
      <c r="N52" s="50">
        <v>0</v>
      </c>
      <c r="O52" s="15">
        <f t="shared" si="0"/>
        <v>1</v>
      </c>
      <c r="P52" s="15">
        <f t="shared" si="1"/>
        <v>1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0</v>
      </c>
      <c r="N53" s="50">
        <v>0</v>
      </c>
      <c r="O53" s="15">
        <f t="shared" si="0"/>
        <v>0</v>
      </c>
      <c r="P53" s="15">
        <f t="shared" si="1"/>
        <v>0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1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</v>
      </c>
      <c r="N54" s="50">
        <v>0</v>
      </c>
      <c r="O54" s="15">
        <f t="shared" si="0"/>
        <v>1</v>
      </c>
      <c r="P54" s="15">
        <f t="shared" si="1"/>
        <v>2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15">
        <f t="shared" si="0"/>
        <v>0</v>
      </c>
      <c r="P55" s="15">
        <f t="shared" si="1"/>
        <v>0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0</v>
      </c>
      <c r="N56" s="50">
        <v>0</v>
      </c>
      <c r="O56" s="15">
        <f t="shared" si="0"/>
        <v>0</v>
      </c>
      <c r="P56" s="15">
        <f t="shared" si="1"/>
        <v>0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15">
        <f t="shared" si="0"/>
        <v>0</v>
      </c>
      <c r="P57" s="15">
        <f t="shared" si="1"/>
        <v>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7</v>
      </c>
      <c r="D58" s="16">
        <f t="shared" si="21"/>
        <v>15</v>
      </c>
      <c r="E58" s="16">
        <f t="shared" si="21"/>
        <v>10</v>
      </c>
      <c r="F58" s="16">
        <f t="shared" si="21"/>
        <v>0</v>
      </c>
      <c r="G58" s="16">
        <f t="shared" si="21"/>
        <v>1</v>
      </c>
      <c r="H58" s="16">
        <f t="shared" si="21"/>
        <v>2</v>
      </c>
      <c r="I58" s="16">
        <f t="shared" si="21"/>
        <v>5</v>
      </c>
      <c r="J58" s="16">
        <f t="shared" si="21"/>
        <v>18</v>
      </c>
      <c r="K58" s="16">
        <f t="shared" si="21"/>
        <v>1</v>
      </c>
      <c r="L58" s="16">
        <f t="shared" si="21"/>
        <v>0</v>
      </c>
      <c r="M58" s="16">
        <f t="shared" si="21"/>
        <v>30</v>
      </c>
      <c r="N58" s="16">
        <f t="shared" si="21"/>
        <v>0</v>
      </c>
      <c r="O58" s="16">
        <f t="shared" si="21"/>
        <v>59</v>
      </c>
      <c r="P58" s="16">
        <f t="shared" si="21"/>
        <v>89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7.8651685393258425E-2</v>
      </c>
      <c r="D59" s="43">
        <f t="shared" si="22"/>
        <v>0.16853932584269662</v>
      </c>
      <c r="E59" s="43">
        <f t="shared" si="22"/>
        <v>0.11235955056179775</v>
      </c>
      <c r="F59" s="43">
        <f t="shared" si="22"/>
        <v>0</v>
      </c>
      <c r="G59" s="43">
        <f t="shared" si="22"/>
        <v>1.1235955056179775E-2</v>
      </c>
      <c r="H59" s="43">
        <f t="shared" si="22"/>
        <v>2.247191011235955E-2</v>
      </c>
      <c r="I59" s="43">
        <f t="shared" si="22"/>
        <v>5.6179775280898875E-2</v>
      </c>
      <c r="J59" s="43">
        <f t="shared" si="22"/>
        <v>0.20224719101123595</v>
      </c>
      <c r="K59" s="43">
        <f t="shared" si="22"/>
        <v>1.1235955056179775E-2</v>
      </c>
      <c r="L59" s="43">
        <f t="shared" si="22"/>
        <v>0</v>
      </c>
      <c r="M59" s="43">
        <f t="shared" si="22"/>
        <v>0.33707865168539325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0.11864406779661017</v>
      </c>
      <c r="D60" s="44">
        <f t="shared" ref="D60:N60" si="23">D58/$O$58</f>
        <v>0.25423728813559321</v>
      </c>
      <c r="E60" s="44">
        <f t="shared" si="23"/>
        <v>0.16949152542372881</v>
      </c>
      <c r="F60" s="44">
        <f t="shared" si="23"/>
        <v>0</v>
      </c>
      <c r="G60" s="44">
        <f t="shared" si="23"/>
        <v>1.6949152542372881E-2</v>
      </c>
      <c r="H60" s="44">
        <f t="shared" si="23"/>
        <v>3.3898305084745763E-2</v>
      </c>
      <c r="I60" s="44">
        <f t="shared" si="23"/>
        <v>8.4745762711864403E-2</v>
      </c>
      <c r="J60" s="44">
        <f t="shared" si="23"/>
        <v>0.30508474576271188</v>
      </c>
      <c r="K60" s="44">
        <f t="shared" si="23"/>
        <v>1.6949152542372881E-2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'05.08 KABONG-KOTIDO'!C3:G3</f>
        <v>MCC - C5 - STN0125 - KAABONG-KOTIDO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173</v>
      </c>
      <c r="E5" s="3"/>
      <c r="F5" s="41" t="s">
        <v>1</v>
      </c>
      <c r="G5" s="66" t="str">
        <f>'05.08 KABONG-KOTIDO'!G5:H5</f>
        <v>xxx</v>
      </c>
      <c r="H5" s="67"/>
      <c r="I5" s="14"/>
      <c r="J5" s="2" t="s">
        <v>5</v>
      </c>
      <c r="K5" s="66" t="str">
        <f>'05.08 KABONG-KOTIDO'!K5:L5</f>
        <v>NALUBEGA JOSEPHINE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'05.08 KABONG-KOTIDO'!D6:E6</f>
        <v>KABONG</v>
      </c>
      <c r="E6" s="67"/>
      <c r="F6" s="2" t="s">
        <v>2</v>
      </c>
      <c r="G6" s="66" t="str">
        <f>'05.08 KABONG-KOTIDO'!G6:H6</f>
        <v>KOTIDO</v>
      </c>
      <c r="H6" s="67"/>
      <c r="J6" s="2" t="s">
        <v>21</v>
      </c>
      <c r="K6" s="66" t="str">
        <f>'05.08 KABONG-KOTIDO'!K6:L6</f>
        <v>CRANIMER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1</v>
      </c>
      <c r="F10" s="50">
        <v>0</v>
      </c>
      <c r="G10" s="50">
        <v>0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1</v>
      </c>
      <c r="N10" s="50">
        <v>0</v>
      </c>
      <c r="O10" s="15">
        <f t="shared" ref="O10:O57" si="0">SUM(C10:L10,N10)</f>
        <v>3</v>
      </c>
      <c r="P10" s="15">
        <f t="shared" ref="P10:P57" si="1">SUM(C10:N10)</f>
        <v>4</v>
      </c>
      <c r="R10" s="1" t="s">
        <v>6</v>
      </c>
      <c r="S10" s="17">
        <f t="shared" ref="S10:AF10" si="2">SUM(C10:C13)</f>
        <v>3</v>
      </c>
      <c r="T10" s="17">
        <f t="shared" si="2"/>
        <v>0</v>
      </c>
      <c r="U10" s="17">
        <f t="shared" si="2"/>
        <v>3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3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3</v>
      </c>
      <c r="AD10" s="17">
        <f t="shared" si="2"/>
        <v>0</v>
      </c>
      <c r="AE10" s="31">
        <f t="shared" si="2"/>
        <v>10</v>
      </c>
      <c r="AF10" s="31">
        <f t="shared" si="2"/>
        <v>13</v>
      </c>
    </row>
    <row r="11" spans="2:32" s="6" customFormat="1" ht="23.1" customHeight="1" x14ac:dyDescent="0.25">
      <c r="B11" s="23" t="s">
        <v>38</v>
      </c>
      <c r="C11" s="50">
        <v>2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2</v>
      </c>
      <c r="P11" s="15">
        <f t="shared" si="1"/>
        <v>2</v>
      </c>
      <c r="R11" s="1" t="s">
        <v>7</v>
      </c>
      <c r="S11" s="17">
        <f t="shared" ref="S11:AF11" si="3">SUM(C14:C17)</f>
        <v>0</v>
      </c>
      <c r="T11" s="17">
        <f t="shared" si="3"/>
        <v>1</v>
      </c>
      <c r="U11" s="17">
        <f t="shared" si="3"/>
        <v>0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2</v>
      </c>
      <c r="AD11" s="17">
        <f t="shared" si="3"/>
        <v>0</v>
      </c>
      <c r="AE11" s="31">
        <f t="shared" si="3"/>
        <v>4</v>
      </c>
      <c r="AF11" s="31">
        <f t="shared" si="3"/>
        <v>6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2</v>
      </c>
      <c r="N12" s="50">
        <v>0</v>
      </c>
      <c r="O12" s="15">
        <f t="shared" si="0"/>
        <v>0</v>
      </c>
      <c r="P12" s="15">
        <f t="shared" si="1"/>
        <v>2</v>
      </c>
      <c r="R12" s="1" t="s">
        <v>8</v>
      </c>
      <c r="S12" s="17">
        <f t="shared" ref="S12:AF12" si="4">SUM(C18:C21)</f>
        <v>0</v>
      </c>
      <c r="T12" s="17">
        <f t="shared" si="4"/>
        <v>0</v>
      </c>
      <c r="U12" s="17">
        <f t="shared" si="4"/>
        <v>2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3</v>
      </c>
      <c r="AD12" s="17">
        <f t="shared" si="4"/>
        <v>0</v>
      </c>
      <c r="AE12" s="31">
        <f t="shared" si="4"/>
        <v>4</v>
      </c>
      <c r="AF12" s="31">
        <f t="shared" si="4"/>
        <v>7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2</v>
      </c>
      <c r="F13" s="50">
        <v>0</v>
      </c>
      <c r="G13" s="50">
        <v>0</v>
      </c>
      <c r="H13" s="50">
        <v>0</v>
      </c>
      <c r="I13" s="50">
        <v>1</v>
      </c>
      <c r="J13" s="50">
        <v>1</v>
      </c>
      <c r="K13" s="50">
        <v>0</v>
      </c>
      <c r="L13" s="50">
        <v>0</v>
      </c>
      <c r="M13" s="50">
        <v>0</v>
      </c>
      <c r="N13" s="50">
        <v>0</v>
      </c>
      <c r="O13" s="15">
        <f t="shared" si="0"/>
        <v>5</v>
      </c>
      <c r="P13" s="15">
        <f t="shared" si="1"/>
        <v>5</v>
      </c>
      <c r="R13" s="1" t="s">
        <v>9</v>
      </c>
      <c r="S13" s="17">
        <f t="shared" ref="S13:AF13" si="5">SUM(C22:C25)</f>
        <v>0</v>
      </c>
      <c r="T13" s="17">
        <f t="shared" si="5"/>
        <v>3</v>
      </c>
      <c r="U13" s="17">
        <f t="shared" si="5"/>
        <v>0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1</v>
      </c>
      <c r="AD13" s="17">
        <f t="shared" si="5"/>
        <v>0</v>
      </c>
      <c r="AE13" s="31">
        <f t="shared" si="5"/>
        <v>6</v>
      </c>
      <c r="AF13" s="31">
        <f t="shared" si="5"/>
        <v>7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15">
        <f t="shared" si="0"/>
        <v>0</v>
      </c>
      <c r="P14" s="15">
        <f t="shared" si="1"/>
        <v>0</v>
      </c>
      <c r="R14" s="1" t="s">
        <v>10</v>
      </c>
      <c r="S14" s="17">
        <f t="shared" ref="S14:AF14" si="6">SUM(C26:C29)</f>
        <v>0</v>
      </c>
      <c r="T14" s="17">
        <f t="shared" si="6"/>
        <v>0</v>
      </c>
      <c r="U14" s="17">
        <f t="shared" si="6"/>
        <v>0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</v>
      </c>
      <c r="AD14" s="17">
        <f t="shared" si="6"/>
        <v>0</v>
      </c>
      <c r="AE14" s="31">
        <f t="shared" si="6"/>
        <v>0</v>
      </c>
      <c r="AF14" s="31">
        <f t="shared" si="6"/>
        <v>1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1</v>
      </c>
      <c r="J15" s="50">
        <v>2</v>
      </c>
      <c r="K15" s="50">
        <v>0</v>
      </c>
      <c r="L15" s="50">
        <v>0</v>
      </c>
      <c r="M15" s="50">
        <v>0</v>
      </c>
      <c r="N15" s="50">
        <v>0</v>
      </c>
      <c r="O15" s="15">
        <f t="shared" si="0"/>
        <v>3</v>
      </c>
      <c r="P15" s="15">
        <f t="shared" si="1"/>
        <v>3</v>
      </c>
      <c r="R15" s="1" t="s">
        <v>11</v>
      </c>
      <c r="S15" s="17">
        <f t="shared" ref="S15:AF15" si="7">SUM(C30:C33)</f>
        <v>0</v>
      </c>
      <c r="T15" s="17">
        <f t="shared" si="7"/>
        <v>0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</v>
      </c>
      <c r="AD15" s="17">
        <f t="shared" si="7"/>
        <v>0</v>
      </c>
      <c r="AE15" s="31">
        <f t="shared" si="7"/>
        <v>0</v>
      </c>
      <c r="AF15" s="31">
        <f t="shared" si="7"/>
        <v>1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15">
        <f t="shared" si="0"/>
        <v>0</v>
      </c>
      <c r="P16" s="15">
        <f t="shared" si="1"/>
        <v>0</v>
      </c>
      <c r="R16" s="1" t="s">
        <v>12</v>
      </c>
      <c r="S16" s="17">
        <f t="shared" ref="S16:AF16" si="8">SUM(C34:C37)</f>
        <v>0</v>
      </c>
      <c r="T16" s="17">
        <f t="shared" si="8"/>
        <v>2</v>
      </c>
      <c r="U16" s="17">
        <f t="shared" si="8"/>
        <v>0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1</v>
      </c>
      <c r="AD16" s="17">
        <f t="shared" si="8"/>
        <v>0</v>
      </c>
      <c r="AE16" s="31">
        <f t="shared" si="8"/>
        <v>5</v>
      </c>
      <c r="AF16" s="31">
        <f t="shared" si="8"/>
        <v>6</v>
      </c>
    </row>
    <row r="17" spans="2:32" ht="23.1" customHeight="1" x14ac:dyDescent="0.25">
      <c r="B17" s="23" t="s">
        <v>44</v>
      </c>
      <c r="C17" s="50">
        <v>0</v>
      </c>
      <c r="D17" s="50">
        <v>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2</v>
      </c>
      <c r="N17" s="50">
        <v>0</v>
      </c>
      <c r="O17" s="15">
        <f t="shared" si="0"/>
        <v>1</v>
      </c>
      <c r="P17" s="15">
        <f t="shared" si="1"/>
        <v>3</v>
      </c>
      <c r="R17" s="1" t="s">
        <v>13</v>
      </c>
      <c r="S17" s="17">
        <f t="shared" ref="S17:AF17" si="9">SUM(C38:C41)</f>
        <v>0</v>
      </c>
      <c r="T17" s="17">
        <f t="shared" si="9"/>
        <v>1</v>
      </c>
      <c r="U17" s="17">
        <f t="shared" si="9"/>
        <v>2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1</v>
      </c>
      <c r="AD17" s="17">
        <f t="shared" si="9"/>
        <v>0</v>
      </c>
      <c r="AE17" s="31">
        <f t="shared" si="9"/>
        <v>4</v>
      </c>
      <c r="AF17" s="31">
        <f t="shared" si="9"/>
        <v>5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1</v>
      </c>
      <c r="N18" s="50">
        <v>0</v>
      </c>
      <c r="O18" s="15">
        <f t="shared" si="0"/>
        <v>1</v>
      </c>
      <c r="P18" s="15">
        <f t="shared" si="1"/>
        <v>2</v>
      </c>
      <c r="R18" s="1" t="s">
        <v>14</v>
      </c>
      <c r="S18" s="17">
        <f t="shared" ref="S18:AF18" si="10">SUM(C42:C45)</f>
        <v>0</v>
      </c>
      <c r="T18" s="17">
        <f t="shared" si="10"/>
        <v>1</v>
      </c>
      <c r="U18" s="17">
        <f t="shared" si="10"/>
        <v>0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1</v>
      </c>
      <c r="AD18" s="17">
        <f t="shared" si="10"/>
        <v>0</v>
      </c>
      <c r="AE18" s="31">
        <f t="shared" si="10"/>
        <v>2</v>
      </c>
      <c r="AF18" s="31">
        <f t="shared" si="10"/>
        <v>3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1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15">
        <f t="shared" si="0"/>
        <v>2</v>
      </c>
      <c r="P19" s="15">
        <f t="shared" si="1"/>
        <v>2</v>
      </c>
      <c r="R19" s="1" t="s">
        <v>15</v>
      </c>
      <c r="S19" s="17">
        <f t="shared" ref="S19:AF19" si="11">SUM(C46:C49)</f>
        <v>0</v>
      </c>
      <c r="T19" s="17">
        <f t="shared" si="11"/>
        <v>1</v>
      </c>
      <c r="U19" s="17">
        <f t="shared" si="11"/>
        <v>0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2</v>
      </c>
      <c r="AD19" s="17">
        <f t="shared" si="11"/>
        <v>0</v>
      </c>
      <c r="AE19" s="31">
        <f t="shared" si="11"/>
        <v>2</v>
      </c>
      <c r="AF19" s="31">
        <f t="shared" si="11"/>
        <v>4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1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2</v>
      </c>
      <c r="N20" s="50">
        <v>0</v>
      </c>
      <c r="O20" s="15">
        <f t="shared" si="0"/>
        <v>1</v>
      </c>
      <c r="P20" s="15">
        <f t="shared" si="1"/>
        <v>3</v>
      </c>
      <c r="R20" s="1" t="s">
        <v>16</v>
      </c>
      <c r="S20" s="17">
        <f t="shared" ref="S20:AF20" si="12">SUM(C50:C53)</f>
        <v>0</v>
      </c>
      <c r="T20" s="17">
        <f t="shared" si="12"/>
        <v>0</v>
      </c>
      <c r="U20" s="17">
        <f t="shared" si="12"/>
        <v>4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1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4</v>
      </c>
      <c r="AD20" s="17">
        <f t="shared" si="12"/>
        <v>0</v>
      </c>
      <c r="AE20" s="31">
        <f t="shared" si="12"/>
        <v>6</v>
      </c>
      <c r="AF20" s="31">
        <f t="shared" si="12"/>
        <v>10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15">
        <f t="shared" si="0"/>
        <v>0</v>
      </c>
      <c r="P21" s="15">
        <f t="shared" si="1"/>
        <v>0</v>
      </c>
      <c r="R21" s="36" t="s">
        <v>20</v>
      </c>
      <c r="S21" s="34">
        <f t="shared" ref="S21:AF21" si="13">SUM(C54:C57)</f>
        <v>1</v>
      </c>
      <c r="T21" s="17">
        <f t="shared" si="13"/>
        <v>2</v>
      </c>
      <c r="U21" s="17">
        <f t="shared" si="13"/>
        <v>1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2</v>
      </c>
      <c r="AA21" s="17">
        <f t="shared" si="13"/>
        <v>0</v>
      </c>
      <c r="AB21" s="17">
        <f t="shared" si="13"/>
        <v>0</v>
      </c>
      <c r="AC21" s="17">
        <f t="shared" si="13"/>
        <v>3</v>
      </c>
      <c r="AD21" s="17">
        <f t="shared" si="13"/>
        <v>0</v>
      </c>
      <c r="AE21" s="31">
        <f t="shared" si="13"/>
        <v>6</v>
      </c>
      <c r="AF21" s="31">
        <f t="shared" si="13"/>
        <v>9</v>
      </c>
    </row>
    <row r="22" spans="2:32" ht="23.1" customHeight="1" x14ac:dyDescent="0.25">
      <c r="B22" s="23" t="s">
        <v>49</v>
      </c>
      <c r="C22" s="50">
        <v>0</v>
      </c>
      <c r="D22" s="50">
        <v>1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</v>
      </c>
      <c r="N22" s="50">
        <v>0</v>
      </c>
      <c r="O22" s="15">
        <f t="shared" si="0"/>
        <v>1</v>
      </c>
      <c r="P22" s="15">
        <f t="shared" si="1"/>
        <v>2</v>
      </c>
      <c r="R22" s="38" t="s">
        <v>90</v>
      </c>
      <c r="S22" s="39">
        <f>MAX(S10:S12)</f>
        <v>3</v>
      </c>
      <c r="T22" s="39">
        <f t="shared" ref="T22:AF22" si="14">MAX(T10:T12)</f>
        <v>1</v>
      </c>
      <c r="U22" s="39">
        <f t="shared" si="14"/>
        <v>3</v>
      </c>
      <c r="V22" s="39">
        <f t="shared" si="14"/>
        <v>0</v>
      </c>
      <c r="W22" s="39">
        <f t="shared" si="14"/>
        <v>0</v>
      </c>
      <c r="X22" s="39">
        <f t="shared" si="14"/>
        <v>0</v>
      </c>
      <c r="Y22" s="39">
        <f t="shared" si="14"/>
        <v>3</v>
      </c>
      <c r="Z22" s="39">
        <f t="shared" si="14"/>
        <v>2</v>
      </c>
      <c r="AA22" s="39">
        <f t="shared" si="14"/>
        <v>0</v>
      </c>
      <c r="AB22" s="39">
        <f t="shared" si="14"/>
        <v>0</v>
      </c>
      <c r="AC22" s="39">
        <f t="shared" si="14"/>
        <v>3</v>
      </c>
      <c r="AD22" s="39">
        <f t="shared" si="14"/>
        <v>0</v>
      </c>
      <c r="AE22" s="40">
        <f t="shared" si="14"/>
        <v>10</v>
      </c>
      <c r="AF22" s="40">
        <f t="shared" si="14"/>
        <v>13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15">
        <f t="shared" si="0"/>
        <v>2</v>
      </c>
      <c r="P23" s="15">
        <f t="shared" si="1"/>
        <v>2</v>
      </c>
      <c r="R23" s="38" t="s">
        <v>91</v>
      </c>
      <c r="S23" s="39">
        <f>MAX(S13:S18)</f>
        <v>0</v>
      </c>
      <c r="T23" s="39">
        <f t="shared" ref="T23:AF23" si="15">MAX(T13:T18)</f>
        <v>3</v>
      </c>
      <c r="U23" s="39">
        <f t="shared" si="15"/>
        <v>2</v>
      </c>
      <c r="V23" s="39">
        <f t="shared" si="15"/>
        <v>0</v>
      </c>
      <c r="W23" s="39">
        <f t="shared" si="15"/>
        <v>0</v>
      </c>
      <c r="X23" s="39">
        <f t="shared" si="15"/>
        <v>0</v>
      </c>
      <c r="Y23" s="39">
        <f t="shared" si="15"/>
        <v>2</v>
      </c>
      <c r="Z23" s="39">
        <f t="shared" si="15"/>
        <v>2</v>
      </c>
      <c r="AA23" s="39">
        <f t="shared" si="15"/>
        <v>0</v>
      </c>
      <c r="AB23" s="39">
        <f t="shared" si="15"/>
        <v>0</v>
      </c>
      <c r="AC23" s="39">
        <f t="shared" si="15"/>
        <v>1</v>
      </c>
      <c r="AD23" s="39">
        <f t="shared" si="15"/>
        <v>0</v>
      </c>
      <c r="AE23" s="40">
        <f t="shared" si="15"/>
        <v>6</v>
      </c>
      <c r="AF23" s="40">
        <f t="shared" si="15"/>
        <v>7</v>
      </c>
    </row>
    <row r="24" spans="2:32" ht="23.1" customHeight="1" x14ac:dyDescent="0.25">
      <c r="B24" s="23" t="s">
        <v>51</v>
      </c>
      <c r="C24" s="50">
        <v>0</v>
      </c>
      <c r="D24" s="50">
        <v>1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1</v>
      </c>
      <c r="K24" s="50">
        <v>0</v>
      </c>
      <c r="L24" s="50">
        <v>0</v>
      </c>
      <c r="M24" s="50">
        <v>0</v>
      </c>
      <c r="N24" s="50">
        <v>0</v>
      </c>
      <c r="O24" s="15">
        <f t="shared" si="0"/>
        <v>2</v>
      </c>
      <c r="P24" s="15">
        <f t="shared" si="1"/>
        <v>2</v>
      </c>
      <c r="R24" s="38" t="s">
        <v>92</v>
      </c>
      <c r="S24" s="39">
        <f>MAX(S19:S21)</f>
        <v>1</v>
      </c>
      <c r="T24" s="39">
        <f t="shared" ref="T24:AF24" si="16">MAX(T19:T21)</f>
        <v>2</v>
      </c>
      <c r="U24" s="39">
        <f t="shared" si="16"/>
        <v>4</v>
      </c>
      <c r="V24" s="39">
        <f t="shared" si="16"/>
        <v>0</v>
      </c>
      <c r="W24" s="39">
        <f t="shared" si="16"/>
        <v>0</v>
      </c>
      <c r="X24" s="39">
        <f t="shared" si="16"/>
        <v>0</v>
      </c>
      <c r="Y24" s="39">
        <f t="shared" si="16"/>
        <v>1</v>
      </c>
      <c r="Z24" s="39">
        <f t="shared" si="16"/>
        <v>2</v>
      </c>
      <c r="AA24" s="39">
        <f t="shared" si="16"/>
        <v>0</v>
      </c>
      <c r="AB24" s="39">
        <f t="shared" si="16"/>
        <v>0</v>
      </c>
      <c r="AC24" s="39">
        <f t="shared" si="16"/>
        <v>4</v>
      </c>
      <c r="AD24" s="39">
        <f t="shared" si="16"/>
        <v>0</v>
      </c>
      <c r="AE24" s="40">
        <f t="shared" si="16"/>
        <v>6</v>
      </c>
      <c r="AF24" s="40">
        <f t="shared" si="16"/>
        <v>10</v>
      </c>
    </row>
    <row r="25" spans="2:32" ht="23.1" customHeight="1" x14ac:dyDescent="0.25">
      <c r="B25" s="23" t="s">
        <v>52</v>
      </c>
      <c r="C25" s="50">
        <v>0</v>
      </c>
      <c r="D25" s="50">
        <v>1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15">
        <f t="shared" si="0"/>
        <v>1</v>
      </c>
      <c r="P25" s="15">
        <f t="shared" si="1"/>
        <v>1</v>
      </c>
      <c r="R25" s="37" t="s">
        <v>85</v>
      </c>
      <c r="S25" s="35">
        <f t="shared" ref="S25:AF25" si="17">SUM(S10:S12)</f>
        <v>3</v>
      </c>
      <c r="T25" s="16">
        <f t="shared" si="17"/>
        <v>1</v>
      </c>
      <c r="U25" s="16">
        <f t="shared" si="17"/>
        <v>5</v>
      </c>
      <c r="V25" s="16">
        <f t="shared" si="17"/>
        <v>0</v>
      </c>
      <c r="W25" s="16">
        <f t="shared" si="17"/>
        <v>0</v>
      </c>
      <c r="X25" s="16">
        <f t="shared" si="17"/>
        <v>0</v>
      </c>
      <c r="Y25" s="16">
        <f t="shared" si="17"/>
        <v>6</v>
      </c>
      <c r="Z25" s="16">
        <f t="shared" si="17"/>
        <v>3</v>
      </c>
      <c r="AA25" s="16">
        <f t="shared" si="17"/>
        <v>0</v>
      </c>
      <c r="AB25" s="16">
        <f t="shared" si="17"/>
        <v>0</v>
      </c>
      <c r="AC25" s="16">
        <f t="shared" si="17"/>
        <v>8</v>
      </c>
      <c r="AD25" s="16">
        <f t="shared" si="17"/>
        <v>0</v>
      </c>
      <c r="AE25" s="32">
        <f t="shared" si="17"/>
        <v>18</v>
      </c>
      <c r="AF25" s="32">
        <f t="shared" si="17"/>
        <v>26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15">
        <f t="shared" si="0"/>
        <v>0</v>
      </c>
      <c r="P26" s="15">
        <f t="shared" si="1"/>
        <v>0</v>
      </c>
      <c r="R26" s="28" t="s">
        <v>86</v>
      </c>
      <c r="S26" s="16">
        <f t="shared" ref="S26:AF26" si="18">SUM(S13:S18)</f>
        <v>0</v>
      </c>
      <c r="T26" s="16">
        <f t="shared" si="18"/>
        <v>7</v>
      </c>
      <c r="U26" s="16">
        <f t="shared" si="18"/>
        <v>2</v>
      </c>
      <c r="V26" s="16">
        <f t="shared" si="18"/>
        <v>0</v>
      </c>
      <c r="W26" s="16">
        <f t="shared" si="18"/>
        <v>0</v>
      </c>
      <c r="X26" s="16">
        <f t="shared" si="18"/>
        <v>0</v>
      </c>
      <c r="Y26" s="16">
        <f t="shared" si="18"/>
        <v>5</v>
      </c>
      <c r="Z26" s="16">
        <f t="shared" si="18"/>
        <v>3</v>
      </c>
      <c r="AA26" s="16">
        <f t="shared" si="18"/>
        <v>0</v>
      </c>
      <c r="AB26" s="16">
        <f t="shared" si="18"/>
        <v>0</v>
      </c>
      <c r="AC26" s="16">
        <f t="shared" si="18"/>
        <v>6</v>
      </c>
      <c r="AD26" s="16">
        <f t="shared" si="18"/>
        <v>0</v>
      </c>
      <c r="AE26" s="32">
        <f t="shared" si="18"/>
        <v>17</v>
      </c>
      <c r="AF26" s="32">
        <f t="shared" si="18"/>
        <v>23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15">
        <f t="shared" si="0"/>
        <v>0</v>
      </c>
      <c r="P27" s="15">
        <f t="shared" si="1"/>
        <v>0</v>
      </c>
      <c r="R27" s="29" t="s">
        <v>87</v>
      </c>
      <c r="S27" s="16">
        <f t="shared" ref="S27:AF27" si="19">SUM(S19:S21)</f>
        <v>1</v>
      </c>
      <c r="T27" s="16">
        <f t="shared" si="19"/>
        <v>3</v>
      </c>
      <c r="U27" s="16">
        <f t="shared" si="19"/>
        <v>5</v>
      </c>
      <c r="V27" s="16">
        <f t="shared" si="19"/>
        <v>0</v>
      </c>
      <c r="W27" s="16">
        <f t="shared" si="19"/>
        <v>0</v>
      </c>
      <c r="X27" s="16">
        <f t="shared" si="19"/>
        <v>0</v>
      </c>
      <c r="Y27" s="16">
        <f t="shared" si="19"/>
        <v>2</v>
      </c>
      <c r="Z27" s="16">
        <f t="shared" si="19"/>
        <v>3</v>
      </c>
      <c r="AA27" s="16">
        <f t="shared" si="19"/>
        <v>0</v>
      </c>
      <c r="AB27" s="16">
        <f t="shared" si="19"/>
        <v>0</v>
      </c>
      <c r="AC27" s="16">
        <f t="shared" si="19"/>
        <v>9</v>
      </c>
      <c r="AD27" s="16">
        <f t="shared" si="19"/>
        <v>0</v>
      </c>
      <c r="AE27" s="32">
        <f t="shared" si="19"/>
        <v>14</v>
      </c>
      <c r="AF27" s="32">
        <f t="shared" si="19"/>
        <v>23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15">
        <f t="shared" si="0"/>
        <v>0</v>
      </c>
      <c r="P28" s="15">
        <f t="shared" si="1"/>
        <v>0</v>
      </c>
      <c r="R28" s="5" t="s">
        <v>17</v>
      </c>
      <c r="S28" s="16">
        <f t="shared" ref="S28:AF28" si="20">SUM(S10:S21)</f>
        <v>4</v>
      </c>
      <c r="T28" s="16">
        <f t="shared" si="20"/>
        <v>11</v>
      </c>
      <c r="U28" s="16">
        <f t="shared" si="20"/>
        <v>12</v>
      </c>
      <c r="V28" s="16">
        <f t="shared" si="20"/>
        <v>0</v>
      </c>
      <c r="W28" s="16">
        <f t="shared" si="20"/>
        <v>0</v>
      </c>
      <c r="X28" s="16">
        <f t="shared" si="20"/>
        <v>0</v>
      </c>
      <c r="Y28" s="16">
        <f t="shared" si="20"/>
        <v>13</v>
      </c>
      <c r="Z28" s="16">
        <f t="shared" si="20"/>
        <v>9</v>
      </c>
      <c r="AA28" s="16">
        <f t="shared" si="20"/>
        <v>0</v>
      </c>
      <c r="AB28" s="16">
        <f t="shared" si="20"/>
        <v>0</v>
      </c>
      <c r="AC28" s="16">
        <f t="shared" si="20"/>
        <v>23</v>
      </c>
      <c r="AD28" s="16">
        <f t="shared" si="20"/>
        <v>0</v>
      </c>
      <c r="AE28" s="32">
        <f t="shared" si="20"/>
        <v>49</v>
      </c>
      <c r="AF28" s="32">
        <f t="shared" si="20"/>
        <v>72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</v>
      </c>
      <c r="N29" s="50">
        <v>0</v>
      </c>
      <c r="O29" s="15">
        <f t="shared" si="0"/>
        <v>0</v>
      </c>
      <c r="P29" s="15">
        <f t="shared" si="1"/>
        <v>1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</v>
      </c>
      <c r="N30" s="50">
        <v>0</v>
      </c>
      <c r="O30" s="15">
        <f t="shared" si="0"/>
        <v>0</v>
      </c>
      <c r="P30" s="15">
        <f t="shared" si="1"/>
        <v>1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15">
        <f t="shared" si="0"/>
        <v>0</v>
      </c>
      <c r="P31" s="15">
        <f t="shared" si="1"/>
        <v>0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15">
        <f t="shared" si="0"/>
        <v>0</v>
      </c>
      <c r="P32" s="15">
        <f t="shared" si="1"/>
        <v>0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15">
        <f t="shared" si="0"/>
        <v>0</v>
      </c>
      <c r="P33" s="15">
        <f t="shared" si="1"/>
        <v>0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0</v>
      </c>
      <c r="N34" s="50">
        <v>0</v>
      </c>
      <c r="O34" s="15">
        <f t="shared" si="0"/>
        <v>1</v>
      </c>
      <c r="P34" s="15">
        <f t="shared" si="1"/>
        <v>1</v>
      </c>
    </row>
    <row r="35" spans="2:20" ht="23.1" customHeight="1" x14ac:dyDescent="0.25">
      <c r="B35" s="24" t="s">
        <v>62</v>
      </c>
      <c r="C35" s="50">
        <v>0</v>
      </c>
      <c r="D35" s="50">
        <v>2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</v>
      </c>
      <c r="N35" s="50">
        <v>0</v>
      </c>
      <c r="O35" s="15">
        <f t="shared" si="0"/>
        <v>2</v>
      </c>
      <c r="P35" s="15">
        <f t="shared" si="1"/>
        <v>3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1</v>
      </c>
      <c r="K36" s="50">
        <v>0</v>
      </c>
      <c r="L36" s="50">
        <v>0</v>
      </c>
      <c r="M36" s="50">
        <v>0</v>
      </c>
      <c r="N36" s="50">
        <v>0</v>
      </c>
      <c r="O36" s="15">
        <f t="shared" si="0"/>
        <v>1</v>
      </c>
      <c r="P36" s="15">
        <f t="shared" si="1"/>
        <v>1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1</v>
      </c>
      <c r="K37" s="50">
        <v>0</v>
      </c>
      <c r="L37" s="50">
        <v>0</v>
      </c>
      <c r="M37" s="50">
        <v>0</v>
      </c>
      <c r="N37" s="50">
        <v>0</v>
      </c>
      <c r="O37" s="15">
        <f t="shared" si="0"/>
        <v>1</v>
      </c>
      <c r="P37" s="15">
        <f t="shared" si="1"/>
        <v>1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1</v>
      </c>
      <c r="N38" s="50">
        <v>0</v>
      </c>
      <c r="O38" s="15">
        <f t="shared" si="0"/>
        <v>1</v>
      </c>
      <c r="P38" s="15">
        <f t="shared" si="1"/>
        <v>2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1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0</v>
      </c>
      <c r="N39" s="50">
        <v>0</v>
      </c>
      <c r="O39" s="15">
        <f t="shared" si="0"/>
        <v>1</v>
      </c>
      <c r="P39" s="15">
        <f t="shared" si="1"/>
        <v>1</v>
      </c>
    </row>
    <row r="40" spans="2:20" ht="23.1" customHeight="1" x14ac:dyDescent="0.25">
      <c r="B40" s="24" t="s">
        <v>67</v>
      </c>
      <c r="C40" s="50">
        <v>0</v>
      </c>
      <c r="D40" s="50">
        <v>1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0</v>
      </c>
      <c r="N40" s="50">
        <v>0</v>
      </c>
      <c r="O40" s="15">
        <f t="shared" si="0"/>
        <v>1</v>
      </c>
      <c r="P40" s="15">
        <f t="shared" si="1"/>
        <v>1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1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0</v>
      </c>
      <c r="N41" s="50">
        <v>0</v>
      </c>
      <c r="O41" s="15">
        <f t="shared" si="0"/>
        <v>1</v>
      </c>
      <c r="P41" s="15">
        <f t="shared" si="1"/>
        <v>1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0</v>
      </c>
      <c r="N42" s="50">
        <v>0</v>
      </c>
      <c r="O42" s="15">
        <f t="shared" si="0"/>
        <v>0</v>
      </c>
      <c r="P42" s="15">
        <f t="shared" si="1"/>
        <v>0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0</v>
      </c>
      <c r="N43" s="50">
        <v>0</v>
      </c>
      <c r="O43" s="15">
        <f t="shared" si="0"/>
        <v>1</v>
      </c>
      <c r="P43" s="15">
        <f t="shared" si="1"/>
        <v>1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0</v>
      </c>
      <c r="N44" s="50">
        <v>0</v>
      </c>
      <c r="O44" s="15">
        <f t="shared" si="0"/>
        <v>0</v>
      </c>
      <c r="P44" s="15">
        <f t="shared" si="1"/>
        <v>0</v>
      </c>
    </row>
    <row r="45" spans="2:20" ht="23.1" customHeight="1" x14ac:dyDescent="0.25">
      <c r="B45" s="23" t="s">
        <v>72</v>
      </c>
      <c r="C45" s="50">
        <v>0</v>
      </c>
      <c r="D45" s="50">
        <v>1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</v>
      </c>
      <c r="N45" s="50">
        <v>0</v>
      </c>
      <c r="O45" s="15">
        <f t="shared" si="0"/>
        <v>1</v>
      </c>
      <c r="P45" s="15">
        <f t="shared" si="1"/>
        <v>2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1</v>
      </c>
      <c r="N46" s="50">
        <v>0</v>
      </c>
      <c r="O46" s="15">
        <f t="shared" si="0"/>
        <v>1</v>
      </c>
      <c r="P46" s="15">
        <f t="shared" si="1"/>
        <v>2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1</v>
      </c>
      <c r="N47" s="50">
        <v>0</v>
      </c>
      <c r="O47" s="15">
        <f t="shared" si="0"/>
        <v>0</v>
      </c>
      <c r="P47" s="15">
        <f t="shared" si="1"/>
        <v>1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1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0</v>
      </c>
      <c r="N48" s="50">
        <v>0</v>
      </c>
      <c r="O48" s="15">
        <f t="shared" si="0"/>
        <v>1</v>
      </c>
      <c r="P48" s="15">
        <f t="shared" si="1"/>
        <v>1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0</v>
      </c>
      <c r="N49" s="50">
        <v>0</v>
      </c>
      <c r="O49" s="15">
        <f t="shared" si="0"/>
        <v>0</v>
      </c>
      <c r="P49" s="15">
        <f t="shared" si="1"/>
        <v>0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1</v>
      </c>
      <c r="N50" s="50">
        <v>0</v>
      </c>
      <c r="O50" s="15">
        <f t="shared" si="0"/>
        <v>1</v>
      </c>
      <c r="P50" s="15">
        <f t="shared" si="1"/>
        <v>2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1</v>
      </c>
      <c r="K51" s="50">
        <v>0</v>
      </c>
      <c r="L51" s="50">
        <v>0</v>
      </c>
      <c r="M51" s="50">
        <v>1</v>
      </c>
      <c r="N51" s="50">
        <v>0</v>
      </c>
      <c r="O51" s="15">
        <f t="shared" si="0"/>
        <v>1</v>
      </c>
      <c r="P51" s="15">
        <f t="shared" si="1"/>
        <v>2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2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0</v>
      </c>
      <c r="N52" s="50">
        <v>0</v>
      </c>
      <c r="O52" s="15">
        <f t="shared" si="0"/>
        <v>2</v>
      </c>
      <c r="P52" s="15">
        <f t="shared" si="1"/>
        <v>2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2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2</v>
      </c>
      <c r="N53" s="50">
        <v>0</v>
      </c>
      <c r="O53" s="15">
        <f t="shared" si="0"/>
        <v>2</v>
      </c>
      <c r="P53" s="15">
        <f t="shared" si="1"/>
        <v>4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1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2</v>
      </c>
      <c r="K54" s="50">
        <v>0</v>
      </c>
      <c r="L54" s="50">
        <v>0</v>
      </c>
      <c r="M54" s="50">
        <v>1</v>
      </c>
      <c r="N54" s="50">
        <v>0</v>
      </c>
      <c r="O54" s="15">
        <f t="shared" si="0"/>
        <v>4</v>
      </c>
      <c r="P54" s="15">
        <f t="shared" si="1"/>
        <v>5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15">
        <f t="shared" si="0"/>
        <v>0</v>
      </c>
      <c r="P55" s="15">
        <f t="shared" si="1"/>
        <v>0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1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0</v>
      </c>
      <c r="N56" s="50">
        <v>0</v>
      </c>
      <c r="O56" s="15">
        <f t="shared" si="0"/>
        <v>1</v>
      </c>
      <c r="P56" s="15">
        <f t="shared" si="1"/>
        <v>1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1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2</v>
      </c>
      <c r="N57" s="50">
        <v>0</v>
      </c>
      <c r="O57" s="15">
        <f t="shared" si="0"/>
        <v>1</v>
      </c>
      <c r="P57" s="15">
        <f t="shared" si="1"/>
        <v>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</v>
      </c>
      <c r="D58" s="16">
        <f t="shared" si="21"/>
        <v>11</v>
      </c>
      <c r="E58" s="16">
        <f t="shared" si="21"/>
        <v>12</v>
      </c>
      <c r="F58" s="16">
        <f t="shared" si="21"/>
        <v>0</v>
      </c>
      <c r="G58" s="16">
        <f t="shared" si="21"/>
        <v>0</v>
      </c>
      <c r="H58" s="16">
        <f t="shared" si="21"/>
        <v>0</v>
      </c>
      <c r="I58" s="16">
        <f t="shared" si="21"/>
        <v>13</v>
      </c>
      <c r="J58" s="16">
        <f t="shared" si="21"/>
        <v>9</v>
      </c>
      <c r="K58" s="16">
        <f t="shared" si="21"/>
        <v>0</v>
      </c>
      <c r="L58" s="16">
        <f t="shared" si="21"/>
        <v>0</v>
      </c>
      <c r="M58" s="16">
        <f t="shared" si="21"/>
        <v>23</v>
      </c>
      <c r="N58" s="16">
        <f t="shared" si="21"/>
        <v>0</v>
      </c>
      <c r="O58" s="16">
        <f t="shared" si="21"/>
        <v>49</v>
      </c>
      <c r="P58" s="16">
        <f t="shared" si="21"/>
        <v>72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5.5555555555555552E-2</v>
      </c>
      <c r="D59" s="43">
        <f t="shared" si="22"/>
        <v>0.15277777777777779</v>
      </c>
      <c r="E59" s="43">
        <f t="shared" si="22"/>
        <v>0.16666666666666666</v>
      </c>
      <c r="F59" s="43">
        <f t="shared" si="22"/>
        <v>0</v>
      </c>
      <c r="G59" s="43">
        <f t="shared" si="22"/>
        <v>0</v>
      </c>
      <c r="H59" s="43">
        <f t="shared" si="22"/>
        <v>0</v>
      </c>
      <c r="I59" s="43">
        <f t="shared" si="22"/>
        <v>0.18055555555555555</v>
      </c>
      <c r="J59" s="43">
        <f t="shared" si="22"/>
        <v>0.125</v>
      </c>
      <c r="K59" s="43">
        <f t="shared" si="22"/>
        <v>0</v>
      </c>
      <c r="L59" s="43">
        <f t="shared" si="22"/>
        <v>0</v>
      </c>
      <c r="M59" s="43">
        <f t="shared" si="22"/>
        <v>0.31944444444444442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8.1632653061224483E-2</v>
      </c>
      <c r="D60" s="44">
        <f t="shared" ref="D60:N60" si="23">D58/$O$58</f>
        <v>0.22448979591836735</v>
      </c>
      <c r="E60" s="44">
        <f t="shared" si="23"/>
        <v>0.24489795918367346</v>
      </c>
      <c r="F60" s="44">
        <f t="shared" si="23"/>
        <v>0</v>
      </c>
      <c r="G60" s="44">
        <f t="shared" si="23"/>
        <v>0</v>
      </c>
      <c r="H60" s="44">
        <f t="shared" si="23"/>
        <v>0</v>
      </c>
      <c r="I60" s="44">
        <f t="shared" si="23"/>
        <v>0.26530612244897961</v>
      </c>
      <c r="J60" s="44">
        <f t="shared" si="23"/>
        <v>0.18367346938775511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F126"/>
  <sheetViews>
    <sheetView view="pageBreakPreview" zoomScale="60" workbookViewId="0">
      <selection activeCell="C57" sqref="C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'05.08 KOTIDO-KABONG'!C3:G3</f>
        <v>MCC - C5 - STN0125 - KAABONG-KOTIDO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'06.07 KABONG-KOTIDO'!D5</f>
        <v>06.08.19</v>
      </c>
      <c r="E5" s="3"/>
      <c r="F5" s="41" t="s">
        <v>1</v>
      </c>
      <c r="G5" s="66" t="str">
        <f>'05.08 KABONG-KOTIDO'!G5:H5</f>
        <v>xxx</v>
      </c>
      <c r="H5" s="67"/>
      <c r="I5" s="14"/>
      <c r="J5" s="2" t="s">
        <v>5</v>
      </c>
      <c r="K5" s="66" t="str">
        <f>'05.08 KABONG-KOTIDO'!K5:L5</f>
        <v>NALUBEGA JOSEPHINE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'05.08 KOTIDO-KABONG'!D6:E6</f>
        <v>KITIDO</v>
      </c>
      <c r="E6" s="67"/>
      <c r="F6" s="2" t="s">
        <v>2</v>
      </c>
      <c r="G6" s="66" t="str">
        <f>'05.08 KOTIDO-KABONG'!G6:H6</f>
        <v>KABONG</v>
      </c>
      <c r="H6" s="67"/>
      <c r="J6" s="2" t="s">
        <v>21</v>
      </c>
      <c r="K6" s="66" t="str">
        <f>'05.08 KABONG-KOTIDO'!K6:L6</f>
        <v>CRANIMER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3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4</v>
      </c>
      <c r="R10" s="1" t="s">
        <v>6</v>
      </c>
      <c r="S10" s="17">
        <f t="shared" ref="S10:AF10" si="2">SUM(C10:C13)</f>
        <v>1</v>
      </c>
      <c r="T10" s="17">
        <f t="shared" si="2"/>
        <v>1</v>
      </c>
      <c r="U10" s="17">
        <f t="shared" si="2"/>
        <v>1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2</v>
      </c>
      <c r="AA10" s="17">
        <f t="shared" si="2"/>
        <v>0</v>
      </c>
      <c r="AB10" s="17">
        <f t="shared" si="2"/>
        <v>0</v>
      </c>
      <c r="AC10" s="17">
        <f t="shared" si="2"/>
        <v>4</v>
      </c>
      <c r="AD10" s="17">
        <f t="shared" si="2"/>
        <v>0</v>
      </c>
      <c r="AE10" s="31">
        <f t="shared" si="2"/>
        <v>5</v>
      </c>
      <c r="AF10" s="31">
        <f t="shared" si="2"/>
        <v>9</v>
      </c>
    </row>
    <row r="11" spans="2:32" s="6" customFormat="1" ht="23.1" customHeight="1" x14ac:dyDescent="0.25">
      <c r="B11" s="23" t="s">
        <v>38</v>
      </c>
      <c r="C11" s="50">
        <v>0</v>
      </c>
      <c r="D11" s="50">
        <v>1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1</v>
      </c>
      <c r="K11" s="50">
        <v>0</v>
      </c>
      <c r="L11" s="50">
        <v>0</v>
      </c>
      <c r="M11" s="50">
        <v>1</v>
      </c>
      <c r="N11" s="50">
        <v>0</v>
      </c>
      <c r="O11" s="15">
        <f t="shared" si="0"/>
        <v>2</v>
      </c>
      <c r="P11" s="15">
        <f t="shared" si="1"/>
        <v>3</v>
      </c>
      <c r="R11" s="1" t="s">
        <v>7</v>
      </c>
      <c r="S11" s="17">
        <f t="shared" ref="S11:AF11" si="3">SUM(C14:C17)</f>
        <v>1</v>
      </c>
      <c r="T11" s="17">
        <f t="shared" si="3"/>
        <v>1</v>
      </c>
      <c r="U11" s="17">
        <f t="shared" si="3"/>
        <v>3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3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2</v>
      </c>
      <c r="AD11" s="17">
        <f t="shared" si="3"/>
        <v>0</v>
      </c>
      <c r="AE11" s="31">
        <f t="shared" si="3"/>
        <v>9</v>
      </c>
      <c r="AF11" s="31">
        <f t="shared" si="3"/>
        <v>11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1</v>
      </c>
      <c r="K12" s="50">
        <v>0</v>
      </c>
      <c r="L12" s="50">
        <v>0</v>
      </c>
      <c r="M12" s="50">
        <v>0</v>
      </c>
      <c r="N12" s="50">
        <v>0</v>
      </c>
      <c r="O12" s="15">
        <f t="shared" si="0"/>
        <v>2</v>
      </c>
      <c r="P12" s="15">
        <f t="shared" si="1"/>
        <v>2</v>
      </c>
      <c r="R12" s="1" t="s">
        <v>8</v>
      </c>
      <c r="S12" s="17">
        <f t="shared" ref="S12:AF12" si="4">SUM(C18:C21)</f>
        <v>0</v>
      </c>
      <c r="T12" s="17">
        <f t="shared" si="4"/>
        <v>3</v>
      </c>
      <c r="U12" s="17">
        <f t="shared" si="4"/>
        <v>1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3</v>
      </c>
      <c r="AD12" s="17">
        <f t="shared" si="4"/>
        <v>0</v>
      </c>
      <c r="AE12" s="31">
        <f t="shared" si="4"/>
        <v>4</v>
      </c>
      <c r="AF12" s="31">
        <f t="shared" si="4"/>
        <v>7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15">
        <f t="shared" si="0"/>
        <v>0</v>
      </c>
      <c r="P13" s="15">
        <f t="shared" si="1"/>
        <v>0</v>
      </c>
      <c r="R13" s="1" t="s">
        <v>9</v>
      </c>
      <c r="S13" s="17">
        <f t="shared" ref="S13:AF13" si="5">SUM(C22:C25)</f>
        <v>0</v>
      </c>
      <c r="T13" s="17">
        <f t="shared" si="5"/>
        <v>1</v>
      </c>
      <c r="U13" s="17">
        <f t="shared" si="5"/>
        <v>2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</v>
      </c>
      <c r="AD13" s="17">
        <f t="shared" si="5"/>
        <v>0</v>
      </c>
      <c r="AE13" s="31">
        <f t="shared" si="5"/>
        <v>4</v>
      </c>
      <c r="AF13" s="31">
        <f t="shared" si="5"/>
        <v>5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2</v>
      </c>
      <c r="F14" s="50">
        <v>0</v>
      </c>
      <c r="G14" s="50">
        <v>0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15">
        <f t="shared" si="0"/>
        <v>4</v>
      </c>
      <c r="P14" s="15">
        <f t="shared" si="1"/>
        <v>4</v>
      </c>
      <c r="R14" s="1" t="s">
        <v>10</v>
      </c>
      <c r="S14" s="17">
        <f t="shared" ref="S14:AF14" si="6">SUM(C26:C29)</f>
        <v>1</v>
      </c>
      <c r="T14" s="17">
        <f t="shared" si="6"/>
        <v>3</v>
      </c>
      <c r="U14" s="17">
        <f t="shared" si="6"/>
        <v>0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2</v>
      </c>
      <c r="AA14" s="17">
        <f t="shared" si="6"/>
        <v>0</v>
      </c>
      <c r="AB14" s="17">
        <f t="shared" si="6"/>
        <v>0</v>
      </c>
      <c r="AC14" s="17">
        <f t="shared" si="6"/>
        <v>0</v>
      </c>
      <c r="AD14" s="17">
        <f t="shared" si="6"/>
        <v>0</v>
      </c>
      <c r="AE14" s="31">
        <f t="shared" si="6"/>
        <v>6</v>
      </c>
      <c r="AF14" s="31">
        <f t="shared" si="6"/>
        <v>6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2</v>
      </c>
      <c r="N15" s="50">
        <v>0</v>
      </c>
      <c r="O15" s="15">
        <f t="shared" si="0"/>
        <v>1</v>
      </c>
      <c r="P15" s="15">
        <f t="shared" si="1"/>
        <v>3</v>
      </c>
      <c r="R15" s="1" t="s">
        <v>11</v>
      </c>
      <c r="S15" s="17">
        <f t="shared" ref="S15:AF15" si="7">SUM(C30:C33)</f>
        <v>0</v>
      </c>
      <c r="T15" s="17">
        <f t="shared" si="7"/>
        <v>1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1</v>
      </c>
      <c r="Y15" s="17">
        <f t="shared" si="7"/>
        <v>1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3</v>
      </c>
      <c r="AD15" s="17">
        <f t="shared" si="7"/>
        <v>0</v>
      </c>
      <c r="AE15" s="31">
        <f t="shared" si="7"/>
        <v>3</v>
      </c>
      <c r="AF15" s="31">
        <f t="shared" si="7"/>
        <v>6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1</v>
      </c>
      <c r="J16" s="50">
        <v>1</v>
      </c>
      <c r="K16" s="50">
        <v>0</v>
      </c>
      <c r="L16" s="50">
        <v>0</v>
      </c>
      <c r="M16" s="50">
        <v>0</v>
      </c>
      <c r="N16" s="50">
        <v>0</v>
      </c>
      <c r="O16" s="15">
        <f t="shared" si="0"/>
        <v>2</v>
      </c>
      <c r="P16" s="15">
        <f t="shared" si="1"/>
        <v>2</v>
      </c>
      <c r="R16" s="1" t="s">
        <v>12</v>
      </c>
      <c r="S16" s="17">
        <f t="shared" ref="S16:AF16" si="8">SUM(C34:C37)</f>
        <v>0</v>
      </c>
      <c r="T16" s="17">
        <f t="shared" si="8"/>
        <v>0</v>
      </c>
      <c r="U16" s="17">
        <f t="shared" si="8"/>
        <v>1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2</v>
      </c>
      <c r="AD16" s="17">
        <f t="shared" si="8"/>
        <v>0</v>
      </c>
      <c r="AE16" s="31">
        <f t="shared" si="8"/>
        <v>1</v>
      </c>
      <c r="AF16" s="31">
        <f t="shared" si="8"/>
        <v>3</v>
      </c>
    </row>
    <row r="17" spans="2:32" ht="23.1" customHeight="1" x14ac:dyDescent="0.25">
      <c r="B17" s="23" t="s">
        <v>44</v>
      </c>
      <c r="C17" s="50">
        <v>0</v>
      </c>
      <c r="D17" s="50">
        <v>1</v>
      </c>
      <c r="E17" s="50">
        <v>1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15">
        <f t="shared" si="0"/>
        <v>2</v>
      </c>
      <c r="P17" s="15">
        <f t="shared" si="1"/>
        <v>2</v>
      </c>
      <c r="R17" s="1" t="s">
        <v>13</v>
      </c>
      <c r="S17" s="17">
        <f t="shared" ref="S17:AF17" si="9">SUM(C38:C41)</f>
        <v>0</v>
      </c>
      <c r="T17" s="17">
        <f t="shared" si="9"/>
        <v>1</v>
      </c>
      <c r="U17" s="17">
        <f t="shared" si="9"/>
        <v>0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0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3</v>
      </c>
      <c r="AD17" s="17">
        <f t="shared" si="9"/>
        <v>0</v>
      </c>
      <c r="AE17" s="31">
        <f t="shared" si="9"/>
        <v>2</v>
      </c>
      <c r="AF17" s="31">
        <f t="shared" si="9"/>
        <v>5</v>
      </c>
    </row>
    <row r="18" spans="2:32" ht="23.1" customHeight="1" x14ac:dyDescent="0.25">
      <c r="B18" s="23" t="s">
        <v>45</v>
      </c>
      <c r="C18" s="50">
        <v>0</v>
      </c>
      <c r="D18" s="50">
        <v>1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</v>
      </c>
      <c r="N18" s="50">
        <v>0</v>
      </c>
      <c r="O18" s="15">
        <f t="shared" si="0"/>
        <v>1</v>
      </c>
      <c r="P18" s="15">
        <f t="shared" si="1"/>
        <v>2</v>
      </c>
      <c r="R18" s="1" t="s">
        <v>14</v>
      </c>
      <c r="S18" s="17">
        <f t="shared" ref="S18:AF18" si="10">SUM(C42:C45)</f>
        <v>0</v>
      </c>
      <c r="T18" s="17">
        <f t="shared" si="10"/>
        <v>0</v>
      </c>
      <c r="U18" s="17">
        <f t="shared" si="10"/>
        <v>0</v>
      </c>
      <c r="V18" s="17">
        <f t="shared" si="10"/>
        <v>0</v>
      </c>
      <c r="W18" s="17">
        <f t="shared" si="10"/>
        <v>0</v>
      </c>
      <c r="X18" s="17">
        <f t="shared" si="10"/>
        <v>1</v>
      </c>
      <c r="Y18" s="17">
        <f t="shared" si="10"/>
        <v>0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15</v>
      </c>
      <c r="AD18" s="17">
        <f t="shared" si="10"/>
        <v>0</v>
      </c>
      <c r="AE18" s="31">
        <f t="shared" si="10"/>
        <v>1</v>
      </c>
      <c r="AF18" s="31">
        <f t="shared" si="10"/>
        <v>16</v>
      </c>
    </row>
    <row r="19" spans="2:32" ht="23.1" customHeight="1" x14ac:dyDescent="0.25">
      <c r="B19" s="23" t="s">
        <v>46</v>
      </c>
      <c r="C19" s="50">
        <v>0</v>
      </c>
      <c r="D19" s="50">
        <v>1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</v>
      </c>
      <c r="N19" s="50">
        <v>0</v>
      </c>
      <c r="O19" s="15">
        <f t="shared" si="0"/>
        <v>1</v>
      </c>
      <c r="P19" s="15">
        <f t="shared" si="1"/>
        <v>2</v>
      </c>
      <c r="R19" s="1" t="s">
        <v>15</v>
      </c>
      <c r="S19" s="17">
        <f t="shared" ref="S19:AF19" si="11">SUM(C46:C49)</f>
        <v>0</v>
      </c>
      <c r="T19" s="17">
        <f t="shared" si="11"/>
        <v>3</v>
      </c>
      <c r="U19" s="17">
        <f t="shared" si="11"/>
        <v>0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1</v>
      </c>
      <c r="AD19" s="17">
        <f t="shared" si="11"/>
        <v>0</v>
      </c>
      <c r="AE19" s="31">
        <f t="shared" si="11"/>
        <v>4</v>
      </c>
      <c r="AF19" s="31">
        <f t="shared" si="11"/>
        <v>5</v>
      </c>
    </row>
    <row r="20" spans="2:32" ht="23.1" customHeight="1" x14ac:dyDescent="0.25">
      <c r="B20" s="23" t="s">
        <v>47</v>
      </c>
      <c r="C20" s="50">
        <v>0</v>
      </c>
      <c r="D20" s="50">
        <v>1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15">
        <f t="shared" si="0"/>
        <v>1</v>
      </c>
      <c r="P20" s="15">
        <f t="shared" si="1"/>
        <v>1</v>
      </c>
      <c r="R20" s="1" t="s">
        <v>16</v>
      </c>
      <c r="S20" s="17">
        <f t="shared" ref="S20:AF20" si="12">SUM(C50:C53)</f>
        <v>1</v>
      </c>
      <c r="T20" s="17">
        <f t="shared" si="12"/>
        <v>0</v>
      </c>
      <c r="U20" s="17">
        <f t="shared" si="12"/>
        <v>0</v>
      </c>
      <c r="V20" s="17">
        <f t="shared" si="12"/>
        <v>0</v>
      </c>
      <c r="W20" s="17">
        <f t="shared" si="12"/>
        <v>0</v>
      </c>
      <c r="X20" s="17">
        <f t="shared" si="12"/>
        <v>1</v>
      </c>
      <c r="Y20" s="17">
        <f t="shared" si="12"/>
        <v>0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0</v>
      </c>
      <c r="AD20" s="17">
        <f t="shared" si="12"/>
        <v>0</v>
      </c>
      <c r="AE20" s="31">
        <f t="shared" si="12"/>
        <v>2</v>
      </c>
      <c r="AF20" s="31">
        <f t="shared" si="12"/>
        <v>2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1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</v>
      </c>
      <c r="N21" s="50">
        <v>0</v>
      </c>
      <c r="O21" s="15">
        <f t="shared" si="0"/>
        <v>1</v>
      </c>
      <c r="P21" s="15">
        <f t="shared" si="1"/>
        <v>2</v>
      </c>
      <c r="R21" s="36" t="s">
        <v>20</v>
      </c>
      <c r="S21" s="34">
        <f t="shared" ref="S21:AF21" si="13">SUM(C54:C57)</f>
        <v>1</v>
      </c>
      <c r="T21" s="17">
        <f t="shared" si="13"/>
        <v>1</v>
      </c>
      <c r="U21" s="17">
        <f t="shared" si="13"/>
        <v>0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2</v>
      </c>
      <c r="AA21" s="17">
        <f t="shared" si="13"/>
        <v>0</v>
      </c>
      <c r="AB21" s="17">
        <f t="shared" si="13"/>
        <v>0</v>
      </c>
      <c r="AC21" s="17">
        <f t="shared" si="13"/>
        <v>2</v>
      </c>
      <c r="AD21" s="17">
        <f t="shared" si="13"/>
        <v>0</v>
      </c>
      <c r="AE21" s="31">
        <f t="shared" si="13"/>
        <v>5</v>
      </c>
      <c r="AF21" s="31">
        <f t="shared" si="13"/>
        <v>7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15">
        <f t="shared" si="0"/>
        <v>0</v>
      </c>
      <c r="P22" s="15">
        <f t="shared" si="1"/>
        <v>0</v>
      </c>
      <c r="R22" s="38" t="s">
        <v>90</v>
      </c>
      <c r="S22" s="39">
        <f>MAX(S10:S12)</f>
        <v>1</v>
      </c>
      <c r="T22" s="39">
        <f t="shared" ref="T22:AF22" si="14">MAX(T10:T12)</f>
        <v>3</v>
      </c>
      <c r="U22" s="39">
        <f t="shared" si="14"/>
        <v>3</v>
      </c>
      <c r="V22" s="39">
        <f t="shared" si="14"/>
        <v>0</v>
      </c>
      <c r="W22" s="39">
        <f t="shared" si="14"/>
        <v>0</v>
      </c>
      <c r="X22" s="39">
        <f t="shared" si="14"/>
        <v>0</v>
      </c>
      <c r="Y22" s="39">
        <f t="shared" si="14"/>
        <v>3</v>
      </c>
      <c r="Z22" s="39">
        <f t="shared" si="14"/>
        <v>2</v>
      </c>
      <c r="AA22" s="39">
        <f t="shared" si="14"/>
        <v>0</v>
      </c>
      <c r="AB22" s="39">
        <f t="shared" si="14"/>
        <v>0</v>
      </c>
      <c r="AC22" s="39">
        <f t="shared" si="14"/>
        <v>4</v>
      </c>
      <c r="AD22" s="39">
        <f t="shared" si="14"/>
        <v>0</v>
      </c>
      <c r="AE22" s="40">
        <f t="shared" si="14"/>
        <v>9</v>
      </c>
      <c r="AF22" s="40">
        <f t="shared" si="14"/>
        <v>11</v>
      </c>
    </row>
    <row r="23" spans="2:32" ht="23.1" customHeight="1" x14ac:dyDescent="0.25">
      <c r="B23" s="23" t="s">
        <v>50</v>
      </c>
      <c r="C23" s="50">
        <v>0</v>
      </c>
      <c r="D23" s="50">
        <v>1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</v>
      </c>
      <c r="N23" s="50">
        <v>0</v>
      </c>
      <c r="O23" s="15">
        <f t="shared" si="0"/>
        <v>1</v>
      </c>
      <c r="P23" s="15">
        <f t="shared" si="1"/>
        <v>2</v>
      </c>
      <c r="R23" s="38" t="s">
        <v>91</v>
      </c>
      <c r="S23" s="39">
        <f>MAX(S13:S18)</f>
        <v>1</v>
      </c>
      <c r="T23" s="39">
        <f t="shared" ref="T23:AF23" si="15">MAX(T13:T18)</f>
        <v>3</v>
      </c>
      <c r="U23" s="39">
        <f t="shared" si="15"/>
        <v>2</v>
      </c>
      <c r="V23" s="39">
        <f t="shared" si="15"/>
        <v>0</v>
      </c>
      <c r="W23" s="39">
        <f t="shared" si="15"/>
        <v>0</v>
      </c>
      <c r="X23" s="39">
        <f t="shared" si="15"/>
        <v>1</v>
      </c>
      <c r="Y23" s="39">
        <f t="shared" si="15"/>
        <v>1</v>
      </c>
      <c r="Z23" s="39">
        <f t="shared" si="15"/>
        <v>2</v>
      </c>
      <c r="AA23" s="39">
        <f t="shared" si="15"/>
        <v>0</v>
      </c>
      <c r="AB23" s="39">
        <f t="shared" si="15"/>
        <v>0</v>
      </c>
      <c r="AC23" s="39">
        <f t="shared" si="15"/>
        <v>15</v>
      </c>
      <c r="AD23" s="39">
        <f t="shared" si="15"/>
        <v>0</v>
      </c>
      <c r="AE23" s="40">
        <f t="shared" si="15"/>
        <v>6</v>
      </c>
      <c r="AF23" s="40">
        <f t="shared" si="15"/>
        <v>16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2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15">
        <f t="shared" si="0"/>
        <v>3</v>
      </c>
      <c r="P24" s="15">
        <f t="shared" si="1"/>
        <v>3</v>
      </c>
      <c r="R24" s="38" t="s">
        <v>92</v>
      </c>
      <c r="S24" s="39">
        <f>MAX(S19:S21)</f>
        <v>1</v>
      </c>
      <c r="T24" s="39">
        <f t="shared" ref="T24:AF24" si="16">MAX(T19:T21)</f>
        <v>3</v>
      </c>
      <c r="U24" s="39">
        <f t="shared" si="16"/>
        <v>0</v>
      </c>
      <c r="V24" s="39">
        <f t="shared" si="16"/>
        <v>0</v>
      </c>
      <c r="W24" s="39">
        <f t="shared" si="16"/>
        <v>0</v>
      </c>
      <c r="X24" s="39">
        <f t="shared" si="16"/>
        <v>1</v>
      </c>
      <c r="Y24" s="39">
        <f t="shared" si="16"/>
        <v>1</v>
      </c>
      <c r="Z24" s="39">
        <f t="shared" si="16"/>
        <v>2</v>
      </c>
      <c r="AA24" s="39">
        <f t="shared" si="16"/>
        <v>0</v>
      </c>
      <c r="AB24" s="39">
        <f t="shared" si="16"/>
        <v>0</v>
      </c>
      <c r="AC24" s="39">
        <f t="shared" si="16"/>
        <v>2</v>
      </c>
      <c r="AD24" s="39">
        <f t="shared" si="16"/>
        <v>0</v>
      </c>
      <c r="AE24" s="40">
        <f t="shared" si="16"/>
        <v>5</v>
      </c>
      <c r="AF24" s="40">
        <f t="shared" si="16"/>
        <v>7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15">
        <f t="shared" si="0"/>
        <v>0</v>
      </c>
      <c r="P25" s="15">
        <f t="shared" si="1"/>
        <v>0</v>
      </c>
      <c r="R25" s="37" t="s">
        <v>85</v>
      </c>
      <c r="S25" s="35">
        <f t="shared" ref="S25:AF25" si="17">SUM(S10:S12)</f>
        <v>2</v>
      </c>
      <c r="T25" s="16">
        <f t="shared" si="17"/>
        <v>5</v>
      </c>
      <c r="U25" s="16">
        <f t="shared" si="17"/>
        <v>5</v>
      </c>
      <c r="V25" s="16">
        <f t="shared" si="17"/>
        <v>0</v>
      </c>
      <c r="W25" s="16">
        <f t="shared" si="17"/>
        <v>0</v>
      </c>
      <c r="X25" s="16">
        <f t="shared" si="17"/>
        <v>0</v>
      </c>
      <c r="Y25" s="16">
        <f t="shared" si="17"/>
        <v>3</v>
      </c>
      <c r="Z25" s="16">
        <f t="shared" si="17"/>
        <v>3</v>
      </c>
      <c r="AA25" s="16">
        <f t="shared" si="17"/>
        <v>0</v>
      </c>
      <c r="AB25" s="16">
        <f t="shared" si="17"/>
        <v>0</v>
      </c>
      <c r="AC25" s="16">
        <f t="shared" si="17"/>
        <v>9</v>
      </c>
      <c r="AD25" s="16">
        <f t="shared" si="17"/>
        <v>0</v>
      </c>
      <c r="AE25" s="32">
        <f t="shared" si="17"/>
        <v>18</v>
      </c>
      <c r="AF25" s="32">
        <f t="shared" si="17"/>
        <v>27</v>
      </c>
    </row>
    <row r="26" spans="2:32" ht="23.1" customHeight="1" x14ac:dyDescent="0.25">
      <c r="B26" s="23" t="s">
        <v>53</v>
      </c>
      <c r="C26" s="50">
        <v>1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2</v>
      </c>
      <c r="K26" s="50">
        <v>0</v>
      </c>
      <c r="L26" s="50">
        <v>0</v>
      </c>
      <c r="M26" s="50">
        <v>0</v>
      </c>
      <c r="N26" s="50">
        <v>0</v>
      </c>
      <c r="O26" s="15">
        <f t="shared" si="0"/>
        <v>3</v>
      </c>
      <c r="P26" s="15">
        <f t="shared" si="1"/>
        <v>3</v>
      </c>
      <c r="R26" s="28" t="s">
        <v>86</v>
      </c>
      <c r="S26" s="16">
        <f t="shared" ref="S26:AF26" si="18">SUM(S13:S18)</f>
        <v>1</v>
      </c>
      <c r="T26" s="16">
        <f t="shared" si="18"/>
        <v>6</v>
      </c>
      <c r="U26" s="16">
        <f t="shared" si="18"/>
        <v>3</v>
      </c>
      <c r="V26" s="16">
        <f t="shared" si="18"/>
        <v>0</v>
      </c>
      <c r="W26" s="16">
        <f t="shared" si="18"/>
        <v>0</v>
      </c>
      <c r="X26" s="16">
        <f t="shared" si="18"/>
        <v>2</v>
      </c>
      <c r="Y26" s="16">
        <f t="shared" si="18"/>
        <v>2</v>
      </c>
      <c r="Z26" s="16">
        <f t="shared" si="18"/>
        <v>3</v>
      </c>
      <c r="AA26" s="16">
        <f t="shared" si="18"/>
        <v>0</v>
      </c>
      <c r="AB26" s="16">
        <f t="shared" si="18"/>
        <v>0</v>
      </c>
      <c r="AC26" s="16">
        <f t="shared" si="18"/>
        <v>24</v>
      </c>
      <c r="AD26" s="16">
        <f t="shared" si="18"/>
        <v>0</v>
      </c>
      <c r="AE26" s="32">
        <f t="shared" si="18"/>
        <v>17</v>
      </c>
      <c r="AF26" s="32">
        <f t="shared" si="18"/>
        <v>41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15">
        <f t="shared" si="0"/>
        <v>0</v>
      </c>
      <c r="P27" s="15">
        <f t="shared" si="1"/>
        <v>0</v>
      </c>
      <c r="R27" s="29" t="s">
        <v>87</v>
      </c>
      <c r="S27" s="16">
        <f t="shared" ref="S27:AF27" si="19">SUM(S19:S21)</f>
        <v>2</v>
      </c>
      <c r="T27" s="16">
        <f t="shared" si="19"/>
        <v>4</v>
      </c>
      <c r="U27" s="16">
        <f t="shared" si="19"/>
        <v>0</v>
      </c>
      <c r="V27" s="16">
        <f t="shared" si="19"/>
        <v>0</v>
      </c>
      <c r="W27" s="16">
        <f t="shared" si="19"/>
        <v>0</v>
      </c>
      <c r="X27" s="16">
        <f t="shared" si="19"/>
        <v>1</v>
      </c>
      <c r="Y27" s="16">
        <f t="shared" si="19"/>
        <v>1</v>
      </c>
      <c r="Z27" s="16">
        <f t="shared" si="19"/>
        <v>3</v>
      </c>
      <c r="AA27" s="16">
        <f t="shared" si="19"/>
        <v>0</v>
      </c>
      <c r="AB27" s="16">
        <f t="shared" si="19"/>
        <v>0</v>
      </c>
      <c r="AC27" s="16">
        <f t="shared" si="19"/>
        <v>3</v>
      </c>
      <c r="AD27" s="16">
        <f t="shared" si="19"/>
        <v>0</v>
      </c>
      <c r="AE27" s="32">
        <f t="shared" si="19"/>
        <v>11</v>
      </c>
      <c r="AF27" s="32">
        <f t="shared" si="19"/>
        <v>14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15">
        <f t="shared" si="0"/>
        <v>0</v>
      </c>
      <c r="P28" s="15">
        <f t="shared" si="1"/>
        <v>0</v>
      </c>
      <c r="R28" s="5" t="s">
        <v>17</v>
      </c>
      <c r="S28" s="16">
        <f t="shared" ref="S28:AF28" si="20">SUM(S10:S21)</f>
        <v>5</v>
      </c>
      <c r="T28" s="16">
        <f t="shared" si="20"/>
        <v>15</v>
      </c>
      <c r="U28" s="16">
        <f t="shared" si="20"/>
        <v>8</v>
      </c>
      <c r="V28" s="16">
        <f t="shared" si="20"/>
        <v>0</v>
      </c>
      <c r="W28" s="16">
        <f t="shared" si="20"/>
        <v>0</v>
      </c>
      <c r="X28" s="16">
        <f t="shared" si="20"/>
        <v>3</v>
      </c>
      <c r="Y28" s="16">
        <f t="shared" si="20"/>
        <v>6</v>
      </c>
      <c r="Z28" s="16">
        <f t="shared" si="20"/>
        <v>9</v>
      </c>
      <c r="AA28" s="16">
        <f t="shared" si="20"/>
        <v>0</v>
      </c>
      <c r="AB28" s="16">
        <f t="shared" si="20"/>
        <v>0</v>
      </c>
      <c r="AC28" s="16">
        <f t="shared" si="20"/>
        <v>36</v>
      </c>
      <c r="AD28" s="16">
        <f t="shared" si="20"/>
        <v>0</v>
      </c>
      <c r="AE28" s="32">
        <f t="shared" si="20"/>
        <v>46</v>
      </c>
      <c r="AF28" s="32">
        <f t="shared" si="20"/>
        <v>82</v>
      </c>
    </row>
    <row r="29" spans="2:32" ht="23.1" customHeight="1" x14ac:dyDescent="0.25">
      <c r="B29" s="23" t="s">
        <v>56</v>
      </c>
      <c r="C29" s="50">
        <v>0</v>
      </c>
      <c r="D29" s="50">
        <v>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15">
        <f t="shared" si="0"/>
        <v>3</v>
      </c>
      <c r="P29" s="15">
        <f t="shared" si="1"/>
        <v>3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2</v>
      </c>
      <c r="N30" s="50">
        <v>0</v>
      </c>
      <c r="O30" s="15">
        <f t="shared" si="0"/>
        <v>1</v>
      </c>
      <c r="P30" s="15">
        <f t="shared" si="1"/>
        <v>3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1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15">
        <f t="shared" si="0"/>
        <v>1</v>
      </c>
      <c r="P31" s="15">
        <f t="shared" si="1"/>
        <v>1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</v>
      </c>
      <c r="N32" s="50">
        <v>0</v>
      </c>
      <c r="O32" s="15">
        <f t="shared" si="0"/>
        <v>0</v>
      </c>
      <c r="P32" s="15">
        <f t="shared" si="1"/>
        <v>1</v>
      </c>
    </row>
    <row r="33" spans="2:20" ht="23.1" customHeight="1" x14ac:dyDescent="0.25">
      <c r="B33" s="23" t="s">
        <v>60</v>
      </c>
      <c r="C33" s="50">
        <v>0</v>
      </c>
      <c r="D33" s="50">
        <v>1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15">
        <f t="shared" si="0"/>
        <v>1</v>
      </c>
      <c r="P33" s="15">
        <f t="shared" si="1"/>
        <v>1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0</v>
      </c>
      <c r="N34" s="50">
        <v>0</v>
      </c>
      <c r="O34" s="15">
        <f t="shared" si="0"/>
        <v>0</v>
      </c>
      <c r="P34" s="15">
        <f t="shared" si="1"/>
        <v>0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2</v>
      </c>
      <c r="N35" s="50">
        <v>0</v>
      </c>
      <c r="O35" s="15">
        <f t="shared" si="0"/>
        <v>0</v>
      </c>
      <c r="P35" s="15">
        <f t="shared" si="1"/>
        <v>2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0</v>
      </c>
      <c r="N36" s="50">
        <v>0</v>
      </c>
      <c r="O36" s="15">
        <f t="shared" si="0"/>
        <v>0</v>
      </c>
      <c r="P36" s="15">
        <f t="shared" si="1"/>
        <v>0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1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0</v>
      </c>
      <c r="N37" s="50">
        <v>0</v>
      </c>
      <c r="O37" s="15">
        <f t="shared" si="0"/>
        <v>1</v>
      </c>
      <c r="P37" s="15">
        <f t="shared" si="1"/>
        <v>1</v>
      </c>
    </row>
    <row r="38" spans="2:20" ht="23.1" customHeight="1" x14ac:dyDescent="0.25">
      <c r="B38" s="24" t="s">
        <v>65</v>
      </c>
      <c r="C38" s="50">
        <v>0</v>
      </c>
      <c r="D38" s="50">
        <v>1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</v>
      </c>
      <c r="N38" s="50">
        <v>0</v>
      </c>
      <c r="O38" s="15">
        <f t="shared" si="0"/>
        <v>1</v>
      </c>
      <c r="P38" s="15">
        <f t="shared" si="1"/>
        <v>2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0</v>
      </c>
      <c r="N39" s="50">
        <v>0</v>
      </c>
      <c r="O39" s="15">
        <f t="shared" si="0"/>
        <v>0</v>
      </c>
      <c r="P39" s="15">
        <f t="shared" si="1"/>
        <v>0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1</v>
      </c>
      <c r="K40" s="50">
        <v>0</v>
      </c>
      <c r="L40" s="50">
        <v>0</v>
      </c>
      <c r="M40" s="50">
        <v>2</v>
      </c>
      <c r="N40" s="50">
        <v>0</v>
      </c>
      <c r="O40" s="15">
        <f t="shared" si="0"/>
        <v>1</v>
      </c>
      <c r="P40" s="15">
        <f t="shared" si="1"/>
        <v>3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0</v>
      </c>
      <c r="N41" s="50">
        <v>0</v>
      </c>
      <c r="O41" s="15">
        <f t="shared" si="0"/>
        <v>0</v>
      </c>
      <c r="P41" s="15">
        <f t="shared" si="1"/>
        <v>0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15</v>
      </c>
      <c r="N42" s="50">
        <v>0</v>
      </c>
      <c r="O42" s="15">
        <f t="shared" si="0"/>
        <v>0</v>
      </c>
      <c r="P42" s="15">
        <f t="shared" si="1"/>
        <v>15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1</v>
      </c>
      <c r="I43" s="50">
        <v>0</v>
      </c>
      <c r="J43" s="50">
        <v>0</v>
      </c>
      <c r="K43" s="50">
        <v>0</v>
      </c>
      <c r="L43" s="50">
        <v>0</v>
      </c>
      <c r="M43" s="50">
        <v>0</v>
      </c>
      <c r="N43" s="50">
        <v>0</v>
      </c>
      <c r="O43" s="15">
        <f t="shared" si="0"/>
        <v>1</v>
      </c>
      <c r="P43" s="15">
        <f t="shared" si="1"/>
        <v>1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0</v>
      </c>
      <c r="N44" s="50">
        <v>0</v>
      </c>
      <c r="O44" s="15">
        <f t="shared" si="0"/>
        <v>0</v>
      </c>
      <c r="P44" s="15">
        <f t="shared" si="1"/>
        <v>0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15">
        <f t="shared" si="0"/>
        <v>0</v>
      </c>
      <c r="P45" s="15">
        <f t="shared" si="1"/>
        <v>0</v>
      </c>
    </row>
    <row r="46" spans="2:20" ht="23.1" customHeight="1" x14ac:dyDescent="0.25">
      <c r="B46" s="24" t="s">
        <v>73</v>
      </c>
      <c r="C46" s="50">
        <v>0</v>
      </c>
      <c r="D46" s="50">
        <v>1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0</v>
      </c>
      <c r="N46" s="50">
        <v>0</v>
      </c>
      <c r="O46" s="15">
        <f t="shared" si="0"/>
        <v>1</v>
      </c>
      <c r="P46" s="15">
        <f t="shared" si="1"/>
        <v>1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1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1</v>
      </c>
      <c r="K47" s="50">
        <v>0</v>
      </c>
      <c r="L47" s="50">
        <v>0</v>
      </c>
      <c r="M47" s="50">
        <v>1</v>
      </c>
      <c r="N47" s="50">
        <v>0</v>
      </c>
      <c r="O47" s="15">
        <f t="shared" si="0"/>
        <v>2</v>
      </c>
      <c r="P47" s="15">
        <f t="shared" si="1"/>
        <v>3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0</v>
      </c>
      <c r="N48" s="50">
        <v>0</v>
      </c>
      <c r="O48" s="15">
        <f t="shared" si="0"/>
        <v>0</v>
      </c>
      <c r="P48" s="15">
        <f t="shared" si="1"/>
        <v>0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1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0</v>
      </c>
      <c r="N49" s="50">
        <v>0</v>
      </c>
      <c r="O49" s="15">
        <f t="shared" si="0"/>
        <v>1</v>
      </c>
      <c r="P49" s="15">
        <f t="shared" si="1"/>
        <v>1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0</v>
      </c>
      <c r="N50" s="50">
        <v>0</v>
      </c>
      <c r="O50" s="15">
        <f t="shared" si="0"/>
        <v>1</v>
      </c>
      <c r="P50" s="15">
        <f t="shared" si="1"/>
        <v>1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0</v>
      </c>
      <c r="N51" s="50">
        <v>0</v>
      </c>
      <c r="O51" s="15">
        <f t="shared" si="0"/>
        <v>0</v>
      </c>
      <c r="P51" s="15">
        <f t="shared" si="1"/>
        <v>0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0</v>
      </c>
      <c r="N52" s="50">
        <v>0</v>
      </c>
      <c r="O52" s="15">
        <f t="shared" si="0"/>
        <v>0</v>
      </c>
      <c r="P52" s="15">
        <f t="shared" si="1"/>
        <v>0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1</v>
      </c>
      <c r="I53" s="50">
        <v>0</v>
      </c>
      <c r="J53" s="50">
        <v>0</v>
      </c>
      <c r="K53" s="50">
        <v>0</v>
      </c>
      <c r="L53" s="50">
        <v>0</v>
      </c>
      <c r="M53" s="50">
        <v>0</v>
      </c>
      <c r="N53" s="50">
        <v>0</v>
      </c>
      <c r="O53" s="15">
        <f t="shared" si="0"/>
        <v>1</v>
      </c>
      <c r="P53" s="15">
        <f t="shared" si="1"/>
        <v>1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2</v>
      </c>
      <c r="N54" s="50">
        <v>0</v>
      </c>
      <c r="O54" s="15">
        <f t="shared" si="0"/>
        <v>0</v>
      </c>
      <c r="P54" s="15">
        <f t="shared" si="1"/>
        <v>2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2</v>
      </c>
      <c r="K55" s="50">
        <v>0</v>
      </c>
      <c r="L55" s="50">
        <v>0</v>
      </c>
      <c r="M55" s="50">
        <v>0</v>
      </c>
      <c r="N55" s="50">
        <v>0</v>
      </c>
      <c r="O55" s="15">
        <f t="shared" si="0"/>
        <v>2</v>
      </c>
      <c r="P55" s="15">
        <f t="shared" si="1"/>
        <v>2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1</v>
      </c>
      <c r="E56" s="50">
        <v>0</v>
      </c>
      <c r="F56" s="50">
        <v>0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0</v>
      </c>
      <c r="N56" s="50">
        <v>0</v>
      </c>
      <c r="O56" s="15">
        <f t="shared" si="0"/>
        <v>3</v>
      </c>
      <c r="P56" s="15">
        <f t="shared" si="1"/>
        <v>3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15">
        <f t="shared" si="0"/>
        <v>0</v>
      </c>
      <c r="P57" s="15">
        <f t="shared" si="1"/>
        <v>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5</v>
      </c>
      <c r="D58" s="16">
        <f t="shared" si="21"/>
        <v>15</v>
      </c>
      <c r="E58" s="16">
        <f t="shared" si="21"/>
        <v>8</v>
      </c>
      <c r="F58" s="16">
        <f t="shared" si="21"/>
        <v>0</v>
      </c>
      <c r="G58" s="16">
        <f t="shared" si="21"/>
        <v>0</v>
      </c>
      <c r="H58" s="16">
        <f t="shared" si="21"/>
        <v>3</v>
      </c>
      <c r="I58" s="16">
        <f t="shared" si="21"/>
        <v>6</v>
      </c>
      <c r="J58" s="16">
        <f t="shared" si="21"/>
        <v>9</v>
      </c>
      <c r="K58" s="16">
        <f t="shared" si="21"/>
        <v>0</v>
      </c>
      <c r="L58" s="16">
        <f t="shared" si="21"/>
        <v>0</v>
      </c>
      <c r="M58" s="16">
        <f t="shared" si="21"/>
        <v>36</v>
      </c>
      <c r="N58" s="16">
        <f t="shared" si="21"/>
        <v>0</v>
      </c>
      <c r="O58" s="16">
        <f t="shared" si="21"/>
        <v>46</v>
      </c>
      <c r="P58" s="16">
        <f t="shared" si="21"/>
        <v>82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6.097560975609756E-2</v>
      </c>
      <c r="D59" s="43">
        <f t="shared" si="22"/>
        <v>0.18292682926829268</v>
      </c>
      <c r="E59" s="43">
        <f t="shared" si="22"/>
        <v>9.7560975609756101E-2</v>
      </c>
      <c r="F59" s="43">
        <f t="shared" si="22"/>
        <v>0</v>
      </c>
      <c r="G59" s="43">
        <f t="shared" si="22"/>
        <v>0</v>
      </c>
      <c r="H59" s="43">
        <f t="shared" si="22"/>
        <v>3.6585365853658534E-2</v>
      </c>
      <c r="I59" s="43">
        <f t="shared" si="22"/>
        <v>7.3170731707317069E-2</v>
      </c>
      <c r="J59" s="43">
        <f t="shared" si="22"/>
        <v>0.10975609756097561</v>
      </c>
      <c r="K59" s="43">
        <f t="shared" si="22"/>
        <v>0</v>
      </c>
      <c r="L59" s="43">
        <f t="shared" si="22"/>
        <v>0</v>
      </c>
      <c r="M59" s="43">
        <f t="shared" si="22"/>
        <v>0.43902439024390244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0.10869565217391304</v>
      </c>
      <c r="D60" s="44">
        <f t="shared" ref="D60:N60" si="23">D58/$O$58</f>
        <v>0.32608695652173914</v>
      </c>
      <c r="E60" s="44">
        <f t="shared" si="23"/>
        <v>0.17391304347826086</v>
      </c>
      <c r="F60" s="44">
        <f t="shared" si="23"/>
        <v>0</v>
      </c>
      <c r="G60" s="44">
        <f t="shared" si="23"/>
        <v>0</v>
      </c>
      <c r="H60" s="44">
        <f t="shared" si="23"/>
        <v>6.5217391304347824E-2</v>
      </c>
      <c r="I60" s="44">
        <f t="shared" si="23"/>
        <v>0.13043478260869565</v>
      </c>
      <c r="J60" s="44">
        <f t="shared" si="23"/>
        <v>0.19565217391304349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F126"/>
  <sheetViews>
    <sheetView view="pageBreakPreview" zoomScale="60" workbookViewId="0">
      <selection activeCell="J22" sqref="J2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'05.08 KABONG-KOTIDO'!C3:G3</f>
        <v>MCC - C5 - STN0125 - KAABONG-KOTIDO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174</v>
      </c>
      <c r="E5" s="3"/>
      <c r="F5" s="41" t="s">
        <v>1</v>
      </c>
      <c r="G5" s="66" t="str">
        <f>'05.08 KABONG-KOTIDO'!G5:H5</f>
        <v>xxx</v>
      </c>
      <c r="H5" s="67"/>
      <c r="I5" s="14"/>
      <c r="J5" s="2" t="s">
        <v>5</v>
      </c>
      <c r="K5" s="66" t="str">
        <f>'05.08 KABONG-KOTIDO'!K5:L5</f>
        <v>NALUBEGA JOSEPHINE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'05.08 KABONG-KOTIDO'!D6:E6</f>
        <v>KABONG</v>
      </c>
      <c r="E6" s="67"/>
      <c r="F6" s="2" t="s">
        <v>2</v>
      </c>
      <c r="G6" s="66" t="str">
        <f>'05.08 KABONG-KOTIDO'!G6:H6</f>
        <v>KOTIDO</v>
      </c>
      <c r="H6" s="67"/>
      <c r="J6" s="2" t="s">
        <v>21</v>
      </c>
      <c r="K6" s="66" t="str">
        <f>'05.08 KABONG-KOTIDO'!K6:L6</f>
        <v>CRANIMER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1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3</v>
      </c>
      <c r="R10" s="1" t="s">
        <v>6</v>
      </c>
      <c r="S10" s="17">
        <f t="shared" ref="S10:AF10" si="2">SUM(C10:C13)</f>
        <v>0</v>
      </c>
      <c r="T10" s="17">
        <f t="shared" si="2"/>
        <v>1</v>
      </c>
      <c r="U10" s="17">
        <f t="shared" si="2"/>
        <v>1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4</v>
      </c>
      <c r="AD10" s="17">
        <f t="shared" si="2"/>
        <v>0</v>
      </c>
      <c r="AE10" s="31">
        <f t="shared" si="2"/>
        <v>4</v>
      </c>
      <c r="AF10" s="31">
        <f t="shared" si="2"/>
        <v>8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3</v>
      </c>
      <c r="N11" s="50">
        <v>0</v>
      </c>
      <c r="O11" s="15">
        <f t="shared" si="0"/>
        <v>0</v>
      </c>
      <c r="P11" s="15">
        <f t="shared" si="1"/>
        <v>3</v>
      </c>
      <c r="R11" s="1" t="s">
        <v>7</v>
      </c>
      <c r="S11" s="17">
        <f t="shared" ref="S11:AF11" si="3">SUM(C14:C17)</f>
        <v>0</v>
      </c>
      <c r="T11" s="17">
        <f t="shared" si="3"/>
        <v>1</v>
      </c>
      <c r="U11" s="17">
        <f t="shared" si="3"/>
        <v>1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3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4</v>
      </c>
      <c r="AD11" s="17">
        <f t="shared" si="3"/>
        <v>0</v>
      </c>
      <c r="AE11" s="31">
        <f t="shared" si="3"/>
        <v>5</v>
      </c>
      <c r="AF11" s="31">
        <f t="shared" si="3"/>
        <v>9</v>
      </c>
    </row>
    <row r="12" spans="2:32" ht="23.1" customHeight="1" x14ac:dyDescent="0.25">
      <c r="B12" s="23" t="s">
        <v>39</v>
      </c>
      <c r="C12" s="50">
        <v>0</v>
      </c>
      <c r="D12" s="50">
        <v>1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15">
        <f t="shared" si="0"/>
        <v>2</v>
      </c>
      <c r="P12" s="15">
        <f t="shared" si="1"/>
        <v>2</v>
      </c>
      <c r="R12" s="1" t="s">
        <v>8</v>
      </c>
      <c r="S12" s="17">
        <f t="shared" ref="S12:AF12" si="4">SUM(C18:C21)</f>
        <v>0</v>
      </c>
      <c r="T12" s="17">
        <f t="shared" si="4"/>
        <v>0</v>
      </c>
      <c r="U12" s="17">
        <f t="shared" si="4"/>
        <v>0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2</v>
      </c>
      <c r="AD12" s="17">
        <f t="shared" si="4"/>
        <v>0</v>
      </c>
      <c r="AE12" s="31">
        <f t="shared" si="4"/>
        <v>0</v>
      </c>
      <c r="AF12" s="31">
        <f t="shared" si="4"/>
        <v>2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15">
        <f t="shared" si="0"/>
        <v>0</v>
      </c>
      <c r="P13" s="15">
        <f t="shared" si="1"/>
        <v>0</v>
      </c>
      <c r="R13" s="1" t="s">
        <v>9</v>
      </c>
      <c r="S13" s="17">
        <f t="shared" ref="S13:AF13" si="5">SUM(C22:C25)</f>
        <v>0</v>
      </c>
      <c r="T13" s="17">
        <f t="shared" si="5"/>
        <v>1</v>
      </c>
      <c r="U13" s="17">
        <f t="shared" si="5"/>
        <v>0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</v>
      </c>
      <c r="AD13" s="17">
        <f t="shared" si="5"/>
        <v>0</v>
      </c>
      <c r="AE13" s="31">
        <f t="shared" si="5"/>
        <v>1</v>
      </c>
      <c r="AF13" s="31">
        <f t="shared" si="5"/>
        <v>2</v>
      </c>
    </row>
    <row r="14" spans="2:32" ht="23.1" customHeight="1" x14ac:dyDescent="0.25">
      <c r="B14" s="23" t="s">
        <v>41</v>
      </c>
      <c r="C14" s="50">
        <v>0</v>
      </c>
      <c r="D14" s="50">
        <v>1</v>
      </c>
      <c r="E14" s="50">
        <v>0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2</v>
      </c>
      <c r="N14" s="50">
        <v>0</v>
      </c>
      <c r="O14" s="15">
        <f t="shared" si="0"/>
        <v>2</v>
      </c>
      <c r="P14" s="15">
        <f t="shared" si="1"/>
        <v>4</v>
      </c>
      <c r="R14" s="1" t="s">
        <v>10</v>
      </c>
      <c r="S14" s="17">
        <f t="shared" ref="S14:AF14" si="6">SUM(C26:C29)</f>
        <v>0</v>
      </c>
      <c r="T14" s="17">
        <f t="shared" si="6"/>
        <v>0</v>
      </c>
      <c r="U14" s="17">
        <f t="shared" si="6"/>
        <v>0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</v>
      </c>
      <c r="AD14" s="17">
        <f t="shared" si="6"/>
        <v>0</v>
      </c>
      <c r="AE14" s="31">
        <f t="shared" si="6"/>
        <v>0</v>
      </c>
      <c r="AF14" s="31">
        <f t="shared" si="6"/>
        <v>1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15">
        <f t="shared" si="0"/>
        <v>0</v>
      </c>
      <c r="P15" s="15">
        <f t="shared" si="1"/>
        <v>0</v>
      </c>
      <c r="R15" s="1" t="s">
        <v>11</v>
      </c>
      <c r="S15" s="17">
        <f t="shared" ref="S15:AF15" si="7">SUM(C30:C33)</f>
        <v>0</v>
      </c>
      <c r="T15" s="17">
        <f t="shared" si="7"/>
        <v>0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2</v>
      </c>
      <c r="AD15" s="17">
        <f t="shared" si="7"/>
        <v>0</v>
      </c>
      <c r="AE15" s="31">
        <f t="shared" si="7"/>
        <v>0</v>
      </c>
      <c r="AF15" s="31">
        <f t="shared" si="7"/>
        <v>2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1</v>
      </c>
      <c r="F16" s="50">
        <v>0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15">
        <f t="shared" si="0"/>
        <v>3</v>
      </c>
      <c r="P16" s="15">
        <f t="shared" si="1"/>
        <v>3</v>
      </c>
      <c r="R16" s="1" t="s">
        <v>12</v>
      </c>
      <c r="S16" s="17">
        <f t="shared" ref="S16:AF16" si="8">SUM(C34:C37)</f>
        <v>0</v>
      </c>
      <c r="T16" s="17">
        <f t="shared" si="8"/>
        <v>0</v>
      </c>
      <c r="U16" s="17">
        <f t="shared" si="8"/>
        <v>0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3</v>
      </c>
      <c r="AD16" s="17">
        <f t="shared" si="8"/>
        <v>0</v>
      </c>
      <c r="AE16" s="31">
        <f t="shared" si="8"/>
        <v>0</v>
      </c>
      <c r="AF16" s="31">
        <f t="shared" si="8"/>
        <v>3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2</v>
      </c>
      <c r="N17" s="50">
        <v>0</v>
      </c>
      <c r="O17" s="15">
        <f t="shared" si="0"/>
        <v>0</v>
      </c>
      <c r="P17" s="15">
        <f t="shared" si="1"/>
        <v>2</v>
      </c>
      <c r="R17" s="1" t="s">
        <v>13</v>
      </c>
      <c r="S17" s="17">
        <f t="shared" ref="S17:AF17" si="9">SUM(C38:C41)</f>
        <v>0</v>
      </c>
      <c r="T17" s="17">
        <f t="shared" si="9"/>
        <v>0</v>
      </c>
      <c r="U17" s="17">
        <f t="shared" si="9"/>
        <v>3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0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0</v>
      </c>
      <c r="AD17" s="17">
        <f t="shared" si="9"/>
        <v>0</v>
      </c>
      <c r="AE17" s="31">
        <f t="shared" si="9"/>
        <v>3</v>
      </c>
      <c r="AF17" s="31">
        <f t="shared" si="9"/>
        <v>3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15">
        <f t="shared" si="0"/>
        <v>0</v>
      </c>
      <c r="P18" s="15">
        <f t="shared" si="1"/>
        <v>0</v>
      </c>
      <c r="R18" s="1" t="s">
        <v>14</v>
      </c>
      <c r="S18" s="17">
        <f t="shared" ref="S18:AF18" si="10">SUM(C42:C45)</f>
        <v>0</v>
      </c>
      <c r="T18" s="17">
        <f t="shared" si="10"/>
        <v>1</v>
      </c>
      <c r="U18" s="17">
        <f t="shared" si="10"/>
        <v>2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1</v>
      </c>
      <c r="AD18" s="17">
        <f t="shared" si="10"/>
        <v>0</v>
      </c>
      <c r="AE18" s="31">
        <f t="shared" si="10"/>
        <v>3</v>
      </c>
      <c r="AF18" s="31">
        <f t="shared" si="10"/>
        <v>4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</v>
      </c>
      <c r="N19" s="50">
        <v>0</v>
      </c>
      <c r="O19" s="15">
        <f t="shared" si="0"/>
        <v>0</v>
      </c>
      <c r="P19" s="15">
        <f t="shared" si="1"/>
        <v>1</v>
      </c>
      <c r="R19" s="1" t="s">
        <v>15</v>
      </c>
      <c r="S19" s="17">
        <f t="shared" ref="S19:AF19" si="11">SUM(C46:C49)</f>
        <v>0</v>
      </c>
      <c r="T19" s="17">
        <f t="shared" si="11"/>
        <v>1</v>
      </c>
      <c r="U19" s="17">
        <f t="shared" si="11"/>
        <v>2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4</v>
      </c>
      <c r="AD19" s="17">
        <f t="shared" si="11"/>
        <v>0</v>
      </c>
      <c r="AE19" s="31">
        <f t="shared" si="11"/>
        <v>3</v>
      </c>
      <c r="AF19" s="31">
        <f t="shared" si="11"/>
        <v>7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</v>
      </c>
      <c r="N20" s="50">
        <v>0</v>
      </c>
      <c r="O20" s="15">
        <f t="shared" si="0"/>
        <v>0</v>
      </c>
      <c r="P20" s="15">
        <f t="shared" si="1"/>
        <v>1</v>
      </c>
      <c r="R20" s="1" t="s">
        <v>16</v>
      </c>
      <c r="S20" s="17">
        <f t="shared" ref="S20:AF20" si="12">SUM(C50:C53)</f>
        <v>1</v>
      </c>
      <c r="T20" s="17">
        <f t="shared" si="12"/>
        <v>2</v>
      </c>
      <c r="U20" s="17">
        <f t="shared" si="12"/>
        <v>2</v>
      </c>
      <c r="V20" s="17">
        <f t="shared" si="12"/>
        <v>0</v>
      </c>
      <c r="W20" s="17">
        <f t="shared" si="12"/>
        <v>0</v>
      </c>
      <c r="X20" s="17">
        <f t="shared" si="12"/>
        <v>1</v>
      </c>
      <c r="Y20" s="17">
        <f t="shared" si="12"/>
        <v>0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2</v>
      </c>
      <c r="AD20" s="17">
        <f t="shared" si="12"/>
        <v>0</v>
      </c>
      <c r="AE20" s="31">
        <f t="shared" si="12"/>
        <v>6</v>
      </c>
      <c r="AF20" s="31">
        <f t="shared" si="12"/>
        <v>8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15">
        <f t="shared" si="0"/>
        <v>0</v>
      </c>
      <c r="P21" s="15">
        <f t="shared" si="1"/>
        <v>0</v>
      </c>
      <c r="R21" s="36" t="s">
        <v>20</v>
      </c>
      <c r="S21" s="34">
        <f t="shared" ref="S21:AF21" si="13">SUM(C54:C57)</f>
        <v>1</v>
      </c>
      <c r="T21" s="17">
        <f t="shared" si="13"/>
        <v>4</v>
      </c>
      <c r="U21" s="17">
        <f t="shared" si="13"/>
        <v>2</v>
      </c>
      <c r="V21" s="17">
        <f t="shared" si="13"/>
        <v>0</v>
      </c>
      <c r="W21" s="17">
        <f t="shared" si="13"/>
        <v>0</v>
      </c>
      <c r="X21" s="17">
        <f t="shared" si="13"/>
        <v>2</v>
      </c>
      <c r="Y21" s="17">
        <f t="shared" si="13"/>
        <v>1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0</v>
      </c>
      <c r="AD21" s="17">
        <f t="shared" si="13"/>
        <v>0</v>
      </c>
      <c r="AE21" s="31">
        <f t="shared" si="13"/>
        <v>10</v>
      </c>
      <c r="AF21" s="31">
        <f t="shared" si="13"/>
        <v>10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15">
        <f t="shared" si="0"/>
        <v>0</v>
      </c>
      <c r="P22" s="15">
        <f t="shared" si="1"/>
        <v>0</v>
      </c>
      <c r="R22" s="38" t="s">
        <v>90</v>
      </c>
      <c r="S22" s="39">
        <f>MAX(S10:S12)</f>
        <v>0</v>
      </c>
      <c r="T22" s="39">
        <f t="shared" ref="T22:AF22" si="14">MAX(T10:T12)</f>
        <v>1</v>
      </c>
      <c r="U22" s="39">
        <f t="shared" si="14"/>
        <v>1</v>
      </c>
      <c r="V22" s="39">
        <f t="shared" si="14"/>
        <v>0</v>
      </c>
      <c r="W22" s="39">
        <f t="shared" si="14"/>
        <v>0</v>
      </c>
      <c r="X22" s="39">
        <f t="shared" si="14"/>
        <v>0</v>
      </c>
      <c r="Y22" s="39">
        <f t="shared" si="14"/>
        <v>3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4</v>
      </c>
      <c r="AD22" s="39">
        <f t="shared" si="14"/>
        <v>0</v>
      </c>
      <c r="AE22" s="40">
        <f t="shared" si="14"/>
        <v>5</v>
      </c>
      <c r="AF22" s="40">
        <f t="shared" si="14"/>
        <v>9</v>
      </c>
    </row>
    <row r="23" spans="2:32" ht="23.1" customHeight="1" x14ac:dyDescent="0.25">
      <c r="B23" s="23" t="s">
        <v>50</v>
      </c>
      <c r="C23" s="50">
        <v>0</v>
      </c>
      <c r="D23" s="50">
        <v>1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15">
        <f t="shared" si="0"/>
        <v>1</v>
      </c>
      <c r="P23" s="15">
        <f t="shared" si="1"/>
        <v>1</v>
      </c>
      <c r="R23" s="38" t="s">
        <v>91</v>
      </c>
      <c r="S23" s="39">
        <f>MAX(S13:S18)</f>
        <v>0</v>
      </c>
      <c r="T23" s="39">
        <f t="shared" ref="T23:AF23" si="15">MAX(T13:T18)</f>
        <v>1</v>
      </c>
      <c r="U23" s="39">
        <f t="shared" si="15"/>
        <v>3</v>
      </c>
      <c r="V23" s="39">
        <f t="shared" si="15"/>
        <v>0</v>
      </c>
      <c r="W23" s="39">
        <f t="shared" si="15"/>
        <v>0</v>
      </c>
      <c r="X23" s="39">
        <f t="shared" si="15"/>
        <v>0</v>
      </c>
      <c r="Y23" s="39">
        <f t="shared" si="15"/>
        <v>0</v>
      </c>
      <c r="Z23" s="39">
        <f t="shared" si="15"/>
        <v>0</v>
      </c>
      <c r="AA23" s="39">
        <f t="shared" si="15"/>
        <v>0</v>
      </c>
      <c r="AB23" s="39">
        <f t="shared" si="15"/>
        <v>0</v>
      </c>
      <c r="AC23" s="39">
        <f t="shared" si="15"/>
        <v>3</v>
      </c>
      <c r="AD23" s="39">
        <f t="shared" si="15"/>
        <v>0</v>
      </c>
      <c r="AE23" s="40">
        <f t="shared" si="15"/>
        <v>3</v>
      </c>
      <c r="AF23" s="40">
        <f t="shared" si="15"/>
        <v>4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</v>
      </c>
      <c r="N24" s="50">
        <v>0</v>
      </c>
      <c r="O24" s="15">
        <f t="shared" si="0"/>
        <v>0</v>
      </c>
      <c r="P24" s="15">
        <f t="shared" si="1"/>
        <v>1</v>
      </c>
      <c r="R24" s="38" t="s">
        <v>92</v>
      </c>
      <c r="S24" s="39">
        <f>MAX(S19:S21)</f>
        <v>1</v>
      </c>
      <c r="T24" s="39">
        <f t="shared" ref="T24:AF24" si="16">MAX(T19:T21)</f>
        <v>4</v>
      </c>
      <c r="U24" s="39">
        <f t="shared" si="16"/>
        <v>2</v>
      </c>
      <c r="V24" s="39">
        <f t="shared" si="16"/>
        <v>0</v>
      </c>
      <c r="W24" s="39">
        <f t="shared" si="16"/>
        <v>0</v>
      </c>
      <c r="X24" s="39">
        <f t="shared" si="16"/>
        <v>2</v>
      </c>
      <c r="Y24" s="39">
        <f t="shared" si="16"/>
        <v>1</v>
      </c>
      <c r="Z24" s="39">
        <f t="shared" si="16"/>
        <v>0</v>
      </c>
      <c r="AA24" s="39">
        <f t="shared" si="16"/>
        <v>0</v>
      </c>
      <c r="AB24" s="39">
        <f t="shared" si="16"/>
        <v>0</v>
      </c>
      <c r="AC24" s="39">
        <f t="shared" si="16"/>
        <v>4</v>
      </c>
      <c r="AD24" s="39">
        <f t="shared" si="16"/>
        <v>0</v>
      </c>
      <c r="AE24" s="40">
        <f t="shared" si="16"/>
        <v>10</v>
      </c>
      <c r="AF24" s="40">
        <f t="shared" si="16"/>
        <v>10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15">
        <f t="shared" si="0"/>
        <v>0</v>
      </c>
      <c r="P25" s="15">
        <f t="shared" si="1"/>
        <v>0</v>
      </c>
      <c r="R25" s="37" t="s">
        <v>85</v>
      </c>
      <c r="S25" s="35">
        <f t="shared" ref="S25:AF25" si="17">SUM(S10:S12)</f>
        <v>0</v>
      </c>
      <c r="T25" s="16">
        <f t="shared" si="17"/>
        <v>2</v>
      </c>
      <c r="U25" s="16">
        <f t="shared" si="17"/>
        <v>2</v>
      </c>
      <c r="V25" s="16">
        <f t="shared" si="17"/>
        <v>0</v>
      </c>
      <c r="W25" s="16">
        <f t="shared" si="17"/>
        <v>0</v>
      </c>
      <c r="X25" s="16">
        <f t="shared" si="17"/>
        <v>0</v>
      </c>
      <c r="Y25" s="16">
        <f t="shared" si="17"/>
        <v>5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10</v>
      </c>
      <c r="AD25" s="16">
        <f t="shared" si="17"/>
        <v>0</v>
      </c>
      <c r="AE25" s="32">
        <f t="shared" si="17"/>
        <v>9</v>
      </c>
      <c r="AF25" s="32">
        <f t="shared" si="17"/>
        <v>19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15">
        <f t="shared" si="0"/>
        <v>0</v>
      </c>
      <c r="P26" s="15">
        <f t="shared" si="1"/>
        <v>0</v>
      </c>
      <c r="R26" s="28" t="s">
        <v>86</v>
      </c>
      <c r="S26" s="16">
        <f t="shared" ref="S26:AF26" si="18">SUM(S13:S18)</f>
        <v>0</v>
      </c>
      <c r="T26" s="16">
        <f t="shared" si="18"/>
        <v>2</v>
      </c>
      <c r="U26" s="16">
        <f t="shared" si="18"/>
        <v>5</v>
      </c>
      <c r="V26" s="16">
        <f t="shared" si="18"/>
        <v>0</v>
      </c>
      <c r="W26" s="16">
        <f t="shared" si="18"/>
        <v>0</v>
      </c>
      <c r="X26" s="16">
        <f t="shared" si="18"/>
        <v>0</v>
      </c>
      <c r="Y26" s="16">
        <f t="shared" si="18"/>
        <v>0</v>
      </c>
      <c r="Z26" s="16">
        <f t="shared" si="18"/>
        <v>0</v>
      </c>
      <c r="AA26" s="16">
        <f t="shared" si="18"/>
        <v>0</v>
      </c>
      <c r="AB26" s="16">
        <f t="shared" si="18"/>
        <v>0</v>
      </c>
      <c r="AC26" s="16">
        <f t="shared" si="18"/>
        <v>8</v>
      </c>
      <c r="AD26" s="16">
        <f t="shared" si="18"/>
        <v>0</v>
      </c>
      <c r="AE26" s="32">
        <f t="shared" si="18"/>
        <v>7</v>
      </c>
      <c r="AF26" s="32">
        <f t="shared" si="18"/>
        <v>15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</v>
      </c>
      <c r="N27" s="50">
        <v>0</v>
      </c>
      <c r="O27" s="15">
        <f t="shared" si="0"/>
        <v>0</v>
      </c>
      <c r="P27" s="15">
        <f t="shared" si="1"/>
        <v>1</v>
      </c>
      <c r="R27" s="29" t="s">
        <v>87</v>
      </c>
      <c r="S27" s="16">
        <f t="shared" ref="S27:AF27" si="19">SUM(S19:S21)</f>
        <v>2</v>
      </c>
      <c r="T27" s="16">
        <f t="shared" si="19"/>
        <v>7</v>
      </c>
      <c r="U27" s="16">
        <f t="shared" si="19"/>
        <v>6</v>
      </c>
      <c r="V27" s="16">
        <f t="shared" si="19"/>
        <v>0</v>
      </c>
      <c r="W27" s="16">
        <f t="shared" si="19"/>
        <v>0</v>
      </c>
      <c r="X27" s="16">
        <f t="shared" si="19"/>
        <v>3</v>
      </c>
      <c r="Y27" s="16">
        <f t="shared" si="19"/>
        <v>1</v>
      </c>
      <c r="Z27" s="16">
        <f t="shared" si="19"/>
        <v>0</v>
      </c>
      <c r="AA27" s="16">
        <f t="shared" si="19"/>
        <v>0</v>
      </c>
      <c r="AB27" s="16">
        <f t="shared" si="19"/>
        <v>0</v>
      </c>
      <c r="AC27" s="16">
        <f t="shared" si="19"/>
        <v>6</v>
      </c>
      <c r="AD27" s="16">
        <f t="shared" si="19"/>
        <v>0</v>
      </c>
      <c r="AE27" s="32">
        <f t="shared" si="19"/>
        <v>19</v>
      </c>
      <c r="AF27" s="32">
        <f t="shared" si="19"/>
        <v>25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15">
        <f t="shared" si="0"/>
        <v>0</v>
      </c>
      <c r="P28" s="15">
        <f t="shared" si="1"/>
        <v>0</v>
      </c>
      <c r="R28" s="5" t="s">
        <v>17</v>
      </c>
      <c r="S28" s="16">
        <f t="shared" ref="S28:AF28" si="20">SUM(S10:S21)</f>
        <v>2</v>
      </c>
      <c r="T28" s="16">
        <f t="shared" si="20"/>
        <v>11</v>
      </c>
      <c r="U28" s="16">
        <f t="shared" si="20"/>
        <v>13</v>
      </c>
      <c r="V28" s="16">
        <f t="shared" si="20"/>
        <v>0</v>
      </c>
      <c r="W28" s="16">
        <f t="shared" si="20"/>
        <v>0</v>
      </c>
      <c r="X28" s="16">
        <f t="shared" si="20"/>
        <v>3</v>
      </c>
      <c r="Y28" s="16">
        <f t="shared" si="20"/>
        <v>6</v>
      </c>
      <c r="Z28" s="16">
        <f t="shared" si="20"/>
        <v>0</v>
      </c>
      <c r="AA28" s="16">
        <f t="shared" si="20"/>
        <v>0</v>
      </c>
      <c r="AB28" s="16">
        <f t="shared" si="20"/>
        <v>0</v>
      </c>
      <c r="AC28" s="16">
        <f t="shared" si="20"/>
        <v>24</v>
      </c>
      <c r="AD28" s="16">
        <f t="shared" si="20"/>
        <v>0</v>
      </c>
      <c r="AE28" s="32">
        <f t="shared" si="20"/>
        <v>35</v>
      </c>
      <c r="AF28" s="32">
        <f t="shared" si="20"/>
        <v>59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15">
        <f t="shared" si="0"/>
        <v>0</v>
      </c>
      <c r="P29" s="15">
        <f t="shared" si="1"/>
        <v>0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</v>
      </c>
      <c r="N30" s="50">
        <v>0</v>
      </c>
      <c r="O30" s="15">
        <f t="shared" si="0"/>
        <v>0</v>
      </c>
      <c r="P30" s="15">
        <f t="shared" si="1"/>
        <v>1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15">
        <f t="shared" si="0"/>
        <v>0</v>
      </c>
      <c r="P31" s="15">
        <f t="shared" si="1"/>
        <v>0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</v>
      </c>
      <c r="N32" s="50">
        <v>0</v>
      </c>
      <c r="O32" s="15">
        <f t="shared" si="0"/>
        <v>0</v>
      </c>
      <c r="P32" s="15">
        <f t="shared" si="1"/>
        <v>1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15">
        <f t="shared" si="0"/>
        <v>0</v>
      </c>
      <c r="P33" s="15">
        <f t="shared" si="1"/>
        <v>0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</v>
      </c>
      <c r="N34" s="50">
        <v>0</v>
      </c>
      <c r="O34" s="15">
        <f t="shared" si="0"/>
        <v>0</v>
      </c>
      <c r="P34" s="15">
        <f t="shared" si="1"/>
        <v>1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</v>
      </c>
      <c r="N35" s="50">
        <v>0</v>
      </c>
      <c r="O35" s="15">
        <f t="shared" si="0"/>
        <v>0</v>
      </c>
      <c r="P35" s="15">
        <f t="shared" si="1"/>
        <v>1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</v>
      </c>
      <c r="N36" s="50">
        <v>0</v>
      </c>
      <c r="O36" s="15">
        <f t="shared" si="0"/>
        <v>0</v>
      </c>
      <c r="P36" s="15">
        <f t="shared" si="1"/>
        <v>1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0</v>
      </c>
      <c r="N37" s="50">
        <v>0</v>
      </c>
      <c r="O37" s="15">
        <f t="shared" si="0"/>
        <v>0</v>
      </c>
      <c r="P37" s="15">
        <f t="shared" si="1"/>
        <v>0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1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0</v>
      </c>
      <c r="N38" s="50">
        <v>0</v>
      </c>
      <c r="O38" s="15">
        <f t="shared" si="0"/>
        <v>1</v>
      </c>
      <c r="P38" s="15">
        <f t="shared" si="1"/>
        <v>1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0</v>
      </c>
      <c r="N39" s="50">
        <v>0</v>
      </c>
      <c r="O39" s="15">
        <f t="shared" si="0"/>
        <v>0</v>
      </c>
      <c r="P39" s="15">
        <f t="shared" si="1"/>
        <v>0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0</v>
      </c>
      <c r="N40" s="50">
        <v>0</v>
      </c>
      <c r="O40" s="15">
        <f t="shared" si="0"/>
        <v>0</v>
      </c>
      <c r="P40" s="15">
        <f t="shared" si="1"/>
        <v>0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2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0</v>
      </c>
      <c r="N41" s="50">
        <v>0</v>
      </c>
      <c r="O41" s="15">
        <f t="shared" si="0"/>
        <v>2</v>
      </c>
      <c r="P41" s="15">
        <f t="shared" si="1"/>
        <v>2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2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0</v>
      </c>
      <c r="N42" s="50">
        <v>0</v>
      </c>
      <c r="O42" s="15">
        <f t="shared" si="0"/>
        <v>2</v>
      </c>
      <c r="P42" s="15">
        <f t="shared" si="1"/>
        <v>2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1</v>
      </c>
      <c r="N43" s="50">
        <v>0</v>
      </c>
      <c r="O43" s="15">
        <f t="shared" si="0"/>
        <v>0</v>
      </c>
      <c r="P43" s="15">
        <f t="shared" si="1"/>
        <v>1</v>
      </c>
    </row>
    <row r="44" spans="2:20" ht="23.1" customHeight="1" x14ac:dyDescent="0.25">
      <c r="B44" s="25" t="s">
        <v>71</v>
      </c>
      <c r="C44" s="50">
        <v>0</v>
      </c>
      <c r="D44" s="50">
        <v>1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0</v>
      </c>
      <c r="N44" s="50">
        <v>0</v>
      </c>
      <c r="O44" s="15">
        <f t="shared" si="0"/>
        <v>1</v>
      </c>
      <c r="P44" s="15">
        <f t="shared" si="1"/>
        <v>1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15">
        <f t="shared" si="0"/>
        <v>0</v>
      </c>
      <c r="P45" s="15">
        <f t="shared" si="1"/>
        <v>0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 t="s">
        <v>175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0</v>
      </c>
      <c r="N46" s="50">
        <v>0</v>
      </c>
      <c r="O46" s="15">
        <f t="shared" si="0"/>
        <v>0</v>
      </c>
      <c r="P46" s="15">
        <f t="shared" si="1"/>
        <v>0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0</v>
      </c>
      <c r="N47" s="50">
        <v>0</v>
      </c>
      <c r="O47" s="15">
        <f t="shared" si="0"/>
        <v>0</v>
      </c>
      <c r="P47" s="15">
        <f t="shared" si="1"/>
        <v>0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1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4</v>
      </c>
      <c r="N48" s="50">
        <v>0</v>
      </c>
      <c r="O48" s="15">
        <f t="shared" si="0"/>
        <v>1</v>
      </c>
      <c r="P48" s="15">
        <f t="shared" si="1"/>
        <v>5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2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0</v>
      </c>
      <c r="N49" s="50">
        <v>0</v>
      </c>
      <c r="O49" s="15">
        <f t="shared" si="0"/>
        <v>2</v>
      </c>
      <c r="P49" s="15">
        <f t="shared" si="1"/>
        <v>2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1</v>
      </c>
      <c r="I50" s="50">
        <v>0</v>
      </c>
      <c r="J50" s="50">
        <v>0</v>
      </c>
      <c r="K50" s="50">
        <v>0</v>
      </c>
      <c r="L50" s="50">
        <v>0</v>
      </c>
      <c r="M50" s="50">
        <v>1</v>
      </c>
      <c r="N50" s="50">
        <v>0</v>
      </c>
      <c r="O50" s="15">
        <f t="shared" si="0"/>
        <v>1</v>
      </c>
      <c r="P50" s="15">
        <f t="shared" si="1"/>
        <v>2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2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0</v>
      </c>
      <c r="N51" s="50">
        <v>0</v>
      </c>
      <c r="O51" s="15">
        <f t="shared" si="0"/>
        <v>2</v>
      </c>
      <c r="P51" s="15">
        <f t="shared" si="1"/>
        <v>2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1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0</v>
      </c>
      <c r="N52" s="50">
        <v>0</v>
      </c>
      <c r="O52" s="15">
        <f t="shared" si="0"/>
        <v>1</v>
      </c>
      <c r="P52" s="15">
        <f t="shared" si="1"/>
        <v>1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1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</v>
      </c>
      <c r="N53" s="50">
        <v>0</v>
      </c>
      <c r="O53" s="15">
        <f t="shared" si="0"/>
        <v>2</v>
      </c>
      <c r="P53" s="15">
        <f t="shared" si="1"/>
        <v>3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2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0</v>
      </c>
      <c r="N54" s="50">
        <v>0</v>
      </c>
      <c r="O54" s="15">
        <f t="shared" si="0"/>
        <v>2</v>
      </c>
      <c r="P54" s="15">
        <f t="shared" si="1"/>
        <v>2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1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15">
        <f t="shared" si="0"/>
        <v>1</v>
      </c>
      <c r="P55" s="15">
        <f t="shared" si="1"/>
        <v>1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2</v>
      </c>
      <c r="I56" s="50">
        <v>0</v>
      </c>
      <c r="J56" s="50">
        <v>0</v>
      </c>
      <c r="K56" s="50">
        <v>0</v>
      </c>
      <c r="L56" s="50">
        <v>0</v>
      </c>
      <c r="M56" s="50">
        <v>0</v>
      </c>
      <c r="N56" s="50">
        <v>0</v>
      </c>
      <c r="O56" s="15">
        <f t="shared" si="0"/>
        <v>2</v>
      </c>
      <c r="P56" s="15">
        <f t="shared" si="1"/>
        <v>2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2</v>
      </c>
      <c r="E57" s="50">
        <v>1</v>
      </c>
      <c r="F57" s="50">
        <v>0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15">
        <f t="shared" si="0"/>
        <v>5</v>
      </c>
      <c r="P57" s="15">
        <f t="shared" si="1"/>
        <v>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</v>
      </c>
      <c r="D58" s="16">
        <f t="shared" si="21"/>
        <v>11</v>
      </c>
      <c r="E58" s="16">
        <f t="shared" si="21"/>
        <v>13</v>
      </c>
      <c r="F58" s="16">
        <f t="shared" si="21"/>
        <v>0</v>
      </c>
      <c r="G58" s="16">
        <f t="shared" si="21"/>
        <v>0</v>
      </c>
      <c r="H58" s="16">
        <f t="shared" si="21"/>
        <v>3</v>
      </c>
      <c r="I58" s="16">
        <f t="shared" si="21"/>
        <v>6</v>
      </c>
      <c r="J58" s="16">
        <f t="shared" si="21"/>
        <v>0</v>
      </c>
      <c r="K58" s="16">
        <f t="shared" si="21"/>
        <v>0</v>
      </c>
      <c r="L58" s="16">
        <f t="shared" si="21"/>
        <v>0</v>
      </c>
      <c r="M58" s="16">
        <f t="shared" si="21"/>
        <v>24</v>
      </c>
      <c r="N58" s="16">
        <f t="shared" si="21"/>
        <v>0</v>
      </c>
      <c r="O58" s="16">
        <f t="shared" si="21"/>
        <v>35</v>
      </c>
      <c r="P58" s="16">
        <f t="shared" si="21"/>
        <v>59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3.3898305084745763E-2</v>
      </c>
      <c r="D59" s="43">
        <f t="shared" si="22"/>
        <v>0.1864406779661017</v>
      </c>
      <c r="E59" s="43">
        <f t="shared" si="22"/>
        <v>0.22033898305084745</v>
      </c>
      <c r="F59" s="43">
        <f t="shared" si="22"/>
        <v>0</v>
      </c>
      <c r="G59" s="43">
        <f t="shared" si="22"/>
        <v>0</v>
      </c>
      <c r="H59" s="43">
        <f t="shared" si="22"/>
        <v>5.0847457627118647E-2</v>
      </c>
      <c r="I59" s="43">
        <f t="shared" si="22"/>
        <v>0.10169491525423729</v>
      </c>
      <c r="J59" s="43">
        <f t="shared" si="22"/>
        <v>0</v>
      </c>
      <c r="K59" s="43">
        <f t="shared" si="22"/>
        <v>0</v>
      </c>
      <c r="L59" s="43">
        <f t="shared" si="22"/>
        <v>0</v>
      </c>
      <c r="M59" s="43">
        <f t="shared" si="22"/>
        <v>0.40677966101694918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5.7142857142857141E-2</v>
      </c>
      <c r="D60" s="44">
        <f t="shared" ref="D60:N60" si="23">D58/$O$58</f>
        <v>0.31428571428571428</v>
      </c>
      <c r="E60" s="44">
        <f t="shared" si="23"/>
        <v>0.37142857142857144</v>
      </c>
      <c r="F60" s="44">
        <f t="shared" si="23"/>
        <v>0</v>
      </c>
      <c r="G60" s="44">
        <f t="shared" si="23"/>
        <v>0</v>
      </c>
      <c r="H60" s="44">
        <f t="shared" si="23"/>
        <v>8.5714285714285715E-2</v>
      </c>
      <c r="I60" s="44">
        <f t="shared" si="23"/>
        <v>0.17142857142857143</v>
      </c>
      <c r="J60" s="44">
        <f t="shared" si="23"/>
        <v>0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126"/>
  <sheetViews>
    <sheetView view="pageBreakPreview" zoomScale="60" workbookViewId="0">
      <selection activeCell="D57" sqref="D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'05.08 KOTIDO-KABONG'!C3:G3</f>
        <v>MCC - C5 - STN0125 - KAABONG-KOTIDO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'07.08 KABONG-KOTIDO'!D5</f>
        <v>07.08.19</v>
      </c>
      <c r="E5" s="3"/>
      <c r="F5" s="41" t="s">
        <v>1</v>
      </c>
      <c r="G5" s="66" t="str">
        <f>'05.08 KABONG-KOTIDO'!G5:H5</f>
        <v>xxx</v>
      </c>
      <c r="H5" s="67"/>
      <c r="I5" s="14"/>
      <c r="J5" s="2" t="s">
        <v>5</v>
      </c>
      <c r="K5" s="66" t="str">
        <f>'05.08 KABONG-KOTIDO'!K5:L5</f>
        <v>NALUBEGA JOSEPHINE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'05.08 KOTIDO-KABONG'!D6:E6</f>
        <v>KITIDO</v>
      </c>
      <c r="E6" s="67"/>
      <c r="F6" s="2" t="s">
        <v>2</v>
      </c>
      <c r="G6" s="66" t="str">
        <f>'05.08 KOTIDO-KABONG'!G6:H6</f>
        <v>KABONG</v>
      </c>
      <c r="H6" s="67"/>
      <c r="J6" s="2" t="s">
        <v>21</v>
      </c>
      <c r="K6" s="66" t="str">
        <f>'05.08 KABONG-KOTIDO'!K6:L6</f>
        <v>CRANIMER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1</v>
      </c>
      <c r="E10" s="50">
        <v>1</v>
      </c>
      <c r="F10" s="50">
        <v>0</v>
      </c>
      <c r="G10" s="50">
        <v>0</v>
      </c>
      <c r="H10" s="50">
        <v>0</v>
      </c>
      <c r="I10" s="50">
        <v>0</v>
      </c>
      <c r="J10" s="50">
        <v>2</v>
      </c>
      <c r="K10" s="50">
        <v>0</v>
      </c>
      <c r="L10" s="50">
        <v>0</v>
      </c>
      <c r="M10" s="50">
        <v>1</v>
      </c>
      <c r="N10" s="50">
        <v>0</v>
      </c>
      <c r="O10" s="15">
        <f t="shared" ref="O10:O57" si="0">SUM(C10:L10,N10)</f>
        <v>4</v>
      </c>
      <c r="P10" s="15">
        <f t="shared" ref="P10:P57" si="1">SUM(C10:N10)</f>
        <v>5</v>
      </c>
      <c r="R10" s="1" t="s">
        <v>6</v>
      </c>
      <c r="S10" s="17">
        <f t="shared" ref="S10:AF10" si="2">SUM(C10:C13)</f>
        <v>1</v>
      </c>
      <c r="T10" s="17">
        <f t="shared" si="2"/>
        <v>1</v>
      </c>
      <c r="U10" s="17">
        <f t="shared" si="2"/>
        <v>3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3</v>
      </c>
      <c r="AA10" s="17">
        <f t="shared" si="2"/>
        <v>0</v>
      </c>
      <c r="AB10" s="17">
        <f t="shared" si="2"/>
        <v>0</v>
      </c>
      <c r="AC10" s="17">
        <f t="shared" si="2"/>
        <v>3</v>
      </c>
      <c r="AD10" s="17">
        <f t="shared" si="2"/>
        <v>0</v>
      </c>
      <c r="AE10" s="31">
        <f t="shared" si="2"/>
        <v>10</v>
      </c>
      <c r="AF10" s="31">
        <f t="shared" si="2"/>
        <v>13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3</v>
      </c>
      <c r="P11" s="15">
        <f t="shared" si="1"/>
        <v>3</v>
      </c>
      <c r="R11" s="1" t="s">
        <v>7</v>
      </c>
      <c r="S11" s="17">
        <f t="shared" ref="S11:AF11" si="3">SUM(C14:C17)</f>
        <v>0</v>
      </c>
      <c r="T11" s="17">
        <f t="shared" si="3"/>
        <v>1</v>
      </c>
      <c r="U11" s="17">
        <f t="shared" si="3"/>
        <v>2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</v>
      </c>
      <c r="AD11" s="17">
        <f t="shared" si="3"/>
        <v>0</v>
      </c>
      <c r="AE11" s="31">
        <f t="shared" si="3"/>
        <v>5</v>
      </c>
      <c r="AF11" s="31">
        <f t="shared" si="3"/>
        <v>6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2</v>
      </c>
      <c r="N12" s="50">
        <v>0</v>
      </c>
      <c r="O12" s="15">
        <f t="shared" si="0"/>
        <v>0</v>
      </c>
      <c r="P12" s="15">
        <f t="shared" si="1"/>
        <v>2</v>
      </c>
      <c r="R12" s="1" t="s">
        <v>8</v>
      </c>
      <c r="S12" s="17">
        <f t="shared" ref="S12:AF12" si="4">SUM(C18:C21)</f>
        <v>1</v>
      </c>
      <c r="T12" s="17">
        <f t="shared" si="4"/>
        <v>2</v>
      </c>
      <c r="U12" s="17">
        <f t="shared" si="4"/>
        <v>1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3</v>
      </c>
      <c r="AD12" s="17">
        <f t="shared" si="4"/>
        <v>0</v>
      </c>
      <c r="AE12" s="31">
        <f t="shared" si="4"/>
        <v>4</v>
      </c>
      <c r="AF12" s="31">
        <f t="shared" si="4"/>
        <v>7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2</v>
      </c>
      <c r="F13" s="50">
        <v>0</v>
      </c>
      <c r="G13" s="50">
        <v>0</v>
      </c>
      <c r="H13" s="50">
        <v>0</v>
      </c>
      <c r="I13" s="50">
        <v>0</v>
      </c>
      <c r="J13" s="50">
        <v>1</v>
      </c>
      <c r="K13" s="50">
        <v>0</v>
      </c>
      <c r="L13" s="50">
        <v>0</v>
      </c>
      <c r="M13" s="50">
        <v>0</v>
      </c>
      <c r="N13" s="50">
        <v>0</v>
      </c>
      <c r="O13" s="15">
        <f t="shared" si="0"/>
        <v>3</v>
      </c>
      <c r="P13" s="15">
        <f t="shared" si="1"/>
        <v>3</v>
      </c>
      <c r="R13" s="1" t="s">
        <v>9</v>
      </c>
      <c r="S13" s="17">
        <f t="shared" ref="S13:AF13" si="5">SUM(C22:C25)</f>
        <v>2</v>
      </c>
      <c r="T13" s="17">
        <f t="shared" si="5"/>
        <v>0</v>
      </c>
      <c r="U13" s="17">
        <f t="shared" si="5"/>
        <v>1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2</v>
      </c>
      <c r="AD13" s="17">
        <f t="shared" si="5"/>
        <v>0</v>
      </c>
      <c r="AE13" s="31">
        <f t="shared" si="5"/>
        <v>4</v>
      </c>
      <c r="AF13" s="31">
        <f t="shared" si="5"/>
        <v>6</v>
      </c>
    </row>
    <row r="14" spans="2:32" ht="23.1" customHeight="1" x14ac:dyDescent="0.25">
      <c r="B14" s="23" t="s">
        <v>41</v>
      </c>
      <c r="C14" s="50">
        <v>0</v>
      </c>
      <c r="D14" s="50">
        <v>1</v>
      </c>
      <c r="E14" s="50">
        <v>1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15">
        <f t="shared" si="0"/>
        <v>2</v>
      </c>
      <c r="P14" s="15">
        <f t="shared" si="1"/>
        <v>2</v>
      </c>
      <c r="R14" s="1" t="s">
        <v>10</v>
      </c>
      <c r="S14" s="17">
        <f t="shared" ref="S14:AF14" si="6">SUM(C26:C29)</f>
        <v>1</v>
      </c>
      <c r="T14" s="17">
        <f t="shared" si="6"/>
        <v>1</v>
      </c>
      <c r="U14" s="17">
        <f t="shared" si="6"/>
        <v>1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</v>
      </c>
      <c r="AD14" s="17">
        <f t="shared" si="6"/>
        <v>0</v>
      </c>
      <c r="AE14" s="31">
        <f t="shared" si="6"/>
        <v>3</v>
      </c>
      <c r="AF14" s="31">
        <f t="shared" si="6"/>
        <v>4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15">
        <f t="shared" si="0"/>
        <v>0</v>
      </c>
      <c r="P15" s="15">
        <f t="shared" si="1"/>
        <v>0</v>
      </c>
      <c r="R15" s="1" t="s">
        <v>11</v>
      </c>
      <c r="S15" s="17">
        <f t="shared" ref="S15:AF15" si="7">SUM(C30:C33)</f>
        <v>0</v>
      </c>
      <c r="T15" s="17">
        <f t="shared" si="7"/>
        <v>0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4</v>
      </c>
      <c r="AD15" s="17">
        <f t="shared" si="7"/>
        <v>0</v>
      </c>
      <c r="AE15" s="31">
        <f t="shared" si="7"/>
        <v>1</v>
      </c>
      <c r="AF15" s="31">
        <f t="shared" si="7"/>
        <v>5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15">
        <f t="shared" si="0"/>
        <v>0</v>
      </c>
      <c r="P16" s="15">
        <f t="shared" si="1"/>
        <v>0</v>
      </c>
      <c r="R16" s="1" t="s">
        <v>12</v>
      </c>
      <c r="S16" s="17">
        <f t="shared" ref="S16:AF16" si="8">SUM(C34:C37)</f>
        <v>0</v>
      </c>
      <c r="T16" s="17">
        <f t="shared" si="8"/>
        <v>0</v>
      </c>
      <c r="U16" s="17">
        <f t="shared" si="8"/>
        <v>0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1</v>
      </c>
      <c r="AD16" s="17">
        <f t="shared" si="8"/>
        <v>0</v>
      </c>
      <c r="AE16" s="31">
        <f t="shared" si="8"/>
        <v>1</v>
      </c>
      <c r="AF16" s="31">
        <f t="shared" si="8"/>
        <v>2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1</v>
      </c>
      <c r="F17" s="50">
        <v>0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1</v>
      </c>
      <c r="N17" s="50">
        <v>0</v>
      </c>
      <c r="O17" s="15">
        <f t="shared" si="0"/>
        <v>3</v>
      </c>
      <c r="P17" s="15">
        <f t="shared" si="1"/>
        <v>4</v>
      </c>
      <c r="R17" s="1" t="s">
        <v>13</v>
      </c>
      <c r="S17" s="17">
        <f t="shared" ref="S17:AF17" si="9">SUM(C38:C41)</f>
        <v>0</v>
      </c>
      <c r="T17" s="17">
        <f t="shared" si="9"/>
        <v>0</v>
      </c>
      <c r="U17" s="17">
        <f t="shared" si="9"/>
        <v>0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0</v>
      </c>
      <c r="AD17" s="17">
        <f t="shared" si="9"/>
        <v>0</v>
      </c>
      <c r="AE17" s="31">
        <f t="shared" si="9"/>
        <v>1</v>
      </c>
      <c r="AF17" s="31">
        <f t="shared" si="9"/>
        <v>1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</v>
      </c>
      <c r="N18" s="50">
        <v>0</v>
      </c>
      <c r="O18" s="15">
        <f t="shared" si="0"/>
        <v>0</v>
      </c>
      <c r="P18" s="15">
        <f t="shared" si="1"/>
        <v>1</v>
      </c>
      <c r="R18" s="1" t="s">
        <v>14</v>
      </c>
      <c r="S18" s="17">
        <f t="shared" ref="S18:AF18" si="10">SUM(C42:C45)</f>
        <v>0</v>
      </c>
      <c r="T18" s="17">
        <f t="shared" si="10"/>
        <v>5</v>
      </c>
      <c r="U18" s="17">
        <f t="shared" si="10"/>
        <v>2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3</v>
      </c>
      <c r="AD18" s="17">
        <f t="shared" si="10"/>
        <v>0</v>
      </c>
      <c r="AE18" s="31">
        <f t="shared" si="10"/>
        <v>8</v>
      </c>
      <c r="AF18" s="31">
        <f t="shared" si="10"/>
        <v>11</v>
      </c>
    </row>
    <row r="19" spans="2:32" ht="23.1" customHeight="1" x14ac:dyDescent="0.25">
      <c r="B19" s="23" t="s">
        <v>46</v>
      </c>
      <c r="C19" s="50">
        <v>1</v>
      </c>
      <c r="D19" s="50">
        <v>1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15">
        <f t="shared" si="0"/>
        <v>2</v>
      </c>
      <c r="P19" s="15">
        <f t="shared" si="1"/>
        <v>2</v>
      </c>
      <c r="R19" s="1" t="s">
        <v>15</v>
      </c>
      <c r="S19" s="17">
        <f t="shared" ref="S19:AF19" si="11">SUM(C46:C49)</f>
        <v>0</v>
      </c>
      <c r="T19" s="17">
        <f t="shared" si="11"/>
        <v>2</v>
      </c>
      <c r="U19" s="17">
        <f t="shared" si="11"/>
        <v>0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5</v>
      </c>
      <c r="AD19" s="17">
        <f t="shared" si="11"/>
        <v>0</v>
      </c>
      <c r="AE19" s="31">
        <f t="shared" si="11"/>
        <v>2</v>
      </c>
      <c r="AF19" s="31">
        <f t="shared" si="11"/>
        <v>7</v>
      </c>
    </row>
    <row r="20" spans="2:32" ht="23.1" customHeight="1" x14ac:dyDescent="0.25">
      <c r="B20" s="23" t="s">
        <v>47</v>
      </c>
      <c r="C20" s="50">
        <v>0</v>
      </c>
      <c r="D20" s="50">
        <v>1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</v>
      </c>
      <c r="N20" s="50">
        <v>0</v>
      </c>
      <c r="O20" s="15">
        <f t="shared" si="0"/>
        <v>1</v>
      </c>
      <c r="P20" s="15">
        <f t="shared" si="1"/>
        <v>2</v>
      </c>
      <c r="R20" s="1" t="s">
        <v>16</v>
      </c>
      <c r="S20" s="17">
        <f t="shared" ref="S20:AF20" si="12">SUM(C50:C53)</f>
        <v>0</v>
      </c>
      <c r="T20" s="17">
        <f t="shared" si="12"/>
        <v>2</v>
      </c>
      <c r="U20" s="17">
        <f t="shared" si="12"/>
        <v>3</v>
      </c>
      <c r="V20" s="17">
        <f t="shared" si="12"/>
        <v>0</v>
      </c>
      <c r="W20" s="17">
        <f t="shared" si="12"/>
        <v>0</v>
      </c>
      <c r="X20" s="17">
        <f t="shared" si="12"/>
        <v>1</v>
      </c>
      <c r="Y20" s="17">
        <f t="shared" si="12"/>
        <v>1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4</v>
      </c>
      <c r="AD20" s="17">
        <f t="shared" si="12"/>
        <v>0</v>
      </c>
      <c r="AE20" s="31">
        <f t="shared" si="12"/>
        <v>7</v>
      </c>
      <c r="AF20" s="31">
        <f t="shared" si="12"/>
        <v>11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1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</v>
      </c>
      <c r="N21" s="50">
        <v>0</v>
      </c>
      <c r="O21" s="15">
        <f t="shared" si="0"/>
        <v>1</v>
      </c>
      <c r="P21" s="15">
        <f t="shared" si="1"/>
        <v>2</v>
      </c>
      <c r="R21" s="36" t="s">
        <v>20</v>
      </c>
      <c r="S21" s="34">
        <f t="shared" ref="S21:AF21" si="13">SUM(C54:C57)</f>
        <v>1</v>
      </c>
      <c r="T21" s="17">
        <f t="shared" si="13"/>
        <v>3</v>
      </c>
      <c r="U21" s="17">
        <f t="shared" si="13"/>
        <v>2</v>
      </c>
      <c r="V21" s="17">
        <f t="shared" si="13"/>
        <v>0</v>
      </c>
      <c r="W21" s="17">
        <f t="shared" si="13"/>
        <v>0</v>
      </c>
      <c r="X21" s="17">
        <f t="shared" si="13"/>
        <v>1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5</v>
      </c>
      <c r="AD21" s="17">
        <f t="shared" si="13"/>
        <v>0</v>
      </c>
      <c r="AE21" s="31">
        <f t="shared" si="13"/>
        <v>7</v>
      </c>
      <c r="AF21" s="31">
        <f t="shared" si="13"/>
        <v>12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1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</v>
      </c>
      <c r="N22" s="50">
        <v>0</v>
      </c>
      <c r="O22" s="15">
        <f t="shared" si="0"/>
        <v>1</v>
      </c>
      <c r="P22" s="15">
        <f t="shared" si="1"/>
        <v>2</v>
      </c>
      <c r="R22" s="38" t="s">
        <v>90</v>
      </c>
      <c r="S22" s="39">
        <f>MAX(S10:S12)</f>
        <v>1</v>
      </c>
      <c r="T22" s="39">
        <f t="shared" ref="T22:AF22" si="14">MAX(T10:T12)</f>
        <v>2</v>
      </c>
      <c r="U22" s="39">
        <f t="shared" si="14"/>
        <v>3</v>
      </c>
      <c r="V22" s="39">
        <f t="shared" si="14"/>
        <v>0</v>
      </c>
      <c r="W22" s="39">
        <f t="shared" si="14"/>
        <v>0</v>
      </c>
      <c r="X22" s="39">
        <f t="shared" si="14"/>
        <v>0</v>
      </c>
      <c r="Y22" s="39">
        <f t="shared" si="14"/>
        <v>2</v>
      </c>
      <c r="Z22" s="39">
        <f t="shared" si="14"/>
        <v>3</v>
      </c>
      <c r="AA22" s="39">
        <f t="shared" si="14"/>
        <v>0</v>
      </c>
      <c r="AB22" s="39">
        <f t="shared" si="14"/>
        <v>0</v>
      </c>
      <c r="AC22" s="39">
        <f t="shared" si="14"/>
        <v>3</v>
      </c>
      <c r="AD22" s="39">
        <f t="shared" si="14"/>
        <v>0</v>
      </c>
      <c r="AE22" s="40">
        <f t="shared" si="14"/>
        <v>10</v>
      </c>
      <c r="AF22" s="40">
        <f t="shared" si="14"/>
        <v>13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1</v>
      </c>
      <c r="K23" s="50">
        <v>0</v>
      </c>
      <c r="L23" s="50">
        <v>0</v>
      </c>
      <c r="M23" s="50">
        <v>0</v>
      </c>
      <c r="N23" s="50">
        <v>0</v>
      </c>
      <c r="O23" s="15">
        <f t="shared" si="0"/>
        <v>1</v>
      </c>
      <c r="P23" s="15">
        <f t="shared" si="1"/>
        <v>1</v>
      </c>
      <c r="R23" s="38" t="s">
        <v>91</v>
      </c>
      <c r="S23" s="39">
        <f>MAX(S13:S18)</f>
        <v>2</v>
      </c>
      <c r="T23" s="39">
        <f t="shared" ref="T23:AF23" si="15">MAX(T13:T18)</f>
        <v>5</v>
      </c>
      <c r="U23" s="39">
        <f t="shared" si="15"/>
        <v>2</v>
      </c>
      <c r="V23" s="39">
        <f t="shared" si="15"/>
        <v>1</v>
      </c>
      <c r="W23" s="39">
        <f t="shared" si="15"/>
        <v>0</v>
      </c>
      <c r="X23" s="39">
        <f t="shared" si="15"/>
        <v>0</v>
      </c>
      <c r="Y23" s="39">
        <f t="shared" si="15"/>
        <v>1</v>
      </c>
      <c r="Z23" s="39">
        <f t="shared" si="15"/>
        <v>1</v>
      </c>
      <c r="AA23" s="39">
        <f t="shared" si="15"/>
        <v>0</v>
      </c>
      <c r="AB23" s="39">
        <f t="shared" si="15"/>
        <v>0</v>
      </c>
      <c r="AC23" s="39">
        <f t="shared" si="15"/>
        <v>4</v>
      </c>
      <c r="AD23" s="39">
        <f t="shared" si="15"/>
        <v>0</v>
      </c>
      <c r="AE23" s="40">
        <f t="shared" si="15"/>
        <v>8</v>
      </c>
      <c r="AF23" s="40">
        <f t="shared" si="15"/>
        <v>11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</v>
      </c>
      <c r="N24" s="50">
        <v>0</v>
      </c>
      <c r="O24" s="15">
        <f t="shared" si="0"/>
        <v>0</v>
      </c>
      <c r="P24" s="15">
        <f t="shared" si="1"/>
        <v>1</v>
      </c>
      <c r="R24" s="38" t="s">
        <v>92</v>
      </c>
      <c r="S24" s="39">
        <f>MAX(S19:S21)</f>
        <v>1</v>
      </c>
      <c r="T24" s="39">
        <f t="shared" ref="T24:AF24" si="16">MAX(T19:T21)</f>
        <v>3</v>
      </c>
      <c r="U24" s="39">
        <f t="shared" si="16"/>
        <v>3</v>
      </c>
      <c r="V24" s="39">
        <f t="shared" si="16"/>
        <v>0</v>
      </c>
      <c r="W24" s="39">
        <f t="shared" si="16"/>
        <v>0</v>
      </c>
      <c r="X24" s="39">
        <f t="shared" si="16"/>
        <v>1</v>
      </c>
      <c r="Y24" s="39">
        <f t="shared" si="16"/>
        <v>1</v>
      </c>
      <c r="Z24" s="39">
        <f t="shared" si="16"/>
        <v>0</v>
      </c>
      <c r="AA24" s="39">
        <f t="shared" si="16"/>
        <v>0</v>
      </c>
      <c r="AB24" s="39">
        <f t="shared" si="16"/>
        <v>0</v>
      </c>
      <c r="AC24" s="39">
        <f t="shared" si="16"/>
        <v>5</v>
      </c>
      <c r="AD24" s="39">
        <f t="shared" si="16"/>
        <v>0</v>
      </c>
      <c r="AE24" s="40">
        <f t="shared" si="16"/>
        <v>7</v>
      </c>
      <c r="AF24" s="40">
        <f t="shared" si="16"/>
        <v>12</v>
      </c>
    </row>
    <row r="25" spans="2:32" ht="23.1" customHeight="1" x14ac:dyDescent="0.25">
      <c r="B25" s="23" t="s">
        <v>52</v>
      </c>
      <c r="C25" s="50">
        <v>2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15">
        <f t="shared" si="0"/>
        <v>2</v>
      </c>
      <c r="P25" s="15">
        <f t="shared" si="1"/>
        <v>2</v>
      </c>
      <c r="R25" s="37" t="s">
        <v>85</v>
      </c>
      <c r="S25" s="35">
        <f t="shared" ref="S25:AF25" si="17">SUM(S10:S12)</f>
        <v>2</v>
      </c>
      <c r="T25" s="16">
        <f t="shared" si="17"/>
        <v>4</v>
      </c>
      <c r="U25" s="16">
        <f t="shared" si="17"/>
        <v>6</v>
      </c>
      <c r="V25" s="16">
        <f t="shared" si="17"/>
        <v>0</v>
      </c>
      <c r="W25" s="16">
        <f t="shared" si="17"/>
        <v>0</v>
      </c>
      <c r="X25" s="16">
        <f t="shared" si="17"/>
        <v>0</v>
      </c>
      <c r="Y25" s="16">
        <f t="shared" si="17"/>
        <v>4</v>
      </c>
      <c r="Z25" s="16">
        <f t="shared" si="17"/>
        <v>3</v>
      </c>
      <c r="AA25" s="16">
        <f t="shared" si="17"/>
        <v>0</v>
      </c>
      <c r="AB25" s="16">
        <f t="shared" si="17"/>
        <v>0</v>
      </c>
      <c r="AC25" s="16">
        <f t="shared" si="17"/>
        <v>7</v>
      </c>
      <c r="AD25" s="16">
        <f t="shared" si="17"/>
        <v>0</v>
      </c>
      <c r="AE25" s="32">
        <f t="shared" si="17"/>
        <v>19</v>
      </c>
      <c r="AF25" s="32">
        <f t="shared" si="17"/>
        <v>26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15">
        <f t="shared" si="0"/>
        <v>0</v>
      </c>
      <c r="P26" s="15">
        <f t="shared" si="1"/>
        <v>0</v>
      </c>
      <c r="R26" s="28" t="s">
        <v>86</v>
      </c>
      <c r="S26" s="16">
        <f t="shared" ref="S26:AF26" si="18">SUM(S13:S18)</f>
        <v>3</v>
      </c>
      <c r="T26" s="16">
        <f t="shared" si="18"/>
        <v>6</v>
      </c>
      <c r="U26" s="16">
        <f t="shared" si="18"/>
        <v>4</v>
      </c>
      <c r="V26" s="16">
        <f t="shared" si="18"/>
        <v>1</v>
      </c>
      <c r="W26" s="16">
        <f t="shared" si="18"/>
        <v>0</v>
      </c>
      <c r="X26" s="16">
        <f t="shared" si="18"/>
        <v>0</v>
      </c>
      <c r="Y26" s="16">
        <f t="shared" si="18"/>
        <v>3</v>
      </c>
      <c r="Z26" s="16">
        <f t="shared" si="18"/>
        <v>1</v>
      </c>
      <c r="AA26" s="16">
        <f t="shared" si="18"/>
        <v>0</v>
      </c>
      <c r="AB26" s="16">
        <f t="shared" si="18"/>
        <v>0</v>
      </c>
      <c r="AC26" s="16">
        <f t="shared" si="18"/>
        <v>11</v>
      </c>
      <c r="AD26" s="16">
        <f t="shared" si="18"/>
        <v>0</v>
      </c>
      <c r="AE26" s="32">
        <f t="shared" si="18"/>
        <v>18</v>
      </c>
      <c r="AF26" s="32">
        <f t="shared" si="18"/>
        <v>29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15">
        <f t="shared" si="0"/>
        <v>1</v>
      </c>
      <c r="P27" s="15">
        <f t="shared" si="1"/>
        <v>1</v>
      </c>
      <c r="R27" s="29" t="s">
        <v>87</v>
      </c>
      <c r="S27" s="16">
        <f t="shared" ref="S27:AF27" si="19">SUM(S19:S21)</f>
        <v>1</v>
      </c>
      <c r="T27" s="16">
        <f t="shared" si="19"/>
        <v>7</v>
      </c>
      <c r="U27" s="16">
        <f t="shared" si="19"/>
        <v>5</v>
      </c>
      <c r="V27" s="16">
        <f t="shared" si="19"/>
        <v>0</v>
      </c>
      <c r="W27" s="16">
        <f t="shared" si="19"/>
        <v>0</v>
      </c>
      <c r="X27" s="16">
        <f t="shared" si="19"/>
        <v>2</v>
      </c>
      <c r="Y27" s="16">
        <f t="shared" si="19"/>
        <v>1</v>
      </c>
      <c r="Z27" s="16">
        <f t="shared" si="19"/>
        <v>0</v>
      </c>
      <c r="AA27" s="16">
        <f t="shared" si="19"/>
        <v>0</v>
      </c>
      <c r="AB27" s="16">
        <f t="shared" si="19"/>
        <v>0</v>
      </c>
      <c r="AC27" s="16">
        <f t="shared" si="19"/>
        <v>14</v>
      </c>
      <c r="AD27" s="16">
        <f t="shared" si="19"/>
        <v>0</v>
      </c>
      <c r="AE27" s="32">
        <f t="shared" si="19"/>
        <v>16</v>
      </c>
      <c r="AF27" s="32">
        <f t="shared" si="19"/>
        <v>30</v>
      </c>
    </row>
    <row r="28" spans="2:32" ht="23.1" customHeight="1" x14ac:dyDescent="0.25">
      <c r="B28" s="23" t="s">
        <v>55</v>
      </c>
      <c r="C28" s="50">
        <v>0</v>
      </c>
      <c r="D28" s="50">
        <v>1</v>
      </c>
      <c r="E28" s="50">
        <v>1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15">
        <f t="shared" si="0"/>
        <v>2</v>
      </c>
      <c r="P28" s="15">
        <f t="shared" si="1"/>
        <v>2</v>
      </c>
      <c r="R28" s="5" t="s">
        <v>17</v>
      </c>
      <c r="S28" s="16">
        <f t="shared" ref="S28:AF28" si="20">SUM(S10:S21)</f>
        <v>6</v>
      </c>
      <c r="T28" s="16">
        <f t="shared" si="20"/>
        <v>17</v>
      </c>
      <c r="U28" s="16">
        <f t="shared" si="20"/>
        <v>15</v>
      </c>
      <c r="V28" s="16">
        <f t="shared" si="20"/>
        <v>1</v>
      </c>
      <c r="W28" s="16">
        <f t="shared" si="20"/>
        <v>0</v>
      </c>
      <c r="X28" s="16">
        <f t="shared" si="20"/>
        <v>2</v>
      </c>
      <c r="Y28" s="16">
        <f t="shared" si="20"/>
        <v>8</v>
      </c>
      <c r="Z28" s="16">
        <f t="shared" si="20"/>
        <v>4</v>
      </c>
      <c r="AA28" s="16">
        <f t="shared" si="20"/>
        <v>0</v>
      </c>
      <c r="AB28" s="16">
        <f t="shared" si="20"/>
        <v>0</v>
      </c>
      <c r="AC28" s="16">
        <f t="shared" si="20"/>
        <v>32</v>
      </c>
      <c r="AD28" s="16">
        <f t="shared" si="20"/>
        <v>0</v>
      </c>
      <c r="AE28" s="32">
        <f t="shared" si="20"/>
        <v>53</v>
      </c>
      <c r="AF28" s="32">
        <f t="shared" si="20"/>
        <v>85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</v>
      </c>
      <c r="N29" s="50">
        <v>0</v>
      </c>
      <c r="O29" s="15">
        <f t="shared" si="0"/>
        <v>0</v>
      </c>
      <c r="P29" s="15">
        <f t="shared" si="1"/>
        <v>1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15">
        <f t="shared" si="0"/>
        <v>0</v>
      </c>
      <c r="P30" s="15">
        <f t="shared" si="1"/>
        <v>0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</v>
      </c>
      <c r="N31" s="50">
        <v>0</v>
      </c>
      <c r="O31" s="15">
        <f t="shared" si="0"/>
        <v>0</v>
      </c>
      <c r="P31" s="15">
        <f t="shared" si="1"/>
        <v>1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1</v>
      </c>
      <c r="N32" s="50">
        <v>0</v>
      </c>
      <c r="O32" s="15">
        <f t="shared" si="0"/>
        <v>1</v>
      </c>
      <c r="P32" s="15">
        <f t="shared" si="1"/>
        <v>2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2</v>
      </c>
      <c r="N33" s="50">
        <v>0</v>
      </c>
      <c r="O33" s="15">
        <f t="shared" si="0"/>
        <v>0</v>
      </c>
      <c r="P33" s="15">
        <f t="shared" si="1"/>
        <v>2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</v>
      </c>
      <c r="N34" s="50">
        <v>0</v>
      </c>
      <c r="O34" s="15">
        <f t="shared" si="0"/>
        <v>0</v>
      </c>
      <c r="P34" s="15">
        <f t="shared" si="1"/>
        <v>1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15">
        <f t="shared" si="0"/>
        <v>0</v>
      </c>
      <c r="P35" s="15">
        <f t="shared" si="1"/>
        <v>0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1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0</v>
      </c>
      <c r="N36" s="50">
        <v>0</v>
      </c>
      <c r="O36" s="15">
        <f t="shared" si="0"/>
        <v>1</v>
      </c>
      <c r="P36" s="15">
        <f t="shared" si="1"/>
        <v>1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0</v>
      </c>
      <c r="N37" s="50">
        <v>0</v>
      </c>
      <c r="O37" s="15">
        <f t="shared" si="0"/>
        <v>0</v>
      </c>
      <c r="P37" s="15">
        <f t="shared" si="1"/>
        <v>0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0</v>
      </c>
      <c r="N38" s="50">
        <v>0</v>
      </c>
      <c r="O38" s="15">
        <f t="shared" si="0"/>
        <v>0</v>
      </c>
      <c r="P38" s="15">
        <f t="shared" si="1"/>
        <v>0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0</v>
      </c>
      <c r="N39" s="50">
        <v>0</v>
      </c>
      <c r="O39" s="15">
        <f t="shared" si="0"/>
        <v>0</v>
      </c>
      <c r="P39" s="15">
        <f t="shared" si="1"/>
        <v>0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0</v>
      </c>
      <c r="N40" s="50">
        <v>0</v>
      </c>
      <c r="O40" s="15">
        <f t="shared" si="0"/>
        <v>1</v>
      </c>
      <c r="P40" s="15">
        <f t="shared" si="1"/>
        <v>1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0</v>
      </c>
      <c r="N41" s="50">
        <v>0</v>
      </c>
      <c r="O41" s="15">
        <f t="shared" si="0"/>
        <v>0</v>
      </c>
      <c r="P41" s="15">
        <f t="shared" si="1"/>
        <v>0</v>
      </c>
    </row>
    <row r="42" spans="2:20" ht="23.1" customHeight="1" x14ac:dyDescent="0.25">
      <c r="B42" s="24" t="s">
        <v>69</v>
      </c>
      <c r="C42" s="50">
        <v>0</v>
      </c>
      <c r="D42" s="50">
        <v>1</v>
      </c>
      <c r="E42" s="50">
        <v>1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0</v>
      </c>
      <c r="N42" s="50">
        <v>0</v>
      </c>
      <c r="O42" s="15">
        <f t="shared" si="0"/>
        <v>2</v>
      </c>
      <c r="P42" s="15">
        <f t="shared" si="1"/>
        <v>2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0</v>
      </c>
      <c r="N43" s="50">
        <v>0</v>
      </c>
      <c r="O43" s="15">
        <f t="shared" si="0"/>
        <v>1</v>
      </c>
      <c r="P43" s="15">
        <f t="shared" si="1"/>
        <v>1</v>
      </c>
    </row>
    <row r="44" spans="2:20" ht="23.1" customHeight="1" x14ac:dyDescent="0.25">
      <c r="B44" s="25" t="s">
        <v>71</v>
      </c>
      <c r="C44" s="50">
        <v>0</v>
      </c>
      <c r="D44" s="50">
        <v>3</v>
      </c>
      <c r="E44" s="50">
        <v>1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1</v>
      </c>
      <c r="N44" s="50">
        <v>0</v>
      </c>
      <c r="O44" s="15">
        <f t="shared" si="0"/>
        <v>4</v>
      </c>
      <c r="P44" s="15">
        <f t="shared" si="1"/>
        <v>5</v>
      </c>
    </row>
    <row r="45" spans="2:20" ht="23.1" customHeight="1" x14ac:dyDescent="0.25">
      <c r="B45" s="23" t="s">
        <v>72</v>
      </c>
      <c r="C45" s="50">
        <v>0</v>
      </c>
      <c r="D45" s="50">
        <v>1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2</v>
      </c>
      <c r="N45" s="50">
        <v>0</v>
      </c>
      <c r="O45" s="15">
        <f t="shared" si="0"/>
        <v>1</v>
      </c>
      <c r="P45" s="15">
        <f t="shared" si="1"/>
        <v>3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0</v>
      </c>
      <c r="N46" s="50">
        <v>0</v>
      </c>
      <c r="O46" s="15">
        <f t="shared" si="0"/>
        <v>0</v>
      </c>
      <c r="P46" s="15">
        <f t="shared" si="1"/>
        <v>0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1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3</v>
      </c>
      <c r="N47" s="50">
        <v>0</v>
      </c>
      <c r="O47" s="15">
        <f t="shared" si="0"/>
        <v>1</v>
      </c>
      <c r="P47" s="15">
        <f t="shared" si="1"/>
        <v>4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1</v>
      </c>
      <c r="N48" s="50">
        <v>0</v>
      </c>
      <c r="O48" s="15">
        <f t="shared" si="0"/>
        <v>0</v>
      </c>
      <c r="P48" s="15">
        <f t="shared" si="1"/>
        <v>1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1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1</v>
      </c>
      <c r="N49" s="50">
        <v>0</v>
      </c>
      <c r="O49" s="15">
        <f t="shared" si="0"/>
        <v>1</v>
      </c>
      <c r="P49" s="15">
        <f t="shared" si="1"/>
        <v>2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1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</v>
      </c>
      <c r="N50" s="50">
        <v>0</v>
      </c>
      <c r="O50" s="15">
        <f t="shared" si="0"/>
        <v>1</v>
      </c>
      <c r="P50" s="15">
        <f t="shared" si="1"/>
        <v>2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2</v>
      </c>
      <c r="E51" s="50">
        <v>0</v>
      </c>
      <c r="F51" s="50">
        <v>0</v>
      </c>
      <c r="G51" s="50">
        <v>0</v>
      </c>
      <c r="H51" s="50">
        <v>1</v>
      </c>
      <c r="I51" s="50">
        <v>0</v>
      </c>
      <c r="J51" s="50">
        <v>0</v>
      </c>
      <c r="K51" s="50">
        <v>0</v>
      </c>
      <c r="L51" s="50">
        <v>0</v>
      </c>
      <c r="M51" s="50">
        <v>0</v>
      </c>
      <c r="N51" s="50">
        <v>0</v>
      </c>
      <c r="O51" s="15">
        <f t="shared" si="0"/>
        <v>3</v>
      </c>
      <c r="P51" s="15">
        <f t="shared" si="1"/>
        <v>3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2</v>
      </c>
      <c r="N52" s="50">
        <v>0</v>
      </c>
      <c r="O52" s="15">
        <f t="shared" si="0"/>
        <v>0</v>
      </c>
      <c r="P52" s="15">
        <f t="shared" si="1"/>
        <v>2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2</v>
      </c>
      <c r="F53" s="50">
        <v>0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1</v>
      </c>
      <c r="N53" s="50">
        <v>0</v>
      </c>
      <c r="O53" s="15">
        <f t="shared" si="0"/>
        <v>3</v>
      </c>
      <c r="P53" s="15">
        <f t="shared" si="1"/>
        <v>4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2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</v>
      </c>
      <c r="N54" s="50">
        <v>0</v>
      </c>
      <c r="O54" s="15">
        <f t="shared" si="0"/>
        <v>2</v>
      </c>
      <c r="P54" s="15">
        <f t="shared" si="1"/>
        <v>3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2</v>
      </c>
      <c r="E55" s="50">
        <v>0</v>
      </c>
      <c r="F55" s="50">
        <v>0</v>
      </c>
      <c r="G55" s="50">
        <v>0</v>
      </c>
      <c r="H55" s="50">
        <v>1</v>
      </c>
      <c r="I55" s="50">
        <v>0</v>
      </c>
      <c r="J55" s="50">
        <v>0</v>
      </c>
      <c r="K55" s="50">
        <v>0</v>
      </c>
      <c r="L55" s="50">
        <v>0</v>
      </c>
      <c r="M55" s="50">
        <v>2</v>
      </c>
      <c r="N55" s="50">
        <v>0</v>
      </c>
      <c r="O55" s="15">
        <f t="shared" si="0"/>
        <v>3</v>
      </c>
      <c r="P55" s="15">
        <f t="shared" si="1"/>
        <v>5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</v>
      </c>
      <c r="N56" s="50">
        <v>0</v>
      </c>
      <c r="O56" s="15">
        <f t="shared" si="0"/>
        <v>0</v>
      </c>
      <c r="P56" s="15">
        <f t="shared" si="1"/>
        <v>1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1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1</v>
      </c>
      <c r="N57" s="50">
        <v>0</v>
      </c>
      <c r="O57" s="15">
        <f t="shared" si="0"/>
        <v>2</v>
      </c>
      <c r="P57" s="15">
        <f t="shared" si="1"/>
        <v>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6</v>
      </c>
      <c r="D58" s="16">
        <f t="shared" si="21"/>
        <v>17</v>
      </c>
      <c r="E58" s="16">
        <f t="shared" si="21"/>
        <v>15</v>
      </c>
      <c r="F58" s="16">
        <f t="shared" si="21"/>
        <v>1</v>
      </c>
      <c r="G58" s="16">
        <f t="shared" si="21"/>
        <v>0</v>
      </c>
      <c r="H58" s="16">
        <f t="shared" si="21"/>
        <v>2</v>
      </c>
      <c r="I58" s="16">
        <f t="shared" si="21"/>
        <v>8</v>
      </c>
      <c r="J58" s="16">
        <f t="shared" si="21"/>
        <v>4</v>
      </c>
      <c r="K58" s="16">
        <f t="shared" si="21"/>
        <v>0</v>
      </c>
      <c r="L58" s="16">
        <f t="shared" si="21"/>
        <v>0</v>
      </c>
      <c r="M58" s="16">
        <f t="shared" si="21"/>
        <v>32</v>
      </c>
      <c r="N58" s="16">
        <f t="shared" si="21"/>
        <v>0</v>
      </c>
      <c r="O58" s="16">
        <f t="shared" si="21"/>
        <v>53</v>
      </c>
      <c r="P58" s="16">
        <f t="shared" si="21"/>
        <v>85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7.0588235294117646E-2</v>
      </c>
      <c r="D59" s="43">
        <f t="shared" si="22"/>
        <v>0.2</v>
      </c>
      <c r="E59" s="43">
        <f t="shared" si="22"/>
        <v>0.17647058823529413</v>
      </c>
      <c r="F59" s="43">
        <f t="shared" si="22"/>
        <v>1.1764705882352941E-2</v>
      </c>
      <c r="G59" s="43">
        <f t="shared" si="22"/>
        <v>0</v>
      </c>
      <c r="H59" s="43">
        <f t="shared" si="22"/>
        <v>2.3529411764705882E-2</v>
      </c>
      <c r="I59" s="43">
        <f t="shared" si="22"/>
        <v>9.4117647058823528E-2</v>
      </c>
      <c r="J59" s="43">
        <f t="shared" si="22"/>
        <v>4.7058823529411764E-2</v>
      </c>
      <c r="K59" s="43">
        <f t="shared" si="22"/>
        <v>0</v>
      </c>
      <c r="L59" s="43">
        <f t="shared" si="22"/>
        <v>0</v>
      </c>
      <c r="M59" s="43">
        <f t="shared" si="22"/>
        <v>0.37647058823529411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0.11320754716981132</v>
      </c>
      <c r="D60" s="44">
        <f t="shared" ref="D60:N60" si="23">D58/$O$58</f>
        <v>0.32075471698113206</v>
      </c>
      <c r="E60" s="44">
        <f t="shared" si="23"/>
        <v>0.28301886792452829</v>
      </c>
      <c r="F60" s="44">
        <f t="shared" si="23"/>
        <v>1.8867924528301886E-2</v>
      </c>
      <c r="G60" s="44">
        <f t="shared" si="23"/>
        <v>0</v>
      </c>
      <c r="H60" s="44">
        <f t="shared" si="23"/>
        <v>3.7735849056603772E-2</v>
      </c>
      <c r="I60" s="44">
        <f t="shared" si="23"/>
        <v>0.15094339622641509</v>
      </c>
      <c r="J60" s="44">
        <f t="shared" si="23"/>
        <v>7.5471698113207544E-2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F126"/>
  <sheetViews>
    <sheetView view="pageBreakPreview" zoomScale="60" workbookViewId="0">
      <selection activeCell="E57" sqref="E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'05.08 KABONG-KOTIDO'!C3:G3</f>
        <v>MCC - C5 - STN0125 - KAABONG-KOTIDO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176</v>
      </c>
      <c r="E5" s="3"/>
      <c r="F5" s="41" t="s">
        <v>1</v>
      </c>
      <c r="G5" s="66" t="str">
        <f>'07.08 KOTIDO-KABONG'!G5:H5</f>
        <v>xxx</v>
      </c>
      <c r="H5" s="67"/>
      <c r="I5" s="14"/>
      <c r="J5" s="2" t="s">
        <v>5</v>
      </c>
      <c r="K5" s="66" t="str">
        <f>'07.08 KOTIDO-KABONG'!K5:L5</f>
        <v>NALUBEGA JOSEPHINE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'05.08 KABONG-KOTIDO'!D6:E6</f>
        <v>KABONG</v>
      </c>
      <c r="E6" s="67"/>
      <c r="F6" s="2" t="s">
        <v>2</v>
      </c>
      <c r="G6" s="66" t="str">
        <f>'05.08 KABONG-KOTIDO'!G6:H6</f>
        <v>KOTIDO</v>
      </c>
      <c r="H6" s="67"/>
      <c r="J6" s="2" t="s">
        <v>21</v>
      </c>
      <c r="K6" s="66" t="str">
        <f>'07.08 KOTIDO-KABONG'!K6:L6</f>
        <v>CRANIMER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1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2</v>
      </c>
      <c r="R10" s="1" t="s">
        <v>6</v>
      </c>
      <c r="S10" s="17">
        <f t="shared" ref="S10:AF10" si="2">SUM(C10:C13)</f>
        <v>0</v>
      </c>
      <c r="T10" s="17">
        <f t="shared" si="2"/>
        <v>2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</v>
      </c>
      <c r="AD10" s="17">
        <f t="shared" si="2"/>
        <v>0</v>
      </c>
      <c r="AE10" s="31">
        <f t="shared" si="2"/>
        <v>3</v>
      </c>
      <c r="AF10" s="31">
        <f t="shared" si="2"/>
        <v>4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0</v>
      </c>
      <c r="P11" s="15">
        <f t="shared" si="1"/>
        <v>0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2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2</v>
      </c>
      <c r="AD11" s="17">
        <f t="shared" si="3"/>
        <v>0</v>
      </c>
      <c r="AE11" s="31">
        <f t="shared" si="3"/>
        <v>2</v>
      </c>
      <c r="AF11" s="31">
        <f t="shared" si="3"/>
        <v>4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15">
        <f t="shared" si="0"/>
        <v>0</v>
      </c>
      <c r="P12" s="15">
        <f t="shared" si="1"/>
        <v>0</v>
      </c>
      <c r="R12" s="1" t="s">
        <v>8</v>
      </c>
      <c r="S12" s="17">
        <f t="shared" ref="S12:AF12" si="4">SUM(C18:C21)</f>
        <v>0</v>
      </c>
      <c r="T12" s="17">
        <f t="shared" si="4"/>
        <v>0</v>
      </c>
      <c r="U12" s="17">
        <f t="shared" si="4"/>
        <v>1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2</v>
      </c>
      <c r="AD12" s="17">
        <f t="shared" si="4"/>
        <v>0</v>
      </c>
      <c r="AE12" s="31">
        <f t="shared" si="4"/>
        <v>1</v>
      </c>
      <c r="AF12" s="31">
        <f t="shared" si="4"/>
        <v>3</v>
      </c>
    </row>
    <row r="13" spans="2:32" ht="23.1" customHeight="1" x14ac:dyDescent="0.25">
      <c r="B13" s="23" t="s">
        <v>40</v>
      </c>
      <c r="C13" s="50">
        <v>0</v>
      </c>
      <c r="D13" s="50">
        <v>1</v>
      </c>
      <c r="E13" s="50">
        <v>0</v>
      </c>
      <c r="F13" s="50">
        <v>0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15">
        <f t="shared" si="0"/>
        <v>2</v>
      </c>
      <c r="P13" s="15">
        <f t="shared" si="1"/>
        <v>2</v>
      </c>
      <c r="R13" s="1" t="s">
        <v>9</v>
      </c>
      <c r="S13" s="17">
        <f t="shared" ref="S13:AF13" si="5">SUM(C22:C25)</f>
        <v>0</v>
      </c>
      <c r="T13" s="17">
        <f t="shared" si="5"/>
        <v>0</v>
      </c>
      <c r="U13" s="17">
        <f t="shared" si="5"/>
        <v>0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</v>
      </c>
      <c r="AD13" s="17">
        <f t="shared" si="5"/>
        <v>0</v>
      </c>
      <c r="AE13" s="31">
        <f t="shared" si="5"/>
        <v>0</v>
      </c>
      <c r="AF13" s="31">
        <f t="shared" si="5"/>
        <v>1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2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15">
        <f t="shared" si="0"/>
        <v>2</v>
      </c>
      <c r="P14" s="15">
        <f t="shared" si="1"/>
        <v>2</v>
      </c>
      <c r="R14" s="1" t="s">
        <v>10</v>
      </c>
      <c r="S14" s="17">
        <f t="shared" ref="S14:AF14" si="6">SUM(C26:C29)</f>
        <v>0</v>
      </c>
      <c r="T14" s="17">
        <f t="shared" si="6"/>
        <v>1</v>
      </c>
      <c r="U14" s="17">
        <f t="shared" si="6"/>
        <v>0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3</v>
      </c>
      <c r="AD14" s="17">
        <f t="shared" si="6"/>
        <v>0</v>
      </c>
      <c r="AE14" s="31">
        <f t="shared" si="6"/>
        <v>2</v>
      </c>
      <c r="AF14" s="31">
        <f t="shared" si="6"/>
        <v>5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</v>
      </c>
      <c r="N15" s="50">
        <v>0</v>
      </c>
      <c r="O15" s="15">
        <f t="shared" si="0"/>
        <v>0</v>
      </c>
      <c r="P15" s="15">
        <f t="shared" si="1"/>
        <v>1</v>
      </c>
      <c r="R15" s="1" t="s">
        <v>11</v>
      </c>
      <c r="S15" s="17">
        <f t="shared" ref="S15:AF15" si="7">SUM(C30:C33)</f>
        <v>0</v>
      </c>
      <c r="T15" s="17">
        <f t="shared" si="7"/>
        <v>0</v>
      </c>
      <c r="U15" s="17">
        <f t="shared" si="7"/>
        <v>0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5</v>
      </c>
      <c r="AD15" s="17">
        <f t="shared" si="7"/>
        <v>0</v>
      </c>
      <c r="AE15" s="31">
        <f t="shared" si="7"/>
        <v>1</v>
      </c>
      <c r="AF15" s="31">
        <f t="shared" si="7"/>
        <v>6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</v>
      </c>
      <c r="N16" s="50">
        <v>0</v>
      </c>
      <c r="O16" s="15">
        <f t="shared" si="0"/>
        <v>0</v>
      </c>
      <c r="P16" s="15">
        <f t="shared" si="1"/>
        <v>1</v>
      </c>
      <c r="R16" s="1" t="s">
        <v>12</v>
      </c>
      <c r="S16" s="17">
        <f t="shared" ref="S16:AF16" si="8">SUM(C34:C37)</f>
        <v>0</v>
      </c>
      <c r="T16" s="17">
        <f t="shared" si="8"/>
        <v>3</v>
      </c>
      <c r="U16" s="17">
        <f t="shared" si="8"/>
        <v>0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1</v>
      </c>
      <c r="AD16" s="17">
        <f t="shared" si="8"/>
        <v>0</v>
      </c>
      <c r="AE16" s="31">
        <f t="shared" si="8"/>
        <v>4</v>
      </c>
      <c r="AF16" s="31">
        <f t="shared" si="8"/>
        <v>5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15">
        <f t="shared" si="0"/>
        <v>0</v>
      </c>
      <c r="P17" s="15">
        <f t="shared" si="1"/>
        <v>0</v>
      </c>
      <c r="R17" s="1" t="s">
        <v>13</v>
      </c>
      <c r="S17" s="17">
        <f t="shared" ref="S17:AF17" si="9">SUM(C38:C41)</f>
        <v>0</v>
      </c>
      <c r="T17" s="17">
        <f t="shared" si="9"/>
        <v>3</v>
      </c>
      <c r="U17" s="17">
        <f t="shared" si="9"/>
        <v>0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0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2</v>
      </c>
      <c r="AD17" s="17">
        <f t="shared" si="9"/>
        <v>0</v>
      </c>
      <c r="AE17" s="31">
        <f t="shared" si="9"/>
        <v>3</v>
      </c>
      <c r="AF17" s="31">
        <f t="shared" si="9"/>
        <v>5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</v>
      </c>
      <c r="N18" s="50">
        <v>0</v>
      </c>
      <c r="O18" s="15">
        <f t="shared" si="0"/>
        <v>0</v>
      </c>
      <c r="P18" s="15">
        <f t="shared" si="1"/>
        <v>1</v>
      </c>
      <c r="R18" s="1" t="s">
        <v>14</v>
      </c>
      <c r="S18" s="17">
        <f t="shared" ref="S18:AF18" si="10">SUM(C42:C45)</f>
        <v>0</v>
      </c>
      <c r="T18" s="17">
        <f t="shared" si="10"/>
        <v>0</v>
      </c>
      <c r="U18" s="17">
        <f t="shared" si="10"/>
        <v>0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2</v>
      </c>
      <c r="AD18" s="17">
        <f t="shared" si="10"/>
        <v>0</v>
      </c>
      <c r="AE18" s="31">
        <f t="shared" si="10"/>
        <v>2</v>
      </c>
      <c r="AF18" s="31">
        <f t="shared" si="10"/>
        <v>4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15">
        <f t="shared" si="0"/>
        <v>0</v>
      </c>
      <c r="P19" s="15">
        <f t="shared" si="1"/>
        <v>0</v>
      </c>
      <c r="R19" s="1" t="s">
        <v>15</v>
      </c>
      <c r="S19" s="17">
        <f t="shared" ref="S19:AF19" si="11">SUM(C46:C49)</f>
        <v>0</v>
      </c>
      <c r="T19" s="17">
        <f t="shared" si="11"/>
        <v>2</v>
      </c>
      <c r="U19" s="17">
        <f t="shared" si="11"/>
        <v>1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2</v>
      </c>
      <c r="AD19" s="17">
        <f t="shared" si="11"/>
        <v>0</v>
      </c>
      <c r="AE19" s="31">
        <f t="shared" si="11"/>
        <v>3</v>
      </c>
      <c r="AF19" s="31">
        <f t="shared" si="11"/>
        <v>5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</v>
      </c>
      <c r="N20" s="50">
        <v>0</v>
      </c>
      <c r="O20" s="15">
        <f t="shared" si="0"/>
        <v>0</v>
      </c>
      <c r="P20" s="15">
        <f t="shared" si="1"/>
        <v>1</v>
      </c>
      <c r="R20" s="1" t="s">
        <v>16</v>
      </c>
      <c r="S20" s="17">
        <f t="shared" ref="S20:AF20" si="12">SUM(C50:C53)</f>
        <v>0</v>
      </c>
      <c r="T20" s="17">
        <f t="shared" si="12"/>
        <v>1</v>
      </c>
      <c r="U20" s="17">
        <f t="shared" si="12"/>
        <v>1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1</v>
      </c>
      <c r="AD20" s="17">
        <f t="shared" si="12"/>
        <v>0</v>
      </c>
      <c r="AE20" s="31">
        <f t="shared" si="12"/>
        <v>3</v>
      </c>
      <c r="AF20" s="31">
        <f t="shared" si="12"/>
        <v>4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1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15">
        <f t="shared" si="0"/>
        <v>1</v>
      </c>
      <c r="P21" s="15">
        <f t="shared" si="1"/>
        <v>1</v>
      </c>
      <c r="R21" s="36" t="s">
        <v>20</v>
      </c>
      <c r="S21" s="34">
        <f t="shared" ref="S21:AF21" si="13">SUM(C54:C57)</f>
        <v>0</v>
      </c>
      <c r="T21" s="17">
        <f t="shared" si="13"/>
        <v>1</v>
      </c>
      <c r="U21" s="17">
        <f t="shared" si="13"/>
        <v>2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3</v>
      </c>
      <c r="AD21" s="17">
        <f t="shared" si="13"/>
        <v>0</v>
      </c>
      <c r="AE21" s="31">
        <f t="shared" si="13"/>
        <v>4</v>
      </c>
      <c r="AF21" s="31">
        <f t="shared" si="13"/>
        <v>7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15">
        <f t="shared" si="0"/>
        <v>0</v>
      </c>
      <c r="P22" s="15">
        <f t="shared" si="1"/>
        <v>0</v>
      </c>
      <c r="R22" s="38" t="s">
        <v>90</v>
      </c>
      <c r="S22" s="39">
        <f>MAX(S10:S12)</f>
        <v>0</v>
      </c>
      <c r="T22" s="39">
        <f t="shared" ref="T22:AF22" si="14">MAX(T10:T12)</f>
        <v>2</v>
      </c>
      <c r="U22" s="39">
        <f t="shared" si="14"/>
        <v>2</v>
      </c>
      <c r="V22" s="39">
        <f t="shared" si="14"/>
        <v>0</v>
      </c>
      <c r="W22" s="39">
        <f t="shared" si="14"/>
        <v>0</v>
      </c>
      <c r="X22" s="39">
        <f t="shared" si="14"/>
        <v>0</v>
      </c>
      <c r="Y22" s="39">
        <f t="shared" si="14"/>
        <v>1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2</v>
      </c>
      <c r="AD22" s="39">
        <f t="shared" si="14"/>
        <v>0</v>
      </c>
      <c r="AE22" s="40">
        <f t="shared" si="14"/>
        <v>3</v>
      </c>
      <c r="AF22" s="40">
        <f t="shared" si="14"/>
        <v>4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15">
        <f t="shared" si="0"/>
        <v>0</v>
      </c>
      <c r="P23" s="15">
        <f t="shared" si="1"/>
        <v>0</v>
      </c>
      <c r="R23" s="38" t="s">
        <v>91</v>
      </c>
      <c r="S23" s="39">
        <f>MAX(S13:S18)</f>
        <v>0</v>
      </c>
      <c r="T23" s="39">
        <f t="shared" ref="T23:AF23" si="15">MAX(T13:T18)</f>
        <v>3</v>
      </c>
      <c r="U23" s="39">
        <f t="shared" si="15"/>
        <v>0</v>
      </c>
      <c r="V23" s="39">
        <f t="shared" si="15"/>
        <v>1</v>
      </c>
      <c r="W23" s="39">
        <f t="shared" si="15"/>
        <v>0</v>
      </c>
      <c r="X23" s="39">
        <f t="shared" si="15"/>
        <v>0</v>
      </c>
      <c r="Y23" s="39">
        <f t="shared" si="15"/>
        <v>2</v>
      </c>
      <c r="Z23" s="39">
        <f t="shared" si="15"/>
        <v>0</v>
      </c>
      <c r="AA23" s="39">
        <f t="shared" si="15"/>
        <v>0</v>
      </c>
      <c r="AB23" s="39">
        <f t="shared" si="15"/>
        <v>0</v>
      </c>
      <c r="AC23" s="39">
        <f t="shared" si="15"/>
        <v>5</v>
      </c>
      <c r="AD23" s="39">
        <f t="shared" si="15"/>
        <v>0</v>
      </c>
      <c r="AE23" s="40">
        <f t="shared" si="15"/>
        <v>4</v>
      </c>
      <c r="AF23" s="40">
        <f t="shared" si="15"/>
        <v>6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15">
        <f t="shared" si="0"/>
        <v>0</v>
      </c>
      <c r="P24" s="15">
        <f t="shared" si="1"/>
        <v>0</v>
      </c>
      <c r="R24" s="38" t="s">
        <v>92</v>
      </c>
      <c r="S24" s="39">
        <f>MAX(S19:S21)</f>
        <v>0</v>
      </c>
      <c r="T24" s="39">
        <f t="shared" ref="T24:AF24" si="16">MAX(T19:T21)</f>
        <v>2</v>
      </c>
      <c r="U24" s="39">
        <f t="shared" si="16"/>
        <v>2</v>
      </c>
      <c r="V24" s="39">
        <f t="shared" si="16"/>
        <v>0</v>
      </c>
      <c r="W24" s="39">
        <f t="shared" si="16"/>
        <v>0</v>
      </c>
      <c r="X24" s="39">
        <f t="shared" si="16"/>
        <v>0</v>
      </c>
      <c r="Y24" s="39">
        <f t="shared" si="16"/>
        <v>1</v>
      </c>
      <c r="Z24" s="39">
        <f t="shared" si="16"/>
        <v>1</v>
      </c>
      <c r="AA24" s="39">
        <f t="shared" si="16"/>
        <v>0</v>
      </c>
      <c r="AB24" s="39">
        <f t="shared" si="16"/>
        <v>0</v>
      </c>
      <c r="AC24" s="39">
        <f t="shared" si="16"/>
        <v>3</v>
      </c>
      <c r="AD24" s="39">
        <f t="shared" si="16"/>
        <v>0</v>
      </c>
      <c r="AE24" s="40">
        <f t="shared" si="16"/>
        <v>4</v>
      </c>
      <c r="AF24" s="40">
        <f t="shared" si="16"/>
        <v>7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</v>
      </c>
      <c r="N25" s="50">
        <v>0</v>
      </c>
      <c r="O25" s="15">
        <f t="shared" si="0"/>
        <v>0</v>
      </c>
      <c r="P25" s="15">
        <f t="shared" si="1"/>
        <v>1</v>
      </c>
      <c r="R25" s="37" t="s">
        <v>85</v>
      </c>
      <c r="S25" s="35">
        <f t="shared" ref="S25:AF25" si="17">SUM(S10:S12)</f>
        <v>0</v>
      </c>
      <c r="T25" s="16">
        <f t="shared" si="17"/>
        <v>2</v>
      </c>
      <c r="U25" s="16">
        <f t="shared" si="17"/>
        <v>3</v>
      </c>
      <c r="V25" s="16">
        <f t="shared" si="17"/>
        <v>0</v>
      </c>
      <c r="W25" s="16">
        <f t="shared" si="17"/>
        <v>0</v>
      </c>
      <c r="X25" s="16">
        <f t="shared" si="17"/>
        <v>0</v>
      </c>
      <c r="Y25" s="16">
        <f t="shared" si="17"/>
        <v>1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5</v>
      </c>
      <c r="AD25" s="16">
        <f t="shared" si="17"/>
        <v>0</v>
      </c>
      <c r="AE25" s="32">
        <f t="shared" si="17"/>
        <v>6</v>
      </c>
      <c r="AF25" s="32">
        <f t="shared" si="17"/>
        <v>11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15">
        <f t="shared" si="0"/>
        <v>0</v>
      </c>
      <c r="P26" s="15">
        <f t="shared" si="1"/>
        <v>0</v>
      </c>
      <c r="R26" s="28" t="s">
        <v>86</v>
      </c>
      <c r="S26" s="16">
        <f t="shared" ref="S26:AF26" si="18">SUM(S13:S18)</f>
        <v>0</v>
      </c>
      <c r="T26" s="16">
        <f t="shared" si="18"/>
        <v>7</v>
      </c>
      <c r="U26" s="16">
        <f t="shared" si="18"/>
        <v>0</v>
      </c>
      <c r="V26" s="16">
        <f t="shared" si="18"/>
        <v>1</v>
      </c>
      <c r="W26" s="16">
        <f t="shared" si="18"/>
        <v>0</v>
      </c>
      <c r="X26" s="16">
        <f t="shared" si="18"/>
        <v>0</v>
      </c>
      <c r="Y26" s="16">
        <f t="shared" si="18"/>
        <v>4</v>
      </c>
      <c r="Z26" s="16">
        <f t="shared" si="18"/>
        <v>0</v>
      </c>
      <c r="AA26" s="16">
        <f t="shared" si="18"/>
        <v>0</v>
      </c>
      <c r="AB26" s="16">
        <f t="shared" si="18"/>
        <v>0</v>
      </c>
      <c r="AC26" s="16">
        <f t="shared" si="18"/>
        <v>14</v>
      </c>
      <c r="AD26" s="16">
        <f t="shared" si="18"/>
        <v>0</v>
      </c>
      <c r="AE26" s="32">
        <f t="shared" si="18"/>
        <v>12</v>
      </c>
      <c r="AF26" s="32">
        <f t="shared" si="18"/>
        <v>26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15">
        <f t="shared" si="0"/>
        <v>0</v>
      </c>
      <c r="P27" s="15">
        <f t="shared" si="1"/>
        <v>0</v>
      </c>
      <c r="R27" s="29" t="s">
        <v>87</v>
      </c>
      <c r="S27" s="16">
        <f t="shared" ref="S27:AF27" si="19">SUM(S19:S21)</f>
        <v>0</v>
      </c>
      <c r="T27" s="16">
        <f t="shared" si="19"/>
        <v>4</v>
      </c>
      <c r="U27" s="16">
        <f t="shared" si="19"/>
        <v>4</v>
      </c>
      <c r="V27" s="16">
        <f t="shared" si="19"/>
        <v>0</v>
      </c>
      <c r="W27" s="16">
        <f t="shared" si="19"/>
        <v>0</v>
      </c>
      <c r="X27" s="16">
        <f t="shared" si="19"/>
        <v>0</v>
      </c>
      <c r="Y27" s="16">
        <f t="shared" si="19"/>
        <v>1</v>
      </c>
      <c r="Z27" s="16">
        <f t="shared" si="19"/>
        <v>1</v>
      </c>
      <c r="AA27" s="16">
        <f t="shared" si="19"/>
        <v>0</v>
      </c>
      <c r="AB27" s="16">
        <f t="shared" si="19"/>
        <v>0</v>
      </c>
      <c r="AC27" s="16">
        <f t="shared" si="19"/>
        <v>6</v>
      </c>
      <c r="AD27" s="16">
        <f t="shared" si="19"/>
        <v>0</v>
      </c>
      <c r="AE27" s="32">
        <f t="shared" si="19"/>
        <v>10</v>
      </c>
      <c r="AF27" s="32">
        <f t="shared" si="19"/>
        <v>16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2</v>
      </c>
      <c r="N28" s="50">
        <v>0</v>
      </c>
      <c r="O28" s="15">
        <f t="shared" si="0"/>
        <v>0</v>
      </c>
      <c r="P28" s="15">
        <f t="shared" si="1"/>
        <v>2</v>
      </c>
      <c r="R28" s="5" t="s">
        <v>17</v>
      </c>
      <c r="S28" s="16">
        <f t="shared" ref="S28:AF28" si="20">SUM(S10:S21)</f>
        <v>0</v>
      </c>
      <c r="T28" s="16">
        <f t="shared" si="20"/>
        <v>13</v>
      </c>
      <c r="U28" s="16">
        <f t="shared" si="20"/>
        <v>7</v>
      </c>
      <c r="V28" s="16">
        <f t="shared" si="20"/>
        <v>1</v>
      </c>
      <c r="W28" s="16">
        <f t="shared" si="20"/>
        <v>0</v>
      </c>
      <c r="X28" s="16">
        <f t="shared" si="20"/>
        <v>0</v>
      </c>
      <c r="Y28" s="16">
        <f t="shared" si="20"/>
        <v>6</v>
      </c>
      <c r="Z28" s="16">
        <f t="shared" si="20"/>
        <v>1</v>
      </c>
      <c r="AA28" s="16">
        <f t="shared" si="20"/>
        <v>0</v>
      </c>
      <c r="AB28" s="16">
        <f t="shared" si="20"/>
        <v>0</v>
      </c>
      <c r="AC28" s="16">
        <f t="shared" si="20"/>
        <v>25</v>
      </c>
      <c r="AD28" s="16">
        <f t="shared" si="20"/>
        <v>0</v>
      </c>
      <c r="AE28" s="32">
        <f t="shared" si="20"/>
        <v>28</v>
      </c>
      <c r="AF28" s="32">
        <f t="shared" si="20"/>
        <v>53</v>
      </c>
    </row>
    <row r="29" spans="2:32" ht="23.1" customHeight="1" x14ac:dyDescent="0.25">
      <c r="B29" s="23" t="s">
        <v>56</v>
      </c>
      <c r="C29" s="50">
        <v>0</v>
      </c>
      <c r="D29" s="50">
        <v>1</v>
      </c>
      <c r="E29" s="50">
        <v>0</v>
      </c>
      <c r="F29" s="50">
        <v>0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1</v>
      </c>
      <c r="N29" s="50">
        <v>0</v>
      </c>
      <c r="O29" s="15">
        <f t="shared" si="0"/>
        <v>2</v>
      </c>
      <c r="P29" s="15">
        <f t="shared" si="1"/>
        <v>3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2</v>
      </c>
      <c r="N30" s="50">
        <v>0</v>
      </c>
      <c r="O30" s="15">
        <f t="shared" si="0"/>
        <v>0</v>
      </c>
      <c r="P30" s="15">
        <f t="shared" si="1"/>
        <v>2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0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3</v>
      </c>
      <c r="N31" s="50">
        <v>0</v>
      </c>
      <c r="O31" s="15">
        <f t="shared" si="0"/>
        <v>1</v>
      </c>
      <c r="P31" s="15">
        <f t="shared" si="1"/>
        <v>4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15">
        <f t="shared" si="0"/>
        <v>0</v>
      </c>
      <c r="P32" s="15">
        <f t="shared" si="1"/>
        <v>0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15">
        <f t="shared" si="0"/>
        <v>0</v>
      </c>
      <c r="P33" s="15">
        <f t="shared" si="1"/>
        <v>0</v>
      </c>
    </row>
    <row r="34" spans="2:20" ht="23.1" customHeight="1" x14ac:dyDescent="0.25">
      <c r="B34" s="24" t="s">
        <v>61</v>
      </c>
      <c r="C34" s="50">
        <v>0</v>
      </c>
      <c r="D34" s="50">
        <v>1</v>
      </c>
      <c r="E34" s="50">
        <v>0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0</v>
      </c>
      <c r="N34" s="50">
        <v>0</v>
      </c>
      <c r="O34" s="15">
        <f t="shared" si="0"/>
        <v>2</v>
      </c>
      <c r="P34" s="15">
        <f t="shared" si="1"/>
        <v>2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15">
        <f t="shared" si="0"/>
        <v>0</v>
      </c>
      <c r="P35" s="15">
        <f t="shared" si="1"/>
        <v>0</v>
      </c>
    </row>
    <row r="36" spans="2:20" ht="23.1" customHeight="1" x14ac:dyDescent="0.25">
      <c r="B36" s="24" t="s">
        <v>63</v>
      </c>
      <c r="C36" s="50">
        <v>0</v>
      </c>
      <c r="D36" s="50">
        <v>2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</v>
      </c>
      <c r="N36" s="50">
        <v>0</v>
      </c>
      <c r="O36" s="15">
        <f t="shared" si="0"/>
        <v>2</v>
      </c>
      <c r="P36" s="15">
        <f t="shared" si="1"/>
        <v>3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0</v>
      </c>
      <c r="N37" s="50">
        <v>0</v>
      </c>
      <c r="O37" s="15">
        <f t="shared" si="0"/>
        <v>0</v>
      </c>
      <c r="P37" s="15">
        <f t="shared" si="1"/>
        <v>0</v>
      </c>
    </row>
    <row r="38" spans="2:20" ht="23.1" customHeight="1" x14ac:dyDescent="0.25">
      <c r="B38" s="24" t="s">
        <v>65</v>
      </c>
      <c r="C38" s="50">
        <v>0</v>
      </c>
      <c r="D38" s="50">
        <v>2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0</v>
      </c>
      <c r="N38" s="50">
        <v>0</v>
      </c>
      <c r="O38" s="15">
        <f t="shared" si="0"/>
        <v>2</v>
      </c>
      <c r="P38" s="15">
        <f t="shared" si="1"/>
        <v>2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1</v>
      </c>
      <c r="N39" s="50">
        <v>0</v>
      </c>
      <c r="O39" s="15">
        <f t="shared" si="0"/>
        <v>0</v>
      </c>
      <c r="P39" s="15">
        <f t="shared" si="1"/>
        <v>1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0</v>
      </c>
      <c r="N40" s="50">
        <v>0</v>
      </c>
      <c r="O40" s="15">
        <f t="shared" si="0"/>
        <v>0</v>
      </c>
      <c r="P40" s="15">
        <f t="shared" si="1"/>
        <v>0</v>
      </c>
    </row>
    <row r="41" spans="2:20" ht="23.1" customHeight="1" x14ac:dyDescent="0.25">
      <c r="B41" s="23" t="s">
        <v>68</v>
      </c>
      <c r="C41" s="50">
        <v>0</v>
      </c>
      <c r="D41" s="50">
        <v>1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1</v>
      </c>
      <c r="N41" s="50">
        <v>0</v>
      </c>
      <c r="O41" s="15">
        <f t="shared" si="0"/>
        <v>1</v>
      </c>
      <c r="P41" s="15">
        <f t="shared" si="1"/>
        <v>2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2</v>
      </c>
      <c r="N42" s="50">
        <v>0</v>
      </c>
      <c r="O42" s="15">
        <f t="shared" si="0"/>
        <v>0</v>
      </c>
      <c r="P42" s="15">
        <f t="shared" si="1"/>
        <v>2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2</v>
      </c>
      <c r="J43" s="50">
        <v>0</v>
      </c>
      <c r="K43" s="50">
        <v>0</v>
      </c>
      <c r="L43" s="50">
        <v>0</v>
      </c>
      <c r="M43" s="50">
        <v>0</v>
      </c>
      <c r="N43" s="50">
        <v>0</v>
      </c>
      <c r="O43" s="15">
        <f t="shared" si="0"/>
        <v>2</v>
      </c>
      <c r="P43" s="15">
        <f t="shared" si="1"/>
        <v>2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0</v>
      </c>
      <c r="N44" s="50">
        <v>0</v>
      </c>
      <c r="O44" s="15">
        <f t="shared" si="0"/>
        <v>0</v>
      </c>
      <c r="P44" s="15">
        <f t="shared" si="1"/>
        <v>0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15">
        <f t="shared" si="0"/>
        <v>0</v>
      </c>
      <c r="P45" s="15">
        <f t="shared" si="1"/>
        <v>0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</v>
      </c>
      <c r="N46" s="50">
        <v>0</v>
      </c>
      <c r="O46" s="15">
        <f t="shared" si="0"/>
        <v>0</v>
      </c>
      <c r="P46" s="15">
        <f t="shared" si="1"/>
        <v>1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2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0</v>
      </c>
      <c r="N47" s="50">
        <v>0</v>
      </c>
      <c r="O47" s="15">
        <f t="shared" si="0"/>
        <v>2</v>
      </c>
      <c r="P47" s="15">
        <f t="shared" si="1"/>
        <v>2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1</v>
      </c>
      <c r="N48" s="50">
        <v>0</v>
      </c>
      <c r="O48" s="15">
        <f t="shared" si="0"/>
        <v>0</v>
      </c>
      <c r="P48" s="15">
        <f t="shared" si="1"/>
        <v>1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1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0</v>
      </c>
      <c r="N49" s="50">
        <v>0</v>
      </c>
      <c r="O49" s="15">
        <f t="shared" si="0"/>
        <v>1</v>
      </c>
      <c r="P49" s="15">
        <f t="shared" si="1"/>
        <v>1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1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0</v>
      </c>
      <c r="N50" s="50">
        <v>0</v>
      </c>
      <c r="O50" s="15">
        <f t="shared" si="0"/>
        <v>1</v>
      </c>
      <c r="P50" s="15">
        <f t="shared" si="1"/>
        <v>1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1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</v>
      </c>
      <c r="N51" s="50">
        <v>0</v>
      </c>
      <c r="O51" s="15">
        <f t="shared" si="0"/>
        <v>1</v>
      </c>
      <c r="P51" s="15">
        <f t="shared" si="1"/>
        <v>2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0</v>
      </c>
      <c r="N52" s="50">
        <v>0</v>
      </c>
      <c r="O52" s="15">
        <f t="shared" si="0"/>
        <v>0</v>
      </c>
      <c r="P52" s="15">
        <f t="shared" si="1"/>
        <v>0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1</v>
      </c>
      <c r="K53" s="50">
        <v>0</v>
      </c>
      <c r="L53" s="50">
        <v>0</v>
      </c>
      <c r="M53" s="50">
        <v>0</v>
      </c>
      <c r="N53" s="50">
        <v>0</v>
      </c>
      <c r="O53" s="15">
        <f t="shared" si="0"/>
        <v>1</v>
      </c>
      <c r="P53" s="15">
        <f t="shared" si="1"/>
        <v>1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0</v>
      </c>
      <c r="N54" s="50">
        <v>0</v>
      </c>
      <c r="O54" s="15">
        <f t="shared" si="0"/>
        <v>1</v>
      </c>
      <c r="P54" s="15">
        <f t="shared" si="1"/>
        <v>1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2</v>
      </c>
      <c r="N55" s="50">
        <v>0</v>
      </c>
      <c r="O55" s="15">
        <f t="shared" si="0"/>
        <v>0</v>
      </c>
      <c r="P55" s="15">
        <f t="shared" si="1"/>
        <v>2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1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</v>
      </c>
      <c r="N56" s="50">
        <v>0</v>
      </c>
      <c r="O56" s="15">
        <f t="shared" si="0"/>
        <v>1</v>
      </c>
      <c r="P56" s="15">
        <f t="shared" si="1"/>
        <v>2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1</v>
      </c>
      <c r="E57" s="50">
        <v>1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15">
        <f t="shared" si="0"/>
        <v>2</v>
      </c>
      <c r="P57" s="15">
        <f t="shared" si="1"/>
        <v>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0</v>
      </c>
      <c r="D58" s="16">
        <f t="shared" si="21"/>
        <v>13</v>
      </c>
      <c r="E58" s="16">
        <f t="shared" si="21"/>
        <v>7</v>
      </c>
      <c r="F58" s="16">
        <f t="shared" si="21"/>
        <v>1</v>
      </c>
      <c r="G58" s="16">
        <f t="shared" si="21"/>
        <v>0</v>
      </c>
      <c r="H58" s="16">
        <f t="shared" si="21"/>
        <v>0</v>
      </c>
      <c r="I58" s="16">
        <f t="shared" si="21"/>
        <v>6</v>
      </c>
      <c r="J58" s="16">
        <f t="shared" si="21"/>
        <v>1</v>
      </c>
      <c r="K58" s="16">
        <f t="shared" si="21"/>
        <v>0</v>
      </c>
      <c r="L58" s="16">
        <f t="shared" si="21"/>
        <v>0</v>
      </c>
      <c r="M58" s="16">
        <f t="shared" si="21"/>
        <v>25</v>
      </c>
      <c r="N58" s="16">
        <f t="shared" si="21"/>
        <v>0</v>
      </c>
      <c r="O58" s="16">
        <f t="shared" si="21"/>
        <v>28</v>
      </c>
      <c r="P58" s="16">
        <f t="shared" si="21"/>
        <v>53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</v>
      </c>
      <c r="D59" s="43">
        <f t="shared" si="22"/>
        <v>0.24528301886792453</v>
      </c>
      <c r="E59" s="43">
        <f t="shared" si="22"/>
        <v>0.13207547169811321</v>
      </c>
      <c r="F59" s="43">
        <f t="shared" si="22"/>
        <v>1.8867924528301886E-2</v>
      </c>
      <c r="G59" s="43">
        <f t="shared" si="22"/>
        <v>0</v>
      </c>
      <c r="H59" s="43">
        <f t="shared" si="22"/>
        <v>0</v>
      </c>
      <c r="I59" s="43">
        <f t="shared" si="22"/>
        <v>0.11320754716981132</v>
      </c>
      <c r="J59" s="43">
        <f t="shared" si="22"/>
        <v>1.8867924528301886E-2</v>
      </c>
      <c r="K59" s="43">
        <f t="shared" si="22"/>
        <v>0</v>
      </c>
      <c r="L59" s="43">
        <f t="shared" si="22"/>
        <v>0</v>
      </c>
      <c r="M59" s="43">
        <f t="shared" si="22"/>
        <v>0.47169811320754718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</v>
      </c>
      <c r="D60" s="44">
        <f t="shared" ref="D60:N60" si="23">D58/$O$58</f>
        <v>0.4642857142857143</v>
      </c>
      <c r="E60" s="44">
        <f t="shared" si="23"/>
        <v>0.25</v>
      </c>
      <c r="F60" s="44">
        <f t="shared" si="23"/>
        <v>3.5714285714285712E-2</v>
      </c>
      <c r="G60" s="44">
        <f t="shared" si="23"/>
        <v>0</v>
      </c>
      <c r="H60" s="44">
        <f t="shared" si="23"/>
        <v>0</v>
      </c>
      <c r="I60" s="44">
        <f t="shared" si="23"/>
        <v>0.21428571428571427</v>
      </c>
      <c r="J60" s="44">
        <f t="shared" si="23"/>
        <v>3.5714285714285712E-2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F126"/>
  <sheetViews>
    <sheetView view="pageBreakPreview" zoomScale="60" workbookViewId="0">
      <selection activeCell="I57" sqref="I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'05.08 KOTIDO-KABONG'!C3:G3</f>
        <v>MCC - C5 - STN0125 - KAABONG-KOTIDO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'08.08 KABONG-KOTIDO'!D5</f>
        <v>08.08.19</v>
      </c>
      <c r="E5" s="3"/>
      <c r="F5" s="41" t="s">
        <v>1</v>
      </c>
      <c r="G5" s="66" t="str">
        <f>'08.08 KABONG-KOTIDO'!G5:H5</f>
        <v>xxx</v>
      </c>
      <c r="H5" s="67"/>
      <c r="I5" s="14"/>
      <c r="J5" s="2" t="s">
        <v>5</v>
      </c>
      <c r="K5" s="66" t="str">
        <f>'08.08 KABONG-KOTIDO'!K5:L5</f>
        <v>NALUBEGA JOSEPHINE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'05.08 KOTIDO-KABONG'!D6:E6</f>
        <v>KITIDO</v>
      </c>
      <c r="E6" s="67"/>
      <c r="F6" s="2" t="s">
        <v>2</v>
      </c>
      <c r="G6" s="66" t="str">
        <f>'05.08 KOTIDO-KABONG'!G6:H6</f>
        <v>KABONG</v>
      </c>
      <c r="H6" s="67"/>
      <c r="J6" s="2" t="s">
        <v>21</v>
      </c>
      <c r="K6" s="66" t="str">
        <f>'08.08 KABONG-KOTIDO'!K6:L6</f>
        <v>CRANIMER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2</v>
      </c>
      <c r="R10" s="1" t="s">
        <v>6</v>
      </c>
      <c r="S10" s="17">
        <f t="shared" ref="S10:AF10" si="2">SUM(C10:C13)</f>
        <v>0</v>
      </c>
      <c r="T10" s="17">
        <f t="shared" si="2"/>
        <v>3</v>
      </c>
      <c r="U10" s="17">
        <f t="shared" si="2"/>
        <v>2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3</v>
      </c>
      <c r="AD10" s="17">
        <f t="shared" si="2"/>
        <v>0</v>
      </c>
      <c r="AE10" s="31">
        <f t="shared" si="2"/>
        <v>5</v>
      </c>
      <c r="AF10" s="31">
        <f t="shared" si="2"/>
        <v>8</v>
      </c>
    </row>
    <row r="11" spans="2:32" s="6" customFormat="1" ht="23.1" customHeight="1" x14ac:dyDescent="0.25">
      <c r="B11" s="23" t="s">
        <v>38</v>
      </c>
      <c r="C11" s="50">
        <v>0</v>
      </c>
      <c r="D11" s="50">
        <v>1</v>
      </c>
      <c r="E11" s="50">
        <v>1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2</v>
      </c>
      <c r="P11" s="15">
        <f t="shared" si="1"/>
        <v>2</v>
      </c>
      <c r="R11" s="1" t="s">
        <v>7</v>
      </c>
      <c r="S11" s="17">
        <f t="shared" ref="S11:AF11" si="3">SUM(C14:C17)</f>
        <v>0</v>
      </c>
      <c r="T11" s="17">
        <f t="shared" si="3"/>
        <v>1</v>
      </c>
      <c r="U11" s="17">
        <f t="shared" si="3"/>
        <v>0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</v>
      </c>
      <c r="AD11" s="17">
        <f t="shared" si="3"/>
        <v>0</v>
      </c>
      <c r="AE11" s="31">
        <f t="shared" si="3"/>
        <v>2</v>
      </c>
      <c r="AF11" s="31">
        <f t="shared" si="3"/>
        <v>3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</v>
      </c>
      <c r="N12" s="50">
        <v>0</v>
      </c>
      <c r="O12" s="15">
        <f t="shared" si="0"/>
        <v>1</v>
      </c>
      <c r="P12" s="15">
        <f t="shared" si="1"/>
        <v>2</v>
      </c>
      <c r="R12" s="1" t="s">
        <v>8</v>
      </c>
      <c r="S12" s="17">
        <f t="shared" ref="S12:AF12" si="4">SUM(C18:C21)</f>
        <v>0</v>
      </c>
      <c r="T12" s="17">
        <f t="shared" si="4"/>
        <v>0</v>
      </c>
      <c r="U12" s="17">
        <f t="shared" si="4"/>
        <v>0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2</v>
      </c>
      <c r="AD12" s="17">
        <f t="shared" si="4"/>
        <v>0</v>
      </c>
      <c r="AE12" s="31">
        <f t="shared" si="4"/>
        <v>0</v>
      </c>
      <c r="AF12" s="31">
        <f t="shared" si="4"/>
        <v>2</v>
      </c>
    </row>
    <row r="13" spans="2:32" ht="23.1" customHeight="1" x14ac:dyDescent="0.25">
      <c r="B13" s="23" t="s">
        <v>40</v>
      </c>
      <c r="C13" s="50">
        <v>0</v>
      </c>
      <c r="D13" s="50">
        <v>2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15">
        <f t="shared" si="0"/>
        <v>2</v>
      </c>
      <c r="P13" s="15">
        <f t="shared" si="1"/>
        <v>2</v>
      </c>
      <c r="R13" s="1" t="s">
        <v>9</v>
      </c>
      <c r="S13" s="17">
        <f t="shared" ref="S13:AF13" si="5">SUM(C22:C25)</f>
        <v>0</v>
      </c>
      <c r="T13" s="17">
        <f t="shared" si="5"/>
        <v>0</v>
      </c>
      <c r="U13" s="17">
        <f t="shared" si="5"/>
        <v>0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3</v>
      </c>
      <c r="AD13" s="17">
        <f t="shared" si="5"/>
        <v>0</v>
      </c>
      <c r="AE13" s="31">
        <f t="shared" si="5"/>
        <v>0</v>
      </c>
      <c r="AF13" s="31">
        <f t="shared" si="5"/>
        <v>3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</v>
      </c>
      <c r="N14" s="50">
        <v>0</v>
      </c>
      <c r="O14" s="15">
        <f t="shared" si="0"/>
        <v>0</v>
      </c>
      <c r="P14" s="15">
        <f t="shared" si="1"/>
        <v>1</v>
      </c>
      <c r="R14" s="1" t="s">
        <v>10</v>
      </c>
      <c r="S14" s="17">
        <f t="shared" ref="S14:AF14" si="6">SUM(C26:C29)</f>
        <v>0</v>
      </c>
      <c r="T14" s="17">
        <f t="shared" si="6"/>
        <v>1</v>
      </c>
      <c r="U14" s="17">
        <f t="shared" si="6"/>
        <v>1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1</v>
      </c>
      <c r="AD14" s="17">
        <f t="shared" si="6"/>
        <v>0</v>
      </c>
      <c r="AE14" s="31">
        <f t="shared" si="6"/>
        <v>5</v>
      </c>
      <c r="AF14" s="31">
        <f t="shared" si="6"/>
        <v>6</v>
      </c>
    </row>
    <row r="15" spans="2:32" ht="23.1" customHeight="1" x14ac:dyDescent="0.25">
      <c r="B15" s="23" t="s">
        <v>42</v>
      </c>
      <c r="C15" s="50">
        <v>0</v>
      </c>
      <c r="D15" s="50">
        <v>1</v>
      </c>
      <c r="E15" s="50">
        <v>0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15">
        <f t="shared" si="0"/>
        <v>2</v>
      </c>
      <c r="P15" s="15">
        <f t="shared" si="1"/>
        <v>2</v>
      </c>
      <c r="R15" s="1" t="s">
        <v>11</v>
      </c>
      <c r="S15" s="17">
        <f t="shared" ref="S15:AF15" si="7">SUM(C30:C33)</f>
        <v>0</v>
      </c>
      <c r="T15" s="17">
        <f t="shared" si="7"/>
        <v>0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4</v>
      </c>
      <c r="AD15" s="17">
        <f t="shared" si="7"/>
        <v>0</v>
      </c>
      <c r="AE15" s="31">
        <f t="shared" si="7"/>
        <v>0</v>
      </c>
      <c r="AF15" s="31">
        <f t="shared" si="7"/>
        <v>4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15">
        <f t="shared" si="0"/>
        <v>0</v>
      </c>
      <c r="P16" s="15">
        <f t="shared" si="1"/>
        <v>0</v>
      </c>
      <c r="R16" s="1" t="s">
        <v>12</v>
      </c>
      <c r="S16" s="17">
        <f t="shared" ref="S16:AF16" si="8">SUM(C34:C37)</f>
        <v>0</v>
      </c>
      <c r="T16" s="17">
        <f t="shared" si="8"/>
        <v>1</v>
      </c>
      <c r="U16" s="17">
        <f t="shared" si="8"/>
        <v>0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3</v>
      </c>
      <c r="AD16" s="17">
        <f t="shared" si="8"/>
        <v>0</v>
      </c>
      <c r="AE16" s="31">
        <f t="shared" si="8"/>
        <v>1</v>
      </c>
      <c r="AF16" s="31">
        <f t="shared" si="8"/>
        <v>4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15">
        <f t="shared" si="0"/>
        <v>0</v>
      </c>
      <c r="P17" s="15">
        <f t="shared" si="1"/>
        <v>0</v>
      </c>
      <c r="R17" s="1" t="s">
        <v>13</v>
      </c>
      <c r="S17" s="17">
        <f t="shared" ref="S17:AF17" si="9">SUM(C38:C41)</f>
        <v>0</v>
      </c>
      <c r="T17" s="17">
        <f t="shared" si="9"/>
        <v>0</v>
      </c>
      <c r="U17" s="17">
        <f t="shared" si="9"/>
        <v>0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0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1</v>
      </c>
      <c r="AD17" s="17">
        <f t="shared" si="9"/>
        <v>0</v>
      </c>
      <c r="AE17" s="31">
        <f t="shared" si="9"/>
        <v>0</v>
      </c>
      <c r="AF17" s="31">
        <f t="shared" si="9"/>
        <v>1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15">
        <f t="shared" si="0"/>
        <v>0</v>
      </c>
      <c r="P18" s="15">
        <f t="shared" si="1"/>
        <v>0</v>
      </c>
      <c r="R18" s="1" t="s">
        <v>14</v>
      </c>
      <c r="S18" s="17">
        <f t="shared" ref="S18:AF18" si="10">SUM(C42:C45)</f>
        <v>0</v>
      </c>
      <c r="T18" s="17">
        <f t="shared" si="10"/>
        <v>0</v>
      </c>
      <c r="U18" s="17">
        <f t="shared" si="10"/>
        <v>0</v>
      </c>
      <c r="V18" s="17">
        <f t="shared" si="10"/>
        <v>0</v>
      </c>
      <c r="W18" s="17">
        <f t="shared" si="10"/>
        <v>0</v>
      </c>
      <c r="X18" s="17">
        <f t="shared" si="10"/>
        <v>1</v>
      </c>
      <c r="Y18" s="17">
        <f t="shared" si="10"/>
        <v>0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0</v>
      </c>
      <c r="AD18" s="17">
        <f t="shared" si="10"/>
        <v>0</v>
      </c>
      <c r="AE18" s="31">
        <f t="shared" si="10"/>
        <v>1</v>
      </c>
      <c r="AF18" s="31">
        <f t="shared" si="10"/>
        <v>1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</v>
      </c>
      <c r="N19" s="50">
        <v>0</v>
      </c>
      <c r="O19" s="15">
        <f t="shared" si="0"/>
        <v>0</v>
      </c>
      <c r="P19" s="15">
        <f t="shared" si="1"/>
        <v>1</v>
      </c>
      <c r="R19" s="1" t="s">
        <v>15</v>
      </c>
      <c r="S19" s="17">
        <f t="shared" ref="S19:AF19" si="11">SUM(C46:C49)</f>
        <v>0</v>
      </c>
      <c r="T19" s="17">
        <f t="shared" si="11"/>
        <v>2</v>
      </c>
      <c r="U19" s="17">
        <f t="shared" si="11"/>
        <v>1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2</v>
      </c>
      <c r="AD19" s="17">
        <f t="shared" si="11"/>
        <v>0</v>
      </c>
      <c r="AE19" s="31">
        <f t="shared" si="11"/>
        <v>4</v>
      </c>
      <c r="AF19" s="31">
        <f t="shared" si="11"/>
        <v>6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15">
        <f t="shared" si="0"/>
        <v>0</v>
      </c>
      <c r="P20" s="15">
        <f t="shared" si="1"/>
        <v>0</v>
      </c>
      <c r="R20" s="1" t="s">
        <v>16</v>
      </c>
      <c r="S20" s="17">
        <f t="shared" ref="S20:AF20" si="12">SUM(C50:C53)</f>
        <v>0</v>
      </c>
      <c r="T20" s="17">
        <f t="shared" si="12"/>
        <v>4</v>
      </c>
      <c r="U20" s="17">
        <f t="shared" si="12"/>
        <v>0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2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3</v>
      </c>
      <c r="AD20" s="17">
        <f t="shared" si="12"/>
        <v>0</v>
      </c>
      <c r="AE20" s="31">
        <f t="shared" si="12"/>
        <v>6</v>
      </c>
      <c r="AF20" s="31">
        <f t="shared" si="12"/>
        <v>9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</v>
      </c>
      <c r="N21" s="50">
        <v>0</v>
      </c>
      <c r="O21" s="15">
        <f t="shared" si="0"/>
        <v>0</v>
      </c>
      <c r="P21" s="15">
        <f t="shared" si="1"/>
        <v>1</v>
      </c>
      <c r="R21" s="36" t="s">
        <v>20</v>
      </c>
      <c r="S21" s="34">
        <f t="shared" ref="S21:AF21" si="13">SUM(C54:C57)</f>
        <v>1</v>
      </c>
      <c r="T21" s="17">
        <f t="shared" si="13"/>
        <v>1</v>
      </c>
      <c r="U21" s="17">
        <f t="shared" si="13"/>
        <v>4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3</v>
      </c>
      <c r="AD21" s="17">
        <f t="shared" si="13"/>
        <v>0</v>
      </c>
      <c r="AE21" s="31">
        <f t="shared" si="13"/>
        <v>8</v>
      </c>
      <c r="AF21" s="31">
        <f t="shared" si="13"/>
        <v>11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15">
        <f t="shared" si="0"/>
        <v>0</v>
      </c>
      <c r="P22" s="15">
        <f t="shared" si="1"/>
        <v>0</v>
      </c>
      <c r="R22" s="38" t="s">
        <v>90</v>
      </c>
      <c r="S22" s="39">
        <f>MAX(S10:S12)</f>
        <v>0</v>
      </c>
      <c r="T22" s="39">
        <f t="shared" ref="T22:AF22" si="14">MAX(T10:T12)</f>
        <v>3</v>
      </c>
      <c r="U22" s="39">
        <f t="shared" si="14"/>
        <v>2</v>
      </c>
      <c r="V22" s="39">
        <f t="shared" si="14"/>
        <v>0</v>
      </c>
      <c r="W22" s="39">
        <f t="shared" si="14"/>
        <v>0</v>
      </c>
      <c r="X22" s="39">
        <f t="shared" si="14"/>
        <v>0</v>
      </c>
      <c r="Y22" s="39">
        <f t="shared" si="14"/>
        <v>1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3</v>
      </c>
      <c r="AD22" s="39">
        <f t="shared" si="14"/>
        <v>0</v>
      </c>
      <c r="AE22" s="40">
        <f t="shared" si="14"/>
        <v>5</v>
      </c>
      <c r="AF22" s="40">
        <f t="shared" si="14"/>
        <v>8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</v>
      </c>
      <c r="N23" s="50">
        <v>0</v>
      </c>
      <c r="O23" s="15">
        <f t="shared" si="0"/>
        <v>0</v>
      </c>
      <c r="P23" s="15">
        <f t="shared" si="1"/>
        <v>1</v>
      </c>
      <c r="R23" s="38" t="s">
        <v>91</v>
      </c>
      <c r="S23" s="39">
        <f>MAX(S13:S18)</f>
        <v>0</v>
      </c>
      <c r="T23" s="39">
        <f t="shared" ref="T23:AF23" si="15">MAX(T13:T18)</f>
        <v>1</v>
      </c>
      <c r="U23" s="39">
        <f t="shared" si="15"/>
        <v>1</v>
      </c>
      <c r="V23" s="39">
        <f t="shared" si="15"/>
        <v>0</v>
      </c>
      <c r="W23" s="39">
        <f t="shared" si="15"/>
        <v>0</v>
      </c>
      <c r="X23" s="39">
        <f t="shared" si="15"/>
        <v>1</v>
      </c>
      <c r="Y23" s="39">
        <f t="shared" si="15"/>
        <v>2</v>
      </c>
      <c r="Z23" s="39">
        <f t="shared" si="15"/>
        <v>1</v>
      </c>
      <c r="AA23" s="39">
        <f t="shared" si="15"/>
        <v>0</v>
      </c>
      <c r="AB23" s="39">
        <f t="shared" si="15"/>
        <v>0</v>
      </c>
      <c r="AC23" s="39">
        <f t="shared" si="15"/>
        <v>4</v>
      </c>
      <c r="AD23" s="39">
        <f t="shared" si="15"/>
        <v>0</v>
      </c>
      <c r="AE23" s="40">
        <f t="shared" si="15"/>
        <v>5</v>
      </c>
      <c r="AF23" s="40">
        <f t="shared" si="15"/>
        <v>6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15">
        <f t="shared" si="0"/>
        <v>0</v>
      </c>
      <c r="P24" s="15">
        <f t="shared" si="1"/>
        <v>0</v>
      </c>
      <c r="R24" s="38" t="s">
        <v>92</v>
      </c>
      <c r="S24" s="39">
        <f>MAX(S19:S21)</f>
        <v>1</v>
      </c>
      <c r="T24" s="39">
        <f t="shared" ref="T24:AF24" si="16">MAX(T19:T21)</f>
        <v>4</v>
      </c>
      <c r="U24" s="39">
        <f t="shared" si="16"/>
        <v>4</v>
      </c>
      <c r="V24" s="39">
        <f t="shared" si="16"/>
        <v>0</v>
      </c>
      <c r="W24" s="39">
        <f t="shared" si="16"/>
        <v>0</v>
      </c>
      <c r="X24" s="39">
        <f t="shared" si="16"/>
        <v>0</v>
      </c>
      <c r="Y24" s="39">
        <f t="shared" si="16"/>
        <v>2</v>
      </c>
      <c r="Z24" s="39">
        <f t="shared" si="16"/>
        <v>0</v>
      </c>
      <c r="AA24" s="39">
        <f t="shared" si="16"/>
        <v>0</v>
      </c>
      <c r="AB24" s="39">
        <f t="shared" si="16"/>
        <v>0</v>
      </c>
      <c r="AC24" s="39">
        <f t="shared" si="16"/>
        <v>3</v>
      </c>
      <c r="AD24" s="39">
        <f t="shared" si="16"/>
        <v>0</v>
      </c>
      <c r="AE24" s="40">
        <f t="shared" si="16"/>
        <v>8</v>
      </c>
      <c r="AF24" s="40">
        <f t="shared" si="16"/>
        <v>11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2</v>
      </c>
      <c r="N25" s="50">
        <v>0</v>
      </c>
      <c r="O25" s="15">
        <f t="shared" si="0"/>
        <v>0</v>
      </c>
      <c r="P25" s="15">
        <f t="shared" si="1"/>
        <v>2</v>
      </c>
      <c r="R25" s="37" t="s">
        <v>85</v>
      </c>
      <c r="S25" s="35">
        <f t="shared" ref="S25:AF25" si="17">SUM(S10:S12)</f>
        <v>0</v>
      </c>
      <c r="T25" s="16">
        <f t="shared" si="17"/>
        <v>4</v>
      </c>
      <c r="U25" s="16">
        <f t="shared" si="17"/>
        <v>2</v>
      </c>
      <c r="V25" s="16">
        <f t="shared" si="17"/>
        <v>0</v>
      </c>
      <c r="W25" s="16">
        <f t="shared" si="17"/>
        <v>0</v>
      </c>
      <c r="X25" s="16">
        <f t="shared" si="17"/>
        <v>0</v>
      </c>
      <c r="Y25" s="16">
        <f t="shared" si="17"/>
        <v>1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6</v>
      </c>
      <c r="AD25" s="16">
        <f t="shared" si="17"/>
        <v>0</v>
      </c>
      <c r="AE25" s="32">
        <f t="shared" si="17"/>
        <v>7</v>
      </c>
      <c r="AF25" s="32">
        <f t="shared" si="17"/>
        <v>13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15">
        <f t="shared" si="0"/>
        <v>1</v>
      </c>
      <c r="P26" s="15">
        <f t="shared" si="1"/>
        <v>1</v>
      </c>
      <c r="R26" s="28" t="s">
        <v>86</v>
      </c>
      <c r="S26" s="16">
        <f t="shared" ref="S26:AF26" si="18">SUM(S13:S18)</f>
        <v>0</v>
      </c>
      <c r="T26" s="16">
        <f t="shared" si="18"/>
        <v>2</v>
      </c>
      <c r="U26" s="16">
        <f t="shared" si="18"/>
        <v>1</v>
      </c>
      <c r="V26" s="16">
        <f t="shared" si="18"/>
        <v>0</v>
      </c>
      <c r="W26" s="16">
        <f t="shared" si="18"/>
        <v>0</v>
      </c>
      <c r="X26" s="16">
        <f t="shared" si="18"/>
        <v>1</v>
      </c>
      <c r="Y26" s="16">
        <f t="shared" si="18"/>
        <v>2</v>
      </c>
      <c r="Z26" s="16">
        <f t="shared" si="18"/>
        <v>1</v>
      </c>
      <c r="AA26" s="16">
        <f t="shared" si="18"/>
        <v>0</v>
      </c>
      <c r="AB26" s="16">
        <f t="shared" si="18"/>
        <v>0</v>
      </c>
      <c r="AC26" s="16">
        <f t="shared" si="18"/>
        <v>12</v>
      </c>
      <c r="AD26" s="16">
        <f t="shared" si="18"/>
        <v>0</v>
      </c>
      <c r="AE26" s="32">
        <f t="shared" si="18"/>
        <v>7</v>
      </c>
      <c r="AF26" s="32">
        <f t="shared" si="18"/>
        <v>19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15">
        <f t="shared" si="0"/>
        <v>0</v>
      </c>
      <c r="P27" s="15">
        <f t="shared" si="1"/>
        <v>0</v>
      </c>
      <c r="R27" s="29" t="s">
        <v>87</v>
      </c>
      <c r="S27" s="16">
        <f t="shared" ref="S27:AF27" si="19">SUM(S19:S21)</f>
        <v>1</v>
      </c>
      <c r="T27" s="16">
        <f t="shared" si="19"/>
        <v>7</v>
      </c>
      <c r="U27" s="16">
        <f t="shared" si="19"/>
        <v>5</v>
      </c>
      <c r="V27" s="16">
        <f t="shared" si="19"/>
        <v>0</v>
      </c>
      <c r="W27" s="16">
        <f t="shared" si="19"/>
        <v>0</v>
      </c>
      <c r="X27" s="16">
        <f t="shared" si="19"/>
        <v>0</v>
      </c>
      <c r="Y27" s="16">
        <f t="shared" si="19"/>
        <v>5</v>
      </c>
      <c r="Z27" s="16">
        <f t="shared" si="19"/>
        <v>0</v>
      </c>
      <c r="AA27" s="16">
        <f t="shared" si="19"/>
        <v>0</v>
      </c>
      <c r="AB27" s="16">
        <f t="shared" si="19"/>
        <v>0</v>
      </c>
      <c r="AC27" s="16">
        <f t="shared" si="19"/>
        <v>8</v>
      </c>
      <c r="AD27" s="16">
        <f t="shared" si="19"/>
        <v>0</v>
      </c>
      <c r="AE27" s="32">
        <f t="shared" si="19"/>
        <v>18</v>
      </c>
      <c r="AF27" s="32">
        <f t="shared" si="19"/>
        <v>26</v>
      </c>
    </row>
    <row r="28" spans="2:32" ht="23.1" customHeight="1" x14ac:dyDescent="0.25">
      <c r="B28" s="23" t="s">
        <v>55</v>
      </c>
      <c r="C28" s="50">
        <v>0</v>
      </c>
      <c r="D28" s="50">
        <v>1</v>
      </c>
      <c r="E28" s="50">
        <v>0</v>
      </c>
      <c r="F28" s="50">
        <v>0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15">
        <f t="shared" si="0"/>
        <v>3</v>
      </c>
      <c r="P28" s="15">
        <f t="shared" si="1"/>
        <v>3</v>
      </c>
      <c r="R28" s="5" t="s">
        <v>17</v>
      </c>
      <c r="S28" s="16">
        <f t="shared" ref="S28:AF28" si="20">SUM(S10:S21)</f>
        <v>1</v>
      </c>
      <c r="T28" s="16">
        <f t="shared" si="20"/>
        <v>13</v>
      </c>
      <c r="U28" s="16">
        <f t="shared" si="20"/>
        <v>8</v>
      </c>
      <c r="V28" s="16">
        <f t="shared" si="20"/>
        <v>0</v>
      </c>
      <c r="W28" s="16">
        <f t="shared" si="20"/>
        <v>0</v>
      </c>
      <c r="X28" s="16">
        <f t="shared" si="20"/>
        <v>1</v>
      </c>
      <c r="Y28" s="16">
        <f t="shared" si="20"/>
        <v>8</v>
      </c>
      <c r="Z28" s="16">
        <f t="shared" si="20"/>
        <v>1</v>
      </c>
      <c r="AA28" s="16">
        <f t="shared" si="20"/>
        <v>0</v>
      </c>
      <c r="AB28" s="16">
        <f t="shared" si="20"/>
        <v>0</v>
      </c>
      <c r="AC28" s="16">
        <f t="shared" si="20"/>
        <v>26</v>
      </c>
      <c r="AD28" s="16">
        <f t="shared" si="20"/>
        <v>0</v>
      </c>
      <c r="AE28" s="32">
        <f t="shared" si="20"/>
        <v>32</v>
      </c>
      <c r="AF28" s="32">
        <f t="shared" si="20"/>
        <v>58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1</v>
      </c>
      <c r="K29" s="50">
        <v>0</v>
      </c>
      <c r="L29" s="50">
        <v>0</v>
      </c>
      <c r="M29" s="50">
        <v>1</v>
      </c>
      <c r="N29" s="50">
        <v>0</v>
      </c>
      <c r="O29" s="15">
        <f t="shared" si="0"/>
        <v>1</v>
      </c>
      <c r="P29" s="15">
        <f t="shared" si="1"/>
        <v>2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15">
        <f t="shared" si="0"/>
        <v>0</v>
      </c>
      <c r="P30" s="15">
        <f t="shared" si="1"/>
        <v>0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4</v>
      </c>
      <c r="N31" s="50">
        <v>0</v>
      </c>
      <c r="O31" s="15">
        <f t="shared" si="0"/>
        <v>0</v>
      </c>
      <c r="P31" s="15">
        <f t="shared" si="1"/>
        <v>4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15">
        <f t="shared" si="0"/>
        <v>0</v>
      </c>
      <c r="P32" s="15">
        <f t="shared" si="1"/>
        <v>0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15">
        <f t="shared" si="0"/>
        <v>0</v>
      </c>
      <c r="P33" s="15">
        <f t="shared" si="1"/>
        <v>0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0</v>
      </c>
      <c r="N34" s="50">
        <v>0</v>
      </c>
      <c r="O34" s="15">
        <f t="shared" si="0"/>
        <v>0</v>
      </c>
      <c r="P34" s="15">
        <f t="shared" si="1"/>
        <v>0</v>
      </c>
    </row>
    <row r="35" spans="2:20" ht="23.1" customHeight="1" x14ac:dyDescent="0.25">
      <c r="B35" s="24" t="s">
        <v>62</v>
      </c>
      <c r="C35" s="50">
        <v>0</v>
      </c>
      <c r="D35" s="50">
        <v>1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3</v>
      </c>
      <c r="N35" s="50">
        <v>0</v>
      </c>
      <c r="O35" s="15">
        <f t="shared" si="0"/>
        <v>1</v>
      </c>
      <c r="P35" s="15">
        <f t="shared" si="1"/>
        <v>4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0</v>
      </c>
      <c r="N36" s="50">
        <v>0</v>
      </c>
      <c r="O36" s="15">
        <f t="shared" si="0"/>
        <v>0</v>
      </c>
      <c r="P36" s="15">
        <f t="shared" si="1"/>
        <v>0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0</v>
      </c>
      <c r="N37" s="50">
        <v>0</v>
      </c>
      <c r="O37" s="15">
        <f t="shared" si="0"/>
        <v>0</v>
      </c>
      <c r="P37" s="15">
        <f t="shared" si="1"/>
        <v>0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0</v>
      </c>
      <c r="N38" s="50">
        <v>0</v>
      </c>
      <c r="O38" s="15">
        <f t="shared" si="0"/>
        <v>0</v>
      </c>
      <c r="P38" s="15">
        <f t="shared" si="1"/>
        <v>0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0</v>
      </c>
      <c r="N39" s="50">
        <v>0</v>
      </c>
      <c r="O39" s="15">
        <f t="shared" si="0"/>
        <v>0</v>
      </c>
      <c r="P39" s="15">
        <f t="shared" si="1"/>
        <v>0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0</v>
      </c>
      <c r="N40" s="50">
        <v>0</v>
      </c>
      <c r="O40" s="15">
        <f t="shared" si="0"/>
        <v>0</v>
      </c>
      <c r="P40" s="15">
        <f t="shared" si="1"/>
        <v>0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1</v>
      </c>
      <c r="N41" s="50">
        <v>0</v>
      </c>
      <c r="O41" s="15">
        <f t="shared" si="0"/>
        <v>0</v>
      </c>
      <c r="P41" s="15">
        <f t="shared" si="1"/>
        <v>1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1</v>
      </c>
      <c r="I42" s="50">
        <v>0</v>
      </c>
      <c r="J42" s="50">
        <v>0</v>
      </c>
      <c r="K42" s="50">
        <v>0</v>
      </c>
      <c r="L42" s="50">
        <v>0</v>
      </c>
      <c r="M42" s="50">
        <v>0</v>
      </c>
      <c r="N42" s="50">
        <v>0</v>
      </c>
      <c r="O42" s="15">
        <f t="shared" si="0"/>
        <v>1</v>
      </c>
      <c r="P42" s="15">
        <f t="shared" si="1"/>
        <v>1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0</v>
      </c>
      <c r="N43" s="50">
        <v>0</v>
      </c>
      <c r="O43" s="15">
        <f t="shared" si="0"/>
        <v>0</v>
      </c>
      <c r="P43" s="15">
        <f t="shared" si="1"/>
        <v>0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0</v>
      </c>
      <c r="N44" s="50">
        <v>0</v>
      </c>
      <c r="O44" s="15">
        <f t="shared" si="0"/>
        <v>0</v>
      </c>
      <c r="P44" s="15">
        <f t="shared" si="1"/>
        <v>0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15">
        <f t="shared" si="0"/>
        <v>0</v>
      </c>
      <c r="P45" s="15">
        <f t="shared" si="1"/>
        <v>0</v>
      </c>
    </row>
    <row r="46" spans="2:20" ht="23.1" customHeight="1" x14ac:dyDescent="0.25">
      <c r="B46" s="24" t="s">
        <v>73</v>
      </c>
      <c r="C46" s="50">
        <v>0</v>
      </c>
      <c r="D46" s="50">
        <v>2</v>
      </c>
      <c r="E46" s="50">
        <v>0</v>
      </c>
      <c r="F46" s="50">
        <v>0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0</v>
      </c>
      <c r="N46" s="50">
        <v>0</v>
      </c>
      <c r="O46" s="15">
        <f t="shared" si="0"/>
        <v>3</v>
      </c>
      <c r="P46" s="15">
        <f t="shared" si="1"/>
        <v>3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2</v>
      </c>
      <c r="N47" s="50">
        <v>0</v>
      </c>
      <c r="O47" s="15">
        <f t="shared" si="0"/>
        <v>0</v>
      </c>
      <c r="P47" s="15">
        <f t="shared" si="1"/>
        <v>2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1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0</v>
      </c>
      <c r="N48" s="50">
        <v>0</v>
      </c>
      <c r="O48" s="15">
        <f t="shared" si="0"/>
        <v>1</v>
      </c>
      <c r="P48" s="15">
        <f t="shared" si="1"/>
        <v>1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0</v>
      </c>
      <c r="N49" s="50">
        <v>0</v>
      </c>
      <c r="O49" s="15">
        <f t="shared" si="0"/>
        <v>0</v>
      </c>
      <c r="P49" s="15">
        <f t="shared" si="1"/>
        <v>0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0</v>
      </c>
      <c r="N50" s="50">
        <v>0</v>
      </c>
      <c r="O50" s="15">
        <f t="shared" si="0"/>
        <v>0</v>
      </c>
      <c r="P50" s="15">
        <f t="shared" si="1"/>
        <v>0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2</v>
      </c>
      <c r="E51" s="50">
        <v>0</v>
      </c>
      <c r="F51" s="50">
        <v>0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2</v>
      </c>
      <c r="N51" s="50">
        <v>0</v>
      </c>
      <c r="O51" s="15">
        <f t="shared" si="0"/>
        <v>3</v>
      </c>
      <c r="P51" s="15">
        <f t="shared" si="1"/>
        <v>5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0</v>
      </c>
      <c r="N52" s="50">
        <v>0</v>
      </c>
      <c r="O52" s="15">
        <f t="shared" si="0"/>
        <v>1</v>
      </c>
      <c r="P52" s="15">
        <f t="shared" si="1"/>
        <v>1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2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</v>
      </c>
      <c r="N53" s="50">
        <v>0</v>
      </c>
      <c r="O53" s="15">
        <f t="shared" si="0"/>
        <v>2</v>
      </c>
      <c r="P53" s="15">
        <f t="shared" si="1"/>
        <v>3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0</v>
      </c>
      <c r="N54" s="50">
        <v>0</v>
      </c>
      <c r="O54" s="15">
        <f t="shared" si="0"/>
        <v>0</v>
      </c>
      <c r="P54" s="15">
        <f t="shared" si="1"/>
        <v>0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1</v>
      </c>
      <c r="E55" s="50">
        <v>2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15">
        <f t="shared" si="0"/>
        <v>4</v>
      </c>
      <c r="P55" s="15">
        <f t="shared" si="1"/>
        <v>4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1</v>
      </c>
      <c r="F56" s="50">
        <v>0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3</v>
      </c>
      <c r="N56" s="50">
        <v>0</v>
      </c>
      <c r="O56" s="15">
        <f t="shared" si="0"/>
        <v>2</v>
      </c>
      <c r="P56" s="15">
        <f t="shared" si="1"/>
        <v>5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1</v>
      </c>
      <c r="F57" s="50">
        <v>0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15">
        <f t="shared" si="0"/>
        <v>2</v>
      </c>
      <c r="P57" s="15">
        <f t="shared" si="1"/>
        <v>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</v>
      </c>
      <c r="D58" s="16">
        <f t="shared" si="21"/>
        <v>13</v>
      </c>
      <c r="E58" s="16">
        <f t="shared" si="21"/>
        <v>8</v>
      </c>
      <c r="F58" s="16">
        <f t="shared" si="21"/>
        <v>0</v>
      </c>
      <c r="G58" s="16">
        <f t="shared" si="21"/>
        <v>0</v>
      </c>
      <c r="H58" s="16">
        <f t="shared" si="21"/>
        <v>1</v>
      </c>
      <c r="I58" s="16">
        <f t="shared" si="21"/>
        <v>8</v>
      </c>
      <c r="J58" s="16">
        <f t="shared" si="21"/>
        <v>1</v>
      </c>
      <c r="K58" s="16">
        <f t="shared" si="21"/>
        <v>0</v>
      </c>
      <c r="L58" s="16">
        <f t="shared" si="21"/>
        <v>0</v>
      </c>
      <c r="M58" s="16">
        <f t="shared" si="21"/>
        <v>26</v>
      </c>
      <c r="N58" s="16">
        <f t="shared" si="21"/>
        <v>0</v>
      </c>
      <c r="O58" s="16">
        <f t="shared" si="21"/>
        <v>32</v>
      </c>
      <c r="P58" s="16">
        <f t="shared" si="21"/>
        <v>58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1.7241379310344827E-2</v>
      </c>
      <c r="D59" s="43">
        <f t="shared" si="22"/>
        <v>0.22413793103448276</v>
      </c>
      <c r="E59" s="43">
        <f t="shared" si="22"/>
        <v>0.13793103448275862</v>
      </c>
      <c r="F59" s="43">
        <f t="shared" si="22"/>
        <v>0</v>
      </c>
      <c r="G59" s="43">
        <f t="shared" si="22"/>
        <v>0</v>
      </c>
      <c r="H59" s="43">
        <f t="shared" si="22"/>
        <v>1.7241379310344827E-2</v>
      </c>
      <c r="I59" s="43">
        <f t="shared" si="22"/>
        <v>0.13793103448275862</v>
      </c>
      <c r="J59" s="43">
        <f t="shared" si="22"/>
        <v>1.7241379310344827E-2</v>
      </c>
      <c r="K59" s="43">
        <f t="shared" si="22"/>
        <v>0</v>
      </c>
      <c r="L59" s="43">
        <f t="shared" si="22"/>
        <v>0</v>
      </c>
      <c r="M59" s="43">
        <f t="shared" si="22"/>
        <v>0.44827586206896552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3.125E-2</v>
      </c>
      <c r="D60" s="44">
        <f t="shared" ref="D60:N60" si="23">D58/$O$58</f>
        <v>0.40625</v>
      </c>
      <c r="E60" s="44">
        <f t="shared" si="23"/>
        <v>0.25</v>
      </c>
      <c r="F60" s="44">
        <f t="shared" si="23"/>
        <v>0</v>
      </c>
      <c r="G60" s="44">
        <f t="shared" si="23"/>
        <v>0</v>
      </c>
      <c r="H60" s="44">
        <f t="shared" si="23"/>
        <v>3.125E-2</v>
      </c>
      <c r="I60" s="44">
        <f t="shared" si="23"/>
        <v>0.25</v>
      </c>
      <c r="J60" s="44">
        <f t="shared" si="23"/>
        <v>3.125E-2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B1:AE1"/>
    <mergeCell ref="B2:AE2"/>
    <mergeCell ref="C3:G3"/>
    <mergeCell ref="G5:H5"/>
    <mergeCell ref="K5:L5"/>
    <mergeCell ref="D6:E6"/>
    <mergeCell ref="G6:H6"/>
    <mergeCell ref="K6:L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 tint="-0.249977111117893"/>
  </sheetPr>
  <dimension ref="B1:AF174"/>
  <sheetViews>
    <sheetView view="pageBreakPreview" topLeftCell="A79" zoomScale="60" workbookViewId="0">
      <selection activeCell="I98" sqref="I9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'05.08 KABONG-KOTIDO'!C3:G3</f>
        <v>MCC - C5 - STN0125 - KAABONG-KOTIDO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163</v>
      </c>
      <c r="E5" s="3"/>
      <c r="F5" s="41" t="s">
        <v>1</v>
      </c>
      <c r="G5" s="66" t="str">
        <f>'10.08 KOTIDO-KABONG-24h'!G5:H5</f>
        <v>xxx</v>
      </c>
      <c r="H5" s="67"/>
      <c r="I5" s="14"/>
      <c r="J5" s="2" t="s">
        <v>5</v>
      </c>
      <c r="K5" s="66" t="str">
        <f>'10.08 KOTIDO-KABONG-24h'!K5:L5</f>
        <v>NALUBEGA JOSEPHINE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'05.08 KABONG-KOTIDO'!D6:E6</f>
        <v>KABONG</v>
      </c>
      <c r="E6" s="67"/>
      <c r="F6" s="2" t="s">
        <v>2</v>
      </c>
      <c r="G6" s="66" t="str">
        <f>'05.08 KABONG-KOTIDO'!G6:H6</f>
        <v>KOTIDO</v>
      </c>
      <c r="H6" s="67"/>
      <c r="J6" s="2" t="s">
        <v>21</v>
      </c>
      <c r="K6" s="66" t="str">
        <f>'10.08 KOTIDO-KABONG-24h'!K6:L6</f>
        <v>CRANIMER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1</v>
      </c>
      <c r="E10" s="50">
        <v>1</v>
      </c>
      <c r="F10" s="50">
        <v>0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1</v>
      </c>
      <c r="N10" s="50">
        <v>0</v>
      </c>
      <c r="O10" s="15">
        <f t="shared" ref="O10:O73" si="0">SUM(C10:L10,N10)</f>
        <v>3</v>
      </c>
      <c r="P10" s="15">
        <f t="shared" ref="P10:P73" si="1">SUM(C10:N10)</f>
        <v>4</v>
      </c>
      <c r="R10" s="1" t="s">
        <v>6</v>
      </c>
      <c r="S10" s="17">
        <f t="shared" ref="S10:AF10" si="2">SUM(C10:C13)</f>
        <v>0</v>
      </c>
      <c r="T10" s="17">
        <f t="shared" si="2"/>
        <v>2</v>
      </c>
      <c r="U10" s="17">
        <f t="shared" si="2"/>
        <v>2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3</v>
      </c>
      <c r="AD10" s="17">
        <f t="shared" si="2"/>
        <v>0</v>
      </c>
      <c r="AE10" s="31">
        <f t="shared" si="2"/>
        <v>6</v>
      </c>
      <c r="AF10" s="31">
        <f t="shared" si="2"/>
        <v>9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</v>
      </c>
      <c r="N11" s="50">
        <v>0</v>
      </c>
      <c r="O11" s="15">
        <f t="shared" si="0"/>
        <v>0</v>
      </c>
      <c r="P11" s="15">
        <f t="shared" si="1"/>
        <v>1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1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3</v>
      </c>
      <c r="AD11" s="17">
        <f t="shared" si="3"/>
        <v>0</v>
      </c>
      <c r="AE11" s="31">
        <f t="shared" si="3"/>
        <v>3</v>
      </c>
      <c r="AF11" s="31">
        <f t="shared" si="3"/>
        <v>6</v>
      </c>
    </row>
    <row r="12" spans="2:32" ht="23.1" customHeight="1" x14ac:dyDescent="0.25">
      <c r="B12" s="45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</v>
      </c>
      <c r="N12" s="50">
        <v>0</v>
      </c>
      <c r="O12" s="15">
        <f t="shared" si="0"/>
        <v>0</v>
      </c>
      <c r="P12" s="15">
        <f t="shared" si="1"/>
        <v>1</v>
      </c>
      <c r="R12" s="1" t="s">
        <v>8</v>
      </c>
      <c r="S12" s="17">
        <f t="shared" ref="S12:AF12" si="4">SUM(C18:C21)</f>
        <v>0</v>
      </c>
      <c r="T12" s="17">
        <f t="shared" si="4"/>
        <v>0</v>
      </c>
      <c r="U12" s="17">
        <f t="shared" si="4"/>
        <v>0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3</v>
      </c>
      <c r="AD12" s="17">
        <f t="shared" si="4"/>
        <v>0</v>
      </c>
      <c r="AE12" s="31">
        <f t="shared" si="4"/>
        <v>0</v>
      </c>
      <c r="AF12" s="31">
        <f t="shared" si="4"/>
        <v>3</v>
      </c>
    </row>
    <row r="13" spans="2:32" ht="23.1" customHeight="1" x14ac:dyDescent="0.25">
      <c r="B13" s="45" t="s">
        <v>40</v>
      </c>
      <c r="C13" s="50">
        <v>0</v>
      </c>
      <c r="D13" s="50">
        <v>1</v>
      </c>
      <c r="E13" s="50">
        <v>1</v>
      </c>
      <c r="F13" s="50">
        <v>0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15">
        <f t="shared" si="0"/>
        <v>3</v>
      </c>
      <c r="P13" s="15">
        <f t="shared" si="1"/>
        <v>3</v>
      </c>
      <c r="R13" s="1" t="s">
        <v>9</v>
      </c>
      <c r="S13" s="17">
        <f t="shared" ref="S13:AF13" si="5">SUM(C22:C25)</f>
        <v>0</v>
      </c>
      <c r="T13" s="17">
        <f t="shared" si="5"/>
        <v>1</v>
      </c>
      <c r="U13" s="17">
        <f t="shared" si="5"/>
        <v>0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</v>
      </c>
      <c r="AD13" s="17">
        <f t="shared" si="5"/>
        <v>0</v>
      </c>
      <c r="AE13" s="31">
        <f t="shared" si="5"/>
        <v>2</v>
      </c>
      <c r="AF13" s="31">
        <f t="shared" si="5"/>
        <v>3</v>
      </c>
    </row>
    <row r="14" spans="2:32" ht="23.1" customHeight="1" x14ac:dyDescent="0.25">
      <c r="B14" s="45" t="s">
        <v>41</v>
      </c>
      <c r="C14" s="50">
        <v>0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</v>
      </c>
      <c r="N14" s="50">
        <v>0</v>
      </c>
      <c r="O14" s="15">
        <v>1</v>
      </c>
      <c r="P14" s="15">
        <v>2</v>
      </c>
      <c r="R14" s="1" t="s">
        <v>10</v>
      </c>
      <c r="S14" s="17">
        <f t="shared" ref="S14:AF14" si="6">SUM(C26:C29)</f>
        <v>0</v>
      </c>
      <c r="T14" s="17">
        <f t="shared" si="6"/>
        <v>0</v>
      </c>
      <c r="U14" s="17">
        <f t="shared" si="6"/>
        <v>0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</v>
      </c>
      <c r="AD14" s="17">
        <f t="shared" si="6"/>
        <v>0</v>
      </c>
      <c r="AE14" s="31">
        <f t="shared" si="6"/>
        <v>0</v>
      </c>
      <c r="AF14" s="31">
        <f t="shared" si="6"/>
        <v>1</v>
      </c>
    </row>
    <row r="15" spans="2:32" ht="23.1" customHeight="1" x14ac:dyDescent="0.25">
      <c r="B15" s="45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1</v>
      </c>
      <c r="J15" s="50">
        <v>1</v>
      </c>
      <c r="K15" s="50">
        <v>0</v>
      </c>
      <c r="L15" s="50">
        <v>0</v>
      </c>
      <c r="M15" s="50">
        <v>1</v>
      </c>
      <c r="N15" s="50">
        <v>0</v>
      </c>
      <c r="O15" s="15">
        <v>2</v>
      </c>
      <c r="P15" s="15">
        <v>3</v>
      </c>
      <c r="R15" s="1" t="s">
        <v>11</v>
      </c>
      <c r="S15" s="17">
        <f t="shared" ref="S15:AF15" si="7">SUM(C30:C33)</f>
        <v>0</v>
      </c>
      <c r="T15" s="17">
        <f t="shared" si="7"/>
        <v>0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3</v>
      </c>
      <c r="AD15" s="17">
        <f t="shared" si="7"/>
        <v>0</v>
      </c>
      <c r="AE15" s="31">
        <f t="shared" si="7"/>
        <v>0</v>
      </c>
      <c r="AF15" s="31">
        <f t="shared" si="7"/>
        <v>3</v>
      </c>
    </row>
    <row r="16" spans="2:32" ht="23.1" customHeight="1" x14ac:dyDescent="0.25">
      <c r="B16" s="45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15">
        <f t="shared" si="0"/>
        <v>0</v>
      </c>
      <c r="P16" s="15">
        <f t="shared" si="1"/>
        <v>0</v>
      </c>
      <c r="R16" s="1" t="s">
        <v>12</v>
      </c>
      <c r="S16" s="17">
        <f t="shared" ref="S16:AF16" si="8">SUM(C34:C37)</f>
        <v>0</v>
      </c>
      <c r="T16" s="17">
        <f t="shared" si="8"/>
        <v>2</v>
      </c>
      <c r="U16" s="17">
        <f t="shared" si="8"/>
        <v>0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3</v>
      </c>
      <c r="AD16" s="17">
        <f t="shared" si="8"/>
        <v>0</v>
      </c>
      <c r="AE16" s="31">
        <f t="shared" si="8"/>
        <v>3</v>
      </c>
      <c r="AF16" s="31">
        <f t="shared" si="8"/>
        <v>6</v>
      </c>
    </row>
    <row r="17" spans="2:32" ht="23.1" customHeight="1" x14ac:dyDescent="0.25">
      <c r="B17" s="45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</v>
      </c>
      <c r="N17" s="50">
        <v>0</v>
      </c>
      <c r="O17" s="15">
        <f t="shared" si="0"/>
        <v>0</v>
      </c>
      <c r="P17" s="15">
        <f t="shared" si="1"/>
        <v>1</v>
      </c>
      <c r="R17" s="1" t="s">
        <v>13</v>
      </c>
      <c r="S17" s="17">
        <f t="shared" ref="S17:AF17" si="9">SUM(C38:C41)</f>
        <v>0</v>
      </c>
      <c r="T17" s="17">
        <f t="shared" si="9"/>
        <v>0</v>
      </c>
      <c r="U17" s="17">
        <f t="shared" si="9"/>
        <v>1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0</v>
      </c>
      <c r="AD17" s="17">
        <f t="shared" si="9"/>
        <v>0</v>
      </c>
      <c r="AE17" s="31">
        <f t="shared" si="9"/>
        <v>2</v>
      </c>
      <c r="AF17" s="31">
        <f t="shared" si="9"/>
        <v>2</v>
      </c>
    </row>
    <row r="18" spans="2:32" ht="23.1" customHeight="1" x14ac:dyDescent="0.25">
      <c r="B18" s="45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</v>
      </c>
      <c r="N18" s="50">
        <v>0</v>
      </c>
      <c r="O18" s="15">
        <f t="shared" si="0"/>
        <v>0</v>
      </c>
      <c r="P18" s="15">
        <f t="shared" si="1"/>
        <v>1</v>
      </c>
      <c r="R18" s="1" t="s">
        <v>14</v>
      </c>
      <c r="S18" s="17">
        <f t="shared" ref="S18:AF18" si="10">SUM(C42:C45)</f>
        <v>0</v>
      </c>
      <c r="T18" s="17">
        <f t="shared" si="10"/>
        <v>0</v>
      </c>
      <c r="U18" s="17">
        <f t="shared" si="10"/>
        <v>0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2</v>
      </c>
      <c r="AD18" s="17">
        <f t="shared" si="10"/>
        <v>0</v>
      </c>
      <c r="AE18" s="31">
        <f t="shared" si="10"/>
        <v>1</v>
      </c>
      <c r="AF18" s="31">
        <f t="shared" si="10"/>
        <v>3</v>
      </c>
    </row>
    <row r="19" spans="2:32" ht="23.1" customHeight="1" x14ac:dyDescent="0.25">
      <c r="B19" s="45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</v>
      </c>
      <c r="N19" s="50">
        <v>0</v>
      </c>
      <c r="O19" s="15">
        <f t="shared" si="0"/>
        <v>0</v>
      </c>
      <c r="P19" s="15">
        <f t="shared" si="1"/>
        <v>1</v>
      </c>
      <c r="R19" s="1" t="s">
        <v>15</v>
      </c>
      <c r="S19" s="17">
        <f t="shared" ref="S19:AF19" si="11">SUM(C46:C49)</f>
        <v>0</v>
      </c>
      <c r="T19" s="17">
        <f t="shared" si="11"/>
        <v>1</v>
      </c>
      <c r="U19" s="17">
        <f t="shared" si="11"/>
        <v>1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2</v>
      </c>
      <c r="AD19" s="17">
        <f t="shared" si="11"/>
        <v>0</v>
      </c>
      <c r="AE19" s="31">
        <f t="shared" si="11"/>
        <v>2</v>
      </c>
      <c r="AF19" s="31">
        <f t="shared" si="11"/>
        <v>4</v>
      </c>
    </row>
    <row r="20" spans="2:32" ht="23.1" customHeight="1" x14ac:dyDescent="0.25">
      <c r="B20" s="45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</v>
      </c>
      <c r="N20" s="50">
        <v>0</v>
      </c>
      <c r="O20" s="15">
        <f t="shared" si="0"/>
        <v>0</v>
      </c>
      <c r="P20" s="15">
        <f t="shared" si="1"/>
        <v>1</v>
      </c>
      <c r="R20" s="1" t="s">
        <v>16</v>
      </c>
      <c r="S20" s="17">
        <f t="shared" ref="S20:AF20" si="12">SUM(C50:C53)</f>
        <v>0</v>
      </c>
      <c r="T20" s="17">
        <f t="shared" si="12"/>
        <v>0</v>
      </c>
      <c r="U20" s="17">
        <f t="shared" si="12"/>
        <v>3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3</v>
      </c>
      <c r="AD20" s="17">
        <f t="shared" si="12"/>
        <v>0</v>
      </c>
      <c r="AE20" s="31">
        <f t="shared" si="12"/>
        <v>3</v>
      </c>
      <c r="AF20" s="31">
        <f t="shared" si="12"/>
        <v>6</v>
      </c>
    </row>
    <row r="21" spans="2:32" ht="23.1" customHeight="1" x14ac:dyDescent="0.25">
      <c r="B21" s="45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15">
        <f t="shared" si="0"/>
        <v>0</v>
      </c>
      <c r="P21" s="15">
        <f t="shared" si="1"/>
        <v>0</v>
      </c>
      <c r="R21" s="36" t="s">
        <v>20</v>
      </c>
      <c r="S21" s="34">
        <f t="shared" ref="S21:AF21" si="13">SUM(C54:C57)</f>
        <v>0</v>
      </c>
      <c r="T21" s="17">
        <f t="shared" si="13"/>
        <v>2</v>
      </c>
      <c r="U21" s="17">
        <f t="shared" si="13"/>
        <v>1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3</v>
      </c>
      <c r="AD21" s="17">
        <f t="shared" si="13"/>
        <v>0</v>
      </c>
      <c r="AE21" s="31">
        <f t="shared" si="13"/>
        <v>3</v>
      </c>
      <c r="AF21" s="31">
        <f t="shared" si="13"/>
        <v>6</v>
      </c>
    </row>
    <row r="22" spans="2:32" ht="23.1" customHeight="1" x14ac:dyDescent="0.25">
      <c r="B22" s="45" t="s">
        <v>49</v>
      </c>
      <c r="C22" s="50">
        <v>0</v>
      </c>
      <c r="D22" s="50">
        <v>1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15">
        <f t="shared" si="0"/>
        <v>1</v>
      </c>
      <c r="P22" s="15">
        <f t="shared" si="1"/>
        <v>1</v>
      </c>
      <c r="R22" s="36" t="s">
        <v>146</v>
      </c>
      <c r="S22" s="34">
        <f>SUM(C58:C61)</f>
        <v>2</v>
      </c>
      <c r="T22" s="34">
        <f t="shared" ref="T22:AF22" si="14">SUM(D58:D61)</f>
        <v>3</v>
      </c>
      <c r="U22" s="34">
        <f t="shared" si="14"/>
        <v>2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4</v>
      </c>
      <c r="Z22" s="34">
        <f t="shared" si="14"/>
        <v>2</v>
      </c>
      <c r="AA22" s="34">
        <f t="shared" si="14"/>
        <v>1</v>
      </c>
      <c r="AB22" s="34">
        <f t="shared" si="14"/>
        <v>0</v>
      </c>
      <c r="AC22" s="34">
        <f t="shared" si="14"/>
        <v>3</v>
      </c>
      <c r="AD22" s="34">
        <f t="shared" si="14"/>
        <v>0</v>
      </c>
      <c r="AE22" s="31">
        <f t="shared" si="14"/>
        <v>14</v>
      </c>
      <c r="AF22" s="31">
        <f t="shared" si="14"/>
        <v>17</v>
      </c>
    </row>
    <row r="23" spans="2:32" ht="23.1" customHeight="1" x14ac:dyDescent="0.25">
      <c r="B23" s="45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15">
        <f t="shared" si="0"/>
        <v>1</v>
      </c>
      <c r="P23" s="15">
        <f t="shared" si="1"/>
        <v>1</v>
      </c>
      <c r="R23" s="36" t="s">
        <v>147</v>
      </c>
      <c r="S23" s="34">
        <f>SUM(C62:C65)</f>
        <v>0</v>
      </c>
      <c r="T23" s="34">
        <f t="shared" ref="T23:AF23" si="15">SUM(D62:D65)</f>
        <v>1</v>
      </c>
      <c r="U23" s="34">
        <f t="shared" si="15"/>
        <v>2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3</v>
      </c>
      <c r="Z23" s="34">
        <f t="shared" si="15"/>
        <v>1</v>
      </c>
      <c r="AA23" s="34">
        <f t="shared" si="15"/>
        <v>0</v>
      </c>
      <c r="AB23" s="34">
        <f t="shared" si="15"/>
        <v>0</v>
      </c>
      <c r="AC23" s="34">
        <f t="shared" si="15"/>
        <v>4</v>
      </c>
      <c r="AD23" s="34">
        <f t="shared" si="15"/>
        <v>0</v>
      </c>
      <c r="AE23" s="31">
        <f t="shared" si="15"/>
        <v>7</v>
      </c>
      <c r="AF23" s="31">
        <f t="shared" si="15"/>
        <v>11</v>
      </c>
    </row>
    <row r="24" spans="2:32" ht="23.1" customHeight="1" x14ac:dyDescent="0.25">
      <c r="B24" s="45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</v>
      </c>
      <c r="N24" s="50">
        <v>0</v>
      </c>
      <c r="O24" s="15">
        <f t="shared" si="0"/>
        <v>0</v>
      </c>
      <c r="P24" s="15">
        <f t="shared" si="1"/>
        <v>1</v>
      </c>
      <c r="R24" s="36" t="s">
        <v>148</v>
      </c>
      <c r="S24" s="34">
        <f>SUM(C66:C69)</f>
        <v>1</v>
      </c>
      <c r="T24" s="34">
        <f t="shared" ref="T24:AF24" si="16">SUM(D66:D69)</f>
        <v>1</v>
      </c>
      <c r="U24" s="34">
        <f t="shared" si="16"/>
        <v>0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1</v>
      </c>
      <c r="AA24" s="34">
        <f t="shared" si="16"/>
        <v>0</v>
      </c>
      <c r="AB24" s="34">
        <f t="shared" si="16"/>
        <v>0</v>
      </c>
      <c r="AC24" s="34">
        <f t="shared" si="16"/>
        <v>5</v>
      </c>
      <c r="AD24" s="34">
        <f t="shared" si="16"/>
        <v>0</v>
      </c>
      <c r="AE24" s="31">
        <f t="shared" si="16"/>
        <v>3</v>
      </c>
      <c r="AF24" s="31">
        <f t="shared" si="16"/>
        <v>8</v>
      </c>
    </row>
    <row r="25" spans="2:32" ht="23.1" customHeight="1" x14ac:dyDescent="0.25">
      <c r="B25" s="45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15">
        <f t="shared" si="0"/>
        <v>0</v>
      </c>
      <c r="P25" s="15">
        <f t="shared" si="1"/>
        <v>0</v>
      </c>
      <c r="R25" s="36" t="s">
        <v>149</v>
      </c>
      <c r="S25" s="34">
        <f>SUM(C70:C73)</f>
        <v>0</v>
      </c>
      <c r="T25" s="34">
        <f t="shared" ref="T25:AF25" si="17">SUM(D70:D73)</f>
        <v>2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3</v>
      </c>
      <c r="AD25" s="34">
        <f t="shared" si="17"/>
        <v>0</v>
      </c>
      <c r="AE25" s="31">
        <f t="shared" si="17"/>
        <v>3</v>
      </c>
      <c r="AF25" s="31">
        <f t="shared" si="17"/>
        <v>6</v>
      </c>
    </row>
    <row r="26" spans="2:32" ht="23.1" customHeight="1" x14ac:dyDescent="0.25">
      <c r="B26" s="45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15">
        <f t="shared" si="0"/>
        <v>0</v>
      </c>
      <c r="P26" s="15">
        <f t="shared" si="1"/>
        <v>0</v>
      </c>
      <c r="R26" s="36" t="s">
        <v>150</v>
      </c>
      <c r="S26" s="34">
        <f>SUM(C74:C77)</f>
        <v>0</v>
      </c>
      <c r="T26" s="34">
        <f t="shared" ref="T26:AF26" si="18">SUM(D74:D77)</f>
        <v>1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3</v>
      </c>
      <c r="AD26" s="34">
        <f t="shared" si="18"/>
        <v>0</v>
      </c>
      <c r="AE26" s="31">
        <f t="shared" si="18"/>
        <v>1</v>
      </c>
      <c r="AF26" s="31">
        <f t="shared" si="18"/>
        <v>4</v>
      </c>
    </row>
    <row r="27" spans="2:32" ht="23.1" customHeight="1" x14ac:dyDescent="0.25">
      <c r="B27" s="45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15">
        <v>0</v>
      </c>
      <c r="P27" s="15">
        <v>0</v>
      </c>
      <c r="R27" s="36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1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4</v>
      </c>
      <c r="AD27" s="34">
        <f t="shared" si="19"/>
        <v>0</v>
      </c>
      <c r="AE27" s="31">
        <f t="shared" si="19"/>
        <v>1</v>
      </c>
      <c r="AF27" s="31">
        <f t="shared" si="19"/>
        <v>5</v>
      </c>
    </row>
    <row r="28" spans="2:32" ht="23.1" customHeight="1" x14ac:dyDescent="0.25">
      <c r="B28" s="45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</v>
      </c>
      <c r="N28" s="50">
        <v>0</v>
      </c>
      <c r="O28" s="15">
        <f t="shared" si="0"/>
        <v>0</v>
      </c>
      <c r="P28" s="15">
        <f t="shared" si="1"/>
        <v>1</v>
      </c>
      <c r="R28" s="36" t="s">
        <v>152</v>
      </c>
      <c r="S28" s="34">
        <f>SUM(C82:C85)</f>
        <v>0</v>
      </c>
      <c r="T28" s="34">
        <f t="shared" ref="T28:AF28" si="20">SUM(D82:D85)</f>
        <v>3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4</v>
      </c>
      <c r="AD28" s="34">
        <f t="shared" si="20"/>
        <v>0</v>
      </c>
      <c r="AE28" s="31">
        <f t="shared" si="20"/>
        <v>4</v>
      </c>
      <c r="AF28" s="31">
        <f t="shared" si="20"/>
        <v>8</v>
      </c>
    </row>
    <row r="29" spans="2:32" ht="23.1" customHeight="1" x14ac:dyDescent="0.25">
      <c r="B29" s="45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15">
        <f t="shared" si="0"/>
        <v>0</v>
      </c>
      <c r="P29" s="15">
        <f t="shared" si="1"/>
        <v>0</v>
      </c>
      <c r="R29" s="36" t="s">
        <v>153</v>
      </c>
      <c r="S29" s="34">
        <f>SUM(C86:C89)</f>
        <v>0</v>
      </c>
      <c r="T29" s="34">
        <f t="shared" ref="T29:AF29" si="21">SUM(D86:D89)</f>
        <v>2</v>
      </c>
      <c r="U29" s="34">
        <f t="shared" si="21"/>
        <v>1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3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6</v>
      </c>
      <c r="AF29" s="31">
        <f t="shared" si="21"/>
        <v>6</v>
      </c>
    </row>
    <row r="30" spans="2:32" ht="23.1" customHeight="1" x14ac:dyDescent="0.25">
      <c r="B30" s="45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</v>
      </c>
      <c r="N30" s="50">
        <v>0</v>
      </c>
      <c r="O30" s="15">
        <v>0</v>
      </c>
      <c r="P30" s="15">
        <v>1</v>
      </c>
      <c r="R30" s="36" t="s">
        <v>154</v>
      </c>
      <c r="S30" s="34">
        <f>SUM(C90:C93)</f>
        <v>0</v>
      </c>
      <c r="T30" s="34">
        <f t="shared" ref="T30:AF30" si="22">SUM(D90:D93)</f>
        <v>1</v>
      </c>
      <c r="U30" s="34">
        <f t="shared" si="22"/>
        <v>1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3</v>
      </c>
      <c r="Z30" s="34">
        <f t="shared" si="22"/>
        <v>1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6</v>
      </c>
      <c r="AF30" s="31">
        <f t="shared" si="22"/>
        <v>6</v>
      </c>
    </row>
    <row r="31" spans="2:32" ht="23.1" customHeight="1" x14ac:dyDescent="0.25">
      <c r="B31" s="46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</v>
      </c>
      <c r="N31" s="50">
        <v>0</v>
      </c>
      <c r="O31" s="15">
        <v>0</v>
      </c>
      <c r="P31" s="15">
        <v>1</v>
      </c>
      <c r="R31" s="36" t="s">
        <v>155</v>
      </c>
      <c r="S31" s="34">
        <f>SUM(C94:C97)</f>
        <v>0</v>
      </c>
      <c r="T31" s="34">
        <f t="shared" ref="T31:AF31" si="23">SUM(D94:D97)</f>
        <v>3</v>
      </c>
      <c r="U31" s="34">
        <f t="shared" si="23"/>
        <v>2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</v>
      </c>
      <c r="AD31" s="34">
        <f t="shared" si="23"/>
        <v>0</v>
      </c>
      <c r="AE31" s="31">
        <f t="shared" si="23"/>
        <v>6</v>
      </c>
      <c r="AF31" s="31">
        <f t="shared" si="23"/>
        <v>7</v>
      </c>
    </row>
    <row r="32" spans="2:32" ht="23.1" customHeight="1" x14ac:dyDescent="0.25">
      <c r="B32" s="46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</v>
      </c>
      <c r="N32" s="50">
        <v>0</v>
      </c>
      <c r="O32" s="15">
        <v>0</v>
      </c>
      <c r="P32" s="15">
        <v>1</v>
      </c>
      <c r="R32" s="33" t="s">
        <v>156</v>
      </c>
      <c r="S32" s="34">
        <f>SUM(C98:C101)</f>
        <v>0</v>
      </c>
      <c r="T32" s="34">
        <f t="shared" ref="T32:AF32" si="24">SUM(D98:D101)</f>
        <v>2</v>
      </c>
      <c r="U32" s="34">
        <f t="shared" si="24"/>
        <v>4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3</v>
      </c>
      <c r="AD32" s="34">
        <f t="shared" si="24"/>
        <v>0</v>
      </c>
      <c r="AE32" s="31">
        <f t="shared" si="24"/>
        <v>6</v>
      </c>
      <c r="AF32" s="31">
        <f t="shared" si="24"/>
        <v>9</v>
      </c>
    </row>
    <row r="33" spans="2:32" ht="23.1" customHeight="1" x14ac:dyDescent="0.25">
      <c r="B33" s="45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15">
        <v>0</v>
      </c>
      <c r="P33" s="15">
        <v>0</v>
      </c>
      <c r="R33" s="33" t="s">
        <v>157</v>
      </c>
      <c r="S33" s="34">
        <f>SUM(C102:C105)</f>
        <v>0</v>
      </c>
      <c r="T33" s="34">
        <f t="shared" ref="T33:AF33" si="25">SUM(D102:D105)</f>
        <v>2</v>
      </c>
      <c r="U33" s="34">
        <f t="shared" si="25"/>
        <v>4</v>
      </c>
      <c r="V33" s="34">
        <f t="shared" si="25"/>
        <v>0</v>
      </c>
      <c r="W33" s="34">
        <f t="shared" si="25"/>
        <v>0</v>
      </c>
      <c r="X33" s="34">
        <f t="shared" si="25"/>
        <v>2</v>
      </c>
      <c r="Y33" s="34">
        <f t="shared" si="25"/>
        <v>1</v>
      </c>
      <c r="Z33" s="34">
        <f t="shared" si="25"/>
        <v>1</v>
      </c>
      <c r="AA33" s="34">
        <f t="shared" si="25"/>
        <v>0</v>
      </c>
      <c r="AB33" s="34">
        <f t="shared" si="25"/>
        <v>0</v>
      </c>
      <c r="AC33" s="34">
        <f t="shared" si="25"/>
        <v>3</v>
      </c>
      <c r="AD33" s="34">
        <f t="shared" si="25"/>
        <v>0</v>
      </c>
      <c r="AE33" s="31">
        <f t="shared" si="25"/>
        <v>10</v>
      </c>
      <c r="AF33" s="31">
        <f t="shared" si="25"/>
        <v>13</v>
      </c>
    </row>
    <row r="34" spans="2:32" ht="23.1" customHeight="1" x14ac:dyDescent="0.25">
      <c r="B34" s="46" t="s">
        <v>61</v>
      </c>
      <c r="C34" s="50">
        <v>0</v>
      </c>
      <c r="D34" s="50">
        <v>1</v>
      </c>
      <c r="E34" s="50">
        <v>0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1</v>
      </c>
      <c r="N34" s="50">
        <v>0</v>
      </c>
      <c r="O34" s="15">
        <v>2</v>
      </c>
      <c r="P34" s="15">
        <v>3</v>
      </c>
      <c r="R34" s="38" t="s">
        <v>90</v>
      </c>
      <c r="S34" s="39">
        <f t="shared" ref="S34:AF34" si="26">MAX(S10:S12)</f>
        <v>0</v>
      </c>
      <c r="T34" s="39">
        <f t="shared" si="26"/>
        <v>2</v>
      </c>
      <c r="U34" s="39">
        <f t="shared" si="26"/>
        <v>2</v>
      </c>
      <c r="V34" s="39">
        <f t="shared" si="26"/>
        <v>0</v>
      </c>
      <c r="W34" s="39">
        <f t="shared" si="26"/>
        <v>0</v>
      </c>
      <c r="X34" s="39">
        <f t="shared" si="26"/>
        <v>0</v>
      </c>
      <c r="Y34" s="39">
        <f t="shared" si="26"/>
        <v>2</v>
      </c>
      <c r="Z34" s="39">
        <f t="shared" si="26"/>
        <v>1</v>
      </c>
      <c r="AA34" s="39">
        <f t="shared" si="26"/>
        <v>0</v>
      </c>
      <c r="AB34" s="39">
        <f t="shared" si="26"/>
        <v>0</v>
      </c>
      <c r="AC34" s="39">
        <f t="shared" si="26"/>
        <v>3</v>
      </c>
      <c r="AD34" s="39">
        <f t="shared" si="26"/>
        <v>0</v>
      </c>
      <c r="AE34" s="40">
        <f t="shared" si="26"/>
        <v>6</v>
      </c>
      <c r="AF34" s="40">
        <f t="shared" si="26"/>
        <v>9</v>
      </c>
    </row>
    <row r="35" spans="2:32" ht="23.1" customHeight="1" x14ac:dyDescent="0.25">
      <c r="B35" s="46" t="s">
        <v>62</v>
      </c>
      <c r="C35" s="50">
        <v>0</v>
      </c>
      <c r="D35" s="50">
        <v>1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</v>
      </c>
      <c r="N35" s="50">
        <v>0</v>
      </c>
      <c r="O35" s="15">
        <f t="shared" si="0"/>
        <v>1</v>
      </c>
      <c r="P35" s="15">
        <f t="shared" si="1"/>
        <v>2</v>
      </c>
      <c r="R35" s="38" t="s">
        <v>91</v>
      </c>
      <c r="S35" s="39">
        <f t="shared" ref="S35:AF35" si="27">MAX(S13:S18)</f>
        <v>0</v>
      </c>
      <c r="T35" s="39">
        <f t="shared" si="27"/>
        <v>2</v>
      </c>
      <c r="U35" s="39">
        <f t="shared" si="27"/>
        <v>1</v>
      </c>
      <c r="V35" s="39">
        <f t="shared" si="27"/>
        <v>0</v>
      </c>
      <c r="W35" s="39">
        <f t="shared" si="27"/>
        <v>0</v>
      </c>
      <c r="X35" s="39">
        <f t="shared" si="27"/>
        <v>0</v>
      </c>
      <c r="Y35" s="39">
        <f t="shared" si="27"/>
        <v>1</v>
      </c>
      <c r="Z35" s="39">
        <f t="shared" si="27"/>
        <v>0</v>
      </c>
      <c r="AA35" s="39">
        <f t="shared" si="27"/>
        <v>0</v>
      </c>
      <c r="AB35" s="39">
        <f t="shared" si="27"/>
        <v>0</v>
      </c>
      <c r="AC35" s="39">
        <f t="shared" si="27"/>
        <v>3</v>
      </c>
      <c r="AD35" s="39">
        <f t="shared" si="27"/>
        <v>0</v>
      </c>
      <c r="AE35" s="40">
        <f t="shared" si="27"/>
        <v>3</v>
      </c>
      <c r="AF35" s="40">
        <f t="shared" si="27"/>
        <v>6</v>
      </c>
    </row>
    <row r="36" spans="2:32" ht="23.1" customHeight="1" x14ac:dyDescent="0.25">
      <c r="B36" s="46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</v>
      </c>
      <c r="N36" s="50">
        <v>0</v>
      </c>
      <c r="O36" s="15">
        <f t="shared" si="0"/>
        <v>0</v>
      </c>
      <c r="P36" s="15">
        <f t="shared" si="1"/>
        <v>1</v>
      </c>
      <c r="R36" s="38" t="s">
        <v>92</v>
      </c>
      <c r="S36" s="39">
        <f t="shared" ref="S36:AF36" si="28">MAX(S19:S21)</f>
        <v>0</v>
      </c>
      <c r="T36" s="39">
        <f t="shared" si="28"/>
        <v>2</v>
      </c>
      <c r="U36" s="39">
        <f t="shared" si="28"/>
        <v>3</v>
      </c>
      <c r="V36" s="39">
        <f t="shared" si="28"/>
        <v>0</v>
      </c>
      <c r="W36" s="39">
        <f t="shared" si="28"/>
        <v>0</v>
      </c>
      <c r="X36" s="39">
        <f t="shared" si="28"/>
        <v>0</v>
      </c>
      <c r="Y36" s="39">
        <f t="shared" si="28"/>
        <v>0</v>
      </c>
      <c r="Z36" s="39">
        <f t="shared" si="28"/>
        <v>0</v>
      </c>
      <c r="AA36" s="39">
        <f t="shared" si="28"/>
        <v>0</v>
      </c>
      <c r="AB36" s="39">
        <f t="shared" si="28"/>
        <v>0</v>
      </c>
      <c r="AC36" s="39">
        <f t="shared" si="28"/>
        <v>3</v>
      </c>
      <c r="AD36" s="39">
        <f t="shared" si="28"/>
        <v>0</v>
      </c>
      <c r="AE36" s="40">
        <f t="shared" si="28"/>
        <v>3</v>
      </c>
      <c r="AF36" s="40">
        <f t="shared" si="28"/>
        <v>6</v>
      </c>
    </row>
    <row r="37" spans="2:32" ht="23.1" customHeight="1" x14ac:dyDescent="0.25">
      <c r="B37" s="45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0</v>
      </c>
      <c r="N37" s="50">
        <v>0</v>
      </c>
      <c r="O37" s="15">
        <f t="shared" si="0"/>
        <v>0</v>
      </c>
      <c r="P37" s="15">
        <f t="shared" si="1"/>
        <v>0</v>
      </c>
      <c r="R37" s="37" t="s">
        <v>85</v>
      </c>
      <c r="S37" s="35">
        <f t="shared" ref="S37:AF37" si="29">SUM(S10:S12)</f>
        <v>0</v>
      </c>
      <c r="T37" s="16">
        <f t="shared" si="29"/>
        <v>2</v>
      </c>
      <c r="U37" s="16">
        <f t="shared" si="29"/>
        <v>3</v>
      </c>
      <c r="V37" s="16">
        <f t="shared" si="29"/>
        <v>0</v>
      </c>
      <c r="W37" s="16">
        <f t="shared" si="29"/>
        <v>0</v>
      </c>
      <c r="X37" s="16">
        <f t="shared" si="29"/>
        <v>0</v>
      </c>
      <c r="Y37" s="16">
        <f t="shared" si="29"/>
        <v>3</v>
      </c>
      <c r="Z37" s="16">
        <f t="shared" si="29"/>
        <v>1</v>
      </c>
      <c r="AA37" s="16">
        <f t="shared" si="29"/>
        <v>0</v>
      </c>
      <c r="AB37" s="16">
        <f t="shared" si="29"/>
        <v>0</v>
      </c>
      <c r="AC37" s="16">
        <f t="shared" si="29"/>
        <v>9</v>
      </c>
      <c r="AD37" s="16">
        <f t="shared" si="29"/>
        <v>0</v>
      </c>
      <c r="AE37" s="32">
        <f t="shared" si="29"/>
        <v>9</v>
      </c>
      <c r="AF37" s="32">
        <f t="shared" si="29"/>
        <v>18</v>
      </c>
    </row>
    <row r="38" spans="2:32" ht="23.1" customHeight="1" x14ac:dyDescent="0.25">
      <c r="B38" s="46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0</v>
      </c>
      <c r="N38" s="50">
        <v>0</v>
      </c>
      <c r="O38" s="15">
        <f t="shared" si="0"/>
        <v>1</v>
      </c>
      <c r="P38" s="15">
        <f t="shared" si="1"/>
        <v>1</v>
      </c>
      <c r="R38" s="28" t="s">
        <v>86</v>
      </c>
      <c r="S38" s="16">
        <f t="shared" ref="S38:AF38" si="30">SUM(S13:S18)</f>
        <v>0</v>
      </c>
      <c r="T38" s="16">
        <f t="shared" si="30"/>
        <v>3</v>
      </c>
      <c r="U38" s="16">
        <f t="shared" si="30"/>
        <v>1</v>
      </c>
      <c r="V38" s="16">
        <f t="shared" si="30"/>
        <v>0</v>
      </c>
      <c r="W38" s="16">
        <f t="shared" si="30"/>
        <v>0</v>
      </c>
      <c r="X38" s="16">
        <f t="shared" si="30"/>
        <v>0</v>
      </c>
      <c r="Y38" s="16">
        <f t="shared" si="30"/>
        <v>4</v>
      </c>
      <c r="Z38" s="16">
        <f t="shared" si="30"/>
        <v>0</v>
      </c>
      <c r="AA38" s="16">
        <f t="shared" si="30"/>
        <v>0</v>
      </c>
      <c r="AB38" s="16">
        <f t="shared" si="30"/>
        <v>0</v>
      </c>
      <c r="AC38" s="16">
        <f t="shared" si="30"/>
        <v>10</v>
      </c>
      <c r="AD38" s="16">
        <f t="shared" si="30"/>
        <v>0</v>
      </c>
      <c r="AE38" s="32">
        <f t="shared" si="30"/>
        <v>8</v>
      </c>
      <c r="AF38" s="32">
        <f t="shared" si="30"/>
        <v>18</v>
      </c>
    </row>
    <row r="39" spans="2:32" ht="23.1" customHeight="1" x14ac:dyDescent="0.25">
      <c r="B39" s="46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0</v>
      </c>
      <c r="N39" s="50">
        <v>0</v>
      </c>
      <c r="O39" s="15">
        <f t="shared" si="0"/>
        <v>0</v>
      </c>
      <c r="P39" s="15">
        <f t="shared" si="1"/>
        <v>0</v>
      </c>
      <c r="R39" s="29" t="s">
        <v>87</v>
      </c>
      <c r="S39" s="16">
        <f t="shared" ref="S39:AF39" si="31">SUM(S19:S21)</f>
        <v>0</v>
      </c>
      <c r="T39" s="16">
        <f t="shared" si="31"/>
        <v>3</v>
      </c>
      <c r="U39" s="16">
        <f t="shared" si="31"/>
        <v>5</v>
      </c>
      <c r="V39" s="16">
        <f t="shared" si="31"/>
        <v>0</v>
      </c>
      <c r="W39" s="16">
        <f t="shared" si="31"/>
        <v>0</v>
      </c>
      <c r="X39" s="16">
        <f t="shared" si="31"/>
        <v>0</v>
      </c>
      <c r="Y39" s="16">
        <f t="shared" si="31"/>
        <v>0</v>
      </c>
      <c r="Z39" s="16">
        <f t="shared" si="31"/>
        <v>0</v>
      </c>
      <c r="AA39" s="16">
        <f t="shared" si="31"/>
        <v>0</v>
      </c>
      <c r="AB39" s="16">
        <f t="shared" si="31"/>
        <v>0</v>
      </c>
      <c r="AC39" s="16">
        <f t="shared" si="31"/>
        <v>8</v>
      </c>
      <c r="AD39" s="16">
        <f t="shared" si="31"/>
        <v>0</v>
      </c>
      <c r="AE39" s="32">
        <f t="shared" si="31"/>
        <v>8</v>
      </c>
      <c r="AF39" s="32">
        <f t="shared" si="31"/>
        <v>16</v>
      </c>
    </row>
    <row r="40" spans="2:32" ht="23.1" customHeight="1" x14ac:dyDescent="0.25">
      <c r="B40" s="46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0</v>
      </c>
      <c r="N40" s="50">
        <v>0</v>
      </c>
      <c r="O40" s="15">
        <f t="shared" si="0"/>
        <v>0</v>
      </c>
      <c r="P40" s="15">
        <f t="shared" si="1"/>
        <v>0</v>
      </c>
      <c r="R40" s="5" t="s">
        <v>17</v>
      </c>
      <c r="S40" s="16">
        <f t="shared" ref="S40:AF40" si="32">SUM(S10:S21)</f>
        <v>0</v>
      </c>
      <c r="T40" s="16">
        <f t="shared" si="32"/>
        <v>8</v>
      </c>
      <c r="U40" s="16">
        <f t="shared" si="32"/>
        <v>9</v>
      </c>
      <c r="V40" s="16">
        <f t="shared" si="32"/>
        <v>0</v>
      </c>
      <c r="W40" s="16">
        <f t="shared" si="32"/>
        <v>0</v>
      </c>
      <c r="X40" s="16">
        <f t="shared" si="32"/>
        <v>0</v>
      </c>
      <c r="Y40" s="16">
        <f t="shared" si="32"/>
        <v>7</v>
      </c>
      <c r="Z40" s="16">
        <f t="shared" si="32"/>
        <v>1</v>
      </c>
      <c r="AA40" s="16">
        <f t="shared" si="32"/>
        <v>0</v>
      </c>
      <c r="AB40" s="16">
        <f t="shared" si="32"/>
        <v>0</v>
      </c>
      <c r="AC40" s="16">
        <f t="shared" si="32"/>
        <v>27</v>
      </c>
      <c r="AD40" s="16">
        <f t="shared" si="32"/>
        <v>0</v>
      </c>
      <c r="AE40" s="32">
        <f t="shared" si="32"/>
        <v>25</v>
      </c>
      <c r="AF40" s="32">
        <f t="shared" si="32"/>
        <v>52</v>
      </c>
    </row>
    <row r="41" spans="2:32" ht="23.1" customHeight="1" x14ac:dyDescent="0.25">
      <c r="B41" s="45" t="s">
        <v>68</v>
      </c>
      <c r="C41" s="50">
        <v>0</v>
      </c>
      <c r="D41" s="50">
        <v>0</v>
      </c>
      <c r="E41" s="50">
        <v>1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0</v>
      </c>
      <c r="N41" s="50">
        <v>0</v>
      </c>
      <c r="O41" s="15">
        <f t="shared" si="0"/>
        <v>1</v>
      </c>
      <c r="P41" s="15">
        <f t="shared" si="1"/>
        <v>1</v>
      </c>
      <c r="R41" s="5" t="s">
        <v>159</v>
      </c>
      <c r="S41" s="16">
        <f>SUM(S10:S33)</f>
        <v>3</v>
      </c>
      <c r="T41" s="16">
        <f t="shared" ref="T41:AF41" si="33">SUM(T10:T33)</f>
        <v>29</v>
      </c>
      <c r="U41" s="16">
        <f t="shared" si="33"/>
        <v>26</v>
      </c>
      <c r="V41" s="16">
        <f t="shared" si="33"/>
        <v>0</v>
      </c>
      <c r="W41" s="16">
        <f t="shared" si="33"/>
        <v>0</v>
      </c>
      <c r="X41" s="16">
        <f t="shared" si="33"/>
        <v>2</v>
      </c>
      <c r="Y41" s="16">
        <f t="shared" si="33"/>
        <v>24</v>
      </c>
      <c r="Z41" s="16">
        <f t="shared" si="33"/>
        <v>7</v>
      </c>
      <c r="AA41" s="16">
        <f t="shared" si="33"/>
        <v>1</v>
      </c>
      <c r="AB41" s="16">
        <f t="shared" si="33"/>
        <v>0</v>
      </c>
      <c r="AC41" s="16">
        <f t="shared" si="33"/>
        <v>60</v>
      </c>
      <c r="AD41" s="16">
        <f t="shared" si="33"/>
        <v>0</v>
      </c>
      <c r="AE41" s="32">
        <f t="shared" si="33"/>
        <v>92</v>
      </c>
      <c r="AF41" s="32">
        <f t="shared" si="33"/>
        <v>152</v>
      </c>
    </row>
    <row r="42" spans="2:32" ht="23.1" customHeight="1" x14ac:dyDescent="0.25">
      <c r="B42" s="46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</v>
      </c>
      <c r="N42" s="50">
        <v>0</v>
      </c>
      <c r="O42" s="15">
        <v>0</v>
      </c>
      <c r="P42" s="15">
        <f t="shared" si="1"/>
        <v>1</v>
      </c>
      <c r="R42" s="5" t="s">
        <v>160</v>
      </c>
      <c r="S42" s="48" t="e">
        <f>S41/S40</f>
        <v>#DIV/0!</v>
      </c>
      <c r="T42" s="48">
        <f t="shared" ref="T42:AF42" si="34">T41/T40</f>
        <v>3.625</v>
      </c>
      <c r="U42" s="48">
        <f t="shared" si="34"/>
        <v>2.8888888888888888</v>
      </c>
      <c r="V42" s="48" t="e">
        <f t="shared" si="34"/>
        <v>#DIV/0!</v>
      </c>
      <c r="W42" s="48" t="e">
        <f t="shared" si="34"/>
        <v>#DIV/0!</v>
      </c>
      <c r="X42" s="48" t="e">
        <f t="shared" si="34"/>
        <v>#DIV/0!</v>
      </c>
      <c r="Y42" s="48">
        <f t="shared" si="34"/>
        <v>3.4285714285714284</v>
      </c>
      <c r="Z42" s="48">
        <f t="shared" si="34"/>
        <v>7</v>
      </c>
      <c r="AA42" s="48" t="e">
        <f t="shared" si="34"/>
        <v>#DIV/0!</v>
      </c>
      <c r="AB42" s="48" t="e">
        <f t="shared" si="34"/>
        <v>#DIV/0!</v>
      </c>
      <c r="AC42" s="48">
        <f t="shared" si="34"/>
        <v>2.2222222222222223</v>
      </c>
      <c r="AD42" s="48" t="e">
        <f t="shared" si="34"/>
        <v>#DIV/0!</v>
      </c>
      <c r="AE42" s="48">
        <f t="shared" si="34"/>
        <v>3.68</v>
      </c>
      <c r="AF42" s="48">
        <f t="shared" si="34"/>
        <v>2.9230769230769229</v>
      </c>
    </row>
    <row r="43" spans="2:32" ht="23.1" customHeight="1" x14ac:dyDescent="0.25">
      <c r="B43" s="45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0</v>
      </c>
      <c r="N43" s="50">
        <v>0</v>
      </c>
      <c r="O43" s="15">
        <f t="shared" si="0"/>
        <v>1</v>
      </c>
      <c r="P43" s="15">
        <f t="shared" si="1"/>
        <v>1</v>
      </c>
    </row>
    <row r="44" spans="2:32" ht="23.1" customHeight="1" x14ac:dyDescent="0.25">
      <c r="B44" s="47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0</v>
      </c>
      <c r="N44" s="50">
        <v>0</v>
      </c>
      <c r="O44" s="15">
        <f t="shared" si="0"/>
        <v>0</v>
      </c>
      <c r="P44" s="15">
        <f t="shared" si="1"/>
        <v>0</v>
      </c>
    </row>
    <row r="45" spans="2:32" ht="23.1" customHeight="1" x14ac:dyDescent="0.25">
      <c r="B45" s="45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</v>
      </c>
      <c r="N45" s="50">
        <v>0</v>
      </c>
      <c r="O45" s="15">
        <f t="shared" si="0"/>
        <v>0</v>
      </c>
      <c r="P45" s="15">
        <f t="shared" si="1"/>
        <v>1</v>
      </c>
    </row>
    <row r="46" spans="2:32" ht="23.1" customHeight="1" x14ac:dyDescent="0.25">
      <c r="B46" s="46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</v>
      </c>
      <c r="N46" s="50">
        <v>0</v>
      </c>
      <c r="O46" s="15">
        <v>0</v>
      </c>
      <c r="P46" s="15">
        <v>1</v>
      </c>
      <c r="R46" s="8"/>
      <c r="T46"/>
    </row>
    <row r="47" spans="2:32" ht="23.1" customHeight="1" x14ac:dyDescent="0.25">
      <c r="B47" s="46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0</v>
      </c>
      <c r="N47" s="50">
        <v>0</v>
      </c>
      <c r="O47" s="15">
        <v>0</v>
      </c>
      <c r="P47" s="15">
        <v>0</v>
      </c>
      <c r="R47" s="8"/>
      <c r="T47"/>
    </row>
    <row r="48" spans="2:32" ht="23.1" customHeight="1" x14ac:dyDescent="0.25">
      <c r="B48" s="46" t="s">
        <v>75</v>
      </c>
      <c r="C48" s="50">
        <v>0</v>
      </c>
      <c r="D48" s="50">
        <v>1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1</v>
      </c>
      <c r="N48" s="50">
        <v>0</v>
      </c>
      <c r="O48" s="15">
        <f t="shared" si="0"/>
        <v>1</v>
      </c>
      <c r="P48" s="15">
        <f t="shared" si="1"/>
        <v>2</v>
      </c>
      <c r="R48" s="8"/>
      <c r="T48"/>
    </row>
    <row r="49" spans="2:20" ht="23.1" customHeight="1" x14ac:dyDescent="0.25">
      <c r="B49" s="45" t="s">
        <v>76</v>
      </c>
      <c r="C49" s="50">
        <v>0</v>
      </c>
      <c r="D49" s="50">
        <v>0</v>
      </c>
      <c r="E49" s="50">
        <v>1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0</v>
      </c>
      <c r="N49" s="50">
        <v>0</v>
      </c>
      <c r="O49" s="15">
        <f t="shared" si="0"/>
        <v>1</v>
      </c>
      <c r="P49" s="15">
        <f t="shared" si="1"/>
        <v>1</v>
      </c>
      <c r="R49" s="8"/>
      <c r="T49"/>
    </row>
    <row r="50" spans="2:20" ht="23.1" customHeight="1" x14ac:dyDescent="0.25">
      <c r="B50" s="46" t="s">
        <v>77</v>
      </c>
      <c r="C50" s="50">
        <v>0</v>
      </c>
      <c r="D50" s="50">
        <v>0</v>
      </c>
      <c r="E50" s="50">
        <v>1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</v>
      </c>
      <c r="N50" s="50">
        <v>0</v>
      </c>
      <c r="O50" s="15">
        <f t="shared" si="0"/>
        <v>1</v>
      </c>
      <c r="P50" s="15">
        <f t="shared" si="1"/>
        <v>2</v>
      </c>
      <c r="R50" s="8"/>
      <c r="T50"/>
    </row>
    <row r="51" spans="2:20" ht="23.1" customHeight="1" x14ac:dyDescent="0.25">
      <c r="B51" s="46" t="s">
        <v>78</v>
      </c>
      <c r="C51" s="50">
        <v>0</v>
      </c>
      <c r="D51" s="50">
        <v>0</v>
      </c>
      <c r="E51" s="50">
        <v>1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</v>
      </c>
      <c r="N51" s="50">
        <v>0</v>
      </c>
      <c r="O51" s="15">
        <f t="shared" si="0"/>
        <v>1</v>
      </c>
      <c r="P51" s="15">
        <f t="shared" si="1"/>
        <v>2</v>
      </c>
      <c r="R51" s="8"/>
      <c r="T51"/>
    </row>
    <row r="52" spans="2:20" ht="23.1" customHeight="1" x14ac:dyDescent="0.25">
      <c r="B52" s="46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0</v>
      </c>
      <c r="N52" s="50">
        <v>0</v>
      </c>
      <c r="O52" s="15">
        <f t="shared" si="0"/>
        <v>0</v>
      </c>
      <c r="P52" s="15">
        <f t="shared" si="1"/>
        <v>0</v>
      </c>
      <c r="R52" s="8"/>
      <c r="T52"/>
    </row>
    <row r="53" spans="2:20" ht="23.1" customHeight="1" x14ac:dyDescent="0.25">
      <c r="B53" s="45" t="s">
        <v>80</v>
      </c>
      <c r="C53" s="50">
        <v>0</v>
      </c>
      <c r="D53" s="50">
        <v>0</v>
      </c>
      <c r="E53" s="50">
        <v>1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</v>
      </c>
      <c r="N53" s="50">
        <v>0</v>
      </c>
      <c r="O53" s="15">
        <f t="shared" si="0"/>
        <v>1</v>
      </c>
      <c r="P53" s="15">
        <f t="shared" si="1"/>
        <v>2</v>
      </c>
      <c r="R53" s="8"/>
      <c r="T53"/>
    </row>
    <row r="54" spans="2:20" ht="23.1" customHeight="1" x14ac:dyDescent="0.25">
      <c r="B54" s="45" t="s">
        <v>81</v>
      </c>
      <c r="C54" s="50">
        <v>0</v>
      </c>
      <c r="D54" s="50">
        <v>1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</v>
      </c>
      <c r="N54" s="50">
        <v>0</v>
      </c>
      <c r="O54" s="15">
        <f t="shared" si="0"/>
        <v>1</v>
      </c>
      <c r="P54" s="15">
        <f t="shared" si="1"/>
        <v>2</v>
      </c>
      <c r="R54" s="8"/>
      <c r="T54"/>
    </row>
    <row r="55" spans="2:20" ht="23.1" customHeight="1" x14ac:dyDescent="0.25">
      <c r="B55" s="45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</v>
      </c>
      <c r="N55" s="50">
        <v>0</v>
      </c>
      <c r="O55" s="15">
        <f t="shared" si="0"/>
        <v>0</v>
      </c>
      <c r="P55" s="15">
        <f t="shared" si="1"/>
        <v>1</v>
      </c>
      <c r="R55" s="8"/>
      <c r="T55"/>
    </row>
    <row r="56" spans="2:20" ht="23.1" customHeight="1" x14ac:dyDescent="0.25">
      <c r="B56" s="45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0</v>
      </c>
      <c r="N56" s="50">
        <v>0</v>
      </c>
      <c r="O56" s="15">
        <f t="shared" si="0"/>
        <v>0</v>
      </c>
      <c r="P56" s="15">
        <f t="shared" si="1"/>
        <v>0</v>
      </c>
      <c r="R56" s="8"/>
      <c r="T56"/>
    </row>
    <row r="57" spans="2:20" ht="23.1" customHeight="1" x14ac:dyDescent="0.25">
      <c r="B57" s="45" t="s">
        <v>84</v>
      </c>
      <c r="C57" s="50">
        <v>0</v>
      </c>
      <c r="D57" s="50">
        <v>1</v>
      </c>
      <c r="E57" s="50">
        <v>1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1</v>
      </c>
      <c r="N57" s="50">
        <v>0</v>
      </c>
      <c r="O57" s="15">
        <f t="shared" si="0"/>
        <v>2</v>
      </c>
      <c r="P57" s="15">
        <f t="shared" si="1"/>
        <v>3</v>
      </c>
      <c r="R57" s="8"/>
      <c r="T57"/>
    </row>
    <row r="58" spans="2:20" ht="23.1" customHeight="1" x14ac:dyDescent="0.25">
      <c r="B58" s="45" t="s">
        <v>99</v>
      </c>
      <c r="C58" s="50">
        <v>0</v>
      </c>
      <c r="D58" s="50">
        <v>1</v>
      </c>
      <c r="E58" s="50">
        <v>1</v>
      </c>
      <c r="F58" s="50">
        <v>0</v>
      </c>
      <c r="G58" s="50">
        <v>0</v>
      </c>
      <c r="H58" s="50">
        <v>0</v>
      </c>
      <c r="I58" s="50">
        <v>2</v>
      </c>
      <c r="J58" s="50">
        <v>0</v>
      </c>
      <c r="K58" s="50">
        <v>0</v>
      </c>
      <c r="L58" s="50">
        <v>0</v>
      </c>
      <c r="M58" s="50">
        <v>1</v>
      </c>
      <c r="N58" s="50">
        <v>0</v>
      </c>
      <c r="O58" s="15">
        <f t="shared" si="0"/>
        <v>4</v>
      </c>
      <c r="P58" s="15">
        <f t="shared" si="1"/>
        <v>5</v>
      </c>
      <c r="R58" s="8"/>
      <c r="T58"/>
    </row>
    <row r="59" spans="2:20" ht="23.1" customHeight="1" x14ac:dyDescent="0.25">
      <c r="B59" s="45" t="s">
        <v>100</v>
      </c>
      <c r="C59" s="50">
        <v>1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1</v>
      </c>
      <c r="K59" s="50">
        <v>1</v>
      </c>
      <c r="L59" s="50">
        <v>0</v>
      </c>
      <c r="M59" s="50">
        <v>1</v>
      </c>
      <c r="N59" s="50">
        <v>0</v>
      </c>
      <c r="O59" s="15">
        <f t="shared" si="0"/>
        <v>3</v>
      </c>
      <c r="P59" s="15">
        <f t="shared" si="1"/>
        <v>4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1</v>
      </c>
      <c r="E60" s="50">
        <v>0</v>
      </c>
      <c r="F60" s="50">
        <v>0</v>
      </c>
      <c r="G60" s="50">
        <v>0</v>
      </c>
      <c r="H60" s="50">
        <v>0</v>
      </c>
      <c r="I60" s="50">
        <v>1</v>
      </c>
      <c r="J60" s="50">
        <v>0</v>
      </c>
      <c r="K60" s="50">
        <v>0</v>
      </c>
      <c r="L60" s="50">
        <v>0</v>
      </c>
      <c r="M60" s="50">
        <v>1</v>
      </c>
      <c r="N60" s="50">
        <v>0</v>
      </c>
      <c r="O60" s="15">
        <v>2</v>
      </c>
      <c r="P60" s="15">
        <f t="shared" si="1"/>
        <v>3</v>
      </c>
      <c r="R60" s="8"/>
      <c r="T60"/>
    </row>
    <row r="61" spans="2:20" ht="23.1" customHeight="1" x14ac:dyDescent="0.25">
      <c r="B61" s="45" t="s">
        <v>102</v>
      </c>
      <c r="C61" s="50">
        <v>1</v>
      </c>
      <c r="D61" s="50">
        <v>1</v>
      </c>
      <c r="E61" s="50">
        <v>1</v>
      </c>
      <c r="F61" s="50">
        <v>0</v>
      </c>
      <c r="G61" s="50">
        <v>0</v>
      </c>
      <c r="H61" s="50">
        <v>0</v>
      </c>
      <c r="I61" s="50">
        <v>1</v>
      </c>
      <c r="J61" s="50">
        <v>1</v>
      </c>
      <c r="K61" s="50">
        <v>0</v>
      </c>
      <c r="L61" s="50">
        <v>0</v>
      </c>
      <c r="M61" s="50">
        <v>0</v>
      </c>
      <c r="N61" s="50">
        <v>0</v>
      </c>
      <c r="O61" s="15">
        <f t="shared" si="0"/>
        <v>5</v>
      </c>
      <c r="P61" s="15">
        <f t="shared" si="1"/>
        <v>5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1</v>
      </c>
      <c r="E62" s="50">
        <v>1</v>
      </c>
      <c r="F62" s="50">
        <v>0</v>
      </c>
      <c r="G62" s="50">
        <v>0</v>
      </c>
      <c r="H62" s="50">
        <v>0</v>
      </c>
      <c r="I62" s="50">
        <v>1</v>
      </c>
      <c r="J62" s="50">
        <v>0</v>
      </c>
      <c r="K62" s="50">
        <v>0</v>
      </c>
      <c r="L62" s="50">
        <v>0</v>
      </c>
      <c r="M62" s="50">
        <v>1</v>
      </c>
      <c r="N62" s="50">
        <v>0</v>
      </c>
      <c r="O62" s="15">
        <f t="shared" si="0"/>
        <v>3</v>
      </c>
      <c r="P62" s="15">
        <f t="shared" si="1"/>
        <v>4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1</v>
      </c>
      <c r="F63" s="50">
        <v>0</v>
      </c>
      <c r="G63" s="50">
        <v>0</v>
      </c>
      <c r="H63" s="50">
        <v>0</v>
      </c>
      <c r="I63" s="50">
        <v>1</v>
      </c>
      <c r="J63" s="50">
        <v>1</v>
      </c>
      <c r="K63" s="50">
        <v>0</v>
      </c>
      <c r="L63" s="50">
        <v>0</v>
      </c>
      <c r="M63" s="50">
        <v>1</v>
      </c>
      <c r="N63" s="50">
        <v>0</v>
      </c>
      <c r="O63" s="15">
        <f t="shared" si="0"/>
        <v>3</v>
      </c>
      <c r="P63" s="15">
        <f t="shared" si="1"/>
        <v>4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1</v>
      </c>
      <c r="J64" s="50">
        <v>0</v>
      </c>
      <c r="K64" s="50">
        <v>0</v>
      </c>
      <c r="L64" s="50">
        <v>0</v>
      </c>
      <c r="M64" s="50">
        <v>0</v>
      </c>
      <c r="N64" s="50">
        <v>0</v>
      </c>
      <c r="O64" s="15">
        <f t="shared" si="0"/>
        <v>1</v>
      </c>
      <c r="P64" s="15">
        <f t="shared" si="1"/>
        <v>1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2</v>
      </c>
      <c r="N65" s="50">
        <v>0</v>
      </c>
      <c r="O65" s="15">
        <f t="shared" si="0"/>
        <v>0</v>
      </c>
      <c r="P65" s="15">
        <f t="shared" si="1"/>
        <v>2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1</v>
      </c>
      <c r="K66" s="50">
        <v>0</v>
      </c>
      <c r="L66" s="50">
        <v>0</v>
      </c>
      <c r="M66" s="50">
        <v>2</v>
      </c>
      <c r="N66" s="50">
        <v>0</v>
      </c>
      <c r="O66" s="15">
        <f t="shared" si="0"/>
        <v>1</v>
      </c>
      <c r="P66" s="15">
        <f t="shared" si="1"/>
        <v>3</v>
      </c>
      <c r="R66" s="8"/>
      <c r="T66"/>
    </row>
    <row r="67" spans="2:20" ht="23.1" customHeight="1" x14ac:dyDescent="0.25">
      <c r="B67" s="45" t="s">
        <v>104</v>
      </c>
      <c r="C67" s="50">
        <v>1</v>
      </c>
      <c r="D67" s="50">
        <v>1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1</v>
      </c>
      <c r="N67" s="50">
        <v>0</v>
      </c>
      <c r="O67" s="15">
        <f t="shared" si="0"/>
        <v>2</v>
      </c>
      <c r="P67" s="15">
        <f t="shared" si="1"/>
        <v>3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2</v>
      </c>
      <c r="N68" s="50">
        <v>0</v>
      </c>
      <c r="O68" s="15">
        <f t="shared" si="0"/>
        <v>0</v>
      </c>
      <c r="P68" s="15">
        <f t="shared" si="1"/>
        <v>2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0</v>
      </c>
      <c r="N69" s="50">
        <v>0</v>
      </c>
      <c r="O69" s="15">
        <f t="shared" si="0"/>
        <v>0</v>
      </c>
      <c r="P69" s="15">
        <f t="shared" si="1"/>
        <v>0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1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1</v>
      </c>
      <c r="N70" s="50">
        <v>0</v>
      </c>
      <c r="O70" s="15">
        <f t="shared" si="0"/>
        <v>1</v>
      </c>
      <c r="P70" s="15">
        <f t="shared" si="1"/>
        <v>2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1</v>
      </c>
      <c r="J71" s="50">
        <v>0</v>
      </c>
      <c r="K71" s="50">
        <v>0</v>
      </c>
      <c r="L71" s="50">
        <v>0</v>
      </c>
      <c r="M71" s="50">
        <v>0</v>
      </c>
      <c r="N71" s="50">
        <v>0</v>
      </c>
      <c r="O71" s="15">
        <f t="shared" si="0"/>
        <v>1</v>
      </c>
      <c r="P71" s="15">
        <f t="shared" si="1"/>
        <v>1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1</v>
      </c>
      <c r="N72" s="50">
        <v>0</v>
      </c>
      <c r="O72" s="15">
        <f t="shared" si="0"/>
        <v>0</v>
      </c>
      <c r="P72" s="15">
        <f t="shared" si="1"/>
        <v>1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1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1</v>
      </c>
      <c r="N73" s="50">
        <v>0</v>
      </c>
      <c r="O73" s="15">
        <f t="shared" si="0"/>
        <v>1</v>
      </c>
      <c r="P73" s="15">
        <f t="shared" si="1"/>
        <v>2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0</v>
      </c>
      <c r="N74" s="50">
        <v>0</v>
      </c>
      <c r="O74" s="15">
        <f t="shared" ref="O74:O105" si="35">SUM(C74:L74,N74)</f>
        <v>0</v>
      </c>
      <c r="P74" s="15">
        <f t="shared" ref="P74:P105" si="36">SUM(C74:N74)</f>
        <v>0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1</v>
      </c>
      <c r="N75" s="50">
        <v>0</v>
      </c>
      <c r="O75" s="15">
        <f t="shared" si="35"/>
        <v>0</v>
      </c>
      <c r="P75" s="15">
        <f t="shared" si="36"/>
        <v>1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1</v>
      </c>
      <c r="N76" s="50">
        <v>0</v>
      </c>
      <c r="O76" s="15">
        <f t="shared" si="35"/>
        <v>0</v>
      </c>
      <c r="P76" s="15">
        <f t="shared" si="36"/>
        <v>1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1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1</v>
      </c>
      <c r="N77" s="50">
        <v>0</v>
      </c>
      <c r="O77" s="15">
        <f t="shared" si="35"/>
        <v>1</v>
      </c>
      <c r="P77" s="15">
        <f t="shared" si="36"/>
        <v>2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1</v>
      </c>
      <c r="N78" s="50">
        <v>0</v>
      </c>
      <c r="O78" s="15">
        <f t="shared" si="35"/>
        <v>0</v>
      </c>
      <c r="P78" s="15">
        <f t="shared" si="36"/>
        <v>1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1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2</v>
      </c>
      <c r="N79" s="50">
        <v>0</v>
      </c>
      <c r="O79" s="15">
        <f t="shared" si="35"/>
        <v>1</v>
      </c>
      <c r="P79" s="15">
        <f t="shared" si="36"/>
        <v>3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1</v>
      </c>
      <c r="N80" s="50">
        <v>0</v>
      </c>
      <c r="O80" s="15">
        <f t="shared" si="35"/>
        <v>0</v>
      </c>
      <c r="P80" s="15">
        <f t="shared" si="36"/>
        <v>1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0</v>
      </c>
      <c r="P81" s="15">
        <f t="shared" si="36"/>
        <v>0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1</v>
      </c>
      <c r="E82" s="50">
        <v>0</v>
      </c>
      <c r="F82" s="50">
        <v>0</v>
      </c>
      <c r="G82" s="50">
        <v>0</v>
      </c>
      <c r="H82" s="50">
        <v>0</v>
      </c>
      <c r="I82" s="50">
        <v>1</v>
      </c>
      <c r="J82" s="50">
        <v>0</v>
      </c>
      <c r="K82" s="50">
        <v>0</v>
      </c>
      <c r="L82" s="50">
        <v>0</v>
      </c>
      <c r="M82" s="50">
        <v>2</v>
      </c>
      <c r="N82" s="50">
        <v>0</v>
      </c>
      <c r="O82" s="15">
        <f t="shared" si="35"/>
        <v>2</v>
      </c>
      <c r="P82" s="15">
        <f t="shared" si="36"/>
        <v>4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1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1</v>
      </c>
      <c r="N83" s="50">
        <v>0</v>
      </c>
      <c r="O83" s="15">
        <f t="shared" si="35"/>
        <v>1</v>
      </c>
      <c r="P83" s="15">
        <f t="shared" si="36"/>
        <v>2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1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1</v>
      </c>
      <c r="N84" s="50">
        <v>0</v>
      </c>
      <c r="O84" s="15">
        <f t="shared" si="35"/>
        <v>1</v>
      </c>
      <c r="P84" s="15">
        <f t="shared" si="36"/>
        <v>2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1</v>
      </c>
      <c r="E86" s="50">
        <v>0</v>
      </c>
      <c r="F86" s="50">
        <v>0</v>
      </c>
      <c r="G86" s="50">
        <v>0</v>
      </c>
      <c r="H86" s="50">
        <v>0</v>
      </c>
      <c r="I86" s="50">
        <v>1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2</v>
      </c>
      <c r="P86" s="15">
        <f t="shared" si="36"/>
        <v>2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1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1</v>
      </c>
      <c r="P88" s="15">
        <f t="shared" si="36"/>
        <v>1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1</v>
      </c>
      <c r="E89" s="50">
        <v>1</v>
      </c>
      <c r="F89" s="50">
        <v>0</v>
      </c>
      <c r="G89" s="50">
        <v>0</v>
      </c>
      <c r="H89" s="50">
        <v>0</v>
      </c>
      <c r="I89" s="50">
        <v>1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3</v>
      </c>
      <c r="P89" s="15">
        <f t="shared" si="36"/>
        <v>3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1</v>
      </c>
      <c r="F90" s="50">
        <v>0</v>
      </c>
      <c r="G90" s="50">
        <v>0</v>
      </c>
      <c r="H90" s="50">
        <v>0</v>
      </c>
      <c r="I90" s="50">
        <v>1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2</v>
      </c>
      <c r="P90" s="15">
        <f t="shared" si="36"/>
        <v>2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1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1</v>
      </c>
      <c r="P91" s="15">
        <f t="shared" si="36"/>
        <v>1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1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1</v>
      </c>
      <c r="P92" s="15">
        <f t="shared" si="36"/>
        <v>1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1</v>
      </c>
      <c r="E93" s="50">
        <v>0</v>
      </c>
      <c r="F93" s="50">
        <v>0</v>
      </c>
      <c r="G93" s="50">
        <v>0</v>
      </c>
      <c r="H93" s="50">
        <v>0</v>
      </c>
      <c r="I93" s="50">
        <v>1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2</v>
      </c>
      <c r="P93" s="15">
        <f t="shared" si="36"/>
        <v>2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1</v>
      </c>
      <c r="E94" s="50">
        <v>0</v>
      </c>
      <c r="F94" s="50">
        <v>0</v>
      </c>
      <c r="G94" s="50">
        <v>0</v>
      </c>
      <c r="H94" s="50">
        <v>0</v>
      </c>
      <c r="I94" s="50">
        <v>1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2</v>
      </c>
      <c r="P94" s="15">
        <f t="shared" si="36"/>
        <v>2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1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1</v>
      </c>
      <c r="P95" s="15">
        <f t="shared" si="36"/>
        <v>1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1</v>
      </c>
      <c r="E96" s="50">
        <v>1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1</v>
      </c>
      <c r="N96" s="50">
        <v>0</v>
      </c>
      <c r="O96" s="15">
        <f t="shared" si="35"/>
        <v>2</v>
      </c>
      <c r="P96" s="15">
        <f t="shared" si="36"/>
        <v>3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1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1</v>
      </c>
      <c r="P97" s="15">
        <f t="shared" si="36"/>
        <v>1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1</v>
      </c>
      <c r="E98" s="50">
        <v>1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1</v>
      </c>
      <c r="N98" s="50">
        <v>0</v>
      </c>
      <c r="O98" s="15">
        <f t="shared" si="35"/>
        <v>2</v>
      </c>
      <c r="P98" s="15">
        <f t="shared" si="36"/>
        <v>3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1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1</v>
      </c>
      <c r="N99" s="50">
        <v>0</v>
      </c>
      <c r="O99" s="15">
        <f t="shared" si="35"/>
        <v>1</v>
      </c>
      <c r="P99" s="15">
        <f t="shared" si="36"/>
        <v>2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1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1</v>
      </c>
      <c r="P100" s="15">
        <f t="shared" si="36"/>
        <v>1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1</v>
      </c>
      <c r="E101" s="50">
        <v>1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1</v>
      </c>
      <c r="N101" s="50">
        <v>0</v>
      </c>
      <c r="O101" s="15">
        <f t="shared" si="35"/>
        <v>2</v>
      </c>
      <c r="P101" s="15">
        <f t="shared" si="36"/>
        <v>3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1</v>
      </c>
      <c r="E102" s="50">
        <v>1</v>
      </c>
      <c r="F102" s="50">
        <v>0</v>
      </c>
      <c r="G102" s="50">
        <v>0</v>
      </c>
      <c r="H102" s="50">
        <v>1</v>
      </c>
      <c r="I102" s="50">
        <v>0</v>
      </c>
      <c r="J102" s="50">
        <v>1</v>
      </c>
      <c r="K102" s="50">
        <v>0</v>
      </c>
      <c r="L102" s="50">
        <v>0</v>
      </c>
      <c r="M102" s="50">
        <v>1</v>
      </c>
      <c r="N102" s="50">
        <v>0</v>
      </c>
      <c r="O102" s="15">
        <f t="shared" si="35"/>
        <v>4</v>
      </c>
      <c r="P102" s="15">
        <f t="shared" si="36"/>
        <v>5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1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1</v>
      </c>
      <c r="N103" s="50">
        <v>0</v>
      </c>
      <c r="O103" s="15">
        <f t="shared" si="35"/>
        <v>1</v>
      </c>
      <c r="P103" s="15">
        <f t="shared" si="36"/>
        <v>2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1</v>
      </c>
      <c r="F104" s="50">
        <v>0</v>
      </c>
      <c r="G104" s="50">
        <v>0</v>
      </c>
      <c r="H104" s="50">
        <v>1</v>
      </c>
      <c r="I104" s="50">
        <v>0</v>
      </c>
      <c r="J104" s="50">
        <v>0</v>
      </c>
      <c r="K104" s="50">
        <v>0</v>
      </c>
      <c r="L104" s="50">
        <v>0</v>
      </c>
      <c r="M104" s="50">
        <v>0</v>
      </c>
      <c r="N104" s="50">
        <v>0</v>
      </c>
      <c r="O104" s="15">
        <f t="shared" si="35"/>
        <v>2</v>
      </c>
      <c r="P104" s="15">
        <f t="shared" si="36"/>
        <v>2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1</v>
      </c>
      <c r="E105" s="50">
        <v>1</v>
      </c>
      <c r="F105" s="50">
        <v>0</v>
      </c>
      <c r="G105" s="50">
        <v>0</v>
      </c>
      <c r="H105" s="50">
        <v>0</v>
      </c>
      <c r="I105" s="50">
        <v>1</v>
      </c>
      <c r="J105" s="50">
        <v>0</v>
      </c>
      <c r="K105" s="50">
        <v>0</v>
      </c>
      <c r="L105" s="50">
        <v>0</v>
      </c>
      <c r="M105" s="50">
        <v>1</v>
      </c>
      <c r="N105" s="50">
        <v>0</v>
      </c>
      <c r="O105" s="15">
        <f t="shared" si="35"/>
        <v>3</v>
      </c>
      <c r="P105" s="15">
        <f t="shared" si="36"/>
        <v>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</v>
      </c>
      <c r="D106" s="16">
        <f t="shared" ref="D106:P106" si="37">SUM(D10:D105)</f>
        <v>29</v>
      </c>
      <c r="E106" s="16">
        <f t="shared" si="37"/>
        <v>26</v>
      </c>
      <c r="F106" s="16">
        <f t="shared" si="37"/>
        <v>0</v>
      </c>
      <c r="G106" s="16">
        <f t="shared" si="37"/>
        <v>0</v>
      </c>
      <c r="H106" s="16">
        <f t="shared" si="37"/>
        <v>2</v>
      </c>
      <c r="I106" s="16">
        <f t="shared" si="37"/>
        <v>24</v>
      </c>
      <c r="J106" s="16">
        <f t="shared" si="37"/>
        <v>7</v>
      </c>
      <c r="K106" s="16">
        <f t="shared" si="37"/>
        <v>1</v>
      </c>
      <c r="L106" s="16">
        <f t="shared" si="37"/>
        <v>0</v>
      </c>
      <c r="M106" s="16">
        <f t="shared" si="37"/>
        <v>60</v>
      </c>
      <c r="N106" s="16">
        <f t="shared" si="37"/>
        <v>0</v>
      </c>
      <c r="O106" s="16">
        <f t="shared" si="37"/>
        <v>92</v>
      </c>
      <c r="P106" s="16">
        <f t="shared" si="37"/>
        <v>152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1.9736842105263157E-2</v>
      </c>
      <c r="D107" s="43">
        <f t="shared" si="38"/>
        <v>0.19078947368421054</v>
      </c>
      <c r="E107" s="43">
        <f t="shared" si="38"/>
        <v>0.17105263157894737</v>
      </c>
      <c r="F107" s="43">
        <f t="shared" si="38"/>
        <v>0</v>
      </c>
      <c r="G107" s="43">
        <f t="shared" si="38"/>
        <v>0</v>
      </c>
      <c r="H107" s="43">
        <f t="shared" si="38"/>
        <v>1.3157894736842105E-2</v>
      </c>
      <c r="I107" s="43">
        <f t="shared" si="38"/>
        <v>0.15789473684210525</v>
      </c>
      <c r="J107" s="43">
        <f t="shared" si="38"/>
        <v>4.6052631578947366E-2</v>
      </c>
      <c r="K107" s="43">
        <f t="shared" si="38"/>
        <v>6.5789473684210523E-3</v>
      </c>
      <c r="L107" s="43">
        <f t="shared" si="38"/>
        <v>0</v>
      </c>
      <c r="M107" s="43">
        <f t="shared" si="38"/>
        <v>0.39473684210526316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3.2608695652173912E-2</v>
      </c>
      <c r="D108" s="44">
        <f t="shared" ref="D108:N108" si="39">D106/$O$106</f>
        <v>0.31521739130434784</v>
      </c>
      <c r="E108" s="44">
        <f t="shared" si="39"/>
        <v>0.28260869565217389</v>
      </c>
      <c r="F108" s="44">
        <f t="shared" si="39"/>
        <v>0</v>
      </c>
      <c r="G108" s="44">
        <f t="shared" si="39"/>
        <v>0</v>
      </c>
      <c r="H108" s="44">
        <f t="shared" si="39"/>
        <v>2.1739130434782608E-2</v>
      </c>
      <c r="I108" s="44">
        <f t="shared" si="39"/>
        <v>0.2608695652173913</v>
      </c>
      <c r="J108" s="44">
        <f t="shared" si="39"/>
        <v>7.6086956521739135E-2</v>
      </c>
      <c r="K108" s="44">
        <f t="shared" si="39"/>
        <v>1.0869565217391304E-2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2" tint="-0.249977111117893"/>
  </sheetPr>
  <dimension ref="B1:AF174"/>
  <sheetViews>
    <sheetView view="pageBreakPreview" topLeftCell="A70" zoomScale="60" workbookViewId="0">
      <selection activeCell="M97" sqref="M9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'05.08 KABONG-KOTIDO'!C3:G3</f>
        <v>MCC - C5 - STN0125 - KAABONG-KOTIDO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'9.08 KABONG-KOTIDO-24h'!D5</f>
        <v>27.07.19</v>
      </c>
      <c r="E5" s="3"/>
      <c r="F5" s="41" t="s">
        <v>1</v>
      </c>
      <c r="G5" s="66" t="str">
        <f>'9.08 KABONG-KOTIDO-24h'!G5:H5</f>
        <v>xxx</v>
      </c>
      <c r="H5" s="67"/>
      <c r="I5" s="14"/>
      <c r="J5" s="2" t="s">
        <v>5</v>
      </c>
      <c r="K5" s="66" t="str">
        <f>'9.08 KABONG-KOTIDO-24h'!K5:L5</f>
        <v>NALUBEGA JOSEPHINE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'05.08 KOTIDO-KABONG'!D6:E6</f>
        <v>KITIDO</v>
      </c>
      <c r="E6" s="67"/>
      <c r="F6" s="2" t="s">
        <v>2</v>
      </c>
      <c r="G6" s="66" t="str">
        <f>'05.08 KOTIDO-KABONG'!G6:H6</f>
        <v>KABONG</v>
      </c>
      <c r="H6" s="67"/>
      <c r="J6" s="2" t="s">
        <v>21</v>
      </c>
      <c r="K6" s="66" t="str">
        <f>'9.08 KABONG-KOTIDO-24h'!K6:L6</f>
        <v>CRANIMER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1</v>
      </c>
      <c r="F10" s="50">
        <v>0</v>
      </c>
      <c r="G10" s="50">
        <v>0</v>
      </c>
      <c r="H10" s="50">
        <v>0</v>
      </c>
      <c r="I10" s="50">
        <v>0</v>
      </c>
      <c r="J10" s="50">
        <v>1</v>
      </c>
      <c r="K10" s="50">
        <v>0</v>
      </c>
      <c r="L10" s="50">
        <v>0</v>
      </c>
      <c r="M10" s="50">
        <v>2</v>
      </c>
      <c r="N10" s="50">
        <v>0</v>
      </c>
      <c r="O10" s="15">
        <f t="shared" ref="O10:O73" si="0">SUM(C10:L10,N10)</f>
        <v>2</v>
      </c>
      <c r="P10" s="15">
        <f t="shared" ref="P10:P73" si="1">SUM(C10:N10)</f>
        <v>4</v>
      </c>
      <c r="R10" s="1" t="s">
        <v>6</v>
      </c>
      <c r="S10" s="17">
        <f t="shared" ref="S10:AF10" si="2">SUM(C10:C13)</f>
        <v>0</v>
      </c>
      <c r="T10" s="17">
        <f t="shared" si="2"/>
        <v>1</v>
      </c>
      <c r="U10" s="17">
        <f t="shared" si="2"/>
        <v>2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3</v>
      </c>
      <c r="AD10" s="17">
        <f t="shared" si="2"/>
        <v>0</v>
      </c>
      <c r="AE10" s="31">
        <f t="shared" si="2"/>
        <v>4</v>
      </c>
      <c r="AF10" s="31">
        <f t="shared" si="2"/>
        <v>7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0</v>
      </c>
      <c r="P11" s="15">
        <f t="shared" si="1"/>
        <v>0</v>
      </c>
      <c r="R11" s="1" t="s">
        <v>7</v>
      </c>
      <c r="S11" s="17">
        <f t="shared" ref="S11:AF11" si="3">SUM(C14:C17)</f>
        <v>0</v>
      </c>
      <c r="T11" s="17">
        <f t="shared" si="3"/>
        <v>1</v>
      </c>
      <c r="U11" s="17">
        <f t="shared" si="3"/>
        <v>2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2</v>
      </c>
      <c r="AD11" s="17">
        <f t="shared" si="3"/>
        <v>0</v>
      </c>
      <c r="AE11" s="31">
        <f t="shared" si="3"/>
        <v>6</v>
      </c>
      <c r="AF11" s="31">
        <f t="shared" si="3"/>
        <v>8</v>
      </c>
    </row>
    <row r="12" spans="2:32" ht="23.1" customHeight="1" x14ac:dyDescent="0.25">
      <c r="B12" s="45" t="s">
        <v>39</v>
      </c>
      <c r="C12" s="50">
        <v>0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</v>
      </c>
      <c r="N12" s="50">
        <v>0</v>
      </c>
      <c r="O12" s="15">
        <f t="shared" si="0"/>
        <v>1</v>
      </c>
      <c r="P12" s="15">
        <f t="shared" si="1"/>
        <v>2</v>
      </c>
      <c r="R12" s="1" t="s">
        <v>8</v>
      </c>
      <c r="S12" s="17">
        <f t="shared" ref="S12:AF12" si="4">SUM(C18:C21)</f>
        <v>0</v>
      </c>
      <c r="T12" s="17">
        <f t="shared" si="4"/>
        <v>2</v>
      </c>
      <c r="U12" s="17">
        <f t="shared" si="4"/>
        <v>0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4</v>
      </c>
      <c r="AD12" s="17">
        <f t="shared" si="4"/>
        <v>0</v>
      </c>
      <c r="AE12" s="31">
        <f t="shared" si="4"/>
        <v>2</v>
      </c>
      <c r="AF12" s="31">
        <f t="shared" si="4"/>
        <v>6</v>
      </c>
    </row>
    <row r="13" spans="2:32" ht="23.1" customHeight="1" x14ac:dyDescent="0.25">
      <c r="B13" s="45" t="s">
        <v>40</v>
      </c>
      <c r="C13" s="50">
        <v>0</v>
      </c>
      <c r="D13" s="50">
        <v>1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15">
        <f t="shared" si="0"/>
        <v>1</v>
      </c>
      <c r="P13" s="15">
        <f t="shared" si="1"/>
        <v>1</v>
      </c>
      <c r="R13" s="1" t="s">
        <v>9</v>
      </c>
      <c r="S13" s="17">
        <f t="shared" ref="S13:AF13" si="5">SUM(C22:C25)</f>
        <v>1</v>
      </c>
      <c r="T13" s="17">
        <f t="shared" si="5"/>
        <v>0</v>
      </c>
      <c r="U13" s="17">
        <f t="shared" si="5"/>
        <v>1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3</v>
      </c>
      <c r="AD13" s="17">
        <f t="shared" si="5"/>
        <v>0</v>
      </c>
      <c r="AE13" s="31">
        <f t="shared" si="5"/>
        <v>2</v>
      </c>
      <c r="AF13" s="31">
        <f t="shared" si="5"/>
        <v>5</v>
      </c>
    </row>
    <row r="14" spans="2:32" ht="23.1" customHeight="1" x14ac:dyDescent="0.25">
      <c r="B14" s="45" t="s">
        <v>41</v>
      </c>
      <c r="C14" s="50">
        <v>0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1</v>
      </c>
      <c r="N14" s="50">
        <v>0</v>
      </c>
      <c r="O14" s="15">
        <f t="shared" si="0"/>
        <v>2</v>
      </c>
      <c r="P14" s="15">
        <f t="shared" si="1"/>
        <v>3</v>
      </c>
      <c r="R14" s="1" t="s">
        <v>10</v>
      </c>
      <c r="S14" s="17">
        <f t="shared" ref="S14:AF14" si="6">SUM(C26:C29)</f>
        <v>0</v>
      </c>
      <c r="T14" s="17">
        <f t="shared" si="6"/>
        <v>1</v>
      </c>
      <c r="U14" s="17">
        <f t="shared" si="6"/>
        <v>0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</v>
      </c>
      <c r="AD14" s="17">
        <f t="shared" si="6"/>
        <v>0</v>
      </c>
      <c r="AE14" s="31">
        <f t="shared" si="6"/>
        <v>1</v>
      </c>
      <c r="AF14" s="31">
        <f t="shared" si="6"/>
        <v>2</v>
      </c>
    </row>
    <row r="15" spans="2:32" ht="23.1" customHeight="1" x14ac:dyDescent="0.25">
      <c r="B15" s="45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</v>
      </c>
      <c r="N15" s="50">
        <v>0</v>
      </c>
      <c r="O15" s="15">
        <f t="shared" si="0"/>
        <v>0</v>
      </c>
      <c r="P15" s="15">
        <f t="shared" si="1"/>
        <v>1</v>
      </c>
      <c r="R15" s="1" t="s">
        <v>11</v>
      </c>
      <c r="S15" s="17">
        <f t="shared" ref="S15:AF15" si="7">SUM(C30:C33)</f>
        <v>0</v>
      </c>
      <c r="T15" s="17">
        <f t="shared" si="7"/>
        <v>1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2</v>
      </c>
      <c r="AD15" s="17">
        <f t="shared" si="7"/>
        <v>0</v>
      </c>
      <c r="AE15" s="31">
        <f t="shared" si="7"/>
        <v>1</v>
      </c>
      <c r="AF15" s="31">
        <f t="shared" si="7"/>
        <v>3</v>
      </c>
    </row>
    <row r="16" spans="2:32" ht="23.1" customHeight="1" x14ac:dyDescent="0.25">
      <c r="B16" s="45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15">
        <f t="shared" si="0"/>
        <v>0</v>
      </c>
      <c r="P16" s="15">
        <f t="shared" si="1"/>
        <v>0</v>
      </c>
      <c r="R16" s="1" t="s">
        <v>12</v>
      </c>
      <c r="S16" s="17">
        <f t="shared" ref="S16:AF16" si="8">SUM(C34:C37)</f>
        <v>0</v>
      </c>
      <c r="T16" s="17">
        <f t="shared" si="8"/>
        <v>0</v>
      </c>
      <c r="U16" s="17">
        <f t="shared" si="8"/>
        <v>0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1</v>
      </c>
      <c r="AD16" s="17">
        <f t="shared" si="8"/>
        <v>0</v>
      </c>
      <c r="AE16" s="31">
        <f t="shared" si="8"/>
        <v>1</v>
      </c>
      <c r="AF16" s="31">
        <f t="shared" si="8"/>
        <v>2</v>
      </c>
    </row>
    <row r="17" spans="2:32" ht="23.1" customHeight="1" x14ac:dyDescent="0.25">
      <c r="B17" s="45" t="s">
        <v>44</v>
      </c>
      <c r="C17" s="50">
        <v>0</v>
      </c>
      <c r="D17" s="50">
        <v>1</v>
      </c>
      <c r="E17" s="50">
        <v>1</v>
      </c>
      <c r="F17" s="50">
        <v>0</v>
      </c>
      <c r="G17" s="50">
        <v>0</v>
      </c>
      <c r="H17" s="50">
        <v>0</v>
      </c>
      <c r="I17" s="50">
        <v>0</v>
      </c>
      <c r="J17" s="50">
        <v>2</v>
      </c>
      <c r="K17" s="50">
        <v>0</v>
      </c>
      <c r="L17" s="50">
        <v>0</v>
      </c>
      <c r="M17" s="50">
        <v>0</v>
      </c>
      <c r="N17" s="50">
        <v>0</v>
      </c>
      <c r="O17" s="15">
        <f t="shared" si="0"/>
        <v>4</v>
      </c>
      <c r="P17" s="15">
        <f t="shared" si="1"/>
        <v>4</v>
      </c>
      <c r="R17" s="1" t="s">
        <v>13</v>
      </c>
      <c r="S17" s="17">
        <f t="shared" ref="S17:AF17" si="9">SUM(C38:C41)</f>
        <v>0</v>
      </c>
      <c r="T17" s="17">
        <f t="shared" si="9"/>
        <v>1</v>
      </c>
      <c r="U17" s="17">
        <f t="shared" si="9"/>
        <v>0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0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2</v>
      </c>
      <c r="AD17" s="17">
        <f t="shared" si="9"/>
        <v>0</v>
      </c>
      <c r="AE17" s="31">
        <f t="shared" si="9"/>
        <v>1</v>
      </c>
      <c r="AF17" s="31">
        <f t="shared" si="9"/>
        <v>3</v>
      </c>
    </row>
    <row r="18" spans="2:32" ht="23.1" customHeight="1" x14ac:dyDescent="0.25">
      <c r="B18" s="45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</v>
      </c>
      <c r="N18" s="50">
        <v>0</v>
      </c>
      <c r="O18" s="15">
        <f t="shared" si="0"/>
        <v>0</v>
      </c>
      <c r="P18" s="15">
        <f t="shared" si="1"/>
        <v>1</v>
      </c>
      <c r="R18" s="1" t="s">
        <v>14</v>
      </c>
      <c r="S18" s="17">
        <f t="shared" ref="S18:AF18" si="10">SUM(C42:C45)</f>
        <v>0</v>
      </c>
      <c r="T18" s="17">
        <f t="shared" si="10"/>
        <v>1</v>
      </c>
      <c r="U18" s="17">
        <f t="shared" si="10"/>
        <v>0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3</v>
      </c>
      <c r="AD18" s="17">
        <f t="shared" si="10"/>
        <v>0</v>
      </c>
      <c r="AE18" s="31">
        <f t="shared" si="10"/>
        <v>1</v>
      </c>
      <c r="AF18" s="31">
        <f t="shared" si="10"/>
        <v>4</v>
      </c>
    </row>
    <row r="19" spans="2:32" ht="23.1" customHeight="1" x14ac:dyDescent="0.25">
      <c r="B19" s="45" t="s">
        <v>46</v>
      </c>
      <c r="C19" s="50">
        <v>0</v>
      </c>
      <c r="D19" s="50">
        <v>1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</v>
      </c>
      <c r="N19" s="50">
        <v>0</v>
      </c>
      <c r="O19" s="15">
        <f t="shared" si="0"/>
        <v>1</v>
      </c>
      <c r="P19" s="15">
        <f t="shared" si="1"/>
        <v>2</v>
      </c>
      <c r="R19" s="1" t="s">
        <v>15</v>
      </c>
      <c r="S19" s="17">
        <f t="shared" ref="S19:AF19" si="11">SUM(C46:C49)</f>
        <v>0</v>
      </c>
      <c r="T19" s="17">
        <f t="shared" si="11"/>
        <v>2</v>
      </c>
      <c r="U19" s="17">
        <f t="shared" si="11"/>
        <v>0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4</v>
      </c>
      <c r="AD19" s="17">
        <f t="shared" si="11"/>
        <v>0</v>
      </c>
      <c r="AE19" s="31">
        <f t="shared" si="11"/>
        <v>2</v>
      </c>
      <c r="AF19" s="31">
        <f t="shared" si="11"/>
        <v>6</v>
      </c>
    </row>
    <row r="20" spans="2:32" ht="23.1" customHeight="1" x14ac:dyDescent="0.25">
      <c r="B20" s="45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</v>
      </c>
      <c r="N20" s="50">
        <v>0</v>
      </c>
      <c r="O20" s="15">
        <f t="shared" si="0"/>
        <v>0</v>
      </c>
      <c r="P20" s="15">
        <f t="shared" si="1"/>
        <v>1</v>
      </c>
      <c r="R20" s="1" t="s">
        <v>16</v>
      </c>
      <c r="S20" s="17">
        <f t="shared" ref="S20:AF20" si="12">SUM(C50:C53)</f>
        <v>0</v>
      </c>
      <c r="T20" s="17">
        <f t="shared" si="12"/>
        <v>1</v>
      </c>
      <c r="U20" s="17">
        <f t="shared" si="12"/>
        <v>1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2</v>
      </c>
      <c r="AD20" s="17">
        <f t="shared" si="12"/>
        <v>0</v>
      </c>
      <c r="AE20" s="31">
        <f t="shared" si="12"/>
        <v>2</v>
      </c>
      <c r="AF20" s="31">
        <f t="shared" si="12"/>
        <v>4</v>
      </c>
    </row>
    <row r="21" spans="2:32" ht="23.1" customHeight="1" x14ac:dyDescent="0.25">
      <c r="B21" s="45" t="s">
        <v>48</v>
      </c>
      <c r="C21" s="50">
        <v>0</v>
      </c>
      <c r="D21" s="50">
        <v>1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</v>
      </c>
      <c r="N21" s="50">
        <v>0</v>
      </c>
      <c r="O21" s="15">
        <f t="shared" si="0"/>
        <v>1</v>
      </c>
      <c r="P21" s="15">
        <f t="shared" si="1"/>
        <v>2</v>
      </c>
      <c r="R21" s="36" t="s">
        <v>20</v>
      </c>
      <c r="S21" s="34">
        <f t="shared" ref="S21:AF21" si="13">SUM(C54:C57)</f>
        <v>0</v>
      </c>
      <c r="T21" s="17">
        <f t="shared" si="13"/>
        <v>1</v>
      </c>
      <c r="U21" s="17">
        <f t="shared" si="13"/>
        <v>1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3</v>
      </c>
      <c r="AD21" s="17">
        <f t="shared" si="13"/>
        <v>0</v>
      </c>
      <c r="AE21" s="31">
        <f t="shared" si="13"/>
        <v>2</v>
      </c>
      <c r="AF21" s="31">
        <f t="shared" si="13"/>
        <v>5</v>
      </c>
    </row>
    <row r="22" spans="2:32" ht="23.1" customHeight="1" x14ac:dyDescent="0.25">
      <c r="B22" s="45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</v>
      </c>
      <c r="N22" s="50">
        <v>0</v>
      </c>
      <c r="O22" s="15">
        <f t="shared" si="0"/>
        <v>0</v>
      </c>
      <c r="P22" s="15">
        <f t="shared" si="1"/>
        <v>1</v>
      </c>
      <c r="R22" s="36" t="s">
        <v>146</v>
      </c>
      <c r="S22" s="34">
        <f>SUM(C58:C61)</f>
        <v>0</v>
      </c>
      <c r="T22" s="34">
        <f t="shared" ref="T22:AF22" si="14">SUM(D58:D61)</f>
        <v>3</v>
      </c>
      <c r="U22" s="34">
        <f t="shared" si="14"/>
        <v>2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1</v>
      </c>
      <c r="Z22" s="34">
        <f t="shared" si="14"/>
        <v>1</v>
      </c>
      <c r="AA22" s="34">
        <f t="shared" si="14"/>
        <v>0</v>
      </c>
      <c r="AB22" s="34">
        <f t="shared" si="14"/>
        <v>0</v>
      </c>
      <c r="AC22" s="34">
        <f t="shared" si="14"/>
        <v>4</v>
      </c>
      <c r="AD22" s="34">
        <f t="shared" si="14"/>
        <v>0</v>
      </c>
      <c r="AE22" s="31">
        <f t="shared" si="14"/>
        <v>7</v>
      </c>
      <c r="AF22" s="31">
        <f t="shared" si="14"/>
        <v>11</v>
      </c>
    </row>
    <row r="23" spans="2:32" ht="23.1" customHeight="1" x14ac:dyDescent="0.25">
      <c r="B23" s="45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</v>
      </c>
      <c r="N23" s="50">
        <v>0</v>
      </c>
      <c r="O23" s="15">
        <f t="shared" si="0"/>
        <v>0</v>
      </c>
      <c r="P23" s="15">
        <f t="shared" si="1"/>
        <v>1</v>
      </c>
      <c r="R23" s="36" t="s">
        <v>147</v>
      </c>
      <c r="S23" s="34">
        <f>SUM(C62:C65)</f>
        <v>0</v>
      </c>
      <c r="T23" s="34">
        <f t="shared" ref="T23:AF23" si="15">SUM(D62:D65)</f>
        <v>1</v>
      </c>
      <c r="U23" s="34">
        <f t="shared" si="15"/>
        <v>3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2</v>
      </c>
      <c r="Z23" s="34">
        <f t="shared" si="15"/>
        <v>2</v>
      </c>
      <c r="AA23" s="34">
        <f t="shared" si="15"/>
        <v>0</v>
      </c>
      <c r="AB23" s="34">
        <f t="shared" si="15"/>
        <v>0</v>
      </c>
      <c r="AC23" s="34">
        <f t="shared" si="15"/>
        <v>3</v>
      </c>
      <c r="AD23" s="34">
        <f t="shared" si="15"/>
        <v>0</v>
      </c>
      <c r="AE23" s="31">
        <f t="shared" si="15"/>
        <v>8</v>
      </c>
      <c r="AF23" s="31">
        <f t="shared" si="15"/>
        <v>11</v>
      </c>
    </row>
    <row r="24" spans="2:32" ht="23.1" customHeight="1" x14ac:dyDescent="0.25">
      <c r="B24" s="45" t="s">
        <v>51</v>
      </c>
      <c r="C24" s="50">
        <v>0</v>
      </c>
      <c r="D24" s="50">
        <v>0</v>
      </c>
      <c r="E24" s="50">
        <v>1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15">
        <f t="shared" si="0"/>
        <v>1</v>
      </c>
      <c r="P24" s="15">
        <f t="shared" si="1"/>
        <v>1</v>
      </c>
      <c r="R24" s="36" t="s">
        <v>148</v>
      </c>
      <c r="S24" s="34">
        <f>SUM(C66:C69)</f>
        <v>0</v>
      </c>
      <c r="T24" s="34">
        <f t="shared" ref="T24:AF24" si="16">SUM(D66:D69)</f>
        <v>1</v>
      </c>
      <c r="U24" s="34">
        <f t="shared" si="16"/>
        <v>1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1</v>
      </c>
      <c r="Z24" s="34">
        <f t="shared" si="16"/>
        <v>1</v>
      </c>
      <c r="AA24" s="34">
        <f t="shared" si="16"/>
        <v>0</v>
      </c>
      <c r="AB24" s="34">
        <f t="shared" si="16"/>
        <v>0</v>
      </c>
      <c r="AC24" s="34">
        <f t="shared" si="16"/>
        <v>6</v>
      </c>
      <c r="AD24" s="34">
        <f t="shared" si="16"/>
        <v>0</v>
      </c>
      <c r="AE24" s="31">
        <f t="shared" si="16"/>
        <v>4</v>
      </c>
      <c r="AF24" s="31">
        <f t="shared" si="16"/>
        <v>10</v>
      </c>
    </row>
    <row r="25" spans="2:32" ht="23.1" customHeight="1" x14ac:dyDescent="0.25">
      <c r="B25" s="45" t="s">
        <v>52</v>
      </c>
      <c r="C25" s="50">
        <v>1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</v>
      </c>
      <c r="N25" s="50">
        <v>0</v>
      </c>
      <c r="O25" s="15">
        <f t="shared" si="0"/>
        <v>1</v>
      </c>
      <c r="P25" s="15">
        <f t="shared" si="1"/>
        <v>2</v>
      </c>
      <c r="R25" s="36" t="s">
        <v>149</v>
      </c>
      <c r="S25" s="34">
        <f>SUM(C70:C73)</f>
        <v>1</v>
      </c>
      <c r="T25" s="34">
        <f t="shared" ref="T25:AF25" si="17">SUM(D70:D73)</f>
        <v>0</v>
      </c>
      <c r="U25" s="34">
        <f t="shared" si="17"/>
        <v>1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3</v>
      </c>
      <c r="AD25" s="34">
        <f t="shared" si="17"/>
        <v>0</v>
      </c>
      <c r="AE25" s="31">
        <f t="shared" si="17"/>
        <v>2</v>
      </c>
      <c r="AF25" s="31">
        <f t="shared" si="17"/>
        <v>5</v>
      </c>
    </row>
    <row r="26" spans="2:32" ht="23.1" customHeight="1" x14ac:dyDescent="0.25">
      <c r="B26" s="45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15">
        <f t="shared" si="0"/>
        <v>0</v>
      </c>
      <c r="P26" s="15">
        <f t="shared" si="1"/>
        <v>0</v>
      </c>
      <c r="R26" s="36" t="s">
        <v>150</v>
      </c>
      <c r="S26" s="34">
        <f>SUM(C74:C77)</f>
        <v>0</v>
      </c>
      <c r="T26" s="34">
        <f t="shared" ref="T26:AF26" si="18">SUM(D74:D77)</f>
        <v>1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</v>
      </c>
      <c r="AD26" s="34">
        <f t="shared" si="18"/>
        <v>0</v>
      </c>
      <c r="AE26" s="31">
        <f t="shared" si="18"/>
        <v>1</v>
      </c>
      <c r="AF26" s="31">
        <f t="shared" si="18"/>
        <v>2</v>
      </c>
    </row>
    <row r="27" spans="2:32" ht="23.1" customHeight="1" x14ac:dyDescent="0.25">
      <c r="B27" s="45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15">
        <f t="shared" si="0"/>
        <v>0</v>
      </c>
      <c r="P27" s="15">
        <f t="shared" si="1"/>
        <v>0</v>
      </c>
      <c r="R27" s="36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2</v>
      </c>
      <c r="AD27" s="34">
        <f t="shared" si="19"/>
        <v>0</v>
      </c>
      <c r="AE27" s="31">
        <f t="shared" si="19"/>
        <v>0</v>
      </c>
      <c r="AF27" s="31">
        <f t="shared" si="19"/>
        <v>2</v>
      </c>
    </row>
    <row r="28" spans="2:32" ht="23.1" customHeight="1" x14ac:dyDescent="0.25">
      <c r="B28" s="45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15">
        <f t="shared" si="0"/>
        <v>0</v>
      </c>
      <c r="P28" s="15">
        <f t="shared" si="1"/>
        <v>0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1</v>
      </c>
      <c r="AD28" s="34">
        <f t="shared" si="20"/>
        <v>0</v>
      </c>
      <c r="AE28" s="31">
        <f t="shared" si="20"/>
        <v>0</v>
      </c>
      <c r="AF28" s="31">
        <f t="shared" si="20"/>
        <v>1</v>
      </c>
    </row>
    <row r="29" spans="2:32" ht="23.1" customHeight="1" x14ac:dyDescent="0.25">
      <c r="B29" s="45" t="s">
        <v>56</v>
      </c>
      <c r="C29" s="50">
        <v>0</v>
      </c>
      <c r="D29" s="50">
        <v>1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</v>
      </c>
      <c r="N29" s="50">
        <v>0</v>
      </c>
      <c r="O29" s="15">
        <f t="shared" si="0"/>
        <v>1</v>
      </c>
      <c r="P29" s="15">
        <f t="shared" si="1"/>
        <v>2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0</v>
      </c>
      <c r="AF29" s="31">
        <f t="shared" si="21"/>
        <v>0</v>
      </c>
    </row>
    <row r="30" spans="2:32" ht="23.1" customHeight="1" x14ac:dyDescent="0.25">
      <c r="B30" s="45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15">
        <f t="shared" si="0"/>
        <v>0</v>
      </c>
      <c r="P30" s="15">
        <f t="shared" si="1"/>
        <v>0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0</v>
      </c>
      <c r="AF30" s="31">
        <f t="shared" si="22"/>
        <v>0</v>
      </c>
    </row>
    <row r="31" spans="2:32" ht="23.1" customHeight="1" x14ac:dyDescent="0.25">
      <c r="B31" s="46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</v>
      </c>
      <c r="N31" s="50">
        <v>0</v>
      </c>
      <c r="O31" s="15">
        <f t="shared" si="0"/>
        <v>0</v>
      </c>
      <c r="P31" s="15">
        <f t="shared" si="1"/>
        <v>1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0</v>
      </c>
      <c r="AF31" s="31">
        <f t="shared" si="23"/>
        <v>0</v>
      </c>
    </row>
    <row r="32" spans="2:32" ht="23.1" customHeight="1" x14ac:dyDescent="0.25">
      <c r="B32" s="46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</v>
      </c>
      <c r="N32" s="50">
        <v>0</v>
      </c>
      <c r="O32" s="15">
        <f t="shared" si="0"/>
        <v>0</v>
      </c>
      <c r="P32" s="15">
        <f t="shared" si="1"/>
        <v>1</v>
      </c>
      <c r="R32" s="33" t="s">
        <v>156</v>
      </c>
      <c r="S32" s="34">
        <f>SUM(C98:C101)</f>
        <v>0</v>
      </c>
      <c r="T32" s="34">
        <f t="shared" ref="T32:AF32" si="24">SUM(D98:D101)</f>
        <v>1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0</v>
      </c>
      <c r="AD32" s="34">
        <f t="shared" si="24"/>
        <v>0</v>
      </c>
      <c r="AE32" s="31">
        <f t="shared" si="24"/>
        <v>1</v>
      </c>
      <c r="AF32" s="31">
        <f t="shared" si="24"/>
        <v>1</v>
      </c>
    </row>
    <row r="33" spans="2:32" ht="23.1" customHeight="1" x14ac:dyDescent="0.25">
      <c r="B33" s="45" t="s">
        <v>60</v>
      </c>
      <c r="C33" s="50">
        <v>0</v>
      </c>
      <c r="D33" s="50">
        <v>1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15">
        <f t="shared" si="0"/>
        <v>1</v>
      </c>
      <c r="P33" s="15">
        <f t="shared" si="1"/>
        <v>1</v>
      </c>
      <c r="R33" s="33" t="s">
        <v>157</v>
      </c>
      <c r="S33" s="34">
        <f>SUM(C102:C105)</f>
        <v>0</v>
      </c>
      <c r="T33" s="34">
        <f t="shared" ref="T33:AF33" si="25">SUM(D102:D105)</f>
        <v>1</v>
      </c>
      <c r="U33" s="34">
        <f t="shared" si="25"/>
        <v>2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1</v>
      </c>
      <c r="Z33" s="34">
        <f t="shared" si="25"/>
        <v>1</v>
      </c>
      <c r="AA33" s="34">
        <f t="shared" si="25"/>
        <v>0</v>
      </c>
      <c r="AB33" s="34">
        <f t="shared" si="25"/>
        <v>0</v>
      </c>
      <c r="AC33" s="34">
        <f t="shared" si="25"/>
        <v>4</v>
      </c>
      <c r="AD33" s="34">
        <f t="shared" si="25"/>
        <v>0</v>
      </c>
      <c r="AE33" s="31">
        <f t="shared" si="25"/>
        <v>5</v>
      </c>
      <c r="AF33" s="31">
        <f t="shared" si="25"/>
        <v>9</v>
      </c>
    </row>
    <row r="34" spans="2:32" ht="23.1" customHeight="1" x14ac:dyDescent="0.25">
      <c r="B34" s="46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0</v>
      </c>
      <c r="N34" s="50">
        <v>0</v>
      </c>
      <c r="O34" s="15">
        <f t="shared" si="0"/>
        <v>0</v>
      </c>
      <c r="P34" s="15">
        <f t="shared" si="1"/>
        <v>0</v>
      </c>
      <c r="R34" s="38" t="s">
        <v>90</v>
      </c>
      <c r="S34" s="39">
        <f t="shared" ref="S34:AF34" si="26">MAX(S10:S12)</f>
        <v>0</v>
      </c>
      <c r="T34" s="39">
        <f t="shared" si="26"/>
        <v>2</v>
      </c>
      <c r="U34" s="39">
        <f t="shared" si="26"/>
        <v>2</v>
      </c>
      <c r="V34" s="39">
        <f t="shared" si="26"/>
        <v>0</v>
      </c>
      <c r="W34" s="39">
        <f t="shared" si="26"/>
        <v>0</v>
      </c>
      <c r="X34" s="39">
        <f t="shared" si="26"/>
        <v>0</v>
      </c>
      <c r="Y34" s="39">
        <f t="shared" si="26"/>
        <v>1</v>
      </c>
      <c r="Z34" s="39">
        <f t="shared" si="26"/>
        <v>2</v>
      </c>
      <c r="AA34" s="39">
        <f t="shared" si="26"/>
        <v>0</v>
      </c>
      <c r="AB34" s="39">
        <f t="shared" si="26"/>
        <v>0</v>
      </c>
      <c r="AC34" s="39">
        <f t="shared" si="26"/>
        <v>4</v>
      </c>
      <c r="AD34" s="39">
        <f t="shared" si="26"/>
        <v>0</v>
      </c>
      <c r="AE34" s="40">
        <f t="shared" si="26"/>
        <v>6</v>
      </c>
      <c r="AF34" s="40">
        <f t="shared" si="26"/>
        <v>8</v>
      </c>
    </row>
    <row r="35" spans="2:32" ht="23.1" customHeight="1" x14ac:dyDescent="0.25">
      <c r="B35" s="46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</v>
      </c>
      <c r="N35" s="50">
        <v>0</v>
      </c>
      <c r="O35" s="15">
        <f t="shared" si="0"/>
        <v>0</v>
      </c>
      <c r="P35" s="15">
        <f t="shared" si="1"/>
        <v>1</v>
      </c>
      <c r="R35" s="38" t="s">
        <v>91</v>
      </c>
      <c r="S35" s="39">
        <f t="shared" ref="S35:AF35" si="27">MAX(S13:S18)</f>
        <v>1</v>
      </c>
      <c r="T35" s="39">
        <f t="shared" si="27"/>
        <v>1</v>
      </c>
      <c r="U35" s="39">
        <f t="shared" si="27"/>
        <v>1</v>
      </c>
      <c r="V35" s="39">
        <f t="shared" si="27"/>
        <v>0</v>
      </c>
      <c r="W35" s="39">
        <f t="shared" si="27"/>
        <v>0</v>
      </c>
      <c r="X35" s="39">
        <f t="shared" si="27"/>
        <v>0</v>
      </c>
      <c r="Y35" s="39">
        <f t="shared" si="27"/>
        <v>0</v>
      </c>
      <c r="Z35" s="39">
        <f t="shared" si="27"/>
        <v>1</v>
      </c>
      <c r="AA35" s="39">
        <f t="shared" si="27"/>
        <v>0</v>
      </c>
      <c r="AB35" s="39">
        <f t="shared" si="27"/>
        <v>0</v>
      </c>
      <c r="AC35" s="39">
        <f t="shared" si="27"/>
        <v>3</v>
      </c>
      <c r="AD35" s="39">
        <f t="shared" si="27"/>
        <v>0</v>
      </c>
      <c r="AE35" s="40">
        <f t="shared" si="27"/>
        <v>2</v>
      </c>
      <c r="AF35" s="40">
        <f t="shared" si="27"/>
        <v>5</v>
      </c>
    </row>
    <row r="36" spans="2:32" ht="23.1" customHeight="1" x14ac:dyDescent="0.25">
      <c r="B36" s="46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1</v>
      </c>
      <c r="K36" s="50">
        <v>0</v>
      </c>
      <c r="L36" s="50">
        <v>0</v>
      </c>
      <c r="M36" s="50">
        <v>0</v>
      </c>
      <c r="N36" s="50">
        <v>0</v>
      </c>
      <c r="O36" s="15">
        <f t="shared" si="0"/>
        <v>1</v>
      </c>
      <c r="P36" s="15">
        <f t="shared" si="1"/>
        <v>1</v>
      </c>
      <c r="R36" s="38" t="s">
        <v>92</v>
      </c>
      <c r="S36" s="39">
        <f t="shared" ref="S36:AF36" si="28">MAX(S19:S21)</f>
        <v>0</v>
      </c>
      <c r="T36" s="39">
        <f t="shared" si="28"/>
        <v>2</v>
      </c>
      <c r="U36" s="39">
        <f t="shared" si="28"/>
        <v>1</v>
      </c>
      <c r="V36" s="39">
        <f t="shared" si="28"/>
        <v>0</v>
      </c>
      <c r="W36" s="39">
        <f t="shared" si="28"/>
        <v>0</v>
      </c>
      <c r="X36" s="39">
        <f t="shared" si="28"/>
        <v>0</v>
      </c>
      <c r="Y36" s="39">
        <f t="shared" si="28"/>
        <v>0</v>
      </c>
      <c r="Z36" s="39">
        <f t="shared" si="28"/>
        <v>0</v>
      </c>
      <c r="AA36" s="39">
        <f t="shared" si="28"/>
        <v>0</v>
      </c>
      <c r="AB36" s="39">
        <f t="shared" si="28"/>
        <v>0</v>
      </c>
      <c r="AC36" s="39">
        <f t="shared" si="28"/>
        <v>4</v>
      </c>
      <c r="AD36" s="39">
        <f t="shared" si="28"/>
        <v>0</v>
      </c>
      <c r="AE36" s="40">
        <f t="shared" si="28"/>
        <v>2</v>
      </c>
      <c r="AF36" s="40">
        <f t="shared" si="28"/>
        <v>6</v>
      </c>
    </row>
    <row r="37" spans="2:32" ht="23.1" customHeight="1" x14ac:dyDescent="0.25">
      <c r="B37" s="45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0</v>
      </c>
      <c r="N37" s="50">
        <v>0</v>
      </c>
      <c r="O37" s="15">
        <f t="shared" si="0"/>
        <v>0</v>
      </c>
      <c r="P37" s="15">
        <f t="shared" si="1"/>
        <v>0</v>
      </c>
      <c r="R37" s="37" t="s">
        <v>85</v>
      </c>
      <c r="S37" s="35">
        <f t="shared" ref="S37:AF37" si="29">SUM(S10:S12)</f>
        <v>0</v>
      </c>
      <c r="T37" s="16">
        <f t="shared" si="29"/>
        <v>4</v>
      </c>
      <c r="U37" s="16">
        <f t="shared" si="29"/>
        <v>4</v>
      </c>
      <c r="V37" s="16">
        <f t="shared" si="29"/>
        <v>0</v>
      </c>
      <c r="W37" s="16">
        <f t="shared" si="29"/>
        <v>0</v>
      </c>
      <c r="X37" s="16">
        <f t="shared" si="29"/>
        <v>0</v>
      </c>
      <c r="Y37" s="16">
        <f t="shared" si="29"/>
        <v>1</v>
      </c>
      <c r="Z37" s="16">
        <f t="shared" si="29"/>
        <v>3</v>
      </c>
      <c r="AA37" s="16">
        <f t="shared" si="29"/>
        <v>0</v>
      </c>
      <c r="AB37" s="16">
        <f t="shared" si="29"/>
        <v>0</v>
      </c>
      <c r="AC37" s="16">
        <f t="shared" si="29"/>
        <v>9</v>
      </c>
      <c r="AD37" s="16">
        <f t="shared" si="29"/>
        <v>0</v>
      </c>
      <c r="AE37" s="32">
        <f t="shared" si="29"/>
        <v>12</v>
      </c>
      <c r="AF37" s="32">
        <f t="shared" si="29"/>
        <v>21</v>
      </c>
    </row>
    <row r="38" spans="2:32" ht="23.1" customHeight="1" x14ac:dyDescent="0.25">
      <c r="B38" s="46" t="s">
        <v>65</v>
      </c>
      <c r="C38" s="50">
        <v>0</v>
      </c>
      <c r="D38" s="50">
        <v>1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0</v>
      </c>
      <c r="N38" s="50">
        <v>0</v>
      </c>
      <c r="O38" s="15">
        <f t="shared" si="0"/>
        <v>1</v>
      </c>
      <c r="P38" s="15">
        <f t="shared" si="1"/>
        <v>1</v>
      </c>
      <c r="R38" s="28" t="s">
        <v>86</v>
      </c>
      <c r="S38" s="16">
        <f t="shared" ref="S38:AF38" si="30">SUM(S13:S18)</f>
        <v>1</v>
      </c>
      <c r="T38" s="16">
        <f t="shared" si="30"/>
        <v>4</v>
      </c>
      <c r="U38" s="16">
        <f t="shared" si="30"/>
        <v>1</v>
      </c>
      <c r="V38" s="16">
        <f t="shared" si="30"/>
        <v>0</v>
      </c>
      <c r="W38" s="16">
        <f t="shared" si="30"/>
        <v>0</v>
      </c>
      <c r="X38" s="16">
        <f t="shared" si="30"/>
        <v>0</v>
      </c>
      <c r="Y38" s="16">
        <f t="shared" si="30"/>
        <v>0</v>
      </c>
      <c r="Z38" s="16">
        <f t="shared" si="30"/>
        <v>1</v>
      </c>
      <c r="AA38" s="16">
        <f t="shared" si="30"/>
        <v>0</v>
      </c>
      <c r="AB38" s="16">
        <f t="shared" si="30"/>
        <v>0</v>
      </c>
      <c r="AC38" s="16">
        <f t="shared" si="30"/>
        <v>12</v>
      </c>
      <c r="AD38" s="16">
        <f t="shared" si="30"/>
        <v>0</v>
      </c>
      <c r="AE38" s="32">
        <f t="shared" si="30"/>
        <v>7</v>
      </c>
      <c r="AF38" s="32">
        <f t="shared" si="30"/>
        <v>19</v>
      </c>
    </row>
    <row r="39" spans="2:32" ht="23.1" customHeight="1" x14ac:dyDescent="0.25">
      <c r="B39" s="46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0</v>
      </c>
      <c r="N39" s="50">
        <v>0</v>
      </c>
      <c r="O39" s="15">
        <f t="shared" si="0"/>
        <v>0</v>
      </c>
      <c r="P39" s="15">
        <f t="shared" si="1"/>
        <v>0</v>
      </c>
      <c r="R39" s="29" t="s">
        <v>87</v>
      </c>
      <c r="S39" s="16">
        <f t="shared" ref="S39:AF39" si="31">SUM(S19:S21)</f>
        <v>0</v>
      </c>
      <c r="T39" s="16">
        <f t="shared" si="31"/>
        <v>4</v>
      </c>
      <c r="U39" s="16">
        <f t="shared" si="31"/>
        <v>2</v>
      </c>
      <c r="V39" s="16">
        <f t="shared" si="31"/>
        <v>0</v>
      </c>
      <c r="W39" s="16">
        <f t="shared" si="31"/>
        <v>0</v>
      </c>
      <c r="X39" s="16">
        <f t="shared" si="31"/>
        <v>0</v>
      </c>
      <c r="Y39" s="16">
        <f t="shared" si="31"/>
        <v>0</v>
      </c>
      <c r="Z39" s="16">
        <f t="shared" si="31"/>
        <v>0</v>
      </c>
      <c r="AA39" s="16">
        <f t="shared" si="31"/>
        <v>0</v>
      </c>
      <c r="AB39" s="16">
        <f t="shared" si="31"/>
        <v>0</v>
      </c>
      <c r="AC39" s="16">
        <f t="shared" si="31"/>
        <v>9</v>
      </c>
      <c r="AD39" s="16">
        <f t="shared" si="31"/>
        <v>0</v>
      </c>
      <c r="AE39" s="32">
        <f t="shared" si="31"/>
        <v>6</v>
      </c>
      <c r="AF39" s="32">
        <f t="shared" si="31"/>
        <v>15</v>
      </c>
    </row>
    <row r="40" spans="2:32" ht="23.1" customHeight="1" x14ac:dyDescent="0.25">
      <c r="B40" s="46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</v>
      </c>
      <c r="N40" s="50">
        <v>0</v>
      </c>
      <c r="O40" s="15">
        <f t="shared" si="0"/>
        <v>0</v>
      </c>
      <c r="P40" s="15">
        <f t="shared" si="1"/>
        <v>1</v>
      </c>
      <c r="R40" s="5" t="s">
        <v>17</v>
      </c>
      <c r="S40" s="16">
        <f t="shared" ref="S40:AF40" si="32">SUM(S10:S21)</f>
        <v>1</v>
      </c>
      <c r="T40" s="16">
        <f t="shared" si="32"/>
        <v>12</v>
      </c>
      <c r="U40" s="16">
        <f t="shared" si="32"/>
        <v>7</v>
      </c>
      <c r="V40" s="16">
        <f t="shared" si="32"/>
        <v>0</v>
      </c>
      <c r="W40" s="16">
        <f t="shared" si="32"/>
        <v>0</v>
      </c>
      <c r="X40" s="16">
        <f t="shared" si="32"/>
        <v>0</v>
      </c>
      <c r="Y40" s="16">
        <f t="shared" si="32"/>
        <v>1</v>
      </c>
      <c r="Z40" s="16">
        <f t="shared" si="32"/>
        <v>4</v>
      </c>
      <c r="AA40" s="16">
        <f t="shared" si="32"/>
        <v>0</v>
      </c>
      <c r="AB40" s="16">
        <f t="shared" si="32"/>
        <v>0</v>
      </c>
      <c r="AC40" s="16">
        <f t="shared" si="32"/>
        <v>30</v>
      </c>
      <c r="AD40" s="16">
        <f t="shared" si="32"/>
        <v>0</v>
      </c>
      <c r="AE40" s="32">
        <f t="shared" si="32"/>
        <v>25</v>
      </c>
      <c r="AF40" s="32">
        <f t="shared" si="32"/>
        <v>55</v>
      </c>
    </row>
    <row r="41" spans="2:32" ht="23.1" customHeight="1" x14ac:dyDescent="0.25">
      <c r="B41" s="45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1</v>
      </c>
      <c r="N41" s="50">
        <v>0</v>
      </c>
      <c r="O41" s="15">
        <f t="shared" si="0"/>
        <v>0</v>
      </c>
      <c r="P41" s="15">
        <f t="shared" si="1"/>
        <v>1</v>
      </c>
      <c r="R41" s="5" t="s">
        <v>159</v>
      </c>
      <c r="S41" s="16">
        <f>SUM(S10:S33)</f>
        <v>2</v>
      </c>
      <c r="T41" s="16">
        <f t="shared" ref="T41:AF41" si="33">SUM(T10:T33)</f>
        <v>20</v>
      </c>
      <c r="U41" s="16">
        <f t="shared" si="33"/>
        <v>16</v>
      </c>
      <c r="V41" s="16">
        <f t="shared" si="33"/>
        <v>0</v>
      </c>
      <c r="W41" s="16">
        <f t="shared" si="33"/>
        <v>0</v>
      </c>
      <c r="X41" s="16">
        <f t="shared" si="33"/>
        <v>0</v>
      </c>
      <c r="Y41" s="16">
        <f t="shared" si="33"/>
        <v>6</v>
      </c>
      <c r="Z41" s="16">
        <f t="shared" si="33"/>
        <v>9</v>
      </c>
      <c r="AA41" s="16">
        <f t="shared" si="33"/>
        <v>0</v>
      </c>
      <c r="AB41" s="16">
        <f t="shared" si="33"/>
        <v>0</v>
      </c>
      <c r="AC41" s="16">
        <f t="shared" si="33"/>
        <v>54</v>
      </c>
      <c r="AD41" s="16">
        <f t="shared" si="33"/>
        <v>0</v>
      </c>
      <c r="AE41" s="32">
        <f t="shared" si="33"/>
        <v>53</v>
      </c>
      <c r="AF41" s="32">
        <f t="shared" si="33"/>
        <v>107</v>
      </c>
    </row>
    <row r="42" spans="2:32" ht="23.1" customHeight="1" x14ac:dyDescent="0.25">
      <c r="B42" s="46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3</v>
      </c>
      <c r="N42" s="50">
        <v>0</v>
      </c>
      <c r="O42" s="15">
        <f t="shared" si="0"/>
        <v>0</v>
      </c>
      <c r="P42" s="15">
        <f t="shared" si="1"/>
        <v>3</v>
      </c>
      <c r="R42" s="5" t="s">
        <v>160</v>
      </c>
      <c r="S42" s="48">
        <f>S41/S40</f>
        <v>2</v>
      </c>
      <c r="T42" s="48">
        <f t="shared" ref="T42:AF42" si="34">T41/T40</f>
        <v>1.6666666666666667</v>
      </c>
      <c r="U42" s="48">
        <f t="shared" si="34"/>
        <v>2.2857142857142856</v>
      </c>
      <c r="V42" s="48" t="e">
        <f t="shared" si="34"/>
        <v>#DIV/0!</v>
      </c>
      <c r="W42" s="48" t="e">
        <f t="shared" si="34"/>
        <v>#DIV/0!</v>
      </c>
      <c r="X42" s="48" t="e">
        <f t="shared" si="34"/>
        <v>#DIV/0!</v>
      </c>
      <c r="Y42" s="48">
        <f t="shared" si="34"/>
        <v>6</v>
      </c>
      <c r="Z42" s="48">
        <f t="shared" si="34"/>
        <v>2.25</v>
      </c>
      <c r="AA42" s="48" t="e">
        <f t="shared" si="34"/>
        <v>#DIV/0!</v>
      </c>
      <c r="AB42" s="48" t="e">
        <f t="shared" si="34"/>
        <v>#DIV/0!</v>
      </c>
      <c r="AC42" s="48">
        <f t="shared" si="34"/>
        <v>1.8</v>
      </c>
      <c r="AD42" s="48" t="e">
        <f t="shared" si="34"/>
        <v>#DIV/0!</v>
      </c>
      <c r="AE42" s="48">
        <f t="shared" si="34"/>
        <v>2.12</v>
      </c>
      <c r="AF42" s="48">
        <f t="shared" si="34"/>
        <v>1.9454545454545455</v>
      </c>
    </row>
    <row r="43" spans="2:32" ht="23.1" customHeight="1" x14ac:dyDescent="0.25">
      <c r="B43" s="45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0</v>
      </c>
      <c r="N43" s="50">
        <v>0</v>
      </c>
      <c r="O43" s="15">
        <f t="shared" si="0"/>
        <v>0</v>
      </c>
      <c r="P43" s="15">
        <f t="shared" si="1"/>
        <v>0</v>
      </c>
    </row>
    <row r="44" spans="2:32" ht="23.1" customHeight="1" x14ac:dyDescent="0.25">
      <c r="B44" s="47" t="s">
        <v>71</v>
      </c>
      <c r="C44" s="50">
        <v>0</v>
      </c>
      <c r="D44" s="50">
        <v>1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0</v>
      </c>
      <c r="N44" s="50">
        <v>0</v>
      </c>
      <c r="O44" s="15">
        <f t="shared" si="0"/>
        <v>1</v>
      </c>
      <c r="P44" s="15">
        <f t="shared" si="1"/>
        <v>1</v>
      </c>
    </row>
    <row r="45" spans="2:32" ht="23.1" customHeight="1" x14ac:dyDescent="0.25">
      <c r="B45" s="45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15">
        <f t="shared" si="0"/>
        <v>0</v>
      </c>
      <c r="P45" s="15">
        <f t="shared" si="1"/>
        <v>0</v>
      </c>
    </row>
    <row r="46" spans="2:32" ht="23.1" customHeight="1" x14ac:dyDescent="0.25">
      <c r="B46" s="46" t="s">
        <v>73</v>
      </c>
      <c r="C46" s="50">
        <v>0</v>
      </c>
      <c r="D46" s="50">
        <v>1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</v>
      </c>
      <c r="N46" s="50">
        <v>0</v>
      </c>
      <c r="O46" s="15">
        <f t="shared" si="0"/>
        <v>1</v>
      </c>
      <c r="P46" s="15">
        <f t="shared" si="1"/>
        <v>2</v>
      </c>
      <c r="R46" s="8"/>
      <c r="T46"/>
    </row>
    <row r="47" spans="2:32" ht="23.1" customHeight="1" x14ac:dyDescent="0.25">
      <c r="B47" s="46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1</v>
      </c>
      <c r="N47" s="50">
        <v>0</v>
      </c>
      <c r="O47" s="15">
        <f t="shared" si="0"/>
        <v>0</v>
      </c>
      <c r="P47" s="15">
        <f t="shared" si="1"/>
        <v>1</v>
      </c>
      <c r="R47" s="8"/>
      <c r="T47"/>
    </row>
    <row r="48" spans="2:32" ht="23.1" customHeight="1" x14ac:dyDescent="0.25">
      <c r="B48" s="46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1</v>
      </c>
      <c r="N48" s="50">
        <v>0</v>
      </c>
      <c r="O48" s="15">
        <f t="shared" si="0"/>
        <v>0</v>
      </c>
      <c r="P48" s="15">
        <f t="shared" si="1"/>
        <v>1</v>
      </c>
      <c r="R48" s="8"/>
      <c r="T48"/>
    </row>
    <row r="49" spans="2:20" ht="23.1" customHeight="1" x14ac:dyDescent="0.25">
      <c r="B49" s="45" t="s">
        <v>76</v>
      </c>
      <c r="C49" s="50">
        <v>0</v>
      </c>
      <c r="D49" s="50">
        <v>1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1</v>
      </c>
      <c r="N49" s="50">
        <v>0</v>
      </c>
      <c r="O49" s="15">
        <f t="shared" si="0"/>
        <v>1</v>
      </c>
      <c r="P49" s="15">
        <f t="shared" si="1"/>
        <v>2</v>
      </c>
      <c r="R49" s="8"/>
      <c r="T49"/>
    </row>
    <row r="50" spans="2:20" ht="23.1" customHeight="1" x14ac:dyDescent="0.25">
      <c r="B50" s="46" t="s">
        <v>77</v>
      </c>
      <c r="C50" s="50">
        <v>0</v>
      </c>
      <c r="D50" s="50">
        <v>0</v>
      </c>
      <c r="E50" s="50">
        <v>1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</v>
      </c>
      <c r="N50" s="50">
        <v>0</v>
      </c>
      <c r="O50" s="15">
        <f t="shared" si="0"/>
        <v>1</v>
      </c>
      <c r="P50" s="15">
        <f t="shared" si="1"/>
        <v>2</v>
      </c>
      <c r="R50" s="8"/>
      <c r="T50"/>
    </row>
    <row r="51" spans="2:20" ht="23.1" customHeight="1" x14ac:dyDescent="0.25">
      <c r="B51" s="46" t="s">
        <v>78</v>
      </c>
      <c r="C51" s="50">
        <v>0</v>
      </c>
      <c r="D51" s="50">
        <v>1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</v>
      </c>
      <c r="N51" s="50">
        <v>0</v>
      </c>
      <c r="O51" s="15">
        <f t="shared" si="0"/>
        <v>1</v>
      </c>
      <c r="P51" s="15">
        <f t="shared" si="1"/>
        <v>2</v>
      </c>
      <c r="R51" s="8"/>
      <c r="T51"/>
    </row>
    <row r="52" spans="2:20" ht="23.1" customHeight="1" x14ac:dyDescent="0.25">
      <c r="B52" s="46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0</v>
      </c>
      <c r="N52" s="50">
        <v>0</v>
      </c>
      <c r="O52" s="15">
        <f t="shared" si="0"/>
        <v>0</v>
      </c>
      <c r="P52" s="15">
        <f t="shared" si="1"/>
        <v>0</v>
      </c>
      <c r="R52" s="8"/>
      <c r="T52"/>
    </row>
    <row r="53" spans="2:20" ht="23.1" customHeight="1" x14ac:dyDescent="0.25">
      <c r="B53" s="45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0</v>
      </c>
      <c r="N53" s="50">
        <v>0</v>
      </c>
      <c r="O53" s="15">
        <f t="shared" si="0"/>
        <v>0</v>
      </c>
      <c r="P53" s="15">
        <f t="shared" si="1"/>
        <v>0</v>
      </c>
      <c r="R53" s="8"/>
      <c r="T53"/>
    </row>
    <row r="54" spans="2:20" ht="23.1" customHeight="1" x14ac:dyDescent="0.25">
      <c r="B54" s="45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</v>
      </c>
      <c r="N54" s="50">
        <v>0</v>
      </c>
      <c r="O54" s="15">
        <f t="shared" si="0"/>
        <v>0</v>
      </c>
      <c r="P54" s="15">
        <f t="shared" si="1"/>
        <v>1</v>
      </c>
      <c r="R54" s="8"/>
      <c r="T54"/>
    </row>
    <row r="55" spans="2:20" ht="23.1" customHeight="1" x14ac:dyDescent="0.25">
      <c r="B55" s="45" t="s">
        <v>82</v>
      </c>
      <c r="C55" s="50">
        <v>0</v>
      </c>
      <c r="D55" s="50">
        <v>1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</v>
      </c>
      <c r="N55" s="50">
        <v>0</v>
      </c>
      <c r="O55" s="15">
        <f t="shared" si="0"/>
        <v>1</v>
      </c>
      <c r="P55" s="15">
        <f t="shared" si="1"/>
        <v>2</v>
      </c>
      <c r="R55" s="8"/>
      <c r="T55"/>
    </row>
    <row r="56" spans="2:20" ht="23.1" customHeight="1" x14ac:dyDescent="0.25">
      <c r="B56" s="45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</v>
      </c>
      <c r="N56" s="50">
        <v>0</v>
      </c>
      <c r="O56" s="15">
        <f t="shared" si="0"/>
        <v>0</v>
      </c>
      <c r="P56" s="15">
        <f t="shared" si="1"/>
        <v>1</v>
      </c>
      <c r="R56" s="8"/>
      <c r="T56"/>
    </row>
    <row r="57" spans="2:20" ht="23.1" customHeight="1" x14ac:dyDescent="0.25">
      <c r="B57" s="45" t="s">
        <v>84</v>
      </c>
      <c r="C57" s="50">
        <v>0</v>
      </c>
      <c r="D57" s="50">
        <v>0</v>
      </c>
      <c r="E57" s="50">
        <v>1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15">
        <f t="shared" si="0"/>
        <v>1</v>
      </c>
      <c r="P57" s="15">
        <f t="shared" si="1"/>
        <v>1</v>
      </c>
      <c r="R57" s="8"/>
      <c r="T57"/>
    </row>
    <row r="58" spans="2:20" ht="23.1" customHeight="1" x14ac:dyDescent="0.25">
      <c r="B58" s="45" t="s">
        <v>99</v>
      </c>
      <c r="C58" s="50">
        <v>0</v>
      </c>
      <c r="D58" s="50">
        <v>1</v>
      </c>
      <c r="E58" s="50">
        <v>1</v>
      </c>
      <c r="F58" s="50">
        <v>0</v>
      </c>
      <c r="G58" s="50">
        <v>0</v>
      </c>
      <c r="H58" s="50">
        <v>0</v>
      </c>
      <c r="I58" s="50">
        <v>0</v>
      </c>
      <c r="J58" s="50">
        <v>1</v>
      </c>
      <c r="K58" s="50">
        <v>0</v>
      </c>
      <c r="L58" s="50">
        <v>0</v>
      </c>
      <c r="M58" s="50">
        <v>3</v>
      </c>
      <c r="N58" s="50">
        <v>0</v>
      </c>
      <c r="O58" s="15">
        <f t="shared" si="0"/>
        <v>3</v>
      </c>
      <c r="P58" s="15">
        <f t="shared" si="1"/>
        <v>6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1</v>
      </c>
      <c r="E59" s="50">
        <v>0</v>
      </c>
      <c r="F59" s="50">
        <v>0</v>
      </c>
      <c r="G59" s="50">
        <v>0</v>
      </c>
      <c r="H59" s="50">
        <v>0</v>
      </c>
      <c r="I59" s="50">
        <v>1</v>
      </c>
      <c r="J59" s="50">
        <v>0</v>
      </c>
      <c r="K59" s="50">
        <v>0</v>
      </c>
      <c r="L59" s="50">
        <v>0</v>
      </c>
      <c r="M59" s="50">
        <v>0</v>
      </c>
      <c r="N59" s="50">
        <v>0</v>
      </c>
      <c r="O59" s="15">
        <f t="shared" si="0"/>
        <v>2</v>
      </c>
      <c r="P59" s="15">
        <f t="shared" si="1"/>
        <v>2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1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1</v>
      </c>
      <c r="N60" s="50">
        <v>0</v>
      </c>
      <c r="O60" s="15">
        <f t="shared" si="0"/>
        <v>1</v>
      </c>
      <c r="P60" s="15">
        <f t="shared" si="1"/>
        <v>2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1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0</v>
      </c>
      <c r="N61" s="50">
        <v>0</v>
      </c>
      <c r="O61" s="15">
        <f t="shared" si="0"/>
        <v>1</v>
      </c>
      <c r="P61" s="15">
        <f t="shared" si="1"/>
        <v>1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0</v>
      </c>
      <c r="E62" s="50">
        <v>1</v>
      </c>
      <c r="F62" s="50">
        <v>0</v>
      </c>
      <c r="G62" s="50">
        <v>0</v>
      </c>
      <c r="H62" s="50">
        <v>0</v>
      </c>
      <c r="I62" s="50">
        <v>1</v>
      </c>
      <c r="J62" s="50">
        <v>0</v>
      </c>
      <c r="K62" s="50">
        <v>0</v>
      </c>
      <c r="L62" s="50">
        <v>0</v>
      </c>
      <c r="M62" s="50">
        <v>1</v>
      </c>
      <c r="N62" s="50">
        <v>0</v>
      </c>
      <c r="O62" s="15">
        <f t="shared" si="0"/>
        <v>2</v>
      </c>
      <c r="P62" s="15">
        <f t="shared" si="1"/>
        <v>3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1</v>
      </c>
      <c r="N63" s="50">
        <v>0</v>
      </c>
      <c r="O63" s="15">
        <f t="shared" si="0"/>
        <v>0</v>
      </c>
      <c r="P63" s="15">
        <f t="shared" si="1"/>
        <v>1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1</v>
      </c>
      <c r="N64" s="50">
        <v>0</v>
      </c>
      <c r="O64" s="15">
        <f t="shared" si="0"/>
        <v>0</v>
      </c>
      <c r="P64" s="15">
        <f t="shared" si="1"/>
        <v>1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1</v>
      </c>
      <c r="E65" s="50">
        <v>2</v>
      </c>
      <c r="F65" s="50">
        <v>0</v>
      </c>
      <c r="G65" s="50">
        <v>0</v>
      </c>
      <c r="H65" s="50">
        <v>0</v>
      </c>
      <c r="I65" s="50">
        <v>1</v>
      </c>
      <c r="J65" s="50">
        <v>2</v>
      </c>
      <c r="K65" s="50">
        <v>0</v>
      </c>
      <c r="L65" s="50">
        <v>0</v>
      </c>
      <c r="M65" s="50">
        <v>0</v>
      </c>
      <c r="N65" s="50">
        <v>0</v>
      </c>
      <c r="O65" s="15">
        <f t="shared" si="0"/>
        <v>6</v>
      </c>
      <c r="P65" s="15">
        <f t="shared" si="1"/>
        <v>6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1</v>
      </c>
      <c r="K66" s="50">
        <v>0</v>
      </c>
      <c r="L66" s="50">
        <v>0</v>
      </c>
      <c r="M66" s="50">
        <v>2</v>
      </c>
      <c r="N66" s="50">
        <v>0</v>
      </c>
      <c r="O66" s="15">
        <f t="shared" si="0"/>
        <v>1</v>
      </c>
      <c r="P66" s="15">
        <f t="shared" si="1"/>
        <v>3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1</v>
      </c>
      <c r="E67" s="50">
        <v>1</v>
      </c>
      <c r="F67" s="50">
        <v>0</v>
      </c>
      <c r="G67" s="50">
        <v>0</v>
      </c>
      <c r="H67" s="50">
        <v>0</v>
      </c>
      <c r="I67" s="50">
        <v>1</v>
      </c>
      <c r="J67" s="50">
        <v>0</v>
      </c>
      <c r="K67" s="50">
        <v>0</v>
      </c>
      <c r="L67" s="50">
        <v>0</v>
      </c>
      <c r="M67" s="50">
        <v>2</v>
      </c>
      <c r="N67" s="50">
        <v>0</v>
      </c>
      <c r="O67" s="15">
        <f t="shared" si="0"/>
        <v>3</v>
      </c>
      <c r="P67" s="15">
        <f t="shared" si="1"/>
        <v>5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1</v>
      </c>
      <c r="N68" s="50">
        <v>0</v>
      </c>
      <c r="O68" s="15">
        <f t="shared" si="0"/>
        <v>0</v>
      </c>
      <c r="P68" s="15">
        <f t="shared" si="1"/>
        <v>1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1</v>
      </c>
      <c r="N69" s="50">
        <v>0</v>
      </c>
      <c r="O69" s="15">
        <f t="shared" si="0"/>
        <v>0</v>
      </c>
      <c r="P69" s="15">
        <f t="shared" si="1"/>
        <v>1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1</v>
      </c>
      <c r="N70" s="50">
        <v>0</v>
      </c>
      <c r="O70" s="15">
        <f t="shared" si="0"/>
        <v>0</v>
      </c>
      <c r="P70" s="15">
        <f t="shared" si="1"/>
        <v>1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1</v>
      </c>
      <c r="N71" s="50">
        <v>0</v>
      </c>
      <c r="O71" s="15">
        <f t="shared" si="0"/>
        <v>0</v>
      </c>
      <c r="P71" s="15">
        <f t="shared" si="1"/>
        <v>1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1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0</v>
      </c>
      <c r="N72" s="50">
        <v>0</v>
      </c>
      <c r="O72" s="15">
        <f t="shared" si="0"/>
        <v>1</v>
      </c>
      <c r="P72" s="15">
        <f t="shared" si="1"/>
        <v>1</v>
      </c>
      <c r="R72" s="8"/>
      <c r="T72"/>
    </row>
    <row r="73" spans="2:20" ht="23.1" customHeight="1" x14ac:dyDescent="0.25">
      <c r="B73" s="45" t="s">
        <v>113</v>
      </c>
      <c r="C73" s="50">
        <v>1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1</v>
      </c>
      <c r="N73" s="50">
        <v>0</v>
      </c>
      <c r="O73" s="15">
        <f t="shared" si="0"/>
        <v>1</v>
      </c>
      <c r="P73" s="15">
        <f t="shared" si="1"/>
        <v>2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0</v>
      </c>
      <c r="N74" s="50">
        <v>0</v>
      </c>
      <c r="O74" s="15">
        <f t="shared" ref="O74:O105" si="35">SUM(C74:L74,N74)</f>
        <v>0</v>
      </c>
      <c r="P74" s="15">
        <f t="shared" ref="P74:P105" si="36">SUM(C74:N74)</f>
        <v>0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0</v>
      </c>
      <c r="P75" s="15">
        <f t="shared" si="36"/>
        <v>0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0</v>
      </c>
      <c r="N76" s="50">
        <v>0</v>
      </c>
      <c r="O76" s="15">
        <f t="shared" si="35"/>
        <v>0</v>
      </c>
      <c r="P76" s="15">
        <f t="shared" si="36"/>
        <v>0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1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1</v>
      </c>
      <c r="N77" s="50">
        <v>0</v>
      </c>
      <c r="O77" s="15">
        <f t="shared" si="35"/>
        <v>1</v>
      </c>
      <c r="P77" s="15">
        <f t="shared" si="36"/>
        <v>2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0</v>
      </c>
      <c r="N78" s="50">
        <v>0</v>
      </c>
      <c r="O78" s="15">
        <f t="shared" si="35"/>
        <v>0</v>
      </c>
      <c r="P78" s="15">
        <f t="shared" si="36"/>
        <v>0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1</v>
      </c>
      <c r="N79" s="50">
        <v>0</v>
      </c>
      <c r="O79" s="15">
        <f t="shared" si="35"/>
        <v>0</v>
      </c>
      <c r="P79" s="15">
        <f t="shared" si="36"/>
        <v>1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1</v>
      </c>
      <c r="N80" s="50">
        <v>0</v>
      </c>
      <c r="O80" s="15">
        <f t="shared" si="35"/>
        <v>0</v>
      </c>
      <c r="P80" s="15">
        <f t="shared" si="36"/>
        <v>1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0</v>
      </c>
      <c r="P81" s="15">
        <f t="shared" si="36"/>
        <v>0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1</v>
      </c>
      <c r="N83" s="50">
        <v>0</v>
      </c>
      <c r="O83" s="15">
        <f t="shared" si="35"/>
        <v>0</v>
      </c>
      <c r="P83" s="15">
        <f t="shared" si="36"/>
        <v>1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0</v>
      </c>
      <c r="P98" s="15">
        <f t="shared" si="36"/>
        <v>0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1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1</v>
      </c>
      <c r="P99" s="15">
        <f t="shared" si="36"/>
        <v>1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0</v>
      </c>
      <c r="N101" s="50">
        <v>0</v>
      </c>
      <c r="O101" s="15">
        <f t="shared" si="35"/>
        <v>0</v>
      </c>
      <c r="P101" s="15">
        <f t="shared" si="36"/>
        <v>0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1</v>
      </c>
      <c r="N102" s="50">
        <v>0</v>
      </c>
      <c r="O102" s="15">
        <f t="shared" si="35"/>
        <v>0</v>
      </c>
      <c r="P102" s="15">
        <f t="shared" si="36"/>
        <v>1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1</v>
      </c>
      <c r="E103" s="50">
        <v>1</v>
      </c>
      <c r="F103" s="50">
        <v>0</v>
      </c>
      <c r="G103" s="50">
        <v>0</v>
      </c>
      <c r="H103" s="50">
        <v>0</v>
      </c>
      <c r="I103" s="50">
        <v>0</v>
      </c>
      <c r="J103" s="50">
        <v>1</v>
      </c>
      <c r="K103" s="50">
        <v>0</v>
      </c>
      <c r="L103" s="50">
        <v>0</v>
      </c>
      <c r="M103" s="50">
        <v>1</v>
      </c>
      <c r="N103" s="50">
        <v>0</v>
      </c>
      <c r="O103" s="15">
        <f t="shared" si="35"/>
        <v>3</v>
      </c>
      <c r="P103" s="15">
        <f t="shared" si="36"/>
        <v>4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1</v>
      </c>
      <c r="J104" s="50">
        <v>0</v>
      </c>
      <c r="K104" s="50">
        <v>0</v>
      </c>
      <c r="L104" s="50">
        <v>0</v>
      </c>
      <c r="M104" s="50">
        <v>1</v>
      </c>
      <c r="N104" s="50">
        <v>0</v>
      </c>
      <c r="O104" s="15">
        <f t="shared" si="35"/>
        <v>1</v>
      </c>
      <c r="P104" s="15">
        <f t="shared" si="36"/>
        <v>2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1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1</v>
      </c>
      <c r="N105" s="50">
        <v>0</v>
      </c>
      <c r="O105" s="15">
        <f t="shared" si="35"/>
        <v>1</v>
      </c>
      <c r="P105" s="15">
        <f t="shared" si="36"/>
        <v>2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</v>
      </c>
      <c r="D106" s="16">
        <f t="shared" ref="D106:P106" si="37">SUM(D10:D105)</f>
        <v>20</v>
      </c>
      <c r="E106" s="16">
        <f t="shared" si="37"/>
        <v>16</v>
      </c>
      <c r="F106" s="16">
        <f t="shared" si="37"/>
        <v>0</v>
      </c>
      <c r="G106" s="16">
        <f t="shared" si="37"/>
        <v>0</v>
      </c>
      <c r="H106" s="16">
        <f t="shared" si="37"/>
        <v>0</v>
      </c>
      <c r="I106" s="16">
        <f t="shared" si="37"/>
        <v>6</v>
      </c>
      <c r="J106" s="16">
        <f t="shared" si="37"/>
        <v>9</v>
      </c>
      <c r="K106" s="16">
        <f t="shared" si="37"/>
        <v>0</v>
      </c>
      <c r="L106" s="16">
        <f t="shared" si="37"/>
        <v>0</v>
      </c>
      <c r="M106" s="16">
        <f t="shared" si="37"/>
        <v>54</v>
      </c>
      <c r="N106" s="16">
        <f t="shared" si="37"/>
        <v>0</v>
      </c>
      <c r="O106" s="16">
        <f t="shared" si="37"/>
        <v>53</v>
      </c>
      <c r="P106" s="16">
        <f t="shared" si="37"/>
        <v>107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1.8691588785046728E-2</v>
      </c>
      <c r="D107" s="43">
        <f t="shared" si="38"/>
        <v>0.18691588785046728</v>
      </c>
      <c r="E107" s="43">
        <f t="shared" si="38"/>
        <v>0.14953271028037382</v>
      </c>
      <c r="F107" s="43">
        <f t="shared" si="38"/>
        <v>0</v>
      </c>
      <c r="G107" s="43">
        <f t="shared" si="38"/>
        <v>0</v>
      </c>
      <c r="H107" s="43">
        <f t="shared" si="38"/>
        <v>0</v>
      </c>
      <c r="I107" s="43">
        <f t="shared" si="38"/>
        <v>5.6074766355140186E-2</v>
      </c>
      <c r="J107" s="43">
        <f t="shared" si="38"/>
        <v>8.4112149532710276E-2</v>
      </c>
      <c r="K107" s="43">
        <f t="shared" si="38"/>
        <v>0</v>
      </c>
      <c r="L107" s="43">
        <f t="shared" si="38"/>
        <v>0</v>
      </c>
      <c r="M107" s="43">
        <f t="shared" si="38"/>
        <v>0.50467289719626163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3.7735849056603772E-2</v>
      </c>
      <c r="D108" s="44">
        <f t="shared" ref="D108:N108" si="39">D106/$O$106</f>
        <v>0.37735849056603776</v>
      </c>
      <c r="E108" s="44">
        <f t="shared" si="39"/>
        <v>0.30188679245283018</v>
      </c>
      <c r="F108" s="44">
        <f t="shared" si="39"/>
        <v>0</v>
      </c>
      <c r="G108" s="44">
        <f t="shared" si="39"/>
        <v>0</v>
      </c>
      <c r="H108" s="44">
        <f t="shared" si="39"/>
        <v>0</v>
      </c>
      <c r="I108" s="44">
        <f t="shared" si="39"/>
        <v>0.11320754716981132</v>
      </c>
      <c r="J108" s="44">
        <f t="shared" si="39"/>
        <v>0.16981132075471697</v>
      </c>
      <c r="K108" s="44">
        <f t="shared" si="39"/>
        <v>0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2" tint="-0.249977111117893"/>
  </sheetPr>
  <dimension ref="B1:AF174"/>
  <sheetViews>
    <sheetView view="pageBreakPreview" topLeftCell="A67" zoomScale="60" workbookViewId="0">
      <selection activeCell="M94" sqref="M94:M9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'05.08 KABONG-KOTIDO'!C3:G3</f>
        <v>MCC - C5 - STN0125 - KAABONG-KOTIDO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162</v>
      </c>
      <c r="E5" s="3"/>
      <c r="F5" s="41" t="s">
        <v>1</v>
      </c>
      <c r="G5" s="66" t="str">
        <f>'11.08 KITIDO-KABONG'!G5:H5</f>
        <v>xxx</v>
      </c>
      <c r="H5" s="67"/>
      <c r="I5" s="14"/>
      <c r="J5" s="2" t="s">
        <v>5</v>
      </c>
      <c r="K5" s="66" t="str">
        <f>'11.08 KITIDO-KABONG'!K5:L5</f>
        <v>NALUBEGA JOSEPHINE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'05.08 KABONG-KOTIDO'!D6:E6</f>
        <v>KABONG</v>
      </c>
      <c r="E6" s="67"/>
      <c r="F6" s="2" t="s">
        <v>2</v>
      </c>
      <c r="G6" s="66" t="str">
        <f>'05.08 KABONG-KOTIDO'!G6:H6</f>
        <v>KOTIDO</v>
      </c>
      <c r="H6" s="67"/>
      <c r="J6" s="2" t="s">
        <v>21</v>
      </c>
      <c r="K6" s="66" t="str">
        <f>'11.08 KITIDO-KABONG'!K6:L6</f>
        <v>CRANIMER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1</v>
      </c>
      <c r="E10" s="50">
        <v>1</v>
      </c>
      <c r="F10" s="50">
        <v>0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1</v>
      </c>
      <c r="N10" s="50">
        <v>0</v>
      </c>
      <c r="O10" s="15">
        <f t="shared" ref="O10:O57" si="0">SUM(C10:L10,N10)</f>
        <v>3</v>
      </c>
      <c r="P10" s="15">
        <f t="shared" ref="P10:P57" si="1">SUM(C10:N10)</f>
        <v>4</v>
      </c>
      <c r="R10" s="1" t="s">
        <v>6</v>
      </c>
      <c r="S10" s="17">
        <f t="shared" ref="S10:AF10" si="2">SUM(C10:C13)</f>
        <v>0</v>
      </c>
      <c r="T10" s="17">
        <f t="shared" si="2"/>
        <v>2</v>
      </c>
      <c r="U10" s="17">
        <f t="shared" si="2"/>
        <v>2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3</v>
      </c>
      <c r="AD10" s="17">
        <f t="shared" si="2"/>
        <v>0</v>
      </c>
      <c r="AE10" s="31">
        <f t="shared" si="2"/>
        <v>6</v>
      </c>
      <c r="AF10" s="31">
        <f t="shared" si="2"/>
        <v>9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</v>
      </c>
      <c r="N11" s="50">
        <v>0</v>
      </c>
      <c r="O11" s="15">
        <f t="shared" si="0"/>
        <v>0</v>
      </c>
      <c r="P11" s="15">
        <f t="shared" si="1"/>
        <v>1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1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3</v>
      </c>
      <c r="AD11" s="17">
        <f t="shared" si="3"/>
        <v>0</v>
      </c>
      <c r="AE11" s="31">
        <f t="shared" si="3"/>
        <v>3</v>
      </c>
      <c r="AF11" s="31">
        <f t="shared" si="3"/>
        <v>6</v>
      </c>
    </row>
    <row r="12" spans="2:32" ht="23.1" customHeight="1" x14ac:dyDescent="0.25">
      <c r="B12" s="45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</v>
      </c>
      <c r="N12" s="50">
        <v>0</v>
      </c>
      <c r="O12" s="15">
        <f t="shared" si="0"/>
        <v>0</v>
      </c>
      <c r="P12" s="15">
        <f t="shared" si="1"/>
        <v>1</v>
      </c>
      <c r="R12" s="1" t="s">
        <v>8</v>
      </c>
      <c r="S12" s="17">
        <f t="shared" ref="S12:AF12" si="4">SUM(C18:C21)</f>
        <v>0</v>
      </c>
      <c r="T12" s="17">
        <f t="shared" si="4"/>
        <v>0</v>
      </c>
      <c r="U12" s="17">
        <f t="shared" si="4"/>
        <v>0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3</v>
      </c>
      <c r="AD12" s="17">
        <f t="shared" si="4"/>
        <v>0</v>
      </c>
      <c r="AE12" s="31">
        <f t="shared" si="4"/>
        <v>0</v>
      </c>
      <c r="AF12" s="31">
        <f t="shared" si="4"/>
        <v>3</v>
      </c>
    </row>
    <row r="13" spans="2:32" ht="23.1" customHeight="1" x14ac:dyDescent="0.25">
      <c r="B13" s="45" t="s">
        <v>40</v>
      </c>
      <c r="C13" s="50">
        <v>0</v>
      </c>
      <c r="D13" s="50">
        <v>1</v>
      </c>
      <c r="E13" s="50">
        <v>1</v>
      </c>
      <c r="F13" s="50">
        <v>0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15">
        <f t="shared" si="0"/>
        <v>3</v>
      </c>
      <c r="P13" s="15">
        <f t="shared" si="1"/>
        <v>3</v>
      </c>
      <c r="R13" s="1" t="s">
        <v>9</v>
      </c>
      <c r="S13" s="17">
        <f t="shared" ref="S13:AF13" si="5">SUM(C22:C25)</f>
        <v>0</v>
      </c>
      <c r="T13" s="17">
        <f t="shared" si="5"/>
        <v>1</v>
      </c>
      <c r="U13" s="17">
        <f t="shared" si="5"/>
        <v>0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</v>
      </c>
      <c r="AD13" s="17">
        <f t="shared" si="5"/>
        <v>0</v>
      </c>
      <c r="AE13" s="31">
        <f t="shared" si="5"/>
        <v>2</v>
      </c>
      <c r="AF13" s="31">
        <f t="shared" si="5"/>
        <v>3</v>
      </c>
    </row>
    <row r="14" spans="2:32" ht="23.1" customHeight="1" x14ac:dyDescent="0.25">
      <c r="B14" s="45" t="s">
        <v>41</v>
      </c>
      <c r="C14" s="50">
        <v>0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</v>
      </c>
      <c r="N14" s="50">
        <v>0</v>
      </c>
      <c r="O14" s="15">
        <f t="shared" si="0"/>
        <v>1</v>
      </c>
      <c r="P14" s="15">
        <f t="shared" si="1"/>
        <v>2</v>
      </c>
      <c r="R14" s="1" t="s">
        <v>10</v>
      </c>
      <c r="S14" s="17">
        <f t="shared" ref="S14:AF14" si="6">SUM(C26:C29)</f>
        <v>0</v>
      </c>
      <c r="T14" s="17">
        <f t="shared" si="6"/>
        <v>0</v>
      </c>
      <c r="U14" s="17">
        <f t="shared" si="6"/>
        <v>0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</v>
      </c>
      <c r="AD14" s="17">
        <f t="shared" si="6"/>
        <v>0</v>
      </c>
      <c r="AE14" s="31">
        <f t="shared" si="6"/>
        <v>0</v>
      </c>
      <c r="AF14" s="31">
        <f t="shared" si="6"/>
        <v>1</v>
      </c>
    </row>
    <row r="15" spans="2:32" ht="23.1" customHeight="1" x14ac:dyDescent="0.25">
      <c r="B15" s="45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1</v>
      </c>
      <c r="J15" s="50">
        <v>1</v>
      </c>
      <c r="K15" s="50">
        <v>0</v>
      </c>
      <c r="L15" s="50">
        <v>0</v>
      </c>
      <c r="M15" s="50">
        <v>1</v>
      </c>
      <c r="N15" s="50">
        <v>0</v>
      </c>
      <c r="O15" s="15">
        <f t="shared" si="0"/>
        <v>2</v>
      </c>
      <c r="P15" s="15">
        <f t="shared" si="1"/>
        <v>3</v>
      </c>
      <c r="R15" s="1" t="s">
        <v>11</v>
      </c>
      <c r="S15" s="17">
        <f t="shared" ref="S15:AF15" si="7">SUM(C30:C33)</f>
        <v>0</v>
      </c>
      <c r="T15" s="17">
        <f t="shared" si="7"/>
        <v>0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3</v>
      </c>
      <c r="AD15" s="17">
        <f t="shared" si="7"/>
        <v>0</v>
      </c>
      <c r="AE15" s="31">
        <f t="shared" si="7"/>
        <v>0</v>
      </c>
      <c r="AF15" s="31">
        <f t="shared" si="7"/>
        <v>3</v>
      </c>
    </row>
    <row r="16" spans="2:32" ht="23.1" customHeight="1" x14ac:dyDescent="0.25">
      <c r="B16" s="45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15">
        <f t="shared" si="0"/>
        <v>0</v>
      </c>
      <c r="P16" s="15">
        <f t="shared" si="1"/>
        <v>0</v>
      </c>
      <c r="R16" s="1" t="s">
        <v>12</v>
      </c>
      <c r="S16" s="17">
        <f t="shared" ref="S16:AF16" si="8">SUM(C34:C37)</f>
        <v>0</v>
      </c>
      <c r="T16" s="17">
        <f t="shared" si="8"/>
        <v>2</v>
      </c>
      <c r="U16" s="17">
        <f t="shared" si="8"/>
        <v>0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3</v>
      </c>
      <c r="AD16" s="17">
        <f t="shared" si="8"/>
        <v>0</v>
      </c>
      <c r="AE16" s="31">
        <f t="shared" si="8"/>
        <v>3</v>
      </c>
      <c r="AF16" s="31">
        <f t="shared" si="8"/>
        <v>6</v>
      </c>
    </row>
    <row r="17" spans="2:32" ht="23.1" customHeight="1" x14ac:dyDescent="0.25">
      <c r="B17" s="45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</v>
      </c>
      <c r="N17" s="50">
        <v>0</v>
      </c>
      <c r="O17" s="15">
        <f t="shared" si="0"/>
        <v>0</v>
      </c>
      <c r="P17" s="15">
        <f t="shared" si="1"/>
        <v>1</v>
      </c>
      <c r="R17" s="1" t="s">
        <v>13</v>
      </c>
      <c r="S17" s="17">
        <f t="shared" ref="S17:AF17" si="9">SUM(C38:C41)</f>
        <v>0</v>
      </c>
      <c r="T17" s="17">
        <f t="shared" si="9"/>
        <v>0</v>
      </c>
      <c r="U17" s="17">
        <f t="shared" si="9"/>
        <v>1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0</v>
      </c>
      <c r="AD17" s="17">
        <f t="shared" si="9"/>
        <v>0</v>
      </c>
      <c r="AE17" s="31">
        <f t="shared" si="9"/>
        <v>2</v>
      </c>
      <c r="AF17" s="31">
        <f t="shared" si="9"/>
        <v>2</v>
      </c>
    </row>
    <row r="18" spans="2:32" ht="23.1" customHeight="1" x14ac:dyDescent="0.25">
      <c r="B18" s="45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</v>
      </c>
      <c r="N18" s="50">
        <v>0</v>
      </c>
      <c r="O18" s="15">
        <f t="shared" si="0"/>
        <v>0</v>
      </c>
      <c r="P18" s="15">
        <f t="shared" si="1"/>
        <v>1</v>
      </c>
      <c r="R18" s="1" t="s">
        <v>14</v>
      </c>
      <c r="S18" s="17">
        <f t="shared" ref="S18:AF18" si="10">SUM(C42:C45)</f>
        <v>0</v>
      </c>
      <c r="T18" s="17">
        <f t="shared" si="10"/>
        <v>0</v>
      </c>
      <c r="U18" s="17">
        <f t="shared" si="10"/>
        <v>1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2</v>
      </c>
      <c r="AD18" s="17">
        <f t="shared" si="10"/>
        <v>0</v>
      </c>
      <c r="AE18" s="31">
        <f t="shared" si="10"/>
        <v>2</v>
      </c>
      <c r="AF18" s="31">
        <f t="shared" si="10"/>
        <v>4</v>
      </c>
    </row>
    <row r="19" spans="2:32" ht="23.1" customHeight="1" x14ac:dyDescent="0.25">
      <c r="B19" s="45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</v>
      </c>
      <c r="N19" s="50">
        <v>0</v>
      </c>
      <c r="O19" s="15">
        <f t="shared" si="0"/>
        <v>0</v>
      </c>
      <c r="P19" s="15">
        <f t="shared" si="1"/>
        <v>1</v>
      </c>
      <c r="R19" s="1" t="s">
        <v>15</v>
      </c>
      <c r="S19" s="17">
        <f t="shared" ref="S19:AF19" si="11">SUM(C46:C49)</f>
        <v>0</v>
      </c>
      <c r="T19" s="17">
        <f t="shared" si="11"/>
        <v>1</v>
      </c>
      <c r="U19" s="17">
        <f t="shared" si="11"/>
        <v>1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2</v>
      </c>
      <c r="AD19" s="17">
        <f t="shared" si="11"/>
        <v>0</v>
      </c>
      <c r="AE19" s="31">
        <f t="shared" si="11"/>
        <v>2</v>
      </c>
      <c r="AF19" s="31">
        <f t="shared" si="11"/>
        <v>4</v>
      </c>
    </row>
    <row r="20" spans="2:32" ht="23.1" customHeight="1" x14ac:dyDescent="0.25">
      <c r="B20" s="45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</v>
      </c>
      <c r="N20" s="50">
        <v>0</v>
      </c>
      <c r="O20" s="15">
        <f t="shared" si="0"/>
        <v>0</v>
      </c>
      <c r="P20" s="15">
        <f t="shared" si="1"/>
        <v>1</v>
      </c>
      <c r="R20" s="1" t="s">
        <v>16</v>
      </c>
      <c r="S20" s="17">
        <f t="shared" ref="S20:AF20" si="12">SUM(C50:C53)</f>
        <v>0</v>
      </c>
      <c r="T20" s="17">
        <f t="shared" si="12"/>
        <v>0</v>
      </c>
      <c r="U20" s="17">
        <f t="shared" si="12"/>
        <v>3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3</v>
      </c>
      <c r="AD20" s="17">
        <f t="shared" si="12"/>
        <v>0</v>
      </c>
      <c r="AE20" s="31">
        <f t="shared" si="12"/>
        <v>3</v>
      </c>
      <c r="AF20" s="31">
        <f t="shared" si="12"/>
        <v>6</v>
      </c>
    </row>
    <row r="21" spans="2:32" ht="23.1" customHeight="1" x14ac:dyDescent="0.25">
      <c r="B21" s="45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15">
        <f t="shared" si="0"/>
        <v>0</v>
      </c>
      <c r="P21" s="15">
        <f t="shared" si="1"/>
        <v>0</v>
      </c>
      <c r="R21" s="36" t="s">
        <v>20</v>
      </c>
      <c r="S21" s="34">
        <f t="shared" ref="S21:AF21" si="13">SUM(C54:C57)</f>
        <v>0</v>
      </c>
      <c r="T21" s="17">
        <f t="shared" si="13"/>
        <v>2</v>
      </c>
      <c r="U21" s="17">
        <f t="shared" si="13"/>
        <v>1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3</v>
      </c>
      <c r="AD21" s="17">
        <f t="shared" si="13"/>
        <v>0</v>
      </c>
      <c r="AE21" s="31">
        <f t="shared" si="13"/>
        <v>3</v>
      </c>
      <c r="AF21" s="31">
        <f t="shared" si="13"/>
        <v>6</v>
      </c>
    </row>
    <row r="22" spans="2:32" ht="23.1" customHeight="1" x14ac:dyDescent="0.25">
      <c r="B22" s="45" t="s">
        <v>49</v>
      </c>
      <c r="C22" s="50">
        <v>0</v>
      </c>
      <c r="D22" s="50">
        <v>1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15">
        <f t="shared" si="0"/>
        <v>1</v>
      </c>
      <c r="P22" s="15">
        <f t="shared" si="1"/>
        <v>1</v>
      </c>
      <c r="R22" s="36" t="s">
        <v>146</v>
      </c>
      <c r="S22" s="34">
        <f>SUM(C58:C61)</f>
        <v>0</v>
      </c>
      <c r="T22" s="34">
        <f t="shared" ref="T22:AF22" si="14">SUM(D58:D61)</f>
        <v>1</v>
      </c>
      <c r="U22" s="34">
        <f t="shared" si="14"/>
        <v>2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0</v>
      </c>
      <c r="Z22" s="34">
        <f t="shared" si="14"/>
        <v>1</v>
      </c>
      <c r="AA22" s="34">
        <f t="shared" si="14"/>
        <v>0</v>
      </c>
      <c r="AB22" s="34">
        <f t="shared" si="14"/>
        <v>0</v>
      </c>
      <c r="AC22" s="34">
        <f t="shared" si="14"/>
        <v>3</v>
      </c>
      <c r="AD22" s="34">
        <f t="shared" si="14"/>
        <v>0</v>
      </c>
      <c r="AE22" s="31">
        <f t="shared" si="14"/>
        <v>4</v>
      </c>
      <c r="AF22" s="31">
        <f t="shared" si="14"/>
        <v>7</v>
      </c>
    </row>
    <row r="23" spans="2:32" ht="23.1" customHeight="1" x14ac:dyDescent="0.25">
      <c r="B23" s="45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15">
        <f t="shared" si="0"/>
        <v>1</v>
      </c>
      <c r="P23" s="15">
        <f t="shared" si="1"/>
        <v>1</v>
      </c>
      <c r="R23" s="36" t="s">
        <v>147</v>
      </c>
      <c r="S23" s="34">
        <f>SUM(C62:C65)</f>
        <v>0</v>
      </c>
      <c r="T23" s="34">
        <f t="shared" ref="T23:AF23" si="15">SUM(D62:D65)</f>
        <v>1</v>
      </c>
      <c r="U23" s="34">
        <f t="shared" si="15"/>
        <v>2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1</v>
      </c>
      <c r="Z23" s="34">
        <f t="shared" si="15"/>
        <v>2</v>
      </c>
      <c r="AA23" s="34">
        <f t="shared" si="15"/>
        <v>0</v>
      </c>
      <c r="AB23" s="34">
        <f t="shared" si="15"/>
        <v>0</v>
      </c>
      <c r="AC23" s="34">
        <f t="shared" si="15"/>
        <v>2</v>
      </c>
      <c r="AD23" s="34">
        <f t="shared" si="15"/>
        <v>0</v>
      </c>
      <c r="AE23" s="31">
        <f t="shared" si="15"/>
        <v>6</v>
      </c>
      <c r="AF23" s="31">
        <f t="shared" si="15"/>
        <v>8</v>
      </c>
    </row>
    <row r="24" spans="2:32" ht="23.1" customHeight="1" x14ac:dyDescent="0.25">
      <c r="B24" s="45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</v>
      </c>
      <c r="N24" s="50">
        <v>0</v>
      </c>
      <c r="O24" s="15">
        <f t="shared" si="0"/>
        <v>0</v>
      </c>
      <c r="P24" s="15">
        <f t="shared" si="1"/>
        <v>1</v>
      </c>
      <c r="R24" s="36" t="s">
        <v>148</v>
      </c>
      <c r="S24" s="34">
        <f>SUM(C66:C69)</f>
        <v>0</v>
      </c>
      <c r="T24" s="34">
        <f t="shared" ref="T24:AF24" si="16">SUM(D66:D69)</f>
        <v>2</v>
      </c>
      <c r="U24" s="34">
        <f t="shared" si="16"/>
        <v>0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4</v>
      </c>
      <c r="AD24" s="34">
        <f t="shared" si="16"/>
        <v>0</v>
      </c>
      <c r="AE24" s="31">
        <f t="shared" si="16"/>
        <v>2</v>
      </c>
      <c r="AF24" s="31">
        <f t="shared" si="16"/>
        <v>6</v>
      </c>
    </row>
    <row r="25" spans="2:32" ht="23.1" customHeight="1" x14ac:dyDescent="0.25">
      <c r="B25" s="45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15">
        <f t="shared" si="0"/>
        <v>0</v>
      </c>
      <c r="P25" s="15">
        <f t="shared" si="1"/>
        <v>0</v>
      </c>
      <c r="R25" s="36" t="s">
        <v>149</v>
      </c>
      <c r="S25" s="34">
        <f>SUM(C70:C73)</f>
        <v>1</v>
      </c>
      <c r="T25" s="34">
        <f t="shared" ref="T25:AF25" si="17">SUM(D70:D73)</f>
        <v>0</v>
      </c>
      <c r="U25" s="34">
        <f t="shared" si="17"/>
        <v>1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3</v>
      </c>
      <c r="AD25" s="34">
        <f t="shared" si="17"/>
        <v>0</v>
      </c>
      <c r="AE25" s="31">
        <f t="shared" si="17"/>
        <v>2</v>
      </c>
      <c r="AF25" s="31">
        <f t="shared" si="17"/>
        <v>5</v>
      </c>
    </row>
    <row r="26" spans="2:32" ht="23.1" customHeight="1" x14ac:dyDescent="0.25">
      <c r="B26" s="45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15">
        <f t="shared" si="0"/>
        <v>0</v>
      </c>
      <c r="P26" s="15">
        <f t="shared" si="1"/>
        <v>0</v>
      </c>
      <c r="R26" s="36" t="s">
        <v>150</v>
      </c>
      <c r="S26" s="34">
        <f>SUM(C74:C77)</f>
        <v>0</v>
      </c>
      <c r="T26" s="34">
        <f t="shared" ref="T26:AF26" si="18">SUM(D74:D77)</f>
        <v>1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</v>
      </c>
      <c r="AD26" s="34">
        <f t="shared" si="18"/>
        <v>0</v>
      </c>
      <c r="AE26" s="31">
        <f t="shared" si="18"/>
        <v>1</v>
      </c>
      <c r="AF26" s="31">
        <f t="shared" si="18"/>
        <v>2</v>
      </c>
    </row>
    <row r="27" spans="2:32" ht="23.1" customHeight="1" x14ac:dyDescent="0.25">
      <c r="B27" s="45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15">
        <f t="shared" si="0"/>
        <v>0</v>
      </c>
      <c r="P27" s="15">
        <f t="shared" si="1"/>
        <v>0</v>
      </c>
      <c r="R27" s="36" t="s">
        <v>151</v>
      </c>
      <c r="S27" s="34">
        <f>SUM(C78:C81)</f>
        <v>0</v>
      </c>
      <c r="T27" s="34">
        <f t="shared" ref="T27:AF27" si="19">SUM(D78:D81)</f>
        <v>1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2</v>
      </c>
      <c r="AD27" s="34">
        <f t="shared" si="19"/>
        <v>0</v>
      </c>
      <c r="AE27" s="31">
        <f t="shared" si="19"/>
        <v>1</v>
      </c>
      <c r="AF27" s="31">
        <f t="shared" si="19"/>
        <v>3</v>
      </c>
    </row>
    <row r="28" spans="2:32" ht="23.1" customHeight="1" x14ac:dyDescent="0.25">
      <c r="B28" s="45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</v>
      </c>
      <c r="N28" s="50">
        <v>0</v>
      </c>
      <c r="O28" s="15">
        <f t="shared" si="0"/>
        <v>0</v>
      </c>
      <c r="P28" s="15">
        <f t="shared" si="1"/>
        <v>1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1</v>
      </c>
      <c r="AA28" s="34">
        <f t="shared" si="20"/>
        <v>0</v>
      </c>
      <c r="AB28" s="34">
        <f t="shared" si="20"/>
        <v>0</v>
      </c>
      <c r="AC28" s="34">
        <f t="shared" si="20"/>
        <v>1</v>
      </c>
      <c r="AD28" s="34">
        <f t="shared" si="20"/>
        <v>0</v>
      </c>
      <c r="AE28" s="31">
        <f t="shared" si="20"/>
        <v>1</v>
      </c>
      <c r="AF28" s="31">
        <f t="shared" si="20"/>
        <v>2</v>
      </c>
    </row>
    <row r="29" spans="2:32" ht="23.1" customHeight="1" x14ac:dyDescent="0.25">
      <c r="B29" s="45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15">
        <f t="shared" si="0"/>
        <v>0</v>
      </c>
      <c r="P29" s="15">
        <f t="shared" si="1"/>
        <v>0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0</v>
      </c>
      <c r="AF29" s="31">
        <f t="shared" si="21"/>
        <v>0</v>
      </c>
    </row>
    <row r="30" spans="2:32" ht="23.1" customHeight="1" x14ac:dyDescent="0.25">
      <c r="B30" s="45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</v>
      </c>
      <c r="N30" s="50">
        <v>0</v>
      </c>
      <c r="O30" s="15">
        <f t="shared" si="0"/>
        <v>0</v>
      </c>
      <c r="P30" s="15">
        <f t="shared" si="1"/>
        <v>1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2</v>
      </c>
      <c r="AD30" s="34">
        <f t="shared" si="22"/>
        <v>0</v>
      </c>
      <c r="AE30" s="31">
        <f t="shared" si="22"/>
        <v>0</v>
      </c>
      <c r="AF30" s="31">
        <f t="shared" si="22"/>
        <v>2</v>
      </c>
    </row>
    <row r="31" spans="2:32" ht="23.1" customHeight="1" x14ac:dyDescent="0.25">
      <c r="B31" s="46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</v>
      </c>
      <c r="N31" s="50">
        <v>0</v>
      </c>
      <c r="O31" s="15">
        <f t="shared" si="0"/>
        <v>0</v>
      </c>
      <c r="P31" s="15">
        <f t="shared" si="1"/>
        <v>1</v>
      </c>
      <c r="R31" s="36" t="s">
        <v>155</v>
      </c>
      <c r="S31" s="34">
        <f>SUM(C94:C97)</f>
        <v>0</v>
      </c>
      <c r="T31" s="34">
        <f t="shared" ref="T31:AF31" si="23">SUM(D94:D97)</f>
        <v>2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2</v>
      </c>
      <c r="AF31" s="31">
        <f t="shared" si="23"/>
        <v>2</v>
      </c>
    </row>
    <row r="32" spans="2:32" ht="23.1" customHeight="1" x14ac:dyDescent="0.25">
      <c r="B32" s="46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</v>
      </c>
      <c r="N32" s="50">
        <v>0</v>
      </c>
      <c r="O32" s="15">
        <f t="shared" si="0"/>
        <v>0</v>
      </c>
      <c r="P32" s="15">
        <f t="shared" si="1"/>
        <v>1</v>
      </c>
      <c r="R32" s="33" t="s">
        <v>156</v>
      </c>
      <c r="S32" s="34">
        <f>SUM(C98:C101)</f>
        <v>0</v>
      </c>
      <c r="T32" s="34">
        <f t="shared" ref="T32:AF32" si="24">SUM(D98:D101)</f>
        <v>1</v>
      </c>
      <c r="U32" s="34">
        <f t="shared" si="24"/>
        <v>1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1</v>
      </c>
      <c r="AD32" s="34">
        <f t="shared" si="24"/>
        <v>0</v>
      </c>
      <c r="AE32" s="31">
        <f t="shared" si="24"/>
        <v>2</v>
      </c>
      <c r="AF32" s="31">
        <f t="shared" si="24"/>
        <v>3</v>
      </c>
    </row>
    <row r="33" spans="2:32" ht="23.1" customHeight="1" x14ac:dyDescent="0.25">
      <c r="B33" s="45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15">
        <f t="shared" si="0"/>
        <v>0</v>
      </c>
      <c r="P33" s="15">
        <f t="shared" si="1"/>
        <v>0</v>
      </c>
      <c r="R33" s="33" t="s">
        <v>157</v>
      </c>
      <c r="S33" s="34">
        <f>SUM(C102:C105)</f>
        <v>0</v>
      </c>
      <c r="T33" s="34">
        <f t="shared" ref="T33:AF33" si="25">SUM(D102:D105)</f>
        <v>1</v>
      </c>
      <c r="U33" s="34">
        <f t="shared" si="25"/>
        <v>1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3</v>
      </c>
      <c r="AD33" s="34">
        <f t="shared" si="25"/>
        <v>0</v>
      </c>
      <c r="AE33" s="31">
        <f t="shared" si="25"/>
        <v>2</v>
      </c>
      <c r="AF33" s="31">
        <f t="shared" si="25"/>
        <v>5</v>
      </c>
    </row>
    <row r="34" spans="2:32" ht="23.1" customHeight="1" x14ac:dyDescent="0.25">
      <c r="B34" s="46" t="s">
        <v>61</v>
      </c>
      <c r="C34" s="50">
        <v>0</v>
      </c>
      <c r="D34" s="50">
        <v>1</v>
      </c>
      <c r="E34" s="50">
        <v>0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1</v>
      </c>
      <c r="N34" s="50">
        <v>0</v>
      </c>
      <c r="O34" s="15">
        <f t="shared" si="0"/>
        <v>2</v>
      </c>
      <c r="P34" s="15">
        <f t="shared" si="1"/>
        <v>3</v>
      </c>
      <c r="R34" s="38" t="s">
        <v>90</v>
      </c>
      <c r="S34" s="39">
        <f t="shared" ref="S34:AF34" si="26">MAX(S10:S12)</f>
        <v>0</v>
      </c>
      <c r="T34" s="39">
        <f t="shared" si="26"/>
        <v>2</v>
      </c>
      <c r="U34" s="39">
        <f t="shared" si="26"/>
        <v>2</v>
      </c>
      <c r="V34" s="39">
        <f t="shared" si="26"/>
        <v>0</v>
      </c>
      <c r="W34" s="39">
        <f t="shared" si="26"/>
        <v>0</v>
      </c>
      <c r="X34" s="39">
        <f t="shared" si="26"/>
        <v>0</v>
      </c>
      <c r="Y34" s="39">
        <f t="shared" si="26"/>
        <v>2</v>
      </c>
      <c r="Z34" s="39">
        <f t="shared" si="26"/>
        <v>1</v>
      </c>
      <c r="AA34" s="39">
        <f t="shared" si="26"/>
        <v>0</v>
      </c>
      <c r="AB34" s="39">
        <f t="shared" si="26"/>
        <v>0</v>
      </c>
      <c r="AC34" s="39">
        <f t="shared" si="26"/>
        <v>3</v>
      </c>
      <c r="AD34" s="39">
        <f t="shared" si="26"/>
        <v>0</v>
      </c>
      <c r="AE34" s="40">
        <f t="shared" si="26"/>
        <v>6</v>
      </c>
      <c r="AF34" s="40">
        <f t="shared" si="26"/>
        <v>9</v>
      </c>
    </row>
    <row r="35" spans="2:32" ht="23.1" customHeight="1" x14ac:dyDescent="0.25">
      <c r="B35" s="46" t="s">
        <v>62</v>
      </c>
      <c r="C35" s="50">
        <v>0</v>
      </c>
      <c r="D35" s="50">
        <v>1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</v>
      </c>
      <c r="N35" s="50">
        <v>0</v>
      </c>
      <c r="O35" s="15">
        <f t="shared" si="0"/>
        <v>1</v>
      </c>
      <c r="P35" s="15">
        <f t="shared" si="1"/>
        <v>2</v>
      </c>
      <c r="R35" s="38" t="s">
        <v>91</v>
      </c>
      <c r="S35" s="39">
        <f t="shared" ref="S35:AF35" si="27">MAX(S13:S18)</f>
        <v>0</v>
      </c>
      <c r="T35" s="39">
        <f t="shared" si="27"/>
        <v>2</v>
      </c>
      <c r="U35" s="39">
        <f t="shared" si="27"/>
        <v>1</v>
      </c>
      <c r="V35" s="39">
        <f t="shared" si="27"/>
        <v>0</v>
      </c>
      <c r="W35" s="39">
        <f t="shared" si="27"/>
        <v>0</v>
      </c>
      <c r="X35" s="39">
        <f t="shared" si="27"/>
        <v>0</v>
      </c>
      <c r="Y35" s="39">
        <f t="shared" si="27"/>
        <v>1</v>
      </c>
      <c r="Z35" s="39">
        <f t="shared" si="27"/>
        <v>0</v>
      </c>
      <c r="AA35" s="39">
        <f t="shared" si="27"/>
        <v>0</v>
      </c>
      <c r="AB35" s="39">
        <f t="shared" si="27"/>
        <v>0</v>
      </c>
      <c r="AC35" s="39">
        <f t="shared" si="27"/>
        <v>3</v>
      </c>
      <c r="AD35" s="39">
        <f t="shared" si="27"/>
        <v>0</v>
      </c>
      <c r="AE35" s="40">
        <f t="shared" si="27"/>
        <v>3</v>
      </c>
      <c r="AF35" s="40">
        <f t="shared" si="27"/>
        <v>6</v>
      </c>
    </row>
    <row r="36" spans="2:32" ht="23.1" customHeight="1" x14ac:dyDescent="0.25">
      <c r="B36" s="46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</v>
      </c>
      <c r="N36" s="50">
        <v>0</v>
      </c>
      <c r="O36" s="15">
        <f t="shared" si="0"/>
        <v>0</v>
      </c>
      <c r="P36" s="15">
        <f t="shared" si="1"/>
        <v>1</v>
      </c>
      <c r="R36" s="38" t="s">
        <v>92</v>
      </c>
      <c r="S36" s="39">
        <f t="shared" ref="S36:AF36" si="28">MAX(S19:S21)</f>
        <v>0</v>
      </c>
      <c r="T36" s="39">
        <f t="shared" si="28"/>
        <v>2</v>
      </c>
      <c r="U36" s="39">
        <f t="shared" si="28"/>
        <v>3</v>
      </c>
      <c r="V36" s="39">
        <f t="shared" si="28"/>
        <v>0</v>
      </c>
      <c r="W36" s="39">
        <f t="shared" si="28"/>
        <v>0</v>
      </c>
      <c r="X36" s="39">
        <f t="shared" si="28"/>
        <v>0</v>
      </c>
      <c r="Y36" s="39">
        <f t="shared" si="28"/>
        <v>0</v>
      </c>
      <c r="Z36" s="39">
        <f t="shared" si="28"/>
        <v>0</v>
      </c>
      <c r="AA36" s="39">
        <f t="shared" si="28"/>
        <v>0</v>
      </c>
      <c r="AB36" s="39">
        <f t="shared" si="28"/>
        <v>0</v>
      </c>
      <c r="AC36" s="39">
        <f t="shared" si="28"/>
        <v>3</v>
      </c>
      <c r="AD36" s="39">
        <f t="shared" si="28"/>
        <v>0</v>
      </c>
      <c r="AE36" s="40">
        <f t="shared" si="28"/>
        <v>3</v>
      </c>
      <c r="AF36" s="40">
        <f t="shared" si="28"/>
        <v>6</v>
      </c>
    </row>
    <row r="37" spans="2:32" ht="23.1" customHeight="1" x14ac:dyDescent="0.25">
      <c r="B37" s="45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0</v>
      </c>
      <c r="N37" s="50">
        <v>0</v>
      </c>
      <c r="O37" s="15">
        <f t="shared" si="0"/>
        <v>0</v>
      </c>
      <c r="P37" s="15">
        <f t="shared" si="1"/>
        <v>0</v>
      </c>
      <c r="R37" s="37" t="s">
        <v>85</v>
      </c>
      <c r="S37" s="35">
        <f t="shared" ref="S37:AF37" si="29">SUM(S10:S12)</f>
        <v>0</v>
      </c>
      <c r="T37" s="16">
        <f t="shared" si="29"/>
        <v>2</v>
      </c>
      <c r="U37" s="16">
        <f t="shared" si="29"/>
        <v>3</v>
      </c>
      <c r="V37" s="16">
        <f t="shared" si="29"/>
        <v>0</v>
      </c>
      <c r="W37" s="16">
        <f t="shared" si="29"/>
        <v>0</v>
      </c>
      <c r="X37" s="16">
        <f t="shared" si="29"/>
        <v>0</v>
      </c>
      <c r="Y37" s="16">
        <f t="shared" si="29"/>
        <v>3</v>
      </c>
      <c r="Z37" s="16">
        <f t="shared" si="29"/>
        <v>1</v>
      </c>
      <c r="AA37" s="16">
        <f t="shared" si="29"/>
        <v>0</v>
      </c>
      <c r="AB37" s="16">
        <f t="shared" si="29"/>
        <v>0</v>
      </c>
      <c r="AC37" s="16">
        <f t="shared" si="29"/>
        <v>9</v>
      </c>
      <c r="AD37" s="16">
        <f t="shared" si="29"/>
        <v>0</v>
      </c>
      <c r="AE37" s="32">
        <f t="shared" si="29"/>
        <v>9</v>
      </c>
      <c r="AF37" s="32">
        <f t="shared" si="29"/>
        <v>18</v>
      </c>
    </row>
    <row r="38" spans="2:32" ht="23.1" customHeight="1" x14ac:dyDescent="0.25">
      <c r="B38" s="46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0</v>
      </c>
      <c r="N38" s="50">
        <v>0</v>
      </c>
      <c r="O38" s="15">
        <f t="shared" si="0"/>
        <v>1</v>
      </c>
      <c r="P38" s="15">
        <f t="shared" si="1"/>
        <v>1</v>
      </c>
      <c r="R38" s="28" t="s">
        <v>86</v>
      </c>
      <c r="S38" s="16">
        <f t="shared" ref="S38:AF38" si="30">SUM(S13:S18)</f>
        <v>0</v>
      </c>
      <c r="T38" s="16">
        <f t="shared" si="30"/>
        <v>3</v>
      </c>
      <c r="U38" s="16">
        <f t="shared" si="30"/>
        <v>2</v>
      </c>
      <c r="V38" s="16">
        <f t="shared" si="30"/>
        <v>0</v>
      </c>
      <c r="W38" s="16">
        <f t="shared" si="30"/>
        <v>0</v>
      </c>
      <c r="X38" s="16">
        <f t="shared" si="30"/>
        <v>0</v>
      </c>
      <c r="Y38" s="16">
        <f t="shared" si="30"/>
        <v>4</v>
      </c>
      <c r="Z38" s="16">
        <f t="shared" si="30"/>
        <v>0</v>
      </c>
      <c r="AA38" s="16">
        <f t="shared" si="30"/>
        <v>0</v>
      </c>
      <c r="AB38" s="16">
        <f t="shared" si="30"/>
        <v>0</v>
      </c>
      <c r="AC38" s="16">
        <f t="shared" si="30"/>
        <v>10</v>
      </c>
      <c r="AD38" s="16">
        <f t="shared" si="30"/>
        <v>0</v>
      </c>
      <c r="AE38" s="32">
        <f t="shared" si="30"/>
        <v>9</v>
      </c>
      <c r="AF38" s="32">
        <f t="shared" si="30"/>
        <v>19</v>
      </c>
    </row>
    <row r="39" spans="2:32" ht="23.1" customHeight="1" x14ac:dyDescent="0.25">
      <c r="B39" s="46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0</v>
      </c>
      <c r="N39" s="50">
        <v>0</v>
      </c>
      <c r="O39" s="15">
        <f t="shared" si="0"/>
        <v>0</v>
      </c>
      <c r="P39" s="15">
        <f t="shared" si="1"/>
        <v>0</v>
      </c>
      <c r="R39" s="29" t="s">
        <v>87</v>
      </c>
      <c r="S39" s="16">
        <f t="shared" ref="S39:AF39" si="31">SUM(S19:S21)</f>
        <v>0</v>
      </c>
      <c r="T39" s="16">
        <f t="shared" si="31"/>
        <v>3</v>
      </c>
      <c r="U39" s="16">
        <f t="shared" si="31"/>
        <v>5</v>
      </c>
      <c r="V39" s="16">
        <f t="shared" si="31"/>
        <v>0</v>
      </c>
      <c r="W39" s="16">
        <f t="shared" si="31"/>
        <v>0</v>
      </c>
      <c r="X39" s="16">
        <f t="shared" si="31"/>
        <v>0</v>
      </c>
      <c r="Y39" s="16">
        <f t="shared" si="31"/>
        <v>0</v>
      </c>
      <c r="Z39" s="16">
        <f t="shared" si="31"/>
        <v>0</v>
      </c>
      <c r="AA39" s="16">
        <f t="shared" si="31"/>
        <v>0</v>
      </c>
      <c r="AB39" s="16">
        <f t="shared" si="31"/>
        <v>0</v>
      </c>
      <c r="AC39" s="16">
        <f t="shared" si="31"/>
        <v>8</v>
      </c>
      <c r="AD39" s="16">
        <f t="shared" si="31"/>
        <v>0</v>
      </c>
      <c r="AE39" s="32">
        <f t="shared" si="31"/>
        <v>8</v>
      </c>
      <c r="AF39" s="32">
        <f t="shared" si="31"/>
        <v>16</v>
      </c>
    </row>
    <row r="40" spans="2:32" ht="23.1" customHeight="1" x14ac:dyDescent="0.25">
      <c r="B40" s="46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0</v>
      </c>
      <c r="N40" s="50">
        <v>0</v>
      </c>
      <c r="O40" s="15">
        <f t="shared" si="0"/>
        <v>0</v>
      </c>
      <c r="P40" s="15">
        <f t="shared" si="1"/>
        <v>0</v>
      </c>
      <c r="R40" s="5" t="s">
        <v>17</v>
      </c>
      <c r="S40" s="16">
        <f t="shared" ref="S40:AF40" si="32">SUM(S10:S21)</f>
        <v>0</v>
      </c>
      <c r="T40" s="16">
        <f t="shared" si="32"/>
        <v>8</v>
      </c>
      <c r="U40" s="16">
        <f t="shared" si="32"/>
        <v>10</v>
      </c>
      <c r="V40" s="16">
        <f t="shared" si="32"/>
        <v>0</v>
      </c>
      <c r="W40" s="16">
        <f t="shared" si="32"/>
        <v>0</v>
      </c>
      <c r="X40" s="16">
        <f t="shared" si="32"/>
        <v>0</v>
      </c>
      <c r="Y40" s="16">
        <f t="shared" si="32"/>
        <v>7</v>
      </c>
      <c r="Z40" s="16">
        <f t="shared" si="32"/>
        <v>1</v>
      </c>
      <c r="AA40" s="16">
        <f t="shared" si="32"/>
        <v>0</v>
      </c>
      <c r="AB40" s="16">
        <f t="shared" si="32"/>
        <v>0</v>
      </c>
      <c r="AC40" s="16">
        <f t="shared" si="32"/>
        <v>27</v>
      </c>
      <c r="AD40" s="16">
        <f t="shared" si="32"/>
        <v>0</v>
      </c>
      <c r="AE40" s="32">
        <f t="shared" si="32"/>
        <v>26</v>
      </c>
      <c r="AF40" s="32">
        <f t="shared" si="32"/>
        <v>53</v>
      </c>
    </row>
    <row r="41" spans="2:32" ht="23.1" customHeight="1" x14ac:dyDescent="0.25">
      <c r="B41" s="45" t="s">
        <v>68</v>
      </c>
      <c r="C41" s="50">
        <v>0</v>
      </c>
      <c r="D41" s="50">
        <v>0</v>
      </c>
      <c r="E41" s="50">
        <v>1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0</v>
      </c>
      <c r="N41" s="50">
        <v>0</v>
      </c>
      <c r="O41" s="15">
        <f t="shared" si="0"/>
        <v>1</v>
      </c>
      <c r="P41" s="15">
        <f t="shared" si="1"/>
        <v>1</v>
      </c>
      <c r="R41" s="5" t="s">
        <v>159</v>
      </c>
      <c r="S41" s="16">
        <f>SUM(S10:S33)</f>
        <v>1</v>
      </c>
      <c r="T41" s="16">
        <f t="shared" ref="T41:AF41" si="33">SUM(T10:T33)</f>
        <v>18</v>
      </c>
      <c r="U41" s="16">
        <f t="shared" si="33"/>
        <v>17</v>
      </c>
      <c r="V41" s="16">
        <f t="shared" si="33"/>
        <v>0</v>
      </c>
      <c r="W41" s="16">
        <f t="shared" si="33"/>
        <v>0</v>
      </c>
      <c r="X41" s="16">
        <f t="shared" si="33"/>
        <v>0</v>
      </c>
      <c r="Y41" s="16">
        <f t="shared" si="33"/>
        <v>8</v>
      </c>
      <c r="Z41" s="16">
        <f t="shared" si="33"/>
        <v>5</v>
      </c>
      <c r="AA41" s="16">
        <f t="shared" si="33"/>
        <v>0</v>
      </c>
      <c r="AB41" s="16">
        <f t="shared" si="33"/>
        <v>0</v>
      </c>
      <c r="AC41" s="16">
        <f t="shared" si="33"/>
        <v>49</v>
      </c>
      <c r="AD41" s="16">
        <f t="shared" si="33"/>
        <v>0</v>
      </c>
      <c r="AE41" s="32">
        <f t="shared" si="33"/>
        <v>49</v>
      </c>
      <c r="AF41" s="32">
        <f t="shared" si="33"/>
        <v>98</v>
      </c>
    </row>
    <row r="42" spans="2:32" ht="23.1" customHeight="1" x14ac:dyDescent="0.25">
      <c r="B42" s="46" t="s">
        <v>69</v>
      </c>
      <c r="C42" s="50">
        <v>0</v>
      </c>
      <c r="D42" s="50">
        <v>0</v>
      </c>
      <c r="E42" s="50">
        <v>1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</v>
      </c>
      <c r="N42" s="50">
        <v>0</v>
      </c>
      <c r="O42" s="15">
        <f t="shared" si="0"/>
        <v>1</v>
      </c>
      <c r="P42" s="15">
        <f t="shared" si="1"/>
        <v>2</v>
      </c>
      <c r="R42" s="5" t="s">
        <v>160</v>
      </c>
      <c r="S42" s="48" t="e">
        <f>S41/S40</f>
        <v>#DIV/0!</v>
      </c>
      <c r="T42" s="48">
        <f t="shared" ref="T42:AF42" si="34">T41/T40</f>
        <v>2.25</v>
      </c>
      <c r="U42" s="48">
        <f t="shared" si="34"/>
        <v>1.7</v>
      </c>
      <c r="V42" s="48" t="e">
        <f t="shared" si="34"/>
        <v>#DIV/0!</v>
      </c>
      <c r="W42" s="48" t="e">
        <f t="shared" si="34"/>
        <v>#DIV/0!</v>
      </c>
      <c r="X42" s="48" t="e">
        <f t="shared" si="34"/>
        <v>#DIV/0!</v>
      </c>
      <c r="Y42" s="48">
        <f t="shared" si="34"/>
        <v>1.1428571428571428</v>
      </c>
      <c r="Z42" s="48">
        <f t="shared" si="34"/>
        <v>5</v>
      </c>
      <c r="AA42" s="48" t="e">
        <f t="shared" si="34"/>
        <v>#DIV/0!</v>
      </c>
      <c r="AB42" s="48" t="e">
        <f t="shared" si="34"/>
        <v>#DIV/0!</v>
      </c>
      <c r="AC42" s="48">
        <f t="shared" si="34"/>
        <v>1.8148148148148149</v>
      </c>
      <c r="AD42" s="48" t="e">
        <f t="shared" si="34"/>
        <v>#DIV/0!</v>
      </c>
      <c r="AE42" s="48">
        <f t="shared" si="34"/>
        <v>1.8846153846153846</v>
      </c>
      <c r="AF42" s="48">
        <f t="shared" si="34"/>
        <v>1.8490566037735849</v>
      </c>
    </row>
    <row r="43" spans="2:32" ht="23.1" customHeight="1" x14ac:dyDescent="0.25">
      <c r="B43" s="45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0</v>
      </c>
      <c r="N43" s="50">
        <v>0</v>
      </c>
      <c r="O43" s="15">
        <f t="shared" si="0"/>
        <v>1</v>
      </c>
      <c r="P43" s="15">
        <f t="shared" si="1"/>
        <v>1</v>
      </c>
    </row>
    <row r="44" spans="2:32" ht="23.1" customHeight="1" x14ac:dyDescent="0.25">
      <c r="B44" s="47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0</v>
      </c>
      <c r="N44" s="50">
        <v>0</v>
      </c>
      <c r="O44" s="15">
        <f t="shared" si="0"/>
        <v>0</v>
      </c>
      <c r="P44" s="15">
        <f t="shared" si="1"/>
        <v>0</v>
      </c>
    </row>
    <row r="45" spans="2:32" ht="23.1" customHeight="1" x14ac:dyDescent="0.25">
      <c r="B45" s="45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</v>
      </c>
      <c r="N45" s="50">
        <v>0</v>
      </c>
      <c r="O45" s="15">
        <f t="shared" si="0"/>
        <v>0</v>
      </c>
      <c r="P45" s="15">
        <f t="shared" si="1"/>
        <v>1</v>
      </c>
    </row>
    <row r="46" spans="2:32" ht="23.1" customHeight="1" x14ac:dyDescent="0.25">
      <c r="B46" s="46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</v>
      </c>
      <c r="N46" s="50">
        <v>0</v>
      </c>
      <c r="O46" s="15">
        <f t="shared" si="0"/>
        <v>0</v>
      </c>
      <c r="P46" s="15">
        <f t="shared" si="1"/>
        <v>1</v>
      </c>
      <c r="R46" s="8"/>
      <c r="T46"/>
    </row>
    <row r="47" spans="2:32" ht="23.1" customHeight="1" x14ac:dyDescent="0.25">
      <c r="B47" s="46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0</v>
      </c>
      <c r="N47" s="50">
        <v>0</v>
      </c>
      <c r="O47" s="15">
        <f t="shared" si="0"/>
        <v>0</v>
      </c>
      <c r="P47" s="15">
        <f t="shared" si="1"/>
        <v>0</v>
      </c>
      <c r="R47" s="8"/>
      <c r="T47"/>
    </row>
    <row r="48" spans="2:32" ht="23.1" customHeight="1" x14ac:dyDescent="0.25">
      <c r="B48" s="46" t="s">
        <v>75</v>
      </c>
      <c r="C48" s="50">
        <v>0</v>
      </c>
      <c r="D48" s="50">
        <v>1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1</v>
      </c>
      <c r="N48" s="50">
        <v>0</v>
      </c>
      <c r="O48" s="15">
        <f t="shared" si="0"/>
        <v>1</v>
      </c>
      <c r="P48" s="15">
        <f t="shared" si="1"/>
        <v>2</v>
      </c>
      <c r="R48" s="8"/>
      <c r="T48"/>
    </row>
    <row r="49" spans="2:20" ht="23.1" customHeight="1" x14ac:dyDescent="0.25">
      <c r="B49" s="45" t="s">
        <v>76</v>
      </c>
      <c r="C49" s="50">
        <v>0</v>
      </c>
      <c r="D49" s="50">
        <v>0</v>
      </c>
      <c r="E49" s="50">
        <v>1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0</v>
      </c>
      <c r="N49" s="50">
        <v>0</v>
      </c>
      <c r="O49" s="15">
        <f t="shared" si="0"/>
        <v>1</v>
      </c>
      <c r="P49" s="15">
        <f t="shared" si="1"/>
        <v>1</v>
      </c>
      <c r="R49" s="8"/>
      <c r="T49"/>
    </row>
    <row r="50" spans="2:20" ht="23.1" customHeight="1" x14ac:dyDescent="0.25">
      <c r="B50" s="46" t="s">
        <v>77</v>
      </c>
      <c r="C50" s="50">
        <v>0</v>
      </c>
      <c r="D50" s="50">
        <v>0</v>
      </c>
      <c r="E50" s="50">
        <v>1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</v>
      </c>
      <c r="N50" s="50">
        <v>0</v>
      </c>
      <c r="O50" s="15">
        <f t="shared" si="0"/>
        <v>1</v>
      </c>
      <c r="P50" s="15">
        <f t="shared" si="1"/>
        <v>2</v>
      </c>
      <c r="R50" s="8"/>
      <c r="T50"/>
    </row>
    <row r="51" spans="2:20" ht="23.1" customHeight="1" x14ac:dyDescent="0.25">
      <c r="B51" s="46" t="s">
        <v>78</v>
      </c>
      <c r="C51" s="50">
        <v>0</v>
      </c>
      <c r="D51" s="50">
        <v>0</v>
      </c>
      <c r="E51" s="50">
        <v>1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</v>
      </c>
      <c r="N51" s="50">
        <v>0</v>
      </c>
      <c r="O51" s="15">
        <f t="shared" si="0"/>
        <v>1</v>
      </c>
      <c r="P51" s="15">
        <f t="shared" si="1"/>
        <v>2</v>
      </c>
      <c r="R51" s="8"/>
      <c r="T51"/>
    </row>
    <row r="52" spans="2:20" ht="23.1" customHeight="1" x14ac:dyDescent="0.25">
      <c r="B52" s="46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0</v>
      </c>
      <c r="N52" s="50">
        <v>0</v>
      </c>
      <c r="O52" s="15">
        <f t="shared" si="0"/>
        <v>0</v>
      </c>
      <c r="P52" s="15">
        <f t="shared" si="1"/>
        <v>0</v>
      </c>
      <c r="R52" s="8"/>
      <c r="T52"/>
    </row>
    <row r="53" spans="2:20" ht="23.1" customHeight="1" x14ac:dyDescent="0.25">
      <c r="B53" s="45" t="s">
        <v>80</v>
      </c>
      <c r="C53" s="50">
        <v>0</v>
      </c>
      <c r="D53" s="50">
        <v>0</v>
      </c>
      <c r="E53" s="50">
        <v>1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</v>
      </c>
      <c r="N53" s="50">
        <v>0</v>
      </c>
      <c r="O53" s="15">
        <f t="shared" si="0"/>
        <v>1</v>
      </c>
      <c r="P53" s="15">
        <f t="shared" si="1"/>
        <v>2</v>
      </c>
      <c r="R53" s="8"/>
      <c r="T53"/>
    </row>
    <row r="54" spans="2:20" ht="23.1" customHeight="1" x14ac:dyDescent="0.25">
      <c r="B54" s="45" t="s">
        <v>81</v>
      </c>
      <c r="C54" s="50">
        <v>0</v>
      </c>
      <c r="D54" s="50">
        <v>1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</v>
      </c>
      <c r="N54" s="50">
        <v>0</v>
      </c>
      <c r="O54" s="15">
        <f t="shared" si="0"/>
        <v>1</v>
      </c>
      <c r="P54" s="15">
        <f t="shared" si="1"/>
        <v>2</v>
      </c>
      <c r="R54" s="8"/>
      <c r="T54"/>
    </row>
    <row r="55" spans="2:20" ht="23.1" customHeight="1" x14ac:dyDescent="0.25">
      <c r="B55" s="45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</v>
      </c>
      <c r="N55" s="50">
        <v>0</v>
      </c>
      <c r="O55" s="15">
        <f t="shared" si="0"/>
        <v>0</v>
      </c>
      <c r="P55" s="15">
        <f t="shared" si="1"/>
        <v>1</v>
      </c>
      <c r="R55" s="8"/>
      <c r="T55"/>
    </row>
    <row r="56" spans="2:20" ht="23.1" customHeight="1" x14ac:dyDescent="0.25">
      <c r="B56" s="45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0</v>
      </c>
      <c r="N56" s="50">
        <v>0</v>
      </c>
      <c r="O56" s="15">
        <f t="shared" si="0"/>
        <v>0</v>
      </c>
      <c r="P56" s="15">
        <f t="shared" si="1"/>
        <v>0</v>
      </c>
      <c r="R56" s="8"/>
      <c r="T56"/>
    </row>
    <row r="57" spans="2:20" ht="23.1" customHeight="1" x14ac:dyDescent="0.25">
      <c r="B57" s="45" t="s">
        <v>84</v>
      </c>
      <c r="C57" s="50">
        <v>0</v>
      </c>
      <c r="D57" s="50">
        <v>1</v>
      </c>
      <c r="E57" s="50">
        <v>1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1</v>
      </c>
      <c r="N57" s="50">
        <v>0</v>
      </c>
      <c r="O57" s="15">
        <f t="shared" si="0"/>
        <v>2</v>
      </c>
      <c r="P57" s="15">
        <f t="shared" si="1"/>
        <v>3</v>
      </c>
      <c r="R57" s="8"/>
      <c r="T57"/>
    </row>
    <row r="58" spans="2:20" ht="23.1" customHeight="1" x14ac:dyDescent="0.25">
      <c r="B58" s="45" t="s">
        <v>99</v>
      </c>
      <c r="C58" s="50">
        <v>0</v>
      </c>
      <c r="D58" s="50">
        <v>0</v>
      </c>
      <c r="E58" s="50">
        <v>1</v>
      </c>
      <c r="F58" s="50">
        <v>0</v>
      </c>
      <c r="G58" s="50">
        <v>0</v>
      </c>
      <c r="H58" s="50">
        <v>0</v>
      </c>
      <c r="I58" s="50">
        <v>0</v>
      </c>
      <c r="J58" s="50">
        <v>1</v>
      </c>
      <c r="K58" s="50">
        <v>0</v>
      </c>
      <c r="L58" s="50">
        <v>0</v>
      </c>
      <c r="M58" s="50">
        <v>2</v>
      </c>
      <c r="N58" s="50">
        <v>0</v>
      </c>
      <c r="O58" s="15">
        <f t="shared" ref="O58:O105" si="35">SUM(C58:L58,N58)</f>
        <v>2</v>
      </c>
      <c r="P58" s="15">
        <f t="shared" ref="P58:P105" si="36">SUM(C58:N58)</f>
        <v>4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0</v>
      </c>
      <c r="N59" s="50">
        <v>0</v>
      </c>
      <c r="O59" s="15">
        <f t="shared" si="35"/>
        <v>0</v>
      </c>
      <c r="P59" s="15">
        <f t="shared" si="36"/>
        <v>0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1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1</v>
      </c>
      <c r="N60" s="50">
        <v>0</v>
      </c>
      <c r="O60" s="15">
        <f t="shared" si="35"/>
        <v>1</v>
      </c>
      <c r="P60" s="15">
        <f t="shared" si="36"/>
        <v>2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1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0</v>
      </c>
      <c r="N61" s="50">
        <v>0</v>
      </c>
      <c r="O61" s="15">
        <f t="shared" si="35"/>
        <v>1</v>
      </c>
      <c r="P61" s="15">
        <f t="shared" si="36"/>
        <v>1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0</v>
      </c>
      <c r="E62" s="50">
        <v>1</v>
      </c>
      <c r="F62" s="50">
        <v>0</v>
      </c>
      <c r="G62" s="50">
        <v>0</v>
      </c>
      <c r="H62" s="50">
        <v>0</v>
      </c>
      <c r="I62" s="50">
        <v>1</v>
      </c>
      <c r="J62" s="50">
        <v>0</v>
      </c>
      <c r="K62" s="50">
        <v>0</v>
      </c>
      <c r="L62" s="50">
        <v>0</v>
      </c>
      <c r="M62" s="50">
        <v>1</v>
      </c>
      <c r="N62" s="50">
        <v>0</v>
      </c>
      <c r="O62" s="15">
        <f t="shared" si="35"/>
        <v>2</v>
      </c>
      <c r="P62" s="15">
        <f t="shared" si="36"/>
        <v>3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1</v>
      </c>
      <c r="N63" s="50">
        <v>0</v>
      </c>
      <c r="O63" s="15">
        <f t="shared" si="35"/>
        <v>0</v>
      </c>
      <c r="P63" s="15">
        <f t="shared" si="36"/>
        <v>1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0</v>
      </c>
      <c r="N64" s="50">
        <v>0</v>
      </c>
      <c r="O64" s="15">
        <f t="shared" si="35"/>
        <v>0</v>
      </c>
      <c r="P64" s="15">
        <f t="shared" si="36"/>
        <v>0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1</v>
      </c>
      <c r="E65" s="50">
        <v>1</v>
      </c>
      <c r="F65" s="50">
        <v>0</v>
      </c>
      <c r="G65" s="50">
        <v>0</v>
      </c>
      <c r="H65" s="50">
        <v>0</v>
      </c>
      <c r="I65" s="50">
        <v>0</v>
      </c>
      <c r="J65" s="50">
        <v>2</v>
      </c>
      <c r="K65" s="50">
        <v>0</v>
      </c>
      <c r="L65" s="50">
        <v>0</v>
      </c>
      <c r="M65" s="50">
        <v>0</v>
      </c>
      <c r="N65" s="50">
        <v>0</v>
      </c>
      <c r="O65" s="15">
        <f t="shared" si="35"/>
        <v>4</v>
      </c>
      <c r="P65" s="15">
        <f t="shared" si="36"/>
        <v>4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1</v>
      </c>
      <c r="N66" s="50">
        <v>0</v>
      </c>
      <c r="O66" s="15">
        <f t="shared" si="35"/>
        <v>0</v>
      </c>
      <c r="P66" s="15">
        <f t="shared" si="36"/>
        <v>1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1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1</v>
      </c>
      <c r="N67" s="50">
        <v>0</v>
      </c>
      <c r="O67" s="15">
        <f t="shared" si="35"/>
        <v>1</v>
      </c>
      <c r="P67" s="15">
        <f t="shared" si="36"/>
        <v>2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1</v>
      </c>
      <c r="N68" s="50">
        <v>0</v>
      </c>
      <c r="O68" s="15">
        <f t="shared" si="35"/>
        <v>0</v>
      </c>
      <c r="P68" s="15">
        <f t="shared" si="36"/>
        <v>1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1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1</v>
      </c>
      <c r="N69" s="50">
        <v>0</v>
      </c>
      <c r="O69" s="15">
        <f t="shared" si="35"/>
        <v>1</v>
      </c>
      <c r="P69" s="15">
        <f t="shared" si="36"/>
        <v>2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1</v>
      </c>
      <c r="N70" s="50">
        <v>0</v>
      </c>
      <c r="O70" s="15">
        <f t="shared" si="35"/>
        <v>0</v>
      </c>
      <c r="P70" s="15">
        <f t="shared" si="36"/>
        <v>1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1</v>
      </c>
      <c r="N71" s="50">
        <v>0</v>
      </c>
      <c r="O71" s="15">
        <f t="shared" si="35"/>
        <v>0</v>
      </c>
      <c r="P71" s="15">
        <f t="shared" si="36"/>
        <v>1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1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0</v>
      </c>
      <c r="N72" s="50">
        <v>0</v>
      </c>
      <c r="O72" s="15">
        <f t="shared" si="35"/>
        <v>1</v>
      </c>
      <c r="P72" s="15">
        <f t="shared" si="36"/>
        <v>1</v>
      </c>
      <c r="R72" s="8"/>
      <c r="T72"/>
    </row>
    <row r="73" spans="2:20" ht="23.1" customHeight="1" x14ac:dyDescent="0.25">
      <c r="B73" s="45" t="s">
        <v>113</v>
      </c>
      <c r="C73" s="50">
        <v>1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1</v>
      </c>
      <c r="N73" s="50">
        <v>0</v>
      </c>
      <c r="O73" s="15">
        <f t="shared" si="35"/>
        <v>1</v>
      </c>
      <c r="P73" s="15">
        <f t="shared" si="36"/>
        <v>2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0</v>
      </c>
      <c r="N74" s="50">
        <v>0</v>
      </c>
      <c r="O74" s="15">
        <f t="shared" si="35"/>
        <v>0</v>
      </c>
      <c r="P74" s="15">
        <f t="shared" si="36"/>
        <v>0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0</v>
      </c>
      <c r="P75" s="15">
        <f t="shared" si="36"/>
        <v>0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0</v>
      </c>
      <c r="N76" s="50">
        <v>0</v>
      </c>
      <c r="O76" s="15">
        <f t="shared" si="35"/>
        <v>0</v>
      </c>
      <c r="P76" s="15">
        <f t="shared" si="36"/>
        <v>0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1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1</v>
      </c>
      <c r="N77" s="50">
        <v>0</v>
      </c>
      <c r="O77" s="15">
        <f t="shared" si="35"/>
        <v>1</v>
      </c>
      <c r="P77" s="15">
        <f t="shared" si="36"/>
        <v>2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0</v>
      </c>
      <c r="N78" s="50">
        <v>0</v>
      </c>
      <c r="O78" s="15">
        <f t="shared" si="35"/>
        <v>0</v>
      </c>
      <c r="P78" s="15">
        <f t="shared" si="36"/>
        <v>0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1</v>
      </c>
      <c r="N79" s="50">
        <v>0</v>
      </c>
      <c r="O79" s="15">
        <f t="shared" si="35"/>
        <v>0</v>
      </c>
      <c r="P79" s="15">
        <f t="shared" si="36"/>
        <v>1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1</v>
      </c>
      <c r="N80" s="50">
        <v>0</v>
      </c>
      <c r="O80" s="15">
        <f t="shared" si="35"/>
        <v>0</v>
      </c>
      <c r="P80" s="15">
        <f t="shared" si="36"/>
        <v>1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1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1</v>
      </c>
      <c r="P81" s="15">
        <f t="shared" si="36"/>
        <v>1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1</v>
      </c>
      <c r="N83" s="50">
        <v>0</v>
      </c>
      <c r="O83" s="15">
        <f t="shared" si="35"/>
        <v>0</v>
      </c>
      <c r="P83" s="15">
        <f t="shared" si="36"/>
        <v>1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1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1</v>
      </c>
      <c r="P84" s="15">
        <f t="shared" si="36"/>
        <v>1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2</v>
      </c>
      <c r="N90" s="50">
        <v>0</v>
      </c>
      <c r="O90" s="15">
        <f t="shared" si="35"/>
        <v>0</v>
      </c>
      <c r="P90" s="15">
        <f t="shared" si="36"/>
        <v>2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1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1</v>
      </c>
      <c r="P94" s="15">
        <f t="shared" si="36"/>
        <v>1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1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1</v>
      </c>
      <c r="P97" s="15">
        <f t="shared" si="36"/>
        <v>1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1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1</v>
      </c>
      <c r="P98" s="15">
        <f t="shared" si="36"/>
        <v>1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1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1</v>
      </c>
      <c r="N99" s="50">
        <v>0</v>
      </c>
      <c r="O99" s="15">
        <f t="shared" si="35"/>
        <v>1</v>
      </c>
      <c r="P99" s="15">
        <f t="shared" si="36"/>
        <v>2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0</v>
      </c>
      <c r="N101" s="50">
        <v>0</v>
      </c>
      <c r="O101" s="15">
        <f t="shared" si="35"/>
        <v>0</v>
      </c>
      <c r="P101" s="15">
        <f t="shared" si="36"/>
        <v>0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1</v>
      </c>
      <c r="N102" s="50">
        <v>0</v>
      </c>
      <c r="O102" s="15">
        <f t="shared" si="35"/>
        <v>0</v>
      </c>
      <c r="P102" s="15">
        <f t="shared" si="36"/>
        <v>1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1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1</v>
      </c>
      <c r="N103" s="50">
        <v>0</v>
      </c>
      <c r="O103" s="15">
        <f t="shared" si="35"/>
        <v>1</v>
      </c>
      <c r="P103" s="15">
        <f t="shared" si="36"/>
        <v>2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1</v>
      </c>
      <c r="N104" s="50">
        <v>0</v>
      </c>
      <c r="O104" s="15">
        <f t="shared" si="35"/>
        <v>0</v>
      </c>
      <c r="P104" s="15">
        <f t="shared" si="36"/>
        <v>1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1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0</v>
      </c>
      <c r="N105" s="50">
        <v>0</v>
      </c>
      <c r="O105" s="15">
        <f t="shared" si="35"/>
        <v>1</v>
      </c>
      <c r="P105" s="15">
        <f t="shared" si="36"/>
        <v>1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</v>
      </c>
      <c r="D106" s="16">
        <f t="shared" ref="D106:P106" si="37">SUM(D10:D105)</f>
        <v>18</v>
      </c>
      <c r="E106" s="16">
        <f t="shared" si="37"/>
        <v>17</v>
      </c>
      <c r="F106" s="16">
        <f t="shared" si="37"/>
        <v>0</v>
      </c>
      <c r="G106" s="16">
        <f t="shared" si="37"/>
        <v>0</v>
      </c>
      <c r="H106" s="16">
        <f t="shared" si="37"/>
        <v>0</v>
      </c>
      <c r="I106" s="16">
        <f t="shared" si="37"/>
        <v>8</v>
      </c>
      <c r="J106" s="16">
        <f t="shared" si="37"/>
        <v>5</v>
      </c>
      <c r="K106" s="16">
        <f t="shared" si="37"/>
        <v>0</v>
      </c>
      <c r="L106" s="16">
        <f t="shared" si="37"/>
        <v>0</v>
      </c>
      <c r="M106" s="16">
        <f t="shared" si="37"/>
        <v>49</v>
      </c>
      <c r="N106" s="16">
        <f t="shared" si="37"/>
        <v>0</v>
      </c>
      <c r="O106" s="16">
        <f t="shared" si="37"/>
        <v>49</v>
      </c>
      <c r="P106" s="16">
        <f t="shared" si="37"/>
        <v>98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1.020408163265306E-2</v>
      </c>
      <c r="D107" s="43">
        <f t="shared" si="38"/>
        <v>0.18367346938775511</v>
      </c>
      <c r="E107" s="43">
        <f t="shared" si="38"/>
        <v>0.17346938775510204</v>
      </c>
      <c r="F107" s="43">
        <f t="shared" si="38"/>
        <v>0</v>
      </c>
      <c r="G107" s="43">
        <f t="shared" si="38"/>
        <v>0</v>
      </c>
      <c r="H107" s="43">
        <f t="shared" si="38"/>
        <v>0</v>
      </c>
      <c r="I107" s="43">
        <f t="shared" si="38"/>
        <v>8.1632653061224483E-2</v>
      </c>
      <c r="J107" s="43">
        <f t="shared" si="38"/>
        <v>5.1020408163265307E-2</v>
      </c>
      <c r="K107" s="43">
        <f t="shared" si="38"/>
        <v>0</v>
      </c>
      <c r="L107" s="43">
        <f t="shared" si="38"/>
        <v>0</v>
      </c>
      <c r="M107" s="43">
        <f t="shared" si="38"/>
        <v>0.5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2.0408163265306121E-2</v>
      </c>
      <c r="D108" s="44">
        <f t="shared" ref="D108:N108" si="39">D106/$O$106</f>
        <v>0.36734693877551022</v>
      </c>
      <c r="E108" s="44">
        <f t="shared" si="39"/>
        <v>0.34693877551020408</v>
      </c>
      <c r="F108" s="44">
        <f t="shared" si="39"/>
        <v>0</v>
      </c>
      <c r="G108" s="44">
        <f t="shared" si="39"/>
        <v>0</v>
      </c>
      <c r="H108" s="44">
        <f t="shared" si="39"/>
        <v>0</v>
      </c>
      <c r="I108" s="44">
        <f t="shared" si="39"/>
        <v>0.16326530612244897</v>
      </c>
      <c r="J108" s="44">
        <f t="shared" si="39"/>
        <v>0.10204081632653061</v>
      </c>
      <c r="K108" s="44">
        <f t="shared" si="39"/>
        <v>0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2" tint="-0.249977111117893"/>
  </sheetPr>
  <dimension ref="B1:AF174"/>
  <sheetViews>
    <sheetView view="pageBreakPreview" topLeftCell="A88" zoomScale="60" workbookViewId="0">
      <selection activeCell="L103" sqref="L10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'05.08 KABONG-KOTIDO'!C3:G3</f>
        <v>MCC - C5 - STN0125 - KAABONG-KOTIDO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'10.08 KABONG-KOTIDO-24h'!D5</f>
        <v>26.07.19</v>
      </c>
      <c r="E5" s="3"/>
      <c r="F5" s="41" t="s">
        <v>1</v>
      </c>
      <c r="G5" s="66" t="str">
        <f>'10.08 KABONG-KOTIDO-24h'!G5:H5</f>
        <v>xxx</v>
      </c>
      <c r="H5" s="67"/>
      <c r="I5" s="14"/>
      <c r="J5" s="2" t="s">
        <v>5</v>
      </c>
      <c r="K5" s="66" t="str">
        <f>'10.08 KABONG-KOTIDO-24h'!K5:L5</f>
        <v>NALUBEGA JOSEPHINE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'05.08 KOTIDO-KABONG'!D6:E6</f>
        <v>KITIDO</v>
      </c>
      <c r="E6" s="67"/>
      <c r="F6" s="2" t="s">
        <v>2</v>
      </c>
      <c r="G6" s="66" t="str">
        <f>'06.08 KOTIDO-KABONG'!G6:H6</f>
        <v>KABONG</v>
      </c>
      <c r="H6" s="67"/>
      <c r="J6" s="2" t="s">
        <v>21</v>
      </c>
      <c r="K6" s="66" t="str">
        <f>'10.08 KABONG-KOTIDO-24h'!K6:L6</f>
        <v>CRANIMER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1</v>
      </c>
      <c r="F10" s="50">
        <v>0</v>
      </c>
      <c r="G10" s="50">
        <v>0</v>
      </c>
      <c r="H10" s="50">
        <v>0</v>
      </c>
      <c r="I10" s="50">
        <v>0</v>
      </c>
      <c r="J10" s="50">
        <v>1</v>
      </c>
      <c r="K10" s="50">
        <v>0</v>
      </c>
      <c r="L10" s="50">
        <v>0</v>
      </c>
      <c r="M10" s="50">
        <v>2</v>
      </c>
      <c r="N10" s="50">
        <v>0</v>
      </c>
      <c r="O10" s="15">
        <f t="shared" ref="O10:O73" si="0">SUM(C10:L10,N10)</f>
        <v>2</v>
      </c>
      <c r="P10" s="15">
        <f t="shared" ref="P10:P73" si="1">SUM(C10:N10)</f>
        <v>4</v>
      </c>
      <c r="R10" s="1" t="s">
        <v>6</v>
      </c>
      <c r="S10" s="17">
        <f t="shared" ref="S10:AF10" si="2">SUM(C10:C13)</f>
        <v>0</v>
      </c>
      <c r="T10" s="17">
        <f t="shared" si="2"/>
        <v>1</v>
      </c>
      <c r="U10" s="17">
        <f t="shared" si="2"/>
        <v>2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3</v>
      </c>
      <c r="AD10" s="17">
        <f t="shared" si="2"/>
        <v>0</v>
      </c>
      <c r="AE10" s="31">
        <f t="shared" si="2"/>
        <v>4</v>
      </c>
      <c r="AF10" s="31">
        <f t="shared" si="2"/>
        <v>7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0</v>
      </c>
      <c r="P11" s="15">
        <f t="shared" si="1"/>
        <v>0</v>
      </c>
      <c r="R11" s="1" t="s">
        <v>7</v>
      </c>
      <c r="S11" s="17">
        <f t="shared" ref="S11:AF11" si="3">SUM(C14:C17)</f>
        <v>0</v>
      </c>
      <c r="T11" s="17">
        <f t="shared" si="3"/>
        <v>1</v>
      </c>
      <c r="U11" s="17">
        <f t="shared" si="3"/>
        <v>2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2</v>
      </c>
      <c r="AD11" s="17">
        <f t="shared" si="3"/>
        <v>0</v>
      </c>
      <c r="AE11" s="31">
        <f t="shared" si="3"/>
        <v>6</v>
      </c>
      <c r="AF11" s="31">
        <f t="shared" si="3"/>
        <v>8</v>
      </c>
    </row>
    <row r="12" spans="2:32" ht="23.1" customHeight="1" x14ac:dyDescent="0.25">
      <c r="B12" s="45" t="s">
        <v>39</v>
      </c>
      <c r="C12" s="50">
        <v>0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</v>
      </c>
      <c r="N12" s="50">
        <v>0</v>
      </c>
      <c r="O12" s="15">
        <f t="shared" si="0"/>
        <v>1</v>
      </c>
      <c r="P12" s="15">
        <f t="shared" si="1"/>
        <v>2</v>
      </c>
      <c r="R12" s="1" t="s">
        <v>8</v>
      </c>
      <c r="S12" s="17">
        <f t="shared" ref="S12:AF12" si="4">SUM(C18:C21)</f>
        <v>0</v>
      </c>
      <c r="T12" s="17">
        <f t="shared" si="4"/>
        <v>2</v>
      </c>
      <c r="U12" s="17">
        <f t="shared" si="4"/>
        <v>0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4</v>
      </c>
      <c r="AD12" s="17">
        <f t="shared" si="4"/>
        <v>0</v>
      </c>
      <c r="AE12" s="31">
        <f t="shared" si="4"/>
        <v>2</v>
      </c>
      <c r="AF12" s="31">
        <f t="shared" si="4"/>
        <v>6</v>
      </c>
    </row>
    <row r="13" spans="2:32" ht="23.1" customHeight="1" x14ac:dyDescent="0.25">
      <c r="B13" s="45" t="s">
        <v>40</v>
      </c>
      <c r="C13" s="50">
        <v>0</v>
      </c>
      <c r="D13" s="50">
        <v>1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15">
        <f t="shared" si="0"/>
        <v>1</v>
      </c>
      <c r="P13" s="15">
        <f t="shared" si="1"/>
        <v>1</v>
      </c>
      <c r="R13" s="1" t="s">
        <v>9</v>
      </c>
      <c r="S13" s="17">
        <f t="shared" ref="S13:AF13" si="5">SUM(C22:C25)</f>
        <v>1</v>
      </c>
      <c r="T13" s="17">
        <f t="shared" si="5"/>
        <v>0</v>
      </c>
      <c r="U13" s="17">
        <f t="shared" si="5"/>
        <v>1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3</v>
      </c>
      <c r="AD13" s="17">
        <f t="shared" si="5"/>
        <v>0</v>
      </c>
      <c r="AE13" s="31">
        <f t="shared" si="5"/>
        <v>2</v>
      </c>
      <c r="AF13" s="31">
        <f t="shared" si="5"/>
        <v>5</v>
      </c>
    </row>
    <row r="14" spans="2:32" ht="23.1" customHeight="1" x14ac:dyDescent="0.25">
      <c r="B14" s="45" t="s">
        <v>41</v>
      </c>
      <c r="C14" s="50">
        <v>0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1</v>
      </c>
      <c r="N14" s="50">
        <v>0</v>
      </c>
      <c r="O14" s="15">
        <f t="shared" si="0"/>
        <v>2</v>
      </c>
      <c r="P14" s="15">
        <f t="shared" si="1"/>
        <v>3</v>
      </c>
      <c r="R14" s="1" t="s">
        <v>10</v>
      </c>
      <c r="S14" s="17">
        <f t="shared" ref="S14:AF14" si="6">SUM(C26:C29)</f>
        <v>0</v>
      </c>
      <c r="T14" s="17">
        <f t="shared" si="6"/>
        <v>1</v>
      </c>
      <c r="U14" s="17">
        <f t="shared" si="6"/>
        <v>0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</v>
      </c>
      <c r="AD14" s="17">
        <f t="shared" si="6"/>
        <v>0</v>
      </c>
      <c r="AE14" s="31">
        <f t="shared" si="6"/>
        <v>1</v>
      </c>
      <c r="AF14" s="31">
        <f t="shared" si="6"/>
        <v>2</v>
      </c>
    </row>
    <row r="15" spans="2:32" ht="23.1" customHeight="1" x14ac:dyDescent="0.25">
      <c r="B15" s="45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</v>
      </c>
      <c r="N15" s="50">
        <v>0</v>
      </c>
      <c r="O15" s="15">
        <f t="shared" si="0"/>
        <v>0</v>
      </c>
      <c r="P15" s="15">
        <f t="shared" si="1"/>
        <v>1</v>
      </c>
      <c r="R15" s="1" t="s">
        <v>11</v>
      </c>
      <c r="S15" s="17">
        <f t="shared" ref="S15:AF15" si="7">SUM(C30:C33)</f>
        <v>0</v>
      </c>
      <c r="T15" s="17">
        <f t="shared" si="7"/>
        <v>1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2</v>
      </c>
      <c r="AD15" s="17">
        <f t="shared" si="7"/>
        <v>0</v>
      </c>
      <c r="AE15" s="31">
        <f t="shared" si="7"/>
        <v>1</v>
      </c>
      <c r="AF15" s="31">
        <f t="shared" si="7"/>
        <v>3</v>
      </c>
    </row>
    <row r="16" spans="2:32" ht="23.1" customHeight="1" x14ac:dyDescent="0.25">
      <c r="B16" s="45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15">
        <f t="shared" si="0"/>
        <v>0</v>
      </c>
      <c r="P16" s="15">
        <f t="shared" si="1"/>
        <v>0</v>
      </c>
      <c r="R16" s="1" t="s">
        <v>12</v>
      </c>
      <c r="S16" s="17">
        <f t="shared" ref="S16:AF16" si="8">SUM(C34:C37)</f>
        <v>0</v>
      </c>
      <c r="T16" s="17">
        <f t="shared" si="8"/>
        <v>0</v>
      </c>
      <c r="U16" s="17">
        <f t="shared" si="8"/>
        <v>0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1</v>
      </c>
      <c r="AD16" s="17">
        <f t="shared" si="8"/>
        <v>0</v>
      </c>
      <c r="AE16" s="31">
        <f t="shared" si="8"/>
        <v>1</v>
      </c>
      <c r="AF16" s="31">
        <f t="shared" si="8"/>
        <v>2</v>
      </c>
    </row>
    <row r="17" spans="2:32" ht="23.1" customHeight="1" x14ac:dyDescent="0.25">
      <c r="B17" s="45" t="s">
        <v>44</v>
      </c>
      <c r="C17" s="50">
        <v>0</v>
      </c>
      <c r="D17" s="50">
        <v>1</v>
      </c>
      <c r="E17" s="50">
        <v>1</v>
      </c>
      <c r="F17" s="50">
        <v>0</v>
      </c>
      <c r="G17" s="50">
        <v>0</v>
      </c>
      <c r="H17" s="50">
        <v>0</v>
      </c>
      <c r="I17" s="50">
        <v>0</v>
      </c>
      <c r="J17" s="50">
        <v>2</v>
      </c>
      <c r="K17" s="50">
        <v>0</v>
      </c>
      <c r="L17" s="50">
        <v>0</v>
      </c>
      <c r="M17" s="50">
        <v>0</v>
      </c>
      <c r="N17" s="50">
        <v>0</v>
      </c>
      <c r="O17" s="15">
        <f t="shared" si="0"/>
        <v>4</v>
      </c>
      <c r="P17" s="15">
        <f t="shared" si="1"/>
        <v>4</v>
      </c>
      <c r="R17" s="1" t="s">
        <v>13</v>
      </c>
      <c r="S17" s="17">
        <f t="shared" ref="S17:AF17" si="9">SUM(C38:C41)</f>
        <v>0</v>
      </c>
      <c r="T17" s="17">
        <f t="shared" si="9"/>
        <v>1</v>
      </c>
      <c r="U17" s="17">
        <f t="shared" si="9"/>
        <v>0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0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2</v>
      </c>
      <c r="AD17" s="17">
        <f t="shared" si="9"/>
        <v>0</v>
      </c>
      <c r="AE17" s="31">
        <f t="shared" si="9"/>
        <v>1</v>
      </c>
      <c r="AF17" s="31">
        <f t="shared" si="9"/>
        <v>3</v>
      </c>
    </row>
    <row r="18" spans="2:32" ht="23.1" customHeight="1" x14ac:dyDescent="0.25">
      <c r="B18" s="45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</v>
      </c>
      <c r="N18" s="50">
        <v>0</v>
      </c>
      <c r="O18" s="15">
        <f t="shared" si="0"/>
        <v>0</v>
      </c>
      <c r="P18" s="15">
        <f t="shared" si="1"/>
        <v>1</v>
      </c>
      <c r="R18" s="1" t="s">
        <v>14</v>
      </c>
      <c r="S18" s="17">
        <f t="shared" ref="S18:AF18" si="10">SUM(C42:C45)</f>
        <v>0</v>
      </c>
      <c r="T18" s="17">
        <f t="shared" si="10"/>
        <v>1</v>
      </c>
      <c r="U18" s="17">
        <f t="shared" si="10"/>
        <v>0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3</v>
      </c>
      <c r="AD18" s="17">
        <f t="shared" si="10"/>
        <v>0</v>
      </c>
      <c r="AE18" s="31">
        <f t="shared" si="10"/>
        <v>1</v>
      </c>
      <c r="AF18" s="31">
        <f t="shared" si="10"/>
        <v>4</v>
      </c>
    </row>
    <row r="19" spans="2:32" ht="23.1" customHeight="1" x14ac:dyDescent="0.25">
      <c r="B19" s="45" t="s">
        <v>46</v>
      </c>
      <c r="C19" s="50">
        <v>0</v>
      </c>
      <c r="D19" s="50">
        <v>1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</v>
      </c>
      <c r="N19" s="50">
        <v>0</v>
      </c>
      <c r="O19" s="15">
        <f t="shared" si="0"/>
        <v>1</v>
      </c>
      <c r="P19" s="15">
        <f t="shared" si="1"/>
        <v>2</v>
      </c>
      <c r="R19" s="1" t="s">
        <v>15</v>
      </c>
      <c r="S19" s="17">
        <f t="shared" ref="S19:AF19" si="11">SUM(C46:C49)</f>
        <v>0</v>
      </c>
      <c r="T19" s="17">
        <f t="shared" si="11"/>
        <v>2</v>
      </c>
      <c r="U19" s="17">
        <f t="shared" si="11"/>
        <v>0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4</v>
      </c>
      <c r="AD19" s="17">
        <f t="shared" si="11"/>
        <v>0</v>
      </c>
      <c r="AE19" s="31">
        <f t="shared" si="11"/>
        <v>2</v>
      </c>
      <c r="AF19" s="31">
        <f t="shared" si="11"/>
        <v>6</v>
      </c>
    </row>
    <row r="20" spans="2:32" ht="23.1" customHeight="1" x14ac:dyDescent="0.25">
      <c r="B20" s="45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</v>
      </c>
      <c r="N20" s="50">
        <v>0</v>
      </c>
      <c r="O20" s="15">
        <f t="shared" si="0"/>
        <v>0</v>
      </c>
      <c r="P20" s="15">
        <f t="shared" si="1"/>
        <v>1</v>
      </c>
      <c r="R20" s="1" t="s">
        <v>16</v>
      </c>
      <c r="S20" s="17">
        <f t="shared" ref="S20:AF20" si="12">SUM(C50:C53)</f>
        <v>0</v>
      </c>
      <c r="T20" s="17">
        <f t="shared" si="12"/>
        <v>1</v>
      </c>
      <c r="U20" s="17">
        <f t="shared" si="12"/>
        <v>1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2</v>
      </c>
      <c r="AD20" s="17">
        <f t="shared" si="12"/>
        <v>0</v>
      </c>
      <c r="AE20" s="31">
        <f t="shared" si="12"/>
        <v>2</v>
      </c>
      <c r="AF20" s="31">
        <f t="shared" si="12"/>
        <v>4</v>
      </c>
    </row>
    <row r="21" spans="2:32" ht="23.1" customHeight="1" x14ac:dyDescent="0.25">
      <c r="B21" s="45" t="s">
        <v>48</v>
      </c>
      <c r="C21" s="50">
        <v>0</v>
      </c>
      <c r="D21" s="50">
        <v>1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</v>
      </c>
      <c r="N21" s="50">
        <v>0</v>
      </c>
      <c r="O21" s="15">
        <f t="shared" si="0"/>
        <v>1</v>
      </c>
      <c r="P21" s="15">
        <f t="shared" si="1"/>
        <v>2</v>
      </c>
      <c r="R21" s="36" t="s">
        <v>20</v>
      </c>
      <c r="S21" s="34">
        <f t="shared" ref="S21:AF21" si="13">SUM(C54:C57)</f>
        <v>0</v>
      </c>
      <c r="T21" s="17">
        <f t="shared" si="13"/>
        <v>1</v>
      </c>
      <c r="U21" s="17">
        <f t="shared" si="13"/>
        <v>1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3</v>
      </c>
      <c r="AD21" s="17">
        <f t="shared" si="13"/>
        <v>0</v>
      </c>
      <c r="AE21" s="31">
        <f t="shared" si="13"/>
        <v>2</v>
      </c>
      <c r="AF21" s="31">
        <f t="shared" si="13"/>
        <v>5</v>
      </c>
    </row>
    <row r="22" spans="2:32" ht="23.1" customHeight="1" x14ac:dyDescent="0.25">
      <c r="B22" s="45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</v>
      </c>
      <c r="N22" s="50">
        <v>0</v>
      </c>
      <c r="O22" s="15">
        <f t="shared" si="0"/>
        <v>0</v>
      </c>
      <c r="P22" s="15">
        <f t="shared" si="1"/>
        <v>1</v>
      </c>
      <c r="R22" s="36" t="s">
        <v>146</v>
      </c>
      <c r="S22" s="34">
        <f>SUM(C58:C61)</f>
        <v>0</v>
      </c>
      <c r="T22" s="34">
        <f t="shared" ref="T22:AF22" si="14">SUM(D58:D61)</f>
        <v>1</v>
      </c>
      <c r="U22" s="34">
        <f t="shared" si="14"/>
        <v>2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0</v>
      </c>
      <c r="Z22" s="34">
        <f t="shared" si="14"/>
        <v>1</v>
      </c>
      <c r="AA22" s="34">
        <f t="shared" si="14"/>
        <v>0</v>
      </c>
      <c r="AB22" s="34">
        <f t="shared" si="14"/>
        <v>0</v>
      </c>
      <c r="AC22" s="34">
        <f t="shared" si="14"/>
        <v>3</v>
      </c>
      <c r="AD22" s="34">
        <f t="shared" si="14"/>
        <v>0</v>
      </c>
      <c r="AE22" s="31">
        <f t="shared" si="14"/>
        <v>4</v>
      </c>
      <c r="AF22" s="31">
        <f t="shared" si="14"/>
        <v>7</v>
      </c>
    </row>
    <row r="23" spans="2:32" ht="23.1" customHeight="1" x14ac:dyDescent="0.25">
      <c r="B23" s="45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</v>
      </c>
      <c r="N23" s="50">
        <v>0</v>
      </c>
      <c r="O23" s="15">
        <f t="shared" si="0"/>
        <v>0</v>
      </c>
      <c r="P23" s="15">
        <f t="shared" si="1"/>
        <v>1</v>
      </c>
      <c r="R23" s="36" t="s">
        <v>147</v>
      </c>
      <c r="S23" s="34">
        <f>SUM(C62:C65)</f>
        <v>0</v>
      </c>
      <c r="T23" s="34">
        <f t="shared" ref="T23:AF23" si="15">SUM(D62:D65)</f>
        <v>1</v>
      </c>
      <c r="U23" s="34">
        <f t="shared" si="15"/>
        <v>2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1</v>
      </c>
      <c r="Z23" s="34">
        <f t="shared" si="15"/>
        <v>2</v>
      </c>
      <c r="AA23" s="34">
        <f t="shared" si="15"/>
        <v>0</v>
      </c>
      <c r="AB23" s="34">
        <f t="shared" si="15"/>
        <v>0</v>
      </c>
      <c r="AC23" s="34">
        <f t="shared" si="15"/>
        <v>3</v>
      </c>
      <c r="AD23" s="34">
        <f t="shared" si="15"/>
        <v>0</v>
      </c>
      <c r="AE23" s="31">
        <f t="shared" si="15"/>
        <v>6</v>
      </c>
      <c r="AF23" s="31">
        <f t="shared" si="15"/>
        <v>9</v>
      </c>
    </row>
    <row r="24" spans="2:32" ht="23.1" customHeight="1" x14ac:dyDescent="0.25">
      <c r="B24" s="45" t="s">
        <v>51</v>
      </c>
      <c r="C24" s="50">
        <v>0</v>
      </c>
      <c r="D24" s="50">
        <v>0</v>
      </c>
      <c r="E24" s="50">
        <v>1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15">
        <f t="shared" si="0"/>
        <v>1</v>
      </c>
      <c r="P24" s="15">
        <f t="shared" si="1"/>
        <v>1</v>
      </c>
      <c r="R24" s="36" t="s">
        <v>148</v>
      </c>
      <c r="S24" s="34">
        <f>SUM(C66:C69)</f>
        <v>0</v>
      </c>
      <c r="T24" s="34">
        <f t="shared" ref="T24:AF24" si="16">SUM(D66:D69)</f>
        <v>2</v>
      </c>
      <c r="U24" s="34">
        <f t="shared" si="16"/>
        <v>0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5</v>
      </c>
      <c r="AD24" s="34">
        <f t="shared" si="16"/>
        <v>0</v>
      </c>
      <c r="AE24" s="31">
        <f t="shared" si="16"/>
        <v>2</v>
      </c>
      <c r="AF24" s="31">
        <f t="shared" si="16"/>
        <v>7</v>
      </c>
    </row>
    <row r="25" spans="2:32" ht="23.1" customHeight="1" x14ac:dyDescent="0.25">
      <c r="B25" s="45" t="s">
        <v>52</v>
      </c>
      <c r="C25" s="50">
        <v>1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</v>
      </c>
      <c r="N25" s="50">
        <v>0</v>
      </c>
      <c r="O25" s="15">
        <f t="shared" si="0"/>
        <v>1</v>
      </c>
      <c r="P25" s="15">
        <f t="shared" si="1"/>
        <v>2</v>
      </c>
      <c r="R25" s="36" t="s">
        <v>149</v>
      </c>
      <c r="S25" s="34">
        <f>SUM(C70:C73)</f>
        <v>1</v>
      </c>
      <c r="T25" s="34">
        <f t="shared" ref="T25:AF25" si="17">SUM(D70:D73)</f>
        <v>0</v>
      </c>
      <c r="U25" s="34">
        <f t="shared" si="17"/>
        <v>1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3</v>
      </c>
      <c r="AD25" s="34">
        <f t="shared" si="17"/>
        <v>0</v>
      </c>
      <c r="AE25" s="31">
        <f t="shared" si="17"/>
        <v>2</v>
      </c>
      <c r="AF25" s="31">
        <f t="shared" si="17"/>
        <v>5</v>
      </c>
    </row>
    <row r="26" spans="2:32" ht="23.1" customHeight="1" x14ac:dyDescent="0.25">
      <c r="B26" s="45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15">
        <f t="shared" si="0"/>
        <v>0</v>
      </c>
      <c r="P26" s="15">
        <f t="shared" si="1"/>
        <v>0</v>
      </c>
      <c r="R26" s="36" t="s">
        <v>150</v>
      </c>
      <c r="S26" s="34">
        <f>SUM(C74:C77)</f>
        <v>0</v>
      </c>
      <c r="T26" s="34">
        <f t="shared" ref="T26:AF26" si="18">SUM(D74:D77)</f>
        <v>1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</v>
      </c>
      <c r="AD26" s="34">
        <f t="shared" si="18"/>
        <v>0</v>
      </c>
      <c r="AE26" s="31">
        <f t="shared" si="18"/>
        <v>1</v>
      </c>
      <c r="AF26" s="31">
        <f t="shared" si="18"/>
        <v>2</v>
      </c>
    </row>
    <row r="27" spans="2:32" ht="23.1" customHeight="1" x14ac:dyDescent="0.25">
      <c r="B27" s="45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15">
        <f t="shared" si="0"/>
        <v>0</v>
      </c>
      <c r="P27" s="15">
        <f t="shared" si="1"/>
        <v>0</v>
      </c>
      <c r="R27" s="36" t="s">
        <v>151</v>
      </c>
      <c r="S27" s="34">
        <f>SUM(C78:C81)</f>
        <v>0</v>
      </c>
      <c r="T27" s="34">
        <f t="shared" ref="T27:AF27" si="19">SUM(D78:D81)</f>
        <v>1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2</v>
      </c>
      <c r="AD27" s="34">
        <f t="shared" si="19"/>
        <v>0</v>
      </c>
      <c r="AE27" s="31">
        <f t="shared" si="19"/>
        <v>1</v>
      </c>
      <c r="AF27" s="31">
        <f t="shared" si="19"/>
        <v>3</v>
      </c>
    </row>
    <row r="28" spans="2:32" ht="23.1" customHeight="1" x14ac:dyDescent="0.25">
      <c r="B28" s="45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15">
        <f t="shared" si="0"/>
        <v>0</v>
      </c>
      <c r="P28" s="15">
        <f t="shared" si="1"/>
        <v>0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1</v>
      </c>
      <c r="AA28" s="34">
        <f t="shared" si="20"/>
        <v>0</v>
      </c>
      <c r="AB28" s="34">
        <f t="shared" si="20"/>
        <v>0</v>
      </c>
      <c r="AC28" s="34">
        <f t="shared" si="20"/>
        <v>1</v>
      </c>
      <c r="AD28" s="34">
        <f t="shared" si="20"/>
        <v>0</v>
      </c>
      <c r="AE28" s="31">
        <f t="shared" si="20"/>
        <v>1</v>
      </c>
      <c r="AF28" s="31">
        <f t="shared" si="20"/>
        <v>2</v>
      </c>
    </row>
    <row r="29" spans="2:32" ht="23.1" customHeight="1" x14ac:dyDescent="0.25">
      <c r="B29" s="45" t="s">
        <v>56</v>
      </c>
      <c r="C29" s="50">
        <v>0</v>
      </c>
      <c r="D29" s="50">
        <v>1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</v>
      </c>
      <c r="N29" s="50">
        <v>0</v>
      </c>
      <c r="O29" s="15">
        <f t="shared" si="0"/>
        <v>1</v>
      </c>
      <c r="P29" s="15">
        <f t="shared" si="1"/>
        <v>2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0</v>
      </c>
      <c r="AF29" s="31">
        <f t="shared" si="21"/>
        <v>0</v>
      </c>
    </row>
    <row r="30" spans="2:32" ht="23.1" customHeight="1" x14ac:dyDescent="0.25">
      <c r="B30" s="45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15">
        <f t="shared" si="0"/>
        <v>0</v>
      </c>
      <c r="P30" s="15">
        <f t="shared" si="1"/>
        <v>0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0</v>
      </c>
      <c r="AF30" s="31">
        <f t="shared" si="22"/>
        <v>0</v>
      </c>
    </row>
    <row r="31" spans="2:32" ht="23.1" customHeight="1" x14ac:dyDescent="0.25">
      <c r="B31" s="46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</v>
      </c>
      <c r="N31" s="50">
        <v>0</v>
      </c>
      <c r="O31" s="15">
        <f t="shared" si="0"/>
        <v>0</v>
      </c>
      <c r="P31" s="15">
        <f t="shared" si="1"/>
        <v>1</v>
      </c>
      <c r="R31" s="36" t="s">
        <v>155</v>
      </c>
      <c r="S31" s="34">
        <f>SUM(C94:C97)</f>
        <v>0</v>
      </c>
      <c r="T31" s="34">
        <f t="shared" ref="T31:AF31" si="23">SUM(D94:D97)</f>
        <v>2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</v>
      </c>
      <c r="AD31" s="34">
        <f t="shared" si="23"/>
        <v>0</v>
      </c>
      <c r="AE31" s="31">
        <f t="shared" si="23"/>
        <v>2</v>
      </c>
      <c r="AF31" s="31">
        <f t="shared" si="23"/>
        <v>3</v>
      </c>
    </row>
    <row r="32" spans="2:32" ht="23.1" customHeight="1" x14ac:dyDescent="0.25">
      <c r="B32" s="46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</v>
      </c>
      <c r="N32" s="50">
        <v>0</v>
      </c>
      <c r="O32" s="15">
        <f t="shared" si="0"/>
        <v>0</v>
      </c>
      <c r="P32" s="15">
        <f t="shared" si="1"/>
        <v>1</v>
      </c>
      <c r="R32" s="33" t="s">
        <v>156</v>
      </c>
      <c r="S32" s="34">
        <f>SUM(C98:C101)</f>
        <v>0</v>
      </c>
      <c r="T32" s="34">
        <f t="shared" ref="T32:AF32" si="24">SUM(D98:D101)</f>
        <v>1</v>
      </c>
      <c r="U32" s="34">
        <f t="shared" si="24"/>
        <v>1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2</v>
      </c>
      <c r="AD32" s="34">
        <f t="shared" si="24"/>
        <v>0</v>
      </c>
      <c r="AE32" s="31">
        <f t="shared" si="24"/>
        <v>2</v>
      </c>
      <c r="AF32" s="31">
        <f t="shared" si="24"/>
        <v>4</v>
      </c>
    </row>
    <row r="33" spans="2:32" ht="23.1" customHeight="1" x14ac:dyDescent="0.25">
      <c r="B33" s="45" t="s">
        <v>60</v>
      </c>
      <c r="C33" s="50">
        <v>0</v>
      </c>
      <c r="D33" s="50">
        <v>1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15">
        <f t="shared" si="0"/>
        <v>1</v>
      </c>
      <c r="P33" s="15">
        <f t="shared" si="1"/>
        <v>1</v>
      </c>
      <c r="R33" s="33" t="s">
        <v>157</v>
      </c>
      <c r="S33" s="34">
        <f>SUM(C102:C105)</f>
        <v>0</v>
      </c>
      <c r="T33" s="34">
        <f t="shared" ref="T33:AF33" si="25">SUM(D102:D105)</f>
        <v>1</v>
      </c>
      <c r="U33" s="34">
        <f t="shared" si="25"/>
        <v>1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2</v>
      </c>
      <c r="AD33" s="34">
        <f t="shared" si="25"/>
        <v>0</v>
      </c>
      <c r="AE33" s="31">
        <f t="shared" si="25"/>
        <v>2</v>
      </c>
      <c r="AF33" s="31">
        <f t="shared" si="25"/>
        <v>4</v>
      </c>
    </row>
    <row r="34" spans="2:32" ht="23.1" customHeight="1" x14ac:dyDescent="0.25">
      <c r="B34" s="46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0</v>
      </c>
      <c r="N34" s="50">
        <v>0</v>
      </c>
      <c r="O34" s="15">
        <f t="shared" si="0"/>
        <v>0</v>
      </c>
      <c r="P34" s="15">
        <f t="shared" si="1"/>
        <v>0</v>
      </c>
      <c r="R34" s="38" t="s">
        <v>90</v>
      </c>
      <c r="S34" s="39">
        <f t="shared" ref="S34:AF34" si="26">MAX(S10:S12)</f>
        <v>0</v>
      </c>
      <c r="T34" s="39">
        <f t="shared" si="26"/>
        <v>2</v>
      </c>
      <c r="U34" s="39">
        <f t="shared" si="26"/>
        <v>2</v>
      </c>
      <c r="V34" s="39">
        <f t="shared" si="26"/>
        <v>0</v>
      </c>
      <c r="W34" s="39">
        <f t="shared" si="26"/>
        <v>0</v>
      </c>
      <c r="X34" s="39">
        <f t="shared" si="26"/>
        <v>0</v>
      </c>
      <c r="Y34" s="39">
        <f t="shared" si="26"/>
        <v>1</v>
      </c>
      <c r="Z34" s="39">
        <f t="shared" si="26"/>
        <v>2</v>
      </c>
      <c r="AA34" s="39">
        <f t="shared" si="26"/>
        <v>0</v>
      </c>
      <c r="AB34" s="39">
        <f t="shared" si="26"/>
        <v>0</v>
      </c>
      <c r="AC34" s="39">
        <f t="shared" si="26"/>
        <v>4</v>
      </c>
      <c r="AD34" s="39">
        <f t="shared" si="26"/>
        <v>0</v>
      </c>
      <c r="AE34" s="40">
        <f t="shared" si="26"/>
        <v>6</v>
      </c>
      <c r="AF34" s="40">
        <f t="shared" si="26"/>
        <v>8</v>
      </c>
    </row>
    <row r="35" spans="2:32" ht="23.1" customHeight="1" x14ac:dyDescent="0.25">
      <c r="B35" s="46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</v>
      </c>
      <c r="N35" s="50">
        <v>0</v>
      </c>
      <c r="O35" s="15">
        <f t="shared" si="0"/>
        <v>0</v>
      </c>
      <c r="P35" s="15">
        <f t="shared" si="1"/>
        <v>1</v>
      </c>
      <c r="R35" s="38" t="s">
        <v>91</v>
      </c>
      <c r="S35" s="39">
        <f t="shared" ref="S35:AF35" si="27">MAX(S13:S18)</f>
        <v>1</v>
      </c>
      <c r="T35" s="39">
        <f t="shared" si="27"/>
        <v>1</v>
      </c>
      <c r="U35" s="39">
        <f t="shared" si="27"/>
        <v>1</v>
      </c>
      <c r="V35" s="39">
        <f t="shared" si="27"/>
        <v>0</v>
      </c>
      <c r="W35" s="39">
        <f t="shared" si="27"/>
        <v>0</v>
      </c>
      <c r="X35" s="39">
        <f t="shared" si="27"/>
        <v>0</v>
      </c>
      <c r="Y35" s="39">
        <f t="shared" si="27"/>
        <v>0</v>
      </c>
      <c r="Z35" s="39">
        <f t="shared" si="27"/>
        <v>1</v>
      </c>
      <c r="AA35" s="39">
        <f t="shared" si="27"/>
        <v>0</v>
      </c>
      <c r="AB35" s="39">
        <f t="shared" si="27"/>
        <v>0</v>
      </c>
      <c r="AC35" s="39">
        <f t="shared" si="27"/>
        <v>3</v>
      </c>
      <c r="AD35" s="39">
        <f t="shared" si="27"/>
        <v>0</v>
      </c>
      <c r="AE35" s="40">
        <f t="shared" si="27"/>
        <v>2</v>
      </c>
      <c r="AF35" s="40">
        <f t="shared" si="27"/>
        <v>5</v>
      </c>
    </row>
    <row r="36" spans="2:32" ht="23.1" customHeight="1" x14ac:dyDescent="0.25">
      <c r="B36" s="46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1</v>
      </c>
      <c r="K36" s="50">
        <v>0</v>
      </c>
      <c r="L36" s="50">
        <v>0</v>
      </c>
      <c r="M36" s="50">
        <v>0</v>
      </c>
      <c r="N36" s="50">
        <v>0</v>
      </c>
      <c r="O36" s="15">
        <f t="shared" si="0"/>
        <v>1</v>
      </c>
      <c r="P36" s="15">
        <f t="shared" si="1"/>
        <v>1</v>
      </c>
      <c r="R36" s="38" t="s">
        <v>92</v>
      </c>
      <c r="S36" s="39">
        <f t="shared" ref="S36:AF36" si="28">MAX(S19:S21)</f>
        <v>0</v>
      </c>
      <c r="T36" s="39">
        <f t="shared" si="28"/>
        <v>2</v>
      </c>
      <c r="U36" s="39">
        <f t="shared" si="28"/>
        <v>1</v>
      </c>
      <c r="V36" s="39">
        <f t="shared" si="28"/>
        <v>0</v>
      </c>
      <c r="W36" s="39">
        <f t="shared" si="28"/>
        <v>0</v>
      </c>
      <c r="X36" s="39">
        <f t="shared" si="28"/>
        <v>0</v>
      </c>
      <c r="Y36" s="39">
        <f t="shared" si="28"/>
        <v>0</v>
      </c>
      <c r="Z36" s="39">
        <f t="shared" si="28"/>
        <v>0</v>
      </c>
      <c r="AA36" s="39">
        <f t="shared" si="28"/>
        <v>0</v>
      </c>
      <c r="AB36" s="39">
        <f t="shared" si="28"/>
        <v>0</v>
      </c>
      <c r="AC36" s="39">
        <f t="shared" si="28"/>
        <v>4</v>
      </c>
      <c r="AD36" s="39">
        <f t="shared" si="28"/>
        <v>0</v>
      </c>
      <c r="AE36" s="40">
        <f t="shared" si="28"/>
        <v>2</v>
      </c>
      <c r="AF36" s="40">
        <f t="shared" si="28"/>
        <v>6</v>
      </c>
    </row>
    <row r="37" spans="2:32" ht="23.1" customHeight="1" x14ac:dyDescent="0.25">
      <c r="B37" s="45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0</v>
      </c>
      <c r="N37" s="50">
        <v>0</v>
      </c>
      <c r="O37" s="15">
        <f t="shared" si="0"/>
        <v>0</v>
      </c>
      <c r="P37" s="15">
        <f t="shared" si="1"/>
        <v>0</v>
      </c>
      <c r="R37" s="37" t="s">
        <v>85</v>
      </c>
      <c r="S37" s="35">
        <f t="shared" ref="S37:AF37" si="29">SUM(S10:S12)</f>
        <v>0</v>
      </c>
      <c r="T37" s="16">
        <f t="shared" si="29"/>
        <v>4</v>
      </c>
      <c r="U37" s="16">
        <f t="shared" si="29"/>
        <v>4</v>
      </c>
      <c r="V37" s="16">
        <f t="shared" si="29"/>
        <v>0</v>
      </c>
      <c r="W37" s="16">
        <f t="shared" si="29"/>
        <v>0</v>
      </c>
      <c r="X37" s="16">
        <f t="shared" si="29"/>
        <v>0</v>
      </c>
      <c r="Y37" s="16">
        <f t="shared" si="29"/>
        <v>1</v>
      </c>
      <c r="Z37" s="16">
        <f t="shared" si="29"/>
        <v>3</v>
      </c>
      <c r="AA37" s="16">
        <f t="shared" si="29"/>
        <v>0</v>
      </c>
      <c r="AB37" s="16">
        <f t="shared" si="29"/>
        <v>0</v>
      </c>
      <c r="AC37" s="16">
        <f t="shared" si="29"/>
        <v>9</v>
      </c>
      <c r="AD37" s="16">
        <f t="shared" si="29"/>
        <v>0</v>
      </c>
      <c r="AE37" s="32">
        <f t="shared" si="29"/>
        <v>12</v>
      </c>
      <c r="AF37" s="32">
        <f t="shared" si="29"/>
        <v>21</v>
      </c>
    </row>
    <row r="38" spans="2:32" ht="23.1" customHeight="1" x14ac:dyDescent="0.25">
      <c r="B38" s="46" t="s">
        <v>65</v>
      </c>
      <c r="C38" s="50">
        <v>0</v>
      </c>
      <c r="D38" s="50">
        <v>1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0</v>
      </c>
      <c r="N38" s="50">
        <v>0</v>
      </c>
      <c r="O38" s="15">
        <f t="shared" si="0"/>
        <v>1</v>
      </c>
      <c r="P38" s="15">
        <f t="shared" si="1"/>
        <v>1</v>
      </c>
      <c r="R38" s="28" t="s">
        <v>86</v>
      </c>
      <c r="S38" s="16">
        <f t="shared" ref="S38:AF38" si="30">SUM(S13:S18)</f>
        <v>1</v>
      </c>
      <c r="T38" s="16">
        <f t="shared" si="30"/>
        <v>4</v>
      </c>
      <c r="U38" s="16">
        <f t="shared" si="30"/>
        <v>1</v>
      </c>
      <c r="V38" s="16">
        <f t="shared" si="30"/>
        <v>0</v>
      </c>
      <c r="W38" s="16">
        <f t="shared" si="30"/>
        <v>0</v>
      </c>
      <c r="X38" s="16">
        <f t="shared" si="30"/>
        <v>0</v>
      </c>
      <c r="Y38" s="16">
        <f t="shared" si="30"/>
        <v>0</v>
      </c>
      <c r="Z38" s="16">
        <f t="shared" si="30"/>
        <v>1</v>
      </c>
      <c r="AA38" s="16">
        <f t="shared" si="30"/>
        <v>0</v>
      </c>
      <c r="AB38" s="16">
        <f t="shared" si="30"/>
        <v>0</v>
      </c>
      <c r="AC38" s="16">
        <f t="shared" si="30"/>
        <v>12</v>
      </c>
      <c r="AD38" s="16">
        <f t="shared" si="30"/>
        <v>0</v>
      </c>
      <c r="AE38" s="32">
        <f t="shared" si="30"/>
        <v>7</v>
      </c>
      <c r="AF38" s="32">
        <f t="shared" si="30"/>
        <v>19</v>
      </c>
    </row>
    <row r="39" spans="2:32" ht="23.1" customHeight="1" x14ac:dyDescent="0.25">
      <c r="B39" s="46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0</v>
      </c>
      <c r="N39" s="50">
        <v>0</v>
      </c>
      <c r="O39" s="15">
        <f t="shared" si="0"/>
        <v>0</v>
      </c>
      <c r="P39" s="15">
        <f t="shared" si="1"/>
        <v>0</v>
      </c>
      <c r="R39" s="29" t="s">
        <v>87</v>
      </c>
      <c r="S39" s="16">
        <f t="shared" ref="S39:AF39" si="31">SUM(S19:S21)</f>
        <v>0</v>
      </c>
      <c r="T39" s="16">
        <f t="shared" si="31"/>
        <v>4</v>
      </c>
      <c r="U39" s="16">
        <f t="shared" si="31"/>
        <v>2</v>
      </c>
      <c r="V39" s="16">
        <f t="shared" si="31"/>
        <v>0</v>
      </c>
      <c r="W39" s="16">
        <f t="shared" si="31"/>
        <v>0</v>
      </c>
      <c r="X39" s="16">
        <f t="shared" si="31"/>
        <v>0</v>
      </c>
      <c r="Y39" s="16">
        <f t="shared" si="31"/>
        <v>0</v>
      </c>
      <c r="Z39" s="16">
        <f t="shared" si="31"/>
        <v>0</v>
      </c>
      <c r="AA39" s="16">
        <f t="shared" si="31"/>
        <v>0</v>
      </c>
      <c r="AB39" s="16">
        <f t="shared" si="31"/>
        <v>0</v>
      </c>
      <c r="AC39" s="16">
        <f t="shared" si="31"/>
        <v>9</v>
      </c>
      <c r="AD39" s="16">
        <f t="shared" si="31"/>
        <v>0</v>
      </c>
      <c r="AE39" s="32">
        <f t="shared" si="31"/>
        <v>6</v>
      </c>
      <c r="AF39" s="32">
        <f t="shared" si="31"/>
        <v>15</v>
      </c>
    </row>
    <row r="40" spans="2:32" ht="23.1" customHeight="1" x14ac:dyDescent="0.25">
      <c r="B40" s="46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</v>
      </c>
      <c r="N40" s="50">
        <v>0</v>
      </c>
      <c r="O40" s="15">
        <f t="shared" si="0"/>
        <v>0</v>
      </c>
      <c r="P40" s="15">
        <f t="shared" si="1"/>
        <v>1</v>
      </c>
      <c r="R40" s="5" t="s">
        <v>17</v>
      </c>
      <c r="S40" s="16">
        <f t="shared" ref="S40:AF40" si="32">SUM(S10:S21)</f>
        <v>1</v>
      </c>
      <c r="T40" s="16">
        <f t="shared" si="32"/>
        <v>12</v>
      </c>
      <c r="U40" s="16">
        <f t="shared" si="32"/>
        <v>7</v>
      </c>
      <c r="V40" s="16">
        <f t="shared" si="32"/>
        <v>0</v>
      </c>
      <c r="W40" s="16">
        <f t="shared" si="32"/>
        <v>0</v>
      </c>
      <c r="X40" s="16">
        <f t="shared" si="32"/>
        <v>0</v>
      </c>
      <c r="Y40" s="16">
        <f t="shared" si="32"/>
        <v>1</v>
      </c>
      <c r="Z40" s="16">
        <f t="shared" si="32"/>
        <v>4</v>
      </c>
      <c r="AA40" s="16">
        <f t="shared" si="32"/>
        <v>0</v>
      </c>
      <c r="AB40" s="16">
        <f t="shared" si="32"/>
        <v>0</v>
      </c>
      <c r="AC40" s="16">
        <f t="shared" si="32"/>
        <v>30</v>
      </c>
      <c r="AD40" s="16">
        <f t="shared" si="32"/>
        <v>0</v>
      </c>
      <c r="AE40" s="32">
        <f t="shared" si="32"/>
        <v>25</v>
      </c>
      <c r="AF40" s="32">
        <f t="shared" si="32"/>
        <v>55</v>
      </c>
    </row>
    <row r="41" spans="2:32" ht="23.1" customHeight="1" x14ac:dyDescent="0.25">
      <c r="B41" s="45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1</v>
      </c>
      <c r="N41" s="50">
        <v>0</v>
      </c>
      <c r="O41" s="15">
        <f t="shared" si="0"/>
        <v>0</v>
      </c>
      <c r="P41" s="15">
        <f t="shared" si="1"/>
        <v>1</v>
      </c>
      <c r="R41" s="5" t="s">
        <v>159</v>
      </c>
      <c r="S41" s="16">
        <f>SUM(S10:S33)</f>
        <v>2</v>
      </c>
      <c r="T41" s="16">
        <f t="shared" ref="T41:AF41" si="33">SUM(T10:T33)</f>
        <v>22</v>
      </c>
      <c r="U41" s="16">
        <f t="shared" si="33"/>
        <v>14</v>
      </c>
      <c r="V41" s="16">
        <f t="shared" si="33"/>
        <v>0</v>
      </c>
      <c r="W41" s="16">
        <f t="shared" si="33"/>
        <v>0</v>
      </c>
      <c r="X41" s="16">
        <f t="shared" si="33"/>
        <v>0</v>
      </c>
      <c r="Y41" s="16">
        <f t="shared" si="33"/>
        <v>2</v>
      </c>
      <c r="Z41" s="16">
        <f t="shared" si="33"/>
        <v>8</v>
      </c>
      <c r="AA41" s="16">
        <f t="shared" si="33"/>
        <v>0</v>
      </c>
      <c r="AB41" s="16">
        <f t="shared" si="33"/>
        <v>0</v>
      </c>
      <c r="AC41" s="16">
        <f t="shared" si="33"/>
        <v>53</v>
      </c>
      <c r="AD41" s="16">
        <f t="shared" si="33"/>
        <v>0</v>
      </c>
      <c r="AE41" s="32">
        <f t="shared" si="33"/>
        <v>48</v>
      </c>
      <c r="AF41" s="32">
        <f t="shared" si="33"/>
        <v>101</v>
      </c>
    </row>
    <row r="42" spans="2:32" ht="23.1" customHeight="1" x14ac:dyDescent="0.25">
      <c r="B42" s="46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3</v>
      </c>
      <c r="N42" s="50">
        <v>0</v>
      </c>
      <c r="O42" s="15">
        <f t="shared" si="0"/>
        <v>0</v>
      </c>
      <c r="P42" s="15">
        <f t="shared" si="1"/>
        <v>3</v>
      </c>
      <c r="R42" s="5" t="s">
        <v>160</v>
      </c>
      <c r="S42" s="48">
        <f>S41/S40</f>
        <v>2</v>
      </c>
      <c r="T42" s="48">
        <f t="shared" ref="T42:AF42" si="34">T41/T40</f>
        <v>1.8333333333333333</v>
      </c>
      <c r="U42" s="48">
        <f t="shared" si="34"/>
        <v>2</v>
      </c>
      <c r="V42" s="48" t="e">
        <f t="shared" si="34"/>
        <v>#DIV/0!</v>
      </c>
      <c r="W42" s="48" t="e">
        <f t="shared" si="34"/>
        <v>#DIV/0!</v>
      </c>
      <c r="X42" s="48" t="e">
        <f t="shared" si="34"/>
        <v>#DIV/0!</v>
      </c>
      <c r="Y42" s="48">
        <f t="shared" si="34"/>
        <v>2</v>
      </c>
      <c r="Z42" s="48">
        <f t="shared" si="34"/>
        <v>2</v>
      </c>
      <c r="AA42" s="48" t="e">
        <f t="shared" si="34"/>
        <v>#DIV/0!</v>
      </c>
      <c r="AB42" s="48" t="e">
        <f t="shared" si="34"/>
        <v>#DIV/0!</v>
      </c>
      <c r="AC42" s="48">
        <f t="shared" si="34"/>
        <v>1.7666666666666666</v>
      </c>
      <c r="AD42" s="48" t="e">
        <f t="shared" si="34"/>
        <v>#DIV/0!</v>
      </c>
      <c r="AE42" s="48">
        <f t="shared" si="34"/>
        <v>1.92</v>
      </c>
      <c r="AF42" s="48">
        <f t="shared" si="34"/>
        <v>1.8363636363636364</v>
      </c>
    </row>
    <row r="43" spans="2:32" ht="23.1" customHeight="1" x14ac:dyDescent="0.25">
      <c r="B43" s="45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0</v>
      </c>
      <c r="N43" s="50">
        <v>0</v>
      </c>
      <c r="O43" s="15">
        <f t="shared" si="0"/>
        <v>0</v>
      </c>
      <c r="P43" s="15">
        <f t="shared" si="1"/>
        <v>0</v>
      </c>
    </row>
    <row r="44" spans="2:32" ht="23.1" customHeight="1" x14ac:dyDescent="0.25">
      <c r="B44" s="47" t="s">
        <v>71</v>
      </c>
      <c r="C44" s="50">
        <v>0</v>
      </c>
      <c r="D44" s="50">
        <v>1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0</v>
      </c>
      <c r="N44" s="50">
        <v>0</v>
      </c>
      <c r="O44" s="15">
        <f t="shared" si="0"/>
        <v>1</v>
      </c>
      <c r="P44" s="15">
        <f t="shared" si="1"/>
        <v>1</v>
      </c>
    </row>
    <row r="45" spans="2:32" ht="23.1" customHeight="1" x14ac:dyDescent="0.25">
      <c r="B45" s="45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15">
        <f t="shared" si="0"/>
        <v>0</v>
      </c>
      <c r="P45" s="15">
        <f t="shared" si="1"/>
        <v>0</v>
      </c>
    </row>
    <row r="46" spans="2:32" ht="23.1" customHeight="1" x14ac:dyDescent="0.25">
      <c r="B46" s="46" t="s">
        <v>73</v>
      </c>
      <c r="C46" s="50">
        <v>0</v>
      </c>
      <c r="D46" s="50">
        <v>1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</v>
      </c>
      <c r="N46" s="50">
        <v>0</v>
      </c>
      <c r="O46" s="15">
        <f t="shared" si="0"/>
        <v>1</v>
      </c>
      <c r="P46" s="15">
        <f t="shared" si="1"/>
        <v>2</v>
      </c>
      <c r="R46" s="8"/>
      <c r="T46"/>
    </row>
    <row r="47" spans="2:32" ht="23.1" customHeight="1" x14ac:dyDescent="0.25">
      <c r="B47" s="46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1</v>
      </c>
      <c r="N47" s="50">
        <v>0</v>
      </c>
      <c r="O47" s="15">
        <f t="shared" si="0"/>
        <v>0</v>
      </c>
      <c r="P47" s="15">
        <f t="shared" si="1"/>
        <v>1</v>
      </c>
      <c r="R47" s="8"/>
      <c r="T47"/>
    </row>
    <row r="48" spans="2:32" ht="23.1" customHeight="1" x14ac:dyDescent="0.25">
      <c r="B48" s="46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1</v>
      </c>
      <c r="N48" s="50">
        <v>0</v>
      </c>
      <c r="O48" s="15">
        <f t="shared" si="0"/>
        <v>0</v>
      </c>
      <c r="P48" s="15">
        <f t="shared" si="1"/>
        <v>1</v>
      </c>
      <c r="R48" s="8"/>
      <c r="T48"/>
    </row>
    <row r="49" spans="2:20" ht="23.1" customHeight="1" x14ac:dyDescent="0.25">
      <c r="B49" s="45" t="s">
        <v>76</v>
      </c>
      <c r="C49" s="50">
        <v>0</v>
      </c>
      <c r="D49" s="50">
        <v>1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1</v>
      </c>
      <c r="N49" s="50">
        <v>0</v>
      </c>
      <c r="O49" s="15">
        <f t="shared" si="0"/>
        <v>1</v>
      </c>
      <c r="P49" s="15">
        <f t="shared" si="1"/>
        <v>2</v>
      </c>
      <c r="R49" s="8"/>
      <c r="T49"/>
    </row>
    <row r="50" spans="2:20" ht="23.1" customHeight="1" x14ac:dyDescent="0.25">
      <c r="B50" s="46" t="s">
        <v>77</v>
      </c>
      <c r="C50" s="50">
        <v>0</v>
      </c>
      <c r="D50" s="50">
        <v>0</v>
      </c>
      <c r="E50" s="50">
        <v>1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</v>
      </c>
      <c r="N50" s="50">
        <v>0</v>
      </c>
      <c r="O50" s="15">
        <f t="shared" si="0"/>
        <v>1</v>
      </c>
      <c r="P50" s="15">
        <f t="shared" si="1"/>
        <v>2</v>
      </c>
      <c r="R50" s="8"/>
      <c r="T50"/>
    </row>
    <row r="51" spans="2:20" ht="23.1" customHeight="1" x14ac:dyDescent="0.25">
      <c r="B51" s="46" t="s">
        <v>78</v>
      </c>
      <c r="C51" s="50">
        <v>0</v>
      </c>
      <c r="D51" s="50">
        <v>1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</v>
      </c>
      <c r="N51" s="50">
        <v>0</v>
      </c>
      <c r="O51" s="15">
        <f t="shared" si="0"/>
        <v>1</v>
      </c>
      <c r="P51" s="15">
        <f t="shared" si="1"/>
        <v>2</v>
      </c>
      <c r="R51" s="8"/>
      <c r="T51"/>
    </row>
    <row r="52" spans="2:20" ht="23.1" customHeight="1" x14ac:dyDescent="0.25">
      <c r="B52" s="46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0</v>
      </c>
      <c r="N52" s="50">
        <v>0</v>
      </c>
      <c r="O52" s="15">
        <f t="shared" si="0"/>
        <v>0</v>
      </c>
      <c r="P52" s="15">
        <f t="shared" si="1"/>
        <v>0</v>
      </c>
      <c r="R52" s="8"/>
      <c r="T52"/>
    </row>
    <row r="53" spans="2:20" ht="23.1" customHeight="1" x14ac:dyDescent="0.25">
      <c r="B53" s="45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0</v>
      </c>
      <c r="N53" s="50">
        <v>0</v>
      </c>
      <c r="O53" s="15">
        <f t="shared" si="0"/>
        <v>0</v>
      </c>
      <c r="P53" s="15">
        <f t="shared" si="1"/>
        <v>0</v>
      </c>
      <c r="R53" s="8"/>
      <c r="T53"/>
    </row>
    <row r="54" spans="2:20" ht="23.1" customHeight="1" x14ac:dyDescent="0.25">
      <c r="B54" s="45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</v>
      </c>
      <c r="N54" s="50">
        <v>0</v>
      </c>
      <c r="O54" s="15">
        <f t="shared" si="0"/>
        <v>0</v>
      </c>
      <c r="P54" s="15">
        <f t="shared" si="1"/>
        <v>1</v>
      </c>
      <c r="R54" s="8"/>
      <c r="T54"/>
    </row>
    <row r="55" spans="2:20" ht="23.1" customHeight="1" x14ac:dyDescent="0.25">
      <c r="B55" s="45" t="s">
        <v>82</v>
      </c>
      <c r="C55" s="50">
        <v>0</v>
      </c>
      <c r="D55" s="50">
        <v>1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</v>
      </c>
      <c r="N55" s="50">
        <v>0</v>
      </c>
      <c r="O55" s="15">
        <f t="shared" si="0"/>
        <v>1</v>
      </c>
      <c r="P55" s="15">
        <f t="shared" si="1"/>
        <v>2</v>
      </c>
      <c r="R55" s="8"/>
      <c r="T55"/>
    </row>
    <row r="56" spans="2:20" ht="23.1" customHeight="1" x14ac:dyDescent="0.25">
      <c r="B56" s="45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</v>
      </c>
      <c r="N56" s="50">
        <v>0</v>
      </c>
      <c r="O56" s="15">
        <f t="shared" si="0"/>
        <v>0</v>
      </c>
      <c r="P56" s="15">
        <f t="shared" si="1"/>
        <v>1</v>
      </c>
      <c r="R56" s="8"/>
      <c r="T56"/>
    </row>
    <row r="57" spans="2:20" ht="23.1" customHeight="1" x14ac:dyDescent="0.25">
      <c r="B57" s="45" t="s">
        <v>84</v>
      </c>
      <c r="C57" s="50">
        <v>0</v>
      </c>
      <c r="D57" s="50">
        <v>0</v>
      </c>
      <c r="E57" s="50">
        <v>1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15">
        <f t="shared" si="0"/>
        <v>1</v>
      </c>
      <c r="P57" s="15">
        <f t="shared" si="1"/>
        <v>1</v>
      </c>
      <c r="R57" s="8"/>
      <c r="T57"/>
    </row>
    <row r="58" spans="2:20" ht="23.1" customHeight="1" x14ac:dyDescent="0.25">
      <c r="B58" s="45" t="s">
        <v>99</v>
      </c>
      <c r="C58" s="50">
        <v>0</v>
      </c>
      <c r="D58" s="50">
        <v>0</v>
      </c>
      <c r="E58" s="50">
        <v>1</v>
      </c>
      <c r="F58" s="50">
        <v>0</v>
      </c>
      <c r="G58" s="50">
        <v>0</v>
      </c>
      <c r="H58" s="50">
        <v>0</v>
      </c>
      <c r="I58" s="50">
        <v>0</v>
      </c>
      <c r="J58" s="50">
        <v>1</v>
      </c>
      <c r="K58" s="50">
        <v>0</v>
      </c>
      <c r="L58" s="50">
        <v>0</v>
      </c>
      <c r="M58" s="50">
        <v>2</v>
      </c>
      <c r="N58" s="50">
        <v>0</v>
      </c>
      <c r="O58" s="15">
        <f t="shared" si="0"/>
        <v>2</v>
      </c>
      <c r="P58" s="15">
        <f t="shared" si="1"/>
        <v>4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0</v>
      </c>
      <c r="N59" s="50">
        <v>0</v>
      </c>
      <c r="O59" s="15">
        <f t="shared" si="0"/>
        <v>0</v>
      </c>
      <c r="P59" s="15">
        <f t="shared" si="1"/>
        <v>0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1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1</v>
      </c>
      <c r="N60" s="50">
        <v>0</v>
      </c>
      <c r="O60" s="15">
        <f t="shared" si="0"/>
        <v>1</v>
      </c>
      <c r="P60" s="15">
        <f t="shared" si="1"/>
        <v>2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1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0</v>
      </c>
      <c r="N61" s="50">
        <v>0</v>
      </c>
      <c r="O61" s="15">
        <f t="shared" si="0"/>
        <v>1</v>
      </c>
      <c r="P61" s="15">
        <f t="shared" si="1"/>
        <v>1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0</v>
      </c>
      <c r="E62" s="50">
        <v>1</v>
      </c>
      <c r="F62" s="50">
        <v>0</v>
      </c>
      <c r="G62" s="50">
        <v>0</v>
      </c>
      <c r="H62" s="50">
        <v>0</v>
      </c>
      <c r="I62" s="50">
        <v>1</v>
      </c>
      <c r="J62" s="50">
        <v>0</v>
      </c>
      <c r="K62" s="50">
        <v>0</v>
      </c>
      <c r="L62" s="50">
        <v>0</v>
      </c>
      <c r="M62" s="50">
        <v>1</v>
      </c>
      <c r="N62" s="50">
        <v>0</v>
      </c>
      <c r="O62" s="15">
        <f t="shared" si="0"/>
        <v>2</v>
      </c>
      <c r="P62" s="15">
        <f t="shared" si="1"/>
        <v>3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2</v>
      </c>
      <c r="N63" s="50">
        <v>0</v>
      </c>
      <c r="O63" s="15">
        <f t="shared" si="0"/>
        <v>0</v>
      </c>
      <c r="P63" s="15">
        <f t="shared" si="1"/>
        <v>2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0</v>
      </c>
      <c r="N64" s="50">
        <v>0</v>
      </c>
      <c r="O64" s="15">
        <f t="shared" si="0"/>
        <v>0</v>
      </c>
      <c r="P64" s="15">
        <f t="shared" si="1"/>
        <v>0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1</v>
      </c>
      <c r="E65" s="50">
        <v>1</v>
      </c>
      <c r="F65" s="50">
        <v>0</v>
      </c>
      <c r="G65" s="50">
        <v>0</v>
      </c>
      <c r="H65" s="50">
        <v>0</v>
      </c>
      <c r="I65" s="50">
        <v>0</v>
      </c>
      <c r="J65" s="50">
        <v>2</v>
      </c>
      <c r="K65" s="50">
        <v>0</v>
      </c>
      <c r="L65" s="50">
        <v>0</v>
      </c>
      <c r="M65" s="50">
        <v>0</v>
      </c>
      <c r="N65" s="50">
        <v>0</v>
      </c>
      <c r="O65" s="15">
        <f t="shared" si="0"/>
        <v>4</v>
      </c>
      <c r="P65" s="15">
        <f t="shared" si="1"/>
        <v>4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2</v>
      </c>
      <c r="N66" s="50">
        <v>0</v>
      </c>
      <c r="O66" s="15">
        <f t="shared" si="0"/>
        <v>0</v>
      </c>
      <c r="P66" s="15">
        <f t="shared" si="1"/>
        <v>2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1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1</v>
      </c>
      <c r="N67" s="50">
        <v>0</v>
      </c>
      <c r="O67" s="15">
        <f t="shared" si="0"/>
        <v>1</v>
      </c>
      <c r="P67" s="15">
        <f t="shared" si="1"/>
        <v>2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1</v>
      </c>
      <c r="N68" s="50">
        <v>0</v>
      </c>
      <c r="O68" s="15">
        <f t="shared" si="0"/>
        <v>0</v>
      </c>
      <c r="P68" s="15">
        <f t="shared" si="1"/>
        <v>1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1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1</v>
      </c>
      <c r="N69" s="50">
        <v>0</v>
      </c>
      <c r="O69" s="15">
        <f t="shared" si="0"/>
        <v>1</v>
      </c>
      <c r="P69" s="15">
        <f t="shared" si="1"/>
        <v>2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1</v>
      </c>
      <c r="N70" s="50">
        <v>0</v>
      </c>
      <c r="O70" s="15">
        <f t="shared" si="0"/>
        <v>0</v>
      </c>
      <c r="P70" s="15">
        <f t="shared" si="1"/>
        <v>1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1</v>
      </c>
      <c r="N71" s="50">
        <v>0</v>
      </c>
      <c r="O71" s="15">
        <f t="shared" si="0"/>
        <v>0</v>
      </c>
      <c r="P71" s="15">
        <f t="shared" si="1"/>
        <v>1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1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0</v>
      </c>
      <c r="N72" s="50">
        <v>0</v>
      </c>
      <c r="O72" s="15">
        <f t="shared" si="0"/>
        <v>1</v>
      </c>
      <c r="P72" s="15">
        <f t="shared" si="1"/>
        <v>1</v>
      </c>
      <c r="R72" s="8"/>
      <c r="T72"/>
    </row>
    <row r="73" spans="2:20" ht="23.1" customHeight="1" x14ac:dyDescent="0.25">
      <c r="B73" s="45" t="s">
        <v>113</v>
      </c>
      <c r="C73" s="50">
        <v>1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1</v>
      </c>
      <c r="N73" s="50">
        <v>0</v>
      </c>
      <c r="O73" s="15">
        <f t="shared" si="0"/>
        <v>1</v>
      </c>
      <c r="P73" s="15">
        <f t="shared" si="1"/>
        <v>2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0</v>
      </c>
      <c r="N74" s="50">
        <v>0</v>
      </c>
      <c r="O74" s="15">
        <f t="shared" ref="O74:O105" si="35">SUM(C74:L74,N74)</f>
        <v>0</v>
      </c>
      <c r="P74" s="15">
        <f t="shared" ref="P74:P105" si="36">SUM(C74:N74)</f>
        <v>0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0</v>
      </c>
      <c r="P75" s="15">
        <f t="shared" si="36"/>
        <v>0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0</v>
      </c>
      <c r="N76" s="50">
        <v>0</v>
      </c>
      <c r="O76" s="15">
        <f t="shared" si="35"/>
        <v>0</v>
      </c>
      <c r="P76" s="15">
        <f t="shared" si="36"/>
        <v>0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1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1</v>
      </c>
      <c r="N77" s="50">
        <v>0</v>
      </c>
      <c r="O77" s="15">
        <f t="shared" si="35"/>
        <v>1</v>
      </c>
      <c r="P77" s="15">
        <f t="shared" si="36"/>
        <v>2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0</v>
      </c>
      <c r="N78" s="50">
        <v>0</v>
      </c>
      <c r="O78" s="15">
        <f t="shared" si="35"/>
        <v>0</v>
      </c>
      <c r="P78" s="15">
        <f t="shared" si="36"/>
        <v>0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1</v>
      </c>
      <c r="N79" s="50">
        <v>0</v>
      </c>
      <c r="O79" s="15">
        <f t="shared" si="35"/>
        <v>0</v>
      </c>
      <c r="P79" s="15">
        <f t="shared" si="36"/>
        <v>1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1</v>
      </c>
      <c r="N80" s="50">
        <v>0</v>
      </c>
      <c r="O80" s="15">
        <f t="shared" si="35"/>
        <v>0</v>
      </c>
      <c r="P80" s="15">
        <f t="shared" si="36"/>
        <v>1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1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1</v>
      </c>
      <c r="P81" s="15">
        <f t="shared" si="36"/>
        <v>1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1</v>
      </c>
      <c r="N83" s="50">
        <v>0</v>
      </c>
      <c r="O83" s="15">
        <f t="shared" si="35"/>
        <v>0</v>
      </c>
      <c r="P83" s="15">
        <f t="shared" si="36"/>
        <v>1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1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1</v>
      </c>
      <c r="P84" s="15">
        <f t="shared" si="36"/>
        <v>1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1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1</v>
      </c>
      <c r="P94" s="15">
        <f t="shared" si="36"/>
        <v>1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1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1</v>
      </c>
      <c r="N97" s="50">
        <v>0</v>
      </c>
      <c r="O97" s="15">
        <f t="shared" si="35"/>
        <v>1</v>
      </c>
      <c r="P97" s="15">
        <f t="shared" si="36"/>
        <v>2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1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1</v>
      </c>
      <c r="N98" s="50">
        <v>0</v>
      </c>
      <c r="O98" s="15">
        <f t="shared" si="35"/>
        <v>1</v>
      </c>
      <c r="P98" s="15">
        <f t="shared" si="36"/>
        <v>2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1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1</v>
      </c>
      <c r="N99" s="50">
        <v>0</v>
      </c>
      <c r="O99" s="15">
        <f t="shared" si="35"/>
        <v>1</v>
      </c>
      <c r="P99" s="15">
        <f t="shared" si="36"/>
        <v>2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0</v>
      </c>
      <c r="N101" s="50">
        <v>0</v>
      </c>
      <c r="O101" s="15">
        <f t="shared" si="35"/>
        <v>0</v>
      </c>
      <c r="P101" s="15">
        <f t="shared" si="36"/>
        <v>0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15">
        <f t="shared" si="35"/>
        <v>0</v>
      </c>
      <c r="P102" s="15">
        <f t="shared" si="36"/>
        <v>0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1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1</v>
      </c>
      <c r="N103" s="50">
        <v>0</v>
      </c>
      <c r="O103" s="15">
        <f t="shared" si="35"/>
        <v>1</v>
      </c>
      <c r="P103" s="15">
        <f t="shared" si="36"/>
        <v>2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1</v>
      </c>
      <c r="N104" s="50">
        <v>0</v>
      </c>
      <c r="O104" s="15">
        <f t="shared" si="35"/>
        <v>0</v>
      </c>
      <c r="P104" s="15">
        <f t="shared" si="36"/>
        <v>1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1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0</v>
      </c>
      <c r="N105" s="50">
        <v>0</v>
      </c>
      <c r="O105" s="15">
        <f t="shared" si="35"/>
        <v>1</v>
      </c>
      <c r="P105" s="15">
        <f t="shared" si="36"/>
        <v>1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</v>
      </c>
      <c r="D106" s="16">
        <f t="shared" ref="D106:P106" si="37">SUM(D10:D105)</f>
        <v>22</v>
      </c>
      <c r="E106" s="16">
        <f t="shared" si="37"/>
        <v>14</v>
      </c>
      <c r="F106" s="16">
        <f t="shared" si="37"/>
        <v>0</v>
      </c>
      <c r="G106" s="16">
        <f t="shared" si="37"/>
        <v>0</v>
      </c>
      <c r="H106" s="16">
        <f t="shared" si="37"/>
        <v>0</v>
      </c>
      <c r="I106" s="16">
        <f t="shared" si="37"/>
        <v>2</v>
      </c>
      <c r="J106" s="16">
        <f t="shared" si="37"/>
        <v>8</v>
      </c>
      <c r="K106" s="16">
        <f t="shared" si="37"/>
        <v>0</v>
      </c>
      <c r="L106" s="16">
        <f t="shared" si="37"/>
        <v>0</v>
      </c>
      <c r="M106" s="16">
        <f t="shared" si="37"/>
        <v>53</v>
      </c>
      <c r="N106" s="16">
        <f t="shared" si="37"/>
        <v>0</v>
      </c>
      <c r="O106" s="16">
        <f t="shared" si="37"/>
        <v>48</v>
      </c>
      <c r="P106" s="16">
        <f t="shared" si="37"/>
        <v>101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1.9801980198019802E-2</v>
      </c>
      <c r="D107" s="43">
        <f t="shared" si="38"/>
        <v>0.21782178217821782</v>
      </c>
      <c r="E107" s="43">
        <f t="shared" si="38"/>
        <v>0.13861386138613863</v>
      </c>
      <c r="F107" s="43">
        <f t="shared" si="38"/>
        <v>0</v>
      </c>
      <c r="G107" s="43">
        <f t="shared" si="38"/>
        <v>0</v>
      </c>
      <c r="H107" s="43">
        <f t="shared" si="38"/>
        <v>0</v>
      </c>
      <c r="I107" s="43">
        <f t="shared" si="38"/>
        <v>1.9801980198019802E-2</v>
      </c>
      <c r="J107" s="43">
        <f t="shared" si="38"/>
        <v>7.9207920792079209E-2</v>
      </c>
      <c r="K107" s="43">
        <f t="shared" si="38"/>
        <v>0</v>
      </c>
      <c r="L107" s="43">
        <f t="shared" si="38"/>
        <v>0</v>
      </c>
      <c r="M107" s="43">
        <f t="shared" si="38"/>
        <v>0.52475247524752477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4.1666666666666664E-2</v>
      </c>
      <c r="D108" s="44">
        <f t="shared" ref="D108:N108" si="39">D106/$O$106</f>
        <v>0.45833333333333331</v>
      </c>
      <c r="E108" s="44">
        <f t="shared" si="39"/>
        <v>0.29166666666666669</v>
      </c>
      <c r="F108" s="44">
        <f t="shared" si="39"/>
        <v>0</v>
      </c>
      <c r="G108" s="44">
        <f t="shared" si="39"/>
        <v>0</v>
      </c>
      <c r="H108" s="44">
        <f t="shared" si="39"/>
        <v>0</v>
      </c>
      <c r="I108" s="44">
        <f t="shared" si="39"/>
        <v>4.1666666666666664E-2</v>
      </c>
      <c r="J108" s="44">
        <f t="shared" si="39"/>
        <v>0.16666666666666666</v>
      </c>
      <c r="K108" s="44">
        <f t="shared" si="39"/>
        <v>0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AF126"/>
  <sheetViews>
    <sheetView view="pageBreakPreview" zoomScale="60" workbookViewId="0">
      <selection activeCell="R49" sqref="R4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'05.08 KOTIDO-KABONG'!C3:G3</f>
        <v>MCC - C5 - STN0125 - KAABONG-KOTIDO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178</v>
      </c>
      <c r="E5" s="3"/>
      <c r="F5" s="41" t="s">
        <v>1</v>
      </c>
      <c r="G5" s="66" t="str">
        <f>'08.08 KABONG-KOTIDO'!G5:H5</f>
        <v>xxx</v>
      </c>
      <c r="H5" s="67"/>
      <c r="I5" s="14"/>
      <c r="J5" s="2" t="s">
        <v>5</v>
      </c>
      <c r="K5" s="66" t="str">
        <f>'08.08 KABONG-KOTIDO'!K5:L5</f>
        <v>NALUBEGA JOSEPHINE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">
        <v>168</v>
      </c>
      <c r="E6" s="67"/>
      <c r="F6" s="2" t="s">
        <v>2</v>
      </c>
      <c r="G6" s="66" t="s">
        <v>177</v>
      </c>
      <c r="H6" s="67"/>
      <c r="J6" s="2" t="s">
        <v>21</v>
      </c>
      <c r="K6" s="66" t="str">
        <f>'08.08 KABONG-KOTIDO'!K6:L6</f>
        <v>CRANIMER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3</v>
      </c>
      <c r="E10" s="50">
        <v>2</v>
      </c>
      <c r="F10" s="50">
        <v>0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57" si="0">SUM(C10:L10,N10)</f>
        <v>6</v>
      </c>
      <c r="P10" s="15">
        <f t="shared" ref="P10:P57" si="1">SUM(C10:N10)</f>
        <v>6</v>
      </c>
      <c r="R10" s="1" t="s">
        <v>6</v>
      </c>
      <c r="S10" s="17">
        <f t="shared" ref="S10:AF10" si="2">SUM(C10:C13)</f>
        <v>1</v>
      </c>
      <c r="T10" s="17">
        <f t="shared" si="2"/>
        <v>4</v>
      </c>
      <c r="U10" s="17">
        <f t="shared" si="2"/>
        <v>3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4</v>
      </c>
      <c r="Z10" s="17">
        <f t="shared" si="2"/>
        <v>2</v>
      </c>
      <c r="AA10" s="17">
        <f t="shared" si="2"/>
        <v>0</v>
      </c>
      <c r="AB10" s="17">
        <f t="shared" si="2"/>
        <v>0</v>
      </c>
      <c r="AC10" s="17">
        <f t="shared" si="2"/>
        <v>1</v>
      </c>
      <c r="AD10" s="17">
        <f t="shared" si="2"/>
        <v>0</v>
      </c>
      <c r="AE10" s="31">
        <f t="shared" si="2"/>
        <v>14</v>
      </c>
      <c r="AF10" s="31">
        <f t="shared" si="2"/>
        <v>15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2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2</v>
      </c>
      <c r="P11" s="15">
        <f t="shared" si="1"/>
        <v>2</v>
      </c>
      <c r="R11" s="1" t="s">
        <v>7</v>
      </c>
      <c r="S11" s="17">
        <f t="shared" ref="S11:AF11" si="3">SUM(C14:C17)</f>
        <v>0</v>
      </c>
      <c r="T11" s="17">
        <f t="shared" si="3"/>
        <v>1</v>
      </c>
      <c r="U11" s="17">
        <f t="shared" si="3"/>
        <v>3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3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4</v>
      </c>
      <c r="AD11" s="17">
        <f t="shared" si="3"/>
        <v>0</v>
      </c>
      <c r="AE11" s="31">
        <f t="shared" si="3"/>
        <v>8</v>
      </c>
      <c r="AF11" s="31">
        <f t="shared" si="3"/>
        <v>12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1</v>
      </c>
      <c r="N12" s="50">
        <v>0</v>
      </c>
      <c r="O12" s="15">
        <f t="shared" si="0"/>
        <v>2</v>
      </c>
      <c r="P12" s="15">
        <f t="shared" si="1"/>
        <v>3</v>
      </c>
      <c r="R12" s="1" t="s">
        <v>8</v>
      </c>
      <c r="S12" s="17">
        <f t="shared" ref="S12:AF12" si="4">SUM(C18:C21)</f>
        <v>0</v>
      </c>
      <c r="T12" s="17">
        <f t="shared" si="4"/>
        <v>0</v>
      </c>
      <c r="U12" s="17">
        <f t="shared" si="4"/>
        <v>0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2</v>
      </c>
      <c r="AD12" s="17">
        <f t="shared" si="4"/>
        <v>0</v>
      </c>
      <c r="AE12" s="31">
        <f t="shared" si="4"/>
        <v>1</v>
      </c>
      <c r="AF12" s="31">
        <f t="shared" si="4"/>
        <v>3</v>
      </c>
    </row>
    <row r="13" spans="2:32" ht="23.1" customHeight="1" x14ac:dyDescent="0.25">
      <c r="B13" s="23" t="s">
        <v>40</v>
      </c>
      <c r="C13" s="50">
        <v>1</v>
      </c>
      <c r="D13" s="50">
        <v>1</v>
      </c>
      <c r="E13" s="50">
        <v>1</v>
      </c>
      <c r="F13" s="50">
        <v>0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15">
        <f t="shared" si="0"/>
        <v>4</v>
      </c>
      <c r="P13" s="15">
        <f t="shared" si="1"/>
        <v>4</v>
      </c>
      <c r="R13" s="1" t="s">
        <v>9</v>
      </c>
      <c r="S13" s="17">
        <f t="shared" ref="S13:AF13" si="5">SUM(C22:C25)</f>
        <v>0</v>
      </c>
      <c r="T13" s="17">
        <f t="shared" si="5"/>
        <v>1</v>
      </c>
      <c r="U13" s="17">
        <f t="shared" si="5"/>
        <v>1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3</v>
      </c>
      <c r="AD13" s="17">
        <f t="shared" si="5"/>
        <v>0</v>
      </c>
      <c r="AE13" s="31">
        <f t="shared" si="5"/>
        <v>5</v>
      </c>
      <c r="AF13" s="31">
        <f t="shared" si="5"/>
        <v>8</v>
      </c>
    </row>
    <row r="14" spans="2:32" ht="23.1" customHeight="1" x14ac:dyDescent="0.25">
      <c r="B14" s="23" t="s">
        <v>41</v>
      </c>
      <c r="C14" s="50">
        <v>0</v>
      </c>
      <c r="D14" s="50">
        <v>1</v>
      </c>
      <c r="E14" s="50">
        <v>1</v>
      </c>
      <c r="F14" s="50">
        <v>0</v>
      </c>
      <c r="G14" s="50">
        <v>0</v>
      </c>
      <c r="H14" s="50">
        <v>0</v>
      </c>
      <c r="I14" s="50">
        <v>0</v>
      </c>
      <c r="J14" s="50">
        <v>1</v>
      </c>
      <c r="K14" s="50">
        <v>0</v>
      </c>
      <c r="L14" s="50">
        <v>0</v>
      </c>
      <c r="M14" s="50">
        <v>2</v>
      </c>
      <c r="N14" s="50">
        <v>0</v>
      </c>
      <c r="O14" s="15">
        <f t="shared" si="0"/>
        <v>3</v>
      </c>
      <c r="P14" s="15">
        <f t="shared" si="1"/>
        <v>5</v>
      </c>
      <c r="R14" s="1" t="s">
        <v>10</v>
      </c>
      <c r="S14" s="17">
        <f t="shared" ref="S14:AF14" si="6">SUM(C26:C29)</f>
        <v>1</v>
      </c>
      <c r="T14" s="17">
        <f t="shared" si="6"/>
        <v>1</v>
      </c>
      <c r="U14" s="17">
        <f t="shared" si="6"/>
        <v>2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2</v>
      </c>
      <c r="AD14" s="17">
        <f t="shared" si="6"/>
        <v>0</v>
      </c>
      <c r="AE14" s="31">
        <f t="shared" si="6"/>
        <v>5</v>
      </c>
      <c r="AF14" s="31">
        <f t="shared" si="6"/>
        <v>7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2</v>
      </c>
      <c r="F15" s="50">
        <v>0</v>
      </c>
      <c r="G15" s="50">
        <v>0</v>
      </c>
      <c r="H15" s="50">
        <v>0</v>
      </c>
      <c r="I15" s="50">
        <v>2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15">
        <f t="shared" si="0"/>
        <v>4</v>
      </c>
      <c r="P15" s="15">
        <f t="shared" si="1"/>
        <v>4</v>
      </c>
      <c r="R15" s="1" t="s">
        <v>11</v>
      </c>
      <c r="S15" s="17">
        <f t="shared" ref="S15:AF15" si="7">SUM(C30:C33)</f>
        <v>0</v>
      </c>
      <c r="T15" s="17">
        <f t="shared" si="7"/>
        <v>0</v>
      </c>
      <c r="U15" s="17">
        <f t="shared" si="7"/>
        <v>1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3</v>
      </c>
      <c r="AD15" s="17">
        <f t="shared" si="7"/>
        <v>0</v>
      </c>
      <c r="AE15" s="31">
        <f t="shared" si="7"/>
        <v>2</v>
      </c>
      <c r="AF15" s="31">
        <f t="shared" si="7"/>
        <v>5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15">
        <f t="shared" si="0"/>
        <v>0</v>
      </c>
      <c r="P16" s="15">
        <f t="shared" si="1"/>
        <v>0</v>
      </c>
      <c r="R16" s="1" t="s">
        <v>12</v>
      </c>
      <c r="S16" s="17">
        <f t="shared" ref="S16:AF16" si="8">SUM(C34:C37)</f>
        <v>0</v>
      </c>
      <c r="T16" s="17">
        <f t="shared" si="8"/>
        <v>4</v>
      </c>
      <c r="U16" s="17">
        <f t="shared" si="8"/>
        <v>1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3</v>
      </c>
      <c r="AD16" s="17">
        <f t="shared" si="8"/>
        <v>0</v>
      </c>
      <c r="AE16" s="31">
        <f t="shared" si="8"/>
        <v>5</v>
      </c>
      <c r="AF16" s="31">
        <f t="shared" si="8"/>
        <v>8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2</v>
      </c>
      <c r="N17" s="50">
        <v>0</v>
      </c>
      <c r="O17" s="15">
        <f t="shared" si="0"/>
        <v>1</v>
      </c>
      <c r="P17" s="15">
        <f t="shared" si="1"/>
        <v>3</v>
      </c>
      <c r="R17" s="1" t="s">
        <v>13</v>
      </c>
      <c r="S17" s="17">
        <f t="shared" ref="S17:AF17" si="9">SUM(C38:C41)</f>
        <v>0</v>
      </c>
      <c r="T17" s="17">
        <f t="shared" si="9"/>
        <v>1</v>
      </c>
      <c r="U17" s="17">
        <f t="shared" si="9"/>
        <v>0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0</v>
      </c>
      <c r="AD17" s="17">
        <f t="shared" si="9"/>
        <v>0</v>
      </c>
      <c r="AE17" s="31">
        <f t="shared" si="9"/>
        <v>4</v>
      </c>
      <c r="AF17" s="31">
        <f t="shared" si="9"/>
        <v>4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1</v>
      </c>
      <c r="K18" s="50">
        <v>0</v>
      </c>
      <c r="L18" s="50">
        <v>0</v>
      </c>
      <c r="M18" s="50">
        <v>1</v>
      </c>
      <c r="N18" s="50">
        <v>0</v>
      </c>
      <c r="O18" s="15">
        <f t="shared" si="0"/>
        <v>1</v>
      </c>
      <c r="P18" s="15">
        <f t="shared" si="1"/>
        <v>2</v>
      </c>
      <c r="R18" s="1" t="s">
        <v>14</v>
      </c>
      <c r="S18" s="17">
        <f t="shared" ref="S18:AF18" si="10">SUM(C42:C45)</f>
        <v>0</v>
      </c>
      <c r="T18" s="17">
        <f t="shared" si="10"/>
        <v>0</v>
      </c>
      <c r="U18" s="17">
        <f t="shared" si="10"/>
        <v>1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2</v>
      </c>
      <c r="AD18" s="17">
        <f t="shared" si="10"/>
        <v>0</v>
      </c>
      <c r="AE18" s="31">
        <f t="shared" si="10"/>
        <v>1</v>
      </c>
      <c r="AF18" s="31">
        <f t="shared" si="10"/>
        <v>3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</v>
      </c>
      <c r="N19" s="50">
        <v>0</v>
      </c>
      <c r="O19" s="15">
        <f t="shared" si="0"/>
        <v>0</v>
      </c>
      <c r="P19" s="15">
        <f t="shared" si="1"/>
        <v>1</v>
      </c>
      <c r="R19" s="1" t="s">
        <v>15</v>
      </c>
      <c r="S19" s="17">
        <f t="shared" ref="S19:AF19" si="11">SUM(C46:C49)</f>
        <v>1</v>
      </c>
      <c r="T19" s="17">
        <f t="shared" si="11"/>
        <v>4</v>
      </c>
      <c r="U19" s="17">
        <f t="shared" si="11"/>
        <v>2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1</v>
      </c>
      <c r="AD19" s="17">
        <f t="shared" si="11"/>
        <v>0</v>
      </c>
      <c r="AE19" s="31">
        <f t="shared" si="11"/>
        <v>8</v>
      </c>
      <c r="AF19" s="31">
        <f t="shared" si="11"/>
        <v>9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15">
        <f t="shared" si="0"/>
        <v>0</v>
      </c>
      <c r="P20" s="15">
        <f t="shared" si="1"/>
        <v>0</v>
      </c>
      <c r="R20" s="1" t="s">
        <v>16</v>
      </c>
      <c r="S20" s="17">
        <f t="shared" ref="S20:AF20" si="12">SUM(C50:C53)</f>
        <v>0</v>
      </c>
      <c r="T20" s="17">
        <f t="shared" si="12"/>
        <v>2</v>
      </c>
      <c r="U20" s="17">
        <f t="shared" si="12"/>
        <v>3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1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3</v>
      </c>
      <c r="AD20" s="17">
        <f t="shared" si="12"/>
        <v>0</v>
      </c>
      <c r="AE20" s="31">
        <f t="shared" si="12"/>
        <v>6</v>
      </c>
      <c r="AF20" s="31">
        <f t="shared" si="12"/>
        <v>9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15">
        <f t="shared" si="0"/>
        <v>0</v>
      </c>
      <c r="P21" s="15">
        <f t="shared" si="1"/>
        <v>0</v>
      </c>
      <c r="R21" s="36" t="s">
        <v>20</v>
      </c>
      <c r="S21" s="34">
        <f t="shared" ref="S21:AF21" si="13">SUM(C54:C57)</f>
        <v>0</v>
      </c>
      <c r="T21" s="17">
        <f t="shared" si="13"/>
        <v>1</v>
      </c>
      <c r="U21" s="17">
        <f t="shared" si="13"/>
        <v>4</v>
      </c>
      <c r="V21" s="17">
        <f t="shared" si="13"/>
        <v>0</v>
      </c>
      <c r="W21" s="17">
        <f t="shared" si="13"/>
        <v>0</v>
      </c>
      <c r="X21" s="17">
        <f t="shared" si="13"/>
        <v>2</v>
      </c>
      <c r="Y21" s="17">
        <f t="shared" si="13"/>
        <v>2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4</v>
      </c>
      <c r="AD21" s="17">
        <f t="shared" si="13"/>
        <v>0</v>
      </c>
      <c r="AE21" s="31">
        <f t="shared" si="13"/>
        <v>9</v>
      </c>
      <c r="AF21" s="31">
        <f t="shared" si="13"/>
        <v>13</v>
      </c>
    </row>
    <row r="22" spans="2:32" ht="23.1" customHeight="1" x14ac:dyDescent="0.25">
      <c r="B22" s="23" t="s">
        <v>49</v>
      </c>
      <c r="C22" s="50">
        <v>0</v>
      </c>
      <c r="D22" s="50">
        <v>1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1</v>
      </c>
      <c r="K22" s="50">
        <v>0</v>
      </c>
      <c r="L22" s="50">
        <v>0</v>
      </c>
      <c r="M22" s="50">
        <v>0</v>
      </c>
      <c r="N22" s="50">
        <v>0</v>
      </c>
      <c r="O22" s="15">
        <f t="shared" si="0"/>
        <v>2</v>
      </c>
      <c r="P22" s="15">
        <f t="shared" si="1"/>
        <v>2</v>
      </c>
      <c r="R22" s="38" t="s">
        <v>90</v>
      </c>
      <c r="S22" s="39">
        <f>MAX(S10:S12)</f>
        <v>1</v>
      </c>
      <c r="T22" s="39">
        <f t="shared" ref="T22:AF22" si="14">MAX(T10:T12)</f>
        <v>4</v>
      </c>
      <c r="U22" s="39">
        <f t="shared" si="14"/>
        <v>3</v>
      </c>
      <c r="V22" s="39">
        <f t="shared" si="14"/>
        <v>0</v>
      </c>
      <c r="W22" s="39">
        <f t="shared" si="14"/>
        <v>0</v>
      </c>
      <c r="X22" s="39">
        <f t="shared" si="14"/>
        <v>0</v>
      </c>
      <c r="Y22" s="39">
        <f t="shared" si="14"/>
        <v>4</v>
      </c>
      <c r="Z22" s="39">
        <f t="shared" si="14"/>
        <v>2</v>
      </c>
      <c r="AA22" s="39">
        <f t="shared" si="14"/>
        <v>0</v>
      </c>
      <c r="AB22" s="39">
        <f t="shared" si="14"/>
        <v>0</v>
      </c>
      <c r="AC22" s="39">
        <f t="shared" si="14"/>
        <v>4</v>
      </c>
      <c r="AD22" s="39">
        <f t="shared" si="14"/>
        <v>0</v>
      </c>
      <c r="AE22" s="40">
        <f t="shared" si="14"/>
        <v>14</v>
      </c>
      <c r="AF22" s="40">
        <f t="shared" si="14"/>
        <v>15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1</v>
      </c>
      <c r="J23" s="50">
        <v>1</v>
      </c>
      <c r="K23" s="50">
        <v>0</v>
      </c>
      <c r="L23" s="50">
        <v>0</v>
      </c>
      <c r="M23" s="50">
        <v>0</v>
      </c>
      <c r="N23" s="50">
        <v>0</v>
      </c>
      <c r="O23" s="15">
        <f t="shared" si="0"/>
        <v>2</v>
      </c>
      <c r="P23" s="15">
        <f t="shared" si="1"/>
        <v>2</v>
      </c>
      <c r="R23" s="38" t="s">
        <v>91</v>
      </c>
      <c r="S23" s="39">
        <f>MAX(S13:S18)</f>
        <v>1</v>
      </c>
      <c r="T23" s="39">
        <f t="shared" ref="T23:AF23" si="15">MAX(T13:T18)</f>
        <v>4</v>
      </c>
      <c r="U23" s="39">
        <f t="shared" si="15"/>
        <v>2</v>
      </c>
      <c r="V23" s="39">
        <f t="shared" si="15"/>
        <v>0</v>
      </c>
      <c r="W23" s="39">
        <f t="shared" si="15"/>
        <v>0</v>
      </c>
      <c r="X23" s="39">
        <f t="shared" si="15"/>
        <v>0</v>
      </c>
      <c r="Y23" s="39">
        <f t="shared" si="15"/>
        <v>3</v>
      </c>
      <c r="Z23" s="39">
        <f t="shared" si="15"/>
        <v>2</v>
      </c>
      <c r="AA23" s="39">
        <f t="shared" si="15"/>
        <v>0</v>
      </c>
      <c r="AB23" s="39">
        <f t="shared" si="15"/>
        <v>0</v>
      </c>
      <c r="AC23" s="39">
        <f t="shared" si="15"/>
        <v>3</v>
      </c>
      <c r="AD23" s="39">
        <f t="shared" si="15"/>
        <v>0</v>
      </c>
      <c r="AE23" s="40">
        <f t="shared" si="15"/>
        <v>5</v>
      </c>
      <c r="AF23" s="40">
        <f t="shared" si="15"/>
        <v>8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1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2</v>
      </c>
      <c r="N24" s="50">
        <v>0</v>
      </c>
      <c r="O24" s="15">
        <f t="shared" si="0"/>
        <v>1</v>
      </c>
      <c r="P24" s="15">
        <f t="shared" si="1"/>
        <v>3</v>
      </c>
      <c r="R24" s="38" t="s">
        <v>92</v>
      </c>
      <c r="S24" s="39">
        <f>MAX(S19:S21)</f>
        <v>1</v>
      </c>
      <c r="T24" s="39">
        <f t="shared" ref="T24:AF24" si="16">MAX(T19:T21)</f>
        <v>4</v>
      </c>
      <c r="U24" s="39">
        <f t="shared" si="16"/>
        <v>4</v>
      </c>
      <c r="V24" s="39">
        <f t="shared" si="16"/>
        <v>0</v>
      </c>
      <c r="W24" s="39">
        <f t="shared" si="16"/>
        <v>0</v>
      </c>
      <c r="X24" s="39">
        <f t="shared" si="16"/>
        <v>2</v>
      </c>
      <c r="Y24" s="39">
        <f t="shared" si="16"/>
        <v>2</v>
      </c>
      <c r="Z24" s="39">
        <f t="shared" si="16"/>
        <v>0</v>
      </c>
      <c r="AA24" s="39">
        <f t="shared" si="16"/>
        <v>0</v>
      </c>
      <c r="AB24" s="39">
        <f t="shared" si="16"/>
        <v>0</v>
      </c>
      <c r="AC24" s="39">
        <f t="shared" si="16"/>
        <v>4</v>
      </c>
      <c r="AD24" s="39">
        <f t="shared" si="16"/>
        <v>0</v>
      </c>
      <c r="AE24" s="40">
        <f t="shared" si="16"/>
        <v>9</v>
      </c>
      <c r="AF24" s="40">
        <f t="shared" si="16"/>
        <v>13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</v>
      </c>
      <c r="N25" s="50">
        <v>0</v>
      </c>
      <c r="O25" s="15">
        <f t="shared" si="0"/>
        <v>0</v>
      </c>
      <c r="P25" s="15">
        <f t="shared" si="1"/>
        <v>1</v>
      </c>
      <c r="R25" s="37" t="s">
        <v>85</v>
      </c>
      <c r="S25" s="35">
        <f t="shared" ref="S25:AF25" si="17">SUM(S10:S12)</f>
        <v>1</v>
      </c>
      <c r="T25" s="16">
        <f t="shared" si="17"/>
        <v>5</v>
      </c>
      <c r="U25" s="16">
        <f t="shared" si="17"/>
        <v>6</v>
      </c>
      <c r="V25" s="16">
        <f t="shared" si="17"/>
        <v>0</v>
      </c>
      <c r="W25" s="16">
        <f t="shared" si="17"/>
        <v>0</v>
      </c>
      <c r="X25" s="16">
        <f t="shared" si="17"/>
        <v>0</v>
      </c>
      <c r="Y25" s="16">
        <f t="shared" si="17"/>
        <v>7</v>
      </c>
      <c r="Z25" s="16">
        <f t="shared" si="17"/>
        <v>4</v>
      </c>
      <c r="AA25" s="16">
        <f t="shared" si="17"/>
        <v>0</v>
      </c>
      <c r="AB25" s="16">
        <f t="shared" si="17"/>
        <v>0</v>
      </c>
      <c r="AC25" s="16">
        <f t="shared" si="17"/>
        <v>7</v>
      </c>
      <c r="AD25" s="16">
        <f t="shared" si="17"/>
        <v>0</v>
      </c>
      <c r="AE25" s="32">
        <f t="shared" si="17"/>
        <v>23</v>
      </c>
      <c r="AF25" s="32">
        <f t="shared" si="17"/>
        <v>30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15">
        <f t="shared" si="0"/>
        <v>2</v>
      </c>
      <c r="P26" s="15">
        <f t="shared" si="1"/>
        <v>2</v>
      </c>
      <c r="R26" s="28" t="s">
        <v>86</v>
      </c>
      <c r="S26" s="16">
        <f t="shared" ref="S26:AF26" si="18">SUM(S13:S18)</f>
        <v>1</v>
      </c>
      <c r="T26" s="16">
        <f t="shared" si="18"/>
        <v>7</v>
      </c>
      <c r="U26" s="16">
        <f t="shared" si="18"/>
        <v>6</v>
      </c>
      <c r="V26" s="16">
        <f t="shared" si="18"/>
        <v>0</v>
      </c>
      <c r="W26" s="16">
        <f t="shared" si="18"/>
        <v>0</v>
      </c>
      <c r="X26" s="16">
        <f t="shared" si="18"/>
        <v>0</v>
      </c>
      <c r="Y26" s="16">
        <f t="shared" si="18"/>
        <v>6</v>
      </c>
      <c r="Z26" s="16">
        <f t="shared" si="18"/>
        <v>2</v>
      </c>
      <c r="AA26" s="16">
        <f t="shared" si="18"/>
        <v>0</v>
      </c>
      <c r="AB26" s="16">
        <f t="shared" si="18"/>
        <v>0</v>
      </c>
      <c r="AC26" s="16">
        <f t="shared" si="18"/>
        <v>13</v>
      </c>
      <c r="AD26" s="16">
        <f t="shared" si="18"/>
        <v>0</v>
      </c>
      <c r="AE26" s="32">
        <f t="shared" si="18"/>
        <v>22</v>
      </c>
      <c r="AF26" s="32">
        <f t="shared" si="18"/>
        <v>35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</v>
      </c>
      <c r="N27" s="50">
        <v>0</v>
      </c>
      <c r="O27" s="15">
        <f t="shared" si="0"/>
        <v>0</v>
      </c>
      <c r="P27" s="15">
        <f t="shared" si="1"/>
        <v>1</v>
      </c>
      <c r="R27" s="29" t="s">
        <v>87</v>
      </c>
      <c r="S27" s="16">
        <f t="shared" ref="S27:AF27" si="19">SUM(S19:S21)</f>
        <v>1</v>
      </c>
      <c r="T27" s="16">
        <f t="shared" si="19"/>
        <v>7</v>
      </c>
      <c r="U27" s="16">
        <f t="shared" si="19"/>
        <v>9</v>
      </c>
      <c r="V27" s="16">
        <f t="shared" si="19"/>
        <v>0</v>
      </c>
      <c r="W27" s="16">
        <f t="shared" si="19"/>
        <v>0</v>
      </c>
      <c r="X27" s="16">
        <f t="shared" si="19"/>
        <v>2</v>
      </c>
      <c r="Y27" s="16">
        <f t="shared" si="19"/>
        <v>4</v>
      </c>
      <c r="Z27" s="16">
        <f t="shared" si="19"/>
        <v>0</v>
      </c>
      <c r="AA27" s="16">
        <f t="shared" si="19"/>
        <v>0</v>
      </c>
      <c r="AB27" s="16">
        <f t="shared" si="19"/>
        <v>0</v>
      </c>
      <c r="AC27" s="16">
        <f t="shared" si="19"/>
        <v>8</v>
      </c>
      <c r="AD27" s="16">
        <f t="shared" si="19"/>
        <v>0</v>
      </c>
      <c r="AE27" s="32">
        <f t="shared" si="19"/>
        <v>23</v>
      </c>
      <c r="AF27" s="32">
        <f t="shared" si="19"/>
        <v>31</v>
      </c>
    </row>
    <row r="28" spans="2:32" ht="23.1" customHeight="1" x14ac:dyDescent="0.25">
      <c r="B28" s="23" t="s">
        <v>55</v>
      </c>
      <c r="C28" s="50">
        <v>0</v>
      </c>
      <c r="D28" s="50">
        <v>1</v>
      </c>
      <c r="E28" s="50">
        <v>1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</v>
      </c>
      <c r="N28" s="50">
        <v>0</v>
      </c>
      <c r="O28" s="15">
        <f t="shared" si="0"/>
        <v>2</v>
      </c>
      <c r="P28" s="15">
        <f t="shared" si="1"/>
        <v>3</v>
      </c>
      <c r="R28" s="5" t="s">
        <v>17</v>
      </c>
      <c r="S28" s="16">
        <f t="shared" ref="S28:AF28" si="20">SUM(S10:S21)</f>
        <v>3</v>
      </c>
      <c r="T28" s="16">
        <f t="shared" si="20"/>
        <v>19</v>
      </c>
      <c r="U28" s="16">
        <f t="shared" si="20"/>
        <v>21</v>
      </c>
      <c r="V28" s="16">
        <f t="shared" si="20"/>
        <v>0</v>
      </c>
      <c r="W28" s="16">
        <f t="shared" si="20"/>
        <v>0</v>
      </c>
      <c r="X28" s="16">
        <f t="shared" si="20"/>
        <v>2</v>
      </c>
      <c r="Y28" s="16">
        <f t="shared" si="20"/>
        <v>17</v>
      </c>
      <c r="Z28" s="16">
        <f t="shared" si="20"/>
        <v>6</v>
      </c>
      <c r="AA28" s="16">
        <f t="shared" si="20"/>
        <v>0</v>
      </c>
      <c r="AB28" s="16">
        <f t="shared" si="20"/>
        <v>0</v>
      </c>
      <c r="AC28" s="16">
        <f t="shared" si="20"/>
        <v>28</v>
      </c>
      <c r="AD28" s="16">
        <f t="shared" si="20"/>
        <v>0</v>
      </c>
      <c r="AE28" s="32">
        <f t="shared" si="20"/>
        <v>68</v>
      </c>
      <c r="AF28" s="32">
        <f t="shared" si="20"/>
        <v>96</v>
      </c>
    </row>
    <row r="29" spans="2:32" ht="23.1" customHeight="1" x14ac:dyDescent="0.25">
      <c r="B29" s="23" t="s">
        <v>56</v>
      </c>
      <c r="C29" s="50">
        <v>1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15">
        <f t="shared" si="0"/>
        <v>1</v>
      </c>
      <c r="P29" s="15">
        <f t="shared" si="1"/>
        <v>1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15">
        <f t="shared" si="0"/>
        <v>0</v>
      </c>
      <c r="P30" s="15">
        <f t="shared" si="1"/>
        <v>0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1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2</v>
      </c>
      <c r="N31" s="50">
        <v>0</v>
      </c>
      <c r="O31" s="15">
        <f t="shared" si="0"/>
        <v>1</v>
      </c>
      <c r="P31" s="15">
        <f t="shared" si="1"/>
        <v>3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</v>
      </c>
      <c r="N32" s="50">
        <v>0</v>
      </c>
      <c r="O32" s="15">
        <f t="shared" si="0"/>
        <v>0</v>
      </c>
      <c r="P32" s="15">
        <f t="shared" si="1"/>
        <v>1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15">
        <f t="shared" si="0"/>
        <v>1</v>
      </c>
      <c r="P33" s="15">
        <f t="shared" si="1"/>
        <v>1</v>
      </c>
    </row>
    <row r="34" spans="2:20" ht="23.1" customHeight="1" x14ac:dyDescent="0.25">
      <c r="B34" s="24" t="s">
        <v>61</v>
      </c>
      <c r="C34" s="50">
        <v>0</v>
      </c>
      <c r="D34" s="50">
        <v>1</v>
      </c>
      <c r="E34" s="50">
        <v>1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2</v>
      </c>
      <c r="N34" s="50">
        <v>0</v>
      </c>
      <c r="O34" s="15">
        <f t="shared" si="0"/>
        <v>2</v>
      </c>
      <c r="P34" s="15">
        <f t="shared" si="1"/>
        <v>4</v>
      </c>
    </row>
    <row r="35" spans="2:20" ht="23.1" customHeight="1" x14ac:dyDescent="0.25">
      <c r="B35" s="24" t="s">
        <v>62</v>
      </c>
      <c r="C35" s="50">
        <v>0</v>
      </c>
      <c r="D35" s="50">
        <v>2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15">
        <f t="shared" si="0"/>
        <v>2</v>
      </c>
      <c r="P35" s="15">
        <f t="shared" si="1"/>
        <v>2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</v>
      </c>
      <c r="N36" s="50">
        <v>0</v>
      </c>
      <c r="O36" s="15">
        <f t="shared" si="0"/>
        <v>0</v>
      </c>
      <c r="P36" s="15">
        <f t="shared" si="1"/>
        <v>1</v>
      </c>
    </row>
    <row r="37" spans="2:20" ht="23.1" customHeight="1" x14ac:dyDescent="0.25">
      <c r="B37" s="23" t="s">
        <v>64</v>
      </c>
      <c r="C37" s="50">
        <v>0</v>
      </c>
      <c r="D37" s="50">
        <v>1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0</v>
      </c>
      <c r="N37" s="50">
        <v>0</v>
      </c>
      <c r="O37" s="15">
        <f t="shared" si="0"/>
        <v>1</v>
      </c>
      <c r="P37" s="15">
        <f t="shared" si="1"/>
        <v>1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0</v>
      </c>
      <c r="M38" s="50">
        <v>0</v>
      </c>
      <c r="N38" s="50">
        <v>0</v>
      </c>
      <c r="O38" s="15">
        <f t="shared" si="0"/>
        <v>2</v>
      </c>
      <c r="P38" s="15">
        <f t="shared" si="1"/>
        <v>2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0</v>
      </c>
      <c r="N39" s="50">
        <v>0</v>
      </c>
      <c r="O39" s="15">
        <f t="shared" si="0"/>
        <v>0</v>
      </c>
      <c r="P39" s="15">
        <f t="shared" si="1"/>
        <v>0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0</v>
      </c>
      <c r="N40" s="50">
        <v>0</v>
      </c>
      <c r="O40" s="15">
        <f t="shared" si="0"/>
        <v>0</v>
      </c>
      <c r="P40" s="15">
        <f t="shared" si="1"/>
        <v>0</v>
      </c>
    </row>
    <row r="41" spans="2:20" ht="23.1" customHeight="1" x14ac:dyDescent="0.25">
      <c r="B41" s="23" t="s">
        <v>68</v>
      </c>
      <c r="C41" s="50">
        <v>0</v>
      </c>
      <c r="D41" s="50">
        <v>1</v>
      </c>
      <c r="E41" s="50">
        <v>0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0</v>
      </c>
      <c r="N41" s="50">
        <v>0</v>
      </c>
      <c r="O41" s="15">
        <f t="shared" si="0"/>
        <v>2</v>
      </c>
      <c r="P41" s="15">
        <f t="shared" si="1"/>
        <v>2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</v>
      </c>
      <c r="N42" s="50">
        <v>0</v>
      </c>
      <c r="O42" s="15">
        <f t="shared" si="0"/>
        <v>0</v>
      </c>
      <c r="P42" s="15">
        <f t="shared" si="1"/>
        <v>1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1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1</v>
      </c>
      <c r="N43" s="50">
        <v>0</v>
      </c>
      <c r="O43" s="15">
        <f t="shared" si="0"/>
        <v>1</v>
      </c>
      <c r="P43" s="15">
        <f t="shared" si="1"/>
        <v>2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0</v>
      </c>
      <c r="N44" s="50">
        <v>0</v>
      </c>
      <c r="O44" s="15">
        <f t="shared" si="0"/>
        <v>0</v>
      </c>
      <c r="P44" s="15">
        <f t="shared" si="1"/>
        <v>0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15">
        <f t="shared" si="0"/>
        <v>0</v>
      </c>
      <c r="P45" s="15">
        <f t="shared" si="1"/>
        <v>0</v>
      </c>
    </row>
    <row r="46" spans="2:20" ht="23.1" customHeight="1" x14ac:dyDescent="0.25">
      <c r="B46" s="24" t="s">
        <v>73</v>
      </c>
      <c r="C46" s="50">
        <v>0</v>
      </c>
      <c r="D46" s="50">
        <v>2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0</v>
      </c>
      <c r="N46" s="50">
        <v>0</v>
      </c>
      <c r="O46" s="15">
        <f t="shared" si="0"/>
        <v>2</v>
      </c>
      <c r="P46" s="15">
        <f t="shared" si="1"/>
        <v>2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1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1</v>
      </c>
      <c r="N47" s="50">
        <v>0</v>
      </c>
      <c r="O47" s="15">
        <f t="shared" si="0"/>
        <v>1</v>
      </c>
      <c r="P47" s="15">
        <f t="shared" si="1"/>
        <v>2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1</v>
      </c>
      <c r="E48" s="50">
        <v>0</v>
      </c>
      <c r="F48" s="50">
        <v>0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0</v>
      </c>
      <c r="N48" s="50">
        <v>0</v>
      </c>
      <c r="O48" s="15">
        <f t="shared" si="0"/>
        <v>2</v>
      </c>
      <c r="P48" s="15">
        <f t="shared" si="1"/>
        <v>2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1</v>
      </c>
      <c r="E49" s="50">
        <v>1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0</v>
      </c>
      <c r="N49" s="50">
        <v>0</v>
      </c>
      <c r="O49" s="15">
        <f t="shared" si="0"/>
        <v>3</v>
      </c>
      <c r="P49" s="15">
        <f t="shared" si="1"/>
        <v>3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1</v>
      </c>
      <c r="E50" s="50">
        <v>2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2</v>
      </c>
      <c r="N50" s="50">
        <v>0</v>
      </c>
      <c r="O50" s="15">
        <f t="shared" si="0"/>
        <v>3</v>
      </c>
      <c r="P50" s="15">
        <f t="shared" si="1"/>
        <v>5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0</v>
      </c>
      <c r="N51" s="50">
        <v>0</v>
      </c>
      <c r="O51" s="15">
        <f t="shared" si="0"/>
        <v>1</v>
      </c>
      <c r="P51" s="15">
        <f t="shared" si="1"/>
        <v>1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0</v>
      </c>
      <c r="N52" s="50">
        <v>0</v>
      </c>
      <c r="O52" s="15">
        <f t="shared" si="0"/>
        <v>0</v>
      </c>
      <c r="P52" s="15">
        <f t="shared" si="1"/>
        <v>0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1</v>
      </c>
      <c r="E53" s="50">
        <v>1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</v>
      </c>
      <c r="N53" s="50">
        <v>0</v>
      </c>
      <c r="O53" s="15">
        <f t="shared" si="0"/>
        <v>2</v>
      </c>
      <c r="P53" s="15">
        <f t="shared" si="1"/>
        <v>3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2</v>
      </c>
      <c r="F54" s="50">
        <v>0</v>
      </c>
      <c r="G54" s="50">
        <v>0</v>
      </c>
      <c r="H54" s="50">
        <v>2</v>
      </c>
      <c r="I54" s="50">
        <v>0</v>
      </c>
      <c r="J54" s="50">
        <v>0</v>
      </c>
      <c r="K54" s="50">
        <v>0</v>
      </c>
      <c r="L54" s="50">
        <v>0</v>
      </c>
      <c r="M54" s="50">
        <v>2</v>
      </c>
      <c r="N54" s="50">
        <v>0</v>
      </c>
      <c r="O54" s="15">
        <f t="shared" si="0"/>
        <v>4</v>
      </c>
      <c r="P54" s="15">
        <f t="shared" si="1"/>
        <v>6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1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15">
        <f t="shared" si="0"/>
        <v>1</v>
      </c>
      <c r="P55" s="15">
        <f t="shared" si="1"/>
        <v>1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1</v>
      </c>
      <c r="E56" s="50">
        <v>0</v>
      </c>
      <c r="F56" s="50">
        <v>0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0</v>
      </c>
      <c r="N56" s="50">
        <v>0</v>
      </c>
      <c r="O56" s="15">
        <f t="shared" si="0"/>
        <v>2</v>
      </c>
      <c r="P56" s="15">
        <f t="shared" si="1"/>
        <v>2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1</v>
      </c>
      <c r="F57" s="50">
        <v>0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2</v>
      </c>
      <c r="N57" s="50">
        <v>0</v>
      </c>
      <c r="O57" s="15">
        <f t="shared" si="0"/>
        <v>2</v>
      </c>
      <c r="P57" s="15">
        <f t="shared" si="1"/>
        <v>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</v>
      </c>
      <c r="D58" s="16">
        <f t="shared" si="21"/>
        <v>19</v>
      </c>
      <c r="E58" s="16">
        <f t="shared" si="21"/>
        <v>21</v>
      </c>
      <c r="F58" s="16">
        <f t="shared" si="21"/>
        <v>0</v>
      </c>
      <c r="G58" s="16">
        <f t="shared" si="21"/>
        <v>0</v>
      </c>
      <c r="H58" s="16">
        <f t="shared" si="21"/>
        <v>2</v>
      </c>
      <c r="I58" s="16">
        <f t="shared" si="21"/>
        <v>17</v>
      </c>
      <c r="J58" s="16">
        <f t="shared" si="21"/>
        <v>6</v>
      </c>
      <c r="K58" s="16">
        <f t="shared" si="21"/>
        <v>0</v>
      </c>
      <c r="L58" s="16">
        <f t="shared" si="21"/>
        <v>0</v>
      </c>
      <c r="M58" s="16">
        <f t="shared" si="21"/>
        <v>28</v>
      </c>
      <c r="N58" s="16">
        <f t="shared" si="21"/>
        <v>0</v>
      </c>
      <c r="O58" s="16">
        <f t="shared" si="21"/>
        <v>68</v>
      </c>
      <c r="P58" s="16">
        <f t="shared" si="21"/>
        <v>96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3.125E-2</v>
      </c>
      <c r="D59" s="43">
        <f t="shared" si="22"/>
        <v>0.19791666666666666</v>
      </c>
      <c r="E59" s="43">
        <f t="shared" si="22"/>
        <v>0.21875</v>
      </c>
      <c r="F59" s="43">
        <f t="shared" si="22"/>
        <v>0</v>
      </c>
      <c r="G59" s="43">
        <f t="shared" si="22"/>
        <v>0</v>
      </c>
      <c r="H59" s="43">
        <f t="shared" si="22"/>
        <v>2.0833333333333332E-2</v>
      </c>
      <c r="I59" s="43">
        <f t="shared" si="22"/>
        <v>0.17708333333333334</v>
      </c>
      <c r="J59" s="43">
        <f t="shared" si="22"/>
        <v>6.25E-2</v>
      </c>
      <c r="K59" s="43">
        <f t="shared" si="22"/>
        <v>0</v>
      </c>
      <c r="L59" s="43">
        <f t="shared" si="22"/>
        <v>0</v>
      </c>
      <c r="M59" s="43">
        <f t="shared" si="22"/>
        <v>0.29166666666666669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4.4117647058823532E-2</v>
      </c>
      <c r="D60" s="44">
        <f t="shared" ref="D60:N60" si="23">D58/$O$58</f>
        <v>0.27941176470588236</v>
      </c>
      <c r="E60" s="44">
        <f t="shared" si="23"/>
        <v>0.30882352941176472</v>
      </c>
      <c r="F60" s="44">
        <f t="shared" si="23"/>
        <v>0</v>
      </c>
      <c r="G60" s="44">
        <f t="shared" si="23"/>
        <v>0</v>
      </c>
      <c r="H60" s="44">
        <f t="shared" si="23"/>
        <v>2.9411764705882353E-2</v>
      </c>
      <c r="I60" s="44">
        <f t="shared" si="23"/>
        <v>0.25</v>
      </c>
      <c r="J60" s="44">
        <f t="shared" si="23"/>
        <v>8.8235294117647065E-2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B1:AE1"/>
    <mergeCell ref="B2:AE2"/>
    <mergeCell ref="C3:G3"/>
    <mergeCell ref="G5:H5"/>
    <mergeCell ref="K5:L5"/>
    <mergeCell ref="D6:E6"/>
    <mergeCell ref="G6:H6"/>
    <mergeCell ref="K6:L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'05.08 KOTIDO-KABONG'!C3:G3</f>
        <v>MCC - C5 - STN0125 - KAABONG-KOTIDO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>
        <v>10.08019</v>
      </c>
      <c r="E5" s="3"/>
      <c r="F5" s="41" t="s">
        <v>1</v>
      </c>
      <c r="G5" s="66" t="str">
        <f>'08.08 KABONG-KOTIDO'!G5:H5</f>
        <v>xxx</v>
      </c>
      <c r="H5" s="67"/>
      <c r="I5" s="14"/>
      <c r="J5" s="2" t="s">
        <v>5</v>
      </c>
      <c r="K5" s="66" t="str">
        <f>'08.08 KABONG-KOTIDO'!K5:L5</f>
        <v>NALUBEGA JOSEPHINE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'05.08 KOTIDO-KABONG'!D6:E6</f>
        <v>KITIDO</v>
      </c>
      <c r="E6" s="67"/>
      <c r="F6" s="2" t="s">
        <v>2</v>
      </c>
      <c r="G6" s="66" t="str">
        <f>'05.08 KOTIDO-KABONG'!G6:H6</f>
        <v>KABONG</v>
      </c>
      <c r="H6" s="67"/>
      <c r="J6" s="2" t="s">
        <v>21</v>
      </c>
      <c r="K6" s="66" t="str">
        <f>'08.08 KABONG-KOTIDO'!K6:L6</f>
        <v>CRANIMER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1</v>
      </c>
      <c r="E10" s="50">
        <v>1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4</v>
      </c>
      <c r="R10" s="1" t="s">
        <v>6</v>
      </c>
      <c r="S10" s="17">
        <f t="shared" ref="S10:AF10" si="2">SUM(C10:C13)</f>
        <v>0</v>
      </c>
      <c r="T10" s="17">
        <f t="shared" si="2"/>
        <v>1</v>
      </c>
      <c r="U10" s="17">
        <f t="shared" si="2"/>
        <v>2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2</v>
      </c>
      <c r="AD10" s="17">
        <f t="shared" si="2"/>
        <v>0</v>
      </c>
      <c r="AE10" s="31">
        <f t="shared" si="2"/>
        <v>4</v>
      </c>
      <c r="AF10" s="31">
        <f t="shared" si="2"/>
        <v>6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0</v>
      </c>
      <c r="P11" s="15">
        <f t="shared" si="1"/>
        <v>0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2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2</v>
      </c>
      <c r="AD11" s="17">
        <f t="shared" si="3"/>
        <v>0</v>
      </c>
      <c r="AE11" s="31">
        <f t="shared" si="3"/>
        <v>4</v>
      </c>
      <c r="AF11" s="31">
        <f t="shared" si="3"/>
        <v>6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15">
        <f t="shared" si="0"/>
        <v>1</v>
      </c>
      <c r="P12" s="15">
        <f t="shared" si="1"/>
        <v>1</v>
      </c>
      <c r="R12" s="1" t="s">
        <v>8</v>
      </c>
      <c r="S12" s="17">
        <f t="shared" ref="S12:AF12" si="4">SUM(C18:C21)</f>
        <v>1</v>
      </c>
      <c r="T12" s="17">
        <f t="shared" si="4"/>
        <v>1</v>
      </c>
      <c r="U12" s="17">
        <f t="shared" si="4"/>
        <v>1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5</v>
      </c>
      <c r="AD12" s="17">
        <f t="shared" si="4"/>
        <v>0</v>
      </c>
      <c r="AE12" s="31">
        <f t="shared" si="4"/>
        <v>5</v>
      </c>
      <c r="AF12" s="31">
        <f t="shared" si="4"/>
        <v>10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15">
        <f t="shared" si="0"/>
        <v>1</v>
      </c>
      <c r="P13" s="15">
        <f t="shared" si="1"/>
        <v>1</v>
      </c>
      <c r="R13" s="1" t="s">
        <v>9</v>
      </c>
      <c r="S13" s="17">
        <f t="shared" ref="S13:AF13" si="5">SUM(C22:C25)</f>
        <v>1</v>
      </c>
      <c r="T13" s="17">
        <f t="shared" si="5"/>
        <v>2</v>
      </c>
      <c r="U13" s="17">
        <f t="shared" si="5"/>
        <v>0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4</v>
      </c>
      <c r="AD13" s="17">
        <f t="shared" si="5"/>
        <v>0</v>
      </c>
      <c r="AE13" s="31">
        <f t="shared" si="5"/>
        <v>3</v>
      </c>
      <c r="AF13" s="31">
        <f t="shared" si="5"/>
        <v>7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1</v>
      </c>
      <c r="J14" s="50">
        <v>1</v>
      </c>
      <c r="K14" s="50">
        <v>0</v>
      </c>
      <c r="L14" s="50">
        <v>0</v>
      </c>
      <c r="M14" s="50">
        <v>0</v>
      </c>
      <c r="N14" s="50">
        <v>0</v>
      </c>
      <c r="O14" s="15">
        <f t="shared" si="0"/>
        <v>2</v>
      </c>
      <c r="P14" s="15">
        <f t="shared" si="1"/>
        <v>2</v>
      </c>
      <c r="R14" s="1" t="s">
        <v>10</v>
      </c>
      <c r="S14" s="17">
        <f t="shared" ref="S14:AF14" si="6">SUM(C26:C29)</f>
        <v>0</v>
      </c>
      <c r="T14" s="17">
        <f t="shared" si="6"/>
        <v>1</v>
      </c>
      <c r="U14" s="17">
        <f t="shared" si="6"/>
        <v>0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5</v>
      </c>
      <c r="AD14" s="17">
        <f t="shared" si="6"/>
        <v>0</v>
      </c>
      <c r="AE14" s="31">
        <f t="shared" si="6"/>
        <v>1</v>
      </c>
      <c r="AF14" s="31">
        <f t="shared" si="6"/>
        <v>6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2</v>
      </c>
      <c r="N15" s="50">
        <v>0</v>
      </c>
      <c r="O15" s="15">
        <f t="shared" si="0"/>
        <v>0</v>
      </c>
      <c r="P15" s="15">
        <f t="shared" si="1"/>
        <v>2</v>
      </c>
      <c r="R15" s="1" t="s">
        <v>11</v>
      </c>
      <c r="S15" s="17">
        <f t="shared" ref="S15:AF15" si="7">SUM(C30:C33)</f>
        <v>0</v>
      </c>
      <c r="T15" s="17">
        <f t="shared" si="7"/>
        <v>1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</v>
      </c>
      <c r="AD15" s="17">
        <f t="shared" si="7"/>
        <v>0</v>
      </c>
      <c r="AE15" s="31">
        <f t="shared" si="7"/>
        <v>1</v>
      </c>
      <c r="AF15" s="31">
        <f t="shared" si="7"/>
        <v>2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15">
        <f t="shared" si="0"/>
        <v>0</v>
      </c>
      <c r="P16" s="15">
        <f t="shared" si="1"/>
        <v>0</v>
      </c>
      <c r="R16" s="1" t="s">
        <v>12</v>
      </c>
      <c r="S16" s="17">
        <f t="shared" ref="S16:AF16" si="8">SUM(C34:C37)</f>
        <v>0</v>
      </c>
      <c r="T16" s="17">
        <f t="shared" si="8"/>
        <v>3</v>
      </c>
      <c r="U16" s="17">
        <f t="shared" si="8"/>
        <v>1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1</v>
      </c>
      <c r="AD16" s="17">
        <f t="shared" si="8"/>
        <v>0</v>
      </c>
      <c r="AE16" s="31">
        <f t="shared" si="8"/>
        <v>7</v>
      </c>
      <c r="AF16" s="31">
        <f t="shared" si="8"/>
        <v>8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2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15">
        <f t="shared" si="0"/>
        <v>2</v>
      </c>
      <c r="P17" s="15">
        <f t="shared" si="1"/>
        <v>2</v>
      </c>
      <c r="R17" s="1" t="s">
        <v>13</v>
      </c>
      <c r="S17" s="17">
        <f t="shared" ref="S17:AF17" si="9">SUM(C38:C41)</f>
        <v>2</v>
      </c>
      <c r="T17" s="17">
        <f t="shared" si="9"/>
        <v>0</v>
      </c>
      <c r="U17" s="17">
        <f t="shared" si="9"/>
        <v>0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0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3</v>
      </c>
      <c r="AD17" s="17">
        <f t="shared" si="9"/>
        <v>0</v>
      </c>
      <c r="AE17" s="31">
        <f t="shared" si="9"/>
        <v>2</v>
      </c>
      <c r="AF17" s="31">
        <f t="shared" si="9"/>
        <v>5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2</v>
      </c>
      <c r="K18" s="50">
        <v>0</v>
      </c>
      <c r="L18" s="50">
        <v>0</v>
      </c>
      <c r="M18" s="50">
        <v>1</v>
      </c>
      <c r="N18" s="50">
        <v>0</v>
      </c>
      <c r="O18" s="15">
        <f t="shared" si="0"/>
        <v>2</v>
      </c>
      <c r="P18" s="15">
        <f t="shared" si="1"/>
        <v>3</v>
      </c>
      <c r="R18" s="1" t="s">
        <v>14</v>
      </c>
      <c r="S18" s="17">
        <f t="shared" ref="S18:AF18" si="10">SUM(C42:C45)</f>
        <v>0</v>
      </c>
      <c r="T18" s="17">
        <f t="shared" si="10"/>
        <v>2</v>
      </c>
      <c r="U18" s="17">
        <f t="shared" si="10"/>
        <v>1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0</v>
      </c>
      <c r="AD18" s="17">
        <f t="shared" si="10"/>
        <v>0</v>
      </c>
      <c r="AE18" s="31">
        <f t="shared" si="10"/>
        <v>3</v>
      </c>
      <c r="AF18" s="31">
        <f t="shared" si="10"/>
        <v>3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1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15">
        <f t="shared" si="0"/>
        <v>1</v>
      </c>
      <c r="P19" s="15">
        <f t="shared" si="1"/>
        <v>1</v>
      </c>
      <c r="R19" s="1" t="s">
        <v>15</v>
      </c>
      <c r="S19" s="17">
        <f t="shared" ref="S19:AF19" si="11">SUM(C46:C49)</f>
        <v>1</v>
      </c>
      <c r="T19" s="17">
        <f t="shared" si="11"/>
        <v>2</v>
      </c>
      <c r="U19" s="17">
        <f t="shared" si="11"/>
        <v>2</v>
      </c>
      <c r="V19" s="17">
        <f t="shared" si="11"/>
        <v>0</v>
      </c>
      <c r="W19" s="17">
        <f t="shared" si="11"/>
        <v>1</v>
      </c>
      <c r="X19" s="17">
        <f t="shared" si="11"/>
        <v>0</v>
      </c>
      <c r="Y19" s="17">
        <f t="shared" si="11"/>
        <v>1</v>
      </c>
      <c r="Z19" s="17">
        <f t="shared" si="11"/>
        <v>4</v>
      </c>
      <c r="AA19" s="17">
        <f t="shared" si="11"/>
        <v>0</v>
      </c>
      <c r="AB19" s="17">
        <f t="shared" si="11"/>
        <v>0</v>
      </c>
      <c r="AC19" s="17">
        <f t="shared" si="11"/>
        <v>4</v>
      </c>
      <c r="AD19" s="17">
        <f t="shared" si="11"/>
        <v>0</v>
      </c>
      <c r="AE19" s="31">
        <f t="shared" si="11"/>
        <v>11</v>
      </c>
      <c r="AF19" s="31">
        <f t="shared" si="11"/>
        <v>15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3</v>
      </c>
      <c r="N20" s="50">
        <v>0</v>
      </c>
      <c r="O20" s="15">
        <f t="shared" si="0"/>
        <v>0</v>
      </c>
      <c r="P20" s="15">
        <f t="shared" si="1"/>
        <v>3</v>
      </c>
      <c r="R20" s="1" t="s">
        <v>16</v>
      </c>
      <c r="S20" s="17">
        <f t="shared" ref="S20:AF20" si="12">SUM(C50:C53)</f>
        <v>0</v>
      </c>
      <c r="T20" s="17">
        <f t="shared" si="12"/>
        <v>2</v>
      </c>
      <c r="U20" s="17">
        <f t="shared" si="12"/>
        <v>4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1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3</v>
      </c>
      <c r="AD20" s="17">
        <f t="shared" si="12"/>
        <v>0</v>
      </c>
      <c r="AE20" s="31">
        <f t="shared" si="12"/>
        <v>9</v>
      </c>
      <c r="AF20" s="31">
        <f t="shared" si="12"/>
        <v>12</v>
      </c>
    </row>
    <row r="21" spans="2:32" ht="23.1" customHeight="1" x14ac:dyDescent="0.25">
      <c r="B21" s="23" t="s">
        <v>48</v>
      </c>
      <c r="C21" s="50">
        <v>1</v>
      </c>
      <c r="D21" s="50">
        <v>1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</v>
      </c>
      <c r="N21" s="50">
        <v>0</v>
      </c>
      <c r="O21" s="15">
        <f t="shared" si="0"/>
        <v>2</v>
      </c>
      <c r="P21" s="15">
        <f t="shared" si="1"/>
        <v>3</v>
      </c>
      <c r="R21" s="36" t="s">
        <v>20</v>
      </c>
      <c r="S21" s="34">
        <f t="shared" ref="S21:AF21" si="13">SUM(C54:C57)</f>
        <v>0</v>
      </c>
      <c r="T21" s="17">
        <f t="shared" si="13"/>
        <v>0</v>
      </c>
      <c r="U21" s="17">
        <f t="shared" si="13"/>
        <v>2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3</v>
      </c>
      <c r="AD21" s="17">
        <f t="shared" si="13"/>
        <v>0</v>
      </c>
      <c r="AE21" s="31">
        <f t="shared" si="13"/>
        <v>4</v>
      </c>
      <c r="AF21" s="31">
        <f t="shared" si="13"/>
        <v>7</v>
      </c>
    </row>
    <row r="22" spans="2:32" ht="23.1" customHeight="1" x14ac:dyDescent="0.25">
      <c r="B22" s="23" t="s">
        <v>49</v>
      </c>
      <c r="C22" s="50">
        <v>0</v>
      </c>
      <c r="D22" s="50">
        <v>1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</v>
      </c>
      <c r="N22" s="50">
        <v>0</v>
      </c>
      <c r="O22" s="15">
        <f t="shared" si="0"/>
        <v>1</v>
      </c>
      <c r="P22" s="15">
        <f t="shared" si="1"/>
        <v>2</v>
      </c>
      <c r="R22" s="38" t="s">
        <v>90</v>
      </c>
      <c r="S22" s="39">
        <f>MAX(S10:S12)</f>
        <v>1</v>
      </c>
      <c r="T22" s="39">
        <f t="shared" ref="T22:AF22" si="14">MAX(T10:T12)</f>
        <v>1</v>
      </c>
      <c r="U22" s="39">
        <f t="shared" si="14"/>
        <v>2</v>
      </c>
      <c r="V22" s="39">
        <f t="shared" si="14"/>
        <v>0</v>
      </c>
      <c r="W22" s="39">
        <f t="shared" si="14"/>
        <v>0</v>
      </c>
      <c r="X22" s="39">
        <f t="shared" si="14"/>
        <v>0</v>
      </c>
      <c r="Y22" s="39">
        <f t="shared" si="14"/>
        <v>1</v>
      </c>
      <c r="Z22" s="39">
        <f t="shared" si="14"/>
        <v>2</v>
      </c>
      <c r="AA22" s="39">
        <f t="shared" si="14"/>
        <v>0</v>
      </c>
      <c r="AB22" s="39">
        <f t="shared" si="14"/>
        <v>0</v>
      </c>
      <c r="AC22" s="39">
        <f t="shared" si="14"/>
        <v>5</v>
      </c>
      <c r="AD22" s="39">
        <f t="shared" si="14"/>
        <v>0</v>
      </c>
      <c r="AE22" s="40">
        <f t="shared" si="14"/>
        <v>5</v>
      </c>
      <c r="AF22" s="40">
        <f t="shared" si="14"/>
        <v>10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</v>
      </c>
      <c r="N23" s="50">
        <v>0</v>
      </c>
      <c r="O23" s="15">
        <f t="shared" si="0"/>
        <v>0</v>
      </c>
      <c r="P23" s="15">
        <f t="shared" si="1"/>
        <v>1</v>
      </c>
      <c r="R23" s="38" t="s">
        <v>91</v>
      </c>
      <c r="S23" s="39">
        <f>MAX(S13:S18)</f>
        <v>2</v>
      </c>
      <c r="T23" s="39">
        <f t="shared" ref="T23:AF23" si="15">MAX(T13:T18)</f>
        <v>3</v>
      </c>
      <c r="U23" s="39">
        <f t="shared" si="15"/>
        <v>1</v>
      </c>
      <c r="V23" s="39">
        <f t="shared" si="15"/>
        <v>0</v>
      </c>
      <c r="W23" s="39">
        <f t="shared" si="15"/>
        <v>0</v>
      </c>
      <c r="X23" s="39">
        <f t="shared" si="15"/>
        <v>0</v>
      </c>
      <c r="Y23" s="39">
        <f t="shared" si="15"/>
        <v>2</v>
      </c>
      <c r="Z23" s="39">
        <f t="shared" si="15"/>
        <v>1</v>
      </c>
      <c r="AA23" s="39">
        <f t="shared" si="15"/>
        <v>0</v>
      </c>
      <c r="AB23" s="39">
        <f t="shared" si="15"/>
        <v>0</v>
      </c>
      <c r="AC23" s="39">
        <f t="shared" si="15"/>
        <v>5</v>
      </c>
      <c r="AD23" s="39">
        <f t="shared" si="15"/>
        <v>0</v>
      </c>
      <c r="AE23" s="40">
        <f t="shared" si="15"/>
        <v>7</v>
      </c>
      <c r="AF23" s="40">
        <f t="shared" si="15"/>
        <v>8</v>
      </c>
    </row>
    <row r="24" spans="2:32" ht="23.1" customHeight="1" x14ac:dyDescent="0.25">
      <c r="B24" s="23" t="s">
        <v>51</v>
      </c>
      <c r="C24" s="50">
        <v>0</v>
      </c>
      <c r="D24" s="50">
        <v>1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</v>
      </c>
      <c r="N24" s="50">
        <v>0</v>
      </c>
      <c r="O24" s="15">
        <f t="shared" si="0"/>
        <v>1</v>
      </c>
      <c r="P24" s="15">
        <f t="shared" si="1"/>
        <v>2</v>
      </c>
      <c r="R24" s="38" t="s">
        <v>92</v>
      </c>
      <c r="S24" s="39">
        <f>MAX(S19:S21)</f>
        <v>1</v>
      </c>
      <c r="T24" s="39">
        <f t="shared" ref="T24:AF24" si="16">MAX(T19:T21)</f>
        <v>2</v>
      </c>
      <c r="U24" s="39">
        <f t="shared" si="16"/>
        <v>4</v>
      </c>
      <c r="V24" s="39">
        <f t="shared" si="16"/>
        <v>0</v>
      </c>
      <c r="W24" s="39">
        <f t="shared" si="16"/>
        <v>1</v>
      </c>
      <c r="X24" s="39">
        <f t="shared" si="16"/>
        <v>0</v>
      </c>
      <c r="Y24" s="39">
        <f t="shared" si="16"/>
        <v>2</v>
      </c>
      <c r="Z24" s="39">
        <f t="shared" si="16"/>
        <v>4</v>
      </c>
      <c r="AA24" s="39">
        <f t="shared" si="16"/>
        <v>0</v>
      </c>
      <c r="AB24" s="39">
        <f t="shared" si="16"/>
        <v>0</v>
      </c>
      <c r="AC24" s="39">
        <f t="shared" si="16"/>
        <v>4</v>
      </c>
      <c r="AD24" s="39">
        <f t="shared" si="16"/>
        <v>0</v>
      </c>
      <c r="AE24" s="40">
        <f t="shared" si="16"/>
        <v>11</v>
      </c>
      <c r="AF24" s="40">
        <f t="shared" si="16"/>
        <v>15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</v>
      </c>
      <c r="N25" s="50">
        <v>0</v>
      </c>
      <c r="O25" s="15">
        <f t="shared" si="0"/>
        <v>1</v>
      </c>
      <c r="P25" s="15">
        <f t="shared" si="1"/>
        <v>2</v>
      </c>
      <c r="R25" s="37" t="s">
        <v>85</v>
      </c>
      <c r="S25" s="35">
        <f t="shared" ref="S25:AF25" si="17">SUM(S10:S12)</f>
        <v>1</v>
      </c>
      <c r="T25" s="16">
        <f t="shared" si="17"/>
        <v>2</v>
      </c>
      <c r="U25" s="16">
        <f t="shared" si="17"/>
        <v>5</v>
      </c>
      <c r="V25" s="16">
        <f t="shared" si="17"/>
        <v>0</v>
      </c>
      <c r="W25" s="16">
        <f t="shared" si="17"/>
        <v>0</v>
      </c>
      <c r="X25" s="16">
        <f t="shared" si="17"/>
        <v>0</v>
      </c>
      <c r="Y25" s="16">
        <f t="shared" si="17"/>
        <v>2</v>
      </c>
      <c r="Z25" s="16">
        <f t="shared" si="17"/>
        <v>3</v>
      </c>
      <c r="AA25" s="16">
        <f t="shared" si="17"/>
        <v>0</v>
      </c>
      <c r="AB25" s="16">
        <f t="shared" si="17"/>
        <v>0</v>
      </c>
      <c r="AC25" s="16">
        <f t="shared" si="17"/>
        <v>9</v>
      </c>
      <c r="AD25" s="16">
        <f t="shared" si="17"/>
        <v>0</v>
      </c>
      <c r="AE25" s="32">
        <f t="shared" si="17"/>
        <v>13</v>
      </c>
      <c r="AF25" s="32">
        <f t="shared" si="17"/>
        <v>22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1</v>
      </c>
      <c r="N26" s="50">
        <v>0</v>
      </c>
      <c r="O26" s="15">
        <f t="shared" si="0"/>
        <v>0</v>
      </c>
      <c r="P26" s="15">
        <f t="shared" si="1"/>
        <v>1</v>
      </c>
      <c r="R26" s="28" t="s">
        <v>86</v>
      </c>
      <c r="S26" s="16">
        <f t="shared" ref="S26:AF26" si="18">SUM(S13:S18)</f>
        <v>3</v>
      </c>
      <c r="T26" s="16">
        <f t="shared" si="18"/>
        <v>9</v>
      </c>
      <c r="U26" s="16">
        <f t="shared" si="18"/>
        <v>2</v>
      </c>
      <c r="V26" s="16">
        <f t="shared" si="18"/>
        <v>0</v>
      </c>
      <c r="W26" s="16">
        <f t="shared" si="18"/>
        <v>0</v>
      </c>
      <c r="X26" s="16">
        <f t="shared" si="18"/>
        <v>0</v>
      </c>
      <c r="Y26" s="16">
        <f t="shared" si="18"/>
        <v>2</v>
      </c>
      <c r="Z26" s="16">
        <f t="shared" si="18"/>
        <v>1</v>
      </c>
      <c r="AA26" s="16">
        <f t="shared" si="18"/>
        <v>0</v>
      </c>
      <c r="AB26" s="16">
        <f t="shared" si="18"/>
        <v>0</v>
      </c>
      <c r="AC26" s="16">
        <f t="shared" si="18"/>
        <v>14</v>
      </c>
      <c r="AD26" s="16">
        <f t="shared" si="18"/>
        <v>0</v>
      </c>
      <c r="AE26" s="32">
        <f t="shared" si="18"/>
        <v>17</v>
      </c>
      <c r="AF26" s="32">
        <f t="shared" si="18"/>
        <v>31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</v>
      </c>
      <c r="N27" s="50">
        <v>0</v>
      </c>
      <c r="O27" s="15">
        <f t="shared" si="0"/>
        <v>0</v>
      </c>
      <c r="P27" s="15">
        <f t="shared" si="1"/>
        <v>1</v>
      </c>
      <c r="R27" s="29" t="s">
        <v>87</v>
      </c>
      <c r="S27" s="16">
        <f t="shared" ref="S27:AF27" si="19">SUM(S19:S21)</f>
        <v>1</v>
      </c>
      <c r="T27" s="16">
        <f t="shared" si="19"/>
        <v>4</v>
      </c>
      <c r="U27" s="16">
        <f t="shared" si="19"/>
        <v>8</v>
      </c>
      <c r="V27" s="16">
        <f t="shared" si="19"/>
        <v>0</v>
      </c>
      <c r="W27" s="16">
        <f t="shared" si="19"/>
        <v>1</v>
      </c>
      <c r="X27" s="16">
        <f t="shared" si="19"/>
        <v>0</v>
      </c>
      <c r="Y27" s="16">
        <f t="shared" si="19"/>
        <v>4</v>
      </c>
      <c r="Z27" s="16">
        <f t="shared" si="19"/>
        <v>6</v>
      </c>
      <c r="AA27" s="16">
        <f t="shared" si="19"/>
        <v>0</v>
      </c>
      <c r="AB27" s="16">
        <f t="shared" si="19"/>
        <v>0</v>
      </c>
      <c r="AC27" s="16">
        <f t="shared" si="19"/>
        <v>10</v>
      </c>
      <c r="AD27" s="16">
        <f t="shared" si="19"/>
        <v>0</v>
      </c>
      <c r="AE27" s="32">
        <f t="shared" si="19"/>
        <v>24</v>
      </c>
      <c r="AF27" s="32">
        <f t="shared" si="19"/>
        <v>34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2</v>
      </c>
      <c r="N28" s="50">
        <v>0</v>
      </c>
      <c r="O28" s="15">
        <f t="shared" si="0"/>
        <v>0</v>
      </c>
      <c r="P28" s="15">
        <f t="shared" si="1"/>
        <v>2</v>
      </c>
      <c r="R28" s="5" t="s">
        <v>17</v>
      </c>
      <c r="S28" s="16">
        <f t="shared" ref="S28:AF28" si="20">SUM(S10:S21)</f>
        <v>5</v>
      </c>
      <c r="T28" s="16">
        <f t="shared" si="20"/>
        <v>15</v>
      </c>
      <c r="U28" s="16">
        <f t="shared" si="20"/>
        <v>15</v>
      </c>
      <c r="V28" s="16">
        <f t="shared" si="20"/>
        <v>0</v>
      </c>
      <c r="W28" s="16">
        <f t="shared" si="20"/>
        <v>1</v>
      </c>
      <c r="X28" s="16">
        <f t="shared" si="20"/>
        <v>0</v>
      </c>
      <c r="Y28" s="16">
        <f t="shared" si="20"/>
        <v>8</v>
      </c>
      <c r="Z28" s="16">
        <f t="shared" si="20"/>
        <v>10</v>
      </c>
      <c r="AA28" s="16">
        <f t="shared" si="20"/>
        <v>0</v>
      </c>
      <c r="AB28" s="16">
        <f t="shared" si="20"/>
        <v>0</v>
      </c>
      <c r="AC28" s="16">
        <f t="shared" si="20"/>
        <v>33</v>
      </c>
      <c r="AD28" s="16">
        <f t="shared" si="20"/>
        <v>0</v>
      </c>
      <c r="AE28" s="32">
        <f t="shared" si="20"/>
        <v>54</v>
      </c>
      <c r="AF28" s="32">
        <f t="shared" si="20"/>
        <v>87</v>
      </c>
    </row>
    <row r="29" spans="2:32" ht="23.1" customHeight="1" x14ac:dyDescent="0.25">
      <c r="B29" s="23" t="s">
        <v>56</v>
      </c>
      <c r="C29" s="50">
        <v>0</v>
      </c>
      <c r="D29" s="50">
        <v>1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</v>
      </c>
      <c r="N29" s="50">
        <v>0</v>
      </c>
      <c r="O29" s="15">
        <f t="shared" si="0"/>
        <v>1</v>
      </c>
      <c r="P29" s="15">
        <f t="shared" si="1"/>
        <v>2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15">
        <f t="shared" si="0"/>
        <v>0</v>
      </c>
      <c r="P30" s="15">
        <f t="shared" si="1"/>
        <v>0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15">
        <f t="shared" si="0"/>
        <v>0</v>
      </c>
      <c r="P31" s="15">
        <f t="shared" si="1"/>
        <v>0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</v>
      </c>
      <c r="N32" s="50">
        <v>0</v>
      </c>
      <c r="O32" s="15">
        <f t="shared" si="0"/>
        <v>0</v>
      </c>
      <c r="P32" s="15">
        <f t="shared" si="1"/>
        <v>1</v>
      </c>
    </row>
    <row r="33" spans="2:20" ht="23.1" customHeight="1" x14ac:dyDescent="0.25">
      <c r="B33" s="23" t="s">
        <v>60</v>
      </c>
      <c r="C33" s="50">
        <v>0</v>
      </c>
      <c r="D33" s="50">
        <v>1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15">
        <f t="shared" si="0"/>
        <v>1</v>
      </c>
      <c r="P33" s="15">
        <f t="shared" si="1"/>
        <v>1</v>
      </c>
    </row>
    <row r="34" spans="2:20" ht="23.1" customHeight="1" x14ac:dyDescent="0.25">
      <c r="B34" s="24" t="s">
        <v>61</v>
      </c>
      <c r="C34" s="50">
        <v>0</v>
      </c>
      <c r="D34" s="50">
        <v>1</v>
      </c>
      <c r="E34" s="50">
        <v>0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1</v>
      </c>
      <c r="N34" s="50">
        <v>0</v>
      </c>
      <c r="O34" s="15">
        <f t="shared" si="0"/>
        <v>2</v>
      </c>
      <c r="P34" s="15">
        <f t="shared" si="1"/>
        <v>3</v>
      </c>
    </row>
    <row r="35" spans="2:20" ht="23.1" customHeight="1" x14ac:dyDescent="0.25">
      <c r="B35" s="24" t="s">
        <v>62</v>
      </c>
      <c r="C35" s="50">
        <v>0</v>
      </c>
      <c r="D35" s="50">
        <v>1</v>
      </c>
      <c r="E35" s="50">
        <v>0</v>
      </c>
      <c r="F35" s="50">
        <v>0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15">
        <f t="shared" si="0"/>
        <v>2</v>
      </c>
      <c r="P35" s="15">
        <f t="shared" si="1"/>
        <v>2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1</v>
      </c>
      <c r="K36" s="50">
        <v>0</v>
      </c>
      <c r="L36" s="50">
        <v>0</v>
      </c>
      <c r="M36" s="50">
        <v>0</v>
      </c>
      <c r="N36" s="50">
        <v>0</v>
      </c>
      <c r="O36" s="15">
        <f t="shared" si="0"/>
        <v>1</v>
      </c>
      <c r="P36" s="15">
        <f t="shared" si="1"/>
        <v>1</v>
      </c>
    </row>
    <row r="37" spans="2:20" ht="23.1" customHeight="1" x14ac:dyDescent="0.25">
      <c r="B37" s="23" t="s">
        <v>64</v>
      </c>
      <c r="C37" s="50">
        <v>0</v>
      </c>
      <c r="D37" s="50">
        <v>1</v>
      </c>
      <c r="E37" s="50">
        <v>1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0</v>
      </c>
      <c r="N37" s="50">
        <v>0</v>
      </c>
      <c r="O37" s="15">
        <f t="shared" si="0"/>
        <v>2</v>
      </c>
      <c r="P37" s="15">
        <f t="shared" si="1"/>
        <v>2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0</v>
      </c>
      <c r="N38" s="50">
        <v>0</v>
      </c>
      <c r="O38" s="15">
        <f t="shared" si="0"/>
        <v>1</v>
      </c>
      <c r="P38" s="15">
        <f t="shared" si="1"/>
        <v>1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1</v>
      </c>
      <c r="N39" s="50">
        <v>0</v>
      </c>
      <c r="O39" s="15">
        <f t="shared" si="0"/>
        <v>0</v>
      </c>
      <c r="P39" s="15">
        <f t="shared" si="1"/>
        <v>1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</v>
      </c>
      <c r="N40" s="50">
        <v>0</v>
      </c>
      <c r="O40" s="15">
        <f t="shared" si="0"/>
        <v>0</v>
      </c>
      <c r="P40" s="15">
        <f t="shared" si="1"/>
        <v>1</v>
      </c>
    </row>
    <row r="41" spans="2:20" ht="23.1" customHeight="1" x14ac:dyDescent="0.25">
      <c r="B41" s="23" t="s">
        <v>68</v>
      </c>
      <c r="C41" s="50">
        <v>1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1</v>
      </c>
      <c r="N41" s="50">
        <v>0</v>
      </c>
      <c r="O41" s="15">
        <f t="shared" si="0"/>
        <v>1</v>
      </c>
      <c r="P41" s="15">
        <f t="shared" si="1"/>
        <v>2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0</v>
      </c>
      <c r="N42" s="50">
        <v>0</v>
      </c>
      <c r="O42" s="15">
        <f t="shared" si="0"/>
        <v>0</v>
      </c>
      <c r="P42" s="15">
        <f t="shared" si="1"/>
        <v>0</v>
      </c>
    </row>
    <row r="43" spans="2:20" ht="23.1" customHeight="1" x14ac:dyDescent="0.25">
      <c r="B43" s="23" t="s">
        <v>70</v>
      </c>
      <c r="C43" s="50">
        <v>0</v>
      </c>
      <c r="D43" s="50">
        <v>2</v>
      </c>
      <c r="E43" s="50">
        <v>1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0</v>
      </c>
      <c r="N43" s="50">
        <v>0</v>
      </c>
      <c r="O43" s="15">
        <f t="shared" si="0"/>
        <v>3</v>
      </c>
      <c r="P43" s="15">
        <f t="shared" si="1"/>
        <v>3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0</v>
      </c>
      <c r="N44" s="50">
        <v>0</v>
      </c>
      <c r="O44" s="15">
        <f t="shared" si="0"/>
        <v>0</v>
      </c>
      <c r="P44" s="15">
        <f t="shared" si="1"/>
        <v>0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15">
        <f t="shared" si="0"/>
        <v>0</v>
      </c>
      <c r="P45" s="15">
        <f t="shared" si="1"/>
        <v>0</v>
      </c>
    </row>
    <row r="46" spans="2:20" ht="23.1" customHeight="1" x14ac:dyDescent="0.25">
      <c r="B46" s="24" t="s">
        <v>73</v>
      </c>
      <c r="C46" s="50">
        <v>1</v>
      </c>
      <c r="D46" s="50">
        <v>1</v>
      </c>
      <c r="E46" s="50">
        <v>0</v>
      </c>
      <c r="F46" s="50">
        <v>0</v>
      </c>
      <c r="G46" s="50">
        <v>1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0</v>
      </c>
      <c r="N46" s="50">
        <v>0</v>
      </c>
      <c r="O46" s="15">
        <f t="shared" si="0"/>
        <v>3</v>
      </c>
      <c r="P46" s="15">
        <f t="shared" si="1"/>
        <v>3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1</v>
      </c>
      <c r="F47" s="50">
        <v>0</v>
      </c>
      <c r="G47" s="50">
        <v>0</v>
      </c>
      <c r="H47" s="50">
        <v>0</v>
      </c>
      <c r="I47" s="50">
        <v>1</v>
      </c>
      <c r="J47" s="50">
        <v>1</v>
      </c>
      <c r="K47" s="50">
        <v>0</v>
      </c>
      <c r="L47" s="50">
        <v>0</v>
      </c>
      <c r="M47" s="50">
        <v>0</v>
      </c>
      <c r="N47" s="50">
        <v>0</v>
      </c>
      <c r="O47" s="15">
        <f t="shared" si="0"/>
        <v>3</v>
      </c>
      <c r="P47" s="15">
        <f t="shared" si="1"/>
        <v>3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2</v>
      </c>
      <c r="K48" s="50">
        <v>0</v>
      </c>
      <c r="L48" s="50">
        <v>0</v>
      </c>
      <c r="M48" s="50">
        <v>2</v>
      </c>
      <c r="N48" s="50">
        <v>0</v>
      </c>
      <c r="O48" s="15">
        <f t="shared" si="0"/>
        <v>2</v>
      </c>
      <c r="P48" s="15">
        <f t="shared" si="1"/>
        <v>4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1</v>
      </c>
      <c r="E49" s="50">
        <v>1</v>
      </c>
      <c r="F49" s="50">
        <v>0</v>
      </c>
      <c r="G49" s="50">
        <v>0</v>
      </c>
      <c r="H49" s="50">
        <v>0</v>
      </c>
      <c r="I49" s="50">
        <v>0</v>
      </c>
      <c r="J49" s="50">
        <v>1</v>
      </c>
      <c r="K49" s="50">
        <v>0</v>
      </c>
      <c r="L49" s="50">
        <v>0</v>
      </c>
      <c r="M49" s="50">
        <v>2</v>
      </c>
      <c r="N49" s="50">
        <v>0</v>
      </c>
      <c r="O49" s="15">
        <f t="shared" si="0"/>
        <v>3</v>
      </c>
      <c r="P49" s="15">
        <f t="shared" si="1"/>
        <v>5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2</v>
      </c>
      <c r="F50" s="50">
        <v>0</v>
      </c>
      <c r="G50" s="50">
        <v>0</v>
      </c>
      <c r="H50" s="50">
        <v>0</v>
      </c>
      <c r="I50" s="50">
        <v>0</v>
      </c>
      <c r="J50" s="50">
        <v>1</v>
      </c>
      <c r="K50" s="50">
        <v>0</v>
      </c>
      <c r="L50" s="50">
        <v>0</v>
      </c>
      <c r="M50" s="50">
        <v>1</v>
      </c>
      <c r="N50" s="50">
        <v>0</v>
      </c>
      <c r="O50" s="15">
        <f t="shared" si="0"/>
        <v>3</v>
      </c>
      <c r="P50" s="15">
        <f t="shared" si="1"/>
        <v>4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2</v>
      </c>
      <c r="E51" s="50">
        <v>0</v>
      </c>
      <c r="F51" s="50">
        <v>0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2</v>
      </c>
      <c r="N51" s="50">
        <v>0</v>
      </c>
      <c r="O51" s="15">
        <f t="shared" si="0"/>
        <v>3</v>
      </c>
      <c r="P51" s="15">
        <f t="shared" si="1"/>
        <v>5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2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0</v>
      </c>
      <c r="N52" s="50">
        <v>0</v>
      </c>
      <c r="O52" s="15">
        <f t="shared" si="0"/>
        <v>2</v>
      </c>
      <c r="P52" s="15">
        <f t="shared" si="1"/>
        <v>2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1</v>
      </c>
      <c r="K53" s="50">
        <v>0</v>
      </c>
      <c r="L53" s="50">
        <v>0</v>
      </c>
      <c r="M53" s="50">
        <v>0</v>
      </c>
      <c r="N53" s="50">
        <v>0</v>
      </c>
      <c r="O53" s="15">
        <f t="shared" si="0"/>
        <v>1</v>
      </c>
      <c r="P53" s="15">
        <f t="shared" si="1"/>
        <v>1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1</v>
      </c>
      <c r="N54" s="50">
        <v>0</v>
      </c>
      <c r="O54" s="15">
        <f t="shared" si="0"/>
        <v>2</v>
      </c>
      <c r="P54" s="15">
        <f t="shared" si="1"/>
        <v>3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</v>
      </c>
      <c r="N55" s="50">
        <v>0</v>
      </c>
      <c r="O55" s="15">
        <f t="shared" si="0"/>
        <v>0</v>
      </c>
      <c r="P55" s="15">
        <f t="shared" si="1"/>
        <v>1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0</v>
      </c>
      <c r="N56" s="50">
        <v>0</v>
      </c>
      <c r="O56" s="15">
        <f t="shared" si="0"/>
        <v>0</v>
      </c>
      <c r="P56" s="15">
        <f t="shared" si="1"/>
        <v>0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2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1</v>
      </c>
      <c r="N57" s="50">
        <v>0</v>
      </c>
      <c r="O57" s="15">
        <f t="shared" si="0"/>
        <v>2</v>
      </c>
      <c r="P57" s="15">
        <f t="shared" si="1"/>
        <v>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5</v>
      </c>
      <c r="D58" s="16">
        <f t="shared" si="21"/>
        <v>15</v>
      </c>
      <c r="E58" s="16">
        <f t="shared" si="21"/>
        <v>15</v>
      </c>
      <c r="F58" s="16">
        <f t="shared" si="21"/>
        <v>0</v>
      </c>
      <c r="G58" s="16">
        <f t="shared" si="21"/>
        <v>1</v>
      </c>
      <c r="H58" s="16">
        <f t="shared" si="21"/>
        <v>0</v>
      </c>
      <c r="I58" s="16">
        <f t="shared" si="21"/>
        <v>8</v>
      </c>
      <c r="J58" s="16">
        <f t="shared" si="21"/>
        <v>10</v>
      </c>
      <c r="K58" s="16">
        <f t="shared" si="21"/>
        <v>0</v>
      </c>
      <c r="L58" s="16">
        <f t="shared" si="21"/>
        <v>0</v>
      </c>
      <c r="M58" s="16">
        <f t="shared" si="21"/>
        <v>33</v>
      </c>
      <c r="N58" s="16">
        <f t="shared" si="21"/>
        <v>0</v>
      </c>
      <c r="O58" s="16">
        <f t="shared" si="21"/>
        <v>54</v>
      </c>
      <c r="P58" s="16">
        <f t="shared" si="21"/>
        <v>87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5.7471264367816091E-2</v>
      </c>
      <c r="D59" s="43">
        <f t="shared" si="22"/>
        <v>0.17241379310344829</v>
      </c>
      <c r="E59" s="43">
        <f t="shared" si="22"/>
        <v>0.17241379310344829</v>
      </c>
      <c r="F59" s="43">
        <f t="shared" si="22"/>
        <v>0</v>
      </c>
      <c r="G59" s="43">
        <f t="shared" si="22"/>
        <v>1.1494252873563218E-2</v>
      </c>
      <c r="H59" s="43">
        <f t="shared" si="22"/>
        <v>0</v>
      </c>
      <c r="I59" s="43">
        <f t="shared" si="22"/>
        <v>9.1954022988505746E-2</v>
      </c>
      <c r="J59" s="43">
        <f t="shared" si="22"/>
        <v>0.11494252873563218</v>
      </c>
      <c r="K59" s="43">
        <f t="shared" si="22"/>
        <v>0</v>
      </c>
      <c r="L59" s="43">
        <f t="shared" si="22"/>
        <v>0</v>
      </c>
      <c r="M59" s="43">
        <f t="shared" si="22"/>
        <v>0.37931034482758619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9.2592592592592587E-2</v>
      </c>
      <c r="D60" s="44">
        <f t="shared" ref="D60:N60" si="23">D58/$O$58</f>
        <v>0.27777777777777779</v>
      </c>
      <c r="E60" s="44">
        <f t="shared" si="23"/>
        <v>0.27777777777777779</v>
      </c>
      <c r="F60" s="44">
        <f t="shared" si="23"/>
        <v>0</v>
      </c>
      <c r="G60" s="44">
        <f t="shared" si="23"/>
        <v>1.8518518518518517E-2</v>
      </c>
      <c r="H60" s="44">
        <f t="shared" si="23"/>
        <v>0</v>
      </c>
      <c r="I60" s="44">
        <f t="shared" si="23"/>
        <v>0.14814814814814814</v>
      </c>
      <c r="J60" s="44">
        <f t="shared" si="23"/>
        <v>0.18518518518518517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B1:AF174"/>
  <sheetViews>
    <sheetView view="pageBreakPreview" topLeftCell="A88" zoomScale="60" workbookViewId="0">
      <selection activeCell="M101" sqref="M10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e">
        <f>#REF!</f>
        <v>#REF!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8" t="s">
        <v>165</v>
      </c>
      <c r="E5" s="69"/>
      <c r="F5" s="41" t="s">
        <v>1</v>
      </c>
      <c r="G5" s="66" t="e">
        <f>#REF!</f>
        <v>#REF!</v>
      </c>
      <c r="H5" s="67"/>
      <c r="I5" s="14"/>
      <c r="J5" s="2" t="s">
        <v>5</v>
      </c>
      <c r="K5" s="66" t="e">
        <f>#REF!</f>
        <v>#REF!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e">
        <f>#REF!</f>
        <v>#REF!</v>
      </c>
      <c r="E6" s="67"/>
      <c r="F6" s="2" t="s">
        <v>2</v>
      </c>
      <c r="G6" s="66" t="e">
        <f>#REF!</f>
        <v>#REF!</v>
      </c>
      <c r="H6" s="67"/>
      <c r="J6" s="2" t="s">
        <v>21</v>
      </c>
      <c r="K6" s="66" t="e">
        <f>#REF!</f>
        <v>#REF!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AVERAGE('05.08 KABONG-KOTIDO'!C10,'06.07 KABONG-KOTIDO'!C10,'07.08 KABONG-KOTIDO'!C10,'08.08 KABONG-KOTIDO'!C10,'9.08 KABONG-KOTIDO-24h'!C10,'10.08 KABONG-KOTIDO-24h'!C10,'11.08 KABONG-KOTITDO'!C10)</f>
        <v>0</v>
      </c>
      <c r="D10" s="49">
        <f>AVERAGE('05.08 KABONG-KOTIDO'!D10,'06.07 KABONG-KOTIDO'!D10,'07.08 KABONG-KOTIDO'!D10,'08.08 KABONG-KOTIDO'!D10,'9.08 KABONG-KOTIDO-24h'!D10,'10.08 KABONG-KOTIDO-24h'!D10,'11.08 KABONG-KOTITDO'!D10)</f>
        <v>0.8571428571428571</v>
      </c>
      <c r="E10" s="49">
        <f>AVERAGE('05.08 KABONG-KOTIDO'!E10,'06.07 KABONG-KOTIDO'!E10,'07.08 KABONG-KOTIDO'!E10,'08.08 KABONG-KOTIDO'!E10,'9.08 KABONG-KOTIDO-24h'!E10,'10.08 KABONG-KOTIDO-24h'!E10,'11.08 KABONG-KOTITDO'!E10)</f>
        <v>0.8571428571428571</v>
      </c>
      <c r="F10" s="49">
        <f>AVERAGE('05.08 KABONG-KOTIDO'!F10,'06.07 KABONG-KOTIDO'!F10,'07.08 KABONG-KOTIDO'!F10,'08.08 KABONG-KOTIDO'!F10,'9.08 KABONG-KOTIDO-24h'!F10,'10.08 KABONG-KOTIDO-24h'!F10,'11.08 KABONG-KOTITDO'!F10)</f>
        <v>0</v>
      </c>
      <c r="G10" s="49">
        <f>AVERAGE('05.08 KABONG-KOTIDO'!G10,'06.07 KABONG-KOTIDO'!G10,'07.08 KABONG-KOTIDO'!G10,'08.08 KABONG-KOTIDO'!G10,'9.08 KABONG-KOTIDO-24h'!G10,'10.08 KABONG-KOTIDO-24h'!G10,'11.08 KABONG-KOTITDO'!G10)</f>
        <v>0</v>
      </c>
      <c r="H10" s="49">
        <f>AVERAGE('05.08 KABONG-KOTIDO'!H10,'06.07 KABONG-KOTIDO'!H10,'07.08 KABONG-KOTIDO'!H10,'08.08 KABONG-KOTIDO'!H10,'9.08 KABONG-KOTIDO-24h'!H10,'10.08 KABONG-KOTIDO-24h'!H10,'11.08 KABONG-KOTITDO'!H10)</f>
        <v>0</v>
      </c>
      <c r="I10" s="49">
        <f>AVERAGE('05.08 KABONG-KOTIDO'!I10,'06.07 KABONG-KOTIDO'!I10,'07.08 KABONG-KOTIDO'!I10,'08.08 KABONG-KOTIDO'!I10,'9.08 KABONG-KOTIDO-24h'!I10,'10.08 KABONG-KOTIDO-24h'!I10,'11.08 KABONG-KOTITDO'!I10)</f>
        <v>1</v>
      </c>
      <c r="J10" s="49">
        <f>AVERAGE('05.08 KABONG-KOTIDO'!J10,'06.07 KABONG-KOTIDO'!J10,'07.08 KABONG-KOTIDO'!J10,'08.08 KABONG-KOTIDO'!J10,'9.08 KABONG-KOTIDO-24h'!J10,'10.08 KABONG-KOTIDO-24h'!J10,'11.08 KABONG-KOTITDO'!J10)</f>
        <v>0.14285714285714285</v>
      </c>
      <c r="K10" s="49">
        <f>AVERAGE('05.08 KABONG-KOTIDO'!K10,'06.07 KABONG-KOTIDO'!K10,'07.08 KABONG-KOTIDO'!K10,'08.08 KABONG-KOTIDO'!K10,'9.08 KABONG-KOTIDO-24h'!K10,'10.08 KABONG-KOTIDO-24h'!K10,'11.08 KABONG-KOTITDO'!K10)</f>
        <v>0</v>
      </c>
      <c r="L10" s="49">
        <f>AVERAGE('05.08 KABONG-KOTIDO'!L10,'06.07 KABONG-KOTIDO'!L10,'07.08 KABONG-KOTIDO'!L10,'08.08 KABONG-KOTIDO'!L10,'9.08 KABONG-KOTIDO-24h'!L10,'10.08 KABONG-KOTIDO-24h'!L10,'11.08 KABONG-KOTITDO'!L10)</f>
        <v>0</v>
      </c>
      <c r="M10" s="49">
        <f>AVERAGE('05.08 KABONG-KOTIDO'!M10,'06.07 KABONG-KOTIDO'!M10,'07.08 KABONG-KOTIDO'!M10,'08.08 KABONG-KOTIDO'!M10,'9.08 KABONG-KOTIDO-24h'!M10,'10.08 KABONG-KOTIDO-24h'!M10,'11.08 KABONG-KOTITDO'!M10)</f>
        <v>0.7142857142857143</v>
      </c>
      <c r="N10" s="49">
        <f>AVERAGE('05.08 KABONG-KOTIDO'!N10,'06.07 KABONG-KOTIDO'!N10,'07.08 KABONG-KOTIDO'!N10,'08.08 KABONG-KOTIDO'!N10,'9.08 KABONG-KOTIDO-24h'!N10,'10.08 KABONG-KOTIDO-24h'!N10,'11.08 KABONG-KOTITDO'!N10)</f>
        <v>0</v>
      </c>
      <c r="O10" s="15">
        <f t="shared" ref="O10:O73" si="0">SUM(C10:L10,N10)</f>
        <v>2.8571428571428572</v>
      </c>
      <c r="P10" s="15">
        <f t="shared" ref="P10:P73" si="1">SUM(C10:N10)</f>
        <v>3.5714285714285716</v>
      </c>
      <c r="R10" s="1" t="s">
        <v>6</v>
      </c>
      <c r="S10" s="17">
        <f t="shared" ref="S10:AF10" si="2">SUM(C10:C13)</f>
        <v>0.5714285714285714</v>
      </c>
      <c r="T10" s="17">
        <f t="shared" si="2"/>
        <v>1.8571428571428572</v>
      </c>
      <c r="U10" s="17">
        <f t="shared" si="2"/>
        <v>1.7142857142857144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0.71428571428571419</v>
      </c>
      <c r="AA10" s="17">
        <f t="shared" si="2"/>
        <v>0.2857142857142857</v>
      </c>
      <c r="AB10" s="17">
        <f t="shared" si="2"/>
        <v>0</v>
      </c>
      <c r="AC10" s="17">
        <f t="shared" si="2"/>
        <v>2.1428571428571428</v>
      </c>
      <c r="AD10" s="17">
        <f t="shared" si="2"/>
        <v>0.14285714285714285</v>
      </c>
      <c r="AE10" s="31">
        <f t="shared" si="2"/>
        <v>7.2857142857142865</v>
      </c>
      <c r="AF10" s="31">
        <f t="shared" si="2"/>
        <v>9.4285714285714288</v>
      </c>
    </row>
    <row r="11" spans="2:32" s="6" customFormat="1" ht="23.1" customHeight="1" x14ac:dyDescent="0.25">
      <c r="B11" s="23" t="s">
        <v>38</v>
      </c>
      <c r="C11" s="49">
        <f>AVERAGE('05.08 KABONG-KOTIDO'!C11,'06.07 KABONG-KOTIDO'!C11,'07.08 KABONG-KOTIDO'!C11,'08.08 KABONG-KOTIDO'!C11,'9.08 KABONG-KOTIDO-24h'!C11,'10.08 KABONG-KOTIDO-24h'!C11,'11.08 KABONG-KOTITDO'!C11)</f>
        <v>0.2857142857142857</v>
      </c>
      <c r="D11" s="49">
        <f>AVERAGE('05.08 KABONG-KOTIDO'!D11,'06.07 KABONG-KOTIDO'!D11,'07.08 KABONG-KOTIDO'!D11,'08.08 KABONG-KOTIDO'!D11,'9.08 KABONG-KOTIDO-24h'!D11,'10.08 KABONG-KOTIDO-24h'!D11,'11.08 KABONG-KOTITDO'!D11)</f>
        <v>0</v>
      </c>
      <c r="E11" s="49">
        <f>AVERAGE('05.08 KABONG-KOTIDO'!E11,'06.07 KABONG-KOTIDO'!E11,'07.08 KABONG-KOTIDO'!E11,'08.08 KABONG-KOTIDO'!E11,'9.08 KABONG-KOTIDO-24h'!E11,'10.08 KABONG-KOTIDO-24h'!E11,'11.08 KABONG-KOTITDO'!E11)</f>
        <v>0</v>
      </c>
      <c r="F11" s="49">
        <f>AVERAGE('05.08 KABONG-KOTIDO'!F11,'06.07 KABONG-KOTIDO'!F11,'07.08 KABONG-KOTIDO'!F11,'08.08 KABONG-KOTIDO'!F11,'9.08 KABONG-KOTIDO-24h'!F11,'10.08 KABONG-KOTIDO-24h'!F11,'11.08 KABONG-KOTITDO'!F11)</f>
        <v>0</v>
      </c>
      <c r="G11" s="49">
        <f>AVERAGE('05.08 KABONG-KOTIDO'!G11,'06.07 KABONG-KOTIDO'!G11,'07.08 KABONG-KOTIDO'!G11,'08.08 KABONG-KOTIDO'!G11,'9.08 KABONG-KOTIDO-24h'!G11,'10.08 KABONG-KOTIDO-24h'!G11,'11.08 KABONG-KOTITDO'!G11)</f>
        <v>0</v>
      </c>
      <c r="H11" s="49">
        <f>AVERAGE('05.08 KABONG-KOTIDO'!H11,'06.07 KABONG-KOTIDO'!H11,'07.08 KABONG-KOTIDO'!H11,'08.08 KABONG-KOTIDO'!H11,'9.08 KABONG-KOTIDO-24h'!H11,'10.08 KABONG-KOTIDO-24h'!H11,'11.08 KABONG-KOTITDO'!H11)</f>
        <v>0</v>
      </c>
      <c r="I11" s="49">
        <f>AVERAGE('05.08 KABONG-KOTIDO'!I11,'06.07 KABONG-KOTIDO'!I11,'07.08 KABONG-KOTIDO'!I11,'08.08 KABONG-KOTIDO'!I11,'9.08 KABONG-KOTIDO-24h'!I11,'10.08 KABONG-KOTIDO-24h'!I11,'11.08 KABONG-KOTITDO'!I11)</f>
        <v>0</v>
      </c>
      <c r="J11" s="49">
        <f>AVERAGE('05.08 KABONG-KOTIDO'!J11,'06.07 KABONG-KOTIDO'!J11,'07.08 KABONG-KOTIDO'!J11,'08.08 KABONG-KOTIDO'!J11,'9.08 KABONG-KOTIDO-24h'!J11,'10.08 KABONG-KOTIDO-24h'!J11,'11.08 KABONG-KOTITDO'!J11)</f>
        <v>0.2857142857142857</v>
      </c>
      <c r="K11" s="49">
        <f>AVERAGE('05.08 KABONG-KOTIDO'!K11,'06.07 KABONG-KOTIDO'!K11,'07.08 KABONG-KOTIDO'!K11,'08.08 KABONG-KOTIDO'!K11,'9.08 KABONG-KOTIDO-24h'!K11,'10.08 KABONG-KOTIDO-24h'!K11,'11.08 KABONG-KOTITDO'!K11)</f>
        <v>0.2857142857142857</v>
      </c>
      <c r="L11" s="49">
        <f>AVERAGE('05.08 KABONG-KOTIDO'!L11,'06.07 KABONG-KOTIDO'!L11,'07.08 KABONG-KOTIDO'!L11,'08.08 KABONG-KOTIDO'!L11,'9.08 KABONG-KOTIDO-24h'!L11,'10.08 KABONG-KOTIDO-24h'!L11,'11.08 KABONG-KOTITDO'!L11)</f>
        <v>0</v>
      </c>
      <c r="M11" s="49">
        <f>AVERAGE('05.08 KABONG-KOTIDO'!M11,'06.07 KABONG-KOTIDO'!M11,'07.08 KABONG-KOTIDO'!M11,'08.08 KABONG-KOTIDO'!M11,'9.08 KABONG-KOTIDO-24h'!M11,'10.08 KABONG-KOTIDO-24h'!M11,'11.08 KABONG-KOTITDO'!M11)</f>
        <v>0.7142857142857143</v>
      </c>
      <c r="N11" s="49">
        <f>AVERAGE('05.08 KABONG-KOTIDO'!N11,'06.07 KABONG-KOTIDO'!N11,'07.08 KABONG-KOTIDO'!N11,'08.08 KABONG-KOTIDO'!N11,'9.08 KABONG-KOTIDO-24h'!N11,'10.08 KABONG-KOTIDO-24h'!N11,'11.08 KABONG-KOTITDO'!N11)</f>
        <v>0</v>
      </c>
      <c r="O11" s="15">
        <f t="shared" si="0"/>
        <v>0.8571428571428571</v>
      </c>
      <c r="P11" s="15">
        <f t="shared" si="1"/>
        <v>1.5714285714285714</v>
      </c>
      <c r="R11" s="1" t="s">
        <v>7</v>
      </c>
      <c r="S11" s="17">
        <f t="shared" ref="S11:AF11" si="3">SUM(C14:C17)</f>
        <v>0</v>
      </c>
      <c r="T11" s="17">
        <f t="shared" si="3"/>
        <v>0.42857142857142855</v>
      </c>
      <c r="U11" s="17">
        <f t="shared" si="3"/>
        <v>1.2857142857142856</v>
      </c>
      <c r="V11" s="17">
        <f t="shared" si="3"/>
        <v>0</v>
      </c>
      <c r="W11" s="17">
        <f t="shared" si="3"/>
        <v>0</v>
      </c>
      <c r="X11" s="17">
        <f t="shared" si="3"/>
        <v>0.14285714285714285</v>
      </c>
      <c r="Y11" s="17">
        <f t="shared" si="3"/>
        <v>1.4285714285714284</v>
      </c>
      <c r="Z11" s="17">
        <f t="shared" si="3"/>
        <v>0.85714285714285721</v>
      </c>
      <c r="AA11" s="17">
        <f t="shared" si="3"/>
        <v>0.14285714285714285</v>
      </c>
      <c r="AB11" s="17">
        <f t="shared" si="3"/>
        <v>0</v>
      </c>
      <c r="AC11" s="17">
        <f t="shared" si="3"/>
        <v>2.8571428571428568</v>
      </c>
      <c r="AD11" s="17">
        <f t="shared" si="3"/>
        <v>0</v>
      </c>
      <c r="AE11" s="31">
        <f t="shared" si="3"/>
        <v>4.2857142857142856</v>
      </c>
      <c r="AF11" s="31">
        <f t="shared" si="3"/>
        <v>7.1428571428571423</v>
      </c>
    </row>
    <row r="12" spans="2:32" ht="23.1" customHeight="1" x14ac:dyDescent="0.25">
      <c r="B12" s="23" t="s">
        <v>39</v>
      </c>
      <c r="C12" s="49">
        <f>AVERAGE('05.08 KABONG-KOTIDO'!C12,'06.07 KABONG-KOTIDO'!C12,'07.08 KABONG-KOTIDO'!C12,'08.08 KABONG-KOTIDO'!C12,'9.08 KABONG-KOTIDO-24h'!C12,'10.08 KABONG-KOTIDO-24h'!C12,'11.08 KABONG-KOTITDO'!C12)</f>
        <v>0</v>
      </c>
      <c r="D12" s="49">
        <f>AVERAGE('05.08 KABONG-KOTIDO'!D12,'06.07 KABONG-KOTIDO'!D12,'07.08 KABONG-KOTIDO'!D12,'08.08 KABONG-KOTIDO'!D12,'9.08 KABONG-KOTIDO-24h'!D12,'10.08 KABONG-KOTIDO-24h'!D12,'11.08 KABONG-KOTITDO'!D12)</f>
        <v>0.2857142857142857</v>
      </c>
      <c r="E12" s="49">
        <f>AVERAGE('05.08 KABONG-KOTIDO'!E12,'06.07 KABONG-KOTIDO'!E12,'07.08 KABONG-KOTIDO'!E12,'08.08 KABONG-KOTIDO'!E12,'9.08 KABONG-KOTIDO-24h'!E12,'10.08 KABONG-KOTIDO-24h'!E12,'11.08 KABONG-KOTITDO'!E12)</f>
        <v>0.14285714285714285</v>
      </c>
      <c r="F12" s="49">
        <f>AVERAGE('05.08 KABONG-KOTIDO'!F12,'06.07 KABONG-KOTIDO'!F12,'07.08 KABONG-KOTIDO'!F12,'08.08 KABONG-KOTIDO'!F12,'9.08 KABONG-KOTIDO-24h'!F12,'10.08 KABONG-KOTIDO-24h'!F12,'11.08 KABONG-KOTITDO'!F12)</f>
        <v>0</v>
      </c>
      <c r="G12" s="49">
        <f>AVERAGE('05.08 KABONG-KOTIDO'!G12,'06.07 KABONG-KOTIDO'!G12,'07.08 KABONG-KOTIDO'!G12,'08.08 KABONG-KOTIDO'!G12,'9.08 KABONG-KOTIDO-24h'!G12,'10.08 KABONG-KOTIDO-24h'!G12,'11.08 KABONG-KOTITDO'!G12)</f>
        <v>0</v>
      </c>
      <c r="H12" s="49">
        <f>AVERAGE('05.08 KABONG-KOTIDO'!H12,'06.07 KABONG-KOTIDO'!H12,'07.08 KABONG-KOTIDO'!H12,'08.08 KABONG-KOTIDO'!H12,'9.08 KABONG-KOTIDO-24h'!H12,'10.08 KABONG-KOTIDO-24h'!H12,'11.08 KABONG-KOTITDO'!H12)</f>
        <v>0</v>
      </c>
      <c r="I12" s="49">
        <f>AVERAGE('05.08 KABONG-KOTIDO'!I12,'06.07 KABONG-KOTIDO'!I12,'07.08 KABONG-KOTIDO'!I12,'08.08 KABONG-KOTIDO'!I12,'9.08 KABONG-KOTIDO-24h'!I12,'10.08 KABONG-KOTIDO-24h'!I12,'11.08 KABONG-KOTITDO'!I12)</f>
        <v>0.2857142857142857</v>
      </c>
      <c r="J12" s="49">
        <f>AVERAGE('05.08 KABONG-KOTIDO'!J12,'06.07 KABONG-KOTIDO'!J12,'07.08 KABONG-KOTIDO'!J12,'08.08 KABONG-KOTIDO'!J12,'9.08 KABONG-KOTIDO-24h'!J12,'10.08 KABONG-KOTIDO-24h'!J12,'11.08 KABONG-KOTITDO'!J12)</f>
        <v>0</v>
      </c>
      <c r="K12" s="49">
        <f>AVERAGE('05.08 KABONG-KOTIDO'!K12,'06.07 KABONG-KOTIDO'!K12,'07.08 KABONG-KOTIDO'!K12,'08.08 KABONG-KOTIDO'!K12,'9.08 KABONG-KOTIDO-24h'!K12,'10.08 KABONG-KOTIDO-24h'!K12,'11.08 KABONG-KOTITDO'!K12)</f>
        <v>0</v>
      </c>
      <c r="L12" s="49">
        <f>AVERAGE('05.08 KABONG-KOTIDO'!L12,'06.07 KABONG-KOTIDO'!L12,'07.08 KABONG-KOTIDO'!L12,'08.08 KABONG-KOTIDO'!L12,'9.08 KABONG-KOTIDO-24h'!L12,'10.08 KABONG-KOTIDO-24h'!L12,'11.08 KABONG-KOTITDO'!L12)</f>
        <v>0</v>
      </c>
      <c r="M12" s="49">
        <f>AVERAGE('05.08 KABONG-KOTIDO'!M12,'06.07 KABONG-KOTIDO'!M12,'07.08 KABONG-KOTIDO'!M12,'08.08 KABONG-KOTIDO'!M12,'9.08 KABONG-KOTIDO-24h'!M12,'10.08 KABONG-KOTIDO-24h'!M12,'11.08 KABONG-KOTITDO'!M12)</f>
        <v>0.7142857142857143</v>
      </c>
      <c r="N12" s="49">
        <f>AVERAGE('05.08 KABONG-KOTIDO'!N12,'06.07 KABONG-KOTIDO'!N12,'07.08 KABONG-KOTIDO'!N12,'08.08 KABONG-KOTIDO'!N12,'9.08 KABONG-KOTIDO-24h'!N12,'10.08 KABONG-KOTIDO-24h'!N12,'11.08 KABONG-KOTITDO'!N12)</f>
        <v>0</v>
      </c>
      <c r="O12" s="15">
        <f t="shared" si="0"/>
        <v>0.71428571428571419</v>
      </c>
      <c r="P12" s="15">
        <f t="shared" si="1"/>
        <v>1.4285714285714284</v>
      </c>
      <c r="R12" s="1" t="s">
        <v>8</v>
      </c>
      <c r="S12" s="17">
        <f t="shared" ref="S12:AF12" si="4">SUM(C18:C21)</f>
        <v>0.2857142857142857</v>
      </c>
      <c r="T12" s="17">
        <f t="shared" si="4"/>
        <v>0.2857142857142857</v>
      </c>
      <c r="U12" s="17">
        <f t="shared" si="4"/>
        <v>0.42857142857142855</v>
      </c>
      <c r="V12" s="17">
        <f t="shared" si="4"/>
        <v>0.14285714285714285</v>
      </c>
      <c r="W12" s="17">
        <f t="shared" si="4"/>
        <v>0</v>
      </c>
      <c r="X12" s="17">
        <f t="shared" si="4"/>
        <v>0</v>
      </c>
      <c r="Y12" s="17">
        <f t="shared" si="4"/>
        <v>0.2857142857142857</v>
      </c>
      <c r="Z12" s="17">
        <f t="shared" si="4"/>
        <v>0.42857142857142855</v>
      </c>
      <c r="AA12" s="17">
        <f t="shared" si="4"/>
        <v>0</v>
      </c>
      <c r="AB12" s="17">
        <f t="shared" si="4"/>
        <v>0</v>
      </c>
      <c r="AC12" s="17">
        <f t="shared" si="4"/>
        <v>3</v>
      </c>
      <c r="AD12" s="17">
        <f t="shared" si="4"/>
        <v>0</v>
      </c>
      <c r="AE12" s="31">
        <f t="shared" si="4"/>
        <v>1.8571428571428568</v>
      </c>
      <c r="AF12" s="31">
        <f t="shared" si="4"/>
        <v>4.8571428571428568</v>
      </c>
    </row>
    <row r="13" spans="2:32" ht="23.1" customHeight="1" x14ac:dyDescent="0.25">
      <c r="B13" s="23" t="s">
        <v>40</v>
      </c>
      <c r="C13" s="49">
        <f>AVERAGE('05.08 KABONG-KOTIDO'!C13,'06.07 KABONG-KOTIDO'!C13,'07.08 KABONG-KOTIDO'!C13,'08.08 KABONG-KOTIDO'!C13,'9.08 KABONG-KOTIDO-24h'!C13,'10.08 KABONG-KOTIDO-24h'!C13,'11.08 KABONG-KOTITDO'!C13)</f>
        <v>0.2857142857142857</v>
      </c>
      <c r="D13" s="49">
        <f>AVERAGE('05.08 KABONG-KOTIDO'!D13,'06.07 KABONG-KOTIDO'!D13,'07.08 KABONG-KOTIDO'!D13,'08.08 KABONG-KOTIDO'!D13,'9.08 KABONG-KOTIDO-24h'!D13,'10.08 KABONG-KOTIDO-24h'!D13,'11.08 KABONG-KOTITDO'!D13)</f>
        <v>0.7142857142857143</v>
      </c>
      <c r="E13" s="49">
        <f>AVERAGE('05.08 KABONG-KOTIDO'!E13,'06.07 KABONG-KOTIDO'!E13,'07.08 KABONG-KOTIDO'!E13,'08.08 KABONG-KOTIDO'!E13,'9.08 KABONG-KOTIDO-24h'!E13,'10.08 KABONG-KOTIDO-24h'!E13,'11.08 KABONG-KOTITDO'!E13)</f>
        <v>0.7142857142857143</v>
      </c>
      <c r="F13" s="49">
        <f>AVERAGE('05.08 KABONG-KOTIDO'!F13,'06.07 KABONG-KOTIDO'!F13,'07.08 KABONG-KOTIDO'!F13,'08.08 KABONG-KOTIDO'!F13,'9.08 KABONG-KOTIDO-24h'!F13,'10.08 KABONG-KOTIDO-24h'!F13,'11.08 KABONG-KOTITDO'!F13)</f>
        <v>0</v>
      </c>
      <c r="G13" s="49">
        <f>AVERAGE('05.08 KABONG-KOTIDO'!G13,'06.07 KABONG-KOTIDO'!G13,'07.08 KABONG-KOTIDO'!G13,'08.08 KABONG-KOTIDO'!G13,'9.08 KABONG-KOTIDO-24h'!G13,'10.08 KABONG-KOTIDO-24h'!G13,'11.08 KABONG-KOTITDO'!G13)</f>
        <v>0</v>
      </c>
      <c r="H13" s="49">
        <f>AVERAGE('05.08 KABONG-KOTIDO'!H13,'06.07 KABONG-KOTIDO'!H13,'07.08 KABONG-KOTIDO'!H13,'08.08 KABONG-KOTIDO'!H13,'9.08 KABONG-KOTIDO-24h'!H13,'10.08 KABONG-KOTIDO-24h'!H13,'11.08 KABONG-KOTITDO'!H13)</f>
        <v>0</v>
      </c>
      <c r="I13" s="49">
        <f>AVERAGE('05.08 KABONG-KOTIDO'!I13,'06.07 KABONG-KOTIDO'!I13,'07.08 KABONG-KOTIDO'!I13,'08.08 KABONG-KOTIDO'!I13,'9.08 KABONG-KOTIDO-24h'!I13,'10.08 KABONG-KOTIDO-24h'!I13,'11.08 KABONG-KOTITDO'!I13)</f>
        <v>0.7142857142857143</v>
      </c>
      <c r="J13" s="49">
        <f>AVERAGE('05.08 KABONG-KOTIDO'!J13,'06.07 KABONG-KOTIDO'!J13,'07.08 KABONG-KOTIDO'!J13,'08.08 KABONG-KOTIDO'!J13,'9.08 KABONG-KOTIDO-24h'!J13,'10.08 KABONG-KOTIDO-24h'!J13,'11.08 KABONG-KOTITDO'!J13)</f>
        <v>0.2857142857142857</v>
      </c>
      <c r="K13" s="49">
        <f>AVERAGE('05.08 KABONG-KOTIDO'!K13,'06.07 KABONG-KOTIDO'!K13,'07.08 KABONG-KOTIDO'!K13,'08.08 KABONG-KOTIDO'!K13,'9.08 KABONG-KOTIDO-24h'!K13,'10.08 KABONG-KOTIDO-24h'!K13,'11.08 KABONG-KOTITDO'!K13)</f>
        <v>0</v>
      </c>
      <c r="L13" s="49">
        <f>AVERAGE('05.08 KABONG-KOTIDO'!L13,'06.07 KABONG-KOTIDO'!L13,'07.08 KABONG-KOTIDO'!L13,'08.08 KABONG-KOTIDO'!L13,'9.08 KABONG-KOTIDO-24h'!L13,'10.08 KABONG-KOTIDO-24h'!L13,'11.08 KABONG-KOTITDO'!L13)</f>
        <v>0</v>
      </c>
      <c r="M13" s="49">
        <f>AVERAGE('05.08 KABONG-KOTIDO'!M13,'06.07 KABONG-KOTIDO'!M13,'07.08 KABONG-KOTIDO'!M13,'08.08 KABONG-KOTIDO'!M13,'9.08 KABONG-KOTIDO-24h'!M13,'10.08 KABONG-KOTIDO-24h'!M13,'11.08 KABONG-KOTITDO'!M13)</f>
        <v>0</v>
      </c>
      <c r="N13" s="49">
        <f>AVERAGE('05.08 KABONG-KOTIDO'!N13,'06.07 KABONG-KOTIDO'!N13,'07.08 KABONG-KOTIDO'!N13,'08.08 KABONG-KOTIDO'!N13,'9.08 KABONG-KOTIDO-24h'!N13,'10.08 KABONG-KOTIDO-24h'!N13,'11.08 KABONG-KOTITDO'!N13)</f>
        <v>0.14285714285714285</v>
      </c>
      <c r="O13" s="15">
        <f t="shared" si="0"/>
        <v>2.8571428571428572</v>
      </c>
      <c r="P13" s="15">
        <f t="shared" si="1"/>
        <v>2.8571428571428572</v>
      </c>
      <c r="R13" s="1" t="s">
        <v>9</v>
      </c>
      <c r="S13" s="17">
        <f t="shared" ref="S13:AF13" si="5">SUM(C22:C25)</f>
        <v>0.14285714285714285</v>
      </c>
      <c r="T13" s="17">
        <f t="shared" si="5"/>
        <v>1.2857142857142856</v>
      </c>
      <c r="U13" s="17">
        <f t="shared" si="5"/>
        <v>0.2857142857142857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0.42857142857142855</v>
      </c>
      <c r="AA13" s="17">
        <f t="shared" si="5"/>
        <v>0</v>
      </c>
      <c r="AB13" s="17">
        <f t="shared" si="5"/>
        <v>0</v>
      </c>
      <c r="AC13" s="17">
        <f t="shared" si="5"/>
        <v>1.4285714285714284</v>
      </c>
      <c r="AD13" s="17">
        <f t="shared" si="5"/>
        <v>0</v>
      </c>
      <c r="AE13" s="31">
        <f t="shared" si="5"/>
        <v>3.1428571428571423</v>
      </c>
      <c r="AF13" s="31">
        <f t="shared" si="5"/>
        <v>4.5714285714285712</v>
      </c>
    </row>
    <row r="14" spans="2:32" ht="23.1" customHeight="1" x14ac:dyDescent="0.25">
      <c r="B14" s="23" t="s">
        <v>41</v>
      </c>
      <c r="C14" s="49">
        <f>AVERAGE('05.08 KABONG-KOTIDO'!C14,'06.07 KABONG-KOTIDO'!C14,'07.08 KABONG-KOTIDO'!C14,'08.08 KABONG-KOTIDO'!C14,'9.08 KABONG-KOTIDO-24h'!C14,'10.08 KABONG-KOTIDO-24h'!C14,'11.08 KABONG-KOTITDO'!C14)</f>
        <v>0</v>
      </c>
      <c r="D14" s="49">
        <f>AVERAGE('05.08 KABONG-KOTIDO'!D14,'06.07 KABONG-KOTIDO'!D14,'07.08 KABONG-KOTIDO'!D14,'08.08 KABONG-KOTIDO'!D14,'9.08 KABONG-KOTIDO-24h'!D14,'10.08 KABONG-KOTIDO-24h'!D14,'11.08 KABONG-KOTITDO'!D14)</f>
        <v>0.2857142857142857</v>
      </c>
      <c r="E14" s="49">
        <f>AVERAGE('05.08 KABONG-KOTIDO'!E14,'06.07 KABONG-KOTIDO'!E14,'07.08 KABONG-KOTIDO'!E14,'08.08 KABONG-KOTIDO'!E14,'9.08 KABONG-KOTIDO-24h'!E14,'10.08 KABONG-KOTIDO-24h'!E14,'11.08 KABONG-KOTITDO'!E14)</f>
        <v>0.7142857142857143</v>
      </c>
      <c r="F14" s="49">
        <f>AVERAGE('05.08 KABONG-KOTIDO'!F14,'06.07 KABONG-KOTIDO'!F14,'07.08 KABONG-KOTIDO'!F14,'08.08 KABONG-KOTIDO'!F14,'9.08 KABONG-KOTIDO-24h'!F14,'10.08 KABONG-KOTIDO-24h'!F14,'11.08 KABONG-KOTITDO'!F14)</f>
        <v>0</v>
      </c>
      <c r="G14" s="49">
        <f>AVERAGE('05.08 KABONG-KOTIDO'!G14,'06.07 KABONG-KOTIDO'!G14,'07.08 KABONG-KOTIDO'!G14,'08.08 KABONG-KOTIDO'!G14,'9.08 KABONG-KOTIDO-24h'!G14,'10.08 KABONG-KOTIDO-24h'!G14,'11.08 KABONG-KOTITDO'!G14)</f>
        <v>0</v>
      </c>
      <c r="H14" s="49">
        <f>AVERAGE('05.08 KABONG-KOTIDO'!H14,'06.07 KABONG-KOTIDO'!H14,'07.08 KABONG-KOTIDO'!H14,'08.08 KABONG-KOTIDO'!H14,'9.08 KABONG-KOTIDO-24h'!H14,'10.08 KABONG-KOTIDO-24h'!H14,'11.08 KABONG-KOTITDO'!H14)</f>
        <v>0.14285714285714285</v>
      </c>
      <c r="I14" s="49">
        <f>AVERAGE('05.08 KABONG-KOTIDO'!I14,'06.07 KABONG-KOTIDO'!I14,'07.08 KABONG-KOTIDO'!I14,'08.08 KABONG-KOTIDO'!I14,'9.08 KABONG-KOTIDO-24h'!I14,'10.08 KABONG-KOTIDO-24h'!I14,'11.08 KABONG-KOTITDO'!I14)</f>
        <v>0.2857142857142857</v>
      </c>
      <c r="J14" s="49">
        <f>AVERAGE('05.08 KABONG-KOTIDO'!J14,'06.07 KABONG-KOTIDO'!J14,'07.08 KABONG-KOTIDO'!J14,'08.08 KABONG-KOTIDO'!J14,'9.08 KABONG-KOTIDO-24h'!J14,'10.08 KABONG-KOTIDO-24h'!J14,'11.08 KABONG-KOTITDO'!J14)</f>
        <v>0.14285714285714285</v>
      </c>
      <c r="K14" s="49">
        <f>AVERAGE('05.08 KABONG-KOTIDO'!K14,'06.07 KABONG-KOTIDO'!K14,'07.08 KABONG-KOTIDO'!K14,'08.08 KABONG-KOTIDO'!K14,'9.08 KABONG-KOTIDO-24h'!K14,'10.08 KABONG-KOTIDO-24h'!K14,'11.08 KABONG-KOTITDO'!K14)</f>
        <v>0.14285714285714285</v>
      </c>
      <c r="L14" s="49">
        <f>AVERAGE('05.08 KABONG-KOTIDO'!L14,'06.07 KABONG-KOTIDO'!L14,'07.08 KABONG-KOTIDO'!L14,'08.08 KABONG-KOTIDO'!L14,'9.08 KABONG-KOTIDO-24h'!L14,'10.08 KABONG-KOTIDO-24h'!L14,'11.08 KABONG-KOTITDO'!L14)</f>
        <v>0</v>
      </c>
      <c r="M14" s="49">
        <f>AVERAGE('05.08 KABONG-KOTIDO'!M14,'06.07 KABONG-KOTIDO'!M14,'07.08 KABONG-KOTIDO'!M14,'08.08 KABONG-KOTIDO'!M14,'9.08 KABONG-KOTIDO-24h'!M14,'10.08 KABONG-KOTIDO-24h'!M14,'11.08 KABONG-KOTITDO'!M14)</f>
        <v>0.8571428571428571</v>
      </c>
      <c r="N14" s="49">
        <f>AVERAGE('05.08 KABONG-KOTIDO'!N14,'06.07 KABONG-KOTIDO'!N14,'07.08 KABONG-KOTIDO'!N14,'08.08 KABONG-KOTIDO'!N14,'9.08 KABONG-KOTIDO-24h'!N14,'10.08 KABONG-KOTIDO-24h'!N14,'11.08 KABONG-KOTITDO'!N14)</f>
        <v>0</v>
      </c>
      <c r="O14" s="15">
        <f t="shared" si="0"/>
        <v>1.714285714285714</v>
      </c>
      <c r="P14" s="15">
        <f t="shared" si="1"/>
        <v>2.5714285714285712</v>
      </c>
      <c r="R14" s="1" t="s">
        <v>10</v>
      </c>
      <c r="S14" s="17">
        <f t="shared" ref="S14:AF14" si="6">SUM(C26:C29)</f>
        <v>0.14285714285714285</v>
      </c>
      <c r="T14" s="17">
        <f t="shared" si="6"/>
        <v>0.42857142857142855</v>
      </c>
      <c r="U14" s="17">
        <f t="shared" si="6"/>
        <v>0.2857142857142857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0.2857142857142857</v>
      </c>
      <c r="Z14" s="17">
        <f t="shared" si="6"/>
        <v>0.2857142857142857</v>
      </c>
      <c r="AA14" s="17">
        <f t="shared" si="6"/>
        <v>0</v>
      </c>
      <c r="AB14" s="17">
        <f t="shared" si="6"/>
        <v>0</v>
      </c>
      <c r="AC14" s="17">
        <f t="shared" si="6"/>
        <v>1.2857142857142856</v>
      </c>
      <c r="AD14" s="17">
        <f t="shared" si="6"/>
        <v>0</v>
      </c>
      <c r="AE14" s="31">
        <f t="shared" si="6"/>
        <v>1.4285714285714284</v>
      </c>
      <c r="AF14" s="31">
        <f t="shared" si="6"/>
        <v>2.714285714285714</v>
      </c>
    </row>
    <row r="15" spans="2:32" ht="23.1" customHeight="1" x14ac:dyDescent="0.25">
      <c r="B15" s="23" t="s">
        <v>42</v>
      </c>
      <c r="C15" s="49">
        <f>AVERAGE('05.08 KABONG-KOTIDO'!C15,'06.07 KABONG-KOTIDO'!C15,'07.08 KABONG-KOTIDO'!C15,'08.08 KABONG-KOTIDO'!C15,'9.08 KABONG-KOTIDO-24h'!C15,'10.08 KABONG-KOTIDO-24h'!C15,'11.08 KABONG-KOTITDO'!C15)</f>
        <v>0</v>
      </c>
      <c r="D15" s="49">
        <f>AVERAGE('05.08 KABONG-KOTIDO'!D15,'06.07 KABONG-KOTIDO'!D15,'07.08 KABONG-KOTIDO'!D15,'08.08 KABONG-KOTIDO'!D15,'9.08 KABONG-KOTIDO-24h'!D15,'10.08 KABONG-KOTIDO-24h'!D15,'11.08 KABONG-KOTITDO'!D15)</f>
        <v>0</v>
      </c>
      <c r="E15" s="49">
        <f>AVERAGE('05.08 KABONG-KOTIDO'!E15,'06.07 KABONG-KOTIDO'!E15,'07.08 KABONG-KOTIDO'!E15,'08.08 KABONG-KOTIDO'!E15,'9.08 KABONG-KOTIDO-24h'!E15,'10.08 KABONG-KOTIDO-24h'!E15,'11.08 KABONG-KOTITDO'!E15)</f>
        <v>0.2857142857142857</v>
      </c>
      <c r="F15" s="49">
        <f>AVERAGE('05.08 KABONG-KOTIDO'!F15,'06.07 KABONG-KOTIDO'!F15,'07.08 KABONG-KOTIDO'!F15,'08.08 KABONG-KOTIDO'!F15,'9.08 KABONG-KOTIDO-24h'!F15,'10.08 KABONG-KOTIDO-24h'!F15,'11.08 KABONG-KOTITDO'!F15)</f>
        <v>0</v>
      </c>
      <c r="G15" s="49">
        <f>AVERAGE('05.08 KABONG-KOTIDO'!G15,'06.07 KABONG-KOTIDO'!G15,'07.08 KABONG-KOTIDO'!G15,'08.08 KABONG-KOTIDO'!G15,'9.08 KABONG-KOTIDO-24h'!G15,'10.08 KABONG-KOTIDO-24h'!G15,'11.08 KABONG-KOTITDO'!G15)</f>
        <v>0</v>
      </c>
      <c r="H15" s="49">
        <f>AVERAGE('05.08 KABONG-KOTIDO'!H15,'06.07 KABONG-KOTIDO'!H15,'07.08 KABONG-KOTIDO'!H15,'08.08 KABONG-KOTIDO'!H15,'9.08 KABONG-KOTIDO-24h'!H15,'10.08 KABONG-KOTIDO-24h'!H15,'11.08 KABONG-KOTITDO'!H15)</f>
        <v>0</v>
      </c>
      <c r="I15" s="49">
        <f>AVERAGE('05.08 KABONG-KOTIDO'!I15,'06.07 KABONG-KOTIDO'!I15,'07.08 KABONG-KOTIDO'!I15,'08.08 KABONG-KOTIDO'!I15,'9.08 KABONG-KOTIDO-24h'!I15,'10.08 KABONG-KOTIDO-24h'!I15,'11.08 KABONG-KOTITDO'!I15)</f>
        <v>0.7142857142857143</v>
      </c>
      <c r="J15" s="49">
        <f>AVERAGE('05.08 KABONG-KOTIDO'!J15,'06.07 KABONG-KOTIDO'!J15,'07.08 KABONG-KOTIDO'!J15,'08.08 KABONG-KOTIDO'!J15,'9.08 KABONG-KOTIDO-24h'!J15,'10.08 KABONG-KOTIDO-24h'!J15,'11.08 KABONG-KOTITDO'!J15)</f>
        <v>0.7142857142857143</v>
      </c>
      <c r="K15" s="49">
        <f>AVERAGE('05.08 KABONG-KOTIDO'!K15,'06.07 KABONG-KOTIDO'!K15,'07.08 KABONG-KOTIDO'!K15,'08.08 KABONG-KOTIDO'!K15,'9.08 KABONG-KOTIDO-24h'!K15,'10.08 KABONG-KOTIDO-24h'!K15,'11.08 KABONG-KOTITDO'!K15)</f>
        <v>0</v>
      </c>
      <c r="L15" s="49">
        <f>AVERAGE('05.08 KABONG-KOTIDO'!L15,'06.07 KABONG-KOTIDO'!L15,'07.08 KABONG-KOTIDO'!L15,'08.08 KABONG-KOTIDO'!L15,'9.08 KABONG-KOTIDO-24h'!L15,'10.08 KABONG-KOTIDO-24h'!L15,'11.08 KABONG-KOTITDO'!L15)</f>
        <v>0</v>
      </c>
      <c r="M15" s="49">
        <f>AVERAGE('05.08 KABONG-KOTIDO'!M15,'06.07 KABONG-KOTIDO'!M15,'07.08 KABONG-KOTIDO'!M15,'08.08 KABONG-KOTIDO'!M15,'9.08 KABONG-KOTIDO-24h'!M15,'10.08 KABONG-KOTIDO-24h'!M15,'11.08 KABONG-KOTITDO'!M15)</f>
        <v>0.7142857142857143</v>
      </c>
      <c r="N15" s="49">
        <f>AVERAGE('05.08 KABONG-KOTIDO'!N15,'06.07 KABONG-KOTIDO'!N15,'07.08 KABONG-KOTIDO'!N15,'08.08 KABONG-KOTIDO'!N15,'9.08 KABONG-KOTIDO-24h'!N15,'10.08 KABONG-KOTIDO-24h'!N15,'11.08 KABONG-KOTITDO'!N15)</f>
        <v>0</v>
      </c>
      <c r="O15" s="15">
        <f t="shared" si="0"/>
        <v>1.7142857142857144</v>
      </c>
      <c r="P15" s="15">
        <f t="shared" si="1"/>
        <v>2.4285714285714288</v>
      </c>
      <c r="R15" s="1" t="s">
        <v>11</v>
      </c>
      <c r="S15" s="17">
        <f t="shared" ref="S15:AF15" si="7">SUM(C30:C33)</f>
        <v>0</v>
      </c>
      <c r="T15" s="17">
        <f t="shared" si="7"/>
        <v>0</v>
      </c>
      <c r="U15" s="17">
        <f t="shared" si="7"/>
        <v>0.2857142857142857</v>
      </c>
      <c r="V15" s="17">
        <f t="shared" si="7"/>
        <v>0.14285714285714285</v>
      </c>
      <c r="W15" s="17">
        <f t="shared" si="7"/>
        <v>0</v>
      </c>
      <c r="X15" s="17">
        <f t="shared" si="7"/>
        <v>0</v>
      </c>
      <c r="Y15" s="17">
        <f t="shared" si="7"/>
        <v>0.14285714285714285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2.5714285714285716</v>
      </c>
      <c r="AD15" s="17">
        <f t="shared" si="7"/>
        <v>0</v>
      </c>
      <c r="AE15" s="31">
        <f t="shared" si="7"/>
        <v>0.5714285714285714</v>
      </c>
      <c r="AF15" s="31">
        <f t="shared" si="7"/>
        <v>3.1428571428571428</v>
      </c>
    </row>
    <row r="16" spans="2:32" ht="23.1" customHeight="1" x14ac:dyDescent="0.25">
      <c r="B16" s="23" t="s">
        <v>43</v>
      </c>
      <c r="C16" s="49">
        <f>AVERAGE('05.08 KABONG-KOTIDO'!C16,'06.07 KABONG-KOTIDO'!C16,'07.08 KABONG-KOTIDO'!C16,'08.08 KABONG-KOTIDO'!C16,'9.08 KABONG-KOTIDO-24h'!C16,'10.08 KABONG-KOTIDO-24h'!C16,'11.08 KABONG-KOTITDO'!C16)</f>
        <v>0</v>
      </c>
      <c r="D16" s="49">
        <f>AVERAGE('05.08 KABONG-KOTIDO'!D16,'06.07 KABONG-KOTIDO'!D16,'07.08 KABONG-KOTIDO'!D16,'08.08 KABONG-KOTIDO'!D16,'9.08 KABONG-KOTIDO-24h'!D16,'10.08 KABONG-KOTIDO-24h'!D16,'11.08 KABONG-KOTITDO'!D16)</f>
        <v>0</v>
      </c>
      <c r="E16" s="49">
        <f>AVERAGE('05.08 KABONG-KOTIDO'!E16,'06.07 KABONG-KOTIDO'!E16,'07.08 KABONG-KOTIDO'!E16,'08.08 KABONG-KOTIDO'!E16,'9.08 KABONG-KOTIDO-24h'!E16,'10.08 KABONG-KOTIDO-24h'!E16,'11.08 KABONG-KOTITDO'!E16)</f>
        <v>0.14285714285714285</v>
      </c>
      <c r="F16" s="49">
        <f>AVERAGE('05.08 KABONG-KOTIDO'!F16,'06.07 KABONG-KOTIDO'!F16,'07.08 KABONG-KOTIDO'!F16,'08.08 KABONG-KOTIDO'!F16,'9.08 KABONG-KOTIDO-24h'!F16,'10.08 KABONG-KOTIDO-24h'!F16,'11.08 KABONG-KOTITDO'!F16)</f>
        <v>0</v>
      </c>
      <c r="G16" s="49">
        <f>AVERAGE('05.08 KABONG-KOTIDO'!G16,'06.07 KABONG-KOTIDO'!G16,'07.08 KABONG-KOTIDO'!G16,'08.08 KABONG-KOTIDO'!G16,'9.08 KABONG-KOTIDO-24h'!G16,'10.08 KABONG-KOTIDO-24h'!G16,'11.08 KABONG-KOTITDO'!G16)</f>
        <v>0</v>
      </c>
      <c r="H16" s="49">
        <f>AVERAGE('05.08 KABONG-KOTIDO'!H16,'06.07 KABONG-KOTIDO'!H16,'07.08 KABONG-KOTIDO'!H16,'08.08 KABONG-KOTIDO'!H16,'9.08 KABONG-KOTIDO-24h'!H16,'10.08 KABONG-KOTIDO-24h'!H16,'11.08 KABONG-KOTITDO'!H16)</f>
        <v>0</v>
      </c>
      <c r="I16" s="49">
        <f>AVERAGE('05.08 KABONG-KOTIDO'!I16,'06.07 KABONG-KOTIDO'!I16,'07.08 KABONG-KOTIDO'!I16,'08.08 KABONG-KOTIDO'!I16,'9.08 KABONG-KOTIDO-24h'!I16,'10.08 KABONG-KOTIDO-24h'!I16,'11.08 KABONG-KOTITDO'!I16)</f>
        <v>0.2857142857142857</v>
      </c>
      <c r="J16" s="49">
        <f>AVERAGE('05.08 KABONG-KOTIDO'!J16,'06.07 KABONG-KOTIDO'!J16,'07.08 KABONG-KOTIDO'!J16,'08.08 KABONG-KOTIDO'!J16,'9.08 KABONG-KOTIDO-24h'!J16,'10.08 KABONG-KOTIDO-24h'!J16,'11.08 KABONG-KOTITDO'!J16)</f>
        <v>0</v>
      </c>
      <c r="K16" s="49">
        <f>AVERAGE('05.08 KABONG-KOTIDO'!K16,'06.07 KABONG-KOTIDO'!K16,'07.08 KABONG-KOTIDO'!K16,'08.08 KABONG-KOTIDO'!K16,'9.08 KABONG-KOTIDO-24h'!K16,'10.08 KABONG-KOTIDO-24h'!K16,'11.08 KABONG-KOTITDO'!K16)</f>
        <v>0</v>
      </c>
      <c r="L16" s="49">
        <f>AVERAGE('05.08 KABONG-KOTIDO'!L16,'06.07 KABONG-KOTIDO'!L16,'07.08 KABONG-KOTIDO'!L16,'08.08 KABONG-KOTIDO'!L16,'9.08 KABONG-KOTIDO-24h'!L16,'10.08 KABONG-KOTIDO-24h'!L16,'11.08 KABONG-KOTITDO'!L16)</f>
        <v>0</v>
      </c>
      <c r="M16" s="49">
        <f>AVERAGE('05.08 KABONG-KOTIDO'!M16,'06.07 KABONG-KOTIDO'!M16,'07.08 KABONG-KOTIDO'!M16,'08.08 KABONG-KOTIDO'!M16,'9.08 KABONG-KOTIDO-24h'!M16,'10.08 KABONG-KOTIDO-24h'!M16,'11.08 KABONG-KOTITDO'!M16)</f>
        <v>0.14285714285714285</v>
      </c>
      <c r="N16" s="49">
        <f>AVERAGE('05.08 KABONG-KOTIDO'!N16,'06.07 KABONG-KOTIDO'!N16,'07.08 KABONG-KOTIDO'!N16,'08.08 KABONG-KOTIDO'!N16,'9.08 KABONG-KOTIDO-24h'!N16,'10.08 KABONG-KOTIDO-24h'!N16,'11.08 KABONG-KOTITDO'!N16)</f>
        <v>0</v>
      </c>
      <c r="O16" s="15">
        <f t="shared" si="0"/>
        <v>0.42857142857142855</v>
      </c>
      <c r="P16" s="15">
        <f t="shared" si="1"/>
        <v>0.5714285714285714</v>
      </c>
      <c r="R16" s="1" t="s">
        <v>12</v>
      </c>
      <c r="S16" s="17">
        <f t="shared" ref="S16:AF16" si="8">SUM(C34:C37)</f>
        <v>0.14285714285714285</v>
      </c>
      <c r="T16" s="17">
        <f t="shared" si="8"/>
        <v>2</v>
      </c>
      <c r="U16" s="17">
        <f t="shared" si="8"/>
        <v>0.14285714285714285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0.7142857142857143</v>
      </c>
      <c r="Z16" s="17">
        <f t="shared" si="8"/>
        <v>0.5714285714285714</v>
      </c>
      <c r="AA16" s="17">
        <f t="shared" si="8"/>
        <v>0</v>
      </c>
      <c r="AB16" s="17">
        <f t="shared" si="8"/>
        <v>0</v>
      </c>
      <c r="AC16" s="17">
        <f t="shared" si="8"/>
        <v>2.4285714285714288</v>
      </c>
      <c r="AD16" s="17">
        <f t="shared" si="8"/>
        <v>0</v>
      </c>
      <c r="AE16" s="31">
        <f t="shared" si="8"/>
        <v>3.5714285714285712</v>
      </c>
      <c r="AF16" s="31">
        <f t="shared" si="8"/>
        <v>5.9999999999999991</v>
      </c>
    </row>
    <row r="17" spans="2:32" ht="23.1" customHeight="1" x14ac:dyDescent="0.25">
      <c r="B17" s="23" t="s">
        <v>44</v>
      </c>
      <c r="C17" s="49">
        <f>AVERAGE('05.08 KABONG-KOTIDO'!C17,'06.07 KABONG-KOTIDO'!C17,'07.08 KABONG-KOTIDO'!C17,'08.08 KABONG-KOTIDO'!C17,'9.08 KABONG-KOTIDO-24h'!C17,'10.08 KABONG-KOTIDO-24h'!C17,'11.08 KABONG-KOTITDO'!C17)</f>
        <v>0</v>
      </c>
      <c r="D17" s="49">
        <f>AVERAGE('05.08 KABONG-KOTIDO'!D17,'06.07 KABONG-KOTIDO'!D17,'07.08 KABONG-KOTIDO'!D17,'08.08 KABONG-KOTIDO'!D17,'9.08 KABONG-KOTIDO-24h'!D17,'10.08 KABONG-KOTIDO-24h'!D17,'11.08 KABONG-KOTITDO'!D17)</f>
        <v>0.14285714285714285</v>
      </c>
      <c r="E17" s="49">
        <f>AVERAGE('05.08 KABONG-KOTIDO'!E17,'06.07 KABONG-KOTIDO'!E17,'07.08 KABONG-KOTIDO'!E17,'08.08 KABONG-KOTIDO'!E17,'9.08 KABONG-KOTIDO-24h'!E17,'10.08 KABONG-KOTIDO-24h'!E17,'11.08 KABONG-KOTITDO'!E17)</f>
        <v>0.14285714285714285</v>
      </c>
      <c r="F17" s="49">
        <f>AVERAGE('05.08 KABONG-KOTIDO'!F17,'06.07 KABONG-KOTIDO'!F17,'07.08 KABONG-KOTIDO'!F17,'08.08 KABONG-KOTIDO'!F17,'9.08 KABONG-KOTIDO-24h'!F17,'10.08 KABONG-KOTIDO-24h'!F17,'11.08 KABONG-KOTITDO'!F17)</f>
        <v>0</v>
      </c>
      <c r="G17" s="49">
        <f>AVERAGE('05.08 KABONG-KOTIDO'!G17,'06.07 KABONG-KOTIDO'!G17,'07.08 KABONG-KOTIDO'!G17,'08.08 KABONG-KOTIDO'!G17,'9.08 KABONG-KOTIDO-24h'!G17,'10.08 KABONG-KOTIDO-24h'!G17,'11.08 KABONG-KOTITDO'!G17)</f>
        <v>0</v>
      </c>
      <c r="H17" s="49">
        <f>AVERAGE('05.08 KABONG-KOTIDO'!H17,'06.07 KABONG-KOTIDO'!H17,'07.08 KABONG-KOTIDO'!H17,'08.08 KABONG-KOTIDO'!H17,'9.08 KABONG-KOTIDO-24h'!H17,'10.08 KABONG-KOTIDO-24h'!H17,'11.08 KABONG-KOTITDO'!H17)</f>
        <v>0</v>
      </c>
      <c r="I17" s="49">
        <f>AVERAGE('05.08 KABONG-KOTIDO'!I17,'06.07 KABONG-KOTIDO'!I17,'07.08 KABONG-KOTIDO'!I17,'08.08 KABONG-KOTIDO'!I17,'9.08 KABONG-KOTIDO-24h'!I17,'10.08 KABONG-KOTIDO-24h'!I17,'11.08 KABONG-KOTITDO'!I17)</f>
        <v>0.14285714285714285</v>
      </c>
      <c r="J17" s="49">
        <f>AVERAGE('05.08 KABONG-KOTIDO'!J17,'06.07 KABONG-KOTIDO'!J17,'07.08 KABONG-KOTIDO'!J17,'08.08 KABONG-KOTIDO'!J17,'9.08 KABONG-KOTIDO-24h'!J17,'10.08 KABONG-KOTIDO-24h'!J17,'11.08 KABONG-KOTITDO'!J17)</f>
        <v>0</v>
      </c>
      <c r="K17" s="49">
        <f>AVERAGE('05.08 KABONG-KOTIDO'!K17,'06.07 KABONG-KOTIDO'!K17,'07.08 KABONG-KOTIDO'!K17,'08.08 KABONG-KOTIDO'!K17,'9.08 KABONG-KOTIDO-24h'!K17,'10.08 KABONG-KOTIDO-24h'!K17,'11.08 KABONG-KOTITDO'!K17)</f>
        <v>0</v>
      </c>
      <c r="L17" s="49">
        <f>AVERAGE('05.08 KABONG-KOTIDO'!L17,'06.07 KABONG-KOTIDO'!L17,'07.08 KABONG-KOTIDO'!L17,'08.08 KABONG-KOTIDO'!L17,'9.08 KABONG-KOTIDO-24h'!L17,'10.08 KABONG-KOTIDO-24h'!L17,'11.08 KABONG-KOTITDO'!L17)</f>
        <v>0</v>
      </c>
      <c r="M17" s="49">
        <f>AVERAGE('05.08 KABONG-KOTIDO'!M17,'06.07 KABONG-KOTIDO'!M17,'07.08 KABONG-KOTIDO'!M17,'08.08 KABONG-KOTIDO'!M17,'9.08 KABONG-KOTIDO-24h'!M17,'10.08 KABONG-KOTIDO-24h'!M17,'11.08 KABONG-KOTITDO'!M17)</f>
        <v>1.1428571428571428</v>
      </c>
      <c r="N17" s="49">
        <f>AVERAGE('05.08 KABONG-KOTIDO'!N17,'06.07 KABONG-KOTIDO'!N17,'07.08 KABONG-KOTIDO'!N17,'08.08 KABONG-KOTIDO'!N17,'9.08 KABONG-KOTIDO-24h'!N17,'10.08 KABONG-KOTIDO-24h'!N17,'11.08 KABONG-KOTITDO'!N17)</f>
        <v>0</v>
      </c>
      <c r="O17" s="15">
        <f t="shared" si="0"/>
        <v>0.42857142857142855</v>
      </c>
      <c r="P17" s="15">
        <f t="shared" si="1"/>
        <v>1.5714285714285714</v>
      </c>
      <c r="R17" s="1" t="s">
        <v>13</v>
      </c>
      <c r="S17" s="17">
        <f t="shared" ref="S17:AF17" si="9">SUM(C38:C41)</f>
        <v>0</v>
      </c>
      <c r="T17" s="17">
        <f t="shared" si="9"/>
        <v>0.71428571428571419</v>
      </c>
      <c r="U17" s="17">
        <f t="shared" si="9"/>
        <v>1</v>
      </c>
      <c r="V17" s="17">
        <f t="shared" si="9"/>
        <v>0.14285714285714285</v>
      </c>
      <c r="W17" s="17">
        <f t="shared" si="9"/>
        <v>0</v>
      </c>
      <c r="X17" s="17">
        <f t="shared" si="9"/>
        <v>0</v>
      </c>
      <c r="Y17" s="17">
        <f t="shared" si="9"/>
        <v>1.2857142857142856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0.42857142857142855</v>
      </c>
      <c r="AD17" s="17">
        <f t="shared" si="9"/>
        <v>0</v>
      </c>
      <c r="AE17" s="31">
        <f t="shared" si="9"/>
        <v>3.1428571428571423</v>
      </c>
      <c r="AF17" s="31">
        <f t="shared" si="9"/>
        <v>3.5714285714285712</v>
      </c>
    </row>
    <row r="18" spans="2:32" ht="23.1" customHeight="1" x14ac:dyDescent="0.25">
      <c r="B18" s="23" t="s">
        <v>45</v>
      </c>
      <c r="C18" s="49">
        <f>AVERAGE('05.08 KABONG-KOTIDO'!C18,'06.07 KABONG-KOTIDO'!C18,'07.08 KABONG-KOTIDO'!C18,'08.08 KABONG-KOTIDO'!C18,'9.08 KABONG-KOTIDO-24h'!C18,'10.08 KABONG-KOTIDO-24h'!C18,'11.08 KABONG-KOTITDO'!C18)</f>
        <v>0</v>
      </c>
      <c r="D18" s="49">
        <f>AVERAGE('05.08 KABONG-KOTIDO'!D18,'06.07 KABONG-KOTIDO'!D18,'07.08 KABONG-KOTIDO'!D18,'08.08 KABONG-KOTIDO'!D18,'9.08 KABONG-KOTIDO-24h'!D18,'10.08 KABONG-KOTIDO-24h'!D18,'11.08 KABONG-KOTITDO'!D18)</f>
        <v>0</v>
      </c>
      <c r="E18" s="49">
        <f>AVERAGE('05.08 KABONG-KOTIDO'!E18,'06.07 KABONG-KOTIDO'!E18,'07.08 KABONG-KOTIDO'!E18,'08.08 KABONG-KOTIDO'!E18,'9.08 KABONG-KOTIDO-24h'!E18,'10.08 KABONG-KOTIDO-24h'!E18,'11.08 KABONG-KOTITDO'!E18)</f>
        <v>0</v>
      </c>
      <c r="F18" s="49">
        <f>AVERAGE('05.08 KABONG-KOTIDO'!F18,'06.07 KABONG-KOTIDO'!F18,'07.08 KABONG-KOTIDO'!F18,'08.08 KABONG-KOTIDO'!F18,'9.08 KABONG-KOTIDO-24h'!F18,'10.08 KABONG-KOTIDO-24h'!F18,'11.08 KABONG-KOTITDO'!F18)</f>
        <v>0</v>
      </c>
      <c r="G18" s="49">
        <f>AVERAGE('05.08 KABONG-KOTIDO'!G18,'06.07 KABONG-KOTIDO'!G18,'07.08 KABONG-KOTIDO'!G18,'08.08 KABONG-KOTIDO'!G18,'9.08 KABONG-KOTIDO-24h'!G18,'10.08 KABONG-KOTIDO-24h'!G18,'11.08 KABONG-KOTITDO'!G18)</f>
        <v>0</v>
      </c>
      <c r="H18" s="49">
        <f>AVERAGE('05.08 KABONG-KOTIDO'!H18,'06.07 KABONG-KOTIDO'!H18,'07.08 KABONG-KOTIDO'!H18,'08.08 KABONG-KOTIDO'!H18,'9.08 KABONG-KOTIDO-24h'!H18,'10.08 KABONG-KOTIDO-24h'!H18,'11.08 KABONG-KOTITDO'!H18)</f>
        <v>0</v>
      </c>
      <c r="I18" s="49">
        <f>AVERAGE('05.08 KABONG-KOTIDO'!I18,'06.07 KABONG-KOTIDO'!I18,'07.08 KABONG-KOTIDO'!I18,'08.08 KABONG-KOTIDO'!I18,'9.08 KABONG-KOTIDO-24h'!I18,'10.08 KABONG-KOTIDO-24h'!I18,'11.08 KABONG-KOTITDO'!I18)</f>
        <v>0.14285714285714285</v>
      </c>
      <c r="J18" s="49">
        <f>AVERAGE('05.08 KABONG-KOTIDO'!J18,'06.07 KABONG-KOTIDO'!J18,'07.08 KABONG-KOTIDO'!J18,'08.08 KABONG-KOTIDO'!J18,'9.08 KABONG-KOTIDO-24h'!J18,'10.08 KABONG-KOTIDO-24h'!J18,'11.08 KABONG-KOTITDO'!J18)</f>
        <v>0.2857142857142857</v>
      </c>
      <c r="K18" s="49">
        <f>AVERAGE('05.08 KABONG-KOTIDO'!K18,'06.07 KABONG-KOTIDO'!K18,'07.08 KABONG-KOTIDO'!K18,'08.08 KABONG-KOTIDO'!K18,'9.08 KABONG-KOTIDO-24h'!K18,'10.08 KABONG-KOTIDO-24h'!K18,'11.08 KABONG-KOTITDO'!K18)</f>
        <v>0</v>
      </c>
      <c r="L18" s="49">
        <f>AVERAGE('05.08 KABONG-KOTIDO'!L18,'06.07 KABONG-KOTIDO'!L18,'07.08 KABONG-KOTIDO'!L18,'08.08 KABONG-KOTIDO'!L18,'9.08 KABONG-KOTIDO-24h'!L18,'10.08 KABONG-KOTIDO-24h'!L18,'11.08 KABONG-KOTITDO'!L18)</f>
        <v>0</v>
      </c>
      <c r="M18" s="49">
        <f>AVERAGE('05.08 KABONG-KOTIDO'!M18,'06.07 KABONG-KOTIDO'!M18,'07.08 KABONG-KOTIDO'!M18,'08.08 KABONG-KOTIDO'!M18,'9.08 KABONG-KOTIDO-24h'!M18,'10.08 KABONG-KOTIDO-24h'!M18,'11.08 KABONG-KOTITDO'!M18)</f>
        <v>1</v>
      </c>
      <c r="N18" s="49">
        <f>AVERAGE('05.08 KABONG-KOTIDO'!N18,'06.07 KABONG-KOTIDO'!N18,'07.08 KABONG-KOTIDO'!N18,'08.08 KABONG-KOTIDO'!N18,'9.08 KABONG-KOTIDO-24h'!N18,'10.08 KABONG-KOTIDO-24h'!N18,'11.08 KABONG-KOTITDO'!N18)</f>
        <v>0</v>
      </c>
      <c r="O18" s="15">
        <f t="shared" si="0"/>
        <v>0.42857142857142855</v>
      </c>
      <c r="P18" s="15">
        <f t="shared" si="1"/>
        <v>1.4285714285714286</v>
      </c>
      <c r="R18" s="1" t="s">
        <v>14</v>
      </c>
      <c r="S18" s="17">
        <f t="shared" ref="S18:AF18" si="10">SUM(C42:C45)</f>
        <v>0</v>
      </c>
      <c r="T18" s="17">
        <f t="shared" si="10"/>
        <v>0.5714285714285714</v>
      </c>
      <c r="U18" s="17">
        <f t="shared" si="10"/>
        <v>0.85714285714285698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1.2857142857142856</v>
      </c>
      <c r="Z18" s="17">
        <f t="shared" si="10"/>
        <v>0.2857142857142857</v>
      </c>
      <c r="AA18" s="17">
        <f t="shared" si="10"/>
        <v>0</v>
      </c>
      <c r="AB18" s="17">
        <f t="shared" si="10"/>
        <v>0</v>
      </c>
      <c r="AC18" s="17">
        <f t="shared" si="10"/>
        <v>2</v>
      </c>
      <c r="AD18" s="17">
        <f t="shared" si="10"/>
        <v>0</v>
      </c>
      <c r="AE18" s="31">
        <f t="shared" si="10"/>
        <v>3</v>
      </c>
      <c r="AF18" s="31">
        <f t="shared" si="10"/>
        <v>5</v>
      </c>
    </row>
    <row r="19" spans="2:32" ht="23.1" customHeight="1" x14ac:dyDescent="0.25">
      <c r="B19" s="23" t="s">
        <v>46</v>
      </c>
      <c r="C19" s="49">
        <f>AVERAGE('05.08 KABONG-KOTIDO'!C19,'06.07 KABONG-KOTIDO'!C19,'07.08 KABONG-KOTIDO'!C19,'08.08 KABONG-KOTIDO'!C19,'9.08 KABONG-KOTIDO-24h'!C19,'10.08 KABONG-KOTIDO-24h'!C19,'11.08 KABONG-KOTITDO'!C19)</f>
        <v>0.2857142857142857</v>
      </c>
      <c r="D19" s="49">
        <f>AVERAGE('05.08 KABONG-KOTIDO'!D19,'06.07 KABONG-KOTIDO'!D19,'07.08 KABONG-KOTIDO'!D19,'08.08 KABONG-KOTIDO'!D19,'9.08 KABONG-KOTIDO-24h'!D19,'10.08 KABONG-KOTIDO-24h'!D19,'11.08 KABONG-KOTITDO'!D19)</f>
        <v>0.2857142857142857</v>
      </c>
      <c r="E19" s="49">
        <f>AVERAGE('05.08 KABONG-KOTIDO'!E19,'06.07 KABONG-KOTIDO'!E19,'07.08 KABONG-KOTIDO'!E19,'08.08 KABONG-KOTIDO'!E19,'9.08 KABONG-KOTIDO-24h'!E19,'10.08 KABONG-KOTIDO-24h'!E19,'11.08 KABONG-KOTITDO'!E19)</f>
        <v>0.14285714285714285</v>
      </c>
      <c r="F19" s="49">
        <f>AVERAGE('05.08 KABONG-KOTIDO'!F19,'06.07 KABONG-KOTIDO'!F19,'07.08 KABONG-KOTIDO'!F19,'08.08 KABONG-KOTIDO'!F19,'9.08 KABONG-KOTIDO-24h'!F19,'10.08 KABONG-KOTIDO-24h'!F19,'11.08 KABONG-KOTITDO'!F19)</f>
        <v>0</v>
      </c>
      <c r="G19" s="49">
        <f>AVERAGE('05.08 KABONG-KOTIDO'!G19,'06.07 KABONG-KOTIDO'!G19,'07.08 KABONG-KOTIDO'!G19,'08.08 KABONG-KOTIDO'!G19,'9.08 KABONG-KOTIDO-24h'!G19,'10.08 KABONG-KOTIDO-24h'!G19,'11.08 KABONG-KOTITDO'!G19)</f>
        <v>0</v>
      </c>
      <c r="H19" s="49">
        <f>AVERAGE('05.08 KABONG-KOTIDO'!H19,'06.07 KABONG-KOTIDO'!H19,'07.08 KABONG-KOTIDO'!H19,'08.08 KABONG-KOTIDO'!H19,'9.08 KABONG-KOTIDO-24h'!H19,'10.08 KABONG-KOTIDO-24h'!H19,'11.08 KABONG-KOTITDO'!H19)</f>
        <v>0</v>
      </c>
      <c r="I19" s="49">
        <f>AVERAGE('05.08 KABONG-KOTIDO'!I19,'06.07 KABONG-KOTIDO'!I19,'07.08 KABONG-KOTIDO'!I19,'08.08 KABONG-KOTIDO'!I19,'9.08 KABONG-KOTIDO-24h'!I19,'10.08 KABONG-KOTIDO-24h'!I19,'11.08 KABONG-KOTITDO'!I19)</f>
        <v>0.14285714285714285</v>
      </c>
      <c r="J19" s="49">
        <f>AVERAGE('05.08 KABONG-KOTIDO'!J19,'06.07 KABONG-KOTIDO'!J19,'07.08 KABONG-KOTIDO'!J19,'08.08 KABONG-KOTIDO'!J19,'9.08 KABONG-KOTIDO-24h'!J19,'10.08 KABONG-KOTIDO-24h'!J19,'11.08 KABONG-KOTITDO'!J19)</f>
        <v>0.14285714285714285</v>
      </c>
      <c r="K19" s="49">
        <f>AVERAGE('05.08 KABONG-KOTIDO'!K19,'06.07 KABONG-KOTIDO'!K19,'07.08 KABONG-KOTIDO'!K19,'08.08 KABONG-KOTIDO'!K19,'9.08 KABONG-KOTIDO-24h'!K19,'10.08 KABONG-KOTIDO-24h'!K19,'11.08 KABONG-KOTITDO'!K19)</f>
        <v>0</v>
      </c>
      <c r="L19" s="49">
        <f>AVERAGE('05.08 KABONG-KOTIDO'!L19,'06.07 KABONG-KOTIDO'!L19,'07.08 KABONG-KOTIDO'!L19,'08.08 KABONG-KOTIDO'!L19,'9.08 KABONG-KOTIDO-24h'!L19,'10.08 KABONG-KOTIDO-24h'!L19,'11.08 KABONG-KOTITDO'!L19)</f>
        <v>0</v>
      </c>
      <c r="M19" s="49">
        <f>AVERAGE('05.08 KABONG-KOTIDO'!M19,'06.07 KABONG-KOTIDO'!M19,'07.08 KABONG-KOTIDO'!M19,'08.08 KABONG-KOTIDO'!M19,'9.08 KABONG-KOTIDO-24h'!M19,'10.08 KABONG-KOTIDO-24h'!M19,'11.08 KABONG-KOTITDO'!M19)</f>
        <v>0.7142857142857143</v>
      </c>
      <c r="N19" s="49">
        <f>AVERAGE('05.08 KABONG-KOTIDO'!N19,'06.07 KABONG-KOTIDO'!N19,'07.08 KABONG-KOTIDO'!N19,'08.08 KABONG-KOTIDO'!N19,'9.08 KABONG-KOTIDO-24h'!N19,'10.08 KABONG-KOTIDO-24h'!N19,'11.08 KABONG-KOTITDO'!N19)</f>
        <v>0</v>
      </c>
      <c r="O19" s="15">
        <f t="shared" si="0"/>
        <v>0.99999999999999978</v>
      </c>
      <c r="P19" s="15">
        <f t="shared" si="1"/>
        <v>1.714285714285714</v>
      </c>
      <c r="R19" s="1" t="s">
        <v>15</v>
      </c>
      <c r="S19" s="17">
        <f t="shared" ref="S19:AF19" si="11">SUM(C46:C49)</f>
        <v>0.14285714285714285</v>
      </c>
      <c r="T19" s="17">
        <f t="shared" si="11"/>
        <v>1.5714285714285712</v>
      </c>
      <c r="U19" s="17">
        <f t="shared" si="11"/>
        <v>1.2857142857142856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0.42857142857142855</v>
      </c>
      <c r="Z19" s="17">
        <f t="shared" si="11"/>
        <v>0.14285714285714285</v>
      </c>
      <c r="AA19" s="17">
        <f t="shared" si="11"/>
        <v>0</v>
      </c>
      <c r="AB19" s="17">
        <f t="shared" si="11"/>
        <v>0</v>
      </c>
      <c r="AC19" s="17">
        <f t="shared" si="11"/>
        <v>2.1428571428571428</v>
      </c>
      <c r="AD19" s="17">
        <f t="shared" si="11"/>
        <v>0</v>
      </c>
      <c r="AE19" s="31">
        <f t="shared" si="11"/>
        <v>3.5714285714285712</v>
      </c>
      <c r="AF19" s="31">
        <f t="shared" si="11"/>
        <v>5.7142857142857135</v>
      </c>
    </row>
    <row r="20" spans="2:32" ht="23.1" customHeight="1" x14ac:dyDescent="0.25">
      <c r="B20" s="23" t="s">
        <v>47</v>
      </c>
      <c r="C20" s="49">
        <f>AVERAGE('05.08 KABONG-KOTIDO'!C20,'06.07 KABONG-KOTIDO'!C20,'07.08 KABONG-KOTIDO'!C20,'08.08 KABONG-KOTIDO'!C20,'9.08 KABONG-KOTIDO-24h'!C20,'10.08 KABONG-KOTIDO-24h'!C20,'11.08 KABONG-KOTITDO'!C20)</f>
        <v>0</v>
      </c>
      <c r="D20" s="49">
        <f>AVERAGE('05.08 KABONG-KOTIDO'!D20,'06.07 KABONG-KOTIDO'!D20,'07.08 KABONG-KOTIDO'!D20,'08.08 KABONG-KOTIDO'!D20,'9.08 KABONG-KOTIDO-24h'!D20,'10.08 KABONG-KOTIDO-24h'!D20,'11.08 KABONG-KOTITDO'!D20)</f>
        <v>0</v>
      </c>
      <c r="E20" s="49">
        <f>AVERAGE('05.08 KABONG-KOTIDO'!E20,'06.07 KABONG-KOTIDO'!E20,'07.08 KABONG-KOTIDO'!E20,'08.08 KABONG-KOTIDO'!E20,'9.08 KABONG-KOTIDO-24h'!E20,'10.08 KABONG-KOTIDO-24h'!E20,'11.08 KABONG-KOTITDO'!E20)</f>
        <v>0.14285714285714285</v>
      </c>
      <c r="F20" s="49">
        <f>AVERAGE('05.08 KABONG-KOTIDO'!F20,'06.07 KABONG-KOTIDO'!F20,'07.08 KABONG-KOTIDO'!F20,'08.08 KABONG-KOTIDO'!F20,'9.08 KABONG-KOTIDO-24h'!F20,'10.08 KABONG-KOTIDO-24h'!F20,'11.08 KABONG-KOTITDO'!F20)</f>
        <v>0.14285714285714285</v>
      </c>
      <c r="G20" s="49">
        <f>AVERAGE('05.08 KABONG-KOTIDO'!G20,'06.07 KABONG-KOTIDO'!G20,'07.08 KABONG-KOTIDO'!G20,'08.08 KABONG-KOTIDO'!G20,'9.08 KABONG-KOTIDO-24h'!G20,'10.08 KABONG-KOTIDO-24h'!G20,'11.08 KABONG-KOTITDO'!G20)</f>
        <v>0</v>
      </c>
      <c r="H20" s="49">
        <f>AVERAGE('05.08 KABONG-KOTIDO'!H20,'06.07 KABONG-KOTIDO'!H20,'07.08 KABONG-KOTIDO'!H20,'08.08 KABONG-KOTIDO'!H20,'9.08 KABONG-KOTIDO-24h'!H20,'10.08 KABONG-KOTIDO-24h'!H20,'11.08 KABONG-KOTITDO'!H20)</f>
        <v>0</v>
      </c>
      <c r="I20" s="49">
        <f>AVERAGE('05.08 KABONG-KOTIDO'!I20,'06.07 KABONG-KOTIDO'!I20,'07.08 KABONG-KOTIDO'!I20,'08.08 KABONG-KOTIDO'!I20,'9.08 KABONG-KOTIDO-24h'!I20,'10.08 KABONG-KOTIDO-24h'!I20,'11.08 KABONG-KOTITDO'!I20)</f>
        <v>0</v>
      </c>
      <c r="J20" s="49">
        <f>AVERAGE('05.08 KABONG-KOTIDO'!J20,'06.07 KABONG-KOTIDO'!J20,'07.08 KABONG-KOTIDO'!J20,'08.08 KABONG-KOTIDO'!J20,'9.08 KABONG-KOTIDO-24h'!J20,'10.08 KABONG-KOTIDO-24h'!J20,'11.08 KABONG-KOTITDO'!J20)</f>
        <v>0</v>
      </c>
      <c r="K20" s="49">
        <f>AVERAGE('05.08 KABONG-KOTIDO'!K20,'06.07 KABONG-KOTIDO'!K20,'07.08 KABONG-KOTIDO'!K20,'08.08 KABONG-KOTIDO'!K20,'9.08 KABONG-KOTIDO-24h'!K20,'10.08 KABONG-KOTIDO-24h'!K20,'11.08 KABONG-KOTITDO'!K20)</f>
        <v>0</v>
      </c>
      <c r="L20" s="49">
        <f>AVERAGE('05.08 KABONG-KOTIDO'!L20,'06.07 KABONG-KOTIDO'!L20,'07.08 KABONG-KOTIDO'!L20,'08.08 KABONG-KOTIDO'!L20,'9.08 KABONG-KOTIDO-24h'!L20,'10.08 KABONG-KOTIDO-24h'!L20,'11.08 KABONG-KOTITDO'!L20)</f>
        <v>0</v>
      </c>
      <c r="M20" s="49">
        <f>AVERAGE('05.08 KABONG-KOTIDO'!M20,'06.07 KABONG-KOTIDO'!M20,'07.08 KABONG-KOTIDO'!M20,'08.08 KABONG-KOTIDO'!M20,'9.08 KABONG-KOTIDO-24h'!M20,'10.08 KABONG-KOTIDO-24h'!M20,'11.08 KABONG-KOTITDO'!M20)</f>
        <v>1.2857142857142858</v>
      </c>
      <c r="N20" s="49">
        <f>AVERAGE('05.08 KABONG-KOTIDO'!N20,'06.07 KABONG-KOTIDO'!N20,'07.08 KABONG-KOTIDO'!N20,'08.08 KABONG-KOTIDO'!N20,'9.08 KABONG-KOTIDO-24h'!N20,'10.08 KABONG-KOTIDO-24h'!N20,'11.08 KABONG-KOTITDO'!N20)</f>
        <v>0</v>
      </c>
      <c r="O20" s="15">
        <f t="shared" si="0"/>
        <v>0.2857142857142857</v>
      </c>
      <c r="P20" s="15">
        <f t="shared" si="1"/>
        <v>1.5714285714285716</v>
      </c>
      <c r="R20" s="1" t="s">
        <v>16</v>
      </c>
      <c r="S20" s="17">
        <f t="shared" ref="S20:AF20" si="12">SUM(C50:C53)</f>
        <v>0.14285714285714285</v>
      </c>
      <c r="T20" s="17">
        <f t="shared" si="12"/>
        <v>0.71428571428571419</v>
      </c>
      <c r="U20" s="17">
        <f t="shared" si="12"/>
        <v>2.7142857142857144</v>
      </c>
      <c r="V20" s="17">
        <f t="shared" si="12"/>
        <v>0</v>
      </c>
      <c r="W20" s="17">
        <f t="shared" si="12"/>
        <v>0</v>
      </c>
      <c r="X20" s="17">
        <f t="shared" si="12"/>
        <v>0.14285714285714285</v>
      </c>
      <c r="Y20" s="17">
        <f t="shared" si="12"/>
        <v>0.2857142857142857</v>
      </c>
      <c r="Z20" s="17">
        <f t="shared" si="12"/>
        <v>0.2857142857142857</v>
      </c>
      <c r="AA20" s="17">
        <f t="shared" si="12"/>
        <v>0</v>
      </c>
      <c r="AB20" s="17">
        <f t="shared" si="12"/>
        <v>0</v>
      </c>
      <c r="AC20" s="17">
        <f t="shared" si="12"/>
        <v>2.7142857142857144</v>
      </c>
      <c r="AD20" s="17">
        <f t="shared" si="12"/>
        <v>0</v>
      </c>
      <c r="AE20" s="31">
        <f t="shared" si="12"/>
        <v>4.2857142857142847</v>
      </c>
      <c r="AF20" s="31">
        <f t="shared" si="12"/>
        <v>7</v>
      </c>
    </row>
    <row r="21" spans="2:32" ht="23.1" customHeight="1" x14ac:dyDescent="0.25">
      <c r="B21" s="23" t="s">
        <v>48</v>
      </c>
      <c r="C21" s="49">
        <f>AVERAGE('05.08 KABONG-KOTIDO'!C21,'06.07 KABONG-KOTIDO'!C21,'07.08 KABONG-KOTIDO'!C21,'08.08 KABONG-KOTIDO'!C21,'9.08 KABONG-KOTIDO-24h'!C21,'10.08 KABONG-KOTIDO-24h'!C21,'11.08 KABONG-KOTITDO'!C21)</f>
        <v>0</v>
      </c>
      <c r="D21" s="49">
        <f>AVERAGE('05.08 KABONG-KOTIDO'!D21,'06.07 KABONG-KOTIDO'!D21,'07.08 KABONG-KOTIDO'!D21,'08.08 KABONG-KOTIDO'!D21,'9.08 KABONG-KOTIDO-24h'!D21,'10.08 KABONG-KOTIDO-24h'!D21,'11.08 KABONG-KOTITDO'!D21)</f>
        <v>0</v>
      </c>
      <c r="E21" s="49">
        <f>AVERAGE('05.08 KABONG-KOTIDO'!E21,'06.07 KABONG-KOTIDO'!E21,'07.08 KABONG-KOTIDO'!E21,'08.08 KABONG-KOTIDO'!E21,'9.08 KABONG-KOTIDO-24h'!E21,'10.08 KABONG-KOTIDO-24h'!E21,'11.08 KABONG-KOTITDO'!E21)</f>
        <v>0.14285714285714285</v>
      </c>
      <c r="F21" s="49">
        <f>AVERAGE('05.08 KABONG-KOTIDO'!F21,'06.07 KABONG-KOTIDO'!F21,'07.08 KABONG-KOTIDO'!F21,'08.08 KABONG-KOTIDO'!F21,'9.08 KABONG-KOTIDO-24h'!F21,'10.08 KABONG-KOTIDO-24h'!F21,'11.08 KABONG-KOTITDO'!F21)</f>
        <v>0</v>
      </c>
      <c r="G21" s="49">
        <f>AVERAGE('05.08 KABONG-KOTIDO'!G21,'06.07 KABONG-KOTIDO'!G21,'07.08 KABONG-KOTIDO'!G21,'08.08 KABONG-KOTIDO'!G21,'9.08 KABONG-KOTIDO-24h'!G21,'10.08 KABONG-KOTIDO-24h'!G21,'11.08 KABONG-KOTITDO'!G21)</f>
        <v>0</v>
      </c>
      <c r="H21" s="49">
        <f>AVERAGE('05.08 KABONG-KOTIDO'!H21,'06.07 KABONG-KOTIDO'!H21,'07.08 KABONG-KOTIDO'!H21,'08.08 KABONG-KOTIDO'!H21,'9.08 KABONG-KOTIDO-24h'!H21,'10.08 KABONG-KOTIDO-24h'!H21,'11.08 KABONG-KOTITDO'!H21)</f>
        <v>0</v>
      </c>
      <c r="I21" s="49">
        <f>AVERAGE('05.08 KABONG-KOTIDO'!I21,'06.07 KABONG-KOTIDO'!I21,'07.08 KABONG-KOTIDO'!I21,'08.08 KABONG-KOTIDO'!I21,'9.08 KABONG-KOTIDO-24h'!I21,'10.08 KABONG-KOTIDO-24h'!I21,'11.08 KABONG-KOTITDO'!I21)</f>
        <v>0</v>
      </c>
      <c r="J21" s="49">
        <f>AVERAGE('05.08 KABONG-KOTIDO'!J21,'06.07 KABONG-KOTIDO'!J21,'07.08 KABONG-KOTIDO'!J21,'08.08 KABONG-KOTIDO'!J21,'9.08 KABONG-KOTIDO-24h'!J21,'10.08 KABONG-KOTIDO-24h'!J21,'11.08 KABONG-KOTITDO'!J21)</f>
        <v>0</v>
      </c>
      <c r="K21" s="49">
        <f>AVERAGE('05.08 KABONG-KOTIDO'!K21,'06.07 KABONG-KOTIDO'!K21,'07.08 KABONG-KOTIDO'!K21,'08.08 KABONG-KOTIDO'!K21,'9.08 KABONG-KOTIDO-24h'!K21,'10.08 KABONG-KOTIDO-24h'!K21,'11.08 KABONG-KOTITDO'!K21)</f>
        <v>0</v>
      </c>
      <c r="L21" s="49">
        <f>AVERAGE('05.08 KABONG-KOTIDO'!L21,'06.07 KABONG-KOTIDO'!L21,'07.08 KABONG-KOTIDO'!L21,'08.08 KABONG-KOTIDO'!L21,'9.08 KABONG-KOTIDO-24h'!L21,'10.08 KABONG-KOTIDO-24h'!L21,'11.08 KABONG-KOTITDO'!L21)</f>
        <v>0</v>
      </c>
      <c r="M21" s="49">
        <f>AVERAGE('05.08 KABONG-KOTIDO'!M21,'06.07 KABONG-KOTIDO'!M21,'07.08 KABONG-KOTIDO'!M21,'08.08 KABONG-KOTIDO'!M21,'9.08 KABONG-KOTIDO-24h'!M21,'10.08 KABONG-KOTIDO-24h'!M21,'11.08 KABONG-KOTITDO'!M21)</f>
        <v>0</v>
      </c>
      <c r="N21" s="49">
        <f>AVERAGE('05.08 KABONG-KOTIDO'!N21,'06.07 KABONG-KOTIDO'!N21,'07.08 KABONG-KOTIDO'!N21,'08.08 KABONG-KOTIDO'!N21,'9.08 KABONG-KOTIDO-24h'!N21,'10.08 KABONG-KOTIDO-24h'!N21,'11.08 KABONG-KOTITDO'!N21)</f>
        <v>0</v>
      </c>
      <c r="O21" s="15">
        <f t="shared" si="0"/>
        <v>0.14285714285714285</v>
      </c>
      <c r="P21" s="15">
        <f t="shared" si="1"/>
        <v>0.14285714285714285</v>
      </c>
      <c r="R21" s="36" t="s">
        <v>20</v>
      </c>
      <c r="S21" s="34">
        <f t="shared" ref="S21:AF21" si="13">SUM(C54:C57)</f>
        <v>0.42857142857142855</v>
      </c>
      <c r="T21" s="17">
        <f t="shared" si="13"/>
        <v>1.7142857142857144</v>
      </c>
      <c r="U21" s="17">
        <f t="shared" si="13"/>
        <v>1.5714285714285714</v>
      </c>
      <c r="V21" s="17">
        <f t="shared" si="13"/>
        <v>0</v>
      </c>
      <c r="W21" s="17">
        <f t="shared" si="13"/>
        <v>0</v>
      </c>
      <c r="X21" s="17">
        <f t="shared" si="13"/>
        <v>0.5714285714285714</v>
      </c>
      <c r="Y21" s="17">
        <f t="shared" si="13"/>
        <v>0.5714285714285714</v>
      </c>
      <c r="Z21" s="17">
        <f t="shared" si="13"/>
        <v>0.2857142857142857</v>
      </c>
      <c r="AA21" s="17">
        <f t="shared" si="13"/>
        <v>0</v>
      </c>
      <c r="AB21" s="17">
        <f t="shared" si="13"/>
        <v>0</v>
      </c>
      <c r="AC21" s="17">
        <f t="shared" si="13"/>
        <v>2.4285714285714284</v>
      </c>
      <c r="AD21" s="17">
        <f t="shared" si="13"/>
        <v>0</v>
      </c>
      <c r="AE21" s="31">
        <f t="shared" si="13"/>
        <v>5.1428571428571423</v>
      </c>
      <c r="AF21" s="31">
        <f t="shared" si="13"/>
        <v>7.5714285714285712</v>
      </c>
    </row>
    <row r="22" spans="2:32" ht="23.1" customHeight="1" x14ac:dyDescent="0.25">
      <c r="B22" s="23" t="s">
        <v>49</v>
      </c>
      <c r="C22" s="49">
        <f>AVERAGE('05.08 KABONG-KOTIDO'!C22,'06.07 KABONG-KOTIDO'!C22,'07.08 KABONG-KOTIDO'!C22,'08.08 KABONG-KOTIDO'!C22,'9.08 KABONG-KOTIDO-24h'!C22,'10.08 KABONG-KOTIDO-24h'!C22,'11.08 KABONG-KOTITDO'!C22)</f>
        <v>0</v>
      </c>
      <c r="D22" s="49">
        <f>AVERAGE('05.08 KABONG-KOTIDO'!D22,'06.07 KABONG-KOTIDO'!D22,'07.08 KABONG-KOTIDO'!D22,'08.08 KABONG-KOTIDO'!D22,'9.08 KABONG-KOTIDO-24h'!D22,'10.08 KABONG-KOTIDO-24h'!D22,'11.08 KABONG-KOTITDO'!D22)</f>
        <v>0.7142857142857143</v>
      </c>
      <c r="E22" s="49">
        <f>AVERAGE('05.08 KABONG-KOTIDO'!E22,'06.07 KABONG-KOTIDO'!E22,'07.08 KABONG-KOTIDO'!E22,'08.08 KABONG-KOTIDO'!E22,'9.08 KABONG-KOTIDO-24h'!E22,'10.08 KABONG-KOTIDO-24h'!E22,'11.08 KABONG-KOTITDO'!E22)</f>
        <v>0.14285714285714285</v>
      </c>
      <c r="F22" s="49">
        <f>AVERAGE('05.08 KABONG-KOTIDO'!F22,'06.07 KABONG-KOTIDO'!F22,'07.08 KABONG-KOTIDO'!F22,'08.08 KABONG-KOTIDO'!F22,'9.08 KABONG-KOTIDO-24h'!F22,'10.08 KABONG-KOTIDO-24h'!F22,'11.08 KABONG-KOTITDO'!F22)</f>
        <v>0</v>
      </c>
      <c r="G22" s="49">
        <f>AVERAGE('05.08 KABONG-KOTIDO'!G22,'06.07 KABONG-KOTIDO'!G22,'07.08 KABONG-KOTIDO'!G22,'08.08 KABONG-KOTIDO'!G22,'9.08 KABONG-KOTIDO-24h'!G22,'10.08 KABONG-KOTIDO-24h'!G22,'11.08 KABONG-KOTITDO'!G22)</f>
        <v>0</v>
      </c>
      <c r="H22" s="49">
        <f>AVERAGE('05.08 KABONG-KOTIDO'!H22,'06.07 KABONG-KOTIDO'!H22,'07.08 KABONG-KOTIDO'!H22,'08.08 KABONG-KOTIDO'!H22,'9.08 KABONG-KOTIDO-24h'!H22,'10.08 KABONG-KOTIDO-24h'!H22,'11.08 KABONG-KOTITDO'!H22)</f>
        <v>0</v>
      </c>
      <c r="I22" s="49">
        <f>AVERAGE('05.08 KABONG-KOTIDO'!I22,'06.07 KABONG-KOTIDO'!I22,'07.08 KABONG-KOTIDO'!I22,'08.08 KABONG-KOTIDO'!I22,'9.08 KABONG-KOTIDO-24h'!I22,'10.08 KABONG-KOTIDO-24h'!I22,'11.08 KABONG-KOTITDO'!I22)</f>
        <v>0.14285714285714285</v>
      </c>
      <c r="J22" s="49">
        <f>AVERAGE('05.08 KABONG-KOTIDO'!J22,'06.07 KABONG-KOTIDO'!J22,'07.08 KABONG-KOTIDO'!J22,'08.08 KABONG-KOTIDO'!J22,'9.08 KABONG-KOTIDO-24h'!J22,'10.08 KABONG-KOTIDO-24h'!J22,'11.08 KABONG-KOTITDO'!J22)</f>
        <v>0.14285714285714285</v>
      </c>
      <c r="K22" s="49">
        <f>AVERAGE('05.08 KABONG-KOTIDO'!K22,'06.07 KABONG-KOTIDO'!K22,'07.08 KABONG-KOTIDO'!K22,'08.08 KABONG-KOTIDO'!K22,'9.08 KABONG-KOTIDO-24h'!K22,'10.08 KABONG-KOTIDO-24h'!K22,'11.08 KABONG-KOTITDO'!K22)</f>
        <v>0</v>
      </c>
      <c r="L22" s="49">
        <f>AVERAGE('05.08 KABONG-KOTIDO'!L22,'06.07 KABONG-KOTIDO'!L22,'07.08 KABONG-KOTIDO'!L22,'08.08 KABONG-KOTIDO'!L22,'9.08 KABONG-KOTIDO-24h'!L22,'10.08 KABONG-KOTIDO-24h'!L22,'11.08 KABONG-KOTITDO'!L22)</f>
        <v>0</v>
      </c>
      <c r="M22" s="49">
        <f>AVERAGE('05.08 KABONG-KOTIDO'!M22,'06.07 KABONG-KOTIDO'!M22,'07.08 KABONG-KOTIDO'!M22,'08.08 KABONG-KOTIDO'!M22,'9.08 KABONG-KOTIDO-24h'!M22,'10.08 KABONG-KOTIDO-24h'!M22,'11.08 KABONG-KOTITDO'!M22)</f>
        <v>0.2857142857142857</v>
      </c>
      <c r="N22" s="49">
        <f>AVERAGE('05.08 KABONG-KOTIDO'!N22,'06.07 KABONG-KOTIDO'!N22,'07.08 KABONG-KOTIDO'!N22,'08.08 KABONG-KOTIDO'!N22,'9.08 KABONG-KOTIDO-24h'!N22,'10.08 KABONG-KOTIDO-24h'!N22,'11.08 KABONG-KOTITDO'!N22)</f>
        <v>0</v>
      </c>
      <c r="O22" s="15">
        <f t="shared" si="0"/>
        <v>1.1428571428571428</v>
      </c>
      <c r="P22" s="15">
        <f t="shared" si="1"/>
        <v>1.4285714285714284</v>
      </c>
      <c r="R22" s="1" t="s">
        <v>146</v>
      </c>
      <c r="S22" s="34">
        <f>SUM(C58:C61)</f>
        <v>1</v>
      </c>
      <c r="T22" s="34">
        <f t="shared" ref="T22:AF22" si="14">SUM(D58:D61)</f>
        <v>2</v>
      </c>
      <c r="U22" s="34">
        <f t="shared" si="14"/>
        <v>2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2</v>
      </c>
      <c r="Z22" s="34">
        <f t="shared" si="14"/>
        <v>1.5</v>
      </c>
      <c r="AA22" s="34">
        <f t="shared" si="14"/>
        <v>0.5</v>
      </c>
      <c r="AB22" s="34">
        <f t="shared" si="14"/>
        <v>0</v>
      </c>
      <c r="AC22" s="34">
        <f t="shared" si="14"/>
        <v>3</v>
      </c>
      <c r="AD22" s="34">
        <f t="shared" si="14"/>
        <v>0</v>
      </c>
      <c r="AE22" s="31">
        <f t="shared" si="14"/>
        <v>9</v>
      </c>
      <c r="AF22" s="31">
        <f t="shared" si="14"/>
        <v>12</v>
      </c>
    </row>
    <row r="23" spans="2:32" ht="23.1" customHeight="1" x14ac:dyDescent="0.25">
      <c r="B23" s="23" t="s">
        <v>50</v>
      </c>
      <c r="C23" s="49">
        <f>AVERAGE('05.08 KABONG-KOTIDO'!C23,'06.07 KABONG-KOTIDO'!C23,'07.08 KABONG-KOTIDO'!C23,'08.08 KABONG-KOTIDO'!C23,'9.08 KABONG-KOTIDO-24h'!C23,'10.08 KABONG-KOTIDO-24h'!C23,'11.08 KABONG-KOTITDO'!C23)</f>
        <v>0</v>
      </c>
      <c r="D23" s="49">
        <f>AVERAGE('05.08 KABONG-KOTIDO'!D23,'06.07 KABONG-KOTIDO'!D23,'07.08 KABONG-KOTIDO'!D23,'08.08 KABONG-KOTIDO'!D23,'9.08 KABONG-KOTIDO-24h'!D23,'10.08 KABONG-KOTIDO-24h'!D23,'11.08 KABONG-KOTITDO'!D23)</f>
        <v>0.14285714285714285</v>
      </c>
      <c r="E23" s="49">
        <f>AVERAGE('05.08 KABONG-KOTIDO'!E23,'06.07 KABONG-KOTIDO'!E23,'07.08 KABONG-KOTIDO'!E23,'08.08 KABONG-KOTIDO'!E23,'9.08 KABONG-KOTIDO-24h'!E23,'10.08 KABONG-KOTIDO-24h'!E23,'11.08 KABONG-KOTITDO'!E23)</f>
        <v>0</v>
      </c>
      <c r="F23" s="49">
        <f>AVERAGE('05.08 KABONG-KOTIDO'!F23,'06.07 KABONG-KOTIDO'!F23,'07.08 KABONG-KOTIDO'!F23,'08.08 KABONG-KOTIDO'!F23,'9.08 KABONG-KOTIDO-24h'!F23,'10.08 KABONG-KOTIDO-24h'!F23,'11.08 KABONG-KOTITDO'!F23)</f>
        <v>0</v>
      </c>
      <c r="G23" s="49">
        <f>AVERAGE('05.08 KABONG-KOTIDO'!G23,'06.07 KABONG-KOTIDO'!G23,'07.08 KABONG-KOTIDO'!G23,'08.08 KABONG-KOTIDO'!G23,'9.08 KABONG-KOTIDO-24h'!G23,'10.08 KABONG-KOTIDO-24h'!G23,'11.08 KABONG-KOTITDO'!G23)</f>
        <v>0</v>
      </c>
      <c r="H23" s="49">
        <f>AVERAGE('05.08 KABONG-KOTIDO'!H23,'06.07 KABONG-KOTIDO'!H23,'07.08 KABONG-KOTIDO'!H23,'08.08 KABONG-KOTIDO'!H23,'9.08 KABONG-KOTIDO-24h'!H23,'10.08 KABONG-KOTIDO-24h'!H23,'11.08 KABONG-KOTITDO'!H23)</f>
        <v>0</v>
      </c>
      <c r="I23" s="49">
        <f>AVERAGE('05.08 KABONG-KOTIDO'!I23,'06.07 KABONG-KOTIDO'!I23,'07.08 KABONG-KOTIDO'!I23,'08.08 KABONG-KOTIDO'!I23,'9.08 KABONG-KOTIDO-24h'!I23,'10.08 KABONG-KOTIDO-24h'!I23,'11.08 KABONG-KOTITDO'!I23)</f>
        <v>0.7142857142857143</v>
      </c>
      <c r="J23" s="49">
        <f>AVERAGE('05.08 KABONG-KOTIDO'!J23,'06.07 KABONG-KOTIDO'!J23,'07.08 KABONG-KOTIDO'!J23,'08.08 KABONG-KOTIDO'!J23,'9.08 KABONG-KOTIDO-24h'!J23,'10.08 KABONG-KOTIDO-24h'!J23,'11.08 KABONG-KOTITDO'!J23)</f>
        <v>0.14285714285714285</v>
      </c>
      <c r="K23" s="49">
        <f>AVERAGE('05.08 KABONG-KOTIDO'!K23,'06.07 KABONG-KOTIDO'!K23,'07.08 KABONG-KOTIDO'!K23,'08.08 KABONG-KOTIDO'!K23,'9.08 KABONG-KOTIDO-24h'!K23,'10.08 KABONG-KOTIDO-24h'!K23,'11.08 KABONG-KOTITDO'!K23)</f>
        <v>0</v>
      </c>
      <c r="L23" s="49">
        <f>AVERAGE('05.08 KABONG-KOTIDO'!L23,'06.07 KABONG-KOTIDO'!L23,'07.08 KABONG-KOTIDO'!L23,'08.08 KABONG-KOTIDO'!L23,'9.08 KABONG-KOTIDO-24h'!L23,'10.08 KABONG-KOTIDO-24h'!L23,'11.08 KABONG-KOTITDO'!L23)</f>
        <v>0</v>
      </c>
      <c r="M23" s="49">
        <f>AVERAGE('05.08 KABONG-KOTIDO'!M23,'06.07 KABONG-KOTIDO'!M23,'07.08 KABONG-KOTIDO'!M23,'08.08 KABONG-KOTIDO'!M23,'9.08 KABONG-KOTIDO-24h'!M23,'10.08 KABONG-KOTIDO-24h'!M23,'11.08 KABONG-KOTITDO'!M23)</f>
        <v>0</v>
      </c>
      <c r="N23" s="49">
        <f>AVERAGE('05.08 KABONG-KOTIDO'!N23,'06.07 KABONG-KOTIDO'!N23,'07.08 KABONG-KOTIDO'!N23,'08.08 KABONG-KOTIDO'!N23,'9.08 KABONG-KOTIDO-24h'!N23,'10.08 KABONG-KOTIDO-24h'!N23,'11.08 KABONG-KOTITDO'!N23)</f>
        <v>0</v>
      </c>
      <c r="O23" s="15">
        <f t="shared" si="0"/>
        <v>1</v>
      </c>
      <c r="P23" s="15">
        <f t="shared" si="1"/>
        <v>1</v>
      </c>
      <c r="R23" s="1" t="s">
        <v>147</v>
      </c>
      <c r="S23" s="34">
        <f>SUM(C62:C65)</f>
        <v>0</v>
      </c>
      <c r="T23" s="34">
        <f t="shared" ref="T23:AF23" si="15">SUM(D62:D65)</f>
        <v>1</v>
      </c>
      <c r="U23" s="34">
        <f t="shared" si="15"/>
        <v>2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2</v>
      </c>
      <c r="Z23" s="34">
        <f t="shared" si="15"/>
        <v>1.5</v>
      </c>
      <c r="AA23" s="34">
        <f t="shared" si="15"/>
        <v>0</v>
      </c>
      <c r="AB23" s="34">
        <f t="shared" si="15"/>
        <v>0</v>
      </c>
      <c r="AC23" s="34">
        <f t="shared" si="15"/>
        <v>3</v>
      </c>
      <c r="AD23" s="34">
        <f t="shared" si="15"/>
        <v>0</v>
      </c>
      <c r="AE23" s="31">
        <f t="shared" si="15"/>
        <v>6.5</v>
      </c>
      <c r="AF23" s="31">
        <f t="shared" si="15"/>
        <v>9.5</v>
      </c>
    </row>
    <row r="24" spans="2:32" ht="23.1" customHeight="1" x14ac:dyDescent="0.25">
      <c r="B24" s="23" t="s">
        <v>51</v>
      </c>
      <c r="C24" s="49">
        <f>AVERAGE('05.08 KABONG-KOTIDO'!C24,'06.07 KABONG-KOTIDO'!C24,'07.08 KABONG-KOTIDO'!C24,'08.08 KABONG-KOTIDO'!C24,'9.08 KABONG-KOTIDO-24h'!C24,'10.08 KABONG-KOTIDO-24h'!C24,'11.08 KABONG-KOTITDO'!C24)</f>
        <v>0.14285714285714285</v>
      </c>
      <c r="D24" s="49">
        <f>AVERAGE('05.08 KABONG-KOTIDO'!D24,'06.07 KABONG-KOTIDO'!D24,'07.08 KABONG-KOTIDO'!D24,'08.08 KABONG-KOTIDO'!D24,'9.08 KABONG-KOTIDO-24h'!D24,'10.08 KABONG-KOTIDO-24h'!D24,'11.08 KABONG-KOTITDO'!D24)</f>
        <v>0.14285714285714285</v>
      </c>
      <c r="E24" s="49">
        <f>AVERAGE('05.08 KABONG-KOTIDO'!E24,'06.07 KABONG-KOTIDO'!E24,'07.08 KABONG-KOTIDO'!E24,'08.08 KABONG-KOTIDO'!E24,'9.08 KABONG-KOTIDO-24h'!E24,'10.08 KABONG-KOTIDO-24h'!E24,'11.08 KABONG-KOTITDO'!E24)</f>
        <v>0.14285714285714285</v>
      </c>
      <c r="F24" s="49">
        <f>AVERAGE('05.08 KABONG-KOTIDO'!F24,'06.07 KABONG-KOTIDO'!F24,'07.08 KABONG-KOTIDO'!F24,'08.08 KABONG-KOTIDO'!F24,'9.08 KABONG-KOTIDO-24h'!F24,'10.08 KABONG-KOTIDO-24h'!F24,'11.08 KABONG-KOTITDO'!F24)</f>
        <v>0</v>
      </c>
      <c r="G24" s="49">
        <f>AVERAGE('05.08 KABONG-KOTIDO'!G24,'06.07 KABONG-KOTIDO'!G24,'07.08 KABONG-KOTIDO'!G24,'08.08 KABONG-KOTIDO'!G24,'9.08 KABONG-KOTIDO-24h'!G24,'10.08 KABONG-KOTIDO-24h'!G24,'11.08 KABONG-KOTITDO'!G24)</f>
        <v>0</v>
      </c>
      <c r="H24" s="49">
        <f>AVERAGE('05.08 KABONG-KOTIDO'!H24,'06.07 KABONG-KOTIDO'!H24,'07.08 KABONG-KOTIDO'!H24,'08.08 KABONG-KOTIDO'!H24,'9.08 KABONG-KOTIDO-24h'!H24,'10.08 KABONG-KOTIDO-24h'!H24,'11.08 KABONG-KOTITDO'!H24)</f>
        <v>0</v>
      </c>
      <c r="I24" s="49">
        <f>AVERAGE('05.08 KABONG-KOTIDO'!I24,'06.07 KABONG-KOTIDO'!I24,'07.08 KABONG-KOTIDO'!I24,'08.08 KABONG-KOTIDO'!I24,'9.08 KABONG-KOTIDO-24h'!I24,'10.08 KABONG-KOTIDO-24h'!I24,'11.08 KABONG-KOTITDO'!I24)</f>
        <v>0.14285714285714285</v>
      </c>
      <c r="J24" s="49">
        <f>AVERAGE('05.08 KABONG-KOTIDO'!J24,'06.07 KABONG-KOTIDO'!J24,'07.08 KABONG-KOTIDO'!J24,'08.08 KABONG-KOTIDO'!J24,'9.08 KABONG-KOTIDO-24h'!J24,'10.08 KABONG-KOTIDO-24h'!J24,'11.08 KABONG-KOTITDO'!J24)</f>
        <v>0.14285714285714285</v>
      </c>
      <c r="K24" s="49">
        <f>AVERAGE('05.08 KABONG-KOTIDO'!K24,'06.07 KABONG-KOTIDO'!K24,'07.08 KABONG-KOTIDO'!K24,'08.08 KABONG-KOTIDO'!K24,'9.08 KABONG-KOTIDO-24h'!K24,'10.08 KABONG-KOTIDO-24h'!K24,'11.08 KABONG-KOTITDO'!K24)</f>
        <v>0</v>
      </c>
      <c r="L24" s="49">
        <f>AVERAGE('05.08 KABONG-KOTIDO'!L24,'06.07 KABONG-KOTIDO'!L24,'07.08 KABONG-KOTIDO'!L24,'08.08 KABONG-KOTIDO'!L24,'9.08 KABONG-KOTIDO-24h'!L24,'10.08 KABONG-KOTIDO-24h'!L24,'11.08 KABONG-KOTITDO'!L24)</f>
        <v>0</v>
      </c>
      <c r="M24" s="49">
        <f>AVERAGE('05.08 KABONG-KOTIDO'!M24,'06.07 KABONG-KOTIDO'!M24,'07.08 KABONG-KOTIDO'!M24,'08.08 KABONG-KOTIDO'!M24,'9.08 KABONG-KOTIDO-24h'!M24,'10.08 KABONG-KOTIDO-24h'!M24,'11.08 KABONG-KOTITDO'!M24)</f>
        <v>0.8571428571428571</v>
      </c>
      <c r="N24" s="49">
        <f>AVERAGE('05.08 KABONG-KOTIDO'!N24,'06.07 KABONG-KOTIDO'!N24,'07.08 KABONG-KOTIDO'!N24,'08.08 KABONG-KOTIDO'!N24,'9.08 KABONG-KOTIDO-24h'!N24,'10.08 KABONG-KOTIDO-24h'!N24,'11.08 KABONG-KOTITDO'!N24)</f>
        <v>0</v>
      </c>
      <c r="O24" s="15">
        <f t="shared" si="0"/>
        <v>0.71428571428571419</v>
      </c>
      <c r="P24" s="15">
        <f t="shared" si="1"/>
        <v>1.5714285714285712</v>
      </c>
      <c r="R24" s="1" t="s">
        <v>148</v>
      </c>
      <c r="S24" s="34">
        <f>SUM(C66:C69)</f>
        <v>0.5</v>
      </c>
      <c r="T24" s="34">
        <f t="shared" ref="T24:AF24" si="16">SUM(D66:D69)</f>
        <v>1.5</v>
      </c>
      <c r="U24" s="34">
        <f t="shared" si="16"/>
        <v>0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0.5</v>
      </c>
      <c r="AA24" s="34">
        <f t="shared" si="16"/>
        <v>0</v>
      </c>
      <c r="AB24" s="34">
        <f t="shared" si="16"/>
        <v>0</v>
      </c>
      <c r="AC24" s="34">
        <f t="shared" si="16"/>
        <v>4.5</v>
      </c>
      <c r="AD24" s="34">
        <f t="shared" si="16"/>
        <v>0</v>
      </c>
      <c r="AE24" s="31">
        <f t="shared" si="16"/>
        <v>2.5</v>
      </c>
      <c r="AF24" s="31">
        <f t="shared" si="16"/>
        <v>7</v>
      </c>
    </row>
    <row r="25" spans="2:32" ht="23.1" customHeight="1" x14ac:dyDescent="0.25">
      <c r="B25" s="23" t="s">
        <v>52</v>
      </c>
      <c r="C25" s="49">
        <f>AVERAGE('05.08 KABONG-KOTIDO'!C25,'06.07 KABONG-KOTIDO'!C25,'07.08 KABONG-KOTIDO'!C25,'08.08 KABONG-KOTIDO'!C25,'9.08 KABONG-KOTIDO-24h'!C25,'10.08 KABONG-KOTIDO-24h'!C25,'11.08 KABONG-KOTITDO'!C25)</f>
        <v>0</v>
      </c>
      <c r="D25" s="49">
        <f>AVERAGE('05.08 KABONG-KOTIDO'!D25,'06.07 KABONG-KOTIDO'!D25,'07.08 KABONG-KOTIDO'!D25,'08.08 KABONG-KOTIDO'!D25,'9.08 KABONG-KOTIDO-24h'!D25,'10.08 KABONG-KOTIDO-24h'!D25,'11.08 KABONG-KOTITDO'!D25)</f>
        <v>0.2857142857142857</v>
      </c>
      <c r="E25" s="49">
        <f>AVERAGE('05.08 KABONG-KOTIDO'!E25,'06.07 KABONG-KOTIDO'!E25,'07.08 KABONG-KOTIDO'!E25,'08.08 KABONG-KOTIDO'!E25,'9.08 KABONG-KOTIDO-24h'!E25,'10.08 KABONG-KOTIDO-24h'!E25,'11.08 KABONG-KOTITDO'!E25)</f>
        <v>0</v>
      </c>
      <c r="F25" s="49">
        <f>AVERAGE('05.08 KABONG-KOTIDO'!F25,'06.07 KABONG-KOTIDO'!F25,'07.08 KABONG-KOTIDO'!F25,'08.08 KABONG-KOTIDO'!F25,'9.08 KABONG-KOTIDO-24h'!F25,'10.08 KABONG-KOTIDO-24h'!F25,'11.08 KABONG-KOTITDO'!F25)</f>
        <v>0</v>
      </c>
      <c r="G25" s="49">
        <f>AVERAGE('05.08 KABONG-KOTIDO'!G25,'06.07 KABONG-KOTIDO'!G25,'07.08 KABONG-KOTIDO'!G25,'08.08 KABONG-KOTIDO'!G25,'9.08 KABONG-KOTIDO-24h'!G25,'10.08 KABONG-KOTIDO-24h'!G25,'11.08 KABONG-KOTITDO'!G25)</f>
        <v>0</v>
      </c>
      <c r="H25" s="49">
        <f>AVERAGE('05.08 KABONG-KOTIDO'!H25,'06.07 KABONG-KOTIDO'!H25,'07.08 KABONG-KOTIDO'!H25,'08.08 KABONG-KOTIDO'!H25,'9.08 KABONG-KOTIDO-24h'!H25,'10.08 KABONG-KOTIDO-24h'!H25,'11.08 KABONG-KOTITDO'!H25)</f>
        <v>0</v>
      </c>
      <c r="I25" s="49">
        <f>AVERAGE('05.08 KABONG-KOTIDO'!I25,'06.07 KABONG-KOTIDO'!I25,'07.08 KABONG-KOTIDO'!I25,'08.08 KABONG-KOTIDO'!I25,'9.08 KABONG-KOTIDO-24h'!I25,'10.08 KABONG-KOTIDO-24h'!I25,'11.08 KABONG-KOTITDO'!I25)</f>
        <v>0</v>
      </c>
      <c r="J25" s="49">
        <f>AVERAGE('05.08 KABONG-KOTIDO'!J25,'06.07 KABONG-KOTIDO'!J25,'07.08 KABONG-KOTIDO'!J25,'08.08 KABONG-KOTIDO'!J25,'9.08 KABONG-KOTIDO-24h'!J25,'10.08 KABONG-KOTIDO-24h'!J25,'11.08 KABONG-KOTITDO'!J25)</f>
        <v>0</v>
      </c>
      <c r="K25" s="49">
        <f>AVERAGE('05.08 KABONG-KOTIDO'!K25,'06.07 KABONG-KOTIDO'!K25,'07.08 KABONG-KOTIDO'!K25,'08.08 KABONG-KOTIDO'!K25,'9.08 KABONG-KOTIDO-24h'!K25,'10.08 KABONG-KOTIDO-24h'!K25,'11.08 KABONG-KOTITDO'!K25)</f>
        <v>0</v>
      </c>
      <c r="L25" s="49">
        <f>AVERAGE('05.08 KABONG-KOTIDO'!L25,'06.07 KABONG-KOTIDO'!L25,'07.08 KABONG-KOTIDO'!L25,'08.08 KABONG-KOTIDO'!L25,'9.08 KABONG-KOTIDO-24h'!L25,'10.08 KABONG-KOTIDO-24h'!L25,'11.08 KABONG-KOTITDO'!L25)</f>
        <v>0</v>
      </c>
      <c r="M25" s="49">
        <f>AVERAGE('05.08 KABONG-KOTIDO'!M25,'06.07 KABONG-KOTIDO'!M25,'07.08 KABONG-KOTIDO'!M25,'08.08 KABONG-KOTIDO'!M25,'9.08 KABONG-KOTIDO-24h'!M25,'10.08 KABONG-KOTIDO-24h'!M25,'11.08 KABONG-KOTITDO'!M25)</f>
        <v>0.2857142857142857</v>
      </c>
      <c r="N25" s="49">
        <f>AVERAGE('05.08 KABONG-KOTIDO'!N25,'06.07 KABONG-KOTIDO'!N25,'07.08 KABONG-KOTIDO'!N25,'08.08 KABONG-KOTIDO'!N25,'9.08 KABONG-KOTIDO-24h'!N25,'10.08 KABONG-KOTIDO-24h'!N25,'11.08 KABONG-KOTITDO'!N25)</f>
        <v>0</v>
      </c>
      <c r="O25" s="15">
        <f t="shared" si="0"/>
        <v>0.2857142857142857</v>
      </c>
      <c r="P25" s="15">
        <f t="shared" si="1"/>
        <v>0.5714285714285714</v>
      </c>
      <c r="R25" s="1" t="s">
        <v>149</v>
      </c>
      <c r="S25" s="34">
        <f>SUM(C70:C73)</f>
        <v>0.5</v>
      </c>
      <c r="T25" s="34">
        <f t="shared" ref="T25:AF25" si="17">SUM(D70:D73)</f>
        <v>1</v>
      </c>
      <c r="U25" s="34">
        <f t="shared" si="17"/>
        <v>0.5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0.5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3</v>
      </c>
      <c r="AD25" s="34">
        <f t="shared" si="17"/>
        <v>0</v>
      </c>
      <c r="AE25" s="31">
        <f t="shared" si="17"/>
        <v>2.5</v>
      </c>
      <c r="AF25" s="31">
        <f t="shared" si="17"/>
        <v>5.5</v>
      </c>
    </row>
    <row r="26" spans="2:32" ht="23.1" customHeight="1" x14ac:dyDescent="0.25">
      <c r="B26" s="23" t="s">
        <v>53</v>
      </c>
      <c r="C26" s="49">
        <f>AVERAGE('05.08 KABONG-KOTIDO'!C26,'06.07 KABONG-KOTIDO'!C26,'07.08 KABONG-KOTIDO'!C26,'08.08 KABONG-KOTIDO'!C26,'9.08 KABONG-KOTIDO-24h'!C26,'10.08 KABONG-KOTIDO-24h'!C26,'11.08 KABONG-KOTITDO'!C26)</f>
        <v>0</v>
      </c>
      <c r="D26" s="49">
        <f>AVERAGE('05.08 KABONG-KOTIDO'!D26,'06.07 KABONG-KOTIDO'!D26,'07.08 KABONG-KOTIDO'!D26,'08.08 KABONG-KOTIDO'!D26,'9.08 KABONG-KOTIDO-24h'!D26,'10.08 KABONG-KOTIDO-24h'!D26,'11.08 KABONG-KOTITDO'!D26)</f>
        <v>0</v>
      </c>
      <c r="E26" s="49">
        <f>AVERAGE('05.08 KABONG-KOTIDO'!E26,'06.07 KABONG-KOTIDO'!E26,'07.08 KABONG-KOTIDO'!E26,'08.08 KABONG-KOTIDO'!E26,'9.08 KABONG-KOTIDO-24h'!E26,'10.08 KABONG-KOTIDO-24h'!E26,'11.08 KABONG-KOTITDO'!E26)</f>
        <v>0.14285714285714285</v>
      </c>
      <c r="F26" s="49">
        <f>AVERAGE('05.08 KABONG-KOTIDO'!F26,'06.07 KABONG-KOTIDO'!F26,'07.08 KABONG-KOTIDO'!F26,'08.08 KABONG-KOTIDO'!F26,'9.08 KABONG-KOTIDO-24h'!F26,'10.08 KABONG-KOTIDO-24h'!F26,'11.08 KABONG-KOTITDO'!F26)</f>
        <v>0</v>
      </c>
      <c r="G26" s="49">
        <f>AVERAGE('05.08 KABONG-KOTIDO'!G26,'06.07 KABONG-KOTIDO'!G26,'07.08 KABONG-KOTIDO'!G26,'08.08 KABONG-KOTIDO'!G26,'9.08 KABONG-KOTIDO-24h'!G26,'10.08 KABONG-KOTIDO-24h'!G26,'11.08 KABONG-KOTITDO'!G26)</f>
        <v>0</v>
      </c>
      <c r="H26" s="49">
        <f>AVERAGE('05.08 KABONG-KOTIDO'!H26,'06.07 KABONG-KOTIDO'!H26,'07.08 KABONG-KOTIDO'!H26,'08.08 KABONG-KOTIDO'!H26,'9.08 KABONG-KOTIDO-24h'!H26,'10.08 KABONG-KOTIDO-24h'!H26,'11.08 KABONG-KOTITDO'!H26)</f>
        <v>0</v>
      </c>
      <c r="I26" s="49">
        <f>AVERAGE('05.08 KABONG-KOTIDO'!I26,'06.07 KABONG-KOTIDO'!I26,'07.08 KABONG-KOTIDO'!I26,'08.08 KABONG-KOTIDO'!I26,'9.08 KABONG-KOTIDO-24h'!I26,'10.08 KABONG-KOTIDO-24h'!I26,'11.08 KABONG-KOTITDO'!I26)</f>
        <v>0.14285714285714285</v>
      </c>
      <c r="J26" s="49">
        <f>AVERAGE('05.08 KABONG-KOTIDO'!J26,'06.07 KABONG-KOTIDO'!J26,'07.08 KABONG-KOTIDO'!J26,'08.08 KABONG-KOTIDO'!J26,'9.08 KABONG-KOTIDO-24h'!J26,'10.08 KABONG-KOTIDO-24h'!J26,'11.08 KABONG-KOTITDO'!J26)</f>
        <v>0.14285714285714285</v>
      </c>
      <c r="K26" s="49">
        <f>AVERAGE('05.08 KABONG-KOTIDO'!K26,'06.07 KABONG-KOTIDO'!K26,'07.08 KABONG-KOTIDO'!K26,'08.08 KABONG-KOTIDO'!K26,'9.08 KABONG-KOTIDO-24h'!K26,'10.08 KABONG-KOTIDO-24h'!K26,'11.08 KABONG-KOTITDO'!K26)</f>
        <v>0</v>
      </c>
      <c r="L26" s="49">
        <f>AVERAGE('05.08 KABONG-KOTIDO'!L26,'06.07 KABONG-KOTIDO'!L26,'07.08 KABONG-KOTIDO'!L26,'08.08 KABONG-KOTIDO'!L26,'9.08 KABONG-KOTIDO-24h'!L26,'10.08 KABONG-KOTIDO-24h'!L26,'11.08 KABONG-KOTITDO'!L26)</f>
        <v>0</v>
      </c>
      <c r="M26" s="49">
        <f>AVERAGE('05.08 KABONG-KOTIDO'!M26,'06.07 KABONG-KOTIDO'!M26,'07.08 KABONG-KOTIDO'!M26,'08.08 KABONG-KOTIDO'!M26,'9.08 KABONG-KOTIDO-24h'!M26,'10.08 KABONG-KOTIDO-24h'!M26,'11.08 KABONG-KOTITDO'!M26)</f>
        <v>0</v>
      </c>
      <c r="N26" s="49">
        <f>AVERAGE('05.08 KABONG-KOTIDO'!N26,'06.07 KABONG-KOTIDO'!N26,'07.08 KABONG-KOTIDO'!N26,'08.08 KABONG-KOTIDO'!N26,'9.08 KABONG-KOTIDO-24h'!N26,'10.08 KABONG-KOTIDO-24h'!N26,'11.08 KABONG-KOTITDO'!N26)</f>
        <v>0</v>
      </c>
      <c r="O26" s="15">
        <f t="shared" si="0"/>
        <v>0.42857142857142855</v>
      </c>
      <c r="P26" s="15">
        <f t="shared" si="1"/>
        <v>0.42857142857142855</v>
      </c>
      <c r="R26" s="1" t="s">
        <v>150</v>
      </c>
      <c r="S26" s="34">
        <f>SUM(C74:C77)</f>
        <v>0</v>
      </c>
      <c r="T26" s="34">
        <f t="shared" ref="T26:AF26" si="18">SUM(D74:D77)</f>
        <v>1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2</v>
      </c>
      <c r="AD26" s="34">
        <f t="shared" si="18"/>
        <v>0</v>
      </c>
      <c r="AE26" s="31">
        <f t="shared" si="18"/>
        <v>1</v>
      </c>
      <c r="AF26" s="31">
        <f t="shared" si="18"/>
        <v>3</v>
      </c>
    </row>
    <row r="27" spans="2:32" ht="23.1" customHeight="1" x14ac:dyDescent="0.25">
      <c r="B27" s="23" t="s">
        <v>54</v>
      </c>
      <c r="C27" s="49">
        <f>AVERAGE('05.08 KABONG-KOTIDO'!C27,'06.07 KABONG-KOTIDO'!C27,'07.08 KABONG-KOTIDO'!C27,'08.08 KABONG-KOTIDO'!C27,'9.08 KABONG-KOTIDO-24h'!C27,'10.08 KABONG-KOTIDO-24h'!C27,'11.08 KABONG-KOTITDO'!C27)</f>
        <v>0</v>
      </c>
      <c r="D27" s="49">
        <f>AVERAGE('05.08 KABONG-KOTIDO'!D27,'06.07 KABONG-KOTIDO'!D27,'07.08 KABONG-KOTIDO'!D27,'08.08 KABONG-KOTIDO'!D27,'9.08 KABONG-KOTIDO-24h'!D27,'10.08 KABONG-KOTIDO-24h'!D27,'11.08 KABONG-KOTITDO'!D27)</f>
        <v>0</v>
      </c>
      <c r="E27" s="49">
        <f>AVERAGE('05.08 KABONG-KOTIDO'!E27,'06.07 KABONG-KOTIDO'!E27,'07.08 KABONG-KOTIDO'!E27,'08.08 KABONG-KOTIDO'!E27,'9.08 KABONG-KOTIDO-24h'!E27,'10.08 KABONG-KOTIDO-24h'!E27,'11.08 KABONG-KOTITDO'!E27)</f>
        <v>0</v>
      </c>
      <c r="F27" s="49">
        <f>AVERAGE('05.08 KABONG-KOTIDO'!F27,'06.07 KABONG-KOTIDO'!F27,'07.08 KABONG-KOTIDO'!F27,'08.08 KABONG-KOTIDO'!F27,'9.08 KABONG-KOTIDO-24h'!F27,'10.08 KABONG-KOTIDO-24h'!F27,'11.08 KABONG-KOTITDO'!F27)</f>
        <v>0</v>
      </c>
      <c r="G27" s="49">
        <f>AVERAGE('05.08 KABONG-KOTIDO'!G27,'06.07 KABONG-KOTIDO'!G27,'07.08 KABONG-KOTIDO'!G27,'08.08 KABONG-KOTIDO'!G27,'9.08 KABONG-KOTIDO-24h'!G27,'10.08 KABONG-KOTIDO-24h'!G27,'11.08 KABONG-KOTITDO'!G27)</f>
        <v>0</v>
      </c>
      <c r="H27" s="49">
        <f>AVERAGE('05.08 KABONG-KOTIDO'!H27,'06.07 KABONG-KOTIDO'!H27,'07.08 KABONG-KOTIDO'!H27,'08.08 KABONG-KOTIDO'!H27,'9.08 KABONG-KOTIDO-24h'!H27,'10.08 KABONG-KOTIDO-24h'!H27,'11.08 KABONG-KOTITDO'!H27)</f>
        <v>0</v>
      </c>
      <c r="I27" s="49">
        <f>AVERAGE('05.08 KABONG-KOTIDO'!I27,'06.07 KABONG-KOTIDO'!I27,'07.08 KABONG-KOTIDO'!I27,'08.08 KABONG-KOTIDO'!I27,'9.08 KABONG-KOTIDO-24h'!I27,'10.08 KABONG-KOTIDO-24h'!I27,'11.08 KABONG-KOTITDO'!I27)</f>
        <v>0</v>
      </c>
      <c r="J27" s="49">
        <f>AVERAGE('05.08 KABONG-KOTIDO'!J27,'06.07 KABONG-KOTIDO'!J27,'07.08 KABONG-KOTIDO'!J27,'08.08 KABONG-KOTIDO'!J27,'9.08 KABONG-KOTIDO-24h'!J27,'10.08 KABONG-KOTIDO-24h'!J27,'11.08 KABONG-KOTITDO'!J27)</f>
        <v>0</v>
      </c>
      <c r="K27" s="49">
        <f>AVERAGE('05.08 KABONG-KOTIDO'!K27,'06.07 KABONG-KOTIDO'!K27,'07.08 KABONG-KOTIDO'!K27,'08.08 KABONG-KOTIDO'!K27,'9.08 KABONG-KOTIDO-24h'!K27,'10.08 KABONG-KOTIDO-24h'!K27,'11.08 KABONG-KOTITDO'!K27)</f>
        <v>0</v>
      </c>
      <c r="L27" s="49">
        <f>AVERAGE('05.08 KABONG-KOTIDO'!L27,'06.07 KABONG-KOTIDO'!L27,'07.08 KABONG-KOTIDO'!L27,'08.08 KABONG-KOTIDO'!L27,'9.08 KABONG-KOTIDO-24h'!L27,'10.08 KABONG-KOTIDO-24h'!L27,'11.08 KABONG-KOTITDO'!L27)</f>
        <v>0</v>
      </c>
      <c r="M27" s="49">
        <f>AVERAGE('05.08 KABONG-KOTIDO'!M27,'06.07 KABONG-KOTIDO'!M27,'07.08 KABONG-KOTIDO'!M27,'08.08 KABONG-KOTIDO'!M27,'9.08 KABONG-KOTIDO-24h'!M27,'10.08 KABONG-KOTIDO-24h'!M27,'11.08 KABONG-KOTITDO'!M27)</f>
        <v>0.2857142857142857</v>
      </c>
      <c r="N27" s="49">
        <f>AVERAGE('05.08 KABONG-KOTIDO'!N27,'06.07 KABONG-KOTIDO'!N27,'07.08 KABONG-KOTIDO'!N27,'08.08 KABONG-KOTIDO'!N27,'9.08 KABONG-KOTIDO-24h'!N27,'10.08 KABONG-KOTIDO-24h'!N27,'11.08 KABONG-KOTITDO'!N27)</f>
        <v>0</v>
      </c>
      <c r="O27" s="15">
        <f t="shared" si="0"/>
        <v>0</v>
      </c>
      <c r="P27" s="15">
        <f t="shared" si="1"/>
        <v>0.2857142857142857</v>
      </c>
      <c r="R27" s="1" t="s">
        <v>151</v>
      </c>
      <c r="S27" s="34">
        <f>SUM(C78:C81)</f>
        <v>0</v>
      </c>
      <c r="T27" s="34">
        <f t="shared" ref="T27:AF27" si="19">SUM(D78:D81)</f>
        <v>0.5</v>
      </c>
      <c r="U27" s="34">
        <f t="shared" si="19"/>
        <v>0.5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3</v>
      </c>
      <c r="AD27" s="34">
        <f t="shared" si="19"/>
        <v>0</v>
      </c>
      <c r="AE27" s="31">
        <f t="shared" si="19"/>
        <v>1</v>
      </c>
      <c r="AF27" s="31">
        <f t="shared" si="19"/>
        <v>4</v>
      </c>
    </row>
    <row r="28" spans="2:32" ht="23.1" customHeight="1" x14ac:dyDescent="0.25">
      <c r="B28" s="23" t="s">
        <v>55</v>
      </c>
      <c r="C28" s="49">
        <f>AVERAGE('05.08 KABONG-KOTIDO'!C28,'06.07 KABONG-KOTIDO'!C28,'07.08 KABONG-KOTIDO'!C28,'08.08 KABONG-KOTIDO'!C28,'9.08 KABONG-KOTIDO-24h'!C28,'10.08 KABONG-KOTIDO-24h'!C28,'11.08 KABONG-KOTITDO'!C28)</f>
        <v>0</v>
      </c>
      <c r="D28" s="49">
        <f>AVERAGE('05.08 KABONG-KOTIDO'!D28,'06.07 KABONG-KOTIDO'!D28,'07.08 KABONG-KOTIDO'!D28,'08.08 KABONG-KOTIDO'!D28,'9.08 KABONG-KOTIDO-24h'!D28,'10.08 KABONG-KOTIDO-24h'!D28,'11.08 KABONG-KOTITDO'!D28)</f>
        <v>0.14285714285714285</v>
      </c>
      <c r="E28" s="49">
        <f>AVERAGE('05.08 KABONG-KOTIDO'!E28,'06.07 KABONG-KOTIDO'!E28,'07.08 KABONG-KOTIDO'!E28,'08.08 KABONG-KOTIDO'!E28,'9.08 KABONG-KOTIDO-24h'!E28,'10.08 KABONG-KOTIDO-24h'!E28,'11.08 KABONG-KOTITDO'!E28)</f>
        <v>0.14285714285714285</v>
      </c>
      <c r="F28" s="49">
        <f>AVERAGE('05.08 KABONG-KOTIDO'!F28,'06.07 KABONG-KOTIDO'!F28,'07.08 KABONG-KOTIDO'!F28,'08.08 KABONG-KOTIDO'!F28,'9.08 KABONG-KOTIDO-24h'!F28,'10.08 KABONG-KOTIDO-24h'!F28,'11.08 KABONG-KOTITDO'!F28)</f>
        <v>0</v>
      </c>
      <c r="G28" s="49">
        <f>AVERAGE('05.08 KABONG-KOTIDO'!G28,'06.07 KABONG-KOTIDO'!G28,'07.08 KABONG-KOTIDO'!G28,'08.08 KABONG-KOTIDO'!G28,'9.08 KABONG-KOTIDO-24h'!G28,'10.08 KABONG-KOTIDO-24h'!G28,'11.08 KABONG-KOTITDO'!G28)</f>
        <v>0</v>
      </c>
      <c r="H28" s="49">
        <f>AVERAGE('05.08 KABONG-KOTIDO'!H28,'06.07 KABONG-KOTIDO'!H28,'07.08 KABONG-KOTIDO'!H28,'08.08 KABONG-KOTIDO'!H28,'9.08 KABONG-KOTIDO-24h'!H28,'10.08 KABONG-KOTIDO-24h'!H28,'11.08 KABONG-KOTITDO'!H28)</f>
        <v>0</v>
      </c>
      <c r="I28" s="49">
        <f>AVERAGE('05.08 KABONG-KOTIDO'!I28,'06.07 KABONG-KOTIDO'!I28,'07.08 KABONG-KOTIDO'!I28,'08.08 KABONG-KOTIDO'!I28,'9.08 KABONG-KOTIDO-24h'!I28,'10.08 KABONG-KOTIDO-24h'!I28,'11.08 KABONG-KOTITDO'!I28)</f>
        <v>0</v>
      </c>
      <c r="J28" s="49">
        <f>AVERAGE('05.08 KABONG-KOTIDO'!J28,'06.07 KABONG-KOTIDO'!J28,'07.08 KABONG-KOTIDO'!J28,'08.08 KABONG-KOTIDO'!J28,'9.08 KABONG-KOTIDO-24h'!J28,'10.08 KABONG-KOTIDO-24h'!J28,'11.08 KABONG-KOTITDO'!J28)</f>
        <v>0</v>
      </c>
      <c r="K28" s="49">
        <f>AVERAGE('05.08 KABONG-KOTIDO'!K28,'06.07 KABONG-KOTIDO'!K28,'07.08 KABONG-KOTIDO'!K28,'08.08 KABONG-KOTIDO'!K28,'9.08 KABONG-KOTIDO-24h'!K28,'10.08 KABONG-KOTIDO-24h'!K28,'11.08 KABONG-KOTITDO'!K28)</f>
        <v>0</v>
      </c>
      <c r="L28" s="49">
        <f>AVERAGE('05.08 KABONG-KOTIDO'!L28,'06.07 KABONG-KOTIDO'!L28,'07.08 KABONG-KOTIDO'!L28,'08.08 KABONG-KOTIDO'!L28,'9.08 KABONG-KOTIDO-24h'!L28,'10.08 KABONG-KOTIDO-24h'!L28,'11.08 KABONG-KOTITDO'!L28)</f>
        <v>0</v>
      </c>
      <c r="M28" s="49">
        <f>AVERAGE('05.08 KABONG-KOTIDO'!M28,'06.07 KABONG-KOTIDO'!M28,'07.08 KABONG-KOTIDO'!M28,'08.08 KABONG-KOTIDO'!M28,'9.08 KABONG-KOTIDO-24h'!M28,'10.08 KABONG-KOTIDO-24h'!M28,'11.08 KABONG-KOTITDO'!M28)</f>
        <v>0.7142857142857143</v>
      </c>
      <c r="N28" s="49">
        <f>AVERAGE('05.08 KABONG-KOTIDO'!N28,'06.07 KABONG-KOTIDO'!N28,'07.08 KABONG-KOTIDO'!N28,'08.08 KABONG-KOTIDO'!N28,'9.08 KABONG-KOTIDO-24h'!N28,'10.08 KABONG-KOTIDO-24h'!N28,'11.08 KABONG-KOTITDO'!N28)</f>
        <v>0</v>
      </c>
      <c r="O28" s="15">
        <f t="shared" si="0"/>
        <v>0.2857142857142857</v>
      </c>
      <c r="P28" s="15">
        <f t="shared" si="1"/>
        <v>1</v>
      </c>
      <c r="R28" s="1" t="s">
        <v>152</v>
      </c>
      <c r="S28" s="34">
        <f>SUM(C82:C85)</f>
        <v>0</v>
      </c>
      <c r="T28" s="34">
        <f t="shared" ref="T28:AF28" si="20">SUM(D82:D85)</f>
        <v>1.5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0.5</v>
      </c>
      <c r="Z28" s="34">
        <f t="shared" si="20"/>
        <v>0.5</v>
      </c>
      <c r="AA28" s="34">
        <f t="shared" si="20"/>
        <v>0</v>
      </c>
      <c r="AB28" s="34">
        <f t="shared" si="20"/>
        <v>0</v>
      </c>
      <c r="AC28" s="34">
        <f t="shared" si="20"/>
        <v>2.5</v>
      </c>
      <c r="AD28" s="34">
        <f t="shared" si="20"/>
        <v>0</v>
      </c>
      <c r="AE28" s="31">
        <f t="shared" si="20"/>
        <v>2.5</v>
      </c>
      <c r="AF28" s="31">
        <f t="shared" si="20"/>
        <v>5</v>
      </c>
    </row>
    <row r="29" spans="2:32" ht="23.1" customHeight="1" x14ac:dyDescent="0.25">
      <c r="B29" s="23" t="s">
        <v>56</v>
      </c>
      <c r="C29" s="49">
        <f>AVERAGE('05.08 KABONG-KOTIDO'!C29,'06.07 KABONG-KOTIDO'!C29,'07.08 KABONG-KOTIDO'!C29,'08.08 KABONG-KOTIDO'!C29,'9.08 KABONG-KOTIDO-24h'!C29,'10.08 KABONG-KOTIDO-24h'!C29,'11.08 KABONG-KOTITDO'!C29)</f>
        <v>0.14285714285714285</v>
      </c>
      <c r="D29" s="49">
        <f>AVERAGE('05.08 KABONG-KOTIDO'!D29,'06.07 KABONG-KOTIDO'!D29,'07.08 KABONG-KOTIDO'!D29,'08.08 KABONG-KOTIDO'!D29,'9.08 KABONG-KOTIDO-24h'!D29,'10.08 KABONG-KOTIDO-24h'!D29,'11.08 KABONG-KOTITDO'!D29)</f>
        <v>0.2857142857142857</v>
      </c>
      <c r="E29" s="49">
        <f>AVERAGE('05.08 KABONG-KOTIDO'!E29,'06.07 KABONG-KOTIDO'!E29,'07.08 KABONG-KOTIDO'!E29,'08.08 KABONG-KOTIDO'!E29,'9.08 KABONG-KOTIDO-24h'!E29,'10.08 KABONG-KOTIDO-24h'!E29,'11.08 KABONG-KOTITDO'!E29)</f>
        <v>0</v>
      </c>
      <c r="F29" s="49">
        <f>AVERAGE('05.08 KABONG-KOTIDO'!F29,'06.07 KABONG-KOTIDO'!F29,'07.08 KABONG-KOTIDO'!F29,'08.08 KABONG-KOTIDO'!F29,'9.08 KABONG-KOTIDO-24h'!F29,'10.08 KABONG-KOTIDO-24h'!F29,'11.08 KABONG-KOTITDO'!F29)</f>
        <v>0</v>
      </c>
      <c r="G29" s="49">
        <f>AVERAGE('05.08 KABONG-KOTIDO'!G29,'06.07 KABONG-KOTIDO'!G29,'07.08 KABONG-KOTIDO'!G29,'08.08 KABONG-KOTIDO'!G29,'9.08 KABONG-KOTIDO-24h'!G29,'10.08 KABONG-KOTIDO-24h'!G29,'11.08 KABONG-KOTITDO'!G29)</f>
        <v>0</v>
      </c>
      <c r="H29" s="49">
        <f>AVERAGE('05.08 KABONG-KOTIDO'!H29,'06.07 KABONG-KOTIDO'!H29,'07.08 KABONG-KOTIDO'!H29,'08.08 KABONG-KOTIDO'!H29,'9.08 KABONG-KOTIDO-24h'!H29,'10.08 KABONG-KOTIDO-24h'!H29,'11.08 KABONG-KOTITDO'!H29)</f>
        <v>0</v>
      </c>
      <c r="I29" s="49">
        <f>AVERAGE('05.08 KABONG-KOTIDO'!I29,'06.07 KABONG-KOTIDO'!I29,'07.08 KABONG-KOTIDO'!I29,'08.08 KABONG-KOTIDO'!I29,'9.08 KABONG-KOTIDO-24h'!I29,'10.08 KABONG-KOTIDO-24h'!I29,'11.08 KABONG-KOTITDO'!I29)</f>
        <v>0.14285714285714285</v>
      </c>
      <c r="J29" s="49">
        <f>AVERAGE('05.08 KABONG-KOTIDO'!J29,'06.07 KABONG-KOTIDO'!J29,'07.08 KABONG-KOTIDO'!J29,'08.08 KABONG-KOTIDO'!J29,'9.08 KABONG-KOTIDO-24h'!J29,'10.08 KABONG-KOTIDO-24h'!J29,'11.08 KABONG-KOTITDO'!J29)</f>
        <v>0.14285714285714285</v>
      </c>
      <c r="K29" s="49">
        <f>AVERAGE('05.08 KABONG-KOTIDO'!K29,'06.07 KABONG-KOTIDO'!K29,'07.08 KABONG-KOTIDO'!K29,'08.08 KABONG-KOTIDO'!K29,'9.08 KABONG-KOTIDO-24h'!K29,'10.08 KABONG-KOTIDO-24h'!K29,'11.08 KABONG-KOTITDO'!K29)</f>
        <v>0</v>
      </c>
      <c r="L29" s="49">
        <f>AVERAGE('05.08 KABONG-KOTIDO'!L29,'06.07 KABONG-KOTIDO'!L29,'07.08 KABONG-KOTIDO'!L29,'08.08 KABONG-KOTIDO'!L29,'9.08 KABONG-KOTIDO-24h'!L29,'10.08 KABONG-KOTIDO-24h'!L29,'11.08 KABONG-KOTITDO'!L29)</f>
        <v>0</v>
      </c>
      <c r="M29" s="49">
        <f>AVERAGE('05.08 KABONG-KOTIDO'!M29,'06.07 KABONG-KOTIDO'!M29,'07.08 KABONG-KOTIDO'!M29,'08.08 KABONG-KOTIDO'!M29,'9.08 KABONG-KOTIDO-24h'!M29,'10.08 KABONG-KOTIDO-24h'!M29,'11.08 KABONG-KOTITDO'!M29)</f>
        <v>0.2857142857142857</v>
      </c>
      <c r="N29" s="49">
        <f>AVERAGE('05.08 KABONG-KOTIDO'!N29,'06.07 KABONG-KOTIDO'!N29,'07.08 KABONG-KOTIDO'!N29,'08.08 KABONG-KOTIDO'!N29,'9.08 KABONG-KOTIDO-24h'!N29,'10.08 KABONG-KOTIDO-24h'!N29,'11.08 KABONG-KOTITDO'!N29)</f>
        <v>0</v>
      </c>
      <c r="O29" s="15">
        <f t="shared" si="0"/>
        <v>0.71428571428571419</v>
      </c>
      <c r="P29" s="15">
        <f t="shared" si="1"/>
        <v>0.99999999999999989</v>
      </c>
      <c r="R29" s="1" t="s">
        <v>153</v>
      </c>
      <c r="S29" s="34">
        <f>SUM(C86:C89)</f>
        <v>0</v>
      </c>
      <c r="T29" s="34">
        <f t="shared" ref="T29:AF29" si="21">SUM(D86:D89)</f>
        <v>1</v>
      </c>
      <c r="U29" s="34">
        <f t="shared" si="21"/>
        <v>0.5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1.5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3</v>
      </c>
      <c r="AF29" s="31">
        <f t="shared" si="21"/>
        <v>3</v>
      </c>
    </row>
    <row r="30" spans="2:32" ht="23.1" customHeight="1" x14ac:dyDescent="0.25">
      <c r="B30" s="23" t="s">
        <v>57</v>
      </c>
      <c r="C30" s="49">
        <f>AVERAGE('05.08 KABONG-KOTIDO'!C30,'06.07 KABONG-KOTIDO'!C30,'07.08 KABONG-KOTIDO'!C30,'08.08 KABONG-KOTIDO'!C30,'9.08 KABONG-KOTIDO-24h'!C30,'10.08 KABONG-KOTIDO-24h'!C30,'11.08 KABONG-KOTITDO'!C30)</f>
        <v>0</v>
      </c>
      <c r="D30" s="49">
        <f>AVERAGE('05.08 KABONG-KOTIDO'!D30,'06.07 KABONG-KOTIDO'!D30,'07.08 KABONG-KOTIDO'!D30,'08.08 KABONG-KOTIDO'!D30,'9.08 KABONG-KOTIDO-24h'!D30,'10.08 KABONG-KOTIDO-24h'!D30,'11.08 KABONG-KOTITDO'!D30)</f>
        <v>0</v>
      </c>
      <c r="E30" s="49">
        <f>AVERAGE('05.08 KABONG-KOTIDO'!E30,'06.07 KABONG-KOTIDO'!E30,'07.08 KABONG-KOTIDO'!E30,'08.08 KABONG-KOTIDO'!E30,'9.08 KABONG-KOTIDO-24h'!E30,'10.08 KABONG-KOTIDO-24h'!E30,'11.08 KABONG-KOTITDO'!E30)</f>
        <v>0</v>
      </c>
      <c r="F30" s="49">
        <f>AVERAGE('05.08 KABONG-KOTIDO'!F30,'06.07 KABONG-KOTIDO'!F30,'07.08 KABONG-KOTIDO'!F30,'08.08 KABONG-KOTIDO'!F30,'9.08 KABONG-KOTIDO-24h'!F30,'10.08 KABONG-KOTIDO-24h'!F30,'11.08 KABONG-KOTITDO'!F30)</f>
        <v>0</v>
      </c>
      <c r="G30" s="49">
        <f>AVERAGE('05.08 KABONG-KOTIDO'!G30,'06.07 KABONG-KOTIDO'!G30,'07.08 KABONG-KOTIDO'!G30,'08.08 KABONG-KOTIDO'!G30,'9.08 KABONG-KOTIDO-24h'!G30,'10.08 KABONG-KOTIDO-24h'!G30,'11.08 KABONG-KOTITDO'!G30)</f>
        <v>0</v>
      </c>
      <c r="H30" s="49">
        <f>AVERAGE('05.08 KABONG-KOTIDO'!H30,'06.07 KABONG-KOTIDO'!H30,'07.08 KABONG-KOTIDO'!H30,'08.08 KABONG-KOTIDO'!H30,'9.08 KABONG-KOTIDO-24h'!H30,'10.08 KABONG-KOTIDO-24h'!H30,'11.08 KABONG-KOTITDO'!H30)</f>
        <v>0</v>
      </c>
      <c r="I30" s="49">
        <f>AVERAGE('05.08 KABONG-KOTIDO'!I30,'06.07 KABONG-KOTIDO'!I30,'07.08 KABONG-KOTIDO'!I30,'08.08 KABONG-KOTIDO'!I30,'9.08 KABONG-KOTIDO-24h'!I30,'10.08 KABONG-KOTIDO-24h'!I30,'11.08 KABONG-KOTITDO'!I30)</f>
        <v>0</v>
      </c>
      <c r="J30" s="49">
        <f>AVERAGE('05.08 KABONG-KOTIDO'!J30,'06.07 KABONG-KOTIDO'!J30,'07.08 KABONG-KOTIDO'!J30,'08.08 KABONG-KOTIDO'!J30,'9.08 KABONG-KOTIDO-24h'!J30,'10.08 KABONG-KOTIDO-24h'!J30,'11.08 KABONG-KOTITDO'!J30)</f>
        <v>0</v>
      </c>
      <c r="K30" s="49">
        <f>AVERAGE('05.08 KABONG-KOTIDO'!K30,'06.07 KABONG-KOTIDO'!K30,'07.08 KABONG-KOTIDO'!K30,'08.08 KABONG-KOTIDO'!K30,'9.08 KABONG-KOTIDO-24h'!K30,'10.08 KABONG-KOTIDO-24h'!K30,'11.08 KABONG-KOTITDO'!K30)</f>
        <v>0</v>
      </c>
      <c r="L30" s="49">
        <f>AVERAGE('05.08 KABONG-KOTIDO'!L30,'06.07 KABONG-KOTIDO'!L30,'07.08 KABONG-KOTIDO'!L30,'08.08 KABONG-KOTIDO'!L30,'9.08 KABONG-KOTIDO-24h'!L30,'10.08 KABONG-KOTIDO-24h'!L30,'11.08 KABONG-KOTITDO'!L30)</f>
        <v>0</v>
      </c>
      <c r="M30" s="49">
        <f>AVERAGE('05.08 KABONG-KOTIDO'!M30,'06.07 KABONG-KOTIDO'!M30,'07.08 KABONG-KOTIDO'!M30,'08.08 KABONG-KOTIDO'!M30,'9.08 KABONG-KOTIDO-24h'!M30,'10.08 KABONG-KOTIDO-24h'!M30,'11.08 KABONG-KOTITDO'!M30)</f>
        <v>0.8571428571428571</v>
      </c>
      <c r="N30" s="49">
        <f>AVERAGE('05.08 KABONG-KOTIDO'!N30,'06.07 KABONG-KOTIDO'!N30,'07.08 KABONG-KOTIDO'!N30,'08.08 KABONG-KOTIDO'!N30,'9.08 KABONG-KOTIDO-24h'!N30,'10.08 KABONG-KOTIDO-24h'!N30,'11.08 KABONG-KOTITDO'!N30)</f>
        <v>0</v>
      </c>
      <c r="O30" s="15">
        <f t="shared" si="0"/>
        <v>0</v>
      </c>
      <c r="P30" s="15">
        <f t="shared" si="1"/>
        <v>0.8571428571428571</v>
      </c>
      <c r="R30" s="1" t="s">
        <v>154</v>
      </c>
      <c r="S30" s="34">
        <f>SUM(C90:C93)</f>
        <v>0</v>
      </c>
      <c r="T30" s="34">
        <f t="shared" ref="T30:AF30" si="22">SUM(D90:D93)</f>
        <v>0.5</v>
      </c>
      <c r="U30" s="34">
        <f t="shared" si="22"/>
        <v>0.5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1.5</v>
      </c>
      <c r="Z30" s="34">
        <f t="shared" si="22"/>
        <v>0.5</v>
      </c>
      <c r="AA30" s="34">
        <f t="shared" si="22"/>
        <v>0</v>
      </c>
      <c r="AB30" s="34">
        <f t="shared" si="22"/>
        <v>0</v>
      </c>
      <c r="AC30" s="34">
        <f t="shared" si="22"/>
        <v>1</v>
      </c>
      <c r="AD30" s="34">
        <f t="shared" si="22"/>
        <v>0</v>
      </c>
      <c r="AE30" s="31">
        <f t="shared" si="22"/>
        <v>3</v>
      </c>
      <c r="AF30" s="31">
        <f t="shared" si="22"/>
        <v>4</v>
      </c>
    </row>
    <row r="31" spans="2:32" ht="23.1" customHeight="1" x14ac:dyDescent="0.25">
      <c r="B31" s="24" t="s">
        <v>58</v>
      </c>
      <c r="C31" s="49">
        <f>AVERAGE('05.08 KABONG-KOTIDO'!C31,'06.07 KABONG-KOTIDO'!C31,'07.08 KABONG-KOTIDO'!C31,'08.08 KABONG-KOTIDO'!C31,'9.08 KABONG-KOTIDO-24h'!C31,'10.08 KABONG-KOTIDO-24h'!C31,'11.08 KABONG-KOTITDO'!C31)</f>
        <v>0</v>
      </c>
      <c r="D31" s="49">
        <f>AVERAGE('05.08 KABONG-KOTIDO'!D31,'06.07 KABONG-KOTIDO'!D31,'07.08 KABONG-KOTIDO'!D31,'08.08 KABONG-KOTIDO'!D31,'9.08 KABONG-KOTIDO-24h'!D31,'10.08 KABONG-KOTIDO-24h'!D31,'11.08 KABONG-KOTITDO'!D31)</f>
        <v>0</v>
      </c>
      <c r="E31" s="49">
        <f>AVERAGE('05.08 KABONG-KOTIDO'!E31,'06.07 KABONG-KOTIDO'!E31,'07.08 KABONG-KOTIDO'!E31,'08.08 KABONG-KOTIDO'!E31,'9.08 KABONG-KOTIDO-24h'!E31,'10.08 KABONG-KOTIDO-24h'!E31,'11.08 KABONG-KOTITDO'!E31)</f>
        <v>0.2857142857142857</v>
      </c>
      <c r="F31" s="49">
        <f>AVERAGE('05.08 KABONG-KOTIDO'!F31,'06.07 KABONG-KOTIDO'!F31,'07.08 KABONG-KOTIDO'!F31,'08.08 KABONG-KOTIDO'!F31,'9.08 KABONG-KOTIDO-24h'!F31,'10.08 KABONG-KOTIDO-24h'!F31,'11.08 KABONG-KOTITDO'!F31)</f>
        <v>0.14285714285714285</v>
      </c>
      <c r="G31" s="49">
        <f>AVERAGE('05.08 KABONG-KOTIDO'!G31,'06.07 KABONG-KOTIDO'!G31,'07.08 KABONG-KOTIDO'!G31,'08.08 KABONG-KOTIDO'!G31,'9.08 KABONG-KOTIDO-24h'!G31,'10.08 KABONG-KOTIDO-24h'!G31,'11.08 KABONG-KOTITDO'!G31)</f>
        <v>0</v>
      </c>
      <c r="H31" s="49">
        <f>AVERAGE('05.08 KABONG-KOTIDO'!H31,'06.07 KABONG-KOTIDO'!H31,'07.08 KABONG-KOTIDO'!H31,'08.08 KABONG-KOTIDO'!H31,'9.08 KABONG-KOTIDO-24h'!H31,'10.08 KABONG-KOTIDO-24h'!H31,'11.08 KABONG-KOTITDO'!H31)</f>
        <v>0</v>
      </c>
      <c r="I31" s="49">
        <f>AVERAGE('05.08 KABONG-KOTIDO'!I31,'06.07 KABONG-KOTIDO'!I31,'07.08 KABONG-KOTIDO'!I31,'08.08 KABONG-KOTIDO'!I31,'9.08 KABONG-KOTIDO-24h'!I31,'10.08 KABONG-KOTIDO-24h'!I31,'11.08 KABONG-KOTITDO'!I31)</f>
        <v>0</v>
      </c>
      <c r="J31" s="49">
        <f>AVERAGE('05.08 KABONG-KOTIDO'!J31,'06.07 KABONG-KOTIDO'!J31,'07.08 KABONG-KOTIDO'!J31,'08.08 KABONG-KOTIDO'!J31,'9.08 KABONG-KOTIDO-24h'!J31,'10.08 KABONG-KOTIDO-24h'!J31,'11.08 KABONG-KOTITDO'!J31)</f>
        <v>0</v>
      </c>
      <c r="K31" s="49">
        <f>AVERAGE('05.08 KABONG-KOTIDO'!K31,'06.07 KABONG-KOTIDO'!K31,'07.08 KABONG-KOTIDO'!K31,'08.08 KABONG-KOTIDO'!K31,'9.08 KABONG-KOTIDO-24h'!K31,'10.08 KABONG-KOTIDO-24h'!K31,'11.08 KABONG-KOTITDO'!K31)</f>
        <v>0</v>
      </c>
      <c r="L31" s="49">
        <f>AVERAGE('05.08 KABONG-KOTIDO'!L31,'06.07 KABONG-KOTIDO'!L31,'07.08 KABONG-KOTIDO'!L31,'08.08 KABONG-KOTIDO'!L31,'9.08 KABONG-KOTIDO-24h'!L31,'10.08 KABONG-KOTIDO-24h'!L31,'11.08 KABONG-KOTITDO'!L31)</f>
        <v>0</v>
      </c>
      <c r="M31" s="49">
        <f>AVERAGE('05.08 KABONG-KOTIDO'!M31,'06.07 KABONG-KOTIDO'!M31,'07.08 KABONG-KOTIDO'!M31,'08.08 KABONG-KOTIDO'!M31,'9.08 KABONG-KOTIDO-24h'!M31,'10.08 KABONG-KOTIDO-24h'!M31,'11.08 KABONG-KOTITDO'!M31)</f>
        <v>1</v>
      </c>
      <c r="N31" s="49">
        <f>AVERAGE('05.08 KABONG-KOTIDO'!N31,'06.07 KABONG-KOTIDO'!N31,'07.08 KABONG-KOTIDO'!N31,'08.08 KABONG-KOTIDO'!N31,'9.08 KABONG-KOTIDO-24h'!N31,'10.08 KABONG-KOTIDO-24h'!N31,'11.08 KABONG-KOTITDO'!N31)</f>
        <v>0</v>
      </c>
      <c r="O31" s="15">
        <f t="shared" si="0"/>
        <v>0.42857142857142855</v>
      </c>
      <c r="P31" s="15">
        <f t="shared" si="1"/>
        <v>1.4285714285714286</v>
      </c>
      <c r="R31" s="1" t="s">
        <v>155</v>
      </c>
      <c r="S31" s="34">
        <f>SUM(C94:C97)</f>
        <v>0</v>
      </c>
      <c r="T31" s="34">
        <f t="shared" ref="T31:AF31" si="23">SUM(D94:D97)</f>
        <v>2.5</v>
      </c>
      <c r="U31" s="34">
        <f t="shared" si="23"/>
        <v>1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0.5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0.5</v>
      </c>
      <c r="AD31" s="34">
        <f t="shared" si="23"/>
        <v>0</v>
      </c>
      <c r="AE31" s="31">
        <f t="shared" si="23"/>
        <v>4</v>
      </c>
      <c r="AF31" s="31">
        <f t="shared" si="23"/>
        <v>4.5</v>
      </c>
    </row>
    <row r="32" spans="2:32" ht="23.1" customHeight="1" x14ac:dyDescent="0.25">
      <c r="B32" s="24" t="s">
        <v>59</v>
      </c>
      <c r="C32" s="49">
        <f>AVERAGE('05.08 KABONG-KOTIDO'!C32,'06.07 KABONG-KOTIDO'!C32,'07.08 KABONG-KOTIDO'!C32,'08.08 KABONG-KOTIDO'!C32,'9.08 KABONG-KOTIDO-24h'!C32,'10.08 KABONG-KOTIDO-24h'!C32,'11.08 KABONG-KOTITDO'!C32)</f>
        <v>0</v>
      </c>
      <c r="D32" s="49">
        <f>AVERAGE('05.08 KABONG-KOTIDO'!D32,'06.07 KABONG-KOTIDO'!D32,'07.08 KABONG-KOTIDO'!D32,'08.08 KABONG-KOTIDO'!D32,'9.08 KABONG-KOTIDO-24h'!D32,'10.08 KABONG-KOTIDO-24h'!D32,'11.08 KABONG-KOTITDO'!D32)</f>
        <v>0</v>
      </c>
      <c r="E32" s="49">
        <f>AVERAGE('05.08 KABONG-KOTIDO'!E32,'06.07 KABONG-KOTIDO'!E32,'07.08 KABONG-KOTIDO'!E32,'08.08 KABONG-KOTIDO'!E32,'9.08 KABONG-KOTIDO-24h'!E32,'10.08 KABONG-KOTIDO-24h'!E32,'11.08 KABONG-KOTITDO'!E32)</f>
        <v>0</v>
      </c>
      <c r="F32" s="49">
        <f>AVERAGE('05.08 KABONG-KOTIDO'!F32,'06.07 KABONG-KOTIDO'!F32,'07.08 KABONG-KOTIDO'!F32,'08.08 KABONG-KOTIDO'!F32,'9.08 KABONG-KOTIDO-24h'!F32,'10.08 KABONG-KOTIDO-24h'!F32,'11.08 KABONG-KOTITDO'!F32)</f>
        <v>0</v>
      </c>
      <c r="G32" s="49">
        <f>AVERAGE('05.08 KABONG-KOTIDO'!G32,'06.07 KABONG-KOTIDO'!G32,'07.08 KABONG-KOTIDO'!G32,'08.08 KABONG-KOTIDO'!G32,'9.08 KABONG-KOTIDO-24h'!G32,'10.08 KABONG-KOTIDO-24h'!G32,'11.08 KABONG-KOTITDO'!G32)</f>
        <v>0</v>
      </c>
      <c r="H32" s="49">
        <f>AVERAGE('05.08 KABONG-KOTIDO'!H32,'06.07 KABONG-KOTIDO'!H32,'07.08 KABONG-KOTIDO'!H32,'08.08 KABONG-KOTIDO'!H32,'9.08 KABONG-KOTIDO-24h'!H32,'10.08 KABONG-KOTIDO-24h'!H32,'11.08 KABONG-KOTITDO'!H32)</f>
        <v>0</v>
      </c>
      <c r="I32" s="49">
        <f>AVERAGE('05.08 KABONG-KOTIDO'!I32,'06.07 KABONG-KOTIDO'!I32,'07.08 KABONG-KOTIDO'!I32,'08.08 KABONG-KOTIDO'!I32,'9.08 KABONG-KOTIDO-24h'!I32,'10.08 KABONG-KOTIDO-24h'!I32,'11.08 KABONG-KOTITDO'!I32)</f>
        <v>0</v>
      </c>
      <c r="J32" s="49">
        <f>AVERAGE('05.08 KABONG-KOTIDO'!J32,'06.07 KABONG-KOTIDO'!J32,'07.08 KABONG-KOTIDO'!J32,'08.08 KABONG-KOTIDO'!J32,'9.08 KABONG-KOTIDO-24h'!J32,'10.08 KABONG-KOTIDO-24h'!J32,'11.08 KABONG-KOTITDO'!J32)</f>
        <v>0</v>
      </c>
      <c r="K32" s="49">
        <f>AVERAGE('05.08 KABONG-KOTIDO'!K32,'06.07 KABONG-KOTIDO'!K32,'07.08 KABONG-KOTIDO'!K32,'08.08 KABONG-KOTIDO'!K32,'9.08 KABONG-KOTIDO-24h'!K32,'10.08 KABONG-KOTIDO-24h'!K32,'11.08 KABONG-KOTITDO'!K32)</f>
        <v>0</v>
      </c>
      <c r="L32" s="49">
        <f>AVERAGE('05.08 KABONG-KOTIDO'!L32,'06.07 KABONG-KOTIDO'!L32,'07.08 KABONG-KOTIDO'!L32,'08.08 KABONG-KOTIDO'!L32,'9.08 KABONG-KOTIDO-24h'!L32,'10.08 KABONG-KOTIDO-24h'!L32,'11.08 KABONG-KOTITDO'!L32)</f>
        <v>0</v>
      </c>
      <c r="M32" s="49">
        <f>AVERAGE('05.08 KABONG-KOTIDO'!M32,'06.07 KABONG-KOTIDO'!M32,'07.08 KABONG-KOTIDO'!M32,'08.08 KABONG-KOTIDO'!M32,'9.08 KABONG-KOTIDO-24h'!M32,'10.08 KABONG-KOTIDO-24h'!M32,'11.08 KABONG-KOTITDO'!M32)</f>
        <v>0.7142857142857143</v>
      </c>
      <c r="N32" s="49">
        <f>AVERAGE('05.08 KABONG-KOTIDO'!N32,'06.07 KABONG-KOTIDO'!N32,'07.08 KABONG-KOTIDO'!N32,'08.08 KABONG-KOTIDO'!N32,'9.08 KABONG-KOTIDO-24h'!N32,'10.08 KABONG-KOTIDO-24h'!N32,'11.08 KABONG-KOTITDO'!N32)</f>
        <v>0</v>
      </c>
      <c r="O32" s="15">
        <f t="shared" si="0"/>
        <v>0</v>
      </c>
      <c r="P32" s="15">
        <f t="shared" si="1"/>
        <v>0.7142857142857143</v>
      </c>
      <c r="R32" s="1" t="s">
        <v>156</v>
      </c>
      <c r="S32" s="34">
        <f>SUM(C98:C101)</f>
        <v>0</v>
      </c>
      <c r="T32" s="34">
        <f t="shared" ref="T32:AF32" si="24">SUM(D98:D101)</f>
        <v>1.5</v>
      </c>
      <c r="U32" s="34">
        <f t="shared" si="24"/>
        <v>2.5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2</v>
      </c>
      <c r="AD32" s="34">
        <f t="shared" si="24"/>
        <v>0</v>
      </c>
      <c r="AE32" s="31">
        <f t="shared" si="24"/>
        <v>4</v>
      </c>
      <c r="AF32" s="31">
        <f t="shared" si="24"/>
        <v>6</v>
      </c>
    </row>
    <row r="33" spans="2:32" ht="23.1" customHeight="1" x14ac:dyDescent="0.25">
      <c r="B33" s="23" t="s">
        <v>60</v>
      </c>
      <c r="C33" s="49">
        <f>AVERAGE('05.08 KABONG-KOTIDO'!C33,'06.07 KABONG-KOTIDO'!C33,'07.08 KABONG-KOTIDO'!C33,'08.08 KABONG-KOTIDO'!C33,'9.08 KABONG-KOTIDO-24h'!C33,'10.08 KABONG-KOTIDO-24h'!C33,'11.08 KABONG-KOTITDO'!C33)</f>
        <v>0</v>
      </c>
      <c r="D33" s="49">
        <f>AVERAGE('05.08 KABONG-KOTIDO'!D33,'06.07 KABONG-KOTIDO'!D33,'07.08 KABONG-KOTIDO'!D33,'08.08 KABONG-KOTIDO'!D33,'9.08 KABONG-KOTIDO-24h'!D33,'10.08 KABONG-KOTIDO-24h'!D33,'11.08 KABONG-KOTITDO'!D33)</f>
        <v>0</v>
      </c>
      <c r="E33" s="49">
        <f>AVERAGE('05.08 KABONG-KOTIDO'!E33,'06.07 KABONG-KOTIDO'!E33,'07.08 KABONG-KOTIDO'!E33,'08.08 KABONG-KOTIDO'!E33,'9.08 KABONG-KOTIDO-24h'!E33,'10.08 KABONG-KOTIDO-24h'!E33,'11.08 KABONG-KOTITDO'!E33)</f>
        <v>0</v>
      </c>
      <c r="F33" s="49">
        <f>AVERAGE('05.08 KABONG-KOTIDO'!F33,'06.07 KABONG-KOTIDO'!F33,'07.08 KABONG-KOTIDO'!F33,'08.08 KABONG-KOTIDO'!F33,'9.08 KABONG-KOTIDO-24h'!F33,'10.08 KABONG-KOTIDO-24h'!F33,'11.08 KABONG-KOTITDO'!F33)</f>
        <v>0</v>
      </c>
      <c r="G33" s="49">
        <f>AVERAGE('05.08 KABONG-KOTIDO'!G33,'06.07 KABONG-KOTIDO'!G33,'07.08 KABONG-KOTIDO'!G33,'08.08 KABONG-KOTIDO'!G33,'9.08 KABONG-KOTIDO-24h'!G33,'10.08 KABONG-KOTIDO-24h'!G33,'11.08 KABONG-KOTITDO'!G33)</f>
        <v>0</v>
      </c>
      <c r="H33" s="49">
        <f>AVERAGE('05.08 KABONG-KOTIDO'!H33,'06.07 KABONG-KOTIDO'!H33,'07.08 KABONG-KOTIDO'!H33,'08.08 KABONG-KOTIDO'!H33,'9.08 KABONG-KOTIDO-24h'!H33,'10.08 KABONG-KOTIDO-24h'!H33,'11.08 KABONG-KOTITDO'!H33)</f>
        <v>0</v>
      </c>
      <c r="I33" s="49">
        <f>AVERAGE('05.08 KABONG-KOTIDO'!I33,'06.07 KABONG-KOTIDO'!I33,'07.08 KABONG-KOTIDO'!I33,'08.08 KABONG-KOTIDO'!I33,'9.08 KABONG-KOTIDO-24h'!I33,'10.08 KABONG-KOTIDO-24h'!I33,'11.08 KABONG-KOTITDO'!I33)</f>
        <v>0.14285714285714285</v>
      </c>
      <c r="J33" s="49">
        <f>AVERAGE('05.08 KABONG-KOTIDO'!J33,'06.07 KABONG-KOTIDO'!J33,'07.08 KABONG-KOTIDO'!J33,'08.08 KABONG-KOTIDO'!J33,'9.08 KABONG-KOTIDO-24h'!J33,'10.08 KABONG-KOTIDO-24h'!J33,'11.08 KABONG-KOTITDO'!J33)</f>
        <v>0</v>
      </c>
      <c r="K33" s="49">
        <f>AVERAGE('05.08 KABONG-KOTIDO'!K33,'06.07 KABONG-KOTIDO'!K33,'07.08 KABONG-KOTIDO'!K33,'08.08 KABONG-KOTIDO'!K33,'9.08 KABONG-KOTIDO-24h'!K33,'10.08 KABONG-KOTIDO-24h'!K33,'11.08 KABONG-KOTITDO'!K33)</f>
        <v>0</v>
      </c>
      <c r="L33" s="49">
        <f>AVERAGE('05.08 KABONG-KOTIDO'!L33,'06.07 KABONG-KOTIDO'!L33,'07.08 KABONG-KOTIDO'!L33,'08.08 KABONG-KOTIDO'!L33,'9.08 KABONG-KOTIDO-24h'!L33,'10.08 KABONG-KOTIDO-24h'!L33,'11.08 KABONG-KOTITDO'!L33)</f>
        <v>0</v>
      </c>
      <c r="M33" s="49">
        <f>AVERAGE('05.08 KABONG-KOTIDO'!M33,'06.07 KABONG-KOTIDO'!M33,'07.08 KABONG-KOTIDO'!M33,'08.08 KABONG-KOTIDO'!M33,'9.08 KABONG-KOTIDO-24h'!M33,'10.08 KABONG-KOTIDO-24h'!M33,'11.08 KABONG-KOTITDO'!M33)</f>
        <v>0</v>
      </c>
      <c r="N33" s="49">
        <f>AVERAGE('05.08 KABONG-KOTIDO'!N33,'06.07 KABONG-KOTIDO'!N33,'07.08 KABONG-KOTIDO'!N33,'08.08 KABONG-KOTIDO'!N33,'9.08 KABONG-KOTIDO-24h'!N33,'10.08 KABONG-KOTIDO-24h'!N33,'11.08 KABONG-KOTITDO'!N33)</f>
        <v>0</v>
      </c>
      <c r="O33" s="15">
        <f t="shared" si="0"/>
        <v>0.14285714285714285</v>
      </c>
      <c r="P33" s="15">
        <f t="shared" si="1"/>
        <v>0.14285714285714285</v>
      </c>
      <c r="R33" s="1" t="s">
        <v>157</v>
      </c>
      <c r="S33" s="34">
        <f>SUM(C102:C105)</f>
        <v>0</v>
      </c>
      <c r="T33" s="34">
        <f t="shared" ref="T33:AF33" si="25">SUM(D102:D105)</f>
        <v>1.5</v>
      </c>
      <c r="U33" s="34">
        <f t="shared" si="25"/>
        <v>2.5</v>
      </c>
      <c r="V33" s="34">
        <f t="shared" si="25"/>
        <v>0</v>
      </c>
      <c r="W33" s="34">
        <f t="shared" si="25"/>
        <v>0</v>
      </c>
      <c r="X33" s="34">
        <f t="shared" si="25"/>
        <v>1</v>
      </c>
      <c r="Y33" s="34">
        <f t="shared" si="25"/>
        <v>0.5</v>
      </c>
      <c r="Z33" s="34">
        <f t="shared" si="25"/>
        <v>0.5</v>
      </c>
      <c r="AA33" s="34">
        <f t="shared" si="25"/>
        <v>0</v>
      </c>
      <c r="AB33" s="34">
        <f t="shared" si="25"/>
        <v>0</v>
      </c>
      <c r="AC33" s="34">
        <f t="shared" si="25"/>
        <v>3</v>
      </c>
      <c r="AD33" s="34">
        <f t="shared" si="25"/>
        <v>0</v>
      </c>
      <c r="AE33" s="31">
        <f t="shared" si="25"/>
        <v>6</v>
      </c>
      <c r="AF33" s="31">
        <f t="shared" si="25"/>
        <v>9</v>
      </c>
    </row>
    <row r="34" spans="2:32" ht="23.1" customHeight="1" x14ac:dyDescent="0.25">
      <c r="B34" s="24" t="s">
        <v>61</v>
      </c>
      <c r="C34" s="49">
        <f>AVERAGE('05.08 KABONG-KOTIDO'!C34,'06.07 KABONG-KOTIDO'!C34,'07.08 KABONG-KOTIDO'!C34,'08.08 KABONG-KOTIDO'!C34,'9.08 KABONG-KOTIDO-24h'!C34,'10.08 KABONG-KOTIDO-24h'!C34,'11.08 KABONG-KOTITDO'!C34)</f>
        <v>0.14285714285714285</v>
      </c>
      <c r="D34" s="49">
        <f>AVERAGE('05.08 KABONG-KOTIDO'!D34,'06.07 KABONG-KOTIDO'!D34,'07.08 KABONG-KOTIDO'!D34,'08.08 KABONG-KOTIDO'!D34,'9.08 KABONG-KOTIDO-24h'!D34,'10.08 KABONG-KOTIDO-24h'!D34,'11.08 KABONG-KOTITDO'!D34)</f>
        <v>0.7142857142857143</v>
      </c>
      <c r="E34" s="49">
        <f>AVERAGE('05.08 KABONG-KOTIDO'!E34,'06.07 KABONG-KOTIDO'!E34,'07.08 KABONG-KOTIDO'!E34,'08.08 KABONG-KOTIDO'!E34,'9.08 KABONG-KOTIDO-24h'!E34,'10.08 KABONG-KOTIDO-24h'!E34,'11.08 KABONG-KOTITDO'!E34)</f>
        <v>0.14285714285714285</v>
      </c>
      <c r="F34" s="49">
        <f>AVERAGE('05.08 KABONG-KOTIDO'!F34,'06.07 KABONG-KOTIDO'!F34,'07.08 KABONG-KOTIDO'!F34,'08.08 KABONG-KOTIDO'!F34,'9.08 KABONG-KOTIDO-24h'!F34,'10.08 KABONG-KOTIDO-24h'!F34,'11.08 KABONG-KOTITDO'!F34)</f>
        <v>0</v>
      </c>
      <c r="G34" s="49">
        <f>AVERAGE('05.08 KABONG-KOTIDO'!G34,'06.07 KABONG-KOTIDO'!G34,'07.08 KABONG-KOTIDO'!G34,'08.08 KABONG-KOTIDO'!G34,'9.08 KABONG-KOTIDO-24h'!G34,'10.08 KABONG-KOTIDO-24h'!G34,'11.08 KABONG-KOTITDO'!G34)</f>
        <v>0</v>
      </c>
      <c r="H34" s="49">
        <f>AVERAGE('05.08 KABONG-KOTIDO'!H34,'06.07 KABONG-KOTIDO'!H34,'07.08 KABONG-KOTIDO'!H34,'08.08 KABONG-KOTIDO'!H34,'9.08 KABONG-KOTIDO-24h'!H34,'10.08 KABONG-KOTIDO-24h'!H34,'11.08 KABONG-KOTITDO'!H34)</f>
        <v>0</v>
      </c>
      <c r="I34" s="49">
        <f>AVERAGE('05.08 KABONG-KOTIDO'!I34,'06.07 KABONG-KOTIDO'!I34,'07.08 KABONG-KOTIDO'!I34,'08.08 KABONG-KOTIDO'!I34,'9.08 KABONG-KOTIDO-24h'!I34,'10.08 KABONG-KOTIDO-24h'!I34,'11.08 KABONG-KOTITDO'!I34)</f>
        <v>0.7142857142857143</v>
      </c>
      <c r="J34" s="49">
        <f>AVERAGE('05.08 KABONG-KOTIDO'!J34,'06.07 KABONG-KOTIDO'!J34,'07.08 KABONG-KOTIDO'!J34,'08.08 KABONG-KOTIDO'!J34,'9.08 KABONG-KOTIDO-24h'!J34,'10.08 KABONG-KOTIDO-24h'!J34,'11.08 KABONG-KOTITDO'!J34)</f>
        <v>0.14285714285714285</v>
      </c>
      <c r="K34" s="49">
        <f>AVERAGE('05.08 KABONG-KOTIDO'!K34,'06.07 KABONG-KOTIDO'!K34,'07.08 KABONG-KOTIDO'!K34,'08.08 KABONG-KOTIDO'!K34,'9.08 KABONG-KOTIDO-24h'!K34,'10.08 KABONG-KOTIDO-24h'!K34,'11.08 KABONG-KOTITDO'!K34)</f>
        <v>0</v>
      </c>
      <c r="L34" s="49">
        <f>AVERAGE('05.08 KABONG-KOTIDO'!L34,'06.07 KABONG-KOTIDO'!L34,'07.08 KABONG-KOTIDO'!L34,'08.08 KABONG-KOTIDO'!L34,'9.08 KABONG-KOTIDO-24h'!L34,'10.08 KABONG-KOTIDO-24h'!L34,'11.08 KABONG-KOTITDO'!L34)</f>
        <v>0</v>
      </c>
      <c r="M34" s="49">
        <f>AVERAGE('05.08 KABONG-KOTIDO'!M34,'06.07 KABONG-KOTIDO'!M34,'07.08 KABONG-KOTIDO'!M34,'08.08 KABONG-KOTIDO'!M34,'9.08 KABONG-KOTIDO-24h'!M34,'10.08 KABONG-KOTIDO-24h'!M34,'11.08 KABONG-KOTITDO'!M34)</f>
        <v>1</v>
      </c>
      <c r="N34" s="49">
        <f>AVERAGE('05.08 KABONG-KOTIDO'!N34,'06.07 KABONG-KOTIDO'!N34,'07.08 KABONG-KOTIDO'!N34,'08.08 KABONG-KOTIDO'!N34,'9.08 KABONG-KOTIDO-24h'!N34,'10.08 KABONG-KOTIDO-24h'!N34,'11.08 KABONG-KOTITDO'!N34)</f>
        <v>0</v>
      </c>
      <c r="O34" s="15">
        <f t="shared" si="0"/>
        <v>1.8571428571428572</v>
      </c>
      <c r="P34" s="15">
        <f t="shared" si="1"/>
        <v>2.8571428571428572</v>
      </c>
      <c r="R34" s="51" t="s">
        <v>90</v>
      </c>
      <c r="S34" s="52">
        <f t="shared" ref="S34:AF34" si="26">MAX(S10:S12)</f>
        <v>0.5714285714285714</v>
      </c>
      <c r="T34" s="52">
        <f t="shared" si="26"/>
        <v>1.8571428571428572</v>
      </c>
      <c r="U34" s="52">
        <f t="shared" si="26"/>
        <v>1.7142857142857144</v>
      </c>
      <c r="V34" s="52">
        <f t="shared" si="26"/>
        <v>0.14285714285714285</v>
      </c>
      <c r="W34" s="52">
        <f t="shared" si="26"/>
        <v>0</v>
      </c>
      <c r="X34" s="52">
        <f t="shared" si="26"/>
        <v>0.14285714285714285</v>
      </c>
      <c r="Y34" s="52">
        <f t="shared" si="26"/>
        <v>2</v>
      </c>
      <c r="Z34" s="52">
        <f t="shared" si="26"/>
        <v>0.85714285714285721</v>
      </c>
      <c r="AA34" s="52">
        <f t="shared" si="26"/>
        <v>0.2857142857142857</v>
      </c>
      <c r="AB34" s="52">
        <f t="shared" si="26"/>
        <v>0</v>
      </c>
      <c r="AC34" s="52">
        <f t="shared" si="26"/>
        <v>3</v>
      </c>
      <c r="AD34" s="52">
        <f t="shared" si="26"/>
        <v>0.14285714285714285</v>
      </c>
      <c r="AE34" s="40">
        <f t="shared" si="26"/>
        <v>7.2857142857142865</v>
      </c>
      <c r="AF34" s="40">
        <f t="shared" si="26"/>
        <v>9.4285714285714288</v>
      </c>
    </row>
    <row r="35" spans="2:32" ht="23.1" customHeight="1" x14ac:dyDescent="0.25">
      <c r="B35" s="24" t="s">
        <v>62</v>
      </c>
      <c r="C35" s="49">
        <f>AVERAGE('05.08 KABONG-KOTIDO'!C35,'06.07 KABONG-KOTIDO'!C35,'07.08 KABONG-KOTIDO'!C35,'08.08 KABONG-KOTIDO'!C35,'9.08 KABONG-KOTIDO-24h'!C35,'10.08 KABONG-KOTIDO-24h'!C35,'11.08 KABONG-KOTITDO'!C35)</f>
        <v>0</v>
      </c>
      <c r="D35" s="49">
        <f>AVERAGE('05.08 KABONG-KOTIDO'!D35,'06.07 KABONG-KOTIDO'!D35,'07.08 KABONG-KOTIDO'!D35,'08.08 KABONG-KOTIDO'!D35,'9.08 KABONG-KOTIDO-24h'!D35,'10.08 KABONG-KOTIDO-24h'!D35,'11.08 KABONG-KOTITDO'!D35)</f>
        <v>0.8571428571428571</v>
      </c>
      <c r="E35" s="49">
        <f>AVERAGE('05.08 KABONG-KOTIDO'!E35,'06.07 KABONG-KOTIDO'!E35,'07.08 KABONG-KOTIDO'!E35,'08.08 KABONG-KOTIDO'!E35,'9.08 KABONG-KOTIDO-24h'!E35,'10.08 KABONG-KOTIDO-24h'!E35,'11.08 KABONG-KOTITDO'!E35)</f>
        <v>0</v>
      </c>
      <c r="F35" s="49">
        <f>AVERAGE('05.08 KABONG-KOTIDO'!F35,'06.07 KABONG-KOTIDO'!F35,'07.08 KABONG-KOTIDO'!F35,'08.08 KABONG-KOTIDO'!F35,'9.08 KABONG-KOTIDO-24h'!F35,'10.08 KABONG-KOTIDO-24h'!F35,'11.08 KABONG-KOTITDO'!F35)</f>
        <v>0</v>
      </c>
      <c r="G35" s="49">
        <f>AVERAGE('05.08 KABONG-KOTIDO'!G35,'06.07 KABONG-KOTIDO'!G35,'07.08 KABONG-KOTIDO'!G35,'08.08 KABONG-KOTIDO'!G35,'9.08 KABONG-KOTIDO-24h'!G35,'10.08 KABONG-KOTIDO-24h'!G35,'11.08 KABONG-KOTITDO'!G35)</f>
        <v>0</v>
      </c>
      <c r="H35" s="49">
        <f>AVERAGE('05.08 KABONG-KOTIDO'!H35,'06.07 KABONG-KOTIDO'!H35,'07.08 KABONG-KOTIDO'!H35,'08.08 KABONG-KOTIDO'!H35,'9.08 KABONG-KOTIDO-24h'!H35,'10.08 KABONG-KOTIDO-24h'!H35,'11.08 KABONG-KOTITDO'!H35)</f>
        <v>0</v>
      </c>
      <c r="I35" s="49">
        <f>AVERAGE('05.08 KABONG-KOTIDO'!I35,'06.07 KABONG-KOTIDO'!I35,'07.08 KABONG-KOTIDO'!I35,'08.08 KABONG-KOTIDO'!I35,'9.08 KABONG-KOTIDO-24h'!I35,'10.08 KABONG-KOTIDO-24h'!I35,'11.08 KABONG-KOTITDO'!I35)</f>
        <v>0</v>
      </c>
      <c r="J35" s="49">
        <f>AVERAGE('05.08 KABONG-KOTIDO'!J35,'06.07 KABONG-KOTIDO'!J35,'07.08 KABONG-KOTIDO'!J35,'08.08 KABONG-KOTIDO'!J35,'9.08 KABONG-KOTIDO-24h'!J35,'10.08 KABONG-KOTIDO-24h'!J35,'11.08 KABONG-KOTITDO'!J35)</f>
        <v>0.14285714285714285</v>
      </c>
      <c r="K35" s="49">
        <f>AVERAGE('05.08 KABONG-KOTIDO'!K35,'06.07 KABONG-KOTIDO'!K35,'07.08 KABONG-KOTIDO'!K35,'08.08 KABONG-KOTIDO'!K35,'9.08 KABONG-KOTIDO-24h'!K35,'10.08 KABONG-KOTIDO-24h'!K35,'11.08 KABONG-KOTITDO'!K35)</f>
        <v>0</v>
      </c>
      <c r="L35" s="49">
        <f>AVERAGE('05.08 KABONG-KOTIDO'!L35,'06.07 KABONG-KOTIDO'!L35,'07.08 KABONG-KOTIDO'!L35,'08.08 KABONG-KOTIDO'!L35,'9.08 KABONG-KOTIDO-24h'!L35,'10.08 KABONG-KOTIDO-24h'!L35,'11.08 KABONG-KOTITDO'!L35)</f>
        <v>0</v>
      </c>
      <c r="M35" s="49">
        <f>AVERAGE('05.08 KABONG-KOTIDO'!M35,'06.07 KABONG-KOTIDO'!M35,'07.08 KABONG-KOTIDO'!M35,'08.08 KABONG-KOTIDO'!M35,'9.08 KABONG-KOTIDO-24h'!M35,'10.08 KABONG-KOTIDO-24h'!M35,'11.08 KABONG-KOTITDO'!M35)</f>
        <v>0.7142857142857143</v>
      </c>
      <c r="N35" s="49">
        <f>AVERAGE('05.08 KABONG-KOTIDO'!N35,'06.07 KABONG-KOTIDO'!N35,'07.08 KABONG-KOTIDO'!N35,'08.08 KABONG-KOTIDO'!N35,'9.08 KABONG-KOTIDO-24h'!N35,'10.08 KABONG-KOTIDO-24h'!N35,'11.08 KABONG-KOTITDO'!N35)</f>
        <v>0</v>
      </c>
      <c r="O35" s="15">
        <f t="shared" si="0"/>
        <v>1</v>
      </c>
      <c r="P35" s="15">
        <f t="shared" si="1"/>
        <v>1.7142857142857144</v>
      </c>
      <c r="R35" s="51" t="s">
        <v>91</v>
      </c>
      <c r="S35" s="52">
        <f t="shared" ref="S35:AF35" si="27">MAX(S13:S18)</f>
        <v>0.14285714285714285</v>
      </c>
      <c r="T35" s="52">
        <f t="shared" si="27"/>
        <v>2</v>
      </c>
      <c r="U35" s="52">
        <f t="shared" si="27"/>
        <v>1</v>
      </c>
      <c r="V35" s="52">
        <f t="shared" si="27"/>
        <v>0.14285714285714285</v>
      </c>
      <c r="W35" s="52">
        <f t="shared" si="27"/>
        <v>0</v>
      </c>
      <c r="X35" s="52">
        <f t="shared" si="27"/>
        <v>0</v>
      </c>
      <c r="Y35" s="52">
        <f t="shared" si="27"/>
        <v>1.2857142857142856</v>
      </c>
      <c r="Z35" s="52">
        <f t="shared" si="27"/>
        <v>0.5714285714285714</v>
      </c>
      <c r="AA35" s="52">
        <f t="shared" si="27"/>
        <v>0</v>
      </c>
      <c r="AB35" s="52">
        <f t="shared" si="27"/>
        <v>0</v>
      </c>
      <c r="AC35" s="52">
        <f t="shared" si="27"/>
        <v>2.5714285714285716</v>
      </c>
      <c r="AD35" s="52">
        <f t="shared" si="27"/>
        <v>0</v>
      </c>
      <c r="AE35" s="40">
        <f t="shared" si="27"/>
        <v>3.5714285714285712</v>
      </c>
      <c r="AF35" s="40">
        <f t="shared" si="27"/>
        <v>5.9999999999999991</v>
      </c>
    </row>
    <row r="36" spans="2:32" ht="23.1" customHeight="1" x14ac:dyDescent="0.25">
      <c r="B36" s="24" t="s">
        <v>63</v>
      </c>
      <c r="C36" s="49">
        <f>AVERAGE('05.08 KABONG-KOTIDO'!C36,'06.07 KABONG-KOTIDO'!C36,'07.08 KABONG-KOTIDO'!C36,'08.08 KABONG-KOTIDO'!C36,'9.08 KABONG-KOTIDO-24h'!C36,'10.08 KABONG-KOTIDO-24h'!C36,'11.08 KABONG-KOTITDO'!C36)</f>
        <v>0</v>
      </c>
      <c r="D36" s="49">
        <f>AVERAGE('05.08 KABONG-KOTIDO'!D36,'06.07 KABONG-KOTIDO'!D36,'07.08 KABONG-KOTIDO'!D36,'08.08 KABONG-KOTIDO'!D36,'9.08 KABONG-KOTIDO-24h'!D36,'10.08 KABONG-KOTIDO-24h'!D36,'11.08 KABONG-KOTITDO'!D36)</f>
        <v>0.2857142857142857</v>
      </c>
      <c r="E36" s="49">
        <f>AVERAGE('05.08 KABONG-KOTIDO'!E36,'06.07 KABONG-KOTIDO'!E36,'07.08 KABONG-KOTIDO'!E36,'08.08 KABONG-KOTIDO'!E36,'9.08 KABONG-KOTIDO-24h'!E36,'10.08 KABONG-KOTIDO-24h'!E36,'11.08 KABONG-KOTITDO'!E36)</f>
        <v>0</v>
      </c>
      <c r="F36" s="49">
        <f>AVERAGE('05.08 KABONG-KOTIDO'!F36,'06.07 KABONG-KOTIDO'!F36,'07.08 KABONG-KOTIDO'!F36,'08.08 KABONG-KOTIDO'!F36,'9.08 KABONG-KOTIDO-24h'!F36,'10.08 KABONG-KOTIDO-24h'!F36,'11.08 KABONG-KOTITDO'!F36)</f>
        <v>0</v>
      </c>
      <c r="G36" s="49">
        <f>AVERAGE('05.08 KABONG-KOTIDO'!G36,'06.07 KABONG-KOTIDO'!G36,'07.08 KABONG-KOTIDO'!G36,'08.08 KABONG-KOTIDO'!G36,'9.08 KABONG-KOTIDO-24h'!G36,'10.08 KABONG-KOTIDO-24h'!G36,'11.08 KABONG-KOTITDO'!G36)</f>
        <v>0</v>
      </c>
      <c r="H36" s="49">
        <f>AVERAGE('05.08 KABONG-KOTIDO'!H36,'06.07 KABONG-KOTIDO'!H36,'07.08 KABONG-KOTIDO'!H36,'08.08 KABONG-KOTIDO'!H36,'9.08 KABONG-KOTIDO-24h'!H36,'10.08 KABONG-KOTIDO-24h'!H36,'11.08 KABONG-KOTITDO'!H36)</f>
        <v>0</v>
      </c>
      <c r="I36" s="49">
        <f>AVERAGE('05.08 KABONG-KOTIDO'!I36,'06.07 KABONG-KOTIDO'!I36,'07.08 KABONG-KOTIDO'!I36,'08.08 KABONG-KOTIDO'!I36,'9.08 KABONG-KOTIDO-24h'!I36,'10.08 KABONG-KOTIDO-24h'!I36,'11.08 KABONG-KOTITDO'!I36)</f>
        <v>0</v>
      </c>
      <c r="J36" s="49">
        <f>AVERAGE('05.08 KABONG-KOTIDO'!J36,'06.07 KABONG-KOTIDO'!J36,'07.08 KABONG-KOTIDO'!J36,'08.08 KABONG-KOTIDO'!J36,'9.08 KABONG-KOTIDO-24h'!J36,'10.08 KABONG-KOTIDO-24h'!J36,'11.08 KABONG-KOTITDO'!J36)</f>
        <v>0.14285714285714285</v>
      </c>
      <c r="K36" s="49">
        <f>AVERAGE('05.08 KABONG-KOTIDO'!K36,'06.07 KABONG-KOTIDO'!K36,'07.08 KABONG-KOTIDO'!K36,'08.08 KABONG-KOTIDO'!K36,'9.08 KABONG-KOTIDO-24h'!K36,'10.08 KABONG-KOTIDO-24h'!K36,'11.08 KABONG-KOTITDO'!K36)</f>
        <v>0</v>
      </c>
      <c r="L36" s="49">
        <f>AVERAGE('05.08 KABONG-KOTIDO'!L36,'06.07 KABONG-KOTIDO'!L36,'07.08 KABONG-KOTIDO'!L36,'08.08 KABONG-KOTIDO'!L36,'9.08 KABONG-KOTIDO-24h'!L36,'10.08 KABONG-KOTIDO-24h'!L36,'11.08 KABONG-KOTITDO'!L36)</f>
        <v>0</v>
      </c>
      <c r="M36" s="49">
        <f>AVERAGE('05.08 KABONG-KOTIDO'!M36,'06.07 KABONG-KOTIDO'!M36,'07.08 KABONG-KOTIDO'!M36,'08.08 KABONG-KOTIDO'!M36,'9.08 KABONG-KOTIDO-24h'!M36,'10.08 KABONG-KOTIDO-24h'!M36,'11.08 KABONG-KOTITDO'!M36)</f>
        <v>0.7142857142857143</v>
      </c>
      <c r="N36" s="49">
        <f>AVERAGE('05.08 KABONG-KOTIDO'!N36,'06.07 KABONG-KOTIDO'!N36,'07.08 KABONG-KOTIDO'!N36,'08.08 KABONG-KOTIDO'!N36,'9.08 KABONG-KOTIDO-24h'!N36,'10.08 KABONG-KOTIDO-24h'!N36,'11.08 KABONG-KOTITDO'!N36)</f>
        <v>0</v>
      </c>
      <c r="O36" s="15">
        <f t="shared" si="0"/>
        <v>0.42857142857142855</v>
      </c>
      <c r="P36" s="15">
        <f t="shared" si="1"/>
        <v>1.1428571428571428</v>
      </c>
      <c r="R36" s="51" t="s">
        <v>92</v>
      </c>
      <c r="S36" s="52">
        <f t="shared" ref="S36:AF36" si="28">MAX(S19:S21)</f>
        <v>0.42857142857142855</v>
      </c>
      <c r="T36" s="52">
        <f t="shared" si="28"/>
        <v>1.7142857142857144</v>
      </c>
      <c r="U36" s="52">
        <f t="shared" si="28"/>
        <v>2.7142857142857144</v>
      </c>
      <c r="V36" s="52">
        <f t="shared" si="28"/>
        <v>0</v>
      </c>
      <c r="W36" s="52">
        <f t="shared" si="28"/>
        <v>0</v>
      </c>
      <c r="X36" s="52">
        <f t="shared" si="28"/>
        <v>0.5714285714285714</v>
      </c>
      <c r="Y36" s="52">
        <f t="shared" si="28"/>
        <v>0.5714285714285714</v>
      </c>
      <c r="Z36" s="52">
        <f t="shared" si="28"/>
        <v>0.2857142857142857</v>
      </c>
      <c r="AA36" s="52">
        <f t="shared" si="28"/>
        <v>0</v>
      </c>
      <c r="AB36" s="52">
        <f t="shared" si="28"/>
        <v>0</v>
      </c>
      <c r="AC36" s="52">
        <f t="shared" si="28"/>
        <v>2.7142857142857144</v>
      </c>
      <c r="AD36" s="52">
        <f t="shared" si="28"/>
        <v>0</v>
      </c>
      <c r="AE36" s="40">
        <f t="shared" si="28"/>
        <v>5.1428571428571423</v>
      </c>
      <c r="AF36" s="40">
        <f t="shared" si="28"/>
        <v>7.5714285714285712</v>
      </c>
    </row>
    <row r="37" spans="2:32" ht="23.1" customHeight="1" x14ac:dyDescent="0.25">
      <c r="B37" s="23" t="s">
        <v>64</v>
      </c>
      <c r="C37" s="49">
        <f>AVERAGE('05.08 KABONG-KOTIDO'!C37,'06.07 KABONG-KOTIDO'!C37,'07.08 KABONG-KOTIDO'!C37,'08.08 KABONG-KOTIDO'!C37,'9.08 KABONG-KOTIDO-24h'!C37,'10.08 KABONG-KOTIDO-24h'!C37,'11.08 KABONG-KOTITDO'!C37)</f>
        <v>0</v>
      </c>
      <c r="D37" s="49">
        <f>AVERAGE('05.08 KABONG-KOTIDO'!D37,'06.07 KABONG-KOTIDO'!D37,'07.08 KABONG-KOTIDO'!D37,'08.08 KABONG-KOTIDO'!D37,'9.08 KABONG-KOTIDO-24h'!D37,'10.08 KABONG-KOTIDO-24h'!D37,'11.08 KABONG-KOTITDO'!D37)</f>
        <v>0.14285714285714285</v>
      </c>
      <c r="E37" s="49">
        <f>AVERAGE('05.08 KABONG-KOTIDO'!E37,'06.07 KABONG-KOTIDO'!E37,'07.08 KABONG-KOTIDO'!E37,'08.08 KABONG-KOTIDO'!E37,'9.08 KABONG-KOTIDO-24h'!E37,'10.08 KABONG-KOTIDO-24h'!E37,'11.08 KABONG-KOTITDO'!E37)</f>
        <v>0</v>
      </c>
      <c r="F37" s="49">
        <f>AVERAGE('05.08 KABONG-KOTIDO'!F37,'06.07 KABONG-KOTIDO'!F37,'07.08 KABONG-KOTIDO'!F37,'08.08 KABONG-KOTIDO'!F37,'9.08 KABONG-KOTIDO-24h'!F37,'10.08 KABONG-KOTIDO-24h'!F37,'11.08 KABONG-KOTITDO'!F37)</f>
        <v>0</v>
      </c>
      <c r="G37" s="49">
        <f>AVERAGE('05.08 KABONG-KOTIDO'!G37,'06.07 KABONG-KOTIDO'!G37,'07.08 KABONG-KOTIDO'!G37,'08.08 KABONG-KOTIDO'!G37,'9.08 KABONG-KOTIDO-24h'!G37,'10.08 KABONG-KOTIDO-24h'!G37,'11.08 KABONG-KOTITDO'!G37)</f>
        <v>0</v>
      </c>
      <c r="H37" s="49">
        <f>AVERAGE('05.08 KABONG-KOTIDO'!H37,'06.07 KABONG-KOTIDO'!H37,'07.08 KABONG-KOTIDO'!H37,'08.08 KABONG-KOTIDO'!H37,'9.08 KABONG-KOTIDO-24h'!H37,'10.08 KABONG-KOTIDO-24h'!H37,'11.08 KABONG-KOTITDO'!H37)</f>
        <v>0</v>
      </c>
      <c r="I37" s="49">
        <f>AVERAGE('05.08 KABONG-KOTIDO'!I37,'06.07 KABONG-KOTIDO'!I37,'07.08 KABONG-KOTIDO'!I37,'08.08 KABONG-KOTIDO'!I37,'9.08 KABONG-KOTIDO-24h'!I37,'10.08 KABONG-KOTIDO-24h'!I37,'11.08 KABONG-KOTITDO'!I37)</f>
        <v>0</v>
      </c>
      <c r="J37" s="49">
        <f>AVERAGE('05.08 KABONG-KOTIDO'!J37,'06.07 KABONG-KOTIDO'!J37,'07.08 KABONG-KOTIDO'!J37,'08.08 KABONG-KOTIDO'!J37,'9.08 KABONG-KOTIDO-24h'!J37,'10.08 KABONG-KOTIDO-24h'!J37,'11.08 KABONG-KOTITDO'!J37)</f>
        <v>0.14285714285714285</v>
      </c>
      <c r="K37" s="49">
        <f>AVERAGE('05.08 KABONG-KOTIDO'!K37,'06.07 KABONG-KOTIDO'!K37,'07.08 KABONG-KOTIDO'!K37,'08.08 KABONG-KOTIDO'!K37,'9.08 KABONG-KOTIDO-24h'!K37,'10.08 KABONG-KOTIDO-24h'!K37,'11.08 KABONG-KOTITDO'!K37)</f>
        <v>0</v>
      </c>
      <c r="L37" s="49">
        <f>AVERAGE('05.08 KABONG-KOTIDO'!L37,'06.07 KABONG-KOTIDO'!L37,'07.08 KABONG-KOTIDO'!L37,'08.08 KABONG-KOTIDO'!L37,'9.08 KABONG-KOTIDO-24h'!L37,'10.08 KABONG-KOTIDO-24h'!L37,'11.08 KABONG-KOTITDO'!L37)</f>
        <v>0</v>
      </c>
      <c r="M37" s="49">
        <f>AVERAGE('05.08 KABONG-KOTIDO'!M37,'06.07 KABONG-KOTIDO'!M37,'07.08 KABONG-KOTIDO'!M37,'08.08 KABONG-KOTIDO'!M37,'9.08 KABONG-KOTIDO-24h'!M37,'10.08 KABONG-KOTIDO-24h'!M37,'11.08 KABONG-KOTITDO'!M37)</f>
        <v>0</v>
      </c>
      <c r="N37" s="49">
        <f>AVERAGE('05.08 KABONG-KOTIDO'!N37,'06.07 KABONG-KOTIDO'!N37,'07.08 KABONG-KOTIDO'!N37,'08.08 KABONG-KOTIDO'!N37,'9.08 KABONG-KOTIDO-24h'!N37,'10.08 KABONG-KOTIDO-24h'!N37,'11.08 KABONG-KOTITDO'!N37)</f>
        <v>0</v>
      </c>
      <c r="O37" s="15">
        <f t="shared" si="0"/>
        <v>0.2857142857142857</v>
      </c>
      <c r="P37" s="15">
        <f t="shared" si="1"/>
        <v>0.2857142857142857</v>
      </c>
      <c r="R37" s="37" t="s">
        <v>85</v>
      </c>
      <c r="S37" s="53">
        <f t="shared" ref="S37:AF37" si="29">SUM(S10:S12)</f>
        <v>0.8571428571428571</v>
      </c>
      <c r="T37" s="54">
        <f t="shared" si="29"/>
        <v>2.5714285714285712</v>
      </c>
      <c r="U37" s="54">
        <f t="shared" si="29"/>
        <v>3.4285714285714284</v>
      </c>
      <c r="V37" s="54">
        <f t="shared" si="29"/>
        <v>0.14285714285714285</v>
      </c>
      <c r="W37" s="54">
        <f t="shared" si="29"/>
        <v>0</v>
      </c>
      <c r="X37" s="54">
        <f t="shared" si="29"/>
        <v>0.14285714285714285</v>
      </c>
      <c r="Y37" s="54">
        <f t="shared" si="29"/>
        <v>3.714285714285714</v>
      </c>
      <c r="Z37" s="54">
        <f t="shared" si="29"/>
        <v>2</v>
      </c>
      <c r="AA37" s="54">
        <f t="shared" si="29"/>
        <v>0.42857142857142855</v>
      </c>
      <c r="AB37" s="54">
        <f t="shared" si="29"/>
        <v>0</v>
      </c>
      <c r="AC37" s="54">
        <f t="shared" si="29"/>
        <v>8</v>
      </c>
      <c r="AD37" s="54">
        <f t="shared" si="29"/>
        <v>0.14285714285714285</v>
      </c>
      <c r="AE37" s="55">
        <f t="shared" si="29"/>
        <v>13.428571428571431</v>
      </c>
      <c r="AF37" s="55">
        <f t="shared" si="29"/>
        <v>21.428571428571427</v>
      </c>
    </row>
    <row r="38" spans="2:32" ht="23.1" customHeight="1" x14ac:dyDescent="0.25">
      <c r="B38" s="24" t="s">
        <v>65</v>
      </c>
      <c r="C38" s="49">
        <f>AVERAGE('05.08 KABONG-KOTIDO'!C38,'06.07 KABONG-KOTIDO'!C38,'07.08 KABONG-KOTIDO'!C38,'08.08 KABONG-KOTIDO'!C38,'9.08 KABONG-KOTIDO-24h'!C38,'10.08 KABONG-KOTIDO-24h'!C38,'11.08 KABONG-KOTITDO'!C38)</f>
        <v>0</v>
      </c>
      <c r="D38" s="49">
        <f>AVERAGE('05.08 KABONG-KOTIDO'!D38,'06.07 KABONG-KOTIDO'!D38,'07.08 KABONG-KOTIDO'!D38,'08.08 KABONG-KOTIDO'!D38,'9.08 KABONG-KOTIDO-24h'!D38,'10.08 KABONG-KOTIDO-24h'!D38,'11.08 KABONG-KOTITDO'!D38)</f>
        <v>0.2857142857142857</v>
      </c>
      <c r="E38" s="49">
        <f>AVERAGE('05.08 KABONG-KOTIDO'!E38,'06.07 KABONG-KOTIDO'!E38,'07.08 KABONG-KOTIDO'!E38,'08.08 KABONG-KOTIDO'!E38,'9.08 KABONG-KOTIDO-24h'!E38,'10.08 KABONG-KOTIDO-24h'!E38,'11.08 KABONG-KOTITDO'!E38)</f>
        <v>0.14285714285714285</v>
      </c>
      <c r="F38" s="49">
        <f>AVERAGE('05.08 KABONG-KOTIDO'!F38,'06.07 KABONG-KOTIDO'!F38,'07.08 KABONG-KOTIDO'!F38,'08.08 KABONG-KOTIDO'!F38,'9.08 KABONG-KOTIDO-24h'!F38,'10.08 KABONG-KOTIDO-24h'!F38,'11.08 KABONG-KOTITDO'!F38)</f>
        <v>0</v>
      </c>
      <c r="G38" s="49">
        <f>AVERAGE('05.08 KABONG-KOTIDO'!G38,'06.07 KABONG-KOTIDO'!G38,'07.08 KABONG-KOTIDO'!G38,'08.08 KABONG-KOTIDO'!G38,'9.08 KABONG-KOTIDO-24h'!G38,'10.08 KABONG-KOTIDO-24h'!G38,'11.08 KABONG-KOTITDO'!G38)</f>
        <v>0</v>
      </c>
      <c r="H38" s="49">
        <f>AVERAGE('05.08 KABONG-KOTIDO'!H38,'06.07 KABONG-KOTIDO'!H38,'07.08 KABONG-KOTIDO'!H38,'08.08 KABONG-KOTIDO'!H38,'9.08 KABONG-KOTIDO-24h'!H38,'10.08 KABONG-KOTIDO-24h'!H38,'11.08 KABONG-KOTITDO'!H38)</f>
        <v>0</v>
      </c>
      <c r="I38" s="49">
        <f>AVERAGE('05.08 KABONG-KOTIDO'!I38,'06.07 KABONG-KOTIDO'!I38,'07.08 KABONG-KOTIDO'!I38,'08.08 KABONG-KOTIDO'!I38,'9.08 KABONG-KOTIDO-24h'!I38,'10.08 KABONG-KOTIDO-24h'!I38,'11.08 KABONG-KOTITDO'!I38)</f>
        <v>0.7142857142857143</v>
      </c>
      <c r="J38" s="49">
        <f>AVERAGE('05.08 KABONG-KOTIDO'!J38,'06.07 KABONG-KOTIDO'!J38,'07.08 KABONG-KOTIDO'!J38,'08.08 KABONG-KOTIDO'!J38,'9.08 KABONG-KOTIDO-24h'!J38,'10.08 KABONG-KOTIDO-24h'!J38,'11.08 KABONG-KOTITDO'!J38)</f>
        <v>0</v>
      </c>
      <c r="K38" s="49">
        <f>AVERAGE('05.08 KABONG-KOTIDO'!K38,'06.07 KABONG-KOTIDO'!K38,'07.08 KABONG-KOTIDO'!K38,'08.08 KABONG-KOTIDO'!K38,'9.08 KABONG-KOTIDO-24h'!K38,'10.08 KABONG-KOTIDO-24h'!K38,'11.08 KABONG-KOTITDO'!K38)</f>
        <v>0</v>
      </c>
      <c r="L38" s="49">
        <f>AVERAGE('05.08 KABONG-KOTIDO'!L38,'06.07 KABONG-KOTIDO'!L38,'07.08 KABONG-KOTIDO'!L38,'08.08 KABONG-KOTIDO'!L38,'9.08 KABONG-KOTIDO-24h'!L38,'10.08 KABONG-KOTIDO-24h'!L38,'11.08 KABONG-KOTITDO'!L38)</f>
        <v>0</v>
      </c>
      <c r="M38" s="49">
        <f>AVERAGE('05.08 KABONG-KOTIDO'!M38,'06.07 KABONG-KOTIDO'!M38,'07.08 KABONG-KOTIDO'!M38,'08.08 KABONG-KOTIDO'!M38,'9.08 KABONG-KOTIDO-24h'!M38,'10.08 KABONG-KOTIDO-24h'!M38,'11.08 KABONG-KOTITDO'!M38)</f>
        <v>0.14285714285714285</v>
      </c>
      <c r="N38" s="49">
        <f>AVERAGE('05.08 KABONG-KOTIDO'!N38,'06.07 KABONG-KOTIDO'!N38,'07.08 KABONG-KOTIDO'!N38,'08.08 KABONG-KOTIDO'!N38,'9.08 KABONG-KOTIDO-24h'!N38,'10.08 KABONG-KOTIDO-24h'!N38,'11.08 KABONG-KOTITDO'!N38)</f>
        <v>0</v>
      </c>
      <c r="O38" s="15">
        <f t="shared" si="0"/>
        <v>1.1428571428571428</v>
      </c>
      <c r="P38" s="15">
        <f t="shared" si="1"/>
        <v>1.2857142857142856</v>
      </c>
      <c r="R38" s="28" t="s">
        <v>86</v>
      </c>
      <c r="S38" s="54">
        <f t="shared" ref="S38:AF38" si="30">SUM(S13:S18)</f>
        <v>0.42857142857142855</v>
      </c>
      <c r="T38" s="54">
        <f t="shared" si="30"/>
        <v>5</v>
      </c>
      <c r="U38" s="54">
        <f t="shared" si="30"/>
        <v>2.8571428571428568</v>
      </c>
      <c r="V38" s="54">
        <f t="shared" si="30"/>
        <v>0.2857142857142857</v>
      </c>
      <c r="W38" s="54">
        <f t="shared" si="30"/>
        <v>0</v>
      </c>
      <c r="X38" s="54">
        <f t="shared" si="30"/>
        <v>0</v>
      </c>
      <c r="Y38" s="54">
        <f t="shared" si="30"/>
        <v>4.7142857142857135</v>
      </c>
      <c r="Z38" s="54">
        <f t="shared" si="30"/>
        <v>1.5714285714285712</v>
      </c>
      <c r="AA38" s="54">
        <f t="shared" si="30"/>
        <v>0</v>
      </c>
      <c r="AB38" s="54">
        <f t="shared" si="30"/>
        <v>0</v>
      </c>
      <c r="AC38" s="54">
        <f t="shared" si="30"/>
        <v>10.142857142857142</v>
      </c>
      <c r="AD38" s="54">
        <f t="shared" si="30"/>
        <v>0</v>
      </c>
      <c r="AE38" s="55">
        <f t="shared" si="30"/>
        <v>14.857142857142856</v>
      </c>
      <c r="AF38" s="55">
        <f t="shared" si="30"/>
        <v>25</v>
      </c>
    </row>
    <row r="39" spans="2:32" ht="23.1" customHeight="1" x14ac:dyDescent="0.25">
      <c r="B39" s="24" t="s">
        <v>66</v>
      </c>
      <c r="C39" s="49">
        <f>AVERAGE('05.08 KABONG-KOTIDO'!C39,'06.07 KABONG-KOTIDO'!C39,'07.08 KABONG-KOTIDO'!C39,'08.08 KABONG-KOTIDO'!C39,'9.08 KABONG-KOTIDO-24h'!C39,'10.08 KABONG-KOTIDO-24h'!C39,'11.08 KABONG-KOTITDO'!C39)</f>
        <v>0</v>
      </c>
      <c r="D39" s="49">
        <f>AVERAGE('05.08 KABONG-KOTIDO'!D39,'06.07 KABONG-KOTIDO'!D39,'07.08 KABONG-KOTIDO'!D39,'08.08 KABONG-KOTIDO'!D39,'9.08 KABONG-KOTIDO-24h'!D39,'10.08 KABONG-KOTIDO-24h'!D39,'11.08 KABONG-KOTITDO'!D39)</f>
        <v>0</v>
      </c>
      <c r="E39" s="49">
        <f>AVERAGE('05.08 KABONG-KOTIDO'!E39,'06.07 KABONG-KOTIDO'!E39,'07.08 KABONG-KOTIDO'!E39,'08.08 KABONG-KOTIDO'!E39,'9.08 KABONG-KOTIDO-24h'!E39,'10.08 KABONG-KOTIDO-24h'!E39,'11.08 KABONG-KOTITDO'!E39)</f>
        <v>0.14285714285714285</v>
      </c>
      <c r="F39" s="49">
        <f>AVERAGE('05.08 KABONG-KOTIDO'!F39,'06.07 KABONG-KOTIDO'!F39,'07.08 KABONG-KOTIDO'!F39,'08.08 KABONG-KOTIDO'!F39,'9.08 KABONG-KOTIDO-24h'!F39,'10.08 KABONG-KOTIDO-24h'!F39,'11.08 KABONG-KOTITDO'!F39)</f>
        <v>0</v>
      </c>
      <c r="G39" s="49">
        <f>AVERAGE('05.08 KABONG-KOTIDO'!G39,'06.07 KABONG-KOTIDO'!G39,'07.08 KABONG-KOTIDO'!G39,'08.08 KABONG-KOTIDO'!G39,'9.08 KABONG-KOTIDO-24h'!G39,'10.08 KABONG-KOTIDO-24h'!G39,'11.08 KABONG-KOTITDO'!G39)</f>
        <v>0</v>
      </c>
      <c r="H39" s="49">
        <f>AVERAGE('05.08 KABONG-KOTIDO'!H39,'06.07 KABONG-KOTIDO'!H39,'07.08 KABONG-KOTIDO'!H39,'08.08 KABONG-KOTIDO'!H39,'9.08 KABONG-KOTIDO-24h'!H39,'10.08 KABONG-KOTIDO-24h'!H39,'11.08 KABONG-KOTITDO'!H39)</f>
        <v>0</v>
      </c>
      <c r="I39" s="49">
        <f>AVERAGE('05.08 KABONG-KOTIDO'!I39,'06.07 KABONG-KOTIDO'!I39,'07.08 KABONG-KOTIDO'!I39,'08.08 KABONG-KOTIDO'!I39,'9.08 KABONG-KOTIDO-24h'!I39,'10.08 KABONG-KOTIDO-24h'!I39,'11.08 KABONG-KOTITDO'!I39)</f>
        <v>0</v>
      </c>
      <c r="J39" s="49">
        <f>AVERAGE('05.08 KABONG-KOTIDO'!J39,'06.07 KABONG-KOTIDO'!J39,'07.08 KABONG-KOTIDO'!J39,'08.08 KABONG-KOTIDO'!J39,'9.08 KABONG-KOTIDO-24h'!J39,'10.08 KABONG-KOTIDO-24h'!J39,'11.08 KABONG-KOTITDO'!J39)</f>
        <v>0</v>
      </c>
      <c r="K39" s="49">
        <f>AVERAGE('05.08 KABONG-KOTIDO'!K39,'06.07 KABONG-KOTIDO'!K39,'07.08 KABONG-KOTIDO'!K39,'08.08 KABONG-KOTIDO'!K39,'9.08 KABONG-KOTIDO-24h'!K39,'10.08 KABONG-KOTIDO-24h'!K39,'11.08 KABONG-KOTITDO'!K39)</f>
        <v>0</v>
      </c>
      <c r="L39" s="49">
        <f>AVERAGE('05.08 KABONG-KOTIDO'!L39,'06.07 KABONG-KOTIDO'!L39,'07.08 KABONG-KOTIDO'!L39,'08.08 KABONG-KOTIDO'!L39,'9.08 KABONG-KOTIDO-24h'!L39,'10.08 KABONG-KOTIDO-24h'!L39,'11.08 KABONG-KOTITDO'!L39)</f>
        <v>0</v>
      </c>
      <c r="M39" s="49">
        <f>AVERAGE('05.08 KABONG-KOTIDO'!M39,'06.07 KABONG-KOTIDO'!M39,'07.08 KABONG-KOTIDO'!M39,'08.08 KABONG-KOTIDO'!M39,'9.08 KABONG-KOTIDO-24h'!M39,'10.08 KABONG-KOTIDO-24h'!M39,'11.08 KABONG-KOTITDO'!M39)</f>
        <v>0.14285714285714285</v>
      </c>
      <c r="N39" s="49">
        <f>AVERAGE('05.08 KABONG-KOTIDO'!N39,'06.07 KABONG-KOTIDO'!N39,'07.08 KABONG-KOTIDO'!N39,'08.08 KABONG-KOTIDO'!N39,'9.08 KABONG-KOTIDO-24h'!N39,'10.08 KABONG-KOTIDO-24h'!N39,'11.08 KABONG-KOTITDO'!N39)</f>
        <v>0</v>
      </c>
      <c r="O39" s="15">
        <f t="shared" si="0"/>
        <v>0.14285714285714285</v>
      </c>
      <c r="P39" s="15">
        <f t="shared" si="1"/>
        <v>0.2857142857142857</v>
      </c>
      <c r="R39" s="29" t="s">
        <v>87</v>
      </c>
      <c r="S39" s="54">
        <f t="shared" ref="S39:AF39" si="31">SUM(S19:S21)</f>
        <v>0.71428571428571419</v>
      </c>
      <c r="T39" s="54">
        <f t="shared" si="31"/>
        <v>4</v>
      </c>
      <c r="U39" s="54">
        <f t="shared" si="31"/>
        <v>5.5714285714285712</v>
      </c>
      <c r="V39" s="54">
        <f t="shared" si="31"/>
        <v>0</v>
      </c>
      <c r="W39" s="54">
        <f t="shared" si="31"/>
        <v>0</v>
      </c>
      <c r="X39" s="54">
        <f t="shared" si="31"/>
        <v>0.71428571428571419</v>
      </c>
      <c r="Y39" s="54">
        <f t="shared" si="31"/>
        <v>1.2857142857142856</v>
      </c>
      <c r="Z39" s="54">
        <f t="shared" si="31"/>
        <v>0.71428571428571419</v>
      </c>
      <c r="AA39" s="54">
        <f t="shared" si="31"/>
        <v>0</v>
      </c>
      <c r="AB39" s="54">
        <f t="shared" si="31"/>
        <v>0</v>
      </c>
      <c r="AC39" s="54">
        <f t="shared" si="31"/>
        <v>7.2857142857142865</v>
      </c>
      <c r="AD39" s="54">
        <f t="shared" si="31"/>
        <v>0</v>
      </c>
      <c r="AE39" s="55">
        <f t="shared" si="31"/>
        <v>12.999999999999998</v>
      </c>
      <c r="AF39" s="55">
        <f t="shared" si="31"/>
        <v>20.285714285714285</v>
      </c>
    </row>
    <row r="40" spans="2:32" ht="23.1" customHeight="1" x14ac:dyDescent="0.25">
      <c r="B40" s="24" t="s">
        <v>67</v>
      </c>
      <c r="C40" s="49">
        <f>AVERAGE('05.08 KABONG-KOTIDO'!C40,'06.07 KABONG-KOTIDO'!C40,'07.08 KABONG-KOTIDO'!C40,'08.08 KABONG-KOTIDO'!C40,'9.08 KABONG-KOTIDO-24h'!C40,'10.08 KABONG-KOTIDO-24h'!C40,'11.08 KABONG-KOTITDO'!C40)</f>
        <v>0</v>
      </c>
      <c r="D40" s="49">
        <f>AVERAGE('05.08 KABONG-KOTIDO'!D40,'06.07 KABONG-KOTIDO'!D40,'07.08 KABONG-KOTIDO'!D40,'08.08 KABONG-KOTIDO'!D40,'9.08 KABONG-KOTIDO-24h'!D40,'10.08 KABONG-KOTIDO-24h'!D40,'11.08 KABONG-KOTITDO'!D40)</f>
        <v>0.14285714285714285</v>
      </c>
      <c r="E40" s="49">
        <f>AVERAGE('05.08 KABONG-KOTIDO'!E40,'06.07 KABONG-KOTIDO'!E40,'07.08 KABONG-KOTIDO'!E40,'08.08 KABONG-KOTIDO'!E40,'9.08 KABONG-KOTIDO-24h'!E40,'10.08 KABONG-KOTIDO-24h'!E40,'11.08 KABONG-KOTITDO'!E40)</f>
        <v>0</v>
      </c>
      <c r="F40" s="49">
        <f>AVERAGE('05.08 KABONG-KOTIDO'!F40,'06.07 KABONG-KOTIDO'!F40,'07.08 KABONG-KOTIDO'!F40,'08.08 KABONG-KOTIDO'!F40,'9.08 KABONG-KOTIDO-24h'!F40,'10.08 KABONG-KOTIDO-24h'!F40,'11.08 KABONG-KOTITDO'!F40)</f>
        <v>0</v>
      </c>
      <c r="G40" s="49">
        <f>AVERAGE('05.08 KABONG-KOTIDO'!G40,'06.07 KABONG-KOTIDO'!G40,'07.08 KABONG-KOTIDO'!G40,'08.08 KABONG-KOTIDO'!G40,'9.08 KABONG-KOTIDO-24h'!G40,'10.08 KABONG-KOTIDO-24h'!G40,'11.08 KABONG-KOTITDO'!G40)</f>
        <v>0</v>
      </c>
      <c r="H40" s="49">
        <f>AVERAGE('05.08 KABONG-KOTIDO'!H40,'06.07 KABONG-KOTIDO'!H40,'07.08 KABONG-KOTIDO'!H40,'08.08 KABONG-KOTIDO'!H40,'9.08 KABONG-KOTIDO-24h'!H40,'10.08 KABONG-KOTIDO-24h'!H40,'11.08 KABONG-KOTITDO'!H40)</f>
        <v>0</v>
      </c>
      <c r="I40" s="49">
        <f>AVERAGE('05.08 KABONG-KOTIDO'!I40,'06.07 KABONG-KOTIDO'!I40,'07.08 KABONG-KOTIDO'!I40,'08.08 KABONG-KOTIDO'!I40,'9.08 KABONG-KOTIDO-24h'!I40,'10.08 KABONG-KOTIDO-24h'!I40,'11.08 KABONG-KOTITDO'!I40)</f>
        <v>0.2857142857142857</v>
      </c>
      <c r="J40" s="49">
        <f>AVERAGE('05.08 KABONG-KOTIDO'!J40,'06.07 KABONG-KOTIDO'!J40,'07.08 KABONG-KOTIDO'!J40,'08.08 KABONG-KOTIDO'!J40,'9.08 KABONG-KOTIDO-24h'!J40,'10.08 KABONG-KOTIDO-24h'!J40,'11.08 KABONG-KOTITDO'!J40)</f>
        <v>0</v>
      </c>
      <c r="K40" s="49">
        <f>AVERAGE('05.08 KABONG-KOTIDO'!K40,'06.07 KABONG-KOTIDO'!K40,'07.08 KABONG-KOTIDO'!K40,'08.08 KABONG-KOTIDO'!K40,'9.08 KABONG-KOTIDO-24h'!K40,'10.08 KABONG-KOTIDO-24h'!K40,'11.08 KABONG-KOTITDO'!K40)</f>
        <v>0</v>
      </c>
      <c r="L40" s="49">
        <f>AVERAGE('05.08 KABONG-KOTIDO'!L40,'06.07 KABONG-KOTIDO'!L40,'07.08 KABONG-KOTIDO'!L40,'08.08 KABONG-KOTIDO'!L40,'9.08 KABONG-KOTIDO-24h'!L40,'10.08 KABONG-KOTIDO-24h'!L40,'11.08 KABONG-KOTITDO'!L40)</f>
        <v>0</v>
      </c>
      <c r="M40" s="49">
        <f>AVERAGE('05.08 KABONG-KOTIDO'!M40,'06.07 KABONG-KOTIDO'!M40,'07.08 KABONG-KOTIDO'!M40,'08.08 KABONG-KOTIDO'!M40,'9.08 KABONG-KOTIDO-24h'!M40,'10.08 KABONG-KOTIDO-24h'!M40,'11.08 KABONG-KOTITDO'!M40)</f>
        <v>0</v>
      </c>
      <c r="N40" s="49">
        <f>AVERAGE('05.08 KABONG-KOTIDO'!N40,'06.07 KABONG-KOTIDO'!N40,'07.08 KABONG-KOTIDO'!N40,'08.08 KABONG-KOTIDO'!N40,'9.08 KABONG-KOTIDO-24h'!N40,'10.08 KABONG-KOTIDO-24h'!N40,'11.08 KABONG-KOTITDO'!N40)</f>
        <v>0</v>
      </c>
      <c r="O40" s="15">
        <f t="shared" si="0"/>
        <v>0.42857142857142855</v>
      </c>
      <c r="P40" s="15">
        <f t="shared" si="1"/>
        <v>0.42857142857142855</v>
      </c>
      <c r="R40" s="5" t="s">
        <v>17</v>
      </c>
      <c r="S40" s="54">
        <f t="shared" ref="S40:AF40" si="32">SUM(S10:S21)</f>
        <v>1.9999999999999998</v>
      </c>
      <c r="T40" s="54">
        <f t="shared" si="32"/>
        <v>11.571428571428569</v>
      </c>
      <c r="U40" s="54">
        <f t="shared" si="32"/>
        <v>11.857142857142856</v>
      </c>
      <c r="V40" s="54">
        <f t="shared" si="32"/>
        <v>0.42857142857142855</v>
      </c>
      <c r="W40" s="54">
        <f t="shared" si="32"/>
        <v>0</v>
      </c>
      <c r="X40" s="54">
        <f t="shared" si="32"/>
        <v>0.8571428571428571</v>
      </c>
      <c r="Y40" s="54">
        <f t="shared" si="32"/>
        <v>9.7142857142857135</v>
      </c>
      <c r="Z40" s="54">
        <f t="shared" si="32"/>
        <v>4.2857142857142856</v>
      </c>
      <c r="AA40" s="54">
        <f t="shared" si="32"/>
        <v>0.42857142857142855</v>
      </c>
      <c r="AB40" s="54">
        <f t="shared" si="32"/>
        <v>0</v>
      </c>
      <c r="AC40" s="54">
        <f t="shared" si="32"/>
        <v>25.428571428571427</v>
      </c>
      <c r="AD40" s="54">
        <f t="shared" si="32"/>
        <v>0.14285714285714285</v>
      </c>
      <c r="AE40" s="55">
        <f t="shared" si="32"/>
        <v>41.285714285714292</v>
      </c>
      <c r="AF40" s="55">
        <f t="shared" si="32"/>
        <v>66.714285714285708</v>
      </c>
    </row>
    <row r="41" spans="2:32" ht="23.1" customHeight="1" x14ac:dyDescent="0.25">
      <c r="B41" s="23" t="s">
        <v>68</v>
      </c>
      <c r="C41" s="49">
        <f>AVERAGE('05.08 KABONG-KOTIDO'!C41,'06.07 KABONG-KOTIDO'!C41,'07.08 KABONG-KOTIDO'!C41,'08.08 KABONG-KOTIDO'!C41,'9.08 KABONG-KOTIDO-24h'!C41,'10.08 KABONG-KOTIDO-24h'!C41,'11.08 KABONG-KOTITDO'!C41)</f>
        <v>0</v>
      </c>
      <c r="D41" s="49">
        <f>AVERAGE('05.08 KABONG-KOTIDO'!D41,'06.07 KABONG-KOTIDO'!D41,'07.08 KABONG-KOTIDO'!D41,'08.08 KABONG-KOTIDO'!D41,'9.08 KABONG-KOTIDO-24h'!D41,'10.08 KABONG-KOTIDO-24h'!D41,'11.08 KABONG-KOTITDO'!D41)</f>
        <v>0.2857142857142857</v>
      </c>
      <c r="E41" s="49">
        <f>AVERAGE('05.08 KABONG-KOTIDO'!E41,'06.07 KABONG-KOTIDO'!E41,'07.08 KABONG-KOTIDO'!E41,'08.08 KABONG-KOTIDO'!E41,'9.08 KABONG-KOTIDO-24h'!E41,'10.08 KABONG-KOTIDO-24h'!E41,'11.08 KABONG-KOTITDO'!E41)</f>
        <v>0.7142857142857143</v>
      </c>
      <c r="F41" s="49">
        <f>AVERAGE('05.08 KABONG-KOTIDO'!F41,'06.07 KABONG-KOTIDO'!F41,'07.08 KABONG-KOTIDO'!F41,'08.08 KABONG-KOTIDO'!F41,'9.08 KABONG-KOTIDO-24h'!F41,'10.08 KABONG-KOTIDO-24h'!F41,'11.08 KABONG-KOTITDO'!F41)</f>
        <v>0.14285714285714285</v>
      </c>
      <c r="G41" s="49">
        <f>AVERAGE('05.08 KABONG-KOTIDO'!G41,'06.07 KABONG-KOTIDO'!G41,'07.08 KABONG-KOTIDO'!G41,'08.08 KABONG-KOTIDO'!G41,'9.08 KABONG-KOTIDO-24h'!G41,'10.08 KABONG-KOTIDO-24h'!G41,'11.08 KABONG-KOTITDO'!G41)</f>
        <v>0</v>
      </c>
      <c r="H41" s="49">
        <f>AVERAGE('05.08 KABONG-KOTIDO'!H41,'06.07 KABONG-KOTIDO'!H41,'07.08 KABONG-KOTIDO'!H41,'08.08 KABONG-KOTIDO'!H41,'9.08 KABONG-KOTIDO-24h'!H41,'10.08 KABONG-KOTIDO-24h'!H41,'11.08 KABONG-KOTITDO'!H41)</f>
        <v>0</v>
      </c>
      <c r="I41" s="49">
        <f>AVERAGE('05.08 KABONG-KOTIDO'!I41,'06.07 KABONG-KOTIDO'!I41,'07.08 KABONG-KOTIDO'!I41,'08.08 KABONG-KOTIDO'!I41,'9.08 KABONG-KOTIDO-24h'!I41,'10.08 KABONG-KOTIDO-24h'!I41,'11.08 KABONG-KOTITDO'!I41)</f>
        <v>0.2857142857142857</v>
      </c>
      <c r="J41" s="49">
        <f>AVERAGE('05.08 KABONG-KOTIDO'!J41,'06.07 KABONG-KOTIDO'!J41,'07.08 KABONG-KOTIDO'!J41,'08.08 KABONG-KOTIDO'!J41,'9.08 KABONG-KOTIDO-24h'!J41,'10.08 KABONG-KOTIDO-24h'!J41,'11.08 KABONG-KOTITDO'!J41)</f>
        <v>0</v>
      </c>
      <c r="K41" s="49">
        <f>AVERAGE('05.08 KABONG-KOTIDO'!K41,'06.07 KABONG-KOTIDO'!K41,'07.08 KABONG-KOTIDO'!K41,'08.08 KABONG-KOTIDO'!K41,'9.08 KABONG-KOTIDO-24h'!K41,'10.08 KABONG-KOTIDO-24h'!K41,'11.08 KABONG-KOTITDO'!K41)</f>
        <v>0</v>
      </c>
      <c r="L41" s="49">
        <f>AVERAGE('05.08 KABONG-KOTIDO'!L41,'06.07 KABONG-KOTIDO'!L41,'07.08 KABONG-KOTIDO'!L41,'08.08 KABONG-KOTIDO'!L41,'9.08 KABONG-KOTIDO-24h'!L41,'10.08 KABONG-KOTIDO-24h'!L41,'11.08 KABONG-KOTITDO'!L41)</f>
        <v>0</v>
      </c>
      <c r="M41" s="49">
        <f>AVERAGE('05.08 KABONG-KOTIDO'!M41,'06.07 KABONG-KOTIDO'!M41,'07.08 KABONG-KOTIDO'!M41,'08.08 KABONG-KOTIDO'!M41,'9.08 KABONG-KOTIDO-24h'!M41,'10.08 KABONG-KOTIDO-24h'!M41,'11.08 KABONG-KOTITDO'!M41)</f>
        <v>0.14285714285714285</v>
      </c>
      <c r="N41" s="49">
        <f>AVERAGE('05.08 KABONG-KOTIDO'!N41,'06.07 KABONG-KOTIDO'!N41,'07.08 KABONG-KOTIDO'!N41,'08.08 KABONG-KOTIDO'!N41,'9.08 KABONG-KOTIDO-24h'!N41,'10.08 KABONG-KOTIDO-24h'!N41,'11.08 KABONG-KOTITDO'!N41)</f>
        <v>0</v>
      </c>
      <c r="O41" s="15">
        <f t="shared" si="0"/>
        <v>1.4285714285714284</v>
      </c>
      <c r="P41" s="15">
        <f t="shared" si="1"/>
        <v>1.5714285714285712</v>
      </c>
      <c r="R41" s="5" t="s">
        <v>179</v>
      </c>
      <c r="S41" s="54">
        <f>SUM(S10:S33)</f>
        <v>4</v>
      </c>
      <c r="T41" s="54">
        <f t="shared" ref="T41:AD41" si="33">SUM(T10:T33)</f>
        <v>27.071428571428569</v>
      </c>
      <c r="U41" s="54">
        <f t="shared" si="33"/>
        <v>23.857142857142854</v>
      </c>
      <c r="V41" s="54">
        <f t="shared" si="33"/>
        <v>0.42857142857142855</v>
      </c>
      <c r="W41" s="54">
        <f t="shared" si="33"/>
        <v>0</v>
      </c>
      <c r="X41" s="54">
        <f t="shared" si="33"/>
        <v>1.8571428571428572</v>
      </c>
      <c r="Y41" s="54">
        <f t="shared" si="33"/>
        <v>18.714285714285715</v>
      </c>
      <c r="Z41" s="54">
        <f t="shared" si="33"/>
        <v>9.2857142857142847</v>
      </c>
      <c r="AA41" s="54">
        <f t="shared" si="33"/>
        <v>0.9285714285714286</v>
      </c>
      <c r="AB41" s="54">
        <f t="shared" si="33"/>
        <v>0</v>
      </c>
      <c r="AC41" s="54">
        <f t="shared" si="33"/>
        <v>52.928571428571431</v>
      </c>
      <c r="AD41" s="54">
        <f t="shared" si="33"/>
        <v>0.14285714285714285</v>
      </c>
      <c r="AE41" s="55">
        <f>SUM(AE10:AE33)</f>
        <v>86.285714285714292</v>
      </c>
      <c r="AF41" s="55">
        <f>SUM(AF10:AF33)</f>
        <v>139.21428571428572</v>
      </c>
    </row>
    <row r="42" spans="2:32" ht="23.1" customHeight="1" x14ac:dyDescent="0.25">
      <c r="B42" s="24" t="s">
        <v>69</v>
      </c>
      <c r="C42" s="49">
        <f>AVERAGE('05.08 KABONG-KOTIDO'!C42,'06.07 KABONG-KOTIDO'!C42,'07.08 KABONG-KOTIDO'!C42,'08.08 KABONG-KOTIDO'!C42,'9.08 KABONG-KOTIDO-24h'!C42,'10.08 KABONG-KOTIDO-24h'!C42,'11.08 KABONG-KOTITDO'!C42)</f>
        <v>0</v>
      </c>
      <c r="D42" s="49">
        <f>AVERAGE('05.08 KABONG-KOTIDO'!D42,'06.07 KABONG-KOTIDO'!D42,'07.08 KABONG-KOTIDO'!D42,'08.08 KABONG-KOTIDO'!D42,'9.08 KABONG-KOTIDO-24h'!D42,'10.08 KABONG-KOTIDO-24h'!D42,'11.08 KABONG-KOTITDO'!D42)</f>
        <v>0.14285714285714285</v>
      </c>
      <c r="E42" s="49">
        <f>AVERAGE('05.08 KABONG-KOTIDO'!E42,'06.07 KABONG-KOTIDO'!E42,'07.08 KABONG-KOTIDO'!E42,'08.08 KABONG-KOTIDO'!E42,'9.08 KABONG-KOTIDO-24h'!E42,'10.08 KABONG-KOTIDO-24h'!E42,'11.08 KABONG-KOTITDO'!E42)</f>
        <v>0.5714285714285714</v>
      </c>
      <c r="F42" s="49">
        <f>AVERAGE('05.08 KABONG-KOTIDO'!F42,'06.07 KABONG-KOTIDO'!F42,'07.08 KABONG-KOTIDO'!F42,'08.08 KABONG-KOTIDO'!F42,'9.08 KABONG-KOTIDO-24h'!F42,'10.08 KABONG-KOTIDO-24h'!F42,'11.08 KABONG-KOTITDO'!F42)</f>
        <v>0</v>
      </c>
      <c r="G42" s="49">
        <f>AVERAGE('05.08 KABONG-KOTIDO'!G42,'06.07 KABONG-KOTIDO'!G42,'07.08 KABONG-KOTIDO'!G42,'08.08 KABONG-KOTIDO'!G42,'9.08 KABONG-KOTIDO-24h'!G42,'10.08 KABONG-KOTIDO-24h'!G42,'11.08 KABONG-KOTITDO'!G42)</f>
        <v>0</v>
      </c>
      <c r="H42" s="49">
        <f>AVERAGE('05.08 KABONG-KOTIDO'!H42,'06.07 KABONG-KOTIDO'!H42,'07.08 KABONG-KOTIDO'!H42,'08.08 KABONG-KOTIDO'!H42,'9.08 KABONG-KOTIDO-24h'!H42,'10.08 KABONG-KOTIDO-24h'!H42,'11.08 KABONG-KOTITDO'!H42)</f>
        <v>0</v>
      </c>
      <c r="I42" s="49">
        <f>AVERAGE('05.08 KABONG-KOTIDO'!I42,'06.07 KABONG-KOTIDO'!I42,'07.08 KABONG-KOTIDO'!I42,'08.08 KABONG-KOTIDO'!I42,'9.08 KABONG-KOTIDO-24h'!I42,'10.08 KABONG-KOTIDO-24h'!I42,'11.08 KABONG-KOTITDO'!I42)</f>
        <v>0.2857142857142857</v>
      </c>
      <c r="J42" s="49">
        <f>AVERAGE('05.08 KABONG-KOTIDO'!J42,'06.07 KABONG-KOTIDO'!J42,'07.08 KABONG-KOTIDO'!J42,'08.08 KABONG-KOTIDO'!J42,'9.08 KABONG-KOTIDO-24h'!J42,'10.08 KABONG-KOTIDO-24h'!J42,'11.08 KABONG-KOTITDO'!J42)</f>
        <v>0</v>
      </c>
      <c r="K42" s="49">
        <f>AVERAGE('05.08 KABONG-KOTIDO'!K42,'06.07 KABONG-KOTIDO'!K42,'07.08 KABONG-KOTIDO'!K42,'08.08 KABONG-KOTIDO'!K42,'9.08 KABONG-KOTIDO-24h'!K42,'10.08 KABONG-KOTIDO-24h'!K42,'11.08 KABONG-KOTITDO'!K42)</f>
        <v>0</v>
      </c>
      <c r="L42" s="49">
        <f>AVERAGE('05.08 KABONG-KOTIDO'!L42,'06.07 KABONG-KOTIDO'!L42,'07.08 KABONG-KOTIDO'!L42,'08.08 KABONG-KOTIDO'!L42,'9.08 KABONG-KOTIDO-24h'!L42,'10.08 KABONG-KOTIDO-24h'!L42,'11.08 KABONG-KOTITDO'!L42)</f>
        <v>0</v>
      </c>
      <c r="M42" s="49">
        <f>AVERAGE('05.08 KABONG-KOTIDO'!M42,'06.07 KABONG-KOTIDO'!M42,'07.08 KABONG-KOTIDO'!M42,'08.08 KABONG-KOTIDO'!M42,'9.08 KABONG-KOTIDO-24h'!M42,'10.08 KABONG-KOTIDO-24h'!M42,'11.08 KABONG-KOTITDO'!M42)</f>
        <v>0.7142857142857143</v>
      </c>
      <c r="N42" s="49">
        <f>AVERAGE('05.08 KABONG-KOTIDO'!N42,'06.07 KABONG-KOTIDO'!N42,'07.08 KABONG-KOTIDO'!N42,'08.08 KABONG-KOTIDO'!N42,'9.08 KABONG-KOTIDO-24h'!N42,'10.08 KABONG-KOTIDO-24h'!N42,'11.08 KABONG-KOTITDO'!N42)</f>
        <v>0</v>
      </c>
      <c r="O42" s="15">
        <f t="shared" si="0"/>
        <v>0.99999999999999989</v>
      </c>
      <c r="P42" s="15">
        <f t="shared" si="1"/>
        <v>1.7142857142857142</v>
      </c>
      <c r="R42" s="5" t="s">
        <v>160</v>
      </c>
      <c r="S42" s="48">
        <f>S41/S40</f>
        <v>2.0000000000000004</v>
      </c>
      <c r="T42" s="48">
        <f t="shared" ref="T42:AF42" si="34">T41/T40</f>
        <v>2.3395061728395063</v>
      </c>
      <c r="U42" s="48">
        <f t="shared" si="34"/>
        <v>2.0120481927710845</v>
      </c>
      <c r="V42" s="48">
        <f t="shared" si="34"/>
        <v>1</v>
      </c>
      <c r="W42" s="48" t="e">
        <f t="shared" si="34"/>
        <v>#DIV/0!</v>
      </c>
      <c r="X42" s="48">
        <f t="shared" si="34"/>
        <v>2.166666666666667</v>
      </c>
      <c r="Y42" s="48">
        <f t="shared" si="34"/>
        <v>1.9264705882352944</v>
      </c>
      <c r="Z42" s="48">
        <f t="shared" si="34"/>
        <v>2.1666666666666665</v>
      </c>
      <c r="AA42" s="48">
        <f t="shared" si="34"/>
        <v>2.166666666666667</v>
      </c>
      <c r="AB42" s="48" t="e">
        <f t="shared" si="34"/>
        <v>#DIV/0!</v>
      </c>
      <c r="AC42" s="48">
        <f t="shared" si="34"/>
        <v>2.0814606741573036</v>
      </c>
      <c r="AD42" s="48">
        <f t="shared" si="34"/>
        <v>1</v>
      </c>
      <c r="AE42" s="56">
        <f t="shared" si="34"/>
        <v>2.0899653979238755</v>
      </c>
      <c r="AF42" s="56">
        <f t="shared" si="34"/>
        <v>2.0867237687366171</v>
      </c>
    </row>
    <row r="43" spans="2:32" ht="23.1" customHeight="1" x14ac:dyDescent="0.25">
      <c r="B43" s="23" t="s">
        <v>70</v>
      </c>
      <c r="C43" s="49">
        <f>AVERAGE('05.08 KABONG-KOTIDO'!C43,'06.07 KABONG-KOTIDO'!C43,'07.08 KABONG-KOTIDO'!C43,'08.08 KABONG-KOTIDO'!C43,'9.08 KABONG-KOTIDO-24h'!C43,'10.08 KABONG-KOTIDO-24h'!C43,'11.08 KABONG-KOTITDO'!C43)</f>
        <v>0</v>
      </c>
      <c r="D43" s="49">
        <f>AVERAGE('05.08 KABONG-KOTIDO'!D43,'06.07 KABONG-KOTIDO'!D43,'07.08 KABONG-KOTIDO'!D43,'08.08 KABONG-KOTIDO'!D43,'9.08 KABONG-KOTIDO-24h'!D43,'10.08 KABONG-KOTIDO-24h'!D43,'11.08 KABONG-KOTITDO'!D43)</f>
        <v>0</v>
      </c>
      <c r="E43" s="49">
        <f>AVERAGE('05.08 KABONG-KOTIDO'!E43,'06.07 KABONG-KOTIDO'!E43,'07.08 KABONG-KOTIDO'!E43,'08.08 KABONG-KOTIDO'!E43,'9.08 KABONG-KOTIDO-24h'!E43,'10.08 KABONG-KOTIDO-24h'!E43,'11.08 KABONG-KOTITDO'!E43)</f>
        <v>0.14285714285714285</v>
      </c>
      <c r="F43" s="49">
        <f>AVERAGE('05.08 KABONG-KOTIDO'!F43,'06.07 KABONG-KOTIDO'!F43,'07.08 KABONG-KOTIDO'!F43,'08.08 KABONG-KOTIDO'!F43,'9.08 KABONG-KOTIDO-24h'!F43,'10.08 KABONG-KOTIDO-24h'!F43,'11.08 KABONG-KOTITDO'!F43)</f>
        <v>0</v>
      </c>
      <c r="G43" s="49">
        <f>AVERAGE('05.08 KABONG-KOTIDO'!G43,'06.07 KABONG-KOTIDO'!G43,'07.08 KABONG-KOTIDO'!G43,'08.08 KABONG-KOTIDO'!G43,'9.08 KABONG-KOTIDO-24h'!G43,'10.08 KABONG-KOTIDO-24h'!G43,'11.08 KABONG-KOTITDO'!G43)</f>
        <v>0</v>
      </c>
      <c r="H43" s="49">
        <f>AVERAGE('05.08 KABONG-KOTIDO'!H43,'06.07 KABONG-KOTIDO'!H43,'07.08 KABONG-KOTIDO'!H43,'08.08 KABONG-KOTIDO'!H43,'9.08 KABONG-KOTIDO-24h'!H43,'10.08 KABONG-KOTIDO-24h'!H43,'11.08 KABONG-KOTITDO'!H43)</f>
        <v>0</v>
      </c>
      <c r="I43" s="49">
        <f>AVERAGE('05.08 KABONG-KOTIDO'!I43,'06.07 KABONG-KOTIDO'!I43,'07.08 KABONG-KOTIDO'!I43,'08.08 KABONG-KOTIDO'!I43,'9.08 KABONG-KOTIDO-24h'!I43,'10.08 KABONG-KOTIDO-24h'!I43,'11.08 KABONG-KOTITDO'!I43)</f>
        <v>0.7142857142857143</v>
      </c>
      <c r="J43" s="49">
        <f>AVERAGE('05.08 KABONG-KOTIDO'!J43,'06.07 KABONG-KOTIDO'!J43,'07.08 KABONG-KOTIDO'!J43,'08.08 KABONG-KOTIDO'!J43,'9.08 KABONG-KOTIDO-24h'!J43,'10.08 KABONG-KOTIDO-24h'!J43,'11.08 KABONG-KOTITDO'!J43)</f>
        <v>0</v>
      </c>
      <c r="K43" s="49">
        <f>AVERAGE('05.08 KABONG-KOTIDO'!K43,'06.07 KABONG-KOTIDO'!K43,'07.08 KABONG-KOTIDO'!K43,'08.08 KABONG-KOTIDO'!K43,'9.08 KABONG-KOTIDO-24h'!K43,'10.08 KABONG-KOTIDO-24h'!K43,'11.08 KABONG-KOTITDO'!K43)</f>
        <v>0</v>
      </c>
      <c r="L43" s="49">
        <f>AVERAGE('05.08 KABONG-KOTIDO'!L43,'06.07 KABONG-KOTIDO'!L43,'07.08 KABONG-KOTIDO'!L43,'08.08 KABONG-KOTIDO'!L43,'9.08 KABONG-KOTIDO-24h'!L43,'10.08 KABONG-KOTIDO-24h'!L43,'11.08 KABONG-KOTITDO'!L43)</f>
        <v>0</v>
      </c>
      <c r="M43" s="49">
        <f>AVERAGE('05.08 KABONG-KOTIDO'!M43,'06.07 KABONG-KOTIDO'!M43,'07.08 KABONG-KOTIDO'!M43,'08.08 KABONG-KOTIDO'!M43,'9.08 KABONG-KOTIDO-24h'!M43,'10.08 KABONG-KOTIDO-24h'!M43,'11.08 KABONG-KOTITDO'!M43)</f>
        <v>0.2857142857142857</v>
      </c>
      <c r="N43" s="49">
        <f>AVERAGE('05.08 KABONG-KOTIDO'!N43,'06.07 KABONG-KOTIDO'!N43,'07.08 KABONG-KOTIDO'!N43,'08.08 KABONG-KOTIDO'!N43,'9.08 KABONG-KOTIDO-24h'!N43,'10.08 KABONG-KOTIDO-24h'!N43,'11.08 KABONG-KOTITDO'!N43)</f>
        <v>0</v>
      </c>
      <c r="O43" s="15">
        <f t="shared" si="0"/>
        <v>0.85714285714285721</v>
      </c>
      <c r="P43" s="15">
        <f t="shared" si="1"/>
        <v>1.1428571428571428</v>
      </c>
    </row>
    <row r="44" spans="2:32" ht="23.1" customHeight="1" x14ac:dyDescent="0.25">
      <c r="B44" s="25" t="s">
        <v>71</v>
      </c>
      <c r="C44" s="49">
        <f>AVERAGE('05.08 KABONG-KOTIDO'!C44,'06.07 KABONG-KOTIDO'!C44,'07.08 KABONG-KOTIDO'!C44,'08.08 KABONG-KOTIDO'!C44,'9.08 KABONG-KOTIDO-24h'!C44,'10.08 KABONG-KOTIDO-24h'!C44,'11.08 KABONG-KOTITDO'!C44)</f>
        <v>0</v>
      </c>
      <c r="D44" s="49">
        <f>AVERAGE('05.08 KABONG-KOTIDO'!D44,'06.07 KABONG-KOTIDO'!D44,'07.08 KABONG-KOTIDO'!D44,'08.08 KABONG-KOTIDO'!D44,'9.08 KABONG-KOTIDO-24h'!D44,'10.08 KABONG-KOTIDO-24h'!D44,'11.08 KABONG-KOTITDO'!D44)</f>
        <v>0.14285714285714285</v>
      </c>
      <c r="E44" s="49">
        <f>AVERAGE('05.08 KABONG-KOTIDO'!E44,'06.07 KABONG-KOTIDO'!E44,'07.08 KABONG-KOTIDO'!E44,'08.08 KABONG-KOTIDO'!E44,'9.08 KABONG-KOTIDO-24h'!E44,'10.08 KABONG-KOTIDO-24h'!E44,'11.08 KABONG-KOTITDO'!E44)</f>
        <v>0.14285714285714285</v>
      </c>
      <c r="F44" s="49">
        <f>AVERAGE('05.08 KABONG-KOTIDO'!F44,'06.07 KABONG-KOTIDO'!F44,'07.08 KABONG-KOTIDO'!F44,'08.08 KABONG-KOTIDO'!F44,'9.08 KABONG-KOTIDO-24h'!F44,'10.08 KABONG-KOTIDO-24h'!F44,'11.08 KABONG-KOTITDO'!F44)</f>
        <v>0</v>
      </c>
      <c r="G44" s="49">
        <f>AVERAGE('05.08 KABONG-KOTIDO'!G44,'06.07 KABONG-KOTIDO'!G44,'07.08 KABONG-KOTIDO'!G44,'08.08 KABONG-KOTIDO'!G44,'9.08 KABONG-KOTIDO-24h'!G44,'10.08 KABONG-KOTIDO-24h'!G44,'11.08 KABONG-KOTITDO'!G44)</f>
        <v>0</v>
      </c>
      <c r="H44" s="49">
        <f>AVERAGE('05.08 KABONG-KOTIDO'!H44,'06.07 KABONG-KOTIDO'!H44,'07.08 KABONG-KOTIDO'!H44,'08.08 KABONG-KOTIDO'!H44,'9.08 KABONG-KOTIDO-24h'!H44,'10.08 KABONG-KOTIDO-24h'!H44,'11.08 KABONG-KOTITDO'!H44)</f>
        <v>0</v>
      </c>
      <c r="I44" s="49">
        <f>AVERAGE('05.08 KABONG-KOTIDO'!I44,'06.07 KABONG-KOTIDO'!I44,'07.08 KABONG-KOTIDO'!I44,'08.08 KABONG-KOTIDO'!I44,'9.08 KABONG-KOTIDO-24h'!I44,'10.08 KABONG-KOTIDO-24h'!I44,'11.08 KABONG-KOTITDO'!I44)</f>
        <v>0</v>
      </c>
      <c r="J44" s="49">
        <f>AVERAGE('05.08 KABONG-KOTIDO'!J44,'06.07 KABONG-KOTIDO'!J44,'07.08 KABONG-KOTIDO'!J44,'08.08 KABONG-KOTIDO'!J44,'9.08 KABONG-KOTIDO-24h'!J44,'10.08 KABONG-KOTIDO-24h'!J44,'11.08 KABONG-KOTITDO'!J44)</f>
        <v>0.2857142857142857</v>
      </c>
      <c r="K44" s="49">
        <f>AVERAGE('05.08 KABONG-KOTIDO'!K44,'06.07 KABONG-KOTIDO'!K44,'07.08 KABONG-KOTIDO'!K44,'08.08 KABONG-KOTIDO'!K44,'9.08 KABONG-KOTIDO-24h'!K44,'10.08 KABONG-KOTIDO-24h'!K44,'11.08 KABONG-KOTITDO'!K44)</f>
        <v>0</v>
      </c>
      <c r="L44" s="49">
        <f>AVERAGE('05.08 KABONG-KOTIDO'!L44,'06.07 KABONG-KOTIDO'!L44,'07.08 KABONG-KOTIDO'!L44,'08.08 KABONG-KOTIDO'!L44,'9.08 KABONG-KOTIDO-24h'!L44,'10.08 KABONG-KOTIDO-24h'!L44,'11.08 KABONG-KOTITDO'!L44)</f>
        <v>0</v>
      </c>
      <c r="M44" s="49">
        <f>AVERAGE('05.08 KABONG-KOTIDO'!M44,'06.07 KABONG-KOTIDO'!M44,'07.08 KABONG-KOTIDO'!M44,'08.08 KABONG-KOTIDO'!M44,'9.08 KABONG-KOTIDO-24h'!M44,'10.08 KABONG-KOTIDO-24h'!M44,'11.08 KABONG-KOTITDO'!M44)</f>
        <v>0.2857142857142857</v>
      </c>
      <c r="N44" s="49">
        <f>AVERAGE('05.08 KABONG-KOTIDO'!N44,'06.07 KABONG-KOTIDO'!N44,'07.08 KABONG-KOTIDO'!N44,'08.08 KABONG-KOTIDO'!N44,'9.08 KABONG-KOTIDO-24h'!N44,'10.08 KABONG-KOTIDO-24h'!N44,'11.08 KABONG-KOTITDO'!N44)</f>
        <v>0</v>
      </c>
      <c r="O44" s="15">
        <f t="shared" si="0"/>
        <v>0.5714285714285714</v>
      </c>
      <c r="P44" s="15">
        <f t="shared" si="1"/>
        <v>0.8571428571428571</v>
      </c>
    </row>
    <row r="45" spans="2:32" ht="23.1" customHeight="1" x14ac:dyDescent="0.25">
      <c r="B45" s="23" t="s">
        <v>72</v>
      </c>
      <c r="C45" s="49">
        <f>AVERAGE('05.08 KABONG-KOTIDO'!C45,'06.07 KABONG-KOTIDO'!C45,'07.08 KABONG-KOTIDO'!C45,'08.08 KABONG-KOTIDO'!C45,'9.08 KABONG-KOTIDO-24h'!C45,'10.08 KABONG-KOTIDO-24h'!C45,'11.08 KABONG-KOTITDO'!C45)</f>
        <v>0</v>
      </c>
      <c r="D45" s="49">
        <f>AVERAGE('05.08 KABONG-KOTIDO'!D45,'06.07 KABONG-KOTIDO'!D45,'07.08 KABONG-KOTIDO'!D45,'08.08 KABONG-KOTIDO'!D45,'9.08 KABONG-KOTIDO-24h'!D45,'10.08 KABONG-KOTIDO-24h'!D45,'11.08 KABONG-KOTITDO'!D45)</f>
        <v>0.2857142857142857</v>
      </c>
      <c r="E45" s="49">
        <f>AVERAGE('05.08 KABONG-KOTIDO'!E45,'06.07 KABONG-KOTIDO'!E45,'07.08 KABONG-KOTIDO'!E45,'08.08 KABONG-KOTIDO'!E45,'9.08 KABONG-KOTIDO-24h'!E45,'10.08 KABONG-KOTIDO-24h'!E45,'11.08 KABONG-KOTITDO'!E45)</f>
        <v>0</v>
      </c>
      <c r="F45" s="49">
        <f>AVERAGE('05.08 KABONG-KOTIDO'!F45,'06.07 KABONG-KOTIDO'!F45,'07.08 KABONG-KOTIDO'!F45,'08.08 KABONG-KOTIDO'!F45,'9.08 KABONG-KOTIDO-24h'!F45,'10.08 KABONG-KOTIDO-24h'!F45,'11.08 KABONG-KOTITDO'!F45)</f>
        <v>0</v>
      </c>
      <c r="G45" s="49">
        <f>AVERAGE('05.08 KABONG-KOTIDO'!G45,'06.07 KABONG-KOTIDO'!G45,'07.08 KABONG-KOTIDO'!G45,'08.08 KABONG-KOTIDO'!G45,'9.08 KABONG-KOTIDO-24h'!G45,'10.08 KABONG-KOTIDO-24h'!G45,'11.08 KABONG-KOTITDO'!G45)</f>
        <v>0</v>
      </c>
      <c r="H45" s="49">
        <f>AVERAGE('05.08 KABONG-KOTIDO'!H45,'06.07 KABONG-KOTIDO'!H45,'07.08 KABONG-KOTIDO'!H45,'08.08 KABONG-KOTIDO'!H45,'9.08 KABONG-KOTIDO-24h'!H45,'10.08 KABONG-KOTIDO-24h'!H45,'11.08 KABONG-KOTITDO'!H45)</f>
        <v>0</v>
      </c>
      <c r="I45" s="49">
        <f>AVERAGE('05.08 KABONG-KOTIDO'!I45,'06.07 KABONG-KOTIDO'!I45,'07.08 KABONG-KOTIDO'!I45,'08.08 KABONG-KOTIDO'!I45,'9.08 KABONG-KOTIDO-24h'!I45,'10.08 KABONG-KOTIDO-24h'!I45,'11.08 KABONG-KOTITDO'!I45)</f>
        <v>0.2857142857142857</v>
      </c>
      <c r="J45" s="49">
        <f>AVERAGE('05.08 KABONG-KOTIDO'!J45,'06.07 KABONG-KOTIDO'!J45,'07.08 KABONG-KOTIDO'!J45,'08.08 KABONG-KOTIDO'!J45,'9.08 KABONG-KOTIDO-24h'!J45,'10.08 KABONG-KOTIDO-24h'!J45,'11.08 KABONG-KOTITDO'!J45)</f>
        <v>0</v>
      </c>
      <c r="K45" s="49">
        <f>AVERAGE('05.08 KABONG-KOTIDO'!K45,'06.07 KABONG-KOTIDO'!K45,'07.08 KABONG-KOTIDO'!K45,'08.08 KABONG-KOTIDO'!K45,'9.08 KABONG-KOTIDO-24h'!K45,'10.08 KABONG-KOTIDO-24h'!K45,'11.08 KABONG-KOTITDO'!K45)</f>
        <v>0</v>
      </c>
      <c r="L45" s="49">
        <f>AVERAGE('05.08 KABONG-KOTIDO'!L45,'06.07 KABONG-KOTIDO'!L45,'07.08 KABONG-KOTIDO'!L45,'08.08 KABONG-KOTIDO'!L45,'9.08 KABONG-KOTIDO-24h'!L45,'10.08 KABONG-KOTIDO-24h'!L45,'11.08 KABONG-KOTITDO'!L45)</f>
        <v>0</v>
      </c>
      <c r="M45" s="49">
        <f>AVERAGE('05.08 KABONG-KOTIDO'!M45,'06.07 KABONG-KOTIDO'!M45,'07.08 KABONG-KOTIDO'!M45,'08.08 KABONG-KOTIDO'!M45,'9.08 KABONG-KOTIDO-24h'!M45,'10.08 KABONG-KOTIDO-24h'!M45,'11.08 KABONG-KOTITDO'!M45)</f>
        <v>0.7142857142857143</v>
      </c>
      <c r="N45" s="49">
        <f>AVERAGE('05.08 KABONG-KOTIDO'!N45,'06.07 KABONG-KOTIDO'!N45,'07.08 KABONG-KOTIDO'!N45,'08.08 KABONG-KOTIDO'!N45,'9.08 KABONG-KOTIDO-24h'!N45,'10.08 KABONG-KOTIDO-24h'!N45,'11.08 KABONG-KOTITDO'!N45)</f>
        <v>0</v>
      </c>
      <c r="O45" s="15">
        <f t="shared" si="0"/>
        <v>0.5714285714285714</v>
      </c>
      <c r="P45" s="15">
        <f t="shared" si="1"/>
        <v>1.2857142857142856</v>
      </c>
    </row>
    <row r="46" spans="2:32" ht="23.1" customHeight="1" x14ac:dyDescent="0.25">
      <c r="B46" s="24" t="s">
        <v>73</v>
      </c>
      <c r="C46" s="49">
        <f>AVERAGE('05.08 KABONG-KOTIDO'!C46,'06.07 KABONG-KOTIDO'!C46,'07.08 KABONG-KOTIDO'!C46,'08.08 KABONG-KOTIDO'!C46,'9.08 KABONG-KOTIDO-24h'!C46,'10.08 KABONG-KOTIDO-24h'!C46,'11.08 KABONG-KOTITDO'!C46)</f>
        <v>0</v>
      </c>
      <c r="D46" s="49">
        <f>AVERAGE('05.08 KABONG-KOTIDO'!D46,'06.07 KABONG-KOTIDO'!D46,'07.08 KABONG-KOTIDO'!D46,'08.08 KABONG-KOTIDO'!D46,'9.08 KABONG-KOTIDO-24h'!D46,'10.08 KABONG-KOTIDO-24h'!D46,'11.08 KABONG-KOTITDO'!D46)</f>
        <v>0.2857142857142857</v>
      </c>
      <c r="E46" s="49">
        <f>AVERAGE('05.08 KABONG-KOTIDO'!E46,'06.07 KABONG-KOTIDO'!E46,'07.08 KABONG-KOTIDO'!E46,'08.08 KABONG-KOTIDO'!E46,'9.08 KABONG-KOTIDO-24h'!E46,'10.08 KABONG-KOTIDO-24h'!E46,'11.08 KABONG-KOTITDO'!E46)</f>
        <v>0</v>
      </c>
      <c r="F46" s="49">
        <f>AVERAGE('05.08 KABONG-KOTIDO'!F46,'06.07 KABONG-KOTIDO'!F46,'07.08 KABONG-KOTIDO'!F46,'08.08 KABONG-KOTIDO'!F46,'9.08 KABONG-KOTIDO-24h'!F46,'10.08 KABONG-KOTIDO-24h'!F46,'11.08 KABONG-KOTITDO'!F46)</f>
        <v>0</v>
      </c>
      <c r="G46" s="49">
        <f>AVERAGE('05.08 KABONG-KOTIDO'!G46,'06.07 KABONG-KOTIDO'!G46,'07.08 KABONG-KOTIDO'!G46,'08.08 KABONG-KOTIDO'!G46,'9.08 KABONG-KOTIDO-24h'!G46,'10.08 KABONG-KOTIDO-24h'!G46,'11.08 KABONG-KOTITDO'!G46)</f>
        <v>0</v>
      </c>
      <c r="H46" s="49">
        <f>AVERAGE('05.08 KABONG-KOTIDO'!H46,'06.07 KABONG-KOTIDO'!H46,'07.08 KABONG-KOTIDO'!H46,'08.08 KABONG-KOTIDO'!H46,'9.08 KABONG-KOTIDO-24h'!H46,'10.08 KABONG-KOTIDO-24h'!H46,'11.08 KABONG-KOTITDO'!H46)</f>
        <v>0</v>
      </c>
      <c r="I46" s="49">
        <f>AVERAGE('05.08 KABONG-KOTIDO'!I46,'06.07 KABONG-KOTIDO'!I46,'07.08 KABONG-KOTIDO'!I46,'08.08 KABONG-KOTIDO'!I46,'9.08 KABONG-KOTIDO-24h'!I46,'10.08 KABONG-KOTIDO-24h'!I46,'11.08 KABONG-KOTITDO'!I46)</f>
        <v>0.2857142857142857</v>
      </c>
      <c r="J46" s="49">
        <f>AVERAGE('05.08 KABONG-KOTIDO'!J46,'06.07 KABONG-KOTIDO'!J46,'07.08 KABONG-KOTIDO'!J46,'08.08 KABONG-KOTIDO'!J46,'9.08 KABONG-KOTIDO-24h'!J46,'10.08 KABONG-KOTIDO-24h'!J46,'11.08 KABONG-KOTITDO'!J46)</f>
        <v>0.14285714285714285</v>
      </c>
      <c r="K46" s="49">
        <f>AVERAGE('05.08 KABONG-KOTIDO'!K46,'06.07 KABONG-KOTIDO'!K46,'07.08 KABONG-KOTIDO'!K46,'08.08 KABONG-KOTIDO'!K46,'9.08 KABONG-KOTIDO-24h'!K46,'10.08 KABONG-KOTIDO-24h'!K46,'11.08 KABONG-KOTITDO'!K46)</f>
        <v>0</v>
      </c>
      <c r="L46" s="49">
        <f>AVERAGE('05.08 KABONG-KOTIDO'!L46,'06.07 KABONG-KOTIDO'!L46,'07.08 KABONG-KOTIDO'!L46,'08.08 KABONG-KOTIDO'!L46,'9.08 KABONG-KOTIDO-24h'!L46,'10.08 KABONG-KOTIDO-24h'!L46,'11.08 KABONG-KOTITDO'!L46)</f>
        <v>0</v>
      </c>
      <c r="M46" s="49">
        <f>AVERAGE('05.08 KABONG-KOTIDO'!M46,'06.07 KABONG-KOTIDO'!M46,'07.08 KABONG-KOTIDO'!M46,'08.08 KABONG-KOTIDO'!M46,'9.08 KABONG-KOTIDO-24h'!M46,'10.08 KABONG-KOTIDO-24h'!M46,'11.08 KABONG-KOTITDO'!M46)</f>
        <v>0.8571428571428571</v>
      </c>
      <c r="N46" s="49">
        <f>AVERAGE('05.08 KABONG-KOTIDO'!N46,'06.07 KABONG-KOTIDO'!N46,'07.08 KABONG-KOTIDO'!N46,'08.08 KABONG-KOTIDO'!N46,'9.08 KABONG-KOTIDO-24h'!N46,'10.08 KABONG-KOTIDO-24h'!N46,'11.08 KABONG-KOTITDO'!N46)</f>
        <v>0</v>
      </c>
      <c r="O46" s="15">
        <f t="shared" si="0"/>
        <v>0.71428571428571419</v>
      </c>
      <c r="P46" s="15">
        <f t="shared" si="1"/>
        <v>1.5714285714285712</v>
      </c>
      <c r="R46" s="8"/>
      <c r="T46"/>
    </row>
    <row r="47" spans="2:32" ht="23.1" customHeight="1" x14ac:dyDescent="0.25">
      <c r="B47" s="24" t="s">
        <v>74</v>
      </c>
      <c r="C47" s="49">
        <f>AVERAGE('05.08 KABONG-KOTIDO'!C47,'06.07 KABONG-KOTIDO'!C47,'07.08 KABONG-KOTIDO'!C47,'08.08 KABONG-KOTIDO'!C47,'9.08 KABONG-KOTIDO-24h'!C47,'10.08 KABONG-KOTIDO-24h'!C47,'11.08 KABONG-KOTITDO'!C47)</f>
        <v>0</v>
      </c>
      <c r="D47" s="49">
        <f>AVERAGE('05.08 KABONG-KOTIDO'!D47,'06.07 KABONG-KOTIDO'!D47,'07.08 KABONG-KOTIDO'!D47,'08.08 KABONG-KOTIDO'!D47,'9.08 KABONG-KOTIDO-24h'!D47,'10.08 KABONG-KOTIDO-24h'!D47,'11.08 KABONG-KOTITDO'!D47)</f>
        <v>0.2857142857142857</v>
      </c>
      <c r="E47" s="49">
        <f>AVERAGE('05.08 KABONG-KOTIDO'!E47,'06.07 KABONG-KOTIDO'!E47,'07.08 KABONG-KOTIDO'!E47,'08.08 KABONG-KOTIDO'!E47,'9.08 KABONG-KOTIDO-24h'!E47,'10.08 KABONG-KOTIDO-24h'!E47,'11.08 KABONG-KOTITDO'!E47)</f>
        <v>0.14285714285714285</v>
      </c>
      <c r="F47" s="49">
        <f>AVERAGE('05.08 KABONG-KOTIDO'!F47,'06.07 KABONG-KOTIDO'!F47,'07.08 KABONG-KOTIDO'!F47,'08.08 KABONG-KOTIDO'!F47,'9.08 KABONG-KOTIDO-24h'!F47,'10.08 KABONG-KOTIDO-24h'!F47,'11.08 KABONG-KOTITDO'!F47)</f>
        <v>0</v>
      </c>
      <c r="G47" s="49">
        <f>AVERAGE('05.08 KABONG-KOTIDO'!G47,'06.07 KABONG-KOTIDO'!G47,'07.08 KABONG-KOTIDO'!G47,'08.08 KABONG-KOTIDO'!G47,'9.08 KABONG-KOTIDO-24h'!G47,'10.08 KABONG-KOTIDO-24h'!G47,'11.08 KABONG-KOTITDO'!G47)</f>
        <v>0</v>
      </c>
      <c r="H47" s="49">
        <f>AVERAGE('05.08 KABONG-KOTIDO'!H47,'06.07 KABONG-KOTIDO'!H47,'07.08 KABONG-KOTIDO'!H47,'08.08 KABONG-KOTIDO'!H47,'9.08 KABONG-KOTIDO-24h'!H47,'10.08 KABONG-KOTIDO-24h'!H47,'11.08 KABONG-KOTITDO'!H47)</f>
        <v>0</v>
      </c>
      <c r="I47" s="49">
        <f>AVERAGE('05.08 KABONG-KOTIDO'!I47,'06.07 KABONG-KOTIDO'!I47,'07.08 KABONG-KOTIDO'!I47,'08.08 KABONG-KOTIDO'!I47,'9.08 KABONG-KOTIDO-24h'!I47,'10.08 KABONG-KOTIDO-24h'!I47,'11.08 KABONG-KOTITDO'!I47)</f>
        <v>0</v>
      </c>
      <c r="J47" s="49">
        <f>AVERAGE('05.08 KABONG-KOTIDO'!J47,'06.07 KABONG-KOTIDO'!J47,'07.08 KABONG-KOTIDO'!J47,'08.08 KABONG-KOTIDO'!J47,'9.08 KABONG-KOTIDO-24h'!J47,'10.08 KABONG-KOTIDO-24h'!J47,'11.08 KABONG-KOTITDO'!J47)</f>
        <v>0</v>
      </c>
      <c r="K47" s="49">
        <f>AVERAGE('05.08 KABONG-KOTIDO'!K47,'06.07 KABONG-KOTIDO'!K47,'07.08 KABONG-KOTIDO'!K47,'08.08 KABONG-KOTIDO'!K47,'9.08 KABONG-KOTIDO-24h'!K47,'10.08 KABONG-KOTIDO-24h'!K47,'11.08 KABONG-KOTITDO'!K47)</f>
        <v>0</v>
      </c>
      <c r="L47" s="49">
        <f>AVERAGE('05.08 KABONG-KOTIDO'!L47,'06.07 KABONG-KOTIDO'!L47,'07.08 KABONG-KOTIDO'!L47,'08.08 KABONG-KOTIDO'!L47,'9.08 KABONG-KOTIDO-24h'!L47,'10.08 KABONG-KOTIDO-24h'!L47,'11.08 KABONG-KOTITDO'!L47)</f>
        <v>0</v>
      </c>
      <c r="M47" s="49">
        <f>AVERAGE('05.08 KABONG-KOTIDO'!M47,'06.07 KABONG-KOTIDO'!M47,'07.08 KABONG-KOTIDO'!M47,'08.08 KABONG-KOTIDO'!M47,'9.08 KABONG-KOTIDO-24h'!M47,'10.08 KABONG-KOTIDO-24h'!M47,'11.08 KABONG-KOTITDO'!M47)</f>
        <v>0.2857142857142857</v>
      </c>
      <c r="N47" s="49">
        <f>AVERAGE('05.08 KABONG-KOTIDO'!N47,'06.07 KABONG-KOTIDO'!N47,'07.08 KABONG-KOTIDO'!N47,'08.08 KABONG-KOTIDO'!N47,'9.08 KABONG-KOTIDO-24h'!N47,'10.08 KABONG-KOTIDO-24h'!N47,'11.08 KABONG-KOTITDO'!N47)</f>
        <v>0</v>
      </c>
      <c r="O47" s="15">
        <f t="shared" si="0"/>
        <v>0.42857142857142855</v>
      </c>
      <c r="P47" s="15">
        <f t="shared" si="1"/>
        <v>0.71428571428571419</v>
      </c>
      <c r="R47" s="8"/>
      <c r="T47"/>
    </row>
    <row r="48" spans="2:32" ht="23.1" customHeight="1" x14ac:dyDescent="0.25">
      <c r="B48" s="24" t="s">
        <v>75</v>
      </c>
      <c r="C48" s="49">
        <f>AVERAGE('05.08 KABONG-KOTIDO'!C48,'06.07 KABONG-KOTIDO'!C48,'07.08 KABONG-KOTIDO'!C48,'08.08 KABONG-KOTIDO'!C48,'9.08 KABONG-KOTIDO-24h'!C48,'10.08 KABONG-KOTIDO-24h'!C48,'11.08 KABONG-KOTITDO'!C48)</f>
        <v>0</v>
      </c>
      <c r="D48" s="49">
        <f>AVERAGE('05.08 KABONG-KOTIDO'!D48,'06.07 KABONG-KOTIDO'!D48,'07.08 KABONG-KOTIDO'!D48,'08.08 KABONG-KOTIDO'!D48,'9.08 KABONG-KOTIDO-24h'!D48,'10.08 KABONG-KOTIDO-24h'!D48,'11.08 KABONG-KOTITDO'!D48)</f>
        <v>0.8571428571428571</v>
      </c>
      <c r="E48" s="49">
        <f>AVERAGE('05.08 KABONG-KOTIDO'!E48,'06.07 KABONG-KOTIDO'!E48,'07.08 KABONG-KOTIDO'!E48,'08.08 KABONG-KOTIDO'!E48,'9.08 KABONG-KOTIDO-24h'!E48,'10.08 KABONG-KOTIDO-24h'!E48,'11.08 KABONG-KOTITDO'!E48)</f>
        <v>0.2857142857142857</v>
      </c>
      <c r="F48" s="49">
        <f>AVERAGE('05.08 KABONG-KOTIDO'!F48,'06.07 KABONG-KOTIDO'!F48,'07.08 KABONG-KOTIDO'!F48,'08.08 KABONG-KOTIDO'!F48,'9.08 KABONG-KOTIDO-24h'!F48,'10.08 KABONG-KOTIDO-24h'!F48,'11.08 KABONG-KOTITDO'!F48)</f>
        <v>0</v>
      </c>
      <c r="G48" s="49">
        <f>AVERAGE('05.08 KABONG-KOTIDO'!G48,'06.07 KABONG-KOTIDO'!G48,'07.08 KABONG-KOTIDO'!G48,'08.08 KABONG-KOTIDO'!G48,'9.08 KABONG-KOTIDO-24h'!G48,'10.08 KABONG-KOTIDO-24h'!G48,'11.08 KABONG-KOTITDO'!G48)</f>
        <v>0</v>
      </c>
      <c r="H48" s="49">
        <f>AVERAGE('05.08 KABONG-KOTIDO'!H48,'06.07 KABONG-KOTIDO'!H48,'07.08 KABONG-KOTIDO'!H48,'08.08 KABONG-KOTIDO'!H48,'9.08 KABONG-KOTIDO-24h'!H48,'10.08 KABONG-KOTIDO-24h'!H48,'11.08 KABONG-KOTITDO'!H48)</f>
        <v>0</v>
      </c>
      <c r="I48" s="49">
        <f>AVERAGE('05.08 KABONG-KOTIDO'!I48,'06.07 KABONG-KOTIDO'!I48,'07.08 KABONG-KOTIDO'!I48,'08.08 KABONG-KOTIDO'!I48,'9.08 KABONG-KOTIDO-24h'!I48,'10.08 KABONG-KOTIDO-24h'!I48,'11.08 KABONG-KOTITDO'!I48)</f>
        <v>0.14285714285714285</v>
      </c>
      <c r="J48" s="49">
        <f>AVERAGE('05.08 KABONG-KOTIDO'!J48,'06.07 KABONG-KOTIDO'!J48,'07.08 KABONG-KOTIDO'!J48,'08.08 KABONG-KOTIDO'!J48,'9.08 KABONG-KOTIDO-24h'!J48,'10.08 KABONG-KOTIDO-24h'!J48,'11.08 KABONG-KOTITDO'!J48)</f>
        <v>0</v>
      </c>
      <c r="K48" s="49">
        <f>AVERAGE('05.08 KABONG-KOTIDO'!K48,'06.07 KABONG-KOTIDO'!K48,'07.08 KABONG-KOTIDO'!K48,'08.08 KABONG-KOTIDO'!K48,'9.08 KABONG-KOTIDO-24h'!K48,'10.08 KABONG-KOTIDO-24h'!K48,'11.08 KABONG-KOTITDO'!K48)</f>
        <v>0</v>
      </c>
      <c r="L48" s="49">
        <f>AVERAGE('05.08 KABONG-KOTIDO'!L48,'06.07 KABONG-KOTIDO'!L48,'07.08 KABONG-KOTIDO'!L48,'08.08 KABONG-KOTIDO'!L48,'9.08 KABONG-KOTIDO-24h'!L48,'10.08 KABONG-KOTIDO-24h'!L48,'11.08 KABONG-KOTITDO'!L48)</f>
        <v>0</v>
      </c>
      <c r="M48" s="49">
        <f>AVERAGE('05.08 KABONG-KOTIDO'!M48,'06.07 KABONG-KOTIDO'!M48,'07.08 KABONG-KOTIDO'!M48,'08.08 KABONG-KOTIDO'!M48,'9.08 KABONG-KOTIDO-24h'!M48,'10.08 KABONG-KOTIDO-24h'!M48,'11.08 KABONG-KOTITDO'!M48)</f>
        <v>1</v>
      </c>
      <c r="N48" s="49">
        <f>AVERAGE('05.08 KABONG-KOTIDO'!N48,'06.07 KABONG-KOTIDO'!N48,'07.08 KABONG-KOTIDO'!N48,'08.08 KABONG-KOTIDO'!N48,'9.08 KABONG-KOTIDO-24h'!N48,'10.08 KABONG-KOTIDO-24h'!N48,'11.08 KABONG-KOTITDO'!N48)</f>
        <v>0</v>
      </c>
      <c r="O48" s="15">
        <f t="shared" si="0"/>
        <v>1.2857142857142856</v>
      </c>
      <c r="P48" s="15">
        <f t="shared" si="1"/>
        <v>2.2857142857142856</v>
      </c>
      <c r="R48" s="8"/>
      <c r="T48"/>
    </row>
    <row r="49" spans="2:20" ht="23.1" customHeight="1" x14ac:dyDescent="0.25">
      <c r="B49" s="23" t="s">
        <v>76</v>
      </c>
      <c r="C49" s="49">
        <f>AVERAGE('05.08 KABONG-KOTIDO'!C49,'06.07 KABONG-KOTIDO'!C49,'07.08 KABONG-KOTIDO'!C49,'08.08 KABONG-KOTIDO'!C49,'9.08 KABONG-KOTIDO-24h'!C49,'10.08 KABONG-KOTIDO-24h'!C49,'11.08 KABONG-KOTITDO'!C49)</f>
        <v>0.14285714285714285</v>
      </c>
      <c r="D49" s="49">
        <f>AVERAGE('05.08 KABONG-KOTIDO'!D49,'06.07 KABONG-KOTIDO'!D49,'07.08 KABONG-KOTIDO'!D49,'08.08 KABONG-KOTIDO'!D49,'9.08 KABONG-KOTIDO-24h'!D49,'10.08 KABONG-KOTIDO-24h'!D49,'11.08 KABONG-KOTITDO'!D49)</f>
        <v>0.14285714285714285</v>
      </c>
      <c r="E49" s="49">
        <f>AVERAGE('05.08 KABONG-KOTIDO'!E49,'06.07 KABONG-KOTIDO'!E49,'07.08 KABONG-KOTIDO'!E49,'08.08 KABONG-KOTIDO'!E49,'9.08 KABONG-KOTIDO-24h'!E49,'10.08 KABONG-KOTIDO-24h'!E49,'11.08 KABONG-KOTITDO'!E49)</f>
        <v>0.8571428571428571</v>
      </c>
      <c r="F49" s="49">
        <f>AVERAGE('05.08 KABONG-KOTIDO'!F49,'06.07 KABONG-KOTIDO'!F49,'07.08 KABONG-KOTIDO'!F49,'08.08 KABONG-KOTIDO'!F49,'9.08 KABONG-KOTIDO-24h'!F49,'10.08 KABONG-KOTIDO-24h'!F49,'11.08 KABONG-KOTITDO'!F49)</f>
        <v>0</v>
      </c>
      <c r="G49" s="49">
        <f>AVERAGE('05.08 KABONG-KOTIDO'!G49,'06.07 KABONG-KOTIDO'!G49,'07.08 KABONG-KOTIDO'!G49,'08.08 KABONG-KOTIDO'!G49,'9.08 KABONG-KOTIDO-24h'!G49,'10.08 KABONG-KOTIDO-24h'!G49,'11.08 KABONG-KOTITDO'!G49)</f>
        <v>0</v>
      </c>
      <c r="H49" s="49">
        <f>AVERAGE('05.08 KABONG-KOTIDO'!H49,'06.07 KABONG-KOTIDO'!H49,'07.08 KABONG-KOTIDO'!H49,'08.08 KABONG-KOTIDO'!H49,'9.08 KABONG-KOTIDO-24h'!H49,'10.08 KABONG-KOTIDO-24h'!H49,'11.08 KABONG-KOTITDO'!H49)</f>
        <v>0</v>
      </c>
      <c r="I49" s="49">
        <f>AVERAGE('05.08 KABONG-KOTIDO'!I49,'06.07 KABONG-KOTIDO'!I49,'07.08 KABONG-KOTIDO'!I49,'08.08 KABONG-KOTIDO'!I49,'9.08 KABONG-KOTIDO-24h'!I49,'10.08 KABONG-KOTIDO-24h'!I49,'11.08 KABONG-KOTITDO'!I49)</f>
        <v>0</v>
      </c>
      <c r="J49" s="49">
        <f>AVERAGE('05.08 KABONG-KOTIDO'!J49,'06.07 KABONG-KOTIDO'!J49,'07.08 KABONG-KOTIDO'!J49,'08.08 KABONG-KOTIDO'!J49,'9.08 KABONG-KOTIDO-24h'!J49,'10.08 KABONG-KOTIDO-24h'!J49,'11.08 KABONG-KOTITDO'!J49)</f>
        <v>0</v>
      </c>
      <c r="K49" s="49">
        <f>AVERAGE('05.08 KABONG-KOTIDO'!K49,'06.07 KABONG-KOTIDO'!K49,'07.08 KABONG-KOTIDO'!K49,'08.08 KABONG-KOTIDO'!K49,'9.08 KABONG-KOTIDO-24h'!K49,'10.08 KABONG-KOTIDO-24h'!K49,'11.08 KABONG-KOTITDO'!K49)</f>
        <v>0</v>
      </c>
      <c r="L49" s="49">
        <f>AVERAGE('05.08 KABONG-KOTIDO'!L49,'06.07 KABONG-KOTIDO'!L49,'07.08 KABONG-KOTIDO'!L49,'08.08 KABONG-KOTIDO'!L49,'9.08 KABONG-KOTIDO-24h'!L49,'10.08 KABONG-KOTIDO-24h'!L49,'11.08 KABONG-KOTITDO'!L49)</f>
        <v>0</v>
      </c>
      <c r="M49" s="49">
        <f>AVERAGE('05.08 KABONG-KOTIDO'!M49,'06.07 KABONG-KOTIDO'!M49,'07.08 KABONG-KOTIDO'!M49,'08.08 KABONG-KOTIDO'!M49,'9.08 KABONG-KOTIDO-24h'!M49,'10.08 KABONG-KOTIDO-24h'!M49,'11.08 KABONG-KOTITDO'!M49)</f>
        <v>0</v>
      </c>
      <c r="N49" s="49">
        <f>AVERAGE('05.08 KABONG-KOTIDO'!N49,'06.07 KABONG-KOTIDO'!N49,'07.08 KABONG-KOTIDO'!N49,'08.08 KABONG-KOTIDO'!N49,'9.08 KABONG-KOTIDO-24h'!N49,'10.08 KABONG-KOTIDO-24h'!N49,'11.08 KABONG-KOTITDO'!N49)</f>
        <v>0</v>
      </c>
      <c r="O49" s="15">
        <f t="shared" si="0"/>
        <v>1.1428571428571428</v>
      </c>
      <c r="P49" s="15">
        <f t="shared" si="1"/>
        <v>1.1428571428571428</v>
      </c>
      <c r="R49" s="8"/>
      <c r="T49"/>
    </row>
    <row r="50" spans="2:20" ht="23.1" customHeight="1" x14ac:dyDescent="0.25">
      <c r="B50" s="24" t="s">
        <v>77</v>
      </c>
      <c r="C50" s="49">
        <f>AVERAGE('05.08 KABONG-KOTIDO'!C50,'06.07 KABONG-KOTIDO'!C50,'07.08 KABONG-KOTIDO'!C50,'08.08 KABONG-KOTIDO'!C50,'9.08 KABONG-KOTIDO-24h'!C50,'10.08 KABONG-KOTIDO-24h'!C50,'11.08 KABONG-KOTITDO'!C50)</f>
        <v>0</v>
      </c>
      <c r="D50" s="49">
        <f>AVERAGE('05.08 KABONG-KOTIDO'!D50,'06.07 KABONG-KOTIDO'!D50,'07.08 KABONG-KOTIDO'!D50,'08.08 KABONG-KOTIDO'!D50,'9.08 KABONG-KOTIDO-24h'!D50,'10.08 KABONG-KOTIDO-24h'!D50,'11.08 KABONG-KOTITDO'!D50)</f>
        <v>0.2857142857142857</v>
      </c>
      <c r="E50" s="49">
        <f>AVERAGE('05.08 KABONG-KOTIDO'!E50,'06.07 KABONG-KOTIDO'!E50,'07.08 KABONG-KOTIDO'!E50,'08.08 KABONG-KOTIDO'!E50,'9.08 KABONG-KOTIDO-24h'!E50,'10.08 KABONG-KOTIDO-24h'!E50,'11.08 KABONG-KOTITDO'!E50)</f>
        <v>0.8571428571428571</v>
      </c>
      <c r="F50" s="49">
        <f>AVERAGE('05.08 KABONG-KOTIDO'!F50,'06.07 KABONG-KOTIDO'!F50,'07.08 KABONG-KOTIDO'!F50,'08.08 KABONG-KOTIDO'!F50,'9.08 KABONG-KOTIDO-24h'!F50,'10.08 KABONG-KOTIDO-24h'!F50,'11.08 KABONG-KOTITDO'!F50)</f>
        <v>0</v>
      </c>
      <c r="G50" s="49">
        <f>AVERAGE('05.08 KABONG-KOTIDO'!G50,'06.07 KABONG-KOTIDO'!G50,'07.08 KABONG-KOTIDO'!G50,'08.08 KABONG-KOTIDO'!G50,'9.08 KABONG-KOTIDO-24h'!G50,'10.08 KABONG-KOTIDO-24h'!G50,'11.08 KABONG-KOTITDO'!G50)</f>
        <v>0</v>
      </c>
      <c r="H50" s="49">
        <f>AVERAGE('05.08 KABONG-KOTIDO'!H50,'06.07 KABONG-KOTIDO'!H50,'07.08 KABONG-KOTIDO'!H50,'08.08 KABONG-KOTIDO'!H50,'9.08 KABONG-KOTIDO-24h'!H50,'10.08 KABONG-KOTIDO-24h'!H50,'11.08 KABONG-KOTITDO'!H50)</f>
        <v>0.14285714285714285</v>
      </c>
      <c r="I50" s="49">
        <f>AVERAGE('05.08 KABONG-KOTIDO'!I50,'06.07 KABONG-KOTIDO'!I50,'07.08 KABONG-KOTIDO'!I50,'08.08 KABONG-KOTIDO'!I50,'9.08 KABONG-KOTIDO-24h'!I50,'10.08 KABONG-KOTIDO-24h'!I50,'11.08 KABONG-KOTITDO'!I50)</f>
        <v>0.14285714285714285</v>
      </c>
      <c r="J50" s="49">
        <f>AVERAGE('05.08 KABONG-KOTIDO'!J50,'06.07 KABONG-KOTIDO'!J50,'07.08 KABONG-KOTIDO'!J50,'08.08 KABONG-KOTIDO'!J50,'9.08 KABONG-KOTIDO-24h'!J50,'10.08 KABONG-KOTIDO-24h'!J50,'11.08 KABONG-KOTITDO'!J50)</f>
        <v>0</v>
      </c>
      <c r="K50" s="49">
        <f>AVERAGE('05.08 KABONG-KOTIDO'!K50,'06.07 KABONG-KOTIDO'!K50,'07.08 KABONG-KOTIDO'!K50,'08.08 KABONG-KOTIDO'!K50,'9.08 KABONG-KOTIDO-24h'!K50,'10.08 KABONG-KOTIDO-24h'!K50,'11.08 KABONG-KOTITDO'!K50)</f>
        <v>0</v>
      </c>
      <c r="L50" s="49">
        <f>AVERAGE('05.08 KABONG-KOTIDO'!L50,'06.07 KABONG-KOTIDO'!L50,'07.08 KABONG-KOTIDO'!L50,'08.08 KABONG-KOTIDO'!L50,'9.08 KABONG-KOTIDO-24h'!L50,'10.08 KABONG-KOTIDO-24h'!L50,'11.08 KABONG-KOTITDO'!L50)</f>
        <v>0</v>
      </c>
      <c r="M50" s="49">
        <f>AVERAGE('05.08 KABONG-KOTIDO'!M50,'06.07 KABONG-KOTIDO'!M50,'07.08 KABONG-KOTIDO'!M50,'08.08 KABONG-KOTIDO'!M50,'9.08 KABONG-KOTIDO-24h'!M50,'10.08 KABONG-KOTIDO-24h'!M50,'11.08 KABONG-KOTITDO'!M50)</f>
        <v>1</v>
      </c>
      <c r="N50" s="49">
        <f>AVERAGE('05.08 KABONG-KOTIDO'!N50,'06.07 KABONG-KOTIDO'!N50,'07.08 KABONG-KOTIDO'!N50,'08.08 KABONG-KOTIDO'!N50,'9.08 KABONG-KOTIDO-24h'!N50,'10.08 KABONG-KOTIDO-24h'!N50,'11.08 KABONG-KOTITDO'!N50)</f>
        <v>0</v>
      </c>
      <c r="O50" s="15">
        <f t="shared" si="0"/>
        <v>1.4285714285714284</v>
      </c>
      <c r="P50" s="15">
        <f t="shared" si="1"/>
        <v>2.4285714285714284</v>
      </c>
      <c r="R50" s="8"/>
      <c r="T50"/>
    </row>
    <row r="51" spans="2:20" ht="23.1" customHeight="1" x14ac:dyDescent="0.25">
      <c r="B51" s="24" t="s">
        <v>78</v>
      </c>
      <c r="C51" s="49">
        <f>AVERAGE('05.08 KABONG-KOTIDO'!C51,'06.07 KABONG-KOTIDO'!C51,'07.08 KABONG-KOTIDO'!C51,'08.08 KABONG-KOTIDO'!C51,'9.08 KABONG-KOTIDO-24h'!C51,'10.08 KABONG-KOTIDO-24h'!C51,'11.08 KABONG-KOTITDO'!C51)</f>
        <v>0</v>
      </c>
      <c r="D51" s="49">
        <f>AVERAGE('05.08 KABONG-KOTIDO'!D51,'06.07 KABONG-KOTIDO'!D51,'07.08 KABONG-KOTIDO'!D51,'08.08 KABONG-KOTIDO'!D51,'9.08 KABONG-KOTIDO-24h'!D51,'10.08 KABONG-KOTIDO-24h'!D51,'11.08 KABONG-KOTITDO'!D51)</f>
        <v>0</v>
      </c>
      <c r="E51" s="49">
        <f>AVERAGE('05.08 KABONG-KOTIDO'!E51,'06.07 KABONG-KOTIDO'!E51,'07.08 KABONG-KOTIDO'!E51,'08.08 KABONG-KOTIDO'!E51,'9.08 KABONG-KOTIDO-24h'!E51,'10.08 KABONG-KOTIDO-24h'!E51,'11.08 KABONG-KOTITDO'!E51)</f>
        <v>0.7142857142857143</v>
      </c>
      <c r="F51" s="49">
        <f>AVERAGE('05.08 KABONG-KOTIDO'!F51,'06.07 KABONG-KOTIDO'!F51,'07.08 KABONG-KOTIDO'!F51,'08.08 KABONG-KOTIDO'!F51,'9.08 KABONG-KOTIDO-24h'!F51,'10.08 KABONG-KOTIDO-24h'!F51,'11.08 KABONG-KOTITDO'!F51)</f>
        <v>0</v>
      </c>
      <c r="G51" s="49">
        <f>AVERAGE('05.08 KABONG-KOTIDO'!G51,'06.07 KABONG-KOTIDO'!G51,'07.08 KABONG-KOTIDO'!G51,'08.08 KABONG-KOTIDO'!G51,'9.08 KABONG-KOTIDO-24h'!G51,'10.08 KABONG-KOTIDO-24h'!G51,'11.08 KABONG-KOTITDO'!G51)</f>
        <v>0</v>
      </c>
      <c r="H51" s="49">
        <f>AVERAGE('05.08 KABONG-KOTIDO'!H51,'06.07 KABONG-KOTIDO'!H51,'07.08 KABONG-KOTIDO'!H51,'08.08 KABONG-KOTIDO'!H51,'9.08 KABONG-KOTIDO-24h'!H51,'10.08 KABONG-KOTIDO-24h'!H51,'11.08 KABONG-KOTITDO'!H51)</f>
        <v>0</v>
      </c>
      <c r="I51" s="49">
        <f>AVERAGE('05.08 KABONG-KOTIDO'!I51,'06.07 KABONG-KOTIDO'!I51,'07.08 KABONG-KOTIDO'!I51,'08.08 KABONG-KOTIDO'!I51,'9.08 KABONG-KOTIDO-24h'!I51,'10.08 KABONG-KOTIDO-24h'!I51,'11.08 KABONG-KOTITDO'!I51)</f>
        <v>0.14285714285714285</v>
      </c>
      <c r="J51" s="49">
        <f>AVERAGE('05.08 KABONG-KOTIDO'!J51,'06.07 KABONG-KOTIDO'!J51,'07.08 KABONG-KOTIDO'!J51,'08.08 KABONG-KOTIDO'!J51,'9.08 KABONG-KOTIDO-24h'!J51,'10.08 KABONG-KOTIDO-24h'!J51,'11.08 KABONG-KOTITDO'!J51)</f>
        <v>0.14285714285714285</v>
      </c>
      <c r="K51" s="49">
        <f>AVERAGE('05.08 KABONG-KOTIDO'!K51,'06.07 KABONG-KOTIDO'!K51,'07.08 KABONG-KOTIDO'!K51,'08.08 KABONG-KOTIDO'!K51,'9.08 KABONG-KOTIDO-24h'!K51,'10.08 KABONG-KOTIDO-24h'!K51,'11.08 KABONG-KOTITDO'!K51)</f>
        <v>0</v>
      </c>
      <c r="L51" s="49">
        <f>AVERAGE('05.08 KABONG-KOTIDO'!L51,'06.07 KABONG-KOTIDO'!L51,'07.08 KABONG-KOTIDO'!L51,'08.08 KABONG-KOTIDO'!L51,'9.08 KABONG-KOTIDO-24h'!L51,'10.08 KABONG-KOTIDO-24h'!L51,'11.08 KABONG-KOTITDO'!L51)</f>
        <v>0</v>
      </c>
      <c r="M51" s="49">
        <f>AVERAGE('05.08 KABONG-KOTIDO'!M51,'06.07 KABONG-KOTIDO'!M51,'07.08 KABONG-KOTIDO'!M51,'08.08 KABONG-KOTIDO'!M51,'9.08 KABONG-KOTIDO-24h'!M51,'10.08 KABONG-KOTIDO-24h'!M51,'11.08 KABONG-KOTITDO'!M51)</f>
        <v>0.7142857142857143</v>
      </c>
      <c r="N51" s="49">
        <f>AVERAGE('05.08 KABONG-KOTIDO'!N51,'06.07 KABONG-KOTIDO'!N51,'07.08 KABONG-KOTIDO'!N51,'08.08 KABONG-KOTIDO'!N51,'9.08 KABONG-KOTIDO-24h'!N51,'10.08 KABONG-KOTIDO-24h'!N51,'11.08 KABONG-KOTITDO'!N51)</f>
        <v>0</v>
      </c>
      <c r="O51" s="15">
        <f t="shared" si="0"/>
        <v>1</v>
      </c>
      <c r="P51" s="15">
        <f t="shared" si="1"/>
        <v>1.7142857142857144</v>
      </c>
      <c r="R51" s="8"/>
      <c r="T51"/>
    </row>
    <row r="52" spans="2:20" ht="23.1" customHeight="1" x14ac:dyDescent="0.25">
      <c r="B52" s="24" t="s">
        <v>79</v>
      </c>
      <c r="C52" s="49">
        <f>AVERAGE('05.08 KABONG-KOTIDO'!C52,'06.07 KABONG-KOTIDO'!C52,'07.08 KABONG-KOTIDO'!C52,'08.08 KABONG-KOTIDO'!C52,'9.08 KABONG-KOTIDO-24h'!C52,'10.08 KABONG-KOTIDO-24h'!C52,'11.08 KABONG-KOTITDO'!C52)</f>
        <v>0</v>
      </c>
      <c r="D52" s="49">
        <f>AVERAGE('05.08 KABONG-KOTIDO'!D52,'06.07 KABONG-KOTIDO'!D52,'07.08 KABONG-KOTIDO'!D52,'08.08 KABONG-KOTIDO'!D52,'9.08 KABONG-KOTIDO-24h'!D52,'10.08 KABONG-KOTIDO-24h'!D52,'11.08 KABONG-KOTITDO'!D52)</f>
        <v>0.14285714285714285</v>
      </c>
      <c r="E52" s="49">
        <f>AVERAGE('05.08 KABONG-KOTIDO'!E52,'06.07 KABONG-KOTIDO'!E52,'07.08 KABONG-KOTIDO'!E52,'08.08 KABONG-KOTIDO'!E52,'9.08 KABONG-KOTIDO-24h'!E52,'10.08 KABONG-KOTIDO-24h'!E52,'11.08 KABONG-KOTITDO'!E52)</f>
        <v>0.2857142857142857</v>
      </c>
      <c r="F52" s="49">
        <f>AVERAGE('05.08 KABONG-KOTIDO'!F52,'06.07 KABONG-KOTIDO'!F52,'07.08 KABONG-KOTIDO'!F52,'08.08 KABONG-KOTIDO'!F52,'9.08 KABONG-KOTIDO-24h'!F52,'10.08 KABONG-KOTIDO-24h'!F52,'11.08 KABONG-KOTITDO'!F52)</f>
        <v>0</v>
      </c>
      <c r="G52" s="49">
        <f>AVERAGE('05.08 KABONG-KOTIDO'!G52,'06.07 KABONG-KOTIDO'!G52,'07.08 KABONG-KOTIDO'!G52,'08.08 KABONG-KOTIDO'!G52,'9.08 KABONG-KOTIDO-24h'!G52,'10.08 KABONG-KOTIDO-24h'!G52,'11.08 KABONG-KOTITDO'!G52)</f>
        <v>0</v>
      </c>
      <c r="H52" s="49">
        <f>AVERAGE('05.08 KABONG-KOTIDO'!H52,'06.07 KABONG-KOTIDO'!H52,'07.08 KABONG-KOTIDO'!H52,'08.08 KABONG-KOTIDO'!H52,'9.08 KABONG-KOTIDO-24h'!H52,'10.08 KABONG-KOTIDO-24h'!H52,'11.08 KABONG-KOTITDO'!H52)</f>
        <v>0</v>
      </c>
      <c r="I52" s="49">
        <f>AVERAGE('05.08 KABONG-KOTIDO'!I52,'06.07 KABONG-KOTIDO'!I52,'07.08 KABONG-KOTIDO'!I52,'08.08 KABONG-KOTIDO'!I52,'9.08 KABONG-KOTIDO-24h'!I52,'10.08 KABONG-KOTIDO-24h'!I52,'11.08 KABONG-KOTITDO'!I52)</f>
        <v>0</v>
      </c>
      <c r="J52" s="49">
        <f>AVERAGE('05.08 KABONG-KOTIDO'!J52,'06.07 KABONG-KOTIDO'!J52,'07.08 KABONG-KOTIDO'!J52,'08.08 KABONG-KOTIDO'!J52,'9.08 KABONG-KOTIDO-24h'!J52,'10.08 KABONG-KOTIDO-24h'!J52,'11.08 KABONG-KOTITDO'!J52)</f>
        <v>0</v>
      </c>
      <c r="K52" s="49">
        <f>AVERAGE('05.08 KABONG-KOTIDO'!K52,'06.07 KABONG-KOTIDO'!K52,'07.08 KABONG-KOTIDO'!K52,'08.08 KABONG-KOTIDO'!K52,'9.08 KABONG-KOTIDO-24h'!K52,'10.08 KABONG-KOTIDO-24h'!K52,'11.08 KABONG-KOTITDO'!K52)</f>
        <v>0</v>
      </c>
      <c r="L52" s="49">
        <f>AVERAGE('05.08 KABONG-KOTIDO'!L52,'06.07 KABONG-KOTIDO'!L52,'07.08 KABONG-KOTIDO'!L52,'08.08 KABONG-KOTIDO'!L52,'9.08 KABONG-KOTIDO-24h'!L52,'10.08 KABONG-KOTIDO-24h'!L52,'11.08 KABONG-KOTITDO'!L52)</f>
        <v>0</v>
      </c>
      <c r="M52" s="49">
        <f>AVERAGE('05.08 KABONG-KOTIDO'!M52,'06.07 KABONG-KOTIDO'!M52,'07.08 KABONG-KOTIDO'!M52,'08.08 KABONG-KOTIDO'!M52,'9.08 KABONG-KOTIDO-24h'!M52,'10.08 KABONG-KOTIDO-24h'!M52,'11.08 KABONG-KOTITDO'!M52)</f>
        <v>0</v>
      </c>
      <c r="N52" s="49">
        <f>AVERAGE('05.08 KABONG-KOTIDO'!N52,'06.07 KABONG-KOTIDO'!N52,'07.08 KABONG-KOTIDO'!N52,'08.08 KABONG-KOTIDO'!N52,'9.08 KABONG-KOTIDO-24h'!N52,'10.08 KABONG-KOTIDO-24h'!N52,'11.08 KABONG-KOTITDO'!N52)</f>
        <v>0</v>
      </c>
      <c r="O52" s="15">
        <f t="shared" si="0"/>
        <v>0.42857142857142855</v>
      </c>
      <c r="P52" s="15">
        <f t="shared" si="1"/>
        <v>0.42857142857142855</v>
      </c>
      <c r="R52" s="8"/>
      <c r="T52"/>
    </row>
    <row r="53" spans="2:20" ht="23.1" customHeight="1" x14ac:dyDescent="0.25">
      <c r="B53" s="23" t="s">
        <v>80</v>
      </c>
      <c r="C53" s="49">
        <f>AVERAGE('05.08 KABONG-KOTIDO'!C53,'06.07 KABONG-KOTIDO'!C53,'07.08 KABONG-KOTIDO'!C53,'08.08 KABONG-KOTIDO'!C53,'9.08 KABONG-KOTIDO-24h'!C53,'10.08 KABONG-KOTIDO-24h'!C53,'11.08 KABONG-KOTITDO'!C53)</f>
        <v>0.14285714285714285</v>
      </c>
      <c r="D53" s="49">
        <f>AVERAGE('05.08 KABONG-KOTIDO'!D53,'06.07 KABONG-KOTIDO'!D53,'07.08 KABONG-KOTIDO'!D53,'08.08 KABONG-KOTIDO'!D53,'9.08 KABONG-KOTIDO-24h'!D53,'10.08 KABONG-KOTIDO-24h'!D53,'11.08 KABONG-KOTITDO'!D53)</f>
        <v>0.2857142857142857</v>
      </c>
      <c r="E53" s="49">
        <f>AVERAGE('05.08 KABONG-KOTIDO'!E53,'06.07 KABONG-KOTIDO'!E53,'07.08 KABONG-KOTIDO'!E53,'08.08 KABONG-KOTIDO'!E53,'9.08 KABONG-KOTIDO-24h'!E53,'10.08 KABONG-KOTIDO-24h'!E53,'11.08 KABONG-KOTITDO'!E53)</f>
        <v>0.8571428571428571</v>
      </c>
      <c r="F53" s="49">
        <f>AVERAGE('05.08 KABONG-KOTIDO'!F53,'06.07 KABONG-KOTIDO'!F53,'07.08 KABONG-KOTIDO'!F53,'08.08 KABONG-KOTIDO'!F53,'9.08 KABONG-KOTIDO-24h'!F53,'10.08 KABONG-KOTIDO-24h'!F53,'11.08 KABONG-KOTITDO'!F53)</f>
        <v>0</v>
      </c>
      <c r="G53" s="49">
        <f>AVERAGE('05.08 KABONG-KOTIDO'!G53,'06.07 KABONG-KOTIDO'!G53,'07.08 KABONG-KOTIDO'!G53,'08.08 KABONG-KOTIDO'!G53,'9.08 KABONG-KOTIDO-24h'!G53,'10.08 KABONG-KOTIDO-24h'!G53,'11.08 KABONG-KOTITDO'!G53)</f>
        <v>0</v>
      </c>
      <c r="H53" s="49">
        <f>AVERAGE('05.08 KABONG-KOTIDO'!H53,'06.07 KABONG-KOTIDO'!H53,'07.08 KABONG-KOTIDO'!H53,'08.08 KABONG-KOTIDO'!H53,'9.08 KABONG-KOTIDO-24h'!H53,'10.08 KABONG-KOTIDO-24h'!H53,'11.08 KABONG-KOTITDO'!H53)</f>
        <v>0</v>
      </c>
      <c r="I53" s="49">
        <f>AVERAGE('05.08 KABONG-KOTIDO'!I53,'06.07 KABONG-KOTIDO'!I53,'07.08 KABONG-KOTIDO'!I53,'08.08 KABONG-KOTIDO'!I53,'9.08 KABONG-KOTIDO-24h'!I53,'10.08 KABONG-KOTIDO-24h'!I53,'11.08 KABONG-KOTITDO'!I53)</f>
        <v>0</v>
      </c>
      <c r="J53" s="49">
        <f>AVERAGE('05.08 KABONG-KOTIDO'!J53,'06.07 KABONG-KOTIDO'!J53,'07.08 KABONG-KOTIDO'!J53,'08.08 KABONG-KOTIDO'!J53,'9.08 KABONG-KOTIDO-24h'!J53,'10.08 KABONG-KOTIDO-24h'!J53,'11.08 KABONG-KOTITDO'!J53)</f>
        <v>0.14285714285714285</v>
      </c>
      <c r="K53" s="49">
        <f>AVERAGE('05.08 KABONG-KOTIDO'!K53,'06.07 KABONG-KOTIDO'!K53,'07.08 KABONG-KOTIDO'!K53,'08.08 KABONG-KOTIDO'!K53,'9.08 KABONG-KOTIDO-24h'!K53,'10.08 KABONG-KOTIDO-24h'!K53,'11.08 KABONG-KOTITDO'!K53)</f>
        <v>0</v>
      </c>
      <c r="L53" s="49">
        <f>AVERAGE('05.08 KABONG-KOTIDO'!L53,'06.07 KABONG-KOTIDO'!L53,'07.08 KABONG-KOTIDO'!L53,'08.08 KABONG-KOTIDO'!L53,'9.08 KABONG-KOTIDO-24h'!L53,'10.08 KABONG-KOTIDO-24h'!L53,'11.08 KABONG-KOTITDO'!L53)</f>
        <v>0</v>
      </c>
      <c r="M53" s="49">
        <f>AVERAGE('05.08 KABONG-KOTIDO'!M53,'06.07 KABONG-KOTIDO'!M53,'07.08 KABONG-KOTIDO'!M53,'08.08 KABONG-KOTIDO'!M53,'9.08 KABONG-KOTIDO-24h'!M53,'10.08 KABONG-KOTIDO-24h'!M53,'11.08 KABONG-KOTITDO'!M53)</f>
        <v>1</v>
      </c>
      <c r="N53" s="49">
        <f>AVERAGE('05.08 KABONG-KOTIDO'!N53,'06.07 KABONG-KOTIDO'!N53,'07.08 KABONG-KOTIDO'!N53,'08.08 KABONG-KOTIDO'!N53,'9.08 KABONG-KOTIDO-24h'!N53,'10.08 KABONG-KOTIDO-24h'!N53,'11.08 KABONG-KOTITDO'!N53)</f>
        <v>0</v>
      </c>
      <c r="O53" s="15">
        <f t="shared" si="0"/>
        <v>1.4285714285714284</v>
      </c>
      <c r="P53" s="15">
        <f t="shared" si="1"/>
        <v>2.4285714285714284</v>
      </c>
      <c r="R53" s="8"/>
      <c r="T53"/>
    </row>
    <row r="54" spans="2:20" ht="23.1" customHeight="1" x14ac:dyDescent="0.25">
      <c r="B54" s="23" t="s">
        <v>81</v>
      </c>
      <c r="C54" s="49">
        <f>AVERAGE('05.08 KABONG-KOTIDO'!C54,'06.07 KABONG-KOTIDO'!C54,'07.08 KABONG-KOTIDO'!C54,'08.08 KABONG-KOTIDO'!C54,'9.08 KABONG-KOTIDO-24h'!C54,'10.08 KABONG-KOTIDO-24h'!C54,'11.08 KABONG-KOTITDO'!C54)</f>
        <v>0.14285714285714285</v>
      </c>
      <c r="D54" s="49">
        <f>AVERAGE('05.08 KABONG-KOTIDO'!D54,'06.07 KABONG-KOTIDO'!D54,'07.08 KABONG-KOTIDO'!D54,'08.08 KABONG-KOTIDO'!D54,'9.08 KABONG-KOTIDO-24h'!D54,'10.08 KABONG-KOTIDO-24h'!D54,'11.08 KABONG-KOTITDO'!D54)</f>
        <v>0.7142857142857143</v>
      </c>
      <c r="E54" s="49">
        <f>AVERAGE('05.08 KABONG-KOTIDO'!E54,'06.07 KABONG-KOTIDO'!E54,'07.08 KABONG-KOTIDO'!E54,'08.08 KABONG-KOTIDO'!E54,'9.08 KABONG-KOTIDO-24h'!E54,'10.08 KABONG-KOTIDO-24h'!E54,'11.08 KABONG-KOTITDO'!E54)</f>
        <v>0.2857142857142857</v>
      </c>
      <c r="F54" s="49">
        <f>AVERAGE('05.08 KABONG-KOTIDO'!F54,'06.07 KABONG-KOTIDO'!F54,'07.08 KABONG-KOTIDO'!F54,'08.08 KABONG-KOTIDO'!F54,'9.08 KABONG-KOTIDO-24h'!F54,'10.08 KABONG-KOTIDO-24h'!F54,'11.08 KABONG-KOTITDO'!F54)</f>
        <v>0</v>
      </c>
      <c r="G54" s="49">
        <f>AVERAGE('05.08 KABONG-KOTIDO'!G54,'06.07 KABONG-KOTIDO'!G54,'07.08 KABONG-KOTIDO'!G54,'08.08 KABONG-KOTIDO'!G54,'9.08 KABONG-KOTIDO-24h'!G54,'10.08 KABONG-KOTIDO-24h'!G54,'11.08 KABONG-KOTITDO'!G54)</f>
        <v>0</v>
      </c>
      <c r="H54" s="49">
        <f>AVERAGE('05.08 KABONG-KOTIDO'!H54,'06.07 KABONG-KOTIDO'!H54,'07.08 KABONG-KOTIDO'!H54,'08.08 KABONG-KOTIDO'!H54,'9.08 KABONG-KOTIDO-24h'!H54,'10.08 KABONG-KOTIDO-24h'!H54,'11.08 KABONG-KOTITDO'!H54)</f>
        <v>0.2857142857142857</v>
      </c>
      <c r="I54" s="49">
        <f>AVERAGE('05.08 KABONG-KOTIDO'!I54,'06.07 KABONG-KOTIDO'!I54,'07.08 KABONG-KOTIDO'!I54,'08.08 KABONG-KOTIDO'!I54,'9.08 KABONG-KOTIDO-24h'!I54,'10.08 KABONG-KOTIDO-24h'!I54,'11.08 KABONG-KOTITDO'!I54)</f>
        <v>0.14285714285714285</v>
      </c>
      <c r="J54" s="49">
        <f>AVERAGE('05.08 KABONG-KOTIDO'!J54,'06.07 KABONG-KOTIDO'!J54,'07.08 KABONG-KOTIDO'!J54,'08.08 KABONG-KOTIDO'!J54,'9.08 KABONG-KOTIDO-24h'!J54,'10.08 KABONG-KOTIDO-24h'!J54,'11.08 KABONG-KOTITDO'!J54)</f>
        <v>0.2857142857142857</v>
      </c>
      <c r="K54" s="49">
        <f>AVERAGE('05.08 KABONG-KOTIDO'!K54,'06.07 KABONG-KOTIDO'!K54,'07.08 KABONG-KOTIDO'!K54,'08.08 KABONG-KOTIDO'!K54,'9.08 KABONG-KOTIDO-24h'!K54,'10.08 KABONG-KOTIDO-24h'!K54,'11.08 KABONG-KOTITDO'!K54)</f>
        <v>0</v>
      </c>
      <c r="L54" s="49">
        <f>AVERAGE('05.08 KABONG-KOTIDO'!L54,'06.07 KABONG-KOTIDO'!L54,'07.08 KABONG-KOTIDO'!L54,'08.08 KABONG-KOTIDO'!L54,'9.08 KABONG-KOTIDO-24h'!L54,'10.08 KABONG-KOTIDO-24h'!L54,'11.08 KABONG-KOTITDO'!L54)</f>
        <v>0</v>
      </c>
      <c r="M54" s="49">
        <f>AVERAGE('05.08 KABONG-KOTIDO'!M54,'06.07 KABONG-KOTIDO'!M54,'07.08 KABONG-KOTIDO'!M54,'08.08 KABONG-KOTIDO'!M54,'9.08 KABONG-KOTIDO-24h'!M54,'10.08 KABONG-KOTIDO-24h'!M54,'11.08 KABONG-KOTITDO'!M54)</f>
        <v>0.7142857142857143</v>
      </c>
      <c r="N54" s="49">
        <f>AVERAGE('05.08 KABONG-KOTIDO'!N54,'06.07 KABONG-KOTIDO'!N54,'07.08 KABONG-KOTIDO'!N54,'08.08 KABONG-KOTIDO'!N54,'9.08 KABONG-KOTIDO-24h'!N54,'10.08 KABONG-KOTIDO-24h'!N54,'11.08 KABONG-KOTITDO'!N54)</f>
        <v>0</v>
      </c>
      <c r="O54" s="15">
        <f t="shared" si="0"/>
        <v>1.8571428571428568</v>
      </c>
      <c r="P54" s="15">
        <f t="shared" si="1"/>
        <v>2.5714285714285712</v>
      </c>
      <c r="R54" s="8"/>
      <c r="T54"/>
    </row>
    <row r="55" spans="2:20" ht="23.1" customHeight="1" x14ac:dyDescent="0.25">
      <c r="B55" s="23" t="s">
        <v>82</v>
      </c>
      <c r="C55" s="49">
        <f>AVERAGE('05.08 KABONG-KOTIDO'!C55,'06.07 KABONG-KOTIDO'!C55,'07.08 KABONG-KOTIDO'!C55,'08.08 KABONG-KOTIDO'!C55,'9.08 KABONG-KOTIDO-24h'!C55,'10.08 KABONG-KOTIDO-24h'!C55,'11.08 KABONG-KOTITDO'!C55)</f>
        <v>0</v>
      </c>
      <c r="D55" s="49">
        <f>AVERAGE('05.08 KABONG-KOTIDO'!D55,'06.07 KABONG-KOTIDO'!D55,'07.08 KABONG-KOTIDO'!D55,'08.08 KABONG-KOTIDO'!D55,'9.08 KABONG-KOTIDO-24h'!D55,'10.08 KABONG-KOTIDO-24h'!D55,'11.08 KABONG-KOTITDO'!D55)</f>
        <v>0</v>
      </c>
      <c r="E55" s="49">
        <f>AVERAGE('05.08 KABONG-KOTIDO'!E55,'06.07 KABONG-KOTIDO'!E55,'07.08 KABONG-KOTIDO'!E55,'08.08 KABONG-KOTIDO'!E55,'9.08 KABONG-KOTIDO-24h'!E55,'10.08 KABONG-KOTIDO-24h'!E55,'11.08 KABONG-KOTITDO'!E55)</f>
        <v>0.2857142857142857</v>
      </c>
      <c r="F55" s="49">
        <f>AVERAGE('05.08 KABONG-KOTIDO'!F55,'06.07 KABONG-KOTIDO'!F55,'07.08 KABONG-KOTIDO'!F55,'08.08 KABONG-KOTIDO'!F55,'9.08 KABONG-KOTIDO-24h'!F55,'10.08 KABONG-KOTIDO-24h'!F55,'11.08 KABONG-KOTITDO'!F55)</f>
        <v>0</v>
      </c>
      <c r="G55" s="49">
        <f>AVERAGE('05.08 KABONG-KOTIDO'!G55,'06.07 KABONG-KOTIDO'!G55,'07.08 KABONG-KOTIDO'!G55,'08.08 KABONG-KOTIDO'!G55,'9.08 KABONG-KOTIDO-24h'!G55,'10.08 KABONG-KOTIDO-24h'!G55,'11.08 KABONG-KOTITDO'!G55)</f>
        <v>0</v>
      </c>
      <c r="H55" s="49">
        <f>AVERAGE('05.08 KABONG-KOTIDO'!H55,'06.07 KABONG-KOTIDO'!H55,'07.08 KABONG-KOTIDO'!H55,'08.08 KABONG-KOTIDO'!H55,'9.08 KABONG-KOTIDO-24h'!H55,'10.08 KABONG-KOTIDO-24h'!H55,'11.08 KABONG-KOTITDO'!H55)</f>
        <v>0</v>
      </c>
      <c r="I55" s="49">
        <f>AVERAGE('05.08 KABONG-KOTIDO'!I55,'06.07 KABONG-KOTIDO'!I55,'07.08 KABONG-KOTIDO'!I55,'08.08 KABONG-KOTIDO'!I55,'9.08 KABONG-KOTIDO-24h'!I55,'10.08 KABONG-KOTIDO-24h'!I55,'11.08 KABONG-KOTITDO'!I55)</f>
        <v>0</v>
      </c>
      <c r="J55" s="49">
        <f>AVERAGE('05.08 KABONG-KOTIDO'!J55,'06.07 KABONG-KOTIDO'!J55,'07.08 KABONG-KOTIDO'!J55,'08.08 KABONG-KOTIDO'!J55,'9.08 KABONG-KOTIDO-24h'!J55,'10.08 KABONG-KOTIDO-24h'!J55,'11.08 KABONG-KOTITDO'!J55)</f>
        <v>0</v>
      </c>
      <c r="K55" s="49">
        <f>AVERAGE('05.08 KABONG-KOTIDO'!K55,'06.07 KABONG-KOTIDO'!K55,'07.08 KABONG-KOTIDO'!K55,'08.08 KABONG-KOTIDO'!K55,'9.08 KABONG-KOTIDO-24h'!K55,'10.08 KABONG-KOTIDO-24h'!K55,'11.08 KABONG-KOTITDO'!K55)</f>
        <v>0</v>
      </c>
      <c r="L55" s="49">
        <f>AVERAGE('05.08 KABONG-KOTIDO'!L55,'06.07 KABONG-KOTIDO'!L55,'07.08 KABONG-KOTIDO'!L55,'08.08 KABONG-KOTIDO'!L55,'9.08 KABONG-KOTIDO-24h'!L55,'10.08 KABONG-KOTIDO-24h'!L55,'11.08 KABONG-KOTITDO'!L55)</f>
        <v>0</v>
      </c>
      <c r="M55" s="49">
        <f>AVERAGE('05.08 KABONG-KOTIDO'!M55,'06.07 KABONG-KOTIDO'!M55,'07.08 KABONG-KOTIDO'!M55,'08.08 KABONG-KOTIDO'!M55,'9.08 KABONG-KOTIDO-24h'!M55,'10.08 KABONG-KOTIDO-24h'!M55,'11.08 KABONG-KOTITDO'!M55)</f>
        <v>0.7142857142857143</v>
      </c>
      <c r="N55" s="49">
        <f>AVERAGE('05.08 KABONG-KOTIDO'!N55,'06.07 KABONG-KOTIDO'!N55,'07.08 KABONG-KOTIDO'!N55,'08.08 KABONG-KOTIDO'!N55,'9.08 KABONG-KOTIDO-24h'!N55,'10.08 KABONG-KOTIDO-24h'!N55,'11.08 KABONG-KOTITDO'!N55)</f>
        <v>0</v>
      </c>
      <c r="O55" s="15">
        <f t="shared" si="0"/>
        <v>0.2857142857142857</v>
      </c>
      <c r="P55" s="15">
        <f t="shared" si="1"/>
        <v>1</v>
      </c>
      <c r="R55" s="8"/>
      <c r="T55"/>
    </row>
    <row r="56" spans="2:20" ht="23.1" customHeight="1" x14ac:dyDescent="0.25">
      <c r="B56" s="23" t="s">
        <v>83</v>
      </c>
      <c r="C56" s="49">
        <f>AVERAGE('05.08 KABONG-KOTIDO'!C56,'06.07 KABONG-KOTIDO'!C56,'07.08 KABONG-KOTIDO'!C56,'08.08 KABONG-KOTIDO'!C56,'9.08 KABONG-KOTIDO-24h'!C56,'10.08 KABONG-KOTIDO-24h'!C56,'11.08 KABONG-KOTITDO'!C56)</f>
        <v>0.14285714285714285</v>
      </c>
      <c r="D56" s="49">
        <f>AVERAGE('05.08 KABONG-KOTIDO'!D56,'06.07 KABONG-KOTIDO'!D56,'07.08 KABONG-KOTIDO'!D56,'08.08 KABONG-KOTIDO'!D56,'9.08 KABONG-KOTIDO-24h'!D56,'10.08 KABONG-KOTIDO-24h'!D56,'11.08 KABONG-KOTITDO'!D56)</f>
        <v>0.14285714285714285</v>
      </c>
      <c r="E56" s="49">
        <f>AVERAGE('05.08 KABONG-KOTIDO'!E56,'06.07 KABONG-KOTIDO'!E56,'07.08 KABONG-KOTIDO'!E56,'08.08 KABONG-KOTIDO'!E56,'9.08 KABONG-KOTIDO-24h'!E56,'10.08 KABONG-KOTIDO-24h'!E56,'11.08 KABONG-KOTITDO'!E56)</f>
        <v>0.2857142857142857</v>
      </c>
      <c r="F56" s="49">
        <f>AVERAGE('05.08 KABONG-KOTIDO'!F56,'06.07 KABONG-KOTIDO'!F56,'07.08 KABONG-KOTIDO'!F56,'08.08 KABONG-KOTIDO'!F56,'9.08 KABONG-KOTIDO-24h'!F56,'10.08 KABONG-KOTIDO-24h'!F56,'11.08 KABONG-KOTITDO'!F56)</f>
        <v>0</v>
      </c>
      <c r="G56" s="49">
        <f>AVERAGE('05.08 KABONG-KOTIDO'!G56,'06.07 KABONG-KOTIDO'!G56,'07.08 KABONG-KOTIDO'!G56,'08.08 KABONG-KOTIDO'!G56,'9.08 KABONG-KOTIDO-24h'!G56,'10.08 KABONG-KOTIDO-24h'!G56,'11.08 KABONG-KOTITDO'!G56)</f>
        <v>0</v>
      </c>
      <c r="H56" s="49">
        <f>AVERAGE('05.08 KABONG-KOTIDO'!H56,'06.07 KABONG-KOTIDO'!H56,'07.08 KABONG-KOTIDO'!H56,'08.08 KABONG-KOTIDO'!H56,'9.08 KABONG-KOTIDO-24h'!H56,'10.08 KABONG-KOTIDO-24h'!H56,'11.08 KABONG-KOTITDO'!H56)</f>
        <v>0.2857142857142857</v>
      </c>
      <c r="I56" s="49">
        <f>AVERAGE('05.08 KABONG-KOTIDO'!I56,'06.07 KABONG-KOTIDO'!I56,'07.08 KABONG-KOTIDO'!I56,'08.08 KABONG-KOTIDO'!I56,'9.08 KABONG-KOTIDO-24h'!I56,'10.08 KABONG-KOTIDO-24h'!I56,'11.08 KABONG-KOTITDO'!I56)</f>
        <v>0.14285714285714285</v>
      </c>
      <c r="J56" s="49">
        <f>AVERAGE('05.08 KABONG-KOTIDO'!J56,'06.07 KABONG-KOTIDO'!J56,'07.08 KABONG-KOTIDO'!J56,'08.08 KABONG-KOTIDO'!J56,'9.08 KABONG-KOTIDO-24h'!J56,'10.08 KABONG-KOTIDO-24h'!J56,'11.08 KABONG-KOTITDO'!J56)</f>
        <v>0</v>
      </c>
      <c r="K56" s="49">
        <f>AVERAGE('05.08 KABONG-KOTIDO'!K56,'06.07 KABONG-KOTIDO'!K56,'07.08 KABONG-KOTIDO'!K56,'08.08 KABONG-KOTIDO'!K56,'9.08 KABONG-KOTIDO-24h'!K56,'10.08 KABONG-KOTIDO-24h'!K56,'11.08 KABONG-KOTITDO'!K56)</f>
        <v>0</v>
      </c>
      <c r="L56" s="49">
        <f>AVERAGE('05.08 KABONG-KOTIDO'!L56,'06.07 KABONG-KOTIDO'!L56,'07.08 KABONG-KOTIDO'!L56,'08.08 KABONG-KOTIDO'!L56,'9.08 KABONG-KOTIDO-24h'!L56,'10.08 KABONG-KOTIDO-24h'!L56,'11.08 KABONG-KOTITDO'!L56)</f>
        <v>0</v>
      </c>
      <c r="M56" s="49">
        <f>AVERAGE('05.08 KABONG-KOTIDO'!M56,'06.07 KABONG-KOTIDO'!M56,'07.08 KABONG-KOTIDO'!M56,'08.08 KABONG-KOTIDO'!M56,'9.08 KABONG-KOTIDO-24h'!M56,'10.08 KABONG-KOTIDO-24h'!M56,'11.08 KABONG-KOTITDO'!M56)</f>
        <v>0.14285714285714285</v>
      </c>
      <c r="N56" s="49">
        <f>AVERAGE('05.08 KABONG-KOTIDO'!N56,'06.07 KABONG-KOTIDO'!N56,'07.08 KABONG-KOTIDO'!N56,'08.08 KABONG-KOTIDO'!N56,'9.08 KABONG-KOTIDO-24h'!N56,'10.08 KABONG-KOTIDO-24h'!N56,'11.08 KABONG-KOTITDO'!N56)</f>
        <v>0</v>
      </c>
      <c r="O56" s="15">
        <f t="shared" si="0"/>
        <v>1</v>
      </c>
      <c r="P56" s="15">
        <f t="shared" si="1"/>
        <v>1.1428571428571428</v>
      </c>
      <c r="R56" s="8"/>
      <c r="T56"/>
    </row>
    <row r="57" spans="2:20" ht="23.1" customHeight="1" x14ac:dyDescent="0.25">
      <c r="B57" s="23" t="s">
        <v>84</v>
      </c>
      <c r="C57" s="49">
        <f>AVERAGE('05.08 KABONG-KOTIDO'!C57,'06.07 KABONG-KOTIDO'!C57,'07.08 KABONG-KOTIDO'!C57,'08.08 KABONG-KOTIDO'!C57,'9.08 KABONG-KOTIDO-24h'!C57,'10.08 KABONG-KOTIDO-24h'!C57,'11.08 KABONG-KOTITDO'!C57)</f>
        <v>0.14285714285714285</v>
      </c>
      <c r="D57" s="49">
        <f>AVERAGE('05.08 KABONG-KOTIDO'!D57,'06.07 KABONG-KOTIDO'!D57,'07.08 KABONG-KOTIDO'!D57,'08.08 KABONG-KOTIDO'!D57,'9.08 KABONG-KOTIDO-24h'!D57,'10.08 KABONG-KOTIDO-24h'!D57,'11.08 KABONG-KOTITDO'!D57)</f>
        <v>0.8571428571428571</v>
      </c>
      <c r="E57" s="49">
        <f>AVERAGE('05.08 KABONG-KOTIDO'!E57,'06.07 KABONG-KOTIDO'!E57,'07.08 KABONG-KOTIDO'!E57,'08.08 KABONG-KOTIDO'!E57,'9.08 KABONG-KOTIDO-24h'!E57,'10.08 KABONG-KOTIDO-24h'!E57,'11.08 KABONG-KOTITDO'!E57)</f>
        <v>0.7142857142857143</v>
      </c>
      <c r="F57" s="49">
        <f>AVERAGE('05.08 KABONG-KOTIDO'!F57,'06.07 KABONG-KOTIDO'!F57,'07.08 KABONG-KOTIDO'!F57,'08.08 KABONG-KOTIDO'!F57,'9.08 KABONG-KOTIDO-24h'!F57,'10.08 KABONG-KOTIDO-24h'!F57,'11.08 KABONG-KOTITDO'!F57)</f>
        <v>0</v>
      </c>
      <c r="G57" s="49">
        <f>AVERAGE('05.08 KABONG-KOTIDO'!G57,'06.07 KABONG-KOTIDO'!G57,'07.08 KABONG-KOTIDO'!G57,'08.08 KABONG-KOTIDO'!G57,'9.08 KABONG-KOTIDO-24h'!G57,'10.08 KABONG-KOTIDO-24h'!G57,'11.08 KABONG-KOTITDO'!G57)</f>
        <v>0</v>
      </c>
      <c r="H57" s="49">
        <f>AVERAGE('05.08 KABONG-KOTIDO'!H57,'06.07 KABONG-KOTIDO'!H57,'07.08 KABONG-KOTIDO'!H57,'08.08 KABONG-KOTIDO'!H57,'9.08 KABONG-KOTIDO-24h'!H57,'10.08 KABONG-KOTIDO-24h'!H57,'11.08 KABONG-KOTITDO'!H57)</f>
        <v>0</v>
      </c>
      <c r="I57" s="49">
        <f>AVERAGE('05.08 KABONG-KOTIDO'!I57,'06.07 KABONG-KOTIDO'!I57,'07.08 KABONG-KOTIDO'!I57,'08.08 KABONG-KOTIDO'!I57,'9.08 KABONG-KOTIDO-24h'!I57,'10.08 KABONG-KOTIDO-24h'!I57,'11.08 KABONG-KOTITDO'!I57)</f>
        <v>0.2857142857142857</v>
      </c>
      <c r="J57" s="49">
        <f>AVERAGE('05.08 KABONG-KOTIDO'!J57,'06.07 KABONG-KOTIDO'!J57,'07.08 KABONG-KOTIDO'!J57,'08.08 KABONG-KOTIDO'!J57,'9.08 KABONG-KOTIDO-24h'!J57,'10.08 KABONG-KOTIDO-24h'!J57,'11.08 KABONG-KOTITDO'!J57)</f>
        <v>0</v>
      </c>
      <c r="K57" s="49">
        <f>AVERAGE('05.08 KABONG-KOTIDO'!K57,'06.07 KABONG-KOTIDO'!K57,'07.08 KABONG-KOTIDO'!K57,'08.08 KABONG-KOTIDO'!K57,'9.08 KABONG-KOTIDO-24h'!K57,'10.08 KABONG-KOTIDO-24h'!K57,'11.08 KABONG-KOTITDO'!K57)</f>
        <v>0</v>
      </c>
      <c r="L57" s="49">
        <f>AVERAGE('05.08 KABONG-KOTIDO'!L57,'06.07 KABONG-KOTIDO'!L57,'07.08 KABONG-KOTIDO'!L57,'08.08 KABONG-KOTIDO'!L57,'9.08 KABONG-KOTIDO-24h'!L57,'10.08 KABONG-KOTIDO-24h'!L57,'11.08 KABONG-KOTITDO'!L57)</f>
        <v>0</v>
      </c>
      <c r="M57" s="49">
        <f>AVERAGE('05.08 KABONG-KOTIDO'!M57,'06.07 KABONG-KOTIDO'!M57,'07.08 KABONG-KOTIDO'!M57,'08.08 KABONG-KOTIDO'!M57,'9.08 KABONG-KOTIDO-24h'!M57,'10.08 KABONG-KOTIDO-24h'!M57,'11.08 KABONG-KOTITDO'!M57)</f>
        <v>0.8571428571428571</v>
      </c>
      <c r="N57" s="49">
        <f>AVERAGE('05.08 KABONG-KOTIDO'!N57,'06.07 KABONG-KOTIDO'!N57,'07.08 KABONG-KOTIDO'!N57,'08.08 KABONG-KOTIDO'!N57,'9.08 KABONG-KOTIDO-24h'!N57,'10.08 KABONG-KOTIDO-24h'!N57,'11.08 KABONG-KOTITDO'!N57)</f>
        <v>0</v>
      </c>
      <c r="O57" s="15">
        <f t="shared" si="0"/>
        <v>2</v>
      </c>
      <c r="P57" s="15">
        <f t="shared" si="1"/>
        <v>2.8571428571428572</v>
      </c>
      <c r="R57" s="8"/>
      <c r="T57"/>
    </row>
    <row r="58" spans="2:20" ht="23.1" customHeight="1" x14ac:dyDescent="0.25">
      <c r="B58" s="23" t="s">
        <v>99</v>
      </c>
      <c r="C58" s="49">
        <f>AVERAGE('9.08 KABONG-KOTIDO-24h'!C58,'10.08 KABONG-KOTIDO-24h'!C58)</f>
        <v>0</v>
      </c>
      <c r="D58" s="49">
        <f>AVERAGE('9.08 KABONG-KOTIDO-24h'!D58,'10.08 KABONG-KOTIDO-24h'!D58)</f>
        <v>0.5</v>
      </c>
      <c r="E58" s="49">
        <f>AVERAGE('9.08 KABONG-KOTIDO-24h'!E58,'10.08 KABONG-KOTIDO-24h'!E58)</f>
        <v>1</v>
      </c>
      <c r="F58" s="49">
        <f>AVERAGE('9.08 KABONG-KOTIDO-24h'!F58,'10.08 KABONG-KOTIDO-24h'!F58)</f>
        <v>0</v>
      </c>
      <c r="G58" s="49">
        <f>AVERAGE('9.08 KABONG-KOTIDO-24h'!G58,'10.08 KABONG-KOTIDO-24h'!G58)</f>
        <v>0</v>
      </c>
      <c r="H58" s="49">
        <f>AVERAGE('9.08 KABONG-KOTIDO-24h'!H58,'10.08 KABONG-KOTIDO-24h'!H58)</f>
        <v>0</v>
      </c>
      <c r="I58" s="49">
        <f>AVERAGE('9.08 KABONG-KOTIDO-24h'!I58,'10.08 KABONG-KOTIDO-24h'!I58)</f>
        <v>1</v>
      </c>
      <c r="J58" s="49">
        <f>AVERAGE('9.08 KABONG-KOTIDO-24h'!J58,'10.08 KABONG-KOTIDO-24h'!J58)</f>
        <v>0.5</v>
      </c>
      <c r="K58" s="49">
        <f>AVERAGE('9.08 KABONG-KOTIDO-24h'!K58,'10.08 KABONG-KOTIDO-24h'!K58)</f>
        <v>0</v>
      </c>
      <c r="L58" s="49">
        <f>AVERAGE('9.08 KABONG-KOTIDO-24h'!L58,'10.08 KABONG-KOTIDO-24h'!L58)</f>
        <v>0</v>
      </c>
      <c r="M58" s="49">
        <f>AVERAGE('9.08 KABONG-KOTIDO-24h'!M58,'10.08 KABONG-KOTIDO-24h'!M58)</f>
        <v>1.5</v>
      </c>
      <c r="N58" s="49">
        <f>AVERAGE('9.08 KABONG-KOTIDO-24h'!N58,'10.08 KABONG-KOTIDO-24h'!N58)</f>
        <v>0</v>
      </c>
      <c r="O58" s="15">
        <f t="shared" si="0"/>
        <v>3</v>
      </c>
      <c r="P58" s="15">
        <f t="shared" si="1"/>
        <v>4.5</v>
      </c>
      <c r="R58" s="8"/>
      <c r="T58"/>
    </row>
    <row r="59" spans="2:20" ht="23.1" customHeight="1" x14ac:dyDescent="0.25">
      <c r="B59" s="23" t="s">
        <v>100</v>
      </c>
      <c r="C59" s="49">
        <f>AVERAGE('9.08 KABONG-KOTIDO-24h'!C59,'10.08 KABONG-KOTIDO-24h'!C59)</f>
        <v>0.5</v>
      </c>
      <c r="D59" s="49">
        <f>AVERAGE('9.08 KABONG-KOTIDO-24h'!D59,'10.08 KABONG-KOTIDO-24h'!D59)</f>
        <v>0</v>
      </c>
      <c r="E59" s="49">
        <f>AVERAGE('9.08 KABONG-KOTIDO-24h'!E59,'10.08 KABONG-KOTIDO-24h'!E59)</f>
        <v>0</v>
      </c>
      <c r="F59" s="49">
        <f>AVERAGE('9.08 KABONG-KOTIDO-24h'!F59,'10.08 KABONG-KOTIDO-24h'!F59)</f>
        <v>0</v>
      </c>
      <c r="G59" s="49">
        <f>AVERAGE('9.08 KABONG-KOTIDO-24h'!G59,'10.08 KABONG-KOTIDO-24h'!G59)</f>
        <v>0</v>
      </c>
      <c r="H59" s="49">
        <f>AVERAGE('9.08 KABONG-KOTIDO-24h'!H59,'10.08 KABONG-KOTIDO-24h'!H59)</f>
        <v>0</v>
      </c>
      <c r="I59" s="49">
        <f>AVERAGE('9.08 KABONG-KOTIDO-24h'!I59,'10.08 KABONG-KOTIDO-24h'!I59)</f>
        <v>0</v>
      </c>
      <c r="J59" s="49">
        <f>AVERAGE('9.08 KABONG-KOTIDO-24h'!J59,'10.08 KABONG-KOTIDO-24h'!J59)</f>
        <v>0.5</v>
      </c>
      <c r="K59" s="49">
        <f>AVERAGE('9.08 KABONG-KOTIDO-24h'!K59,'10.08 KABONG-KOTIDO-24h'!K59)</f>
        <v>0.5</v>
      </c>
      <c r="L59" s="49">
        <f>AVERAGE('9.08 KABONG-KOTIDO-24h'!L59,'10.08 KABONG-KOTIDO-24h'!L59)</f>
        <v>0</v>
      </c>
      <c r="M59" s="49">
        <f>AVERAGE('9.08 KABONG-KOTIDO-24h'!M59,'10.08 KABONG-KOTIDO-24h'!M59)</f>
        <v>0.5</v>
      </c>
      <c r="N59" s="49">
        <f>AVERAGE('9.08 KABONG-KOTIDO-24h'!N59,'10.08 KABONG-KOTIDO-24h'!N59)</f>
        <v>0</v>
      </c>
      <c r="O59" s="15">
        <f t="shared" si="0"/>
        <v>1.5</v>
      </c>
      <c r="P59" s="15">
        <f t="shared" si="1"/>
        <v>2</v>
      </c>
      <c r="R59" s="8"/>
      <c r="T59"/>
    </row>
    <row r="60" spans="2:20" ht="23.1" customHeight="1" x14ac:dyDescent="0.25">
      <c r="B60" s="23" t="s">
        <v>101</v>
      </c>
      <c r="C60" s="49">
        <f>AVERAGE('9.08 KABONG-KOTIDO-24h'!C60,'10.08 KABONG-KOTIDO-24h'!C60)</f>
        <v>0</v>
      </c>
      <c r="D60" s="49">
        <f>AVERAGE('9.08 KABONG-KOTIDO-24h'!D60,'10.08 KABONG-KOTIDO-24h'!D60)</f>
        <v>0.5</v>
      </c>
      <c r="E60" s="49">
        <f>AVERAGE('9.08 KABONG-KOTIDO-24h'!E60,'10.08 KABONG-KOTIDO-24h'!E60)</f>
        <v>0.5</v>
      </c>
      <c r="F60" s="49">
        <f>AVERAGE('9.08 KABONG-KOTIDO-24h'!F60,'10.08 KABONG-KOTIDO-24h'!F60)</f>
        <v>0</v>
      </c>
      <c r="G60" s="49">
        <f>AVERAGE('9.08 KABONG-KOTIDO-24h'!G60,'10.08 KABONG-KOTIDO-24h'!G60)</f>
        <v>0</v>
      </c>
      <c r="H60" s="49">
        <f>AVERAGE('9.08 KABONG-KOTIDO-24h'!H60,'10.08 KABONG-KOTIDO-24h'!H60)</f>
        <v>0</v>
      </c>
      <c r="I60" s="49">
        <f>AVERAGE('9.08 KABONG-KOTIDO-24h'!I60,'10.08 KABONG-KOTIDO-24h'!I60)</f>
        <v>0.5</v>
      </c>
      <c r="J60" s="49">
        <f>AVERAGE('9.08 KABONG-KOTIDO-24h'!J60,'10.08 KABONG-KOTIDO-24h'!J60)</f>
        <v>0</v>
      </c>
      <c r="K60" s="49">
        <f>AVERAGE('9.08 KABONG-KOTIDO-24h'!K60,'10.08 KABONG-KOTIDO-24h'!K60)</f>
        <v>0</v>
      </c>
      <c r="L60" s="49">
        <f>AVERAGE('9.08 KABONG-KOTIDO-24h'!L60,'10.08 KABONG-KOTIDO-24h'!L60)</f>
        <v>0</v>
      </c>
      <c r="M60" s="49">
        <f>AVERAGE('9.08 KABONG-KOTIDO-24h'!M60,'10.08 KABONG-KOTIDO-24h'!M60)</f>
        <v>1</v>
      </c>
      <c r="N60" s="49">
        <f>AVERAGE('9.08 KABONG-KOTIDO-24h'!N60,'10.08 KABONG-KOTIDO-24h'!N60)</f>
        <v>0</v>
      </c>
      <c r="O60" s="15">
        <f t="shared" si="0"/>
        <v>1.5</v>
      </c>
      <c r="P60" s="15">
        <f t="shared" si="1"/>
        <v>2.5</v>
      </c>
      <c r="R60" s="8"/>
      <c r="T60"/>
    </row>
    <row r="61" spans="2:20" ht="23.1" customHeight="1" x14ac:dyDescent="0.25">
      <c r="B61" s="23" t="s">
        <v>102</v>
      </c>
      <c r="C61" s="49">
        <f>AVERAGE('9.08 KABONG-KOTIDO-24h'!C61,'10.08 KABONG-KOTIDO-24h'!C61)</f>
        <v>0.5</v>
      </c>
      <c r="D61" s="49">
        <f>AVERAGE('9.08 KABONG-KOTIDO-24h'!D61,'10.08 KABONG-KOTIDO-24h'!D61)</f>
        <v>1</v>
      </c>
      <c r="E61" s="49">
        <f>AVERAGE('9.08 KABONG-KOTIDO-24h'!E61,'10.08 KABONG-KOTIDO-24h'!E61)</f>
        <v>0.5</v>
      </c>
      <c r="F61" s="49">
        <f>AVERAGE('9.08 KABONG-KOTIDO-24h'!F61,'10.08 KABONG-KOTIDO-24h'!F61)</f>
        <v>0</v>
      </c>
      <c r="G61" s="49">
        <f>AVERAGE('9.08 KABONG-KOTIDO-24h'!G61,'10.08 KABONG-KOTIDO-24h'!G61)</f>
        <v>0</v>
      </c>
      <c r="H61" s="49">
        <f>AVERAGE('9.08 KABONG-KOTIDO-24h'!H61,'10.08 KABONG-KOTIDO-24h'!H61)</f>
        <v>0</v>
      </c>
      <c r="I61" s="49">
        <f>AVERAGE('9.08 KABONG-KOTIDO-24h'!I61,'10.08 KABONG-KOTIDO-24h'!I61)</f>
        <v>0.5</v>
      </c>
      <c r="J61" s="49">
        <f>AVERAGE('9.08 KABONG-KOTIDO-24h'!J61,'10.08 KABONG-KOTIDO-24h'!J61)</f>
        <v>0.5</v>
      </c>
      <c r="K61" s="49">
        <f>AVERAGE('9.08 KABONG-KOTIDO-24h'!K61,'10.08 KABONG-KOTIDO-24h'!K61)</f>
        <v>0</v>
      </c>
      <c r="L61" s="49">
        <f>AVERAGE('9.08 KABONG-KOTIDO-24h'!L61,'10.08 KABONG-KOTIDO-24h'!L61)</f>
        <v>0</v>
      </c>
      <c r="M61" s="49">
        <f>AVERAGE('9.08 KABONG-KOTIDO-24h'!M61,'10.08 KABONG-KOTIDO-24h'!M61)</f>
        <v>0</v>
      </c>
      <c r="N61" s="49">
        <f>AVERAGE('9.08 KABONG-KOTIDO-24h'!N61,'10.08 KABONG-KOTIDO-24h'!N61)</f>
        <v>0</v>
      </c>
      <c r="O61" s="15">
        <f t="shared" si="0"/>
        <v>3</v>
      </c>
      <c r="P61" s="15">
        <f t="shared" si="1"/>
        <v>3</v>
      </c>
      <c r="R61" s="8"/>
      <c r="T61"/>
    </row>
    <row r="62" spans="2:20" ht="23.1" customHeight="1" x14ac:dyDescent="0.25">
      <c r="B62" s="23" t="s">
        <v>107</v>
      </c>
      <c r="C62" s="49">
        <f>AVERAGE('9.08 KABONG-KOTIDO-24h'!C62,'10.08 KABONG-KOTIDO-24h'!C62)</f>
        <v>0</v>
      </c>
      <c r="D62" s="49">
        <f>AVERAGE('9.08 KABONG-KOTIDO-24h'!D62,'10.08 KABONG-KOTIDO-24h'!D62)</f>
        <v>0.5</v>
      </c>
      <c r="E62" s="49">
        <f>AVERAGE('9.08 KABONG-KOTIDO-24h'!E62,'10.08 KABONG-KOTIDO-24h'!E62)</f>
        <v>1</v>
      </c>
      <c r="F62" s="49">
        <f>AVERAGE('9.08 KABONG-KOTIDO-24h'!F62,'10.08 KABONG-KOTIDO-24h'!F62)</f>
        <v>0</v>
      </c>
      <c r="G62" s="49">
        <f>AVERAGE('9.08 KABONG-KOTIDO-24h'!G62,'10.08 KABONG-KOTIDO-24h'!G62)</f>
        <v>0</v>
      </c>
      <c r="H62" s="49">
        <f>AVERAGE('9.08 KABONG-KOTIDO-24h'!H62,'10.08 KABONG-KOTIDO-24h'!H62)</f>
        <v>0</v>
      </c>
      <c r="I62" s="49">
        <f>AVERAGE('9.08 KABONG-KOTIDO-24h'!I62,'10.08 KABONG-KOTIDO-24h'!I62)</f>
        <v>1</v>
      </c>
      <c r="J62" s="49">
        <f>AVERAGE('9.08 KABONG-KOTIDO-24h'!J62,'10.08 KABONG-KOTIDO-24h'!J62)</f>
        <v>0</v>
      </c>
      <c r="K62" s="49">
        <f>AVERAGE('9.08 KABONG-KOTIDO-24h'!K62,'10.08 KABONG-KOTIDO-24h'!K62)</f>
        <v>0</v>
      </c>
      <c r="L62" s="49">
        <f>AVERAGE('9.08 KABONG-KOTIDO-24h'!L62,'10.08 KABONG-KOTIDO-24h'!L62)</f>
        <v>0</v>
      </c>
      <c r="M62" s="49">
        <f>AVERAGE('9.08 KABONG-KOTIDO-24h'!M62,'10.08 KABONG-KOTIDO-24h'!M62)</f>
        <v>1</v>
      </c>
      <c r="N62" s="49">
        <f>AVERAGE('9.08 KABONG-KOTIDO-24h'!N62,'10.08 KABONG-KOTIDO-24h'!N62)</f>
        <v>0</v>
      </c>
      <c r="O62" s="15">
        <f t="shared" si="0"/>
        <v>2.5</v>
      </c>
      <c r="P62" s="15">
        <f t="shared" si="1"/>
        <v>3.5</v>
      </c>
      <c r="R62" s="8"/>
      <c r="T62"/>
    </row>
    <row r="63" spans="2:20" ht="23.1" customHeight="1" x14ac:dyDescent="0.25">
      <c r="B63" s="23" t="s">
        <v>108</v>
      </c>
      <c r="C63" s="49">
        <f>AVERAGE('9.08 KABONG-KOTIDO-24h'!C63,'10.08 KABONG-KOTIDO-24h'!C63)</f>
        <v>0</v>
      </c>
      <c r="D63" s="49">
        <f>AVERAGE('9.08 KABONG-KOTIDO-24h'!D63,'10.08 KABONG-KOTIDO-24h'!D63)</f>
        <v>0</v>
      </c>
      <c r="E63" s="49">
        <f>AVERAGE('9.08 KABONG-KOTIDO-24h'!E63,'10.08 KABONG-KOTIDO-24h'!E63)</f>
        <v>0.5</v>
      </c>
      <c r="F63" s="49">
        <f>AVERAGE('9.08 KABONG-KOTIDO-24h'!F63,'10.08 KABONG-KOTIDO-24h'!F63)</f>
        <v>0</v>
      </c>
      <c r="G63" s="49">
        <f>AVERAGE('9.08 KABONG-KOTIDO-24h'!G63,'10.08 KABONG-KOTIDO-24h'!G63)</f>
        <v>0</v>
      </c>
      <c r="H63" s="49">
        <f>AVERAGE('9.08 KABONG-KOTIDO-24h'!H63,'10.08 KABONG-KOTIDO-24h'!H63)</f>
        <v>0</v>
      </c>
      <c r="I63" s="49">
        <f>AVERAGE('9.08 KABONG-KOTIDO-24h'!I63,'10.08 KABONG-KOTIDO-24h'!I63)</f>
        <v>0.5</v>
      </c>
      <c r="J63" s="49">
        <f>AVERAGE('9.08 KABONG-KOTIDO-24h'!J63,'10.08 KABONG-KOTIDO-24h'!J63)</f>
        <v>0.5</v>
      </c>
      <c r="K63" s="49">
        <f>AVERAGE('9.08 KABONG-KOTIDO-24h'!K63,'10.08 KABONG-KOTIDO-24h'!K63)</f>
        <v>0</v>
      </c>
      <c r="L63" s="49">
        <f>AVERAGE('9.08 KABONG-KOTIDO-24h'!L63,'10.08 KABONG-KOTIDO-24h'!L63)</f>
        <v>0</v>
      </c>
      <c r="M63" s="49">
        <f>AVERAGE('9.08 KABONG-KOTIDO-24h'!M63,'10.08 KABONG-KOTIDO-24h'!M63)</f>
        <v>1</v>
      </c>
      <c r="N63" s="49">
        <f>AVERAGE('9.08 KABONG-KOTIDO-24h'!N63,'10.08 KABONG-KOTIDO-24h'!N63)</f>
        <v>0</v>
      </c>
      <c r="O63" s="15">
        <f t="shared" si="0"/>
        <v>1.5</v>
      </c>
      <c r="P63" s="15">
        <f t="shared" si="1"/>
        <v>2.5</v>
      </c>
      <c r="R63" s="8"/>
      <c r="T63"/>
    </row>
    <row r="64" spans="2:20" ht="23.1" customHeight="1" x14ac:dyDescent="0.25">
      <c r="B64" s="23" t="s">
        <v>109</v>
      </c>
      <c r="C64" s="49">
        <f>AVERAGE('9.08 KABONG-KOTIDO-24h'!C64,'10.08 KABONG-KOTIDO-24h'!C64)</f>
        <v>0</v>
      </c>
      <c r="D64" s="49">
        <f>AVERAGE('9.08 KABONG-KOTIDO-24h'!D64,'10.08 KABONG-KOTIDO-24h'!D64)</f>
        <v>0</v>
      </c>
      <c r="E64" s="49">
        <f>AVERAGE('9.08 KABONG-KOTIDO-24h'!E64,'10.08 KABONG-KOTIDO-24h'!E64)</f>
        <v>0</v>
      </c>
      <c r="F64" s="49">
        <f>AVERAGE('9.08 KABONG-KOTIDO-24h'!F64,'10.08 KABONG-KOTIDO-24h'!F64)</f>
        <v>0</v>
      </c>
      <c r="G64" s="49">
        <f>AVERAGE('9.08 KABONG-KOTIDO-24h'!G64,'10.08 KABONG-KOTIDO-24h'!G64)</f>
        <v>0</v>
      </c>
      <c r="H64" s="49">
        <f>AVERAGE('9.08 KABONG-KOTIDO-24h'!H64,'10.08 KABONG-KOTIDO-24h'!H64)</f>
        <v>0</v>
      </c>
      <c r="I64" s="49">
        <f>AVERAGE('9.08 KABONG-KOTIDO-24h'!I64,'10.08 KABONG-KOTIDO-24h'!I64)</f>
        <v>0.5</v>
      </c>
      <c r="J64" s="49">
        <f>AVERAGE('9.08 KABONG-KOTIDO-24h'!J64,'10.08 KABONG-KOTIDO-24h'!J64)</f>
        <v>0</v>
      </c>
      <c r="K64" s="49">
        <f>AVERAGE('9.08 KABONG-KOTIDO-24h'!K64,'10.08 KABONG-KOTIDO-24h'!K64)</f>
        <v>0</v>
      </c>
      <c r="L64" s="49">
        <f>AVERAGE('9.08 KABONG-KOTIDO-24h'!L64,'10.08 KABONG-KOTIDO-24h'!L64)</f>
        <v>0</v>
      </c>
      <c r="M64" s="49">
        <f>AVERAGE('9.08 KABONG-KOTIDO-24h'!M64,'10.08 KABONG-KOTIDO-24h'!M64)</f>
        <v>0</v>
      </c>
      <c r="N64" s="49">
        <f>AVERAGE('9.08 KABONG-KOTIDO-24h'!N64,'10.08 KABONG-KOTIDO-24h'!N64)</f>
        <v>0</v>
      </c>
      <c r="O64" s="15">
        <f t="shared" si="0"/>
        <v>0.5</v>
      </c>
      <c r="P64" s="15">
        <f t="shared" si="1"/>
        <v>0.5</v>
      </c>
      <c r="R64" s="8"/>
      <c r="T64"/>
    </row>
    <row r="65" spans="2:20" ht="23.1" customHeight="1" x14ac:dyDescent="0.25">
      <c r="B65" s="23" t="s">
        <v>158</v>
      </c>
      <c r="C65" s="49">
        <f>AVERAGE('9.08 KABONG-KOTIDO-24h'!C65,'10.08 KABONG-KOTIDO-24h'!C65)</f>
        <v>0</v>
      </c>
      <c r="D65" s="49">
        <f>AVERAGE('9.08 KABONG-KOTIDO-24h'!D65,'10.08 KABONG-KOTIDO-24h'!D65)</f>
        <v>0.5</v>
      </c>
      <c r="E65" s="49">
        <f>AVERAGE('9.08 KABONG-KOTIDO-24h'!E65,'10.08 KABONG-KOTIDO-24h'!E65)</f>
        <v>0.5</v>
      </c>
      <c r="F65" s="49">
        <f>AVERAGE('9.08 KABONG-KOTIDO-24h'!F65,'10.08 KABONG-KOTIDO-24h'!F65)</f>
        <v>0</v>
      </c>
      <c r="G65" s="49">
        <f>AVERAGE('9.08 KABONG-KOTIDO-24h'!G65,'10.08 KABONG-KOTIDO-24h'!G65)</f>
        <v>0</v>
      </c>
      <c r="H65" s="49">
        <f>AVERAGE('9.08 KABONG-KOTIDO-24h'!H65,'10.08 KABONG-KOTIDO-24h'!H65)</f>
        <v>0</v>
      </c>
      <c r="I65" s="49">
        <f>AVERAGE('9.08 KABONG-KOTIDO-24h'!I65,'10.08 KABONG-KOTIDO-24h'!I65)</f>
        <v>0</v>
      </c>
      <c r="J65" s="49">
        <f>AVERAGE('9.08 KABONG-KOTIDO-24h'!J65,'10.08 KABONG-KOTIDO-24h'!J65)</f>
        <v>1</v>
      </c>
      <c r="K65" s="49">
        <f>AVERAGE('9.08 KABONG-KOTIDO-24h'!K65,'10.08 KABONG-KOTIDO-24h'!K65)</f>
        <v>0</v>
      </c>
      <c r="L65" s="49">
        <f>AVERAGE('9.08 KABONG-KOTIDO-24h'!L65,'10.08 KABONG-KOTIDO-24h'!L65)</f>
        <v>0</v>
      </c>
      <c r="M65" s="49">
        <f>AVERAGE('9.08 KABONG-KOTIDO-24h'!M65,'10.08 KABONG-KOTIDO-24h'!M65)</f>
        <v>1</v>
      </c>
      <c r="N65" s="49">
        <f>AVERAGE('9.08 KABONG-KOTIDO-24h'!N65,'10.08 KABONG-KOTIDO-24h'!N65)</f>
        <v>0</v>
      </c>
      <c r="O65" s="15">
        <f t="shared" si="0"/>
        <v>2</v>
      </c>
      <c r="P65" s="15">
        <f t="shared" si="1"/>
        <v>3</v>
      </c>
      <c r="R65" s="8"/>
      <c r="T65"/>
    </row>
    <row r="66" spans="2:20" ht="23.1" customHeight="1" x14ac:dyDescent="0.25">
      <c r="B66" s="23" t="s">
        <v>103</v>
      </c>
      <c r="C66" s="49">
        <f>AVERAGE('9.08 KABONG-KOTIDO-24h'!C66,'10.08 KABONG-KOTIDO-24h'!C66)</f>
        <v>0</v>
      </c>
      <c r="D66" s="49">
        <f>AVERAGE('9.08 KABONG-KOTIDO-24h'!D66,'10.08 KABONG-KOTIDO-24h'!D66)</f>
        <v>0</v>
      </c>
      <c r="E66" s="49">
        <f>AVERAGE('9.08 KABONG-KOTIDO-24h'!E66,'10.08 KABONG-KOTIDO-24h'!E66)</f>
        <v>0</v>
      </c>
      <c r="F66" s="49">
        <f>AVERAGE('9.08 KABONG-KOTIDO-24h'!F66,'10.08 KABONG-KOTIDO-24h'!F66)</f>
        <v>0</v>
      </c>
      <c r="G66" s="49">
        <f>AVERAGE('9.08 KABONG-KOTIDO-24h'!G66,'10.08 KABONG-KOTIDO-24h'!G66)</f>
        <v>0</v>
      </c>
      <c r="H66" s="49">
        <f>AVERAGE('9.08 KABONG-KOTIDO-24h'!H66,'10.08 KABONG-KOTIDO-24h'!H66)</f>
        <v>0</v>
      </c>
      <c r="I66" s="49">
        <f>AVERAGE('9.08 KABONG-KOTIDO-24h'!I66,'10.08 KABONG-KOTIDO-24h'!I66)</f>
        <v>0</v>
      </c>
      <c r="J66" s="49">
        <f>AVERAGE('9.08 KABONG-KOTIDO-24h'!J66,'10.08 KABONG-KOTIDO-24h'!J66)</f>
        <v>0.5</v>
      </c>
      <c r="K66" s="49">
        <f>AVERAGE('9.08 KABONG-KOTIDO-24h'!K66,'10.08 KABONG-KOTIDO-24h'!K66)</f>
        <v>0</v>
      </c>
      <c r="L66" s="49">
        <f>AVERAGE('9.08 KABONG-KOTIDO-24h'!L66,'10.08 KABONG-KOTIDO-24h'!L66)</f>
        <v>0</v>
      </c>
      <c r="M66" s="49">
        <f>AVERAGE('9.08 KABONG-KOTIDO-24h'!M66,'10.08 KABONG-KOTIDO-24h'!M66)</f>
        <v>1.5</v>
      </c>
      <c r="N66" s="49">
        <f>AVERAGE('9.08 KABONG-KOTIDO-24h'!N66,'10.08 KABONG-KOTIDO-24h'!N66)</f>
        <v>0</v>
      </c>
      <c r="O66" s="15">
        <f t="shared" si="0"/>
        <v>0.5</v>
      </c>
      <c r="P66" s="15">
        <f t="shared" si="1"/>
        <v>2</v>
      </c>
      <c r="R66" s="8"/>
      <c r="T66"/>
    </row>
    <row r="67" spans="2:20" ht="23.1" customHeight="1" x14ac:dyDescent="0.25">
      <c r="B67" s="23" t="s">
        <v>104</v>
      </c>
      <c r="C67" s="49">
        <f>AVERAGE('9.08 KABONG-KOTIDO-24h'!C67,'10.08 KABONG-KOTIDO-24h'!C67)</f>
        <v>0.5</v>
      </c>
      <c r="D67" s="49">
        <f>AVERAGE('9.08 KABONG-KOTIDO-24h'!D67,'10.08 KABONG-KOTIDO-24h'!D67)</f>
        <v>1</v>
      </c>
      <c r="E67" s="49">
        <f>AVERAGE('9.08 KABONG-KOTIDO-24h'!E67,'10.08 KABONG-KOTIDO-24h'!E67)</f>
        <v>0</v>
      </c>
      <c r="F67" s="49">
        <f>AVERAGE('9.08 KABONG-KOTIDO-24h'!F67,'10.08 KABONG-KOTIDO-24h'!F67)</f>
        <v>0</v>
      </c>
      <c r="G67" s="49">
        <f>AVERAGE('9.08 KABONG-KOTIDO-24h'!G67,'10.08 KABONG-KOTIDO-24h'!G67)</f>
        <v>0</v>
      </c>
      <c r="H67" s="49">
        <f>AVERAGE('9.08 KABONG-KOTIDO-24h'!H67,'10.08 KABONG-KOTIDO-24h'!H67)</f>
        <v>0</v>
      </c>
      <c r="I67" s="49">
        <f>AVERAGE('9.08 KABONG-KOTIDO-24h'!I67,'10.08 KABONG-KOTIDO-24h'!I67)</f>
        <v>0</v>
      </c>
      <c r="J67" s="49">
        <f>AVERAGE('9.08 KABONG-KOTIDO-24h'!J67,'10.08 KABONG-KOTIDO-24h'!J67)</f>
        <v>0</v>
      </c>
      <c r="K67" s="49">
        <f>AVERAGE('9.08 KABONG-KOTIDO-24h'!K67,'10.08 KABONG-KOTIDO-24h'!K67)</f>
        <v>0</v>
      </c>
      <c r="L67" s="49">
        <f>AVERAGE('9.08 KABONG-KOTIDO-24h'!L67,'10.08 KABONG-KOTIDO-24h'!L67)</f>
        <v>0</v>
      </c>
      <c r="M67" s="49">
        <f>AVERAGE('9.08 KABONG-KOTIDO-24h'!M67,'10.08 KABONG-KOTIDO-24h'!M67)</f>
        <v>1</v>
      </c>
      <c r="N67" s="49">
        <f>AVERAGE('9.08 KABONG-KOTIDO-24h'!N67,'10.08 KABONG-KOTIDO-24h'!N67)</f>
        <v>0</v>
      </c>
      <c r="O67" s="15">
        <f t="shared" si="0"/>
        <v>1.5</v>
      </c>
      <c r="P67" s="15">
        <f t="shared" si="1"/>
        <v>2.5</v>
      </c>
      <c r="R67" s="8"/>
      <c r="T67"/>
    </row>
    <row r="68" spans="2:20" ht="23.1" customHeight="1" x14ac:dyDescent="0.25">
      <c r="B68" s="23" t="s">
        <v>105</v>
      </c>
      <c r="C68" s="49">
        <f>AVERAGE('9.08 KABONG-KOTIDO-24h'!C68,'10.08 KABONG-KOTIDO-24h'!C68)</f>
        <v>0</v>
      </c>
      <c r="D68" s="49">
        <f>AVERAGE('9.08 KABONG-KOTIDO-24h'!D68,'10.08 KABONG-KOTIDO-24h'!D68)</f>
        <v>0</v>
      </c>
      <c r="E68" s="49">
        <f>AVERAGE('9.08 KABONG-KOTIDO-24h'!E68,'10.08 KABONG-KOTIDO-24h'!E68)</f>
        <v>0</v>
      </c>
      <c r="F68" s="49">
        <f>AVERAGE('9.08 KABONG-KOTIDO-24h'!F68,'10.08 KABONG-KOTIDO-24h'!F68)</f>
        <v>0</v>
      </c>
      <c r="G68" s="49">
        <f>AVERAGE('9.08 KABONG-KOTIDO-24h'!G68,'10.08 KABONG-KOTIDO-24h'!G68)</f>
        <v>0</v>
      </c>
      <c r="H68" s="49">
        <f>AVERAGE('9.08 KABONG-KOTIDO-24h'!H68,'10.08 KABONG-KOTIDO-24h'!H68)</f>
        <v>0</v>
      </c>
      <c r="I68" s="49">
        <f>AVERAGE('9.08 KABONG-KOTIDO-24h'!I68,'10.08 KABONG-KOTIDO-24h'!I68)</f>
        <v>0</v>
      </c>
      <c r="J68" s="49">
        <f>AVERAGE('9.08 KABONG-KOTIDO-24h'!J68,'10.08 KABONG-KOTIDO-24h'!J68)</f>
        <v>0</v>
      </c>
      <c r="K68" s="49">
        <f>AVERAGE('9.08 KABONG-KOTIDO-24h'!K68,'10.08 KABONG-KOTIDO-24h'!K68)</f>
        <v>0</v>
      </c>
      <c r="L68" s="49">
        <f>AVERAGE('9.08 KABONG-KOTIDO-24h'!L68,'10.08 KABONG-KOTIDO-24h'!L68)</f>
        <v>0</v>
      </c>
      <c r="M68" s="49">
        <f>AVERAGE('9.08 KABONG-KOTIDO-24h'!M68,'10.08 KABONG-KOTIDO-24h'!M68)</f>
        <v>1.5</v>
      </c>
      <c r="N68" s="49">
        <f>AVERAGE('9.08 KABONG-KOTIDO-24h'!N68,'10.08 KABONG-KOTIDO-24h'!N68)</f>
        <v>0</v>
      </c>
      <c r="O68" s="15">
        <f t="shared" si="0"/>
        <v>0</v>
      </c>
      <c r="P68" s="15">
        <f t="shared" si="1"/>
        <v>1.5</v>
      </c>
      <c r="R68" s="8"/>
      <c r="T68"/>
    </row>
    <row r="69" spans="2:20" ht="23.1" customHeight="1" x14ac:dyDescent="0.25">
      <c r="B69" s="23" t="s">
        <v>106</v>
      </c>
      <c r="C69" s="49">
        <f>AVERAGE('9.08 KABONG-KOTIDO-24h'!C69,'10.08 KABONG-KOTIDO-24h'!C69)</f>
        <v>0</v>
      </c>
      <c r="D69" s="49">
        <f>AVERAGE('9.08 KABONG-KOTIDO-24h'!D69,'10.08 KABONG-KOTIDO-24h'!D69)</f>
        <v>0.5</v>
      </c>
      <c r="E69" s="49">
        <f>AVERAGE('9.08 KABONG-KOTIDO-24h'!E69,'10.08 KABONG-KOTIDO-24h'!E69)</f>
        <v>0</v>
      </c>
      <c r="F69" s="49">
        <f>AVERAGE('9.08 KABONG-KOTIDO-24h'!F69,'10.08 KABONG-KOTIDO-24h'!F69)</f>
        <v>0</v>
      </c>
      <c r="G69" s="49">
        <f>AVERAGE('9.08 KABONG-KOTIDO-24h'!G69,'10.08 KABONG-KOTIDO-24h'!G69)</f>
        <v>0</v>
      </c>
      <c r="H69" s="49">
        <f>AVERAGE('9.08 KABONG-KOTIDO-24h'!H69,'10.08 KABONG-KOTIDO-24h'!H69)</f>
        <v>0</v>
      </c>
      <c r="I69" s="49">
        <f>AVERAGE('9.08 KABONG-KOTIDO-24h'!I69,'10.08 KABONG-KOTIDO-24h'!I69)</f>
        <v>0</v>
      </c>
      <c r="J69" s="49">
        <f>AVERAGE('9.08 KABONG-KOTIDO-24h'!J69,'10.08 KABONG-KOTIDO-24h'!J69)</f>
        <v>0</v>
      </c>
      <c r="K69" s="49">
        <f>AVERAGE('9.08 KABONG-KOTIDO-24h'!K69,'10.08 KABONG-KOTIDO-24h'!K69)</f>
        <v>0</v>
      </c>
      <c r="L69" s="49">
        <f>AVERAGE('9.08 KABONG-KOTIDO-24h'!L69,'10.08 KABONG-KOTIDO-24h'!L69)</f>
        <v>0</v>
      </c>
      <c r="M69" s="49">
        <f>AVERAGE('9.08 KABONG-KOTIDO-24h'!M69,'10.08 KABONG-KOTIDO-24h'!M69)</f>
        <v>0.5</v>
      </c>
      <c r="N69" s="49">
        <f>AVERAGE('9.08 KABONG-KOTIDO-24h'!N69,'10.08 KABONG-KOTIDO-24h'!N69)</f>
        <v>0</v>
      </c>
      <c r="O69" s="15">
        <f t="shared" si="0"/>
        <v>0.5</v>
      </c>
      <c r="P69" s="15">
        <f t="shared" si="1"/>
        <v>1</v>
      </c>
      <c r="R69" s="8"/>
      <c r="T69"/>
    </row>
    <row r="70" spans="2:20" ht="23.1" customHeight="1" x14ac:dyDescent="0.25">
      <c r="B70" s="23" t="s">
        <v>110</v>
      </c>
      <c r="C70" s="49">
        <f>AVERAGE('9.08 KABONG-KOTIDO-24h'!C70,'10.08 KABONG-KOTIDO-24h'!C70)</f>
        <v>0</v>
      </c>
      <c r="D70" s="49">
        <f>AVERAGE('9.08 KABONG-KOTIDO-24h'!D70,'10.08 KABONG-KOTIDO-24h'!D70)</f>
        <v>0.5</v>
      </c>
      <c r="E70" s="49">
        <f>AVERAGE('9.08 KABONG-KOTIDO-24h'!E70,'10.08 KABONG-KOTIDO-24h'!E70)</f>
        <v>0</v>
      </c>
      <c r="F70" s="49">
        <f>AVERAGE('9.08 KABONG-KOTIDO-24h'!F70,'10.08 KABONG-KOTIDO-24h'!F70)</f>
        <v>0</v>
      </c>
      <c r="G70" s="49">
        <f>AVERAGE('9.08 KABONG-KOTIDO-24h'!G70,'10.08 KABONG-KOTIDO-24h'!G70)</f>
        <v>0</v>
      </c>
      <c r="H70" s="49">
        <f>AVERAGE('9.08 KABONG-KOTIDO-24h'!H70,'10.08 KABONG-KOTIDO-24h'!H70)</f>
        <v>0</v>
      </c>
      <c r="I70" s="49">
        <f>AVERAGE('9.08 KABONG-KOTIDO-24h'!I70,'10.08 KABONG-KOTIDO-24h'!I70)</f>
        <v>0</v>
      </c>
      <c r="J70" s="49">
        <f>AVERAGE('9.08 KABONG-KOTIDO-24h'!J70,'10.08 KABONG-KOTIDO-24h'!J70)</f>
        <v>0</v>
      </c>
      <c r="K70" s="49">
        <f>AVERAGE('9.08 KABONG-KOTIDO-24h'!K70,'10.08 KABONG-KOTIDO-24h'!K70)</f>
        <v>0</v>
      </c>
      <c r="L70" s="49">
        <f>AVERAGE('9.08 KABONG-KOTIDO-24h'!L70,'10.08 KABONG-KOTIDO-24h'!L70)</f>
        <v>0</v>
      </c>
      <c r="M70" s="49">
        <f>AVERAGE('9.08 KABONG-KOTIDO-24h'!M70,'10.08 KABONG-KOTIDO-24h'!M70)</f>
        <v>1</v>
      </c>
      <c r="N70" s="49">
        <f>AVERAGE('9.08 KABONG-KOTIDO-24h'!N70,'10.08 KABONG-KOTIDO-24h'!N70)</f>
        <v>0</v>
      </c>
      <c r="O70" s="15">
        <f t="shared" si="0"/>
        <v>0.5</v>
      </c>
      <c r="P70" s="15">
        <f t="shared" si="1"/>
        <v>1.5</v>
      </c>
      <c r="R70" s="8"/>
      <c r="T70"/>
    </row>
    <row r="71" spans="2:20" ht="23.1" customHeight="1" x14ac:dyDescent="0.25">
      <c r="B71" s="23" t="s">
        <v>111</v>
      </c>
      <c r="C71" s="49">
        <f>AVERAGE('9.08 KABONG-KOTIDO-24h'!C71,'10.08 KABONG-KOTIDO-24h'!C71)</f>
        <v>0</v>
      </c>
      <c r="D71" s="49">
        <f>AVERAGE('9.08 KABONG-KOTIDO-24h'!D71,'10.08 KABONG-KOTIDO-24h'!D71)</f>
        <v>0</v>
      </c>
      <c r="E71" s="49">
        <f>AVERAGE('9.08 KABONG-KOTIDO-24h'!E71,'10.08 KABONG-KOTIDO-24h'!E71)</f>
        <v>0</v>
      </c>
      <c r="F71" s="49">
        <f>AVERAGE('9.08 KABONG-KOTIDO-24h'!F71,'10.08 KABONG-KOTIDO-24h'!F71)</f>
        <v>0</v>
      </c>
      <c r="G71" s="49">
        <f>AVERAGE('9.08 KABONG-KOTIDO-24h'!G71,'10.08 KABONG-KOTIDO-24h'!G71)</f>
        <v>0</v>
      </c>
      <c r="H71" s="49">
        <f>AVERAGE('9.08 KABONG-KOTIDO-24h'!H71,'10.08 KABONG-KOTIDO-24h'!H71)</f>
        <v>0</v>
      </c>
      <c r="I71" s="49">
        <f>AVERAGE('9.08 KABONG-KOTIDO-24h'!I71,'10.08 KABONG-KOTIDO-24h'!I71)</f>
        <v>0.5</v>
      </c>
      <c r="J71" s="49">
        <f>AVERAGE('9.08 KABONG-KOTIDO-24h'!J71,'10.08 KABONG-KOTIDO-24h'!J71)</f>
        <v>0</v>
      </c>
      <c r="K71" s="49">
        <f>AVERAGE('9.08 KABONG-KOTIDO-24h'!K71,'10.08 KABONG-KOTIDO-24h'!K71)</f>
        <v>0</v>
      </c>
      <c r="L71" s="49">
        <f>AVERAGE('9.08 KABONG-KOTIDO-24h'!L71,'10.08 KABONG-KOTIDO-24h'!L71)</f>
        <v>0</v>
      </c>
      <c r="M71" s="49">
        <f>AVERAGE('9.08 KABONG-KOTIDO-24h'!M71,'10.08 KABONG-KOTIDO-24h'!M71)</f>
        <v>0.5</v>
      </c>
      <c r="N71" s="49">
        <f>AVERAGE('9.08 KABONG-KOTIDO-24h'!N71,'10.08 KABONG-KOTIDO-24h'!N71)</f>
        <v>0</v>
      </c>
      <c r="O71" s="15">
        <f t="shared" si="0"/>
        <v>0.5</v>
      </c>
      <c r="P71" s="15">
        <f t="shared" si="1"/>
        <v>1</v>
      </c>
      <c r="R71" s="8"/>
      <c r="T71"/>
    </row>
    <row r="72" spans="2:20" ht="23.1" customHeight="1" x14ac:dyDescent="0.25">
      <c r="B72" s="23" t="s">
        <v>112</v>
      </c>
      <c r="C72" s="49">
        <f>AVERAGE('9.08 KABONG-KOTIDO-24h'!C72,'10.08 KABONG-KOTIDO-24h'!C72)</f>
        <v>0</v>
      </c>
      <c r="D72" s="49">
        <f>AVERAGE('9.08 KABONG-KOTIDO-24h'!D72,'10.08 KABONG-KOTIDO-24h'!D72)</f>
        <v>0</v>
      </c>
      <c r="E72" s="49">
        <f>AVERAGE('9.08 KABONG-KOTIDO-24h'!E72,'10.08 KABONG-KOTIDO-24h'!E72)</f>
        <v>0.5</v>
      </c>
      <c r="F72" s="49">
        <f>AVERAGE('9.08 KABONG-KOTIDO-24h'!F72,'10.08 KABONG-KOTIDO-24h'!F72)</f>
        <v>0</v>
      </c>
      <c r="G72" s="49">
        <f>AVERAGE('9.08 KABONG-KOTIDO-24h'!G72,'10.08 KABONG-KOTIDO-24h'!G72)</f>
        <v>0</v>
      </c>
      <c r="H72" s="49">
        <f>AVERAGE('9.08 KABONG-KOTIDO-24h'!H72,'10.08 KABONG-KOTIDO-24h'!H72)</f>
        <v>0</v>
      </c>
      <c r="I72" s="49">
        <f>AVERAGE('9.08 KABONG-KOTIDO-24h'!I72,'10.08 KABONG-KOTIDO-24h'!I72)</f>
        <v>0</v>
      </c>
      <c r="J72" s="49">
        <f>AVERAGE('9.08 KABONG-KOTIDO-24h'!J72,'10.08 KABONG-KOTIDO-24h'!J72)</f>
        <v>0</v>
      </c>
      <c r="K72" s="49">
        <f>AVERAGE('9.08 KABONG-KOTIDO-24h'!K72,'10.08 KABONG-KOTIDO-24h'!K72)</f>
        <v>0</v>
      </c>
      <c r="L72" s="49">
        <f>AVERAGE('9.08 KABONG-KOTIDO-24h'!L72,'10.08 KABONG-KOTIDO-24h'!L72)</f>
        <v>0</v>
      </c>
      <c r="M72" s="49">
        <f>AVERAGE('9.08 KABONG-KOTIDO-24h'!M72,'10.08 KABONG-KOTIDO-24h'!M72)</f>
        <v>0.5</v>
      </c>
      <c r="N72" s="49">
        <f>AVERAGE('9.08 KABONG-KOTIDO-24h'!N72,'10.08 KABONG-KOTIDO-24h'!N72)</f>
        <v>0</v>
      </c>
      <c r="O72" s="15">
        <f t="shared" si="0"/>
        <v>0.5</v>
      </c>
      <c r="P72" s="15">
        <f t="shared" si="1"/>
        <v>1</v>
      </c>
      <c r="R72" s="8"/>
      <c r="T72"/>
    </row>
    <row r="73" spans="2:20" ht="23.1" customHeight="1" x14ac:dyDescent="0.25">
      <c r="B73" s="23" t="s">
        <v>113</v>
      </c>
      <c r="C73" s="49">
        <f>AVERAGE('9.08 KABONG-KOTIDO-24h'!C73,'10.08 KABONG-KOTIDO-24h'!C73)</f>
        <v>0.5</v>
      </c>
      <c r="D73" s="49">
        <f>AVERAGE('9.08 KABONG-KOTIDO-24h'!D73,'10.08 KABONG-KOTIDO-24h'!D73)</f>
        <v>0.5</v>
      </c>
      <c r="E73" s="49">
        <f>AVERAGE('9.08 KABONG-KOTIDO-24h'!E73,'10.08 KABONG-KOTIDO-24h'!E73)</f>
        <v>0</v>
      </c>
      <c r="F73" s="49">
        <f>AVERAGE('9.08 KABONG-KOTIDO-24h'!F73,'10.08 KABONG-KOTIDO-24h'!F73)</f>
        <v>0</v>
      </c>
      <c r="G73" s="49">
        <f>AVERAGE('9.08 KABONG-KOTIDO-24h'!G73,'10.08 KABONG-KOTIDO-24h'!G73)</f>
        <v>0</v>
      </c>
      <c r="H73" s="49">
        <f>AVERAGE('9.08 KABONG-KOTIDO-24h'!H73,'10.08 KABONG-KOTIDO-24h'!H73)</f>
        <v>0</v>
      </c>
      <c r="I73" s="49">
        <f>AVERAGE('9.08 KABONG-KOTIDO-24h'!I73,'10.08 KABONG-KOTIDO-24h'!I73)</f>
        <v>0</v>
      </c>
      <c r="J73" s="49">
        <f>AVERAGE('9.08 KABONG-KOTIDO-24h'!J73,'10.08 KABONG-KOTIDO-24h'!J73)</f>
        <v>0</v>
      </c>
      <c r="K73" s="49">
        <f>AVERAGE('9.08 KABONG-KOTIDO-24h'!K73,'10.08 KABONG-KOTIDO-24h'!K73)</f>
        <v>0</v>
      </c>
      <c r="L73" s="49">
        <f>AVERAGE('9.08 KABONG-KOTIDO-24h'!L73,'10.08 KABONG-KOTIDO-24h'!L73)</f>
        <v>0</v>
      </c>
      <c r="M73" s="49">
        <f>AVERAGE('9.08 KABONG-KOTIDO-24h'!M73,'10.08 KABONG-KOTIDO-24h'!M73)</f>
        <v>1</v>
      </c>
      <c r="N73" s="49">
        <f>AVERAGE('9.08 KABONG-KOTIDO-24h'!N73,'10.08 KABONG-KOTIDO-24h'!N73)</f>
        <v>0</v>
      </c>
      <c r="O73" s="15">
        <f t="shared" si="0"/>
        <v>1</v>
      </c>
      <c r="P73" s="15">
        <f t="shared" si="1"/>
        <v>2</v>
      </c>
      <c r="R73" s="8"/>
      <c r="T73"/>
    </row>
    <row r="74" spans="2:20" ht="23.1" customHeight="1" x14ac:dyDescent="0.25">
      <c r="B74" s="23" t="s">
        <v>114</v>
      </c>
      <c r="C74" s="49">
        <f>AVERAGE('9.08 KABONG-KOTIDO-24h'!C74,'10.08 KABONG-KOTIDO-24h'!C74)</f>
        <v>0</v>
      </c>
      <c r="D74" s="49">
        <f>AVERAGE('9.08 KABONG-KOTIDO-24h'!D74,'10.08 KABONG-KOTIDO-24h'!D74)</f>
        <v>0</v>
      </c>
      <c r="E74" s="49">
        <f>AVERAGE('9.08 KABONG-KOTIDO-24h'!E74,'10.08 KABONG-KOTIDO-24h'!E74)</f>
        <v>0</v>
      </c>
      <c r="F74" s="49">
        <f>AVERAGE('9.08 KABONG-KOTIDO-24h'!F74,'10.08 KABONG-KOTIDO-24h'!F74)</f>
        <v>0</v>
      </c>
      <c r="G74" s="49">
        <f>AVERAGE('9.08 KABONG-KOTIDO-24h'!G74,'10.08 KABONG-KOTIDO-24h'!G74)</f>
        <v>0</v>
      </c>
      <c r="H74" s="49">
        <f>AVERAGE('9.08 KABONG-KOTIDO-24h'!H74,'10.08 KABONG-KOTIDO-24h'!H74)</f>
        <v>0</v>
      </c>
      <c r="I74" s="49">
        <f>AVERAGE('9.08 KABONG-KOTIDO-24h'!I74,'10.08 KABONG-KOTIDO-24h'!I74)</f>
        <v>0</v>
      </c>
      <c r="J74" s="49">
        <f>AVERAGE('9.08 KABONG-KOTIDO-24h'!J74,'10.08 KABONG-KOTIDO-24h'!J74)</f>
        <v>0</v>
      </c>
      <c r="K74" s="49">
        <f>AVERAGE('9.08 KABONG-KOTIDO-24h'!K74,'10.08 KABONG-KOTIDO-24h'!K74)</f>
        <v>0</v>
      </c>
      <c r="L74" s="49">
        <f>AVERAGE('9.08 KABONG-KOTIDO-24h'!L74,'10.08 KABONG-KOTIDO-24h'!L74)</f>
        <v>0</v>
      </c>
      <c r="M74" s="49">
        <f>AVERAGE('9.08 KABONG-KOTIDO-24h'!M74,'10.08 KABONG-KOTIDO-24h'!M74)</f>
        <v>0</v>
      </c>
      <c r="N74" s="49">
        <f>AVERAGE('9.08 KABONG-KOTIDO-24h'!N74,'10.08 KABONG-KOTIDO-24h'!N74)</f>
        <v>0</v>
      </c>
      <c r="O74" s="15">
        <f t="shared" ref="O74:O105" si="35">SUM(C74:L74,N74)</f>
        <v>0</v>
      </c>
      <c r="P74" s="15">
        <f t="shared" ref="P74:P105" si="36">SUM(C74:N74)</f>
        <v>0</v>
      </c>
      <c r="R74" s="8"/>
      <c r="T74"/>
    </row>
    <row r="75" spans="2:20" ht="23.1" customHeight="1" x14ac:dyDescent="0.25">
      <c r="B75" s="23" t="s">
        <v>115</v>
      </c>
      <c r="C75" s="49">
        <f>AVERAGE('9.08 KABONG-KOTIDO-24h'!C75,'10.08 KABONG-KOTIDO-24h'!C75)</f>
        <v>0</v>
      </c>
      <c r="D75" s="49">
        <f>AVERAGE('9.08 KABONG-KOTIDO-24h'!D75,'10.08 KABONG-KOTIDO-24h'!D75)</f>
        <v>0</v>
      </c>
      <c r="E75" s="49">
        <f>AVERAGE('9.08 KABONG-KOTIDO-24h'!E75,'10.08 KABONG-KOTIDO-24h'!E75)</f>
        <v>0</v>
      </c>
      <c r="F75" s="49">
        <f>AVERAGE('9.08 KABONG-KOTIDO-24h'!F75,'10.08 KABONG-KOTIDO-24h'!F75)</f>
        <v>0</v>
      </c>
      <c r="G75" s="49">
        <f>AVERAGE('9.08 KABONG-KOTIDO-24h'!G75,'10.08 KABONG-KOTIDO-24h'!G75)</f>
        <v>0</v>
      </c>
      <c r="H75" s="49">
        <f>AVERAGE('9.08 KABONG-KOTIDO-24h'!H75,'10.08 KABONG-KOTIDO-24h'!H75)</f>
        <v>0</v>
      </c>
      <c r="I75" s="49">
        <f>AVERAGE('9.08 KABONG-KOTIDO-24h'!I75,'10.08 KABONG-KOTIDO-24h'!I75)</f>
        <v>0</v>
      </c>
      <c r="J75" s="49">
        <f>AVERAGE('9.08 KABONG-KOTIDO-24h'!J75,'10.08 KABONG-KOTIDO-24h'!J75)</f>
        <v>0</v>
      </c>
      <c r="K75" s="49">
        <f>AVERAGE('9.08 KABONG-KOTIDO-24h'!K75,'10.08 KABONG-KOTIDO-24h'!K75)</f>
        <v>0</v>
      </c>
      <c r="L75" s="49">
        <f>AVERAGE('9.08 KABONG-KOTIDO-24h'!L75,'10.08 KABONG-KOTIDO-24h'!L75)</f>
        <v>0</v>
      </c>
      <c r="M75" s="49">
        <f>AVERAGE('9.08 KABONG-KOTIDO-24h'!M75,'10.08 KABONG-KOTIDO-24h'!M75)</f>
        <v>0.5</v>
      </c>
      <c r="N75" s="49">
        <f>AVERAGE('9.08 KABONG-KOTIDO-24h'!N75,'10.08 KABONG-KOTIDO-24h'!N75)</f>
        <v>0</v>
      </c>
      <c r="O75" s="15">
        <f t="shared" si="35"/>
        <v>0</v>
      </c>
      <c r="P75" s="15">
        <f t="shared" si="36"/>
        <v>0.5</v>
      </c>
      <c r="R75" s="8"/>
      <c r="T75"/>
    </row>
    <row r="76" spans="2:20" ht="23.1" customHeight="1" x14ac:dyDescent="0.25">
      <c r="B76" s="23" t="s">
        <v>116</v>
      </c>
      <c r="C76" s="49">
        <f>AVERAGE('9.08 KABONG-KOTIDO-24h'!C76,'10.08 KABONG-KOTIDO-24h'!C76)</f>
        <v>0</v>
      </c>
      <c r="D76" s="49">
        <f>AVERAGE('9.08 KABONG-KOTIDO-24h'!D76,'10.08 KABONG-KOTIDO-24h'!D76)</f>
        <v>0</v>
      </c>
      <c r="E76" s="49">
        <f>AVERAGE('9.08 KABONG-KOTIDO-24h'!E76,'10.08 KABONG-KOTIDO-24h'!E76)</f>
        <v>0</v>
      </c>
      <c r="F76" s="49">
        <f>AVERAGE('9.08 KABONG-KOTIDO-24h'!F76,'10.08 KABONG-KOTIDO-24h'!F76)</f>
        <v>0</v>
      </c>
      <c r="G76" s="49">
        <f>AVERAGE('9.08 KABONG-KOTIDO-24h'!G76,'10.08 KABONG-KOTIDO-24h'!G76)</f>
        <v>0</v>
      </c>
      <c r="H76" s="49">
        <f>AVERAGE('9.08 KABONG-KOTIDO-24h'!H76,'10.08 KABONG-KOTIDO-24h'!H76)</f>
        <v>0</v>
      </c>
      <c r="I76" s="49">
        <f>AVERAGE('9.08 KABONG-KOTIDO-24h'!I76,'10.08 KABONG-KOTIDO-24h'!I76)</f>
        <v>0</v>
      </c>
      <c r="J76" s="49">
        <f>AVERAGE('9.08 KABONG-KOTIDO-24h'!J76,'10.08 KABONG-KOTIDO-24h'!J76)</f>
        <v>0</v>
      </c>
      <c r="K76" s="49">
        <f>AVERAGE('9.08 KABONG-KOTIDO-24h'!K76,'10.08 KABONG-KOTIDO-24h'!K76)</f>
        <v>0</v>
      </c>
      <c r="L76" s="49">
        <f>AVERAGE('9.08 KABONG-KOTIDO-24h'!L76,'10.08 KABONG-KOTIDO-24h'!L76)</f>
        <v>0</v>
      </c>
      <c r="M76" s="49">
        <f>AVERAGE('9.08 KABONG-KOTIDO-24h'!M76,'10.08 KABONG-KOTIDO-24h'!M76)</f>
        <v>0.5</v>
      </c>
      <c r="N76" s="49">
        <f>AVERAGE('9.08 KABONG-KOTIDO-24h'!N76,'10.08 KABONG-KOTIDO-24h'!N76)</f>
        <v>0</v>
      </c>
      <c r="O76" s="15">
        <f t="shared" si="35"/>
        <v>0</v>
      </c>
      <c r="P76" s="15">
        <f t="shared" si="36"/>
        <v>0.5</v>
      </c>
      <c r="R76" s="8"/>
      <c r="T76"/>
    </row>
    <row r="77" spans="2:20" ht="23.1" customHeight="1" x14ac:dyDescent="0.25">
      <c r="B77" s="23" t="s">
        <v>117</v>
      </c>
      <c r="C77" s="49">
        <f>AVERAGE('9.08 KABONG-KOTIDO-24h'!C77,'10.08 KABONG-KOTIDO-24h'!C77)</f>
        <v>0</v>
      </c>
      <c r="D77" s="49">
        <f>AVERAGE('9.08 KABONG-KOTIDO-24h'!D77,'10.08 KABONG-KOTIDO-24h'!D77)</f>
        <v>1</v>
      </c>
      <c r="E77" s="49">
        <f>AVERAGE('9.08 KABONG-KOTIDO-24h'!E77,'10.08 KABONG-KOTIDO-24h'!E77)</f>
        <v>0</v>
      </c>
      <c r="F77" s="49">
        <f>AVERAGE('9.08 KABONG-KOTIDO-24h'!F77,'10.08 KABONG-KOTIDO-24h'!F77)</f>
        <v>0</v>
      </c>
      <c r="G77" s="49">
        <f>AVERAGE('9.08 KABONG-KOTIDO-24h'!G77,'10.08 KABONG-KOTIDO-24h'!G77)</f>
        <v>0</v>
      </c>
      <c r="H77" s="49">
        <f>AVERAGE('9.08 KABONG-KOTIDO-24h'!H77,'10.08 KABONG-KOTIDO-24h'!H77)</f>
        <v>0</v>
      </c>
      <c r="I77" s="49">
        <f>AVERAGE('9.08 KABONG-KOTIDO-24h'!I77,'10.08 KABONG-KOTIDO-24h'!I77)</f>
        <v>0</v>
      </c>
      <c r="J77" s="49">
        <f>AVERAGE('9.08 KABONG-KOTIDO-24h'!J77,'10.08 KABONG-KOTIDO-24h'!J77)</f>
        <v>0</v>
      </c>
      <c r="K77" s="49">
        <f>AVERAGE('9.08 KABONG-KOTIDO-24h'!K77,'10.08 KABONG-KOTIDO-24h'!K77)</f>
        <v>0</v>
      </c>
      <c r="L77" s="49">
        <f>AVERAGE('9.08 KABONG-KOTIDO-24h'!L77,'10.08 KABONG-KOTIDO-24h'!L77)</f>
        <v>0</v>
      </c>
      <c r="M77" s="49">
        <f>AVERAGE('9.08 KABONG-KOTIDO-24h'!M77,'10.08 KABONG-KOTIDO-24h'!M77)</f>
        <v>1</v>
      </c>
      <c r="N77" s="49">
        <f>AVERAGE('9.08 KABONG-KOTIDO-24h'!N77,'10.08 KABONG-KOTIDO-24h'!N77)</f>
        <v>0</v>
      </c>
      <c r="O77" s="15">
        <f t="shared" si="35"/>
        <v>1</v>
      </c>
      <c r="P77" s="15">
        <f t="shared" si="36"/>
        <v>2</v>
      </c>
      <c r="R77" s="8"/>
      <c r="T77"/>
    </row>
    <row r="78" spans="2:20" ht="23.1" customHeight="1" x14ac:dyDescent="0.25">
      <c r="B78" s="24" t="s">
        <v>118</v>
      </c>
      <c r="C78" s="49">
        <f>AVERAGE('9.08 KABONG-KOTIDO-24h'!C78,'10.08 KABONG-KOTIDO-24h'!C78)</f>
        <v>0</v>
      </c>
      <c r="D78" s="49">
        <f>AVERAGE('9.08 KABONG-KOTIDO-24h'!D78,'10.08 KABONG-KOTIDO-24h'!D78)</f>
        <v>0</v>
      </c>
      <c r="E78" s="49">
        <f>AVERAGE('9.08 KABONG-KOTIDO-24h'!E78,'10.08 KABONG-KOTIDO-24h'!E78)</f>
        <v>0</v>
      </c>
      <c r="F78" s="49">
        <f>AVERAGE('9.08 KABONG-KOTIDO-24h'!F78,'10.08 KABONG-KOTIDO-24h'!F78)</f>
        <v>0</v>
      </c>
      <c r="G78" s="49">
        <f>AVERAGE('9.08 KABONG-KOTIDO-24h'!G78,'10.08 KABONG-KOTIDO-24h'!G78)</f>
        <v>0</v>
      </c>
      <c r="H78" s="49">
        <f>AVERAGE('9.08 KABONG-KOTIDO-24h'!H78,'10.08 KABONG-KOTIDO-24h'!H78)</f>
        <v>0</v>
      </c>
      <c r="I78" s="49">
        <f>AVERAGE('9.08 KABONG-KOTIDO-24h'!I78,'10.08 KABONG-KOTIDO-24h'!I78)</f>
        <v>0</v>
      </c>
      <c r="J78" s="49">
        <f>AVERAGE('9.08 KABONG-KOTIDO-24h'!J78,'10.08 KABONG-KOTIDO-24h'!J78)</f>
        <v>0</v>
      </c>
      <c r="K78" s="49">
        <f>AVERAGE('9.08 KABONG-KOTIDO-24h'!K78,'10.08 KABONG-KOTIDO-24h'!K78)</f>
        <v>0</v>
      </c>
      <c r="L78" s="49">
        <f>AVERAGE('9.08 KABONG-KOTIDO-24h'!L78,'10.08 KABONG-KOTIDO-24h'!L78)</f>
        <v>0</v>
      </c>
      <c r="M78" s="49">
        <f>AVERAGE('9.08 KABONG-KOTIDO-24h'!M78,'10.08 KABONG-KOTIDO-24h'!M78)</f>
        <v>0.5</v>
      </c>
      <c r="N78" s="49">
        <f>AVERAGE('9.08 KABONG-KOTIDO-24h'!N78,'10.08 KABONG-KOTIDO-24h'!N78)</f>
        <v>0</v>
      </c>
      <c r="O78" s="15">
        <f t="shared" si="35"/>
        <v>0</v>
      </c>
      <c r="P78" s="15">
        <f t="shared" si="36"/>
        <v>0.5</v>
      </c>
      <c r="R78" s="8"/>
      <c r="T78"/>
    </row>
    <row r="79" spans="2:20" ht="23.1" customHeight="1" x14ac:dyDescent="0.25">
      <c r="B79" s="23" t="s">
        <v>119</v>
      </c>
      <c r="C79" s="49">
        <f>AVERAGE('9.08 KABONG-KOTIDO-24h'!C79,'10.08 KABONG-KOTIDO-24h'!C79)</f>
        <v>0</v>
      </c>
      <c r="D79" s="49">
        <f>AVERAGE('9.08 KABONG-KOTIDO-24h'!D79,'10.08 KABONG-KOTIDO-24h'!D79)</f>
        <v>0</v>
      </c>
      <c r="E79" s="49">
        <f>AVERAGE('9.08 KABONG-KOTIDO-24h'!E79,'10.08 KABONG-KOTIDO-24h'!E79)</f>
        <v>0.5</v>
      </c>
      <c r="F79" s="49">
        <f>AVERAGE('9.08 KABONG-KOTIDO-24h'!F79,'10.08 KABONG-KOTIDO-24h'!F79)</f>
        <v>0</v>
      </c>
      <c r="G79" s="49">
        <f>AVERAGE('9.08 KABONG-KOTIDO-24h'!G79,'10.08 KABONG-KOTIDO-24h'!G79)</f>
        <v>0</v>
      </c>
      <c r="H79" s="49">
        <f>AVERAGE('9.08 KABONG-KOTIDO-24h'!H79,'10.08 KABONG-KOTIDO-24h'!H79)</f>
        <v>0</v>
      </c>
      <c r="I79" s="49">
        <f>AVERAGE('9.08 KABONG-KOTIDO-24h'!I79,'10.08 KABONG-KOTIDO-24h'!I79)</f>
        <v>0</v>
      </c>
      <c r="J79" s="49">
        <f>AVERAGE('9.08 KABONG-KOTIDO-24h'!J79,'10.08 KABONG-KOTIDO-24h'!J79)</f>
        <v>0</v>
      </c>
      <c r="K79" s="49">
        <f>AVERAGE('9.08 KABONG-KOTIDO-24h'!K79,'10.08 KABONG-KOTIDO-24h'!K79)</f>
        <v>0</v>
      </c>
      <c r="L79" s="49">
        <f>AVERAGE('9.08 KABONG-KOTIDO-24h'!L79,'10.08 KABONG-KOTIDO-24h'!L79)</f>
        <v>0</v>
      </c>
      <c r="M79" s="49">
        <f>AVERAGE('9.08 KABONG-KOTIDO-24h'!M79,'10.08 KABONG-KOTIDO-24h'!M79)</f>
        <v>1.5</v>
      </c>
      <c r="N79" s="49">
        <f>AVERAGE('9.08 KABONG-KOTIDO-24h'!N79,'10.08 KABONG-KOTIDO-24h'!N79)</f>
        <v>0</v>
      </c>
      <c r="O79" s="15">
        <f t="shared" si="35"/>
        <v>0.5</v>
      </c>
      <c r="P79" s="15">
        <f t="shared" si="36"/>
        <v>2</v>
      </c>
      <c r="R79" s="8"/>
      <c r="T79"/>
    </row>
    <row r="80" spans="2:20" ht="23.1" customHeight="1" x14ac:dyDescent="0.25">
      <c r="B80" s="25" t="s">
        <v>120</v>
      </c>
      <c r="C80" s="49">
        <f>AVERAGE('9.08 KABONG-KOTIDO-24h'!C80,'10.08 KABONG-KOTIDO-24h'!C80)</f>
        <v>0</v>
      </c>
      <c r="D80" s="49">
        <f>AVERAGE('9.08 KABONG-KOTIDO-24h'!D80,'10.08 KABONG-KOTIDO-24h'!D80)</f>
        <v>0</v>
      </c>
      <c r="E80" s="49">
        <f>AVERAGE('9.08 KABONG-KOTIDO-24h'!E80,'10.08 KABONG-KOTIDO-24h'!E80)</f>
        <v>0</v>
      </c>
      <c r="F80" s="49">
        <f>AVERAGE('9.08 KABONG-KOTIDO-24h'!F80,'10.08 KABONG-KOTIDO-24h'!F80)</f>
        <v>0</v>
      </c>
      <c r="G80" s="49">
        <f>AVERAGE('9.08 KABONG-KOTIDO-24h'!G80,'10.08 KABONG-KOTIDO-24h'!G80)</f>
        <v>0</v>
      </c>
      <c r="H80" s="49">
        <f>AVERAGE('9.08 KABONG-KOTIDO-24h'!H80,'10.08 KABONG-KOTIDO-24h'!H80)</f>
        <v>0</v>
      </c>
      <c r="I80" s="49">
        <f>AVERAGE('9.08 KABONG-KOTIDO-24h'!I80,'10.08 KABONG-KOTIDO-24h'!I80)</f>
        <v>0</v>
      </c>
      <c r="J80" s="49">
        <f>AVERAGE('9.08 KABONG-KOTIDO-24h'!J80,'10.08 KABONG-KOTIDO-24h'!J80)</f>
        <v>0</v>
      </c>
      <c r="K80" s="49">
        <f>AVERAGE('9.08 KABONG-KOTIDO-24h'!K80,'10.08 KABONG-KOTIDO-24h'!K80)</f>
        <v>0</v>
      </c>
      <c r="L80" s="49">
        <f>AVERAGE('9.08 KABONG-KOTIDO-24h'!L80,'10.08 KABONG-KOTIDO-24h'!L80)</f>
        <v>0</v>
      </c>
      <c r="M80" s="49">
        <f>AVERAGE('9.08 KABONG-KOTIDO-24h'!M80,'10.08 KABONG-KOTIDO-24h'!M80)</f>
        <v>1</v>
      </c>
      <c r="N80" s="49">
        <f>AVERAGE('9.08 KABONG-KOTIDO-24h'!N80,'10.08 KABONG-KOTIDO-24h'!N80)</f>
        <v>0</v>
      </c>
      <c r="O80" s="15">
        <f t="shared" si="35"/>
        <v>0</v>
      </c>
      <c r="P80" s="15">
        <f t="shared" si="36"/>
        <v>1</v>
      </c>
      <c r="R80" s="8"/>
      <c r="T80"/>
    </row>
    <row r="81" spans="2:20" ht="23.1" customHeight="1" x14ac:dyDescent="0.25">
      <c r="B81" s="23" t="s">
        <v>121</v>
      </c>
      <c r="C81" s="49">
        <f>AVERAGE('9.08 KABONG-KOTIDO-24h'!C81,'10.08 KABONG-KOTIDO-24h'!C81)</f>
        <v>0</v>
      </c>
      <c r="D81" s="49">
        <f>AVERAGE('9.08 KABONG-KOTIDO-24h'!D81,'10.08 KABONG-KOTIDO-24h'!D81)</f>
        <v>0.5</v>
      </c>
      <c r="E81" s="49">
        <f>AVERAGE('9.08 KABONG-KOTIDO-24h'!E81,'10.08 KABONG-KOTIDO-24h'!E81)</f>
        <v>0</v>
      </c>
      <c r="F81" s="49">
        <f>AVERAGE('9.08 KABONG-KOTIDO-24h'!F81,'10.08 KABONG-KOTIDO-24h'!F81)</f>
        <v>0</v>
      </c>
      <c r="G81" s="49">
        <f>AVERAGE('9.08 KABONG-KOTIDO-24h'!G81,'10.08 KABONG-KOTIDO-24h'!G81)</f>
        <v>0</v>
      </c>
      <c r="H81" s="49">
        <f>AVERAGE('9.08 KABONG-KOTIDO-24h'!H81,'10.08 KABONG-KOTIDO-24h'!H81)</f>
        <v>0</v>
      </c>
      <c r="I81" s="49">
        <f>AVERAGE('9.08 KABONG-KOTIDO-24h'!I81,'10.08 KABONG-KOTIDO-24h'!I81)</f>
        <v>0</v>
      </c>
      <c r="J81" s="49">
        <f>AVERAGE('9.08 KABONG-KOTIDO-24h'!J81,'10.08 KABONG-KOTIDO-24h'!J81)</f>
        <v>0</v>
      </c>
      <c r="K81" s="49">
        <f>AVERAGE('9.08 KABONG-KOTIDO-24h'!K81,'10.08 KABONG-KOTIDO-24h'!K81)</f>
        <v>0</v>
      </c>
      <c r="L81" s="49">
        <f>AVERAGE('9.08 KABONG-KOTIDO-24h'!L81,'10.08 KABONG-KOTIDO-24h'!L81)</f>
        <v>0</v>
      </c>
      <c r="M81" s="49">
        <f>AVERAGE('9.08 KABONG-KOTIDO-24h'!M81,'10.08 KABONG-KOTIDO-24h'!M81)</f>
        <v>0</v>
      </c>
      <c r="N81" s="49">
        <f>AVERAGE('9.08 KABONG-KOTIDO-24h'!N81,'10.08 KABONG-KOTIDO-24h'!N81)</f>
        <v>0</v>
      </c>
      <c r="O81" s="15">
        <f t="shared" si="35"/>
        <v>0.5</v>
      </c>
      <c r="P81" s="15">
        <f t="shared" si="36"/>
        <v>0.5</v>
      </c>
      <c r="R81" s="8"/>
      <c r="T81"/>
    </row>
    <row r="82" spans="2:20" ht="23.1" customHeight="1" x14ac:dyDescent="0.25">
      <c r="B82" s="24" t="s">
        <v>122</v>
      </c>
      <c r="C82" s="49">
        <f>AVERAGE('9.08 KABONG-KOTIDO-24h'!C82,'10.08 KABONG-KOTIDO-24h'!C82)</f>
        <v>0</v>
      </c>
      <c r="D82" s="49">
        <f>AVERAGE('9.08 KABONG-KOTIDO-24h'!D82,'10.08 KABONG-KOTIDO-24h'!D82)</f>
        <v>0.5</v>
      </c>
      <c r="E82" s="49">
        <f>AVERAGE('9.08 KABONG-KOTIDO-24h'!E82,'10.08 KABONG-KOTIDO-24h'!E82)</f>
        <v>0</v>
      </c>
      <c r="F82" s="49">
        <f>AVERAGE('9.08 KABONG-KOTIDO-24h'!F82,'10.08 KABONG-KOTIDO-24h'!F82)</f>
        <v>0</v>
      </c>
      <c r="G82" s="49">
        <f>AVERAGE('9.08 KABONG-KOTIDO-24h'!G82,'10.08 KABONG-KOTIDO-24h'!G82)</f>
        <v>0</v>
      </c>
      <c r="H82" s="49">
        <f>AVERAGE('9.08 KABONG-KOTIDO-24h'!H82,'10.08 KABONG-KOTIDO-24h'!H82)</f>
        <v>0</v>
      </c>
      <c r="I82" s="49">
        <f>AVERAGE('9.08 KABONG-KOTIDO-24h'!I82,'10.08 KABONG-KOTIDO-24h'!I82)</f>
        <v>0.5</v>
      </c>
      <c r="J82" s="49">
        <f>AVERAGE('9.08 KABONG-KOTIDO-24h'!J82,'10.08 KABONG-KOTIDO-24h'!J82)</f>
        <v>0</v>
      </c>
      <c r="K82" s="49">
        <f>AVERAGE('9.08 KABONG-KOTIDO-24h'!K82,'10.08 KABONG-KOTIDO-24h'!K82)</f>
        <v>0</v>
      </c>
      <c r="L82" s="49">
        <f>AVERAGE('9.08 KABONG-KOTIDO-24h'!L82,'10.08 KABONG-KOTIDO-24h'!L82)</f>
        <v>0</v>
      </c>
      <c r="M82" s="49">
        <f>AVERAGE('9.08 KABONG-KOTIDO-24h'!M82,'10.08 KABONG-KOTIDO-24h'!M82)</f>
        <v>1</v>
      </c>
      <c r="N82" s="49">
        <f>AVERAGE('9.08 KABONG-KOTIDO-24h'!N82,'10.08 KABONG-KOTIDO-24h'!N82)</f>
        <v>0</v>
      </c>
      <c r="O82" s="15">
        <f t="shared" si="35"/>
        <v>1</v>
      </c>
      <c r="P82" s="15">
        <f t="shared" si="36"/>
        <v>2</v>
      </c>
      <c r="R82" s="8"/>
      <c r="T82"/>
    </row>
    <row r="83" spans="2:20" ht="23.1" customHeight="1" x14ac:dyDescent="0.25">
      <c r="B83" s="23" t="s">
        <v>123</v>
      </c>
      <c r="C83" s="49">
        <f>AVERAGE('9.08 KABONG-KOTIDO-24h'!C83,'10.08 KABONG-KOTIDO-24h'!C83)</f>
        <v>0</v>
      </c>
      <c r="D83" s="49">
        <f>AVERAGE('9.08 KABONG-KOTIDO-24h'!D83,'10.08 KABONG-KOTIDO-24h'!D83)</f>
        <v>0.5</v>
      </c>
      <c r="E83" s="49">
        <f>AVERAGE('9.08 KABONG-KOTIDO-24h'!E83,'10.08 KABONG-KOTIDO-24h'!E83)</f>
        <v>0</v>
      </c>
      <c r="F83" s="49">
        <f>AVERAGE('9.08 KABONG-KOTIDO-24h'!F83,'10.08 KABONG-KOTIDO-24h'!F83)</f>
        <v>0</v>
      </c>
      <c r="G83" s="49">
        <f>AVERAGE('9.08 KABONG-KOTIDO-24h'!G83,'10.08 KABONG-KOTIDO-24h'!G83)</f>
        <v>0</v>
      </c>
      <c r="H83" s="49">
        <f>AVERAGE('9.08 KABONG-KOTIDO-24h'!H83,'10.08 KABONG-KOTIDO-24h'!H83)</f>
        <v>0</v>
      </c>
      <c r="I83" s="49">
        <f>AVERAGE('9.08 KABONG-KOTIDO-24h'!I83,'10.08 KABONG-KOTIDO-24h'!I83)</f>
        <v>0</v>
      </c>
      <c r="J83" s="49">
        <f>AVERAGE('9.08 KABONG-KOTIDO-24h'!J83,'10.08 KABONG-KOTIDO-24h'!J83)</f>
        <v>0</v>
      </c>
      <c r="K83" s="49">
        <f>AVERAGE('9.08 KABONG-KOTIDO-24h'!K83,'10.08 KABONG-KOTIDO-24h'!K83)</f>
        <v>0</v>
      </c>
      <c r="L83" s="49">
        <f>AVERAGE('9.08 KABONG-KOTIDO-24h'!L83,'10.08 KABONG-KOTIDO-24h'!L83)</f>
        <v>0</v>
      </c>
      <c r="M83" s="49">
        <f>AVERAGE('9.08 KABONG-KOTIDO-24h'!M83,'10.08 KABONG-KOTIDO-24h'!M83)</f>
        <v>1</v>
      </c>
      <c r="N83" s="49">
        <f>AVERAGE('9.08 KABONG-KOTIDO-24h'!N83,'10.08 KABONG-KOTIDO-24h'!N83)</f>
        <v>0</v>
      </c>
      <c r="O83" s="15">
        <f t="shared" si="35"/>
        <v>0.5</v>
      </c>
      <c r="P83" s="15">
        <f t="shared" si="36"/>
        <v>1.5</v>
      </c>
      <c r="R83" s="8"/>
      <c r="T83"/>
    </row>
    <row r="84" spans="2:20" ht="23.1" customHeight="1" x14ac:dyDescent="0.25">
      <c r="B84" s="25" t="s">
        <v>124</v>
      </c>
      <c r="C84" s="49">
        <f>AVERAGE('9.08 KABONG-KOTIDO-24h'!C84,'10.08 KABONG-KOTIDO-24h'!C84)</f>
        <v>0</v>
      </c>
      <c r="D84" s="49">
        <f>AVERAGE('9.08 KABONG-KOTIDO-24h'!D84,'10.08 KABONG-KOTIDO-24h'!D84)</f>
        <v>0.5</v>
      </c>
      <c r="E84" s="49">
        <f>AVERAGE('9.08 KABONG-KOTIDO-24h'!E84,'10.08 KABONG-KOTIDO-24h'!E84)</f>
        <v>0</v>
      </c>
      <c r="F84" s="49">
        <f>AVERAGE('9.08 KABONG-KOTIDO-24h'!F84,'10.08 KABONG-KOTIDO-24h'!F84)</f>
        <v>0</v>
      </c>
      <c r="G84" s="49">
        <f>AVERAGE('9.08 KABONG-KOTIDO-24h'!G84,'10.08 KABONG-KOTIDO-24h'!G84)</f>
        <v>0</v>
      </c>
      <c r="H84" s="49">
        <f>AVERAGE('9.08 KABONG-KOTIDO-24h'!H84,'10.08 KABONG-KOTIDO-24h'!H84)</f>
        <v>0</v>
      </c>
      <c r="I84" s="49">
        <f>AVERAGE('9.08 KABONG-KOTIDO-24h'!I84,'10.08 KABONG-KOTIDO-24h'!I84)</f>
        <v>0</v>
      </c>
      <c r="J84" s="49">
        <f>AVERAGE('9.08 KABONG-KOTIDO-24h'!J84,'10.08 KABONG-KOTIDO-24h'!J84)</f>
        <v>0.5</v>
      </c>
      <c r="K84" s="49">
        <f>AVERAGE('9.08 KABONG-KOTIDO-24h'!K84,'10.08 KABONG-KOTIDO-24h'!K84)</f>
        <v>0</v>
      </c>
      <c r="L84" s="49">
        <f>AVERAGE('9.08 KABONG-KOTIDO-24h'!L84,'10.08 KABONG-KOTIDO-24h'!L84)</f>
        <v>0</v>
      </c>
      <c r="M84" s="49">
        <f>AVERAGE('9.08 KABONG-KOTIDO-24h'!M84,'10.08 KABONG-KOTIDO-24h'!M84)</f>
        <v>0.5</v>
      </c>
      <c r="N84" s="49">
        <f>AVERAGE('9.08 KABONG-KOTIDO-24h'!N84,'10.08 KABONG-KOTIDO-24h'!N84)</f>
        <v>0</v>
      </c>
      <c r="O84" s="15">
        <f t="shared" si="35"/>
        <v>1</v>
      </c>
      <c r="P84" s="15">
        <f t="shared" si="36"/>
        <v>1.5</v>
      </c>
      <c r="R84" s="8"/>
      <c r="T84"/>
    </row>
    <row r="85" spans="2:20" ht="23.1" customHeight="1" x14ac:dyDescent="0.25">
      <c r="B85" s="23" t="s">
        <v>125</v>
      </c>
      <c r="C85" s="49">
        <f>AVERAGE('9.08 KABONG-KOTIDO-24h'!C85,'10.08 KABONG-KOTIDO-24h'!C85)</f>
        <v>0</v>
      </c>
      <c r="D85" s="49">
        <f>AVERAGE('9.08 KABONG-KOTIDO-24h'!D85,'10.08 KABONG-KOTIDO-24h'!D85)</f>
        <v>0</v>
      </c>
      <c r="E85" s="49">
        <f>AVERAGE('9.08 KABONG-KOTIDO-24h'!E85,'10.08 KABONG-KOTIDO-24h'!E85)</f>
        <v>0</v>
      </c>
      <c r="F85" s="49">
        <f>AVERAGE('9.08 KABONG-KOTIDO-24h'!F85,'10.08 KABONG-KOTIDO-24h'!F85)</f>
        <v>0</v>
      </c>
      <c r="G85" s="49">
        <f>AVERAGE('9.08 KABONG-KOTIDO-24h'!G85,'10.08 KABONG-KOTIDO-24h'!G85)</f>
        <v>0</v>
      </c>
      <c r="H85" s="49">
        <f>AVERAGE('9.08 KABONG-KOTIDO-24h'!H85,'10.08 KABONG-KOTIDO-24h'!H85)</f>
        <v>0</v>
      </c>
      <c r="I85" s="49">
        <f>AVERAGE('9.08 KABONG-KOTIDO-24h'!I85,'10.08 KABONG-KOTIDO-24h'!I85)</f>
        <v>0</v>
      </c>
      <c r="J85" s="49">
        <f>AVERAGE('9.08 KABONG-KOTIDO-24h'!J85,'10.08 KABONG-KOTIDO-24h'!J85)</f>
        <v>0</v>
      </c>
      <c r="K85" s="49">
        <f>AVERAGE('9.08 KABONG-KOTIDO-24h'!K85,'10.08 KABONG-KOTIDO-24h'!K85)</f>
        <v>0</v>
      </c>
      <c r="L85" s="49">
        <f>AVERAGE('9.08 KABONG-KOTIDO-24h'!L85,'10.08 KABONG-KOTIDO-24h'!L85)</f>
        <v>0</v>
      </c>
      <c r="M85" s="49">
        <f>AVERAGE('9.08 KABONG-KOTIDO-24h'!M85,'10.08 KABONG-KOTIDO-24h'!M85)</f>
        <v>0</v>
      </c>
      <c r="N85" s="49">
        <f>AVERAGE('9.08 KABONG-KOTIDO-24h'!N85,'10.08 KABONG-KOTIDO-24h'!N85)</f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24" t="s">
        <v>126</v>
      </c>
      <c r="C86" s="49">
        <f>AVERAGE('9.08 KABONG-KOTIDO-24h'!C86,'10.08 KABONG-KOTIDO-24h'!C86)</f>
        <v>0</v>
      </c>
      <c r="D86" s="49">
        <f>AVERAGE('9.08 KABONG-KOTIDO-24h'!D86,'10.08 KABONG-KOTIDO-24h'!D86)</f>
        <v>0.5</v>
      </c>
      <c r="E86" s="49">
        <f>AVERAGE('9.08 KABONG-KOTIDO-24h'!E86,'10.08 KABONG-KOTIDO-24h'!E86)</f>
        <v>0</v>
      </c>
      <c r="F86" s="49">
        <f>AVERAGE('9.08 KABONG-KOTIDO-24h'!F86,'10.08 KABONG-KOTIDO-24h'!F86)</f>
        <v>0</v>
      </c>
      <c r="G86" s="49">
        <f>AVERAGE('9.08 KABONG-KOTIDO-24h'!G86,'10.08 KABONG-KOTIDO-24h'!G86)</f>
        <v>0</v>
      </c>
      <c r="H86" s="49">
        <f>AVERAGE('9.08 KABONG-KOTIDO-24h'!H86,'10.08 KABONG-KOTIDO-24h'!H86)</f>
        <v>0</v>
      </c>
      <c r="I86" s="49">
        <f>AVERAGE('9.08 KABONG-KOTIDO-24h'!I86,'10.08 KABONG-KOTIDO-24h'!I86)</f>
        <v>0.5</v>
      </c>
      <c r="J86" s="49">
        <f>AVERAGE('9.08 KABONG-KOTIDO-24h'!J86,'10.08 KABONG-KOTIDO-24h'!J86)</f>
        <v>0</v>
      </c>
      <c r="K86" s="49">
        <f>AVERAGE('9.08 KABONG-KOTIDO-24h'!K86,'10.08 KABONG-KOTIDO-24h'!K86)</f>
        <v>0</v>
      </c>
      <c r="L86" s="49">
        <f>AVERAGE('9.08 KABONG-KOTIDO-24h'!L86,'10.08 KABONG-KOTIDO-24h'!L86)</f>
        <v>0</v>
      </c>
      <c r="M86" s="49">
        <f>AVERAGE('9.08 KABONG-KOTIDO-24h'!M86,'10.08 KABONG-KOTIDO-24h'!M86)</f>
        <v>0</v>
      </c>
      <c r="N86" s="49">
        <f>AVERAGE('9.08 KABONG-KOTIDO-24h'!N86,'10.08 KABONG-KOTIDO-24h'!N86)</f>
        <v>0</v>
      </c>
      <c r="O86" s="15">
        <f t="shared" si="35"/>
        <v>1</v>
      </c>
      <c r="P86" s="15">
        <f t="shared" si="36"/>
        <v>1</v>
      </c>
      <c r="R86" s="8"/>
      <c r="T86"/>
    </row>
    <row r="87" spans="2:20" ht="23.1" customHeight="1" x14ac:dyDescent="0.25">
      <c r="B87" s="23" t="s">
        <v>127</v>
      </c>
      <c r="C87" s="49">
        <f>AVERAGE('9.08 KABONG-KOTIDO-24h'!C87,'10.08 KABONG-KOTIDO-24h'!C87)</f>
        <v>0</v>
      </c>
      <c r="D87" s="49">
        <f>AVERAGE('9.08 KABONG-KOTIDO-24h'!D87,'10.08 KABONG-KOTIDO-24h'!D87)</f>
        <v>0</v>
      </c>
      <c r="E87" s="49">
        <f>AVERAGE('9.08 KABONG-KOTIDO-24h'!E87,'10.08 KABONG-KOTIDO-24h'!E87)</f>
        <v>0</v>
      </c>
      <c r="F87" s="49">
        <f>AVERAGE('9.08 KABONG-KOTIDO-24h'!F87,'10.08 KABONG-KOTIDO-24h'!F87)</f>
        <v>0</v>
      </c>
      <c r="G87" s="49">
        <f>AVERAGE('9.08 KABONG-KOTIDO-24h'!G87,'10.08 KABONG-KOTIDO-24h'!G87)</f>
        <v>0</v>
      </c>
      <c r="H87" s="49">
        <f>AVERAGE('9.08 KABONG-KOTIDO-24h'!H87,'10.08 KABONG-KOTIDO-24h'!H87)</f>
        <v>0</v>
      </c>
      <c r="I87" s="49">
        <f>AVERAGE('9.08 KABONG-KOTIDO-24h'!I87,'10.08 KABONG-KOTIDO-24h'!I87)</f>
        <v>0</v>
      </c>
      <c r="J87" s="49">
        <f>AVERAGE('9.08 KABONG-KOTIDO-24h'!J87,'10.08 KABONG-KOTIDO-24h'!J87)</f>
        <v>0</v>
      </c>
      <c r="K87" s="49">
        <f>AVERAGE('9.08 KABONG-KOTIDO-24h'!K87,'10.08 KABONG-KOTIDO-24h'!K87)</f>
        <v>0</v>
      </c>
      <c r="L87" s="49">
        <f>AVERAGE('9.08 KABONG-KOTIDO-24h'!L87,'10.08 KABONG-KOTIDO-24h'!L87)</f>
        <v>0</v>
      </c>
      <c r="M87" s="49">
        <f>AVERAGE('9.08 KABONG-KOTIDO-24h'!M87,'10.08 KABONG-KOTIDO-24h'!M87)</f>
        <v>0</v>
      </c>
      <c r="N87" s="49">
        <f>AVERAGE('9.08 KABONG-KOTIDO-24h'!N87,'10.08 KABONG-KOTIDO-24h'!N87)</f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25" t="s">
        <v>128</v>
      </c>
      <c r="C88" s="49">
        <f>AVERAGE('9.08 KABONG-KOTIDO-24h'!C88,'10.08 KABONG-KOTIDO-24h'!C88)</f>
        <v>0</v>
      </c>
      <c r="D88" s="49">
        <f>AVERAGE('9.08 KABONG-KOTIDO-24h'!D88,'10.08 KABONG-KOTIDO-24h'!D88)</f>
        <v>0</v>
      </c>
      <c r="E88" s="49">
        <f>AVERAGE('9.08 KABONG-KOTIDO-24h'!E88,'10.08 KABONG-KOTIDO-24h'!E88)</f>
        <v>0</v>
      </c>
      <c r="F88" s="49">
        <f>AVERAGE('9.08 KABONG-KOTIDO-24h'!F88,'10.08 KABONG-KOTIDO-24h'!F88)</f>
        <v>0</v>
      </c>
      <c r="G88" s="49">
        <f>AVERAGE('9.08 KABONG-KOTIDO-24h'!G88,'10.08 KABONG-KOTIDO-24h'!G88)</f>
        <v>0</v>
      </c>
      <c r="H88" s="49">
        <f>AVERAGE('9.08 KABONG-KOTIDO-24h'!H88,'10.08 KABONG-KOTIDO-24h'!H88)</f>
        <v>0</v>
      </c>
      <c r="I88" s="49">
        <f>AVERAGE('9.08 KABONG-KOTIDO-24h'!I88,'10.08 KABONG-KOTIDO-24h'!I88)</f>
        <v>0.5</v>
      </c>
      <c r="J88" s="49">
        <f>AVERAGE('9.08 KABONG-KOTIDO-24h'!J88,'10.08 KABONG-KOTIDO-24h'!J88)</f>
        <v>0</v>
      </c>
      <c r="K88" s="49">
        <f>AVERAGE('9.08 KABONG-KOTIDO-24h'!K88,'10.08 KABONG-KOTIDO-24h'!K88)</f>
        <v>0</v>
      </c>
      <c r="L88" s="49">
        <f>AVERAGE('9.08 KABONG-KOTIDO-24h'!L88,'10.08 KABONG-KOTIDO-24h'!L88)</f>
        <v>0</v>
      </c>
      <c r="M88" s="49">
        <f>AVERAGE('9.08 KABONG-KOTIDO-24h'!M88,'10.08 KABONG-KOTIDO-24h'!M88)</f>
        <v>0</v>
      </c>
      <c r="N88" s="49">
        <f>AVERAGE('9.08 KABONG-KOTIDO-24h'!N88,'10.08 KABONG-KOTIDO-24h'!N88)</f>
        <v>0</v>
      </c>
      <c r="O88" s="15">
        <f t="shared" si="35"/>
        <v>0.5</v>
      </c>
      <c r="P88" s="15">
        <f t="shared" si="36"/>
        <v>0.5</v>
      </c>
      <c r="R88" s="8"/>
      <c r="T88"/>
    </row>
    <row r="89" spans="2:20" ht="23.1" customHeight="1" x14ac:dyDescent="0.25">
      <c r="B89" s="23" t="s">
        <v>129</v>
      </c>
      <c r="C89" s="49">
        <f>AVERAGE('9.08 KABONG-KOTIDO-24h'!C89,'10.08 KABONG-KOTIDO-24h'!C89)</f>
        <v>0</v>
      </c>
      <c r="D89" s="49">
        <f>AVERAGE('9.08 KABONG-KOTIDO-24h'!D89,'10.08 KABONG-KOTIDO-24h'!D89)</f>
        <v>0.5</v>
      </c>
      <c r="E89" s="49">
        <f>AVERAGE('9.08 KABONG-KOTIDO-24h'!E89,'10.08 KABONG-KOTIDO-24h'!E89)</f>
        <v>0.5</v>
      </c>
      <c r="F89" s="49">
        <f>AVERAGE('9.08 KABONG-KOTIDO-24h'!F89,'10.08 KABONG-KOTIDO-24h'!F89)</f>
        <v>0</v>
      </c>
      <c r="G89" s="49">
        <f>AVERAGE('9.08 KABONG-KOTIDO-24h'!G89,'10.08 KABONG-KOTIDO-24h'!G89)</f>
        <v>0</v>
      </c>
      <c r="H89" s="49">
        <f>AVERAGE('9.08 KABONG-KOTIDO-24h'!H89,'10.08 KABONG-KOTIDO-24h'!H89)</f>
        <v>0</v>
      </c>
      <c r="I89" s="49">
        <f>AVERAGE('9.08 KABONG-KOTIDO-24h'!I89,'10.08 KABONG-KOTIDO-24h'!I89)</f>
        <v>0.5</v>
      </c>
      <c r="J89" s="49">
        <f>AVERAGE('9.08 KABONG-KOTIDO-24h'!J89,'10.08 KABONG-KOTIDO-24h'!J89)</f>
        <v>0</v>
      </c>
      <c r="K89" s="49">
        <f>AVERAGE('9.08 KABONG-KOTIDO-24h'!K89,'10.08 KABONG-KOTIDO-24h'!K89)</f>
        <v>0</v>
      </c>
      <c r="L89" s="49">
        <f>AVERAGE('9.08 KABONG-KOTIDO-24h'!L89,'10.08 KABONG-KOTIDO-24h'!L89)</f>
        <v>0</v>
      </c>
      <c r="M89" s="49">
        <f>AVERAGE('9.08 KABONG-KOTIDO-24h'!M89,'10.08 KABONG-KOTIDO-24h'!M89)</f>
        <v>0</v>
      </c>
      <c r="N89" s="49">
        <f>AVERAGE('9.08 KABONG-KOTIDO-24h'!N89,'10.08 KABONG-KOTIDO-24h'!N89)</f>
        <v>0</v>
      </c>
      <c r="O89" s="15">
        <f t="shared" si="35"/>
        <v>1.5</v>
      </c>
      <c r="P89" s="15">
        <f t="shared" si="36"/>
        <v>1.5</v>
      </c>
      <c r="R89" s="8"/>
      <c r="T89"/>
    </row>
    <row r="90" spans="2:20" ht="23.1" customHeight="1" x14ac:dyDescent="0.25">
      <c r="B90" s="24" t="s">
        <v>130</v>
      </c>
      <c r="C90" s="49">
        <f>AVERAGE('9.08 KABONG-KOTIDO-24h'!C90,'10.08 KABONG-KOTIDO-24h'!C90)</f>
        <v>0</v>
      </c>
      <c r="D90" s="49">
        <f>AVERAGE('9.08 KABONG-KOTIDO-24h'!D90,'10.08 KABONG-KOTIDO-24h'!D90)</f>
        <v>0</v>
      </c>
      <c r="E90" s="49">
        <f>AVERAGE('9.08 KABONG-KOTIDO-24h'!E90,'10.08 KABONG-KOTIDO-24h'!E90)</f>
        <v>0.5</v>
      </c>
      <c r="F90" s="49">
        <f>AVERAGE('9.08 KABONG-KOTIDO-24h'!F90,'10.08 KABONG-KOTIDO-24h'!F90)</f>
        <v>0</v>
      </c>
      <c r="G90" s="49">
        <f>AVERAGE('9.08 KABONG-KOTIDO-24h'!G90,'10.08 KABONG-KOTIDO-24h'!G90)</f>
        <v>0</v>
      </c>
      <c r="H90" s="49">
        <f>AVERAGE('9.08 KABONG-KOTIDO-24h'!H90,'10.08 KABONG-KOTIDO-24h'!H90)</f>
        <v>0</v>
      </c>
      <c r="I90" s="49">
        <f>AVERAGE('9.08 KABONG-KOTIDO-24h'!I90,'10.08 KABONG-KOTIDO-24h'!I90)</f>
        <v>0.5</v>
      </c>
      <c r="J90" s="49">
        <f>AVERAGE('9.08 KABONG-KOTIDO-24h'!J90,'10.08 KABONG-KOTIDO-24h'!J90)</f>
        <v>0</v>
      </c>
      <c r="K90" s="49">
        <f>AVERAGE('9.08 KABONG-KOTIDO-24h'!K90,'10.08 KABONG-KOTIDO-24h'!K90)</f>
        <v>0</v>
      </c>
      <c r="L90" s="49">
        <f>AVERAGE('9.08 KABONG-KOTIDO-24h'!L90,'10.08 KABONG-KOTIDO-24h'!L90)</f>
        <v>0</v>
      </c>
      <c r="M90" s="49">
        <f>AVERAGE('9.08 KABONG-KOTIDO-24h'!M90,'10.08 KABONG-KOTIDO-24h'!M90)</f>
        <v>1</v>
      </c>
      <c r="N90" s="49">
        <f>AVERAGE('9.08 KABONG-KOTIDO-24h'!N90,'10.08 KABONG-KOTIDO-24h'!N90)</f>
        <v>0</v>
      </c>
      <c r="O90" s="15">
        <f t="shared" si="35"/>
        <v>1</v>
      </c>
      <c r="P90" s="15">
        <f t="shared" si="36"/>
        <v>2</v>
      </c>
      <c r="R90" s="8"/>
      <c r="T90"/>
    </row>
    <row r="91" spans="2:20" ht="23.1" customHeight="1" x14ac:dyDescent="0.25">
      <c r="B91" s="23" t="s">
        <v>131</v>
      </c>
      <c r="C91" s="49">
        <f>AVERAGE('9.08 KABONG-KOTIDO-24h'!C91,'10.08 KABONG-KOTIDO-24h'!C91)</f>
        <v>0</v>
      </c>
      <c r="D91" s="49">
        <f>AVERAGE('9.08 KABONG-KOTIDO-24h'!D91,'10.08 KABONG-KOTIDO-24h'!D91)</f>
        <v>0</v>
      </c>
      <c r="E91" s="49">
        <f>AVERAGE('9.08 KABONG-KOTIDO-24h'!E91,'10.08 KABONG-KOTIDO-24h'!E91)</f>
        <v>0</v>
      </c>
      <c r="F91" s="49">
        <f>AVERAGE('9.08 KABONG-KOTIDO-24h'!F91,'10.08 KABONG-KOTIDO-24h'!F91)</f>
        <v>0</v>
      </c>
      <c r="G91" s="49">
        <f>AVERAGE('9.08 KABONG-KOTIDO-24h'!G91,'10.08 KABONG-KOTIDO-24h'!G91)</f>
        <v>0</v>
      </c>
      <c r="H91" s="49">
        <f>AVERAGE('9.08 KABONG-KOTIDO-24h'!H91,'10.08 KABONG-KOTIDO-24h'!H91)</f>
        <v>0</v>
      </c>
      <c r="I91" s="49">
        <f>AVERAGE('9.08 KABONG-KOTIDO-24h'!I91,'10.08 KABONG-KOTIDO-24h'!I91)</f>
        <v>0.5</v>
      </c>
      <c r="J91" s="49">
        <f>AVERAGE('9.08 KABONG-KOTIDO-24h'!J91,'10.08 KABONG-KOTIDO-24h'!J91)</f>
        <v>0</v>
      </c>
      <c r="K91" s="49">
        <f>AVERAGE('9.08 KABONG-KOTIDO-24h'!K91,'10.08 KABONG-KOTIDO-24h'!K91)</f>
        <v>0</v>
      </c>
      <c r="L91" s="49">
        <f>AVERAGE('9.08 KABONG-KOTIDO-24h'!L91,'10.08 KABONG-KOTIDO-24h'!L91)</f>
        <v>0</v>
      </c>
      <c r="M91" s="49">
        <f>AVERAGE('9.08 KABONG-KOTIDO-24h'!M91,'10.08 KABONG-KOTIDO-24h'!M91)</f>
        <v>0</v>
      </c>
      <c r="N91" s="49">
        <f>AVERAGE('9.08 KABONG-KOTIDO-24h'!N91,'10.08 KABONG-KOTIDO-24h'!N91)</f>
        <v>0</v>
      </c>
      <c r="O91" s="15">
        <f t="shared" si="35"/>
        <v>0.5</v>
      </c>
      <c r="P91" s="15">
        <f t="shared" si="36"/>
        <v>0.5</v>
      </c>
      <c r="R91" s="8"/>
      <c r="T91"/>
    </row>
    <row r="92" spans="2:20" ht="23.1" customHeight="1" x14ac:dyDescent="0.25">
      <c r="B92" s="25" t="s">
        <v>132</v>
      </c>
      <c r="C92" s="49">
        <f>AVERAGE('9.08 KABONG-KOTIDO-24h'!C92,'10.08 KABONG-KOTIDO-24h'!C92)</f>
        <v>0</v>
      </c>
      <c r="D92" s="49">
        <f>AVERAGE('9.08 KABONG-KOTIDO-24h'!D92,'10.08 KABONG-KOTIDO-24h'!D92)</f>
        <v>0</v>
      </c>
      <c r="E92" s="49">
        <f>AVERAGE('9.08 KABONG-KOTIDO-24h'!E92,'10.08 KABONG-KOTIDO-24h'!E92)</f>
        <v>0</v>
      </c>
      <c r="F92" s="49">
        <f>AVERAGE('9.08 KABONG-KOTIDO-24h'!F92,'10.08 KABONG-KOTIDO-24h'!F92)</f>
        <v>0</v>
      </c>
      <c r="G92" s="49">
        <f>AVERAGE('9.08 KABONG-KOTIDO-24h'!G92,'10.08 KABONG-KOTIDO-24h'!G92)</f>
        <v>0</v>
      </c>
      <c r="H92" s="49">
        <f>AVERAGE('9.08 KABONG-KOTIDO-24h'!H92,'10.08 KABONG-KOTIDO-24h'!H92)</f>
        <v>0</v>
      </c>
      <c r="I92" s="49">
        <f>AVERAGE('9.08 KABONG-KOTIDO-24h'!I92,'10.08 KABONG-KOTIDO-24h'!I92)</f>
        <v>0</v>
      </c>
      <c r="J92" s="49">
        <f>AVERAGE('9.08 KABONG-KOTIDO-24h'!J92,'10.08 KABONG-KOTIDO-24h'!J92)</f>
        <v>0.5</v>
      </c>
      <c r="K92" s="49">
        <f>AVERAGE('9.08 KABONG-KOTIDO-24h'!K92,'10.08 KABONG-KOTIDO-24h'!K92)</f>
        <v>0</v>
      </c>
      <c r="L92" s="49">
        <f>AVERAGE('9.08 KABONG-KOTIDO-24h'!L92,'10.08 KABONG-KOTIDO-24h'!L92)</f>
        <v>0</v>
      </c>
      <c r="M92" s="49">
        <f>AVERAGE('9.08 KABONG-KOTIDO-24h'!M92,'10.08 KABONG-KOTIDO-24h'!M92)</f>
        <v>0</v>
      </c>
      <c r="N92" s="49">
        <f>AVERAGE('9.08 KABONG-KOTIDO-24h'!N92,'10.08 KABONG-KOTIDO-24h'!N92)</f>
        <v>0</v>
      </c>
      <c r="O92" s="15">
        <f t="shared" si="35"/>
        <v>0.5</v>
      </c>
      <c r="P92" s="15">
        <f t="shared" si="36"/>
        <v>0.5</v>
      </c>
      <c r="R92" s="8"/>
      <c r="T92"/>
    </row>
    <row r="93" spans="2:20" ht="23.1" customHeight="1" x14ac:dyDescent="0.25">
      <c r="B93" s="23" t="s">
        <v>133</v>
      </c>
      <c r="C93" s="49">
        <f>AVERAGE('9.08 KABONG-KOTIDO-24h'!C93,'10.08 KABONG-KOTIDO-24h'!C93)</f>
        <v>0</v>
      </c>
      <c r="D93" s="49">
        <f>AVERAGE('9.08 KABONG-KOTIDO-24h'!D93,'10.08 KABONG-KOTIDO-24h'!D93)</f>
        <v>0.5</v>
      </c>
      <c r="E93" s="49">
        <f>AVERAGE('9.08 KABONG-KOTIDO-24h'!E93,'10.08 KABONG-KOTIDO-24h'!E93)</f>
        <v>0</v>
      </c>
      <c r="F93" s="49">
        <f>AVERAGE('9.08 KABONG-KOTIDO-24h'!F93,'10.08 KABONG-KOTIDO-24h'!F93)</f>
        <v>0</v>
      </c>
      <c r="G93" s="49">
        <f>AVERAGE('9.08 KABONG-KOTIDO-24h'!G93,'10.08 KABONG-KOTIDO-24h'!G93)</f>
        <v>0</v>
      </c>
      <c r="H93" s="49">
        <f>AVERAGE('9.08 KABONG-KOTIDO-24h'!H93,'10.08 KABONG-KOTIDO-24h'!H93)</f>
        <v>0</v>
      </c>
      <c r="I93" s="49">
        <f>AVERAGE('9.08 KABONG-KOTIDO-24h'!I93,'10.08 KABONG-KOTIDO-24h'!I93)</f>
        <v>0.5</v>
      </c>
      <c r="J93" s="49">
        <f>AVERAGE('9.08 KABONG-KOTIDO-24h'!J93,'10.08 KABONG-KOTIDO-24h'!J93)</f>
        <v>0</v>
      </c>
      <c r="K93" s="49">
        <f>AVERAGE('9.08 KABONG-KOTIDO-24h'!K93,'10.08 KABONG-KOTIDO-24h'!K93)</f>
        <v>0</v>
      </c>
      <c r="L93" s="49">
        <f>AVERAGE('9.08 KABONG-KOTIDO-24h'!L93,'10.08 KABONG-KOTIDO-24h'!L93)</f>
        <v>0</v>
      </c>
      <c r="M93" s="49">
        <f>AVERAGE('9.08 KABONG-KOTIDO-24h'!M93,'10.08 KABONG-KOTIDO-24h'!M93)</f>
        <v>0</v>
      </c>
      <c r="N93" s="49">
        <f>AVERAGE('9.08 KABONG-KOTIDO-24h'!N93,'10.08 KABONG-KOTIDO-24h'!N93)</f>
        <v>0</v>
      </c>
      <c r="O93" s="15">
        <f t="shared" si="35"/>
        <v>1</v>
      </c>
      <c r="P93" s="15">
        <f t="shared" si="36"/>
        <v>1</v>
      </c>
      <c r="R93" s="8"/>
      <c r="T93"/>
    </row>
    <row r="94" spans="2:20" ht="23.1" customHeight="1" x14ac:dyDescent="0.25">
      <c r="B94" s="24" t="s">
        <v>134</v>
      </c>
      <c r="C94" s="49">
        <f>AVERAGE('9.08 KABONG-KOTIDO-24h'!C94,'10.08 KABONG-KOTIDO-24h'!C94)</f>
        <v>0</v>
      </c>
      <c r="D94" s="49">
        <f>AVERAGE('9.08 KABONG-KOTIDO-24h'!D94,'10.08 KABONG-KOTIDO-24h'!D94)</f>
        <v>1</v>
      </c>
      <c r="E94" s="49">
        <f>AVERAGE('9.08 KABONG-KOTIDO-24h'!E94,'10.08 KABONG-KOTIDO-24h'!E94)</f>
        <v>0</v>
      </c>
      <c r="F94" s="49">
        <f>AVERAGE('9.08 KABONG-KOTIDO-24h'!F94,'10.08 KABONG-KOTIDO-24h'!F94)</f>
        <v>0</v>
      </c>
      <c r="G94" s="49">
        <f>AVERAGE('9.08 KABONG-KOTIDO-24h'!G94,'10.08 KABONG-KOTIDO-24h'!G94)</f>
        <v>0</v>
      </c>
      <c r="H94" s="49">
        <f>AVERAGE('9.08 KABONG-KOTIDO-24h'!H94,'10.08 KABONG-KOTIDO-24h'!H94)</f>
        <v>0</v>
      </c>
      <c r="I94" s="49">
        <f>AVERAGE('9.08 KABONG-KOTIDO-24h'!I94,'10.08 KABONG-KOTIDO-24h'!I94)</f>
        <v>0.5</v>
      </c>
      <c r="J94" s="49">
        <f>AVERAGE('9.08 KABONG-KOTIDO-24h'!J94,'10.08 KABONG-KOTIDO-24h'!J94)</f>
        <v>0</v>
      </c>
      <c r="K94" s="49">
        <f>AVERAGE('9.08 KABONG-KOTIDO-24h'!K94,'10.08 KABONG-KOTIDO-24h'!K94)</f>
        <v>0</v>
      </c>
      <c r="L94" s="49">
        <f>AVERAGE('9.08 KABONG-KOTIDO-24h'!L94,'10.08 KABONG-KOTIDO-24h'!L94)</f>
        <v>0</v>
      </c>
      <c r="M94" s="49">
        <f>AVERAGE('9.08 KABONG-KOTIDO-24h'!M94,'10.08 KABONG-KOTIDO-24h'!M94)</f>
        <v>0</v>
      </c>
      <c r="N94" s="49">
        <f>AVERAGE('9.08 KABONG-KOTIDO-24h'!N94,'10.08 KABONG-KOTIDO-24h'!N94)</f>
        <v>0</v>
      </c>
      <c r="O94" s="15">
        <f t="shared" si="35"/>
        <v>1.5</v>
      </c>
      <c r="P94" s="15">
        <f t="shared" si="36"/>
        <v>1.5</v>
      </c>
      <c r="R94" s="8"/>
      <c r="T94"/>
    </row>
    <row r="95" spans="2:20" ht="23.1" customHeight="1" x14ac:dyDescent="0.25">
      <c r="B95" s="23" t="s">
        <v>135</v>
      </c>
      <c r="C95" s="49">
        <f>AVERAGE('9.08 KABONG-KOTIDO-24h'!C95,'10.08 KABONG-KOTIDO-24h'!C95)</f>
        <v>0</v>
      </c>
      <c r="D95" s="49">
        <f>AVERAGE('9.08 KABONG-KOTIDO-24h'!D95,'10.08 KABONG-KOTIDO-24h'!D95)</f>
        <v>0.5</v>
      </c>
      <c r="E95" s="49">
        <f>AVERAGE('9.08 KABONG-KOTIDO-24h'!E95,'10.08 KABONG-KOTIDO-24h'!E95)</f>
        <v>0</v>
      </c>
      <c r="F95" s="49">
        <f>AVERAGE('9.08 KABONG-KOTIDO-24h'!F95,'10.08 KABONG-KOTIDO-24h'!F95)</f>
        <v>0</v>
      </c>
      <c r="G95" s="49">
        <f>AVERAGE('9.08 KABONG-KOTIDO-24h'!G95,'10.08 KABONG-KOTIDO-24h'!G95)</f>
        <v>0</v>
      </c>
      <c r="H95" s="49">
        <f>AVERAGE('9.08 KABONG-KOTIDO-24h'!H95,'10.08 KABONG-KOTIDO-24h'!H95)</f>
        <v>0</v>
      </c>
      <c r="I95" s="49">
        <f>AVERAGE('9.08 KABONG-KOTIDO-24h'!I95,'10.08 KABONG-KOTIDO-24h'!I95)</f>
        <v>0</v>
      </c>
      <c r="J95" s="49">
        <f>AVERAGE('9.08 KABONG-KOTIDO-24h'!J95,'10.08 KABONG-KOTIDO-24h'!J95)</f>
        <v>0</v>
      </c>
      <c r="K95" s="49">
        <f>AVERAGE('9.08 KABONG-KOTIDO-24h'!K95,'10.08 KABONG-KOTIDO-24h'!K95)</f>
        <v>0</v>
      </c>
      <c r="L95" s="49">
        <f>AVERAGE('9.08 KABONG-KOTIDO-24h'!L95,'10.08 KABONG-KOTIDO-24h'!L95)</f>
        <v>0</v>
      </c>
      <c r="M95" s="49">
        <f>AVERAGE('9.08 KABONG-KOTIDO-24h'!M95,'10.08 KABONG-KOTIDO-24h'!M95)</f>
        <v>0</v>
      </c>
      <c r="N95" s="49">
        <f>AVERAGE('9.08 KABONG-KOTIDO-24h'!N95,'10.08 KABONG-KOTIDO-24h'!N95)</f>
        <v>0</v>
      </c>
      <c r="O95" s="15">
        <f t="shared" si="35"/>
        <v>0.5</v>
      </c>
      <c r="P95" s="15">
        <f t="shared" si="36"/>
        <v>0.5</v>
      </c>
      <c r="R95" s="8"/>
      <c r="T95"/>
    </row>
    <row r="96" spans="2:20" ht="23.1" customHeight="1" x14ac:dyDescent="0.25">
      <c r="B96" s="25" t="s">
        <v>136</v>
      </c>
      <c r="C96" s="49">
        <f>AVERAGE('9.08 KABONG-KOTIDO-24h'!C96,'10.08 KABONG-KOTIDO-24h'!C96)</f>
        <v>0</v>
      </c>
      <c r="D96" s="49">
        <f>AVERAGE('9.08 KABONG-KOTIDO-24h'!D96,'10.08 KABONG-KOTIDO-24h'!D96)</f>
        <v>0.5</v>
      </c>
      <c r="E96" s="49">
        <f>AVERAGE('9.08 KABONG-KOTIDO-24h'!E96,'10.08 KABONG-KOTIDO-24h'!E96)</f>
        <v>0.5</v>
      </c>
      <c r="F96" s="49">
        <f>AVERAGE('9.08 KABONG-KOTIDO-24h'!F96,'10.08 KABONG-KOTIDO-24h'!F96)</f>
        <v>0</v>
      </c>
      <c r="G96" s="49">
        <f>AVERAGE('9.08 KABONG-KOTIDO-24h'!G96,'10.08 KABONG-KOTIDO-24h'!G96)</f>
        <v>0</v>
      </c>
      <c r="H96" s="49">
        <f>AVERAGE('9.08 KABONG-KOTIDO-24h'!H96,'10.08 KABONG-KOTIDO-24h'!H96)</f>
        <v>0</v>
      </c>
      <c r="I96" s="49">
        <f>AVERAGE('9.08 KABONG-KOTIDO-24h'!I96,'10.08 KABONG-KOTIDO-24h'!I96)</f>
        <v>0</v>
      </c>
      <c r="J96" s="49">
        <f>AVERAGE('9.08 KABONG-KOTIDO-24h'!J96,'10.08 KABONG-KOTIDO-24h'!J96)</f>
        <v>0</v>
      </c>
      <c r="K96" s="49">
        <f>AVERAGE('9.08 KABONG-KOTIDO-24h'!K96,'10.08 KABONG-KOTIDO-24h'!K96)</f>
        <v>0</v>
      </c>
      <c r="L96" s="49">
        <f>AVERAGE('9.08 KABONG-KOTIDO-24h'!L96,'10.08 KABONG-KOTIDO-24h'!L96)</f>
        <v>0</v>
      </c>
      <c r="M96" s="49">
        <f>AVERAGE('9.08 KABONG-KOTIDO-24h'!M96,'10.08 KABONG-KOTIDO-24h'!M96)</f>
        <v>0.5</v>
      </c>
      <c r="N96" s="49">
        <f>AVERAGE('9.08 KABONG-KOTIDO-24h'!N96,'10.08 KABONG-KOTIDO-24h'!N96)</f>
        <v>0</v>
      </c>
      <c r="O96" s="15">
        <f t="shared" si="35"/>
        <v>1</v>
      </c>
      <c r="P96" s="15">
        <f t="shared" si="36"/>
        <v>1.5</v>
      </c>
      <c r="R96" s="8"/>
      <c r="T96"/>
    </row>
    <row r="97" spans="2:20" ht="23.1" customHeight="1" x14ac:dyDescent="0.25">
      <c r="B97" s="23" t="s">
        <v>137</v>
      </c>
      <c r="C97" s="49">
        <f>AVERAGE('9.08 KABONG-KOTIDO-24h'!C97,'10.08 KABONG-KOTIDO-24h'!C97)</f>
        <v>0</v>
      </c>
      <c r="D97" s="49">
        <f>AVERAGE('9.08 KABONG-KOTIDO-24h'!D97,'10.08 KABONG-KOTIDO-24h'!D97)</f>
        <v>0.5</v>
      </c>
      <c r="E97" s="49">
        <f>AVERAGE('9.08 KABONG-KOTIDO-24h'!E97,'10.08 KABONG-KOTIDO-24h'!E97)</f>
        <v>0.5</v>
      </c>
      <c r="F97" s="49">
        <f>AVERAGE('9.08 KABONG-KOTIDO-24h'!F97,'10.08 KABONG-KOTIDO-24h'!F97)</f>
        <v>0</v>
      </c>
      <c r="G97" s="49">
        <f>AVERAGE('9.08 KABONG-KOTIDO-24h'!G97,'10.08 KABONG-KOTIDO-24h'!G97)</f>
        <v>0</v>
      </c>
      <c r="H97" s="49">
        <f>AVERAGE('9.08 KABONG-KOTIDO-24h'!H97,'10.08 KABONG-KOTIDO-24h'!H97)</f>
        <v>0</v>
      </c>
      <c r="I97" s="49">
        <f>AVERAGE('9.08 KABONG-KOTIDO-24h'!I97,'10.08 KABONG-KOTIDO-24h'!I97)</f>
        <v>0</v>
      </c>
      <c r="J97" s="49">
        <f>AVERAGE('9.08 KABONG-KOTIDO-24h'!J97,'10.08 KABONG-KOTIDO-24h'!J97)</f>
        <v>0</v>
      </c>
      <c r="K97" s="49">
        <f>AVERAGE('9.08 KABONG-KOTIDO-24h'!K97,'10.08 KABONG-KOTIDO-24h'!K97)</f>
        <v>0</v>
      </c>
      <c r="L97" s="49">
        <f>AVERAGE('9.08 KABONG-KOTIDO-24h'!L97,'10.08 KABONG-KOTIDO-24h'!L97)</f>
        <v>0</v>
      </c>
      <c r="M97" s="49">
        <f>AVERAGE('9.08 KABONG-KOTIDO-24h'!M97,'10.08 KABONG-KOTIDO-24h'!M97)</f>
        <v>0</v>
      </c>
      <c r="N97" s="49">
        <f>AVERAGE('9.08 KABONG-KOTIDO-24h'!N97,'10.08 KABONG-KOTIDO-24h'!N97)</f>
        <v>0</v>
      </c>
      <c r="O97" s="15">
        <f t="shared" si="35"/>
        <v>1</v>
      </c>
      <c r="P97" s="15">
        <f t="shared" si="36"/>
        <v>1</v>
      </c>
      <c r="R97" s="8"/>
      <c r="T97"/>
    </row>
    <row r="98" spans="2:20" ht="23.1" customHeight="1" x14ac:dyDescent="0.25">
      <c r="B98" s="24" t="s">
        <v>138</v>
      </c>
      <c r="C98" s="49">
        <f>AVERAGE('9.08 KABONG-KOTIDO-24h'!C98,'10.08 KABONG-KOTIDO-24h'!C98)</f>
        <v>0</v>
      </c>
      <c r="D98" s="49">
        <f>AVERAGE('9.08 KABONG-KOTIDO-24h'!D98,'10.08 KABONG-KOTIDO-24h'!D98)</f>
        <v>0.5</v>
      </c>
      <c r="E98" s="49">
        <f>AVERAGE('9.08 KABONG-KOTIDO-24h'!E98,'10.08 KABONG-KOTIDO-24h'!E98)</f>
        <v>1</v>
      </c>
      <c r="F98" s="49">
        <f>AVERAGE('9.08 KABONG-KOTIDO-24h'!F98,'10.08 KABONG-KOTIDO-24h'!F98)</f>
        <v>0</v>
      </c>
      <c r="G98" s="49">
        <f>AVERAGE('9.08 KABONG-KOTIDO-24h'!G98,'10.08 KABONG-KOTIDO-24h'!G98)</f>
        <v>0</v>
      </c>
      <c r="H98" s="49">
        <f>AVERAGE('9.08 KABONG-KOTIDO-24h'!H98,'10.08 KABONG-KOTIDO-24h'!H98)</f>
        <v>0</v>
      </c>
      <c r="I98" s="49">
        <f>AVERAGE('9.08 KABONG-KOTIDO-24h'!I98,'10.08 KABONG-KOTIDO-24h'!I98)</f>
        <v>0</v>
      </c>
      <c r="J98" s="49">
        <f>AVERAGE('9.08 KABONG-KOTIDO-24h'!J98,'10.08 KABONG-KOTIDO-24h'!J98)</f>
        <v>0</v>
      </c>
      <c r="K98" s="49">
        <f>AVERAGE('9.08 KABONG-KOTIDO-24h'!K98,'10.08 KABONG-KOTIDO-24h'!K98)</f>
        <v>0</v>
      </c>
      <c r="L98" s="49">
        <f>AVERAGE('9.08 KABONG-KOTIDO-24h'!L98,'10.08 KABONG-KOTIDO-24h'!L98)</f>
        <v>0</v>
      </c>
      <c r="M98" s="49">
        <f>AVERAGE('9.08 KABONG-KOTIDO-24h'!M98,'10.08 KABONG-KOTIDO-24h'!M98)</f>
        <v>0.5</v>
      </c>
      <c r="N98" s="49">
        <f>AVERAGE('9.08 KABONG-KOTIDO-24h'!N98,'10.08 KABONG-KOTIDO-24h'!N98)</f>
        <v>0</v>
      </c>
      <c r="O98" s="15">
        <f t="shared" si="35"/>
        <v>1.5</v>
      </c>
      <c r="P98" s="15">
        <f t="shared" si="36"/>
        <v>2</v>
      </c>
      <c r="R98" s="8"/>
      <c r="T98"/>
    </row>
    <row r="99" spans="2:20" ht="23.1" customHeight="1" x14ac:dyDescent="0.25">
      <c r="B99" s="23" t="s">
        <v>139</v>
      </c>
      <c r="C99" s="49">
        <f>AVERAGE('9.08 KABONG-KOTIDO-24h'!C99,'10.08 KABONG-KOTIDO-24h'!C99)</f>
        <v>0</v>
      </c>
      <c r="D99" s="49">
        <f>AVERAGE('9.08 KABONG-KOTIDO-24h'!D99,'10.08 KABONG-KOTIDO-24h'!D99)</f>
        <v>0.5</v>
      </c>
      <c r="E99" s="49">
        <f>AVERAGE('9.08 KABONG-KOTIDO-24h'!E99,'10.08 KABONG-KOTIDO-24h'!E99)</f>
        <v>0.5</v>
      </c>
      <c r="F99" s="49">
        <f>AVERAGE('9.08 KABONG-KOTIDO-24h'!F99,'10.08 KABONG-KOTIDO-24h'!F99)</f>
        <v>0</v>
      </c>
      <c r="G99" s="49">
        <f>AVERAGE('9.08 KABONG-KOTIDO-24h'!G99,'10.08 KABONG-KOTIDO-24h'!G99)</f>
        <v>0</v>
      </c>
      <c r="H99" s="49">
        <f>AVERAGE('9.08 KABONG-KOTIDO-24h'!H99,'10.08 KABONG-KOTIDO-24h'!H99)</f>
        <v>0</v>
      </c>
      <c r="I99" s="49">
        <f>AVERAGE('9.08 KABONG-KOTIDO-24h'!I99,'10.08 KABONG-KOTIDO-24h'!I99)</f>
        <v>0</v>
      </c>
      <c r="J99" s="49">
        <f>AVERAGE('9.08 KABONG-KOTIDO-24h'!J99,'10.08 KABONG-KOTIDO-24h'!J99)</f>
        <v>0</v>
      </c>
      <c r="K99" s="49">
        <f>AVERAGE('9.08 KABONG-KOTIDO-24h'!K99,'10.08 KABONG-KOTIDO-24h'!K99)</f>
        <v>0</v>
      </c>
      <c r="L99" s="49">
        <f>AVERAGE('9.08 KABONG-KOTIDO-24h'!L99,'10.08 KABONG-KOTIDO-24h'!L99)</f>
        <v>0</v>
      </c>
      <c r="M99" s="49">
        <f>AVERAGE('9.08 KABONG-KOTIDO-24h'!M99,'10.08 KABONG-KOTIDO-24h'!M99)</f>
        <v>1</v>
      </c>
      <c r="N99" s="49">
        <f>AVERAGE('9.08 KABONG-KOTIDO-24h'!N99,'10.08 KABONG-KOTIDO-24h'!N99)</f>
        <v>0</v>
      </c>
      <c r="O99" s="15">
        <f t="shared" si="35"/>
        <v>1</v>
      </c>
      <c r="P99" s="15">
        <f t="shared" si="36"/>
        <v>2</v>
      </c>
      <c r="R99" s="8"/>
      <c r="T99"/>
    </row>
    <row r="100" spans="2:20" ht="23.1" customHeight="1" x14ac:dyDescent="0.25">
      <c r="B100" s="25" t="s">
        <v>140</v>
      </c>
      <c r="C100" s="49">
        <f>AVERAGE('9.08 KABONG-KOTIDO-24h'!C100,'10.08 KABONG-KOTIDO-24h'!C100)</f>
        <v>0</v>
      </c>
      <c r="D100" s="49">
        <f>AVERAGE('9.08 KABONG-KOTIDO-24h'!D100,'10.08 KABONG-KOTIDO-24h'!D100)</f>
        <v>0</v>
      </c>
      <c r="E100" s="49">
        <f>AVERAGE('9.08 KABONG-KOTIDO-24h'!E100,'10.08 KABONG-KOTIDO-24h'!E100)</f>
        <v>0.5</v>
      </c>
      <c r="F100" s="49">
        <f>AVERAGE('9.08 KABONG-KOTIDO-24h'!F100,'10.08 KABONG-KOTIDO-24h'!F100)</f>
        <v>0</v>
      </c>
      <c r="G100" s="49">
        <f>AVERAGE('9.08 KABONG-KOTIDO-24h'!G100,'10.08 KABONG-KOTIDO-24h'!G100)</f>
        <v>0</v>
      </c>
      <c r="H100" s="49">
        <f>AVERAGE('9.08 KABONG-KOTIDO-24h'!H100,'10.08 KABONG-KOTIDO-24h'!H100)</f>
        <v>0</v>
      </c>
      <c r="I100" s="49">
        <f>AVERAGE('9.08 KABONG-KOTIDO-24h'!I100,'10.08 KABONG-KOTIDO-24h'!I100)</f>
        <v>0</v>
      </c>
      <c r="J100" s="49">
        <f>AVERAGE('9.08 KABONG-KOTIDO-24h'!J100,'10.08 KABONG-KOTIDO-24h'!J100)</f>
        <v>0</v>
      </c>
      <c r="K100" s="49">
        <f>AVERAGE('9.08 KABONG-KOTIDO-24h'!K100,'10.08 KABONG-KOTIDO-24h'!K100)</f>
        <v>0</v>
      </c>
      <c r="L100" s="49">
        <f>AVERAGE('9.08 KABONG-KOTIDO-24h'!L100,'10.08 KABONG-KOTIDO-24h'!L100)</f>
        <v>0</v>
      </c>
      <c r="M100" s="49">
        <f>AVERAGE('9.08 KABONG-KOTIDO-24h'!M100,'10.08 KABONG-KOTIDO-24h'!M100)</f>
        <v>0</v>
      </c>
      <c r="N100" s="49">
        <f>AVERAGE('9.08 KABONG-KOTIDO-24h'!N100,'10.08 KABONG-KOTIDO-24h'!N100)</f>
        <v>0</v>
      </c>
      <c r="O100" s="15">
        <f t="shared" si="35"/>
        <v>0.5</v>
      </c>
      <c r="P100" s="15">
        <f t="shared" si="36"/>
        <v>0.5</v>
      </c>
      <c r="R100" s="8"/>
      <c r="T100"/>
    </row>
    <row r="101" spans="2:20" ht="23.1" customHeight="1" x14ac:dyDescent="0.25">
      <c r="B101" s="23" t="s">
        <v>141</v>
      </c>
      <c r="C101" s="49">
        <f>AVERAGE('9.08 KABONG-KOTIDO-24h'!C101,'10.08 KABONG-KOTIDO-24h'!C101)</f>
        <v>0</v>
      </c>
      <c r="D101" s="49">
        <f>AVERAGE('9.08 KABONG-KOTIDO-24h'!D101,'10.08 KABONG-KOTIDO-24h'!D101)</f>
        <v>0.5</v>
      </c>
      <c r="E101" s="49">
        <f>AVERAGE('9.08 KABONG-KOTIDO-24h'!E101,'10.08 KABONG-KOTIDO-24h'!E101)</f>
        <v>0.5</v>
      </c>
      <c r="F101" s="49">
        <f>AVERAGE('9.08 KABONG-KOTIDO-24h'!F101,'10.08 KABONG-KOTIDO-24h'!F101)</f>
        <v>0</v>
      </c>
      <c r="G101" s="49">
        <f>AVERAGE('9.08 KABONG-KOTIDO-24h'!G101,'10.08 KABONG-KOTIDO-24h'!G101)</f>
        <v>0</v>
      </c>
      <c r="H101" s="49">
        <f>AVERAGE('9.08 KABONG-KOTIDO-24h'!H101,'10.08 KABONG-KOTIDO-24h'!H101)</f>
        <v>0</v>
      </c>
      <c r="I101" s="49">
        <f>AVERAGE('9.08 KABONG-KOTIDO-24h'!I101,'10.08 KABONG-KOTIDO-24h'!I101)</f>
        <v>0</v>
      </c>
      <c r="J101" s="49">
        <f>AVERAGE('9.08 KABONG-KOTIDO-24h'!J101,'10.08 KABONG-KOTIDO-24h'!J101)</f>
        <v>0</v>
      </c>
      <c r="K101" s="49">
        <f>AVERAGE('9.08 KABONG-KOTIDO-24h'!K101,'10.08 KABONG-KOTIDO-24h'!K101)</f>
        <v>0</v>
      </c>
      <c r="L101" s="49">
        <f>AVERAGE('9.08 KABONG-KOTIDO-24h'!L101,'10.08 KABONG-KOTIDO-24h'!L101)</f>
        <v>0</v>
      </c>
      <c r="M101" s="49">
        <f>AVERAGE('9.08 KABONG-KOTIDO-24h'!M101,'10.08 KABONG-KOTIDO-24h'!M101)</f>
        <v>0.5</v>
      </c>
      <c r="N101" s="49">
        <f>AVERAGE('9.08 KABONG-KOTIDO-24h'!N101,'10.08 KABONG-KOTIDO-24h'!N101)</f>
        <v>0</v>
      </c>
      <c r="O101" s="15">
        <f t="shared" si="35"/>
        <v>1</v>
      </c>
      <c r="P101" s="15">
        <f t="shared" si="36"/>
        <v>1.5</v>
      </c>
      <c r="R101" s="8"/>
      <c r="T101"/>
    </row>
    <row r="102" spans="2:20" ht="23.1" customHeight="1" x14ac:dyDescent="0.25">
      <c r="B102" s="24" t="s">
        <v>142</v>
      </c>
      <c r="C102" s="49">
        <f>AVERAGE('9.08 KABONG-KOTIDO-24h'!C102,'10.08 KABONG-KOTIDO-24h'!C102)</f>
        <v>0</v>
      </c>
      <c r="D102" s="49">
        <f>AVERAGE('9.08 KABONG-KOTIDO-24h'!D102,'10.08 KABONG-KOTIDO-24h'!D102)</f>
        <v>0.5</v>
      </c>
      <c r="E102" s="49">
        <f>AVERAGE('9.08 KABONG-KOTIDO-24h'!E102,'10.08 KABONG-KOTIDO-24h'!E102)</f>
        <v>0.5</v>
      </c>
      <c r="F102" s="49">
        <f>AVERAGE('9.08 KABONG-KOTIDO-24h'!F102,'10.08 KABONG-KOTIDO-24h'!F102)</f>
        <v>0</v>
      </c>
      <c r="G102" s="49">
        <f>AVERAGE('9.08 KABONG-KOTIDO-24h'!G102,'10.08 KABONG-KOTIDO-24h'!G102)</f>
        <v>0</v>
      </c>
      <c r="H102" s="49">
        <f>AVERAGE('9.08 KABONG-KOTIDO-24h'!H102,'10.08 KABONG-KOTIDO-24h'!H102)</f>
        <v>0.5</v>
      </c>
      <c r="I102" s="49">
        <f>AVERAGE('9.08 KABONG-KOTIDO-24h'!I102,'10.08 KABONG-KOTIDO-24h'!I102)</f>
        <v>0</v>
      </c>
      <c r="J102" s="49">
        <f>AVERAGE('9.08 KABONG-KOTIDO-24h'!J102,'10.08 KABONG-KOTIDO-24h'!J102)</f>
        <v>0.5</v>
      </c>
      <c r="K102" s="49">
        <f>AVERAGE('9.08 KABONG-KOTIDO-24h'!K102,'10.08 KABONG-KOTIDO-24h'!K102)</f>
        <v>0</v>
      </c>
      <c r="L102" s="49">
        <f>AVERAGE('9.08 KABONG-KOTIDO-24h'!L102,'10.08 KABONG-KOTIDO-24h'!L102)</f>
        <v>0</v>
      </c>
      <c r="M102" s="49">
        <f>AVERAGE('9.08 KABONG-KOTIDO-24h'!M102,'10.08 KABONG-KOTIDO-24h'!M102)</f>
        <v>1</v>
      </c>
      <c r="N102" s="49">
        <f>AVERAGE('9.08 KABONG-KOTIDO-24h'!N102,'10.08 KABONG-KOTIDO-24h'!N102)</f>
        <v>0</v>
      </c>
      <c r="O102" s="15">
        <f t="shared" si="35"/>
        <v>2</v>
      </c>
      <c r="P102" s="15">
        <f t="shared" si="36"/>
        <v>3</v>
      </c>
      <c r="R102" s="8"/>
      <c r="T102"/>
    </row>
    <row r="103" spans="2:20" ht="23.1" customHeight="1" x14ac:dyDescent="0.25">
      <c r="B103" s="23" t="s">
        <v>143</v>
      </c>
      <c r="C103" s="49">
        <f>AVERAGE('9.08 KABONG-KOTIDO-24h'!C103,'10.08 KABONG-KOTIDO-24h'!C103)</f>
        <v>0</v>
      </c>
      <c r="D103" s="49">
        <f>AVERAGE('9.08 KABONG-KOTIDO-24h'!D103,'10.08 KABONG-KOTIDO-24h'!D103)</f>
        <v>0.5</v>
      </c>
      <c r="E103" s="49">
        <f>AVERAGE('9.08 KABONG-KOTIDO-24h'!E103,'10.08 KABONG-KOTIDO-24h'!E103)</f>
        <v>0.5</v>
      </c>
      <c r="F103" s="49">
        <f>AVERAGE('9.08 KABONG-KOTIDO-24h'!F103,'10.08 KABONG-KOTIDO-24h'!F103)</f>
        <v>0</v>
      </c>
      <c r="G103" s="49">
        <f>AVERAGE('9.08 KABONG-KOTIDO-24h'!G103,'10.08 KABONG-KOTIDO-24h'!G103)</f>
        <v>0</v>
      </c>
      <c r="H103" s="49">
        <f>AVERAGE('9.08 KABONG-KOTIDO-24h'!H103,'10.08 KABONG-KOTIDO-24h'!H103)</f>
        <v>0</v>
      </c>
      <c r="I103" s="49">
        <f>AVERAGE('9.08 KABONG-KOTIDO-24h'!I103,'10.08 KABONG-KOTIDO-24h'!I103)</f>
        <v>0</v>
      </c>
      <c r="J103" s="49">
        <f>AVERAGE('9.08 KABONG-KOTIDO-24h'!J103,'10.08 KABONG-KOTIDO-24h'!J103)</f>
        <v>0</v>
      </c>
      <c r="K103" s="49">
        <f>AVERAGE('9.08 KABONG-KOTIDO-24h'!K103,'10.08 KABONG-KOTIDO-24h'!K103)</f>
        <v>0</v>
      </c>
      <c r="L103" s="49">
        <f>AVERAGE('9.08 KABONG-KOTIDO-24h'!L103,'10.08 KABONG-KOTIDO-24h'!L103)</f>
        <v>0</v>
      </c>
      <c r="M103" s="49">
        <f>AVERAGE('9.08 KABONG-KOTIDO-24h'!M103,'10.08 KABONG-KOTIDO-24h'!M103)</f>
        <v>1</v>
      </c>
      <c r="N103" s="49">
        <f>AVERAGE('9.08 KABONG-KOTIDO-24h'!N103,'10.08 KABONG-KOTIDO-24h'!N103)</f>
        <v>0</v>
      </c>
      <c r="O103" s="15">
        <f t="shared" si="35"/>
        <v>1</v>
      </c>
      <c r="P103" s="15">
        <f t="shared" si="36"/>
        <v>2</v>
      </c>
      <c r="R103" s="8"/>
      <c r="T103"/>
    </row>
    <row r="104" spans="2:20" ht="23.1" customHeight="1" x14ac:dyDescent="0.25">
      <c r="B104" s="25" t="s">
        <v>144</v>
      </c>
      <c r="C104" s="49">
        <f>AVERAGE('9.08 KABONG-KOTIDO-24h'!C104,'10.08 KABONG-KOTIDO-24h'!C104)</f>
        <v>0</v>
      </c>
      <c r="D104" s="49">
        <f>AVERAGE('9.08 KABONG-KOTIDO-24h'!D104,'10.08 KABONG-KOTIDO-24h'!D104)</f>
        <v>0</v>
      </c>
      <c r="E104" s="49">
        <f>AVERAGE('9.08 KABONG-KOTIDO-24h'!E104,'10.08 KABONG-KOTIDO-24h'!E104)</f>
        <v>0.5</v>
      </c>
      <c r="F104" s="49">
        <f>AVERAGE('9.08 KABONG-KOTIDO-24h'!F104,'10.08 KABONG-KOTIDO-24h'!F104)</f>
        <v>0</v>
      </c>
      <c r="G104" s="49">
        <f>AVERAGE('9.08 KABONG-KOTIDO-24h'!G104,'10.08 KABONG-KOTIDO-24h'!G104)</f>
        <v>0</v>
      </c>
      <c r="H104" s="49">
        <f>AVERAGE('9.08 KABONG-KOTIDO-24h'!H104,'10.08 KABONG-KOTIDO-24h'!H104)</f>
        <v>0.5</v>
      </c>
      <c r="I104" s="49">
        <f>AVERAGE('9.08 KABONG-KOTIDO-24h'!I104,'10.08 KABONG-KOTIDO-24h'!I104)</f>
        <v>0</v>
      </c>
      <c r="J104" s="49">
        <f>AVERAGE('9.08 KABONG-KOTIDO-24h'!J104,'10.08 KABONG-KOTIDO-24h'!J104)</f>
        <v>0</v>
      </c>
      <c r="K104" s="49">
        <f>AVERAGE('9.08 KABONG-KOTIDO-24h'!K104,'10.08 KABONG-KOTIDO-24h'!K104)</f>
        <v>0</v>
      </c>
      <c r="L104" s="49">
        <f>AVERAGE('9.08 KABONG-KOTIDO-24h'!L104,'10.08 KABONG-KOTIDO-24h'!L104)</f>
        <v>0</v>
      </c>
      <c r="M104" s="49">
        <f>AVERAGE('9.08 KABONG-KOTIDO-24h'!M104,'10.08 KABONG-KOTIDO-24h'!M104)</f>
        <v>0.5</v>
      </c>
      <c r="N104" s="49">
        <f>AVERAGE('9.08 KABONG-KOTIDO-24h'!N104,'10.08 KABONG-KOTIDO-24h'!N104)</f>
        <v>0</v>
      </c>
      <c r="O104" s="15">
        <f t="shared" si="35"/>
        <v>1</v>
      </c>
      <c r="P104" s="15">
        <f t="shared" si="36"/>
        <v>1.5</v>
      </c>
      <c r="R104" s="8"/>
      <c r="T104"/>
    </row>
    <row r="105" spans="2:20" ht="23.1" customHeight="1" x14ac:dyDescent="0.25">
      <c r="B105" s="23" t="s">
        <v>145</v>
      </c>
      <c r="C105" s="49">
        <f>AVERAGE('9.08 KABONG-KOTIDO-24h'!C105,'10.08 KABONG-KOTIDO-24h'!C105)</f>
        <v>0</v>
      </c>
      <c r="D105" s="49">
        <f>AVERAGE('9.08 KABONG-KOTIDO-24h'!D105,'10.08 KABONG-KOTIDO-24h'!D105)</f>
        <v>0.5</v>
      </c>
      <c r="E105" s="49">
        <f>AVERAGE('9.08 KABONG-KOTIDO-24h'!E105,'10.08 KABONG-KOTIDO-24h'!E105)</f>
        <v>1</v>
      </c>
      <c r="F105" s="49">
        <f>AVERAGE('9.08 KABONG-KOTIDO-24h'!F105,'10.08 KABONG-KOTIDO-24h'!F105)</f>
        <v>0</v>
      </c>
      <c r="G105" s="49">
        <f>AVERAGE('9.08 KABONG-KOTIDO-24h'!G105,'10.08 KABONG-KOTIDO-24h'!G105)</f>
        <v>0</v>
      </c>
      <c r="H105" s="49">
        <f>AVERAGE('9.08 KABONG-KOTIDO-24h'!H105,'10.08 KABONG-KOTIDO-24h'!H105)</f>
        <v>0</v>
      </c>
      <c r="I105" s="49">
        <f>AVERAGE('9.08 KABONG-KOTIDO-24h'!I105,'10.08 KABONG-KOTIDO-24h'!I105)</f>
        <v>0.5</v>
      </c>
      <c r="J105" s="49">
        <f>AVERAGE('9.08 KABONG-KOTIDO-24h'!J105,'10.08 KABONG-KOTIDO-24h'!J105)</f>
        <v>0</v>
      </c>
      <c r="K105" s="49">
        <f>AVERAGE('9.08 KABONG-KOTIDO-24h'!K105,'10.08 KABONG-KOTIDO-24h'!K105)</f>
        <v>0</v>
      </c>
      <c r="L105" s="49">
        <f>AVERAGE('9.08 KABONG-KOTIDO-24h'!L105,'10.08 KABONG-KOTIDO-24h'!L105)</f>
        <v>0</v>
      </c>
      <c r="M105" s="49">
        <f>AVERAGE('9.08 KABONG-KOTIDO-24h'!M105,'10.08 KABONG-KOTIDO-24h'!M105)</f>
        <v>0.5</v>
      </c>
      <c r="N105" s="49">
        <f>AVERAGE('9.08 KABONG-KOTIDO-24h'!N105,'10.08 KABONG-KOTIDO-24h'!N105)</f>
        <v>0</v>
      </c>
      <c r="O105" s="15">
        <f t="shared" si="35"/>
        <v>2</v>
      </c>
      <c r="P105" s="15">
        <f t="shared" si="36"/>
        <v>2.5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3.9999999999999996</v>
      </c>
      <c r="D106" s="16">
        <f t="shared" ref="D106:P106" si="37">SUM(D10:D105)</f>
        <v>27.071428571428573</v>
      </c>
      <c r="E106" s="16">
        <f t="shared" si="37"/>
        <v>23.857142857142861</v>
      </c>
      <c r="F106" s="16">
        <f t="shared" si="37"/>
        <v>0.42857142857142855</v>
      </c>
      <c r="G106" s="16">
        <f t="shared" si="37"/>
        <v>0</v>
      </c>
      <c r="H106" s="16">
        <f t="shared" si="37"/>
        <v>1.8571428571428572</v>
      </c>
      <c r="I106" s="16">
        <f t="shared" si="37"/>
        <v>18.714285714285715</v>
      </c>
      <c r="J106" s="16">
        <f t="shared" si="37"/>
        <v>9.2857142857142847</v>
      </c>
      <c r="K106" s="16">
        <f t="shared" si="37"/>
        <v>0.9285714285714286</v>
      </c>
      <c r="L106" s="16">
        <f t="shared" si="37"/>
        <v>0</v>
      </c>
      <c r="M106" s="16">
        <f t="shared" si="37"/>
        <v>52.928571428571431</v>
      </c>
      <c r="N106" s="16">
        <f t="shared" si="37"/>
        <v>0.14285714285714285</v>
      </c>
      <c r="O106" s="16">
        <f t="shared" si="37"/>
        <v>86.285714285714278</v>
      </c>
      <c r="P106" s="16">
        <f t="shared" si="37"/>
        <v>139.21428571428572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2.873268342739866E-2</v>
      </c>
      <c r="D107" s="43">
        <f t="shared" si="38"/>
        <v>0.1944586967675731</v>
      </c>
      <c r="E107" s="43">
        <f t="shared" si="38"/>
        <v>0.17136993329912778</v>
      </c>
      <c r="F107" s="43">
        <f t="shared" si="38"/>
        <v>3.0785017957927138E-3</v>
      </c>
      <c r="G107" s="43">
        <f t="shared" si="38"/>
        <v>0</v>
      </c>
      <c r="H107" s="43">
        <f t="shared" si="38"/>
        <v>1.3340174448435094E-2</v>
      </c>
      <c r="I107" s="43">
        <f t="shared" si="38"/>
        <v>0.13442791174961519</v>
      </c>
      <c r="J107" s="43">
        <f t="shared" si="38"/>
        <v>6.6700872242175469E-2</v>
      </c>
      <c r="K107" s="43">
        <f t="shared" si="38"/>
        <v>6.6700872242175472E-3</v>
      </c>
      <c r="L107" s="43">
        <f t="shared" si="38"/>
        <v>0</v>
      </c>
      <c r="M107" s="43">
        <f t="shared" si="38"/>
        <v>0.38019497178040018</v>
      </c>
      <c r="N107" s="43">
        <f t="shared" si="38"/>
        <v>1.026167265264238E-3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4.6357615894039736E-2</v>
      </c>
      <c r="D108" s="44">
        <f t="shared" ref="D108:N108" si="39">D106/$O$106</f>
        <v>0.31374172185430466</v>
      </c>
      <c r="E108" s="44">
        <f t="shared" si="39"/>
        <v>0.27649006622516564</v>
      </c>
      <c r="F108" s="44">
        <f t="shared" si="39"/>
        <v>4.9668874172185433E-3</v>
      </c>
      <c r="G108" s="44">
        <f t="shared" si="39"/>
        <v>0</v>
      </c>
      <c r="H108" s="44">
        <f t="shared" si="39"/>
        <v>2.1523178807947022E-2</v>
      </c>
      <c r="I108" s="44">
        <f t="shared" si="39"/>
        <v>0.21688741721854307</v>
      </c>
      <c r="J108" s="44">
        <f t="shared" si="39"/>
        <v>0.10761589403973509</v>
      </c>
      <c r="K108" s="44">
        <f t="shared" si="39"/>
        <v>1.0761589403973511E-2</v>
      </c>
      <c r="L108" s="44">
        <f t="shared" si="39"/>
        <v>0</v>
      </c>
      <c r="M108" s="44"/>
      <c r="N108" s="44">
        <f t="shared" si="39"/>
        <v>1.6556291390728477E-3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-0.249977111117893"/>
  </sheetPr>
  <dimension ref="B1:AF174"/>
  <sheetViews>
    <sheetView view="pageBreakPreview" topLeftCell="A78" zoomScale="55" zoomScaleSheetLayoutView="55" workbookViewId="0">
      <selection activeCell="M96" sqref="M9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27" width="10.7109375" customWidth="1"/>
    <col min="28" max="28" width="11.85546875" customWidth="1"/>
    <col min="29" max="29" width="10.7109375" customWidth="1"/>
    <col min="30" max="30" width="11.85546875" bestFit="1" customWidth="1"/>
    <col min="3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e">
        <f>#REF!</f>
        <v>#REF!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8" t="s">
        <v>165</v>
      </c>
      <c r="E5" s="69"/>
      <c r="F5" s="41" t="s">
        <v>1</v>
      </c>
      <c r="G5" s="66" t="e">
        <f>#REF!</f>
        <v>#REF!</v>
      </c>
      <c r="H5" s="67"/>
      <c r="I5" s="14"/>
      <c r="J5" s="2" t="s">
        <v>5</v>
      </c>
      <c r="K5" s="66" t="e">
        <f>#REF!</f>
        <v>#REF!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e">
        <f>#REF!</f>
        <v>#REF!</v>
      </c>
      <c r="E6" s="67"/>
      <c r="F6" s="2" t="s">
        <v>2</v>
      </c>
      <c r="G6" s="66" t="e">
        <f>#REF!</f>
        <v>#REF!</v>
      </c>
      <c r="H6" s="67"/>
      <c r="J6" s="2" t="s">
        <v>21</v>
      </c>
      <c r="K6" s="66" t="e">
        <f>#REF!</f>
        <v>#REF!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AVERAGE('05.08 KOTIDO-KABONG'!C10,'06.08 KOTIDO-KABONG'!C10,'07.08 KOTIDO-KABONG'!C10,'08.08 KABONG-KOTIDO'!C10,'9.08 KOTIDO-KABONG-24h'!C10,'10.08 KOTIDO-KABONG-24h'!C10,'11.08 KITIDO-KABONG'!C10)</f>
        <v>0.14285714285714285</v>
      </c>
      <c r="D10" s="49">
        <f>AVERAGE('05.08 KOTIDO-KABONG'!D10,'06.08 KOTIDO-KABONG'!D10,'07.08 KOTIDO-KABONG'!D10,'08.08 KABONG-KOTIDO'!D10,'9.08 KOTIDO-KABONG-24h'!D10,'10.08 KOTIDO-KABONG-24h'!D10,'11.08 KITIDO-KABONG'!D10)</f>
        <v>0.42857142857142855</v>
      </c>
      <c r="E10" s="49">
        <f>AVERAGE('05.08 KOTIDO-KABONG'!E10,'06.08 KOTIDO-KABONG'!E10,'07.08 KOTIDO-KABONG'!E10,'08.08 KABONG-KOTIDO'!E10,'9.08 KOTIDO-KABONG-24h'!E10,'10.08 KOTIDO-KABONG-24h'!E10,'11.08 KITIDO-KABONG'!E10)</f>
        <v>0.8571428571428571</v>
      </c>
      <c r="F10" s="49">
        <f>AVERAGE('05.08 KOTIDO-KABONG'!F10,'06.08 KOTIDO-KABONG'!F10,'07.08 KOTIDO-KABONG'!F10,'08.08 KABONG-KOTIDO'!F10,'9.08 KOTIDO-KABONG-24h'!F10,'10.08 KOTIDO-KABONG-24h'!F10,'11.08 KITIDO-KABONG'!F10)</f>
        <v>0</v>
      </c>
      <c r="G10" s="49">
        <f>AVERAGE('05.08 KOTIDO-KABONG'!G10,'06.08 KOTIDO-KABONG'!G10,'07.08 KOTIDO-KABONG'!G10,'08.08 KABONG-KOTIDO'!G10,'9.08 KOTIDO-KABONG-24h'!G10,'10.08 KOTIDO-KABONG-24h'!G10,'11.08 KITIDO-KABONG'!G10)</f>
        <v>0</v>
      </c>
      <c r="H10" s="49">
        <f>AVERAGE('05.08 KOTIDO-KABONG'!H10,'06.08 KOTIDO-KABONG'!H10,'07.08 KOTIDO-KABONG'!H10,'08.08 KABONG-KOTIDO'!H10,'9.08 KOTIDO-KABONG-24h'!H10,'10.08 KOTIDO-KABONG-24h'!H10,'11.08 KITIDO-KABONG'!H10)</f>
        <v>0</v>
      </c>
      <c r="I10" s="49">
        <f>AVERAGE('05.08 KOTIDO-KABONG'!I10,'06.08 KOTIDO-KABONG'!I10,'07.08 KOTIDO-KABONG'!I10,'08.08 KABONG-KOTIDO'!I10,'9.08 KOTIDO-KABONG-24h'!I10,'10.08 KOTIDO-KABONG-24h'!I10,'11.08 KITIDO-KABONG'!I10)</f>
        <v>0</v>
      </c>
      <c r="J10" s="49">
        <f>AVERAGE('05.08 KOTIDO-KABONG'!J10,'06.08 KOTIDO-KABONG'!J10,'07.08 KOTIDO-KABONG'!J10,'08.08 KABONG-KOTIDO'!J10,'9.08 KOTIDO-KABONG-24h'!J10,'10.08 KOTIDO-KABONG-24h'!J10,'11.08 KITIDO-KABONG'!J10)</f>
        <v>0.7142857142857143</v>
      </c>
      <c r="K10" s="49">
        <f>AVERAGE('05.08 KOTIDO-KABONG'!K10,'06.08 KOTIDO-KABONG'!K10,'07.08 KOTIDO-KABONG'!K10,'08.08 KABONG-KOTIDO'!K10,'9.08 KOTIDO-KABONG-24h'!K10,'10.08 KOTIDO-KABONG-24h'!K10,'11.08 KITIDO-KABONG'!K10)</f>
        <v>0</v>
      </c>
      <c r="L10" s="49">
        <f>AVERAGE('05.08 KOTIDO-KABONG'!L10,'06.08 KOTIDO-KABONG'!L10,'07.08 KOTIDO-KABONG'!L10,'08.08 KABONG-KOTIDO'!L10,'9.08 KOTIDO-KABONG-24h'!L10,'10.08 KOTIDO-KABONG-24h'!L10,'11.08 KITIDO-KABONG'!L10)</f>
        <v>0</v>
      </c>
      <c r="M10" s="49">
        <f>AVERAGE('05.08 KOTIDO-KABONG'!M10,'06.08 KOTIDO-KABONG'!M10,'07.08 KOTIDO-KABONG'!M10,'08.08 KABONG-KOTIDO'!M10,'9.08 KOTIDO-KABONG-24h'!M10,'10.08 KOTIDO-KABONG-24h'!M10,'11.08 KITIDO-KABONG'!M10)</f>
        <v>1.7142857142857142</v>
      </c>
      <c r="N10" s="49">
        <f>AVERAGE('05.08 KOTIDO-KABONG'!N10,'06.08 KOTIDO-KABONG'!N10,'07.08 KOTIDO-KABONG'!N10,'08.08 KABONG-KOTIDO'!N10,'9.08 KOTIDO-KABONG-24h'!N10,'10.08 KOTIDO-KABONG-24h'!N10,'11.08 KITIDO-KABONG'!N10)</f>
        <v>0</v>
      </c>
      <c r="O10" s="15">
        <f t="shared" ref="O10:O73" si="0">SUM(C10:L10,N10)</f>
        <v>2.1428571428571428</v>
      </c>
      <c r="P10" s="15">
        <f t="shared" ref="P10:P73" si="1">SUM(C10:N10)</f>
        <v>3.8571428571428568</v>
      </c>
      <c r="R10" s="1" t="s">
        <v>6</v>
      </c>
      <c r="S10" s="17">
        <f t="shared" ref="S10:AF10" si="2">SUM(C10:C13)</f>
        <v>0.42857142857142855</v>
      </c>
      <c r="T10" s="17">
        <f t="shared" si="2"/>
        <v>1.1428571428571428</v>
      </c>
      <c r="U10" s="17">
        <f t="shared" si="2"/>
        <v>1.714285714285714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0.5714285714285714</v>
      </c>
      <c r="Z10" s="17">
        <f t="shared" si="2"/>
        <v>1.1428571428571428</v>
      </c>
      <c r="AA10" s="17">
        <f t="shared" si="2"/>
        <v>0</v>
      </c>
      <c r="AB10" s="17">
        <f t="shared" si="2"/>
        <v>0</v>
      </c>
      <c r="AC10" s="17">
        <f t="shared" si="2"/>
        <v>2.5714285714285712</v>
      </c>
      <c r="AD10" s="17">
        <f t="shared" si="2"/>
        <v>0</v>
      </c>
      <c r="AE10" s="31">
        <f t="shared" si="2"/>
        <v>5</v>
      </c>
      <c r="AF10" s="31">
        <f t="shared" si="2"/>
        <v>7.5714285714285703</v>
      </c>
    </row>
    <row r="11" spans="2:32" s="6" customFormat="1" ht="23.1" customHeight="1" x14ac:dyDescent="0.25">
      <c r="B11" s="23" t="s">
        <v>38</v>
      </c>
      <c r="C11" s="49">
        <f>AVERAGE('05.08 KOTIDO-KABONG'!C11,'06.08 KOTIDO-KABONG'!C11,'07.08 KOTIDO-KABONG'!C11,'08.08 KABONG-KOTIDO'!C11,'9.08 KOTIDO-KABONG-24h'!C11,'10.08 KOTIDO-KABONG-24h'!C11,'11.08 KITIDO-KABONG'!C11)</f>
        <v>0.14285714285714285</v>
      </c>
      <c r="D11" s="49">
        <f>AVERAGE('05.08 KOTIDO-KABONG'!D11,'06.08 KOTIDO-KABONG'!D11,'07.08 KOTIDO-KABONG'!D11,'08.08 KABONG-KOTIDO'!D11,'9.08 KOTIDO-KABONG-24h'!D11,'10.08 KOTIDO-KABONG-24h'!D11,'11.08 KITIDO-KABONG'!D11)</f>
        <v>0.14285714285714285</v>
      </c>
      <c r="E11" s="49">
        <f>AVERAGE('05.08 KOTIDO-KABONG'!E11,'06.08 KOTIDO-KABONG'!E11,'07.08 KOTIDO-KABONG'!E11,'08.08 KABONG-KOTIDO'!E11,'9.08 KOTIDO-KABONG-24h'!E11,'10.08 KOTIDO-KABONG-24h'!E11,'11.08 KITIDO-KABONG'!E11)</f>
        <v>0</v>
      </c>
      <c r="F11" s="49">
        <f>AVERAGE('05.08 KOTIDO-KABONG'!F11,'06.08 KOTIDO-KABONG'!F11,'07.08 KOTIDO-KABONG'!F11,'08.08 KABONG-KOTIDO'!F11,'9.08 KOTIDO-KABONG-24h'!F11,'10.08 KOTIDO-KABONG-24h'!F11,'11.08 KITIDO-KABONG'!F11)</f>
        <v>0</v>
      </c>
      <c r="G11" s="49">
        <f>AVERAGE('05.08 KOTIDO-KABONG'!G11,'06.08 KOTIDO-KABONG'!G11,'07.08 KOTIDO-KABONG'!G11,'08.08 KABONG-KOTIDO'!G11,'9.08 KOTIDO-KABONG-24h'!G11,'10.08 KOTIDO-KABONG-24h'!G11,'11.08 KITIDO-KABONG'!G11)</f>
        <v>0</v>
      </c>
      <c r="H11" s="49">
        <f>AVERAGE('05.08 KOTIDO-KABONG'!H11,'06.08 KOTIDO-KABONG'!H11,'07.08 KOTIDO-KABONG'!H11,'08.08 KABONG-KOTIDO'!H11,'9.08 KOTIDO-KABONG-24h'!H11,'10.08 KOTIDO-KABONG-24h'!H11,'11.08 KITIDO-KABONG'!H11)</f>
        <v>0</v>
      </c>
      <c r="I11" s="49">
        <f>AVERAGE('05.08 KOTIDO-KABONG'!I11,'06.08 KOTIDO-KABONG'!I11,'07.08 KOTIDO-KABONG'!I11,'08.08 KABONG-KOTIDO'!I11,'9.08 KOTIDO-KABONG-24h'!I11,'10.08 KOTIDO-KABONG-24h'!I11,'11.08 KITIDO-KABONG'!I11)</f>
        <v>0.2857142857142857</v>
      </c>
      <c r="J11" s="49">
        <f>AVERAGE('05.08 KOTIDO-KABONG'!J11,'06.08 KOTIDO-KABONG'!J11,'07.08 KOTIDO-KABONG'!J11,'08.08 KABONG-KOTIDO'!J11,'9.08 KOTIDO-KABONG-24h'!J11,'10.08 KOTIDO-KABONG-24h'!J11,'11.08 KITIDO-KABONG'!J11)</f>
        <v>0.14285714285714285</v>
      </c>
      <c r="K11" s="49">
        <f>AVERAGE('05.08 KOTIDO-KABONG'!K11,'06.08 KOTIDO-KABONG'!K11,'07.08 KOTIDO-KABONG'!K11,'08.08 KABONG-KOTIDO'!K11,'9.08 KOTIDO-KABONG-24h'!K11,'10.08 KOTIDO-KABONG-24h'!K11,'11.08 KITIDO-KABONG'!K11)</f>
        <v>0</v>
      </c>
      <c r="L11" s="49">
        <f>AVERAGE('05.08 KOTIDO-KABONG'!L11,'06.08 KOTIDO-KABONG'!L11,'07.08 KOTIDO-KABONG'!L11,'08.08 KABONG-KOTIDO'!L11,'9.08 KOTIDO-KABONG-24h'!L11,'10.08 KOTIDO-KABONG-24h'!L11,'11.08 KITIDO-KABONG'!L11)</f>
        <v>0</v>
      </c>
      <c r="M11" s="49">
        <f>AVERAGE('05.08 KOTIDO-KABONG'!M11,'06.08 KOTIDO-KABONG'!M11,'07.08 KOTIDO-KABONG'!M11,'08.08 KABONG-KOTIDO'!M11,'9.08 KOTIDO-KABONG-24h'!M11,'10.08 KOTIDO-KABONG-24h'!M11,'11.08 KITIDO-KABONG'!M11)</f>
        <v>0.14285714285714285</v>
      </c>
      <c r="N11" s="49">
        <f>AVERAGE('05.08 KOTIDO-KABONG'!N11,'06.08 KOTIDO-KABONG'!N11,'07.08 KOTIDO-KABONG'!N11,'08.08 KABONG-KOTIDO'!N11,'9.08 KOTIDO-KABONG-24h'!N11,'10.08 KOTIDO-KABONG-24h'!N11,'11.08 KITIDO-KABONG'!N11)</f>
        <v>0</v>
      </c>
      <c r="O11" s="15">
        <f t="shared" si="0"/>
        <v>0.71428571428571419</v>
      </c>
      <c r="P11" s="15">
        <f t="shared" si="1"/>
        <v>0.85714285714285698</v>
      </c>
      <c r="R11" s="1" t="s">
        <v>7</v>
      </c>
      <c r="S11" s="17">
        <f t="shared" ref="S11:AF11" si="3">SUM(C14:C17)</f>
        <v>0.2857142857142857</v>
      </c>
      <c r="T11" s="17">
        <f t="shared" si="3"/>
        <v>1</v>
      </c>
      <c r="U11" s="17">
        <f t="shared" si="3"/>
        <v>2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1.2857142857142856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2.5714285714285712</v>
      </c>
      <c r="AD11" s="17">
        <f t="shared" si="3"/>
        <v>0</v>
      </c>
      <c r="AE11" s="31">
        <f t="shared" si="3"/>
        <v>6.5714285714285712</v>
      </c>
      <c r="AF11" s="31">
        <f t="shared" si="3"/>
        <v>9.1428571428571423</v>
      </c>
    </row>
    <row r="12" spans="2:32" ht="23.1" customHeight="1" x14ac:dyDescent="0.25">
      <c r="B12" s="23" t="s">
        <v>39</v>
      </c>
      <c r="C12" s="49">
        <f>AVERAGE('05.08 KOTIDO-KABONG'!C12,'06.08 KOTIDO-KABONG'!C12,'07.08 KOTIDO-KABONG'!C12,'08.08 KABONG-KOTIDO'!C12,'9.08 KOTIDO-KABONG-24h'!C12,'10.08 KOTIDO-KABONG-24h'!C12,'11.08 KITIDO-KABONG'!C12)</f>
        <v>0</v>
      </c>
      <c r="D12" s="49">
        <f>AVERAGE('05.08 KOTIDO-KABONG'!D12,'06.08 KOTIDO-KABONG'!D12,'07.08 KOTIDO-KABONG'!D12,'08.08 KABONG-KOTIDO'!D12,'9.08 KOTIDO-KABONG-24h'!D12,'10.08 KOTIDO-KABONG-24h'!D12,'11.08 KITIDO-KABONG'!D12)</f>
        <v>0</v>
      </c>
      <c r="E12" s="49">
        <f>AVERAGE('05.08 KOTIDO-KABONG'!E12,'06.08 KOTIDO-KABONG'!E12,'07.08 KOTIDO-KABONG'!E12,'08.08 KABONG-KOTIDO'!E12,'9.08 KOTIDO-KABONG-24h'!E12,'10.08 KOTIDO-KABONG-24h'!E12,'11.08 KITIDO-KABONG'!E12)</f>
        <v>0.5714285714285714</v>
      </c>
      <c r="F12" s="49">
        <f>AVERAGE('05.08 KOTIDO-KABONG'!F12,'06.08 KOTIDO-KABONG'!F12,'07.08 KOTIDO-KABONG'!F12,'08.08 KABONG-KOTIDO'!F12,'9.08 KOTIDO-KABONG-24h'!F12,'10.08 KOTIDO-KABONG-24h'!F12,'11.08 KITIDO-KABONG'!F12)</f>
        <v>0</v>
      </c>
      <c r="G12" s="49">
        <f>AVERAGE('05.08 KOTIDO-KABONG'!G12,'06.08 KOTIDO-KABONG'!G12,'07.08 KOTIDO-KABONG'!G12,'08.08 KABONG-KOTIDO'!G12,'9.08 KOTIDO-KABONG-24h'!G12,'10.08 KOTIDO-KABONG-24h'!G12,'11.08 KITIDO-KABONG'!G12)</f>
        <v>0</v>
      </c>
      <c r="H12" s="49">
        <f>AVERAGE('05.08 KOTIDO-KABONG'!H12,'06.08 KOTIDO-KABONG'!H12,'07.08 KOTIDO-KABONG'!H12,'08.08 KABONG-KOTIDO'!H12,'9.08 KOTIDO-KABONG-24h'!H12,'10.08 KOTIDO-KABONG-24h'!H12,'11.08 KITIDO-KABONG'!H12)</f>
        <v>0</v>
      </c>
      <c r="I12" s="49">
        <f>AVERAGE('05.08 KOTIDO-KABONG'!I12,'06.08 KOTIDO-KABONG'!I12,'07.08 KOTIDO-KABONG'!I12,'08.08 KABONG-KOTIDO'!I12,'9.08 KOTIDO-KABONG-24h'!I12,'10.08 KOTIDO-KABONG-24h'!I12,'11.08 KITIDO-KABONG'!I12)</f>
        <v>0</v>
      </c>
      <c r="J12" s="49">
        <f>AVERAGE('05.08 KOTIDO-KABONG'!J12,'06.08 KOTIDO-KABONG'!J12,'07.08 KOTIDO-KABONG'!J12,'08.08 KABONG-KOTIDO'!J12,'9.08 KOTIDO-KABONG-24h'!J12,'10.08 KOTIDO-KABONG-24h'!J12,'11.08 KITIDO-KABONG'!J12)</f>
        <v>0.14285714285714285</v>
      </c>
      <c r="K12" s="49">
        <f>AVERAGE('05.08 KOTIDO-KABONG'!K12,'06.08 KOTIDO-KABONG'!K12,'07.08 KOTIDO-KABONG'!K12,'08.08 KABONG-KOTIDO'!K12,'9.08 KOTIDO-KABONG-24h'!K12,'10.08 KOTIDO-KABONG-24h'!K12,'11.08 KITIDO-KABONG'!K12)</f>
        <v>0</v>
      </c>
      <c r="L12" s="49">
        <f>AVERAGE('05.08 KOTIDO-KABONG'!L12,'06.08 KOTIDO-KABONG'!L12,'07.08 KOTIDO-KABONG'!L12,'08.08 KABONG-KOTIDO'!L12,'9.08 KOTIDO-KABONG-24h'!L12,'10.08 KOTIDO-KABONG-24h'!L12,'11.08 KITIDO-KABONG'!L12)</f>
        <v>0</v>
      </c>
      <c r="M12" s="49">
        <f>AVERAGE('05.08 KOTIDO-KABONG'!M12,'06.08 KOTIDO-KABONG'!M12,'07.08 KOTIDO-KABONG'!M12,'08.08 KABONG-KOTIDO'!M12,'9.08 KOTIDO-KABONG-24h'!M12,'10.08 KOTIDO-KABONG-24h'!M12,'11.08 KITIDO-KABONG'!M12)</f>
        <v>0.5714285714285714</v>
      </c>
      <c r="N12" s="49">
        <f>AVERAGE('05.08 KOTIDO-KABONG'!N12,'06.08 KOTIDO-KABONG'!N12,'07.08 KOTIDO-KABONG'!N12,'08.08 KABONG-KOTIDO'!N12,'9.08 KOTIDO-KABONG-24h'!N12,'10.08 KOTIDO-KABONG-24h'!N12,'11.08 KITIDO-KABONG'!N12)</f>
        <v>0</v>
      </c>
      <c r="O12" s="15">
        <f t="shared" si="0"/>
        <v>0.71428571428571419</v>
      </c>
      <c r="P12" s="15">
        <f t="shared" si="1"/>
        <v>1.2857142857142856</v>
      </c>
      <c r="R12" s="1" t="s">
        <v>8</v>
      </c>
      <c r="S12" s="17">
        <f t="shared" ref="S12:AF12" si="4">SUM(C18:C21)</f>
        <v>0.5714285714285714</v>
      </c>
      <c r="T12" s="17">
        <f t="shared" si="4"/>
        <v>2</v>
      </c>
      <c r="U12" s="17">
        <f t="shared" si="4"/>
        <v>0.71428571428571419</v>
      </c>
      <c r="V12" s="17">
        <f t="shared" si="4"/>
        <v>0</v>
      </c>
      <c r="W12" s="17">
        <f t="shared" si="4"/>
        <v>0</v>
      </c>
      <c r="X12" s="17">
        <f t="shared" si="4"/>
        <v>0.2857142857142857</v>
      </c>
      <c r="Y12" s="17">
        <f t="shared" si="4"/>
        <v>0.2857142857142857</v>
      </c>
      <c r="Z12" s="17">
        <f t="shared" si="4"/>
        <v>0.2857142857142857</v>
      </c>
      <c r="AA12" s="17">
        <f t="shared" si="4"/>
        <v>0</v>
      </c>
      <c r="AB12" s="17">
        <f t="shared" si="4"/>
        <v>0</v>
      </c>
      <c r="AC12" s="17">
        <f t="shared" si="4"/>
        <v>4.1428571428571423</v>
      </c>
      <c r="AD12" s="17">
        <f t="shared" si="4"/>
        <v>0</v>
      </c>
      <c r="AE12" s="31">
        <f t="shared" si="4"/>
        <v>4.1428571428571423</v>
      </c>
      <c r="AF12" s="31">
        <f t="shared" si="4"/>
        <v>8.2857142857142847</v>
      </c>
    </row>
    <row r="13" spans="2:32" ht="23.1" customHeight="1" x14ac:dyDescent="0.25">
      <c r="B13" s="23" t="s">
        <v>40</v>
      </c>
      <c r="C13" s="49">
        <f>AVERAGE('05.08 KOTIDO-KABONG'!C13,'06.08 KOTIDO-KABONG'!C13,'07.08 KOTIDO-KABONG'!C13,'08.08 KABONG-KOTIDO'!C13,'9.08 KOTIDO-KABONG-24h'!C13,'10.08 KOTIDO-KABONG-24h'!C13,'11.08 KITIDO-KABONG'!C13)</f>
        <v>0.14285714285714285</v>
      </c>
      <c r="D13" s="49">
        <f>AVERAGE('05.08 KOTIDO-KABONG'!D13,'06.08 KOTIDO-KABONG'!D13,'07.08 KOTIDO-KABONG'!D13,'08.08 KABONG-KOTIDO'!D13,'9.08 KOTIDO-KABONG-24h'!D13,'10.08 KOTIDO-KABONG-24h'!D13,'11.08 KITIDO-KABONG'!D13)</f>
        <v>0.5714285714285714</v>
      </c>
      <c r="E13" s="49">
        <f>AVERAGE('05.08 KOTIDO-KABONG'!E13,'06.08 KOTIDO-KABONG'!E13,'07.08 KOTIDO-KABONG'!E13,'08.08 KABONG-KOTIDO'!E13,'9.08 KOTIDO-KABONG-24h'!E13,'10.08 KOTIDO-KABONG-24h'!E13,'11.08 KITIDO-KABONG'!E13)</f>
        <v>0.2857142857142857</v>
      </c>
      <c r="F13" s="49">
        <f>AVERAGE('05.08 KOTIDO-KABONG'!F13,'06.08 KOTIDO-KABONG'!F13,'07.08 KOTIDO-KABONG'!F13,'08.08 KABONG-KOTIDO'!F13,'9.08 KOTIDO-KABONG-24h'!F13,'10.08 KOTIDO-KABONG-24h'!F13,'11.08 KITIDO-KABONG'!F13)</f>
        <v>0</v>
      </c>
      <c r="G13" s="49">
        <f>AVERAGE('05.08 KOTIDO-KABONG'!G13,'06.08 KOTIDO-KABONG'!G13,'07.08 KOTIDO-KABONG'!G13,'08.08 KABONG-KOTIDO'!G13,'9.08 KOTIDO-KABONG-24h'!G13,'10.08 KOTIDO-KABONG-24h'!G13,'11.08 KITIDO-KABONG'!G13)</f>
        <v>0</v>
      </c>
      <c r="H13" s="49">
        <f>AVERAGE('05.08 KOTIDO-KABONG'!H13,'06.08 KOTIDO-KABONG'!H13,'07.08 KOTIDO-KABONG'!H13,'08.08 KABONG-KOTIDO'!H13,'9.08 KOTIDO-KABONG-24h'!H13,'10.08 KOTIDO-KABONG-24h'!H13,'11.08 KITIDO-KABONG'!H13)</f>
        <v>0</v>
      </c>
      <c r="I13" s="49">
        <f>AVERAGE('05.08 KOTIDO-KABONG'!I13,'06.08 KOTIDO-KABONG'!I13,'07.08 KOTIDO-KABONG'!I13,'08.08 KABONG-KOTIDO'!I13,'9.08 KOTIDO-KABONG-24h'!I13,'10.08 KOTIDO-KABONG-24h'!I13,'11.08 KITIDO-KABONG'!I13)</f>
        <v>0.2857142857142857</v>
      </c>
      <c r="J13" s="49">
        <f>AVERAGE('05.08 KOTIDO-KABONG'!J13,'06.08 KOTIDO-KABONG'!J13,'07.08 KOTIDO-KABONG'!J13,'08.08 KABONG-KOTIDO'!J13,'9.08 KOTIDO-KABONG-24h'!J13,'10.08 KOTIDO-KABONG-24h'!J13,'11.08 KITIDO-KABONG'!J13)</f>
        <v>0.14285714285714285</v>
      </c>
      <c r="K13" s="49">
        <f>AVERAGE('05.08 KOTIDO-KABONG'!K13,'06.08 KOTIDO-KABONG'!K13,'07.08 KOTIDO-KABONG'!K13,'08.08 KABONG-KOTIDO'!K13,'9.08 KOTIDO-KABONG-24h'!K13,'10.08 KOTIDO-KABONG-24h'!K13,'11.08 KITIDO-KABONG'!K13)</f>
        <v>0</v>
      </c>
      <c r="L13" s="49">
        <f>AVERAGE('05.08 KOTIDO-KABONG'!L13,'06.08 KOTIDO-KABONG'!L13,'07.08 KOTIDO-KABONG'!L13,'08.08 KABONG-KOTIDO'!L13,'9.08 KOTIDO-KABONG-24h'!L13,'10.08 KOTIDO-KABONG-24h'!L13,'11.08 KITIDO-KABONG'!L13)</f>
        <v>0</v>
      </c>
      <c r="M13" s="49">
        <f>AVERAGE('05.08 KOTIDO-KABONG'!M13,'06.08 KOTIDO-KABONG'!M13,'07.08 KOTIDO-KABONG'!M13,'08.08 KABONG-KOTIDO'!M13,'9.08 KOTIDO-KABONG-24h'!M13,'10.08 KOTIDO-KABONG-24h'!M13,'11.08 KITIDO-KABONG'!M13)</f>
        <v>0.14285714285714285</v>
      </c>
      <c r="N13" s="49">
        <f>AVERAGE('05.08 KOTIDO-KABONG'!N13,'06.08 KOTIDO-KABONG'!N13,'07.08 KOTIDO-KABONG'!N13,'08.08 KABONG-KOTIDO'!N13,'9.08 KOTIDO-KABONG-24h'!N13,'10.08 KOTIDO-KABONG-24h'!N13,'11.08 KITIDO-KABONG'!N13)</f>
        <v>0</v>
      </c>
      <c r="O13" s="15">
        <f t="shared" si="0"/>
        <v>1.4285714285714284</v>
      </c>
      <c r="P13" s="15">
        <f t="shared" si="1"/>
        <v>1.5714285714285712</v>
      </c>
      <c r="R13" s="1" t="s">
        <v>9</v>
      </c>
      <c r="S13" s="17">
        <f t="shared" ref="S13:AF13" si="5">SUM(C22:C25)</f>
        <v>0.7142857142857143</v>
      </c>
      <c r="T13" s="17">
        <f t="shared" si="5"/>
        <v>0.71428571428571419</v>
      </c>
      <c r="U13" s="17">
        <f t="shared" si="5"/>
        <v>0.85714285714285721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0.2857142857142857</v>
      </c>
      <c r="Z13" s="17">
        <f t="shared" si="5"/>
        <v>0.42857142857142855</v>
      </c>
      <c r="AA13" s="17">
        <f t="shared" si="5"/>
        <v>0.14285714285714285</v>
      </c>
      <c r="AB13" s="17">
        <f t="shared" si="5"/>
        <v>0</v>
      </c>
      <c r="AC13" s="17">
        <f t="shared" si="5"/>
        <v>2.2857142857142856</v>
      </c>
      <c r="AD13" s="17">
        <f t="shared" si="5"/>
        <v>0</v>
      </c>
      <c r="AE13" s="31">
        <f t="shared" si="5"/>
        <v>3.1428571428571428</v>
      </c>
      <c r="AF13" s="31">
        <f t="shared" si="5"/>
        <v>5.4285714285714288</v>
      </c>
    </row>
    <row r="14" spans="2:32" ht="23.1" customHeight="1" x14ac:dyDescent="0.25">
      <c r="B14" s="23" t="s">
        <v>41</v>
      </c>
      <c r="C14" s="49">
        <f>AVERAGE('05.08 KOTIDO-KABONG'!C14,'06.08 KOTIDO-KABONG'!C14,'07.08 KOTIDO-KABONG'!C14,'08.08 KABONG-KOTIDO'!C14,'9.08 KOTIDO-KABONG-24h'!C14,'10.08 KOTIDO-KABONG-24h'!C14,'11.08 KITIDO-KABONG'!C14)</f>
        <v>0</v>
      </c>
      <c r="D14" s="49">
        <f>AVERAGE('05.08 KOTIDO-KABONG'!D14,'06.08 KOTIDO-KABONG'!D14,'07.08 KOTIDO-KABONG'!D14,'08.08 KABONG-KOTIDO'!D14,'9.08 KOTIDO-KABONG-24h'!D14,'10.08 KOTIDO-KABONG-24h'!D14,'11.08 KITIDO-KABONG'!D14)</f>
        <v>0.14285714285714285</v>
      </c>
      <c r="E14" s="49">
        <f>AVERAGE('05.08 KOTIDO-KABONG'!E14,'06.08 KOTIDO-KABONG'!E14,'07.08 KOTIDO-KABONG'!E14,'08.08 KABONG-KOTIDO'!E14,'9.08 KOTIDO-KABONG-24h'!E14,'10.08 KOTIDO-KABONG-24h'!E14,'11.08 KITIDO-KABONG'!E14)</f>
        <v>1</v>
      </c>
      <c r="F14" s="49">
        <f>AVERAGE('05.08 KOTIDO-KABONG'!F14,'06.08 KOTIDO-KABONG'!F14,'07.08 KOTIDO-KABONG'!F14,'08.08 KABONG-KOTIDO'!F14,'9.08 KOTIDO-KABONG-24h'!F14,'10.08 KOTIDO-KABONG-24h'!F14,'11.08 KITIDO-KABONG'!F14)</f>
        <v>0</v>
      </c>
      <c r="G14" s="49">
        <f>AVERAGE('05.08 KOTIDO-KABONG'!G14,'06.08 KOTIDO-KABONG'!G14,'07.08 KOTIDO-KABONG'!G14,'08.08 KABONG-KOTIDO'!G14,'9.08 KOTIDO-KABONG-24h'!G14,'10.08 KOTIDO-KABONG-24h'!G14,'11.08 KITIDO-KABONG'!G14)</f>
        <v>0</v>
      </c>
      <c r="H14" s="49">
        <f>AVERAGE('05.08 KOTIDO-KABONG'!H14,'06.08 KOTIDO-KABONG'!H14,'07.08 KOTIDO-KABONG'!H14,'08.08 KABONG-KOTIDO'!H14,'9.08 KOTIDO-KABONG-24h'!H14,'10.08 KOTIDO-KABONG-24h'!H14,'11.08 KITIDO-KABONG'!H14)</f>
        <v>0</v>
      </c>
      <c r="I14" s="49">
        <f>AVERAGE('05.08 KOTIDO-KABONG'!I14,'06.08 KOTIDO-KABONG'!I14,'07.08 KOTIDO-KABONG'!I14,'08.08 KABONG-KOTIDO'!I14,'9.08 KOTIDO-KABONG-24h'!I14,'10.08 KOTIDO-KABONG-24h'!I14,'11.08 KITIDO-KABONG'!I14)</f>
        <v>0.8571428571428571</v>
      </c>
      <c r="J14" s="49">
        <f>AVERAGE('05.08 KOTIDO-KABONG'!J14,'06.08 KOTIDO-KABONG'!J14,'07.08 KOTIDO-KABONG'!J14,'08.08 KABONG-KOTIDO'!J14,'9.08 KOTIDO-KABONG-24h'!J14,'10.08 KOTIDO-KABONG-24h'!J14,'11.08 KITIDO-KABONG'!J14)</f>
        <v>0.14285714285714285</v>
      </c>
      <c r="K14" s="49">
        <f>AVERAGE('05.08 KOTIDO-KABONG'!K14,'06.08 KOTIDO-KABONG'!K14,'07.08 KOTIDO-KABONG'!K14,'08.08 KABONG-KOTIDO'!K14,'9.08 KOTIDO-KABONG-24h'!K14,'10.08 KOTIDO-KABONG-24h'!K14,'11.08 KITIDO-KABONG'!K14)</f>
        <v>0</v>
      </c>
      <c r="L14" s="49">
        <f>AVERAGE('05.08 KOTIDO-KABONG'!L14,'06.08 KOTIDO-KABONG'!L14,'07.08 KOTIDO-KABONG'!L14,'08.08 KABONG-KOTIDO'!L14,'9.08 KOTIDO-KABONG-24h'!L14,'10.08 KOTIDO-KABONG-24h'!L14,'11.08 KITIDO-KABONG'!L14)</f>
        <v>0</v>
      </c>
      <c r="M14" s="49">
        <f>AVERAGE('05.08 KOTIDO-KABONG'!M14,'06.08 KOTIDO-KABONG'!M14,'07.08 KOTIDO-KABONG'!M14,'08.08 KABONG-KOTIDO'!M14,'9.08 KOTIDO-KABONG-24h'!M14,'10.08 KOTIDO-KABONG-24h'!M14,'11.08 KITIDO-KABONG'!M14)</f>
        <v>0.7142857142857143</v>
      </c>
      <c r="N14" s="49">
        <f>AVERAGE('05.08 KOTIDO-KABONG'!N14,'06.08 KOTIDO-KABONG'!N14,'07.08 KOTIDO-KABONG'!N14,'08.08 KABONG-KOTIDO'!N14,'9.08 KOTIDO-KABONG-24h'!N14,'10.08 KOTIDO-KABONG-24h'!N14,'11.08 KITIDO-KABONG'!N14)</f>
        <v>0</v>
      </c>
      <c r="O14" s="15">
        <f t="shared" si="0"/>
        <v>2.1428571428571428</v>
      </c>
      <c r="P14" s="15">
        <f t="shared" si="1"/>
        <v>2.8571428571428572</v>
      </c>
      <c r="R14" s="1" t="s">
        <v>10</v>
      </c>
      <c r="S14" s="17">
        <f t="shared" ref="S14:AF14" si="6">SUM(C26:C29)</f>
        <v>0.42857142857142855</v>
      </c>
      <c r="T14" s="17">
        <f t="shared" si="6"/>
        <v>1.1428571428571428</v>
      </c>
      <c r="U14" s="17">
        <f t="shared" si="6"/>
        <v>0.14285714285714285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0.2857142857142857</v>
      </c>
      <c r="Z14" s="17">
        <f t="shared" si="6"/>
        <v>0.2857142857142857</v>
      </c>
      <c r="AA14" s="17">
        <f t="shared" si="6"/>
        <v>0</v>
      </c>
      <c r="AB14" s="17">
        <f t="shared" si="6"/>
        <v>0</v>
      </c>
      <c r="AC14" s="17">
        <f t="shared" si="6"/>
        <v>1.5714285714285714</v>
      </c>
      <c r="AD14" s="17">
        <f t="shared" si="6"/>
        <v>0</v>
      </c>
      <c r="AE14" s="31">
        <f t="shared" si="6"/>
        <v>2.2857142857142856</v>
      </c>
      <c r="AF14" s="31">
        <f t="shared" si="6"/>
        <v>3.8571428571428568</v>
      </c>
    </row>
    <row r="15" spans="2:32" ht="23.1" customHeight="1" x14ac:dyDescent="0.25">
      <c r="B15" s="23" t="s">
        <v>42</v>
      </c>
      <c r="C15" s="49">
        <f>AVERAGE('05.08 KOTIDO-KABONG'!C15,'06.08 KOTIDO-KABONG'!C15,'07.08 KOTIDO-KABONG'!C15,'08.08 KABONG-KOTIDO'!C15,'9.08 KOTIDO-KABONG-24h'!C15,'10.08 KOTIDO-KABONG-24h'!C15,'11.08 KITIDO-KABONG'!C15)</f>
        <v>0.14285714285714285</v>
      </c>
      <c r="D15" s="49">
        <f>AVERAGE('05.08 KOTIDO-KABONG'!D15,'06.08 KOTIDO-KABONG'!D15,'07.08 KOTIDO-KABONG'!D15,'08.08 KABONG-KOTIDO'!D15,'9.08 KOTIDO-KABONG-24h'!D15,'10.08 KOTIDO-KABONG-24h'!D15,'11.08 KITIDO-KABONG'!D15)</f>
        <v>0</v>
      </c>
      <c r="E15" s="49">
        <f>AVERAGE('05.08 KOTIDO-KABONG'!E15,'06.08 KOTIDO-KABONG'!E15,'07.08 KOTIDO-KABONG'!E15,'08.08 KABONG-KOTIDO'!E15,'9.08 KOTIDO-KABONG-24h'!E15,'10.08 KOTIDO-KABONG-24h'!E15,'11.08 KITIDO-KABONG'!E15)</f>
        <v>0</v>
      </c>
      <c r="F15" s="49">
        <f>AVERAGE('05.08 KOTIDO-KABONG'!F15,'06.08 KOTIDO-KABONG'!F15,'07.08 KOTIDO-KABONG'!F15,'08.08 KABONG-KOTIDO'!F15,'9.08 KOTIDO-KABONG-24h'!F15,'10.08 KOTIDO-KABONG-24h'!F15,'11.08 KITIDO-KABONG'!F15)</f>
        <v>0</v>
      </c>
      <c r="G15" s="49">
        <f>AVERAGE('05.08 KOTIDO-KABONG'!G15,'06.08 KOTIDO-KABONG'!G15,'07.08 KOTIDO-KABONG'!G15,'08.08 KABONG-KOTIDO'!G15,'9.08 KOTIDO-KABONG-24h'!G15,'10.08 KOTIDO-KABONG-24h'!G15,'11.08 KITIDO-KABONG'!G15)</f>
        <v>0</v>
      </c>
      <c r="H15" s="49">
        <f>AVERAGE('05.08 KOTIDO-KABONG'!H15,'06.08 KOTIDO-KABONG'!H15,'07.08 KOTIDO-KABONG'!H15,'08.08 KABONG-KOTIDO'!H15,'9.08 KOTIDO-KABONG-24h'!H15,'10.08 KOTIDO-KABONG-24h'!H15,'11.08 KITIDO-KABONG'!H15)</f>
        <v>0</v>
      </c>
      <c r="I15" s="49">
        <f>AVERAGE('05.08 KOTIDO-KABONG'!I15,'06.08 KOTIDO-KABONG'!I15,'07.08 KOTIDO-KABONG'!I15,'08.08 KABONG-KOTIDO'!I15,'9.08 KOTIDO-KABONG-24h'!I15,'10.08 KOTIDO-KABONG-24h'!I15,'11.08 KITIDO-KABONG'!I15)</f>
        <v>0</v>
      </c>
      <c r="J15" s="49">
        <f>AVERAGE('05.08 KOTIDO-KABONG'!J15,'06.08 KOTIDO-KABONG'!J15,'07.08 KOTIDO-KABONG'!J15,'08.08 KABONG-KOTIDO'!J15,'9.08 KOTIDO-KABONG-24h'!J15,'10.08 KOTIDO-KABONG-24h'!J15,'11.08 KITIDO-KABONG'!J15)</f>
        <v>0</v>
      </c>
      <c r="K15" s="49">
        <f>AVERAGE('05.08 KOTIDO-KABONG'!K15,'06.08 KOTIDO-KABONG'!K15,'07.08 KOTIDO-KABONG'!K15,'08.08 KABONG-KOTIDO'!K15,'9.08 KOTIDO-KABONG-24h'!K15,'10.08 KOTIDO-KABONG-24h'!K15,'11.08 KITIDO-KABONG'!K15)</f>
        <v>0</v>
      </c>
      <c r="L15" s="49">
        <f>AVERAGE('05.08 KOTIDO-KABONG'!L15,'06.08 KOTIDO-KABONG'!L15,'07.08 KOTIDO-KABONG'!L15,'08.08 KABONG-KOTIDO'!L15,'9.08 KOTIDO-KABONG-24h'!L15,'10.08 KOTIDO-KABONG-24h'!L15,'11.08 KITIDO-KABONG'!L15)</f>
        <v>0</v>
      </c>
      <c r="M15" s="49">
        <f>AVERAGE('05.08 KOTIDO-KABONG'!M15,'06.08 KOTIDO-KABONG'!M15,'07.08 KOTIDO-KABONG'!M15,'08.08 KABONG-KOTIDO'!M15,'9.08 KOTIDO-KABONG-24h'!M15,'10.08 KOTIDO-KABONG-24h'!M15,'11.08 KITIDO-KABONG'!M15)</f>
        <v>1.2857142857142858</v>
      </c>
      <c r="N15" s="49">
        <f>AVERAGE('05.08 KOTIDO-KABONG'!N15,'06.08 KOTIDO-KABONG'!N15,'07.08 KOTIDO-KABONG'!N15,'08.08 KABONG-KOTIDO'!N15,'9.08 KOTIDO-KABONG-24h'!N15,'10.08 KOTIDO-KABONG-24h'!N15,'11.08 KITIDO-KABONG'!N15)</f>
        <v>0</v>
      </c>
      <c r="O15" s="15">
        <f t="shared" si="0"/>
        <v>0.14285714285714285</v>
      </c>
      <c r="P15" s="15">
        <f t="shared" si="1"/>
        <v>1.4285714285714286</v>
      </c>
      <c r="R15" s="1" t="s">
        <v>11</v>
      </c>
      <c r="S15" s="17">
        <f t="shared" ref="S15:AF15" si="7">SUM(C30:C33)</f>
        <v>0.2857142857142857</v>
      </c>
      <c r="T15" s="17">
        <f t="shared" si="7"/>
        <v>0.7142857142857143</v>
      </c>
      <c r="U15" s="17">
        <f t="shared" si="7"/>
        <v>0.2857142857142857</v>
      </c>
      <c r="V15" s="17">
        <f t="shared" si="7"/>
        <v>0.14285714285714285</v>
      </c>
      <c r="W15" s="17">
        <f t="shared" si="7"/>
        <v>0</v>
      </c>
      <c r="X15" s="17">
        <f t="shared" si="7"/>
        <v>0.14285714285714285</v>
      </c>
      <c r="Y15" s="17">
        <f t="shared" si="7"/>
        <v>0.2857142857142857</v>
      </c>
      <c r="Z15" s="17">
        <f t="shared" si="7"/>
        <v>0.2857142857142857</v>
      </c>
      <c r="AA15" s="17">
        <f t="shared" si="7"/>
        <v>0</v>
      </c>
      <c r="AB15" s="17">
        <f t="shared" si="7"/>
        <v>0</v>
      </c>
      <c r="AC15" s="17">
        <f t="shared" si="7"/>
        <v>2.5714285714285712</v>
      </c>
      <c r="AD15" s="17">
        <f t="shared" si="7"/>
        <v>0</v>
      </c>
      <c r="AE15" s="31">
        <f t="shared" si="7"/>
        <v>2.1428571428571423</v>
      </c>
      <c r="AF15" s="31">
        <f t="shared" si="7"/>
        <v>4.7142857142857135</v>
      </c>
    </row>
    <row r="16" spans="2:32" ht="23.1" customHeight="1" x14ac:dyDescent="0.25">
      <c r="B16" s="23" t="s">
        <v>43</v>
      </c>
      <c r="C16" s="49">
        <f>AVERAGE('05.08 KOTIDO-KABONG'!C16,'06.08 KOTIDO-KABONG'!C16,'07.08 KOTIDO-KABONG'!C16,'08.08 KABONG-KOTIDO'!C16,'9.08 KOTIDO-KABONG-24h'!C16,'10.08 KOTIDO-KABONG-24h'!C16,'11.08 KITIDO-KABONG'!C16)</f>
        <v>0.14285714285714285</v>
      </c>
      <c r="D16" s="49">
        <f>AVERAGE('05.08 KOTIDO-KABONG'!D16,'06.08 KOTIDO-KABONG'!D16,'07.08 KOTIDO-KABONG'!D16,'08.08 KABONG-KOTIDO'!D16,'9.08 KOTIDO-KABONG-24h'!D16,'10.08 KOTIDO-KABONG-24h'!D16,'11.08 KITIDO-KABONG'!D16)</f>
        <v>0.14285714285714285</v>
      </c>
      <c r="E16" s="49">
        <f>AVERAGE('05.08 KOTIDO-KABONG'!E16,'06.08 KOTIDO-KABONG'!E16,'07.08 KOTIDO-KABONG'!E16,'08.08 KABONG-KOTIDO'!E16,'9.08 KOTIDO-KABONG-24h'!E16,'10.08 KOTIDO-KABONG-24h'!E16,'11.08 KITIDO-KABONG'!E16)</f>
        <v>0</v>
      </c>
      <c r="F16" s="49">
        <f>AVERAGE('05.08 KOTIDO-KABONG'!F16,'06.08 KOTIDO-KABONG'!F16,'07.08 KOTIDO-KABONG'!F16,'08.08 KABONG-KOTIDO'!F16,'9.08 KOTIDO-KABONG-24h'!F16,'10.08 KOTIDO-KABONG-24h'!F16,'11.08 KITIDO-KABONG'!F16)</f>
        <v>0</v>
      </c>
      <c r="G16" s="49">
        <f>AVERAGE('05.08 KOTIDO-KABONG'!G16,'06.08 KOTIDO-KABONG'!G16,'07.08 KOTIDO-KABONG'!G16,'08.08 KABONG-KOTIDO'!G16,'9.08 KOTIDO-KABONG-24h'!G16,'10.08 KOTIDO-KABONG-24h'!G16,'11.08 KITIDO-KABONG'!G16)</f>
        <v>0</v>
      </c>
      <c r="H16" s="49">
        <f>AVERAGE('05.08 KOTIDO-KABONG'!H16,'06.08 KOTIDO-KABONG'!H16,'07.08 KOTIDO-KABONG'!H16,'08.08 KABONG-KOTIDO'!H16,'9.08 KOTIDO-KABONG-24h'!H16,'10.08 KOTIDO-KABONG-24h'!H16,'11.08 KITIDO-KABONG'!H16)</f>
        <v>0</v>
      </c>
      <c r="I16" s="49">
        <f>AVERAGE('05.08 KOTIDO-KABONG'!I16,'06.08 KOTIDO-KABONG'!I16,'07.08 KOTIDO-KABONG'!I16,'08.08 KABONG-KOTIDO'!I16,'9.08 KOTIDO-KABONG-24h'!I16,'10.08 KOTIDO-KABONG-24h'!I16,'11.08 KITIDO-KABONG'!I16)</f>
        <v>0.14285714285714285</v>
      </c>
      <c r="J16" s="49">
        <f>AVERAGE('05.08 KOTIDO-KABONG'!J16,'06.08 KOTIDO-KABONG'!J16,'07.08 KOTIDO-KABONG'!J16,'08.08 KABONG-KOTIDO'!J16,'9.08 KOTIDO-KABONG-24h'!J16,'10.08 KOTIDO-KABONG-24h'!J16,'11.08 KITIDO-KABONG'!J16)</f>
        <v>0.14285714285714285</v>
      </c>
      <c r="K16" s="49">
        <f>AVERAGE('05.08 KOTIDO-KABONG'!K16,'06.08 KOTIDO-KABONG'!K16,'07.08 KOTIDO-KABONG'!K16,'08.08 KABONG-KOTIDO'!K16,'9.08 KOTIDO-KABONG-24h'!K16,'10.08 KOTIDO-KABONG-24h'!K16,'11.08 KITIDO-KABONG'!K16)</f>
        <v>0</v>
      </c>
      <c r="L16" s="49">
        <f>AVERAGE('05.08 KOTIDO-KABONG'!L16,'06.08 KOTIDO-KABONG'!L16,'07.08 KOTIDO-KABONG'!L16,'08.08 KABONG-KOTIDO'!L16,'9.08 KOTIDO-KABONG-24h'!L16,'10.08 KOTIDO-KABONG-24h'!L16,'11.08 KITIDO-KABONG'!L16)</f>
        <v>0</v>
      </c>
      <c r="M16" s="49">
        <f>AVERAGE('05.08 KOTIDO-KABONG'!M16,'06.08 KOTIDO-KABONG'!M16,'07.08 KOTIDO-KABONG'!M16,'08.08 KABONG-KOTIDO'!M16,'9.08 KOTIDO-KABONG-24h'!M16,'10.08 KOTIDO-KABONG-24h'!M16,'11.08 KITIDO-KABONG'!M16)</f>
        <v>0.42857142857142855</v>
      </c>
      <c r="N16" s="49">
        <f>AVERAGE('05.08 KOTIDO-KABONG'!N16,'06.08 KOTIDO-KABONG'!N16,'07.08 KOTIDO-KABONG'!N16,'08.08 KABONG-KOTIDO'!N16,'9.08 KOTIDO-KABONG-24h'!N16,'10.08 KOTIDO-KABONG-24h'!N16,'11.08 KITIDO-KABONG'!N16)</f>
        <v>0</v>
      </c>
      <c r="O16" s="15">
        <f t="shared" si="0"/>
        <v>0.5714285714285714</v>
      </c>
      <c r="P16" s="15">
        <f t="shared" si="1"/>
        <v>1</v>
      </c>
      <c r="R16" s="1" t="s">
        <v>12</v>
      </c>
      <c r="S16" s="17">
        <f t="shared" ref="S16:AF16" si="8">SUM(C34:C37)</f>
        <v>0</v>
      </c>
      <c r="T16" s="17">
        <f t="shared" si="8"/>
        <v>0.85714285714285698</v>
      </c>
      <c r="U16" s="17">
        <f t="shared" si="8"/>
        <v>0.42857142857142855</v>
      </c>
      <c r="V16" s="17">
        <f t="shared" si="8"/>
        <v>0.14285714285714285</v>
      </c>
      <c r="W16" s="17">
        <f t="shared" si="8"/>
        <v>0</v>
      </c>
      <c r="X16" s="17">
        <f t="shared" si="8"/>
        <v>0</v>
      </c>
      <c r="Y16" s="17">
        <f t="shared" si="8"/>
        <v>0.42857142857142855</v>
      </c>
      <c r="Z16" s="17">
        <f t="shared" si="8"/>
        <v>0.85714285714285721</v>
      </c>
      <c r="AA16" s="17">
        <f t="shared" si="8"/>
        <v>0</v>
      </c>
      <c r="AB16" s="17">
        <f t="shared" si="8"/>
        <v>0</v>
      </c>
      <c r="AC16" s="17">
        <f t="shared" si="8"/>
        <v>1.2857142857142856</v>
      </c>
      <c r="AD16" s="17">
        <f t="shared" si="8"/>
        <v>0</v>
      </c>
      <c r="AE16" s="31">
        <f t="shared" si="8"/>
        <v>2.7142857142857144</v>
      </c>
      <c r="AF16" s="31">
        <f t="shared" si="8"/>
        <v>4</v>
      </c>
    </row>
    <row r="17" spans="2:32" ht="23.1" customHeight="1" x14ac:dyDescent="0.25">
      <c r="B17" s="23" t="s">
        <v>44</v>
      </c>
      <c r="C17" s="49">
        <f>AVERAGE('05.08 KOTIDO-KABONG'!C17,'06.08 KOTIDO-KABONG'!C17,'07.08 KOTIDO-KABONG'!C17,'08.08 KABONG-KOTIDO'!C17,'9.08 KOTIDO-KABONG-24h'!C17,'10.08 KOTIDO-KABONG-24h'!C17,'11.08 KITIDO-KABONG'!C17)</f>
        <v>0</v>
      </c>
      <c r="D17" s="49">
        <f>AVERAGE('05.08 KOTIDO-KABONG'!D17,'06.08 KOTIDO-KABONG'!D17,'07.08 KOTIDO-KABONG'!D17,'08.08 KABONG-KOTIDO'!D17,'9.08 KOTIDO-KABONG-24h'!D17,'10.08 KOTIDO-KABONG-24h'!D17,'11.08 KITIDO-KABONG'!D17)</f>
        <v>0.7142857142857143</v>
      </c>
      <c r="E17" s="49">
        <f>AVERAGE('05.08 KOTIDO-KABONG'!E17,'06.08 KOTIDO-KABONG'!E17,'07.08 KOTIDO-KABONG'!E17,'08.08 KABONG-KOTIDO'!E17,'9.08 KOTIDO-KABONG-24h'!E17,'10.08 KOTIDO-KABONG-24h'!E17,'11.08 KITIDO-KABONG'!E17)</f>
        <v>1</v>
      </c>
      <c r="F17" s="49">
        <f>AVERAGE('05.08 KOTIDO-KABONG'!F17,'06.08 KOTIDO-KABONG'!F17,'07.08 KOTIDO-KABONG'!F17,'08.08 KABONG-KOTIDO'!F17,'9.08 KOTIDO-KABONG-24h'!F17,'10.08 KOTIDO-KABONG-24h'!F17,'11.08 KITIDO-KABONG'!F17)</f>
        <v>0</v>
      </c>
      <c r="G17" s="49">
        <f>AVERAGE('05.08 KOTIDO-KABONG'!G17,'06.08 KOTIDO-KABONG'!G17,'07.08 KOTIDO-KABONG'!G17,'08.08 KABONG-KOTIDO'!G17,'9.08 KOTIDO-KABONG-24h'!G17,'10.08 KOTIDO-KABONG-24h'!G17,'11.08 KITIDO-KABONG'!G17)</f>
        <v>0</v>
      </c>
      <c r="H17" s="49">
        <f>AVERAGE('05.08 KOTIDO-KABONG'!H17,'06.08 KOTIDO-KABONG'!H17,'07.08 KOTIDO-KABONG'!H17,'08.08 KABONG-KOTIDO'!H17,'9.08 KOTIDO-KABONG-24h'!H17,'10.08 KOTIDO-KABONG-24h'!H17,'11.08 KITIDO-KABONG'!H17)</f>
        <v>0</v>
      </c>
      <c r="I17" s="49">
        <f>AVERAGE('05.08 KOTIDO-KABONG'!I17,'06.08 KOTIDO-KABONG'!I17,'07.08 KOTIDO-KABONG'!I17,'08.08 KABONG-KOTIDO'!I17,'9.08 KOTIDO-KABONG-24h'!I17,'10.08 KOTIDO-KABONG-24h'!I17,'11.08 KITIDO-KABONG'!I17)</f>
        <v>0.2857142857142857</v>
      </c>
      <c r="J17" s="49">
        <f>AVERAGE('05.08 KOTIDO-KABONG'!J17,'06.08 KOTIDO-KABONG'!J17,'07.08 KOTIDO-KABONG'!J17,'08.08 KABONG-KOTIDO'!J17,'9.08 KOTIDO-KABONG-24h'!J17,'10.08 KOTIDO-KABONG-24h'!J17,'11.08 KITIDO-KABONG'!J17)</f>
        <v>1.7142857142857142</v>
      </c>
      <c r="K17" s="49">
        <f>AVERAGE('05.08 KOTIDO-KABONG'!K17,'06.08 KOTIDO-KABONG'!K17,'07.08 KOTIDO-KABONG'!K17,'08.08 KABONG-KOTIDO'!K17,'9.08 KOTIDO-KABONG-24h'!K17,'10.08 KOTIDO-KABONG-24h'!K17,'11.08 KITIDO-KABONG'!K17)</f>
        <v>0</v>
      </c>
      <c r="L17" s="49">
        <f>AVERAGE('05.08 KOTIDO-KABONG'!L17,'06.08 KOTIDO-KABONG'!L17,'07.08 KOTIDO-KABONG'!L17,'08.08 KABONG-KOTIDO'!L17,'9.08 KOTIDO-KABONG-24h'!L17,'10.08 KOTIDO-KABONG-24h'!L17,'11.08 KITIDO-KABONG'!L17)</f>
        <v>0</v>
      </c>
      <c r="M17" s="49">
        <f>AVERAGE('05.08 KOTIDO-KABONG'!M17,'06.08 KOTIDO-KABONG'!M17,'07.08 KOTIDO-KABONG'!M17,'08.08 KABONG-KOTIDO'!M17,'9.08 KOTIDO-KABONG-24h'!M17,'10.08 KOTIDO-KABONG-24h'!M17,'11.08 KITIDO-KABONG'!M17)</f>
        <v>0.14285714285714285</v>
      </c>
      <c r="N17" s="49">
        <f>AVERAGE('05.08 KOTIDO-KABONG'!N17,'06.08 KOTIDO-KABONG'!N17,'07.08 KOTIDO-KABONG'!N17,'08.08 KABONG-KOTIDO'!N17,'9.08 KOTIDO-KABONG-24h'!N17,'10.08 KOTIDO-KABONG-24h'!N17,'11.08 KITIDO-KABONG'!N17)</f>
        <v>0</v>
      </c>
      <c r="O17" s="15">
        <f t="shared" si="0"/>
        <v>3.7142857142857144</v>
      </c>
      <c r="P17" s="15">
        <f t="shared" si="1"/>
        <v>3.8571428571428572</v>
      </c>
      <c r="R17" s="1" t="s">
        <v>13</v>
      </c>
      <c r="S17" s="17">
        <f t="shared" ref="S17:AF17" si="9">SUM(C38:C41)</f>
        <v>0.2857142857142857</v>
      </c>
      <c r="T17" s="17">
        <f t="shared" si="9"/>
        <v>1.1428571428571428</v>
      </c>
      <c r="U17" s="17">
        <f t="shared" si="9"/>
        <v>0.14285714285714285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0.14285714285714285</v>
      </c>
      <c r="Z17" s="17">
        <f t="shared" si="9"/>
        <v>0.14285714285714285</v>
      </c>
      <c r="AA17" s="17">
        <f t="shared" si="9"/>
        <v>0</v>
      </c>
      <c r="AB17" s="17">
        <f t="shared" si="9"/>
        <v>0</v>
      </c>
      <c r="AC17" s="17">
        <f t="shared" si="9"/>
        <v>2</v>
      </c>
      <c r="AD17" s="17">
        <f t="shared" si="9"/>
        <v>0</v>
      </c>
      <c r="AE17" s="31">
        <f t="shared" si="9"/>
        <v>1.857142857142857</v>
      </c>
      <c r="AF17" s="31">
        <f t="shared" si="9"/>
        <v>3.8571428571428572</v>
      </c>
    </row>
    <row r="18" spans="2:32" ht="23.1" customHeight="1" x14ac:dyDescent="0.25">
      <c r="B18" s="23" t="s">
        <v>45</v>
      </c>
      <c r="C18" s="49">
        <f>AVERAGE('05.08 KOTIDO-KABONG'!C18,'06.08 KOTIDO-KABONG'!C18,'07.08 KOTIDO-KABONG'!C18,'08.08 KABONG-KOTIDO'!C18,'9.08 KOTIDO-KABONG-24h'!C18,'10.08 KOTIDO-KABONG-24h'!C18,'11.08 KITIDO-KABONG'!C18)</f>
        <v>0</v>
      </c>
      <c r="D18" s="49">
        <f>AVERAGE('05.08 KOTIDO-KABONG'!D18,'06.08 KOTIDO-KABONG'!D18,'07.08 KOTIDO-KABONG'!D18,'08.08 KABONG-KOTIDO'!D18,'9.08 KOTIDO-KABONG-24h'!D18,'10.08 KOTIDO-KABONG-24h'!D18,'11.08 KITIDO-KABONG'!D18)</f>
        <v>0.14285714285714285</v>
      </c>
      <c r="E18" s="49">
        <f>AVERAGE('05.08 KOTIDO-KABONG'!E18,'06.08 KOTIDO-KABONG'!E18,'07.08 KOTIDO-KABONG'!E18,'08.08 KABONG-KOTIDO'!E18,'9.08 KOTIDO-KABONG-24h'!E18,'10.08 KOTIDO-KABONG-24h'!E18,'11.08 KITIDO-KABONG'!E18)</f>
        <v>0</v>
      </c>
      <c r="F18" s="49">
        <f>AVERAGE('05.08 KOTIDO-KABONG'!F18,'06.08 KOTIDO-KABONG'!F18,'07.08 KOTIDO-KABONG'!F18,'08.08 KABONG-KOTIDO'!F18,'9.08 KOTIDO-KABONG-24h'!F18,'10.08 KOTIDO-KABONG-24h'!F18,'11.08 KITIDO-KABONG'!F18)</f>
        <v>0</v>
      </c>
      <c r="G18" s="49">
        <f>AVERAGE('05.08 KOTIDO-KABONG'!G18,'06.08 KOTIDO-KABONG'!G18,'07.08 KOTIDO-KABONG'!G18,'08.08 KABONG-KOTIDO'!G18,'9.08 KOTIDO-KABONG-24h'!G18,'10.08 KOTIDO-KABONG-24h'!G18,'11.08 KITIDO-KABONG'!G18)</f>
        <v>0</v>
      </c>
      <c r="H18" s="49">
        <f>AVERAGE('05.08 KOTIDO-KABONG'!H18,'06.08 KOTIDO-KABONG'!H18,'07.08 KOTIDO-KABONG'!H18,'08.08 KABONG-KOTIDO'!H18,'9.08 KOTIDO-KABONG-24h'!H18,'10.08 KOTIDO-KABONG-24h'!H18,'11.08 KITIDO-KABONG'!H18)</f>
        <v>0</v>
      </c>
      <c r="I18" s="49">
        <f>AVERAGE('05.08 KOTIDO-KABONG'!I18,'06.08 KOTIDO-KABONG'!I18,'07.08 KOTIDO-KABONG'!I18,'08.08 KABONG-KOTIDO'!I18,'9.08 KOTIDO-KABONG-24h'!I18,'10.08 KOTIDO-KABONG-24h'!I18,'11.08 KITIDO-KABONG'!I18)</f>
        <v>0</v>
      </c>
      <c r="J18" s="49">
        <f>AVERAGE('05.08 KOTIDO-KABONG'!J18,'06.08 KOTIDO-KABONG'!J18,'07.08 KOTIDO-KABONG'!J18,'08.08 KABONG-KOTIDO'!J18,'9.08 KOTIDO-KABONG-24h'!J18,'10.08 KOTIDO-KABONG-24h'!J18,'11.08 KITIDO-KABONG'!J18)</f>
        <v>0.2857142857142857</v>
      </c>
      <c r="K18" s="49">
        <f>AVERAGE('05.08 KOTIDO-KABONG'!K18,'06.08 KOTIDO-KABONG'!K18,'07.08 KOTIDO-KABONG'!K18,'08.08 KABONG-KOTIDO'!K18,'9.08 KOTIDO-KABONG-24h'!K18,'10.08 KOTIDO-KABONG-24h'!K18,'11.08 KITIDO-KABONG'!K18)</f>
        <v>0</v>
      </c>
      <c r="L18" s="49">
        <f>AVERAGE('05.08 KOTIDO-KABONG'!L18,'06.08 KOTIDO-KABONG'!L18,'07.08 KOTIDO-KABONG'!L18,'08.08 KABONG-KOTIDO'!L18,'9.08 KOTIDO-KABONG-24h'!L18,'10.08 KOTIDO-KABONG-24h'!L18,'11.08 KITIDO-KABONG'!L18)</f>
        <v>0</v>
      </c>
      <c r="M18" s="49">
        <f>AVERAGE('05.08 KOTIDO-KABONG'!M18,'06.08 KOTIDO-KABONG'!M18,'07.08 KOTIDO-KABONG'!M18,'08.08 KABONG-KOTIDO'!M18,'9.08 KOTIDO-KABONG-24h'!M18,'10.08 KOTIDO-KABONG-24h'!M18,'11.08 KITIDO-KABONG'!M18)</f>
        <v>1.2857142857142858</v>
      </c>
      <c r="N18" s="49">
        <f>AVERAGE('05.08 KOTIDO-KABONG'!N18,'06.08 KOTIDO-KABONG'!N18,'07.08 KOTIDO-KABONG'!N18,'08.08 KABONG-KOTIDO'!N18,'9.08 KOTIDO-KABONG-24h'!N18,'10.08 KOTIDO-KABONG-24h'!N18,'11.08 KITIDO-KABONG'!N18)</f>
        <v>0</v>
      </c>
      <c r="O18" s="15">
        <f t="shared" si="0"/>
        <v>0.42857142857142855</v>
      </c>
      <c r="P18" s="15">
        <f t="shared" si="1"/>
        <v>1.7142857142857144</v>
      </c>
      <c r="R18" s="1" t="s">
        <v>14</v>
      </c>
      <c r="S18" s="17">
        <f t="shared" ref="S18:AF18" si="10">SUM(C42:C45)</f>
        <v>0</v>
      </c>
      <c r="T18" s="17">
        <f t="shared" si="10"/>
        <v>1.2857142857142856</v>
      </c>
      <c r="U18" s="17">
        <f t="shared" si="10"/>
        <v>0.5714285714285714</v>
      </c>
      <c r="V18" s="17">
        <f t="shared" si="10"/>
        <v>0</v>
      </c>
      <c r="W18" s="17">
        <f t="shared" si="10"/>
        <v>0</v>
      </c>
      <c r="X18" s="17">
        <f t="shared" si="10"/>
        <v>0.14285714285714285</v>
      </c>
      <c r="Y18" s="17">
        <f t="shared" si="10"/>
        <v>0.42857142857142855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3.8571428571428568</v>
      </c>
      <c r="AD18" s="17">
        <f t="shared" si="10"/>
        <v>0</v>
      </c>
      <c r="AE18" s="31">
        <f t="shared" si="10"/>
        <v>2.4285714285714284</v>
      </c>
      <c r="AF18" s="31">
        <f t="shared" si="10"/>
        <v>6.2857142857142847</v>
      </c>
    </row>
    <row r="19" spans="2:32" ht="23.1" customHeight="1" x14ac:dyDescent="0.25">
      <c r="B19" s="23" t="s">
        <v>46</v>
      </c>
      <c r="C19" s="49">
        <f>AVERAGE('05.08 KOTIDO-KABONG'!C19,'06.08 KOTIDO-KABONG'!C19,'07.08 KOTIDO-KABONG'!C19,'08.08 KABONG-KOTIDO'!C19,'9.08 KOTIDO-KABONG-24h'!C19,'10.08 KOTIDO-KABONG-24h'!C19,'11.08 KITIDO-KABONG'!C19)</f>
        <v>0.14285714285714285</v>
      </c>
      <c r="D19" s="49">
        <f>AVERAGE('05.08 KOTIDO-KABONG'!D19,'06.08 KOTIDO-KABONG'!D19,'07.08 KOTIDO-KABONG'!D19,'08.08 KABONG-KOTIDO'!D19,'9.08 KOTIDO-KABONG-24h'!D19,'10.08 KOTIDO-KABONG-24h'!D19,'11.08 KITIDO-KABONG'!D19)</f>
        <v>0.8571428571428571</v>
      </c>
      <c r="E19" s="49">
        <f>AVERAGE('05.08 KOTIDO-KABONG'!E19,'06.08 KOTIDO-KABONG'!E19,'07.08 KOTIDO-KABONG'!E19,'08.08 KABONG-KOTIDO'!E19,'9.08 KOTIDO-KABONG-24h'!E19,'10.08 KOTIDO-KABONG-24h'!E19,'11.08 KITIDO-KABONG'!E19)</f>
        <v>0.2857142857142857</v>
      </c>
      <c r="F19" s="49">
        <f>AVERAGE('05.08 KOTIDO-KABONG'!F19,'06.08 KOTIDO-KABONG'!F19,'07.08 KOTIDO-KABONG'!F19,'08.08 KABONG-KOTIDO'!F19,'9.08 KOTIDO-KABONG-24h'!F19,'10.08 KOTIDO-KABONG-24h'!F19,'11.08 KITIDO-KABONG'!F19)</f>
        <v>0</v>
      </c>
      <c r="G19" s="49">
        <f>AVERAGE('05.08 KOTIDO-KABONG'!G19,'06.08 KOTIDO-KABONG'!G19,'07.08 KOTIDO-KABONG'!G19,'08.08 KABONG-KOTIDO'!G19,'9.08 KOTIDO-KABONG-24h'!G19,'10.08 KOTIDO-KABONG-24h'!G19,'11.08 KITIDO-KABONG'!G19)</f>
        <v>0</v>
      </c>
      <c r="H19" s="49">
        <f>AVERAGE('05.08 KOTIDO-KABONG'!H19,'06.08 KOTIDO-KABONG'!H19,'07.08 KOTIDO-KABONG'!H19,'08.08 KABONG-KOTIDO'!H19,'9.08 KOTIDO-KABONG-24h'!H19,'10.08 KOTIDO-KABONG-24h'!H19,'11.08 KITIDO-KABONG'!H19)</f>
        <v>0</v>
      </c>
      <c r="I19" s="49">
        <f>AVERAGE('05.08 KOTIDO-KABONG'!I19,'06.08 KOTIDO-KABONG'!I19,'07.08 KOTIDO-KABONG'!I19,'08.08 KABONG-KOTIDO'!I19,'9.08 KOTIDO-KABONG-24h'!I19,'10.08 KOTIDO-KABONG-24h'!I19,'11.08 KITIDO-KABONG'!I19)</f>
        <v>0.2857142857142857</v>
      </c>
      <c r="J19" s="49">
        <f>AVERAGE('05.08 KOTIDO-KABONG'!J19,'06.08 KOTIDO-KABONG'!J19,'07.08 KOTIDO-KABONG'!J19,'08.08 KABONG-KOTIDO'!J19,'9.08 KOTIDO-KABONG-24h'!J19,'10.08 KOTIDO-KABONG-24h'!J19,'11.08 KITIDO-KABONG'!J19)</f>
        <v>0</v>
      </c>
      <c r="K19" s="49">
        <f>AVERAGE('05.08 KOTIDO-KABONG'!K19,'06.08 KOTIDO-KABONG'!K19,'07.08 KOTIDO-KABONG'!K19,'08.08 KABONG-KOTIDO'!K19,'9.08 KOTIDO-KABONG-24h'!K19,'10.08 KOTIDO-KABONG-24h'!K19,'11.08 KITIDO-KABONG'!K19)</f>
        <v>0</v>
      </c>
      <c r="L19" s="49">
        <f>AVERAGE('05.08 KOTIDO-KABONG'!L19,'06.08 KOTIDO-KABONG'!L19,'07.08 KOTIDO-KABONG'!L19,'08.08 KABONG-KOTIDO'!L19,'9.08 KOTIDO-KABONG-24h'!L19,'10.08 KOTIDO-KABONG-24h'!L19,'11.08 KITIDO-KABONG'!L19)</f>
        <v>0</v>
      </c>
      <c r="M19" s="49">
        <f>AVERAGE('05.08 KOTIDO-KABONG'!M19,'06.08 KOTIDO-KABONG'!M19,'07.08 KOTIDO-KABONG'!M19,'08.08 KABONG-KOTIDO'!M19,'9.08 KOTIDO-KABONG-24h'!M19,'10.08 KOTIDO-KABONG-24h'!M19,'11.08 KITIDO-KABONG'!M19)</f>
        <v>0.8571428571428571</v>
      </c>
      <c r="N19" s="49">
        <f>AVERAGE('05.08 KOTIDO-KABONG'!N19,'06.08 KOTIDO-KABONG'!N19,'07.08 KOTIDO-KABONG'!N19,'08.08 KABONG-KOTIDO'!N19,'9.08 KOTIDO-KABONG-24h'!N19,'10.08 KOTIDO-KABONG-24h'!N19,'11.08 KITIDO-KABONG'!N19)</f>
        <v>0</v>
      </c>
      <c r="O19" s="15">
        <f t="shared" si="0"/>
        <v>1.5714285714285712</v>
      </c>
      <c r="P19" s="15">
        <f t="shared" si="1"/>
        <v>2.4285714285714284</v>
      </c>
      <c r="R19" s="1" t="s">
        <v>15</v>
      </c>
      <c r="S19" s="17">
        <f t="shared" ref="S19:AF19" si="11">SUM(C46:C49)</f>
        <v>0.14285714285714285</v>
      </c>
      <c r="T19" s="17">
        <f t="shared" si="11"/>
        <v>1.8571428571428572</v>
      </c>
      <c r="U19" s="17">
        <f t="shared" si="11"/>
        <v>0.42857142857142855</v>
      </c>
      <c r="V19" s="17">
        <f t="shared" si="11"/>
        <v>0</v>
      </c>
      <c r="W19" s="17">
        <f t="shared" si="11"/>
        <v>0.2857142857142857</v>
      </c>
      <c r="X19" s="17">
        <f t="shared" si="11"/>
        <v>0</v>
      </c>
      <c r="Y19" s="17">
        <f t="shared" si="11"/>
        <v>0.14285714285714285</v>
      </c>
      <c r="Z19" s="17">
        <f t="shared" si="11"/>
        <v>0.71428571428571419</v>
      </c>
      <c r="AA19" s="17">
        <f t="shared" si="11"/>
        <v>0</v>
      </c>
      <c r="AB19" s="17">
        <f t="shared" si="11"/>
        <v>0</v>
      </c>
      <c r="AC19" s="17">
        <f t="shared" si="11"/>
        <v>3.2857142857142856</v>
      </c>
      <c r="AD19" s="17">
        <f t="shared" si="11"/>
        <v>0</v>
      </c>
      <c r="AE19" s="31">
        <f t="shared" si="11"/>
        <v>3.5714285714285712</v>
      </c>
      <c r="AF19" s="31">
        <f t="shared" si="11"/>
        <v>6.8571428571428577</v>
      </c>
    </row>
    <row r="20" spans="2:32" ht="23.1" customHeight="1" x14ac:dyDescent="0.25">
      <c r="B20" s="23" t="s">
        <v>47</v>
      </c>
      <c r="C20" s="49">
        <f>AVERAGE('05.08 KOTIDO-KABONG'!C20,'06.08 KOTIDO-KABONG'!C20,'07.08 KOTIDO-KABONG'!C20,'08.08 KABONG-KOTIDO'!C20,'9.08 KOTIDO-KABONG-24h'!C20,'10.08 KOTIDO-KABONG-24h'!C20,'11.08 KITIDO-KABONG'!C20)</f>
        <v>0.2857142857142857</v>
      </c>
      <c r="D20" s="49">
        <f>AVERAGE('05.08 KOTIDO-KABONG'!D20,'06.08 KOTIDO-KABONG'!D20,'07.08 KOTIDO-KABONG'!D20,'08.08 KABONG-KOTIDO'!D20,'9.08 KOTIDO-KABONG-24h'!D20,'10.08 KOTIDO-KABONG-24h'!D20,'11.08 KITIDO-KABONG'!D20)</f>
        <v>0.2857142857142857</v>
      </c>
      <c r="E20" s="49">
        <f>AVERAGE('05.08 KOTIDO-KABONG'!E20,'06.08 KOTIDO-KABONG'!E20,'07.08 KOTIDO-KABONG'!E20,'08.08 KABONG-KOTIDO'!E20,'9.08 KOTIDO-KABONG-24h'!E20,'10.08 KOTIDO-KABONG-24h'!E20,'11.08 KITIDO-KABONG'!E20)</f>
        <v>0</v>
      </c>
      <c r="F20" s="49">
        <f>AVERAGE('05.08 KOTIDO-KABONG'!F20,'06.08 KOTIDO-KABONG'!F20,'07.08 KOTIDO-KABONG'!F20,'08.08 KABONG-KOTIDO'!F20,'9.08 KOTIDO-KABONG-24h'!F20,'10.08 KOTIDO-KABONG-24h'!F20,'11.08 KITIDO-KABONG'!F20)</f>
        <v>0</v>
      </c>
      <c r="G20" s="49">
        <f>AVERAGE('05.08 KOTIDO-KABONG'!G20,'06.08 KOTIDO-KABONG'!G20,'07.08 KOTIDO-KABONG'!G20,'08.08 KABONG-KOTIDO'!G20,'9.08 KOTIDO-KABONG-24h'!G20,'10.08 KOTIDO-KABONG-24h'!G20,'11.08 KITIDO-KABONG'!G20)</f>
        <v>0</v>
      </c>
      <c r="H20" s="49">
        <f>AVERAGE('05.08 KOTIDO-KABONG'!H20,'06.08 KOTIDO-KABONG'!H20,'07.08 KOTIDO-KABONG'!H20,'08.08 KABONG-KOTIDO'!H20,'9.08 KOTIDO-KABONG-24h'!H20,'10.08 KOTIDO-KABONG-24h'!H20,'11.08 KITIDO-KABONG'!H20)</f>
        <v>0.2857142857142857</v>
      </c>
      <c r="I20" s="49">
        <f>AVERAGE('05.08 KOTIDO-KABONG'!I20,'06.08 KOTIDO-KABONG'!I20,'07.08 KOTIDO-KABONG'!I20,'08.08 KABONG-KOTIDO'!I20,'9.08 KOTIDO-KABONG-24h'!I20,'10.08 KOTIDO-KABONG-24h'!I20,'11.08 KITIDO-KABONG'!I20)</f>
        <v>0</v>
      </c>
      <c r="J20" s="49">
        <f>AVERAGE('05.08 KOTIDO-KABONG'!J20,'06.08 KOTIDO-KABONG'!J20,'07.08 KOTIDO-KABONG'!J20,'08.08 KABONG-KOTIDO'!J20,'9.08 KOTIDO-KABONG-24h'!J20,'10.08 KOTIDO-KABONG-24h'!J20,'11.08 KITIDO-KABONG'!J20)</f>
        <v>0</v>
      </c>
      <c r="K20" s="49">
        <f>AVERAGE('05.08 KOTIDO-KABONG'!K20,'06.08 KOTIDO-KABONG'!K20,'07.08 KOTIDO-KABONG'!K20,'08.08 KABONG-KOTIDO'!K20,'9.08 KOTIDO-KABONG-24h'!K20,'10.08 KOTIDO-KABONG-24h'!K20,'11.08 KITIDO-KABONG'!K20)</f>
        <v>0</v>
      </c>
      <c r="L20" s="49">
        <f>AVERAGE('05.08 KOTIDO-KABONG'!L20,'06.08 KOTIDO-KABONG'!L20,'07.08 KOTIDO-KABONG'!L20,'08.08 KABONG-KOTIDO'!L20,'9.08 KOTIDO-KABONG-24h'!L20,'10.08 KOTIDO-KABONG-24h'!L20,'11.08 KITIDO-KABONG'!L20)</f>
        <v>0</v>
      </c>
      <c r="M20" s="49">
        <f>AVERAGE('05.08 KOTIDO-KABONG'!M20,'06.08 KOTIDO-KABONG'!M20,'07.08 KOTIDO-KABONG'!M20,'08.08 KABONG-KOTIDO'!M20,'9.08 KOTIDO-KABONG-24h'!M20,'10.08 KOTIDO-KABONG-24h'!M20,'11.08 KITIDO-KABONG'!M20)</f>
        <v>1.1428571428571428</v>
      </c>
      <c r="N20" s="49">
        <f>AVERAGE('05.08 KOTIDO-KABONG'!N20,'06.08 KOTIDO-KABONG'!N20,'07.08 KOTIDO-KABONG'!N20,'08.08 KABONG-KOTIDO'!N20,'9.08 KOTIDO-KABONG-24h'!N20,'10.08 KOTIDO-KABONG-24h'!N20,'11.08 KITIDO-KABONG'!N20)</f>
        <v>0</v>
      </c>
      <c r="O20" s="15">
        <f t="shared" si="0"/>
        <v>0.8571428571428571</v>
      </c>
      <c r="P20" s="15">
        <f t="shared" si="1"/>
        <v>2</v>
      </c>
      <c r="R20" s="1" t="s">
        <v>16</v>
      </c>
      <c r="S20" s="17">
        <f t="shared" ref="S20:AF20" si="12">SUM(C50:C53)</f>
        <v>0.14285714285714285</v>
      </c>
      <c r="T20" s="17">
        <f t="shared" si="12"/>
        <v>1.1428571428571428</v>
      </c>
      <c r="U20" s="17">
        <f t="shared" si="12"/>
        <v>1.4285714285714284</v>
      </c>
      <c r="V20" s="17">
        <f t="shared" si="12"/>
        <v>0</v>
      </c>
      <c r="W20" s="17">
        <f t="shared" si="12"/>
        <v>0</v>
      </c>
      <c r="X20" s="17">
        <f t="shared" si="12"/>
        <v>0.2857142857142857</v>
      </c>
      <c r="Y20" s="17">
        <f t="shared" si="12"/>
        <v>0.2857142857142857</v>
      </c>
      <c r="Z20" s="17">
        <f t="shared" si="12"/>
        <v>0.71428571428571419</v>
      </c>
      <c r="AA20" s="17">
        <f t="shared" si="12"/>
        <v>0</v>
      </c>
      <c r="AB20" s="17">
        <f t="shared" si="12"/>
        <v>0</v>
      </c>
      <c r="AC20" s="17">
        <f t="shared" si="12"/>
        <v>1.8571428571428572</v>
      </c>
      <c r="AD20" s="17">
        <f t="shared" si="12"/>
        <v>0</v>
      </c>
      <c r="AE20" s="31">
        <f t="shared" si="12"/>
        <v>3.9999999999999996</v>
      </c>
      <c r="AF20" s="31">
        <f t="shared" si="12"/>
        <v>5.8571428571428568</v>
      </c>
    </row>
    <row r="21" spans="2:32" ht="23.1" customHeight="1" x14ac:dyDescent="0.25">
      <c r="B21" s="23" t="s">
        <v>48</v>
      </c>
      <c r="C21" s="49">
        <f>AVERAGE('05.08 KOTIDO-KABONG'!C21,'06.08 KOTIDO-KABONG'!C21,'07.08 KOTIDO-KABONG'!C21,'08.08 KABONG-KOTIDO'!C21,'9.08 KOTIDO-KABONG-24h'!C21,'10.08 KOTIDO-KABONG-24h'!C21,'11.08 KITIDO-KABONG'!C21)</f>
        <v>0.14285714285714285</v>
      </c>
      <c r="D21" s="49">
        <f>AVERAGE('05.08 KOTIDO-KABONG'!D21,'06.08 KOTIDO-KABONG'!D21,'07.08 KOTIDO-KABONG'!D21,'08.08 KABONG-KOTIDO'!D21,'9.08 KOTIDO-KABONG-24h'!D21,'10.08 KOTIDO-KABONG-24h'!D21,'11.08 KITIDO-KABONG'!D21)</f>
        <v>0.7142857142857143</v>
      </c>
      <c r="E21" s="49">
        <f>AVERAGE('05.08 KOTIDO-KABONG'!E21,'06.08 KOTIDO-KABONG'!E21,'07.08 KOTIDO-KABONG'!E21,'08.08 KABONG-KOTIDO'!E21,'9.08 KOTIDO-KABONG-24h'!E21,'10.08 KOTIDO-KABONG-24h'!E21,'11.08 KITIDO-KABONG'!E21)</f>
        <v>0.42857142857142855</v>
      </c>
      <c r="F21" s="49">
        <f>AVERAGE('05.08 KOTIDO-KABONG'!F21,'06.08 KOTIDO-KABONG'!F21,'07.08 KOTIDO-KABONG'!F21,'08.08 KABONG-KOTIDO'!F21,'9.08 KOTIDO-KABONG-24h'!F21,'10.08 KOTIDO-KABONG-24h'!F21,'11.08 KITIDO-KABONG'!F21)</f>
        <v>0</v>
      </c>
      <c r="G21" s="49">
        <f>AVERAGE('05.08 KOTIDO-KABONG'!G21,'06.08 KOTIDO-KABONG'!G21,'07.08 KOTIDO-KABONG'!G21,'08.08 KABONG-KOTIDO'!G21,'9.08 KOTIDO-KABONG-24h'!G21,'10.08 KOTIDO-KABONG-24h'!G21,'11.08 KITIDO-KABONG'!G21)</f>
        <v>0</v>
      </c>
      <c r="H21" s="49">
        <f>AVERAGE('05.08 KOTIDO-KABONG'!H21,'06.08 KOTIDO-KABONG'!H21,'07.08 KOTIDO-KABONG'!H21,'08.08 KABONG-KOTIDO'!H21,'9.08 KOTIDO-KABONG-24h'!H21,'10.08 KOTIDO-KABONG-24h'!H21,'11.08 KITIDO-KABONG'!H21)</f>
        <v>0</v>
      </c>
      <c r="I21" s="49">
        <f>AVERAGE('05.08 KOTIDO-KABONG'!I21,'06.08 KOTIDO-KABONG'!I21,'07.08 KOTIDO-KABONG'!I21,'08.08 KABONG-KOTIDO'!I21,'9.08 KOTIDO-KABONG-24h'!I21,'10.08 KOTIDO-KABONG-24h'!I21,'11.08 KITIDO-KABONG'!I21)</f>
        <v>0</v>
      </c>
      <c r="J21" s="49">
        <f>AVERAGE('05.08 KOTIDO-KABONG'!J21,'06.08 KOTIDO-KABONG'!J21,'07.08 KOTIDO-KABONG'!J21,'08.08 KABONG-KOTIDO'!J21,'9.08 KOTIDO-KABONG-24h'!J21,'10.08 KOTIDO-KABONG-24h'!J21,'11.08 KITIDO-KABONG'!J21)</f>
        <v>0</v>
      </c>
      <c r="K21" s="49">
        <f>AVERAGE('05.08 KOTIDO-KABONG'!K21,'06.08 KOTIDO-KABONG'!K21,'07.08 KOTIDO-KABONG'!K21,'08.08 KABONG-KOTIDO'!K21,'9.08 KOTIDO-KABONG-24h'!K21,'10.08 KOTIDO-KABONG-24h'!K21,'11.08 KITIDO-KABONG'!K21)</f>
        <v>0</v>
      </c>
      <c r="L21" s="49">
        <f>AVERAGE('05.08 KOTIDO-KABONG'!L21,'06.08 KOTIDO-KABONG'!L21,'07.08 KOTIDO-KABONG'!L21,'08.08 KABONG-KOTIDO'!L21,'9.08 KOTIDO-KABONG-24h'!L21,'10.08 KOTIDO-KABONG-24h'!L21,'11.08 KITIDO-KABONG'!L21)</f>
        <v>0</v>
      </c>
      <c r="M21" s="49">
        <f>AVERAGE('05.08 KOTIDO-KABONG'!M21,'06.08 KOTIDO-KABONG'!M21,'07.08 KOTIDO-KABONG'!M21,'08.08 KABONG-KOTIDO'!M21,'9.08 KOTIDO-KABONG-24h'!M21,'10.08 KOTIDO-KABONG-24h'!M21,'11.08 KITIDO-KABONG'!M21)</f>
        <v>0.8571428571428571</v>
      </c>
      <c r="N21" s="49">
        <f>AVERAGE('05.08 KOTIDO-KABONG'!N21,'06.08 KOTIDO-KABONG'!N21,'07.08 KOTIDO-KABONG'!N21,'08.08 KABONG-KOTIDO'!N21,'9.08 KOTIDO-KABONG-24h'!N21,'10.08 KOTIDO-KABONG-24h'!N21,'11.08 KITIDO-KABONG'!N21)</f>
        <v>0</v>
      </c>
      <c r="O21" s="15">
        <f t="shared" si="0"/>
        <v>1.2857142857142858</v>
      </c>
      <c r="P21" s="15">
        <f t="shared" si="1"/>
        <v>2.1428571428571428</v>
      </c>
      <c r="R21" s="36" t="s">
        <v>20</v>
      </c>
      <c r="S21" s="34">
        <f t="shared" ref="S21:AF21" si="13">SUM(C54:C57)</f>
        <v>0.2857142857142857</v>
      </c>
      <c r="T21" s="17">
        <f t="shared" si="13"/>
        <v>1.1428571428571428</v>
      </c>
      <c r="U21" s="17">
        <f t="shared" si="13"/>
        <v>1.1428571428571428</v>
      </c>
      <c r="V21" s="17">
        <f t="shared" si="13"/>
        <v>0</v>
      </c>
      <c r="W21" s="17">
        <f t="shared" si="13"/>
        <v>0</v>
      </c>
      <c r="X21" s="17">
        <f t="shared" si="13"/>
        <v>0.14285714285714285</v>
      </c>
      <c r="Y21" s="17">
        <f t="shared" si="13"/>
        <v>0.5714285714285714</v>
      </c>
      <c r="Z21" s="17">
        <f t="shared" si="13"/>
        <v>0.2857142857142857</v>
      </c>
      <c r="AA21" s="17">
        <f t="shared" si="13"/>
        <v>0</v>
      </c>
      <c r="AB21" s="17">
        <f t="shared" si="13"/>
        <v>0</v>
      </c>
      <c r="AC21" s="17">
        <f t="shared" si="13"/>
        <v>2.8571428571428568</v>
      </c>
      <c r="AD21" s="17">
        <f t="shared" si="13"/>
        <v>0</v>
      </c>
      <c r="AE21" s="31">
        <f t="shared" si="13"/>
        <v>3.5714285714285712</v>
      </c>
      <c r="AF21" s="31">
        <f t="shared" si="13"/>
        <v>6.4285714285714288</v>
      </c>
    </row>
    <row r="22" spans="2:32" ht="23.1" customHeight="1" x14ac:dyDescent="0.25">
      <c r="B22" s="23" t="s">
        <v>49</v>
      </c>
      <c r="C22" s="49">
        <f>AVERAGE('05.08 KOTIDO-KABONG'!C22,'06.08 KOTIDO-KABONG'!C22,'07.08 KOTIDO-KABONG'!C22,'08.08 KABONG-KOTIDO'!C22,'9.08 KOTIDO-KABONG-24h'!C22,'10.08 KOTIDO-KABONG-24h'!C22,'11.08 KITIDO-KABONG'!C22)</f>
        <v>0</v>
      </c>
      <c r="D22" s="49">
        <f>AVERAGE('05.08 KOTIDO-KABONG'!D22,'06.08 KOTIDO-KABONG'!D22,'07.08 KOTIDO-KABONG'!D22,'08.08 KABONG-KOTIDO'!D22,'9.08 KOTIDO-KABONG-24h'!D22,'10.08 KOTIDO-KABONG-24h'!D22,'11.08 KITIDO-KABONG'!D22)</f>
        <v>0.2857142857142857</v>
      </c>
      <c r="E22" s="49">
        <f>AVERAGE('05.08 KOTIDO-KABONG'!E22,'06.08 KOTIDO-KABONG'!E22,'07.08 KOTIDO-KABONG'!E22,'08.08 KABONG-KOTIDO'!E22,'9.08 KOTIDO-KABONG-24h'!E22,'10.08 KOTIDO-KABONG-24h'!E22,'11.08 KITIDO-KABONG'!E22)</f>
        <v>0.14285714285714285</v>
      </c>
      <c r="F22" s="49">
        <f>AVERAGE('05.08 KOTIDO-KABONG'!F22,'06.08 KOTIDO-KABONG'!F22,'07.08 KOTIDO-KABONG'!F22,'08.08 KABONG-KOTIDO'!F22,'9.08 KOTIDO-KABONG-24h'!F22,'10.08 KOTIDO-KABONG-24h'!F22,'11.08 KITIDO-KABONG'!F22)</f>
        <v>0</v>
      </c>
      <c r="G22" s="49">
        <f>AVERAGE('05.08 KOTIDO-KABONG'!G22,'06.08 KOTIDO-KABONG'!G22,'07.08 KOTIDO-KABONG'!G22,'08.08 KABONG-KOTIDO'!G22,'9.08 KOTIDO-KABONG-24h'!G22,'10.08 KOTIDO-KABONG-24h'!G22,'11.08 KITIDO-KABONG'!G22)</f>
        <v>0</v>
      </c>
      <c r="H22" s="49">
        <f>AVERAGE('05.08 KOTIDO-KABONG'!H22,'06.08 KOTIDO-KABONG'!H22,'07.08 KOTIDO-KABONG'!H22,'08.08 KABONG-KOTIDO'!H22,'9.08 KOTIDO-KABONG-24h'!H22,'10.08 KOTIDO-KABONG-24h'!H22,'11.08 KITIDO-KABONG'!H22)</f>
        <v>0</v>
      </c>
      <c r="I22" s="49">
        <f>AVERAGE('05.08 KOTIDO-KABONG'!I22,'06.08 KOTIDO-KABONG'!I22,'07.08 KOTIDO-KABONG'!I22,'08.08 KABONG-KOTIDO'!I22,'9.08 KOTIDO-KABONG-24h'!I22,'10.08 KOTIDO-KABONG-24h'!I22,'11.08 KITIDO-KABONG'!I22)</f>
        <v>0.14285714285714285</v>
      </c>
      <c r="J22" s="49">
        <f>AVERAGE('05.08 KOTIDO-KABONG'!J22,'06.08 KOTIDO-KABONG'!J22,'07.08 KOTIDO-KABONG'!J22,'08.08 KABONG-KOTIDO'!J22,'9.08 KOTIDO-KABONG-24h'!J22,'10.08 KOTIDO-KABONG-24h'!J22,'11.08 KITIDO-KABONG'!J22)</f>
        <v>0.2857142857142857</v>
      </c>
      <c r="K22" s="49">
        <f>AVERAGE('05.08 KOTIDO-KABONG'!K22,'06.08 KOTIDO-KABONG'!K22,'07.08 KOTIDO-KABONG'!K22,'08.08 KABONG-KOTIDO'!K22,'9.08 KOTIDO-KABONG-24h'!K22,'10.08 KOTIDO-KABONG-24h'!K22,'11.08 KITIDO-KABONG'!K22)</f>
        <v>0</v>
      </c>
      <c r="L22" s="49">
        <f>AVERAGE('05.08 KOTIDO-KABONG'!L22,'06.08 KOTIDO-KABONG'!L22,'07.08 KOTIDO-KABONG'!L22,'08.08 KABONG-KOTIDO'!L22,'9.08 KOTIDO-KABONG-24h'!L22,'10.08 KOTIDO-KABONG-24h'!L22,'11.08 KITIDO-KABONG'!L22)</f>
        <v>0</v>
      </c>
      <c r="M22" s="49">
        <f>AVERAGE('05.08 KOTIDO-KABONG'!M22,'06.08 KOTIDO-KABONG'!M22,'07.08 KOTIDO-KABONG'!M22,'08.08 KABONG-KOTIDO'!M22,'9.08 KOTIDO-KABONG-24h'!M22,'10.08 KOTIDO-KABONG-24h'!M22,'11.08 KITIDO-KABONG'!M22)</f>
        <v>0.8571428571428571</v>
      </c>
      <c r="N22" s="49">
        <f>AVERAGE('05.08 KOTIDO-KABONG'!N22,'06.08 KOTIDO-KABONG'!N22,'07.08 KOTIDO-KABONG'!N22,'08.08 KABONG-KOTIDO'!N22,'9.08 KOTIDO-KABONG-24h'!N22,'10.08 KOTIDO-KABONG-24h'!N22,'11.08 KITIDO-KABONG'!N22)</f>
        <v>0</v>
      </c>
      <c r="O22" s="15">
        <f t="shared" si="0"/>
        <v>0.8571428571428571</v>
      </c>
      <c r="P22" s="15">
        <f t="shared" si="1"/>
        <v>1.7142857142857142</v>
      </c>
      <c r="R22" s="1" t="s">
        <v>146</v>
      </c>
      <c r="S22" s="34">
        <f>SUM(C58:C61)</f>
        <v>0</v>
      </c>
      <c r="T22" s="34">
        <f t="shared" ref="T22:AF22" si="14">SUM(D58:D61)</f>
        <v>2</v>
      </c>
      <c r="U22" s="34">
        <f t="shared" si="14"/>
        <v>2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0.5</v>
      </c>
      <c r="Z22" s="34">
        <f t="shared" si="14"/>
        <v>1</v>
      </c>
      <c r="AA22" s="34">
        <f t="shared" si="14"/>
        <v>0</v>
      </c>
      <c r="AB22" s="34">
        <f t="shared" si="14"/>
        <v>0</v>
      </c>
      <c r="AC22" s="34">
        <f t="shared" si="14"/>
        <v>3.5</v>
      </c>
      <c r="AD22" s="34">
        <f t="shared" si="14"/>
        <v>0</v>
      </c>
      <c r="AE22" s="31">
        <f t="shared" si="14"/>
        <v>5.5</v>
      </c>
      <c r="AF22" s="31">
        <f t="shared" si="14"/>
        <v>9</v>
      </c>
    </row>
    <row r="23" spans="2:32" ht="23.1" customHeight="1" x14ac:dyDescent="0.25">
      <c r="B23" s="23" t="s">
        <v>50</v>
      </c>
      <c r="C23" s="49">
        <f>AVERAGE('05.08 KOTIDO-KABONG'!C23,'06.08 KOTIDO-KABONG'!C23,'07.08 KOTIDO-KABONG'!C23,'08.08 KABONG-KOTIDO'!C23,'9.08 KOTIDO-KABONG-24h'!C23,'10.08 KOTIDO-KABONG-24h'!C23,'11.08 KITIDO-KABONG'!C23)</f>
        <v>0</v>
      </c>
      <c r="D23" s="49">
        <f>AVERAGE('05.08 KOTIDO-KABONG'!D23,'06.08 KOTIDO-KABONG'!D23,'07.08 KOTIDO-KABONG'!D23,'08.08 KABONG-KOTIDO'!D23,'9.08 KOTIDO-KABONG-24h'!D23,'10.08 KOTIDO-KABONG-24h'!D23,'11.08 KITIDO-KABONG'!D23)</f>
        <v>0.2857142857142857</v>
      </c>
      <c r="E23" s="49">
        <f>AVERAGE('05.08 KOTIDO-KABONG'!E23,'06.08 KOTIDO-KABONG'!E23,'07.08 KOTIDO-KABONG'!E23,'08.08 KABONG-KOTIDO'!E23,'9.08 KOTIDO-KABONG-24h'!E23,'10.08 KOTIDO-KABONG-24h'!E23,'11.08 KITIDO-KABONG'!E23)</f>
        <v>0</v>
      </c>
      <c r="F23" s="49">
        <f>AVERAGE('05.08 KOTIDO-KABONG'!F23,'06.08 KOTIDO-KABONG'!F23,'07.08 KOTIDO-KABONG'!F23,'08.08 KABONG-KOTIDO'!F23,'9.08 KOTIDO-KABONG-24h'!F23,'10.08 KOTIDO-KABONG-24h'!F23,'11.08 KITIDO-KABONG'!F23)</f>
        <v>0</v>
      </c>
      <c r="G23" s="49">
        <f>AVERAGE('05.08 KOTIDO-KABONG'!G23,'06.08 KOTIDO-KABONG'!G23,'07.08 KOTIDO-KABONG'!G23,'08.08 KABONG-KOTIDO'!G23,'9.08 KOTIDO-KABONG-24h'!G23,'10.08 KOTIDO-KABONG-24h'!G23,'11.08 KITIDO-KABONG'!G23)</f>
        <v>0</v>
      </c>
      <c r="H23" s="49">
        <f>AVERAGE('05.08 KOTIDO-KABONG'!H23,'06.08 KOTIDO-KABONG'!H23,'07.08 KOTIDO-KABONG'!H23,'08.08 KABONG-KOTIDO'!H23,'9.08 KOTIDO-KABONG-24h'!H23,'10.08 KOTIDO-KABONG-24h'!H23,'11.08 KITIDO-KABONG'!H23)</f>
        <v>0</v>
      </c>
      <c r="I23" s="49">
        <f>AVERAGE('05.08 KOTIDO-KABONG'!I23,'06.08 KOTIDO-KABONG'!I23,'07.08 KOTIDO-KABONG'!I23,'08.08 KABONG-KOTIDO'!I23,'9.08 KOTIDO-KABONG-24h'!I23,'10.08 KOTIDO-KABONG-24h'!I23,'11.08 KITIDO-KABONG'!I23)</f>
        <v>0</v>
      </c>
      <c r="J23" s="49">
        <f>AVERAGE('05.08 KOTIDO-KABONG'!J23,'06.08 KOTIDO-KABONG'!J23,'07.08 KOTIDO-KABONG'!J23,'08.08 KABONG-KOTIDO'!J23,'9.08 KOTIDO-KABONG-24h'!J23,'10.08 KOTIDO-KABONG-24h'!J23,'11.08 KITIDO-KABONG'!J23)</f>
        <v>0.14285714285714285</v>
      </c>
      <c r="K23" s="49">
        <f>AVERAGE('05.08 KOTIDO-KABONG'!K23,'06.08 KOTIDO-KABONG'!K23,'07.08 KOTIDO-KABONG'!K23,'08.08 KABONG-KOTIDO'!K23,'9.08 KOTIDO-KABONG-24h'!K23,'10.08 KOTIDO-KABONG-24h'!K23,'11.08 KITIDO-KABONG'!K23)</f>
        <v>0</v>
      </c>
      <c r="L23" s="49">
        <f>AVERAGE('05.08 KOTIDO-KABONG'!L23,'06.08 KOTIDO-KABONG'!L23,'07.08 KOTIDO-KABONG'!L23,'08.08 KABONG-KOTIDO'!L23,'9.08 KOTIDO-KABONG-24h'!L23,'10.08 KOTIDO-KABONG-24h'!L23,'11.08 KITIDO-KABONG'!L23)</f>
        <v>0</v>
      </c>
      <c r="M23" s="49">
        <f>AVERAGE('05.08 KOTIDO-KABONG'!M23,'06.08 KOTIDO-KABONG'!M23,'07.08 KOTIDO-KABONG'!M23,'08.08 KABONG-KOTIDO'!M23,'9.08 KOTIDO-KABONG-24h'!M23,'10.08 KOTIDO-KABONG-24h'!M23,'11.08 KITIDO-KABONG'!M23)</f>
        <v>0.5714285714285714</v>
      </c>
      <c r="N23" s="49">
        <f>AVERAGE('05.08 KOTIDO-KABONG'!N23,'06.08 KOTIDO-KABONG'!N23,'07.08 KOTIDO-KABONG'!N23,'08.08 KABONG-KOTIDO'!N23,'9.08 KOTIDO-KABONG-24h'!N23,'10.08 KOTIDO-KABONG-24h'!N23,'11.08 KITIDO-KABONG'!N23)</f>
        <v>0</v>
      </c>
      <c r="O23" s="15">
        <f t="shared" si="0"/>
        <v>0.42857142857142855</v>
      </c>
      <c r="P23" s="15">
        <f t="shared" si="1"/>
        <v>1</v>
      </c>
      <c r="R23" s="1" t="s">
        <v>147</v>
      </c>
      <c r="S23" s="34">
        <f>SUM(C62:C65)</f>
        <v>0</v>
      </c>
      <c r="T23" s="34">
        <f t="shared" ref="T23:AF23" si="15">SUM(D62:D65)</f>
        <v>1</v>
      </c>
      <c r="U23" s="34">
        <f t="shared" si="15"/>
        <v>2.5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1.5</v>
      </c>
      <c r="Z23" s="34">
        <f t="shared" si="15"/>
        <v>2</v>
      </c>
      <c r="AA23" s="34">
        <f t="shared" si="15"/>
        <v>0</v>
      </c>
      <c r="AB23" s="34">
        <f t="shared" si="15"/>
        <v>0</v>
      </c>
      <c r="AC23" s="34">
        <f t="shared" si="15"/>
        <v>3</v>
      </c>
      <c r="AD23" s="34">
        <f t="shared" si="15"/>
        <v>0</v>
      </c>
      <c r="AE23" s="31">
        <f t="shared" si="15"/>
        <v>7</v>
      </c>
      <c r="AF23" s="31">
        <f t="shared" si="15"/>
        <v>10</v>
      </c>
    </row>
    <row r="24" spans="2:32" ht="23.1" customHeight="1" x14ac:dyDescent="0.25">
      <c r="B24" s="23" t="s">
        <v>51</v>
      </c>
      <c r="C24" s="49">
        <f>AVERAGE('05.08 KOTIDO-KABONG'!C24,'06.08 KOTIDO-KABONG'!C24,'07.08 KOTIDO-KABONG'!C24,'08.08 KABONG-KOTIDO'!C24,'9.08 KOTIDO-KABONG-24h'!C24,'10.08 KOTIDO-KABONG-24h'!C24,'11.08 KITIDO-KABONG'!C24)</f>
        <v>0</v>
      </c>
      <c r="D24" s="49">
        <f>AVERAGE('05.08 KOTIDO-KABONG'!D24,'06.08 KOTIDO-KABONG'!D24,'07.08 KOTIDO-KABONG'!D24,'08.08 KABONG-KOTIDO'!D24,'9.08 KOTIDO-KABONG-24h'!D24,'10.08 KOTIDO-KABONG-24h'!D24,'11.08 KITIDO-KABONG'!D24)</f>
        <v>0.14285714285714285</v>
      </c>
      <c r="E24" s="49">
        <f>AVERAGE('05.08 KOTIDO-KABONG'!E24,'06.08 KOTIDO-KABONG'!E24,'07.08 KOTIDO-KABONG'!E24,'08.08 KABONG-KOTIDO'!E24,'9.08 KOTIDO-KABONG-24h'!E24,'10.08 KOTIDO-KABONG-24h'!E24,'11.08 KITIDO-KABONG'!E24)</f>
        <v>0.7142857142857143</v>
      </c>
      <c r="F24" s="49">
        <f>AVERAGE('05.08 KOTIDO-KABONG'!F24,'06.08 KOTIDO-KABONG'!F24,'07.08 KOTIDO-KABONG'!F24,'08.08 KABONG-KOTIDO'!F24,'9.08 KOTIDO-KABONG-24h'!F24,'10.08 KOTIDO-KABONG-24h'!F24,'11.08 KITIDO-KABONG'!F24)</f>
        <v>0</v>
      </c>
      <c r="G24" s="49">
        <f>AVERAGE('05.08 KOTIDO-KABONG'!G24,'06.08 KOTIDO-KABONG'!G24,'07.08 KOTIDO-KABONG'!G24,'08.08 KABONG-KOTIDO'!G24,'9.08 KOTIDO-KABONG-24h'!G24,'10.08 KOTIDO-KABONG-24h'!G24,'11.08 KITIDO-KABONG'!G24)</f>
        <v>0</v>
      </c>
      <c r="H24" s="49">
        <f>AVERAGE('05.08 KOTIDO-KABONG'!H24,'06.08 KOTIDO-KABONG'!H24,'07.08 KOTIDO-KABONG'!H24,'08.08 KABONG-KOTIDO'!H24,'9.08 KOTIDO-KABONG-24h'!H24,'10.08 KOTIDO-KABONG-24h'!H24,'11.08 KITIDO-KABONG'!H24)</f>
        <v>0</v>
      </c>
      <c r="I24" s="49">
        <f>AVERAGE('05.08 KOTIDO-KABONG'!I24,'06.08 KOTIDO-KABONG'!I24,'07.08 KOTIDO-KABONG'!I24,'08.08 KABONG-KOTIDO'!I24,'9.08 KOTIDO-KABONG-24h'!I24,'10.08 KOTIDO-KABONG-24h'!I24,'11.08 KITIDO-KABONG'!I24)</f>
        <v>0.14285714285714285</v>
      </c>
      <c r="J24" s="49">
        <f>AVERAGE('05.08 KOTIDO-KABONG'!J24,'06.08 KOTIDO-KABONG'!J24,'07.08 KOTIDO-KABONG'!J24,'08.08 KABONG-KOTIDO'!J24,'9.08 KOTIDO-KABONG-24h'!J24,'10.08 KOTIDO-KABONG-24h'!J24,'11.08 KITIDO-KABONG'!J24)</f>
        <v>0</v>
      </c>
      <c r="K24" s="49">
        <f>AVERAGE('05.08 KOTIDO-KABONG'!K24,'06.08 KOTIDO-KABONG'!K24,'07.08 KOTIDO-KABONG'!K24,'08.08 KABONG-KOTIDO'!K24,'9.08 KOTIDO-KABONG-24h'!K24,'10.08 KOTIDO-KABONG-24h'!K24,'11.08 KITIDO-KABONG'!K24)</f>
        <v>0</v>
      </c>
      <c r="L24" s="49">
        <f>AVERAGE('05.08 KOTIDO-KABONG'!L24,'06.08 KOTIDO-KABONG'!L24,'07.08 KOTIDO-KABONG'!L24,'08.08 KABONG-KOTIDO'!L24,'9.08 KOTIDO-KABONG-24h'!L24,'10.08 KOTIDO-KABONG-24h'!L24,'11.08 KITIDO-KABONG'!L24)</f>
        <v>0</v>
      </c>
      <c r="M24" s="49">
        <f>AVERAGE('05.08 KOTIDO-KABONG'!M24,'06.08 KOTIDO-KABONG'!M24,'07.08 KOTIDO-KABONG'!M24,'08.08 KABONG-KOTIDO'!M24,'9.08 KOTIDO-KABONG-24h'!M24,'10.08 KOTIDO-KABONG-24h'!M24,'11.08 KITIDO-KABONG'!M24)</f>
        <v>0.2857142857142857</v>
      </c>
      <c r="N24" s="49">
        <f>AVERAGE('05.08 KOTIDO-KABONG'!N24,'06.08 KOTIDO-KABONG'!N24,'07.08 KOTIDO-KABONG'!N24,'08.08 KABONG-KOTIDO'!N24,'9.08 KOTIDO-KABONG-24h'!N24,'10.08 KOTIDO-KABONG-24h'!N24,'11.08 KITIDO-KABONG'!N24)</f>
        <v>0</v>
      </c>
      <c r="O24" s="15">
        <f t="shared" si="0"/>
        <v>1</v>
      </c>
      <c r="P24" s="15">
        <f t="shared" si="1"/>
        <v>1.2857142857142856</v>
      </c>
      <c r="R24" s="1" t="s">
        <v>148</v>
      </c>
      <c r="S24" s="34">
        <f>SUM(C66:C69)</f>
        <v>0</v>
      </c>
      <c r="T24" s="34">
        <f t="shared" ref="T24:AF24" si="16">SUM(D66:D69)</f>
        <v>1.5</v>
      </c>
      <c r="U24" s="34">
        <f t="shared" si="16"/>
        <v>0.5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0.5</v>
      </c>
      <c r="Z24" s="34">
        <f t="shared" si="16"/>
        <v>0.5</v>
      </c>
      <c r="AA24" s="34">
        <f t="shared" si="16"/>
        <v>0</v>
      </c>
      <c r="AB24" s="34">
        <f t="shared" si="16"/>
        <v>0</v>
      </c>
      <c r="AC24" s="34">
        <f t="shared" si="16"/>
        <v>5.5</v>
      </c>
      <c r="AD24" s="34">
        <f t="shared" si="16"/>
        <v>0</v>
      </c>
      <c r="AE24" s="31">
        <f t="shared" si="16"/>
        <v>3</v>
      </c>
      <c r="AF24" s="31">
        <f t="shared" si="16"/>
        <v>8.5</v>
      </c>
    </row>
    <row r="25" spans="2:32" ht="23.1" customHeight="1" x14ac:dyDescent="0.25">
      <c r="B25" s="23" t="s">
        <v>52</v>
      </c>
      <c r="C25" s="49">
        <f>AVERAGE('05.08 KOTIDO-KABONG'!C25,'06.08 KOTIDO-KABONG'!C25,'07.08 KOTIDO-KABONG'!C25,'08.08 KABONG-KOTIDO'!C25,'9.08 KOTIDO-KABONG-24h'!C25,'10.08 KOTIDO-KABONG-24h'!C25,'11.08 KITIDO-KABONG'!C25)</f>
        <v>0.7142857142857143</v>
      </c>
      <c r="D25" s="49">
        <f>AVERAGE('05.08 KOTIDO-KABONG'!D25,'06.08 KOTIDO-KABONG'!D25,'07.08 KOTIDO-KABONG'!D25,'08.08 KABONG-KOTIDO'!D25,'9.08 KOTIDO-KABONG-24h'!D25,'10.08 KOTIDO-KABONG-24h'!D25,'11.08 KITIDO-KABONG'!D25)</f>
        <v>0</v>
      </c>
      <c r="E25" s="49">
        <f>AVERAGE('05.08 KOTIDO-KABONG'!E25,'06.08 KOTIDO-KABONG'!E25,'07.08 KOTIDO-KABONG'!E25,'08.08 KABONG-KOTIDO'!E25,'9.08 KOTIDO-KABONG-24h'!E25,'10.08 KOTIDO-KABONG-24h'!E25,'11.08 KITIDO-KABONG'!E25)</f>
        <v>0</v>
      </c>
      <c r="F25" s="49">
        <f>AVERAGE('05.08 KOTIDO-KABONG'!F25,'06.08 KOTIDO-KABONG'!F25,'07.08 KOTIDO-KABONG'!F25,'08.08 KABONG-KOTIDO'!F25,'9.08 KOTIDO-KABONG-24h'!F25,'10.08 KOTIDO-KABONG-24h'!F25,'11.08 KITIDO-KABONG'!F25)</f>
        <v>0</v>
      </c>
      <c r="G25" s="49">
        <f>AVERAGE('05.08 KOTIDO-KABONG'!G25,'06.08 KOTIDO-KABONG'!G25,'07.08 KOTIDO-KABONG'!G25,'08.08 KABONG-KOTIDO'!G25,'9.08 KOTIDO-KABONG-24h'!G25,'10.08 KOTIDO-KABONG-24h'!G25,'11.08 KITIDO-KABONG'!G25)</f>
        <v>0</v>
      </c>
      <c r="H25" s="49">
        <f>AVERAGE('05.08 KOTIDO-KABONG'!H25,'06.08 KOTIDO-KABONG'!H25,'07.08 KOTIDO-KABONG'!H25,'08.08 KABONG-KOTIDO'!H25,'9.08 KOTIDO-KABONG-24h'!H25,'10.08 KOTIDO-KABONG-24h'!H25,'11.08 KITIDO-KABONG'!H25)</f>
        <v>0</v>
      </c>
      <c r="I25" s="49">
        <f>AVERAGE('05.08 KOTIDO-KABONG'!I25,'06.08 KOTIDO-KABONG'!I25,'07.08 KOTIDO-KABONG'!I25,'08.08 KABONG-KOTIDO'!I25,'9.08 KOTIDO-KABONG-24h'!I25,'10.08 KOTIDO-KABONG-24h'!I25,'11.08 KITIDO-KABONG'!I25)</f>
        <v>0</v>
      </c>
      <c r="J25" s="49">
        <f>AVERAGE('05.08 KOTIDO-KABONG'!J25,'06.08 KOTIDO-KABONG'!J25,'07.08 KOTIDO-KABONG'!J25,'08.08 KABONG-KOTIDO'!J25,'9.08 KOTIDO-KABONG-24h'!J25,'10.08 KOTIDO-KABONG-24h'!J25,'11.08 KITIDO-KABONG'!J25)</f>
        <v>0</v>
      </c>
      <c r="K25" s="49">
        <f>AVERAGE('05.08 KOTIDO-KABONG'!K25,'06.08 KOTIDO-KABONG'!K25,'07.08 KOTIDO-KABONG'!K25,'08.08 KABONG-KOTIDO'!K25,'9.08 KOTIDO-KABONG-24h'!K25,'10.08 KOTIDO-KABONG-24h'!K25,'11.08 KITIDO-KABONG'!K25)</f>
        <v>0.14285714285714285</v>
      </c>
      <c r="L25" s="49">
        <f>AVERAGE('05.08 KOTIDO-KABONG'!L25,'06.08 KOTIDO-KABONG'!L25,'07.08 KOTIDO-KABONG'!L25,'08.08 KABONG-KOTIDO'!L25,'9.08 KOTIDO-KABONG-24h'!L25,'10.08 KOTIDO-KABONG-24h'!L25,'11.08 KITIDO-KABONG'!L25)</f>
        <v>0</v>
      </c>
      <c r="M25" s="49">
        <f>AVERAGE('05.08 KOTIDO-KABONG'!M25,'06.08 KOTIDO-KABONG'!M25,'07.08 KOTIDO-KABONG'!M25,'08.08 KABONG-KOTIDO'!M25,'9.08 KOTIDO-KABONG-24h'!M25,'10.08 KOTIDO-KABONG-24h'!M25,'11.08 KITIDO-KABONG'!M25)</f>
        <v>0.5714285714285714</v>
      </c>
      <c r="N25" s="49">
        <f>AVERAGE('05.08 KOTIDO-KABONG'!N25,'06.08 KOTIDO-KABONG'!N25,'07.08 KOTIDO-KABONG'!N25,'08.08 KABONG-KOTIDO'!N25,'9.08 KOTIDO-KABONG-24h'!N25,'10.08 KOTIDO-KABONG-24h'!N25,'11.08 KITIDO-KABONG'!N25)</f>
        <v>0</v>
      </c>
      <c r="O25" s="15">
        <f t="shared" si="0"/>
        <v>0.85714285714285721</v>
      </c>
      <c r="P25" s="15">
        <f t="shared" si="1"/>
        <v>1.4285714285714286</v>
      </c>
      <c r="R25" s="1" t="s">
        <v>149</v>
      </c>
      <c r="S25" s="34">
        <f>SUM(C70:C73)</f>
        <v>1</v>
      </c>
      <c r="T25" s="34">
        <f t="shared" ref="T25:AF25" si="17">SUM(D70:D73)</f>
        <v>0</v>
      </c>
      <c r="U25" s="34">
        <f t="shared" si="17"/>
        <v>1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3</v>
      </c>
      <c r="AD25" s="34">
        <f t="shared" si="17"/>
        <v>0</v>
      </c>
      <c r="AE25" s="31">
        <f t="shared" si="17"/>
        <v>2</v>
      </c>
      <c r="AF25" s="31">
        <f t="shared" si="17"/>
        <v>5</v>
      </c>
    </row>
    <row r="26" spans="2:32" ht="23.1" customHeight="1" x14ac:dyDescent="0.25">
      <c r="B26" s="23" t="s">
        <v>53</v>
      </c>
      <c r="C26" s="49">
        <f>AVERAGE('05.08 KOTIDO-KABONG'!C26,'06.08 KOTIDO-KABONG'!C26,'07.08 KOTIDO-KABONG'!C26,'08.08 KABONG-KOTIDO'!C26,'9.08 KOTIDO-KABONG-24h'!C26,'10.08 KOTIDO-KABONG-24h'!C26,'11.08 KITIDO-KABONG'!C26)</f>
        <v>0.14285714285714285</v>
      </c>
      <c r="D26" s="49">
        <f>AVERAGE('05.08 KOTIDO-KABONG'!D26,'06.08 KOTIDO-KABONG'!D26,'07.08 KOTIDO-KABONG'!D26,'08.08 KABONG-KOTIDO'!D26,'9.08 KOTIDO-KABONG-24h'!D26,'10.08 KOTIDO-KABONG-24h'!D26,'11.08 KITIDO-KABONG'!D26)</f>
        <v>0</v>
      </c>
      <c r="E26" s="49">
        <f>AVERAGE('05.08 KOTIDO-KABONG'!E26,'06.08 KOTIDO-KABONG'!E26,'07.08 KOTIDO-KABONG'!E26,'08.08 KABONG-KOTIDO'!E26,'9.08 KOTIDO-KABONG-24h'!E26,'10.08 KOTIDO-KABONG-24h'!E26,'11.08 KITIDO-KABONG'!E26)</f>
        <v>0</v>
      </c>
      <c r="F26" s="49">
        <f>AVERAGE('05.08 KOTIDO-KABONG'!F26,'06.08 KOTIDO-KABONG'!F26,'07.08 KOTIDO-KABONG'!F26,'08.08 KABONG-KOTIDO'!F26,'9.08 KOTIDO-KABONG-24h'!F26,'10.08 KOTIDO-KABONG-24h'!F26,'11.08 KITIDO-KABONG'!F26)</f>
        <v>0</v>
      </c>
      <c r="G26" s="49">
        <f>AVERAGE('05.08 KOTIDO-KABONG'!G26,'06.08 KOTIDO-KABONG'!G26,'07.08 KOTIDO-KABONG'!G26,'08.08 KABONG-KOTIDO'!G26,'9.08 KOTIDO-KABONG-24h'!G26,'10.08 KOTIDO-KABONG-24h'!G26,'11.08 KITIDO-KABONG'!G26)</f>
        <v>0</v>
      </c>
      <c r="H26" s="49">
        <f>AVERAGE('05.08 KOTIDO-KABONG'!H26,'06.08 KOTIDO-KABONG'!H26,'07.08 KOTIDO-KABONG'!H26,'08.08 KABONG-KOTIDO'!H26,'9.08 KOTIDO-KABONG-24h'!H26,'10.08 KOTIDO-KABONG-24h'!H26,'11.08 KITIDO-KABONG'!H26)</f>
        <v>0</v>
      </c>
      <c r="I26" s="49">
        <f>AVERAGE('05.08 KOTIDO-KABONG'!I26,'06.08 KOTIDO-KABONG'!I26,'07.08 KOTIDO-KABONG'!I26,'08.08 KABONG-KOTIDO'!I26,'9.08 KOTIDO-KABONG-24h'!I26,'10.08 KOTIDO-KABONG-24h'!I26,'11.08 KITIDO-KABONG'!I26)</f>
        <v>0.14285714285714285</v>
      </c>
      <c r="J26" s="49">
        <f>AVERAGE('05.08 KOTIDO-KABONG'!J26,'06.08 KOTIDO-KABONG'!J26,'07.08 KOTIDO-KABONG'!J26,'08.08 KABONG-KOTIDO'!J26,'9.08 KOTIDO-KABONG-24h'!J26,'10.08 KOTIDO-KABONG-24h'!J26,'11.08 KITIDO-KABONG'!J26)</f>
        <v>0.2857142857142857</v>
      </c>
      <c r="K26" s="49">
        <f>AVERAGE('05.08 KOTIDO-KABONG'!K26,'06.08 KOTIDO-KABONG'!K26,'07.08 KOTIDO-KABONG'!K26,'08.08 KABONG-KOTIDO'!K26,'9.08 KOTIDO-KABONG-24h'!K26,'10.08 KOTIDO-KABONG-24h'!K26,'11.08 KITIDO-KABONG'!K26)</f>
        <v>0</v>
      </c>
      <c r="L26" s="49">
        <f>AVERAGE('05.08 KOTIDO-KABONG'!L26,'06.08 KOTIDO-KABONG'!L26,'07.08 KOTIDO-KABONG'!L26,'08.08 KABONG-KOTIDO'!L26,'9.08 KOTIDO-KABONG-24h'!L26,'10.08 KOTIDO-KABONG-24h'!L26,'11.08 KITIDO-KABONG'!L26)</f>
        <v>0</v>
      </c>
      <c r="M26" s="49">
        <f>AVERAGE('05.08 KOTIDO-KABONG'!M26,'06.08 KOTIDO-KABONG'!M26,'07.08 KOTIDO-KABONG'!M26,'08.08 KABONG-KOTIDO'!M26,'9.08 KOTIDO-KABONG-24h'!M26,'10.08 KOTIDO-KABONG-24h'!M26,'11.08 KITIDO-KABONG'!M26)</f>
        <v>0.14285714285714285</v>
      </c>
      <c r="N26" s="49">
        <f>AVERAGE('05.08 KOTIDO-KABONG'!N26,'06.08 KOTIDO-KABONG'!N26,'07.08 KOTIDO-KABONG'!N26,'08.08 KABONG-KOTIDO'!N26,'9.08 KOTIDO-KABONG-24h'!N26,'10.08 KOTIDO-KABONG-24h'!N26,'11.08 KITIDO-KABONG'!N26)</f>
        <v>0</v>
      </c>
      <c r="O26" s="15">
        <f t="shared" si="0"/>
        <v>0.5714285714285714</v>
      </c>
      <c r="P26" s="15">
        <f t="shared" si="1"/>
        <v>0.71428571428571419</v>
      </c>
      <c r="R26" s="1" t="s">
        <v>150</v>
      </c>
      <c r="S26" s="34">
        <f>SUM(C74:C77)</f>
        <v>0</v>
      </c>
      <c r="T26" s="34">
        <f t="shared" ref="T26:AF26" si="18">SUM(D74:D77)</f>
        <v>1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</v>
      </c>
      <c r="AD26" s="34">
        <f t="shared" si="18"/>
        <v>0</v>
      </c>
      <c r="AE26" s="31">
        <f t="shared" si="18"/>
        <v>1</v>
      </c>
      <c r="AF26" s="31">
        <f t="shared" si="18"/>
        <v>2</v>
      </c>
    </row>
    <row r="27" spans="2:32" ht="23.1" customHeight="1" x14ac:dyDescent="0.25">
      <c r="B27" s="23" t="s">
        <v>54</v>
      </c>
      <c r="C27" s="49">
        <f>AVERAGE('05.08 KOTIDO-KABONG'!C27,'06.08 KOTIDO-KABONG'!C27,'07.08 KOTIDO-KABONG'!C27,'08.08 KABONG-KOTIDO'!C27,'9.08 KOTIDO-KABONG-24h'!C27,'10.08 KOTIDO-KABONG-24h'!C27,'11.08 KITIDO-KABONG'!C27)</f>
        <v>0.14285714285714285</v>
      </c>
      <c r="D27" s="49">
        <f>AVERAGE('05.08 KOTIDO-KABONG'!D27,'06.08 KOTIDO-KABONG'!D27,'07.08 KOTIDO-KABONG'!D27,'08.08 KABONG-KOTIDO'!D27,'9.08 KOTIDO-KABONG-24h'!D27,'10.08 KOTIDO-KABONG-24h'!D27,'11.08 KITIDO-KABONG'!D27)</f>
        <v>0</v>
      </c>
      <c r="E27" s="49">
        <f>AVERAGE('05.08 KOTIDO-KABONG'!E27,'06.08 KOTIDO-KABONG'!E27,'07.08 KOTIDO-KABONG'!E27,'08.08 KABONG-KOTIDO'!E27,'9.08 KOTIDO-KABONG-24h'!E27,'10.08 KOTIDO-KABONG-24h'!E27,'11.08 KITIDO-KABONG'!E27)</f>
        <v>0</v>
      </c>
      <c r="F27" s="49">
        <f>AVERAGE('05.08 KOTIDO-KABONG'!F27,'06.08 KOTIDO-KABONG'!F27,'07.08 KOTIDO-KABONG'!F27,'08.08 KABONG-KOTIDO'!F27,'9.08 KOTIDO-KABONG-24h'!F27,'10.08 KOTIDO-KABONG-24h'!F27,'11.08 KITIDO-KABONG'!F27)</f>
        <v>0</v>
      </c>
      <c r="G27" s="49">
        <f>AVERAGE('05.08 KOTIDO-KABONG'!G27,'06.08 KOTIDO-KABONG'!G27,'07.08 KOTIDO-KABONG'!G27,'08.08 KABONG-KOTIDO'!G27,'9.08 KOTIDO-KABONG-24h'!G27,'10.08 KOTIDO-KABONG-24h'!G27,'11.08 KITIDO-KABONG'!G27)</f>
        <v>0</v>
      </c>
      <c r="H27" s="49">
        <f>AVERAGE('05.08 KOTIDO-KABONG'!H27,'06.08 KOTIDO-KABONG'!H27,'07.08 KOTIDO-KABONG'!H27,'08.08 KABONG-KOTIDO'!H27,'9.08 KOTIDO-KABONG-24h'!H27,'10.08 KOTIDO-KABONG-24h'!H27,'11.08 KITIDO-KABONG'!H27)</f>
        <v>0</v>
      </c>
      <c r="I27" s="49">
        <f>AVERAGE('05.08 KOTIDO-KABONG'!I27,'06.08 KOTIDO-KABONG'!I27,'07.08 KOTIDO-KABONG'!I27,'08.08 KABONG-KOTIDO'!I27,'9.08 KOTIDO-KABONG-24h'!I27,'10.08 KOTIDO-KABONG-24h'!I27,'11.08 KITIDO-KABONG'!I27)</f>
        <v>0</v>
      </c>
      <c r="J27" s="49">
        <f>AVERAGE('05.08 KOTIDO-KABONG'!J27,'06.08 KOTIDO-KABONG'!J27,'07.08 KOTIDO-KABONG'!J27,'08.08 KABONG-KOTIDO'!J27,'9.08 KOTIDO-KABONG-24h'!J27,'10.08 KOTIDO-KABONG-24h'!J27,'11.08 KITIDO-KABONG'!J27)</f>
        <v>0</v>
      </c>
      <c r="K27" s="49">
        <f>AVERAGE('05.08 KOTIDO-KABONG'!K27,'06.08 KOTIDO-KABONG'!K27,'07.08 KOTIDO-KABONG'!K27,'08.08 KABONG-KOTIDO'!K27,'9.08 KOTIDO-KABONG-24h'!K27,'10.08 KOTIDO-KABONG-24h'!K27,'11.08 KITIDO-KABONG'!K27)</f>
        <v>0</v>
      </c>
      <c r="L27" s="49">
        <f>AVERAGE('05.08 KOTIDO-KABONG'!L27,'06.08 KOTIDO-KABONG'!L27,'07.08 KOTIDO-KABONG'!L27,'08.08 KABONG-KOTIDO'!L27,'9.08 KOTIDO-KABONG-24h'!L27,'10.08 KOTIDO-KABONG-24h'!L27,'11.08 KITIDO-KABONG'!L27)</f>
        <v>0</v>
      </c>
      <c r="M27" s="49">
        <f>AVERAGE('05.08 KOTIDO-KABONG'!M27,'06.08 KOTIDO-KABONG'!M27,'07.08 KOTIDO-KABONG'!M27,'08.08 KABONG-KOTIDO'!M27,'9.08 KOTIDO-KABONG-24h'!M27,'10.08 KOTIDO-KABONG-24h'!M27,'11.08 KITIDO-KABONG'!M27)</f>
        <v>0.14285714285714285</v>
      </c>
      <c r="N27" s="49">
        <f>AVERAGE('05.08 KOTIDO-KABONG'!N27,'06.08 KOTIDO-KABONG'!N27,'07.08 KOTIDO-KABONG'!N27,'08.08 KABONG-KOTIDO'!N27,'9.08 KOTIDO-KABONG-24h'!N27,'10.08 KOTIDO-KABONG-24h'!N27,'11.08 KITIDO-KABONG'!N27)</f>
        <v>0</v>
      </c>
      <c r="O27" s="15">
        <f t="shared" si="0"/>
        <v>0.14285714285714285</v>
      </c>
      <c r="P27" s="15">
        <f t="shared" si="1"/>
        <v>0.2857142857142857</v>
      </c>
      <c r="R27" s="1" t="s">
        <v>151</v>
      </c>
      <c r="S27" s="34">
        <f>SUM(C78:C81)</f>
        <v>0</v>
      </c>
      <c r="T27" s="34">
        <f t="shared" ref="T27:AF27" si="19">SUM(D78:D81)</f>
        <v>0.5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2</v>
      </c>
      <c r="AD27" s="34">
        <f t="shared" si="19"/>
        <v>0</v>
      </c>
      <c r="AE27" s="31">
        <f t="shared" si="19"/>
        <v>0.5</v>
      </c>
      <c r="AF27" s="31">
        <f t="shared" si="19"/>
        <v>2.5</v>
      </c>
    </row>
    <row r="28" spans="2:32" ht="23.1" customHeight="1" x14ac:dyDescent="0.25">
      <c r="B28" s="23" t="s">
        <v>55</v>
      </c>
      <c r="C28" s="49">
        <f>AVERAGE('05.08 KOTIDO-KABONG'!C28,'06.08 KOTIDO-KABONG'!C28,'07.08 KOTIDO-KABONG'!C28,'08.08 KABONG-KOTIDO'!C28,'9.08 KOTIDO-KABONG-24h'!C28,'10.08 KOTIDO-KABONG-24h'!C28,'11.08 KITIDO-KABONG'!C28)</f>
        <v>0</v>
      </c>
      <c r="D28" s="49">
        <f>AVERAGE('05.08 KOTIDO-KABONG'!D28,'06.08 KOTIDO-KABONG'!D28,'07.08 KOTIDO-KABONG'!D28,'08.08 KABONG-KOTIDO'!D28,'9.08 KOTIDO-KABONG-24h'!D28,'10.08 KOTIDO-KABONG-24h'!D28,'11.08 KITIDO-KABONG'!D28)</f>
        <v>0.14285714285714285</v>
      </c>
      <c r="E28" s="49">
        <f>AVERAGE('05.08 KOTIDO-KABONG'!E28,'06.08 KOTIDO-KABONG'!E28,'07.08 KOTIDO-KABONG'!E28,'08.08 KABONG-KOTIDO'!E28,'9.08 KOTIDO-KABONG-24h'!E28,'10.08 KOTIDO-KABONG-24h'!E28,'11.08 KITIDO-KABONG'!E28)</f>
        <v>0.14285714285714285</v>
      </c>
      <c r="F28" s="49">
        <f>AVERAGE('05.08 KOTIDO-KABONG'!F28,'06.08 KOTIDO-KABONG'!F28,'07.08 KOTIDO-KABONG'!F28,'08.08 KABONG-KOTIDO'!F28,'9.08 KOTIDO-KABONG-24h'!F28,'10.08 KOTIDO-KABONG-24h'!F28,'11.08 KITIDO-KABONG'!F28)</f>
        <v>0</v>
      </c>
      <c r="G28" s="49">
        <f>AVERAGE('05.08 KOTIDO-KABONG'!G28,'06.08 KOTIDO-KABONG'!G28,'07.08 KOTIDO-KABONG'!G28,'08.08 KABONG-KOTIDO'!G28,'9.08 KOTIDO-KABONG-24h'!G28,'10.08 KOTIDO-KABONG-24h'!G28,'11.08 KITIDO-KABONG'!G28)</f>
        <v>0</v>
      </c>
      <c r="H28" s="49">
        <f>AVERAGE('05.08 KOTIDO-KABONG'!H28,'06.08 KOTIDO-KABONG'!H28,'07.08 KOTIDO-KABONG'!H28,'08.08 KABONG-KOTIDO'!H28,'9.08 KOTIDO-KABONG-24h'!H28,'10.08 KOTIDO-KABONG-24h'!H28,'11.08 KITIDO-KABONG'!H28)</f>
        <v>0</v>
      </c>
      <c r="I28" s="49">
        <f>AVERAGE('05.08 KOTIDO-KABONG'!I28,'06.08 KOTIDO-KABONG'!I28,'07.08 KOTIDO-KABONG'!I28,'08.08 KABONG-KOTIDO'!I28,'9.08 KOTIDO-KABONG-24h'!I28,'10.08 KOTIDO-KABONG-24h'!I28,'11.08 KITIDO-KABONG'!I28)</f>
        <v>0</v>
      </c>
      <c r="J28" s="49">
        <f>AVERAGE('05.08 KOTIDO-KABONG'!J28,'06.08 KOTIDO-KABONG'!J28,'07.08 KOTIDO-KABONG'!J28,'08.08 KABONG-KOTIDO'!J28,'9.08 KOTIDO-KABONG-24h'!J28,'10.08 KOTIDO-KABONG-24h'!J28,'11.08 KITIDO-KABONG'!J28)</f>
        <v>0</v>
      </c>
      <c r="K28" s="49">
        <f>AVERAGE('05.08 KOTIDO-KABONG'!K28,'06.08 KOTIDO-KABONG'!K28,'07.08 KOTIDO-KABONG'!K28,'08.08 KABONG-KOTIDO'!K28,'9.08 KOTIDO-KABONG-24h'!K28,'10.08 KOTIDO-KABONG-24h'!K28,'11.08 KITIDO-KABONG'!K28)</f>
        <v>0</v>
      </c>
      <c r="L28" s="49">
        <f>AVERAGE('05.08 KOTIDO-KABONG'!L28,'06.08 KOTIDO-KABONG'!L28,'07.08 KOTIDO-KABONG'!L28,'08.08 KABONG-KOTIDO'!L28,'9.08 KOTIDO-KABONG-24h'!L28,'10.08 KOTIDO-KABONG-24h'!L28,'11.08 KITIDO-KABONG'!L28)</f>
        <v>0</v>
      </c>
      <c r="M28" s="49">
        <f>AVERAGE('05.08 KOTIDO-KABONG'!M28,'06.08 KOTIDO-KABONG'!M28,'07.08 KOTIDO-KABONG'!M28,'08.08 KABONG-KOTIDO'!M28,'9.08 KOTIDO-KABONG-24h'!M28,'10.08 KOTIDO-KABONG-24h'!M28,'11.08 KITIDO-KABONG'!M28)</f>
        <v>0.5714285714285714</v>
      </c>
      <c r="N28" s="49">
        <f>AVERAGE('05.08 KOTIDO-KABONG'!N28,'06.08 KOTIDO-KABONG'!N28,'07.08 KOTIDO-KABONG'!N28,'08.08 KABONG-KOTIDO'!N28,'9.08 KOTIDO-KABONG-24h'!N28,'10.08 KOTIDO-KABONG-24h'!N28,'11.08 KITIDO-KABONG'!N28)</f>
        <v>0</v>
      </c>
      <c r="O28" s="15">
        <f t="shared" si="0"/>
        <v>0.2857142857142857</v>
      </c>
      <c r="P28" s="15">
        <f t="shared" si="1"/>
        <v>0.8571428571428571</v>
      </c>
      <c r="R28" s="1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0.5</v>
      </c>
      <c r="AA28" s="34">
        <f t="shared" si="20"/>
        <v>0</v>
      </c>
      <c r="AB28" s="34">
        <f t="shared" si="20"/>
        <v>0</v>
      </c>
      <c r="AC28" s="34">
        <f t="shared" si="20"/>
        <v>1</v>
      </c>
      <c r="AD28" s="34">
        <f t="shared" si="20"/>
        <v>0</v>
      </c>
      <c r="AE28" s="31">
        <f t="shared" si="20"/>
        <v>0.5</v>
      </c>
      <c r="AF28" s="31">
        <f t="shared" si="20"/>
        <v>1.5</v>
      </c>
    </row>
    <row r="29" spans="2:32" ht="23.1" customHeight="1" x14ac:dyDescent="0.25">
      <c r="B29" s="23" t="s">
        <v>56</v>
      </c>
      <c r="C29" s="49">
        <f>AVERAGE('05.08 KOTIDO-KABONG'!C29,'06.08 KOTIDO-KABONG'!C29,'07.08 KOTIDO-KABONG'!C29,'08.08 KABONG-KOTIDO'!C29,'9.08 KOTIDO-KABONG-24h'!C29,'10.08 KOTIDO-KABONG-24h'!C29,'11.08 KITIDO-KABONG'!C29)</f>
        <v>0.14285714285714285</v>
      </c>
      <c r="D29" s="49">
        <f>AVERAGE('05.08 KOTIDO-KABONG'!D29,'06.08 KOTIDO-KABONG'!D29,'07.08 KOTIDO-KABONG'!D29,'08.08 KABONG-KOTIDO'!D29,'9.08 KOTIDO-KABONG-24h'!D29,'10.08 KOTIDO-KABONG-24h'!D29,'11.08 KITIDO-KABONG'!D29)</f>
        <v>1</v>
      </c>
      <c r="E29" s="49">
        <f>AVERAGE('05.08 KOTIDO-KABONG'!E29,'06.08 KOTIDO-KABONG'!E29,'07.08 KOTIDO-KABONG'!E29,'08.08 KABONG-KOTIDO'!E29,'9.08 KOTIDO-KABONG-24h'!E29,'10.08 KOTIDO-KABONG-24h'!E29,'11.08 KITIDO-KABONG'!E29)</f>
        <v>0</v>
      </c>
      <c r="F29" s="49">
        <f>AVERAGE('05.08 KOTIDO-KABONG'!F29,'06.08 KOTIDO-KABONG'!F29,'07.08 KOTIDO-KABONG'!F29,'08.08 KABONG-KOTIDO'!F29,'9.08 KOTIDO-KABONG-24h'!F29,'10.08 KOTIDO-KABONG-24h'!F29,'11.08 KITIDO-KABONG'!F29)</f>
        <v>0</v>
      </c>
      <c r="G29" s="49">
        <f>AVERAGE('05.08 KOTIDO-KABONG'!G29,'06.08 KOTIDO-KABONG'!G29,'07.08 KOTIDO-KABONG'!G29,'08.08 KABONG-KOTIDO'!G29,'9.08 KOTIDO-KABONG-24h'!G29,'10.08 KOTIDO-KABONG-24h'!G29,'11.08 KITIDO-KABONG'!G29)</f>
        <v>0</v>
      </c>
      <c r="H29" s="49">
        <f>AVERAGE('05.08 KOTIDO-KABONG'!H29,'06.08 KOTIDO-KABONG'!H29,'07.08 KOTIDO-KABONG'!H29,'08.08 KABONG-KOTIDO'!H29,'9.08 KOTIDO-KABONG-24h'!H29,'10.08 KOTIDO-KABONG-24h'!H29,'11.08 KITIDO-KABONG'!H29)</f>
        <v>0</v>
      </c>
      <c r="I29" s="49">
        <f>AVERAGE('05.08 KOTIDO-KABONG'!I29,'06.08 KOTIDO-KABONG'!I29,'07.08 KOTIDO-KABONG'!I29,'08.08 KABONG-KOTIDO'!I29,'9.08 KOTIDO-KABONG-24h'!I29,'10.08 KOTIDO-KABONG-24h'!I29,'11.08 KITIDO-KABONG'!I29)</f>
        <v>0.14285714285714285</v>
      </c>
      <c r="J29" s="49">
        <f>AVERAGE('05.08 KOTIDO-KABONG'!J29,'06.08 KOTIDO-KABONG'!J29,'07.08 KOTIDO-KABONG'!J29,'08.08 KABONG-KOTIDO'!J29,'9.08 KOTIDO-KABONG-24h'!J29,'10.08 KOTIDO-KABONG-24h'!J29,'11.08 KITIDO-KABONG'!J29)</f>
        <v>0</v>
      </c>
      <c r="K29" s="49">
        <f>AVERAGE('05.08 KOTIDO-KABONG'!K29,'06.08 KOTIDO-KABONG'!K29,'07.08 KOTIDO-KABONG'!K29,'08.08 KABONG-KOTIDO'!K29,'9.08 KOTIDO-KABONG-24h'!K29,'10.08 KOTIDO-KABONG-24h'!K29,'11.08 KITIDO-KABONG'!K29)</f>
        <v>0</v>
      </c>
      <c r="L29" s="49">
        <f>AVERAGE('05.08 KOTIDO-KABONG'!L29,'06.08 KOTIDO-KABONG'!L29,'07.08 KOTIDO-KABONG'!L29,'08.08 KABONG-KOTIDO'!L29,'9.08 KOTIDO-KABONG-24h'!L29,'10.08 KOTIDO-KABONG-24h'!L29,'11.08 KITIDO-KABONG'!L29)</f>
        <v>0</v>
      </c>
      <c r="M29" s="49">
        <f>AVERAGE('05.08 KOTIDO-KABONG'!M29,'06.08 KOTIDO-KABONG'!M29,'07.08 KOTIDO-KABONG'!M29,'08.08 KABONG-KOTIDO'!M29,'9.08 KOTIDO-KABONG-24h'!M29,'10.08 KOTIDO-KABONG-24h'!M29,'11.08 KITIDO-KABONG'!M29)</f>
        <v>0.7142857142857143</v>
      </c>
      <c r="N29" s="49">
        <f>AVERAGE('05.08 KOTIDO-KABONG'!N29,'06.08 KOTIDO-KABONG'!N29,'07.08 KOTIDO-KABONG'!N29,'08.08 KABONG-KOTIDO'!N29,'9.08 KOTIDO-KABONG-24h'!N29,'10.08 KOTIDO-KABONG-24h'!N29,'11.08 KITIDO-KABONG'!N29)</f>
        <v>0</v>
      </c>
      <c r="O29" s="15">
        <f t="shared" si="0"/>
        <v>1.2857142857142856</v>
      </c>
      <c r="P29" s="15">
        <f t="shared" si="1"/>
        <v>2</v>
      </c>
      <c r="R29" s="1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0</v>
      </c>
      <c r="AF29" s="31">
        <f t="shared" si="21"/>
        <v>0</v>
      </c>
    </row>
    <row r="30" spans="2:32" ht="23.1" customHeight="1" x14ac:dyDescent="0.25">
      <c r="B30" s="23" t="s">
        <v>57</v>
      </c>
      <c r="C30" s="49">
        <f>AVERAGE('05.08 KOTIDO-KABONG'!C30,'06.08 KOTIDO-KABONG'!C30,'07.08 KOTIDO-KABONG'!C30,'08.08 KABONG-KOTIDO'!C30,'9.08 KOTIDO-KABONG-24h'!C30,'10.08 KOTIDO-KABONG-24h'!C30,'11.08 KITIDO-KABONG'!C30)</f>
        <v>0</v>
      </c>
      <c r="D30" s="49">
        <f>AVERAGE('05.08 KOTIDO-KABONG'!D30,'06.08 KOTIDO-KABONG'!D30,'07.08 KOTIDO-KABONG'!D30,'08.08 KABONG-KOTIDO'!D30,'9.08 KOTIDO-KABONG-24h'!D30,'10.08 KOTIDO-KABONG-24h'!D30,'11.08 KITIDO-KABONG'!D30)</f>
        <v>0</v>
      </c>
      <c r="E30" s="49">
        <f>AVERAGE('05.08 KOTIDO-KABONG'!E30,'06.08 KOTIDO-KABONG'!E30,'07.08 KOTIDO-KABONG'!E30,'08.08 KABONG-KOTIDO'!E30,'9.08 KOTIDO-KABONG-24h'!E30,'10.08 KOTIDO-KABONG-24h'!E30,'11.08 KITIDO-KABONG'!E30)</f>
        <v>0</v>
      </c>
      <c r="F30" s="49">
        <f>AVERAGE('05.08 KOTIDO-KABONG'!F30,'06.08 KOTIDO-KABONG'!F30,'07.08 KOTIDO-KABONG'!F30,'08.08 KABONG-KOTIDO'!F30,'9.08 KOTIDO-KABONG-24h'!F30,'10.08 KOTIDO-KABONG-24h'!F30,'11.08 KITIDO-KABONG'!F30)</f>
        <v>0</v>
      </c>
      <c r="G30" s="49">
        <f>AVERAGE('05.08 KOTIDO-KABONG'!G30,'06.08 KOTIDO-KABONG'!G30,'07.08 KOTIDO-KABONG'!G30,'08.08 KABONG-KOTIDO'!G30,'9.08 KOTIDO-KABONG-24h'!G30,'10.08 KOTIDO-KABONG-24h'!G30,'11.08 KITIDO-KABONG'!G30)</f>
        <v>0</v>
      </c>
      <c r="H30" s="49">
        <f>AVERAGE('05.08 KOTIDO-KABONG'!H30,'06.08 KOTIDO-KABONG'!H30,'07.08 KOTIDO-KABONG'!H30,'08.08 KABONG-KOTIDO'!H30,'9.08 KOTIDO-KABONG-24h'!H30,'10.08 KOTIDO-KABONG-24h'!H30,'11.08 KITIDO-KABONG'!H30)</f>
        <v>0</v>
      </c>
      <c r="I30" s="49">
        <f>AVERAGE('05.08 KOTIDO-KABONG'!I30,'06.08 KOTIDO-KABONG'!I30,'07.08 KOTIDO-KABONG'!I30,'08.08 KABONG-KOTIDO'!I30,'9.08 KOTIDO-KABONG-24h'!I30,'10.08 KOTIDO-KABONG-24h'!I30,'11.08 KITIDO-KABONG'!I30)</f>
        <v>0.14285714285714285</v>
      </c>
      <c r="J30" s="49">
        <f>AVERAGE('05.08 KOTIDO-KABONG'!J30,'06.08 KOTIDO-KABONG'!J30,'07.08 KOTIDO-KABONG'!J30,'08.08 KABONG-KOTIDO'!J30,'9.08 KOTIDO-KABONG-24h'!J30,'10.08 KOTIDO-KABONG-24h'!J30,'11.08 KITIDO-KABONG'!J30)</f>
        <v>0</v>
      </c>
      <c r="K30" s="49">
        <f>AVERAGE('05.08 KOTIDO-KABONG'!K30,'06.08 KOTIDO-KABONG'!K30,'07.08 KOTIDO-KABONG'!K30,'08.08 KABONG-KOTIDO'!K30,'9.08 KOTIDO-KABONG-24h'!K30,'10.08 KOTIDO-KABONG-24h'!K30,'11.08 KITIDO-KABONG'!K30)</f>
        <v>0</v>
      </c>
      <c r="L30" s="49">
        <f>AVERAGE('05.08 KOTIDO-KABONG'!L30,'06.08 KOTIDO-KABONG'!L30,'07.08 KOTIDO-KABONG'!L30,'08.08 KABONG-KOTIDO'!L30,'9.08 KOTIDO-KABONG-24h'!L30,'10.08 KOTIDO-KABONG-24h'!L30,'11.08 KITIDO-KABONG'!L30)</f>
        <v>0</v>
      </c>
      <c r="M30" s="49">
        <f>AVERAGE('05.08 KOTIDO-KABONG'!M30,'06.08 KOTIDO-KABONG'!M30,'07.08 KOTIDO-KABONG'!M30,'08.08 KABONG-KOTIDO'!M30,'9.08 KOTIDO-KABONG-24h'!M30,'10.08 KOTIDO-KABONG-24h'!M30,'11.08 KITIDO-KABONG'!M30)</f>
        <v>0.5714285714285714</v>
      </c>
      <c r="N30" s="49">
        <f>AVERAGE('05.08 KOTIDO-KABONG'!N30,'06.08 KOTIDO-KABONG'!N30,'07.08 KOTIDO-KABONG'!N30,'08.08 KABONG-KOTIDO'!N30,'9.08 KOTIDO-KABONG-24h'!N30,'10.08 KOTIDO-KABONG-24h'!N30,'11.08 KITIDO-KABONG'!N30)</f>
        <v>0</v>
      </c>
      <c r="O30" s="15">
        <f t="shared" si="0"/>
        <v>0.14285714285714285</v>
      </c>
      <c r="P30" s="15">
        <f t="shared" si="1"/>
        <v>0.71428571428571419</v>
      </c>
      <c r="R30" s="1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0</v>
      </c>
      <c r="AF30" s="31">
        <f t="shared" si="22"/>
        <v>0</v>
      </c>
    </row>
    <row r="31" spans="2:32" ht="23.1" customHeight="1" x14ac:dyDescent="0.25">
      <c r="B31" s="24" t="s">
        <v>58</v>
      </c>
      <c r="C31" s="49">
        <f>AVERAGE('05.08 KOTIDO-KABONG'!C31,'06.08 KOTIDO-KABONG'!C31,'07.08 KOTIDO-KABONG'!C31,'08.08 KABONG-KOTIDO'!C31,'9.08 KOTIDO-KABONG-24h'!C31,'10.08 KOTIDO-KABONG-24h'!C31,'11.08 KITIDO-KABONG'!C31)</f>
        <v>0</v>
      </c>
      <c r="D31" s="49">
        <f>AVERAGE('05.08 KOTIDO-KABONG'!D31,'06.08 KOTIDO-KABONG'!D31,'07.08 KOTIDO-KABONG'!D31,'08.08 KABONG-KOTIDO'!D31,'9.08 KOTIDO-KABONG-24h'!D31,'10.08 KOTIDO-KABONG-24h'!D31,'11.08 KITIDO-KABONG'!D31)</f>
        <v>0</v>
      </c>
      <c r="E31" s="49">
        <f>AVERAGE('05.08 KOTIDO-KABONG'!E31,'06.08 KOTIDO-KABONG'!E31,'07.08 KOTIDO-KABONG'!E31,'08.08 KABONG-KOTIDO'!E31,'9.08 KOTIDO-KABONG-24h'!E31,'10.08 KOTIDO-KABONG-24h'!E31,'11.08 KITIDO-KABONG'!E31)</f>
        <v>0.2857142857142857</v>
      </c>
      <c r="F31" s="49">
        <f>AVERAGE('05.08 KOTIDO-KABONG'!F31,'06.08 KOTIDO-KABONG'!F31,'07.08 KOTIDO-KABONG'!F31,'08.08 KABONG-KOTIDO'!F31,'9.08 KOTIDO-KABONG-24h'!F31,'10.08 KOTIDO-KABONG-24h'!F31,'11.08 KITIDO-KABONG'!F31)</f>
        <v>0.14285714285714285</v>
      </c>
      <c r="G31" s="49">
        <f>AVERAGE('05.08 KOTIDO-KABONG'!G31,'06.08 KOTIDO-KABONG'!G31,'07.08 KOTIDO-KABONG'!G31,'08.08 KABONG-KOTIDO'!G31,'9.08 KOTIDO-KABONG-24h'!G31,'10.08 KOTIDO-KABONG-24h'!G31,'11.08 KITIDO-KABONG'!G31)</f>
        <v>0</v>
      </c>
      <c r="H31" s="49">
        <f>AVERAGE('05.08 KOTIDO-KABONG'!H31,'06.08 KOTIDO-KABONG'!H31,'07.08 KOTIDO-KABONG'!H31,'08.08 KABONG-KOTIDO'!H31,'9.08 KOTIDO-KABONG-24h'!H31,'10.08 KOTIDO-KABONG-24h'!H31,'11.08 KITIDO-KABONG'!H31)</f>
        <v>0.14285714285714285</v>
      </c>
      <c r="I31" s="49">
        <f>AVERAGE('05.08 KOTIDO-KABONG'!I31,'06.08 KOTIDO-KABONG'!I31,'07.08 KOTIDO-KABONG'!I31,'08.08 KABONG-KOTIDO'!I31,'9.08 KOTIDO-KABONG-24h'!I31,'10.08 KOTIDO-KABONG-24h'!I31,'11.08 KITIDO-KABONG'!I31)</f>
        <v>0</v>
      </c>
      <c r="J31" s="49">
        <f>AVERAGE('05.08 KOTIDO-KABONG'!J31,'06.08 KOTIDO-KABONG'!J31,'07.08 KOTIDO-KABONG'!J31,'08.08 KABONG-KOTIDO'!J31,'9.08 KOTIDO-KABONG-24h'!J31,'10.08 KOTIDO-KABONG-24h'!J31,'11.08 KITIDO-KABONG'!J31)</f>
        <v>0.14285714285714285</v>
      </c>
      <c r="K31" s="49">
        <f>AVERAGE('05.08 KOTIDO-KABONG'!K31,'06.08 KOTIDO-KABONG'!K31,'07.08 KOTIDO-KABONG'!K31,'08.08 KABONG-KOTIDO'!K31,'9.08 KOTIDO-KABONG-24h'!K31,'10.08 KOTIDO-KABONG-24h'!K31,'11.08 KITIDO-KABONG'!K31)</f>
        <v>0</v>
      </c>
      <c r="L31" s="49">
        <f>AVERAGE('05.08 KOTIDO-KABONG'!L31,'06.08 KOTIDO-KABONG'!L31,'07.08 KOTIDO-KABONG'!L31,'08.08 KABONG-KOTIDO'!L31,'9.08 KOTIDO-KABONG-24h'!L31,'10.08 KOTIDO-KABONG-24h'!L31,'11.08 KITIDO-KABONG'!L31)</f>
        <v>0</v>
      </c>
      <c r="M31" s="49">
        <f>AVERAGE('05.08 KOTIDO-KABONG'!M31,'06.08 KOTIDO-KABONG'!M31,'07.08 KOTIDO-KABONG'!M31,'08.08 KABONG-KOTIDO'!M31,'9.08 KOTIDO-KABONG-24h'!M31,'10.08 KOTIDO-KABONG-24h'!M31,'11.08 KITIDO-KABONG'!M31)</f>
        <v>0.8571428571428571</v>
      </c>
      <c r="N31" s="49">
        <f>AVERAGE('05.08 KOTIDO-KABONG'!N31,'06.08 KOTIDO-KABONG'!N31,'07.08 KOTIDO-KABONG'!N31,'08.08 KABONG-KOTIDO'!N31,'9.08 KOTIDO-KABONG-24h'!N31,'10.08 KOTIDO-KABONG-24h'!N31,'11.08 KITIDO-KABONG'!N31)</f>
        <v>0</v>
      </c>
      <c r="O31" s="15">
        <f t="shared" si="0"/>
        <v>0.71428571428571419</v>
      </c>
      <c r="P31" s="15">
        <f t="shared" si="1"/>
        <v>1.5714285714285712</v>
      </c>
      <c r="R31" s="1" t="s">
        <v>155</v>
      </c>
      <c r="S31" s="34">
        <f>SUM(C94:C97)</f>
        <v>0</v>
      </c>
      <c r="T31" s="34">
        <f t="shared" ref="T31:AF31" si="23">SUM(D94:D97)</f>
        <v>1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0.5</v>
      </c>
      <c r="AD31" s="34">
        <f t="shared" si="23"/>
        <v>0</v>
      </c>
      <c r="AE31" s="31">
        <f t="shared" si="23"/>
        <v>1</v>
      </c>
      <c r="AF31" s="31">
        <f t="shared" si="23"/>
        <v>1.5</v>
      </c>
    </row>
    <row r="32" spans="2:32" ht="23.1" customHeight="1" x14ac:dyDescent="0.25">
      <c r="B32" s="24" t="s">
        <v>59</v>
      </c>
      <c r="C32" s="49">
        <f>AVERAGE('05.08 KOTIDO-KABONG'!C32,'06.08 KOTIDO-KABONG'!C32,'07.08 KOTIDO-KABONG'!C32,'08.08 KABONG-KOTIDO'!C32,'9.08 KOTIDO-KABONG-24h'!C32,'10.08 KOTIDO-KABONG-24h'!C32,'11.08 KITIDO-KABONG'!C32)</f>
        <v>0</v>
      </c>
      <c r="D32" s="49">
        <f>AVERAGE('05.08 KOTIDO-KABONG'!D32,'06.08 KOTIDO-KABONG'!D32,'07.08 KOTIDO-KABONG'!D32,'08.08 KABONG-KOTIDO'!D32,'9.08 KOTIDO-KABONG-24h'!D32,'10.08 KOTIDO-KABONG-24h'!D32,'11.08 KITIDO-KABONG'!D32)</f>
        <v>0</v>
      </c>
      <c r="E32" s="49">
        <f>AVERAGE('05.08 KOTIDO-KABONG'!E32,'06.08 KOTIDO-KABONG'!E32,'07.08 KOTIDO-KABONG'!E32,'08.08 KABONG-KOTIDO'!E32,'9.08 KOTIDO-KABONG-24h'!E32,'10.08 KOTIDO-KABONG-24h'!E32,'11.08 KITIDO-KABONG'!E32)</f>
        <v>0</v>
      </c>
      <c r="F32" s="49">
        <f>AVERAGE('05.08 KOTIDO-KABONG'!F32,'06.08 KOTIDO-KABONG'!F32,'07.08 KOTIDO-KABONG'!F32,'08.08 KABONG-KOTIDO'!F32,'9.08 KOTIDO-KABONG-24h'!F32,'10.08 KOTIDO-KABONG-24h'!F32,'11.08 KITIDO-KABONG'!F32)</f>
        <v>0</v>
      </c>
      <c r="G32" s="49">
        <f>AVERAGE('05.08 KOTIDO-KABONG'!G32,'06.08 KOTIDO-KABONG'!G32,'07.08 KOTIDO-KABONG'!G32,'08.08 KABONG-KOTIDO'!G32,'9.08 KOTIDO-KABONG-24h'!G32,'10.08 KOTIDO-KABONG-24h'!G32,'11.08 KITIDO-KABONG'!G32)</f>
        <v>0</v>
      </c>
      <c r="H32" s="49">
        <f>AVERAGE('05.08 KOTIDO-KABONG'!H32,'06.08 KOTIDO-KABONG'!H32,'07.08 KOTIDO-KABONG'!H32,'08.08 KABONG-KOTIDO'!H32,'9.08 KOTIDO-KABONG-24h'!H32,'10.08 KOTIDO-KABONG-24h'!H32,'11.08 KITIDO-KABONG'!H32)</f>
        <v>0</v>
      </c>
      <c r="I32" s="49">
        <f>AVERAGE('05.08 KOTIDO-KABONG'!I32,'06.08 KOTIDO-KABONG'!I32,'07.08 KOTIDO-KABONG'!I32,'08.08 KABONG-KOTIDO'!I32,'9.08 KOTIDO-KABONG-24h'!I32,'10.08 KOTIDO-KABONG-24h'!I32,'11.08 KITIDO-KABONG'!I32)</f>
        <v>0.14285714285714285</v>
      </c>
      <c r="J32" s="49">
        <f>AVERAGE('05.08 KOTIDO-KABONG'!J32,'06.08 KOTIDO-KABONG'!J32,'07.08 KOTIDO-KABONG'!J32,'08.08 KABONG-KOTIDO'!J32,'9.08 KOTIDO-KABONG-24h'!J32,'10.08 KOTIDO-KABONG-24h'!J32,'11.08 KITIDO-KABONG'!J32)</f>
        <v>0</v>
      </c>
      <c r="K32" s="49">
        <f>AVERAGE('05.08 KOTIDO-KABONG'!K32,'06.08 KOTIDO-KABONG'!K32,'07.08 KOTIDO-KABONG'!K32,'08.08 KABONG-KOTIDO'!K32,'9.08 KOTIDO-KABONG-24h'!K32,'10.08 KOTIDO-KABONG-24h'!K32,'11.08 KITIDO-KABONG'!K32)</f>
        <v>0</v>
      </c>
      <c r="L32" s="49">
        <f>AVERAGE('05.08 KOTIDO-KABONG'!L32,'06.08 KOTIDO-KABONG'!L32,'07.08 KOTIDO-KABONG'!L32,'08.08 KABONG-KOTIDO'!L32,'9.08 KOTIDO-KABONG-24h'!L32,'10.08 KOTIDO-KABONG-24h'!L32,'11.08 KITIDO-KABONG'!L32)</f>
        <v>0</v>
      </c>
      <c r="M32" s="49">
        <f>AVERAGE('05.08 KOTIDO-KABONG'!M32,'06.08 KOTIDO-KABONG'!M32,'07.08 KOTIDO-KABONG'!M32,'08.08 KABONG-KOTIDO'!M32,'9.08 KOTIDO-KABONG-24h'!M32,'10.08 KOTIDO-KABONG-24h'!M32,'11.08 KITIDO-KABONG'!M32)</f>
        <v>0.8571428571428571</v>
      </c>
      <c r="N32" s="49">
        <f>AVERAGE('05.08 KOTIDO-KABONG'!N32,'06.08 KOTIDO-KABONG'!N32,'07.08 KOTIDO-KABONG'!N32,'08.08 KABONG-KOTIDO'!N32,'9.08 KOTIDO-KABONG-24h'!N32,'10.08 KOTIDO-KABONG-24h'!N32,'11.08 KITIDO-KABONG'!N32)</f>
        <v>0</v>
      </c>
      <c r="O32" s="15">
        <f t="shared" si="0"/>
        <v>0.14285714285714285</v>
      </c>
      <c r="P32" s="15">
        <f t="shared" si="1"/>
        <v>1</v>
      </c>
      <c r="R32" s="1" t="s">
        <v>156</v>
      </c>
      <c r="S32" s="34">
        <f>SUM(C98:C101)</f>
        <v>0</v>
      </c>
      <c r="T32" s="34">
        <f t="shared" ref="T32:AF32" si="24">SUM(D98:D101)</f>
        <v>1</v>
      </c>
      <c r="U32" s="34">
        <f t="shared" si="24"/>
        <v>0.5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1</v>
      </c>
      <c r="AD32" s="34">
        <f t="shared" si="24"/>
        <v>0</v>
      </c>
      <c r="AE32" s="31">
        <f t="shared" si="24"/>
        <v>1.5</v>
      </c>
      <c r="AF32" s="31">
        <f t="shared" si="24"/>
        <v>2.5</v>
      </c>
    </row>
    <row r="33" spans="2:32" ht="23.1" customHeight="1" x14ac:dyDescent="0.25">
      <c r="B33" s="23" t="s">
        <v>60</v>
      </c>
      <c r="C33" s="49">
        <f>AVERAGE('05.08 KOTIDO-KABONG'!C33,'06.08 KOTIDO-KABONG'!C33,'07.08 KOTIDO-KABONG'!C33,'08.08 KABONG-KOTIDO'!C33,'9.08 KOTIDO-KABONG-24h'!C33,'10.08 KOTIDO-KABONG-24h'!C33,'11.08 KITIDO-KABONG'!C33)</f>
        <v>0.2857142857142857</v>
      </c>
      <c r="D33" s="49">
        <f>AVERAGE('05.08 KOTIDO-KABONG'!D33,'06.08 KOTIDO-KABONG'!D33,'07.08 KOTIDO-KABONG'!D33,'08.08 KABONG-KOTIDO'!D33,'9.08 KOTIDO-KABONG-24h'!D33,'10.08 KOTIDO-KABONG-24h'!D33,'11.08 KITIDO-KABONG'!D33)</f>
        <v>0.7142857142857143</v>
      </c>
      <c r="E33" s="49">
        <f>AVERAGE('05.08 KOTIDO-KABONG'!E33,'06.08 KOTIDO-KABONG'!E33,'07.08 KOTIDO-KABONG'!E33,'08.08 KABONG-KOTIDO'!E33,'9.08 KOTIDO-KABONG-24h'!E33,'10.08 KOTIDO-KABONG-24h'!E33,'11.08 KITIDO-KABONG'!E33)</f>
        <v>0</v>
      </c>
      <c r="F33" s="49">
        <f>AVERAGE('05.08 KOTIDO-KABONG'!F33,'06.08 KOTIDO-KABONG'!F33,'07.08 KOTIDO-KABONG'!F33,'08.08 KABONG-KOTIDO'!F33,'9.08 KOTIDO-KABONG-24h'!F33,'10.08 KOTIDO-KABONG-24h'!F33,'11.08 KITIDO-KABONG'!F33)</f>
        <v>0</v>
      </c>
      <c r="G33" s="49">
        <f>AVERAGE('05.08 KOTIDO-KABONG'!G33,'06.08 KOTIDO-KABONG'!G33,'07.08 KOTIDO-KABONG'!G33,'08.08 KABONG-KOTIDO'!G33,'9.08 KOTIDO-KABONG-24h'!G33,'10.08 KOTIDO-KABONG-24h'!G33,'11.08 KITIDO-KABONG'!G33)</f>
        <v>0</v>
      </c>
      <c r="H33" s="49">
        <f>AVERAGE('05.08 KOTIDO-KABONG'!H33,'06.08 KOTIDO-KABONG'!H33,'07.08 KOTIDO-KABONG'!H33,'08.08 KABONG-KOTIDO'!H33,'9.08 KOTIDO-KABONG-24h'!H33,'10.08 KOTIDO-KABONG-24h'!H33,'11.08 KITIDO-KABONG'!H33)</f>
        <v>0</v>
      </c>
      <c r="I33" s="49">
        <f>AVERAGE('05.08 KOTIDO-KABONG'!I33,'06.08 KOTIDO-KABONG'!I33,'07.08 KOTIDO-KABONG'!I33,'08.08 KABONG-KOTIDO'!I33,'9.08 KOTIDO-KABONG-24h'!I33,'10.08 KOTIDO-KABONG-24h'!I33,'11.08 KITIDO-KABONG'!I33)</f>
        <v>0</v>
      </c>
      <c r="J33" s="49">
        <f>AVERAGE('05.08 KOTIDO-KABONG'!J33,'06.08 KOTIDO-KABONG'!J33,'07.08 KOTIDO-KABONG'!J33,'08.08 KABONG-KOTIDO'!J33,'9.08 KOTIDO-KABONG-24h'!J33,'10.08 KOTIDO-KABONG-24h'!J33,'11.08 KITIDO-KABONG'!J33)</f>
        <v>0.14285714285714285</v>
      </c>
      <c r="K33" s="49">
        <f>AVERAGE('05.08 KOTIDO-KABONG'!K33,'06.08 KOTIDO-KABONG'!K33,'07.08 KOTIDO-KABONG'!K33,'08.08 KABONG-KOTIDO'!K33,'9.08 KOTIDO-KABONG-24h'!K33,'10.08 KOTIDO-KABONG-24h'!K33,'11.08 KITIDO-KABONG'!K33)</f>
        <v>0</v>
      </c>
      <c r="L33" s="49">
        <f>AVERAGE('05.08 KOTIDO-KABONG'!L33,'06.08 KOTIDO-KABONG'!L33,'07.08 KOTIDO-KABONG'!L33,'08.08 KABONG-KOTIDO'!L33,'9.08 KOTIDO-KABONG-24h'!L33,'10.08 KOTIDO-KABONG-24h'!L33,'11.08 KITIDO-KABONG'!L33)</f>
        <v>0</v>
      </c>
      <c r="M33" s="49">
        <f>AVERAGE('05.08 KOTIDO-KABONG'!M33,'06.08 KOTIDO-KABONG'!M33,'07.08 KOTIDO-KABONG'!M33,'08.08 KABONG-KOTIDO'!M33,'9.08 KOTIDO-KABONG-24h'!M33,'10.08 KOTIDO-KABONG-24h'!M33,'11.08 KITIDO-KABONG'!M33)</f>
        <v>0.2857142857142857</v>
      </c>
      <c r="N33" s="49">
        <f>AVERAGE('05.08 KOTIDO-KABONG'!N33,'06.08 KOTIDO-KABONG'!N33,'07.08 KOTIDO-KABONG'!N33,'08.08 KABONG-KOTIDO'!N33,'9.08 KOTIDO-KABONG-24h'!N33,'10.08 KOTIDO-KABONG-24h'!N33,'11.08 KITIDO-KABONG'!N33)</f>
        <v>0</v>
      </c>
      <c r="O33" s="15">
        <f t="shared" si="0"/>
        <v>1.1428571428571428</v>
      </c>
      <c r="P33" s="15">
        <f t="shared" si="1"/>
        <v>1.4285714285714284</v>
      </c>
      <c r="R33" s="1" t="s">
        <v>157</v>
      </c>
      <c r="S33" s="34">
        <f>SUM(C102:C105)</f>
        <v>0</v>
      </c>
      <c r="T33" s="34">
        <f t="shared" ref="T33:AF33" si="25">SUM(D102:D105)</f>
        <v>1</v>
      </c>
      <c r="U33" s="34">
        <f t="shared" si="25"/>
        <v>1.5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0.5</v>
      </c>
      <c r="Z33" s="34">
        <f t="shared" si="25"/>
        <v>0.5</v>
      </c>
      <c r="AA33" s="34">
        <f t="shared" si="25"/>
        <v>0</v>
      </c>
      <c r="AB33" s="34">
        <f t="shared" si="25"/>
        <v>0</v>
      </c>
      <c r="AC33" s="34">
        <f t="shared" si="25"/>
        <v>3</v>
      </c>
      <c r="AD33" s="34">
        <f t="shared" si="25"/>
        <v>0</v>
      </c>
      <c r="AE33" s="31">
        <f t="shared" si="25"/>
        <v>3.5</v>
      </c>
      <c r="AF33" s="31">
        <f t="shared" si="25"/>
        <v>6.5</v>
      </c>
    </row>
    <row r="34" spans="2:32" ht="23.1" customHeight="1" x14ac:dyDescent="0.25">
      <c r="B34" s="24" t="s">
        <v>61</v>
      </c>
      <c r="C34" s="49">
        <f>AVERAGE('05.08 KOTIDO-KABONG'!C34,'06.08 KOTIDO-KABONG'!C34,'07.08 KOTIDO-KABONG'!C34,'08.08 KABONG-KOTIDO'!C34,'9.08 KOTIDO-KABONG-24h'!C34,'10.08 KOTIDO-KABONG-24h'!C34,'11.08 KITIDO-KABONG'!C34)</f>
        <v>0</v>
      </c>
      <c r="D34" s="49">
        <f>AVERAGE('05.08 KOTIDO-KABONG'!D34,'06.08 KOTIDO-KABONG'!D34,'07.08 KOTIDO-KABONG'!D34,'08.08 KABONG-KOTIDO'!D34,'9.08 KOTIDO-KABONG-24h'!D34,'10.08 KOTIDO-KABONG-24h'!D34,'11.08 KITIDO-KABONG'!D34)</f>
        <v>0.2857142857142857</v>
      </c>
      <c r="E34" s="49">
        <f>AVERAGE('05.08 KOTIDO-KABONG'!E34,'06.08 KOTIDO-KABONG'!E34,'07.08 KOTIDO-KABONG'!E34,'08.08 KABONG-KOTIDO'!E34,'9.08 KOTIDO-KABONG-24h'!E34,'10.08 KOTIDO-KABONG-24h'!E34,'11.08 KITIDO-KABONG'!E34)</f>
        <v>0.14285714285714285</v>
      </c>
      <c r="F34" s="49">
        <f>AVERAGE('05.08 KOTIDO-KABONG'!F34,'06.08 KOTIDO-KABONG'!F34,'07.08 KOTIDO-KABONG'!F34,'08.08 KABONG-KOTIDO'!F34,'9.08 KOTIDO-KABONG-24h'!F34,'10.08 KOTIDO-KABONG-24h'!F34,'11.08 KITIDO-KABONG'!F34)</f>
        <v>0</v>
      </c>
      <c r="G34" s="49">
        <f>AVERAGE('05.08 KOTIDO-KABONG'!G34,'06.08 KOTIDO-KABONG'!G34,'07.08 KOTIDO-KABONG'!G34,'08.08 KABONG-KOTIDO'!G34,'9.08 KOTIDO-KABONG-24h'!G34,'10.08 KOTIDO-KABONG-24h'!G34,'11.08 KITIDO-KABONG'!G34)</f>
        <v>0</v>
      </c>
      <c r="H34" s="49">
        <f>AVERAGE('05.08 KOTIDO-KABONG'!H34,'06.08 KOTIDO-KABONG'!H34,'07.08 KOTIDO-KABONG'!H34,'08.08 KABONG-KOTIDO'!H34,'9.08 KOTIDO-KABONG-24h'!H34,'10.08 KOTIDO-KABONG-24h'!H34,'11.08 KITIDO-KABONG'!H34)</f>
        <v>0</v>
      </c>
      <c r="I34" s="49">
        <f>AVERAGE('05.08 KOTIDO-KABONG'!I34,'06.08 KOTIDO-KABONG'!I34,'07.08 KOTIDO-KABONG'!I34,'08.08 KABONG-KOTIDO'!I34,'9.08 KOTIDO-KABONG-24h'!I34,'10.08 KOTIDO-KABONG-24h'!I34,'11.08 KITIDO-KABONG'!I34)</f>
        <v>0.2857142857142857</v>
      </c>
      <c r="J34" s="49">
        <f>AVERAGE('05.08 KOTIDO-KABONG'!J34,'06.08 KOTIDO-KABONG'!J34,'07.08 KOTIDO-KABONG'!J34,'08.08 KABONG-KOTIDO'!J34,'9.08 KOTIDO-KABONG-24h'!J34,'10.08 KOTIDO-KABONG-24h'!J34,'11.08 KITIDO-KABONG'!J34)</f>
        <v>0</v>
      </c>
      <c r="K34" s="49">
        <f>AVERAGE('05.08 KOTIDO-KABONG'!K34,'06.08 KOTIDO-KABONG'!K34,'07.08 KOTIDO-KABONG'!K34,'08.08 KABONG-KOTIDO'!K34,'9.08 KOTIDO-KABONG-24h'!K34,'10.08 KOTIDO-KABONG-24h'!K34,'11.08 KITIDO-KABONG'!K34)</f>
        <v>0</v>
      </c>
      <c r="L34" s="49">
        <f>AVERAGE('05.08 KOTIDO-KABONG'!L34,'06.08 KOTIDO-KABONG'!L34,'07.08 KOTIDO-KABONG'!L34,'08.08 KABONG-KOTIDO'!L34,'9.08 KOTIDO-KABONG-24h'!L34,'10.08 KOTIDO-KABONG-24h'!L34,'11.08 KITIDO-KABONG'!L34)</f>
        <v>0</v>
      </c>
      <c r="M34" s="49">
        <f>AVERAGE('05.08 KOTIDO-KABONG'!M34,'06.08 KOTIDO-KABONG'!M34,'07.08 KOTIDO-KABONG'!M34,'08.08 KABONG-KOTIDO'!M34,'9.08 KOTIDO-KABONG-24h'!M34,'10.08 KOTIDO-KABONG-24h'!M34,'11.08 KITIDO-KABONG'!M34)</f>
        <v>0.2857142857142857</v>
      </c>
      <c r="N34" s="49">
        <f>AVERAGE('05.08 KOTIDO-KABONG'!N34,'06.08 KOTIDO-KABONG'!N34,'07.08 KOTIDO-KABONG'!N34,'08.08 KABONG-KOTIDO'!N34,'9.08 KOTIDO-KABONG-24h'!N34,'10.08 KOTIDO-KABONG-24h'!N34,'11.08 KITIDO-KABONG'!N34)</f>
        <v>0</v>
      </c>
      <c r="O34" s="15">
        <f t="shared" si="0"/>
        <v>0.71428571428571419</v>
      </c>
      <c r="P34" s="15">
        <f t="shared" si="1"/>
        <v>0.99999999999999989</v>
      </c>
      <c r="R34" s="51" t="s">
        <v>90</v>
      </c>
      <c r="S34" s="52">
        <f t="shared" ref="S34:AF34" si="26">MAX(S10:S12)</f>
        <v>0.5714285714285714</v>
      </c>
      <c r="T34" s="52">
        <f t="shared" si="26"/>
        <v>2</v>
      </c>
      <c r="U34" s="52">
        <f t="shared" si="26"/>
        <v>2</v>
      </c>
      <c r="V34" s="52">
        <f t="shared" si="26"/>
        <v>0</v>
      </c>
      <c r="W34" s="52">
        <f t="shared" si="26"/>
        <v>0</v>
      </c>
      <c r="X34" s="52">
        <f t="shared" si="26"/>
        <v>0.2857142857142857</v>
      </c>
      <c r="Y34" s="52">
        <f t="shared" si="26"/>
        <v>1.2857142857142856</v>
      </c>
      <c r="Z34" s="52">
        <f t="shared" si="26"/>
        <v>2</v>
      </c>
      <c r="AA34" s="52">
        <f t="shared" si="26"/>
        <v>0</v>
      </c>
      <c r="AB34" s="52">
        <f t="shared" si="26"/>
        <v>0</v>
      </c>
      <c r="AC34" s="52">
        <f t="shared" si="26"/>
        <v>4.1428571428571423</v>
      </c>
      <c r="AD34" s="52">
        <f t="shared" si="26"/>
        <v>0</v>
      </c>
      <c r="AE34" s="40">
        <f t="shared" si="26"/>
        <v>6.5714285714285712</v>
      </c>
      <c r="AF34" s="40">
        <f t="shared" si="26"/>
        <v>9.1428571428571423</v>
      </c>
    </row>
    <row r="35" spans="2:32" ht="23.1" customHeight="1" x14ac:dyDescent="0.25">
      <c r="B35" s="24" t="s">
        <v>62</v>
      </c>
      <c r="C35" s="49">
        <f>AVERAGE('05.08 KOTIDO-KABONG'!C35,'06.08 KOTIDO-KABONG'!C35,'07.08 KOTIDO-KABONG'!C35,'08.08 KABONG-KOTIDO'!C35,'9.08 KOTIDO-KABONG-24h'!C35,'10.08 KOTIDO-KABONG-24h'!C35,'11.08 KITIDO-KABONG'!C35)</f>
        <v>0</v>
      </c>
      <c r="D35" s="49">
        <f>AVERAGE('05.08 KOTIDO-KABONG'!D35,'06.08 KOTIDO-KABONG'!D35,'07.08 KOTIDO-KABONG'!D35,'08.08 KABONG-KOTIDO'!D35,'9.08 KOTIDO-KABONG-24h'!D35,'10.08 KOTIDO-KABONG-24h'!D35,'11.08 KITIDO-KABONG'!D35)</f>
        <v>0.14285714285714285</v>
      </c>
      <c r="E35" s="49">
        <f>AVERAGE('05.08 KOTIDO-KABONG'!E35,'06.08 KOTIDO-KABONG'!E35,'07.08 KOTIDO-KABONG'!E35,'08.08 KABONG-KOTIDO'!E35,'9.08 KOTIDO-KABONG-24h'!E35,'10.08 KOTIDO-KABONG-24h'!E35,'11.08 KITIDO-KABONG'!E35)</f>
        <v>0</v>
      </c>
      <c r="F35" s="49">
        <f>AVERAGE('05.08 KOTIDO-KABONG'!F35,'06.08 KOTIDO-KABONG'!F35,'07.08 KOTIDO-KABONG'!F35,'08.08 KABONG-KOTIDO'!F35,'9.08 KOTIDO-KABONG-24h'!F35,'10.08 KOTIDO-KABONG-24h'!F35,'11.08 KITIDO-KABONG'!F35)</f>
        <v>0</v>
      </c>
      <c r="G35" s="49">
        <f>AVERAGE('05.08 KOTIDO-KABONG'!G35,'06.08 KOTIDO-KABONG'!G35,'07.08 KOTIDO-KABONG'!G35,'08.08 KABONG-KOTIDO'!G35,'9.08 KOTIDO-KABONG-24h'!G35,'10.08 KOTIDO-KABONG-24h'!G35,'11.08 KITIDO-KABONG'!G35)</f>
        <v>0</v>
      </c>
      <c r="H35" s="49">
        <f>AVERAGE('05.08 KOTIDO-KABONG'!H35,'06.08 KOTIDO-KABONG'!H35,'07.08 KOTIDO-KABONG'!H35,'08.08 KABONG-KOTIDO'!H35,'9.08 KOTIDO-KABONG-24h'!H35,'10.08 KOTIDO-KABONG-24h'!H35,'11.08 KITIDO-KABONG'!H35)</f>
        <v>0</v>
      </c>
      <c r="I35" s="49">
        <f>AVERAGE('05.08 KOTIDO-KABONG'!I35,'06.08 KOTIDO-KABONG'!I35,'07.08 KOTIDO-KABONG'!I35,'08.08 KABONG-KOTIDO'!I35,'9.08 KOTIDO-KABONG-24h'!I35,'10.08 KOTIDO-KABONG-24h'!I35,'11.08 KITIDO-KABONG'!I35)</f>
        <v>0.14285714285714285</v>
      </c>
      <c r="J35" s="49">
        <f>AVERAGE('05.08 KOTIDO-KABONG'!J35,'06.08 KOTIDO-KABONG'!J35,'07.08 KOTIDO-KABONG'!J35,'08.08 KABONG-KOTIDO'!J35,'9.08 KOTIDO-KABONG-24h'!J35,'10.08 KOTIDO-KABONG-24h'!J35,'11.08 KITIDO-KABONG'!J35)</f>
        <v>0</v>
      </c>
      <c r="K35" s="49">
        <f>AVERAGE('05.08 KOTIDO-KABONG'!K35,'06.08 KOTIDO-KABONG'!K35,'07.08 KOTIDO-KABONG'!K35,'08.08 KABONG-KOTIDO'!K35,'9.08 KOTIDO-KABONG-24h'!K35,'10.08 KOTIDO-KABONG-24h'!K35,'11.08 KITIDO-KABONG'!K35)</f>
        <v>0</v>
      </c>
      <c r="L35" s="49">
        <f>AVERAGE('05.08 KOTIDO-KABONG'!L35,'06.08 KOTIDO-KABONG'!L35,'07.08 KOTIDO-KABONG'!L35,'08.08 KABONG-KOTIDO'!L35,'9.08 KOTIDO-KABONG-24h'!L35,'10.08 KOTIDO-KABONG-24h'!L35,'11.08 KITIDO-KABONG'!L35)</f>
        <v>0</v>
      </c>
      <c r="M35" s="49">
        <f>AVERAGE('05.08 KOTIDO-KABONG'!M35,'06.08 KOTIDO-KABONG'!M35,'07.08 KOTIDO-KABONG'!M35,'08.08 KABONG-KOTIDO'!M35,'9.08 KOTIDO-KABONG-24h'!M35,'10.08 KOTIDO-KABONG-24h'!M35,'11.08 KITIDO-KABONG'!M35)</f>
        <v>0.8571428571428571</v>
      </c>
      <c r="N35" s="49">
        <f>AVERAGE('05.08 KOTIDO-KABONG'!N35,'06.08 KOTIDO-KABONG'!N35,'07.08 KOTIDO-KABONG'!N35,'08.08 KABONG-KOTIDO'!N35,'9.08 KOTIDO-KABONG-24h'!N35,'10.08 KOTIDO-KABONG-24h'!N35,'11.08 KITIDO-KABONG'!N35)</f>
        <v>0</v>
      </c>
      <c r="O35" s="15">
        <f t="shared" si="0"/>
        <v>0.2857142857142857</v>
      </c>
      <c r="P35" s="15">
        <f t="shared" si="1"/>
        <v>1.1428571428571428</v>
      </c>
      <c r="R35" s="51" t="s">
        <v>91</v>
      </c>
      <c r="S35" s="52">
        <f t="shared" ref="S35:AF35" si="27">MAX(S13:S18)</f>
        <v>0.7142857142857143</v>
      </c>
      <c r="T35" s="52">
        <f t="shared" si="27"/>
        <v>1.2857142857142856</v>
      </c>
      <c r="U35" s="52">
        <f t="shared" si="27"/>
        <v>0.85714285714285721</v>
      </c>
      <c r="V35" s="52">
        <f t="shared" si="27"/>
        <v>0.14285714285714285</v>
      </c>
      <c r="W35" s="52">
        <f t="shared" si="27"/>
        <v>0</v>
      </c>
      <c r="X35" s="52">
        <f t="shared" si="27"/>
        <v>0.14285714285714285</v>
      </c>
      <c r="Y35" s="52">
        <f t="shared" si="27"/>
        <v>0.42857142857142855</v>
      </c>
      <c r="Z35" s="52">
        <f t="shared" si="27"/>
        <v>0.85714285714285721</v>
      </c>
      <c r="AA35" s="52">
        <f t="shared" si="27"/>
        <v>0.14285714285714285</v>
      </c>
      <c r="AB35" s="52">
        <f t="shared" si="27"/>
        <v>0</v>
      </c>
      <c r="AC35" s="52">
        <f t="shared" si="27"/>
        <v>3.8571428571428568</v>
      </c>
      <c r="AD35" s="52">
        <f t="shared" si="27"/>
        <v>0</v>
      </c>
      <c r="AE35" s="40">
        <f t="shared" si="27"/>
        <v>3.1428571428571428</v>
      </c>
      <c r="AF35" s="40">
        <f t="shared" si="27"/>
        <v>6.2857142857142847</v>
      </c>
    </row>
    <row r="36" spans="2:32" ht="23.1" customHeight="1" x14ac:dyDescent="0.25">
      <c r="B36" s="24" t="s">
        <v>63</v>
      </c>
      <c r="C36" s="49">
        <f>AVERAGE('05.08 KOTIDO-KABONG'!C36,'06.08 KOTIDO-KABONG'!C36,'07.08 KOTIDO-KABONG'!C36,'08.08 KABONG-KOTIDO'!C36,'9.08 KOTIDO-KABONG-24h'!C36,'10.08 KOTIDO-KABONG-24h'!C36,'11.08 KITIDO-KABONG'!C36)</f>
        <v>0</v>
      </c>
      <c r="D36" s="49">
        <f>AVERAGE('05.08 KOTIDO-KABONG'!D36,'06.08 KOTIDO-KABONG'!D36,'07.08 KOTIDO-KABONG'!D36,'08.08 KABONG-KOTIDO'!D36,'9.08 KOTIDO-KABONG-24h'!D36,'10.08 KOTIDO-KABONG-24h'!D36,'11.08 KITIDO-KABONG'!D36)</f>
        <v>0.2857142857142857</v>
      </c>
      <c r="E36" s="49">
        <f>AVERAGE('05.08 KOTIDO-KABONG'!E36,'06.08 KOTIDO-KABONG'!E36,'07.08 KOTIDO-KABONG'!E36,'08.08 KABONG-KOTIDO'!E36,'9.08 KOTIDO-KABONG-24h'!E36,'10.08 KOTIDO-KABONG-24h'!E36,'11.08 KITIDO-KABONG'!E36)</f>
        <v>0</v>
      </c>
      <c r="F36" s="49">
        <f>AVERAGE('05.08 KOTIDO-KABONG'!F36,'06.08 KOTIDO-KABONG'!F36,'07.08 KOTIDO-KABONG'!F36,'08.08 KABONG-KOTIDO'!F36,'9.08 KOTIDO-KABONG-24h'!F36,'10.08 KOTIDO-KABONG-24h'!F36,'11.08 KITIDO-KABONG'!F36)</f>
        <v>0.14285714285714285</v>
      </c>
      <c r="G36" s="49">
        <f>AVERAGE('05.08 KOTIDO-KABONG'!G36,'06.08 KOTIDO-KABONG'!G36,'07.08 KOTIDO-KABONG'!G36,'08.08 KABONG-KOTIDO'!G36,'9.08 KOTIDO-KABONG-24h'!G36,'10.08 KOTIDO-KABONG-24h'!G36,'11.08 KITIDO-KABONG'!G36)</f>
        <v>0</v>
      </c>
      <c r="H36" s="49">
        <f>AVERAGE('05.08 KOTIDO-KABONG'!H36,'06.08 KOTIDO-KABONG'!H36,'07.08 KOTIDO-KABONG'!H36,'08.08 KABONG-KOTIDO'!H36,'9.08 KOTIDO-KABONG-24h'!H36,'10.08 KOTIDO-KABONG-24h'!H36,'11.08 KITIDO-KABONG'!H36)</f>
        <v>0</v>
      </c>
      <c r="I36" s="49">
        <f>AVERAGE('05.08 KOTIDO-KABONG'!I36,'06.08 KOTIDO-KABONG'!I36,'07.08 KOTIDO-KABONG'!I36,'08.08 KABONG-KOTIDO'!I36,'9.08 KOTIDO-KABONG-24h'!I36,'10.08 KOTIDO-KABONG-24h'!I36,'11.08 KITIDO-KABONG'!I36)</f>
        <v>0</v>
      </c>
      <c r="J36" s="49">
        <f>AVERAGE('05.08 KOTIDO-KABONG'!J36,'06.08 KOTIDO-KABONG'!J36,'07.08 KOTIDO-KABONG'!J36,'08.08 KABONG-KOTIDO'!J36,'9.08 KOTIDO-KABONG-24h'!J36,'10.08 KOTIDO-KABONG-24h'!J36,'11.08 KITIDO-KABONG'!J36)</f>
        <v>0.7142857142857143</v>
      </c>
      <c r="K36" s="49">
        <f>AVERAGE('05.08 KOTIDO-KABONG'!K36,'06.08 KOTIDO-KABONG'!K36,'07.08 KOTIDO-KABONG'!K36,'08.08 KABONG-KOTIDO'!K36,'9.08 KOTIDO-KABONG-24h'!K36,'10.08 KOTIDO-KABONG-24h'!K36,'11.08 KITIDO-KABONG'!K36)</f>
        <v>0</v>
      </c>
      <c r="L36" s="49">
        <f>AVERAGE('05.08 KOTIDO-KABONG'!L36,'06.08 KOTIDO-KABONG'!L36,'07.08 KOTIDO-KABONG'!L36,'08.08 KABONG-KOTIDO'!L36,'9.08 KOTIDO-KABONG-24h'!L36,'10.08 KOTIDO-KABONG-24h'!L36,'11.08 KITIDO-KABONG'!L36)</f>
        <v>0</v>
      </c>
      <c r="M36" s="49">
        <f>AVERAGE('05.08 KOTIDO-KABONG'!M36,'06.08 KOTIDO-KABONG'!M36,'07.08 KOTIDO-KABONG'!M36,'08.08 KABONG-KOTIDO'!M36,'9.08 KOTIDO-KABONG-24h'!M36,'10.08 KOTIDO-KABONG-24h'!M36,'11.08 KITIDO-KABONG'!M36)</f>
        <v>0.14285714285714285</v>
      </c>
      <c r="N36" s="49">
        <f>AVERAGE('05.08 KOTIDO-KABONG'!N36,'06.08 KOTIDO-KABONG'!N36,'07.08 KOTIDO-KABONG'!N36,'08.08 KABONG-KOTIDO'!N36,'9.08 KOTIDO-KABONG-24h'!N36,'10.08 KOTIDO-KABONG-24h'!N36,'11.08 KITIDO-KABONG'!N36)</f>
        <v>0</v>
      </c>
      <c r="O36" s="15">
        <f t="shared" si="0"/>
        <v>1.1428571428571428</v>
      </c>
      <c r="P36" s="15">
        <f t="shared" si="1"/>
        <v>1.2857142857142856</v>
      </c>
      <c r="R36" s="51" t="s">
        <v>92</v>
      </c>
      <c r="S36" s="52">
        <f t="shared" ref="S36:AF36" si="28">MAX(S19:S21)</f>
        <v>0.2857142857142857</v>
      </c>
      <c r="T36" s="52">
        <f t="shared" si="28"/>
        <v>1.8571428571428572</v>
      </c>
      <c r="U36" s="52">
        <f t="shared" si="28"/>
        <v>1.4285714285714284</v>
      </c>
      <c r="V36" s="52">
        <f t="shared" si="28"/>
        <v>0</v>
      </c>
      <c r="W36" s="52">
        <f t="shared" si="28"/>
        <v>0.2857142857142857</v>
      </c>
      <c r="X36" s="52">
        <f t="shared" si="28"/>
        <v>0.2857142857142857</v>
      </c>
      <c r="Y36" s="52">
        <f t="shared" si="28"/>
        <v>0.5714285714285714</v>
      </c>
      <c r="Z36" s="52">
        <f t="shared" si="28"/>
        <v>0.71428571428571419</v>
      </c>
      <c r="AA36" s="52">
        <f t="shared" si="28"/>
        <v>0</v>
      </c>
      <c r="AB36" s="52">
        <f t="shared" si="28"/>
        <v>0</v>
      </c>
      <c r="AC36" s="52">
        <f t="shared" si="28"/>
        <v>3.2857142857142856</v>
      </c>
      <c r="AD36" s="52">
        <f t="shared" si="28"/>
        <v>0</v>
      </c>
      <c r="AE36" s="40">
        <f t="shared" si="28"/>
        <v>3.9999999999999996</v>
      </c>
      <c r="AF36" s="40">
        <f t="shared" si="28"/>
        <v>6.8571428571428577</v>
      </c>
    </row>
    <row r="37" spans="2:32" ht="23.1" customHeight="1" x14ac:dyDescent="0.25">
      <c r="B37" s="23" t="s">
        <v>64</v>
      </c>
      <c r="C37" s="49">
        <f>AVERAGE('05.08 KOTIDO-KABONG'!C37,'06.08 KOTIDO-KABONG'!C37,'07.08 KOTIDO-KABONG'!C37,'08.08 KABONG-KOTIDO'!C37,'9.08 KOTIDO-KABONG-24h'!C37,'10.08 KOTIDO-KABONG-24h'!C37,'11.08 KITIDO-KABONG'!C37)</f>
        <v>0</v>
      </c>
      <c r="D37" s="49">
        <f>AVERAGE('05.08 KOTIDO-KABONG'!D37,'06.08 KOTIDO-KABONG'!D37,'07.08 KOTIDO-KABONG'!D37,'08.08 KABONG-KOTIDO'!D37,'9.08 KOTIDO-KABONG-24h'!D37,'10.08 KOTIDO-KABONG-24h'!D37,'11.08 KITIDO-KABONG'!D37)</f>
        <v>0.14285714285714285</v>
      </c>
      <c r="E37" s="49">
        <f>AVERAGE('05.08 KOTIDO-KABONG'!E37,'06.08 KOTIDO-KABONG'!E37,'07.08 KOTIDO-KABONG'!E37,'08.08 KABONG-KOTIDO'!E37,'9.08 KOTIDO-KABONG-24h'!E37,'10.08 KOTIDO-KABONG-24h'!E37,'11.08 KITIDO-KABONG'!E37)</f>
        <v>0.2857142857142857</v>
      </c>
      <c r="F37" s="49">
        <f>AVERAGE('05.08 KOTIDO-KABONG'!F37,'06.08 KOTIDO-KABONG'!F37,'07.08 KOTIDO-KABONG'!F37,'08.08 KABONG-KOTIDO'!F37,'9.08 KOTIDO-KABONG-24h'!F37,'10.08 KOTIDO-KABONG-24h'!F37,'11.08 KITIDO-KABONG'!F37)</f>
        <v>0</v>
      </c>
      <c r="G37" s="49">
        <f>AVERAGE('05.08 KOTIDO-KABONG'!G37,'06.08 KOTIDO-KABONG'!G37,'07.08 KOTIDO-KABONG'!G37,'08.08 KABONG-KOTIDO'!G37,'9.08 KOTIDO-KABONG-24h'!G37,'10.08 KOTIDO-KABONG-24h'!G37,'11.08 KITIDO-KABONG'!G37)</f>
        <v>0</v>
      </c>
      <c r="H37" s="49">
        <f>AVERAGE('05.08 KOTIDO-KABONG'!H37,'06.08 KOTIDO-KABONG'!H37,'07.08 KOTIDO-KABONG'!H37,'08.08 KABONG-KOTIDO'!H37,'9.08 KOTIDO-KABONG-24h'!H37,'10.08 KOTIDO-KABONG-24h'!H37,'11.08 KITIDO-KABONG'!H37)</f>
        <v>0</v>
      </c>
      <c r="I37" s="49">
        <f>AVERAGE('05.08 KOTIDO-KABONG'!I37,'06.08 KOTIDO-KABONG'!I37,'07.08 KOTIDO-KABONG'!I37,'08.08 KABONG-KOTIDO'!I37,'9.08 KOTIDO-KABONG-24h'!I37,'10.08 KOTIDO-KABONG-24h'!I37,'11.08 KITIDO-KABONG'!I37)</f>
        <v>0</v>
      </c>
      <c r="J37" s="49">
        <f>AVERAGE('05.08 KOTIDO-KABONG'!J37,'06.08 KOTIDO-KABONG'!J37,'07.08 KOTIDO-KABONG'!J37,'08.08 KABONG-KOTIDO'!J37,'9.08 KOTIDO-KABONG-24h'!J37,'10.08 KOTIDO-KABONG-24h'!J37,'11.08 KITIDO-KABONG'!J37)</f>
        <v>0.14285714285714285</v>
      </c>
      <c r="K37" s="49">
        <f>AVERAGE('05.08 KOTIDO-KABONG'!K37,'06.08 KOTIDO-KABONG'!K37,'07.08 KOTIDO-KABONG'!K37,'08.08 KABONG-KOTIDO'!K37,'9.08 KOTIDO-KABONG-24h'!K37,'10.08 KOTIDO-KABONG-24h'!K37,'11.08 KITIDO-KABONG'!K37)</f>
        <v>0</v>
      </c>
      <c r="L37" s="49">
        <f>AVERAGE('05.08 KOTIDO-KABONG'!L37,'06.08 KOTIDO-KABONG'!L37,'07.08 KOTIDO-KABONG'!L37,'08.08 KABONG-KOTIDO'!L37,'9.08 KOTIDO-KABONG-24h'!L37,'10.08 KOTIDO-KABONG-24h'!L37,'11.08 KITIDO-KABONG'!L37)</f>
        <v>0</v>
      </c>
      <c r="M37" s="49">
        <f>AVERAGE('05.08 KOTIDO-KABONG'!M37,'06.08 KOTIDO-KABONG'!M37,'07.08 KOTIDO-KABONG'!M37,'08.08 KABONG-KOTIDO'!M37,'9.08 KOTIDO-KABONG-24h'!M37,'10.08 KOTIDO-KABONG-24h'!M37,'11.08 KITIDO-KABONG'!M37)</f>
        <v>0</v>
      </c>
      <c r="N37" s="49">
        <f>AVERAGE('05.08 KOTIDO-KABONG'!N37,'06.08 KOTIDO-KABONG'!N37,'07.08 KOTIDO-KABONG'!N37,'08.08 KABONG-KOTIDO'!N37,'9.08 KOTIDO-KABONG-24h'!N37,'10.08 KOTIDO-KABONG-24h'!N37,'11.08 KITIDO-KABONG'!N37)</f>
        <v>0</v>
      </c>
      <c r="O37" s="15">
        <f t="shared" si="0"/>
        <v>0.5714285714285714</v>
      </c>
      <c r="P37" s="15">
        <f t="shared" si="1"/>
        <v>0.5714285714285714</v>
      </c>
      <c r="R37" s="37" t="s">
        <v>85</v>
      </c>
      <c r="S37" s="53">
        <f t="shared" ref="S37:AF37" si="29">SUM(S10:S12)</f>
        <v>1.2857142857142856</v>
      </c>
      <c r="T37" s="54">
        <f t="shared" si="29"/>
        <v>4.1428571428571423</v>
      </c>
      <c r="U37" s="54">
        <f t="shared" si="29"/>
        <v>4.4285714285714279</v>
      </c>
      <c r="V37" s="54">
        <f t="shared" si="29"/>
        <v>0</v>
      </c>
      <c r="W37" s="54">
        <f t="shared" si="29"/>
        <v>0</v>
      </c>
      <c r="X37" s="54">
        <f t="shared" si="29"/>
        <v>0.2857142857142857</v>
      </c>
      <c r="Y37" s="54">
        <f t="shared" si="29"/>
        <v>2.1428571428571428</v>
      </c>
      <c r="Z37" s="54">
        <f t="shared" si="29"/>
        <v>3.4285714285714284</v>
      </c>
      <c r="AA37" s="54">
        <f t="shared" si="29"/>
        <v>0</v>
      </c>
      <c r="AB37" s="54">
        <f t="shared" si="29"/>
        <v>0</v>
      </c>
      <c r="AC37" s="54">
        <f t="shared" si="29"/>
        <v>9.2857142857142847</v>
      </c>
      <c r="AD37" s="54">
        <f t="shared" si="29"/>
        <v>0</v>
      </c>
      <c r="AE37" s="55">
        <f t="shared" si="29"/>
        <v>15.714285714285714</v>
      </c>
      <c r="AF37" s="55">
        <f t="shared" si="29"/>
        <v>24.999999999999996</v>
      </c>
    </row>
    <row r="38" spans="2:32" ht="23.1" customHeight="1" x14ac:dyDescent="0.25">
      <c r="B38" s="24" t="s">
        <v>65</v>
      </c>
      <c r="C38" s="49">
        <f>AVERAGE('05.08 KOTIDO-KABONG'!C38,'06.08 KOTIDO-KABONG'!C38,'07.08 KOTIDO-KABONG'!C38,'08.08 KABONG-KOTIDO'!C38,'9.08 KOTIDO-KABONG-24h'!C38,'10.08 KOTIDO-KABONG-24h'!C38,'11.08 KITIDO-KABONG'!C38)</f>
        <v>0.14285714285714285</v>
      </c>
      <c r="D38" s="49">
        <f>AVERAGE('05.08 KOTIDO-KABONG'!D38,'06.08 KOTIDO-KABONG'!D38,'07.08 KOTIDO-KABONG'!D38,'08.08 KABONG-KOTIDO'!D38,'9.08 KOTIDO-KABONG-24h'!D38,'10.08 KOTIDO-KABONG-24h'!D38,'11.08 KITIDO-KABONG'!D38)</f>
        <v>1</v>
      </c>
      <c r="E38" s="49">
        <f>AVERAGE('05.08 KOTIDO-KABONG'!E38,'06.08 KOTIDO-KABONG'!E38,'07.08 KOTIDO-KABONG'!E38,'08.08 KABONG-KOTIDO'!E38,'9.08 KOTIDO-KABONG-24h'!E38,'10.08 KOTIDO-KABONG-24h'!E38,'11.08 KITIDO-KABONG'!E38)</f>
        <v>0</v>
      </c>
      <c r="F38" s="49">
        <f>AVERAGE('05.08 KOTIDO-KABONG'!F38,'06.08 KOTIDO-KABONG'!F38,'07.08 KOTIDO-KABONG'!F38,'08.08 KABONG-KOTIDO'!F38,'9.08 KOTIDO-KABONG-24h'!F38,'10.08 KOTIDO-KABONG-24h'!F38,'11.08 KITIDO-KABONG'!F38)</f>
        <v>0</v>
      </c>
      <c r="G38" s="49">
        <f>AVERAGE('05.08 KOTIDO-KABONG'!G38,'06.08 KOTIDO-KABONG'!G38,'07.08 KOTIDO-KABONG'!G38,'08.08 KABONG-KOTIDO'!G38,'9.08 KOTIDO-KABONG-24h'!G38,'10.08 KOTIDO-KABONG-24h'!G38,'11.08 KITIDO-KABONG'!G38)</f>
        <v>0</v>
      </c>
      <c r="H38" s="49">
        <f>AVERAGE('05.08 KOTIDO-KABONG'!H38,'06.08 KOTIDO-KABONG'!H38,'07.08 KOTIDO-KABONG'!H38,'08.08 KABONG-KOTIDO'!H38,'9.08 KOTIDO-KABONG-24h'!H38,'10.08 KOTIDO-KABONG-24h'!H38,'11.08 KITIDO-KABONG'!H38)</f>
        <v>0</v>
      </c>
      <c r="I38" s="49">
        <f>AVERAGE('05.08 KOTIDO-KABONG'!I38,'06.08 KOTIDO-KABONG'!I38,'07.08 KOTIDO-KABONG'!I38,'08.08 KABONG-KOTIDO'!I38,'9.08 KOTIDO-KABONG-24h'!I38,'10.08 KOTIDO-KABONG-24h'!I38,'11.08 KITIDO-KABONG'!I38)</f>
        <v>0</v>
      </c>
      <c r="J38" s="49">
        <f>AVERAGE('05.08 KOTIDO-KABONG'!J38,'06.08 KOTIDO-KABONG'!J38,'07.08 KOTIDO-KABONG'!J38,'08.08 KABONG-KOTIDO'!J38,'9.08 KOTIDO-KABONG-24h'!J38,'10.08 KOTIDO-KABONG-24h'!J38,'11.08 KITIDO-KABONG'!J38)</f>
        <v>0</v>
      </c>
      <c r="K38" s="49">
        <f>AVERAGE('05.08 KOTIDO-KABONG'!K38,'06.08 KOTIDO-KABONG'!K38,'07.08 KOTIDO-KABONG'!K38,'08.08 KABONG-KOTIDO'!K38,'9.08 KOTIDO-KABONG-24h'!K38,'10.08 KOTIDO-KABONG-24h'!K38,'11.08 KITIDO-KABONG'!K38)</f>
        <v>0</v>
      </c>
      <c r="L38" s="49">
        <f>AVERAGE('05.08 KOTIDO-KABONG'!L38,'06.08 KOTIDO-KABONG'!L38,'07.08 KOTIDO-KABONG'!L38,'08.08 KABONG-KOTIDO'!L38,'9.08 KOTIDO-KABONG-24h'!L38,'10.08 KOTIDO-KABONG-24h'!L38,'11.08 KITIDO-KABONG'!L38)</f>
        <v>0</v>
      </c>
      <c r="M38" s="49">
        <f>AVERAGE('05.08 KOTIDO-KABONG'!M38,'06.08 KOTIDO-KABONG'!M38,'07.08 KOTIDO-KABONG'!M38,'08.08 KABONG-KOTIDO'!M38,'9.08 KOTIDO-KABONG-24h'!M38,'10.08 KOTIDO-KABONG-24h'!M38,'11.08 KITIDO-KABONG'!M38)</f>
        <v>0.14285714285714285</v>
      </c>
      <c r="N38" s="49">
        <f>AVERAGE('05.08 KOTIDO-KABONG'!N38,'06.08 KOTIDO-KABONG'!N38,'07.08 KOTIDO-KABONG'!N38,'08.08 KABONG-KOTIDO'!N38,'9.08 KOTIDO-KABONG-24h'!N38,'10.08 KOTIDO-KABONG-24h'!N38,'11.08 KITIDO-KABONG'!N38)</f>
        <v>0</v>
      </c>
      <c r="O38" s="15">
        <f t="shared" si="0"/>
        <v>1.1428571428571428</v>
      </c>
      <c r="P38" s="15">
        <f t="shared" si="1"/>
        <v>1.2857142857142856</v>
      </c>
      <c r="R38" s="28" t="s">
        <v>86</v>
      </c>
      <c r="S38" s="54">
        <f t="shared" ref="S38:AF38" si="30">SUM(S13:S18)</f>
        <v>1.714285714285714</v>
      </c>
      <c r="T38" s="54">
        <f t="shared" si="30"/>
        <v>5.8571428571428568</v>
      </c>
      <c r="U38" s="54">
        <f t="shared" si="30"/>
        <v>2.4285714285714284</v>
      </c>
      <c r="V38" s="54">
        <f t="shared" si="30"/>
        <v>0.2857142857142857</v>
      </c>
      <c r="W38" s="54">
        <f t="shared" si="30"/>
        <v>0</v>
      </c>
      <c r="X38" s="54">
        <f t="shared" si="30"/>
        <v>0.2857142857142857</v>
      </c>
      <c r="Y38" s="54">
        <f t="shared" si="30"/>
        <v>1.857142857142857</v>
      </c>
      <c r="Z38" s="54">
        <f t="shared" si="30"/>
        <v>2</v>
      </c>
      <c r="AA38" s="54">
        <f t="shared" si="30"/>
        <v>0.14285714285714285</v>
      </c>
      <c r="AB38" s="54">
        <f t="shared" si="30"/>
        <v>0</v>
      </c>
      <c r="AC38" s="54">
        <f t="shared" si="30"/>
        <v>13.571428571428569</v>
      </c>
      <c r="AD38" s="54">
        <f t="shared" si="30"/>
        <v>0</v>
      </c>
      <c r="AE38" s="55">
        <f t="shared" si="30"/>
        <v>14.571428571428571</v>
      </c>
      <c r="AF38" s="55">
        <f t="shared" si="30"/>
        <v>28.142857142857142</v>
      </c>
    </row>
    <row r="39" spans="2:32" ht="23.1" customHeight="1" x14ac:dyDescent="0.25">
      <c r="B39" s="24" t="s">
        <v>66</v>
      </c>
      <c r="C39" s="49">
        <f>AVERAGE('05.08 KOTIDO-KABONG'!C39,'06.08 KOTIDO-KABONG'!C39,'07.08 KOTIDO-KABONG'!C39,'08.08 KABONG-KOTIDO'!C39,'9.08 KOTIDO-KABONG-24h'!C39,'10.08 KOTIDO-KABONG-24h'!C39,'11.08 KITIDO-KABONG'!C39)</f>
        <v>0</v>
      </c>
      <c r="D39" s="49">
        <f>AVERAGE('05.08 KOTIDO-KABONG'!D39,'06.08 KOTIDO-KABONG'!D39,'07.08 KOTIDO-KABONG'!D39,'08.08 KABONG-KOTIDO'!D39,'9.08 KOTIDO-KABONG-24h'!D39,'10.08 KOTIDO-KABONG-24h'!D39,'11.08 KITIDO-KABONG'!D39)</f>
        <v>0</v>
      </c>
      <c r="E39" s="49">
        <f>AVERAGE('05.08 KOTIDO-KABONG'!E39,'06.08 KOTIDO-KABONG'!E39,'07.08 KOTIDO-KABONG'!E39,'08.08 KABONG-KOTIDO'!E39,'9.08 KOTIDO-KABONG-24h'!E39,'10.08 KOTIDO-KABONG-24h'!E39,'11.08 KITIDO-KABONG'!E39)</f>
        <v>0</v>
      </c>
      <c r="F39" s="49">
        <f>AVERAGE('05.08 KOTIDO-KABONG'!F39,'06.08 KOTIDO-KABONG'!F39,'07.08 KOTIDO-KABONG'!F39,'08.08 KABONG-KOTIDO'!F39,'9.08 KOTIDO-KABONG-24h'!F39,'10.08 KOTIDO-KABONG-24h'!F39,'11.08 KITIDO-KABONG'!F39)</f>
        <v>0</v>
      </c>
      <c r="G39" s="49">
        <f>AVERAGE('05.08 KOTIDO-KABONG'!G39,'06.08 KOTIDO-KABONG'!G39,'07.08 KOTIDO-KABONG'!G39,'08.08 KABONG-KOTIDO'!G39,'9.08 KOTIDO-KABONG-24h'!G39,'10.08 KOTIDO-KABONG-24h'!G39,'11.08 KITIDO-KABONG'!G39)</f>
        <v>0</v>
      </c>
      <c r="H39" s="49">
        <f>AVERAGE('05.08 KOTIDO-KABONG'!H39,'06.08 KOTIDO-KABONG'!H39,'07.08 KOTIDO-KABONG'!H39,'08.08 KABONG-KOTIDO'!H39,'9.08 KOTIDO-KABONG-24h'!H39,'10.08 KOTIDO-KABONG-24h'!H39,'11.08 KITIDO-KABONG'!H39)</f>
        <v>0</v>
      </c>
      <c r="I39" s="49">
        <f>AVERAGE('05.08 KOTIDO-KABONG'!I39,'06.08 KOTIDO-KABONG'!I39,'07.08 KOTIDO-KABONG'!I39,'08.08 KABONG-KOTIDO'!I39,'9.08 KOTIDO-KABONG-24h'!I39,'10.08 KOTIDO-KABONG-24h'!I39,'11.08 KITIDO-KABONG'!I39)</f>
        <v>0</v>
      </c>
      <c r="J39" s="49">
        <f>AVERAGE('05.08 KOTIDO-KABONG'!J39,'06.08 KOTIDO-KABONG'!J39,'07.08 KOTIDO-KABONG'!J39,'08.08 KABONG-KOTIDO'!J39,'9.08 KOTIDO-KABONG-24h'!J39,'10.08 KOTIDO-KABONG-24h'!J39,'11.08 KITIDO-KABONG'!J39)</f>
        <v>0</v>
      </c>
      <c r="K39" s="49">
        <f>AVERAGE('05.08 KOTIDO-KABONG'!K39,'06.08 KOTIDO-KABONG'!K39,'07.08 KOTIDO-KABONG'!K39,'08.08 KABONG-KOTIDO'!K39,'9.08 KOTIDO-KABONG-24h'!K39,'10.08 KOTIDO-KABONG-24h'!K39,'11.08 KITIDO-KABONG'!K39)</f>
        <v>0</v>
      </c>
      <c r="L39" s="49">
        <f>AVERAGE('05.08 KOTIDO-KABONG'!L39,'06.08 KOTIDO-KABONG'!L39,'07.08 KOTIDO-KABONG'!L39,'08.08 KABONG-KOTIDO'!L39,'9.08 KOTIDO-KABONG-24h'!L39,'10.08 KOTIDO-KABONG-24h'!L39,'11.08 KITIDO-KABONG'!L39)</f>
        <v>0</v>
      </c>
      <c r="M39" s="49">
        <f>AVERAGE('05.08 KOTIDO-KABONG'!M39,'06.08 KOTIDO-KABONG'!M39,'07.08 KOTIDO-KABONG'!M39,'08.08 KABONG-KOTIDO'!M39,'9.08 KOTIDO-KABONG-24h'!M39,'10.08 KOTIDO-KABONG-24h'!M39,'11.08 KITIDO-KABONG'!M39)</f>
        <v>0.42857142857142855</v>
      </c>
      <c r="N39" s="49">
        <f>AVERAGE('05.08 KOTIDO-KABONG'!N39,'06.08 KOTIDO-KABONG'!N39,'07.08 KOTIDO-KABONG'!N39,'08.08 KABONG-KOTIDO'!N39,'9.08 KOTIDO-KABONG-24h'!N39,'10.08 KOTIDO-KABONG-24h'!N39,'11.08 KITIDO-KABONG'!N39)</f>
        <v>0</v>
      </c>
      <c r="O39" s="15">
        <f t="shared" si="0"/>
        <v>0</v>
      </c>
      <c r="P39" s="15">
        <f t="shared" si="1"/>
        <v>0.42857142857142855</v>
      </c>
      <c r="R39" s="29" t="s">
        <v>87</v>
      </c>
      <c r="S39" s="54">
        <f t="shared" ref="S39:AF39" si="31">SUM(S19:S21)</f>
        <v>0.5714285714285714</v>
      </c>
      <c r="T39" s="54">
        <f t="shared" si="31"/>
        <v>4.1428571428571423</v>
      </c>
      <c r="U39" s="54">
        <f t="shared" si="31"/>
        <v>3</v>
      </c>
      <c r="V39" s="54">
        <f t="shared" si="31"/>
        <v>0</v>
      </c>
      <c r="W39" s="54">
        <f t="shared" si="31"/>
        <v>0.2857142857142857</v>
      </c>
      <c r="X39" s="54">
        <f t="shared" si="31"/>
        <v>0.42857142857142855</v>
      </c>
      <c r="Y39" s="54">
        <f t="shared" si="31"/>
        <v>1</v>
      </c>
      <c r="Z39" s="54">
        <f t="shared" si="31"/>
        <v>1.714285714285714</v>
      </c>
      <c r="AA39" s="54">
        <f t="shared" si="31"/>
        <v>0</v>
      </c>
      <c r="AB39" s="54">
        <f t="shared" si="31"/>
        <v>0</v>
      </c>
      <c r="AC39" s="54">
        <f t="shared" si="31"/>
        <v>7.9999999999999991</v>
      </c>
      <c r="AD39" s="54">
        <f t="shared" si="31"/>
        <v>0</v>
      </c>
      <c r="AE39" s="55">
        <f t="shared" si="31"/>
        <v>11.142857142857142</v>
      </c>
      <c r="AF39" s="55">
        <f t="shared" si="31"/>
        <v>19.142857142857146</v>
      </c>
    </row>
    <row r="40" spans="2:32" ht="23.1" customHeight="1" x14ac:dyDescent="0.25">
      <c r="B40" s="24" t="s">
        <v>67</v>
      </c>
      <c r="C40" s="49">
        <f>AVERAGE('05.08 KOTIDO-KABONG'!C40,'06.08 KOTIDO-KABONG'!C40,'07.08 KOTIDO-KABONG'!C40,'08.08 KABONG-KOTIDO'!C40,'9.08 KOTIDO-KABONG-24h'!C40,'10.08 KOTIDO-KABONG-24h'!C40,'11.08 KITIDO-KABONG'!C40)</f>
        <v>0</v>
      </c>
      <c r="D40" s="49">
        <f>AVERAGE('05.08 KOTIDO-KABONG'!D40,'06.08 KOTIDO-KABONG'!D40,'07.08 KOTIDO-KABONG'!D40,'08.08 KABONG-KOTIDO'!D40,'9.08 KOTIDO-KABONG-24h'!D40,'10.08 KOTIDO-KABONG-24h'!D40,'11.08 KITIDO-KABONG'!D40)</f>
        <v>0</v>
      </c>
      <c r="E40" s="49">
        <f>AVERAGE('05.08 KOTIDO-KABONG'!E40,'06.08 KOTIDO-KABONG'!E40,'07.08 KOTIDO-KABONG'!E40,'08.08 KABONG-KOTIDO'!E40,'9.08 KOTIDO-KABONG-24h'!E40,'10.08 KOTIDO-KABONG-24h'!E40,'11.08 KITIDO-KABONG'!E40)</f>
        <v>0</v>
      </c>
      <c r="F40" s="49">
        <f>AVERAGE('05.08 KOTIDO-KABONG'!F40,'06.08 KOTIDO-KABONG'!F40,'07.08 KOTIDO-KABONG'!F40,'08.08 KABONG-KOTIDO'!F40,'9.08 KOTIDO-KABONG-24h'!F40,'10.08 KOTIDO-KABONG-24h'!F40,'11.08 KITIDO-KABONG'!F40)</f>
        <v>0</v>
      </c>
      <c r="G40" s="49">
        <f>AVERAGE('05.08 KOTIDO-KABONG'!G40,'06.08 KOTIDO-KABONG'!G40,'07.08 KOTIDO-KABONG'!G40,'08.08 KABONG-KOTIDO'!G40,'9.08 KOTIDO-KABONG-24h'!G40,'10.08 KOTIDO-KABONG-24h'!G40,'11.08 KITIDO-KABONG'!G40)</f>
        <v>0</v>
      </c>
      <c r="H40" s="49">
        <f>AVERAGE('05.08 KOTIDO-KABONG'!H40,'06.08 KOTIDO-KABONG'!H40,'07.08 KOTIDO-KABONG'!H40,'08.08 KABONG-KOTIDO'!H40,'9.08 KOTIDO-KABONG-24h'!H40,'10.08 KOTIDO-KABONG-24h'!H40,'11.08 KITIDO-KABONG'!H40)</f>
        <v>0</v>
      </c>
      <c r="I40" s="49">
        <f>AVERAGE('05.08 KOTIDO-KABONG'!I40,'06.08 KOTIDO-KABONG'!I40,'07.08 KOTIDO-KABONG'!I40,'08.08 KABONG-KOTIDO'!I40,'9.08 KOTIDO-KABONG-24h'!I40,'10.08 KOTIDO-KABONG-24h'!I40,'11.08 KITIDO-KABONG'!I40)</f>
        <v>0.14285714285714285</v>
      </c>
      <c r="J40" s="49">
        <f>AVERAGE('05.08 KOTIDO-KABONG'!J40,'06.08 KOTIDO-KABONG'!J40,'07.08 KOTIDO-KABONG'!J40,'08.08 KABONG-KOTIDO'!J40,'9.08 KOTIDO-KABONG-24h'!J40,'10.08 KOTIDO-KABONG-24h'!J40,'11.08 KITIDO-KABONG'!J40)</f>
        <v>0.14285714285714285</v>
      </c>
      <c r="K40" s="49">
        <f>AVERAGE('05.08 KOTIDO-KABONG'!K40,'06.08 KOTIDO-KABONG'!K40,'07.08 KOTIDO-KABONG'!K40,'08.08 KABONG-KOTIDO'!K40,'9.08 KOTIDO-KABONG-24h'!K40,'10.08 KOTIDO-KABONG-24h'!K40,'11.08 KITIDO-KABONG'!K40)</f>
        <v>0</v>
      </c>
      <c r="L40" s="49">
        <f>AVERAGE('05.08 KOTIDO-KABONG'!L40,'06.08 KOTIDO-KABONG'!L40,'07.08 KOTIDO-KABONG'!L40,'08.08 KABONG-KOTIDO'!L40,'9.08 KOTIDO-KABONG-24h'!L40,'10.08 KOTIDO-KABONG-24h'!L40,'11.08 KITIDO-KABONG'!L40)</f>
        <v>0</v>
      </c>
      <c r="M40" s="49">
        <f>AVERAGE('05.08 KOTIDO-KABONG'!M40,'06.08 KOTIDO-KABONG'!M40,'07.08 KOTIDO-KABONG'!M40,'08.08 KABONG-KOTIDO'!M40,'9.08 KOTIDO-KABONG-24h'!M40,'10.08 KOTIDO-KABONG-24h'!M40,'11.08 KITIDO-KABONG'!M40)</f>
        <v>0.7142857142857143</v>
      </c>
      <c r="N40" s="49">
        <f>AVERAGE('05.08 KOTIDO-KABONG'!N40,'06.08 KOTIDO-KABONG'!N40,'07.08 KOTIDO-KABONG'!N40,'08.08 KABONG-KOTIDO'!N40,'9.08 KOTIDO-KABONG-24h'!N40,'10.08 KOTIDO-KABONG-24h'!N40,'11.08 KITIDO-KABONG'!N40)</f>
        <v>0</v>
      </c>
      <c r="O40" s="15">
        <f t="shared" si="0"/>
        <v>0.2857142857142857</v>
      </c>
      <c r="P40" s="15">
        <f t="shared" si="1"/>
        <v>1</v>
      </c>
      <c r="R40" s="5" t="s">
        <v>17</v>
      </c>
      <c r="S40" s="54">
        <f t="shared" ref="S40:AF40" si="32">SUM(S10:S21)</f>
        <v>3.5714285714285707</v>
      </c>
      <c r="T40" s="54">
        <f t="shared" si="32"/>
        <v>14.142857142857142</v>
      </c>
      <c r="U40" s="54">
        <f t="shared" si="32"/>
        <v>9.8571428571428559</v>
      </c>
      <c r="V40" s="54">
        <f t="shared" si="32"/>
        <v>0.2857142857142857</v>
      </c>
      <c r="W40" s="54">
        <f t="shared" si="32"/>
        <v>0.2857142857142857</v>
      </c>
      <c r="X40" s="54">
        <f t="shared" si="32"/>
        <v>1</v>
      </c>
      <c r="Y40" s="54">
        <f t="shared" si="32"/>
        <v>4.9999999999999991</v>
      </c>
      <c r="Z40" s="54">
        <f t="shared" si="32"/>
        <v>7.1428571428571423</v>
      </c>
      <c r="AA40" s="54">
        <f t="shared" si="32"/>
        <v>0.14285714285714285</v>
      </c>
      <c r="AB40" s="54">
        <f t="shared" si="32"/>
        <v>0</v>
      </c>
      <c r="AC40" s="54">
        <f t="shared" si="32"/>
        <v>30.857142857142854</v>
      </c>
      <c r="AD40" s="54">
        <f t="shared" si="32"/>
        <v>0</v>
      </c>
      <c r="AE40" s="55">
        <f t="shared" si="32"/>
        <v>41.428571428571423</v>
      </c>
      <c r="AF40" s="55">
        <f t="shared" si="32"/>
        <v>72.285714285714278</v>
      </c>
    </row>
    <row r="41" spans="2:32" ht="23.1" customHeight="1" x14ac:dyDescent="0.25">
      <c r="B41" s="23" t="s">
        <v>68</v>
      </c>
      <c r="C41" s="49">
        <f>AVERAGE('05.08 KOTIDO-KABONG'!C41,'06.08 KOTIDO-KABONG'!C41,'07.08 KOTIDO-KABONG'!C41,'08.08 KABONG-KOTIDO'!C41,'9.08 KOTIDO-KABONG-24h'!C41,'10.08 KOTIDO-KABONG-24h'!C41,'11.08 KITIDO-KABONG'!C41)</f>
        <v>0.14285714285714285</v>
      </c>
      <c r="D41" s="49">
        <f>AVERAGE('05.08 KOTIDO-KABONG'!D41,'06.08 KOTIDO-KABONG'!D41,'07.08 KOTIDO-KABONG'!D41,'08.08 KABONG-KOTIDO'!D41,'9.08 KOTIDO-KABONG-24h'!D41,'10.08 KOTIDO-KABONG-24h'!D41,'11.08 KITIDO-KABONG'!D41)</f>
        <v>0.14285714285714285</v>
      </c>
      <c r="E41" s="49">
        <f>AVERAGE('05.08 KOTIDO-KABONG'!E41,'06.08 KOTIDO-KABONG'!E41,'07.08 KOTIDO-KABONG'!E41,'08.08 KABONG-KOTIDO'!E41,'9.08 KOTIDO-KABONG-24h'!E41,'10.08 KOTIDO-KABONG-24h'!E41,'11.08 KITIDO-KABONG'!E41)</f>
        <v>0.14285714285714285</v>
      </c>
      <c r="F41" s="49">
        <f>AVERAGE('05.08 KOTIDO-KABONG'!F41,'06.08 KOTIDO-KABONG'!F41,'07.08 KOTIDO-KABONG'!F41,'08.08 KABONG-KOTIDO'!F41,'9.08 KOTIDO-KABONG-24h'!F41,'10.08 KOTIDO-KABONG-24h'!F41,'11.08 KITIDO-KABONG'!F41)</f>
        <v>0</v>
      </c>
      <c r="G41" s="49">
        <f>AVERAGE('05.08 KOTIDO-KABONG'!G41,'06.08 KOTIDO-KABONG'!G41,'07.08 KOTIDO-KABONG'!G41,'08.08 KABONG-KOTIDO'!G41,'9.08 KOTIDO-KABONG-24h'!G41,'10.08 KOTIDO-KABONG-24h'!G41,'11.08 KITIDO-KABONG'!G41)</f>
        <v>0</v>
      </c>
      <c r="H41" s="49">
        <f>AVERAGE('05.08 KOTIDO-KABONG'!H41,'06.08 KOTIDO-KABONG'!H41,'07.08 KOTIDO-KABONG'!H41,'08.08 KABONG-KOTIDO'!H41,'9.08 KOTIDO-KABONG-24h'!H41,'10.08 KOTIDO-KABONG-24h'!H41,'11.08 KITIDO-KABONG'!H41)</f>
        <v>0</v>
      </c>
      <c r="I41" s="49">
        <f>AVERAGE('05.08 KOTIDO-KABONG'!I41,'06.08 KOTIDO-KABONG'!I41,'07.08 KOTIDO-KABONG'!I41,'08.08 KABONG-KOTIDO'!I41,'9.08 KOTIDO-KABONG-24h'!I41,'10.08 KOTIDO-KABONG-24h'!I41,'11.08 KITIDO-KABONG'!I41)</f>
        <v>0</v>
      </c>
      <c r="J41" s="49">
        <f>AVERAGE('05.08 KOTIDO-KABONG'!J41,'06.08 KOTIDO-KABONG'!J41,'07.08 KOTIDO-KABONG'!J41,'08.08 KABONG-KOTIDO'!J41,'9.08 KOTIDO-KABONG-24h'!J41,'10.08 KOTIDO-KABONG-24h'!J41,'11.08 KITIDO-KABONG'!J41)</f>
        <v>0</v>
      </c>
      <c r="K41" s="49">
        <f>AVERAGE('05.08 KOTIDO-KABONG'!K41,'06.08 KOTIDO-KABONG'!K41,'07.08 KOTIDO-KABONG'!K41,'08.08 KABONG-KOTIDO'!K41,'9.08 KOTIDO-KABONG-24h'!K41,'10.08 KOTIDO-KABONG-24h'!K41,'11.08 KITIDO-KABONG'!K41)</f>
        <v>0</v>
      </c>
      <c r="L41" s="49">
        <f>AVERAGE('05.08 KOTIDO-KABONG'!L41,'06.08 KOTIDO-KABONG'!L41,'07.08 KOTIDO-KABONG'!L41,'08.08 KABONG-KOTIDO'!L41,'9.08 KOTIDO-KABONG-24h'!L41,'10.08 KOTIDO-KABONG-24h'!L41,'11.08 KITIDO-KABONG'!L41)</f>
        <v>0</v>
      </c>
      <c r="M41" s="49">
        <f>AVERAGE('05.08 KOTIDO-KABONG'!M41,'06.08 KOTIDO-KABONG'!M41,'07.08 KOTIDO-KABONG'!M41,'08.08 KABONG-KOTIDO'!M41,'9.08 KOTIDO-KABONG-24h'!M41,'10.08 KOTIDO-KABONG-24h'!M41,'11.08 KITIDO-KABONG'!M41)</f>
        <v>0.7142857142857143</v>
      </c>
      <c r="N41" s="49">
        <f>AVERAGE('05.08 KOTIDO-KABONG'!N41,'06.08 KOTIDO-KABONG'!N41,'07.08 KOTIDO-KABONG'!N41,'08.08 KABONG-KOTIDO'!N41,'9.08 KOTIDO-KABONG-24h'!N41,'10.08 KOTIDO-KABONG-24h'!N41,'11.08 KITIDO-KABONG'!N41)</f>
        <v>0</v>
      </c>
      <c r="O41" s="15">
        <f t="shared" si="0"/>
        <v>0.42857142857142855</v>
      </c>
      <c r="P41" s="15">
        <f t="shared" si="1"/>
        <v>1.1428571428571428</v>
      </c>
      <c r="R41" s="5" t="s">
        <v>179</v>
      </c>
      <c r="S41" s="54">
        <f>SUM(S10:S33)</f>
        <v>4.5714285714285712</v>
      </c>
      <c r="T41" s="54">
        <f t="shared" ref="T41:AD41" si="33">SUM(T10:T33)</f>
        <v>23.142857142857142</v>
      </c>
      <c r="U41" s="54">
        <f t="shared" si="33"/>
        <v>17.857142857142854</v>
      </c>
      <c r="V41" s="54">
        <f t="shared" si="33"/>
        <v>0.2857142857142857</v>
      </c>
      <c r="W41" s="54">
        <f t="shared" si="33"/>
        <v>0.2857142857142857</v>
      </c>
      <c r="X41" s="54">
        <f t="shared" si="33"/>
        <v>1</v>
      </c>
      <c r="Y41" s="54">
        <f t="shared" si="33"/>
        <v>7.9999999999999991</v>
      </c>
      <c r="Z41" s="54">
        <f t="shared" si="33"/>
        <v>11.642857142857142</v>
      </c>
      <c r="AA41" s="54">
        <f t="shared" si="33"/>
        <v>0.14285714285714285</v>
      </c>
      <c r="AB41" s="54">
        <f t="shared" si="33"/>
        <v>0</v>
      </c>
      <c r="AC41" s="54">
        <f t="shared" si="33"/>
        <v>54.357142857142854</v>
      </c>
      <c r="AD41" s="54">
        <f t="shared" si="33"/>
        <v>0</v>
      </c>
      <c r="AE41" s="55">
        <f>SUM(AE10:AE33)</f>
        <v>66.928571428571416</v>
      </c>
      <c r="AF41" s="55">
        <f>SUM(AF10:AF33)</f>
        <v>121.28571428571428</v>
      </c>
    </row>
    <row r="42" spans="2:32" ht="23.1" customHeight="1" x14ac:dyDescent="0.25">
      <c r="B42" s="24" t="s">
        <v>69</v>
      </c>
      <c r="C42" s="49">
        <f>AVERAGE('05.08 KOTIDO-KABONG'!C42,'06.08 KOTIDO-KABONG'!C42,'07.08 KOTIDO-KABONG'!C42,'08.08 KABONG-KOTIDO'!C42,'9.08 KOTIDO-KABONG-24h'!C42,'10.08 KOTIDO-KABONG-24h'!C42,'11.08 KITIDO-KABONG'!C42)</f>
        <v>0</v>
      </c>
      <c r="D42" s="49">
        <f>AVERAGE('05.08 KOTIDO-KABONG'!D42,'06.08 KOTIDO-KABONG'!D42,'07.08 KOTIDO-KABONG'!D42,'08.08 KABONG-KOTIDO'!D42,'9.08 KOTIDO-KABONG-24h'!D42,'10.08 KOTIDO-KABONG-24h'!D42,'11.08 KITIDO-KABONG'!D42)</f>
        <v>0.14285714285714285</v>
      </c>
      <c r="E42" s="49">
        <f>AVERAGE('05.08 KOTIDO-KABONG'!E42,'06.08 KOTIDO-KABONG'!E42,'07.08 KOTIDO-KABONG'!E42,'08.08 KABONG-KOTIDO'!E42,'9.08 KOTIDO-KABONG-24h'!E42,'10.08 KOTIDO-KABONG-24h'!E42,'11.08 KITIDO-KABONG'!E42)</f>
        <v>0.14285714285714285</v>
      </c>
      <c r="F42" s="49">
        <f>AVERAGE('05.08 KOTIDO-KABONG'!F42,'06.08 KOTIDO-KABONG'!F42,'07.08 KOTIDO-KABONG'!F42,'08.08 KABONG-KOTIDO'!F42,'9.08 KOTIDO-KABONG-24h'!F42,'10.08 KOTIDO-KABONG-24h'!F42,'11.08 KITIDO-KABONG'!F42)</f>
        <v>0</v>
      </c>
      <c r="G42" s="49">
        <f>AVERAGE('05.08 KOTIDO-KABONG'!G42,'06.08 KOTIDO-KABONG'!G42,'07.08 KOTIDO-KABONG'!G42,'08.08 KABONG-KOTIDO'!G42,'9.08 KOTIDO-KABONG-24h'!G42,'10.08 KOTIDO-KABONG-24h'!G42,'11.08 KITIDO-KABONG'!G42)</f>
        <v>0</v>
      </c>
      <c r="H42" s="49">
        <f>AVERAGE('05.08 KOTIDO-KABONG'!H42,'06.08 KOTIDO-KABONG'!H42,'07.08 KOTIDO-KABONG'!H42,'08.08 KABONG-KOTIDO'!H42,'9.08 KOTIDO-KABONG-24h'!H42,'10.08 KOTIDO-KABONG-24h'!H42,'11.08 KITIDO-KABONG'!H42)</f>
        <v>0</v>
      </c>
      <c r="I42" s="49">
        <f>AVERAGE('05.08 KOTIDO-KABONG'!I42,'06.08 KOTIDO-KABONG'!I42,'07.08 KOTIDO-KABONG'!I42,'08.08 KABONG-KOTIDO'!I42,'9.08 KOTIDO-KABONG-24h'!I42,'10.08 KOTIDO-KABONG-24h'!I42,'11.08 KITIDO-KABONG'!I42)</f>
        <v>0</v>
      </c>
      <c r="J42" s="49">
        <f>AVERAGE('05.08 KOTIDO-KABONG'!J42,'06.08 KOTIDO-KABONG'!J42,'07.08 KOTIDO-KABONG'!J42,'08.08 KABONG-KOTIDO'!J42,'9.08 KOTIDO-KABONG-24h'!J42,'10.08 KOTIDO-KABONG-24h'!J42,'11.08 KITIDO-KABONG'!J42)</f>
        <v>0</v>
      </c>
      <c r="K42" s="49">
        <f>AVERAGE('05.08 KOTIDO-KABONG'!K42,'06.08 KOTIDO-KABONG'!K42,'07.08 KOTIDO-KABONG'!K42,'08.08 KABONG-KOTIDO'!K42,'9.08 KOTIDO-KABONG-24h'!K42,'10.08 KOTIDO-KABONG-24h'!K42,'11.08 KITIDO-KABONG'!K42)</f>
        <v>0</v>
      </c>
      <c r="L42" s="49">
        <f>AVERAGE('05.08 KOTIDO-KABONG'!L42,'06.08 KOTIDO-KABONG'!L42,'07.08 KOTIDO-KABONG'!L42,'08.08 KABONG-KOTIDO'!L42,'9.08 KOTIDO-KABONG-24h'!L42,'10.08 KOTIDO-KABONG-24h'!L42,'11.08 KITIDO-KABONG'!L42)</f>
        <v>0</v>
      </c>
      <c r="M42" s="49">
        <f>AVERAGE('05.08 KOTIDO-KABONG'!M42,'06.08 KOTIDO-KABONG'!M42,'07.08 KOTIDO-KABONG'!M42,'08.08 KABONG-KOTIDO'!M42,'9.08 KOTIDO-KABONG-24h'!M42,'10.08 KOTIDO-KABONG-24h'!M42,'11.08 KITIDO-KABONG'!M42)</f>
        <v>3.4285714285714284</v>
      </c>
      <c r="N42" s="49">
        <f>AVERAGE('05.08 KOTIDO-KABONG'!N42,'06.08 KOTIDO-KABONG'!N42,'07.08 KOTIDO-KABONG'!N42,'08.08 KABONG-KOTIDO'!N42,'9.08 KOTIDO-KABONG-24h'!N42,'10.08 KOTIDO-KABONG-24h'!N42,'11.08 KITIDO-KABONG'!N42)</f>
        <v>0</v>
      </c>
      <c r="O42" s="15">
        <f t="shared" si="0"/>
        <v>0.2857142857142857</v>
      </c>
      <c r="P42" s="15">
        <f t="shared" si="1"/>
        <v>3.714285714285714</v>
      </c>
      <c r="R42" s="5" t="s">
        <v>160</v>
      </c>
      <c r="S42" s="48">
        <f>S41/S40</f>
        <v>1.2800000000000002</v>
      </c>
      <c r="T42" s="48">
        <f t="shared" ref="T42:AF42" si="34">T41/T40</f>
        <v>1.6363636363636365</v>
      </c>
      <c r="U42" s="48">
        <f t="shared" si="34"/>
        <v>1.8115942028985506</v>
      </c>
      <c r="V42" s="48">
        <f t="shared" si="34"/>
        <v>1</v>
      </c>
      <c r="W42" s="48">
        <f t="shared" si="34"/>
        <v>1</v>
      </c>
      <c r="X42" s="48">
        <f t="shared" si="34"/>
        <v>1</v>
      </c>
      <c r="Y42" s="48">
        <f t="shared" si="34"/>
        <v>1.6</v>
      </c>
      <c r="Z42" s="48">
        <f t="shared" si="34"/>
        <v>1.6300000000000001</v>
      </c>
      <c r="AA42" s="48">
        <f t="shared" si="34"/>
        <v>1</v>
      </c>
      <c r="AB42" s="48" t="e">
        <f t="shared" si="34"/>
        <v>#DIV/0!</v>
      </c>
      <c r="AC42" s="48">
        <f t="shared" si="34"/>
        <v>1.7615740740740742</v>
      </c>
      <c r="AD42" s="48" t="e">
        <f t="shared" si="34"/>
        <v>#DIV/0!</v>
      </c>
      <c r="AE42" s="56">
        <f t="shared" si="34"/>
        <v>1.6155172413793102</v>
      </c>
      <c r="AF42" s="56">
        <f t="shared" si="34"/>
        <v>1.6778656126482214</v>
      </c>
    </row>
    <row r="43" spans="2:32" ht="23.1" customHeight="1" x14ac:dyDescent="0.25">
      <c r="B43" s="23" t="s">
        <v>70</v>
      </c>
      <c r="C43" s="49">
        <f>AVERAGE('05.08 KOTIDO-KABONG'!C43,'06.08 KOTIDO-KABONG'!C43,'07.08 KOTIDO-KABONG'!C43,'08.08 KABONG-KOTIDO'!C43,'9.08 KOTIDO-KABONG-24h'!C43,'10.08 KOTIDO-KABONG-24h'!C43,'11.08 KITIDO-KABONG'!C43)</f>
        <v>0</v>
      </c>
      <c r="D43" s="49">
        <f>AVERAGE('05.08 KOTIDO-KABONG'!D43,'06.08 KOTIDO-KABONG'!D43,'07.08 KOTIDO-KABONG'!D43,'08.08 KABONG-KOTIDO'!D43,'9.08 KOTIDO-KABONG-24h'!D43,'10.08 KOTIDO-KABONG-24h'!D43,'11.08 KITIDO-KABONG'!D43)</f>
        <v>0.2857142857142857</v>
      </c>
      <c r="E43" s="49">
        <f>AVERAGE('05.08 KOTIDO-KABONG'!E43,'06.08 KOTIDO-KABONG'!E43,'07.08 KOTIDO-KABONG'!E43,'08.08 KABONG-KOTIDO'!E43,'9.08 KOTIDO-KABONG-24h'!E43,'10.08 KOTIDO-KABONG-24h'!E43,'11.08 KITIDO-KABONG'!E43)</f>
        <v>0.14285714285714285</v>
      </c>
      <c r="F43" s="49">
        <f>AVERAGE('05.08 KOTIDO-KABONG'!F43,'06.08 KOTIDO-KABONG'!F43,'07.08 KOTIDO-KABONG'!F43,'08.08 KABONG-KOTIDO'!F43,'9.08 KOTIDO-KABONG-24h'!F43,'10.08 KOTIDO-KABONG-24h'!F43,'11.08 KITIDO-KABONG'!F43)</f>
        <v>0</v>
      </c>
      <c r="G43" s="49">
        <f>AVERAGE('05.08 KOTIDO-KABONG'!G43,'06.08 KOTIDO-KABONG'!G43,'07.08 KOTIDO-KABONG'!G43,'08.08 KABONG-KOTIDO'!G43,'9.08 KOTIDO-KABONG-24h'!G43,'10.08 KOTIDO-KABONG-24h'!G43,'11.08 KITIDO-KABONG'!G43)</f>
        <v>0</v>
      </c>
      <c r="H43" s="49">
        <f>AVERAGE('05.08 KOTIDO-KABONG'!H43,'06.08 KOTIDO-KABONG'!H43,'07.08 KOTIDO-KABONG'!H43,'08.08 KABONG-KOTIDO'!H43,'9.08 KOTIDO-KABONG-24h'!H43,'10.08 KOTIDO-KABONG-24h'!H43,'11.08 KITIDO-KABONG'!H43)</f>
        <v>0.14285714285714285</v>
      </c>
      <c r="I43" s="49">
        <f>AVERAGE('05.08 KOTIDO-KABONG'!I43,'06.08 KOTIDO-KABONG'!I43,'07.08 KOTIDO-KABONG'!I43,'08.08 KABONG-KOTIDO'!I43,'9.08 KOTIDO-KABONG-24h'!I43,'10.08 KOTIDO-KABONG-24h'!I43,'11.08 KITIDO-KABONG'!I43)</f>
        <v>0.42857142857142855</v>
      </c>
      <c r="J43" s="49">
        <f>AVERAGE('05.08 KOTIDO-KABONG'!J43,'06.08 KOTIDO-KABONG'!J43,'07.08 KOTIDO-KABONG'!J43,'08.08 KABONG-KOTIDO'!J43,'9.08 KOTIDO-KABONG-24h'!J43,'10.08 KOTIDO-KABONG-24h'!J43,'11.08 KITIDO-KABONG'!J43)</f>
        <v>0</v>
      </c>
      <c r="K43" s="49">
        <f>AVERAGE('05.08 KOTIDO-KABONG'!K43,'06.08 KOTIDO-KABONG'!K43,'07.08 KOTIDO-KABONG'!K43,'08.08 KABONG-KOTIDO'!K43,'9.08 KOTIDO-KABONG-24h'!K43,'10.08 KOTIDO-KABONG-24h'!K43,'11.08 KITIDO-KABONG'!K43)</f>
        <v>0</v>
      </c>
      <c r="L43" s="49">
        <f>AVERAGE('05.08 KOTIDO-KABONG'!L43,'06.08 KOTIDO-KABONG'!L43,'07.08 KOTIDO-KABONG'!L43,'08.08 KABONG-KOTIDO'!L43,'9.08 KOTIDO-KABONG-24h'!L43,'10.08 KOTIDO-KABONG-24h'!L43,'11.08 KITIDO-KABONG'!L43)</f>
        <v>0</v>
      </c>
      <c r="M43" s="49">
        <f>AVERAGE('05.08 KOTIDO-KABONG'!M43,'06.08 KOTIDO-KABONG'!M43,'07.08 KOTIDO-KABONG'!M43,'08.08 KABONG-KOTIDO'!M43,'9.08 KOTIDO-KABONG-24h'!M43,'10.08 KOTIDO-KABONG-24h'!M43,'11.08 KITIDO-KABONG'!M43)</f>
        <v>0</v>
      </c>
      <c r="N43" s="49">
        <f>AVERAGE('05.08 KOTIDO-KABONG'!N43,'06.08 KOTIDO-KABONG'!N43,'07.08 KOTIDO-KABONG'!N43,'08.08 KABONG-KOTIDO'!N43,'9.08 KOTIDO-KABONG-24h'!N43,'10.08 KOTIDO-KABONG-24h'!N43,'11.08 KITIDO-KABONG'!N43)</f>
        <v>0</v>
      </c>
      <c r="O43" s="15">
        <f t="shared" si="0"/>
        <v>1</v>
      </c>
      <c r="P43" s="15">
        <f t="shared" si="1"/>
        <v>1</v>
      </c>
    </row>
    <row r="44" spans="2:32" ht="23.1" customHeight="1" x14ac:dyDescent="0.25">
      <c r="B44" s="25" t="s">
        <v>71</v>
      </c>
      <c r="C44" s="49">
        <f>AVERAGE('05.08 KOTIDO-KABONG'!C44,'06.08 KOTIDO-KABONG'!C44,'07.08 KOTIDO-KABONG'!C44,'08.08 KABONG-KOTIDO'!C44,'9.08 KOTIDO-KABONG-24h'!C44,'10.08 KOTIDO-KABONG-24h'!C44,'11.08 KITIDO-KABONG'!C44)</f>
        <v>0</v>
      </c>
      <c r="D44" s="49">
        <f>AVERAGE('05.08 KOTIDO-KABONG'!D44,'06.08 KOTIDO-KABONG'!D44,'07.08 KOTIDO-KABONG'!D44,'08.08 KABONG-KOTIDO'!D44,'9.08 KOTIDO-KABONG-24h'!D44,'10.08 KOTIDO-KABONG-24h'!D44,'11.08 KITIDO-KABONG'!D44)</f>
        <v>0.7142857142857143</v>
      </c>
      <c r="E44" s="49">
        <f>AVERAGE('05.08 KOTIDO-KABONG'!E44,'06.08 KOTIDO-KABONG'!E44,'07.08 KOTIDO-KABONG'!E44,'08.08 KABONG-KOTIDO'!E44,'9.08 KOTIDO-KABONG-24h'!E44,'10.08 KOTIDO-KABONG-24h'!E44,'11.08 KITIDO-KABONG'!E44)</f>
        <v>0.2857142857142857</v>
      </c>
      <c r="F44" s="49">
        <f>AVERAGE('05.08 KOTIDO-KABONG'!F44,'06.08 KOTIDO-KABONG'!F44,'07.08 KOTIDO-KABONG'!F44,'08.08 KABONG-KOTIDO'!F44,'9.08 KOTIDO-KABONG-24h'!F44,'10.08 KOTIDO-KABONG-24h'!F44,'11.08 KITIDO-KABONG'!F44)</f>
        <v>0</v>
      </c>
      <c r="G44" s="49">
        <f>AVERAGE('05.08 KOTIDO-KABONG'!G44,'06.08 KOTIDO-KABONG'!G44,'07.08 KOTIDO-KABONG'!G44,'08.08 KABONG-KOTIDO'!G44,'9.08 KOTIDO-KABONG-24h'!G44,'10.08 KOTIDO-KABONG-24h'!G44,'11.08 KITIDO-KABONG'!G44)</f>
        <v>0</v>
      </c>
      <c r="H44" s="49">
        <f>AVERAGE('05.08 KOTIDO-KABONG'!H44,'06.08 KOTIDO-KABONG'!H44,'07.08 KOTIDO-KABONG'!H44,'08.08 KABONG-KOTIDO'!H44,'9.08 KOTIDO-KABONG-24h'!H44,'10.08 KOTIDO-KABONG-24h'!H44,'11.08 KITIDO-KABONG'!H44)</f>
        <v>0</v>
      </c>
      <c r="I44" s="49">
        <f>AVERAGE('05.08 KOTIDO-KABONG'!I44,'06.08 KOTIDO-KABONG'!I44,'07.08 KOTIDO-KABONG'!I44,'08.08 KABONG-KOTIDO'!I44,'9.08 KOTIDO-KABONG-24h'!I44,'10.08 KOTIDO-KABONG-24h'!I44,'11.08 KITIDO-KABONG'!I44)</f>
        <v>0</v>
      </c>
      <c r="J44" s="49">
        <f>AVERAGE('05.08 KOTIDO-KABONG'!J44,'06.08 KOTIDO-KABONG'!J44,'07.08 KOTIDO-KABONG'!J44,'08.08 KABONG-KOTIDO'!J44,'9.08 KOTIDO-KABONG-24h'!J44,'10.08 KOTIDO-KABONG-24h'!J44,'11.08 KITIDO-KABONG'!J44)</f>
        <v>0</v>
      </c>
      <c r="K44" s="49">
        <f>AVERAGE('05.08 KOTIDO-KABONG'!K44,'06.08 KOTIDO-KABONG'!K44,'07.08 KOTIDO-KABONG'!K44,'08.08 KABONG-KOTIDO'!K44,'9.08 KOTIDO-KABONG-24h'!K44,'10.08 KOTIDO-KABONG-24h'!K44,'11.08 KITIDO-KABONG'!K44)</f>
        <v>0</v>
      </c>
      <c r="L44" s="49">
        <f>AVERAGE('05.08 KOTIDO-KABONG'!L44,'06.08 KOTIDO-KABONG'!L44,'07.08 KOTIDO-KABONG'!L44,'08.08 KABONG-KOTIDO'!L44,'9.08 KOTIDO-KABONG-24h'!L44,'10.08 KOTIDO-KABONG-24h'!L44,'11.08 KITIDO-KABONG'!L44)</f>
        <v>0</v>
      </c>
      <c r="M44" s="49">
        <f>AVERAGE('05.08 KOTIDO-KABONG'!M44,'06.08 KOTIDO-KABONG'!M44,'07.08 KOTIDO-KABONG'!M44,'08.08 KABONG-KOTIDO'!M44,'9.08 KOTIDO-KABONG-24h'!M44,'10.08 KOTIDO-KABONG-24h'!M44,'11.08 KITIDO-KABONG'!M44)</f>
        <v>0.14285714285714285</v>
      </c>
      <c r="N44" s="49">
        <f>AVERAGE('05.08 KOTIDO-KABONG'!N44,'06.08 KOTIDO-KABONG'!N44,'07.08 KOTIDO-KABONG'!N44,'08.08 KABONG-KOTIDO'!N44,'9.08 KOTIDO-KABONG-24h'!N44,'10.08 KOTIDO-KABONG-24h'!N44,'11.08 KITIDO-KABONG'!N44)</f>
        <v>0</v>
      </c>
      <c r="O44" s="15">
        <f t="shared" si="0"/>
        <v>1</v>
      </c>
      <c r="P44" s="15">
        <f t="shared" si="1"/>
        <v>1.1428571428571428</v>
      </c>
    </row>
    <row r="45" spans="2:32" ht="23.1" customHeight="1" x14ac:dyDescent="0.25">
      <c r="B45" s="23" t="s">
        <v>72</v>
      </c>
      <c r="C45" s="49">
        <f>AVERAGE('05.08 KOTIDO-KABONG'!C45,'06.08 KOTIDO-KABONG'!C45,'07.08 KOTIDO-KABONG'!C45,'08.08 KABONG-KOTIDO'!C45,'9.08 KOTIDO-KABONG-24h'!C45,'10.08 KOTIDO-KABONG-24h'!C45,'11.08 KITIDO-KABONG'!C45)</f>
        <v>0</v>
      </c>
      <c r="D45" s="49">
        <f>AVERAGE('05.08 KOTIDO-KABONG'!D45,'06.08 KOTIDO-KABONG'!D45,'07.08 KOTIDO-KABONG'!D45,'08.08 KABONG-KOTIDO'!D45,'9.08 KOTIDO-KABONG-24h'!D45,'10.08 KOTIDO-KABONG-24h'!D45,'11.08 KITIDO-KABONG'!D45)</f>
        <v>0.14285714285714285</v>
      </c>
      <c r="E45" s="49">
        <f>AVERAGE('05.08 KOTIDO-KABONG'!E45,'06.08 KOTIDO-KABONG'!E45,'07.08 KOTIDO-KABONG'!E45,'08.08 KABONG-KOTIDO'!E45,'9.08 KOTIDO-KABONG-24h'!E45,'10.08 KOTIDO-KABONG-24h'!E45,'11.08 KITIDO-KABONG'!E45)</f>
        <v>0</v>
      </c>
      <c r="F45" s="49">
        <f>AVERAGE('05.08 KOTIDO-KABONG'!F45,'06.08 KOTIDO-KABONG'!F45,'07.08 KOTIDO-KABONG'!F45,'08.08 KABONG-KOTIDO'!F45,'9.08 KOTIDO-KABONG-24h'!F45,'10.08 KOTIDO-KABONG-24h'!F45,'11.08 KITIDO-KABONG'!F45)</f>
        <v>0</v>
      </c>
      <c r="G45" s="49">
        <f>AVERAGE('05.08 KOTIDO-KABONG'!G45,'06.08 KOTIDO-KABONG'!G45,'07.08 KOTIDO-KABONG'!G45,'08.08 KABONG-KOTIDO'!G45,'9.08 KOTIDO-KABONG-24h'!G45,'10.08 KOTIDO-KABONG-24h'!G45,'11.08 KITIDO-KABONG'!G45)</f>
        <v>0</v>
      </c>
      <c r="H45" s="49">
        <f>AVERAGE('05.08 KOTIDO-KABONG'!H45,'06.08 KOTIDO-KABONG'!H45,'07.08 KOTIDO-KABONG'!H45,'08.08 KABONG-KOTIDO'!H45,'9.08 KOTIDO-KABONG-24h'!H45,'10.08 KOTIDO-KABONG-24h'!H45,'11.08 KITIDO-KABONG'!H45)</f>
        <v>0</v>
      </c>
      <c r="I45" s="49">
        <f>AVERAGE('05.08 KOTIDO-KABONG'!I45,'06.08 KOTIDO-KABONG'!I45,'07.08 KOTIDO-KABONG'!I45,'08.08 KABONG-KOTIDO'!I45,'9.08 KOTIDO-KABONG-24h'!I45,'10.08 KOTIDO-KABONG-24h'!I45,'11.08 KITIDO-KABONG'!I45)</f>
        <v>0</v>
      </c>
      <c r="J45" s="49">
        <f>AVERAGE('05.08 KOTIDO-KABONG'!J45,'06.08 KOTIDO-KABONG'!J45,'07.08 KOTIDO-KABONG'!J45,'08.08 KABONG-KOTIDO'!J45,'9.08 KOTIDO-KABONG-24h'!J45,'10.08 KOTIDO-KABONG-24h'!J45,'11.08 KITIDO-KABONG'!J45)</f>
        <v>0</v>
      </c>
      <c r="K45" s="49">
        <f>AVERAGE('05.08 KOTIDO-KABONG'!K45,'06.08 KOTIDO-KABONG'!K45,'07.08 KOTIDO-KABONG'!K45,'08.08 KABONG-KOTIDO'!K45,'9.08 KOTIDO-KABONG-24h'!K45,'10.08 KOTIDO-KABONG-24h'!K45,'11.08 KITIDO-KABONG'!K45)</f>
        <v>0</v>
      </c>
      <c r="L45" s="49">
        <f>AVERAGE('05.08 KOTIDO-KABONG'!L45,'06.08 KOTIDO-KABONG'!L45,'07.08 KOTIDO-KABONG'!L45,'08.08 KABONG-KOTIDO'!L45,'9.08 KOTIDO-KABONG-24h'!L45,'10.08 KOTIDO-KABONG-24h'!L45,'11.08 KITIDO-KABONG'!L45)</f>
        <v>0</v>
      </c>
      <c r="M45" s="49">
        <f>AVERAGE('05.08 KOTIDO-KABONG'!M45,'06.08 KOTIDO-KABONG'!M45,'07.08 KOTIDO-KABONG'!M45,'08.08 KABONG-KOTIDO'!M45,'9.08 KOTIDO-KABONG-24h'!M45,'10.08 KOTIDO-KABONG-24h'!M45,'11.08 KITIDO-KABONG'!M45)</f>
        <v>0.2857142857142857</v>
      </c>
      <c r="N45" s="49">
        <f>AVERAGE('05.08 KOTIDO-KABONG'!N45,'06.08 KOTIDO-KABONG'!N45,'07.08 KOTIDO-KABONG'!N45,'08.08 KABONG-KOTIDO'!N45,'9.08 KOTIDO-KABONG-24h'!N45,'10.08 KOTIDO-KABONG-24h'!N45,'11.08 KITIDO-KABONG'!N45)</f>
        <v>0</v>
      </c>
      <c r="O45" s="15">
        <f t="shared" si="0"/>
        <v>0.14285714285714285</v>
      </c>
      <c r="P45" s="15">
        <f t="shared" si="1"/>
        <v>0.42857142857142855</v>
      </c>
    </row>
    <row r="46" spans="2:32" ht="23.1" customHeight="1" x14ac:dyDescent="0.25">
      <c r="B46" s="24" t="s">
        <v>73</v>
      </c>
      <c r="C46" s="49">
        <f>AVERAGE('05.08 KOTIDO-KABONG'!C46,'06.08 KOTIDO-KABONG'!C46,'07.08 KOTIDO-KABONG'!C46,'08.08 KABONG-KOTIDO'!C46,'9.08 KOTIDO-KABONG-24h'!C46,'10.08 KOTIDO-KABONG-24h'!C46,'11.08 KITIDO-KABONG'!C46)</f>
        <v>0.14285714285714285</v>
      </c>
      <c r="D46" s="49">
        <f>AVERAGE('05.08 KOTIDO-KABONG'!D46,'06.08 KOTIDO-KABONG'!D46,'07.08 KOTIDO-KABONG'!D46,'08.08 KABONG-KOTIDO'!D46,'9.08 KOTIDO-KABONG-24h'!D46,'10.08 KOTIDO-KABONG-24h'!D46,'11.08 KITIDO-KABONG'!D46)</f>
        <v>0.5714285714285714</v>
      </c>
      <c r="E46" s="49">
        <f>AVERAGE('05.08 KOTIDO-KABONG'!E46,'06.08 KOTIDO-KABONG'!E46,'07.08 KOTIDO-KABONG'!E46,'08.08 KABONG-KOTIDO'!E46,'9.08 KOTIDO-KABONG-24h'!E46,'10.08 KOTIDO-KABONG-24h'!E46,'11.08 KITIDO-KABONG'!E46)</f>
        <v>0</v>
      </c>
      <c r="F46" s="49">
        <f>AVERAGE('05.08 KOTIDO-KABONG'!F46,'06.08 KOTIDO-KABONG'!F46,'07.08 KOTIDO-KABONG'!F46,'08.08 KABONG-KOTIDO'!F46,'9.08 KOTIDO-KABONG-24h'!F46,'10.08 KOTIDO-KABONG-24h'!F46,'11.08 KITIDO-KABONG'!F46)</f>
        <v>0</v>
      </c>
      <c r="G46" s="49">
        <f>AVERAGE('05.08 KOTIDO-KABONG'!G46,'06.08 KOTIDO-KABONG'!G46,'07.08 KOTIDO-KABONG'!G46,'08.08 KABONG-KOTIDO'!G46,'9.08 KOTIDO-KABONG-24h'!G46,'10.08 KOTIDO-KABONG-24h'!G46,'11.08 KITIDO-KABONG'!G46)</f>
        <v>0.14285714285714285</v>
      </c>
      <c r="H46" s="49">
        <f>AVERAGE('05.08 KOTIDO-KABONG'!H46,'06.08 KOTIDO-KABONG'!H46,'07.08 KOTIDO-KABONG'!H46,'08.08 KABONG-KOTIDO'!H46,'9.08 KOTIDO-KABONG-24h'!H46,'10.08 KOTIDO-KABONG-24h'!H46,'11.08 KITIDO-KABONG'!H46)</f>
        <v>0</v>
      </c>
      <c r="I46" s="49">
        <f>AVERAGE('05.08 KOTIDO-KABONG'!I46,'06.08 KOTIDO-KABONG'!I46,'07.08 KOTIDO-KABONG'!I46,'08.08 KABONG-KOTIDO'!I46,'9.08 KOTIDO-KABONG-24h'!I46,'10.08 KOTIDO-KABONG-24h'!I46,'11.08 KITIDO-KABONG'!I46)</f>
        <v>0</v>
      </c>
      <c r="J46" s="49">
        <f>AVERAGE('05.08 KOTIDO-KABONG'!J46,'06.08 KOTIDO-KABONG'!J46,'07.08 KOTIDO-KABONG'!J46,'08.08 KABONG-KOTIDO'!J46,'9.08 KOTIDO-KABONG-24h'!J46,'10.08 KOTIDO-KABONG-24h'!J46,'11.08 KITIDO-KABONG'!J46)</f>
        <v>0</v>
      </c>
      <c r="K46" s="49">
        <f>AVERAGE('05.08 KOTIDO-KABONG'!K46,'06.08 KOTIDO-KABONG'!K46,'07.08 KOTIDO-KABONG'!K46,'08.08 KABONG-KOTIDO'!K46,'9.08 KOTIDO-KABONG-24h'!K46,'10.08 KOTIDO-KABONG-24h'!K46,'11.08 KITIDO-KABONG'!K46)</f>
        <v>0</v>
      </c>
      <c r="L46" s="49">
        <f>AVERAGE('05.08 KOTIDO-KABONG'!L46,'06.08 KOTIDO-KABONG'!L46,'07.08 KOTIDO-KABONG'!L46,'08.08 KABONG-KOTIDO'!L46,'9.08 KOTIDO-KABONG-24h'!L46,'10.08 KOTIDO-KABONG-24h'!L46,'11.08 KITIDO-KABONG'!L46)</f>
        <v>0</v>
      </c>
      <c r="M46" s="49">
        <f>AVERAGE('05.08 KOTIDO-KABONG'!M46,'06.08 KOTIDO-KABONG'!M46,'07.08 KOTIDO-KABONG'!M46,'08.08 KABONG-KOTIDO'!M46,'9.08 KOTIDO-KABONG-24h'!M46,'10.08 KOTIDO-KABONG-24h'!M46,'11.08 KITIDO-KABONG'!M46)</f>
        <v>0.8571428571428571</v>
      </c>
      <c r="N46" s="49">
        <f>AVERAGE('05.08 KOTIDO-KABONG'!N46,'06.08 KOTIDO-KABONG'!N46,'07.08 KOTIDO-KABONG'!N46,'08.08 KABONG-KOTIDO'!N46,'9.08 KOTIDO-KABONG-24h'!N46,'10.08 KOTIDO-KABONG-24h'!N46,'11.08 KITIDO-KABONG'!N46)</f>
        <v>0</v>
      </c>
      <c r="O46" s="15">
        <f t="shared" si="0"/>
        <v>0.85714285714285698</v>
      </c>
      <c r="P46" s="15">
        <f t="shared" si="1"/>
        <v>1.714285714285714</v>
      </c>
      <c r="R46" s="8"/>
      <c r="T46"/>
    </row>
    <row r="47" spans="2:32" ht="23.1" customHeight="1" x14ac:dyDescent="0.25">
      <c r="B47" s="24" t="s">
        <v>74</v>
      </c>
      <c r="C47" s="49">
        <f>AVERAGE('05.08 KOTIDO-KABONG'!C47,'06.08 KOTIDO-KABONG'!C47,'07.08 KOTIDO-KABONG'!C47,'08.08 KABONG-KOTIDO'!C47,'9.08 KOTIDO-KABONG-24h'!C47,'10.08 KOTIDO-KABONG-24h'!C47,'11.08 KITIDO-KABONG'!C47)</f>
        <v>0</v>
      </c>
      <c r="D47" s="49">
        <f>AVERAGE('05.08 KOTIDO-KABONG'!D47,'06.08 KOTIDO-KABONG'!D47,'07.08 KOTIDO-KABONG'!D47,'08.08 KABONG-KOTIDO'!D47,'9.08 KOTIDO-KABONG-24h'!D47,'10.08 KOTIDO-KABONG-24h'!D47,'11.08 KITIDO-KABONG'!D47)</f>
        <v>0.5714285714285714</v>
      </c>
      <c r="E47" s="49">
        <f>AVERAGE('05.08 KOTIDO-KABONG'!E47,'06.08 KOTIDO-KABONG'!E47,'07.08 KOTIDO-KABONG'!E47,'08.08 KABONG-KOTIDO'!E47,'9.08 KOTIDO-KABONG-24h'!E47,'10.08 KOTIDO-KABONG-24h'!E47,'11.08 KITIDO-KABONG'!E47)</f>
        <v>0.14285714285714285</v>
      </c>
      <c r="F47" s="49">
        <f>AVERAGE('05.08 KOTIDO-KABONG'!F47,'06.08 KOTIDO-KABONG'!F47,'07.08 KOTIDO-KABONG'!F47,'08.08 KABONG-KOTIDO'!F47,'9.08 KOTIDO-KABONG-24h'!F47,'10.08 KOTIDO-KABONG-24h'!F47,'11.08 KITIDO-KABONG'!F47)</f>
        <v>0</v>
      </c>
      <c r="G47" s="49">
        <f>AVERAGE('05.08 KOTIDO-KABONG'!G47,'06.08 KOTIDO-KABONG'!G47,'07.08 KOTIDO-KABONG'!G47,'08.08 KABONG-KOTIDO'!G47,'9.08 KOTIDO-KABONG-24h'!G47,'10.08 KOTIDO-KABONG-24h'!G47,'11.08 KITIDO-KABONG'!G47)</f>
        <v>0</v>
      </c>
      <c r="H47" s="49">
        <f>AVERAGE('05.08 KOTIDO-KABONG'!H47,'06.08 KOTIDO-KABONG'!H47,'07.08 KOTIDO-KABONG'!H47,'08.08 KABONG-KOTIDO'!H47,'9.08 KOTIDO-KABONG-24h'!H47,'10.08 KOTIDO-KABONG-24h'!H47,'11.08 KITIDO-KABONG'!H47)</f>
        <v>0</v>
      </c>
      <c r="I47" s="49">
        <f>AVERAGE('05.08 KOTIDO-KABONG'!I47,'06.08 KOTIDO-KABONG'!I47,'07.08 KOTIDO-KABONG'!I47,'08.08 KABONG-KOTIDO'!I47,'9.08 KOTIDO-KABONG-24h'!I47,'10.08 KOTIDO-KABONG-24h'!I47,'11.08 KITIDO-KABONG'!I47)</f>
        <v>0.14285714285714285</v>
      </c>
      <c r="J47" s="49">
        <f>AVERAGE('05.08 KOTIDO-KABONG'!J47,'06.08 KOTIDO-KABONG'!J47,'07.08 KOTIDO-KABONG'!J47,'08.08 KABONG-KOTIDO'!J47,'9.08 KOTIDO-KABONG-24h'!J47,'10.08 KOTIDO-KABONG-24h'!J47,'11.08 KITIDO-KABONG'!J47)</f>
        <v>0.2857142857142857</v>
      </c>
      <c r="K47" s="49">
        <f>AVERAGE('05.08 KOTIDO-KABONG'!K47,'06.08 KOTIDO-KABONG'!K47,'07.08 KOTIDO-KABONG'!K47,'08.08 KABONG-KOTIDO'!K47,'9.08 KOTIDO-KABONG-24h'!K47,'10.08 KOTIDO-KABONG-24h'!K47,'11.08 KITIDO-KABONG'!K47)</f>
        <v>0</v>
      </c>
      <c r="L47" s="49">
        <f>AVERAGE('05.08 KOTIDO-KABONG'!L47,'06.08 KOTIDO-KABONG'!L47,'07.08 KOTIDO-KABONG'!L47,'08.08 KABONG-KOTIDO'!L47,'9.08 KOTIDO-KABONG-24h'!L47,'10.08 KOTIDO-KABONG-24h'!L47,'11.08 KITIDO-KABONG'!L47)</f>
        <v>0</v>
      </c>
      <c r="M47" s="49">
        <f>AVERAGE('05.08 KOTIDO-KABONG'!M47,'06.08 KOTIDO-KABONG'!M47,'07.08 KOTIDO-KABONG'!M47,'08.08 KABONG-KOTIDO'!M47,'9.08 KOTIDO-KABONG-24h'!M47,'10.08 KOTIDO-KABONG-24h'!M47,'11.08 KITIDO-KABONG'!M47)</f>
        <v>0.8571428571428571</v>
      </c>
      <c r="N47" s="49">
        <f>AVERAGE('05.08 KOTIDO-KABONG'!N47,'06.08 KOTIDO-KABONG'!N47,'07.08 KOTIDO-KABONG'!N47,'08.08 KABONG-KOTIDO'!N47,'9.08 KOTIDO-KABONG-24h'!N47,'10.08 KOTIDO-KABONG-24h'!N47,'11.08 KITIDO-KABONG'!N47)</f>
        <v>0</v>
      </c>
      <c r="O47" s="15">
        <f t="shared" si="0"/>
        <v>1.1428571428571428</v>
      </c>
      <c r="P47" s="15">
        <f t="shared" si="1"/>
        <v>2</v>
      </c>
      <c r="R47" s="8"/>
      <c r="T47"/>
    </row>
    <row r="48" spans="2:32" ht="23.1" customHeight="1" x14ac:dyDescent="0.25">
      <c r="B48" s="24" t="s">
        <v>75</v>
      </c>
      <c r="C48" s="49">
        <f>AVERAGE('05.08 KOTIDO-KABONG'!C48,'06.08 KOTIDO-KABONG'!C48,'07.08 KOTIDO-KABONG'!C48,'08.08 KABONG-KOTIDO'!C48,'9.08 KOTIDO-KABONG-24h'!C48,'10.08 KOTIDO-KABONG-24h'!C48,'11.08 KITIDO-KABONG'!C48)</f>
        <v>0</v>
      </c>
      <c r="D48" s="49">
        <f>AVERAGE('05.08 KOTIDO-KABONG'!D48,'06.08 KOTIDO-KABONG'!D48,'07.08 KOTIDO-KABONG'!D48,'08.08 KABONG-KOTIDO'!D48,'9.08 KOTIDO-KABONG-24h'!D48,'10.08 KOTIDO-KABONG-24h'!D48,'11.08 KITIDO-KABONG'!D48)</f>
        <v>0</v>
      </c>
      <c r="E48" s="49">
        <f>AVERAGE('05.08 KOTIDO-KABONG'!E48,'06.08 KOTIDO-KABONG'!E48,'07.08 KOTIDO-KABONG'!E48,'08.08 KABONG-KOTIDO'!E48,'9.08 KOTIDO-KABONG-24h'!E48,'10.08 KOTIDO-KABONG-24h'!E48,'11.08 KITIDO-KABONG'!E48)</f>
        <v>0</v>
      </c>
      <c r="F48" s="49">
        <f>AVERAGE('05.08 KOTIDO-KABONG'!F48,'06.08 KOTIDO-KABONG'!F48,'07.08 KOTIDO-KABONG'!F48,'08.08 KABONG-KOTIDO'!F48,'9.08 KOTIDO-KABONG-24h'!F48,'10.08 KOTIDO-KABONG-24h'!F48,'11.08 KITIDO-KABONG'!F48)</f>
        <v>0</v>
      </c>
      <c r="G48" s="49">
        <f>AVERAGE('05.08 KOTIDO-KABONG'!G48,'06.08 KOTIDO-KABONG'!G48,'07.08 KOTIDO-KABONG'!G48,'08.08 KABONG-KOTIDO'!G48,'9.08 KOTIDO-KABONG-24h'!G48,'10.08 KOTIDO-KABONG-24h'!G48,'11.08 KITIDO-KABONG'!G48)</f>
        <v>0.14285714285714285</v>
      </c>
      <c r="H48" s="49">
        <f>AVERAGE('05.08 KOTIDO-KABONG'!H48,'06.08 KOTIDO-KABONG'!H48,'07.08 KOTIDO-KABONG'!H48,'08.08 KABONG-KOTIDO'!H48,'9.08 KOTIDO-KABONG-24h'!H48,'10.08 KOTIDO-KABONG-24h'!H48,'11.08 KITIDO-KABONG'!H48)</f>
        <v>0</v>
      </c>
      <c r="I48" s="49">
        <f>AVERAGE('05.08 KOTIDO-KABONG'!I48,'06.08 KOTIDO-KABONG'!I48,'07.08 KOTIDO-KABONG'!I48,'08.08 KABONG-KOTIDO'!I48,'9.08 KOTIDO-KABONG-24h'!I48,'10.08 KOTIDO-KABONG-24h'!I48,'11.08 KITIDO-KABONG'!I48)</f>
        <v>0</v>
      </c>
      <c r="J48" s="49">
        <f>AVERAGE('05.08 KOTIDO-KABONG'!J48,'06.08 KOTIDO-KABONG'!J48,'07.08 KOTIDO-KABONG'!J48,'08.08 KABONG-KOTIDO'!J48,'9.08 KOTIDO-KABONG-24h'!J48,'10.08 KOTIDO-KABONG-24h'!J48,'11.08 KITIDO-KABONG'!J48)</f>
        <v>0.2857142857142857</v>
      </c>
      <c r="K48" s="49">
        <f>AVERAGE('05.08 KOTIDO-KABONG'!K48,'06.08 KOTIDO-KABONG'!K48,'07.08 KOTIDO-KABONG'!K48,'08.08 KABONG-KOTIDO'!K48,'9.08 KOTIDO-KABONG-24h'!K48,'10.08 KOTIDO-KABONG-24h'!K48,'11.08 KITIDO-KABONG'!K48)</f>
        <v>0</v>
      </c>
      <c r="L48" s="49">
        <f>AVERAGE('05.08 KOTIDO-KABONG'!L48,'06.08 KOTIDO-KABONG'!L48,'07.08 KOTIDO-KABONG'!L48,'08.08 KABONG-KOTIDO'!L48,'9.08 KOTIDO-KABONG-24h'!L48,'10.08 KOTIDO-KABONG-24h'!L48,'11.08 KITIDO-KABONG'!L48)</f>
        <v>0</v>
      </c>
      <c r="M48" s="49">
        <f>AVERAGE('05.08 KOTIDO-KABONG'!M48,'06.08 KOTIDO-KABONG'!M48,'07.08 KOTIDO-KABONG'!M48,'08.08 KABONG-KOTIDO'!M48,'9.08 KOTIDO-KABONG-24h'!M48,'10.08 KOTIDO-KABONG-24h'!M48,'11.08 KITIDO-KABONG'!M48)</f>
        <v>0.8571428571428571</v>
      </c>
      <c r="N48" s="49">
        <f>AVERAGE('05.08 KOTIDO-KABONG'!N48,'06.08 KOTIDO-KABONG'!N48,'07.08 KOTIDO-KABONG'!N48,'08.08 KABONG-KOTIDO'!N48,'9.08 KOTIDO-KABONG-24h'!N48,'10.08 KOTIDO-KABONG-24h'!N48,'11.08 KITIDO-KABONG'!N48)</f>
        <v>0</v>
      </c>
      <c r="O48" s="15">
        <f t="shared" si="0"/>
        <v>0.42857142857142855</v>
      </c>
      <c r="P48" s="15">
        <f t="shared" si="1"/>
        <v>1.2857142857142856</v>
      </c>
      <c r="R48" s="8"/>
      <c r="T48"/>
    </row>
    <row r="49" spans="2:20" ht="23.1" customHeight="1" x14ac:dyDescent="0.25">
      <c r="B49" s="23" t="s">
        <v>76</v>
      </c>
      <c r="C49" s="49">
        <f>AVERAGE('05.08 KOTIDO-KABONG'!C49,'06.08 KOTIDO-KABONG'!C49,'07.08 KOTIDO-KABONG'!C49,'08.08 KABONG-KOTIDO'!C49,'9.08 KOTIDO-KABONG-24h'!C49,'10.08 KOTIDO-KABONG-24h'!C49,'11.08 KITIDO-KABONG'!C49)</f>
        <v>0</v>
      </c>
      <c r="D49" s="49">
        <f>AVERAGE('05.08 KOTIDO-KABONG'!D49,'06.08 KOTIDO-KABONG'!D49,'07.08 KOTIDO-KABONG'!D49,'08.08 KABONG-KOTIDO'!D49,'9.08 KOTIDO-KABONG-24h'!D49,'10.08 KOTIDO-KABONG-24h'!D49,'11.08 KITIDO-KABONG'!D49)</f>
        <v>0.7142857142857143</v>
      </c>
      <c r="E49" s="49">
        <f>AVERAGE('05.08 KOTIDO-KABONG'!E49,'06.08 KOTIDO-KABONG'!E49,'07.08 KOTIDO-KABONG'!E49,'08.08 KABONG-KOTIDO'!E49,'9.08 KOTIDO-KABONG-24h'!E49,'10.08 KOTIDO-KABONG-24h'!E49,'11.08 KITIDO-KABONG'!E49)</f>
        <v>0.2857142857142857</v>
      </c>
      <c r="F49" s="49">
        <f>AVERAGE('05.08 KOTIDO-KABONG'!F49,'06.08 KOTIDO-KABONG'!F49,'07.08 KOTIDO-KABONG'!F49,'08.08 KABONG-KOTIDO'!F49,'9.08 KOTIDO-KABONG-24h'!F49,'10.08 KOTIDO-KABONG-24h'!F49,'11.08 KITIDO-KABONG'!F49)</f>
        <v>0</v>
      </c>
      <c r="G49" s="49">
        <f>AVERAGE('05.08 KOTIDO-KABONG'!G49,'06.08 KOTIDO-KABONG'!G49,'07.08 KOTIDO-KABONG'!G49,'08.08 KABONG-KOTIDO'!G49,'9.08 KOTIDO-KABONG-24h'!G49,'10.08 KOTIDO-KABONG-24h'!G49,'11.08 KITIDO-KABONG'!G49)</f>
        <v>0</v>
      </c>
      <c r="H49" s="49">
        <f>AVERAGE('05.08 KOTIDO-KABONG'!H49,'06.08 KOTIDO-KABONG'!H49,'07.08 KOTIDO-KABONG'!H49,'08.08 KABONG-KOTIDO'!H49,'9.08 KOTIDO-KABONG-24h'!H49,'10.08 KOTIDO-KABONG-24h'!H49,'11.08 KITIDO-KABONG'!H49)</f>
        <v>0</v>
      </c>
      <c r="I49" s="49">
        <f>AVERAGE('05.08 KOTIDO-KABONG'!I49,'06.08 KOTIDO-KABONG'!I49,'07.08 KOTIDO-KABONG'!I49,'08.08 KABONG-KOTIDO'!I49,'9.08 KOTIDO-KABONG-24h'!I49,'10.08 KOTIDO-KABONG-24h'!I49,'11.08 KITIDO-KABONG'!I49)</f>
        <v>0</v>
      </c>
      <c r="J49" s="49">
        <f>AVERAGE('05.08 KOTIDO-KABONG'!J49,'06.08 KOTIDO-KABONG'!J49,'07.08 KOTIDO-KABONG'!J49,'08.08 KABONG-KOTIDO'!J49,'9.08 KOTIDO-KABONG-24h'!J49,'10.08 KOTIDO-KABONG-24h'!J49,'11.08 KITIDO-KABONG'!J49)</f>
        <v>0.14285714285714285</v>
      </c>
      <c r="K49" s="49">
        <f>AVERAGE('05.08 KOTIDO-KABONG'!K49,'06.08 KOTIDO-KABONG'!K49,'07.08 KOTIDO-KABONG'!K49,'08.08 KABONG-KOTIDO'!K49,'9.08 KOTIDO-KABONG-24h'!K49,'10.08 KOTIDO-KABONG-24h'!K49,'11.08 KITIDO-KABONG'!K49)</f>
        <v>0</v>
      </c>
      <c r="L49" s="49">
        <f>AVERAGE('05.08 KOTIDO-KABONG'!L49,'06.08 KOTIDO-KABONG'!L49,'07.08 KOTIDO-KABONG'!L49,'08.08 KABONG-KOTIDO'!L49,'9.08 KOTIDO-KABONG-24h'!L49,'10.08 KOTIDO-KABONG-24h'!L49,'11.08 KITIDO-KABONG'!L49)</f>
        <v>0</v>
      </c>
      <c r="M49" s="49">
        <f>AVERAGE('05.08 KOTIDO-KABONG'!M49,'06.08 KOTIDO-KABONG'!M49,'07.08 KOTIDO-KABONG'!M49,'08.08 KABONG-KOTIDO'!M49,'9.08 KOTIDO-KABONG-24h'!M49,'10.08 KOTIDO-KABONG-24h'!M49,'11.08 KITIDO-KABONG'!M49)</f>
        <v>0.7142857142857143</v>
      </c>
      <c r="N49" s="49">
        <f>AVERAGE('05.08 KOTIDO-KABONG'!N49,'06.08 KOTIDO-KABONG'!N49,'07.08 KOTIDO-KABONG'!N49,'08.08 KABONG-KOTIDO'!N49,'9.08 KOTIDO-KABONG-24h'!N49,'10.08 KOTIDO-KABONG-24h'!N49,'11.08 KITIDO-KABONG'!N49)</f>
        <v>0</v>
      </c>
      <c r="O49" s="15">
        <f t="shared" si="0"/>
        <v>1.1428571428571428</v>
      </c>
      <c r="P49" s="15">
        <f t="shared" si="1"/>
        <v>1.8571428571428572</v>
      </c>
      <c r="R49" s="8"/>
      <c r="T49"/>
    </row>
    <row r="50" spans="2:20" ht="23.1" customHeight="1" x14ac:dyDescent="0.25">
      <c r="B50" s="24" t="s">
        <v>77</v>
      </c>
      <c r="C50" s="49">
        <f>AVERAGE('05.08 KOTIDO-KABONG'!C50,'06.08 KOTIDO-KABONG'!C50,'07.08 KOTIDO-KABONG'!C50,'08.08 KABONG-KOTIDO'!C50,'9.08 KOTIDO-KABONG-24h'!C50,'10.08 KOTIDO-KABONG-24h'!C50,'11.08 KITIDO-KABONG'!C50)</f>
        <v>0.14285714285714285</v>
      </c>
      <c r="D50" s="49">
        <f>AVERAGE('05.08 KOTIDO-KABONG'!D50,'06.08 KOTIDO-KABONG'!D50,'07.08 KOTIDO-KABONG'!D50,'08.08 KABONG-KOTIDO'!D50,'9.08 KOTIDO-KABONG-24h'!D50,'10.08 KOTIDO-KABONG-24h'!D50,'11.08 KITIDO-KABONG'!D50)</f>
        <v>0.14285714285714285</v>
      </c>
      <c r="E50" s="49">
        <f>AVERAGE('05.08 KOTIDO-KABONG'!E50,'06.08 KOTIDO-KABONG'!E50,'07.08 KOTIDO-KABONG'!E50,'08.08 KABONG-KOTIDO'!E50,'9.08 KOTIDO-KABONG-24h'!E50,'10.08 KOTIDO-KABONG-24h'!E50,'11.08 KITIDO-KABONG'!E50)</f>
        <v>0.7142857142857143</v>
      </c>
      <c r="F50" s="49">
        <f>AVERAGE('05.08 KOTIDO-KABONG'!F50,'06.08 KOTIDO-KABONG'!F50,'07.08 KOTIDO-KABONG'!F50,'08.08 KABONG-KOTIDO'!F50,'9.08 KOTIDO-KABONG-24h'!F50,'10.08 KOTIDO-KABONG-24h'!F50,'11.08 KITIDO-KABONG'!F50)</f>
        <v>0</v>
      </c>
      <c r="G50" s="49">
        <f>AVERAGE('05.08 KOTIDO-KABONG'!G50,'06.08 KOTIDO-KABONG'!G50,'07.08 KOTIDO-KABONG'!G50,'08.08 KABONG-KOTIDO'!G50,'9.08 KOTIDO-KABONG-24h'!G50,'10.08 KOTIDO-KABONG-24h'!G50,'11.08 KITIDO-KABONG'!G50)</f>
        <v>0</v>
      </c>
      <c r="H50" s="49">
        <f>AVERAGE('05.08 KOTIDO-KABONG'!H50,'06.08 KOTIDO-KABONG'!H50,'07.08 KOTIDO-KABONG'!H50,'08.08 KABONG-KOTIDO'!H50,'9.08 KOTIDO-KABONG-24h'!H50,'10.08 KOTIDO-KABONG-24h'!H50,'11.08 KITIDO-KABONG'!H50)</f>
        <v>0</v>
      </c>
      <c r="I50" s="49">
        <f>AVERAGE('05.08 KOTIDO-KABONG'!I50,'06.08 KOTIDO-KABONG'!I50,'07.08 KOTIDO-KABONG'!I50,'08.08 KABONG-KOTIDO'!I50,'9.08 KOTIDO-KABONG-24h'!I50,'10.08 KOTIDO-KABONG-24h'!I50,'11.08 KITIDO-KABONG'!I50)</f>
        <v>0</v>
      </c>
      <c r="J50" s="49">
        <f>AVERAGE('05.08 KOTIDO-KABONG'!J50,'06.08 KOTIDO-KABONG'!J50,'07.08 KOTIDO-KABONG'!J50,'08.08 KABONG-KOTIDO'!J50,'9.08 KOTIDO-KABONG-24h'!J50,'10.08 KOTIDO-KABONG-24h'!J50,'11.08 KITIDO-KABONG'!J50)</f>
        <v>0.2857142857142857</v>
      </c>
      <c r="K50" s="49">
        <f>AVERAGE('05.08 KOTIDO-KABONG'!K50,'06.08 KOTIDO-KABONG'!K50,'07.08 KOTIDO-KABONG'!K50,'08.08 KABONG-KOTIDO'!K50,'9.08 KOTIDO-KABONG-24h'!K50,'10.08 KOTIDO-KABONG-24h'!K50,'11.08 KITIDO-KABONG'!K50)</f>
        <v>0</v>
      </c>
      <c r="L50" s="49">
        <f>AVERAGE('05.08 KOTIDO-KABONG'!L50,'06.08 KOTIDO-KABONG'!L50,'07.08 KOTIDO-KABONG'!L50,'08.08 KABONG-KOTIDO'!L50,'9.08 KOTIDO-KABONG-24h'!L50,'10.08 KOTIDO-KABONG-24h'!L50,'11.08 KITIDO-KABONG'!L50)</f>
        <v>0</v>
      </c>
      <c r="M50" s="49">
        <f>AVERAGE('05.08 KOTIDO-KABONG'!M50,'06.08 KOTIDO-KABONG'!M50,'07.08 KOTIDO-KABONG'!M50,'08.08 KABONG-KOTIDO'!M50,'9.08 KOTIDO-KABONG-24h'!M50,'10.08 KOTIDO-KABONG-24h'!M50,'11.08 KITIDO-KABONG'!M50)</f>
        <v>0.7142857142857143</v>
      </c>
      <c r="N50" s="49">
        <f>AVERAGE('05.08 KOTIDO-KABONG'!N50,'06.08 KOTIDO-KABONG'!N50,'07.08 KOTIDO-KABONG'!N50,'08.08 KABONG-KOTIDO'!N50,'9.08 KOTIDO-KABONG-24h'!N50,'10.08 KOTIDO-KABONG-24h'!N50,'11.08 KITIDO-KABONG'!N50)</f>
        <v>0</v>
      </c>
      <c r="O50" s="15">
        <f t="shared" si="0"/>
        <v>1.2857142857142856</v>
      </c>
      <c r="P50" s="15">
        <f t="shared" si="1"/>
        <v>2</v>
      </c>
      <c r="R50" s="8"/>
      <c r="T50"/>
    </row>
    <row r="51" spans="2:20" ht="23.1" customHeight="1" x14ac:dyDescent="0.25">
      <c r="B51" s="24" t="s">
        <v>78</v>
      </c>
      <c r="C51" s="49">
        <f>AVERAGE('05.08 KOTIDO-KABONG'!C51,'06.08 KOTIDO-KABONG'!C51,'07.08 KOTIDO-KABONG'!C51,'08.08 KABONG-KOTIDO'!C51,'9.08 KOTIDO-KABONG-24h'!C51,'10.08 KOTIDO-KABONG-24h'!C51,'11.08 KITIDO-KABONG'!C51)</f>
        <v>0</v>
      </c>
      <c r="D51" s="49">
        <f>AVERAGE('05.08 KOTIDO-KABONG'!D51,'06.08 KOTIDO-KABONG'!D51,'07.08 KOTIDO-KABONG'!D51,'08.08 KABONG-KOTIDO'!D51,'9.08 KOTIDO-KABONG-24h'!D51,'10.08 KOTIDO-KABONG-24h'!D51,'11.08 KITIDO-KABONG'!D51)</f>
        <v>0.8571428571428571</v>
      </c>
      <c r="E51" s="49">
        <f>AVERAGE('05.08 KOTIDO-KABONG'!E51,'06.08 KOTIDO-KABONG'!E51,'07.08 KOTIDO-KABONG'!E51,'08.08 KABONG-KOTIDO'!E51,'9.08 KOTIDO-KABONG-24h'!E51,'10.08 KOTIDO-KABONG-24h'!E51,'11.08 KITIDO-KABONG'!E51)</f>
        <v>0.14285714285714285</v>
      </c>
      <c r="F51" s="49">
        <f>AVERAGE('05.08 KOTIDO-KABONG'!F51,'06.08 KOTIDO-KABONG'!F51,'07.08 KOTIDO-KABONG'!F51,'08.08 KABONG-KOTIDO'!F51,'9.08 KOTIDO-KABONG-24h'!F51,'10.08 KOTIDO-KABONG-24h'!F51,'11.08 KITIDO-KABONG'!F51)</f>
        <v>0</v>
      </c>
      <c r="G51" s="49">
        <f>AVERAGE('05.08 KOTIDO-KABONG'!G51,'06.08 KOTIDO-KABONG'!G51,'07.08 KOTIDO-KABONG'!G51,'08.08 KABONG-KOTIDO'!G51,'9.08 KOTIDO-KABONG-24h'!G51,'10.08 KOTIDO-KABONG-24h'!G51,'11.08 KITIDO-KABONG'!G51)</f>
        <v>0</v>
      </c>
      <c r="H51" s="49">
        <f>AVERAGE('05.08 KOTIDO-KABONG'!H51,'06.08 KOTIDO-KABONG'!H51,'07.08 KOTIDO-KABONG'!H51,'08.08 KABONG-KOTIDO'!H51,'9.08 KOTIDO-KABONG-24h'!H51,'10.08 KOTIDO-KABONG-24h'!H51,'11.08 KITIDO-KABONG'!H51)</f>
        <v>0.14285714285714285</v>
      </c>
      <c r="I51" s="49">
        <f>AVERAGE('05.08 KOTIDO-KABONG'!I51,'06.08 KOTIDO-KABONG'!I51,'07.08 KOTIDO-KABONG'!I51,'08.08 KABONG-KOTIDO'!I51,'9.08 KOTIDO-KABONG-24h'!I51,'10.08 KOTIDO-KABONG-24h'!I51,'11.08 KITIDO-KABONG'!I51)</f>
        <v>0.14285714285714285</v>
      </c>
      <c r="J51" s="49">
        <f>AVERAGE('05.08 KOTIDO-KABONG'!J51,'06.08 KOTIDO-KABONG'!J51,'07.08 KOTIDO-KABONG'!J51,'08.08 KABONG-KOTIDO'!J51,'9.08 KOTIDO-KABONG-24h'!J51,'10.08 KOTIDO-KABONG-24h'!J51,'11.08 KITIDO-KABONG'!J51)</f>
        <v>0.14285714285714285</v>
      </c>
      <c r="K51" s="49">
        <f>AVERAGE('05.08 KOTIDO-KABONG'!K51,'06.08 KOTIDO-KABONG'!K51,'07.08 KOTIDO-KABONG'!K51,'08.08 KABONG-KOTIDO'!K51,'9.08 KOTIDO-KABONG-24h'!K51,'10.08 KOTIDO-KABONG-24h'!K51,'11.08 KITIDO-KABONG'!K51)</f>
        <v>0</v>
      </c>
      <c r="L51" s="49">
        <f>AVERAGE('05.08 KOTIDO-KABONG'!L51,'06.08 KOTIDO-KABONG'!L51,'07.08 KOTIDO-KABONG'!L51,'08.08 KABONG-KOTIDO'!L51,'9.08 KOTIDO-KABONG-24h'!L51,'10.08 KOTIDO-KABONG-24h'!L51,'11.08 KITIDO-KABONG'!L51)</f>
        <v>0</v>
      </c>
      <c r="M51" s="49">
        <f>AVERAGE('05.08 KOTIDO-KABONG'!M51,'06.08 KOTIDO-KABONG'!M51,'07.08 KOTIDO-KABONG'!M51,'08.08 KABONG-KOTIDO'!M51,'9.08 KOTIDO-KABONG-24h'!M51,'10.08 KOTIDO-KABONG-24h'!M51,'11.08 KITIDO-KABONG'!M51)</f>
        <v>0.7142857142857143</v>
      </c>
      <c r="N51" s="49">
        <f>AVERAGE('05.08 KOTIDO-KABONG'!N51,'06.08 KOTIDO-KABONG'!N51,'07.08 KOTIDO-KABONG'!N51,'08.08 KABONG-KOTIDO'!N51,'9.08 KOTIDO-KABONG-24h'!N51,'10.08 KOTIDO-KABONG-24h'!N51,'11.08 KITIDO-KABONG'!N51)</f>
        <v>0</v>
      </c>
      <c r="O51" s="15">
        <f t="shared" si="0"/>
        <v>1.4285714285714284</v>
      </c>
      <c r="P51" s="15">
        <f t="shared" si="1"/>
        <v>2.1428571428571428</v>
      </c>
      <c r="R51" s="8"/>
      <c r="T51"/>
    </row>
    <row r="52" spans="2:20" ht="23.1" customHeight="1" x14ac:dyDescent="0.25">
      <c r="B52" s="24" t="s">
        <v>79</v>
      </c>
      <c r="C52" s="49">
        <f>AVERAGE('05.08 KOTIDO-KABONG'!C52,'06.08 KOTIDO-KABONG'!C52,'07.08 KOTIDO-KABONG'!C52,'08.08 KABONG-KOTIDO'!C52,'9.08 KOTIDO-KABONG-24h'!C52,'10.08 KOTIDO-KABONG-24h'!C52,'11.08 KITIDO-KABONG'!C52)</f>
        <v>0</v>
      </c>
      <c r="D52" s="49">
        <f>AVERAGE('05.08 KOTIDO-KABONG'!D52,'06.08 KOTIDO-KABONG'!D52,'07.08 KOTIDO-KABONG'!D52,'08.08 KABONG-KOTIDO'!D52,'9.08 KOTIDO-KABONG-24h'!D52,'10.08 KOTIDO-KABONG-24h'!D52,'11.08 KITIDO-KABONG'!D52)</f>
        <v>0.14285714285714285</v>
      </c>
      <c r="E52" s="49">
        <f>AVERAGE('05.08 KOTIDO-KABONG'!E52,'06.08 KOTIDO-KABONG'!E52,'07.08 KOTIDO-KABONG'!E52,'08.08 KABONG-KOTIDO'!E52,'9.08 KOTIDO-KABONG-24h'!E52,'10.08 KOTIDO-KABONG-24h'!E52,'11.08 KITIDO-KABONG'!E52)</f>
        <v>0.2857142857142857</v>
      </c>
      <c r="F52" s="49">
        <f>AVERAGE('05.08 KOTIDO-KABONG'!F52,'06.08 KOTIDO-KABONG'!F52,'07.08 KOTIDO-KABONG'!F52,'08.08 KABONG-KOTIDO'!F52,'9.08 KOTIDO-KABONG-24h'!F52,'10.08 KOTIDO-KABONG-24h'!F52,'11.08 KITIDO-KABONG'!F52)</f>
        <v>0</v>
      </c>
      <c r="G52" s="49">
        <f>AVERAGE('05.08 KOTIDO-KABONG'!G52,'06.08 KOTIDO-KABONG'!G52,'07.08 KOTIDO-KABONG'!G52,'08.08 KABONG-KOTIDO'!G52,'9.08 KOTIDO-KABONG-24h'!G52,'10.08 KOTIDO-KABONG-24h'!G52,'11.08 KITIDO-KABONG'!G52)</f>
        <v>0</v>
      </c>
      <c r="H52" s="49">
        <f>AVERAGE('05.08 KOTIDO-KABONG'!H52,'06.08 KOTIDO-KABONG'!H52,'07.08 KOTIDO-KABONG'!H52,'08.08 KABONG-KOTIDO'!H52,'9.08 KOTIDO-KABONG-24h'!H52,'10.08 KOTIDO-KABONG-24h'!H52,'11.08 KITIDO-KABONG'!H52)</f>
        <v>0</v>
      </c>
      <c r="I52" s="49">
        <f>AVERAGE('05.08 KOTIDO-KABONG'!I52,'06.08 KOTIDO-KABONG'!I52,'07.08 KOTIDO-KABONG'!I52,'08.08 KABONG-KOTIDO'!I52,'9.08 KOTIDO-KABONG-24h'!I52,'10.08 KOTIDO-KABONG-24h'!I52,'11.08 KITIDO-KABONG'!I52)</f>
        <v>0</v>
      </c>
      <c r="J52" s="49">
        <f>AVERAGE('05.08 KOTIDO-KABONG'!J52,'06.08 KOTIDO-KABONG'!J52,'07.08 KOTIDO-KABONG'!J52,'08.08 KABONG-KOTIDO'!J52,'9.08 KOTIDO-KABONG-24h'!J52,'10.08 KOTIDO-KABONG-24h'!J52,'11.08 KITIDO-KABONG'!J52)</f>
        <v>0</v>
      </c>
      <c r="K52" s="49">
        <f>AVERAGE('05.08 KOTIDO-KABONG'!K52,'06.08 KOTIDO-KABONG'!K52,'07.08 KOTIDO-KABONG'!K52,'08.08 KABONG-KOTIDO'!K52,'9.08 KOTIDO-KABONG-24h'!K52,'10.08 KOTIDO-KABONG-24h'!K52,'11.08 KITIDO-KABONG'!K52)</f>
        <v>0</v>
      </c>
      <c r="L52" s="49">
        <f>AVERAGE('05.08 KOTIDO-KABONG'!L52,'06.08 KOTIDO-KABONG'!L52,'07.08 KOTIDO-KABONG'!L52,'08.08 KABONG-KOTIDO'!L52,'9.08 KOTIDO-KABONG-24h'!L52,'10.08 KOTIDO-KABONG-24h'!L52,'11.08 KITIDO-KABONG'!L52)</f>
        <v>0</v>
      </c>
      <c r="M52" s="49">
        <f>AVERAGE('05.08 KOTIDO-KABONG'!M52,'06.08 KOTIDO-KABONG'!M52,'07.08 KOTIDO-KABONG'!M52,'08.08 KABONG-KOTIDO'!M52,'9.08 KOTIDO-KABONG-24h'!M52,'10.08 KOTIDO-KABONG-24h'!M52,'11.08 KITIDO-KABONG'!M52)</f>
        <v>0.2857142857142857</v>
      </c>
      <c r="N52" s="49">
        <f>AVERAGE('05.08 KOTIDO-KABONG'!N52,'06.08 KOTIDO-KABONG'!N52,'07.08 KOTIDO-KABONG'!N52,'08.08 KABONG-KOTIDO'!N52,'9.08 KOTIDO-KABONG-24h'!N52,'10.08 KOTIDO-KABONG-24h'!N52,'11.08 KITIDO-KABONG'!N52)</f>
        <v>0</v>
      </c>
      <c r="O52" s="15">
        <f t="shared" si="0"/>
        <v>0.42857142857142855</v>
      </c>
      <c r="P52" s="15">
        <f t="shared" si="1"/>
        <v>0.71428571428571419</v>
      </c>
      <c r="R52" s="8"/>
      <c r="T52"/>
    </row>
    <row r="53" spans="2:20" ht="23.1" customHeight="1" x14ac:dyDescent="0.25">
      <c r="B53" s="23" t="s">
        <v>80</v>
      </c>
      <c r="C53" s="49">
        <f>AVERAGE('05.08 KOTIDO-KABONG'!C53,'06.08 KOTIDO-KABONG'!C53,'07.08 KOTIDO-KABONG'!C53,'08.08 KABONG-KOTIDO'!C53,'9.08 KOTIDO-KABONG-24h'!C53,'10.08 KOTIDO-KABONG-24h'!C53,'11.08 KITIDO-KABONG'!C53)</f>
        <v>0</v>
      </c>
      <c r="D53" s="49">
        <f>AVERAGE('05.08 KOTIDO-KABONG'!D53,'06.08 KOTIDO-KABONG'!D53,'07.08 KOTIDO-KABONG'!D53,'08.08 KABONG-KOTIDO'!D53,'9.08 KOTIDO-KABONG-24h'!D53,'10.08 KOTIDO-KABONG-24h'!D53,'11.08 KITIDO-KABONG'!D53)</f>
        <v>0</v>
      </c>
      <c r="E53" s="49">
        <f>AVERAGE('05.08 KOTIDO-KABONG'!E53,'06.08 KOTIDO-KABONG'!E53,'07.08 KOTIDO-KABONG'!E53,'08.08 KABONG-KOTIDO'!E53,'9.08 KOTIDO-KABONG-24h'!E53,'10.08 KOTIDO-KABONG-24h'!E53,'11.08 KITIDO-KABONG'!E53)</f>
        <v>0.2857142857142857</v>
      </c>
      <c r="F53" s="49">
        <f>AVERAGE('05.08 KOTIDO-KABONG'!F53,'06.08 KOTIDO-KABONG'!F53,'07.08 KOTIDO-KABONG'!F53,'08.08 KABONG-KOTIDO'!F53,'9.08 KOTIDO-KABONG-24h'!F53,'10.08 KOTIDO-KABONG-24h'!F53,'11.08 KITIDO-KABONG'!F53)</f>
        <v>0</v>
      </c>
      <c r="G53" s="49">
        <f>AVERAGE('05.08 KOTIDO-KABONG'!G53,'06.08 KOTIDO-KABONG'!G53,'07.08 KOTIDO-KABONG'!G53,'08.08 KABONG-KOTIDO'!G53,'9.08 KOTIDO-KABONG-24h'!G53,'10.08 KOTIDO-KABONG-24h'!G53,'11.08 KITIDO-KABONG'!G53)</f>
        <v>0</v>
      </c>
      <c r="H53" s="49">
        <f>AVERAGE('05.08 KOTIDO-KABONG'!H53,'06.08 KOTIDO-KABONG'!H53,'07.08 KOTIDO-KABONG'!H53,'08.08 KABONG-KOTIDO'!H53,'9.08 KOTIDO-KABONG-24h'!H53,'10.08 KOTIDO-KABONG-24h'!H53,'11.08 KITIDO-KABONG'!H53)</f>
        <v>0.14285714285714285</v>
      </c>
      <c r="I53" s="49">
        <f>AVERAGE('05.08 KOTIDO-KABONG'!I53,'06.08 KOTIDO-KABONG'!I53,'07.08 KOTIDO-KABONG'!I53,'08.08 KABONG-KOTIDO'!I53,'9.08 KOTIDO-KABONG-24h'!I53,'10.08 KOTIDO-KABONG-24h'!I53,'11.08 KITIDO-KABONG'!I53)</f>
        <v>0.14285714285714285</v>
      </c>
      <c r="J53" s="49">
        <f>AVERAGE('05.08 KOTIDO-KABONG'!J53,'06.08 KOTIDO-KABONG'!J53,'07.08 KOTIDO-KABONG'!J53,'08.08 KABONG-KOTIDO'!J53,'9.08 KOTIDO-KABONG-24h'!J53,'10.08 KOTIDO-KABONG-24h'!J53,'11.08 KITIDO-KABONG'!J53)</f>
        <v>0.2857142857142857</v>
      </c>
      <c r="K53" s="49">
        <f>AVERAGE('05.08 KOTIDO-KABONG'!K53,'06.08 KOTIDO-KABONG'!K53,'07.08 KOTIDO-KABONG'!K53,'08.08 KABONG-KOTIDO'!K53,'9.08 KOTIDO-KABONG-24h'!K53,'10.08 KOTIDO-KABONG-24h'!K53,'11.08 KITIDO-KABONG'!K53)</f>
        <v>0</v>
      </c>
      <c r="L53" s="49">
        <f>AVERAGE('05.08 KOTIDO-KABONG'!L53,'06.08 KOTIDO-KABONG'!L53,'07.08 KOTIDO-KABONG'!L53,'08.08 KABONG-KOTIDO'!L53,'9.08 KOTIDO-KABONG-24h'!L53,'10.08 KOTIDO-KABONG-24h'!L53,'11.08 KITIDO-KABONG'!L53)</f>
        <v>0</v>
      </c>
      <c r="M53" s="49">
        <f>AVERAGE('05.08 KOTIDO-KABONG'!M53,'06.08 KOTIDO-KABONG'!M53,'07.08 KOTIDO-KABONG'!M53,'08.08 KABONG-KOTIDO'!M53,'9.08 KOTIDO-KABONG-24h'!M53,'10.08 KOTIDO-KABONG-24h'!M53,'11.08 KITIDO-KABONG'!M53)</f>
        <v>0.14285714285714285</v>
      </c>
      <c r="N53" s="49">
        <f>AVERAGE('05.08 KOTIDO-KABONG'!N53,'06.08 KOTIDO-KABONG'!N53,'07.08 KOTIDO-KABONG'!N53,'08.08 KABONG-KOTIDO'!N53,'9.08 KOTIDO-KABONG-24h'!N53,'10.08 KOTIDO-KABONG-24h'!N53,'11.08 KITIDO-KABONG'!N53)</f>
        <v>0</v>
      </c>
      <c r="O53" s="15">
        <f t="shared" si="0"/>
        <v>0.8571428571428571</v>
      </c>
      <c r="P53" s="15">
        <f t="shared" si="1"/>
        <v>1</v>
      </c>
      <c r="R53" s="8"/>
      <c r="T53"/>
    </row>
    <row r="54" spans="2:20" ht="23.1" customHeight="1" x14ac:dyDescent="0.25">
      <c r="B54" s="23" t="s">
        <v>81</v>
      </c>
      <c r="C54" s="49">
        <f>AVERAGE('05.08 KOTIDO-KABONG'!C54,'06.08 KOTIDO-KABONG'!C54,'07.08 KOTIDO-KABONG'!C54,'08.08 KABONG-KOTIDO'!C54,'9.08 KOTIDO-KABONG-24h'!C54,'10.08 KOTIDO-KABONG-24h'!C54,'11.08 KITIDO-KABONG'!C54)</f>
        <v>0</v>
      </c>
      <c r="D54" s="49">
        <f>AVERAGE('05.08 KOTIDO-KABONG'!D54,'06.08 KOTIDO-KABONG'!D54,'07.08 KOTIDO-KABONG'!D54,'08.08 KABONG-KOTIDO'!D54,'9.08 KOTIDO-KABONG-24h'!D54,'10.08 KOTIDO-KABONG-24h'!D54,'11.08 KITIDO-KABONG'!D54)</f>
        <v>0.14285714285714285</v>
      </c>
      <c r="E54" s="49">
        <f>AVERAGE('05.08 KOTIDO-KABONG'!E54,'06.08 KOTIDO-KABONG'!E54,'07.08 KOTIDO-KABONG'!E54,'08.08 KABONG-KOTIDO'!E54,'9.08 KOTIDO-KABONG-24h'!E54,'10.08 KOTIDO-KABONG-24h'!E54,'11.08 KITIDO-KABONG'!E54)</f>
        <v>0.2857142857142857</v>
      </c>
      <c r="F54" s="49">
        <f>AVERAGE('05.08 KOTIDO-KABONG'!F54,'06.08 KOTIDO-KABONG'!F54,'07.08 KOTIDO-KABONG'!F54,'08.08 KABONG-KOTIDO'!F54,'9.08 KOTIDO-KABONG-24h'!F54,'10.08 KOTIDO-KABONG-24h'!F54,'11.08 KITIDO-KABONG'!F54)</f>
        <v>0</v>
      </c>
      <c r="G54" s="49">
        <f>AVERAGE('05.08 KOTIDO-KABONG'!G54,'06.08 KOTIDO-KABONG'!G54,'07.08 KOTIDO-KABONG'!G54,'08.08 KABONG-KOTIDO'!G54,'9.08 KOTIDO-KABONG-24h'!G54,'10.08 KOTIDO-KABONG-24h'!G54,'11.08 KITIDO-KABONG'!G54)</f>
        <v>0</v>
      </c>
      <c r="H54" s="49">
        <f>AVERAGE('05.08 KOTIDO-KABONG'!H54,'06.08 KOTIDO-KABONG'!H54,'07.08 KOTIDO-KABONG'!H54,'08.08 KABONG-KOTIDO'!H54,'9.08 KOTIDO-KABONG-24h'!H54,'10.08 KOTIDO-KABONG-24h'!H54,'11.08 KITIDO-KABONG'!H54)</f>
        <v>0</v>
      </c>
      <c r="I54" s="49">
        <f>AVERAGE('05.08 KOTIDO-KABONG'!I54,'06.08 KOTIDO-KABONG'!I54,'07.08 KOTIDO-KABONG'!I54,'08.08 KABONG-KOTIDO'!I54,'9.08 KOTIDO-KABONG-24h'!I54,'10.08 KOTIDO-KABONG-24h'!I54,'11.08 KITIDO-KABONG'!I54)</f>
        <v>0.42857142857142855</v>
      </c>
      <c r="J54" s="49">
        <f>AVERAGE('05.08 KOTIDO-KABONG'!J54,'06.08 KOTIDO-KABONG'!J54,'07.08 KOTIDO-KABONG'!J54,'08.08 KABONG-KOTIDO'!J54,'9.08 KOTIDO-KABONG-24h'!J54,'10.08 KOTIDO-KABONG-24h'!J54,'11.08 KITIDO-KABONG'!J54)</f>
        <v>0</v>
      </c>
      <c r="K54" s="49">
        <f>AVERAGE('05.08 KOTIDO-KABONG'!K54,'06.08 KOTIDO-KABONG'!K54,'07.08 KOTIDO-KABONG'!K54,'08.08 KABONG-KOTIDO'!K54,'9.08 KOTIDO-KABONG-24h'!K54,'10.08 KOTIDO-KABONG-24h'!K54,'11.08 KITIDO-KABONG'!K54)</f>
        <v>0</v>
      </c>
      <c r="L54" s="49">
        <f>AVERAGE('05.08 KOTIDO-KABONG'!L54,'06.08 KOTIDO-KABONG'!L54,'07.08 KOTIDO-KABONG'!L54,'08.08 KABONG-KOTIDO'!L54,'9.08 KOTIDO-KABONG-24h'!L54,'10.08 KOTIDO-KABONG-24h'!L54,'11.08 KITIDO-KABONG'!L54)</f>
        <v>0</v>
      </c>
      <c r="M54" s="49">
        <f>AVERAGE('05.08 KOTIDO-KABONG'!M54,'06.08 KOTIDO-KABONG'!M54,'07.08 KOTIDO-KABONG'!M54,'08.08 KABONG-KOTIDO'!M54,'9.08 KOTIDO-KABONG-24h'!M54,'10.08 KOTIDO-KABONG-24h'!M54,'11.08 KITIDO-KABONG'!M54)</f>
        <v>1</v>
      </c>
      <c r="N54" s="49">
        <f>AVERAGE('05.08 KOTIDO-KABONG'!N54,'06.08 KOTIDO-KABONG'!N54,'07.08 KOTIDO-KABONG'!N54,'08.08 KABONG-KOTIDO'!N54,'9.08 KOTIDO-KABONG-24h'!N54,'10.08 KOTIDO-KABONG-24h'!N54,'11.08 KITIDO-KABONG'!N54)</f>
        <v>0</v>
      </c>
      <c r="O54" s="15">
        <f t="shared" si="0"/>
        <v>0.8571428571428571</v>
      </c>
      <c r="P54" s="15">
        <f t="shared" si="1"/>
        <v>1.8571428571428572</v>
      </c>
      <c r="R54" s="8"/>
      <c r="T54"/>
    </row>
    <row r="55" spans="2:20" ht="23.1" customHeight="1" x14ac:dyDescent="0.25">
      <c r="B55" s="23" t="s">
        <v>82</v>
      </c>
      <c r="C55" s="49">
        <f>AVERAGE('05.08 KOTIDO-KABONG'!C55,'06.08 KOTIDO-KABONG'!C55,'07.08 KOTIDO-KABONG'!C55,'08.08 KABONG-KOTIDO'!C55,'9.08 KOTIDO-KABONG-24h'!C55,'10.08 KOTIDO-KABONG-24h'!C55,'11.08 KITIDO-KABONG'!C55)</f>
        <v>0</v>
      </c>
      <c r="D55" s="49">
        <f>AVERAGE('05.08 KOTIDO-KABONG'!D55,'06.08 KOTIDO-KABONG'!D55,'07.08 KOTIDO-KABONG'!D55,'08.08 KABONG-KOTIDO'!D55,'9.08 KOTIDO-KABONG-24h'!D55,'10.08 KOTIDO-KABONG-24h'!D55,'11.08 KITIDO-KABONG'!D55)</f>
        <v>0.5714285714285714</v>
      </c>
      <c r="E55" s="49">
        <f>AVERAGE('05.08 KOTIDO-KABONG'!E55,'06.08 KOTIDO-KABONG'!E55,'07.08 KOTIDO-KABONG'!E55,'08.08 KABONG-KOTIDO'!E55,'9.08 KOTIDO-KABONG-24h'!E55,'10.08 KOTIDO-KABONG-24h'!E55,'11.08 KITIDO-KABONG'!E55)</f>
        <v>0</v>
      </c>
      <c r="F55" s="49">
        <f>AVERAGE('05.08 KOTIDO-KABONG'!F55,'06.08 KOTIDO-KABONG'!F55,'07.08 KOTIDO-KABONG'!F55,'08.08 KABONG-KOTIDO'!F55,'9.08 KOTIDO-KABONG-24h'!F55,'10.08 KOTIDO-KABONG-24h'!F55,'11.08 KITIDO-KABONG'!F55)</f>
        <v>0</v>
      </c>
      <c r="G55" s="49">
        <f>AVERAGE('05.08 KOTIDO-KABONG'!G55,'06.08 KOTIDO-KABONG'!G55,'07.08 KOTIDO-KABONG'!G55,'08.08 KABONG-KOTIDO'!G55,'9.08 KOTIDO-KABONG-24h'!G55,'10.08 KOTIDO-KABONG-24h'!G55,'11.08 KITIDO-KABONG'!G55)</f>
        <v>0</v>
      </c>
      <c r="H55" s="49">
        <f>AVERAGE('05.08 KOTIDO-KABONG'!H55,'06.08 KOTIDO-KABONG'!H55,'07.08 KOTIDO-KABONG'!H55,'08.08 KABONG-KOTIDO'!H55,'9.08 KOTIDO-KABONG-24h'!H55,'10.08 KOTIDO-KABONG-24h'!H55,'11.08 KITIDO-KABONG'!H55)</f>
        <v>0.14285714285714285</v>
      </c>
      <c r="I55" s="49">
        <f>AVERAGE('05.08 KOTIDO-KABONG'!I55,'06.08 KOTIDO-KABONG'!I55,'07.08 KOTIDO-KABONG'!I55,'08.08 KABONG-KOTIDO'!I55,'9.08 KOTIDO-KABONG-24h'!I55,'10.08 KOTIDO-KABONG-24h'!I55,'11.08 KITIDO-KABONG'!I55)</f>
        <v>0</v>
      </c>
      <c r="J55" s="49">
        <f>AVERAGE('05.08 KOTIDO-KABONG'!J55,'06.08 KOTIDO-KABONG'!J55,'07.08 KOTIDO-KABONG'!J55,'08.08 KABONG-KOTIDO'!J55,'9.08 KOTIDO-KABONG-24h'!J55,'10.08 KOTIDO-KABONG-24h'!J55,'11.08 KITIDO-KABONG'!J55)</f>
        <v>0.2857142857142857</v>
      </c>
      <c r="K55" s="49">
        <f>AVERAGE('05.08 KOTIDO-KABONG'!K55,'06.08 KOTIDO-KABONG'!K55,'07.08 KOTIDO-KABONG'!K55,'08.08 KABONG-KOTIDO'!K55,'9.08 KOTIDO-KABONG-24h'!K55,'10.08 KOTIDO-KABONG-24h'!K55,'11.08 KITIDO-KABONG'!K55)</f>
        <v>0</v>
      </c>
      <c r="L55" s="49">
        <f>AVERAGE('05.08 KOTIDO-KABONG'!L55,'06.08 KOTIDO-KABONG'!L55,'07.08 KOTIDO-KABONG'!L55,'08.08 KABONG-KOTIDO'!L55,'9.08 KOTIDO-KABONG-24h'!L55,'10.08 KOTIDO-KABONG-24h'!L55,'11.08 KITIDO-KABONG'!L55)</f>
        <v>0</v>
      </c>
      <c r="M55" s="49">
        <f>AVERAGE('05.08 KOTIDO-KABONG'!M55,'06.08 KOTIDO-KABONG'!M55,'07.08 KOTIDO-KABONG'!M55,'08.08 KABONG-KOTIDO'!M55,'9.08 KOTIDO-KABONG-24h'!M55,'10.08 KOTIDO-KABONG-24h'!M55,'11.08 KITIDO-KABONG'!M55)</f>
        <v>1</v>
      </c>
      <c r="N55" s="49">
        <f>AVERAGE('05.08 KOTIDO-KABONG'!N55,'06.08 KOTIDO-KABONG'!N55,'07.08 KOTIDO-KABONG'!N55,'08.08 KABONG-KOTIDO'!N55,'9.08 KOTIDO-KABONG-24h'!N55,'10.08 KOTIDO-KABONG-24h'!N55,'11.08 KITIDO-KABONG'!N55)</f>
        <v>0</v>
      </c>
      <c r="O55" s="15">
        <f t="shared" si="0"/>
        <v>0.99999999999999989</v>
      </c>
      <c r="P55" s="15">
        <f t="shared" si="1"/>
        <v>2</v>
      </c>
      <c r="R55" s="8"/>
      <c r="T55"/>
    </row>
    <row r="56" spans="2:20" ht="23.1" customHeight="1" x14ac:dyDescent="0.25">
      <c r="B56" s="23" t="s">
        <v>83</v>
      </c>
      <c r="C56" s="49">
        <f>AVERAGE('05.08 KOTIDO-KABONG'!C56,'06.08 KOTIDO-KABONG'!C56,'07.08 KOTIDO-KABONG'!C56,'08.08 KABONG-KOTIDO'!C56,'9.08 KOTIDO-KABONG-24h'!C56,'10.08 KOTIDO-KABONG-24h'!C56,'11.08 KITIDO-KABONG'!C56)</f>
        <v>0.14285714285714285</v>
      </c>
      <c r="D56" s="49">
        <f>AVERAGE('05.08 KOTIDO-KABONG'!D56,'06.08 KOTIDO-KABONG'!D56,'07.08 KOTIDO-KABONG'!D56,'08.08 KABONG-KOTIDO'!D56,'9.08 KOTIDO-KABONG-24h'!D56,'10.08 KOTIDO-KABONG-24h'!D56,'11.08 KITIDO-KABONG'!D56)</f>
        <v>0.14285714285714285</v>
      </c>
      <c r="E56" s="49">
        <f>AVERAGE('05.08 KOTIDO-KABONG'!E56,'06.08 KOTIDO-KABONG'!E56,'07.08 KOTIDO-KABONG'!E56,'08.08 KABONG-KOTIDO'!E56,'9.08 KOTIDO-KABONG-24h'!E56,'10.08 KOTIDO-KABONG-24h'!E56,'11.08 KITIDO-KABONG'!E56)</f>
        <v>0.14285714285714285</v>
      </c>
      <c r="F56" s="49">
        <f>AVERAGE('05.08 KOTIDO-KABONG'!F56,'06.08 KOTIDO-KABONG'!F56,'07.08 KOTIDO-KABONG'!F56,'08.08 KABONG-KOTIDO'!F56,'9.08 KOTIDO-KABONG-24h'!F56,'10.08 KOTIDO-KABONG-24h'!F56,'11.08 KITIDO-KABONG'!F56)</f>
        <v>0</v>
      </c>
      <c r="G56" s="49">
        <f>AVERAGE('05.08 KOTIDO-KABONG'!G56,'06.08 KOTIDO-KABONG'!G56,'07.08 KOTIDO-KABONG'!G56,'08.08 KABONG-KOTIDO'!G56,'9.08 KOTIDO-KABONG-24h'!G56,'10.08 KOTIDO-KABONG-24h'!G56,'11.08 KITIDO-KABONG'!G56)</f>
        <v>0</v>
      </c>
      <c r="H56" s="49">
        <f>AVERAGE('05.08 KOTIDO-KABONG'!H56,'06.08 KOTIDO-KABONG'!H56,'07.08 KOTIDO-KABONG'!H56,'08.08 KABONG-KOTIDO'!H56,'9.08 KOTIDO-KABONG-24h'!H56,'10.08 KOTIDO-KABONG-24h'!H56,'11.08 KITIDO-KABONG'!H56)</f>
        <v>0</v>
      </c>
      <c r="I56" s="49">
        <f>AVERAGE('05.08 KOTIDO-KABONG'!I56,'06.08 KOTIDO-KABONG'!I56,'07.08 KOTIDO-KABONG'!I56,'08.08 KABONG-KOTIDO'!I56,'9.08 KOTIDO-KABONG-24h'!I56,'10.08 KOTIDO-KABONG-24h'!I56,'11.08 KITIDO-KABONG'!I56)</f>
        <v>0.14285714285714285</v>
      </c>
      <c r="J56" s="49">
        <f>AVERAGE('05.08 KOTIDO-KABONG'!J56,'06.08 KOTIDO-KABONG'!J56,'07.08 KOTIDO-KABONG'!J56,'08.08 KABONG-KOTIDO'!J56,'9.08 KOTIDO-KABONG-24h'!J56,'10.08 KOTIDO-KABONG-24h'!J56,'11.08 KITIDO-KABONG'!J56)</f>
        <v>0</v>
      </c>
      <c r="K56" s="49">
        <f>AVERAGE('05.08 KOTIDO-KABONG'!K56,'06.08 KOTIDO-KABONG'!K56,'07.08 KOTIDO-KABONG'!K56,'08.08 KABONG-KOTIDO'!K56,'9.08 KOTIDO-KABONG-24h'!K56,'10.08 KOTIDO-KABONG-24h'!K56,'11.08 KITIDO-KABONG'!K56)</f>
        <v>0</v>
      </c>
      <c r="L56" s="49">
        <f>AVERAGE('05.08 KOTIDO-KABONG'!L56,'06.08 KOTIDO-KABONG'!L56,'07.08 KOTIDO-KABONG'!L56,'08.08 KABONG-KOTIDO'!L56,'9.08 KOTIDO-KABONG-24h'!L56,'10.08 KOTIDO-KABONG-24h'!L56,'11.08 KITIDO-KABONG'!L56)</f>
        <v>0</v>
      </c>
      <c r="M56" s="49">
        <f>AVERAGE('05.08 KOTIDO-KABONG'!M56,'06.08 KOTIDO-KABONG'!M56,'07.08 KOTIDO-KABONG'!M56,'08.08 KABONG-KOTIDO'!M56,'9.08 KOTIDO-KABONG-24h'!M56,'10.08 KOTIDO-KABONG-24h'!M56,'11.08 KITIDO-KABONG'!M56)</f>
        <v>0.5714285714285714</v>
      </c>
      <c r="N56" s="49">
        <f>AVERAGE('05.08 KOTIDO-KABONG'!N56,'06.08 KOTIDO-KABONG'!N56,'07.08 KOTIDO-KABONG'!N56,'08.08 KABONG-KOTIDO'!N56,'9.08 KOTIDO-KABONG-24h'!N56,'10.08 KOTIDO-KABONG-24h'!N56,'11.08 KITIDO-KABONG'!N56)</f>
        <v>0</v>
      </c>
      <c r="O56" s="15">
        <f t="shared" si="0"/>
        <v>0.5714285714285714</v>
      </c>
      <c r="P56" s="15">
        <f t="shared" si="1"/>
        <v>1.1428571428571428</v>
      </c>
      <c r="R56" s="8"/>
      <c r="T56"/>
    </row>
    <row r="57" spans="2:20" ht="23.1" customHeight="1" x14ac:dyDescent="0.25">
      <c r="B57" s="23" t="s">
        <v>84</v>
      </c>
      <c r="C57" s="49">
        <f>AVERAGE('05.08 KOTIDO-KABONG'!C57,'06.08 KOTIDO-KABONG'!C57,'07.08 KOTIDO-KABONG'!C57,'08.08 KABONG-KOTIDO'!C57,'9.08 KOTIDO-KABONG-24h'!C57,'10.08 KOTIDO-KABONG-24h'!C57,'11.08 KITIDO-KABONG'!C57)</f>
        <v>0.14285714285714285</v>
      </c>
      <c r="D57" s="49">
        <f>AVERAGE('05.08 KOTIDO-KABONG'!D57,'06.08 KOTIDO-KABONG'!D57,'07.08 KOTIDO-KABONG'!D57,'08.08 KABONG-KOTIDO'!D57,'9.08 KOTIDO-KABONG-24h'!D57,'10.08 KOTIDO-KABONG-24h'!D57,'11.08 KITIDO-KABONG'!D57)</f>
        <v>0.2857142857142857</v>
      </c>
      <c r="E57" s="49">
        <f>AVERAGE('05.08 KOTIDO-KABONG'!E57,'06.08 KOTIDO-KABONG'!E57,'07.08 KOTIDO-KABONG'!E57,'08.08 KABONG-KOTIDO'!E57,'9.08 KOTIDO-KABONG-24h'!E57,'10.08 KOTIDO-KABONG-24h'!E57,'11.08 KITIDO-KABONG'!E57)</f>
        <v>0.7142857142857143</v>
      </c>
      <c r="F57" s="49">
        <f>AVERAGE('05.08 KOTIDO-KABONG'!F57,'06.08 KOTIDO-KABONG'!F57,'07.08 KOTIDO-KABONG'!F57,'08.08 KABONG-KOTIDO'!F57,'9.08 KOTIDO-KABONG-24h'!F57,'10.08 KOTIDO-KABONG-24h'!F57,'11.08 KITIDO-KABONG'!F57)</f>
        <v>0</v>
      </c>
      <c r="G57" s="49">
        <f>AVERAGE('05.08 KOTIDO-KABONG'!G57,'06.08 KOTIDO-KABONG'!G57,'07.08 KOTIDO-KABONG'!G57,'08.08 KABONG-KOTIDO'!G57,'9.08 KOTIDO-KABONG-24h'!G57,'10.08 KOTIDO-KABONG-24h'!G57,'11.08 KITIDO-KABONG'!G57)</f>
        <v>0</v>
      </c>
      <c r="H57" s="49">
        <f>AVERAGE('05.08 KOTIDO-KABONG'!H57,'06.08 KOTIDO-KABONG'!H57,'07.08 KOTIDO-KABONG'!H57,'08.08 KABONG-KOTIDO'!H57,'9.08 KOTIDO-KABONG-24h'!H57,'10.08 KOTIDO-KABONG-24h'!H57,'11.08 KITIDO-KABONG'!H57)</f>
        <v>0</v>
      </c>
      <c r="I57" s="49">
        <f>AVERAGE('05.08 KOTIDO-KABONG'!I57,'06.08 KOTIDO-KABONG'!I57,'07.08 KOTIDO-KABONG'!I57,'08.08 KABONG-KOTIDO'!I57,'9.08 KOTIDO-KABONG-24h'!I57,'10.08 KOTIDO-KABONG-24h'!I57,'11.08 KITIDO-KABONG'!I57)</f>
        <v>0</v>
      </c>
      <c r="J57" s="49">
        <f>AVERAGE('05.08 KOTIDO-KABONG'!J57,'06.08 KOTIDO-KABONG'!J57,'07.08 KOTIDO-KABONG'!J57,'08.08 KABONG-KOTIDO'!J57,'9.08 KOTIDO-KABONG-24h'!J57,'10.08 KOTIDO-KABONG-24h'!J57,'11.08 KITIDO-KABONG'!J57)</f>
        <v>0</v>
      </c>
      <c r="K57" s="49">
        <f>AVERAGE('05.08 KOTIDO-KABONG'!K57,'06.08 KOTIDO-KABONG'!K57,'07.08 KOTIDO-KABONG'!K57,'08.08 KABONG-KOTIDO'!K57,'9.08 KOTIDO-KABONG-24h'!K57,'10.08 KOTIDO-KABONG-24h'!K57,'11.08 KITIDO-KABONG'!K57)</f>
        <v>0</v>
      </c>
      <c r="L57" s="49">
        <f>AVERAGE('05.08 KOTIDO-KABONG'!L57,'06.08 KOTIDO-KABONG'!L57,'07.08 KOTIDO-KABONG'!L57,'08.08 KABONG-KOTIDO'!L57,'9.08 KOTIDO-KABONG-24h'!L57,'10.08 KOTIDO-KABONG-24h'!L57,'11.08 KITIDO-KABONG'!L57)</f>
        <v>0</v>
      </c>
      <c r="M57" s="49">
        <f>AVERAGE('05.08 KOTIDO-KABONG'!M57,'06.08 KOTIDO-KABONG'!M57,'07.08 KOTIDO-KABONG'!M57,'08.08 KABONG-KOTIDO'!M57,'9.08 KOTIDO-KABONG-24h'!M57,'10.08 KOTIDO-KABONG-24h'!M57,'11.08 KITIDO-KABONG'!M57)</f>
        <v>0.2857142857142857</v>
      </c>
      <c r="N57" s="49">
        <f>AVERAGE('05.08 KOTIDO-KABONG'!N57,'06.08 KOTIDO-KABONG'!N57,'07.08 KOTIDO-KABONG'!N57,'08.08 KABONG-KOTIDO'!N57,'9.08 KOTIDO-KABONG-24h'!N57,'10.08 KOTIDO-KABONG-24h'!N57,'11.08 KITIDO-KABONG'!N57)</f>
        <v>0</v>
      </c>
      <c r="O57" s="15">
        <f t="shared" si="0"/>
        <v>1.1428571428571428</v>
      </c>
      <c r="P57" s="15">
        <f t="shared" si="1"/>
        <v>1.4285714285714284</v>
      </c>
      <c r="R57" s="8"/>
      <c r="T57"/>
    </row>
    <row r="58" spans="2:20" ht="23.1" customHeight="1" x14ac:dyDescent="0.25">
      <c r="B58" s="23" t="s">
        <v>99</v>
      </c>
      <c r="C58" s="49">
        <f>AVERAGE('9.08 KOTIDO-KABONG-24h'!C58,'10.08 KOTIDO-KABONG-24h'!C58)</f>
        <v>0</v>
      </c>
      <c r="D58" s="49">
        <f>AVERAGE('9.08 KOTIDO-KABONG-24h'!D58,'10.08 KOTIDO-KABONG-24h'!D58)</f>
        <v>0.5</v>
      </c>
      <c r="E58" s="49">
        <f>AVERAGE('9.08 KOTIDO-KABONG-24h'!E58,'10.08 KOTIDO-KABONG-24h'!E58)</f>
        <v>1</v>
      </c>
      <c r="F58" s="49">
        <f>AVERAGE('9.08 KOTIDO-KABONG-24h'!F58,'10.08 KOTIDO-KABONG-24h'!F58)</f>
        <v>0</v>
      </c>
      <c r="G58" s="49">
        <f>AVERAGE('9.08 KOTIDO-KABONG-24h'!G58,'10.08 KOTIDO-KABONG-24h'!G58)</f>
        <v>0</v>
      </c>
      <c r="H58" s="49">
        <f>AVERAGE('9.08 KOTIDO-KABONG-24h'!H58,'10.08 KOTIDO-KABONG-24h'!H58)</f>
        <v>0</v>
      </c>
      <c r="I58" s="49">
        <f>AVERAGE('9.08 KOTIDO-KABONG-24h'!I58,'10.08 KOTIDO-KABONG-24h'!I58)</f>
        <v>0</v>
      </c>
      <c r="J58" s="49">
        <f>AVERAGE('9.08 KOTIDO-KABONG-24h'!J58,'10.08 KOTIDO-KABONG-24h'!J58)</f>
        <v>1</v>
      </c>
      <c r="K58" s="49">
        <f>AVERAGE('9.08 KOTIDO-KABONG-24h'!K58,'10.08 KOTIDO-KABONG-24h'!K58)</f>
        <v>0</v>
      </c>
      <c r="L58" s="49">
        <f>AVERAGE('9.08 KOTIDO-KABONG-24h'!L58,'10.08 KOTIDO-KABONG-24h'!L58)</f>
        <v>0</v>
      </c>
      <c r="M58" s="49">
        <f>AVERAGE('9.08 KOTIDO-KABONG-24h'!M58,'10.08 KOTIDO-KABONG-24h'!M58)</f>
        <v>2.5</v>
      </c>
      <c r="N58" s="49">
        <f>AVERAGE('9.08 KOTIDO-KABONG-24h'!N58,'10.08 KOTIDO-KABONG-24h'!N58)</f>
        <v>0</v>
      </c>
      <c r="O58" s="15">
        <f t="shared" si="0"/>
        <v>2.5</v>
      </c>
      <c r="P58" s="15">
        <f t="shared" si="1"/>
        <v>5</v>
      </c>
      <c r="R58" s="8"/>
      <c r="T58"/>
    </row>
    <row r="59" spans="2:20" ht="23.1" customHeight="1" x14ac:dyDescent="0.25">
      <c r="B59" s="23" t="s">
        <v>100</v>
      </c>
      <c r="C59" s="49">
        <f>AVERAGE('9.08 KOTIDO-KABONG-24h'!C59,'10.08 KOTIDO-KABONG-24h'!C59)</f>
        <v>0</v>
      </c>
      <c r="D59" s="49">
        <f>AVERAGE('9.08 KOTIDO-KABONG-24h'!D59,'10.08 KOTIDO-KABONG-24h'!D59)</f>
        <v>0.5</v>
      </c>
      <c r="E59" s="49">
        <f>AVERAGE('9.08 KOTIDO-KABONG-24h'!E59,'10.08 KOTIDO-KABONG-24h'!E59)</f>
        <v>0</v>
      </c>
      <c r="F59" s="49">
        <f>AVERAGE('9.08 KOTIDO-KABONG-24h'!F59,'10.08 KOTIDO-KABONG-24h'!F59)</f>
        <v>0</v>
      </c>
      <c r="G59" s="49">
        <f>AVERAGE('9.08 KOTIDO-KABONG-24h'!G59,'10.08 KOTIDO-KABONG-24h'!G59)</f>
        <v>0</v>
      </c>
      <c r="H59" s="49">
        <f>AVERAGE('9.08 KOTIDO-KABONG-24h'!H59,'10.08 KOTIDO-KABONG-24h'!H59)</f>
        <v>0</v>
      </c>
      <c r="I59" s="49">
        <f>AVERAGE('9.08 KOTIDO-KABONG-24h'!I59,'10.08 KOTIDO-KABONG-24h'!I59)</f>
        <v>0.5</v>
      </c>
      <c r="J59" s="49">
        <f>AVERAGE('9.08 KOTIDO-KABONG-24h'!J59,'10.08 KOTIDO-KABONG-24h'!J59)</f>
        <v>0</v>
      </c>
      <c r="K59" s="49">
        <f>AVERAGE('9.08 KOTIDO-KABONG-24h'!K59,'10.08 KOTIDO-KABONG-24h'!K59)</f>
        <v>0</v>
      </c>
      <c r="L59" s="49">
        <f>AVERAGE('9.08 KOTIDO-KABONG-24h'!L59,'10.08 KOTIDO-KABONG-24h'!L59)</f>
        <v>0</v>
      </c>
      <c r="M59" s="49">
        <f>AVERAGE('9.08 KOTIDO-KABONG-24h'!M59,'10.08 KOTIDO-KABONG-24h'!M59)</f>
        <v>0</v>
      </c>
      <c r="N59" s="49">
        <f>AVERAGE('9.08 KOTIDO-KABONG-24h'!N59,'10.08 KOTIDO-KABONG-24h'!N59)</f>
        <v>0</v>
      </c>
      <c r="O59" s="15">
        <f t="shared" si="0"/>
        <v>1</v>
      </c>
      <c r="P59" s="15">
        <f t="shared" si="1"/>
        <v>1</v>
      </c>
      <c r="R59" s="8"/>
      <c r="T59"/>
    </row>
    <row r="60" spans="2:20" ht="23.1" customHeight="1" x14ac:dyDescent="0.25">
      <c r="B60" s="23" t="s">
        <v>101</v>
      </c>
      <c r="C60" s="49">
        <f>AVERAGE('9.08 KOTIDO-KABONG-24h'!C60,'10.08 KOTIDO-KABONG-24h'!C60)</f>
        <v>0</v>
      </c>
      <c r="D60" s="49">
        <f>AVERAGE('9.08 KOTIDO-KABONG-24h'!D60,'10.08 KOTIDO-KABONG-24h'!D60)</f>
        <v>0</v>
      </c>
      <c r="E60" s="49">
        <f>AVERAGE('9.08 KOTIDO-KABONG-24h'!E60,'10.08 KOTIDO-KABONG-24h'!E60)</f>
        <v>1</v>
      </c>
      <c r="F60" s="49">
        <f>AVERAGE('9.08 KOTIDO-KABONG-24h'!F60,'10.08 KOTIDO-KABONG-24h'!F60)</f>
        <v>0</v>
      </c>
      <c r="G60" s="49">
        <f>AVERAGE('9.08 KOTIDO-KABONG-24h'!G60,'10.08 KOTIDO-KABONG-24h'!G60)</f>
        <v>0</v>
      </c>
      <c r="H60" s="49">
        <f>AVERAGE('9.08 KOTIDO-KABONG-24h'!H60,'10.08 KOTIDO-KABONG-24h'!H60)</f>
        <v>0</v>
      </c>
      <c r="I60" s="49">
        <f>AVERAGE('9.08 KOTIDO-KABONG-24h'!I60,'10.08 KOTIDO-KABONG-24h'!I60)</f>
        <v>0</v>
      </c>
      <c r="J60" s="49">
        <f>AVERAGE('9.08 KOTIDO-KABONG-24h'!J60,'10.08 KOTIDO-KABONG-24h'!J60)</f>
        <v>0</v>
      </c>
      <c r="K60" s="49">
        <f>AVERAGE('9.08 KOTIDO-KABONG-24h'!K60,'10.08 KOTIDO-KABONG-24h'!K60)</f>
        <v>0</v>
      </c>
      <c r="L60" s="49">
        <f>AVERAGE('9.08 KOTIDO-KABONG-24h'!L60,'10.08 KOTIDO-KABONG-24h'!L60)</f>
        <v>0</v>
      </c>
      <c r="M60" s="49">
        <f>AVERAGE('9.08 KOTIDO-KABONG-24h'!M60,'10.08 KOTIDO-KABONG-24h'!M60)</f>
        <v>1</v>
      </c>
      <c r="N60" s="49">
        <f>AVERAGE('9.08 KOTIDO-KABONG-24h'!N60,'10.08 KOTIDO-KABONG-24h'!N60)</f>
        <v>0</v>
      </c>
      <c r="O60" s="15">
        <f t="shared" si="0"/>
        <v>1</v>
      </c>
      <c r="P60" s="15">
        <f t="shared" si="1"/>
        <v>2</v>
      </c>
      <c r="R60" s="8"/>
      <c r="T60"/>
    </row>
    <row r="61" spans="2:20" ht="23.1" customHeight="1" x14ac:dyDescent="0.25">
      <c r="B61" s="23" t="s">
        <v>102</v>
      </c>
      <c r="C61" s="49">
        <f>AVERAGE('9.08 KOTIDO-KABONG-24h'!C61,'10.08 KOTIDO-KABONG-24h'!C61)</f>
        <v>0</v>
      </c>
      <c r="D61" s="49">
        <f>AVERAGE('9.08 KOTIDO-KABONG-24h'!D61,'10.08 KOTIDO-KABONG-24h'!D61)</f>
        <v>1</v>
      </c>
      <c r="E61" s="49">
        <f>AVERAGE('9.08 KOTIDO-KABONG-24h'!E61,'10.08 KOTIDO-KABONG-24h'!E61)</f>
        <v>0</v>
      </c>
      <c r="F61" s="49">
        <f>AVERAGE('9.08 KOTIDO-KABONG-24h'!F61,'10.08 KOTIDO-KABONG-24h'!F61)</f>
        <v>0</v>
      </c>
      <c r="G61" s="49">
        <f>AVERAGE('9.08 KOTIDO-KABONG-24h'!G61,'10.08 KOTIDO-KABONG-24h'!G61)</f>
        <v>0</v>
      </c>
      <c r="H61" s="49">
        <f>AVERAGE('9.08 KOTIDO-KABONG-24h'!H61,'10.08 KOTIDO-KABONG-24h'!H61)</f>
        <v>0</v>
      </c>
      <c r="I61" s="49">
        <f>AVERAGE('9.08 KOTIDO-KABONG-24h'!I61,'10.08 KOTIDO-KABONG-24h'!I61)</f>
        <v>0</v>
      </c>
      <c r="J61" s="49">
        <f>AVERAGE('9.08 KOTIDO-KABONG-24h'!J61,'10.08 KOTIDO-KABONG-24h'!J61)</f>
        <v>0</v>
      </c>
      <c r="K61" s="49">
        <f>AVERAGE('9.08 KOTIDO-KABONG-24h'!K61,'10.08 KOTIDO-KABONG-24h'!K61)</f>
        <v>0</v>
      </c>
      <c r="L61" s="49">
        <f>AVERAGE('9.08 KOTIDO-KABONG-24h'!L61,'10.08 KOTIDO-KABONG-24h'!L61)</f>
        <v>0</v>
      </c>
      <c r="M61" s="49">
        <f>AVERAGE('9.08 KOTIDO-KABONG-24h'!M61,'10.08 KOTIDO-KABONG-24h'!M61)</f>
        <v>0</v>
      </c>
      <c r="N61" s="49">
        <f>AVERAGE('9.08 KOTIDO-KABONG-24h'!N61,'10.08 KOTIDO-KABONG-24h'!N61)</f>
        <v>0</v>
      </c>
      <c r="O61" s="15">
        <f t="shared" si="0"/>
        <v>1</v>
      </c>
      <c r="P61" s="15">
        <f t="shared" si="1"/>
        <v>1</v>
      </c>
      <c r="R61" s="8"/>
      <c r="T61"/>
    </row>
    <row r="62" spans="2:20" ht="23.1" customHeight="1" x14ac:dyDescent="0.25">
      <c r="B62" s="23" t="s">
        <v>107</v>
      </c>
      <c r="C62" s="49">
        <f>AVERAGE('9.08 KOTIDO-KABONG-24h'!C62,'10.08 KOTIDO-KABONG-24h'!C62)</f>
        <v>0</v>
      </c>
      <c r="D62" s="49">
        <f>AVERAGE('9.08 KOTIDO-KABONG-24h'!D62,'10.08 KOTIDO-KABONG-24h'!D62)</f>
        <v>0</v>
      </c>
      <c r="E62" s="49">
        <f>AVERAGE('9.08 KOTIDO-KABONG-24h'!E62,'10.08 KOTIDO-KABONG-24h'!E62)</f>
        <v>1</v>
      </c>
      <c r="F62" s="49">
        <f>AVERAGE('9.08 KOTIDO-KABONG-24h'!F62,'10.08 KOTIDO-KABONG-24h'!F62)</f>
        <v>0</v>
      </c>
      <c r="G62" s="49">
        <f>AVERAGE('9.08 KOTIDO-KABONG-24h'!G62,'10.08 KOTIDO-KABONG-24h'!G62)</f>
        <v>0</v>
      </c>
      <c r="H62" s="49">
        <f>AVERAGE('9.08 KOTIDO-KABONG-24h'!H62,'10.08 KOTIDO-KABONG-24h'!H62)</f>
        <v>0</v>
      </c>
      <c r="I62" s="49">
        <f>AVERAGE('9.08 KOTIDO-KABONG-24h'!I62,'10.08 KOTIDO-KABONG-24h'!I62)</f>
        <v>1</v>
      </c>
      <c r="J62" s="49">
        <f>AVERAGE('9.08 KOTIDO-KABONG-24h'!J62,'10.08 KOTIDO-KABONG-24h'!J62)</f>
        <v>0</v>
      </c>
      <c r="K62" s="49">
        <f>AVERAGE('9.08 KOTIDO-KABONG-24h'!K62,'10.08 KOTIDO-KABONG-24h'!K62)</f>
        <v>0</v>
      </c>
      <c r="L62" s="49">
        <f>AVERAGE('9.08 KOTIDO-KABONG-24h'!L62,'10.08 KOTIDO-KABONG-24h'!L62)</f>
        <v>0</v>
      </c>
      <c r="M62" s="49">
        <f>AVERAGE('9.08 KOTIDO-KABONG-24h'!M62,'10.08 KOTIDO-KABONG-24h'!M62)</f>
        <v>1</v>
      </c>
      <c r="N62" s="49">
        <f>AVERAGE('9.08 KOTIDO-KABONG-24h'!N62,'10.08 KOTIDO-KABONG-24h'!N62)</f>
        <v>0</v>
      </c>
      <c r="O62" s="15">
        <f t="shared" si="0"/>
        <v>2</v>
      </c>
      <c r="P62" s="15">
        <f t="shared" si="1"/>
        <v>3</v>
      </c>
      <c r="R62" s="8"/>
      <c r="T62"/>
    </row>
    <row r="63" spans="2:20" ht="23.1" customHeight="1" x14ac:dyDescent="0.25">
      <c r="B63" s="23" t="s">
        <v>108</v>
      </c>
      <c r="C63" s="49">
        <f>AVERAGE('9.08 KOTIDO-KABONG-24h'!C63,'10.08 KOTIDO-KABONG-24h'!C63)</f>
        <v>0</v>
      </c>
      <c r="D63" s="49">
        <f>AVERAGE('9.08 KOTIDO-KABONG-24h'!D63,'10.08 KOTIDO-KABONG-24h'!D63)</f>
        <v>0</v>
      </c>
      <c r="E63" s="49">
        <f>AVERAGE('9.08 KOTIDO-KABONG-24h'!E63,'10.08 KOTIDO-KABONG-24h'!E63)</f>
        <v>0</v>
      </c>
      <c r="F63" s="49">
        <f>AVERAGE('9.08 KOTIDO-KABONG-24h'!F63,'10.08 KOTIDO-KABONG-24h'!F63)</f>
        <v>0</v>
      </c>
      <c r="G63" s="49">
        <f>AVERAGE('9.08 KOTIDO-KABONG-24h'!G63,'10.08 KOTIDO-KABONG-24h'!G63)</f>
        <v>0</v>
      </c>
      <c r="H63" s="49">
        <f>AVERAGE('9.08 KOTIDO-KABONG-24h'!H63,'10.08 KOTIDO-KABONG-24h'!H63)</f>
        <v>0</v>
      </c>
      <c r="I63" s="49">
        <f>AVERAGE('9.08 KOTIDO-KABONG-24h'!I63,'10.08 KOTIDO-KABONG-24h'!I63)</f>
        <v>0</v>
      </c>
      <c r="J63" s="49">
        <f>AVERAGE('9.08 KOTIDO-KABONG-24h'!J63,'10.08 KOTIDO-KABONG-24h'!J63)</f>
        <v>0</v>
      </c>
      <c r="K63" s="49">
        <f>AVERAGE('9.08 KOTIDO-KABONG-24h'!K63,'10.08 KOTIDO-KABONG-24h'!K63)</f>
        <v>0</v>
      </c>
      <c r="L63" s="49">
        <f>AVERAGE('9.08 KOTIDO-KABONG-24h'!L63,'10.08 KOTIDO-KABONG-24h'!L63)</f>
        <v>0</v>
      </c>
      <c r="M63" s="49">
        <f>AVERAGE('9.08 KOTIDO-KABONG-24h'!M63,'10.08 KOTIDO-KABONG-24h'!M63)</f>
        <v>1.5</v>
      </c>
      <c r="N63" s="49">
        <f>AVERAGE('9.08 KOTIDO-KABONG-24h'!N63,'10.08 KOTIDO-KABONG-24h'!N63)</f>
        <v>0</v>
      </c>
      <c r="O63" s="15">
        <f t="shared" si="0"/>
        <v>0</v>
      </c>
      <c r="P63" s="15">
        <f t="shared" si="1"/>
        <v>1.5</v>
      </c>
      <c r="R63" s="8"/>
      <c r="T63"/>
    </row>
    <row r="64" spans="2:20" ht="23.1" customHeight="1" x14ac:dyDescent="0.25">
      <c r="B64" s="23" t="s">
        <v>109</v>
      </c>
      <c r="C64" s="49">
        <f>AVERAGE('9.08 KOTIDO-KABONG-24h'!C64,'10.08 KOTIDO-KABONG-24h'!C64)</f>
        <v>0</v>
      </c>
      <c r="D64" s="49">
        <f>AVERAGE('9.08 KOTIDO-KABONG-24h'!D64,'10.08 KOTIDO-KABONG-24h'!D64)</f>
        <v>0</v>
      </c>
      <c r="E64" s="49">
        <f>AVERAGE('9.08 KOTIDO-KABONG-24h'!E64,'10.08 KOTIDO-KABONG-24h'!E64)</f>
        <v>0</v>
      </c>
      <c r="F64" s="49">
        <f>AVERAGE('9.08 KOTIDO-KABONG-24h'!F64,'10.08 KOTIDO-KABONG-24h'!F64)</f>
        <v>0</v>
      </c>
      <c r="G64" s="49">
        <f>AVERAGE('9.08 KOTIDO-KABONG-24h'!G64,'10.08 KOTIDO-KABONG-24h'!G64)</f>
        <v>0</v>
      </c>
      <c r="H64" s="49">
        <f>AVERAGE('9.08 KOTIDO-KABONG-24h'!H64,'10.08 KOTIDO-KABONG-24h'!H64)</f>
        <v>0</v>
      </c>
      <c r="I64" s="49">
        <f>AVERAGE('9.08 KOTIDO-KABONG-24h'!I64,'10.08 KOTIDO-KABONG-24h'!I64)</f>
        <v>0</v>
      </c>
      <c r="J64" s="49">
        <f>AVERAGE('9.08 KOTIDO-KABONG-24h'!J64,'10.08 KOTIDO-KABONG-24h'!J64)</f>
        <v>0</v>
      </c>
      <c r="K64" s="49">
        <f>AVERAGE('9.08 KOTIDO-KABONG-24h'!K64,'10.08 KOTIDO-KABONG-24h'!K64)</f>
        <v>0</v>
      </c>
      <c r="L64" s="49">
        <f>AVERAGE('9.08 KOTIDO-KABONG-24h'!L64,'10.08 KOTIDO-KABONG-24h'!L64)</f>
        <v>0</v>
      </c>
      <c r="M64" s="49">
        <f>AVERAGE('9.08 KOTIDO-KABONG-24h'!M64,'10.08 KOTIDO-KABONG-24h'!M64)</f>
        <v>0.5</v>
      </c>
      <c r="N64" s="49">
        <f>AVERAGE('9.08 KOTIDO-KABONG-24h'!N64,'10.08 KOTIDO-KABONG-24h'!N64)</f>
        <v>0</v>
      </c>
      <c r="O64" s="15">
        <f t="shared" si="0"/>
        <v>0</v>
      </c>
      <c r="P64" s="15">
        <f t="shared" si="1"/>
        <v>0.5</v>
      </c>
      <c r="R64" s="8"/>
      <c r="T64"/>
    </row>
    <row r="65" spans="2:20" ht="23.1" customHeight="1" x14ac:dyDescent="0.25">
      <c r="B65" s="23" t="s">
        <v>158</v>
      </c>
      <c r="C65" s="49">
        <f>AVERAGE('9.08 KOTIDO-KABONG-24h'!C65,'10.08 KOTIDO-KABONG-24h'!C65)</f>
        <v>0</v>
      </c>
      <c r="D65" s="49">
        <f>AVERAGE('9.08 KOTIDO-KABONG-24h'!D65,'10.08 KOTIDO-KABONG-24h'!D65)</f>
        <v>1</v>
      </c>
      <c r="E65" s="49">
        <f>AVERAGE('9.08 KOTIDO-KABONG-24h'!E65,'10.08 KOTIDO-KABONG-24h'!E65)</f>
        <v>1.5</v>
      </c>
      <c r="F65" s="49">
        <f>AVERAGE('9.08 KOTIDO-KABONG-24h'!F65,'10.08 KOTIDO-KABONG-24h'!F65)</f>
        <v>0</v>
      </c>
      <c r="G65" s="49">
        <f>AVERAGE('9.08 KOTIDO-KABONG-24h'!G65,'10.08 KOTIDO-KABONG-24h'!G65)</f>
        <v>0</v>
      </c>
      <c r="H65" s="49">
        <f>AVERAGE('9.08 KOTIDO-KABONG-24h'!H65,'10.08 KOTIDO-KABONG-24h'!H65)</f>
        <v>0</v>
      </c>
      <c r="I65" s="49">
        <f>AVERAGE('9.08 KOTIDO-KABONG-24h'!I65,'10.08 KOTIDO-KABONG-24h'!I65)</f>
        <v>0.5</v>
      </c>
      <c r="J65" s="49">
        <f>AVERAGE('9.08 KOTIDO-KABONG-24h'!J65,'10.08 KOTIDO-KABONG-24h'!J65)</f>
        <v>2</v>
      </c>
      <c r="K65" s="49">
        <f>AVERAGE('9.08 KOTIDO-KABONG-24h'!K65,'10.08 KOTIDO-KABONG-24h'!K65)</f>
        <v>0</v>
      </c>
      <c r="L65" s="49">
        <f>AVERAGE('9.08 KOTIDO-KABONG-24h'!L65,'10.08 KOTIDO-KABONG-24h'!L65)</f>
        <v>0</v>
      </c>
      <c r="M65" s="49">
        <f>AVERAGE('9.08 KOTIDO-KABONG-24h'!M65,'10.08 KOTIDO-KABONG-24h'!M65)</f>
        <v>0</v>
      </c>
      <c r="N65" s="49">
        <f>AVERAGE('9.08 KOTIDO-KABONG-24h'!N65,'10.08 KOTIDO-KABONG-24h'!N65)</f>
        <v>0</v>
      </c>
      <c r="O65" s="15">
        <f t="shared" si="0"/>
        <v>5</v>
      </c>
      <c r="P65" s="15">
        <f t="shared" si="1"/>
        <v>5</v>
      </c>
      <c r="R65" s="8"/>
      <c r="T65"/>
    </row>
    <row r="66" spans="2:20" ht="23.1" customHeight="1" x14ac:dyDescent="0.25">
      <c r="B66" s="23" t="s">
        <v>103</v>
      </c>
      <c r="C66" s="49">
        <f>AVERAGE('9.08 KOTIDO-KABONG-24h'!C66,'10.08 KOTIDO-KABONG-24h'!C66)</f>
        <v>0</v>
      </c>
      <c r="D66" s="49">
        <f>AVERAGE('9.08 KOTIDO-KABONG-24h'!D66,'10.08 KOTIDO-KABONG-24h'!D66)</f>
        <v>0</v>
      </c>
      <c r="E66" s="49">
        <f>AVERAGE('9.08 KOTIDO-KABONG-24h'!E66,'10.08 KOTIDO-KABONG-24h'!E66)</f>
        <v>0</v>
      </c>
      <c r="F66" s="49">
        <f>AVERAGE('9.08 KOTIDO-KABONG-24h'!F66,'10.08 KOTIDO-KABONG-24h'!F66)</f>
        <v>0</v>
      </c>
      <c r="G66" s="49">
        <f>AVERAGE('9.08 KOTIDO-KABONG-24h'!G66,'10.08 KOTIDO-KABONG-24h'!G66)</f>
        <v>0</v>
      </c>
      <c r="H66" s="49">
        <f>AVERAGE('9.08 KOTIDO-KABONG-24h'!H66,'10.08 KOTIDO-KABONG-24h'!H66)</f>
        <v>0</v>
      </c>
      <c r="I66" s="49">
        <f>AVERAGE('9.08 KOTIDO-KABONG-24h'!I66,'10.08 KOTIDO-KABONG-24h'!I66)</f>
        <v>0</v>
      </c>
      <c r="J66" s="49">
        <f>AVERAGE('9.08 KOTIDO-KABONG-24h'!J66,'10.08 KOTIDO-KABONG-24h'!J66)</f>
        <v>0.5</v>
      </c>
      <c r="K66" s="49">
        <f>AVERAGE('9.08 KOTIDO-KABONG-24h'!K66,'10.08 KOTIDO-KABONG-24h'!K66)</f>
        <v>0</v>
      </c>
      <c r="L66" s="49">
        <f>AVERAGE('9.08 KOTIDO-KABONG-24h'!L66,'10.08 KOTIDO-KABONG-24h'!L66)</f>
        <v>0</v>
      </c>
      <c r="M66" s="49">
        <f>AVERAGE('9.08 KOTIDO-KABONG-24h'!M66,'10.08 KOTIDO-KABONG-24h'!M66)</f>
        <v>2</v>
      </c>
      <c r="N66" s="49">
        <f>AVERAGE('9.08 KOTIDO-KABONG-24h'!N66,'10.08 KOTIDO-KABONG-24h'!N66)</f>
        <v>0</v>
      </c>
      <c r="O66" s="15">
        <f t="shared" si="0"/>
        <v>0.5</v>
      </c>
      <c r="P66" s="15">
        <f t="shared" si="1"/>
        <v>2.5</v>
      </c>
      <c r="R66" s="8"/>
      <c r="T66"/>
    </row>
    <row r="67" spans="2:20" ht="23.1" customHeight="1" x14ac:dyDescent="0.25">
      <c r="B67" s="23" t="s">
        <v>104</v>
      </c>
      <c r="C67" s="49">
        <f>AVERAGE('9.08 KOTIDO-KABONG-24h'!C67,'10.08 KOTIDO-KABONG-24h'!C67)</f>
        <v>0</v>
      </c>
      <c r="D67" s="49">
        <f>AVERAGE('9.08 KOTIDO-KABONG-24h'!D67,'10.08 KOTIDO-KABONG-24h'!D67)</f>
        <v>1</v>
      </c>
      <c r="E67" s="49">
        <f>AVERAGE('9.08 KOTIDO-KABONG-24h'!E67,'10.08 KOTIDO-KABONG-24h'!E67)</f>
        <v>0.5</v>
      </c>
      <c r="F67" s="49">
        <f>AVERAGE('9.08 KOTIDO-KABONG-24h'!F67,'10.08 KOTIDO-KABONG-24h'!F67)</f>
        <v>0</v>
      </c>
      <c r="G67" s="49">
        <f>AVERAGE('9.08 KOTIDO-KABONG-24h'!G67,'10.08 KOTIDO-KABONG-24h'!G67)</f>
        <v>0</v>
      </c>
      <c r="H67" s="49">
        <f>AVERAGE('9.08 KOTIDO-KABONG-24h'!H67,'10.08 KOTIDO-KABONG-24h'!H67)</f>
        <v>0</v>
      </c>
      <c r="I67" s="49">
        <f>AVERAGE('9.08 KOTIDO-KABONG-24h'!I67,'10.08 KOTIDO-KABONG-24h'!I67)</f>
        <v>0.5</v>
      </c>
      <c r="J67" s="49">
        <f>AVERAGE('9.08 KOTIDO-KABONG-24h'!J67,'10.08 KOTIDO-KABONG-24h'!J67)</f>
        <v>0</v>
      </c>
      <c r="K67" s="49">
        <f>AVERAGE('9.08 KOTIDO-KABONG-24h'!K67,'10.08 KOTIDO-KABONG-24h'!K67)</f>
        <v>0</v>
      </c>
      <c r="L67" s="49">
        <f>AVERAGE('9.08 KOTIDO-KABONG-24h'!L67,'10.08 KOTIDO-KABONG-24h'!L67)</f>
        <v>0</v>
      </c>
      <c r="M67" s="49">
        <f>AVERAGE('9.08 KOTIDO-KABONG-24h'!M67,'10.08 KOTIDO-KABONG-24h'!M67)</f>
        <v>1.5</v>
      </c>
      <c r="N67" s="49">
        <f>AVERAGE('9.08 KOTIDO-KABONG-24h'!N67,'10.08 KOTIDO-KABONG-24h'!N67)</f>
        <v>0</v>
      </c>
      <c r="O67" s="15">
        <f t="shared" si="0"/>
        <v>2</v>
      </c>
      <c r="P67" s="15">
        <f t="shared" si="1"/>
        <v>3.5</v>
      </c>
      <c r="R67" s="8"/>
      <c r="T67"/>
    </row>
    <row r="68" spans="2:20" ht="23.1" customHeight="1" x14ac:dyDescent="0.25">
      <c r="B68" s="23" t="s">
        <v>105</v>
      </c>
      <c r="C68" s="49">
        <f>AVERAGE('9.08 KOTIDO-KABONG-24h'!C68,'10.08 KOTIDO-KABONG-24h'!C68)</f>
        <v>0</v>
      </c>
      <c r="D68" s="49">
        <f>AVERAGE('9.08 KOTIDO-KABONG-24h'!D68,'10.08 KOTIDO-KABONG-24h'!D68)</f>
        <v>0</v>
      </c>
      <c r="E68" s="49">
        <f>AVERAGE('9.08 KOTIDO-KABONG-24h'!E68,'10.08 KOTIDO-KABONG-24h'!E68)</f>
        <v>0</v>
      </c>
      <c r="F68" s="49">
        <f>AVERAGE('9.08 KOTIDO-KABONG-24h'!F68,'10.08 KOTIDO-KABONG-24h'!F68)</f>
        <v>0</v>
      </c>
      <c r="G68" s="49">
        <f>AVERAGE('9.08 KOTIDO-KABONG-24h'!G68,'10.08 KOTIDO-KABONG-24h'!G68)</f>
        <v>0</v>
      </c>
      <c r="H68" s="49">
        <f>AVERAGE('9.08 KOTIDO-KABONG-24h'!H68,'10.08 KOTIDO-KABONG-24h'!H68)</f>
        <v>0</v>
      </c>
      <c r="I68" s="49">
        <f>AVERAGE('9.08 KOTIDO-KABONG-24h'!I68,'10.08 KOTIDO-KABONG-24h'!I68)</f>
        <v>0</v>
      </c>
      <c r="J68" s="49">
        <f>AVERAGE('9.08 KOTIDO-KABONG-24h'!J68,'10.08 KOTIDO-KABONG-24h'!J68)</f>
        <v>0</v>
      </c>
      <c r="K68" s="49">
        <f>AVERAGE('9.08 KOTIDO-KABONG-24h'!K68,'10.08 KOTIDO-KABONG-24h'!K68)</f>
        <v>0</v>
      </c>
      <c r="L68" s="49">
        <f>AVERAGE('9.08 KOTIDO-KABONG-24h'!L68,'10.08 KOTIDO-KABONG-24h'!L68)</f>
        <v>0</v>
      </c>
      <c r="M68" s="49">
        <f>AVERAGE('9.08 KOTIDO-KABONG-24h'!M68,'10.08 KOTIDO-KABONG-24h'!M68)</f>
        <v>1</v>
      </c>
      <c r="N68" s="49">
        <f>AVERAGE('9.08 KOTIDO-KABONG-24h'!N68,'10.08 KOTIDO-KABONG-24h'!N68)</f>
        <v>0</v>
      </c>
      <c r="O68" s="15">
        <f t="shared" si="0"/>
        <v>0</v>
      </c>
      <c r="P68" s="15">
        <f t="shared" si="1"/>
        <v>1</v>
      </c>
      <c r="R68" s="8"/>
      <c r="T68"/>
    </row>
    <row r="69" spans="2:20" ht="23.1" customHeight="1" x14ac:dyDescent="0.25">
      <c r="B69" s="23" t="s">
        <v>106</v>
      </c>
      <c r="C69" s="49">
        <f>AVERAGE('9.08 KOTIDO-KABONG-24h'!C69,'10.08 KOTIDO-KABONG-24h'!C69)</f>
        <v>0</v>
      </c>
      <c r="D69" s="49">
        <f>AVERAGE('9.08 KOTIDO-KABONG-24h'!D69,'10.08 KOTIDO-KABONG-24h'!D69)</f>
        <v>0.5</v>
      </c>
      <c r="E69" s="49">
        <f>AVERAGE('9.08 KOTIDO-KABONG-24h'!E69,'10.08 KOTIDO-KABONG-24h'!E69)</f>
        <v>0</v>
      </c>
      <c r="F69" s="49">
        <f>AVERAGE('9.08 KOTIDO-KABONG-24h'!F69,'10.08 KOTIDO-KABONG-24h'!F69)</f>
        <v>0</v>
      </c>
      <c r="G69" s="49">
        <f>AVERAGE('9.08 KOTIDO-KABONG-24h'!G69,'10.08 KOTIDO-KABONG-24h'!G69)</f>
        <v>0</v>
      </c>
      <c r="H69" s="49">
        <f>AVERAGE('9.08 KOTIDO-KABONG-24h'!H69,'10.08 KOTIDO-KABONG-24h'!H69)</f>
        <v>0</v>
      </c>
      <c r="I69" s="49">
        <f>AVERAGE('9.08 KOTIDO-KABONG-24h'!I69,'10.08 KOTIDO-KABONG-24h'!I69)</f>
        <v>0</v>
      </c>
      <c r="J69" s="49">
        <f>AVERAGE('9.08 KOTIDO-KABONG-24h'!J69,'10.08 KOTIDO-KABONG-24h'!J69)</f>
        <v>0</v>
      </c>
      <c r="K69" s="49">
        <f>AVERAGE('9.08 KOTIDO-KABONG-24h'!K69,'10.08 KOTIDO-KABONG-24h'!K69)</f>
        <v>0</v>
      </c>
      <c r="L69" s="49">
        <f>AVERAGE('9.08 KOTIDO-KABONG-24h'!L69,'10.08 KOTIDO-KABONG-24h'!L69)</f>
        <v>0</v>
      </c>
      <c r="M69" s="49">
        <f>AVERAGE('9.08 KOTIDO-KABONG-24h'!M69,'10.08 KOTIDO-KABONG-24h'!M69)</f>
        <v>1</v>
      </c>
      <c r="N69" s="49">
        <f>AVERAGE('9.08 KOTIDO-KABONG-24h'!N69,'10.08 KOTIDO-KABONG-24h'!N69)</f>
        <v>0</v>
      </c>
      <c r="O69" s="15">
        <f t="shared" si="0"/>
        <v>0.5</v>
      </c>
      <c r="P69" s="15">
        <f t="shared" si="1"/>
        <v>1.5</v>
      </c>
      <c r="R69" s="8"/>
      <c r="T69"/>
    </row>
    <row r="70" spans="2:20" ht="23.1" customHeight="1" x14ac:dyDescent="0.25">
      <c r="B70" s="23" t="s">
        <v>110</v>
      </c>
      <c r="C70" s="49">
        <f>AVERAGE('9.08 KOTIDO-KABONG-24h'!C70,'10.08 KOTIDO-KABONG-24h'!C70)</f>
        <v>0</v>
      </c>
      <c r="D70" s="49">
        <f>AVERAGE('9.08 KOTIDO-KABONG-24h'!D70,'10.08 KOTIDO-KABONG-24h'!D70)</f>
        <v>0</v>
      </c>
      <c r="E70" s="49">
        <f>AVERAGE('9.08 KOTIDO-KABONG-24h'!E70,'10.08 KOTIDO-KABONG-24h'!E70)</f>
        <v>0</v>
      </c>
      <c r="F70" s="49">
        <f>AVERAGE('9.08 KOTIDO-KABONG-24h'!F70,'10.08 KOTIDO-KABONG-24h'!F70)</f>
        <v>0</v>
      </c>
      <c r="G70" s="49">
        <f>AVERAGE('9.08 KOTIDO-KABONG-24h'!G70,'10.08 KOTIDO-KABONG-24h'!G70)</f>
        <v>0</v>
      </c>
      <c r="H70" s="49">
        <f>AVERAGE('9.08 KOTIDO-KABONG-24h'!H70,'10.08 KOTIDO-KABONG-24h'!H70)</f>
        <v>0</v>
      </c>
      <c r="I70" s="49">
        <f>AVERAGE('9.08 KOTIDO-KABONG-24h'!I70,'10.08 KOTIDO-KABONG-24h'!I70)</f>
        <v>0</v>
      </c>
      <c r="J70" s="49">
        <f>AVERAGE('9.08 KOTIDO-KABONG-24h'!J70,'10.08 KOTIDO-KABONG-24h'!J70)</f>
        <v>0</v>
      </c>
      <c r="K70" s="49">
        <f>AVERAGE('9.08 KOTIDO-KABONG-24h'!K70,'10.08 KOTIDO-KABONG-24h'!K70)</f>
        <v>0</v>
      </c>
      <c r="L70" s="49">
        <f>AVERAGE('9.08 KOTIDO-KABONG-24h'!L70,'10.08 KOTIDO-KABONG-24h'!L70)</f>
        <v>0</v>
      </c>
      <c r="M70" s="49">
        <f>AVERAGE('9.08 KOTIDO-KABONG-24h'!M70,'10.08 KOTIDO-KABONG-24h'!M70)</f>
        <v>1</v>
      </c>
      <c r="N70" s="49">
        <f>AVERAGE('9.08 KOTIDO-KABONG-24h'!N70,'10.08 KOTIDO-KABONG-24h'!N70)</f>
        <v>0</v>
      </c>
      <c r="O70" s="15">
        <f t="shared" si="0"/>
        <v>0</v>
      </c>
      <c r="P70" s="15">
        <f t="shared" si="1"/>
        <v>1</v>
      </c>
      <c r="R70" s="8"/>
      <c r="T70"/>
    </row>
    <row r="71" spans="2:20" ht="23.1" customHeight="1" x14ac:dyDescent="0.25">
      <c r="B71" s="23" t="s">
        <v>111</v>
      </c>
      <c r="C71" s="49">
        <f>AVERAGE('9.08 KOTIDO-KABONG-24h'!C71,'10.08 KOTIDO-KABONG-24h'!C71)</f>
        <v>0</v>
      </c>
      <c r="D71" s="49">
        <f>AVERAGE('9.08 KOTIDO-KABONG-24h'!D71,'10.08 KOTIDO-KABONG-24h'!D71)</f>
        <v>0</v>
      </c>
      <c r="E71" s="49">
        <f>AVERAGE('9.08 KOTIDO-KABONG-24h'!E71,'10.08 KOTIDO-KABONG-24h'!E71)</f>
        <v>0</v>
      </c>
      <c r="F71" s="49">
        <f>AVERAGE('9.08 KOTIDO-KABONG-24h'!F71,'10.08 KOTIDO-KABONG-24h'!F71)</f>
        <v>0</v>
      </c>
      <c r="G71" s="49">
        <f>AVERAGE('9.08 KOTIDO-KABONG-24h'!G71,'10.08 KOTIDO-KABONG-24h'!G71)</f>
        <v>0</v>
      </c>
      <c r="H71" s="49">
        <f>AVERAGE('9.08 KOTIDO-KABONG-24h'!H71,'10.08 KOTIDO-KABONG-24h'!H71)</f>
        <v>0</v>
      </c>
      <c r="I71" s="49">
        <f>AVERAGE('9.08 KOTIDO-KABONG-24h'!I71,'10.08 KOTIDO-KABONG-24h'!I71)</f>
        <v>0</v>
      </c>
      <c r="J71" s="49">
        <f>AVERAGE('9.08 KOTIDO-KABONG-24h'!J71,'10.08 KOTIDO-KABONG-24h'!J71)</f>
        <v>0</v>
      </c>
      <c r="K71" s="49">
        <f>AVERAGE('9.08 KOTIDO-KABONG-24h'!K71,'10.08 KOTIDO-KABONG-24h'!K71)</f>
        <v>0</v>
      </c>
      <c r="L71" s="49">
        <f>AVERAGE('9.08 KOTIDO-KABONG-24h'!L71,'10.08 KOTIDO-KABONG-24h'!L71)</f>
        <v>0</v>
      </c>
      <c r="M71" s="49">
        <f>AVERAGE('9.08 KOTIDO-KABONG-24h'!M71,'10.08 KOTIDO-KABONG-24h'!M71)</f>
        <v>1</v>
      </c>
      <c r="N71" s="49">
        <f>AVERAGE('9.08 KOTIDO-KABONG-24h'!N71,'10.08 KOTIDO-KABONG-24h'!N71)</f>
        <v>0</v>
      </c>
      <c r="O71" s="15">
        <f t="shared" si="0"/>
        <v>0</v>
      </c>
      <c r="P71" s="15">
        <f t="shared" si="1"/>
        <v>1</v>
      </c>
      <c r="R71" s="8"/>
      <c r="T71"/>
    </row>
    <row r="72" spans="2:20" ht="23.1" customHeight="1" x14ac:dyDescent="0.25">
      <c r="B72" s="23" t="s">
        <v>112</v>
      </c>
      <c r="C72" s="49">
        <f>AVERAGE('9.08 KOTIDO-KABONG-24h'!C72,'10.08 KOTIDO-KABONG-24h'!C72)</f>
        <v>0</v>
      </c>
      <c r="D72" s="49">
        <f>AVERAGE('9.08 KOTIDO-KABONG-24h'!D72,'10.08 KOTIDO-KABONG-24h'!D72)</f>
        <v>0</v>
      </c>
      <c r="E72" s="49">
        <f>AVERAGE('9.08 KOTIDO-KABONG-24h'!E72,'10.08 KOTIDO-KABONG-24h'!E72)</f>
        <v>1</v>
      </c>
      <c r="F72" s="49">
        <f>AVERAGE('9.08 KOTIDO-KABONG-24h'!F72,'10.08 KOTIDO-KABONG-24h'!F72)</f>
        <v>0</v>
      </c>
      <c r="G72" s="49">
        <f>AVERAGE('9.08 KOTIDO-KABONG-24h'!G72,'10.08 KOTIDO-KABONG-24h'!G72)</f>
        <v>0</v>
      </c>
      <c r="H72" s="49">
        <f>AVERAGE('9.08 KOTIDO-KABONG-24h'!H72,'10.08 KOTIDO-KABONG-24h'!H72)</f>
        <v>0</v>
      </c>
      <c r="I72" s="49">
        <f>AVERAGE('9.08 KOTIDO-KABONG-24h'!I72,'10.08 KOTIDO-KABONG-24h'!I72)</f>
        <v>0</v>
      </c>
      <c r="J72" s="49">
        <f>AVERAGE('9.08 KOTIDO-KABONG-24h'!J72,'10.08 KOTIDO-KABONG-24h'!J72)</f>
        <v>0</v>
      </c>
      <c r="K72" s="49">
        <f>AVERAGE('9.08 KOTIDO-KABONG-24h'!K72,'10.08 KOTIDO-KABONG-24h'!K72)</f>
        <v>0</v>
      </c>
      <c r="L72" s="49">
        <f>AVERAGE('9.08 KOTIDO-KABONG-24h'!L72,'10.08 KOTIDO-KABONG-24h'!L72)</f>
        <v>0</v>
      </c>
      <c r="M72" s="49">
        <f>AVERAGE('9.08 KOTIDO-KABONG-24h'!M72,'10.08 KOTIDO-KABONG-24h'!M72)</f>
        <v>0</v>
      </c>
      <c r="N72" s="49">
        <f>AVERAGE('9.08 KOTIDO-KABONG-24h'!N72,'10.08 KOTIDO-KABONG-24h'!N72)</f>
        <v>0</v>
      </c>
      <c r="O72" s="15">
        <f t="shared" si="0"/>
        <v>1</v>
      </c>
      <c r="P72" s="15">
        <f t="shared" si="1"/>
        <v>1</v>
      </c>
      <c r="R72" s="8"/>
      <c r="T72"/>
    </row>
    <row r="73" spans="2:20" ht="23.1" customHeight="1" x14ac:dyDescent="0.25">
      <c r="B73" s="23" t="s">
        <v>113</v>
      </c>
      <c r="C73" s="49">
        <f>AVERAGE('9.08 KOTIDO-KABONG-24h'!C73,'10.08 KOTIDO-KABONG-24h'!C73)</f>
        <v>1</v>
      </c>
      <c r="D73" s="49">
        <f>AVERAGE('9.08 KOTIDO-KABONG-24h'!D73,'10.08 KOTIDO-KABONG-24h'!D73)</f>
        <v>0</v>
      </c>
      <c r="E73" s="49">
        <f>AVERAGE('9.08 KOTIDO-KABONG-24h'!E73,'10.08 KOTIDO-KABONG-24h'!E73)</f>
        <v>0</v>
      </c>
      <c r="F73" s="49">
        <f>AVERAGE('9.08 KOTIDO-KABONG-24h'!F73,'10.08 KOTIDO-KABONG-24h'!F73)</f>
        <v>0</v>
      </c>
      <c r="G73" s="49">
        <f>AVERAGE('9.08 KOTIDO-KABONG-24h'!G73,'10.08 KOTIDO-KABONG-24h'!G73)</f>
        <v>0</v>
      </c>
      <c r="H73" s="49">
        <f>AVERAGE('9.08 KOTIDO-KABONG-24h'!H73,'10.08 KOTIDO-KABONG-24h'!H73)</f>
        <v>0</v>
      </c>
      <c r="I73" s="49">
        <f>AVERAGE('9.08 KOTIDO-KABONG-24h'!I73,'10.08 KOTIDO-KABONG-24h'!I73)</f>
        <v>0</v>
      </c>
      <c r="J73" s="49">
        <f>AVERAGE('9.08 KOTIDO-KABONG-24h'!J73,'10.08 KOTIDO-KABONG-24h'!J73)</f>
        <v>0</v>
      </c>
      <c r="K73" s="49">
        <f>AVERAGE('9.08 KOTIDO-KABONG-24h'!K73,'10.08 KOTIDO-KABONG-24h'!K73)</f>
        <v>0</v>
      </c>
      <c r="L73" s="49">
        <f>AVERAGE('9.08 KOTIDO-KABONG-24h'!L73,'10.08 KOTIDO-KABONG-24h'!L73)</f>
        <v>0</v>
      </c>
      <c r="M73" s="49">
        <f>AVERAGE('9.08 KOTIDO-KABONG-24h'!M73,'10.08 KOTIDO-KABONG-24h'!M73)</f>
        <v>1</v>
      </c>
      <c r="N73" s="49">
        <f>AVERAGE('9.08 KOTIDO-KABONG-24h'!N73,'10.08 KOTIDO-KABONG-24h'!N73)</f>
        <v>0</v>
      </c>
      <c r="O73" s="15">
        <f t="shared" si="0"/>
        <v>1</v>
      </c>
      <c r="P73" s="15">
        <f t="shared" si="1"/>
        <v>2</v>
      </c>
      <c r="R73" s="8"/>
      <c r="T73"/>
    </row>
    <row r="74" spans="2:20" ht="23.1" customHeight="1" x14ac:dyDescent="0.25">
      <c r="B74" s="23" t="s">
        <v>114</v>
      </c>
      <c r="C74" s="49">
        <f>AVERAGE('9.08 KOTIDO-KABONG-24h'!C74,'10.08 KOTIDO-KABONG-24h'!C74)</f>
        <v>0</v>
      </c>
      <c r="D74" s="49">
        <f>AVERAGE('9.08 KOTIDO-KABONG-24h'!D74,'10.08 KOTIDO-KABONG-24h'!D74)</f>
        <v>0</v>
      </c>
      <c r="E74" s="49">
        <f>AVERAGE('9.08 KOTIDO-KABONG-24h'!E74,'10.08 KOTIDO-KABONG-24h'!E74)</f>
        <v>0</v>
      </c>
      <c r="F74" s="49">
        <f>AVERAGE('9.08 KOTIDO-KABONG-24h'!F74,'10.08 KOTIDO-KABONG-24h'!F74)</f>
        <v>0</v>
      </c>
      <c r="G74" s="49">
        <f>AVERAGE('9.08 KOTIDO-KABONG-24h'!G74,'10.08 KOTIDO-KABONG-24h'!G74)</f>
        <v>0</v>
      </c>
      <c r="H74" s="49">
        <f>AVERAGE('9.08 KOTIDO-KABONG-24h'!H74,'10.08 KOTIDO-KABONG-24h'!H74)</f>
        <v>0</v>
      </c>
      <c r="I74" s="49">
        <f>AVERAGE('9.08 KOTIDO-KABONG-24h'!I74,'10.08 KOTIDO-KABONG-24h'!I74)</f>
        <v>0</v>
      </c>
      <c r="J74" s="49">
        <f>AVERAGE('9.08 KOTIDO-KABONG-24h'!J74,'10.08 KOTIDO-KABONG-24h'!J74)</f>
        <v>0</v>
      </c>
      <c r="K74" s="49">
        <f>AVERAGE('9.08 KOTIDO-KABONG-24h'!K74,'10.08 KOTIDO-KABONG-24h'!K74)</f>
        <v>0</v>
      </c>
      <c r="L74" s="49">
        <f>AVERAGE('9.08 KOTIDO-KABONG-24h'!L74,'10.08 KOTIDO-KABONG-24h'!L74)</f>
        <v>0</v>
      </c>
      <c r="M74" s="49">
        <f>AVERAGE('9.08 KOTIDO-KABONG-24h'!M74,'10.08 KOTIDO-KABONG-24h'!M74)</f>
        <v>0</v>
      </c>
      <c r="N74" s="49">
        <f>AVERAGE('9.08 KOTIDO-KABONG-24h'!N74,'10.08 KOTIDO-KABONG-24h'!N74)</f>
        <v>0</v>
      </c>
      <c r="O74" s="15">
        <f t="shared" ref="O74:O105" si="35">SUM(C74:L74,N74)</f>
        <v>0</v>
      </c>
      <c r="P74" s="15">
        <f t="shared" ref="P74:P105" si="36">SUM(C74:N74)</f>
        <v>0</v>
      </c>
      <c r="R74" s="8"/>
      <c r="T74"/>
    </row>
    <row r="75" spans="2:20" ht="23.1" customHeight="1" x14ac:dyDescent="0.25">
      <c r="B75" s="23" t="s">
        <v>115</v>
      </c>
      <c r="C75" s="49">
        <f>AVERAGE('9.08 KOTIDO-KABONG-24h'!C75,'10.08 KOTIDO-KABONG-24h'!C75)</f>
        <v>0</v>
      </c>
      <c r="D75" s="49">
        <f>AVERAGE('9.08 KOTIDO-KABONG-24h'!D75,'10.08 KOTIDO-KABONG-24h'!D75)</f>
        <v>0</v>
      </c>
      <c r="E75" s="49">
        <f>AVERAGE('9.08 KOTIDO-KABONG-24h'!E75,'10.08 KOTIDO-KABONG-24h'!E75)</f>
        <v>0</v>
      </c>
      <c r="F75" s="49">
        <f>AVERAGE('9.08 KOTIDO-KABONG-24h'!F75,'10.08 KOTIDO-KABONG-24h'!F75)</f>
        <v>0</v>
      </c>
      <c r="G75" s="49">
        <f>AVERAGE('9.08 KOTIDO-KABONG-24h'!G75,'10.08 KOTIDO-KABONG-24h'!G75)</f>
        <v>0</v>
      </c>
      <c r="H75" s="49">
        <f>AVERAGE('9.08 KOTIDO-KABONG-24h'!H75,'10.08 KOTIDO-KABONG-24h'!H75)</f>
        <v>0</v>
      </c>
      <c r="I75" s="49">
        <f>AVERAGE('9.08 KOTIDO-KABONG-24h'!I75,'10.08 KOTIDO-KABONG-24h'!I75)</f>
        <v>0</v>
      </c>
      <c r="J75" s="49">
        <f>AVERAGE('9.08 KOTIDO-KABONG-24h'!J75,'10.08 KOTIDO-KABONG-24h'!J75)</f>
        <v>0</v>
      </c>
      <c r="K75" s="49">
        <f>AVERAGE('9.08 KOTIDO-KABONG-24h'!K75,'10.08 KOTIDO-KABONG-24h'!K75)</f>
        <v>0</v>
      </c>
      <c r="L75" s="49">
        <f>AVERAGE('9.08 KOTIDO-KABONG-24h'!L75,'10.08 KOTIDO-KABONG-24h'!L75)</f>
        <v>0</v>
      </c>
      <c r="M75" s="49">
        <f>AVERAGE('9.08 KOTIDO-KABONG-24h'!M75,'10.08 KOTIDO-KABONG-24h'!M75)</f>
        <v>0</v>
      </c>
      <c r="N75" s="49">
        <f>AVERAGE('9.08 KOTIDO-KABONG-24h'!N75,'10.08 KOTIDO-KABONG-24h'!N75)</f>
        <v>0</v>
      </c>
      <c r="O75" s="15">
        <f t="shared" si="35"/>
        <v>0</v>
      </c>
      <c r="P75" s="15">
        <f t="shared" si="36"/>
        <v>0</v>
      </c>
      <c r="R75" s="8"/>
      <c r="T75"/>
    </row>
    <row r="76" spans="2:20" ht="23.1" customHeight="1" x14ac:dyDescent="0.25">
      <c r="B76" s="23" t="s">
        <v>116</v>
      </c>
      <c r="C76" s="49">
        <f>AVERAGE('9.08 KOTIDO-KABONG-24h'!C76,'10.08 KOTIDO-KABONG-24h'!C76)</f>
        <v>0</v>
      </c>
      <c r="D76" s="49">
        <f>AVERAGE('9.08 KOTIDO-KABONG-24h'!D76,'10.08 KOTIDO-KABONG-24h'!D76)</f>
        <v>0</v>
      </c>
      <c r="E76" s="49">
        <f>AVERAGE('9.08 KOTIDO-KABONG-24h'!E76,'10.08 KOTIDO-KABONG-24h'!E76)</f>
        <v>0</v>
      </c>
      <c r="F76" s="49">
        <f>AVERAGE('9.08 KOTIDO-KABONG-24h'!F76,'10.08 KOTIDO-KABONG-24h'!F76)</f>
        <v>0</v>
      </c>
      <c r="G76" s="49">
        <f>AVERAGE('9.08 KOTIDO-KABONG-24h'!G76,'10.08 KOTIDO-KABONG-24h'!G76)</f>
        <v>0</v>
      </c>
      <c r="H76" s="49">
        <f>AVERAGE('9.08 KOTIDO-KABONG-24h'!H76,'10.08 KOTIDO-KABONG-24h'!H76)</f>
        <v>0</v>
      </c>
      <c r="I76" s="49">
        <f>AVERAGE('9.08 KOTIDO-KABONG-24h'!I76,'10.08 KOTIDO-KABONG-24h'!I76)</f>
        <v>0</v>
      </c>
      <c r="J76" s="49">
        <f>AVERAGE('9.08 KOTIDO-KABONG-24h'!J76,'10.08 KOTIDO-KABONG-24h'!J76)</f>
        <v>0</v>
      </c>
      <c r="K76" s="49">
        <f>AVERAGE('9.08 KOTIDO-KABONG-24h'!K76,'10.08 KOTIDO-KABONG-24h'!K76)</f>
        <v>0</v>
      </c>
      <c r="L76" s="49">
        <f>AVERAGE('9.08 KOTIDO-KABONG-24h'!L76,'10.08 KOTIDO-KABONG-24h'!L76)</f>
        <v>0</v>
      </c>
      <c r="M76" s="49">
        <f>AVERAGE('9.08 KOTIDO-KABONG-24h'!M76,'10.08 KOTIDO-KABONG-24h'!M76)</f>
        <v>0</v>
      </c>
      <c r="N76" s="49">
        <f>AVERAGE('9.08 KOTIDO-KABONG-24h'!N76,'10.08 KOTIDO-KABONG-24h'!N76)</f>
        <v>0</v>
      </c>
      <c r="O76" s="15">
        <f t="shared" si="35"/>
        <v>0</v>
      </c>
      <c r="P76" s="15">
        <f t="shared" si="36"/>
        <v>0</v>
      </c>
      <c r="R76" s="8"/>
      <c r="T76"/>
    </row>
    <row r="77" spans="2:20" ht="23.1" customHeight="1" x14ac:dyDescent="0.25">
      <c r="B77" s="23" t="s">
        <v>117</v>
      </c>
      <c r="C77" s="49">
        <f>AVERAGE('9.08 KOTIDO-KABONG-24h'!C77,'10.08 KOTIDO-KABONG-24h'!C77)</f>
        <v>0</v>
      </c>
      <c r="D77" s="49">
        <f>AVERAGE('9.08 KOTIDO-KABONG-24h'!D77,'10.08 KOTIDO-KABONG-24h'!D77)</f>
        <v>1</v>
      </c>
      <c r="E77" s="49">
        <f>AVERAGE('9.08 KOTIDO-KABONG-24h'!E77,'10.08 KOTIDO-KABONG-24h'!E77)</f>
        <v>0</v>
      </c>
      <c r="F77" s="49">
        <f>AVERAGE('9.08 KOTIDO-KABONG-24h'!F77,'10.08 KOTIDO-KABONG-24h'!F77)</f>
        <v>0</v>
      </c>
      <c r="G77" s="49">
        <f>AVERAGE('9.08 KOTIDO-KABONG-24h'!G77,'10.08 KOTIDO-KABONG-24h'!G77)</f>
        <v>0</v>
      </c>
      <c r="H77" s="49">
        <f>AVERAGE('9.08 KOTIDO-KABONG-24h'!H77,'10.08 KOTIDO-KABONG-24h'!H77)</f>
        <v>0</v>
      </c>
      <c r="I77" s="49">
        <f>AVERAGE('9.08 KOTIDO-KABONG-24h'!I77,'10.08 KOTIDO-KABONG-24h'!I77)</f>
        <v>0</v>
      </c>
      <c r="J77" s="49">
        <f>AVERAGE('9.08 KOTIDO-KABONG-24h'!J77,'10.08 KOTIDO-KABONG-24h'!J77)</f>
        <v>0</v>
      </c>
      <c r="K77" s="49">
        <f>AVERAGE('9.08 KOTIDO-KABONG-24h'!K77,'10.08 KOTIDO-KABONG-24h'!K77)</f>
        <v>0</v>
      </c>
      <c r="L77" s="49">
        <f>AVERAGE('9.08 KOTIDO-KABONG-24h'!L77,'10.08 KOTIDO-KABONG-24h'!L77)</f>
        <v>0</v>
      </c>
      <c r="M77" s="49">
        <f>AVERAGE('9.08 KOTIDO-KABONG-24h'!M77,'10.08 KOTIDO-KABONG-24h'!M77)</f>
        <v>1</v>
      </c>
      <c r="N77" s="49">
        <f>AVERAGE('9.08 KOTIDO-KABONG-24h'!N77,'10.08 KOTIDO-KABONG-24h'!N77)</f>
        <v>0</v>
      </c>
      <c r="O77" s="15">
        <f t="shared" si="35"/>
        <v>1</v>
      </c>
      <c r="P77" s="15">
        <f t="shared" si="36"/>
        <v>2</v>
      </c>
      <c r="R77" s="8"/>
      <c r="T77"/>
    </row>
    <row r="78" spans="2:20" ht="23.1" customHeight="1" x14ac:dyDescent="0.25">
      <c r="B78" s="24" t="s">
        <v>118</v>
      </c>
      <c r="C78" s="49">
        <f>AVERAGE('9.08 KOTIDO-KABONG-24h'!C78,'10.08 KOTIDO-KABONG-24h'!C78)</f>
        <v>0</v>
      </c>
      <c r="D78" s="49">
        <f>AVERAGE('9.08 KOTIDO-KABONG-24h'!D78,'10.08 KOTIDO-KABONG-24h'!D78)</f>
        <v>0</v>
      </c>
      <c r="E78" s="49">
        <f>AVERAGE('9.08 KOTIDO-KABONG-24h'!E78,'10.08 KOTIDO-KABONG-24h'!E78)</f>
        <v>0</v>
      </c>
      <c r="F78" s="49">
        <f>AVERAGE('9.08 KOTIDO-KABONG-24h'!F78,'10.08 KOTIDO-KABONG-24h'!F78)</f>
        <v>0</v>
      </c>
      <c r="G78" s="49">
        <f>AVERAGE('9.08 KOTIDO-KABONG-24h'!G78,'10.08 KOTIDO-KABONG-24h'!G78)</f>
        <v>0</v>
      </c>
      <c r="H78" s="49">
        <f>AVERAGE('9.08 KOTIDO-KABONG-24h'!H78,'10.08 KOTIDO-KABONG-24h'!H78)</f>
        <v>0</v>
      </c>
      <c r="I78" s="49">
        <f>AVERAGE('9.08 KOTIDO-KABONG-24h'!I78,'10.08 KOTIDO-KABONG-24h'!I78)</f>
        <v>0</v>
      </c>
      <c r="J78" s="49">
        <f>AVERAGE('9.08 KOTIDO-KABONG-24h'!J78,'10.08 KOTIDO-KABONG-24h'!J78)</f>
        <v>0</v>
      </c>
      <c r="K78" s="49">
        <f>AVERAGE('9.08 KOTIDO-KABONG-24h'!K78,'10.08 KOTIDO-KABONG-24h'!K78)</f>
        <v>0</v>
      </c>
      <c r="L78" s="49">
        <f>AVERAGE('9.08 KOTIDO-KABONG-24h'!L78,'10.08 KOTIDO-KABONG-24h'!L78)</f>
        <v>0</v>
      </c>
      <c r="M78" s="49">
        <f>AVERAGE('9.08 KOTIDO-KABONG-24h'!M78,'10.08 KOTIDO-KABONG-24h'!M78)</f>
        <v>0</v>
      </c>
      <c r="N78" s="49">
        <f>AVERAGE('9.08 KOTIDO-KABONG-24h'!N78,'10.08 KOTIDO-KABONG-24h'!N78)</f>
        <v>0</v>
      </c>
      <c r="O78" s="15">
        <f t="shared" si="35"/>
        <v>0</v>
      </c>
      <c r="P78" s="15">
        <f t="shared" si="36"/>
        <v>0</v>
      </c>
      <c r="R78" s="8"/>
      <c r="T78"/>
    </row>
    <row r="79" spans="2:20" ht="23.1" customHeight="1" x14ac:dyDescent="0.25">
      <c r="B79" s="23" t="s">
        <v>119</v>
      </c>
      <c r="C79" s="49">
        <f>AVERAGE('9.08 KOTIDO-KABONG-24h'!C79,'10.08 KOTIDO-KABONG-24h'!C79)</f>
        <v>0</v>
      </c>
      <c r="D79" s="49">
        <f>AVERAGE('9.08 KOTIDO-KABONG-24h'!D79,'10.08 KOTIDO-KABONG-24h'!D79)</f>
        <v>0</v>
      </c>
      <c r="E79" s="49">
        <f>AVERAGE('9.08 KOTIDO-KABONG-24h'!E79,'10.08 KOTIDO-KABONG-24h'!E79)</f>
        <v>0</v>
      </c>
      <c r="F79" s="49">
        <f>AVERAGE('9.08 KOTIDO-KABONG-24h'!F79,'10.08 KOTIDO-KABONG-24h'!F79)</f>
        <v>0</v>
      </c>
      <c r="G79" s="49">
        <f>AVERAGE('9.08 KOTIDO-KABONG-24h'!G79,'10.08 KOTIDO-KABONG-24h'!G79)</f>
        <v>0</v>
      </c>
      <c r="H79" s="49">
        <f>AVERAGE('9.08 KOTIDO-KABONG-24h'!H79,'10.08 KOTIDO-KABONG-24h'!H79)</f>
        <v>0</v>
      </c>
      <c r="I79" s="49">
        <f>AVERAGE('9.08 KOTIDO-KABONG-24h'!I79,'10.08 KOTIDO-KABONG-24h'!I79)</f>
        <v>0</v>
      </c>
      <c r="J79" s="49">
        <f>AVERAGE('9.08 KOTIDO-KABONG-24h'!J79,'10.08 KOTIDO-KABONG-24h'!J79)</f>
        <v>0</v>
      </c>
      <c r="K79" s="49">
        <f>AVERAGE('9.08 KOTIDO-KABONG-24h'!K79,'10.08 KOTIDO-KABONG-24h'!K79)</f>
        <v>0</v>
      </c>
      <c r="L79" s="49">
        <f>AVERAGE('9.08 KOTIDO-KABONG-24h'!L79,'10.08 KOTIDO-KABONG-24h'!L79)</f>
        <v>0</v>
      </c>
      <c r="M79" s="49">
        <f>AVERAGE('9.08 KOTIDO-KABONG-24h'!M79,'10.08 KOTIDO-KABONG-24h'!M79)</f>
        <v>1</v>
      </c>
      <c r="N79" s="49">
        <f>AVERAGE('9.08 KOTIDO-KABONG-24h'!N79,'10.08 KOTIDO-KABONG-24h'!N79)</f>
        <v>0</v>
      </c>
      <c r="O79" s="15">
        <f t="shared" si="35"/>
        <v>0</v>
      </c>
      <c r="P79" s="15">
        <f t="shared" si="36"/>
        <v>1</v>
      </c>
      <c r="R79" s="8"/>
      <c r="T79"/>
    </row>
    <row r="80" spans="2:20" ht="23.1" customHeight="1" x14ac:dyDescent="0.25">
      <c r="B80" s="25" t="s">
        <v>120</v>
      </c>
      <c r="C80" s="49">
        <f>AVERAGE('9.08 KOTIDO-KABONG-24h'!C80,'10.08 KOTIDO-KABONG-24h'!C80)</f>
        <v>0</v>
      </c>
      <c r="D80" s="49">
        <f>AVERAGE('9.08 KOTIDO-KABONG-24h'!D80,'10.08 KOTIDO-KABONG-24h'!D80)</f>
        <v>0</v>
      </c>
      <c r="E80" s="49">
        <f>AVERAGE('9.08 KOTIDO-KABONG-24h'!E80,'10.08 KOTIDO-KABONG-24h'!E80)</f>
        <v>0</v>
      </c>
      <c r="F80" s="49">
        <f>AVERAGE('9.08 KOTIDO-KABONG-24h'!F80,'10.08 KOTIDO-KABONG-24h'!F80)</f>
        <v>0</v>
      </c>
      <c r="G80" s="49">
        <f>AVERAGE('9.08 KOTIDO-KABONG-24h'!G80,'10.08 KOTIDO-KABONG-24h'!G80)</f>
        <v>0</v>
      </c>
      <c r="H80" s="49">
        <f>AVERAGE('9.08 KOTIDO-KABONG-24h'!H80,'10.08 KOTIDO-KABONG-24h'!H80)</f>
        <v>0</v>
      </c>
      <c r="I80" s="49">
        <f>AVERAGE('9.08 KOTIDO-KABONG-24h'!I80,'10.08 KOTIDO-KABONG-24h'!I80)</f>
        <v>0</v>
      </c>
      <c r="J80" s="49">
        <f>AVERAGE('9.08 KOTIDO-KABONG-24h'!J80,'10.08 KOTIDO-KABONG-24h'!J80)</f>
        <v>0</v>
      </c>
      <c r="K80" s="49">
        <f>AVERAGE('9.08 KOTIDO-KABONG-24h'!K80,'10.08 KOTIDO-KABONG-24h'!K80)</f>
        <v>0</v>
      </c>
      <c r="L80" s="49">
        <f>AVERAGE('9.08 KOTIDO-KABONG-24h'!L80,'10.08 KOTIDO-KABONG-24h'!L80)</f>
        <v>0</v>
      </c>
      <c r="M80" s="49">
        <f>AVERAGE('9.08 KOTIDO-KABONG-24h'!M80,'10.08 KOTIDO-KABONG-24h'!M80)</f>
        <v>1</v>
      </c>
      <c r="N80" s="49">
        <f>AVERAGE('9.08 KOTIDO-KABONG-24h'!N80,'10.08 KOTIDO-KABONG-24h'!N80)</f>
        <v>0</v>
      </c>
      <c r="O80" s="15">
        <f t="shared" si="35"/>
        <v>0</v>
      </c>
      <c r="P80" s="15">
        <f t="shared" si="36"/>
        <v>1</v>
      </c>
      <c r="R80" s="8"/>
      <c r="T80"/>
    </row>
    <row r="81" spans="2:20" ht="23.1" customHeight="1" x14ac:dyDescent="0.25">
      <c r="B81" s="23" t="s">
        <v>121</v>
      </c>
      <c r="C81" s="49">
        <f>AVERAGE('9.08 KOTIDO-KABONG-24h'!C81,'10.08 KOTIDO-KABONG-24h'!C81)</f>
        <v>0</v>
      </c>
      <c r="D81" s="49">
        <f>AVERAGE('9.08 KOTIDO-KABONG-24h'!D81,'10.08 KOTIDO-KABONG-24h'!D81)</f>
        <v>0.5</v>
      </c>
      <c r="E81" s="49">
        <f>AVERAGE('9.08 KOTIDO-KABONG-24h'!E81,'10.08 KOTIDO-KABONG-24h'!E81)</f>
        <v>0</v>
      </c>
      <c r="F81" s="49">
        <f>AVERAGE('9.08 KOTIDO-KABONG-24h'!F81,'10.08 KOTIDO-KABONG-24h'!F81)</f>
        <v>0</v>
      </c>
      <c r="G81" s="49">
        <f>AVERAGE('9.08 KOTIDO-KABONG-24h'!G81,'10.08 KOTIDO-KABONG-24h'!G81)</f>
        <v>0</v>
      </c>
      <c r="H81" s="49">
        <f>AVERAGE('9.08 KOTIDO-KABONG-24h'!H81,'10.08 KOTIDO-KABONG-24h'!H81)</f>
        <v>0</v>
      </c>
      <c r="I81" s="49">
        <f>AVERAGE('9.08 KOTIDO-KABONG-24h'!I81,'10.08 KOTIDO-KABONG-24h'!I81)</f>
        <v>0</v>
      </c>
      <c r="J81" s="49">
        <f>AVERAGE('9.08 KOTIDO-KABONG-24h'!J81,'10.08 KOTIDO-KABONG-24h'!J81)</f>
        <v>0</v>
      </c>
      <c r="K81" s="49">
        <f>AVERAGE('9.08 KOTIDO-KABONG-24h'!K81,'10.08 KOTIDO-KABONG-24h'!K81)</f>
        <v>0</v>
      </c>
      <c r="L81" s="49">
        <f>AVERAGE('9.08 KOTIDO-KABONG-24h'!L81,'10.08 KOTIDO-KABONG-24h'!L81)</f>
        <v>0</v>
      </c>
      <c r="M81" s="49">
        <f>AVERAGE('9.08 KOTIDO-KABONG-24h'!M81,'10.08 KOTIDO-KABONG-24h'!M81)</f>
        <v>0</v>
      </c>
      <c r="N81" s="49">
        <f>AVERAGE('9.08 KOTIDO-KABONG-24h'!N81,'10.08 KOTIDO-KABONG-24h'!N81)</f>
        <v>0</v>
      </c>
      <c r="O81" s="15">
        <f t="shared" si="35"/>
        <v>0.5</v>
      </c>
      <c r="P81" s="15">
        <f t="shared" si="36"/>
        <v>0.5</v>
      </c>
      <c r="R81" s="8"/>
      <c r="T81"/>
    </row>
    <row r="82" spans="2:20" ht="23.1" customHeight="1" x14ac:dyDescent="0.25">
      <c r="B82" s="24" t="s">
        <v>122</v>
      </c>
      <c r="C82" s="49">
        <f>AVERAGE('9.08 KOTIDO-KABONG-24h'!C82,'10.08 KOTIDO-KABONG-24h'!C82)</f>
        <v>0</v>
      </c>
      <c r="D82" s="49">
        <f>AVERAGE('9.08 KOTIDO-KABONG-24h'!D82,'10.08 KOTIDO-KABONG-24h'!D82)</f>
        <v>0</v>
      </c>
      <c r="E82" s="49">
        <f>AVERAGE('9.08 KOTIDO-KABONG-24h'!E82,'10.08 KOTIDO-KABONG-24h'!E82)</f>
        <v>0</v>
      </c>
      <c r="F82" s="49">
        <f>AVERAGE('9.08 KOTIDO-KABONG-24h'!F82,'10.08 KOTIDO-KABONG-24h'!F82)</f>
        <v>0</v>
      </c>
      <c r="G82" s="49">
        <f>AVERAGE('9.08 KOTIDO-KABONG-24h'!G82,'10.08 KOTIDO-KABONG-24h'!G82)</f>
        <v>0</v>
      </c>
      <c r="H82" s="49">
        <f>AVERAGE('9.08 KOTIDO-KABONG-24h'!H82,'10.08 KOTIDO-KABONG-24h'!H82)</f>
        <v>0</v>
      </c>
      <c r="I82" s="49">
        <f>AVERAGE('9.08 KOTIDO-KABONG-24h'!I82,'10.08 KOTIDO-KABONG-24h'!I82)</f>
        <v>0</v>
      </c>
      <c r="J82" s="49">
        <f>AVERAGE('9.08 KOTIDO-KABONG-24h'!J82,'10.08 KOTIDO-KABONG-24h'!J82)</f>
        <v>0</v>
      </c>
      <c r="K82" s="49">
        <f>AVERAGE('9.08 KOTIDO-KABONG-24h'!K82,'10.08 KOTIDO-KABONG-24h'!K82)</f>
        <v>0</v>
      </c>
      <c r="L82" s="49">
        <f>AVERAGE('9.08 KOTIDO-KABONG-24h'!L82,'10.08 KOTIDO-KABONG-24h'!L82)</f>
        <v>0</v>
      </c>
      <c r="M82" s="49">
        <f>AVERAGE('9.08 KOTIDO-KABONG-24h'!M82,'10.08 KOTIDO-KABONG-24h'!M82)</f>
        <v>0</v>
      </c>
      <c r="N82" s="49">
        <f>AVERAGE('9.08 KOTIDO-KABONG-24h'!N82,'10.08 KOTIDO-KABONG-24h'!N82)</f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23" t="s">
        <v>123</v>
      </c>
      <c r="C83" s="49">
        <f>AVERAGE('9.08 KOTIDO-KABONG-24h'!C83,'10.08 KOTIDO-KABONG-24h'!C83)</f>
        <v>0</v>
      </c>
      <c r="D83" s="49">
        <f>AVERAGE('9.08 KOTIDO-KABONG-24h'!D83,'10.08 KOTIDO-KABONG-24h'!D83)</f>
        <v>0</v>
      </c>
      <c r="E83" s="49">
        <f>AVERAGE('9.08 KOTIDO-KABONG-24h'!E83,'10.08 KOTIDO-KABONG-24h'!E83)</f>
        <v>0</v>
      </c>
      <c r="F83" s="49">
        <f>AVERAGE('9.08 KOTIDO-KABONG-24h'!F83,'10.08 KOTIDO-KABONG-24h'!F83)</f>
        <v>0</v>
      </c>
      <c r="G83" s="49">
        <f>AVERAGE('9.08 KOTIDO-KABONG-24h'!G83,'10.08 KOTIDO-KABONG-24h'!G83)</f>
        <v>0</v>
      </c>
      <c r="H83" s="49">
        <f>AVERAGE('9.08 KOTIDO-KABONG-24h'!H83,'10.08 KOTIDO-KABONG-24h'!H83)</f>
        <v>0</v>
      </c>
      <c r="I83" s="49">
        <f>AVERAGE('9.08 KOTIDO-KABONG-24h'!I83,'10.08 KOTIDO-KABONG-24h'!I83)</f>
        <v>0</v>
      </c>
      <c r="J83" s="49">
        <f>AVERAGE('9.08 KOTIDO-KABONG-24h'!J83,'10.08 KOTIDO-KABONG-24h'!J83)</f>
        <v>0</v>
      </c>
      <c r="K83" s="49">
        <f>AVERAGE('9.08 KOTIDO-KABONG-24h'!K83,'10.08 KOTIDO-KABONG-24h'!K83)</f>
        <v>0</v>
      </c>
      <c r="L83" s="49">
        <f>AVERAGE('9.08 KOTIDO-KABONG-24h'!L83,'10.08 KOTIDO-KABONG-24h'!L83)</f>
        <v>0</v>
      </c>
      <c r="M83" s="49">
        <f>AVERAGE('9.08 KOTIDO-KABONG-24h'!M83,'10.08 KOTIDO-KABONG-24h'!M83)</f>
        <v>1</v>
      </c>
      <c r="N83" s="49">
        <f>AVERAGE('9.08 KOTIDO-KABONG-24h'!N83,'10.08 KOTIDO-KABONG-24h'!N83)</f>
        <v>0</v>
      </c>
      <c r="O83" s="15">
        <f t="shared" si="35"/>
        <v>0</v>
      </c>
      <c r="P83" s="15">
        <f t="shared" si="36"/>
        <v>1</v>
      </c>
      <c r="R83" s="8"/>
      <c r="T83"/>
    </row>
    <row r="84" spans="2:20" ht="23.1" customHeight="1" x14ac:dyDescent="0.25">
      <c r="B84" s="25" t="s">
        <v>124</v>
      </c>
      <c r="C84" s="49">
        <f>AVERAGE('9.08 KOTIDO-KABONG-24h'!C84,'10.08 KOTIDO-KABONG-24h'!C84)</f>
        <v>0</v>
      </c>
      <c r="D84" s="49">
        <f>AVERAGE('9.08 KOTIDO-KABONG-24h'!D84,'10.08 KOTIDO-KABONG-24h'!D84)</f>
        <v>0</v>
      </c>
      <c r="E84" s="49">
        <f>AVERAGE('9.08 KOTIDO-KABONG-24h'!E84,'10.08 KOTIDO-KABONG-24h'!E84)</f>
        <v>0</v>
      </c>
      <c r="F84" s="49">
        <f>AVERAGE('9.08 KOTIDO-KABONG-24h'!F84,'10.08 KOTIDO-KABONG-24h'!F84)</f>
        <v>0</v>
      </c>
      <c r="G84" s="49">
        <f>AVERAGE('9.08 KOTIDO-KABONG-24h'!G84,'10.08 KOTIDO-KABONG-24h'!G84)</f>
        <v>0</v>
      </c>
      <c r="H84" s="49">
        <f>AVERAGE('9.08 KOTIDO-KABONG-24h'!H84,'10.08 KOTIDO-KABONG-24h'!H84)</f>
        <v>0</v>
      </c>
      <c r="I84" s="49">
        <f>AVERAGE('9.08 KOTIDO-KABONG-24h'!I84,'10.08 KOTIDO-KABONG-24h'!I84)</f>
        <v>0</v>
      </c>
      <c r="J84" s="49">
        <f>AVERAGE('9.08 KOTIDO-KABONG-24h'!J84,'10.08 KOTIDO-KABONG-24h'!J84)</f>
        <v>0.5</v>
      </c>
      <c r="K84" s="49">
        <f>AVERAGE('9.08 KOTIDO-KABONG-24h'!K84,'10.08 KOTIDO-KABONG-24h'!K84)</f>
        <v>0</v>
      </c>
      <c r="L84" s="49">
        <f>AVERAGE('9.08 KOTIDO-KABONG-24h'!L84,'10.08 KOTIDO-KABONG-24h'!L84)</f>
        <v>0</v>
      </c>
      <c r="M84" s="49">
        <f>AVERAGE('9.08 KOTIDO-KABONG-24h'!M84,'10.08 KOTIDO-KABONG-24h'!M84)</f>
        <v>0</v>
      </c>
      <c r="N84" s="49">
        <f>AVERAGE('9.08 KOTIDO-KABONG-24h'!N84,'10.08 KOTIDO-KABONG-24h'!N84)</f>
        <v>0</v>
      </c>
      <c r="O84" s="15">
        <f t="shared" si="35"/>
        <v>0.5</v>
      </c>
      <c r="P84" s="15">
        <f t="shared" si="36"/>
        <v>0.5</v>
      </c>
      <c r="R84" s="8"/>
      <c r="T84"/>
    </row>
    <row r="85" spans="2:20" ht="23.1" customHeight="1" x14ac:dyDescent="0.25">
      <c r="B85" s="23" t="s">
        <v>125</v>
      </c>
      <c r="C85" s="49">
        <f>AVERAGE('9.08 KOTIDO-KABONG-24h'!C85,'10.08 KOTIDO-KABONG-24h'!C85)</f>
        <v>0</v>
      </c>
      <c r="D85" s="49">
        <f>AVERAGE('9.08 KOTIDO-KABONG-24h'!D85,'10.08 KOTIDO-KABONG-24h'!D85)</f>
        <v>0</v>
      </c>
      <c r="E85" s="49">
        <f>AVERAGE('9.08 KOTIDO-KABONG-24h'!E85,'10.08 KOTIDO-KABONG-24h'!E85)</f>
        <v>0</v>
      </c>
      <c r="F85" s="49">
        <f>AVERAGE('9.08 KOTIDO-KABONG-24h'!F85,'10.08 KOTIDO-KABONG-24h'!F85)</f>
        <v>0</v>
      </c>
      <c r="G85" s="49">
        <f>AVERAGE('9.08 KOTIDO-KABONG-24h'!G85,'10.08 KOTIDO-KABONG-24h'!G85)</f>
        <v>0</v>
      </c>
      <c r="H85" s="49">
        <f>AVERAGE('9.08 KOTIDO-KABONG-24h'!H85,'10.08 KOTIDO-KABONG-24h'!H85)</f>
        <v>0</v>
      </c>
      <c r="I85" s="49">
        <f>AVERAGE('9.08 KOTIDO-KABONG-24h'!I85,'10.08 KOTIDO-KABONG-24h'!I85)</f>
        <v>0</v>
      </c>
      <c r="J85" s="49">
        <f>AVERAGE('9.08 KOTIDO-KABONG-24h'!J85,'10.08 KOTIDO-KABONG-24h'!J85)</f>
        <v>0</v>
      </c>
      <c r="K85" s="49">
        <f>AVERAGE('9.08 KOTIDO-KABONG-24h'!K85,'10.08 KOTIDO-KABONG-24h'!K85)</f>
        <v>0</v>
      </c>
      <c r="L85" s="49">
        <f>AVERAGE('9.08 KOTIDO-KABONG-24h'!L85,'10.08 KOTIDO-KABONG-24h'!L85)</f>
        <v>0</v>
      </c>
      <c r="M85" s="49">
        <f>AVERAGE('9.08 KOTIDO-KABONG-24h'!M85,'10.08 KOTIDO-KABONG-24h'!M85)</f>
        <v>0</v>
      </c>
      <c r="N85" s="49">
        <f>AVERAGE('9.08 KOTIDO-KABONG-24h'!N85,'10.08 KOTIDO-KABONG-24h'!N85)</f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24" t="s">
        <v>126</v>
      </c>
      <c r="C86" s="49">
        <f>AVERAGE('9.08 KOTIDO-KABONG-24h'!C86,'10.08 KOTIDO-KABONG-24h'!C86)</f>
        <v>0</v>
      </c>
      <c r="D86" s="49">
        <f>AVERAGE('9.08 KOTIDO-KABONG-24h'!D86,'10.08 KOTIDO-KABONG-24h'!D86)</f>
        <v>0</v>
      </c>
      <c r="E86" s="49">
        <f>AVERAGE('9.08 KOTIDO-KABONG-24h'!E86,'10.08 KOTIDO-KABONG-24h'!E86)</f>
        <v>0</v>
      </c>
      <c r="F86" s="49">
        <f>AVERAGE('9.08 KOTIDO-KABONG-24h'!F86,'10.08 KOTIDO-KABONG-24h'!F86)</f>
        <v>0</v>
      </c>
      <c r="G86" s="49">
        <f>AVERAGE('9.08 KOTIDO-KABONG-24h'!G86,'10.08 KOTIDO-KABONG-24h'!G86)</f>
        <v>0</v>
      </c>
      <c r="H86" s="49">
        <f>AVERAGE('9.08 KOTIDO-KABONG-24h'!H86,'10.08 KOTIDO-KABONG-24h'!H86)</f>
        <v>0</v>
      </c>
      <c r="I86" s="49">
        <f>AVERAGE('9.08 KOTIDO-KABONG-24h'!I86,'10.08 KOTIDO-KABONG-24h'!I86)</f>
        <v>0</v>
      </c>
      <c r="J86" s="49">
        <f>AVERAGE('9.08 KOTIDO-KABONG-24h'!J86,'10.08 KOTIDO-KABONG-24h'!J86)</f>
        <v>0</v>
      </c>
      <c r="K86" s="49">
        <f>AVERAGE('9.08 KOTIDO-KABONG-24h'!K86,'10.08 KOTIDO-KABONG-24h'!K86)</f>
        <v>0</v>
      </c>
      <c r="L86" s="49">
        <f>AVERAGE('9.08 KOTIDO-KABONG-24h'!L86,'10.08 KOTIDO-KABONG-24h'!L86)</f>
        <v>0</v>
      </c>
      <c r="M86" s="49">
        <f>AVERAGE('9.08 KOTIDO-KABONG-24h'!M86,'10.08 KOTIDO-KABONG-24h'!M86)</f>
        <v>0</v>
      </c>
      <c r="N86" s="49">
        <f>AVERAGE('9.08 KOTIDO-KABONG-24h'!N86,'10.08 KOTIDO-KABONG-24h'!N86)</f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23" t="s">
        <v>127</v>
      </c>
      <c r="C87" s="49">
        <f>AVERAGE('9.08 KOTIDO-KABONG-24h'!C87,'10.08 KOTIDO-KABONG-24h'!C87)</f>
        <v>0</v>
      </c>
      <c r="D87" s="49">
        <f>AVERAGE('9.08 KOTIDO-KABONG-24h'!D87,'10.08 KOTIDO-KABONG-24h'!D87)</f>
        <v>0</v>
      </c>
      <c r="E87" s="49">
        <f>AVERAGE('9.08 KOTIDO-KABONG-24h'!E87,'10.08 KOTIDO-KABONG-24h'!E87)</f>
        <v>0</v>
      </c>
      <c r="F87" s="49">
        <f>AVERAGE('9.08 KOTIDO-KABONG-24h'!F87,'10.08 KOTIDO-KABONG-24h'!F87)</f>
        <v>0</v>
      </c>
      <c r="G87" s="49">
        <f>AVERAGE('9.08 KOTIDO-KABONG-24h'!G87,'10.08 KOTIDO-KABONG-24h'!G87)</f>
        <v>0</v>
      </c>
      <c r="H87" s="49">
        <f>AVERAGE('9.08 KOTIDO-KABONG-24h'!H87,'10.08 KOTIDO-KABONG-24h'!H87)</f>
        <v>0</v>
      </c>
      <c r="I87" s="49">
        <f>AVERAGE('9.08 KOTIDO-KABONG-24h'!I87,'10.08 KOTIDO-KABONG-24h'!I87)</f>
        <v>0</v>
      </c>
      <c r="J87" s="49">
        <f>AVERAGE('9.08 KOTIDO-KABONG-24h'!J87,'10.08 KOTIDO-KABONG-24h'!J87)</f>
        <v>0</v>
      </c>
      <c r="K87" s="49">
        <f>AVERAGE('9.08 KOTIDO-KABONG-24h'!K87,'10.08 KOTIDO-KABONG-24h'!K87)</f>
        <v>0</v>
      </c>
      <c r="L87" s="49">
        <f>AVERAGE('9.08 KOTIDO-KABONG-24h'!L87,'10.08 KOTIDO-KABONG-24h'!L87)</f>
        <v>0</v>
      </c>
      <c r="M87" s="49">
        <f>AVERAGE('9.08 KOTIDO-KABONG-24h'!M87,'10.08 KOTIDO-KABONG-24h'!M87)</f>
        <v>0</v>
      </c>
      <c r="N87" s="49">
        <f>AVERAGE('9.08 KOTIDO-KABONG-24h'!N87,'10.08 KOTIDO-KABONG-24h'!N87)</f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25" t="s">
        <v>128</v>
      </c>
      <c r="C88" s="49">
        <f>AVERAGE('9.08 KOTIDO-KABONG-24h'!C88,'10.08 KOTIDO-KABONG-24h'!C88)</f>
        <v>0</v>
      </c>
      <c r="D88" s="49">
        <f>AVERAGE('9.08 KOTIDO-KABONG-24h'!D88,'10.08 KOTIDO-KABONG-24h'!D88)</f>
        <v>0</v>
      </c>
      <c r="E88" s="49">
        <f>AVERAGE('9.08 KOTIDO-KABONG-24h'!E88,'10.08 KOTIDO-KABONG-24h'!E88)</f>
        <v>0</v>
      </c>
      <c r="F88" s="49">
        <f>AVERAGE('9.08 KOTIDO-KABONG-24h'!F88,'10.08 KOTIDO-KABONG-24h'!F88)</f>
        <v>0</v>
      </c>
      <c r="G88" s="49">
        <f>AVERAGE('9.08 KOTIDO-KABONG-24h'!G88,'10.08 KOTIDO-KABONG-24h'!G88)</f>
        <v>0</v>
      </c>
      <c r="H88" s="49">
        <f>AVERAGE('9.08 KOTIDO-KABONG-24h'!H88,'10.08 KOTIDO-KABONG-24h'!H88)</f>
        <v>0</v>
      </c>
      <c r="I88" s="49">
        <f>AVERAGE('9.08 KOTIDO-KABONG-24h'!I88,'10.08 KOTIDO-KABONG-24h'!I88)</f>
        <v>0</v>
      </c>
      <c r="J88" s="49">
        <f>AVERAGE('9.08 KOTIDO-KABONG-24h'!J88,'10.08 KOTIDO-KABONG-24h'!J88)</f>
        <v>0</v>
      </c>
      <c r="K88" s="49">
        <f>AVERAGE('9.08 KOTIDO-KABONG-24h'!K88,'10.08 KOTIDO-KABONG-24h'!K88)</f>
        <v>0</v>
      </c>
      <c r="L88" s="49">
        <f>AVERAGE('9.08 KOTIDO-KABONG-24h'!L88,'10.08 KOTIDO-KABONG-24h'!L88)</f>
        <v>0</v>
      </c>
      <c r="M88" s="49">
        <f>AVERAGE('9.08 KOTIDO-KABONG-24h'!M88,'10.08 KOTIDO-KABONG-24h'!M88)</f>
        <v>0</v>
      </c>
      <c r="N88" s="49">
        <f>AVERAGE('9.08 KOTIDO-KABONG-24h'!N88,'10.08 KOTIDO-KABONG-24h'!N88)</f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23" t="s">
        <v>129</v>
      </c>
      <c r="C89" s="49">
        <f>AVERAGE('9.08 KOTIDO-KABONG-24h'!C89,'10.08 KOTIDO-KABONG-24h'!C89)</f>
        <v>0</v>
      </c>
      <c r="D89" s="49">
        <f>AVERAGE('9.08 KOTIDO-KABONG-24h'!D89,'10.08 KOTIDO-KABONG-24h'!D89)</f>
        <v>0</v>
      </c>
      <c r="E89" s="49">
        <f>AVERAGE('9.08 KOTIDO-KABONG-24h'!E89,'10.08 KOTIDO-KABONG-24h'!E89)</f>
        <v>0</v>
      </c>
      <c r="F89" s="49">
        <f>AVERAGE('9.08 KOTIDO-KABONG-24h'!F89,'10.08 KOTIDO-KABONG-24h'!F89)</f>
        <v>0</v>
      </c>
      <c r="G89" s="49">
        <f>AVERAGE('9.08 KOTIDO-KABONG-24h'!G89,'10.08 KOTIDO-KABONG-24h'!G89)</f>
        <v>0</v>
      </c>
      <c r="H89" s="49">
        <f>AVERAGE('9.08 KOTIDO-KABONG-24h'!H89,'10.08 KOTIDO-KABONG-24h'!H89)</f>
        <v>0</v>
      </c>
      <c r="I89" s="49">
        <f>AVERAGE('9.08 KOTIDO-KABONG-24h'!I89,'10.08 KOTIDO-KABONG-24h'!I89)</f>
        <v>0</v>
      </c>
      <c r="J89" s="49">
        <f>AVERAGE('9.08 KOTIDO-KABONG-24h'!J89,'10.08 KOTIDO-KABONG-24h'!J89)</f>
        <v>0</v>
      </c>
      <c r="K89" s="49">
        <f>AVERAGE('9.08 KOTIDO-KABONG-24h'!K89,'10.08 KOTIDO-KABONG-24h'!K89)</f>
        <v>0</v>
      </c>
      <c r="L89" s="49">
        <f>AVERAGE('9.08 KOTIDO-KABONG-24h'!L89,'10.08 KOTIDO-KABONG-24h'!L89)</f>
        <v>0</v>
      </c>
      <c r="M89" s="49">
        <f>AVERAGE('9.08 KOTIDO-KABONG-24h'!M89,'10.08 KOTIDO-KABONG-24h'!M89)</f>
        <v>0</v>
      </c>
      <c r="N89" s="49">
        <f>AVERAGE('9.08 KOTIDO-KABONG-24h'!N89,'10.08 KOTIDO-KABONG-24h'!N89)</f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24" t="s">
        <v>130</v>
      </c>
      <c r="C90" s="49">
        <f>AVERAGE('9.08 KOTIDO-KABONG-24h'!C90,'10.08 KOTIDO-KABONG-24h'!C90)</f>
        <v>0</v>
      </c>
      <c r="D90" s="49">
        <f>AVERAGE('9.08 KOTIDO-KABONG-24h'!D90,'10.08 KOTIDO-KABONG-24h'!D90)</f>
        <v>0</v>
      </c>
      <c r="E90" s="49">
        <f>AVERAGE('9.08 KOTIDO-KABONG-24h'!E90,'10.08 KOTIDO-KABONG-24h'!E90)</f>
        <v>0</v>
      </c>
      <c r="F90" s="49">
        <f>AVERAGE('9.08 KOTIDO-KABONG-24h'!F90,'10.08 KOTIDO-KABONG-24h'!F90)</f>
        <v>0</v>
      </c>
      <c r="G90" s="49">
        <f>AVERAGE('9.08 KOTIDO-KABONG-24h'!G90,'10.08 KOTIDO-KABONG-24h'!G90)</f>
        <v>0</v>
      </c>
      <c r="H90" s="49">
        <f>AVERAGE('9.08 KOTIDO-KABONG-24h'!H90,'10.08 KOTIDO-KABONG-24h'!H90)</f>
        <v>0</v>
      </c>
      <c r="I90" s="49">
        <f>AVERAGE('9.08 KOTIDO-KABONG-24h'!I90,'10.08 KOTIDO-KABONG-24h'!I90)</f>
        <v>0</v>
      </c>
      <c r="J90" s="49">
        <f>AVERAGE('9.08 KOTIDO-KABONG-24h'!J90,'10.08 KOTIDO-KABONG-24h'!J90)</f>
        <v>0</v>
      </c>
      <c r="K90" s="49">
        <f>AVERAGE('9.08 KOTIDO-KABONG-24h'!K90,'10.08 KOTIDO-KABONG-24h'!K90)</f>
        <v>0</v>
      </c>
      <c r="L90" s="49">
        <f>AVERAGE('9.08 KOTIDO-KABONG-24h'!L90,'10.08 KOTIDO-KABONG-24h'!L90)</f>
        <v>0</v>
      </c>
      <c r="M90" s="49">
        <f>AVERAGE('9.08 KOTIDO-KABONG-24h'!M90,'10.08 KOTIDO-KABONG-24h'!M90)</f>
        <v>0</v>
      </c>
      <c r="N90" s="49">
        <f>AVERAGE('9.08 KOTIDO-KABONG-24h'!N90,'10.08 KOTIDO-KABONG-24h'!N90)</f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23" t="s">
        <v>131</v>
      </c>
      <c r="C91" s="49">
        <f>AVERAGE('9.08 KOTIDO-KABONG-24h'!C91,'10.08 KOTIDO-KABONG-24h'!C91)</f>
        <v>0</v>
      </c>
      <c r="D91" s="49">
        <f>AVERAGE('9.08 KOTIDO-KABONG-24h'!D91,'10.08 KOTIDO-KABONG-24h'!D91)</f>
        <v>0</v>
      </c>
      <c r="E91" s="49">
        <f>AVERAGE('9.08 KOTIDO-KABONG-24h'!E91,'10.08 KOTIDO-KABONG-24h'!E91)</f>
        <v>0</v>
      </c>
      <c r="F91" s="49">
        <f>AVERAGE('9.08 KOTIDO-KABONG-24h'!F91,'10.08 KOTIDO-KABONG-24h'!F91)</f>
        <v>0</v>
      </c>
      <c r="G91" s="49">
        <f>AVERAGE('9.08 KOTIDO-KABONG-24h'!G91,'10.08 KOTIDO-KABONG-24h'!G91)</f>
        <v>0</v>
      </c>
      <c r="H91" s="49">
        <f>AVERAGE('9.08 KOTIDO-KABONG-24h'!H91,'10.08 KOTIDO-KABONG-24h'!H91)</f>
        <v>0</v>
      </c>
      <c r="I91" s="49">
        <f>AVERAGE('9.08 KOTIDO-KABONG-24h'!I91,'10.08 KOTIDO-KABONG-24h'!I91)</f>
        <v>0</v>
      </c>
      <c r="J91" s="49">
        <f>AVERAGE('9.08 KOTIDO-KABONG-24h'!J91,'10.08 KOTIDO-KABONG-24h'!J91)</f>
        <v>0</v>
      </c>
      <c r="K91" s="49">
        <f>AVERAGE('9.08 KOTIDO-KABONG-24h'!K91,'10.08 KOTIDO-KABONG-24h'!K91)</f>
        <v>0</v>
      </c>
      <c r="L91" s="49">
        <f>AVERAGE('9.08 KOTIDO-KABONG-24h'!L91,'10.08 KOTIDO-KABONG-24h'!L91)</f>
        <v>0</v>
      </c>
      <c r="M91" s="49">
        <f>AVERAGE('9.08 KOTIDO-KABONG-24h'!M91,'10.08 KOTIDO-KABONG-24h'!M91)</f>
        <v>0</v>
      </c>
      <c r="N91" s="49">
        <f>AVERAGE('9.08 KOTIDO-KABONG-24h'!N91,'10.08 KOTIDO-KABONG-24h'!N91)</f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25" t="s">
        <v>132</v>
      </c>
      <c r="C92" s="49">
        <f>AVERAGE('9.08 KOTIDO-KABONG-24h'!C92,'10.08 KOTIDO-KABONG-24h'!C92)</f>
        <v>0</v>
      </c>
      <c r="D92" s="49">
        <f>AVERAGE('9.08 KOTIDO-KABONG-24h'!D92,'10.08 KOTIDO-KABONG-24h'!D92)</f>
        <v>0</v>
      </c>
      <c r="E92" s="49">
        <f>AVERAGE('9.08 KOTIDO-KABONG-24h'!E92,'10.08 KOTIDO-KABONG-24h'!E92)</f>
        <v>0</v>
      </c>
      <c r="F92" s="49">
        <f>AVERAGE('9.08 KOTIDO-KABONG-24h'!F92,'10.08 KOTIDO-KABONG-24h'!F92)</f>
        <v>0</v>
      </c>
      <c r="G92" s="49">
        <f>AVERAGE('9.08 KOTIDO-KABONG-24h'!G92,'10.08 KOTIDO-KABONG-24h'!G92)</f>
        <v>0</v>
      </c>
      <c r="H92" s="49">
        <f>AVERAGE('9.08 KOTIDO-KABONG-24h'!H92,'10.08 KOTIDO-KABONG-24h'!H92)</f>
        <v>0</v>
      </c>
      <c r="I92" s="49">
        <f>AVERAGE('9.08 KOTIDO-KABONG-24h'!I92,'10.08 KOTIDO-KABONG-24h'!I92)</f>
        <v>0</v>
      </c>
      <c r="J92" s="49">
        <f>AVERAGE('9.08 KOTIDO-KABONG-24h'!J92,'10.08 KOTIDO-KABONG-24h'!J92)</f>
        <v>0</v>
      </c>
      <c r="K92" s="49">
        <f>AVERAGE('9.08 KOTIDO-KABONG-24h'!K92,'10.08 KOTIDO-KABONG-24h'!K92)</f>
        <v>0</v>
      </c>
      <c r="L92" s="49">
        <f>AVERAGE('9.08 KOTIDO-KABONG-24h'!L92,'10.08 KOTIDO-KABONG-24h'!L92)</f>
        <v>0</v>
      </c>
      <c r="M92" s="49">
        <f>AVERAGE('9.08 KOTIDO-KABONG-24h'!M92,'10.08 KOTIDO-KABONG-24h'!M92)</f>
        <v>0</v>
      </c>
      <c r="N92" s="49">
        <f>AVERAGE('9.08 KOTIDO-KABONG-24h'!N92,'10.08 KOTIDO-KABONG-24h'!N92)</f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23" t="s">
        <v>133</v>
      </c>
      <c r="C93" s="49">
        <f>AVERAGE('9.08 KOTIDO-KABONG-24h'!C93,'10.08 KOTIDO-KABONG-24h'!C93)</f>
        <v>0</v>
      </c>
      <c r="D93" s="49">
        <f>AVERAGE('9.08 KOTIDO-KABONG-24h'!D93,'10.08 KOTIDO-KABONG-24h'!D93)</f>
        <v>0</v>
      </c>
      <c r="E93" s="49">
        <f>AVERAGE('9.08 KOTIDO-KABONG-24h'!E93,'10.08 KOTIDO-KABONG-24h'!E93)</f>
        <v>0</v>
      </c>
      <c r="F93" s="49">
        <f>AVERAGE('9.08 KOTIDO-KABONG-24h'!F93,'10.08 KOTIDO-KABONG-24h'!F93)</f>
        <v>0</v>
      </c>
      <c r="G93" s="49">
        <f>AVERAGE('9.08 KOTIDO-KABONG-24h'!G93,'10.08 KOTIDO-KABONG-24h'!G93)</f>
        <v>0</v>
      </c>
      <c r="H93" s="49">
        <f>AVERAGE('9.08 KOTIDO-KABONG-24h'!H93,'10.08 KOTIDO-KABONG-24h'!H93)</f>
        <v>0</v>
      </c>
      <c r="I93" s="49">
        <f>AVERAGE('9.08 KOTIDO-KABONG-24h'!I93,'10.08 KOTIDO-KABONG-24h'!I93)</f>
        <v>0</v>
      </c>
      <c r="J93" s="49">
        <f>AVERAGE('9.08 KOTIDO-KABONG-24h'!J93,'10.08 KOTIDO-KABONG-24h'!J93)</f>
        <v>0</v>
      </c>
      <c r="K93" s="49">
        <f>AVERAGE('9.08 KOTIDO-KABONG-24h'!K93,'10.08 KOTIDO-KABONG-24h'!K93)</f>
        <v>0</v>
      </c>
      <c r="L93" s="49">
        <f>AVERAGE('9.08 KOTIDO-KABONG-24h'!L93,'10.08 KOTIDO-KABONG-24h'!L93)</f>
        <v>0</v>
      </c>
      <c r="M93" s="49">
        <f>AVERAGE('9.08 KOTIDO-KABONG-24h'!M93,'10.08 KOTIDO-KABONG-24h'!M93)</f>
        <v>0</v>
      </c>
      <c r="N93" s="49">
        <f>AVERAGE('9.08 KOTIDO-KABONG-24h'!N93,'10.08 KOTIDO-KABONG-24h'!N93)</f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24" t="s">
        <v>134</v>
      </c>
      <c r="C94" s="49">
        <f>AVERAGE('9.08 KOTIDO-KABONG-24h'!C94,'10.08 KOTIDO-KABONG-24h'!C94)</f>
        <v>0</v>
      </c>
      <c r="D94" s="49">
        <f>AVERAGE('9.08 KOTIDO-KABONG-24h'!D94,'10.08 KOTIDO-KABONG-24h'!D94)</f>
        <v>0.5</v>
      </c>
      <c r="E94" s="49">
        <f>AVERAGE('9.08 KOTIDO-KABONG-24h'!E94,'10.08 KOTIDO-KABONG-24h'!E94)</f>
        <v>0</v>
      </c>
      <c r="F94" s="49">
        <f>AVERAGE('9.08 KOTIDO-KABONG-24h'!F94,'10.08 KOTIDO-KABONG-24h'!F94)</f>
        <v>0</v>
      </c>
      <c r="G94" s="49">
        <f>AVERAGE('9.08 KOTIDO-KABONG-24h'!G94,'10.08 KOTIDO-KABONG-24h'!G94)</f>
        <v>0</v>
      </c>
      <c r="H94" s="49">
        <f>AVERAGE('9.08 KOTIDO-KABONG-24h'!H94,'10.08 KOTIDO-KABONG-24h'!H94)</f>
        <v>0</v>
      </c>
      <c r="I94" s="49">
        <f>AVERAGE('9.08 KOTIDO-KABONG-24h'!I94,'10.08 KOTIDO-KABONG-24h'!I94)</f>
        <v>0</v>
      </c>
      <c r="J94" s="49">
        <f>AVERAGE('9.08 KOTIDO-KABONG-24h'!J94,'10.08 KOTIDO-KABONG-24h'!J94)</f>
        <v>0</v>
      </c>
      <c r="K94" s="49">
        <f>AVERAGE('9.08 KOTIDO-KABONG-24h'!K94,'10.08 KOTIDO-KABONG-24h'!K94)</f>
        <v>0</v>
      </c>
      <c r="L94" s="49">
        <f>AVERAGE('9.08 KOTIDO-KABONG-24h'!L94,'10.08 KOTIDO-KABONG-24h'!L94)</f>
        <v>0</v>
      </c>
      <c r="M94" s="49">
        <f>AVERAGE('9.08 KOTIDO-KABONG-24h'!M94,'10.08 KOTIDO-KABONG-24h'!M94)</f>
        <v>0</v>
      </c>
      <c r="N94" s="49">
        <f>AVERAGE('9.08 KOTIDO-KABONG-24h'!N94,'10.08 KOTIDO-KABONG-24h'!N94)</f>
        <v>0</v>
      </c>
      <c r="O94" s="15">
        <f t="shared" si="35"/>
        <v>0.5</v>
      </c>
      <c r="P94" s="15">
        <f t="shared" si="36"/>
        <v>0.5</v>
      </c>
      <c r="R94" s="8"/>
      <c r="T94"/>
    </row>
    <row r="95" spans="2:20" ht="23.1" customHeight="1" x14ac:dyDescent="0.25">
      <c r="B95" s="23" t="s">
        <v>135</v>
      </c>
      <c r="C95" s="49">
        <f>AVERAGE('9.08 KOTIDO-KABONG-24h'!C95,'10.08 KOTIDO-KABONG-24h'!C95)</f>
        <v>0</v>
      </c>
      <c r="D95" s="49">
        <f>AVERAGE('9.08 KOTIDO-KABONG-24h'!D95,'10.08 KOTIDO-KABONG-24h'!D95)</f>
        <v>0</v>
      </c>
      <c r="E95" s="49">
        <f>AVERAGE('9.08 KOTIDO-KABONG-24h'!E95,'10.08 KOTIDO-KABONG-24h'!E95)</f>
        <v>0</v>
      </c>
      <c r="F95" s="49">
        <f>AVERAGE('9.08 KOTIDO-KABONG-24h'!F95,'10.08 KOTIDO-KABONG-24h'!F95)</f>
        <v>0</v>
      </c>
      <c r="G95" s="49">
        <f>AVERAGE('9.08 KOTIDO-KABONG-24h'!G95,'10.08 KOTIDO-KABONG-24h'!G95)</f>
        <v>0</v>
      </c>
      <c r="H95" s="49">
        <f>AVERAGE('9.08 KOTIDO-KABONG-24h'!H95,'10.08 KOTIDO-KABONG-24h'!H95)</f>
        <v>0</v>
      </c>
      <c r="I95" s="49">
        <f>AVERAGE('9.08 KOTIDO-KABONG-24h'!I95,'10.08 KOTIDO-KABONG-24h'!I95)</f>
        <v>0</v>
      </c>
      <c r="J95" s="49">
        <f>AVERAGE('9.08 KOTIDO-KABONG-24h'!J95,'10.08 KOTIDO-KABONG-24h'!J95)</f>
        <v>0</v>
      </c>
      <c r="K95" s="49">
        <f>AVERAGE('9.08 KOTIDO-KABONG-24h'!K95,'10.08 KOTIDO-KABONG-24h'!K95)</f>
        <v>0</v>
      </c>
      <c r="L95" s="49">
        <f>AVERAGE('9.08 KOTIDO-KABONG-24h'!L95,'10.08 KOTIDO-KABONG-24h'!L95)</f>
        <v>0</v>
      </c>
      <c r="M95" s="49">
        <f>AVERAGE('9.08 KOTIDO-KABONG-24h'!M95,'10.08 KOTIDO-KABONG-24h'!M95)</f>
        <v>0</v>
      </c>
      <c r="N95" s="49">
        <f>AVERAGE('9.08 KOTIDO-KABONG-24h'!N95,'10.08 KOTIDO-KABONG-24h'!N95)</f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25" t="s">
        <v>136</v>
      </c>
      <c r="C96" s="49">
        <f>AVERAGE('9.08 KOTIDO-KABONG-24h'!C96,'10.08 KOTIDO-KABONG-24h'!C96)</f>
        <v>0</v>
      </c>
      <c r="D96" s="49">
        <f>AVERAGE('9.08 KOTIDO-KABONG-24h'!D96,'10.08 KOTIDO-KABONG-24h'!D96)</f>
        <v>0</v>
      </c>
      <c r="E96" s="49">
        <f>AVERAGE('9.08 KOTIDO-KABONG-24h'!E96,'10.08 KOTIDO-KABONG-24h'!E96)</f>
        <v>0</v>
      </c>
      <c r="F96" s="49">
        <f>AVERAGE('9.08 KOTIDO-KABONG-24h'!F96,'10.08 KOTIDO-KABONG-24h'!F96)</f>
        <v>0</v>
      </c>
      <c r="G96" s="49">
        <f>AVERAGE('9.08 KOTIDO-KABONG-24h'!G96,'10.08 KOTIDO-KABONG-24h'!G96)</f>
        <v>0</v>
      </c>
      <c r="H96" s="49">
        <f>AVERAGE('9.08 KOTIDO-KABONG-24h'!H96,'10.08 KOTIDO-KABONG-24h'!H96)</f>
        <v>0</v>
      </c>
      <c r="I96" s="49">
        <f>AVERAGE('9.08 KOTIDO-KABONG-24h'!I96,'10.08 KOTIDO-KABONG-24h'!I96)</f>
        <v>0</v>
      </c>
      <c r="J96" s="49">
        <f>AVERAGE('9.08 KOTIDO-KABONG-24h'!J96,'10.08 KOTIDO-KABONG-24h'!J96)</f>
        <v>0</v>
      </c>
      <c r="K96" s="49">
        <f>AVERAGE('9.08 KOTIDO-KABONG-24h'!K96,'10.08 KOTIDO-KABONG-24h'!K96)</f>
        <v>0</v>
      </c>
      <c r="L96" s="49">
        <f>AVERAGE('9.08 KOTIDO-KABONG-24h'!L96,'10.08 KOTIDO-KABONG-24h'!L96)</f>
        <v>0</v>
      </c>
      <c r="M96" s="49">
        <f>AVERAGE('9.08 KOTIDO-KABONG-24h'!M96,'10.08 KOTIDO-KABONG-24h'!M96)</f>
        <v>0</v>
      </c>
      <c r="N96" s="49">
        <f>AVERAGE('9.08 KOTIDO-KABONG-24h'!N96,'10.08 KOTIDO-KABONG-24h'!N96)</f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23" t="s">
        <v>137</v>
      </c>
      <c r="C97" s="49">
        <f>AVERAGE('9.08 KOTIDO-KABONG-24h'!C97,'10.08 KOTIDO-KABONG-24h'!C97)</f>
        <v>0</v>
      </c>
      <c r="D97" s="49">
        <f>AVERAGE('9.08 KOTIDO-KABONG-24h'!D97,'10.08 KOTIDO-KABONG-24h'!D97)</f>
        <v>0.5</v>
      </c>
      <c r="E97" s="49">
        <f>AVERAGE('9.08 KOTIDO-KABONG-24h'!E97,'10.08 KOTIDO-KABONG-24h'!E97)</f>
        <v>0</v>
      </c>
      <c r="F97" s="49">
        <f>AVERAGE('9.08 KOTIDO-KABONG-24h'!F97,'10.08 KOTIDO-KABONG-24h'!F97)</f>
        <v>0</v>
      </c>
      <c r="G97" s="49">
        <f>AVERAGE('9.08 KOTIDO-KABONG-24h'!G97,'10.08 KOTIDO-KABONG-24h'!G97)</f>
        <v>0</v>
      </c>
      <c r="H97" s="49">
        <f>AVERAGE('9.08 KOTIDO-KABONG-24h'!H97,'10.08 KOTIDO-KABONG-24h'!H97)</f>
        <v>0</v>
      </c>
      <c r="I97" s="49">
        <f>AVERAGE('9.08 KOTIDO-KABONG-24h'!I97,'10.08 KOTIDO-KABONG-24h'!I97)</f>
        <v>0</v>
      </c>
      <c r="J97" s="49">
        <f>AVERAGE('9.08 KOTIDO-KABONG-24h'!J97,'10.08 KOTIDO-KABONG-24h'!J97)</f>
        <v>0</v>
      </c>
      <c r="K97" s="49">
        <f>AVERAGE('9.08 KOTIDO-KABONG-24h'!K97,'10.08 KOTIDO-KABONG-24h'!K97)</f>
        <v>0</v>
      </c>
      <c r="L97" s="49">
        <f>AVERAGE('9.08 KOTIDO-KABONG-24h'!L97,'10.08 KOTIDO-KABONG-24h'!L97)</f>
        <v>0</v>
      </c>
      <c r="M97" s="49">
        <f>AVERAGE('9.08 KOTIDO-KABONG-24h'!M97,'10.08 KOTIDO-KABONG-24h'!M97)</f>
        <v>0.5</v>
      </c>
      <c r="N97" s="49">
        <f>AVERAGE('9.08 KOTIDO-KABONG-24h'!N97,'10.08 KOTIDO-KABONG-24h'!N97)</f>
        <v>0</v>
      </c>
      <c r="O97" s="15">
        <f t="shared" si="35"/>
        <v>0.5</v>
      </c>
      <c r="P97" s="15">
        <f t="shared" si="36"/>
        <v>1</v>
      </c>
      <c r="R97" s="8"/>
      <c r="T97"/>
    </row>
    <row r="98" spans="2:20" ht="23.1" customHeight="1" x14ac:dyDescent="0.25">
      <c r="B98" s="24" t="s">
        <v>138</v>
      </c>
      <c r="C98" s="49">
        <f>AVERAGE('9.08 KOTIDO-KABONG-24h'!C98,'10.08 KOTIDO-KABONG-24h'!C98)</f>
        <v>0</v>
      </c>
      <c r="D98" s="49">
        <f>AVERAGE('9.08 KOTIDO-KABONG-24h'!D98,'10.08 KOTIDO-KABONG-24h'!D98)</f>
        <v>0</v>
      </c>
      <c r="E98" s="49">
        <f>AVERAGE('9.08 KOTIDO-KABONG-24h'!E98,'10.08 KOTIDO-KABONG-24h'!E98)</f>
        <v>0.5</v>
      </c>
      <c r="F98" s="49">
        <f>AVERAGE('9.08 KOTIDO-KABONG-24h'!F98,'10.08 KOTIDO-KABONG-24h'!F98)</f>
        <v>0</v>
      </c>
      <c r="G98" s="49">
        <f>AVERAGE('9.08 KOTIDO-KABONG-24h'!G98,'10.08 KOTIDO-KABONG-24h'!G98)</f>
        <v>0</v>
      </c>
      <c r="H98" s="49">
        <f>AVERAGE('9.08 KOTIDO-KABONG-24h'!H98,'10.08 KOTIDO-KABONG-24h'!H98)</f>
        <v>0</v>
      </c>
      <c r="I98" s="49">
        <f>AVERAGE('9.08 KOTIDO-KABONG-24h'!I98,'10.08 KOTIDO-KABONG-24h'!I98)</f>
        <v>0</v>
      </c>
      <c r="J98" s="49">
        <f>AVERAGE('9.08 KOTIDO-KABONG-24h'!J98,'10.08 KOTIDO-KABONG-24h'!J98)</f>
        <v>0</v>
      </c>
      <c r="K98" s="49">
        <f>AVERAGE('9.08 KOTIDO-KABONG-24h'!K98,'10.08 KOTIDO-KABONG-24h'!K98)</f>
        <v>0</v>
      </c>
      <c r="L98" s="49">
        <f>AVERAGE('9.08 KOTIDO-KABONG-24h'!L98,'10.08 KOTIDO-KABONG-24h'!L98)</f>
        <v>0</v>
      </c>
      <c r="M98" s="49">
        <f>AVERAGE('9.08 KOTIDO-KABONG-24h'!M98,'10.08 KOTIDO-KABONG-24h'!M98)</f>
        <v>0.5</v>
      </c>
      <c r="N98" s="49">
        <f>AVERAGE('9.08 KOTIDO-KABONG-24h'!N98,'10.08 KOTIDO-KABONG-24h'!N98)</f>
        <v>0</v>
      </c>
      <c r="O98" s="15">
        <f t="shared" si="35"/>
        <v>0.5</v>
      </c>
      <c r="P98" s="15">
        <f t="shared" si="36"/>
        <v>1</v>
      </c>
      <c r="R98" s="8"/>
      <c r="T98"/>
    </row>
    <row r="99" spans="2:20" ht="23.1" customHeight="1" x14ac:dyDescent="0.25">
      <c r="B99" s="23" t="s">
        <v>139</v>
      </c>
      <c r="C99" s="49">
        <f>AVERAGE('9.08 KOTIDO-KABONG-24h'!C99,'10.08 KOTIDO-KABONG-24h'!C99)</f>
        <v>0</v>
      </c>
      <c r="D99" s="49">
        <f>AVERAGE('9.08 KOTIDO-KABONG-24h'!D99,'10.08 KOTIDO-KABONG-24h'!D99)</f>
        <v>1</v>
      </c>
      <c r="E99" s="49">
        <f>AVERAGE('9.08 KOTIDO-KABONG-24h'!E99,'10.08 KOTIDO-KABONG-24h'!E99)</f>
        <v>0</v>
      </c>
      <c r="F99" s="49">
        <f>AVERAGE('9.08 KOTIDO-KABONG-24h'!F99,'10.08 KOTIDO-KABONG-24h'!F99)</f>
        <v>0</v>
      </c>
      <c r="G99" s="49">
        <f>AVERAGE('9.08 KOTIDO-KABONG-24h'!G99,'10.08 KOTIDO-KABONG-24h'!G99)</f>
        <v>0</v>
      </c>
      <c r="H99" s="49">
        <f>AVERAGE('9.08 KOTIDO-KABONG-24h'!H99,'10.08 KOTIDO-KABONG-24h'!H99)</f>
        <v>0</v>
      </c>
      <c r="I99" s="49">
        <f>AVERAGE('9.08 KOTIDO-KABONG-24h'!I99,'10.08 KOTIDO-KABONG-24h'!I99)</f>
        <v>0</v>
      </c>
      <c r="J99" s="49">
        <f>AVERAGE('9.08 KOTIDO-KABONG-24h'!J99,'10.08 KOTIDO-KABONG-24h'!J99)</f>
        <v>0</v>
      </c>
      <c r="K99" s="49">
        <f>AVERAGE('9.08 KOTIDO-KABONG-24h'!K99,'10.08 KOTIDO-KABONG-24h'!K99)</f>
        <v>0</v>
      </c>
      <c r="L99" s="49">
        <f>AVERAGE('9.08 KOTIDO-KABONG-24h'!L99,'10.08 KOTIDO-KABONG-24h'!L99)</f>
        <v>0</v>
      </c>
      <c r="M99" s="49">
        <f>AVERAGE('9.08 KOTIDO-KABONG-24h'!M99,'10.08 KOTIDO-KABONG-24h'!M99)</f>
        <v>0.5</v>
      </c>
      <c r="N99" s="49">
        <f>AVERAGE('9.08 KOTIDO-KABONG-24h'!N99,'10.08 KOTIDO-KABONG-24h'!N99)</f>
        <v>0</v>
      </c>
      <c r="O99" s="15">
        <f t="shared" si="35"/>
        <v>1</v>
      </c>
      <c r="P99" s="15">
        <f t="shared" si="36"/>
        <v>1.5</v>
      </c>
      <c r="R99" s="8"/>
      <c r="T99"/>
    </row>
    <row r="100" spans="2:20" ht="23.1" customHeight="1" x14ac:dyDescent="0.25">
      <c r="B100" s="25" t="s">
        <v>140</v>
      </c>
      <c r="C100" s="49">
        <f>AVERAGE('9.08 KOTIDO-KABONG-24h'!C100,'10.08 KOTIDO-KABONG-24h'!C100)</f>
        <v>0</v>
      </c>
      <c r="D100" s="49">
        <f>AVERAGE('9.08 KOTIDO-KABONG-24h'!D100,'10.08 KOTIDO-KABONG-24h'!D100)</f>
        <v>0</v>
      </c>
      <c r="E100" s="49">
        <f>AVERAGE('9.08 KOTIDO-KABONG-24h'!E100,'10.08 KOTIDO-KABONG-24h'!E100)</f>
        <v>0</v>
      </c>
      <c r="F100" s="49">
        <f>AVERAGE('9.08 KOTIDO-KABONG-24h'!F100,'10.08 KOTIDO-KABONG-24h'!F100)</f>
        <v>0</v>
      </c>
      <c r="G100" s="49">
        <f>AVERAGE('9.08 KOTIDO-KABONG-24h'!G100,'10.08 KOTIDO-KABONG-24h'!G100)</f>
        <v>0</v>
      </c>
      <c r="H100" s="49">
        <f>AVERAGE('9.08 KOTIDO-KABONG-24h'!H100,'10.08 KOTIDO-KABONG-24h'!H100)</f>
        <v>0</v>
      </c>
      <c r="I100" s="49">
        <f>AVERAGE('9.08 KOTIDO-KABONG-24h'!I100,'10.08 KOTIDO-KABONG-24h'!I100)</f>
        <v>0</v>
      </c>
      <c r="J100" s="49">
        <f>AVERAGE('9.08 KOTIDO-KABONG-24h'!J100,'10.08 KOTIDO-KABONG-24h'!J100)</f>
        <v>0</v>
      </c>
      <c r="K100" s="49">
        <f>AVERAGE('9.08 KOTIDO-KABONG-24h'!K100,'10.08 KOTIDO-KABONG-24h'!K100)</f>
        <v>0</v>
      </c>
      <c r="L100" s="49">
        <f>AVERAGE('9.08 KOTIDO-KABONG-24h'!L100,'10.08 KOTIDO-KABONG-24h'!L100)</f>
        <v>0</v>
      </c>
      <c r="M100" s="49">
        <f>AVERAGE('9.08 KOTIDO-KABONG-24h'!M100,'10.08 KOTIDO-KABONG-24h'!M100)</f>
        <v>0</v>
      </c>
      <c r="N100" s="49">
        <f>AVERAGE('9.08 KOTIDO-KABONG-24h'!N100,'10.08 KOTIDO-KABONG-24h'!N100)</f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23" t="s">
        <v>141</v>
      </c>
      <c r="C101" s="49">
        <f>AVERAGE('9.08 KOTIDO-KABONG-24h'!C101,'10.08 KOTIDO-KABONG-24h'!C101)</f>
        <v>0</v>
      </c>
      <c r="D101" s="49">
        <f>AVERAGE('9.08 KOTIDO-KABONG-24h'!D101,'10.08 KOTIDO-KABONG-24h'!D101)</f>
        <v>0</v>
      </c>
      <c r="E101" s="49">
        <f>AVERAGE('9.08 KOTIDO-KABONG-24h'!E101,'10.08 KOTIDO-KABONG-24h'!E101)</f>
        <v>0</v>
      </c>
      <c r="F101" s="49">
        <f>AVERAGE('9.08 KOTIDO-KABONG-24h'!F101,'10.08 KOTIDO-KABONG-24h'!F101)</f>
        <v>0</v>
      </c>
      <c r="G101" s="49">
        <f>AVERAGE('9.08 KOTIDO-KABONG-24h'!G101,'10.08 KOTIDO-KABONG-24h'!G101)</f>
        <v>0</v>
      </c>
      <c r="H101" s="49">
        <f>AVERAGE('9.08 KOTIDO-KABONG-24h'!H101,'10.08 KOTIDO-KABONG-24h'!H101)</f>
        <v>0</v>
      </c>
      <c r="I101" s="49">
        <f>AVERAGE('9.08 KOTIDO-KABONG-24h'!I101,'10.08 KOTIDO-KABONG-24h'!I101)</f>
        <v>0</v>
      </c>
      <c r="J101" s="49">
        <f>AVERAGE('9.08 KOTIDO-KABONG-24h'!J101,'10.08 KOTIDO-KABONG-24h'!J101)</f>
        <v>0</v>
      </c>
      <c r="K101" s="49">
        <f>AVERAGE('9.08 KOTIDO-KABONG-24h'!K101,'10.08 KOTIDO-KABONG-24h'!K101)</f>
        <v>0</v>
      </c>
      <c r="L101" s="49">
        <f>AVERAGE('9.08 KOTIDO-KABONG-24h'!L101,'10.08 KOTIDO-KABONG-24h'!L101)</f>
        <v>0</v>
      </c>
      <c r="M101" s="49">
        <f>AVERAGE('9.08 KOTIDO-KABONG-24h'!M101,'10.08 KOTIDO-KABONG-24h'!M101)</f>
        <v>0</v>
      </c>
      <c r="N101" s="49">
        <f>AVERAGE('9.08 KOTIDO-KABONG-24h'!N101,'10.08 KOTIDO-KABONG-24h'!N101)</f>
        <v>0</v>
      </c>
      <c r="O101" s="15">
        <f t="shared" si="35"/>
        <v>0</v>
      </c>
      <c r="P101" s="15">
        <f t="shared" si="36"/>
        <v>0</v>
      </c>
      <c r="R101" s="8"/>
      <c r="T101"/>
    </row>
    <row r="102" spans="2:20" ht="23.1" customHeight="1" x14ac:dyDescent="0.25">
      <c r="B102" s="24" t="s">
        <v>142</v>
      </c>
      <c r="C102" s="49">
        <f>AVERAGE('9.08 KOTIDO-KABONG-24h'!C102,'10.08 KOTIDO-KABONG-24h'!C102)</f>
        <v>0</v>
      </c>
      <c r="D102" s="49">
        <f>AVERAGE('9.08 KOTIDO-KABONG-24h'!D102,'10.08 KOTIDO-KABONG-24h'!D102)</f>
        <v>0</v>
      </c>
      <c r="E102" s="49">
        <f>AVERAGE('9.08 KOTIDO-KABONG-24h'!E102,'10.08 KOTIDO-KABONG-24h'!E102)</f>
        <v>0</v>
      </c>
      <c r="F102" s="49">
        <f>AVERAGE('9.08 KOTIDO-KABONG-24h'!F102,'10.08 KOTIDO-KABONG-24h'!F102)</f>
        <v>0</v>
      </c>
      <c r="G102" s="49">
        <f>AVERAGE('9.08 KOTIDO-KABONG-24h'!G102,'10.08 KOTIDO-KABONG-24h'!G102)</f>
        <v>0</v>
      </c>
      <c r="H102" s="49">
        <f>AVERAGE('9.08 KOTIDO-KABONG-24h'!H102,'10.08 KOTIDO-KABONG-24h'!H102)</f>
        <v>0</v>
      </c>
      <c r="I102" s="49">
        <f>AVERAGE('9.08 KOTIDO-KABONG-24h'!I102,'10.08 KOTIDO-KABONG-24h'!I102)</f>
        <v>0</v>
      </c>
      <c r="J102" s="49">
        <f>AVERAGE('9.08 KOTIDO-KABONG-24h'!J102,'10.08 KOTIDO-KABONG-24h'!J102)</f>
        <v>0</v>
      </c>
      <c r="K102" s="49">
        <f>AVERAGE('9.08 KOTIDO-KABONG-24h'!K102,'10.08 KOTIDO-KABONG-24h'!K102)</f>
        <v>0</v>
      </c>
      <c r="L102" s="49">
        <f>AVERAGE('9.08 KOTIDO-KABONG-24h'!L102,'10.08 KOTIDO-KABONG-24h'!L102)</f>
        <v>0</v>
      </c>
      <c r="M102" s="49">
        <f>AVERAGE('9.08 KOTIDO-KABONG-24h'!M102,'10.08 KOTIDO-KABONG-24h'!M102)</f>
        <v>0.5</v>
      </c>
      <c r="N102" s="49">
        <f>AVERAGE('9.08 KOTIDO-KABONG-24h'!N102,'10.08 KOTIDO-KABONG-24h'!N102)</f>
        <v>0</v>
      </c>
      <c r="O102" s="15">
        <f t="shared" si="35"/>
        <v>0</v>
      </c>
      <c r="P102" s="15">
        <f t="shared" si="36"/>
        <v>0.5</v>
      </c>
      <c r="R102" s="8"/>
      <c r="T102"/>
    </row>
    <row r="103" spans="2:20" ht="23.1" customHeight="1" x14ac:dyDescent="0.25">
      <c r="B103" s="23" t="s">
        <v>143</v>
      </c>
      <c r="C103" s="49">
        <f>AVERAGE('9.08 KOTIDO-KABONG-24h'!C103,'10.08 KOTIDO-KABONG-24h'!C103)</f>
        <v>0</v>
      </c>
      <c r="D103" s="49">
        <f>AVERAGE('9.08 KOTIDO-KABONG-24h'!D103,'10.08 KOTIDO-KABONG-24h'!D103)</f>
        <v>1</v>
      </c>
      <c r="E103" s="49">
        <f>AVERAGE('9.08 KOTIDO-KABONG-24h'!E103,'10.08 KOTIDO-KABONG-24h'!E103)</f>
        <v>0.5</v>
      </c>
      <c r="F103" s="49">
        <f>AVERAGE('9.08 KOTIDO-KABONG-24h'!F103,'10.08 KOTIDO-KABONG-24h'!F103)</f>
        <v>0</v>
      </c>
      <c r="G103" s="49">
        <f>AVERAGE('9.08 KOTIDO-KABONG-24h'!G103,'10.08 KOTIDO-KABONG-24h'!G103)</f>
        <v>0</v>
      </c>
      <c r="H103" s="49">
        <f>AVERAGE('9.08 KOTIDO-KABONG-24h'!H103,'10.08 KOTIDO-KABONG-24h'!H103)</f>
        <v>0</v>
      </c>
      <c r="I103" s="49">
        <f>AVERAGE('9.08 KOTIDO-KABONG-24h'!I103,'10.08 KOTIDO-KABONG-24h'!I103)</f>
        <v>0</v>
      </c>
      <c r="J103" s="49">
        <f>AVERAGE('9.08 KOTIDO-KABONG-24h'!J103,'10.08 KOTIDO-KABONG-24h'!J103)</f>
        <v>0.5</v>
      </c>
      <c r="K103" s="49">
        <f>AVERAGE('9.08 KOTIDO-KABONG-24h'!K103,'10.08 KOTIDO-KABONG-24h'!K103)</f>
        <v>0</v>
      </c>
      <c r="L103" s="49">
        <f>AVERAGE('9.08 KOTIDO-KABONG-24h'!L103,'10.08 KOTIDO-KABONG-24h'!L103)</f>
        <v>0</v>
      </c>
      <c r="M103" s="49">
        <f>AVERAGE('9.08 KOTIDO-KABONG-24h'!M103,'10.08 KOTIDO-KABONG-24h'!M103)</f>
        <v>1</v>
      </c>
      <c r="N103" s="49">
        <f>AVERAGE('9.08 KOTIDO-KABONG-24h'!N103,'10.08 KOTIDO-KABONG-24h'!N103)</f>
        <v>0</v>
      </c>
      <c r="O103" s="15">
        <f t="shared" si="35"/>
        <v>2</v>
      </c>
      <c r="P103" s="15">
        <f t="shared" si="36"/>
        <v>3</v>
      </c>
      <c r="R103" s="8"/>
      <c r="T103"/>
    </row>
    <row r="104" spans="2:20" ht="23.1" customHeight="1" x14ac:dyDescent="0.25">
      <c r="B104" s="25" t="s">
        <v>144</v>
      </c>
      <c r="C104" s="49">
        <f>AVERAGE('9.08 KOTIDO-KABONG-24h'!C104,'10.08 KOTIDO-KABONG-24h'!C104)</f>
        <v>0</v>
      </c>
      <c r="D104" s="49">
        <f>AVERAGE('9.08 KOTIDO-KABONG-24h'!D104,'10.08 KOTIDO-KABONG-24h'!D104)</f>
        <v>0</v>
      </c>
      <c r="E104" s="49">
        <f>AVERAGE('9.08 KOTIDO-KABONG-24h'!E104,'10.08 KOTIDO-KABONG-24h'!E104)</f>
        <v>0</v>
      </c>
      <c r="F104" s="49">
        <f>AVERAGE('9.08 KOTIDO-KABONG-24h'!F104,'10.08 KOTIDO-KABONG-24h'!F104)</f>
        <v>0</v>
      </c>
      <c r="G104" s="49">
        <f>AVERAGE('9.08 KOTIDO-KABONG-24h'!G104,'10.08 KOTIDO-KABONG-24h'!G104)</f>
        <v>0</v>
      </c>
      <c r="H104" s="49">
        <f>AVERAGE('9.08 KOTIDO-KABONG-24h'!H104,'10.08 KOTIDO-KABONG-24h'!H104)</f>
        <v>0</v>
      </c>
      <c r="I104" s="49">
        <f>AVERAGE('9.08 KOTIDO-KABONG-24h'!I104,'10.08 KOTIDO-KABONG-24h'!I104)</f>
        <v>0.5</v>
      </c>
      <c r="J104" s="49">
        <f>AVERAGE('9.08 KOTIDO-KABONG-24h'!J104,'10.08 KOTIDO-KABONG-24h'!J104)</f>
        <v>0</v>
      </c>
      <c r="K104" s="49">
        <f>AVERAGE('9.08 KOTIDO-KABONG-24h'!K104,'10.08 KOTIDO-KABONG-24h'!K104)</f>
        <v>0</v>
      </c>
      <c r="L104" s="49">
        <f>AVERAGE('9.08 KOTIDO-KABONG-24h'!L104,'10.08 KOTIDO-KABONG-24h'!L104)</f>
        <v>0</v>
      </c>
      <c r="M104" s="49">
        <f>AVERAGE('9.08 KOTIDO-KABONG-24h'!M104,'10.08 KOTIDO-KABONG-24h'!M104)</f>
        <v>1</v>
      </c>
      <c r="N104" s="49">
        <f>AVERAGE('9.08 KOTIDO-KABONG-24h'!N104,'10.08 KOTIDO-KABONG-24h'!N104)</f>
        <v>0</v>
      </c>
      <c r="O104" s="15">
        <f t="shared" si="35"/>
        <v>0.5</v>
      </c>
      <c r="P104" s="15">
        <f t="shared" si="36"/>
        <v>1.5</v>
      </c>
      <c r="R104" s="8"/>
      <c r="T104"/>
    </row>
    <row r="105" spans="2:20" ht="23.1" customHeight="1" x14ac:dyDescent="0.25">
      <c r="B105" s="23" t="s">
        <v>145</v>
      </c>
      <c r="C105" s="49">
        <f>AVERAGE('9.08 KOTIDO-KABONG-24h'!C105,'10.08 KOTIDO-KABONG-24h'!C105)</f>
        <v>0</v>
      </c>
      <c r="D105" s="49">
        <f>AVERAGE('9.08 KOTIDO-KABONG-24h'!D105,'10.08 KOTIDO-KABONG-24h'!D105)</f>
        <v>0</v>
      </c>
      <c r="E105" s="49">
        <f>AVERAGE('9.08 KOTIDO-KABONG-24h'!E105,'10.08 KOTIDO-KABONG-24h'!E105)</f>
        <v>1</v>
      </c>
      <c r="F105" s="49">
        <f>AVERAGE('9.08 KOTIDO-KABONG-24h'!F105,'10.08 KOTIDO-KABONG-24h'!F105)</f>
        <v>0</v>
      </c>
      <c r="G105" s="49">
        <f>AVERAGE('9.08 KOTIDO-KABONG-24h'!G105,'10.08 KOTIDO-KABONG-24h'!G105)</f>
        <v>0</v>
      </c>
      <c r="H105" s="49">
        <f>AVERAGE('9.08 KOTIDO-KABONG-24h'!H105,'10.08 KOTIDO-KABONG-24h'!H105)</f>
        <v>0</v>
      </c>
      <c r="I105" s="49">
        <f>AVERAGE('9.08 KOTIDO-KABONG-24h'!I105,'10.08 KOTIDO-KABONG-24h'!I105)</f>
        <v>0</v>
      </c>
      <c r="J105" s="49">
        <f>AVERAGE('9.08 KOTIDO-KABONG-24h'!J105,'10.08 KOTIDO-KABONG-24h'!J105)</f>
        <v>0</v>
      </c>
      <c r="K105" s="49">
        <f>AVERAGE('9.08 KOTIDO-KABONG-24h'!K105,'10.08 KOTIDO-KABONG-24h'!K105)</f>
        <v>0</v>
      </c>
      <c r="L105" s="49">
        <f>AVERAGE('9.08 KOTIDO-KABONG-24h'!L105,'10.08 KOTIDO-KABONG-24h'!L105)</f>
        <v>0</v>
      </c>
      <c r="M105" s="49">
        <f>AVERAGE('9.08 KOTIDO-KABONG-24h'!M105,'10.08 KOTIDO-KABONG-24h'!M105)</f>
        <v>0.5</v>
      </c>
      <c r="N105" s="49">
        <f>AVERAGE('9.08 KOTIDO-KABONG-24h'!N105,'10.08 KOTIDO-KABONG-24h'!N105)</f>
        <v>0</v>
      </c>
      <c r="O105" s="15">
        <f t="shared" si="35"/>
        <v>1</v>
      </c>
      <c r="P105" s="15">
        <f t="shared" si="36"/>
        <v>1.5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4.5714285714285712</v>
      </c>
      <c r="D106" s="16">
        <f t="shared" ref="D106:P106" si="37">SUM(D10:D105)</f>
        <v>23.142857142857139</v>
      </c>
      <c r="E106" s="16">
        <f t="shared" si="37"/>
        <v>17.857142857142861</v>
      </c>
      <c r="F106" s="16">
        <f t="shared" si="37"/>
        <v>0.2857142857142857</v>
      </c>
      <c r="G106" s="16">
        <f t="shared" si="37"/>
        <v>0.2857142857142857</v>
      </c>
      <c r="H106" s="16">
        <f t="shared" si="37"/>
        <v>0.99999999999999978</v>
      </c>
      <c r="I106" s="16">
        <f t="shared" si="37"/>
        <v>8</v>
      </c>
      <c r="J106" s="16">
        <f t="shared" si="37"/>
        <v>11.642857142857144</v>
      </c>
      <c r="K106" s="16">
        <f t="shared" si="37"/>
        <v>0.14285714285714285</v>
      </c>
      <c r="L106" s="16">
        <f t="shared" si="37"/>
        <v>0</v>
      </c>
      <c r="M106" s="16">
        <f t="shared" si="37"/>
        <v>54.357142857142861</v>
      </c>
      <c r="N106" s="16">
        <f t="shared" si="37"/>
        <v>0</v>
      </c>
      <c r="O106" s="16">
        <f t="shared" si="37"/>
        <v>66.928571428571431</v>
      </c>
      <c r="P106" s="16">
        <f t="shared" si="37"/>
        <v>121.28571428571428</v>
      </c>
      <c r="Q106" s="16"/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3.7691401648998819E-2</v>
      </c>
      <c r="D107" s="43">
        <f t="shared" si="38"/>
        <v>0.19081272084805651</v>
      </c>
      <c r="E107" s="43">
        <f t="shared" si="38"/>
        <v>0.1472320376914017</v>
      </c>
      <c r="F107" s="43">
        <f t="shared" si="38"/>
        <v>2.3557126030624262E-3</v>
      </c>
      <c r="G107" s="43">
        <f t="shared" si="38"/>
        <v>2.3557126030624262E-3</v>
      </c>
      <c r="H107" s="43">
        <f t="shared" si="38"/>
        <v>8.2449941107184902E-3</v>
      </c>
      <c r="I107" s="43">
        <f t="shared" si="38"/>
        <v>6.5959952885747949E-2</v>
      </c>
      <c r="J107" s="43">
        <f t="shared" si="38"/>
        <v>9.5995288574793891E-2</v>
      </c>
      <c r="K107" s="43">
        <f t="shared" si="38"/>
        <v>1.1778563015312131E-3</v>
      </c>
      <c r="L107" s="43">
        <f t="shared" si="38"/>
        <v>0</v>
      </c>
      <c r="M107" s="43">
        <f t="shared" si="38"/>
        <v>0.4481743227326267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6.8303094983991453E-2</v>
      </c>
      <c r="D108" s="44">
        <f t="shared" ref="D108:N108" si="39">D106/$O$106</f>
        <v>0.34578441835645668</v>
      </c>
      <c r="E108" s="44">
        <f t="shared" si="39"/>
        <v>0.26680896478121668</v>
      </c>
      <c r="F108" s="44">
        <f t="shared" si="39"/>
        <v>4.2689434364994658E-3</v>
      </c>
      <c r="G108" s="44">
        <f t="shared" si="39"/>
        <v>4.2689434364994658E-3</v>
      </c>
      <c r="H108" s="44">
        <f t="shared" si="39"/>
        <v>1.4941302027748129E-2</v>
      </c>
      <c r="I108" s="44">
        <f t="shared" si="39"/>
        <v>0.11953041622198506</v>
      </c>
      <c r="J108" s="44">
        <f t="shared" si="39"/>
        <v>0.17395944503735328</v>
      </c>
      <c r="K108" s="44">
        <f t="shared" si="39"/>
        <v>2.1344717182497329E-3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249977111117893"/>
  </sheetPr>
  <dimension ref="B1:AF174"/>
  <sheetViews>
    <sheetView tabSelected="1" view="pageBreakPreview" zoomScale="60" workbookViewId="0">
      <selection activeCell="M104" sqref="M10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e">
        <f>#REF!</f>
        <v>#REF!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8" t="s">
        <v>165</v>
      </c>
      <c r="E5" s="69"/>
      <c r="F5" s="41" t="s">
        <v>1</v>
      </c>
      <c r="G5" s="66" t="e">
        <f>'Avg Week KOTIDO-KABONG'!G5:H5</f>
        <v>#REF!</v>
      </c>
      <c r="H5" s="67"/>
      <c r="I5" s="14"/>
      <c r="J5" s="2" t="s">
        <v>5</v>
      </c>
      <c r="K5" s="66" t="e">
        <f>'Avg Week KOTIDO-KABONG'!K5:L5</f>
        <v>#REF!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70" t="s">
        <v>161</v>
      </c>
      <c r="E6" s="71"/>
      <c r="F6" s="2" t="s">
        <v>2</v>
      </c>
      <c r="G6" s="70" t="s">
        <v>161</v>
      </c>
      <c r="H6" s="71"/>
      <c r="J6" s="2" t="s">
        <v>21</v>
      </c>
      <c r="K6" s="66" t="e">
        <f>'Avg Week KOTIDO-KABONG'!K6:L6</f>
        <v>#REF!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KABONG-KOTIDO'!C10+'Avg Week KOTIDO-KABONG'!C10</f>
        <v>0.14285714285714285</v>
      </c>
      <c r="D10" s="49">
        <f>'Avg Week KABONG-KOTIDO'!D10+'Avg Week KOTIDO-KABONG'!D10</f>
        <v>1.2857142857142856</v>
      </c>
      <c r="E10" s="49">
        <f>'Avg Week KABONG-KOTIDO'!E10+'Avg Week KOTIDO-KABONG'!E10</f>
        <v>1.7142857142857142</v>
      </c>
      <c r="F10" s="49">
        <f>'Avg Week KABONG-KOTIDO'!F10+'Avg Week KOTIDO-KABONG'!F10</f>
        <v>0</v>
      </c>
      <c r="G10" s="49">
        <f>'Avg Week KABONG-KOTIDO'!G10+'Avg Week KOTIDO-KABONG'!G10</f>
        <v>0</v>
      </c>
      <c r="H10" s="49">
        <f>'Avg Week KABONG-KOTIDO'!H10+'Avg Week KOTIDO-KABONG'!H10</f>
        <v>0</v>
      </c>
      <c r="I10" s="49">
        <f>'Avg Week KABONG-KOTIDO'!I10+'Avg Week KOTIDO-KABONG'!I10</f>
        <v>1</v>
      </c>
      <c r="J10" s="49">
        <f>'Avg Week KABONG-KOTIDO'!J10+'Avg Week KOTIDO-KABONG'!J10</f>
        <v>0.85714285714285721</v>
      </c>
      <c r="K10" s="49">
        <f>'Avg Week KABONG-KOTIDO'!K10+'Avg Week KOTIDO-KABONG'!K10</f>
        <v>0</v>
      </c>
      <c r="L10" s="49">
        <f>'Avg Week KABONG-KOTIDO'!L10+'Avg Week KOTIDO-KABONG'!L10</f>
        <v>0</v>
      </c>
      <c r="M10" s="49">
        <f>'Avg Week KABONG-KOTIDO'!M10+'Avg Week KOTIDO-KABONG'!M10</f>
        <v>2.4285714285714284</v>
      </c>
      <c r="N10" s="49">
        <f>'Avg Week KABONG-KOTIDO'!N10+'Avg Week KOTIDO-KABONG'!N10</f>
        <v>0</v>
      </c>
      <c r="O10" s="15">
        <f t="shared" ref="O10:O73" si="0">SUM(C10:L10,N10)</f>
        <v>5</v>
      </c>
      <c r="P10" s="15">
        <f t="shared" ref="P10:P73" si="1">SUM(C10:N10)</f>
        <v>7.4285714285714288</v>
      </c>
      <c r="R10" s="1" t="s">
        <v>6</v>
      </c>
      <c r="S10" s="17">
        <f t="shared" ref="S10:AF10" si="2">SUM(C10:C13)</f>
        <v>1</v>
      </c>
      <c r="T10" s="17">
        <f t="shared" si="2"/>
        <v>2.9999999999999996</v>
      </c>
      <c r="U10" s="17">
        <f t="shared" si="2"/>
        <v>3.4285714285714284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2.5714285714285712</v>
      </c>
      <c r="Z10" s="17">
        <f t="shared" si="2"/>
        <v>1.8571428571428572</v>
      </c>
      <c r="AA10" s="17">
        <f t="shared" si="2"/>
        <v>0.2857142857142857</v>
      </c>
      <c r="AB10" s="17">
        <f t="shared" si="2"/>
        <v>0</v>
      </c>
      <c r="AC10" s="17">
        <f t="shared" si="2"/>
        <v>4.7142857142857144</v>
      </c>
      <c r="AD10" s="17">
        <f t="shared" si="2"/>
        <v>0.14285714285714285</v>
      </c>
      <c r="AE10" s="31">
        <f t="shared" si="2"/>
        <v>12.285714285714286</v>
      </c>
      <c r="AF10" s="31">
        <f t="shared" si="2"/>
        <v>17</v>
      </c>
    </row>
    <row r="11" spans="2:32" s="6" customFormat="1" ht="23.1" customHeight="1" x14ac:dyDescent="0.25">
      <c r="B11" s="23" t="s">
        <v>38</v>
      </c>
      <c r="C11" s="49">
        <f>'Avg Week KABONG-KOTIDO'!C11+'Avg Week KOTIDO-KABONG'!C11</f>
        <v>0.42857142857142855</v>
      </c>
      <c r="D11" s="49">
        <f>'Avg Week KABONG-KOTIDO'!D11+'Avg Week KOTIDO-KABONG'!D11</f>
        <v>0.14285714285714285</v>
      </c>
      <c r="E11" s="49">
        <f>'Avg Week KABONG-KOTIDO'!E11+'Avg Week KOTIDO-KABONG'!E11</f>
        <v>0</v>
      </c>
      <c r="F11" s="49">
        <f>'Avg Week KABONG-KOTIDO'!F11+'Avg Week KOTIDO-KABONG'!F11</f>
        <v>0</v>
      </c>
      <c r="G11" s="49">
        <f>'Avg Week KABONG-KOTIDO'!G11+'Avg Week KOTIDO-KABONG'!G11</f>
        <v>0</v>
      </c>
      <c r="H11" s="49">
        <f>'Avg Week KABONG-KOTIDO'!H11+'Avg Week KOTIDO-KABONG'!H11</f>
        <v>0</v>
      </c>
      <c r="I11" s="49">
        <f>'Avg Week KABONG-KOTIDO'!I11+'Avg Week KOTIDO-KABONG'!I11</f>
        <v>0.2857142857142857</v>
      </c>
      <c r="J11" s="49">
        <f>'Avg Week KABONG-KOTIDO'!J11+'Avg Week KOTIDO-KABONG'!J11</f>
        <v>0.42857142857142855</v>
      </c>
      <c r="K11" s="49">
        <f>'Avg Week KABONG-KOTIDO'!K11+'Avg Week KOTIDO-KABONG'!K11</f>
        <v>0.2857142857142857</v>
      </c>
      <c r="L11" s="49">
        <f>'Avg Week KABONG-KOTIDO'!L11+'Avg Week KOTIDO-KABONG'!L11</f>
        <v>0</v>
      </c>
      <c r="M11" s="49">
        <f>'Avg Week KABONG-KOTIDO'!M11+'Avg Week KOTIDO-KABONG'!M11</f>
        <v>0.85714285714285721</v>
      </c>
      <c r="N11" s="49">
        <f>'Avg Week KABONG-KOTIDO'!N11+'Avg Week KOTIDO-KABONG'!N11</f>
        <v>0</v>
      </c>
      <c r="O11" s="15">
        <f t="shared" si="0"/>
        <v>1.5714285714285712</v>
      </c>
      <c r="P11" s="15">
        <f t="shared" si="1"/>
        <v>2.4285714285714284</v>
      </c>
      <c r="R11" s="1" t="s">
        <v>7</v>
      </c>
      <c r="S11" s="17">
        <f t="shared" ref="S11:AF11" si="3">SUM(C14:C17)</f>
        <v>0.2857142857142857</v>
      </c>
      <c r="T11" s="17">
        <f t="shared" si="3"/>
        <v>1.4285714285714286</v>
      </c>
      <c r="U11" s="17">
        <f t="shared" si="3"/>
        <v>3.2857142857142856</v>
      </c>
      <c r="V11" s="17">
        <f t="shared" si="3"/>
        <v>0</v>
      </c>
      <c r="W11" s="17">
        <f t="shared" si="3"/>
        <v>0</v>
      </c>
      <c r="X11" s="17">
        <f t="shared" si="3"/>
        <v>0.14285714285714285</v>
      </c>
      <c r="Y11" s="17">
        <f t="shared" si="3"/>
        <v>2.714285714285714</v>
      </c>
      <c r="Z11" s="17">
        <f t="shared" si="3"/>
        <v>2.8571428571428568</v>
      </c>
      <c r="AA11" s="17">
        <f t="shared" si="3"/>
        <v>0.14285714285714285</v>
      </c>
      <c r="AB11" s="17">
        <f t="shared" si="3"/>
        <v>0</v>
      </c>
      <c r="AC11" s="17">
        <f t="shared" si="3"/>
        <v>5.4285714285714279</v>
      </c>
      <c r="AD11" s="17">
        <f t="shared" si="3"/>
        <v>0</v>
      </c>
      <c r="AE11" s="31">
        <f t="shared" si="3"/>
        <v>10.857142857142856</v>
      </c>
      <c r="AF11" s="31">
        <f t="shared" si="3"/>
        <v>16.285714285714285</v>
      </c>
    </row>
    <row r="12" spans="2:32" ht="23.1" customHeight="1" x14ac:dyDescent="0.25">
      <c r="B12" s="23" t="s">
        <v>39</v>
      </c>
      <c r="C12" s="49">
        <f>'Avg Week KABONG-KOTIDO'!C12+'Avg Week KOTIDO-KABONG'!C12</f>
        <v>0</v>
      </c>
      <c r="D12" s="49">
        <f>'Avg Week KABONG-KOTIDO'!D12+'Avg Week KOTIDO-KABONG'!D12</f>
        <v>0.2857142857142857</v>
      </c>
      <c r="E12" s="49">
        <f>'Avg Week KABONG-KOTIDO'!E12+'Avg Week KOTIDO-KABONG'!E12</f>
        <v>0.71428571428571419</v>
      </c>
      <c r="F12" s="49">
        <f>'Avg Week KABONG-KOTIDO'!F12+'Avg Week KOTIDO-KABONG'!F12</f>
        <v>0</v>
      </c>
      <c r="G12" s="49">
        <f>'Avg Week KABONG-KOTIDO'!G12+'Avg Week KOTIDO-KABONG'!G12</f>
        <v>0</v>
      </c>
      <c r="H12" s="49">
        <f>'Avg Week KABONG-KOTIDO'!H12+'Avg Week KOTIDO-KABONG'!H12</f>
        <v>0</v>
      </c>
      <c r="I12" s="49">
        <f>'Avg Week KABONG-KOTIDO'!I12+'Avg Week KOTIDO-KABONG'!I12</f>
        <v>0.2857142857142857</v>
      </c>
      <c r="J12" s="49">
        <f>'Avg Week KABONG-KOTIDO'!J12+'Avg Week KOTIDO-KABONG'!J12</f>
        <v>0.14285714285714285</v>
      </c>
      <c r="K12" s="49">
        <f>'Avg Week KABONG-KOTIDO'!K12+'Avg Week KOTIDO-KABONG'!K12</f>
        <v>0</v>
      </c>
      <c r="L12" s="49">
        <f>'Avg Week KABONG-KOTIDO'!L12+'Avg Week KOTIDO-KABONG'!L12</f>
        <v>0</v>
      </c>
      <c r="M12" s="49">
        <f>'Avg Week KABONG-KOTIDO'!M12+'Avg Week KOTIDO-KABONG'!M12</f>
        <v>1.2857142857142856</v>
      </c>
      <c r="N12" s="49">
        <f>'Avg Week KABONG-KOTIDO'!N12+'Avg Week KOTIDO-KABONG'!N12</f>
        <v>0</v>
      </c>
      <c r="O12" s="15">
        <f t="shared" si="0"/>
        <v>1.4285714285714284</v>
      </c>
      <c r="P12" s="15">
        <f t="shared" si="1"/>
        <v>2.714285714285714</v>
      </c>
      <c r="R12" s="1" t="s">
        <v>8</v>
      </c>
      <c r="S12" s="17">
        <f t="shared" ref="S12:AF12" si="4">SUM(C18:C21)</f>
        <v>0.85714285714285698</v>
      </c>
      <c r="T12" s="17">
        <f t="shared" si="4"/>
        <v>2.2857142857142856</v>
      </c>
      <c r="U12" s="17">
        <f t="shared" si="4"/>
        <v>1.1428571428571428</v>
      </c>
      <c r="V12" s="17">
        <f t="shared" si="4"/>
        <v>0.14285714285714285</v>
      </c>
      <c r="W12" s="17">
        <f t="shared" si="4"/>
        <v>0</v>
      </c>
      <c r="X12" s="17">
        <f t="shared" si="4"/>
        <v>0.2857142857142857</v>
      </c>
      <c r="Y12" s="17">
        <f t="shared" si="4"/>
        <v>0.5714285714285714</v>
      </c>
      <c r="Z12" s="17">
        <f t="shared" si="4"/>
        <v>0.71428571428571419</v>
      </c>
      <c r="AA12" s="17">
        <f t="shared" si="4"/>
        <v>0</v>
      </c>
      <c r="AB12" s="17">
        <f t="shared" si="4"/>
        <v>0</v>
      </c>
      <c r="AC12" s="17">
        <f t="shared" si="4"/>
        <v>7.1428571428571423</v>
      </c>
      <c r="AD12" s="17">
        <f t="shared" si="4"/>
        <v>0</v>
      </c>
      <c r="AE12" s="31">
        <f t="shared" si="4"/>
        <v>6</v>
      </c>
      <c r="AF12" s="31">
        <f t="shared" si="4"/>
        <v>13.142857142857142</v>
      </c>
    </row>
    <row r="13" spans="2:32" ht="23.1" customHeight="1" x14ac:dyDescent="0.25">
      <c r="B13" s="23" t="s">
        <v>40</v>
      </c>
      <c r="C13" s="49">
        <f>'Avg Week KABONG-KOTIDO'!C13+'Avg Week KOTIDO-KABONG'!C13</f>
        <v>0.42857142857142855</v>
      </c>
      <c r="D13" s="49">
        <f>'Avg Week KABONG-KOTIDO'!D13+'Avg Week KOTIDO-KABONG'!D13</f>
        <v>1.2857142857142856</v>
      </c>
      <c r="E13" s="49">
        <f>'Avg Week KABONG-KOTIDO'!E13+'Avg Week KOTIDO-KABONG'!E13</f>
        <v>1</v>
      </c>
      <c r="F13" s="49">
        <f>'Avg Week KABONG-KOTIDO'!F13+'Avg Week KOTIDO-KABONG'!F13</f>
        <v>0</v>
      </c>
      <c r="G13" s="49">
        <f>'Avg Week KABONG-KOTIDO'!G13+'Avg Week KOTIDO-KABONG'!G13</f>
        <v>0</v>
      </c>
      <c r="H13" s="49">
        <f>'Avg Week KABONG-KOTIDO'!H13+'Avg Week KOTIDO-KABONG'!H13</f>
        <v>0</v>
      </c>
      <c r="I13" s="49">
        <f>'Avg Week KABONG-KOTIDO'!I13+'Avg Week KOTIDO-KABONG'!I13</f>
        <v>1</v>
      </c>
      <c r="J13" s="49">
        <f>'Avg Week KABONG-KOTIDO'!J13+'Avg Week KOTIDO-KABONG'!J13</f>
        <v>0.42857142857142855</v>
      </c>
      <c r="K13" s="49">
        <f>'Avg Week KABONG-KOTIDO'!K13+'Avg Week KOTIDO-KABONG'!K13</f>
        <v>0</v>
      </c>
      <c r="L13" s="49">
        <f>'Avg Week KABONG-KOTIDO'!L13+'Avg Week KOTIDO-KABONG'!L13</f>
        <v>0</v>
      </c>
      <c r="M13" s="49">
        <f>'Avg Week KABONG-KOTIDO'!M13+'Avg Week KOTIDO-KABONG'!M13</f>
        <v>0.14285714285714285</v>
      </c>
      <c r="N13" s="49">
        <f>'Avg Week KABONG-KOTIDO'!N13+'Avg Week KOTIDO-KABONG'!N13</f>
        <v>0.14285714285714285</v>
      </c>
      <c r="O13" s="15">
        <f t="shared" si="0"/>
        <v>4.2857142857142865</v>
      </c>
      <c r="P13" s="15">
        <f t="shared" si="1"/>
        <v>4.4285714285714297</v>
      </c>
      <c r="R13" s="1" t="s">
        <v>9</v>
      </c>
      <c r="S13" s="17">
        <f t="shared" ref="S13:AF13" si="5">SUM(C22:C25)</f>
        <v>0.85714285714285721</v>
      </c>
      <c r="T13" s="17">
        <f t="shared" si="5"/>
        <v>2</v>
      </c>
      <c r="U13" s="17">
        <f t="shared" si="5"/>
        <v>1.1428571428571428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1.2857142857142856</v>
      </c>
      <c r="Z13" s="17">
        <f t="shared" si="5"/>
        <v>0.85714285714285698</v>
      </c>
      <c r="AA13" s="17">
        <f t="shared" si="5"/>
        <v>0.14285714285714285</v>
      </c>
      <c r="AB13" s="17">
        <f t="shared" si="5"/>
        <v>0</v>
      </c>
      <c r="AC13" s="17">
        <f t="shared" si="5"/>
        <v>3.714285714285714</v>
      </c>
      <c r="AD13" s="17">
        <f t="shared" si="5"/>
        <v>0</v>
      </c>
      <c r="AE13" s="31">
        <f t="shared" si="5"/>
        <v>6.2857142857142847</v>
      </c>
      <c r="AF13" s="31">
        <f t="shared" si="5"/>
        <v>10</v>
      </c>
    </row>
    <row r="14" spans="2:32" ht="23.1" customHeight="1" x14ac:dyDescent="0.25">
      <c r="B14" s="23" t="s">
        <v>41</v>
      </c>
      <c r="C14" s="49">
        <f>'Avg Week KABONG-KOTIDO'!C14+'Avg Week KOTIDO-KABONG'!C14</f>
        <v>0</v>
      </c>
      <c r="D14" s="49">
        <f>'Avg Week KABONG-KOTIDO'!D14+'Avg Week KOTIDO-KABONG'!D14</f>
        <v>0.42857142857142855</v>
      </c>
      <c r="E14" s="49">
        <f>'Avg Week KABONG-KOTIDO'!E14+'Avg Week KOTIDO-KABONG'!E14</f>
        <v>1.7142857142857144</v>
      </c>
      <c r="F14" s="49">
        <f>'Avg Week KABONG-KOTIDO'!F14+'Avg Week KOTIDO-KABONG'!F14</f>
        <v>0</v>
      </c>
      <c r="G14" s="49">
        <f>'Avg Week KABONG-KOTIDO'!G14+'Avg Week KOTIDO-KABONG'!G14</f>
        <v>0</v>
      </c>
      <c r="H14" s="49">
        <f>'Avg Week KABONG-KOTIDO'!H14+'Avg Week KOTIDO-KABONG'!H14</f>
        <v>0.14285714285714285</v>
      </c>
      <c r="I14" s="49">
        <f>'Avg Week KABONG-KOTIDO'!I14+'Avg Week KOTIDO-KABONG'!I14</f>
        <v>1.1428571428571428</v>
      </c>
      <c r="J14" s="49">
        <f>'Avg Week KABONG-KOTIDO'!J14+'Avg Week KOTIDO-KABONG'!J14</f>
        <v>0.2857142857142857</v>
      </c>
      <c r="K14" s="49">
        <f>'Avg Week KABONG-KOTIDO'!K14+'Avg Week KOTIDO-KABONG'!K14</f>
        <v>0.14285714285714285</v>
      </c>
      <c r="L14" s="49">
        <f>'Avg Week KABONG-KOTIDO'!L14+'Avg Week KOTIDO-KABONG'!L14</f>
        <v>0</v>
      </c>
      <c r="M14" s="49">
        <f>'Avg Week KABONG-KOTIDO'!M14+'Avg Week KOTIDO-KABONG'!M14</f>
        <v>1.5714285714285714</v>
      </c>
      <c r="N14" s="49">
        <f>'Avg Week KABONG-KOTIDO'!N14+'Avg Week KOTIDO-KABONG'!N14</f>
        <v>0</v>
      </c>
      <c r="O14" s="15">
        <f t="shared" si="0"/>
        <v>3.8571428571428568</v>
      </c>
      <c r="P14" s="15">
        <f t="shared" si="1"/>
        <v>5.4285714285714279</v>
      </c>
      <c r="R14" s="1" t="s">
        <v>10</v>
      </c>
      <c r="S14" s="17">
        <f t="shared" ref="S14:AF14" si="6">SUM(C26:C29)</f>
        <v>0.5714285714285714</v>
      </c>
      <c r="T14" s="17">
        <f t="shared" si="6"/>
        <v>1.5714285714285712</v>
      </c>
      <c r="U14" s="17">
        <f t="shared" si="6"/>
        <v>0.42857142857142855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0.5714285714285714</v>
      </c>
      <c r="Z14" s="17">
        <f t="shared" si="6"/>
        <v>0.5714285714285714</v>
      </c>
      <c r="AA14" s="17">
        <f t="shared" si="6"/>
        <v>0</v>
      </c>
      <c r="AB14" s="17">
        <f t="shared" si="6"/>
        <v>0</v>
      </c>
      <c r="AC14" s="17">
        <f t="shared" si="6"/>
        <v>2.8571428571428568</v>
      </c>
      <c r="AD14" s="17">
        <f t="shared" si="6"/>
        <v>0</v>
      </c>
      <c r="AE14" s="31">
        <f t="shared" si="6"/>
        <v>3.7142857142857135</v>
      </c>
      <c r="AF14" s="31">
        <f t="shared" si="6"/>
        <v>6.5714285714285712</v>
      </c>
    </row>
    <row r="15" spans="2:32" ht="23.1" customHeight="1" x14ac:dyDescent="0.25">
      <c r="B15" s="23" t="s">
        <v>42</v>
      </c>
      <c r="C15" s="49">
        <f>'Avg Week KABONG-KOTIDO'!C15+'Avg Week KOTIDO-KABONG'!C15</f>
        <v>0.14285714285714285</v>
      </c>
      <c r="D15" s="49">
        <f>'Avg Week KABONG-KOTIDO'!D15+'Avg Week KOTIDO-KABONG'!D15</f>
        <v>0</v>
      </c>
      <c r="E15" s="49">
        <f>'Avg Week KABONG-KOTIDO'!E15+'Avg Week KOTIDO-KABONG'!E15</f>
        <v>0.2857142857142857</v>
      </c>
      <c r="F15" s="49">
        <f>'Avg Week KABONG-KOTIDO'!F15+'Avg Week KOTIDO-KABONG'!F15</f>
        <v>0</v>
      </c>
      <c r="G15" s="49">
        <f>'Avg Week KABONG-KOTIDO'!G15+'Avg Week KOTIDO-KABONG'!G15</f>
        <v>0</v>
      </c>
      <c r="H15" s="49">
        <f>'Avg Week KABONG-KOTIDO'!H15+'Avg Week KOTIDO-KABONG'!H15</f>
        <v>0</v>
      </c>
      <c r="I15" s="49">
        <f>'Avg Week KABONG-KOTIDO'!I15+'Avg Week KOTIDO-KABONG'!I15</f>
        <v>0.7142857142857143</v>
      </c>
      <c r="J15" s="49">
        <f>'Avg Week KABONG-KOTIDO'!J15+'Avg Week KOTIDO-KABONG'!J15</f>
        <v>0.7142857142857143</v>
      </c>
      <c r="K15" s="49">
        <f>'Avg Week KABONG-KOTIDO'!K15+'Avg Week KOTIDO-KABONG'!K15</f>
        <v>0</v>
      </c>
      <c r="L15" s="49">
        <f>'Avg Week KABONG-KOTIDO'!L15+'Avg Week KOTIDO-KABONG'!L15</f>
        <v>0</v>
      </c>
      <c r="M15" s="49">
        <f>'Avg Week KABONG-KOTIDO'!M15+'Avg Week KOTIDO-KABONG'!M15</f>
        <v>2</v>
      </c>
      <c r="N15" s="49">
        <f>'Avg Week KABONG-KOTIDO'!N15+'Avg Week KOTIDO-KABONG'!N15</f>
        <v>0</v>
      </c>
      <c r="O15" s="15">
        <f t="shared" si="0"/>
        <v>1.8571428571428572</v>
      </c>
      <c r="P15" s="15">
        <f t="shared" si="1"/>
        <v>3.8571428571428572</v>
      </c>
      <c r="R15" s="1" t="s">
        <v>11</v>
      </c>
      <c r="S15" s="17">
        <f t="shared" ref="S15:AF15" si="7">SUM(C30:C33)</f>
        <v>0.2857142857142857</v>
      </c>
      <c r="T15" s="17">
        <f t="shared" si="7"/>
        <v>0.7142857142857143</v>
      </c>
      <c r="U15" s="17">
        <f t="shared" si="7"/>
        <v>0.5714285714285714</v>
      </c>
      <c r="V15" s="17">
        <f t="shared" si="7"/>
        <v>0.2857142857142857</v>
      </c>
      <c r="W15" s="17">
        <f t="shared" si="7"/>
        <v>0</v>
      </c>
      <c r="X15" s="17">
        <f t="shared" si="7"/>
        <v>0.14285714285714285</v>
      </c>
      <c r="Y15" s="17">
        <f t="shared" si="7"/>
        <v>0.42857142857142855</v>
      </c>
      <c r="Z15" s="17">
        <f t="shared" si="7"/>
        <v>0.2857142857142857</v>
      </c>
      <c r="AA15" s="17">
        <f t="shared" si="7"/>
        <v>0</v>
      </c>
      <c r="AB15" s="17">
        <f t="shared" si="7"/>
        <v>0</v>
      </c>
      <c r="AC15" s="17">
        <f t="shared" si="7"/>
        <v>5.1428571428571423</v>
      </c>
      <c r="AD15" s="17">
        <f t="shared" si="7"/>
        <v>0</v>
      </c>
      <c r="AE15" s="31">
        <f t="shared" si="7"/>
        <v>2.714285714285714</v>
      </c>
      <c r="AF15" s="31">
        <f t="shared" si="7"/>
        <v>7.8571428571428568</v>
      </c>
    </row>
    <row r="16" spans="2:32" ht="23.1" customHeight="1" x14ac:dyDescent="0.25">
      <c r="B16" s="23" t="s">
        <v>43</v>
      </c>
      <c r="C16" s="49">
        <f>'Avg Week KABONG-KOTIDO'!C16+'Avg Week KOTIDO-KABONG'!C16</f>
        <v>0.14285714285714285</v>
      </c>
      <c r="D16" s="49">
        <f>'Avg Week KABONG-KOTIDO'!D16+'Avg Week KOTIDO-KABONG'!D16</f>
        <v>0.14285714285714285</v>
      </c>
      <c r="E16" s="49">
        <f>'Avg Week KABONG-KOTIDO'!E16+'Avg Week KOTIDO-KABONG'!E16</f>
        <v>0.14285714285714285</v>
      </c>
      <c r="F16" s="49">
        <f>'Avg Week KABONG-KOTIDO'!F16+'Avg Week KOTIDO-KABONG'!F16</f>
        <v>0</v>
      </c>
      <c r="G16" s="49">
        <f>'Avg Week KABONG-KOTIDO'!G16+'Avg Week KOTIDO-KABONG'!G16</f>
        <v>0</v>
      </c>
      <c r="H16" s="49">
        <f>'Avg Week KABONG-KOTIDO'!H16+'Avg Week KOTIDO-KABONG'!H16</f>
        <v>0</v>
      </c>
      <c r="I16" s="49">
        <f>'Avg Week KABONG-KOTIDO'!I16+'Avg Week KOTIDO-KABONG'!I16</f>
        <v>0.42857142857142855</v>
      </c>
      <c r="J16" s="49">
        <f>'Avg Week KABONG-KOTIDO'!J16+'Avg Week KOTIDO-KABONG'!J16</f>
        <v>0.14285714285714285</v>
      </c>
      <c r="K16" s="49">
        <f>'Avg Week KABONG-KOTIDO'!K16+'Avg Week KOTIDO-KABONG'!K16</f>
        <v>0</v>
      </c>
      <c r="L16" s="49">
        <f>'Avg Week KABONG-KOTIDO'!L16+'Avg Week KOTIDO-KABONG'!L16</f>
        <v>0</v>
      </c>
      <c r="M16" s="49">
        <f>'Avg Week KABONG-KOTIDO'!M16+'Avg Week KOTIDO-KABONG'!M16</f>
        <v>0.5714285714285714</v>
      </c>
      <c r="N16" s="49">
        <f>'Avg Week KABONG-KOTIDO'!N16+'Avg Week KOTIDO-KABONG'!N16</f>
        <v>0</v>
      </c>
      <c r="O16" s="15">
        <f t="shared" si="0"/>
        <v>1</v>
      </c>
      <c r="P16" s="15">
        <f t="shared" si="1"/>
        <v>1.5714285714285714</v>
      </c>
      <c r="R16" s="1" t="s">
        <v>12</v>
      </c>
      <c r="S16" s="17">
        <f t="shared" ref="S16:AF16" si="8">SUM(C34:C37)</f>
        <v>0.14285714285714285</v>
      </c>
      <c r="T16" s="17">
        <f t="shared" si="8"/>
        <v>2.8571428571428568</v>
      </c>
      <c r="U16" s="17">
        <f t="shared" si="8"/>
        <v>0.5714285714285714</v>
      </c>
      <c r="V16" s="17">
        <f t="shared" si="8"/>
        <v>0.14285714285714285</v>
      </c>
      <c r="W16" s="17">
        <f t="shared" si="8"/>
        <v>0</v>
      </c>
      <c r="X16" s="17">
        <f t="shared" si="8"/>
        <v>0</v>
      </c>
      <c r="Y16" s="17">
        <f t="shared" si="8"/>
        <v>1.1428571428571428</v>
      </c>
      <c r="Z16" s="17">
        <f t="shared" si="8"/>
        <v>1.4285714285714284</v>
      </c>
      <c r="AA16" s="17">
        <f t="shared" si="8"/>
        <v>0</v>
      </c>
      <c r="AB16" s="17">
        <f t="shared" si="8"/>
        <v>0</v>
      </c>
      <c r="AC16" s="17">
        <f t="shared" si="8"/>
        <v>3.714285714285714</v>
      </c>
      <c r="AD16" s="17">
        <f t="shared" si="8"/>
        <v>0</v>
      </c>
      <c r="AE16" s="31">
        <f t="shared" si="8"/>
        <v>6.2857142857142847</v>
      </c>
      <c r="AF16" s="31">
        <f t="shared" si="8"/>
        <v>10</v>
      </c>
    </row>
    <row r="17" spans="2:32" ht="23.1" customHeight="1" x14ac:dyDescent="0.25">
      <c r="B17" s="23" t="s">
        <v>44</v>
      </c>
      <c r="C17" s="49">
        <f>'Avg Week KABONG-KOTIDO'!C17+'Avg Week KOTIDO-KABONG'!C17</f>
        <v>0</v>
      </c>
      <c r="D17" s="49">
        <f>'Avg Week KABONG-KOTIDO'!D17+'Avg Week KOTIDO-KABONG'!D17</f>
        <v>0.85714285714285721</v>
      </c>
      <c r="E17" s="49">
        <f>'Avg Week KABONG-KOTIDO'!E17+'Avg Week KOTIDO-KABONG'!E17</f>
        <v>1.1428571428571428</v>
      </c>
      <c r="F17" s="49">
        <f>'Avg Week KABONG-KOTIDO'!F17+'Avg Week KOTIDO-KABONG'!F17</f>
        <v>0</v>
      </c>
      <c r="G17" s="49">
        <f>'Avg Week KABONG-KOTIDO'!G17+'Avg Week KOTIDO-KABONG'!G17</f>
        <v>0</v>
      </c>
      <c r="H17" s="49">
        <f>'Avg Week KABONG-KOTIDO'!H17+'Avg Week KOTIDO-KABONG'!H17</f>
        <v>0</v>
      </c>
      <c r="I17" s="49">
        <f>'Avg Week KABONG-KOTIDO'!I17+'Avg Week KOTIDO-KABONG'!I17</f>
        <v>0.42857142857142855</v>
      </c>
      <c r="J17" s="49">
        <f>'Avg Week KABONG-KOTIDO'!J17+'Avg Week KOTIDO-KABONG'!J17</f>
        <v>1.7142857142857142</v>
      </c>
      <c r="K17" s="49">
        <f>'Avg Week KABONG-KOTIDO'!K17+'Avg Week KOTIDO-KABONG'!K17</f>
        <v>0</v>
      </c>
      <c r="L17" s="49">
        <f>'Avg Week KABONG-KOTIDO'!L17+'Avg Week KOTIDO-KABONG'!L17</f>
        <v>0</v>
      </c>
      <c r="M17" s="49">
        <f>'Avg Week KABONG-KOTIDO'!M17+'Avg Week KOTIDO-KABONG'!M17</f>
        <v>1.2857142857142856</v>
      </c>
      <c r="N17" s="49">
        <f>'Avg Week KABONG-KOTIDO'!N17+'Avg Week KOTIDO-KABONG'!N17</f>
        <v>0</v>
      </c>
      <c r="O17" s="15">
        <f t="shared" si="0"/>
        <v>4.1428571428571423</v>
      </c>
      <c r="P17" s="15">
        <f t="shared" si="1"/>
        <v>5.4285714285714279</v>
      </c>
      <c r="R17" s="1" t="s">
        <v>13</v>
      </c>
      <c r="S17" s="17">
        <f t="shared" ref="S17:AF17" si="9">SUM(C38:C41)</f>
        <v>0.2857142857142857</v>
      </c>
      <c r="T17" s="17">
        <f t="shared" si="9"/>
        <v>1.857142857142857</v>
      </c>
      <c r="U17" s="17">
        <f t="shared" si="9"/>
        <v>1.1428571428571428</v>
      </c>
      <c r="V17" s="17">
        <f t="shared" si="9"/>
        <v>0.14285714285714285</v>
      </c>
      <c r="W17" s="17">
        <f t="shared" si="9"/>
        <v>0</v>
      </c>
      <c r="X17" s="17">
        <f t="shared" si="9"/>
        <v>0</v>
      </c>
      <c r="Y17" s="17">
        <f t="shared" si="9"/>
        <v>1.4285714285714284</v>
      </c>
      <c r="Z17" s="17">
        <f t="shared" si="9"/>
        <v>0.14285714285714285</v>
      </c>
      <c r="AA17" s="17">
        <f t="shared" si="9"/>
        <v>0</v>
      </c>
      <c r="AB17" s="17">
        <f t="shared" si="9"/>
        <v>0</v>
      </c>
      <c r="AC17" s="17">
        <f t="shared" si="9"/>
        <v>2.4285714285714288</v>
      </c>
      <c r="AD17" s="17">
        <f t="shared" si="9"/>
        <v>0</v>
      </c>
      <c r="AE17" s="31">
        <f t="shared" si="9"/>
        <v>5</v>
      </c>
      <c r="AF17" s="31">
        <f t="shared" si="9"/>
        <v>7.4285714285714279</v>
      </c>
    </row>
    <row r="18" spans="2:32" ht="23.1" customHeight="1" x14ac:dyDescent="0.25">
      <c r="B18" s="23" t="s">
        <v>45</v>
      </c>
      <c r="C18" s="49">
        <f>'Avg Week KABONG-KOTIDO'!C18+'Avg Week KOTIDO-KABONG'!C18</f>
        <v>0</v>
      </c>
      <c r="D18" s="49">
        <f>'Avg Week KABONG-KOTIDO'!D18+'Avg Week KOTIDO-KABONG'!D18</f>
        <v>0.14285714285714285</v>
      </c>
      <c r="E18" s="49">
        <f>'Avg Week KABONG-KOTIDO'!E18+'Avg Week KOTIDO-KABONG'!E18</f>
        <v>0</v>
      </c>
      <c r="F18" s="49">
        <f>'Avg Week KABONG-KOTIDO'!F18+'Avg Week KOTIDO-KABONG'!F18</f>
        <v>0</v>
      </c>
      <c r="G18" s="49">
        <f>'Avg Week KABONG-KOTIDO'!G18+'Avg Week KOTIDO-KABONG'!G18</f>
        <v>0</v>
      </c>
      <c r="H18" s="49">
        <f>'Avg Week KABONG-KOTIDO'!H18+'Avg Week KOTIDO-KABONG'!H18</f>
        <v>0</v>
      </c>
      <c r="I18" s="49">
        <f>'Avg Week KABONG-KOTIDO'!I18+'Avg Week KOTIDO-KABONG'!I18</f>
        <v>0.14285714285714285</v>
      </c>
      <c r="J18" s="49">
        <f>'Avg Week KABONG-KOTIDO'!J18+'Avg Week KOTIDO-KABONG'!J18</f>
        <v>0.5714285714285714</v>
      </c>
      <c r="K18" s="49">
        <f>'Avg Week KABONG-KOTIDO'!K18+'Avg Week KOTIDO-KABONG'!K18</f>
        <v>0</v>
      </c>
      <c r="L18" s="49">
        <f>'Avg Week KABONG-KOTIDO'!L18+'Avg Week KOTIDO-KABONG'!L18</f>
        <v>0</v>
      </c>
      <c r="M18" s="49">
        <f>'Avg Week KABONG-KOTIDO'!M18+'Avg Week KOTIDO-KABONG'!M18</f>
        <v>2.2857142857142856</v>
      </c>
      <c r="N18" s="49">
        <f>'Avg Week KABONG-KOTIDO'!N18+'Avg Week KOTIDO-KABONG'!N18</f>
        <v>0</v>
      </c>
      <c r="O18" s="15">
        <f t="shared" si="0"/>
        <v>0.8571428571428571</v>
      </c>
      <c r="P18" s="15">
        <f t="shared" si="1"/>
        <v>3.1428571428571428</v>
      </c>
      <c r="R18" s="1" t="s">
        <v>14</v>
      </c>
      <c r="S18" s="17">
        <f t="shared" ref="S18:AF18" si="10">SUM(C42:C45)</f>
        <v>0</v>
      </c>
      <c r="T18" s="17">
        <f t="shared" si="10"/>
        <v>1.8571428571428572</v>
      </c>
      <c r="U18" s="17">
        <f t="shared" si="10"/>
        <v>1.4285714285714284</v>
      </c>
      <c r="V18" s="17">
        <f t="shared" si="10"/>
        <v>0</v>
      </c>
      <c r="W18" s="17">
        <f t="shared" si="10"/>
        <v>0</v>
      </c>
      <c r="X18" s="17">
        <f t="shared" si="10"/>
        <v>0.14285714285714285</v>
      </c>
      <c r="Y18" s="17">
        <f t="shared" si="10"/>
        <v>1.714285714285714</v>
      </c>
      <c r="Z18" s="17">
        <f t="shared" si="10"/>
        <v>0.2857142857142857</v>
      </c>
      <c r="AA18" s="17">
        <f t="shared" si="10"/>
        <v>0</v>
      </c>
      <c r="AB18" s="17">
        <f t="shared" si="10"/>
        <v>0</v>
      </c>
      <c r="AC18" s="17">
        <f t="shared" si="10"/>
        <v>5.8571428571428568</v>
      </c>
      <c r="AD18" s="17">
        <f t="shared" si="10"/>
        <v>0</v>
      </c>
      <c r="AE18" s="31">
        <f t="shared" si="10"/>
        <v>5.4285714285714279</v>
      </c>
      <c r="AF18" s="31">
        <f t="shared" si="10"/>
        <v>11.285714285714285</v>
      </c>
    </row>
    <row r="19" spans="2:32" ht="23.1" customHeight="1" x14ac:dyDescent="0.25">
      <c r="B19" s="23" t="s">
        <v>46</v>
      </c>
      <c r="C19" s="49">
        <f>'Avg Week KABONG-KOTIDO'!C19+'Avg Week KOTIDO-KABONG'!C19</f>
        <v>0.42857142857142855</v>
      </c>
      <c r="D19" s="49">
        <f>'Avg Week KABONG-KOTIDO'!D19+'Avg Week KOTIDO-KABONG'!D19</f>
        <v>1.1428571428571428</v>
      </c>
      <c r="E19" s="49">
        <f>'Avg Week KABONG-KOTIDO'!E19+'Avg Week KOTIDO-KABONG'!E19</f>
        <v>0.42857142857142855</v>
      </c>
      <c r="F19" s="49">
        <f>'Avg Week KABONG-KOTIDO'!F19+'Avg Week KOTIDO-KABONG'!F19</f>
        <v>0</v>
      </c>
      <c r="G19" s="49">
        <f>'Avg Week KABONG-KOTIDO'!G19+'Avg Week KOTIDO-KABONG'!G19</f>
        <v>0</v>
      </c>
      <c r="H19" s="49">
        <f>'Avg Week KABONG-KOTIDO'!H19+'Avg Week KOTIDO-KABONG'!H19</f>
        <v>0</v>
      </c>
      <c r="I19" s="49">
        <f>'Avg Week KABONG-KOTIDO'!I19+'Avg Week KOTIDO-KABONG'!I19</f>
        <v>0.42857142857142855</v>
      </c>
      <c r="J19" s="49">
        <f>'Avg Week KABONG-KOTIDO'!J19+'Avg Week KOTIDO-KABONG'!J19</f>
        <v>0.14285714285714285</v>
      </c>
      <c r="K19" s="49">
        <f>'Avg Week KABONG-KOTIDO'!K19+'Avg Week KOTIDO-KABONG'!K19</f>
        <v>0</v>
      </c>
      <c r="L19" s="49">
        <f>'Avg Week KABONG-KOTIDO'!L19+'Avg Week KOTIDO-KABONG'!L19</f>
        <v>0</v>
      </c>
      <c r="M19" s="49">
        <f>'Avg Week KABONG-KOTIDO'!M19+'Avg Week KOTIDO-KABONG'!M19</f>
        <v>1.5714285714285714</v>
      </c>
      <c r="N19" s="49">
        <f>'Avg Week KABONG-KOTIDO'!N19+'Avg Week KOTIDO-KABONG'!N19</f>
        <v>0</v>
      </c>
      <c r="O19" s="15">
        <f t="shared" si="0"/>
        <v>2.5714285714285712</v>
      </c>
      <c r="P19" s="15">
        <f t="shared" si="1"/>
        <v>4.1428571428571423</v>
      </c>
      <c r="R19" s="1" t="s">
        <v>15</v>
      </c>
      <c r="S19" s="17">
        <f t="shared" ref="S19:AF19" si="11">SUM(C46:C49)</f>
        <v>0.2857142857142857</v>
      </c>
      <c r="T19" s="17">
        <f t="shared" si="11"/>
        <v>3.4285714285714284</v>
      </c>
      <c r="U19" s="17">
        <f t="shared" si="11"/>
        <v>1.7142857142857142</v>
      </c>
      <c r="V19" s="17">
        <f t="shared" si="11"/>
        <v>0</v>
      </c>
      <c r="W19" s="17">
        <f t="shared" si="11"/>
        <v>0.2857142857142857</v>
      </c>
      <c r="X19" s="17">
        <f t="shared" si="11"/>
        <v>0</v>
      </c>
      <c r="Y19" s="17">
        <f t="shared" si="11"/>
        <v>0.5714285714285714</v>
      </c>
      <c r="Z19" s="17">
        <f t="shared" si="11"/>
        <v>0.85714285714285698</v>
      </c>
      <c r="AA19" s="17">
        <f t="shared" si="11"/>
        <v>0</v>
      </c>
      <c r="AB19" s="17">
        <f t="shared" si="11"/>
        <v>0</v>
      </c>
      <c r="AC19" s="17">
        <f t="shared" si="11"/>
        <v>5.4285714285714279</v>
      </c>
      <c r="AD19" s="17">
        <f t="shared" si="11"/>
        <v>0</v>
      </c>
      <c r="AE19" s="31">
        <f t="shared" si="11"/>
        <v>7.1428571428571415</v>
      </c>
      <c r="AF19" s="31">
        <f t="shared" si="11"/>
        <v>12.571428571428571</v>
      </c>
    </row>
    <row r="20" spans="2:32" ht="23.1" customHeight="1" x14ac:dyDescent="0.25">
      <c r="B20" s="23" t="s">
        <v>47</v>
      </c>
      <c r="C20" s="49">
        <f>'Avg Week KABONG-KOTIDO'!C20+'Avg Week KOTIDO-KABONG'!C20</f>
        <v>0.2857142857142857</v>
      </c>
      <c r="D20" s="49">
        <f>'Avg Week KABONG-KOTIDO'!D20+'Avg Week KOTIDO-KABONG'!D20</f>
        <v>0.2857142857142857</v>
      </c>
      <c r="E20" s="49">
        <f>'Avg Week KABONG-KOTIDO'!E20+'Avg Week KOTIDO-KABONG'!E20</f>
        <v>0.14285714285714285</v>
      </c>
      <c r="F20" s="49">
        <f>'Avg Week KABONG-KOTIDO'!F20+'Avg Week KOTIDO-KABONG'!F20</f>
        <v>0.14285714285714285</v>
      </c>
      <c r="G20" s="49">
        <f>'Avg Week KABONG-KOTIDO'!G20+'Avg Week KOTIDO-KABONG'!G20</f>
        <v>0</v>
      </c>
      <c r="H20" s="49">
        <f>'Avg Week KABONG-KOTIDO'!H20+'Avg Week KOTIDO-KABONG'!H20</f>
        <v>0.2857142857142857</v>
      </c>
      <c r="I20" s="49">
        <f>'Avg Week KABONG-KOTIDO'!I20+'Avg Week KOTIDO-KABONG'!I20</f>
        <v>0</v>
      </c>
      <c r="J20" s="49">
        <f>'Avg Week KABONG-KOTIDO'!J20+'Avg Week KOTIDO-KABONG'!J20</f>
        <v>0</v>
      </c>
      <c r="K20" s="49">
        <f>'Avg Week KABONG-KOTIDO'!K20+'Avg Week KOTIDO-KABONG'!K20</f>
        <v>0</v>
      </c>
      <c r="L20" s="49">
        <f>'Avg Week KABONG-KOTIDO'!L20+'Avg Week KOTIDO-KABONG'!L20</f>
        <v>0</v>
      </c>
      <c r="M20" s="49">
        <f>'Avg Week KABONG-KOTIDO'!M20+'Avg Week KOTIDO-KABONG'!M20</f>
        <v>2.4285714285714288</v>
      </c>
      <c r="N20" s="49">
        <f>'Avg Week KABONG-KOTIDO'!N20+'Avg Week KOTIDO-KABONG'!N20</f>
        <v>0</v>
      </c>
      <c r="O20" s="15">
        <f t="shared" si="0"/>
        <v>1.1428571428571428</v>
      </c>
      <c r="P20" s="15">
        <f t="shared" si="1"/>
        <v>3.5714285714285716</v>
      </c>
      <c r="R20" s="1" t="s">
        <v>16</v>
      </c>
      <c r="S20" s="17">
        <f t="shared" ref="S20:AF20" si="12">SUM(C50:C53)</f>
        <v>0.2857142857142857</v>
      </c>
      <c r="T20" s="17">
        <f t="shared" si="12"/>
        <v>1.8571428571428568</v>
      </c>
      <c r="U20" s="17">
        <f t="shared" si="12"/>
        <v>4.1428571428571423</v>
      </c>
      <c r="V20" s="17">
        <f t="shared" si="12"/>
        <v>0</v>
      </c>
      <c r="W20" s="17">
        <f t="shared" si="12"/>
        <v>0</v>
      </c>
      <c r="X20" s="17">
        <f t="shared" si="12"/>
        <v>0.42857142857142855</v>
      </c>
      <c r="Y20" s="17">
        <f t="shared" si="12"/>
        <v>0.5714285714285714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4.5714285714285712</v>
      </c>
      <c r="AD20" s="17">
        <f t="shared" si="12"/>
        <v>0</v>
      </c>
      <c r="AE20" s="31">
        <f t="shared" si="12"/>
        <v>8.2857142857142847</v>
      </c>
      <c r="AF20" s="31">
        <f t="shared" si="12"/>
        <v>12.857142857142856</v>
      </c>
    </row>
    <row r="21" spans="2:32" ht="23.1" customHeight="1" x14ac:dyDescent="0.25">
      <c r="B21" s="23" t="s">
        <v>48</v>
      </c>
      <c r="C21" s="49">
        <f>'Avg Week KABONG-KOTIDO'!C21+'Avg Week KOTIDO-KABONG'!C21</f>
        <v>0.14285714285714285</v>
      </c>
      <c r="D21" s="49">
        <f>'Avg Week KABONG-KOTIDO'!D21+'Avg Week KOTIDO-KABONG'!D21</f>
        <v>0.7142857142857143</v>
      </c>
      <c r="E21" s="49">
        <f>'Avg Week KABONG-KOTIDO'!E21+'Avg Week KOTIDO-KABONG'!E21</f>
        <v>0.5714285714285714</v>
      </c>
      <c r="F21" s="49">
        <f>'Avg Week KABONG-KOTIDO'!F21+'Avg Week KOTIDO-KABONG'!F21</f>
        <v>0</v>
      </c>
      <c r="G21" s="49">
        <f>'Avg Week KABONG-KOTIDO'!G21+'Avg Week KOTIDO-KABONG'!G21</f>
        <v>0</v>
      </c>
      <c r="H21" s="49">
        <f>'Avg Week KABONG-KOTIDO'!H21+'Avg Week KOTIDO-KABONG'!H21</f>
        <v>0</v>
      </c>
      <c r="I21" s="49">
        <f>'Avg Week KABONG-KOTIDO'!I21+'Avg Week KOTIDO-KABONG'!I21</f>
        <v>0</v>
      </c>
      <c r="J21" s="49">
        <f>'Avg Week KABONG-KOTIDO'!J21+'Avg Week KOTIDO-KABONG'!J21</f>
        <v>0</v>
      </c>
      <c r="K21" s="49">
        <f>'Avg Week KABONG-KOTIDO'!K21+'Avg Week KOTIDO-KABONG'!K21</f>
        <v>0</v>
      </c>
      <c r="L21" s="49">
        <f>'Avg Week KABONG-KOTIDO'!L21+'Avg Week KOTIDO-KABONG'!L21</f>
        <v>0</v>
      </c>
      <c r="M21" s="49">
        <f>'Avg Week KABONG-KOTIDO'!M21+'Avg Week KOTIDO-KABONG'!M21</f>
        <v>0.8571428571428571</v>
      </c>
      <c r="N21" s="49">
        <f>'Avg Week KABONG-KOTIDO'!N21+'Avg Week KOTIDO-KABONG'!N21</f>
        <v>0</v>
      </c>
      <c r="O21" s="15">
        <f t="shared" si="0"/>
        <v>1.4285714285714286</v>
      </c>
      <c r="P21" s="15">
        <f t="shared" si="1"/>
        <v>2.2857142857142856</v>
      </c>
      <c r="R21" s="36" t="s">
        <v>20</v>
      </c>
      <c r="S21" s="34">
        <f t="shared" ref="S21:AF21" si="13">SUM(C54:C57)</f>
        <v>0.71428571428571419</v>
      </c>
      <c r="T21" s="17">
        <f t="shared" si="13"/>
        <v>2.8571428571428572</v>
      </c>
      <c r="U21" s="17">
        <f t="shared" si="13"/>
        <v>2.7142857142857144</v>
      </c>
      <c r="V21" s="17">
        <f t="shared" si="13"/>
        <v>0</v>
      </c>
      <c r="W21" s="17">
        <f t="shared" si="13"/>
        <v>0</v>
      </c>
      <c r="X21" s="17">
        <f t="shared" si="13"/>
        <v>0.71428571428571419</v>
      </c>
      <c r="Y21" s="17">
        <f t="shared" si="13"/>
        <v>1.1428571428571428</v>
      </c>
      <c r="Z21" s="17">
        <f t="shared" si="13"/>
        <v>0.5714285714285714</v>
      </c>
      <c r="AA21" s="17">
        <f t="shared" si="13"/>
        <v>0</v>
      </c>
      <c r="AB21" s="17">
        <f t="shared" si="13"/>
        <v>0</v>
      </c>
      <c r="AC21" s="17">
        <f t="shared" si="13"/>
        <v>5.2857142857142865</v>
      </c>
      <c r="AD21" s="17">
        <f t="shared" si="13"/>
        <v>0</v>
      </c>
      <c r="AE21" s="31">
        <f t="shared" si="13"/>
        <v>8.7142857142857135</v>
      </c>
      <c r="AF21" s="31">
        <f t="shared" si="13"/>
        <v>14</v>
      </c>
    </row>
    <row r="22" spans="2:32" ht="23.1" customHeight="1" x14ac:dyDescent="0.25">
      <c r="B22" s="23" t="s">
        <v>49</v>
      </c>
      <c r="C22" s="49">
        <f>'Avg Week KABONG-KOTIDO'!C22+'Avg Week KOTIDO-KABONG'!C22</f>
        <v>0</v>
      </c>
      <c r="D22" s="49">
        <f>'Avg Week KABONG-KOTIDO'!D22+'Avg Week KOTIDO-KABONG'!D22</f>
        <v>1</v>
      </c>
      <c r="E22" s="49">
        <f>'Avg Week KABONG-KOTIDO'!E22+'Avg Week KOTIDO-KABONG'!E22</f>
        <v>0.2857142857142857</v>
      </c>
      <c r="F22" s="49">
        <f>'Avg Week KABONG-KOTIDO'!F22+'Avg Week KOTIDO-KABONG'!F22</f>
        <v>0</v>
      </c>
      <c r="G22" s="49">
        <f>'Avg Week KABONG-KOTIDO'!G22+'Avg Week KOTIDO-KABONG'!G22</f>
        <v>0</v>
      </c>
      <c r="H22" s="49">
        <f>'Avg Week KABONG-KOTIDO'!H22+'Avg Week KOTIDO-KABONG'!H22</f>
        <v>0</v>
      </c>
      <c r="I22" s="49">
        <f>'Avg Week KABONG-KOTIDO'!I22+'Avg Week KOTIDO-KABONG'!I22</f>
        <v>0.2857142857142857</v>
      </c>
      <c r="J22" s="49">
        <f>'Avg Week KABONG-KOTIDO'!J22+'Avg Week KOTIDO-KABONG'!J22</f>
        <v>0.42857142857142855</v>
      </c>
      <c r="K22" s="49">
        <f>'Avg Week KABONG-KOTIDO'!K22+'Avg Week KOTIDO-KABONG'!K22</f>
        <v>0</v>
      </c>
      <c r="L22" s="49">
        <f>'Avg Week KABONG-KOTIDO'!L22+'Avg Week KOTIDO-KABONG'!L22</f>
        <v>0</v>
      </c>
      <c r="M22" s="49">
        <f>'Avg Week KABONG-KOTIDO'!M22+'Avg Week KOTIDO-KABONG'!M22</f>
        <v>1.1428571428571428</v>
      </c>
      <c r="N22" s="49">
        <f>'Avg Week KABONG-KOTIDO'!N22+'Avg Week KOTIDO-KABONG'!N22</f>
        <v>0</v>
      </c>
      <c r="O22" s="15">
        <f t="shared" si="0"/>
        <v>1.9999999999999998</v>
      </c>
      <c r="P22" s="15">
        <f t="shared" si="1"/>
        <v>3.1428571428571423</v>
      </c>
      <c r="R22" s="1" t="s">
        <v>146</v>
      </c>
      <c r="S22" s="34">
        <f>SUM(C58:C61)</f>
        <v>1</v>
      </c>
      <c r="T22" s="34">
        <f t="shared" ref="T22:AF22" si="14">SUM(D58:D61)</f>
        <v>4</v>
      </c>
      <c r="U22" s="34">
        <f t="shared" si="14"/>
        <v>4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2.5</v>
      </c>
      <c r="Z22" s="34">
        <f t="shared" si="14"/>
        <v>2.5</v>
      </c>
      <c r="AA22" s="34">
        <f t="shared" si="14"/>
        <v>0.5</v>
      </c>
      <c r="AB22" s="34">
        <f t="shared" si="14"/>
        <v>0</v>
      </c>
      <c r="AC22" s="34">
        <f t="shared" si="14"/>
        <v>6.5</v>
      </c>
      <c r="AD22" s="34">
        <f t="shared" si="14"/>
        <v>0</v>
      </c>
      <c r="AE22" s="31">
        <f t="shared" si="14"/>
        <v>14.5</v>
      </c>
      <c r="AF22" s="31">
        <f t="shared" si="14"/>
        <v>21</v>
      </c>
    </row>
    <row r="23" spans="2:32" ht="23.1" customHeight="1" x14ac:dyDescent="0.25">
      <c r="B23" s="23" t="s">
        <v>50</v>
      </c>
      <c r="C23" s="49">
        <f>'Avg Week KABONG-KOTIDO'!C23+'Avg Week KOTIDO-KABONG'!C23</f>
        <v>0</v>
      </c>
      <c r="D23" s="49">
        <f>'Avg Week KABONG-KOTIDO'!D23+'Avg Week KOTIDO-KABONG'!D23</f>
        <v>0.42857142857142855</v>
      </c>
      <c r="E23" s="49">
        <f>'Avg Week KABONG-KOTIDO'!E23+'Avg Week KOTIDO-KABONG'!E23</f>
        <v>0</v>
      </c>
      <c r="F23" s="49">
        <f>'Avg Week KABONG-KOTIDO'!F23+'Avg Week KOTIDO-KABONG'!F23</f>
        <v>0</v>
      </c>
      <c r="G23" s="49">
        <f>'Avg Week KABONG-KOTIDO'!G23+'Avg Week KOTIDO-KABONG'!G23</f>
        <v>0</v>
      </c>
      <c r="H23" s="49">
        <f>'Avg Week KABONG-KOTIDO'!H23+'Avg Week KOTIDO-KABONG'!H23</f>
        <v>0</v>
      </c>
      <c r="I23" s="49">
        <f>'Avg Week KABONG-KOTIDO'!I23+'Avg Week KOTIDO-KABONG'!I23</f>
        <v>0.7142857142857143</v>
      </c>
      <c r="J23" s="49">
        <f>'Avg Week KABONG-KOTIDO'!J23+'Avg Week KOTIDO-KABONG'!J23</f>
        <v>0.2857142857142857</v>
      </c>
      <c r="K23" s="49">
        <f>'Avg Week KABONG-KOTIDO'!K23+'Avg Week KOTIDO-KABONG'!K23</f>
        <v>0</v>
      </c>
      <c r="L23" s="49">
        <f>'Avg Week KABONG-KOTIDO'!L23+'Avg Week KOTIDO-KABONG'!L23</f>
        <v>0</v>
      </c>
      <c r="M23" s="49">
        <f>'Avg Week KABONG-KOTIDO'!M23+'Avg Week KOTIDO-KABONG'!M23</f>
        <v>0.5714285714285714</v>
      </c>
      <c r="N23" s="49">
        <f>'Avg Week KABONG-KOTIDO'!N23+'Avg Week KOTIDO-KABONG'!N23</f>
        <v>0</v>
      </c>
      <c r="O23" s="15">
        <f t="shared" si="0"/>
        <v>1.4285714285714284</v>
      </c>
      <c r="P23" s="15">
        <f t="shared" si="1"/>
        <v>1.9999999999999998</v>
      </c>
      <c r="R23" s="1" t="s">
        <v>147</v>
      </c>
      <c r="S23" s="34">
        <f>SUM(C62:C65)</f>
        <v>0</v>
      </c>
      <c r="T23" s="34">
        <f t="shared" ref="T23:AF23" si="15">SUM(D62:D65)</f>
        <v>2</v>
      </c>
      <c r="U23" s="34">
        <f t="shared" si="15"/>
        <v>4.5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3.5</v>
      </c>
      <c r="Z23" s="34">
        <f t="shared" si="15"/>
        <v>3.5</v>
      </c>
      <c r="AA23" s="34">
        <f t="shared" si="15"/>
        <v>0</v>
      </c>
      <c r="AB23" s="34">
        <f t="shared" si="15"/>
        <v>0</v>
      </c>
      <c r="AC23" s="34">
        <f t="shared" si="15"/>
        <v>6</v>
      </c>
      <c r="AD23" s="34">
        <f t="shared" si="15"/>
        <v>0</v>
      </c>
      <c r="AE23" s="31">
        <f t="shared" si="15"/>
        <v>13.5</v>
      </c>
      <c r="AF23" s="31">
        <f t="shared" si="15"/>
        <v>19.5</v>
      </c>
    </row>
    <row r="24" spans="2:32" ht="23.1" customHeight="1" x14ac:dyDescent="0.25">
      <c r="B24" s="23" t="s">
        <v>51</v>
      </c>
      <c r="C24" s="49">
        <f>'Avg Week KABONG-KOTIDO'!C24+'Avg Week KOTIDO-KABONG'!C24</f>
        <v>0.14285714285714285</v>
      </c>
      <c r="D24" s="49">
        <f>'Avg Week KABONG-KOTIDO'!D24+'Avg Week KOTIDO-KABONG'!D24</f>
        <v>0.2857142857142857</v>
      </c>
      <c r="E24" s="49">
        <f>'Avg Week KABONG-KOTIDO'!E24+'Avg Week KOTIDO-KABONG'!E24</f>
        <v>0.85714285714285721</v>
      </c>
      <c r="F24" s="49">
        <f>'Avg Week KABONG-KOTIDO'!F24+'Avg Week KOTIDO-KABONG'!F24</f>
        <v>0</v>
      </c>
      <c r="G24" s="49">
        <f>'Avg Week KABONG-KOTIDO'!G24+'Avg Week KOTIDO-KABONG'!G24</f>
        <v>0</v>
      </c>
      <c r="H24" s="49">
        <f>'Avg Week KABONG-KOTIDO'!H24+'Avg Week KOTIDO-KABONG'!H24</f>
        <v>0</v>
      </c>
      <c r="I24" s="49">
        <f>'Avg Week KABONG-KOTIDO'!I24+'Avg Week KOTIDO-KABONG'!I24</f>
        <v>0.2857142857142857</v>
      </c>
      <c r="J24" s="49">
        <f>'Avg Week KABONG-KOTIDO'!J24+'Avg Week KOTIDO-KABONG'!J24</f>
        <v>0.14285714285714285</v>
      </c>
      <c r="K24" s="49">
        <f>'Avg Week KABONG-KOTIDO'!K24+'Avg Week KOTIDO-KABONG'!K24</f>
        <v>0</v>
      </c>
      <c r="L24" s="49">
        <f>'Avg Week KABONG-KOTIDO'!L24+'Avg Week KOTIDO-KABONG'!L24</f>
        <v>0</v>
      </c>
      <c r="M24" s="49">
        <f>'Avg Week KABONG-KOTIDO'!M24+'Avg Week KOTIDO-KABONG'!M24</f>
        <v>1.1428571428571428</v>
      </c>
      <c r="N24" s="49">
        <f>'Avg Week KABONG-KOTIDO'!N24+'Avg Week KOTIDO-KABONG'!N24</f>
        <v>0</v>
      </c>
      <c r="O24" s="15">
        <f t="shared" si="0"/>
        <v>1.7142857142857144</v>
      </c>
      <c r="P24" s="15">
        <f t="shared" si="1"/>
        <v>2.8571428571428572</v>
      </c>
      <c r="R24" s="1" t="s">
        <v>148</v>
      </c>
      <c r="S24" s="34">
        <f>SUM(C66:C69)</f>
        <v>0.5</v>
      </c>
      <c r="T24" s="34">
        <f t="shared" ref="T24:AF24" si="16">SUM(D66:D69)</f>
        <v>3</v>
      </c>
      <c r="U24" s="34">
        <f t="shared" si="16"/>
        <v>0.5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0.5</v>
      </c>
      <c r="Z24" s="34">
        <f t="shared" si="16"/>
        <v>1</v>
      </c>
      <c r="AA24" s="34">
        <f t="shared" si="16"/>
        <v>0</v>
      </c>
      <c r="AB24" s="34">
        <f t="shared" si="16"/>
        <v>0</v>
      </c>
      <c r="AC24" s="34">
        <f t="shared" si="16"/>
        <v>10</v>
      </c>
      <c r="AD24" s="34">
        <f t="shared" si="16"/>
        <v>0</v>
      </c>
      <c r="AE24" s="31">
        <f t="shared" si="16"/>
        <v>5.5</v>
      </c>
      <c r="AF24" s="31">
        <f t="shared" si="16"/>
        <v>15.5</v>
      </c>
    </row>
    <row r="25" spans="2:32" ht="23.1" customHeight="1" x14ac:dyDescent="0.25">
      <c r="B25" s="23" t="s">
        <v>52</v>
      </c>
      <c r="C25" s="49">
        <f>'Avg Week KABONG-KOTIDO'!C25+'Avg Week KOTIDO-KABONG'!C25</f>
        <v>0.7142857142857143</v>
      </c>
      <c r="D25" s="49">
        <f>'Avg Week KABONG-KOTIDO'!D25+'Avg Week KOTIDO-KABONG'!D25</f>
        <v>0.2857142857142857</v>
      </c>
      <c r="E25" s="49">
        <f>'Avg Week KABONG-KOTIDO'!E25+'Avg Week KOTIDO-KABONG'!E25</f>
        <v>0</v>
      </c>
      <c r="F25" s="49">
        <f>'Avg Week KABONG-KOTIDO'!F25+'Avg Week KOTIDO-KABONG'!F25</f>
        <v>0</v>
      </c>
      <c r="G25" s="49">
        <f>'Avg Week KABONG-KOTIDO'!G25+'Avg Week KOTIDO-KABONG'!G25</f>
        <v>0</v>
      </c>
      <c r="H25" s="49">
        <f>'Avg Week KABONG-KOTIDO'!H25+'Avg Week KOTIDO-KABONG'!H25</f>
        <v>0</v>
      </c>
      <c r="I25" s="49">
        <f>'Avg Week KABONG-KOTIDO'!I25+'Avg Week KOTIDO-KABONG'!I25</f>
        <v>0</v>
      </c>
      <c r="J25" s="49">
        <f>'Avg Week KABONG-KOTIDO'!J25+'Avg Week KOTIDO-KABONG'!J25</f>
        <v>0</v>
      </c>
      <c r="K25" s="49">
        <f>'Avg Week KABONG-KOTIDO'!K25+'Avg Week KOTIDO-KABONG'!K25</f>
        <v>0.14285714285714285</v>
      </c>
      <c r="L25" s="49">
        <f>'Avg Week KABONG-KOTIDO'!L25+'Avg Week KOTIDO-KABONG'!L25</f>
        <v>0</v>
      </c>
      <c r="M25" s="49">
        <f>'Avg Week KABONG-KOTIDO'!M25+'Avg Week KOTIDO-KABONG'!M25</f>
        <v>0.8571428571428571</v>
      </c>
      <c r="N25" s="49">
        <f>'Avg Week KABONG-KOTIDO'!N25+'Avg Week KOTIDO-KABONG'!N25</f>
        <v>0</v>
      </c>
      <c r="O25" s="15">
        <f t="shared" si="0"/>
        <v>1.1428571428571428</v>
      </c>
      <c r="P25" s="15">
        <f t="shared" si="1"/>
        <v>2</v>
      </c>
      <c r="R25" s="1" t="s">
        <v>149</v>
      </c>
      <c r="S25" s="34">
        <f>SUM(C70:C73)</f>
        <v>1.5</v>
      </c>
      <c r="T25" s="34">
        <f t="shared" ref="T25:AF25" si="17">SUM(D70:D73)</f>
        <v>1</v>
      </c>
      <c r="U25" s="34">
        <f t="shared" si="17"/>
        <v>1.5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0.5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6</v>
      </c>
      <c r="AD25" s="34">
        <f t="shared" si="17"/>
        <v>0</v>
      </c>
      <c r="AE25" s="31">
        <f t="shared" si="17"/>
        <v>4.5</v>
      </c>
      <c r="AF25" s="31">
        <f t="shared" si="17"/>
        <v>10.5</v>
      </c>
    </row>
    <row r="26" spans="2:32" ht="23.1" customHeight="1" x14ac:dyDescent="0.25">
      <c r="B26" s="23" t="s">
        <v>53</v>
      </c>
      <c r="C26" s="49">
        <f>'Avg Week KABONG-KOTIDO'!C26+'Avg Week KOTIDO-KABONG'!C26</f>
        <v>0.14285714285714285</v>
      </c>
      <c r="D26" s="49">
        <f>'Avg Week KABONG-KOTIDO'!D26+'Avg Week KOTIDO-KABONG'!D26</f>
        <v>0</v>
      </c>
      <c r="E26" s="49">
        <f>'Avg Week KABONG-KOTIDO'!E26+'Avg Week KOTIDO-KABONG'!E26</f>
        <v>0.14285714285714285</v>
      </c>
      <c r="F26" s="49">
        <f>'Avg Week KABONG-KOTIDO'!F26+'Avg Week KOTIDO-KABONG'!F26</f>
        <v>0</v>
      </c>
      <c r="G26" s="49">
        <f>'Avg Week KABONG-KOTIDO'!G26+'Avg Week KOTIDO-KABONG'!G26</f>
        <v>0</v>
      </c>
      <c r="H26" s="49">
        <f>'Avg Week KABONG-KOTIDO'!H26+'Avg Week KOTIDO-KABONG'!H26</f>
        <v>0</v>
      </c>
      <c r="I26" s="49">
        <f>'Avg Week KABONG-KOTIDO'!I26+'Avg Week KOTIDO-KABONG'!I26</f>
        <v>0.2857142857142857</v>
      </c>
      <c r="J26" s="49">
        <f>'Avg Week KABONG-KOTIDO'!J26+'Avg Week KOTIDO-KABONG'!J26</f>
        <v>0.42857142857142855</v>
      </c>
      <c r="K26" s="49">
        <f>'Avg Week KABONG-KOTIDO'!K26+'Avg Week KOTIDO-KABONG'!K26</f>
        <v>0</v>
      </c>
      <c r="L26" s="49">
        <f>'Avg Week KABONG-KOTIDO'!L26+'Avg Week KOTIDO-KABONG'!L26</f>
        <v>0</v>
      </c>
      <c r="M26" s="49">
        <f>'Avg Week KABONG-KOTIDO'!M26+'Avg Week KOTIDO-KABONG'!M26</f>
        <v>0.14285714285714285</v>
      </c>
      <c r="N26" s="49">
        <f>'Avg Week KABONG-KOTIDO'!N26+'Avg Week KOTIDO-KABONG'!N26</f>
        <v>0</v>
      </c>
      <c r="O26" s="15">
        <f t="shared" si="0"/>
        <v>1</v>
      </c>
      <c r="P26" s="15">
        <f t="shared" si="1"/>
        <v>1.1428571428571428</v>
      </c>
      <c r="R26" s="1" t="s">
        <v>150</v>
      </c>
      <c r="S26" s="34">
        <f>SUM(C74:C77)</f>
        <v>0</v>
      </c>
      <c r="T26" s="34">
        <f t="shared" ref="T26:AF26" si="18">SUM(D74:D77)</f>
        <v>2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3</v>
      </c>
      <c r="AD26" s="34">
        <f t="shared" si="18"/>
        <v>0</v>
      </c>
      <c r="AE26" s="31">
        <f t="shared" si="18"/>
        <v>2</v>
      </c>
      <c r="AF26" s="31">
        <f t="shared" si="18"/>
        <v>5</v>
      </c>
    </row>
    <row r="27" spans="2:32" ht="23.1" customHeight="1" x14ac:dyDescent="0.25">
      <c r="B27" s="23" t="s">
        <v>54</v>
      </c>
      <c r="C27" s="49">
        <f>'Avg Week KABONG-KOTIDO'!C27+'Avg Week KOTIDO-KABONG'!C27</f>
        <v>0.14285714285714285</v>
      </c>
      <c r="D27" s="49">
        <f>'Avg Week KABONG-KOTIDO'!D27+'Avg Week KOTIDO-KABONG'!D27</f>
        <v>0</v>
      </c>
      <c r="E27" s="49">
        <f>'Avg Week KABONG-KOTIDO'!E27+'Avg Week KOTIDO-KABONG'!E27</f>
        <v>0</v>
      </c>
      <c r="F27" s="49">
        <f>'Avg Week KABONG-KOTIDO'!F27+'Avg Week KOTIDO-KABONG'!F27</f>
        <v>0</v>
      </c>
      <c r="G27" s="49">
        <f>'Avg Week KABONG-KOTIDO'!G27+'Avg Week KOTIDO-KABONG'!G27</f>
        <v>0</v>
      </c>
      <c r="H27" s="49">
        <f>'Avg Week KABONG-KOTIDO'!H27+'Avg Week KOTIDO-KABONG'!H27</f>
        <v>0</v>
      </c>
      <c r="I27" s="49">
        <f>'Avg Week KABONG-KOTIDO'!I27+'Avg Week KOTIDO-KABONG'!I27</f>
        <v>0</v>
      </c>
      <c r="J27" s="49">
        <f>'Avg Week KABONG-KOTIDO'!J27+'Avg Week KOTIDO-KABONG'!J27</f>
        <v>0</v>
      </c>
      <c r="K27" s="49">
        <f>'Avg Week KABONG-KOTIDO'!K27+'Avg Week KOTIDO-KABONG'!K27</f>
        <v>0</v>
      </c>
      <c r="L27" s="49">
        <f>'Avg Week KABONG-KOTIDO'!L27+'Avg Week KOTIDO-KABONG'!L27</f>
        <v>0</v>
      </c>
      <c r="M27" s="49">
        <f>'Avg Week KABONG-KOTIDO'!M27+'Avg Week KOTIDO-KABONG'!M27</f>
        <v>0.42857142857142855</v>
      </c>
      <c r="N27" s="49">
        <f>'Avg Week KABONG-KOTIDO'!N27+'Avg Week KOTIDO-KABONG'!N27</f>
        <v>0</v>
      </c>
      <c r="O27" s="15">
        <f t="shared" si="0"/>
        <v>0.14285714285714285</v>
      </c>
      <c r="P27" s="15">
        <f t="shared" si="1"/>
        <v>0.5714285714285714</v>
      </c>
      <c r="R27" s="1" t="s">
        <v>151</v>
      </c>
      <c r="S27" s="34">
        <f>SUM(C78:C81)</f>
        <v>0</v>
      </c>
      <c r="T27" s="34">
        <f t="shared" ref="T27:AF27" si="19">SUM(D78:D81)</f>
        <v>1</v>
      </c>
      <c r="U27" s="34">
        <f t="shared" si="19"/>
        <v>0.5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5</v>
      </c>
      <c r="AD27" s="34">
        <f t="shared" si="19"/>
        <v>0</v>
      </c>
      <c r="AE27" s="31">
        <f t="shared" si="19"/>
        <v>1.5</v>
      </c>
      <c r="AF27" s="31">
        <f t="shared" si="19"/>
        <v>6.5</v>
      </c>
    </row>
    <row r="28" spans="2:32" ht="23.1" customHeight="1" x14ac:dyDescent="0.25">
      <c r="B28" s="23" t="s">
        <v>55</v>
      </c>
      <c r="C28" s="49">
        <f>'Avg Week KABONG-KOTIDO'!C28+'Avg Week KOTIDO-KABONG'!C28</f>
        <v>0</v>
      </c>
      <c r="D28" s="49">
        <f>'Avg Week KABONG-KOTIDO'!D28+'Avg Week KOTIDO-KABONG'!D28</f>
        <v>0.2857142857142857</v>
      </c>
      <c r="E28" s="49">
        <f>'Avg Week KABONG-KOTIDO'!E28+'Avg Week KOTIDO-KABONG'!E28</f>
        <v>0.2857142857142857</v>
      </c>
      <c r="F28" s="49">
        <f>'Avg Week KABONG-KOTIDO'!F28+'Avg Week KOTIDO-KABONG'!F28</f>
        <v>0</v>
      </c>
      <c r="G28" s="49">
        <f>'Avg Week KABONG-KOTIDO'!G28+'Avg Week KOTIDO-KABONG'!G28</f>
        <v>0</v>
      </c>
      <c r="H28" s="49">
        <f>'Avg Week KABONG-KOTIDO'!H28+'Avg Week KOTIDO-KABONG'!H28</f>
        <v>0</v>
      </c>
      <c r="I28" s="49">
        <f>'Avg Week KABONG-KOTIDO'!I28+'Avg Week KOTIDO-KABONG'!I28</f>
        <v>0</v>
      </c>
      <c r="J28" s="49">
        <f>'Avg Week KABONG-KOTIDO'!J28+'Avg Week KOTIDO-KABONG'!J28</f>
        <v>0</v>
      </c>
      <c r="K28" s="49">
        <f>'Avg Week KABONG-KOTIDO'!K28+'Avg Week KOTIDO-KABONG'!K28</f>
        <v>0</v>
      </c>
      <c r="L28" s="49">
        <f>'Avg Week KABONG-KOTIDO'!L28+'Avg Week KOTIDO-KABONG'!L28</f>
        <v>0</v>
      </c>
      <c r="M28" s="49">
        <f>'Avg Week KABONG-KOTIDO'!M28+'Avg Week KOTIDO-KABONG'!M28</f>
        <v>1.2857142857142856</v>
      </c>
      <c r="N28" s="49">
        <f>'Avg Week KABONG-KOTIDO'!N28+'Avg Week KOTIDO-KABONG'!N28</f>
        <v>0</v>
      </c>
      <c r="O28" s="15">
        <f t="shared" si="0"/>
        <v>0.5714285714285714</v>
      </c>
      <c r="P28" s="15">
        <f t="shared" si="1"/>
        <v>1.857142857142857</v>
      </c>
      <c r="R28" s="1" t="s">
        <v>152</v>
      </c>
      <c r="S28" s="34">
        <f>SUM(C82:C85)</f>
        <v>0</v>
      </c>
      <c r="T28" s="34">
        <f t="shared" ref="T28:AF28" si="20">SUM(D82:D85)</f>
        <v>1.5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0.5</v>
      </c>
      <c r="Z28" s="34">
        <f t="shared" si="20"/>
        <v>1</v>
      </c>
      <c r="AA28" s="34">
        <f t="shared" si="20"/>
        <v>0</v>
      </c>
      <c r="AB28" s="34">
        <f t="shared" si="20"/>
        <v>0</v>
      </c>
      <c r="AC28" s="34">
        <f t="shared" si="20"/>
        <v>3.5</v>
      </c>
      <c r="AD28" s="34">
        <f t="shared" si="20"/>
        <v>0</v>
      </c>
      <c r="AE28" s="31">
        <f t="shared" si="20"/>
        <v>3</v>
      </c>
      <c r="AF28" s="31">
        <f t="shared" si="20"/>
        <v>6.5</v>
      </c>
    </row>
    <row r="29" spans="2:32" ht="23.1" customHeight="1" x14ac:dyDescent="0.25">
      <c r="B29" s="23" t="s">
        <v>56</v>
      </c>
      <c r="C29" s="49">
        <f>'Avg Week KABONG-KOTIDO'!C29+'Avg Week KOTIDO-KABONG'!C29</f>
        <v>0.2857142857142857</v>
      </c>
      <c r="D29" s="49">
        <f>'Avg Week KABONG-KOTIDO'!D29+'Avg Week KOTIDO-KABONG'!D29</f>
        <v>1.2857142857142856</v>
      </c>
      <c r="E29" s="49">
        <f>'Avg Week KABONG-KOTIDO'!E29+'Avg Week KOTIDO-KABONG'!E29</f>
        <v>0</v>
      </c>
      <c r="F29" s="49">
        <f>'Avg Week KABONG-KOTIDO'!F29+'Avg Week KOTIDO-KABONG'!F29</f>
        <v>0</v>
      </c>
      <c r="G29" s="49">
        <f>'Avg Week KABONG-KOTIDO'!G29+'Avg Week KOTIDO-KABONG'!G29</f>
        <v>0</v>
      </c>
      <c r="H29" s="49">
        <f>'Avg Week KABONG-KOTIDO'!H29+'Avg Week KOTIDO-KABONG'!H29</f>
        <v>0</v>
      </c>
      <c r="I29" s="49">
        <f>'Avg Week KABONG-KOTIDO'!I29+'Avg Week KOTIDO-KABONG'!I29</f>
        <v>0.2857142857142857</v>
      </c>
      <c r="J29" s="49">
        <f>'Avg Week KABONG-KOTIDO'!J29+'Avg Week KOTIDO-KABONG'!J29</f>
        <v>0.14285714285714285</v>
      </c>
      <c r="K29" s="49">
        <f>'Avg Week KABONG-KOTIDO'!K29+'Avg Week KOTIDO-KABONG'!K29</f>
        <v>0</v>
      </c>
      <c r="L29" s="49">
        <f>'Avg Week KABONG-KOTIDO'!L29+'Avg Week KOTIDO-KABONG'!L29</f>
        <v>0</v>
      </c>
      <c r="M29" s="49">
        <f>'Avg Week KABONG-KOTIDO'!M29+'Avg Week KOTIDO-KABONG'!M29</f>
        <v>1</v>
      </c>
      <c r="N29" s="49">
        <f>'Avg Week KABONG-KOTIDO'!N29+'Avg Week KOTIDO-KABONG'!N29</f>
        <v>0</v>
      </c>
      <c r="O29" s="15">
        <f t="shared" si="0"/>
        <v>1.9999999999999996</v>
      </c>
      <c r="P29" s="15">
        <f t="shared" si="1"/>
        <v>2.9999999999999996</v>
      </c>
      <c r="R29" s="1" t="s">
        <v>153</v>
      </c>
      <c r="S29" s="34">
        <f>SUM(C86:C89)</f>
        <v>0</v>
      </c>
      <c r="T29" s="34">
        <f t="shared" ref="T29:AF29" si="21">SUM(D86:D89)</f>
        <v>1</v>
      </c>
      <c r="U29" s="34">
        <f t="shared" si="21"/>
        <v>0.5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1.5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3</v>
      </c>
      <c r="AF29" s="31">
        <f t="shared" si="21"/>
        <v>3</v>
      </c>
    </row>
    <row r="30" spans="2:32" ht="23.1" customHeight="1" x14ac:dyDescent="0.25">
      <c r="B30" s="23" t="s">
        <v>57</v>
      </c>
      <c r="C30" s="49">
        <f>'Avg Week KABONG-KOTIDO'!C30+'Avg Week KOTIDO-KABONG'!C30</f>
        <v>0</v>
      </c>
      <c r="D30" s="49">
        <f>'Avg Week KABONG-KOTIDO'!D30+'Avg Week KOTIDO-KABONG'!D30</f>
        <v>0</v>
      </c>
      <c r="E30" s="49">
        <f>'Avg Week KABONG-KOTIDO'!E30+'Avg Week KOTIDO-KABONG'!E30</f>
        <v>0</v>
      </c>
      <c r="F30" s="49">
        <f>'Avg Week KABONG-KOTIDO'!F30+'Avg Week KOTIDO-KABONG'!F30</f>
        <v>0</v>
      </c>
      <c r="G30" s="49">
        <f>'Avg Week KABONG-KOTIDO'!G30+'Avg Week KOTIDO-KABONG'!G30</f>
        <v>0</v>
      </c>
      <c r="H30" s="49">
        <f>'Avg Week KABONG-KOTIDO'!H30+'Avg Week KOTIDO-KABONG'!H30</f>
        <v>0</v>
      </c>
      <c r="I30" s="49">
        <f>'Avg Week KABONG-KOTIDO'!I30+'Avg Week KOTIDO-KABONG'!I30</f>
        <v>0.14285714285714285</v>
      </c>
      <c r="J30" s="49">
        <f>'Avg Week KABONG-KOTIDO'!J30+'Avg Week KOTIDO-KABONG'!J30</f>
        <v>0</v>
      </c>
      <c r="K30" s="49">
        <f>'Avg Week KABONG-KOTIDO'!K30+'Avg Week KOTIDO-KABONG'!K30</f>
        <v>0</v>
      </c>
      <c r="L30" s="49">
        <f>'Avg Week KABONG-KOTIDO'!L30+'Avg Week KOTIDO-KABONG'!L30</f>
        <v>0</v>
      </c>
      <c r="M30" s="49">
        <f>'Avg Week KABONG-KOTIDO'!M30+'Avg Week KOTIDO-KABONG'!M30</f>
        <v>1.4285714285714284</v>
      </c>
      <c r="N30" s="49">
        <f>'Avg Week KABONG-KOTIDO'!N30+'Avg Week KOTIDO-KABONG'!N30</f>
        <v>0</v>
      </c>
      <c r="O30" s="15">
        <f t="shared" si="0"/>
        <v>0.14285714285714285</v>
      </c>
      <c r="P30" s="15">
        <f t="shared" si="1"/>
        <v>1.5714285714285712</v>
      </c>
      <c r="R30" s="1" t="s">
        <v>154</v>
      </c>
      <c r="S30" s="34">
        <f>SUM(C90:C93)</f>
        <v>0</v>
      </c>
      <c r="T30" s="34">
        <f t="shared" ref="T30:AF30" si="22">SUM(D90:D93)</f>
        <v>0.5</v>
      </c>
      <c r="U30" s="34">
        <f t="shared" si="22"/>
        <v>0.5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1.5</v>
      </c>
      <c r="Z30" s="34">
        <f t="shared" si="22"/>
        <v>0.5</v>
      </c>
      <c r="AA30" s="34">
        <f t="shared" si="22"/>
        <v>0</v>
      </c>
      <c r="AB30" s="34">
        <f t="shared" si="22"/>
        <v>0</v>
      </c>
      <c r="AC30" s="34">
        <f t="shared" si="22"/>
        <v>1</v>
      </c>
      <c r="AD30" s="34">
        <f t="shared" si="22"/>
        <v>0</v>
      </c>
      <c r="AE30" s="31">
        <f t="shared" si="22"/>
        <v>3</v>
      </c>
      <c r="AF30" s="31">
        <f t="shared" si="22"/>
        <v>4</v>
      </c>
    </row>
    <row r="31" spans="2:32" ht="23.1" customHeight="1" x14ac:dyDescent="0.25">
      <c r="B31" s="24" t="s">
        <v>58</v>
      </c>
      <c r="C31" s="49">
        <f>'Avg Week KABONG-KOTIDO'!C31+'Avg Week KOTIDO-KABONG'!C31</f>
        <v>0</v>
      </c>
      <c r="D31" s="49">
        <f>'Avg Week KABONG-KOTIDO'!D31+'Avg Week KOTIDO-KABONG'!D31</f>
        <v>0</v>
      </c>
      <c r="E31" s="49">
        <f>'Avg Week KABONG-KOTIDO'!E31+'Avg Week KOTIDO-KABONG'!E31</f>
        <v>0.5714285714285714</v>
      </c>
      <c r="F31" s="49">
        <f>'Avg Week KABONG-KOTIDO'!F31+'Avg Week KOTIDO-KABONG'!F31</f>
        <v>0.2857142857142857</v>
      </c>
      <c r="G31" s="49">
        <f>'Avg Week KABONG-KOTIDO'!G31+'Avg Week KOTIDO-KABONG'!G31</f>
        <v>0</v>
      </c>
      <c r="H31" s="49">
        <f>'Avg Week KABONG-KOTIDO'!H31+'Avg Week KOTIDO-KABONG'!H31</f>
        <v>0.14285714285714285</v>
      </c>
      <c r="I31" s="49">
        <f>'Avg Week KABONG-KOTIDO'!I31+'Avg Week KOTIDO-KABONG'!I31</f>
        <v>0</v>
      </c>
      <c r="J31" s="49">
        <f>'Avg Week KABONG-KOTIDO'!J31+'Avg Week KOTIDO-KABONG'!J31</f>
        <v>0.14285714285714285</v>
      </c>
      <c r="K31" s="49">
        <f>'Avg Week KABONG-KOTIDO'!K31+'Avg Week KOTIDO-KABONG'!K31</f>
        <v>0</v>
      </c>
      <c r="L31" s="49">
        <f>'Avg Week KABONG-KOTIDO'!L31+'Avg Week KOTIDO-KABONG'!L31</f>
        <v>0</v>
      </c>
      <c r="M31" s="49">
        <f>'Avg Week KABONG-KOTIDO'!M31+'Avg Week KOTIDO-KABONG'!M31</f>
        <v>1.8571428571428572</v>
      </c>
      <c r="N31" s="49">
        <f>'Avg Week KABONG-KOTIDO'!N31+'Avg Week KOTIDO-KABONG'!N31</f>
        <v>0</v>
      </c>
      <c r="O31" s="15">
        <f t="shared" si="0"/>
        <v>1.1428571428571428</v>
      </c>
      <c r="P31" s="15">
        <f t="shared" si="1"/>
        <v>3</v>
      </c>
      <c r="R31" s="1" t="s">
        <v>155</v>
      </c>
      <c r="S31" s="34">
        <f>SUM(C94:C97)</f>
        <v>0</v>
      </c>
      <c r="T31" s="34">
        <f t="shared" ref="T31:AF31" si="23">SUM(D94:D97)</f>
        <v>3.5</v>
      </c>
      <c r="U31" s="34">
        <f t="shared" si="23"/>
        <v>1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0.5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</v>
      </c>
      <c r="AD31" s="34">
        <f t="shared" si="23"/>
        <v>0</v>
      </c>
      <c r="AE31" s="31">
        <f t="shared" si="23"/>
        <v>5</v>
      </c>
      <c r="AF31" s="31">
        <f t="shared" si="23"/>
        <v>6</v>
      </c>
    </row>
    <row r="32" spans="2:32" ht="23.1" customHeight="1" x14ac:dyDescent="0.25">
      <c r="B32" s="24" t="s">
        <v>59</v>
      </c>
      <c r="C32" s="49">
        <f>'Avg Week KABONG-KOTIDO'!C32+'Avg Week KOTIDO-KABONG'!C32</f>
        <v>0</v>
      </c>
      <c r="D32" s="49">
        <f>'Avg Week KABONG-KOTIDO'!D32+'Avg Week KOTIDO-KABONG'!D32</f>
        <v>0</v>
      </c>
      <c r="E32" s="49">
        <f>'Avg Week KABONG-KOTIDO'!E32+'Avg Week KOTIDO-KABONG'!E32</f>
        <v>0</v>
      </c>
      <c r="F32" s="49">
        <f>'Avg Week KABONG-KOTIDO'!F32+'Avg Week KOTIDO-KABONG'!F32</f>
        <v>0</v>
      </c>
      <c r="G32" s="49">
        <f>'Avg Week KABONG-KOTIDO'!G32+'Avg Week KOTIDO-KABONG'!G32</f>
        <v>0</v>
      </c>
      <c r="H32" s="49">
        <f>'Avg Week KABONG-KOTIDO'!H32+'Avg Week KOTIDO-KABONG'!H32</f>
        <v>0</v>
      </c>
      <c r="I32" s="49">
        <f>'Avg Week KABONG-KOTIDO'!I32+'Avg Week KOTIDO-KABONG'!I32</f>
        <v>0.14285714285714285</v>
      </c>
      <c r="J32" s="49">
        <f>'Avg Week KABONG-KOTIDO'!J32+'Avg Week KOTIDO-KABONG'!J32</f>
        <v>0</v>
      </c>
      <c r="K32" s="49">
        <f>'Avg Week KABONG-KOTIDO'!K32+'Avg Week KOTIDO-KABONG'!K32</f>
        <v>0</v>
      </c>
      <c r="L32" s="49">
        <f>'Avg Week KABONG-KOTIDO'!L32+'Avg Week KOTIDO-KABONG'!L32</f>
        <v>0</v>
      </c>
      <c r="M32" s="49">
        <f>'Avg Week KABONG-KOTIDO'!M32+'Avg Week KOTIDO-KABONG'!M32</f>
        <v>1.5714285714285714</v>
      </c>
      <c r="N32" s="49">
        <f>'Avg Week KABONG-KOTIDO'!N32+'Avg Week KOTIDO-KABONG'!N32</f>
        <v>0</v>
      </c>
      <c r="O32" s="15">
        <f t="shared" si="0"/>
        <v>0.14285714285714285</v>
      </c>
      <c r="P32" s="15">
        <f t="shared" si="1"/>
        <v>1.7142857142857142</v>
      </c>
      <c r="R32" s="1" t="s">
        <v>156</v>
      </c>
      <c r="S32" s="34">
        <f>SUM(C98:C101)</f>
        <v>0</v>
      </c>
      <c r="T32" s="34">
        <f t="shared" ref="T32:AF32" si="24">SUM(D98:D101)</f>
        <v>2.5</v>
      </c>
      <c r="U32" s="34">
        <f t="shared" si="24"/>
        <v>3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3</v>
      </c>
      <c r="AD32" s="34">
        <f t="shared" si="24"/>
        <v>0</v>
      </c>
      <c r="AE32" s="31">
        <f t="shared" si="24"/>
        <v>5.5</v>
      </c>
      <c r="AF32" s="31">
        <f t="shared" si="24"/>
        <v>8.5</v>
      </c>
    </row>
    <row r="33" spans="2:32" ht="23.1" customHeight="1" x14ac:dyDescent="0.25">
      <c r="B33" s="23" t="s">
        <v>60</v>
      </c>
      <c r="C33" s="49">
        <f>'Avg Week KABONG-KOTIDO'!C33+'Avg Week KOTIDO-KABONG'!C33</f>
        <v>0.2857142857142857</v>
      </c>
      <c r="D33" s="49">
        <f>'Avg Week KABONG-KOTIDO'!D33+'Avg Week KOTIDO-KABONG'!D33</f>
        <v>0.7142857142857143</v>
      </c>
      <c r="E33" s="49">
        <f>'Avg Week KABONG-KOTIDO'!E33+'Avg Week KOTIDO-KABONG'!E33</f>
        <v>0</v>
      </c>
      <c r="F33" s="49">
        <f>'Avg Week KABONG-KOTIDO'!F33+'Avg Week KOTIDO-KABONG'!F33</f>
        <v>0</v>
      </c>
      <c r="G33" s="49">
        <f>'Avg Week KABONG-KOTIDO'!G33+'Avg Week KOTIDO-KABONG'!G33</f>
        <v>0</v>
      </c>
      <c r="H33" s="49">
        <f>'Avg Week KABONG-KOTIDO'!H33+'Avg Week KOTIDO-KABONG'!H33</f>
        <v>0</v>
      </c>
      <c r="I33" s="49">
        <f>'Avg Week KABONG-KOTIDO'!I33+'Avg Week KOTIDO-KABONG'!I33</f>
        <v>0.14285714285714285</v>
      </c>
      <c r="J33" s="49">
        <f>'Avg Week KABONG-KOTIDO'!J33+'Avg Week KOTIDO-KABONG'!J33</f>
        <v>0.14285714285714285</v>
      </c>
      <c r="K33" s="49">
        <f>'Avg Week KABONG-KOTIDO'!K33+'Avg Week KOTIDO-KABONG'!K33</f>
        <v>0</v>
      </c>
      <c r="L33" s="49">
        <f>'Avg Week KABONG-KOTIDO'!L33+'Avg Week KOTIDO-KABONG'!L33</f>
        <v>0</v>
      </c>
      <c r="M33" s="49">
        <f>'Avg Week KABONG-KOTIDO'!M33+'Avg Week KOTIDO-KABONG'!M33</f>
        <v>0.2857142857142857</v>
      </c>
      <c r="N33" s="49">
        <f>'Avg Week KABONG-KOTIDO'!N33+'Avg Week KOTIDO-KABONG'!N33</f>
        <v>0</v>
      </c>
      <c r="O33" s="15">
        <f t="shared" si="0"/>
        <v>1.2857142857142856</v>
      </c>
      <c r="P33" s="15">
        <f t="shared" si="1"/>
        <v>1.5714285714285712</v>
      </c>
      <c r="R33" s="1" t="s">
        <v>157</v>
      </c>
      <c r="S33" s="34">
        <f>SUM(C102:C105)</f>
        <v>0</v>
      </c>
      <c r="T33" s="34">
        <f t="shared" ref="T33:AF33" si="25">SUM(D102:D105)</f>
        <v>2.5</v>
      </c>
      <c r="U33" s="34">
        <f t="shared" si="25"/>
        <v>4</v>
      </c>
      <c r="V33" s="34">
        <f t="shared" si="25"/>
        <v>0</v>
      </c>
      <c r="W33" s="34">
        <f t="shared" si="25"/>
        <v>0</v>
      </c>
      <c r="X33" s="34">
        <f t="shared" si="25"/>
        <v>1</v>
      </c>
      <c r="Y33" s="34">
        <f t="shared" si="25"/>
        <v>1</v>
      </c>
      <c r="Z33" s="34">
        <f t="shared" si="25"/>
        <v>1</v>
      </c>
      <c r="AA33" s="34">
        <f t="shared" si="25"/>
        <v>0</v>
      </c>
      <c r="AB33" s="34">
        <f t="shared" si="25"/>
        <v>0</v>
      </c>
      <c r="AC33" s="34">
        <f t="shared" si="25"/>
        <v>6</v>
      </c>
      <c r="AD33" s="34">
        <f t="shared" si="25"/>
        <v>0</v>
      </c>
      <c r="AE33" s="31">
        <f t="shared" si="25"/>
        <v>9.5</v>
      </c>
      <c r="AF33" s="31">
        <f t="shared" si="25"/>
        <v>15.5</v>
      </c>
    </row>
    <row r="34" spans="2:32" ht="23.1" customHeight="1" x14ac:dyDescent="0.25">
      <c r="B34" s="24" t="s">
        <v>61</v>
      </c>
      <c r="C34" s="49">
        <f>'Avg Week KABONG-KOTIDO'!C34+'Avg Week KOTIDO-KABONG'!C34</f>
        <v>0.14285714285714285</v>
      </c>
      <c r="D34" s="49">
        <f>'Avg Week KABONG-KOTIDO'!D34+'Avg Week KOTIDO-KABONG'!D34</f>
        <v>1</v>
      </c>
      <c r="E34" s="49">
        <f>'Avg Week KABONG-KOTIDO'!E34+'Avg Week KOTIDO-KABONG'!E34</f>
        <v>0.2857142857142857</v>
      </c>
      <c r="F34" s="49">
        <f>'Avg Week KABONG-KOTIDO'!F34+'Avg Week KOTIDO-KABONG'!F34</f>
        <v>0</v>
      </c>
      <c r="G34" s="49">
        <f>'Avg Week KABONG-KOTIDO'!G34+'Avg Week KOTIDO-KABONG'!G34</f>
        <v>0</v>
      </c>
      <c r="H34" s="49">
        <f>'Avg Week KABONG-KOTIDO'!H34+'Avg Week KOTIDO-KABONG'!H34</f>
        <v>0</v>
      </c>
      <c r="I34" s="49">
        <f>'Avg Week KABONG-KOTIDO'!I34+'Avg Week KOTIDO-KABONG'!I34</f>
        <v>1</v>
      </c>
      <c r="J34" s="49">
        <f>'Avg Week KABONG-KOTIDO'!J34+'Avg Week KOTIDO-KABONG'!J34</f>
        <v>0.14285714285714285</v>
      </c>
      <c r="K34" s="49">
        <f>'Avg Week KABONG-KOTIDO'!K34+'Avg Week KOTIDO-KABONG'!K34</f>
        <v>0</v>
      </c>
      <c r="L34" s="49">
        <f>'Avg Week KABONG-KOTIDO'!L34+'Avg Week KOTIDO-KABONG'!L34</f>
        <v>0</v>
      </c>
      <c r="M34" s="49">
        <f>'Avg Week KABONG-KOTIDO'!M34+'Avg Week KOTIDO-KABONG'!M34</f>
        <v>1.2857142857142856</v>
      </c>
      <c r="N34" s="49">
        <f>'Avg Week KABONG-KOTIDO'!N34+'Avg Week KOTIDO-KABONG'!N34</f>
        <v>0</v>
      </c>
      <c r="O34" s="15">
        <f t="shared" si="0"/>
        <v>2.5714285714285712</v>
      </c>
      <c r="P34" s="15">
        <f t="shared" si="1"/>
        <v>3.8571428571428568</v>
      </c>
      <c r="R34" s="51" t="s">
        <v>90</v>
      </c>
      <c r="S34" s="52">
        <f t="shared" ref="S34:AF34" si="26">MAX(S10:S12)</f>
        <v>1</v>
      </c>
      <c r="T34" s="52">
        <f t="shared" si="26"/>
        <v>2.9999999999999996</v>
      </c>
      <c r="U34" s="52">
        <f t="shared" si="26"/>
        <v>3.4285714285714284</v>
      </c>
      <c r="V34" s="52">
        <f t="shared" si="26"/>
        <v>0.14285714285714285</v>
      </c>
      <c r="W34" s="52">
        <f t="shared" si="26"/>
        <v>0</v>
      </c>
      <c r="X34" s="52">
        <f t="shared" si="26"/>
        <v>0.2857142857142857</v>
      </c>
      <c r="Y34" s="52">
        <f t="shared" si="26"/>
        <v>2.714285714285714</v>
      </c>
      <c r="Z34" s="52">
        <f t="shared" si="26"/>
        <v>2.8571428571428568</v>
      </c>
      <c r="AA34" s="52">
        <f t="shared" si="26"/>
        <v>0.2857142857142857</v>
      </c>
      <c r="AB34" s="52">
        <f t="shared" si="26"/>
        <v>0</v>
      </c>
      <c r="AC34" s="52">
        <f t="shared" si="26"/>
        <v>7.1428571428571423</v>
      </c>
      <c r="AD34" s="52">
        <f t="shared" si="26"/>
        <v>0.14285714285714285</v>
      </c>
      <c r="AE34" s="40">
        <f t="shared" si="26"/>
        <v>12.285714285714286</v>
      </c>
      <c r="AF34" s="40">
        <f t="shared" si="26"/>
        <v>17</v>
      </c>
    </row>
    <row r="35" spans="2:32" ht="23.1" customHeight="1" x14ac:dyDescent="0.25">
      <c r="B35" s="24" t="s">
        <v>62</v>
      </c>
      <c r="C35" s="49">
        <f>'Avg Week KABONG-KOTIDO'!C35+'Avg Week KOTIDO-KABONG'!C35</f>
        <v>0</v>
      </c>
      <c r="D35" s="49">
        <f>'Avg Week KABONG-KOTIDO'!D35+'Avg Week KOTIDO-KABONG'!D35</f>
        <v>1</v>
      </c>
      <c r="E35" s="49">
        <f>'Avg Week KABONG-KOTIDO'!E35+'Avg Week KOTIDO-KABONG'!E35</f>
        <v>0</v>
      </c>
      <c r="F35" s="49">
        <f>'Avg Week KABONG-KOTIDO'!F35+'Avg Week KOTIDO-KABONG'!F35</f>
        <v>0</v>
      </c>
      <c r="G35" s="49">
        <f>'Avg Week KABONG-KOTIDO'!G35+'Avg Week KOTIDO-KABONG'!G35</f>
        <v>0</v>
      </c>
      <c r="H35" s="49">
        <f>'Avg Week KABONG-KOTIDO'!H35+'Avg Week KOTIDO-KABONG'!H35</f>
        <v>0</v>
      </c>
      <c r="I35" s="49">
        <f>'Avg Week KABONG-KOTIDO'!I35+'Avg Week KOTIDO-KABONG'!I35</f>
        <v>0.14285714285714285</v>
      </c>
      <c r="J35" s="49">
        <f>'Avg Week KABONG-KOTIDO'!J35+'Avg Week KOTIDO-KABONG'!J35</f>
        <v>0.14285714285714285</v>
      </c>
      <c r="K35" s="49">
        <f>'Avg Week KABONG-KOTIDO'!K35+'Avg Week KOTIDO-KABONG'!K35</f>
        <v>0</v>
      </c>
      <c r="L35" s="49">
        <f>'Avg Week KABONG-KOTIDO'!L35+'Avg Week KOTIDO-KABONG'!L35</f>
        <v>0</v>
      </c>
      <c r="M35" s="49">
        <f>'Avg Week KABONG-KOTIDO'!M35+'Avg Week KOTIDO-KABONG'!M35</f>
        <v>1.5714285714285714</v>
      </c>
      <c r="N35" s="49">
        <f>'Avg Week KABONG-KOTIDO'!N35+'Avg Week KOTIDO-KABONG'!N35</f>
        <v>0</v>
      </c>
      <c r="O35" s="15">
        <f t="shared" si="0"/>
        <v>1.2857142857142856</v>
      </c>
      <c r="P35" s="15">
        <f t="shared" si="1"/>
        <v>2.8571428571428568</v>
      </c>
      <c r="R35" s="51" t="s">
        <v>91</v>
      </c>
      <c r="S35" s="52">
        <f t="shared" ref="S35:AF35" si="27">MAX(S13:S18)</f>
        <v>0.85714285714285721</v>
      </c>
      <c r="T35" s="52">
        <f t="shared" si="27"/>
        <v>2.8571428571428568</v>
      </c>
      <c r="U35" s="52">
        <f t="shared" si="27"/>
        <v>1.4285714285714284</v>
      </c>
      <c r="V35" s="52">
        <f t="shared" si="27"/>
        <v>0.2857142857142857</v>
      </c>
      <c r="W35" s="52">
        <f t="shared" si="27"/>
        <v>0</v>
      </c>
      <c r="X35" s="52">
        <f t="shared" si="27"/>
        <v>0.14285714285714285</v>
      </c>
      <c r="Y35" s="52">
        <f t="shared" si="27"/>
        <v>1.714285714285714</v>
      </c>
      <c r="Z35" s="52">
        <f t="shared" si="27"/>
        <v>1.4285714285714284</v>
      </c>
      <c r="AA35" s="52">
        <f t="shared" si="27"/>
        <v>0.14285714285714285</v>
      </c>
      <c r="AB35" s="52">
        <f t="shared" si="27"/>
        <v>0</v>
      </c>
      <c r="AC35" s="52">
        <f t="shared" si="27"/>
        <v>5.8571428571428568</v>
      </c>
      <c r="AD35" s="52">
        <f t="shared" si="27"/>
        <v>0</v>
      </c>
      <c r="AE35" s="40">
        <f t="shared" si="27"/>
        <v>6.2857142857142847</v>
      </c>
      <c r="AF35" s="40">
        <f t="shared" si="27"/>
        <v>11.285714285714285</v>
      </c>
    </row>
    <row r="36" spans="2:32" ht="23.1" customHeight="1" x14ac:dyDescent="0.25">
      <c r="B36" s="24" t="s">
        <v>63</v>
      </c>
      <c r="C36" s="49">
        <f>'Avg Week KABONG-KOTIDO'!C36+'Avg Week KOTIDO-KABONG'!C36</f>
        <v>0</v>
      </c>
      <c r="D36" s="49">
        <f>'Avg Week KABONG-KOTIDO'!D36+'Avg Week KOTIDO-KABONG'!D36</f>
        <v>0.5714285714285714</v>
      </c>
      <c r="E36" s="49">
        <f>'Avg Week KABONG-KOTIDO'!E36+'Avg Week KOTIDO-KABONG'!E36</f>
        <v>0</v>
      </c>
      <c r="F36" s="49">
        <f>'Avg Week KABONG-KOTIDO'!F36+'Avg Week KOTIDO-KABONG'!F36</f>
        <v>0.14285714285714285</v>
      </c>
      <c r="G36" s="49">
        <f>'Avg Week KABONG-KOTIDO'!G36+'Avg Week KOTIDO-KABONG'!G36</f>
        <v>0</v>
      </c>
      <c r="H36" s="49">
        <f>'Avg Week KABONG-KOTIDO'!H36+'Avg Week KOTIDO-KABONG'!H36</f>
        <v>0</v>
      </c>
      <c r="I36" s="49">
        <f>'Avg Week KABONG-KOTIDO'!I36+'Avg Week KOTIDO-KABONG'!I36</f>
        <v>0</v>
      </c>
      <c r="J36" s="49">
        <f>'Avg Week KABONG-KOTIDO'!J36+'Avg Week KOTIDO-KABONG'!J36</f>
        <v>0.85714285714285721</v>
      </c>
      <c r="K36" s="49">
        <f>'Avg Week KABONG-KOTIDO'!K36+'Avg Week KOTIDO-KABONG'!K36</f>
        <v>0</v>
      </c>
      <c r="L36" s="49">
        <f>'Avg Week KABONG-KOTIDO'!L36+'Avg Week KOTIDO-KABONG'!L36</f>
        <v>0</v>
      </c>
      <c r="M36" s="49">
        <f>'Avg Week KABONG-KOTIDO'!M36+'Avg Week KOTIDO-KABONG'!M36</f>
        <v>0.85714285714285721</v>
      </c>
      <c r="N36" s="49">
        <f>'Avg Week KABONG-KOTIDO'!N36+'Avg Week KOTIDO-KABONG'!N36</f>
        <v>0</v>
      </c>
      <c r="O36" s="15">
        <f t="shared" si="0"/>
        <v>1.5714285714285714</v>
      </c>
      <c r="P36" s="15">
        <f t="shared" si="1"/>
        <v>2.4285714285714288</v>
      </c>
      <c r="R36" s="51" t="s">
        <v>92</v>
      </c>
      <c r="S36" s="52">
        <f t="shared" ref="S36:AF36" si="28">MAX(S19:S21)</f>
        <v>0.71428571428571419</v>
      </c>
      <c r="T36" s="52">
        <f t="shared" si="28"/>
        <v>3.4285714285714284</v>
      </c>
      <c r="U36" s="52">
        <f t="shared" si="28"/>
        <v>4.1428571428571423</v>
      </c>
      <c r="V36" s="52">
        <f t="shared" si="28"/>
        <v>0</v>
      </c>
      <c r="W36" s="52">
        <f t="shared" si="28"/>
        <v>0.2857142857142857</v>
      </c>
      <c r="X36" s="52">
        <f t="shared" si="28"/>
        <v>0.71428571428571419</v>
      </c>
      <c r="Y36" s="52">
        <f t="shared" si="28"/>
        <v>1.1428571428571428</v>
      </c>
      <c r="Z36" s="52">
        <f t="shared" si="28"/>
        <v>1</v>
      </c>
      <c r="AA36" s="52">
        <f t="shared" si="28"/>
        <v>0</v>
      </c>
      <c r="AB36" s="52">
        <f t="shared" si="28"/>
        <v>0</v>
      </c>
      <c r="AC36" s="52">
        <f t="shared" si="28"/>
        <v>5.4285714285714279</v>
      </c>
      <c r="AD36" s="52">
        <f t="shared" si="28"/>
        <v>0</v>
      </c>
      <c r="AE36" s="40">
        <f t="shared" si="28"/>
        <v>8.7142857142857135</v>
      </c>
      <c r="AF36" s="40">
        <f t="shared" si="28"/>
        <v>14</v>
      </c>
    </row>
    <row r="37" spans="2:32" ht="23.1" customHeight="1" x14ac:dyDescent="0.25">
      <c r="B37" s="23" t="s">
        <v>64</v>
      </c>
      <c r="C37" s="49">
        <f>'Avg Week KABONG-KOTIDO'!C37+'Avg Week KOTIDO-KABONG'!C37</f>
        <v>0</v>
      </c>
      <c r="D37" s="49">
        <f>'Avg Week KABONG-KOTIDO'!D37+'Avg Week KOTIDO-KABONG'!D37</f>
        <v>0.2857142857142857</v>
      </c>
      <c r="E37" s="49">
        <f>'Avg Week KABONG-KOTIDO'!E37+'Avg Week KOTIDO-KABONG'!E37</f>
        <v>0.2857142857142857</v>
      </c>
      <c r="F37" s="49">
        <f>'Avg Week KABONG-KOTIDO'!F37+'Avg Week KOTIDO-KABONG'!F37</f>
        <v>0</v>
      </c>
      <c r="G37" s="49">
        <f>'Avg Week KABONG-KOTIDO'!G37+'Avg Week KOTIDO-KABONG'!G37</f>
        <v>0</v>
      </c>
      <c r="H37" s="49">
        <f>'Avg Week KABONG-KOTIDO'!H37+'Avg Week KOTIDO-KABONG'!H37</f>
        <v>0</v>
      </c>
      <c r="I37" s="49">
        <f>'Avg Week KABONG-KOTIDO'!I37+'Avg Week KOTIDO-KABONG'!I37</f>
        <v>0</v>
      </c>
      <c r="J37" s="49">
        <f>'Avg Week KABONG-KOTIDO'!J37+'Avg Week KOTIDO-KABONG'!J37</f>
        <v>0.2857142857142857</v>
      </c>
      <c r="K37" s="49">
        <f>'Avg Week KABONG-KOTIDO'!K37+'Avg Week KOTIDO-KABONG'!K37</f>
        <v>0</v>
      </c>
      <c r="L37" s="49">
        <f>'Avg Week KABONG-KOTIDO'!L37+'Avg Week KOTIDO-KABONG'!L37</f>
        <v>0</v>
      </c>
      <c r="M37" s="49">
        <f>'Avg Week KABONG-KOTIDO'!M37+'Avg Week KOTIDO-KABONG'!M37</f>
        <v>0</v>
      </c>
      <c r="N37" s="49">
        <f>'Avg Week KABONG-KOTIDO'!N37+'Avg Week KOTIDO-KABONG'!N37</f>
        <v>0</v>
      </c>
      <c r="O37" s="15">
        <f t="shared" si="0"/>
        <v>0.8571428571428571</v>
      </c>
      <c r="P37" s="15">
        <f t="shared" si="1"/>
        <v>0.8571428571428571</v>
      </c>
      <c r="R37" s="37" t="s">
        <v>85</v>
      </c>
      <c r="S37" s="53">
        <f t="shared" ref="S37:AF37" si="29">SUM(S10:S12)</f>
        <v>2.1428571428571423</v>
      </c>
      <c r="T37" s="54">
        <f t="shared" si="29"/>
        <v>6.7142857142857135</v>
      </c>
      <c r="U37" s="54">
        <f t="shared" si="29"/>
        <v>7.8571428571428559</v>
      </c>
      <c r="V37" s="54">
        <f t="shared" si="29"/>
        <v>0.14285714285714285</v>
      </c>
      <c r="W37" s="54">
        <f t="shared" si="29"/>
        <v>0</v>
      </c>
      <c r="X37" s="54">
        <f t="shared" si="29"/>
        <v>0.42857142857142855</v>
      </c>
      <c r="Y37" s="54">
        <f t="shared" si="29"/>
        <v>5.8571428571428559</v>
      </c>
      <c r="Z37" s="54">
        <f t="shared" si="29"/>
        <v>5.4285714285714279</v>
      </c>
      <c r="AA37" s="54">
        <f t="shared" si="29"/>
        <v>0.42857142857142855</v>
      </c>
      <c r="AB37" s="54">
        <f t="shared" si="29"/>
        <v>0</v>
      </c>
      <c r="AC37" s="54">
        <f t="shared" si="29"/>
        <v>17.285714285714285</v>
      </c>
      <c r="AD37" s="54">
        <f t="shared" si="29"/>
        <v>0.14285714285714285</v>
      </c>
      <c r="AE37" s="55">
        <f t="shared" si="29"/>
        <v>29.142857142857142</v>
      </c>
      <c r="AF37" s="55">
        <f t="shared" si="29"/>
        <v>46.428571428571431</v>
      </c>
    </row>
    <row r="38" spans="2:32" ht="23.1" customHeight="1" x14ac:dyDescent="0.25">
      <c r="B38" s="24" t="s">
        <v>65</v>
      </c>
      <c r="C38" s="49">
        <f>'Avg Week KABONG-KOTIDO'!C38+'Avg Week KOTIDO-KABONG'!C38</f>
        <v>0.14285714285714285</v>
      </c>
      <c r="D38" s="49">
        <f>'Avg Week KABONG-KOTIDO'!D38+'Avg Week KOTIDO-KABONG'!D38</f>
        <v>1.2857142857142856</v>
      </c>
      <c r="E38" s="49">
        <f>'Avg Week KABONG-KOTIDO'!E38+'Avg Week KOTIDO-KABONG'!E38</f>
        <v>0.14285714285714285</v>
      </c>
      <c r="F38" s="49">
        <f>'Avg Week KABONG-KOTIDO'!F38+'Avg Week KOTIDO-KABONG'!F38</f>
        <v>0</v>
      </c>
      <c r="G38" s="49">
        <f>'Avg Week KABONG-KOTIDO'!G38+'Avg Week KOTIDO-KABONG'!G38</f>
        <v>0</v>
      </c>
      <c r="H38" s="49">
        <f>'Avg Week KABONG-KOTIDO'!H38+'Avg Week KOTIDO-KABONG'!H38</f>
        <v>0</v>
      </c>
      <c r="I38" s="49">
        <f>'Avg Week KABONG-KOTIDO'!I38+'Avg Week KOTIDO-KABONG'!I38</f>
        <v>0.7142857142857143</v>
      </c>
      <c r="J38" s="49">
        <f>'Avg Week KABONG-KOTIDO'!J38+'Avg Week KOTIDO-KABONG'!J38</f>
        <v>0</v>
      </c>
      <c r="K38" s="49">
        <f>'Avg Week KABONG-KOTIDO'!K38+'Avg Week KOTIDO-KABONG'!K38</f>
        <v>0</v>
      </c>
      <c r="L38" s="49">
        <f>'Avg Week KABONG-KOTIDO'!L38+'Avg Week KOTIDO-KABONG'!L38</f>
        <v>0</v>
      </c>
      <c r="M38" s="49">
        <f>'Avg Week KABONG-KOTIDO'!M38+'Avg Week KOTIDO-KABONG'!M38</f>
        <v>0.2857142857142857</v>
      </c>
      <c r="N38" s="49">
        <f>'Avg Week KABONG-KOTIDO'!N38+'Avg Week KOTIDO-KABONG'!N38</f>
        <v>0</v>
      </c>
      <c r="O38" s="15">
        <f t="shared" si="0"/>
        <v>2.2857142857142856</v>
      </c>
      <c r="P38" s="15">
        <f t="shared" si="1"/>
        <v>2.5714285714285712</v>
      </c>
      <c r="R38" s="28" t="s">
        <v>86</v>
      </c>
      <c r="S38" s="54">
        <f t="shared" ref="S38:AF38" si="30">SUM(S13:S18)</f>
        <v>2.1428571428571428</v>
      </c>
      <c r="T38" s="54">
        <f t="shared" si="30"/>
        <v>10.857142857142858</v>
      </c>
      <c r="U38" s="54">
        <f t="shared" si="30"/>
        <v>5.2857142857142856</v>
      </c>
      <c r="V38" s="54">
        <f t="shared" si="30"/>
        <v>0.5714285714285714</v>
      </c>
      <c r="W38" s="54">
        <f t="shared" si="30"/>
        <v>0</v>
      </c>
      <c r="X38" s="54">
        <f t="shared" si="30"/>
        <v>0.2857142857142857</v>
      </c>
      <c r="Y38" s="54">
        <f t="shared" si="30"/>
        <v>6.5714285714285712</v>
      </c>
      <c r="Z38" s="54">
        <f t="shared" si="30"/>
        <v>3.5714285714285707</v>
      </c>
      <c r="AA38" s="54">
        <f t="shared" si="30"/>
        <v>0.14285714285714285</v>
      </c>
      <c r="AB38" s="54">
        <f t="shared" si="30"/>
        <v>0</v>
      </c>
      <c r="AC38" s="54">
        <f t="shared" si="30"/>
        <v>23.714285714285712</v>
      </c>
      <c r="AD38" s="54">
        <f t="shared" si="30"/>
        <v>0</v>
      </c>
      <c r="AE38" s="55">
        <f t="shared" si="30"/>
        <v>29.428571428571423</v>
      </c>
      <c r="AF38" s="55">
        <f t="shared" si="30"/>
        <v>53.142857142857146</v>
      </c>
    </row>
    <row r="39" spans="2:32" ht="23.1" customHeight="1" x14ac:dyDescent="0.25">
      <c r="B39" s="24" t="s">
        <v>66</v>
      </c>
      <c r="C39" s="49">
        <f>'Avg Week KABONG-KOTIDO'!C39+'Avg Week KOTIDO-KABONG'!C39</f>
        <v>0</v>
      </c>
      <c r="D39" s="49">
        <f>'Avg Week KABONG-KOTIDO'!D39+'Avg Week KOTIDO-KABONG'!D39</f>
        <v>0</v>
      </c>
      <c r="E39" s="49">
        <f>'Avg Week KABONG-KOTIDO'!E39+'Avg Week KOTIDO-KABONG'!E39</f>
        <v>0.14285714285714285</v>
      </c>
      <c r="F39" s="49">
        <f>'Avg Week KABONG-KOTIDO'!F39+'Avg Week KOTIDO-KABONG'!F39</f>
        <v>0</v>
      </c>
      <c r="G39" s="49">
        <f>'Avg Week KABONG-KOTIDO'!G39+'Avg Week KOTIDO-KABONG'!G39</f>
        <v>0</v>
      </c>
      <c r="H39" s="49">
        <f>'Avg Week KABONG-KOTIDO'!H39+'Avg Week KOTIDO-KABONG'!H39</f>
        <v>0</v>
      </c>
      <c r="I39" s="49">
        <f>'Avg Week KABONG-KOTIDO'!I39+'Avg Week KOTIDO-KABONG'!I39</f>
        <v>0</v>
      </c>
      <c r="J39" s="49">
        <f>'Avg Week KABONG-KOTIDO'!J39+'Avg Week KOTIDO-KABONG'!J39</f>
        <v>0</v>
      </c>
      <c r="K39" s="49">
        <f>'Avg Week KABONG-KOTIDO'!K39+'Avg Week KOTIDO-KABONG'!K39</f>
        <v>0</v>
      </c>
      <c r="L39" s="49">
        <f>'Avg Week KABONG-KOTIDO'!L39+'Avg Week KOTIDO-KABONG'!L39</f>
        <v>0</v>
      </c>
      <c r="M39" s="49">
        <f>'Avg Week KABONG-KOTIDO'!M39+'Avg Week KOTIDO-KABONG'!M39</f>
        <v>0.5714285714285714</v>
      </c>
      <c r="N39" s="49">
        <f>'Avg Week KABONG-KOTIDO'!N39+'Avg Week KOTIDO-KABONG'!N39</f>
        <v>0</v>
      </c>
      <c r="O39" s="15">
        <f t="shared" si="0"/>
        <v>0.14285714285714285</v>
      </c>
      <c r="P39" s="15">
        <f t="shared" si="1"/>
        <v>0.71428571428571419</v>
      </c>
      <c r="R39" s="29" t="s">
        <v>87</v>
      </c>
      <c r="S39" s="54">
        <f t="shared" ref="S39:AF39" si="31">SUM(S19:S21)</f>
        <v>1.2857142857142856</v>
      </c>
      <c r="T39" s="54">
        <f t="shared" si="31"/>
        <v>8.1428571428571423</v>
      </c>
      <c r="U39" s="54">
        <f t="shared" si="31"/>
        <v>8.5714285714285712</v>
      </c>
      <c r="V39" s="54">
        <f t="shared" si="31"/>
        <v>0</v>
      </c>
      <c r="W39" s="54">
        <f t="shared" si="31"/>
        <v>0.2857142857142857</v>
      </c>
      <c r="X39" s="54">
        <f t="shared" si="31"/>
        <v>1.1428571428571428</v>
      </c>
      <c r="Y39" s="54">
        <f t="shared" si="31"/>
        <v>2.2857142857142856</v>
      </c>
      <c r="Z39" s="54">
        <f t="shared" si="31"/>
        <v>2.4285714285714284</v>
      </c>
      <c r="AA39" s="54">
        <f t="shared" si="31"/>
        <v>0</v>
      </c>
      <c r="AB39" s="54">
        <f t="shared" si="31"/>
        <v>0</v>
      </c>
      <c r="AC39" s="54">
        <f t="shared" si="31"/>
        <v>15.285714285714286</v>
      </c>
      <c r="AD39" s="54">
        <f t="shared" si="31"/>
        <v>0</v>
      </c>
      <c r="AE39" s="55">
        <f t="shared" si="31"/>
        <v>24.142857142857139</v>
      </c>
      <c r="AF39" s="55">
        <f t="shared" si="31"/>
        <v>39.428571428571431</v>
      </c>
    </row>
    <row r="40" spans="2:32" ht="23.1" customHeight="1" x14ac:dyDescent="0.25">
      <c r="B40" s="24" t="s">
        <v>67</v>
      </c>
      <c r="C40" s="49">
        <f>'Avg Week KABONG-KOTIDO'!C40+'Avg Week KOTIDO-KABONG'!C40</f>
        <v>0</v>
      </c>
      <c r="D40" s="49">
        <f>'Avg Week KABONG-KOTIDO'!D40+'Avg Week KOTIDO-KABONG'!D40</f>
        <v>0.14285714285714285</v>
      </c>
      <c r="E40" s="49">
        <f>'Avg Week KABONG-KOTIDO'!E40+'Avg Week KOTIDO-KABONG'!E40</f>
        <v>0</v>
      </c>
      <c r="F40" s="49">
        <f>'Avg Week KABONG-KOTIDO'!F40+'Avg Week KOTIDO-KABONG'!F40</f>
        <v>0</v>
      </c>
      <c r="G40" s="49">
        <f>'Avg Week KABONG-KOTIDO'!G40+'Avg Week KOTIDO-KABONG'!G40</f>
        <v>0</v>
      </c>
      <c r="H40" s="49">
        <f>'Avg Week KABONG-KOTIDO'!H40+'Avg Week KOTIDO-KABONG'!H40</f>
        <v>0</v>
      </c>
      <c r="I40" s="49">
        <f>'Avg Week KABONG-KOTIDO'!I40+'Avg Week KOTIDO-KABONG'!I40</f>
        <v>0.42857142857142855</v>
      </c>
      <c r="J40" s="49">
        <f>'Avg Week KABONG-KOTIDO'!J40+'Avg Week KOTIDO-KABONG'!J40</f>
        <v>0.14285714285714285</v>
      </c>
      <c r="K40" s="49">
        <f>'Avg Week KABONG-KOTIDO'!K40+'Avg Week KOTIDO-KABONG'!K40</f>
        <v>0</v>
      </c>
      <c r="L40" s="49">
        <f>'Avg Week KABONG-KOTIDO'!L40+'Avg Week KOTIDO-KABONG'!L40</f>
        <v>0</v>
      </c>
      <c r="M40" s="49">
        <f>'Avg Week KABONG-KOTIDO'!M40+'Avg Week KOTIDO-KABONG'!M40</f>
        <v>0.7142857142857143</v>
      </c>
      <c r="N40" s="49">
        <f>'Avg Week KABONG-KOTIDO'!N40+'Avg Week KOTIDO-KABONG'!N40</f>
        <v>0</v>
      </c>
      <c r="O40" s="15">
        <f t="shared" si="0"/>
        <v>0.71428571428571419</v>
      </c>
      <c r="P40" s="15">
        <f t="shared" si="1"/>
        <v>1.4285714285714284</v>
      </c>
      <c r="R40" s="5" t="s">
        <v>17</v>
      </c>
      <c r="S40" s="54">
        <f t="shared" ref="S40:AF40" si="32">SUM(S10:S21)</f>
        <v>5.5714285714285712</v>
      </c>
      <c r="T40" s="54">
        <f t="shared" si="32"/>
        <v>25.714285714285712</v>
      </c>
      <c r="U40" s="54">
        <f t="shared" si="32"/>
        <v>21.714285714285712</v>
      </c>
      <c r="V40" s="54">
        <f t="shared" si="32"/>
        <v>0.71428571428571419</v>
      </c>
      <c r="W40" s="54">
        <f t="shared" si="32"/>
        <v>0.2857142857142857</v>
      </c>
      <c r="X40" s="54">
        <f t="shared" si="32"/>
        <v>1.857142857142857</v>
      </c>
      <c r="Y40" s="54">
        <f t="shared" si="32"/>
        <v>14.71428571428571</v>
      </c>
      <c r="Z40" s="54">
        <f t="shared" si="32"/>
        <v>11.428571428571427</v>
      </c>
      <c r="AA40" s="54">
        <f t="shared" si="32"/>
        <v>0.5714285714285714</v>
      </c>
      <c r="AB40" s="54">
        <f t="shared" si="32"/>
        <v>0</v>
      </c>
      <c r="AC40" s="54">
        <f t="shared" si="32"/>
        <v>56.285714285714285</v>
      </c>
      <c r="AD40" s="54">
        <f t="shared" si="32"/>
        <v>0.14285714285714285</v>
      </c>
      <c r="AE40" s="55">
        <f t="shared" si="32"/>
        <v>82.714285714285708</v>
      </c>
      <c r="AF40" s="55">
        <f t="shared" si="32"/>
        <v>139</v>
      </c>
    </row>
    <row r="41" spans="2:32" ht="23.1" customHeight="1" x14ac:dyDescent="0.25">
      <c r="B41" s="23" t="s">
        <v>68</v>
      </c>
      <c r="C41" s="49">
        <f>'Avg Week KABONG-KOTIDO'!C41+'Avg Week KOTIDO-KABONG'!C41</f>
        <v>0.14285714285714285</v>
      </c>
      <c r="D41" s="49">
        <f>'Avg Week KABONG-KOTIDO'!D41+'Avg Week KOTIDO-KABONG'!D41</f>
        <v>0.42857142857142855</v>
      </c>
      <c r="E41" s="49">
        <f>'Avg Week KABONG-KOTIDO'!E41+'Avg Week KOTIDO-KABONG'!E41</f>
        <v>0.85714285714285721</v>
      </c>
      <c r="F41" s="49">
        <f>'Avg Week KABONG-KOTIDO'!F41+'Avg Week KOTIDO-KABONG'!F41</f>
        <v>0.14285714285714285</v>
      </c>
      <c r="G41" s="49">
        <f>'Avg Week KABONG-KOTIDO'!G41+'Avg Week KOTIDO-KABONG'!G41</f>
        <v>0</v>
      </c>
      <c r="H41" s="49">
        <f>'Avg Week KABONG-KOTIDO'!H41+'Avg Week KOTIDO-KABONG'!H41</f>
        <v>0</v>
      </c>
      <c r="I41" s="49">
        <f>'Avg Week KABONG-KOTIDO'!I41+'Avg Week KOTIDO-KABONG'!I41</f>
        <v>0.2857142857142857</v>
      </c>
      <c r="J41" s="49">
        <f>'Avg Week KABONG-KOTIDO'!J41+'Avg Week KOTIDO-KABONG'!J41</f>
        <v>0</v>
      </c>
      <c r="K41" s="49">
        <f>'Avg Week KABONG-KOTIDO'!K41+'Avg Week KOTIDO-KABONG'!K41</f>
        <v>0</v>
      </c>
      <c r="L41" s="49">
        <f>'Avg Week KABONG-KOTIDO'!L41+'Avg Week KOTIDO-KABONG'!L41</f>
        <v>0</v>
      </c>
      <c r="M41" s="49">
        <f>'Avg Week KABONG-KOTIDO'!M41+'Avg Week KOTIDO-KABONG'!M41</f>
        <v>0.85714285714285721</v>
      </c>
      <c r="N41" s="49">
        <f>'Avg Week KABONG-KOTIDO'!N41+'Avg Week KOTIDO-KABONG'!N41</f>
        <v>0</v>
      </c>
      <c r="O41" s="15">
        <f t="shared" si="0"/>
        <v>1.8571428571428572</v>
      </c>
      <c r="P41" s="15">
        <f t="shared" si="1"/>
        <v>2.7142857142857144</v>
      </c>
      <c r="R41" s="5" t="s">
        <v>179</v>
      </c>
      <c r="S41" s="54">
        <f>SUM(S10:S33)</f>
        <v>8.5714285714285712</v>
      </c>
      <c r="T41" s="54">
        <f t="shared" ref="T41:AD41" si="33">SUM(T10:T33)</f>
        <v>50.214285714285708</v>
      </c>
      <c r="U41" s="54">
        <f t="shared" si="33"/>
        <v>41.714285714285708</v>
      </c>
      <c r="V41" s="54">
        <f t="shared" si="33"/>
        <v>0.71428571428571419</v>
      </c>
      <c r="W41" s="54">
        <f t="shared" si="33"/>
        <v>0.2857142857142857</v>
      </c>
      <c r="X41" s="54">
        <f t="shared" si="33"/>
        <v>2.8571428571428568</v>
      </c>
      <c r="Y41" s="54">
        <f t="shared" si="33"/>
        <v>26.714285714285708</v>
      </c>
      <c r="Z41" s="54">
        <f t="shared" si="33"/>
        <v>20.928571428571427</v>
      </c>
      <c r="AA41" s="54">
        <f t="shared" si="33"/>
        <v>1.0714285714285714</v>
      </c>
      <c r="AB41" s="54">
        <f t="shared" si="33"/>
        <v>0</v>
      </c>
      <c r="AC41" s="54">
        <f t="shared" si="33"/>
        <v>107.28571428571428</v>
      </c>
      <c r="AD41" s="54">
        <f t="shared" si="33"/>
        <v>0.14285714285714285</v>
      </c>
      <c r="AE41" s="55">
        <f>SUM(AE10:AE33)</f>
        <v>153.21428571428572</v>
      </c>
      <c r="AF41" s="55">
        <f>SUM(AF10:AF33)</f>
        <v>260.5</v>
      </c>
    </row>
    <row r="42" spans="2:32" ht="23.1" customHeight="1" x14ac:dyDescent="0.25">
      <c r="B42" s="24" t="s">
        <v>69</v>
      </c>
      <c r="C42" s="49">
        <f>'Avg Week KABONG-KOTIDO'!C42+'Avg Week KOTIDO-KABONG'!C42</f>
        <v>0</v>
      </c>
      <c r="D42" s="49">
        <f>'Avg Week KABONG-KOTIDO'!D42+'Avg Week KOTIDO-KABONG'!D42</f>
        <v>0.2857142857142857</v>
      </c>
      <c r="E42" s="49">
        <f>'Avg Week KABONG-KOTIDO'!E42+'Avg Week KOTIDO-KABONG'!E42</f>
        <v>0.71428571428571419</v>
      </c>
      <c r="F42" s="49">
        <f>'Avg Week KABONG-KOTIDO'!F42+'Avg Week KOTIDO-KABONG'!F42</f>
        <v>0</v>
      </c>
      <c r="G42" s="49">
        <f>'Avg Week KABONG-KOTIDO'!G42+'Avg Week KOTIDO-KABONG'!G42</f>
        <v>0</v>
      </c>
      <c r="H42" s="49">
        <f>'Avg Week KABONG-KOTIDO'!H42+'Avg Week KOTIDO-KABONG'!H42</f>
        <v>0</v>
      </c>
      <c r="I42" s="49">
        <f>'Avg Week KABONG-KOTIDO'!I42+'Avg Week KOTIDO-KABONG'!I42</f>
        <v>0.2857142857142857</v>
      </c>
      <c r="J42" s="49">
        <f>'Avg Week KABONG-KOTIDO'!J42+'Avg Week KOTIDO-KABONG'!J42</f>
        <v>0</v>
      </c>
      <c r="K42" s="49">
        <f>'Avg Week KABONG-KOTIDO'!K42+'Avg Week KOTIDO-KABONG'!K42</f>
        <v>0</v>
      </c>
      <c r="L42" s="49">
        <f>'Avg Week KABONG-KOTIDO'!L42+'Avg Week KOTIDO-KABONG'!L42</f>
        <v>0</v>
      </c>
      <c r="M42" s="49">
        <f>'Avg Week KABONG-KOTIDO'!M42+'Avg Week KOTIDO-KABONG'!M42</f>
        <v>4.1428571428571423</v>
      </c>
      <c r="N42" s="49">
        <f>'Avg Week KABONG-KOTIDO'!N42+'Avg Week KOTIDO-KABONG'!N42</f>
        <v>0</v>
      </c>
      <c r="O42" s="15">
        <f t="shared" si="0"/>
        <v>1.2857142857142856</v>
      </c>
      <c r="P42" s="15">
        <f t="shared" si="1"/>
        <v>5.4285714285714279</v>
      </c>
      <c r="R42" s="5" t="s">
        <v>160</v>
      </c>
      <c r="S42" s="48">
        <f>S41/S40</f>
        <v>1.5384615384615385</v>
      </c>
      <c r="T42" s="48">
        <f t="shared" ref="T42:AF42" si="34">T41/T40</f>
        <v>1.9527777777777777</v>
      </c>
      <c r="U42" s="48">
        <f t="shared" si="34"/>
        <v>1.9210526315789473</v>
      </c>
      <c r="V42" s="48">
        <f t="shared" si="34"/>
        <v>1</v>
      </c>
      <c r="W42" s="48">
        <f t="shared" si="34"/>
        <v>1</v>
      </c>
      <c r="X42" s="48">
        <f t="shared" si="34"/>
        <v>1.5384615384615383</v>
      </c>
      <c r="Y42" s="48">
        <f t="shared" si="34"/>
        <v>1.8155339805825244</v>
      </c>
      <c r="Z42" s="48">
        <f t="shared" si="34"/>
        <v>1.83125</v>
      </c>
      <c r="AA42" s="48">
        <f t="shared" si="34"/>
        <v>1.875</v>
      </c>
      <c r="AB42" s="48" t="e">
        <f t="shared" si="34"/>
        <v>#DIV/0!</v>
      </c>
      <c r="AC42" s="48">
        <f t="shared" si="34"/>
        <v>1.9060913705583755</v>
      </c>
      <c r="AD42" s="48">
        <f t="shared" si="34"/>
        <v>1</v>
      </c>
      <c r="AE42" s="56">
        <f t="shared" si="34"/>
        <v>1.8523316062176167</v>
      </c>
      <c r="AF42" s="56">
        <f t="shared" si="34"/>
        <v>1.8741007194244603</v>
      </c>
    </row>
    <row r="43" spans="2:32" ht="23.1" customHeight="1" x14ac:dyDescent="0.25">
      <c r="B43" s="23" t="s">
        <v>70</v>
      </c>
      <c r="C43" s="49">
        <f>'Avg Week KABONG-KOTIDO'!C43+'Avg Week KOTIDO-KABONG'!C43</f>
        <v>0</v>
      </c>
      <c r="D43" s="49">
        <f>'Avg Week KABONG-KOTIDO'!D43+'Avg Week KOTIDO-KABONG'!D43</f>
        <v>0.2857142857142857</v>
      </c>
      <c r="E43" s="49">
        <f>'Avg Week KABONG-KOTIDO'!E43+'Avg Week KOTIDO-KABONG'!E43</f>
        <v>0.2857142857142857</v>
      </c>
      <c r="F43" s="49">
        <f>'Avg Week KABONG-KOTIDO'!F43+'Avg Week KOTIDO-KABONG'!F43</f>
        <v>0</v>
      </c>
      <c r="G43" s="49">
        <f>'Avg Week KABONG-KOTIDO'!G43+'Avg Week KOTIDO-KABONG'!G43</f>
        <v>0</v>
      </c>
      <c r="H43" s="49">
        <f>'Avg Week KABONG-KOTIDO'!H43+'Avg Week KOTIDO-KABONG'!H43</f>
        <v>0.14285714285714285</v>
      </c>
      <c r="I43" s="49">
        <f>'Avg Week KABONG-KOTIDO'!I43+'Avg Week KOTIDO-KABONG'!I43</f>
        <v>1.1428571428571428</v>
      </c>
      <c r="J43" s="49">
        <f>'Avg Week KABONG-KOTIDO'!J43+'Avg Week KOTIDO-KABONG'!J43</f>
        <v>0</v>
      </c>
      <c r="K43" s="49">
        <f>'Avg Week KABONG-KOTIDO'!K43+'Avg Week KOTIDO-KABONG'!K43</f>
        <v>0</v>
      </c>
      <c r="L43" s="49">
        <f>'Avg Week KABONG-KOTIDO'!L43+'Avg Week KOTIDO-KABONG'!L43</f>
        <v>0</v>
      </c>
      <c r="M43" s="49">
        <f>'Avg Week KABONG-KOTIDO'!M43+'Avg Week KOTIDO-KABONG'!M43</f>
        <v>0.2857142857142857</v>
      </c>
      <c r="N43" s="49">
        <f>'Avg Week KABONG-KOTIDO'!N43+'Avg Week KOTIDO-KABONG'!N43</f>
        <v>0</v>
      </c>
      <c r="O43" s="15">
        <f t="shared" si="0"/>
        <v>1.857142857142857</v>
      </c>
      <c r="P43" s="15">
        <f t="shared" si="1"/>
        <v>2.1428571428571428</v>
      </c>
    </row>
    <row r="44" spans="2:32" ht="23.1" customHeight="1" x14ac:dyDescent="0.25">
      <c r="B44" s="25" t="s">
        <v>71</v>
      </c>
      <c r="C44" s="49">
        <f>'Avg Week KABONG-KOTIDO'!C44+'Avg Week KOTIDO-KABONG'!C44</f>
        <v>0</v>
      </c>
      <c r="D44" s="49">
        <f>'Avg Week KABONG-KOTIDO'!D44+'Avg Week KOTIDO-KABONG'!D44</f>
        <v>0.85714285714285721</v>
      </c>
      <c r="E44" s="49">
        <f>'Avg Week KABONG-KOTIDO'!E44+'Avg Week KOTIDO-KABONG'!E44</f>
        <v>0.42857142857142855</v>
      </c>
      <c r="F44" s="49">
        <f>'Avg Week KABONG-KOTIDO'!F44+'Avg Week KOTIDO-KABONG'!F44</f>
        <v>0</v>
      </c>
      <c r="G44" s="49">
        <f>'Avg Week KABONG-KOTIDO'!G44+'Avg Week KOTIDO-KABONG'!G44</f>
        <v>0</v>
      </c>
      <c r="H44" s="49">
        <f>'Avg Week KABONG-KOTIDO'!H44+'Avg Week KOTIDO-KABONG'!H44</f>
        <v>0</v>
      </c>
      <c r="I44" s="49">
        <f>'Avg Week KABONG-KOTIDO'!I44+'Avg Week KOTIDO-KABONG'!I44</f>
        <v>0</v>
      </c>
      <c r="J44" s="49">
        <f>'Avg Week KABONG-KOTIDO'!J44+'Avg Week KOTIDO-KABONG'!J44</f>
        <v>0.2857142857142857</v>
      </c>
      <c r="K44" s="49">
        <f>'Avg Week KABONG-KOTIDO'!K44+'Avg Week KOTIDO-KABONG'!K44</f>
        <v>0</v>
      </c>
      <c r="L44" s="49">
        <f>'Avg Week KABONG-KOTIDO'!L44+'Avg Week KOTIDO-KABONG'!L44</f>
        <v>0</v>
      </c>
      <c r="M44" s="49">
        <f>'Avg Week KABONG-KOTIDO'!M44+'Avg Week KOTIDO-KABONG'!M44</f>
        <v>0.42857142857142855</v>
      </c>
      <c r="N44" s="49">
        <f>'Avg Week KABONG-KOTIDO'!N44+'Avg Week KOTIDO-KABONG'!N44</f>
        <v>0</v>
      </c>
      <c r="O44" s="15">
        <f t="shared" si="0"/>
        <v>1.5714285714285716</v>
      </c>
      <c r="P44" s="15">
        <f t="shared" si="1"/>
        <v>2</v>
      </c>
    </row>
    <row r="45" spans="2:32" ht="23.1" customHeight="1" x14ac:dyDescent="0.25">
      <c r="B45" s="23" t="s">
        <v>72</v>
      </c>
      <c r="C45" s="49">
        <f>'Avg Week KABONG-KOTIDO'!C45+'Avg Week KOTIDO-KABONG'!C45</f>
        <v>0</v>
      </c>
      <c r="D45" s="49">
        <f>'Avg Week KABONG-KOTIDO'!D45+'Avg Week KOTIDO-KABONG'!D45</f>
        <v>0.42857142857142855</v>
      </c>
      <c r="E45" s="49">
        <f>'Avg Week KABONG-KOTIDO'!E45+'Avg Week KOTIDO-KABONG'!E45</f>
        <v>0</v>
      </c>
      <c r="F45" s="49">
        <f>'Avg Week KABONG-KOTIDO'!F45+'Avg Week KOTIDO-KABONG'!F45</f>
        <v>0</v>
      </c>
      <c r="G45" s="49">
        <f>'Avg Week KABONG-KOTIDO'!G45+'Avg Week KOTIDO-KABONG'!G45</f>
        <v>0</v>
      </c>
      <c r="H45" s="49">
        <f>'Avg Week KABONG-KOTIDO'!H45+'Avg Week KOTIDO-KABONG'!H45</f>
        <v>0</v>
      </c>
      <c r="I45" s="49">
        <f>'Avg Week KABONG-KOTIDO'!I45+'Avg Week KOTIDO-KABONG'!I45</f>
        <v>0.2857142857142857</v>
      </c>
      <c r="J45" s="49">
        <f>'Avg Week KABONG-KOTIDO'!J45+'Avg Week KOTIDO-KABONG'!J45</f>
        <v>0</v>
      </c>
      <c r="K45" s="49">
        <f>'Avg Week KABONG-KOTIDO'!K45+'Avg Week KOTIDO-KABONG'!K45</f>
        <v>0</v>
      </c>
      <c r="L45" s="49">
        <f>'Avg Week KABONG-KOTIDO'!L45+'Avg Week KOTIDO-KABONG'!L45</f>
        <v>0</v>
      </c>
      <c r="M45" s="49">
        <f>'Avg Week KABONG-KOTIDO'!M45+'Avg Week KOTIDO-KABONG'!M45</f>
        <v>1</v>
      </c>
      <c r="N45" s="49">
        <f>'Avg Week KABONG-KOTIDO'!N45+'Avg Week KOTIDO-KABONG'!N45</f>
        <v>0</v>
      </c>
      <c r="O45" s="15">
        <f t="shared" si="0"/>
        <v>0.71428571428571419</v>
      </c>
      <c r="P45" s="15">
        <f t="shared" si="1"/>
        <v>1.7142857142857142</v>
      </c>
    </row>
    <row r="46" spans="2:32" ht="23.1" customHeight="1" x14ac:dyDescent="0.25">
      <c r="B46" s="24" t="s">
        <v>73</v>
      </c>
      <c r="C46" s="49">
        <f>'Avg Week KABONG-KOTIDO'!C46+'Avg Week KOTIDO-KABONG'!C46</f>
        <v>0.14285714285714285</v>
      </c>
      <c r="D46" s="49">
        <f>'Avg Week KABONG-KOTIDO'!D46+'Avg Week KOTIDO-KABONG'!D46</f>
        <v>0.8571428571428571</v>
      </c>
      <c r="E46" s="49">
        <f>'Avg Week KABONG-KOTIDO'!E46+'Avg Week KOTIDO-KABONG'!E46</f>
        <v>0</v>
      </c>
      <c r="F46" s="49">
        <f>'Avg Week KABONG-KOTIDO'!F46+'Avg Week KOTIDO-KABONG'!F46</f>
        <v>0</v>
      </c>
      <c r="G46" s="49">
        <f>'Avg Week KABONG-KOTIDO'!G46+'Avg Week KOTIDO-KABONG'!G46</f>
        <v>0.14285714285714285</v>
      </c>
      <c r="H46" s="49">
        <f>'Avg Week KABONG-KOTIDO'!H46+'Avg Week KOTIDO-KABONG'!H46</f>
        <v>0</v>
      </c>
      <c r="I46" s="49">
        <f>'Avg Week KABONG-KOTIDO'!I46+'Avg Week KOTIDO-KABONG'!I46</f>
        <v>0.2857142857142857</v>
      </c>
      <c r="J46" s="49">
        <f>'Avg Week KABONG-KOTIDO'!J46+'Avg Week KOTIDO-KABONG'!J46</f>
        <v>0.14285714285714285</v>
      </c>
      <c r="K46" s="49">
        <f>'Avg Week KABONG-KOTIDO'!K46+'Avg Week KOTIDO-KABONG'!K46</f>
        <v>0</v>
      </c>
      <c r="L46" s="49">
        <f>'Avg Week KABONG-KOTIDO'!L46+'Avg Week KOTIDO-KABONG'!L46</f>
        <v>0</v>
      </c>
      <c r="M46" s="49">
        <f>'Avg Week KABONG-KOTIDO'!M46+'Avg Week KOTIDO-KABONG'!M46</f>
        <v>1.7142857142857142</v>
      </c>
      <c r="N46" s="49">
        <f>'Avg Week KABONG-KOTIDO'!N46+'Avg Week KOTIDO-KABONG'!N46</f>
        <v>0</v>
      </c>
      <c r="O46" s="15">
        <f t="shared" si="0"/>
        <v>1.5714285714285712</v>
      </c>
      <c r="P46" s="15">
        <f t="shared" si="1"/>
        <v>3.2857142857142856</v>
      </c>
      <c r="R46" s="8"/>
      <c r="T46"/>
    </row>
    <row r="47" spans="2:32" ht="23.1" customHeight="1" x14ac:dyDescent="0.25">
      <c r="B47" s="24" t="s">
        <v>74</v>
      </c>
      <c r="C47" s="49">
        <f>'Avg Week KABONG-KOTIDO'!C47+'Avg Week KOTIDO-KABONG'!C47</f>
        <v>0</v>
      </c>
      <c r="D47" s="49">
        <f>'Avg Week KABONG-KOTIDO'!D47+'Avg Week KOTIDO-KABONG'!D47</f>
        <v>0.8571428571428571</v>
      </c>
      <c r="E47" s="49">
        <f>'Avg Week KABONG-KOTIDO'!E47+'Avg Week KOTIDO-KABONG'!E47</f>
        <v>0.2857142857142857</v>
      </c>
      <c r="F47" s="49">
        <f>'Avg Week KABONG-KOTIDO'!F47+'Avg Week KOTIDO-KABONG'!F47</f>
        <v>0</v>
      </c>
      <c r="G47" s="49">
        <f>'Avg Week KABONG-KOTIDO'!G47+'Avg Week KOTIDO-KABONG'!G47</f>
        <v>0</v>
      </c>
      <c r="H47" s="49">
        <f>'Avg Week KABONG-KOTIDO'!H47+'Avg Week KOTIDO-KABONG'!H47</f>
        <v>0</v>
      </c>
      <c r="I47" s="49">
        <f>'Avg Week KABONG-KOTIDO'!I47+'Avg Week KOTIDO-KABONG'!I47</f>
        <v>0.14285714285714285</v>
      </c>
      <c r="J47" s="49">
        <f>'Avg Week KABONG-KOTIDO'!J47+'Avg Week KOTIDO-KABONG'!J47</f>
        <v>0.2857142857142857</v>
      </c>
      <c r="K47" s="49">
        <f>'Avg Week KABONG-KOTIDO'!K47+'Avg Week KOTIDO-KABONG'!K47</f>
        <v>0</v>
      </c>
      <c r="L47" s="49">
        <f>'Avg Week KABONG-KOTIDO'!L47+'Avg Week KOTIDO-KABONG'!L47</f>
        <v>0</v>
      </c>
      <c r="M47" s="49">
        <f>'Avg Week KABONG-KOTIDO'!M47+'Avg Week KOTIDO-KABONG'!M47</f>
        <v>1.1428571428571428</v>
      </c>
      <c r="N47" s="49">
        <f>'Avg Week KABONG-KOTIDO'!N47+'Avg Week KOTIDO-KABONG'!N47</f>
        <v>0</v>
      </c>
      <c r="O47" s="15">
        <f t="shared" si="0"/>
        <v>1.5714285714285712</v>
      </c>
      <c r="P47" s="15">
        <f t="shared" si="1"/>
        <v>2.714285714285714</v>
      </c>
      <c r="R47" s="8"/>
      <c r="T47"/>
    </row>
    <row r="48" spans="2:32" ht="23.1" customHeight="1" x14ac:dyDescent="0.25">
      <c r="B48" s="24" t="s">
        <v>75</v>
      </c>
      <c r="C48" s="49">
        <f>'Avg Week KABONG-KOTIDO'!C48+'Avg Week KOTIDO-KABONG'!C48</f>
        <v>0</v>
      </c>
      <c r="D48" s="49">
        <f>'Avg Week KABONG-KOTIDO'!D48+'Avg Week KOTIDO-KABONG'!D48</f>
        <v>0.8571428571428571</v>
      </c>
      <c r="E48" s="49">
        <f>'Avg Week KABONG-KOTIDO'!E48+'Avg Week KOTIDO-KABONG'!E48</f>
        <v>0.2857142857142857</v>
      </c>
      <c r="F48" s="49">
        <f>'Avg Week KABONG-KOTIDO'!F48+'Avg Week KOTIDO-KABONG'!F48</f>
        <v>0</v>
      </c>
      <c r="G48" s="49">
        <f>'Avg Week KABONG-KOTIDO'!G48+'Avg Week KOTIDO-KABONG'!G48</f>
        <v>0.14285714285714285</v>
      </c>
      <c r="H48" s="49">
        <f>'Avg Week KABONG-KOTIDO'!H48+'Avg Week KOTIDO-KABONG'!H48</f>
        <v>0</v>
      </c>
      <c r="I48" s="49">
        <f>'Avg Week KABONG-KOTIDO'!I48+'Avg Week KOTIDO-KABONG'!I48</f>
        <v>0.14285714285714285</v>
      </c>
      <c r="J48" s="49">
        <f>'Avg Week KABONG-KOTIDO'!J48+'Avg Week KOTIDO-KABONG'!J48</f>
        <v>0.2857142857142857</v>
      </c>
      <c r="K48" s="49">
        <f>'Avg Week KABONG-KOTIDO'!K48+'Avg Week KOTIDO-KABONG'!K48</f>
        <v>0</v>
      </c>
      <c r="L48" s="49">
        <f>'Avg Week KABONG-KOTIDO'!L48+'Avg Week KOTIDO-KABONG'!L48</f>
        <v>0</v>
      </c>
      <c r="M48" s="49">
        <f>'Avg Week KABONG-KOTIDO'!M48+'Avg Week KOTIDO-KABONG'!M48</f>
        <v>1.8571428571428572</v>
      </c>
      <c r="N48" s="49">
        <f>'Avg Week KABONG-KOTIDO'!N48+'Avg Week KOTIDO-KABONG'!N48</f>
        <v>0</v>
      </c>
      <c r="O48" s="15">
        <f t="shared" si="0"/>
        <v>1.714285714285714</v>
      </c>
      <c r="P48" s="15">
        <f t="shared" si="1"/>
        <v>3.5714285714285712</v>
      </c>
      <c r="R48" s="8"/>
      <c r="T48"/>
    </row>
    <row r="49" spans="2:20" ht="23.1" customHeight="1" x14ac:dyDescent="0.25">
      <c r="B49" s="23" t="s">
        <v>76</v>
      </c>
      <c r="C49" s="49">
        <f>'Avg Week KABONG-KOTIDO'!C49+'Avg Week KOTIDO-KABONG'!C49</f>
        <v>0.14285714285714285</v>
      </c>
      <c r="D49" s="49">
        <f>'Avg Week KABONG-KOTIDO'!D49+'Avg Week KOTIDO-KABONG'!D49</f>
        <v>0.85714285714285721</v>
      </c>
      <c r="E49" s="49">
        <f>'Avg Week KABONG-KOTIDO'!E49+'Avg Week KOTIDO-KABONG'!E49</f>
        <v>1.1428571428571428</v>
      </c>
      <c r="F49" s="49">
        <f>'Avg Week KABONG-KOTIDO'!F49+'Avg Week KOTIDO-KABONG'!F49</f>
        <v>0</v>
      </c>
      <c r="G49" s="49">
        <f>'Avg Week KABONG-KOTIDO'!G49+'Avg Week KOTIDO-KABONG'!G49</f>
        <v>0</v>
      </c>
      <c r="H49" s="49">
        <f>'Avg Week KABONG-KOTIDO'!H49+'Avg Week KOTIDO-KABONG'!H49</f>
        <v>0</v>
      </c>
      <c r="I49" s="49">
        <f>'Avg Week KABONG-KOTIDO'!I49+'Avg Week KOTIDO-KABONG'!I49</f>
        <v>0</v>
      </c>
      <c r="J49" s="49">
        <f>'Avg Week KABONG-KOTIDO'!J49+'Avg Week KOTIDO-KABONG'!J49</f>
        <v>0.14285714285714285</v>
      </c>
      <c r="K49" s="49">
        <f>'Avg Week KABONG-KOTIDO'!K49+'Avg Week KOTIDO-KABONG'!K49</f>
        <v>0</v>
      </c>
      <c r="L49" s="49">
        <f>'Avg Week KABONG-KOTIDO'!L49+'Avg Week KOTIDO-KABONG'!L49</f>
        <v>0</v>
      </c>
      <c r="M49" s="49">
        <f>'Avg Week KABONG-KOTIDO'!M49+'Avg Week KOTIDO-KABONG'!M49</f>
        <v>0.7142857142857143</v>
      </c>
      <c r="N49" s="49">
        <f>'Avg Week KABONG-KOTIDO'!N49+'Avg Week KOTIDO-KABONG'!N49</f>
        <v>0</v>
      </c>
      <c r="O49" s="15">
        <f t="shared" si="0"/>
        <v>2.2857142857142856</v>
      </c>
      <c r="P49" s="15">
        <f t="shared" si="1"/>
        <v>3</v>
      </c>
      <c r="R49" s="8"/>
      <c r="T49"/>
    </row>
    <row r="50" spans="2:20" ht="23.1" customHeight="1" x14ac:dyDescent="0.25">
      <c r="B50" s="24" t="s">
        <v>77</v>
      </c>
      <c r="C50" s="49">
        <f>'Avg Week KABONG-KOTIDO'!C50+'Avg Week KOTIDO-KABONG'!C50</f>
        <v>0.14285714285714285</v>
      </c>
      <c r="D50" s="49">
        <f>'Avg Week KABONG-KOTIDO'!D50+'Avg Week KOTIDO-KABONG'!D50</f>
        <v>0.42857142857142855</v>
      </c>
      <c r="E50" s="49">
        <f>'Avg Week KABONG-KOTIDO'!E50+'Avg Week KOTIDO-KABONG'!E50</f>
        <v>1.5714285714285714</v>
      </c>
      <c r="F50" s="49">
        <f>'Avg Week KABONG-KOTIDO'!F50+'Avg Week KOTIDO-KABONG'!F50</f>
        <v>0</v>
      </c>
      <c r="G50" s="49">
        <f>'Avg Week KABONG-KOTIDO'!G50+'Avg Week KOTIDO-KABONG'!G50</f>
        <v>0</v>
      </c>
      <c r="H50" s="49">
        <f>'Avg Week KABONG-KOTIDO'!H50+'Avg Week KOTIDO-KABONG'!H50</f>
        <v>0.14285714285714285</v>
      </c>
      <c r="I50" s="49">
        <f>'Avg Week KABONG-KOTIDO'!I50+'Avg Week KOTIDO-KABONG'!I50</f>
        <v>0.14285714285714285</v>
      </c>
      <c r="J50" s="49">
        <f>'Avg Week KABONG-KOTIDO'!J50+'Avg Week KOTIDO-KABONG'!J50</f>
        <v>0.2857142857142857</v>
      </c>
      <c r="K50" s="49">
        <f>'Avg Week KABONG-KOTIDO'!K50+'Avg Week KOTIDO-KABONG'!K50</f>
        <v>0</v>
      </c>
      <c r="L50" s="49">
        <f>'Avg Week KABONG-KOTIDO'!L50+'Avg Week KOTIDO-KABONG'!L50</f>
        <v>0</v>
      </c>
      <c r="M50" s="49">
        <f>'Avg Week KABONG-KOTIDO'!M50+'Avg Week KOTIDO-KABONG'!M50</f>
        <v>1.7142857142857144</v>
      </c>
      <c r="N50" s="49">
        <f>'Avg Week KABONG-KOTIDO'!N50+'Avg Week KOTIDO-KABONG'!N50</f>
        <v>0</v>
      </c>
      <c r="O50" s="15">
        <f t="shared" si="0"/>
        <v>2.714285714285714</v>
      </c>
      <c r="P50" s="15">
        <f t="shared" si="1"/>
        <v>4.4285714285714288</v>
      </c>
      <c r="R50" s="8"/>
      <c r="T50"/>
    </row>
    <row r="51" spans="2:20" ht="23.1" customHeight="1" x14ac:dyDescent="0.25">
      <c r="B51" s="24" t="s">
        <v>78</v>
      </c>
      <c r="C51" s="49">
        <f>'Avg Week KABONG-KOTIDO'!C51+'Avg Week KOTIDO-KABONG'!C51</f>
        <v>0</v>
      </c>
      <c r="D51" s="49">
        <f>'Avg Week KABONG-KOTIDO'!D51+'Avg Week KOTIDO-KABONG'!D51</f>
        <v>0.8571428571428571</v>
      </c>
      <c r="E51" s="49">
        <f>'Avg Week KABONG-KOTIDO'!E51+'Avg Week KOTIDO-KABONG'!E51</f>
        <v>0.85714285714285721</v>
      </c>
      <c r="F51" s="49">
        <f>'Avg Week KABONG-KOTIDO'!F51+'Avg Week KOTIDO-KABONG'!F51</f>
        <v>0</v>
      </c>
      <c r="G51" s="49">
        <f>'Avg Week KABONG-KOTIDO'!G51+'Avg Week KOTIDO-KABONG'!G51</f>
        <v>0</v>
      </c>
      <c r="H51" s="49">
        <f>'Avg Week KABONG-KOTIDO'!H51+'Avg Week KOTIDO-KABONG'!H51</f>
        <v>0.14285714285714285</v>
      </c>
      <c r="I51" s="49">
        <f>'Avg Week KABONG-KOTIDO'!I51+'Avg Week KOTIDO-KABONG'!I51</f>
        <v>0.2857142857142857</v>
      </c>
      <c r="J51" s="49">
        <f>'Avg Week KABONG-KOTIDO'!J51+'Avg Week KOTIDO-KABONG'!J51</f>
        <v>0.2857142857142857</v>
      </c>
      <c r="K51" s="49">
        <f>'Avg Week KABONG-KOTIDO'!K51+'Avg Week KOTIDO-KABONG'!K51</f>
        <v>0</v>
      </c>
      <c r="L51" s="49">
        <f>'Avg Week KABONG-KOTIDO'!L51+'Avg Week KOTIDO-KABONG'!L51</f>
        <v>0</v>
      </c>
      <c r="M51" s="49">
        <f>'Avg Week KABONG-KOTIDO'!M51+'Avg Week KOTIDO-KABONG'!M51</f>
        <v>1.4285714285714286</v>
      </c>
      <c r="N51" s="49">
        <f>'Avg Week KABONG-KOTIDO'!N51+'Avg Week KOTIDO-KABONG'!N51</f>
        <v>0</v>
      </c>
      <c r="O51" s="15">
        <f t="shared" si="0"/>
        <v>2.4285714285714284</v>
      </c>
      <c r="P51" s="15">
        <f t="shared" si="1"/>
        <v>3.8571428571428568</v>
      </c>
      <c r="R51" s="8"/>
      <c r="T51"/>
    </row>
    <row r="52" spans="2:20" ht="23.1" customHeight="1" x14ac:dyDescent="0.25">
      <c r="B52" s="24" t="s">
        <v>79</v>
      </c>
      <c r="C52" s="49">
        <f>'Avg Week KABONG-KOTIDO'!C52+'Avg Week KOTIDO-KABONG'!C52</f>
        <v>0</v>
      </c>
      <c r="D52" s="49">
        <f>'Avg Week KABONG-KOTIDO'!D52+'Avg Week KOTIDO-KABONG'!D52</f>
        <v>0.2857142857142857</v>
      </c>
      <c r="E52" s="49">
        <f>'Avg Week KABONG-KOTIDO'!E52+'Avg Week KOTIDO-KABONG'!E52</f>
        <v>0.5714285714285714</v>
      </c>
      <c r="F52" s="49">
        <f>'Avg Week KABONG-KOTIDO'!F52+'Avg Week KOTIDO-KABONG'!F52</f>
        <v>0</v>
      </c>
      <c r="G52" s="49">
        <f>'Avg Week KABONG-KOTIDO'!G52+'Avg Week KOTIDO-KABONG'!G52</f>
        <v>0</v>
      </c>
      <c r="H52" s="49">
        <f>'Avg Week KABONG-KOTIDO'!H52+'Avg Week KOTIDO-KABONG'!H52</f>
        <v>0</v>
      </c>
      <c r="I52" s="49">
        <f>'Avg Week KABONG-KOTIDO'!I52+'Avg Week KOTIDO-KABONG'!I52</f>
        <v>0</v>
      </c>
      <c r="J52" s="49">
        <f>'Avg Week KABONG-KOTIDO'!J52+'Avg Week KOTIDO-KABONG'!J52</f>
        <v>0</v>
      </c>
      <c r="K52" s="49">
        <f>'Avg Week KABONG-KOTIDO'!K52+'Avg Week KOTIDO-KABONG'!K52</f>
        <v>0</v>
      </c>
      <c r="L52" s="49">
        <f>'Avg Week KABONG-KOTIDO'!L52+'Avg Week KOTIDO-KABONG'!L52</f>
        <v>0</v>
      </c>
      <c r="M52" s="49">
        <f>'Avg Week KABONG-KOTIDO'!M52+'Avg Week KOTIDO-KABONG'!M52</f>
        <v>0.2857142857142857</v>
      </c>
      <c r="N52" s="49">
        <f>'Avg Week KABONG-KOTIDO'!N52+'Avg Week KOTIDO-KABONG'!N52</f>
        <v>0</v>
      </c>
      <c r="O52" s="15">
        <f t="shared" si="0"/>
        <v>0.8571428571428571</v>
      </c>
      <c r="P52" s="15">
        <f t="shared" si="1"/>
        <v>1.1428571428571428</v>
      </c>
      <c r="R52" s="8"/>
      <c r="T52"/>
    </row>
    <row r="53" spans="2:20" ht="23.1" customHeight="1" x14ac:dyDescent="0.25">
      <c r="B53" s="23" t="s">
        <v>80</v>
      </c>
      <c r="C53" s="49">
        <f>'Avg Week KABONG-KOTIDO'!C53+'Avg Week KOTIDO-KABONG'!C53</f>
        <v>0.14285714285714285</v>
      </c>
      <c r="D53" s="49">
        <f>'Avg Week KABONG-KOTIDO'!D53+'Avg Week KOTIDO-KABONG'!D53</f>
        <v>0.2857142857142857</v>
      </c>
      <c r="E53" s="49">
        <f>'Avg Week KABONG-KOTIDO'!E53+'Avg Week KOTIDO-KABONG'!E53</f>
        <v>1.1428571428571428</v>
      </c>
      <c r="F53" s="49">
        <f>'Avg Week KABONG-KOTIDO'!F53+'Avg Week KOTIDO-KABONG'!F53</f>
        <v>0</v>
      </c>
      <c r="G53" s="49">
        <f>'Avg Week KABONG-KOTIDO'!G53+'Avg Week KOTIDO-KABONG'!G53</f>
        <v>0</v>
      </c>
      <c r="H53" s="49">
        <f>'Avg Week KABONG-KOTIDO'!H53+'Avg Week KOTIDO-KABONG'!H53</f>
        <v>0.14285714285714285</v>
      </c>
      <c r="I53" s="49">
        <f>'Avg Week KABONG-KOTIDO'!I53+'Avg Week KOTIDO-KABONG'!I53</f>
        <v>0.14285714285714285</v>
      </c>
      <c r="J53" s="49">
        <f>'Avg Week KABONG-KOTIDO'!J53+'Avg Week KOTIDO-KABONG'!J53</f>
        <v>0.42857142857142855</v>
      </c>
      <c r="K53" s="49">
        <f>'Avg Week KABONG-KOTIDO'!K53+'Avg Week KOTIDO-KABONG'!K53</f>
        <v>0</v>
      </c>
      <c r="L53" s="49">
        <f>'Avg Week KABONG-KOTIDO'!L53+'Avg Week KOTIDO-KABONG'!L53</f>
        <v>0</v>
      </c>
      <c r="M53" s="49">
        <f>'Avg Week KABONG-KOTIDO'!M53+'Avg Week KOTIDO-KABONG'!M53</f>
        <v>1.1428571428571428</v>
      </c>
      <c r="N53" s="49">
        <f>'Avg Week KABONG-KOTIDO'!N53+'Avg Week KOTIDO-KABONG'!N53</f>
        <v>0</v>
      </c>
      <c r="O53" s="15">
        <f t="shared" si="0"/>
        <v>2.2857142857142856</v>
      </c>
      <c r="P53" s="15">
        <f t="shared" si="1"/>
        <v>3.4285714285714284</v>
      </c>
      <c r="R53" s="8"/>
      <c r="T53"/>
    </row>
    <row r="54" spans="2:20" ht="23.1" customHeight="1" x14ac:dyDescent="0.25">
      <c r="B54" s="23" t="s">
        <v>81</v>
      </c>
      <c r="C54" s="49">
        <f>'Avg Week KABONG-KOTIDO'!C54+'Avg Week KOTIDO-KABONG'!C54</f>
        <v>0.14285714285714285</v>
      </c>
      <c r="D54" s="49">
        <f>'Avg Week KABONG-KOTIDO'!D54+'Avg Week KOTIDO-KABONG'!D54</f>
        <v>0.85714285714285721</v>
      </c>
      <c r="E54" s="49">
        <f>'Avg Week KABONG-KOTIDO'!E54+'Avg Week KOTIDO-KABONG'!E54</f>
        <v>0.5714285714285714</v>
      </c>
      <c r="F54" s="49">
        <f>'Avg Week KABONG-KOTIDO'!F54+'Avg Week KOTIDO-KABONG'!F54</f>
        <v>0</v>
      </c>
      <c r="G54" s="49">
        <f>'Avg Week KABONG-KOTIDO'!G54+'Avg Week KOTIDO-KABONG'!G54</f>
        <v>0</v>
      </c>
      <c r="H54" s="49">
        <f>'Avg Week KABONG-KOTIDO'!H54+'Avg Week KOTIDO-KABONG'!H54</f>
        <v>0.2857142857142857</v>
      </c>
      <c r="I54" s="49">
        <f>'Avg Week KABONG-KOTIDO'!I54+'Avg Week KOTIDO-KABONG'!I54</f>
        <v>0.5714285714285714</v>
      </c>
      <c r="J54" s="49">
        <f>'Avg Week KABONG-KOTIDO'!J54+'Avg Week KOTIDO-KABONG'!J54</f>
        <v>0.2857142857142857</v>
      </c>
      <c r="K54" s="49">
        <f>'Avg Week KABONG-KOTIDO'!K54+'Avg Week KOTIDO-KABONG'!K54</f>
        <v>0</v>
      </c>
      <c r="L54" s="49">
        <f>'Avg Week KABONG-KOTIDO'!L54+'Avg Week KOTIDO-KABONG'!L54</f>
        <v>0</v>
      </c>
      <c r="M54" s="49">
        <f>'Avg Week KABONG-KOTIDO'!M54+'Avg Week KOTIDO-KABONG'!M54</f>
        <v>1.7142857142857144</v>
      </c>
      <c r="N54" s="49">
        <f>'Avg Week KABONG-KOTIDO'!N54+'Avg Week KOTIDO-KABONG'!N54</f>
        <v>0</v>
      </c>
      <c r="O54" s="15">
        <f t="shared" si="0"/>
        <v>2.7142857142857144</v>
      </c>
      <c r="P54" s="15">
        <f t="shared" si="1"/>
        <v>4.4285714285714288</v>
      </c>
      <c r="R54" s="8"/>
      <c r="T54"/>
    </row>
    <row r="55" spans="2:20" ht="23.1" customHeight="1" x14ac:dyDescent="0.25">
      <c r="B55" s="23" t="s">
        <v>82</v>
      </c>
      <c r="C55" s="49">
        <f>'Avg Week KABONG-KOTIDO'!C55+'Avg Week KOTIDO-KABONG'!C55</f>
        <v>0</v>
      </c>
      <c r="D55" s="49">
        <f>'Avg Week KABONG-KOTIDO'!D55+'Avg Week KOTIDO-KABONG'!D55</f>
        <v>0.5714285714285714</v>
      </c>
      <c r="E55" s="49">
        <f>'Avg Week KABONG-KOTIDO'!E55+'Avg Week KOTIDO-KABONG'!E55</f>
        <v>0.2857142857142857</v>
      </c>
      <c r="F55" s="49">
        <f>'Avg Week KABONG-KOTIDO'!F55+'Avg Week KOTIDO-KABONG'!F55</f>
        <v>0</v>
      </c>
      <c r="G55" s="49">
        <f>'Avg Week KABONG-KOTIDO'!G55+'Avg Week KOTIDO-KABONG'!G55</f>
        <v>0</v>
      </c>
      <c r="H55" s="49">
        <f>'Avg Week KABONG-KOTIDO'!H55+'Avg Week KOTIDO-KABONG'!H55</f>
        <v>0.14285714285714285</v>
      </c>
      <c r="I55" s="49">
        <f>'Avg Week KABONG-KOTIDO'!I55+'Avg Week KOTIDO-KABONG'!I55</f>
        <v>0</v>
      </c>
      <c r="J55" s="49">
        <f>'Avg Week KABONG-KOTIDO'!J55+'Avg Week KOTIDO-KABONG'!J55</f>
        <v>0.2857142857142857</v>
      </c>
      <c r="K55" s="49">
        <f>'Avg Week KABONG-KOTIDO'!K55+'Avg Week KOTIDO-KABONG'!K55</f>
        <v>0</v>
      </c>
      <c r="L55" s="49">
        <f>'Avg Week KABONG-KOTIDO'!L55+'Avg Week KOTIDO-KABONG'!L55</f>
        <v>0</v>
      </c>
      <c r="M55" s="49">
        <f>'Avg Week KABONG-KOTIDO'!M55+'Avg Week KOTIDO-KABONG'!M55</f>
        <v>1.7142857142857144</v>
      </c>
      <c r="N55" s="49">
        <f>'Avg Week KABONG-KOTIDO'!N55+'Avg Week KOTIDO-KABONG'!N55</f>
        <v>0</v>
      </c>
      <c r="O55" s="15">
        <f t="shared" si="0"/>
        <v>1.2857142857142856</v>
      </c>
      <c r="P55" s="15">
        <f t="shared" si="1"/>
        <v>3</v>
      </c>
      <c r="R55" s="8"/>
      <c r="T55"/>
    </row>
    <row r="56" spans="2:20" ht="23.1" customHeight="1" x14ac:dyDescent="0.25">
      <c r="B56" s="23" t="s">
        <v>83</v>
      </c>
      <c r="C56" s="49">
        <f>'Avg Week KABONG-KOTIDO'!C56+'Avg Week KOTIDO-KABONG'!C56</f>
        <v>0.2857142857142857</v>
      </c>
      <c r="D56" s="49">
        <f>'Avg Week KABONG-KOTIDO'!D56+'Avg Week KOTIDO-KABONG'!D56</f>
        <v>0.2857142857142857</v>
      </c>
      <c r="E56" s="49">
        <f>'Avg Week KABONG-KOTIDO'!E56+'Avg Week KOTIDO-KABONG'!E56</f>
        <v>0.42857142857142855</v>
      </c>
      <c r="F56" s="49">
        <f>'Avg Week KABONG-KOTIDO'!F56+'Avg Week KOTIDO-KABONG'!F56</f>
        <v>0</v>
      </c>
      <c r="G56" s="49">
        <f>'Avg Week KABONG-KOTIDO'!G56+'Avg Week KOTIDO-KABONG'!G56</f>
        <v>0</v>
      </c>
      <c r="H56" s="49">
        <f>'Avg Week KABONG-KOTIDO'!H56+'Avg Week KOTIDO-KABONG'!H56</f>
        <v>0.2857142857142857</v>
      </c>
      <c r="I56" s="49">
        <f>'Avg Week KABONG-KOTIDO'!I56+'Avg Week KOTIDO-KABONG'!I56</f>
        <v>0.2857142857142857</v>
      </c>
      <c r="J56" s="49">
        <f>'Avg Week KABONG-KOTIDO'!J56+'Avg Week KOTIDO-KABONG'!J56</f>
        <v>0</v>
      </c>
      <c r="K56" s="49">
        <f>'Avg Week KABONG-KOTIDO'!K56+'Avg Week KOTIDO-KABONG'!K56</f>
        <v>0</v>
      </c>
      <c r="L56" s="49">
        <f>'Avg Week KABONG-KOTIDO'!L56+'Avg Week KOTIDO-KABONG'!L56</f>
        <v>0</v>
      </c>
      <c r="M56" s="49">
        <f>'Avg Week KABONG-KOTIDO'!M56+'Avg Week KOTIDO-KABONG'!M56</f>
        <v>0.71428571428571419</v>
      </c>
      <c r="N56" s="49">
        <f>'Avg Week KABONG-KOTIDO'!N56+'Avg Week KOTIDO-KABONG'!N56</f>
        <v>0</v>
      </c>
      <c r="O56" s="15">
        <f t="shared" si="0"/>
        <v>1.5714285714285712</v>
      </c>
      <c r="P56" s="15">
        <f t="shared" si="1"/>
        <v>2.2857142857142856</v>
      </c>
      <c r="R56" s="8"/>
      <c r="T56"/>
    </row>
    <row r="57" spans="2:20" ht="23.1" customHeight="1" x14ac:dyDescent="0.25">
      <c r="B57" s="23" t="s">
        <v>84</v>
      </c>
      <c r="C57" s="49">
        <f>'Avg Week KABONG-KOTIDO'!C57+'Avg Week KOTIDO-KABONG'!C57</f>
        <v>0.2857142857142857</v>
      </c>
      <c r="D57" s="49">
        <f>'Avg Week KABONG-KOTIDO'!D57+'Avg Week KOTIDO-KABONG'!D57</f>
        <v>1.1428571428571428</v>
      </c>
      <c r="E57" s="49">
        <f>'Avg Week KABONG-KOTIDO'!E57+'Avg Week KOTIDO-KABONG'!E57</f>
        <v>1.4285714285714286</v>
      </c>
      <c r="F57" s="49">
        <f>'Avg Week KABONG-KOTIDO'!F57+'Avg Week KOTIDO-KABONG'!F57</f>
        <v>0</v>
      </c>
      <c r="G57" s="49">
        <f>'Avg Week KABONG-KOTIDO'!G57+'Avg Week KOTIDO-KABONG'!G57</f>
        <v>0</v>
      </c>
      <c r="H57" s="49">
        <f>'Avg Week KABONG-KOTIDO'!H57+'Avg Week KOTIDO-KABONG'!H57</f>
        <v>0</v>
      </c>
      <c r="I57" s="49">
        <f>'Avg Week KABONG-KOTIDO'!I57+'Avg Week KOTIDO-KABONG'!I57</f>
        <v>0.2857142857142857</v>
      </c>
      <c r="J57" s="49">
        <f>'Avg Week KABONG-KOTIDO'!J57+'Avg Week KOTIDO-KABONG'!J57</f>
        <v>0</v>
      </c>
      <c r="K57" s="49">
        <f>'Avg Week KABONG-KOTIDO'!K57+'Avg Week KOTIDO-KABONG'!K57</f>
        <v>0</v>
      </c>
      <c r="L57" s="49">
        <f>'Avg Week KABONG-KOTIDO'!L57+'Avg Week KOTIDO-KABONG'!L57</f>
        <v>0</v>
      </c>
      <c r="M57" s="49">
        <f>'Avg Week KABONG-KOTIDO'!M57+'Avg Week KOTIDO-KABONG'!M57</f>
        <v>1.1428571428571428</v>
      </c>
      <c r="N57" s="49">
        <f>'Avg Week KABONG-KOTIDO'!N57+'Avg Week KOTIDO-KABONG'!N57</f>
        <v>0</v>
      </c>
      <c r="O57" s="15">
        <f t="shared" si="0"/>
        <v>3.1428571428571423</v>
      </c>
      <c r="P57" s="15">
        <f t="shared" si="1"/>
        <v>4.2857142857142847</v>
      </c>
      <c r="R57" s="8"/>
      <c r="T57"/>
    </row>
    <row r="58" spans="2:20" ht="23.1" customHeight="1" x14ac:dyDescent="0.25">
      <c r="B58" s="23" t="s">
        <v>99</v>
      </c>
      <c r="C58" s="49">
        <f>'Avg Week KABONG-KOTIDO'!C58+'Avg Week KOTIDO-KABONG'!C58</f>
        <v>0</v>
      </c>
      <c r="D58" s="49">
        <f>'Avg Week KABONG-KOTIDO'!D58+'Avg Week KOTIDO-KABONG'!D58</f>
        <v>1</v>
      </c>
      <c r="E58" s="49">
        <f>'Avg Week KABONG-KOTIDO'!E58+'Avg Week KOTIDO-KABONG'!E58</f>
        <v>2</v>
      </c>
      <c r="F58" s="49">
        <f>'Avg Week KABONG-KOTIDO'!F58+'Avg Week KOTIDO-KABONG'!F58</f>
        <v>0</v>
      </c>
      <c r="G58" s="49">
        <f>'Avg Week KABONG-KOTIDO'!G58+'Avg Week KOTIDO-KABONG'!G58</f>
        <v>0</v>
      </c>
      <c r="H58" s="49">
        <f>'Avg Week KABONG-KOTIDO'!H58+'Avg Week KOTIDO-KABONG'!H58</f>
        <v>0</v>
      </c>
      <c r="I58" s="49">
        <f>'Avg Week KABONG-KOTIDO'!I58+'Avg Week KOTIDO-KABONG'!I58</f>
        <v>1</v>
      </c>
      <c r="J58" s="49">
        <f>'Avg Week KABONG-KOTIDO'!J58+'Avg Week KOTIDO-KABONG'!J58</f>
        <v>1.5</v>
      </c>
      <c r="K58" s="49">
        <f>'Avg Week KABONG-KOTIDO'!K58+'Avg Week KOTIDO-KABONG'!K58</f>
        <v>0</v>
      </c>
      <c r="L58" s="49">
        <f>'Avg Week KABONG-KOTIDO'!L58+'Avg Week KOTIDO-KABONG'!L58</f>
        <v>0</v>
      </c>
      <c r="M58" s="49">
        <f>'Avg Week KABONG-KOTIDO'!M58+'Avg Week KOTIDO-KABONG'!M58</f>
        <v>4</v>
      </c>
      <c r="N58" s="49">
        <f>'Avg Week KABONG-KOTIDO'!N58+'Avg Week KOTIDO-KABONG'!N58</f>
        <v>0</v>
      </c>
      <c r="O58" s="15">
        <f t="shared" si="0"/>
        <v>5.5</v>
      </c>
      <c r="P58" s="15">
        <f t="shared" si="1"/>
        <v>9.5</v>
      </c>
      <c r="R58" s="8"/>
      <c r="T58"/>
    </row>
    <row r="59" spans="2:20" ht="23.1" customHeight="1" x14ac:dyDescent="0.25">
      <c r="B59" s="23" t="s">
        <v>100</v>
      </c>
      <c r="C59" s="49">
        <f>'Avg Week KABONG-KOTIDO'!C59+'Avg Week KOTIDO-KABONG'!C59</f>
        <v>0.5</v>
      </c>
      <c r="D59" s="49">
        <f>'Avg Week KABONG-KOTIDO'!D59+'Avg Week KOTIDO-KABONG'!D59</f>
        <v>0.5</v>
      </c>
      <c r="E59" s="49">
        <f>'Avg Week KABONG-KOTIDO'!E59+'Avg Week KOTIDO-KABONG'!E59</f>
        <v>0</v>
      </c>
      <c r="F59" s="49">
        <f>'Avg Week KABONG-KOTIDO'!F59+'Avg Week KOTIDO-KABONG'!F59</f>
        <v>0</v>
      </c>
      <c r="G59" s="49">
        <f>'Avg Week KABONG-KOTIDO'!G59+'Avg Week KOTIDO-KABONG'!G59</f>
        <v>0</v>
      </c>
      <c r="H59" s="49">
        <f>'Avg Week KABONG-KOTIDO'!H59+'Avg Week KOTIDO-KABONG'!H59</f>
        <v>0</v>
      </c>
      <c r="I59" s="49">
        <f>'Avg Week KABONG-KOTIDO'!I59+'Avg Week KOTIDO-KABONG'!I59</f>
        <v>0.5</v>
      </c>
      <c r="J59" s="49">
        <f>'Avg Week KABONG-KOTIDO'!J59+'Avg Week KOTIDO-KABONG'!J59</f>
        <v>0.5</v>
      </c>
      <c r="K59" s="49">
        <f>'Avg Week KABONG-KOTIDO'!K59+'Avg Week KOTIDO-KABONG'!K59</f>
        <v>0.5</v>
      </c>
      <c r="L59" s="49">
        <f>'Avg Week KABONG-KOTIDO'!L59+'Avg Week KOTIDO-KABONG'!L59</f>
        <v>0</v>
      </c>
      <c r="M59" s="49">
        <f>'Avg Week KABONG-KOTIDO'!M59+'Avg Week KOTIDO-KABONG'!M59</f>
        <v>0.5</v>
      </c>
      <c r="N59" s="49">
        <f>'Avg Week KABONG-KOTIDO'!N59+'Avg Week KOTIDO-KABONG'!N59</f>
        <v>0</v>
      </c>
      <c r="O59" s="15">
        <f t="shared" si="0"/>
        <v>2.5</v>
      </c>
      <c r="P59" s="15">
        <f t="shared" si="1"/>
        <v>3</v>
      </c>
      <c r="R59" s="8"/>
      <c r="T59"/>
    </row>
    <row r="60" spans="2:20" ht="23.1" customHeight="1" x14ac:dyDescent="0.25">
      <c r="B60" s="23" t="s">
        <v>101</v>
      </c>
      <c r="C60" s="49">
        <f>'Avg Week KABONG-KOTIDO'!C60+'Avg Week KOTIDO-KABONG'!C60</f>
        <v>0</v>
      </c>
      <c r="D60" s="49">
        <f>'Avg Week KABONG-KOTIDO'!D60+'Avg Week KOTIDO-KABONG'!D60</f>
        <v>0.5</v>
      </c>
      <c r="E60" s="49">
        <f>'Avg Week KABONG-KOTIDO'!E60+'Avg Week KOTIDO-KABONG'!E60</f>
        <v>1.5</v>
      </c>
      <c r="F60" s="49">
        <f>'Avg Week KABONG-KOTIDO'!F60+'Avg Week KOTIDO-KABONG'!F60</f>
        <v>0</v>
      </c>
      <c r="G60" s="49">
        <f>'Avg Week KABONG-KOTIDO'!G60+'Avg Week KOTIDO-KABONG'!G60</f>
        <v>0</v>
      </c>
      <c r="H60" s="49">
        <f>'Avg Week KABONG-KOTIDO'!H60+'Avg Week KOTIDO-KABONG'!H60</f>
        <v>0</v>
      </c>
      <c r="I60" s="49">
        <f>'Avg Week KABONG-KOTIDO'!I60+'Avg Week KOTIDO-KABONG'!I60</f>
        <v>0.5</v>
      </c>
      <c r="J60" s="49">
        <f>'Avg Week KABONG-KOTIDO'!J60+'Avg Week KOTIDO-KABONG'!J60</f>
        <v>0</v>
      </c>
      <c r="K60" s="49">
        <f>'Avg Week KABONG-KOTIDO'!K60+'Avg Week KOTIDO-KABONG'!K60</f>
        <v>0</v>
      </c>
      <c r="L60" s="49">
        <f>'Avg Week KABONG-KOTIDO'!L60+'Avg Week KOTIDO-KABONG'!L60</f>
        <v>0</v>
      </c>
      <c r="M60" s="49">
        <f>'Avg Week KABONG-KOTIDO'!M60+'Avg Week KOTIDO-KABONG'!M60</f>
        <v>2</v>
      </c>
      <c r="N60" s="49">
        <f>'Avg Week KABONG-KOTIDO'!N60+'Avg Week KOTIDO-KABONG'!N60</f>
        <v>0</v>
      </c>
      <c r="O60" s="15">
        <f t="shared" si="0"/>
        <v>2.5</v>
      </c>
      <c r="P60" s="15">
        <f t="shared" si="1"/>
        <v>4.5</v>
      </c>
      <c r="R60" s="8"/>
      <c r="T60"/>
    </row>
    <row r="61" spans="2:20" ht="23.1" customHeight="1" x14ac:dyDescent="0.25">
      <c r="B61" s="23" t="s">
        <v>102</v>
      </c>
      <c r="C61" s="49">
        <f>'Avg Week KABONG-KOTIDO'!C61+'Avg Week KOTIDO-KABONG'!C61</f>
        <v>0.5</v>
      </c>
      <c r="D61" s="49">
        <f>'Avg Week KABONG-KOTIDO'!D61+'Avg Week KOTIDO-KABONG'!D61</f>
        <v>2</v>
      </c>
      <c r="E61" s="49">
        <f>'Avg Week KABONG-KOTIDO'!E61+'Avg Week KOTIDO-KABONG'!E61</f>
        <v>0.5</v>
      </c>
      <c r="F61" s="49">
        <f>'Avg Week KABONG-KOTIDO'!F61+'Avg Week KOTIDO-KABONG'!F61</f>
        <v>0</v>
      </c>
      <c r="G61" s="49">
        <f>'Avg Week KABONG-KOTIDO'!G61+'Avg Week KOTIDO-KABONG'!G61</f>
        <v>0</v>
      </c>
      <c r="H61" s="49">
        <f>'Avg Week KABONG-KOTIDO'!H61+'Avg Week KOTIDO-KABONG'!H61</f>
        <v>0</v>
      </c>
      <c r="I61" s="49">
        <f>'Avg Week KABONG-KOTIDO'!I61+'Avg Week KOTIDO-KABONG'!I61</f>
        <v>0.5</v>
      </c>
      <c r="J61" s="49">
        <f>'Avg Week KABONG-KOTIDO'!J61+'Avg Week KOTIDO-KABONG'!J61</f>
        <v>0.5</v>
      </c>
      <c r="K61" s="49">
        <f>'Avg Week KABONG-KOTIDO'!K61+'Avg Week KOTIDO-KABONG'!K61</f>
        <v>0</v>
      </c>
      <c r="L61" s="49">
        <f>'Avg Week KABONG-KOTIDO'!L61+'Avg Week KOTIDO-KABONG'!L61</f>
        <v>0</v>
      </c>
      <c r="M61" s="49">
        <f>'Avg Week KABONG-KOTIDO'!M61+'Avg Week KOTIDO-KABONG'!M61</f>
        <v>0</v>
      </c>
      <c r="N61" s="49">
        <f>'Avg Week KABONG-KOTIDO'!N61+'Avg Week KOTIDO-KABONG'!N61</f>
        <v>0</v>
      </c>
      <c r="O61" s="15">
        <f t="shared" si="0"/>
        <v>4</v>
      </c>
      <c r="P61" s="15">
        <f t="shared" si="1"/>
        <v>4</v>
      </c>
      <c r="R61" s="8"/>
      <c r="T61"/>
    </row>
    <row r="62" spans="2:20" ht="23.1" customHeight="1" x14ac:dyDescent="0.25">
      <c r="B62" s="23" t="s">
        <v>107</v>
      </c>
      <c r="C62" s="49">
        <f>'Avg Week KABONG-KOTIDO'!C62+'Avg Week KOTIDO-KABONG'!C62</f>
        <v>0</v>
      </c>
      <c r="D62" s="49">
        <f>'Avg Week KABONG-KOTIDO'!D62+'Avg Week KOTIDO-KABONG'!D62</f>
        <v>0.5</v>
      </c>
      <c r="E62" s="49">
        <f>'Avg Week KABONG-KOTIDO'!E62+'Avg Week KOTIDO-KABONG'!E62</f>
        <v>2</v>
      </c>
      <c r="F62" s="49">
        <f>'Avg Week KABONG-KOTIDO'!F62+'Avg Week KOTIDO-KABONG'!F62</f>
        <v>0</v>
      </c>
      <c r="G62" s="49">
        <f>'Avg Week KABONG-KOTIDO'!G62+'Avg Week KOTIDO-KABONG'!G62</f>
        <v>0</v>
      </c>
      <c r="H62" s="49">
        <f>'Avg Week KABONG-KOTIDO'!H62+'Avg Week KOTIDO-KABONG'!H62</f>
        <v>0</v>
      </c>
      <c r="I62" s="49">
        <f>'Avg Week KABONG-KOTIDO'!I62+'Avg Week KOTIDO-KABONG'!I62</f>
        <v>2</v>
      </c>
      <c r="J62" s="49">
        <f>'Avg Week KABONG-KOTIDO'!J62+'Avg Week KOTIDO-KABONG'!J62</f>
        <v>0</v>
      </c>
      <c r="K62" s="49">
        <f>'Avg Week KABONG-KOTIDO'!K62+'Avg Week KOTIDO-KABONG'!K62</f>
        <v>0</v>
      </c>
      <c r="L62" s="49">
        <f>'Avg Week KABONG-KOTIDO'!L62+'Avg Week KOTIDO-KABONG'!L62</f>
        <v>0</v>
      </c>
      <c r="M62" s="49">
        <f>'Avg Week KABONG-KOTIDO'!M62+'Avg Week KOTIDO-KABONG'!M62</f>
        <v>2</v>
      </c>
      <c r="N62" s="49">
        <f>'Avg Week KABONG-KOTIDO'!N62+'Avg Week KOTIDO-KABONG'!N62</f>
        <v>0</v>
      </c>
      <c r="O62" s="15">
        <f t="shared" si="0"/>
        <v>4.5</v>
      </c>
      <c r="P62" s="15">
        <f t="shared" si="1"/>
        <v>6.5</v>
      </c>
      <c r="R62" s="8"/>
      <c r="T62"/>
    </row>
    <row r="63" spans="2:20" ht="23.1" customHeight="1" x14ac:dyDescent="0.25">
      <c r="B63" s="23" t="s">
        <v>108</v>
      </c>
      <c r="C63" s="49">
        <f>'Avg Week KABONG-KOTIDO'!C63+'Avg Week KOTIDO-KABONG'!C63</f>
        <v>0</v>
      </c>
      <c r="D63" s="49">
        <f>'Avg Week KABONG-KOTIDO'!D63+'Avg Week KOTIDO-KABONG'!D63</f>
        <v>0</v>
      </c>
      <c r="E63" s="49">
        <f>'Avg Week KABONG-KOTIDO'!E63+'Avg Week KOTIDO-KABONG'!E63</f>
        <v>0.5</v>
      </c>
      <c r="F63" s="49">
        <f>'Avg Week KABONG-KOTIDO'!F63+'Avg Week KOTIDO-KABONG'!F63</f>
        <v>0</v>
      </c>
      <c r="G63" s="49">
        <f>'Avg Week KABONG-KOTIDO'!G63+'Avg Week KOTIDO-KABONG'!G63</f>
        <v>0</v>
      </c>
      <c r="H63" s="49">
        <f>'Avg Week KABONG-KOTIDO'!H63+'Avg Week KOTIDO-KABONG'!H63</f>
        <v>0</v>
      </c>
      <c r="I63" s="49">
        <f>'Avg Week KABONG-KOTIDO'!I63+'Avg Week KOTIDO-KABONG'!I63</f>
        <v>0.5</v>
      </c>
      <c r="J63" s="49">
        <f>'Avg Week KABONG-KOTIDO'!J63+'Avg Week KOTIDO-KABONG'!J63</f>
        <v>0.5</v>
      </c>
      <c r="K63" s="49">
        <f>'Avg Week KABONG-KOTIDO'!K63+'Avg Week KOTIDO-KABONG'!K63</f>
        <v>0</v>
      </c>
      <c r="L63" s="49">
        <f>'Avg Week KABONG-KOTIDO'!L63+'Avg Week KOTIDO-KABONG'!L63</f>
        <v>0</v>
      </c>
      <c r="M63" s="49">
        <f>'Avg Week KABONG-KOTIDO'!M63+'Avg Week KOTIDO-KABONG'!M63</f>
        <v>2.5</v>
      </c>
      <c r="N63" s="49">
        <f>'Avg Week KABONG-KOTIDO'!N63+'Avg Week KOTIDO-KABONG'!N63</f>
        <v>0</v>
      </c>
      <c r="O63" s="15">
        <f t="shared" si="0"/>
        <v>1.5</v>
      </c>
      <c r="P63" s="15">
        <f t="shared" si="1"/>
        <v>4</v>
      </c>
      <c r="R63" s="8"/>
      <c r="T63"/>
    </row>
    <row r="64" spans="2:20" ht="23.1" customHeight="1" x14ac:dyDescent="0.25">
      <c r="B64" s="23" t="s">
        <v>109</v>
      </c>
      <c r="C64" s="49">
        <f>'Avg Week KABONG-KOTIDO'!C64+'Avg Week KOTIDO-KABONG'!C64</f>
        <v>0</v>
      </c>
      <c r="D64" s="49">
        <f>'Avg Week KABONG-KOTIDO'!D64+'Avg Week KOTIDO-KABONG'!D64</f>
        <v>0</v>
      </c>
      <c r="E64" s="49">
        <f>'Avg Week KABONG-KOTIDO'!E64+'Avg Week KOTIDO-KABONG'!E64</f>
        <v>0</v>
      </c>
      <c r="F64" s="49">
        <f>'Avg Week KABONG-KOTIDO'!F64+'Avg Week KOTIDO-KABONG'!F64</f>
        <v>0</v>
      </c>
      <c r="G64" s="49">
        <f>'Avg Week KABONG-KOTIDO'!G64+'Avg Week KOTIDO-KABONG'!G64</f>
        <v>0</v>
      </c>
      <c r="H64" s="49">
        <f>'Avg Week KABONG-KOTIDO'!H64+'Avg Week KOTIDO-KABONG'!H64</f>
        <v>0</v>
      </c>
      <c r="I64" s="49">
        <f>'Avg Week KABONG-KOTIDO'!I64+'Avg Week KOTIDO-KABONG'!I64</f>
        <v>0.5</v>
      </c>
      <c r="J64" s="49">
        <f>'Avg Week KABONG-KOTIDO'!J64+'Avg Week KOTIDO-KABONG'!J64</f>
        <v>0</v>
      </c>
      <c r="K64" s="49">
        <f>'Avg Week KABONG-KOTIDO'!K64+'Avg Week KOTIDO-KABONG'!K64</f>
        <v>0</v>
      </c>
      <c r="L64" s="49">
        <f>'Avg Week KABONG-KOTIDO'!L64+'Avg Week KOTIDO-KABONG'!L64</f>
        <v>0</v>
      </c>
      <c r="M64" s="49">
        <f>'Avg Week KABONG-KOTIDO'!M64+'Avg Week KOTIDO-KABONG'!M64</f>
        <v>0.5</v>
      </c>
      <c r="N64" s="49">
        <f>'Avg Week KABONG-KOTIDO'!N64+'Avg Week KOTIDO-KABONG'!N64</f>
        <v>0</v>
      </c>
      <c r="O64" s="15">
        <f t="shared" si="0"/>
        <v>0.5</v>
      </c>
      <c r="P64" s="15">
        <f t="shared" si="1"/>
        <v>1</v>
      </c>
      <c r="R64" s="8"/>
      <c r="T64"/>
    </row>
    <row r="65" spans="2:20" ht="23.1" customHeight="1" x14ac:dyDescent="0.25">
      <c r="B65" s="23" t="s">
        <v>158</v>
      </c>
      <c r="C65" s="49">
        <f>'Avg Week KABONG-KOTIDO'!C65+'Avg Week KOTIDO-KABONG'!C65</f>
        <v>0</v>
      </c>
      <c r="D65" s="49">
        <f>'Avg Week KABONG-KOTIDO'!D65+'Avg Week KOTIDO-KABONG'!D65</f>
        <v>1.5</v>
      </c>
      <c r="E65" s="49">
        <f>'Avg Week KABONG-KOTIDO'!E65+'Avg Week KOTIDO-KABONG'!E65</f>
        <v>2</v>
      </c>
      <c r="F65" s="49">
        <f>'Avg Week KABONG-KOTIDO'!F65+'Avg Week KOTIDO-KABONG'!F65</f>
        <v>0</v>
      </c>
      <c r="G65" s="49">
        <f>'Avg Week KABONG-KOTIDO'!G65+'Avg Week KOTIDO-KABONG'!G65</f>
        <v>0</v>
      </c>
      <c r="H65" s="49">
        <f>'Avg Week KABONG-KOTIDO'!H65+'Avg Week KOTIDO-KABONG'!H65</f>
        <v>0</v>
      </c>
      <c r="I65" s="49">
        <f>'Avg Week KABONG-KOTIDO'!I65+'Avg Week KOTIDO-KABONG'!I65</f>
        <v>0.5</v>
      </c>
      <c r="J65" s="49">
        <f>'Avg Week KABONG-KOTIDO'!J65+'Avg Week KOTIDO-KABONG'!J65</f>
        <v>3</v>
      </c>
      <c r="K65" s="49">
        <f>'Avg Week KABONG-KOTIDO'!K65+'Avg Week KOTIDO-KABONG'!K65</f>
        <v>0</v>
      </c>
      <c r="L65" s="49">
        <f>'Avg Week KABONG-KOTIDO'!L65+'Avg Week KOTIDO-KABONG'!L65</f>
        <v>0</v>
      </c>
      <c r="M65" s="49">
        <f>'Avg Week KABONG-KOTIDO'!M65+'Avg Week KOTIDO-KABONG'!M65</f>
        <v>1</v>
      </c>
      <c r="N65" s="49">
        <f>'Avg Week KABONG-KOTIDO'!N65+'Avg Week KOTIDO-KABONG'!N65</f>
        <v>0</v>
      </c>
      <c r="O65" s="15">
        <f t="shared" si="0"/>
        <v>7</v>
      </c>
      <c r="P65" s="15">
        <f t="shared" si="1"/>
        <v>8</v>
      </c>
      <c r="R65" s="8"/>
      <c r="T65"/>
    </row>
    <row r="66" spans="2:20" ht="23.1" customHeight="1" x14ac:dyDescent="0.25">
      <c r="B66" s="23" t="s">
        <v>103</v>
      </c>
      <c r="C66" s="49">
        <f>'Avg Week KABONG-KOTIDO'!C66+'Avg Week KOTIDO-KABONG'!C66</f>
        <v>0</v>
      </c>
      <c r="D66" s="49">
        <f>'Avg Week KABONG-KOTIDO'!D66+'Avg Week KOTIDO-KABONG'!D66</f>
        <v>0</v>
      </c>
      <c r="E66" s="49">
        <f>'Avg Week KABONG-KOTIDO'!E66+'Avg Week KOTIDO-KABONG'!E66</f>
        <v>0</v>
      </c>
      <c r="F66" s="49">
        <f>'Avg Week KABONG-KOTIDO'!F66+'Avg Week KOTIDO-KABONG'!F66</f>
        <v>0</v>
      </c>
      <c r="G66" s="49">
        <f>'Avg Week KABONG-KOTIDO'!G66+'Avg Week KOTIDO-KABONG'!G66</f>
        <v>0</v>
      </c>
      <c r="H66" s="49">
        <f>'Avg Week KABONG-KOTIDO'!H66+'Avg Week KOTIDO-KABONG'!H66</f>
        <v>0</v>
      </c>
      <c r="I66" s="49">
        <f>'Avg Week KABONG-KOTIDO'!I66+'Avg Week KOTIDO-KABONG'!I66</f>
        <v>0</v>
      </c>
      <c r="J66" s="49">
        <f>'Avg Week KABONG-KOTIDO'!J66+'Avg Week KOTIDO-KABONG'!J66</f>
        <v>1</v>
      </c>
      <c r="K66" s="49">
        <f>'Avg Week KABONG-KOTIDO'!K66+'Avg Week KOTIDO-KABONG'!K66</f>
        <v>0</v>
      </c>
      <c r="L66" s="49">
        <f>'Avg Week KABONG-KOTIDO'!L66+'Avg Week KOTIDO-KABONG'!L66</f>
        <v>0</v>
      </c>
      <c r="M66" s="49">
        <f>'Avg Week KABONG-KOTIDO'!M66+'Avg Week KOTIDO-KABONG'!M66</f>
        <v>3.5</v>
      </c>
      <c r="N66" s="49">
        <f>'Avg Week KABONG-KOTIDO'!N66+'Avg Week KOTIDO-KABONG'!N66</f>
        <v>0</v>
      </c>
      <c r="O66" s="15">
        <f t="shared" si="0"/>
        <v>1</v>
      </c>
      <c r="P66" s="15">
        <f t="shared" si="1"/>
        <v>4.5</v>
      </c>
      <c r="R66" s="8"/>
      <c r="T66"/>
    </row>
    <row r="67" spans="2:20" ht="23.1" customHeight="1" x14ac:dyDescent="0.25">
      <c r="B67" s="23" t="s">
        <v>104</v>
      </c>
      <c r="C67" s="49">
        <f>'Avg Week KABONG-KOTIDO'!C67+'Avg Week KOTIDO-KABONG'!C67</f>
        <v>0.5</v>
      </c>
      <c r="D67" s="49">
        <f>'Avg Week KABONG-KOTIDO'!D67+'Avg Week KOTIDO-KABONG'!D67</f>
        <v>2</v>
      </c>
      <c r="E67" s="49">
        <f>'Avg Week KABONG-KOTIDO'!E67+'Avg Week KOTIDO-KABONG'!E67</f>
        <v>0.5</v>
      </c>
      <c r="F67" s="49">
        <f>'Avg Week KABONG-KOTIDO'!F67+'Avg Week KOTIDO-KABONG'!F67</f>
        <v>0</v>
      </c>
      <c r="G67" s="49">
        <f>'Avg Week KABONG-KOTIDO'!G67+'Avg Week KOTIDO-KABONG'!G67</f>
        <v>0</v>
      </c>
      <c r="H67" s="49">
        <f>'Avg Week KABONG-KOTIDO'!H67+'Avg Week KOTIDO-KABONG'!H67</f>
        <v>0</v>
      </c>
      <c r="I67" s="49">
        <f>'Avg Week KABONG-KOTIDO'!I67+'Avg Week KOTIDO-KABONG'!I67</f>
        <v>0.5</v>
      </c>
      <c r="J67" s="49">
        <f>'Avg Week KABONG-KOTIDO'!J67+'Avg Week KOTIDO-KABONG'!J67</f>
        <v>0</v>
      </c>
      <c r="K67" s="49">
        <f>'Avg Week KABONG-KOTIDO'!K67+'Avg Week KOTIDO-KABONG'!K67</f>
        <v>0</v>
      </c>
      <c r="L67" s="49">
        <f>'Avg Week KABONG-KOTIDO'!L67+'Avg Week KOTIDO-KABONG'!L67</f>
        <v>0</v>
      </c>
      <c r="M67" s="49">
        <f>'Avg Week KABONG-KOTIDO'!M67+'Avg Week KOTIDO-KABONG'!M67</f>
        <v>2.5</v>
      </c>
      <c r="N67" s="49">
        <f>'Avg Week KABONG-KOTIDO'!N67+'Avg Week KOTIDO-KABONG'!N67</f>
        <v>0</v>
      </c>
      <c r="O67" s="15">
        <f t="shared" si="0"/>
        <v>3.5</v>
      </c>
      <c r="P67" s="15">
        <f t="shared" si="1"/>
        <v>6</v>
      </c>
      <c r="R67" s="8"/>
      <c r="T67"/>
    </row>
    <row r="68" spans="2:20" ht="23.1" customHeight="1" x14ac:dyDescent="0.25">
      <c r="B68" s="23" t="s">
        <v>105</v>
      </c>
      <c r="C68" s="49">
        <f>'Avg Week KABONG-KOTIDO'!C68+'Avg Week KOTIDO-KABONG'!C68</f>
        <v>0</v>
      </c>
      <c r="D68" s="49">
        <f>'Avg Week KABONG-KOTIDO'!D68+'Avg Week KOTIDO-KABONG'!D68</f>
        <v>0</v>
      </c>
      <c r="E68" s="49">
        <f>'Avg Week KABONG-KOTIDO'!E68+'Avg Week KOTIDO-KABONG'!E68</f>
        <v>0</v>
      </c>
      <c r="F68" s="49">
        <f>'Avg Week KABONG-KOTIDO'!F68+'Avg Week KOTIDO-KABONG'!F68</f>
        <v>0</v>
      </c>
      <c r="G68" s="49">
        <f>'Avg Week KABONG-KOTIDO'!G68+'Avg Week KOTIDO-KABONG'!G68</f>
        <v>0</v>
      </c>
      <c r="H68" s="49">
        <f>'Avg Week KABONG-KOTIDO'!H68+'Avg Week KOTIDO-KABONG'!H68</f>
        <v>0</v>
      </c>
      <c r="I68" s="49">
        <f>'Avg Week KABONG-KOTIDO'!I68+'Avg Week KOTIDO-KABONG'!I68</f>
        <v>0</v>
      </c>
      <c r="J68" s="49">
        <f>'Avg Week KABONG-KOTIDO'!J68+'Avg Week KOTIDO-KABONG'!J68</f>
        <v>0</v>
      </c>
      <c r="K68" s="49">
        <f>'Avg Week KABONG-KOTIDO'!K68+'Avg Week KOTIDO-KABONG'!K68</f>
        <v>0</v>
      </c>
      <c r="L68" s="49">
        <f>'Avg Week KABONG-KOTIDO'!L68+'Avg Week KOTIDO-KABONG'!L68</f>
        <v>0</v>
      </c>
      <c r="M68" s="49">
        <f>'Avg Week KABONG-KOTIDO'!M68+'Avg Week KOTIDO-KABONG'!M68</f>
        <v>2.5</v>
      </c>
      <c r="N68" s="49">
        <f>'Avg Week KABONG-KOTIDO'!N68+'Avg Week KOTIDO-KABONG'!N68</f>
        <v>0</v>
      </c>
      <c r="O68" s="15">
        <f t="shared" si="0"/>
        <v>0</v>
      </c>
      <c r="P68" s="15">
        <f t="shared" si="1"/>
        <v>2.5</v>
      </c>
      <c r="R68" s="8"/>
      <c r="T68"/>
    </row>
    <row r="69" spans="2:20" ht="23.1" customHeight="1" x14ac:dyDescent="0.25">
      <c r="B69" s="23" t="s">
        <v>106</v>
      </c>
      <c r="C69" s="49">
        <f>'Avg Week KABONG-KOTIDO'!C69+'Avg Week KOTIDO-KABONG'!C69</f>
        <v>0</v>
      </c>
      <c r="D69" s="49">
        <f>'Avg Week KABONG-KOTIDO'!D69+'Avg Week KOTIDO-KABONG'!D69</f>
        <v>1</v>
      </c>
      <c r="E69" s="49">
        <f>'Avg Week KABONG-KOTIDO'!E69+'Avg Week KOTIDO-KABONG'!E69</f>
        <v>0</v>
      </c>
      <c r="F69" s="49">
        <f>'Avg Week KABONG-KOTIDO'!F69+'Avg Week KOTIDO-KABONG'!F69</f>
        <v>0</v>
      </c>
      <c r="G69" s="49">
        <f>'Avg Week KABONG-KOTIDO'!G69+'Avg Week KOTIDO-KABONG'!G69</f>
        <v>0</v>
      </c>
      <c r="H69" s="49">
        <f>'Avg Week KABONG-KOTIDO'!H69+'Avg Week KOTIDO-KABONG'!H69</f>
        <v>0</v>
      </c>
      <c r="I69" s="49">
        <f>'Avg Week KABONG-KOTIDO'!I69+'Avg Week KOTIDO-KABONG'!I69</f>
        <v>0</v>
      </c>
      <c r="J69" s="49">
        <f>'Avg Week KABONG-KOTIDO'!J69+'Avg Week KOTIDO-KABONG'!J69</f>
        <v>0</v>
      </c>
      <c r="K69" s="49">
        <f>'Avg Week KABONG-KOTIDO'!K69+'Avg Week KOTIDO-KABONG'!K69</f>
        <v>0</v>
      </c>
      <c r="L69" s="49">
        <f>'Avg Week KABONG-KOTIDO'!L69+'Avg Week KOTIDO-KABONG'!L69</f>
        <v>0</v>
      </c>
      <c r="M69" s="49">
        <f>'Avg Week KABONG-KOTIDO'!M69+'Avg Week KOTIDO-KABONG'!M69</f>
        <v>1.5</v>
      </c>
      <c r="N69" s="49">
        <f>'Avg Week KABONG-KOTIDO'!N69+'Avg Week KOTIDO-KABONG'!N69</f>
        <v>0</v>
      </c>
      <c r="O69" s="15">
        <f t="shared" si="0"/>
        <v>1</v>
      </c>
      <c r="P69" s="15">
        <f t="shared" si="1"/>
        <v>2.5</v>
      </c>
      <c r="R69" s="8"/>
      <c r="T69"/>
    </row>
    <row r="70" spans="2:20" ht="23.1" customHeight="1" x14ac:dyDescent="0.25">
      <c r="B70" s="23" t="s">
        <v>110</v>
      </c>
      <c r="C70" s="49">
        <f>'Avg Week KABONG-KOTIDO'!C70+'Avg Week KOTIDO-KABONG'!C70</f>
        <v>0</v>
      </c>
      <c r="D70" s="49">
        <f>'Avg Week KABONG-KOTIDO'!D70+'Avg Week KOTIDO-KABONG'!D70</f>
        <v>0.5</v>
      </c>
      <c r="E70" s="49">
        <f>'Avg Week KABONG-KOTIDO'!E70+'Avg Week KOTIDO-KABONG'!E70</f>
        <v>0</v>
      </c>
      <c r="F70" s="49">
        <f>'Avg Week KABONG-KOTIDO'!F70+'Avg Week KOTIDO-KABONG'!F70</f>
        <v>0</v>
      </c>
      <c r="G70" s="49">
        <f>'Avg Week KABONG-KOTIDO'!G70+'Avg Week KOTIDO-KABONG'!G70</f>
        <v>0</v>
      </c>
      <c r="H70" s="49">
        <f>'Avg Week KABONG-KOTIDO'!H70+'Avg Week KOTIDO-KABONG'!H70</f>
        <v>0</v>
      </c>
      <c r="I70" s="49">
        <f>'Avg Week KABONG-KOTIDO'!I70+'Avg Week KOTIDO-KABONG'!I70</f>
        <v>0</v>
      </c>
      <c r="J70" s="49">
        <f>'Avg Week KABONG-KOTIDO'!J70+'Avg Week KOTIDO-KABONG'!J70</f>
        <v>0</v>
      </c>
      <c r="K70" s="49">
        <f>'Avg Week KABONG-KOTIDO'!K70+'Avg Week KOTIDO-KABONG'!K70</f>
        <v>0</v>
      </c>
      <c r="L70" s="49">
        <f>'Avg Week KABONG-KOTIDO'!L70+'Avg Week KOTIDO-KABONG'!L70</f>
        <v>0</v>
      </c>
      <c r="M70" s="49">
        <f>'Avg Week KABONG-KOTIDO'!M70+'Avg Week KOTIDO-KABONG'!M70</f>
        <v>2</v>
      </c>
      <c r="N70" s="49">
        <f>'Avg Week KABONG-KOTIDO'!N70+'Avg Week KOTIDO-KABONG'!N70</f>
        <v>0</v>
      </c>
      <c r="O70" s="15">
        <f t="shared" si="0"/>
        <v>0.5</v>
      </c>
      <c r="P70" s="15">
        <f t="shared" si="1"/>
        <v>2.5</v>
      </c>
      <c r="R70" s="8"/>
      <c r="T70"/>
    </row>
    <row r="71" spans="2:20" ht="23.1" customHeight="1" x14ac:dyDescent="0.25">
      <c r="B71" s="23" t="s">
        <v>111</v>
      </c>
      <c r="C71" s="49">
        <f>'Avg Week KABONG-KOTIDO'!C71+'Avg Week KOTIDO-KABONG'!C71</f>
        <v>0</v>
      </c>
      <c r="D71" s="49">
        <f>'Avg Week KABONG-KOTIDO'!D71+'Avg Week KOTIDO-KABONG'!D71</f>
        <v>0</v>
      </c>
      <c r="E71" s="49">
        <f>'Avg Week KABONG-KOTIDO'!E71+'Avg Week KOTIDO-KABONG'!E71</f>
        <v>0</v>
      </c>
      <c r="F71" s="49">
        <f>'Avg Week KABONG-KOTIDO'!F71+'Avg Week KOTIDO-KABONG'!F71</f>
        <v>0</v>
      </c>
      <c r="G71" s="49">
        <f>'Avg Week KABONG-KOTIDO'!G71+'Avg Week KOTIDO-KABONG'!G71</f>
        <v>0</v>
      </c>
      <c r="H71" s="49">
        <f>'Avg Week KABONG-KOTIDO'!H71+'Avg Week KOTIDO-KABONG'!H71</f>
        <v>0</v>
      </c>
      <c r="I71" s="49">
        <f>'Avg Week KABONG-KOTIDO'!I71+'Avg Week KOTIDO-KABONG'!I71</f>
        <v>0.5</v>
      </c>
      <c r="J71" s="49">
        <f>'Avg Week KABONG-KOTIDO'!J71+'Avg Week KOTIDO-KABONG'!J71</f>
        <v>0</v>
      </c>
      <c r="K71" s="49">
        <f>'Avg Week KABONG-KOTIDO'!K71+'Avg Week KOTIDO-KABONG'!K71</f>
        <v>0</v>
      </c>
      <c r="L71" s="49">
        <f>'Avg Week KABONG-KOTIDO'!L71+'Avg Week KOTIDO-KABONG'!L71</f>
        <v>0</v>
      </c>
      <c r="M71" s="49">
        <f>'Avg Week KABONG-KOTIDO'!M71+'Avg Week KOTIDO-KABONG'!M71</f>
        <v>1.5</v>
      </c>
      <c r="N71" s="49">
        <f>'Avg Week KABONG-KOTIDO'!N71+'Avg Week KOTIDO-KABONG'!N71</f>
        <v>0</v>
      </c>
      <c r="O71" s="15">
        <f t="shared" si="0"/>
        <v>0.5</v>
      </c>
      <c r="P71" s="15">
        <f t="shared" si="1"/>
        <v>2</v>
      </c>
      <c r="R71" s="8"/>
      <c r="T71"/>
    </row>
    <row r="72" spans="2:20" ht="23.1" customHeight="1" x14ac:dyDescent="0.25">
      <c r="B72" s="23" t="s">
        <v>112</v>
      </c>
      <c r="C72" s="49">
        <f>'Avg Week KABONG-KOTIDO'!C72+'Avg Week KOTIDO-KABONG'!C72</f>
        <v>0</v>
      </c>
      <c r="D72" s="49">
        <f>'Avg Week KABONG-KOTIDO'!D72+'Avg Week KOTIDO-KABONG'!D72</f>
        <v>0</v>
      </c>
      <c r="E72" s="49">
        <f>'Avg Week KABONG-KOTIDO'!E72+'Avg Week KOTIDO-KABONG'!E72</f>
        <v>1.5</v>
      </c>
      <c r="F72" s="49">
        <f>'Avg Week KABONG-KOTIDO'!F72+'Avg Week KOTIDO-KABONG'!F72</f>
        <v>0</v>
      </c>
      <c r="G72" s="49">
        <f>'Avg Week KABONG-KOTIDO'!G72+'Avg Week KOTIDO-KABONG'!G72</f>
        <v>0</v>
      </c>
      <c r="H72" s="49">
        <f>'Avg Week KABONG-KOTIDO'!H72+'Avg Week KOTIDO-KABONG'!H72</f>
        <v>0</v>
      </c>
      <c r="I72" s="49">
        <f>'Avg Week KABONG-KOTIDO'!I72+'Avg Week KOTIDO-KABONG'!I72</f>
        <v>0</v>
      </c>
      <c r="J72" s="49">
        <f>'Avg Week KABONG-KOTIDO'!J72+'Avg Week KOTIDO-KABONG'!J72</f>
        <v>0</v>
      </c>
      <c r="K72" s="49">
        <f>'Avg Week KABONG-KOTIDO'!K72+'Avg Week KOTIDO-KABONG'!K72</f>
        <v>0</v>
      </c>
      <c r="L72" s="49">
        <f>'Avg Week KABONG-KOTIDO'!L72+'Avg Week KOTIDO-KABONG'!L72</f>
        <v>0</v>
      </c>
      <c r="M72" s="49">
        <f>'Avg Week KABONG-KOTIDO'!M72+'Avg Week KOTIDO-KABONG'!M72</f>
        <v>0.5</v>
      </c>
      <c r="N72" s="49">
        <f>'Avg Week KABONG-KOTIDO'!N72+'Avg Week KOTIDO-KABONG'!N72</f>
        <v>0</v>
      </c>
      <c r="O72" s="15">
        <f t="shared" si="0"/>
        <v>1.5</v>
      </c>
      <c r="P72" s="15">
        <f t="shared" si="1"/>
        <v>2</v>
      </c>
      <c r="R72" s="8"/>
      <c r="T72"/>
    </row>
    <row r="73" spans="2:20" ht="23.1" customHeight="1" x14ac:dyDescent="0.25">
      <c r="B73" s="23" t="s">
        <v>113</v>
      </c>
      <c r="C73" s="49">
        <f>'Avg Week KABONG-KOTIDO'!C73+'Avg Week KOTIDO-KABONG'!C73</f>
        <v>1.5</v>
      </c>
      <c r="D73" s="49">
        <f>'Avg Week KABONG-KOTIDO'!D73+'Avg Week KOTIDO-KABONG'!D73</f>
        <v>0.5</v>
      </c>
      <c r="E73" s="49">
        <f>'Avg Week KABONG-KOTIDO'!E73+'Avg Week KOTIDO-KABONG'!E73</f>
        <v>0</v>
      </c>
      <c r="F73" s="49">
        <f>'Avg Week KABONG-KOTIDO'!F73+'Avg Week KOTIDO-KABONG'!F73</f>
        <v>0</v>
      </c>
      <c r="G73" s="49">
        <f>'Avg Week KABONG-KOTIDO'!G73+'Avg Week KOTIDO-KABONG'!G73</f>
        <v>0</v>
      </c>
      <c r="H73" s="49">
        <f>'Avg Week KABONG-KOTIDO'!H73+'Avg Week KOTIDO-KABONG'!H73</f>
        <v>0</v>
      </c>
      <c r="I73" s="49">
        <f>'Avg Week KABONG-KOTIDO'!I73+'Avg Week KOTIDO-KABONG'!I73</f>
        <v>0</v>
      </c>
      <c r="J73" s="49">
        <f>'Avg Week KABONG-KOTIDO'!J73+'Avg Week KOTIDO-KABONG'!J73</f>
        <v>0</v>
      </c>
      <c r="K73" s="49">
        <f>'Avg Week KABONG-KOTIDO'!K73+'Avg Week KOTIDO-KABONG'!K73</f>
        <v>0</v>
      </c>
      <c r="L73" s="49">
        <f>'Avg Week KABONG-KOTIDO'!L73+'Avg Week KOTIDO-KABONG'!L73</f>
        <v>0</v>
      </c>
      <c r="M73" s="49">
        <f>'Avg Week KABONG-KOTIDO'!M73+'Avg Week KOTIDO-KABONG'!M73</f>
        <v>2</v>
      </c>
      <c r="N73" s="49">
        <f>'Avg Week KABONG-KOTIDO'!N73+'Avg Week KOTIDO-KABONG'!N73</f>
        <v>0</v>
      </c>
      <c r="O73" s="15">
        <f t="shared" si="0"/>
        <v>2</v>
      </c>
      <c r="P73" s="15">
        <f t="shared" si="1"/>
        <v>4</v>
      </c>
      <c r="R73" s="8"/>
      <c r="T73"/>
    </row>
    <row r="74" spans="2:20" ht="23.1" customHeight="1" x14ac:dyDescent="0.25">
      <c r="B74" s="23" t="s">
        <v>114</v>
      </c>
      <c r="C74" s="49">
        <f>'Avg Week KABONG-KOTIDO'!C74+'Avg Week KOTIDO-KABONG'!C74</f>
        <v>0</v>
      </c>
      <c r="D74" s="49">
        <f>'Avg Week KABONG-KOTIDO'!D74+'Avg Week KOTIDO-KABONG'!D74</f>
        <v>0</v>
      </c>
      <c r="E74" s="49">
        <f>'Avg Week KABONG-KOTIDO'!E74+'Avg Week KOTIDO-KABONG'!E74</f>
        <v>0</v>
      </c>
      <c r="F74" s="49">
        <f>'Avg Week KABONG-KOTIDO'!F74+'Avg Week KOTIDO-KABONG'!F74</f>
        <v>0</v>
      </c>
      <c r="G74" s="49">
        <f>'Avg Week KABONG-KOTIDO'!G74+'Avg Week KOTIDO-KABONG'!G74</f>
        <v>0</v>
      </c>
      <c r="H74" s="49">
        <f>'Avg Week KABONG-KOTIDO'!H74+'Avg Week KOTIDO-KABONG'!H74</f>
        <v>0</v>
      </c>
      <c r="I74" s="49">
        <f>'Avg Week KABONG-KOTIDO'!I74+'Avg Week KOTIDO-KABONG'!I74</f>
        <v>0</v>
      </c>
      <c r="J74" s="49">
        <f>'Avg Week KABONG-KOTIDO'!J74+'Avg Week KOTIDO-KABONG'!J74</f>
        <v>0</v>
      </c>
      <c r="K74" s="49">
        <f>'Avg Week KABONG-KOTIDO'!K74+'Avg Week KOTIDO-KABONG'!K74</f>
        <v>0</v>
      </c>
      <c r="L74" s="49">
        <f>'Avg Week KABONG-KOTIDO'!L74+'Avg Week KOTIDO-KABONG'!L74</f>
        <v>0</v>
      </c>
      <c r="M74" s="49">
        <f>'Avg Week KABONG-KOTIDO'!M74+'Avg Week KOTIDO-KABONG'!M74</f>
        <v>0</v>
      </c>
      <c r="N74" s="49">
        <f>'Avg Week KABONG-KOTIDO'!N74+'Avg Week KOTIDO-KABONG'!N74</f>
        <v>0</v>
      </c>
      <c r="O74" s="15">
        <f t="shared" ref="O74:O105" si="35">SUM(C74:L74,N74)</f>
        <v>0</v>
      </c>
      <c r="P74" s="15">
        <f t="shared" ref="P74:P105" si="36">SUM(C74:N74)</f>
        <v>0</v>
      </c>
      <c r="R74" s="8"/>
      <c r="T74"/>
    </row>
    <row r="75" spans="2:20" ht="23.1" customHeight="1" x14ac:dyDescent="0.25">
      <c r="B75" s="23" t="s">
        <v>115</v>
      </c>
      <c r="C75" s="49">
        <f>'Avg Week KABONG-KOTIDO'!C75+'Avg Week KOTIDO-KABONG'!C75</f>
        <v>0</v>
      </c>
      <c r="D75" s="49">
        <f>'Avg Week KABONG-KOTIDO'!D75+'Avg Week KOTIDO-KABONG'!D75</f>
        <v>0</v>
      </c>
      <c r="E75" s="49">
        <f>'Avg Week KABONG-KOTIDO'!E75+'Avg Week KOTIDO-KABONG'!E75</f>
        <v>0</v>
      </c>
      <c r="F75" s="49">
        <f>'Avg Week KABONG-KOTIDO'!F75+'Avg Week KOTIDO-KABONG'!F75</f>
        <v>0</v>
      </c>
      <c r="G75" s="49">
        <f>'Avg Week KABONG-KOTIDO'!G75+'Avg Week KOTIDO-KABONG'!G75</f>
        <v>0</v>
      </c>
      <c r="H75" s="49">
        <f>'Avg Week KABONG-KOTIDO'!H75+'Avg Week KOTIDO-KABONG'!H75</f>
        <v>0</v>
      </c>
      <c r="I75" s="49">
        <f>'Avg Week KABONG-KOTIDO'!I75+'Avg Week KOTIDO-KABONG'!I75</f>
        <v>0</v>
      </c>
      <c r="J75" s="49">
        <f>'Avg Week KABONG-KOTIDO'!J75+'Avg Week KOTIDO-KABONG'!J75</f>
        <v>0</v>
      </c>
      <c r="K75" s="49">
        <f>'Avg Week KABONG-KOTIDO'!K75+'Avg Week KOTIDO-KABONG'!K75</f>
        <v>0</v>
      </c>
      <c r="L75" s="49">
        <f>'Avg Week KABONG-KOTIDO'!L75+'Avg Week KOTIDO-KABONG'!L75</f>
        <v>0</v>
      </c>
      <c r="M75" s="49">
        <f>'Avg Week KABONG-KOTIDO'!M75+'Avg Week KOTIDO-KABONG'!M75</f>
        <v>0.5</v>
      </c>
      <c r="N75" s="49">
        <f>'Avg Week KABONG-KOTIDO'!N75+'Avg Week KOTIDO-KABONG'!N75</f>
        <v>0</v>
      </c>
      <c r="O75" s="15">
        <f t="shared" si="35"/>
        <v>0</v>
      </c>
      <c r="P75" s="15">
        <f t="shared" si="36"/>
        <v>0.5</v>
      </c>
      <c r="R75" s="8"/>
      <c r="T75"/>
    </row>
    <row r="76" spans="2:20" ht="23.1" customHeight="1" x14ac:dyDescent="0.25">
      <c r="B76" s="23" t="s">
        <v>116</v>
      </c>
      <c r="C76" s="49">
        <f>'Avg Week KABONG-KOTIDO'!C76+'Avg Week KOTIDO-KABONG'!C76</f>
        <v>0</v>
      </c>
      <c r="D76" s="49">
        <f>'Avg Week KABONG-KOTIDO'!D76+'Avg Week KOTIDO-KABONG'!D76</f>
        <v>0</v>
      </c>
      <c r="E76" s="49">
        <f>'Avg Week KABONG-KOTIDO'!E76+'Avg Week KOTIDO-KABONG'!E76</f>
        <v>0</v>
      </c>
      <c r="F76" s="49">
        <f>'Avg Week KABONG-KOTIDO'!F76+'Avg Week KOTIDO-KABONG'!F76</f>
        <v>0</v>
      </c>
      <c r="G76" s="49">
        <f>'Avg Week KABONG-KOTIDO'!G76+'Avg Week KOTIDO-KABONG'!G76</f>
        <v>0</v>
      </c>
      <c r="H76" s="49">
        <f>'Avg Week KABONG-KOTIDO'!H76+'Avg Week KOTIDO-KABONG'!H76</f>
        <v>0</v>
      </c>
      <c r="I76" s="49">
        <f>'Avg Week KABONG-KOTIDO'!I76+'Avg Week KOTIDO-KABONG'!I76</f>
        <v>0</v>
      </c>
      <c r="J76" s="49">
        <f>'Avg Week KABONG-KOTIDO'!J76+'Avg Week KOTIDO-KABONG'!J76</f>
        <v>0</v>
      </c>
      <c r="K76" s="49">
        <f>'Avg Week KABONG-KOTIDO'!K76+'Avg Week KOTIDO-KABONG'!K76</f>
        <v>0</v>
      </c>
      <c r="L76" s="49">
        <f>'Avg Week KABONG-KOTIDO'!L76+'Avg Week KOTIDO-KABONG'!L76</f>
        <v>0</v>
      </c>
      <c r="M76" s="49">
        <f>'Avg Week KABONG-KOTIDO'!M76+'Avg Week KOTIDO-KABONG'!M76</f>
        <v>0.5</v>
      </c>
      <c r="N76" s="49">
        <f>'Avg Week KABONG-KOTIDO'!N76+'Avg Week KOTIDO-KABONG'!N76</f>
        <v>0</v>
      </c>
      <c r="O76" s="15">
        <f t="shared" si="35"/>
        <v>0</v>
      </c>
      <c r="P76" s="15">
        <f t="shared" si="36"/>
        <v>0.5</v>
      </c>
      <c r="R76" s="8"/>
      <c r="T76"/>
    </row>
    <row r="77" spans="2:20" ht="23.1" customHeight="1" x14ac:dyDescent="0.25">
      <c r="B77" s="23" t="s">
        <v>117</v>
      </c>
      <c r="C77" s="49">
        <f>'Avg Week KABONG-KOTIDO'!C77+'Avg Week KOTIDO-KABONG'!C77</f>
        <v>0</v>
      </c>
      <c r="D77" s="49">
        <f>'Avg Week KABONG-KOTIDO'!D77+'Avg Week KOTIDO-KABONG'!D77</f>
        <v>2</v>
      </c>
      <c r="E77" s="49">
        <f>'Avg Week KABONG-KOTIDO'!E77+'Avg Week KOTIDO-KABONG'!E77</f>
        <v>0</v>
      </c>
      <c r="F77" s="49">
        <f>'Avg Week KABONG-KOTIDO'!F77+'Avg Week KOTIDO-KABONG'!F77</f>
        <v>0</v>
      </c>
      <c r="G77" s="49">
        <f>'Avg Week KABONG-KOTIDO'!G77+'Avg Week KOTIDO-KABONG'!G77</f>
        <v>0</v>
      </c>
      <c r="H77" s="49">
        <f>'Avg Week KABONG-KOTIDO'!H77+'Avg Week KOTIDO-KABONG'!H77</f>
        <v>0</v>
      </c>
      <c r="I77" s="49">
        <f>'Avg Week KABONG-KOTIDO'!I77+'Avg Week KOTIDO-KABONG'!I77</f>
        <v>0</v>
      </c>
      <c r="J77" s="49">
        <f>'Avg Week KABONG-KOTIDO'!J77+'Avg Week KOTIDO-KABONG'!J77</f>
        <v>0</v>
      </c>
      <c r="K77" s="49">
        <f>'Avg Week KABONG-KOTIDO'!K77+'Avg Week KOTIDO-KABONG'!K77</f>
        <v>0</v>
      </c>
      <c r="L77" s="49">
        <f>'Avg Week KABONG-KOTIDO'!L77+'Avg Week KOTIDO-KABONG'!L77</f>
        <v>0</v>
      </c>
      <c r="M77" s="49">
        <f>'Avg Week KABONG-KOTIDO'!M77+'Avg Week KOTIDO-KABONG'!M77</f>
        <v>2</v>
      </c>
      <c r="N77" s="49">
        <f>'Avg Week KABONG-KOTIDO'!N77+'Avg Week KOTIDO-KABONG'!N77</f>
        <v>0</v>
      </c>
      <c r="O77" s="15">
        <f t="shared" si="35"/>
        <v>2</v>
      </c>
      <c r="P77" s="15">
        <f t="shared" si="36"/>
        <v>4</v>
      </c>
      <c r="R77" s="8"/>
      <c r="T77"/>
    </row>
    <row r="78" spans="2:20" ht="23.1" customHeight="1" x14ac:dyDescent="0.25">
      <c r="B78" s="24" t="s">
        <v>118</v>
      </c>
      <c r="C78" s="49">
        <f>'Avg Week KABONG-KOTIDO'!C78+'Avg Week KOTIDO-KABONG'!C78</f>
        <v>0</v>
      </c>
      <c r="D78" s="49">
        <f>'Avg Week KABONG-KOTIDO'!D78+'Avg Week KOTIDO-KABONG'!D78</f>
        <v>0</v>
      </c>
      <c r="E78" s="49">
        <f>'Avg Week KABONG-KOTIDO'!E78+'Avg Week KOTIDO-KABONG'!E78</f>
        <v>0</v>
      </c>
      <c r="F78" s="49">
        <f>'Avg Week KABONG-KOTIDO'!F78+'Avg Week KOTIDO-KABONG'!F78</f>
        <v>0</v>
      </c>
      <c r="G78" s="49">
        <f>'Avg Week KABONG-KOTIDO'!G78+'Avg Week KOTIDO-KABONG'!G78</f>
        <v>0</v>
      </c>
      <c r="H78" s="49">
        <f>'Avg Week KABONG-KOTIDO'!H78+'Avg Week KOTIDO-KABONG'!H78</f>
        <v>0</v>
      </c>
      <c r="I78" s="49">
        <f>'Avg Week KABONG-KOTIDO'!I78+'Avg Week KOTIDO-KABONG'!I78</f>
        <v>0</v>
      </c>
      <c r="J78" s="49">
        <f>'Avg Week KABONG-KOTIDO'!J78+'Avg Week KOTIDO-KABONG'!J78</f>
        <v>0</v>
      </c>
      <c r="K78" s="49">
        <f>'Avg Week KABONG-KOTIDO'!K78+'Avg Week KOTIDO-KABONG'!K78</f>
        <v>0</v>
      </c>
      <c r="L78" s="49">
        <f>'Avg Week KABONG-KOTIDO'!L78+'Avg Week KOTIDO-KABONG'!L78</f>
        <v>0</v>
      </c>
      <c r="M78" s="49">
        <f>'Avg Week KABONG-KOTIDO'!M78+'Avg Week KOTIDO-KABONG'!M78</f>
        <v>0.5</v>
      </c>
      <c r="N78" s="49">
        <f>'Avg Week KABONG-KOTIDO'!N78+'Avg Week KOTIDO-KABONG'!N78</f>
        <v>0</v>
      </c>
      <c r="O78" s="15">
        <f t="shared" si="35"/>
        <v>0</v>
      </c>
      <c r="P78" s="15">
        <f t="shared" si="36"/>
        <v>0.5</v>
      </c>
      <c r="R78" s="8"/>
      <c r="T78"/>
    </row>
    <row r="79" spans="2:20" ht="23.1" customHeight="1" x14ac:dyDescent="0.25">
      <c r="B79" s="23" t="s">
        <v>119</v>
      </c>
      <c r="C79" s="49">
        <f>'Avg Week KABONG-KOTIDO'!C79+'Avg Week KOTIDO-KABONG'!C79</f>
        <v>0</v>
      </c>
      <c r="D79" s="49">
        <f>'Avg Week KABONG-KOTIDO'!D79+'Avg Week KOTIDO-KABONG'!D79</f>
        <v>0</v>
      </c>
      <c r="E79" s="49">
        <f>'Avg Week KABONG-KOTIDO'!E79+'Avg Week KOTIDO-KABONG'!E79</f>
        <v>0.5</v>
      </c>
      <c r="F79" s="49">
        <f>'Avg Week KABONG-KOTIDO'!F79+'Avg Week KOTIDO-KABONG'!F79</f>
        <v>0</v>
      </c>
      <c r="G79" s="49">
        <f>'Avg Week KABONG-KOTIDO'!G79+'Avg Week KOTIDO-KABONG'!G79</f>
        <v>0</v>
      </c>
      <c r="H79" s="49">
        <f>'Avg Week KABONG-KOTIDO'!H79+'Avg Week KOTIDO-KABONG'!H79</f>
        <v>0</v>
      </c>
      <c r="I79" s="49">
        <f>'Avg Week KABONG-KOTIDO'!I79+'Avg Week KOTIDO-KABONG'!I79</f>
        <v>0</v>
      </c>
      <c r="J79" s="49">
        <f>'Avg Week KABONG-KOTIDO'!J79+'Avg Week KOTIDO-KABONG'!J79</f>
        <v>0</v>
      </c>
      <c r="K79" s="49">
        <f>'Avg Week KABONG-KOTIDO'!K79+'Avg Week KOTIDO-KABONG'!K79</f>
        <v>0</v>
      </c>
      <c r="L79" s="49">
        <f>'Avg Week KABONG-KOTIDO'!L79+'Avg Week KOTIDO-KABONG'!L79</f>
        <v>0</v>
      </c>
      <c r="M79" s="49">
        <f>'Avg Week KABONG-KOTIDO'!M79+'Avg Week KOTIDO-KABONG'!M79</f>
        <v>2.5</v>
      </c>
      <c r="N79" s="49">
        <f>'Avg Week KABONG-KOTIDO'!N79+'Avg Week KOTIDO-KABONG'!N79</f>
        <v>0</v>
      </c>
      <c r="O79" s="15">
        <f t="shared" si="35"/>
        <v>0.5</v>
      </c>
      <c r="P79" s="15">
        <f t="shared" si="36"/>
        <v>3</v>
      </c>
      <c r="R79" s="8"/>
      <c r="T79"/>
    </row>
    <row r="80" spans="2:20" ht="23.1" customHeight="1" x14ac:dyDescent="0.25">
      <c r="B80" s="25" t="s">
        <v>120</v>
      </c>
      <c r="C80" s="49">
        <f>'Avg Week KABONG-KOTIDO'!C80+'Avg Week KOTIDO-KABONG'!C80</f>
        <v>0</v>
      </c>
      <c r="D80" s="49">
        <f>'Avg Week KABONG-KOTIDO'!D80+'Avg Week KOTIDO-KABONG'!D80</f>
        <v>0</v>
      </c>
      <c r="E80" s="49">
        <f>'Avg Week KABONG-KOTIDO'!E80+'Avg Week KOTIDO-KABONG'!E80</f>
        <v>0</v>
      </c>
      <c r="F80" s="49">
        <f>'Avg Week KABONG-KOTIDO'!F80+'Avg Week KOTIDO-KABONG'!F80</f>
        <v>0</v>
      </c>
      <c r="G80" s="49">
        <f>'Avg Week KABONG-KOTIDO'!G80+'Avg Week KOTIDO-KABONG'!G80</f>
        <v>0</v>
      </c>
      <c r="H80" s="49">
        <f>'Avg Week KABONG-KOTIDO'!H80+'Avg Week KOTIDO-KABONG'!H80</f>
        <v>0</v>
      </c>
      <c r="I80" s="49">
        <f>'Avg Week KABONG-KOTIDO'!I80+'Avg Week KOTIDO-KABONG'!I80</f>
        <v>0</v>
      </c>
      <c r="J80" s="49">
        <f>'Avg Week KABONG-KOTIDO'!J80+'Avg Week KOTIDO-KABONG'!J80</f>
        <v>0</v>
      </c>
      <c r="K80" s="49">
        <f>'Avg Week KABONG-KOTIDO'!K80+'Avg Week KOTIDO-KABONG'!K80</f>
        <v>0</v>
      </c>
      <c r="L80" s="49">
        <f>'Avg Week KABONG-KOTIDO'!L80+'Avg Week KOTIDO-KABONG'!L80</f>
        <v>0</v>
      </c>
      <c r="M80" s="49">
        <f>'Avg Week KABONG-KOTIDO'!M80+'Avg Week KOTIDO-KABONG'!M80</f>
        <v>2</v>
      </c>
      <c r="N80" s="49">
        <f>'Avg Week KABONG-KOTIDO'!N80+'Avg Week KOTIDO-KABONG'!N80</f>
        <v>0</v>
      </c>
      <c r="O80" s="15">
        <f t="shared" si="35"/>
        <v>0</v>
      </c>
      <c r="P80" s="15">
        <f t="shared" si="36"/>
        <v>2</v>
      </c>
      <c r="R80" s="8"/>
      <c r="T80"/>
    </row>
    <row r="81" spans="2:20" ht="23.1" customHeight="1" x14ac:dyDescent="0.25">
      <c r="B81" s="23" t="s">
        <v>121</v>
      </c>
      <c r="C81" s="49">
        <f>'Avg Week KABONG-KOTIDO'!C81+'Avg Week KOTIDO-KABONG'!C81</f>
        <v>0</v>
      </c>
      <c r="D81" s="49">
        <f>'Avg Week KABONG-KOTIDO'!D81+'Avg Week KOTIDO-KABONG'!D81</f>
        <v>1</v>
      </c>
      <c r="E81" s="49">
        <f>'Avg Week KABONG-KOTIDO'!E81+'Avg Week KOTIDO-KABONG'!E81</f>
        <v>0</v>
      </c>
      <c r="F81" s="49">
        <f>'Avg Week KABONG-KOTIDO'!F81+'Avg Week KOTIDO-KABONG'!F81</f>
        <v>0</v>
      </c>
      <c r="G81" s="49">
        <f>'Avg Week KABONG-KOTIDO'!G81+'Avg Week KOTIDO-KABONG'!G81</f>
        <v>0</v>
      </c>
      <c r="H81" s="49">
        <f>'Avg Week KABONG-KOTIDO'!H81+'Avg Week KOTIDO-KABONG'!H81</f>
        <v>0</v>
      </c>
      <c r="I81" s="49">
        <f>'Avg Week KABONG-KOTIDO'!I81+'Avg Week KOTIDO-KABONG'!I81</f>
        <v>0</v>
      </c>
      <c r="J81" s="49">
        <f>'Avg Week KABONG-KOTIDO'!J81+'Avg Week KOTIDO-KABONG'!J81</f>
        <v>0</v>
      </c>
      <c r="K81" s="49">
        <f>'Avg Week KABONG-KOTIDO'!K81+'Avg Week KOTIDO-KABONG'!K81</f>
        <v>0</v>
      </c>
      <c r="L81" s="49">
        <f>'Avg Week KABONG-KOTIDO'!L81+'Avg Week KOTIDO-KABONG'!L81</f>
        <v>0</v>
      </c>
      <c r="M81" s="49">
        <f>'Avg Week KABONG-KOTIDO'!M81+'Avg Week KOTIDO-KABONG'!M81</f>
        <v>0</v>
      </c>
      <c r="N81" s="49">
        <f>'Avg Week KABONG-KOTIDO'!N81+'Avg Week KOTIDO-KABONG'!N81</f>
        <v>0</v>
      </c>
      <c r="O81" s="15">
        <f t="shared" si="35"/>
        <v>1</v>
      </c>
      <c r="P81" s="15">
        <f t="shared" si="36"/>
        <v>1</v>
      </c>
      <c r="R81" s="8"/>
      <c r="T81"/>
    </row>
    <row r="82" spans="2:20" ht="23.1" customHeight="1" x14ac:dyDescent="0.25">
      <c r="B82" s="24" t="s">
        <v>122</v>
      </c>
      <c r="C82" s="49">
        <f>'Avg Week KABONG-KOTIDO'!C82+'Avg Week KOTIDO-KABONG'!C82</f>
        <v>0</v>
      </c>
      <c r="D82" s="49">
        <f>'Avg Week KABONG-KOTIDO'!D82+'Avg Week KOTIDO-KABONG'!D82</f>
        <v>0.5</v>
      </c>
      <c r="E82" s="49">
        <f>'Avg Week KABONG-KOTIDO'!E82+'Avg Week KOTIDO-KABONG'!E82</f>
        <v>0</v>
      </c>
      <c r="F82" s="49">
        <f>'Avg Week KABONG-KOTIDO'!F82+'Avg Week KOTIDO-KABONG'!F82</f>
        <v>0</v>
      </c>
      <c r="G82" s="49">
        <f>'Avg Week KABONG-KOTIDO'!G82+'Avg Week KOTIDO-KABONG'!G82</f>
        <v>0</v>
      </c>
      <c r="H82" s="49">
        <f>'Avg Week KABONG-KOTIDO'!H82+'Avg Week KOTIDO-KABONG'!H82</f>
        <v>0</v>
      </c>
      <c r="I82" s="49">
        <f>'Avg Week KABONG-KOTIDO'!I82+'Avg Week KOTIDO-KABONG'!I82</f>
        <v>0.5</v>
      </c>
      <c r="J82" s="49">
        <f>'Avg Week KABONG-KOTIDO'!J82+'Avg Week KOTIDO-KABONG'!J82</f>
        <v>0</v>
      </c>
      <c r="K82" s="49">
        <f>'Avg Week KABONG-KOTIDO'!K82+'Avg Week KOTIDO-KABONG'!K82</f>
        <v>0</v>
      </c>
      <c r="L82" s="49">
        <f>'Avg Week KABONG-KOTIDO'!L82+'Avg Week KOTIDO-KABONG'!L82</f>
        <v>0</v>
      </c>
      <c r="M82" s="49">
        <f>'Avg Week KABONG-KOTIDO'!M82+'Avg Week KOTIDO-KABONG'!M82</f>
        <v>1</v>
      </c>
      <c r="N82" s="49">
        <f>'Avg Week KABONG-KOTIDO'!N82+'Avg Week KOTIDO-KABONG'!N82</f>
        <v>0</v>
      </c>
      <c r="O82" s="15">
        <f t="shared" si="35"/>
        <v>1</v>
      </c>
      <c r="P82" s="15">
        <f t="shared" si="36"/>
        <v>2</v>
      </c>
      <c r="R82" s="8"/>
      <c r="T82"/>
    </row>
    <row r="83" spans="2:20" ht="23.1" customHeight="1" x14ac:dyDescent="0.25">
      <c r="B83" s="23" t="s">
        <v>123</v>
      </c>
      <c r="C83" s="49">
        <f>'Avg Week KABONG-KOTIDO'!C83+'Avg Week KOTIDO-KABONG'!C83</f>
        <v>0</v>
      </c>
      <c r="D83" s="49">
        <f>'Avg Week KABONG-KOTIDO'!D83+'Avg Week KOTIDO-KABONG'!D83</f>
        <v>0.5</v>
      </c>
      <c r="E83" s="49">
        <f>'Avg Week KABONG-KOTIDO'!E83+'Avg Week KOTIDO-KABONG'!E83</f>
        <v>0</v>
      </c>
      <c r="F83" s="49">
        <f>'Avg Week KABONG-KOTIDO'!F83+'Avg Week KOTIDO-KABONG'!F83</f>
        <v>0</v>
      </c>
      <c r="G83" s="49">
        <f>'Avg Week KABONG-KOTIDO'!G83+'Avg Week KOTIDO-KABONG'!G83</f>
        <v>0</v>
      </c>
      <c r="H83" s="49">
        <f>'Avg Week KABONG-KOTIDO'!H83+'Avg Week KOTIDO-KABONG'!H83</f>
        <v>0</v>
      </c>
      <c r="I83" s="49">
        <f>'Avg Week KABONG-KOTIDO'!I83+'Avg Week KOTIDO-KABONG'!I83</f>
        <v>0</v>
      </c>
      <c r="J83" s="49">
        <f>'Avg Week KABONG-KOTIDO'!J83+'Avg Week KOTIDO-KABONG'!J83</f>
        <v>0</v>
      </c>
      <c r="K83" s="49">
        <f>'Avg Week KABONG-KOTIDO'!K83+'Avg Week KOTIDO-KABONG'!K83</f>
        <v>0</v>
      </c>
      <c r="L83" s="49">
        <f>'Avg Week KABONG-KOTIDO'!L83+'Avg Week KOTIDO-KABONG'!L83</f>
        <v>0</v>
      </c>
      <c r="M83" s="49">
        <f>'Avg Week KABONG-KOTIDO'!M83+'Avg Week KOTIDO-KABONG'!M83</f>
        <v>2</v>
      </c>
      <c r="N83" s="49">
        <f>'Avg Week KABONG-KOTIDO'!N83+'Avg Week KOTIDO-KABONG'!N83</f>
        <v>0</v>
      </c>
      <c r="O83" s="15">
        <f t="shared" si="35"/>
        <v>0.5</v>
      </c>
      <c r="P83" s="15">
        <f t="shared" si="36"/>
        <v>2.5</v>
      </c>
      <c r="R83" s="8"/>
      <c r="T83"/>
    </row>
    <row r="84" spans="2:20" ht="23.1" customHeight="1" x14ac:dyDescent="0.25">
      <c r="B84" s="25" t="s">
        <v>124</v>
      </c>
      <c r="C84" s="49">
        <f>'Avg Week KABONG-KOTIDO'!C84+'Avg Week KOTIDO-KABONG'!C84</f>
        <v>0</v>
      </c>
      <c r="D84" s="49">
        <f>'Avg Week KABONG-KOTIDO'!D84+'Avg Week KOTIDO-KABONG'!D84</f>
        <v>0.5</v>
      </c>
      <c r="E84" s="49">
        <f>'Avg Week KABONG-KOTIDO'!E84+'Avg Week KOTIDO-KABONG'!E84</f>
        <v>0</v>
      </c>
      <c r="F84" s="49">
        <f>'Avg Week KABONG-KOTIDO'!F84+'Avg Week KOTIDO-KABONG'!F84</f>
        <v>0</v>
      </c>
      <c r="G84" s="49">
        <f>'Avg Week KABONG-KOTIDO'!G84+'Avg Week KOTIDO-KABONG'!G84</f>
        <v>0</v>
      </c>
      <c r="H84" s="49">
        <f>'Avg Week KABONG-KOTIDO'!H84+'Avg Week KOTIDO-KABONG'!H84</f>
        <v>0</v>
      </c>
      <c r="I84" s="49">
        <f>'Avg Week KABONG-KOTIDO'!I84+'Avg Week KOTIDO-KABONG'!I84</f>
        <v>0</v>
      </c>
      <c r="J84" s="49">
        <f>'Avg Week KABONG-KOTIDO'!J84+'Avg Week KOTIDO-KABONG'!J84</f>
        <v>1</v>
      </c>
      <c r="K84" s="49">
        <f>'Avg Week KABONG-KOTIDO'!K84+'Avg Week KOTIDO-KABONG'!K84</f>
        <v>0</v>
      </c>
      <c r="L84" s="49">
        <f>'Avg Week KABONG-KOTIDO'!L84+'Avg Week KOTIDO-KABONG'!L84</f>
        <v>0</v>
      </c>
      <c r="M84" s="49">
        <f>'Avg Week KABONG-KOTIDO'!M84+'Avg Week KOTIDO-KABONG'!M84</f>
        <v>0.5</v>
      </c>
      <c r="N84" s="49">
        <f>'Avg Week KABONG-KOTIDO'!N84+'Avg Week KOTIDO-KABONG'!N84</f>
        <v>0</v>
      </c>
      <c r="O84" s="15">
        <f t="shared" si="35"/>
        <v>1.5</v>
      </c>
      <c r="P84" s="15">
        <f t="shared" si="36"/>
        <v>2</v>
      </c>
      <c r="R84" s="8"/>
      <c r="T84"/>
    </row>
    <row r="85" spans="2:20" ht="23.1" customHeight="1" x14ac:dyDescent="0.25">
      <c r="B85" s="23" t="s">
        <v>125</v>
      </c>
      <c r="C85" s="49">
        <f>'Avg Week KABONG-KOTIDO'!C85+'Avg Week KOTIDO-KABONG'!C85</f>
        <v>0</v>
      </c>
      <c r="D85" s="49">
        <f>'Avg Week KABONG-KOTIDO'!D85+'Avg Week KOTIDO-KABONG'!D85</f>
        <v>0</v>
      </c>
      <c r="E85" s="49">
        <f>'Avg Week KABONG-KOTIDO'!E85+'Avg Week KOTIDO-KABONG'!E85</f>
        <v>0</v>
      </c>
      <c r="F85" s="49">
        <f>'Avg Week KABONG-KOTIDO'!F85+'Avg Week KOTIDO-KABONG'!F85</f>
        <v>0</v>
      </c>
      <c r="G85" s="49">
        <f>'Avg Week KABONG-KOTIDO'!G85+'Avg Week KOTIDO-KABONG'!G85</f>
        <v>0</v>
      </c>
      <c r="H85" s="49">
        <f>'Avg Week KABONG-KOTIDO'!H85+'Avg Week KOTIDO-KABONG'!H85</f>
        <v>0</v>
      </c>
      <c r="I85" s="49">
        <f>'Avg Week KABONG-KOTIDO'!I85+'Avg Week KOTIDO-KABONG'!I85</f>
        <v>0</v>
      </c>
      <c r="J85" s="49">
        <f>'Avg Week KABONG-KOTIDO'!J85+'Avg Week KOTIDO-KABONG'!J85</f>
        <v>0</v>
      </c>
      <c r="K85" s="49">
        <f>'Avg Week KABONG-KOTIDO'!K85+'Avg Week KOTIDO-KABONG'!K85</f>
        <v>0</v>
      </c>
      <c r="L85" s="49">
        <f>'Avg Week KABONG-KOTIDO'!L85+'Avg Week KOTIDO-KABONG'!L85</f>
        <v>0</v>
      </c>
      <c r="M85" s="49">
        <f>'Avg Week KABONG-KOTIDO'!M85+'Avg Week KOTIDO-KABONG'!M85</f>
        <v>0</v>
      </c>
      <c r="N85" s="49">
        <f>'Avg Week KABONG-KOTIDO'!N85+'Avg Week KOTIDO-KABONG'!N85</f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24" t="s">
        <v>126</v>
      </c>
      <c r="C86" s="49">
        <f>'Avg Week KABONG-KOTIDO'!C86+'Avg Week KOTIDO-KABONG'!C86</f>
        <v>0</v>
      </c>
      <c r="D86" s="49">
        <f>'Avg Week KABONG-KOTIDO'!D86+'Avg Week KOTIDO-KABONG'!D86</f>
        <v>0.5</v>
      </c>
      <c r="E86" s="49">
        <f>'Avg Week KABONG-KOTIDO'!E86+'Avg Week KOTIDO-KABONG'!E86</f>
        <v>0</v>
      </c>
      <c r="F86" s="49">
        <f>'Avg Week KABONG-KOTIDO'!F86+'Avg Week KOTIDO-KABONG'!F86</f>
        <v>0</v>
      </c>
      <c r="G86" s="49">
        <f>'Avg Week KABONG-KOTIDO'!G86+'Avg Week KOTIDO-KABONG'!G86</f>
        <v>0</v>
      </c>
      <c r="H86" s="49">
        <f>'Avg Week KABONG-KOTIDO'!H86+'Avg Week KOTIDO-KABONG'!H86</f>
        <v>0</v>
      </c>
      <c r="I86" s="49">
        <f>'Avg Week KABONG-KOTIDO'!I86+'Avg Week KOTIDO-KABONG'!I86</f>
        <v>0.5</v>
      </c>
      <c r="J86" s="49">
        <f>'Avg Week KABONG-KOTIDO'!J86+'Avg Week KOTIDO-KABONG'!J86</f>
        <v>0</v>
      </c>
      <c r="K86" s="49">
        <f>'Avg Week KABONG-KOTIDO'!K86+'Avg Week KOTIDO-KABONG'!K86</f>
        <v>0</v>
      </c>
      <c r="L86" s="49">
        <f>'Avg Week KABONG-KOTIDO'!L86+'Avg Week KOTIDO-KABONG'!L86</f>
        <v>0</v>
      </c>
      <c r="M86" s="49">
        <f>'Avg Week KABONG-KOTIDO'!M86+'Avg Week KOTIDO-KABONG'!M86</f>
        <v>0</v>
      </c>
      <c r="N86" s="49">
        <f>'Avg Week KABONG-KOTIDO'!N86+'Avg Week KOTIDO-KABONG'!N86</f>
        <v>0</v>
      </c>
      <c r="O86" s="15">
        <f t="shared" si="35"/>
        <v>1</v>
      </c>
      <c r="P86" s="15">
        <f t="shared" si="36"/>
        <v>1</v>
      </c>
      <c r="R86" s="8"/>
      <c r="T86"/>
    </row>
    <row r="87" spans="2:20" ht="23.1" customHeight="1" x14ac:dyDescent="0.25">
      <c r="B87" s="23" t="s">
        <v>127</v>
      </c>
      <c r="C87" s="49">
        <f>'Avg Week KABONG-KOTIDO'!C87+'Avg Week KOTIDO-KABONG'!C87</f>
        <v>0</v>
      </c>
      <c r="D87" s="49">
        <f>'Avg Week KABONG-KOTIDO'!D87+'Avg Week KOTIDO-KABONG'!D87</f>
        <v>0</v>
      </c>
      <c r="E87" s="49">
        <f>'Avg Week KABONG-KOTIDO'!E87+'Avg Week KOTIDO-KABONG'!E87</f>
        <v>0</v>
      </c>
      <c r="F87" s="49">
        <f>'Avg Week KABONG-KOTIDO'!F87+'Avg Week KOTIDO-KABONG'!F87</f>
        <v>0</v>
      </c>
      <c r="G87" s="49">
        <f>'Avg Week KABONG-KOTIDO'!G87+'Avg Week KOTIDO-KABONG'!G87</f>
        <v>0</v>
      </c>
      <c r="H87" s="49">
        <f>'Avg Week KABONG-KOTIDO'!H87+'Avg Week KOTIDO-KABONG'!H87</f>
        <v>0</v>
      </c>
      <c r="I87" s="49">
        <f>'Avg Week KABONG-KOTIDO'!I87+'Avg Week KOTIDO-KABONG'!I87</f>
        <v>0</v>
      </c>
      <c r="J87" s="49">
        <f>'Avg Week KABONG-KOTIDO'!J87+'Avg Week KOTIDO-KABONG'!J87</f>
        <v>0</v>
      </c>
      <c r="K87" s="49">
        <f>'Avg Week KABONG-KOTIDO'!K87+'Avg Week KOTIDO-KABONG'!K87</f>
        <v>0</v>
      </c>
      <c r="L87" s="49">
        <f>'Avg Week KABONG-KOTIDO'!L87+'Avg Week KOTIDO-KABONG'!L87</f>
        <v>0</v>
      </c>
      <c r="M87" s="49">
        <f>'Avg Week KABONG-KOTIDO'!M87+'Avg Week KOTIDO-KABONG'!M87</f>
        <v>0</v>
      </c>
      <c r="N87" s="49">
        <f>'Avg Week KABONG-KOTIDO'!N87+'Avg Week KOTIDO-KABONG'!N87</f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25" t="s">
        <v>128</v>
      </c>
      <c r="C88" s="49">
        <f>'Avg Week KABONG-KOTIDO'!C88+'Avg Week KOTIDO-KABONG'!C88</f>
        <v>0</v>
      </c>
      <c r="D88" s="49">
        <f>'Avg Week KABONG-KOTIDO'!D88+'Avg Week KOTIDO-KABONG'!D88</f>
        <v>0</v>
      </c>
      <c r="E88" s="49">
        <f>'Avg Week KABONG-KOTIDO'!E88+'Avg Week KOTIDO-KABONG'!E88</f>
        <v>0</v>
      </c>
      <c r="F88" s="49">
        <f>'Avg Week KABONG-KOTIDO'!F88+'Avg Week KOTIDO-KABONG'!F88</f>
        <v>0</v>
      </c>
      <c r="G88" s="49">
        <f>'Avg Week KABONG-KOTIDO'!G88+'Avg Week KOTIDO-KABONG'!G88</f>
        <v>0</v>
      </c>
      <c r="H88" s="49">
        <f>'Avg Week KABONG-KOTIDO'!H88+'Avg Week KOTIDO-KABONG'!H88</f>
        <v>0</v>
      </c>
      <c r="I88" s="49">
        <f>'Avg Week KABONG-KOTIDO'!I88+'Avg Week KOTIDO-KABONG'!I88</f>
        <v>0.5</v>
      </c>
      <c r="J88" s="49">
        <f>'Avg Week KABONG-KOTIDO'!J88+'Avg Week KOTIDO-KABONG'!J88</f>
        <v>0</v>
      </c>
      <c r="K88" s="49">
        <f>'Avg Week KABONG-KOTIDO'!K88+'Avg Week KOTIDO-KABONG'!K88</f>
        <v>0</v>
      </c>
      <c r="L88" s="49">
        <f>'Avg Week KABONG-KOTIDO'!L88+'Avg Week KOTIDO-KABONG'!L88</f>
        <v>0</v>
      </c>
      <c r="M88" s="49">
        <f>'Avg Week KABONG-KOTIDO'!M88+'Avg Week KOTIDO-KABONG'!M88</f>
        <v>0</v>
      </c>
      <c r="N88" s="49">
        <f>'Avg Week KABONG-KOTIDO'!N88+'Avg Week KOTIDO-KABONG'!N88</f>
        <v>0</v>
      </c>
      <c r="O88" s="15">
        <f t="shared" si="35"/>
        <v>0.5</v>
      </c>
      <c r="P88" s="15">
        <f t="shared" si="36"/>
        <v>0.5</v>
      </c>
      <c r="R88" s="8"/>
      <c r="T88"/>
    </row>
    <row r="89" spans="2:20" ht="23.1" customHeight="1" x14ac:dyDescent="0.25">
      <c r="B89" s="23" t="s">
        <v>129</v>
      </c>
      <c r="C89" s="49">
        <f>'Avg Week KABONG-KOTIDO'!C89+'Avg Week KOTIDO-KABONG'!C89</f>
        <v>0</v>
      </c>
      <c r="D89" s="49">
        <f>'Avg Week KABONG-KOTIDO'!D89+'Avg Week KOTIDO-KABONG'!D89</f>
        <v>0.5</v>
      </c>
      <c r="E89" s="49">
        <f>'Avg Week KABONG-KOTIDO'!E89+'Avg Week KOTIDO-KABONG'!E89</f>
        <v>0.5</v>
      </c>
      <c r="F89" s="49">
        <f>'Avg Week KABONG-KOTIDO'!F89+'Avg Week KOTIDO-KABONG'!F89</f>
        <v>0</v>
      </c>
      <c r="G89" s="49">
        <f>'Avg Week KABONG-KOTIDO'!G89+'Avg Week KOTIDO-KABONG'!G89</f>
        <v>0</v>
      </c>
      <c r="H89" s="49">
        <f>'Avg Week KABONG-KOTIDO'!H89+'Avg Week KOTIDO-KABONG'!H89</f>
        <v>0</v>
      </c>
      <c r="I89" s="49">
        <f>'Avg Week KABONG-KOTIDO'!I89+'Avg Week KOTIDO-KABONG'!I89</f>
        <v>0.5</v>
      </c>
      <c r="J89" s="49">
        <f>'Avg Week KABONG-KOTIDO'!J89+'Avg Week KOTIDO-KABONG'!J89</f>
        <v>0</v>
      </c>
      <c r="K89" s="49">
        <f>'Avg Week KABONG-KOTIDO'!K89+'Avg Week KOTIDO-KABONG'!K89</f>
        <v>0</v>
      </c>
      <c r="L89" s="49">
        <f>'Avg Week KABONG-KOTIDO'!L89+'Avg Week KOTIDO-KABONG'!L89</f>
        <v>0</v>
      </c>
      <c r="M89" s="49">
        <f>'Avg Week KABONG-KOTIDO'!M89+'Avg Week KOTIDO-KABONG'!M89</f>
        <v>0</v>
      </c>
      <c r="N89" s="49">
        <f>'Avg Week KABONG-KOTIDO'!N89+'Avg Week KOTIDO-KABONG'!N89</f>
        <v>0</v>
      </c>
      <c r="O89" s="15">
        <f t="shared" si="35"/>
        <v>1.5</v>
      </c>
      <c r="P89" s="15">
        <f t="shared" si="36"/>
        <v>1.5</v>
      </c>
      <c r="R89" s="8"/>
      <c r="T89"/>
    </row>
    <row r="90" spans="2:20" ht="23.1" customHeight="1" x14ac:dyDescent="0.25">
      <c r="B90" s="24" t="s">
        <v>130</v>
      </c>
      <c r="C90" s="49">
        <f>'Avg Week KABONG-KOTIDO'!C90+'Avg Week KOTIDO-KABONG'!C90</f>
        <v>0</v>
      </c>
      <c r="D90" s="49">
        <f>'Avg Week KABONG-KOTIDO'!D90+'Avg Week KOTIDO-KABONG'!D90</f>
        <v>0</v>
      </c>
      <c r="E90" s="49">
        <f>'Avg Week KABONG-KOTIDO'!E90+'Avg Week KOTIDO-KABONG'!E90</f>
        <v>0.5</v>
      </c>
      <c r="F90" s="49">
        <f>'Avg Week KABONG-KOTIDO'!F90+'Avg Week KOTIDO-KABONG'!F90</f>
        <v>0</v>
      </c>
      <c r="G90" s="49">
        <f>'Avg Week KABONG-KOTIDO'!G90+'Avg Week KOTIDO-KABONG'!G90</f>
        <v>0</v>
      </c>
      <c r="H90" s="49">
        <f>'Avg Week KABONG-KOTIDO'!H90+'Avg Week KOTIDO-KABONG'!H90</f>
        <v>0</v>
      </c>
      <c r="I90" s="49">
        <f>'Avg Week KABONG-KOTIDO'!I90+'Avg Week KOTIDO-KABONG'!I90</f>
        <v>0.5</v>
      </c>
      <c r="J90" s="49">
        <f>'Avg Week KABONG-KOTIDO'!J90+'Avg Week KOTIDO-KABONG'!J90</f>
        <v>0</v>
      </c>
      <c r="K90" s="49">
        <f>'Avg Week KABONG-KOTIDO'!K90+'Avg Week KOTIDO-KABONG'!K90</f>
        <v>0</v>
      </c>
      <c r="L90" s="49">
        <f>'Avg Week KABONG-KOTIDO'!L90+'Avg Week KOTIDO-KABONG'!L90</f>
        <v>0</v>
      </c>
      <c r="M90" s="49">
        <f>'Avg Week KABONG-KOTIDO'!M90+'Avg Week KOTIDO-KABONG'!M90</f>
        <v>1</v>
      </c>
      <c r="N90" s="49">
        <f>'Avg Week KABONG-KOTIDO'!N90+'Avg Week KOTIDO-KABONG'!N90</f>
        <v>0</v>
      </c>
      <c r="O90" s="15">
        <f t="shared" si="35"/>
        <v>1</v>
      </c>
      <c r="P90" s="15">
        <f t="shared" si="36"/>
        <v>2</v>
      </c>
      <c r="R90" s="8"/>
      <c r="T90"/>
    </row>
    <row r="91" spans="2:20" ht="23.1" customHeight="1" x14ac:dyDescent="0.25">
      <c r="B91" s="23" t="s">
        <v>131</v>
      </c>
      <c r="C91" s="49">
        <f>'Avg Week KABONG-KOTIDO'!C91+'Avg Week KOTIDO-KABONG'!C91</f>
        <v>0</v>
      </c>
      <c r="D91" s="49">
        <f>'Avg Week KABONG-KOTIDO'!D91+'Avg Week KOTIDO-KABONG'!D91</f>
        <v>0</v>
      </c>
      <c r="E91" s="49">
        <f>'Avg Week KABONG-KOTIDO'!E91+'Avg Week KOTIDO-KABONG'!E91</f>
        <v>0</v>
      </c>
      <c r="F91" s="49">
        <f>'Avg Week KABONG-KOTIDO'!F91+'Avg Week KOTIDO-KABONG'!F91</f>
        <v>0</v>
      </c>
      <c r="G91" s="49">
        <f>'Avg Week KABONG-KOTIDO'!G91+'Avg Week KOTIDO-KABONG'!G91</f>
        <v>0</v>
      </c>
      <c r="H91" s="49">
        <f>'Avg Week KABONG-KOTIDO'!H91+'Avg Week KOTIDO-KABONG'!H91</f>
        <v>0</v>
      </c>
      <c r="I91" s="49">
        <f>'Avg Week KABONG-KOTIDO'!I91+'Avg Week KOTIDO-KABONG'!I91</f>
        <v>0.5</v>
      </c>
      <c r="J91" s="49">
        <f>'Avg Week KABONG-KOTIDO'!J91+'Avg Week KOTIDO-KABONG'!J91</f>
        <v>0</v>
      </c>
      <c r="K91" s="49">
        <f>'Avg Week KABONG-KOTIDO'!K91+'Avg Week KOTIDO-KABONG'!K91</f>
        <v>0</v>
      </c>
      <c r="L91" s="49">
        <f>'Avg Week KABONG-KOTIDO'!L91+'Avg Week KOTIDO-KABONG'!L91</f>
        <v>0</v>
      </c>
      <c r="M91" s="49">
        <f>'Avg Week KABONG-KOTIDO'!M91+'Avg Week KOTIDO-KABONG'!M91</f>
        <v>0</v>
      </c>
      <c r="N91" s="49">
        <f>'Avg Week KABONG-KOTIDO'!N91+'Avg Week KOTIDO-KABONG'!N91</f>
        <v>0</v>
      </c>
      <c r="O91" s="15">
        <f t="shared" si="35"/>
        <v>0.5</v>
      </c>
      <c r="P91" s="15">
        <f t="shared" si="36"/>
        <v>0.5</v>
      </c>
      <c r="R91" s="8"/>
      <c r="T91"/>
    </row>
    <row r="92" spans="2:20" ht="23.1" customHeight="1" x14ac:dyDescent="0.25">
      <c r="B92" s="25" t="s">
        <v>132</v>
      </c>
      <c r="C92" s="49">
        <f>'Avg Week KABONG-KOTIDO'!C92+'Avg Week KOTIDO-KABONG'!C92</f>
        <v>0</v>
      </c>
      <c r="D92" s="49">
        <f>'Avg Week KABONG-KOTIDO'!D92+'Avg Week KOTIDO-KABONG'!D92</f>
        <v>0</v>
      </c>
      <c r="E92" s="49">
        <f>'Avg Week KABONG-KOTIDO'!E92+'Avg Week KOTIDO-KABONG'!E92</f>
        <v>0</v>
      </c>
      <c r="F92" s="49">
        <f>'Avg Week KABONG-KOTIDO'!F92+'Avg Week KOTIDO-KABONG'!F92</f>
        <v>0</v>
      </c>
      <c r="G92" s="49">
        <f>'Avg Week KABONG-KOTIDO'!G92+'Avg Week KOTIDO-KABONG'!G92</f>
        <v>0</v>
      </c>
      <c r="H92" s="49">
        <f>'Avg Week KABONG-KOTIDO'!H92+'Avg Week KOTIDO-KABONG'!H92</f>
        <v>0</v>
      </c>
      <c r="I92" s="49">
        <f>'Avg Week KABONG-KOTIDO'!I92+'Avg Week KOTIDO-KABONG'!I92</f>
        <v>0</v>
      </c>
      <c r="J92" s="49">
        <f>'Avg Week KABONG-KOTIDO'!J92+'Avg Week KOTIDO-KABONG'!J92</f>
        <v>0.5</v>
      </c>
      <c r="K92" s="49">
        <f>'Avg Week KABONG-KOTIDO'!K92+'Avg Week KOTIDO-KABONG'!K92</f>
        <v>0</v>
      </c>
      <c r="L92" s="49">
        <f>'Avg Week KABONG-KOTIDO'!L92+'Avg Week KOTIDO-KABONG'!L92</f>
        <v>0</v>
      </c>
      <c r="M92" s="49">
        <f>'Avg Week KABONG-KOTIDO'!M92+'Avg Week KOTIDO-KABONG'!M92</f>
        <v>0</v>
      </c>
      <c r="N92" s="49">
        <f>'Avg Week KABONG-KOTIDO'!N92+'Avg Week KOTIDO-KABONG'!N92</f>
        <v>0</v>
      </c>
      <c r="O92" s="15">
        <f t="shared" si="35"/>
        <v>0.5</v>
      </c>
      <c r="P92" s="15">
        <f t="shared" si="36"/>
        <v>0.5</v>
      </c>
      <c r="R92" s="8"/>
      <c r="T92"/>
    </row>
    <row r="93" spans="2:20" ht="23.1" customHeight="1" x14ac:dyDescent="0.25">
      <c r="B93" s="23" t="s">
        <v>133</v>
      </c>
      <c r="C93" s="49">
        <f>'Avg Week KABONG-KOTIDO'!C93+'Avg Week KOTIDO-KABONG'!C93</f>
        <v>0</v>
      </c>
      <c r="D93" s="49">
        <f>'Avg Week KABONG-KOTIDO'!D93+'Avg Week KOTIDO-KABONG'!D93</f>
        <v>0.5</v>
      </c>
      <c r="E93" s="49">
        <f>'Avg Week KABONG-KOTIDO'!E93+'Avg Week KOTIDO-KABONG'!E93</f>
        <v>0</v>
      </c>
      <c r="F93" s="49">
        <f>'Avg Week KABONG-KOTIDO'!F93+'Avg Week KOTIDO-KABONG'!F93</f>
        <v>0</v>
      </c>
      <c r="G93" s="49">
        <f>'Avg Week KABONG-KOTIDO'!G93+'Avg Week KOTIDO-KABONG'!G93</f>
        <v>0</v>
      </c>
      <c r="H93" s="49">
        <f>'Avg Week KABONG-KOTIDO'!H93+'Avg Week KOTIDO-KABONG'!H93</f>
        <v>0</v>
      </c>
      <c r="I93" s="49">
        <f>'Avg Week KABONG-KOTIDO'!I93+'Avg Week KOTIDO-KABONG'!I93</f>
        <v>0.5</v>
      </c>
      <c r="J93" s="49">
        <f>'Avg Week KABONG-KOTIDO'!J93+'Avg Week KOTIDO-KABONG'!J93</f>
        <v>0</v>
      </c>
      <c r="K93" s="49">
        <f>'Avg Week KABONG-KOTIDO'!K93+'Avg Week KOTIDO-KABONG'!K93</f>
        <v>0</v>
      </c>
      <c r="L93" s="49">
        <f>'Avg Week KABONG-KOTIDO'!L93+'Avg Week KOTIDO-KABONG'!L93</f>
        <v>0</v>
      </c>
      <c r="M93" s="49">
        <f>'Avg Week KABONG-KOTIDO'!M93+'Avg Week KOTIDO-KABONG'!M93</f>
        <v>0</v>
      </c>
      <c r="N93" s="49">
        <f>'Avg Week KABONG-KOTIDO'!N93+'Avg Week KOTIDO-KABONG'!N93</f>
        <v>0</v>
      </c>
      <c r="O93" s="15">
        <f t="shared" si="35"/>
        <v>1</v>
      </c>
      <c r="P93" s="15">
        <f t="shared" si="36"/>
        <v>1</v>
      </c>
      <c r="R93" s="8"/>
      <c r="T93"/>
    </row>
    <row r="94" spans="2:20" ht="23.1" customHeight="1" x14ac:dyDescent="0.25">
      <c r="B94" s="24" t="s">
        <v>134</v>
      </c>
      <c r="C94" s="49">
        <f>'Avg Week KABONG-KOTIDO'!C94+'Avg Week KOTIDO-KABONG'!C94</f>
        <v>0</v>
      </c>
      <c r="D94" s="49">
        <f>'Avg Week KABONG-KOTIDO'!D94+'Avg Week KOTIDO-KABONG'!D94</f>
        <v>1.5</v>
      </c>
      <c r="E94" s="49">
        <f>'Avg Week KABONG-KOTIDO'!E94+'Avg Week KOTIDO-KABONG'!E94</f>
        <v>0</v>
      </c>
      <c r="F94" s="49">
        <f>'Avg Week KABONG-KOTIDO'!F94+'Avg Week KOTIDO-KABONG'!F94</f>
        <v>0</v>
      </c>
      <c r="G94" s="49">
        <f>'Avg Week KABONG-KOTIDO'!G94+'Avg Week KOTIDO-KABONG'!G94</f>
        <v>0</v>
      </c>
      <c r="H94" s="49">
        <f>'Avg Week KABONG-KOTIDO'!H94+'Avg Week KOTIDO-KABONG'!H94</f>
        <v>0</v>
      </c>
      <c r="I94" s="49">
        <f>'Avg Week KABONG-KOTIDO'!I94+'Avg Week KOTIDO-KABONG'!I94</f>
        <v>0.5</v>
      </c>
      <c r="J94" s="49">
        <f>'Avg Week KABONG-KOTIDO'!J94+'Avg Week KOTIDO-KABONG'!J94</f>
        <v>0</v>
      </c>
      <c r="K94" s="49">
        <f>'Avg Week KABONG-KOTIDO'!K94+'Avg Week KOTIDO-KABONG'!K94</f>
        <v>0</v>
      </c>
      <c r="L94" s="49">
        <f>'Avg Week KABONG-KOTIDO'!L94+'Avg Week KOTIDO-KABONG'!L94</f>
        <v>0</v>
      </c>
      <c r="M94" s="49">
        <f>'Avg Week KABONG-KOTIDO'!M94+'Avg Week KOTIDO-KABONG'!M94</f>
        <v>0</v>
      </c>
      <c r="N94" s="49">
        <f>'Avg Week KABONG-KOTIDO'!N94+'Avg Week KOTIDO-KABONG'!N94</f>
        <v>0</v>
      </c>
      <c r="O94" s="15">
        <f t="shared" si="35"/>
        <v>2</v>
      </c>
      <c r="P94" s="15">
        <f t="shared" si="36"/>
        <v>2</v>
      </c>
      <c r="R94" s="8"/>
      <c r="T94"/>
    </row>
    <row r="95" spans="2:20" ht="23.1" customHeight="1" x14ac:dyDescent="0.25">
      <c r="B95" s="23" t="s">
        <v>135</v>
      </c>
      <c r="C95" s="49">
        <f>'Avg Week KABONG-KOTIDO'!C95+'Avg Week KOTIDO-KABONG'!C95</f>
        <v>0</v>
      </c>
      <c r="D95" s="49">
        <f>'Avg Week KABONG-KOTIDO'!D95+'Avg Week KOTIDO-KABONG'!D95</f>
        <v>0.5</v>
      </c>
      <c r="E95" s="49">
        <f>'Avg Week KABONG-KOTIDO'!E95+'Avg Week KOTIDO-KABONG'!E95</f>
        <v>0</v>
      </c>
      <c r="F95" s="49">
        <f>'Avg Week KABONG-KOTIDO'!F95+'Avg Week KOTIDO-KABONG'!F95</f>
        <v>0</v>
      </c>
      <c r="G95" s="49">
        <f>'Avg Week KABONG-KOTIDO'!G95+'Avg Week KOTIDO-KABONG'!G95</f>
        <v>0</v>
      </c>
      <c r="H95" s="49">
        <f>'Avg Week KABONG-KOTIDO'!H95+'Avg Week KOTIDO-KABONG'!H95</f>
        <v>0</v>
      </c>
      <c r="I95" s="49">
        <f>'Avg Week KABONG-KOTIDO'!I95+'Avg Week KOTIDO-KABONG'!I95</f>
        <v>0</v>
      </c>
      <c r="J95" s="49">
        <f>'Avg Week KABONG-KOTIDO'!J95+'Avg Week KOTIDO-KABONG'!J95</f>
        <v>0</v>
      </c>
      <c r="K95" s="49">
        <f>'Avg Week KABONG-KOTIDO'!K95+'Avg Week KOTIDO-KABONG'!K95</f>
        <v>0</v>
      </c>
      <c r="L95" s="49">
        <f>'Avg Week KABONG-KOTIDO'!L95+'Avg Week KOTIDO-KABONG'!L95</f>
        <v>0</v>
      </c>
      <c r="M95" s="49">
        <f>'Avg Week KABONG-KOTIDO'!M95+'Avg Week KOTIDO-KABONG'!M95</f>
        <v>0</v>
      </c>
      <c r="N95" s="49">
        <f>'Avg Week KABONG-KOTIDO'!N95+'Avg Week KOTIDO-KABONG'!N95</f>
        <v>0</v>
      </c>
      <c r="O95" s="15">
        <f t="shared" si="35"/>
        <v>0.5</v>
      </c>
      <c r="P95" s="15">
        <f t="shared" si="36"/>
        <v>0.5</v>
      </c>
      <c r="R95" s="8"/>
      <c r="T95"/>
    </row>
    <row r="96" spans="2:20" ht="23.1" customHeight="1" x14ac:dyDescent="0.25">
      <c r="B96" s="25" t="s">
        <v>136</v>
      </c>
      <c r="C96" s="49">
        <f>'Avg Week KABONG-KOTIDO'!C96+'Avg Week KOTIDO-KABONG'!C96</f>
        <v>0</v>
      </c>
      <c r="D96" s="49">
        <f>'Avg Week KABONG-KOTIDO'!D96+'Avg Week KOTIDO-KABONG'!D96</f>
        <v>0.5</v>
      </c>
      <c r="E96" s="49">
        <f>'Avg Week KABONG-KOTIDO'!E96+'Avg Week KOTIDO-KABONG'!E96</f>
        <v>0.5</v>
      </c>
      <c r="F96" s="49">
        <f>'Avg Week KABONG-KOTIDO'!F96+'Avg Week KOTIDO-KABONG'!F96</f>
        <v>0</v>
      </c>
      <c r="G96" s="49">
        <f>'Avg Week KABONG-KOTIDO'!G96+'Avg Week KOTIDO-KABONG'!G96</f>
        <v>0</v>
      </c>
      <c r="H96" s="49">
        <f>'Avg Week KABONG-KOTIDO'!H96+'Avg Week KOTIDO-KABONG'!H96</f>
        <v>0</v>
      </c>
      <c r="I96" s="49">
        <f>'Avg Week KABONG-KOTIDO'!I96+'Avg Week KOTIDO-KABONG'!I96</f>
        <v>0</v>
      </c>
      <c r="J96" s="49">
        <f>'Avg Week KABONG-KOTIDO'!J96+'Avg Week KOTIDO-KABONG'!J96</f>
        <v>0</v>
      </c>
      <c r="K96" s="49">
        <f>'Avg Week KABONG-KOTIDO'!K96+'Avg Week KOTIDO-KABONG'!K96</f>
        <v>0</v>
      </c>
      <c r="L96" s="49">
        <f>'Avg Week KABONG-KOTIDO'!L96+'Avg Week KOTIDO-KABONG'!L96</f>
        <v>0</v>
      </c>
      <c r="M96" s="49">
        <f>'Avg Week KABONG-KOTIDO'!M96+'Avg Week KOTIDO-KABONG'!M96</f>
        <v>0.5</v>
      </c>
      <c r="N96" s="49">
        <f>'Avg Week KABONG-KOTIDO'!N96+'Avg Week KOTIDO-KABONG'!N96</f>
        <v>0</v>
      </c>
      <c r="O96" s="15">
        <f t="shared" si="35"/>
        <v>1</v>
      </c>
      <c r="P96" s="15">
        <f t="shared" si="36"/>
        <v>1.5</v>
      </c>
      <c r="R96" s="8"/>
      <c r="T96"/>
    </row>
    <row r="97" spans="2:20" ht="23.1" customHeight="1" x14ac:dyDescent="0.25">
      <c r="B97" s="23" t="s">
        <v>137</v>
      </c>
      <c r="C97" s="49">
        <f>'Avg Week KABONG-KOTIDO'!C97+'Avg Week KOTIDO-KABONG'!C97</f>
        <v>0</v>
      </c>
      <c r="D97" s="49">
        <f>'Avg Week KABONG-KOTIDO'!D97+'Avg Week KOTIDO-KABONG'!D97</f>
        <v>1</v>
      </c>
      <c r="E97" s="49">
        <f>'Avg Week KABONG-KOTIDO'!E97+'Avg Week KOTIDO-KABONG'!E97</f>
        <v>0.5</v>
      </c>
      <c r="F97" s="49">
        <f>'Avg Week KABONG-KOTIDO'!F97+'Avg Week KOTIDO-KABONG'!F97</f>
        <v>0</v>
      </c>
      <c r="G97" s="49">
        <f>'Avg Week KABONG-KOTIDO'!G97+'Avg Week KOTIDO-KABONG'!G97</f>
        <v>0</v>
      </c>
      <c r="H97" s="49">
        <f>'Avg Week KABONG-KOTIDO'!H97+'Avg Week KOTIDO-KABONG'!H97</f>
        <v>0</v>
      </c>
      <c r="I97" s="49">
        <f>'Avg Week KABONG-KOTIDO'!I97+'Avg Week KOTIDO-KABONG'!I97</f>
        <v>0</v>
      </c>
      <c r="J97" s="49">
        <f>'Avg Week KABONG-KOTIDO'!J97+'Avg Week KOTIDO-KABONG'!J97</f>
        <v>0</v>
      </c>
      <c r="K97" s="49">
        <f>'Avg Week KABONG-KOTIDO'!K97+'Avg Week KOTIDO-KABONG'!K97</f>
        <v>0</v>
      </c>
      <c r="L97" s="49">
        <f>'Avg Week KABONG-KOTIDO'!L97+'Avg Week KOTIDO-KABONG'!L97</f>
        <v>0</v>
      </c>
      <c r="M97" s="49">
        <f>'Avg Week KABONG-KOTIDO'!M97+'Avg Week KOTIDO-KABONG'!M97</f>
        <v>0.5</v>
      </c>
      <c r="N97" s="49">
        <f>'Avg Week KABONG-KOTIDO'!N97+'Avg Week KOTIDO-KABONG'!N97</f>
        <v>0</v>
      </c>
      <c r="O97" s="15">
        <f t="shared" si="35"/>
        <v>1.5</v>
      </c>
      <c r="P97" s="15">
        <f t="shared" si="36"/>
        <v>2</v>
      </c>
      <c r="R97" s="8"/>
      <c r="T97"/>
    </row>
    <row r="98" spans="2:20" ht="23.1" customHeight="1" x14ac:dyDescent="0.25">
      <c r="B98" s="24" t="s">
        <v>138</v>
      </c>
      <c r="C98" s="49">
        <f>'Avg Week KABONG-KOTIDO'!C98+'Avg Week KOTIDO-KABONG'!C98</f>
        <v>0</v>
      </c>
      <c r="D98" s="49">
        <f>'Avg Week KABONG-KOTIDO'!D98+'Avg Week KOTIDO-KABONG'!D98</f>
        <v>0.5</v>
      </c>
      <c r="E98" s="49">
        <f>'Avg Week KABONG-KOTIDO'!E98+'Avg Week KOTIDO-KABONG'!E98</f>
        <v>1.5</v>
      </c>
      <c r="F98" s="49">
        <f>'Avg Week KABONG-KOTIDO'!F98+'Avg Week KOTIDO-KABONG'!F98</f>
        <v>0</v>
      </c>
      <c r="G98" s="49">
        <f>'Avg Week KABONG-KOTIDO'!G98+'Avg Week KOTIDO-KABONG'!G98</f>
        <v>0</v>
      </c>
      <c r="H98" s="49">
        <f>'Avg Week KABONG-KOTIDO'!H98+'Avg Week KOTIDO-KABONG'!H98</f>
        <v>0</v>
      </c>
      <c r="I98" s="49">
        <f>'Avg Week KABONG-KOTIDO'!I98+'Avg Week KOTIDO-KABONG'!I98</f>
        <v>0</v>
      </c>
      <c r="J98" s="49">
        <f>'Avg Week KABONG-KOTIDO'!J98+'Avg Week KOTIDO-KABONG'!J98</f>
        <v>0</v>
      </c>
      <c r="K98" s="49">
        <f>'Avg Week KABONG-KOTIDO'!K98+'Avg Week KOTIDO-KABONG'!K98</f>
        <v>0</v>
      </c>
      <c r="L98" s="49">
        <f>'Avg Week KABONG-KOTIDO'!L98+'Avg Week KOTIDO-KABONG'!L98</f>
        <v>0</v>
      </c>
      <c r="M98" s="49">
        <f>'Avg Week KABONG-KOTIDO'!M98+'Avg Week KOTIDO-KABONG'!M98</f>
        <v>1</v>
      </c>
      <c r="N98" s="49">
        <f>'Avg Week KABONG-KOTIDO'!N98+'Avg Week KOTIDO-KABONG'!N98</f>
        <v>0</v>
      </c>
      <c r="O98" s="15">
        <f t="shared" si="35"/>
        <v>2</v>
      </c>
      <c r="P98" s="15">
        <f t="shared" si="36"/>
        <v>3</v>
      </c>
      <c r="R98" s="8"/>
      <c r="T98"/>
    </row>
    <row r="99" spans="2:20" ht="23.1" customHeight="1" x14ac:dyDescent="0.25">
      <c r="B99" s="23" t="s">
        <v>139</v>
      </c>
      <c r="C99" s="49">
        <f>'Avg Week KABONG-KOTIDO'!C99+'Avg Week KOTIDO-KABONG'!C99</f>
        <v>0</v>
      </c>
      <c r="D99" s="49">
        <f>'Avg Week KABONG-KOTIDO'!D99+'Avg Week KOTIDO-KABONG'!D99</f>
        <v>1.5</v>
      </c>
      <c r="E99" s="49">
        <f>'Avg Week KABONG-KOTIDO'!E99+'Avg Week KOTIDO-KABONG'!E99</f>
        <v>0.5</v>
      </c>
      <c r="F99" s="49">
        <f>'Avg Week KABONG-KOTIDO'!F99+'Avg Week KOTIDO-KABONG'!F99</f>
        <v>0</v>
      </c>
      <c r="G99" s="49">
        <f>'Avg Week KABONG-KOTIDO'!G99+'Avg Week KOTIDO-KABONG'!G99</f>
        <v>0</v>
      </c>
      <c r="H99" s="49">
        <f>'Avg Week KABONG-KOTIDO'!H99+'Avg Week KOTIDO-KABONG'!H99</f>
        <v>0</v>
      </c>
      <c r="I99" s="49">
        <f>'Avg Week KABONG-KOTIDO'!I99+'Avg Week KOTIDO-KABONG'!I99</f>
        <v>0</v>
      </c>
      <c r="J99" s="49">
        <f>'Avg Week KABONG-KOTIDO'!J99+'Avg Week KOTIDO-KABONG'!J99</f>
        <v>0</v>
      </c>
      <c r="K99" s="49">
        <f>'Avg Week KABONG-KOTIDO'!K99+'Avg Week KOTIDO-KABONG'!K99</f>
        <v>0</v>
      </c>
      <c r="L99" s="49">
        <f>'Avg Week KABONG-KOTIDO'!L99+'Avg Week KOTIDO-KABONG'!L99</f>
        <v>0</v>
      </c>
      <c r="M99" s="49">
        <f>'Avg Week KABONG-KOTIDO'!M99+'Avg Week KOTIDO-KABONG'!M99</f>
        <v>1.5</v>
      </c>
      <c r="N99" s="49">
        <f>'Avg Week KABONG-KOTIDO'!N99+'Avg Week KOTIDO-KABONG'!N99</f>
        <v>0</v>
      </c>
      <c r="O99" s="15">
        <f t="shared" si="35"/>
        <v>2</v>
      </c>
      <c r="P99" s="15">
        <f t="shared" si="36"/>
        <v>3.5</v>
      </c>
      <c r="R99" s="8"/>
      <c r="T99"/>
    </row>
    <row r="100" spans="2:20" ht="23.1" customHeight="1" x14ac:dyDescent="0.25">
      <c r="B100" s="25" t="s">
        <v>140</v>
      </c>
      <c r="C100" s="49">
        <f>'Avg Week KABONG-KOTIDO'!C100+'Avg Week KOTIDO-KABONG'!C100</f>
        <v>0</v>
      </c>
      <c r="D100" s="49">
        <f>'Avg Week KABONG-KOTIDO'!D100+'Avg Week KOTIDO-KABONG'!D100</f>
        <v>0</v>
      </c>
      <c r="E100" s="49">
        <f>'Avg Week KABONG-KOTIDO'!E100+'Avg Week KOTIDO-KABONG'!E100</f>
        <v>0.5</v>
      </c>
      <c r="F100" s="49">
        <f>'Avg Week KABONG-KOTIDO'!F100+'Avg Week KOTIDO-KABONG'!F100</f>
        <v>0</v>
      </c>
      <c r="G100" s="49">
        <f>'Avg Week KABONG-KOTIDO'!G100+'Avg Week KOTIDO-KABONG'!G100</f>
        <v>0</v>
      </c>
      <c r="H100" s="49">
        <f>'Avg Week KABONG-KOTIDO'!H100+'Avg Week KOTIDO-KABONG'!H100</f>
        <v>0</v>
      </c>
      <c r="I100" s="49">
        <f>'Avg Week KABONG-KOTIDO'!I100+'Avg Week KOTIDO-KABONG'!I100</f>
        <v>0</v>
      </c>
      <c r="J100" s="49">
        <f>'Avg Week KABONG-KOTIDO'!J100+'Avg Week KOTIDO-KABONG'!J100</f>
        <v>0</v>
      </c>
      <c r="K100" s="49">
        <f>'Avg Week KABONG-KOTIDO'!K100+'Avg Week KOTIDO-KABONG'!K100</f>
        <v>0</v>
      </c>
      <c r="L100" s="49">
        <f>'Avg Week KABONG-KOTIDO'!L100+'Avg Week KOTIDO-KABONG'!L100</f>
        <v>0</v>
      </c>
      <c r="M100" s="49">
        <f>'Avg Week KABONG-KOTIDO'!M100+'Avg Week KOTIDO-KABONG'!M100</f>
        <v>0</v>
      </c>
      <c r="N100" s="49">
        <f>'Avg Week KABONG-KOTIDO'!N100+'Avg Week KOTIDO-KABONG'!N100</f>
        <v>0</v>
      </c>
      <c r="O100" s="15">
        <f t="shared" si="35"/>
        <v>0.5</v>
      </c>
      <c r="P100" s="15">
        <f t="shared" si="36"/>
        <v>0.5</v>
      </c>
      <c r="R100" s="8"/>
      <c r="T100"/>
    </row>
    <row r="101" spans="2:20" ht="23.1" customHeight="1" x14ac:dyDescent="0.25">
      <c r="B101" s="23" t="s">
        <v>141</v>
      </c>
      <c r="C101" s="49">
        <f>'Avg Week KABONG-KOTIDO'!C101+'Avg Week KOTIDO-KABONG'!C101</f>
        <v>0</v>
      </c>
      <c r="D101" s="49">
        <f>'Avg Week KABONG-KOTIDO'!D101+'Avg Week KOTIDO-KABONG'!D101</f>
        <v>0.5</v>
      </c>
      <c r="E101" s="49">
        <f>'Avg Week KABONG-KOTIDO'!E101+'Avg Week KOTIDO-KABONG'!E101</f>
        <v>0.5</v>
      </c>
      <c r="F101" s="49">
        <f>'Avg Week KABONG-KOTIDO'!F101+'Avg Week KOTIDO-KABONG'!F101</f>
        <v>0</v>
      </c>
      <c r="G101" s="49">
        <f>'Avg Week KABONG-KOTIDO'!G101+'Avg Week KOTIDO-KABONG'!G101</f>
        <v>0</v>
      </c>
      <c r="H101" s="49">
        <f>'Avg Week KABONG-KOTIDO'!H101+'Avg Week KOTIDO-KABONG'!H101</f>
        <v>0</v>
      </c>
      <c r="I101" s="49">
        <f>'Avg Week KABONG-KOTIDO'!I101+'Avg Week KOTIDO-KABONG'!I101</f>
        <v>0</v>
      </c>
      <c r="J101" s="49">
        <f>'Avg Week KABONG-KOTIDO'!J101+'Avg Week KOTIDO-KABONG'!J101</f>
        <v>0</v>
      </c>
      <c r="K101" s="49">
        <f>'Avg Week KABONG-KOTIDO'!K101+'Avg Week KOTIDO-KABONG'!K101</f>
        <v>0</v>
      </c>
      <c r="L101" s="49">
        <f>'Avg Week KABONG-KOTIDO'!L101+'Avg Week KOTIDO-KABONG'!L101</f>
        <v>0</v>
      </c>
      <c r="M101" s="49">
        <f>'Avg Week KABONG-KOTIDO'!M101+'Avg Week KOTIDO-KABONG'!M101</f>
        <v>0.5</v>
      </c>
      <c r="N101" s="49">
        <f>'Avg Week KABONG-KOTIDO'!N101+'Avg Week KOTIDO-KABONG'!N101</f>
        <v>0</v>
      </c>
      <c r="O101" s="15">
        <f t="shared" si="35"/>
        <v>1</v>
      </c>
      <c r="P101" s="15">
        <f t="shared" si="36"/>
        <v>1.5</v>
      </c>
      <c r="R101" s="8"/>
      <c r="T101"/>
    </row>
    <row r="102" spans="2:20" ht="23.1" customHeight="1" x14ac:dyDescent="0.25">
      <c r="B102" s="24" t="s">
        <v>142</v>
      </c>
      <c r="C102" s="49">
        <f>'Avg Week KABONG-KOTIDO'!C102+'Avg Week KOTIDO-KABONG'!C102</f>
        <v>0</v>
      </c>
      <c r="D102" s="49">
        <f>'Avg Week KABONG-KOTIDO'!D102+'Avg Week KOTIDO-KABONG'!D102</f>
        <v>0.5</v>
      </c>
      <c r="E102" s="49">
        <f>'Avg Week KABONG-KOTIDO'!E102+'Avg Week KOTIDO-KABONG'!E102</f>
        <v>0.5</v>
      </c>
      <c r="F102" s="49">
        <f>'Avg Week KABONG-KOTIDO'!F102+'Avg Week KOTIDO-KABONG'!F102</f>
        <v>0</v>
      </c>
      <c r="G102" s="49">
        <f>'Avg Week KABONG-KOTIDO'!G102+'Avg Week KOTIDO-KABONG'!G102</f>
        <v>0</v>
      </c>
      <c r="H102" s="49">
        <f>'Avg Week KABONG-KOTIDO'!H102+'Avg Week KOTIDO-KABONG'!H102</f>
        <v>0.5</v>
      </c>
      <c r="I102" s="49">
        <f>'Avg Week KABONG-KOTIDO'!I102+'Avg Week KOTIDO-KABONG'!I102</f>
        <v>0</v>
      </c>
      <c r="J102" s="49">
        <f>'Avg Week KABONG-KOTIDO'!J102+'Avg Week KOTIDO-KABONG'!J102</f>
        <v>0.5</v>
      </c>
      <c r="K102" s="49">
        <f>'Avg Week KABONG-KOTIDO'!K102+'Avg Week KOTIDO-KABONG'!K102</f>
        <v>0</v>
      </c>
      <c r="L102" s="49">
        <f>'Avg Week KABONG-KOTIDO'!L102+'Avg Week KOTIDO-KABONG'!L102</f>
        <v>0</v>
      </c>
      <c r="M102" s="49">
        <f>'Avg Week KABONG-KOTIDO'!M102+'Avg Week KOTIDO-KABONG'!M102</f>
        <v>1.5</v>
      </c>
      <c r="N102" s="49">
        <f>'Avg Week KABONG-KOTIDO'!N102+'Avg Week KOTIDO-KABONG'!N102</f>
        <v>0</v>
      </c>
      <c r="O102" s="15">
        <f t="shared" si="35"/>
        <v>2</v>
      </c>
      <c r="P102" s="15">
        <f t="shared" si="36"/>
        <v>3.5</v>
      </c>
      <c r="R102" s="8"/>
      <c r="T102"/>
    </row>
    <row r="103" spans="2:20" ht="23.1" customHeight="1" x14ac:dyDescent="0.25">
      <c r="B103" s="23" t="s">
        <v>143</v>
      </c>
      <c r="C103" s="49">
        <f>'Avg Week KABONG-KOTIDO'!C103+'Avg Week KOTIDO-KABONG'!C103</f>
        <v>0</v>
      </c>
      <c r="D103" s="49">
        <f>'Avg Week KABONG-KOTIDO'!D103+'Avg Week KOTIDO-KABONG'!D103</f>
        <v>1.5</v>
      </c>
      <c r="E103" s="49">
        <f>'Avg Week KABONG-KOTIDO'!E103+'Avg Week KOTIDO-KABONG'!E103</f>
        <v>1</v>
      </c>
      <c r="F103" s="49">
        <f>'Avg Week KABONG-KOTIDO'!F103+'Avg Week KOTIDO-KABONG'!F103</f>
        <v>0</v>
      </c>
      <c r="G103" s="49">
        <f>'Avg Week KABONG-KOTIDO'!G103+'Avg Week KOTIDO-KABONG'!G103</f>
        <v>0</v>
      </c>
      <c r="H103" s="49">
        <f>'Avg Week KABONG-KOTIDO'!H103+'Avg Week KOTIDO-KABONG'!H103</f>
        <v>0</v>
      </c>
      <c r="I103" s="49">
        <f>'Avg Week KABONG-KOTIDO'!I103+'Avg Week KOTIDO-KABONG'!I103</f>
        <v>0</v>
      </c>
      <c r="J103" s="49">
        <f>'Avg Week KABONG-KOTIDO'!J103+'Avg Week KOTIDO-KABONG'!J103</f>
        <v>0.5</v>
      </c>
      <c r="K103" s="49">
        <f>'Avg Week KABONG-KOTIDO'!K103+'Avg Week KOTIDO-KABONG'!K103</f>
        <v>0</v>
      </c>
      <c r="L103" s="49">
        <f>'Avg Week KABONG-KOTIDO'!L103+'Avg Week KOTIDO-KABONG'!L103</f>
        <v>0</v>
      </c>
      <c r="M103" s="49">
        <f>'Avg Week KABONG-KOTIDO'!M103+'Avg Week KOTIDO-KABONG'!M103</f>
        <v>2</v>
      </c>
      <c r="N103" s="49">
        <f>'Avg Week KABONG-KOTIDO'!N103+'Avg Week KOTIDO-KABONG'!N103</f>
        <v>0</v>
      </c>
      <c r="O103" s="15">
        <f t="shared" si="35"/>
        <v>3</v>
      </c>
      <c r="P103" s="15">
        <f t="shared" si="36"/>
        <v>5</v>
      </c>
      <c r="R103" s="8"/>
      <c r="T103"/>
    </row>
    <row r="104" spans="2:20" ht="23.1" customHeight="1" x14ac:dyDescent="0.25">
      <c r="B104" s="25" t="s">
        <v>144</v>
      </c>
      <c r="C104" s="49">
        <f>'Avg Week KABONG-KOTIDO'!C104+'Avg Week KOTIDO-KABONG'!C104</f>
        <v>0</v>
      </c>
      <c r="D104" s="49">
        <f>'Avg Week KABONG-KOTIDO'!D104+'Avg Week KOTIDO-KABONG'!D104</f>
        <v>0</v>
      </c>
      <c r="E104" s="49">
        <f>'Avg Week KABONG-KOTIDO'!E104+'Avg Week KOTIDO-KABONG'!E104</f>
        <v>0.5</v>
      </c>
      <c r="F104" s="49">
        <f>'Avg Week KABONG-KOTIDO'!F104+'Avg Week KOTIDO-KABONG'!F104</f>
        <v>0</v>
      </c>
      <c r="G104" s="49">
        <f>'Avg Week KABONG-KOTIDO'!G104+'Avg Week KOTIDO-KABONG'!G104</f>
        <v>0</v>
      </c>
      <c r="H104" s="49">
        <f>'Avg Week KABONG-KOTIDO'!H104+'Avg Week KOTIDO-KABONG'!H104</f>
        <v>0.5</v>
      </c>
      <c r="I104" s="49">
        <f>'Avg Week KABONG-KOTIDO'!I104+'Avg Week KOTIDO-KABONG'!I104</f>
        <v>0.5</v>
      </c>
      <c r="J104" s="49">
        <f>'Avg Week KABONG-KOTIDO'!J104+'Avg Week KOTIDO-KABONG'!J104</f>
        <v>0</v>
      </c>
      <c r="K104" s="49">
        <f>'Avg Week KABONG-KOTIDO'!K104+'Avg Week KOTIDO-KABONG'!K104</f>
        <v>0</v>
      </c>
      <c r="L104" s="49">
        <f>'Avg Week KABONG-KOTIDO'!L104+'Avg Week KOTIDO-KABONG'!L104</f>
        <v>0</v>
      </c>
      <c r="M104" s="49">
        <f>'Avg Week KABONG-KOTIDO'!M104+'Avg Week KOTIDO-KABONG'!M104</f>
        <v>1.5</v>
      </c>
      <c r="N104" s="49">
        <f>'Avg Week KABONG-KOTIDO'!N104+'Avg Week KOTIDO-KABONG'!N104</f>
        <v>0</v>
      </c>
      <c r="O104" s="15">
        <f t="shared" si="35"/>
        <v>1.5</v>
      </c>
      <c r="P104" s="15">
        <f t="shared" si="36"/>
        <v>3</v>
      </c>
      <c r="R104" s="8"/>
      <c r="T104"/>
    </row>
    <row r="105" spans="2:20" ht="23.1" customHeight="1" x14ac:dyDescent="0.25">
      <c r="B105" s="23" t="s">
        <v>145</v>
      </c>
      <c r="C105" s="49">
        <f>'Avg Week KABONG-KOTIDO'!C105+'Avg Week KOTIDO-KABONG'!C105</f>
        <v>0</v>
      </c>
      <c r="D105" s="49">
        <f>'Avg Week KABONG-KOTIDO'!D105+'Avg Week KOTIDO-KABONG'!D105</f>
        <v>0.5</v>
      </c>
      <c r="E105" s="49">
        <f>'Avg Week KABONG-KOTIDO'!E105+'Avg Week KOTIDO-KABONG'!E105</f>
        <v>2</v>
      </c>
      <c r="F105" s="49">
        <f>'Avg Week KABONG-KOTIDO'!F105+'Avg Week KOTIDO-KABONG'!F105</f>
        <v>0</v>
      </c>
      <c r="G105" s="49">
        <f>'Avg Week KABONG-KOTIDO'!G105+'Avg Week KOTIDO-KABONG'!G105</f>
        <v>0</v>
      </c>
      <c r="H105" s="49">
        <f>'Avg Week KABONG-KOTIDO'!H105+'Avg Week KOTIDO-KABONG'!H105</f>
        <v>0</v>
      </c>
      <c r="I105" s="49">
        <f>'Avg Week KABONG-KOTIDO'!I105+'Avg Week KOTIDO-KABONG'!I105</f>
        <v>0.5</v>
      </c>
      <c r="J105" s="49">
        <f>'Avg Week KABONG-KOTIDO'!J105+'Avg Week KOTIDO-KABONG'!J105</f>
        <v>0</v>
      </c>
      <c r="K105" s="49">
        <f>'Avg Week KABONG-KOTIDO'!K105+'Avg Week KOTIDO-KABONG'!K105</f>
        <v>0</v>
      </c>
      <c r="L105" s="49">
        <f>'Avg Week KABONG-KOTIDO'!L105+'Avg Week KOTIDO-KABONG'!L105</f>
        <v>0</v>
      </c>
      <c r="M105" s="49">
        <f>'Avg Week KABONG-KOTIDO'!M105+'Avg Week KOTIDO-KABONG'!M105</f>
        <v>1</v>
      </c>
      <c r="N105" s="49">
        <f>'Avg Week KABONG-KOTIDO'!N105+'Avg Week KOTIDO-KABONG'!N105</f>
        <v>0</v>
      </c>
      <c r="O105" s="15">
        <f t="shared" si="35"/>
        <v>3</v>
      </c>
      <c r="P105" s="15">
        <f t="shared" si="36"/>
        <v>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8.571428571428573</v>
      </c>
      <c r="D106" s="16">
        <f t="shared" ref="D106:P106" si="37">SUM(D10:D105)</f>
        <v>50.214285714285715</v>
      </c>
      <c r="E106" s="16">
        <f t="shared" si="37"/>
        <v>41.714285714285715</v>
      </c>
      <c r="F106" s="16">
        <f t="shared" si="37"/>
        <v>0.71428571428571419</v>
      </c>
      <c r="G106" s="16">
        <f t="shared" si="37"/>
        <v>0.2857142857142857</v>
      </c>
      <c r="H106" s="16">
        <f t="shared" si="37"/>
        <v>2.8571428571428568</v>
      </c>
      <c r="I106" s="16">
        <f t="shared" si="37"/>
        <v>26.714285714285715</v>
      </c>
      <c r="J106" s="16">
        <f t="shared" si="37"/>
        <v>20.928571428571438</v>
      </c>
      <c r="K106" s="16">
        <f t="shared" si="37"/>
        <v>1.0714285714285714</v>
      </c>
      <c r="L106" s="16">
        <f t="shared" si="37"/>
        <v>0</v>
      </c>
      <c r="M106" s="16">
        <f t="shared" si="37"/>
        <v>107.28571428571429</v>
      </c>
      <c r="N106" s="16">
        <f t="shared" si="37"/>
        <v>0.14285714285714285</v>
      </c>
      <c r="O106" s="16">
        <f t="shared" si="37"/>
        <v>153.21428571428572</v>
      </c>
      <c r="P106" s="16">
        <f t="shared" si="37"/>
        <v>260.5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3.2903756512201815E-2</v>
      </c>
      <c r="D107" s="43">
        <f t="shared" si="38"/>
        <v>0.19276117356731562</v>
      </c>
      <c r="E107" s="43">
        <f t="shared" si="38"/>
        <v>0.16013161502604881</v>
      </c>
      <c r="F107" s="43">
        <f t="shared" si="38"/>
        <v>2.7419797093501505E-3</v>
      </c>
      <c r="G107" s="43">
        <f t="shared" si="38"/>
        <v>1.0967918837400603E-3</v>
      </c>
      <c r="H107" s="43">
        <f t="shared" si="38"/>
        <v>1.0967918837400602E-2</v>
      </c>
      <c r="I107" s="43">
        <f t="shared" si="38"/>
        <v>0.10255004112969564</v>
      </c>
      <c r="J107" s="43">
        <f t="shared" si="38"/>
        <v>8.0340005483959448E-2</v>
      </c>
      <c r="K107" s="43">
        <f t="shared" si="38"/>
        <v>4.112969564025226E-3</v>
      </c>
      <c r="L107" s="43">
        <f t="shared" si="38"/>
        <v>0</v>
      </c>
      <c r="M107" s="43">
        <f t="shared" si="38"/>
        <v>0.41184535234439268</v>
      </c>
      <c r="N107" s="43">
        <f t="shared" si="38"/>
        <v>5.4839594187003013E-4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5.5944055944055951E-2</v>
      </c>
      <c r="D108" s="44">
        <f t="shared" ref="D108:N108" si="39">D106/$O$106</f>
        <v>0.32773892773892771</v>
      </c>
      <c r="E108" s="44">
        <f t="shared" si="39"/>
        <v>0.27226107226107227</v>
      </c>
      <c r="F108" s="44">
        <f t="shared" si="39"/>
        <v>4.6620046620046611E-3</v>
      </c>
      <c r="G108" s="44">
        <f t="shared" si="39"/>
        <v>1.8648018648018646E-3</v>
      </c>
      <c r="H108" s="44">
        <f t="shared" si="39"/>
        <v>1.8648018648018645E-2</v>
      </c>
      <c r="I108" s="44">
        <f t="shared" si="39"/>
        <v>0.17435897435897435</v>
      </c>
      <c r="J108" s="44">
        <f t="shared" si="39"/>
        <v>0.13659673659673666</v>
      </c>
      <c r="K108" s="44">
        <f t="shared" si="39"/>
        <v>6.9930069930069921E-3</v>
      </c>
      <c r="L108" s="44">
        <f t="shared" si="39"/>
        <v>0</v>
      </c>
      <c r="M108" s="44"/>
      <c r="N108" s="44">
        <f t="shared" si="39"/>
        <v>9.3240093240093229E-4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05.08 KABONG-KOTIDO</vt:lpstr>
      <vt:lpstr>05.08 KOTIDO-KABONG</vt:lpstr>
      <vt:lpstr>06.07 KABONG-KOTIDO</vt:lpstr>
      <vt:lpstr>06.08 KOTIDO-KABONG</vt:lpstr>
      <vt:lpstr>07.08 KABONG-KOTIDO</vt:lpstr>
      <vt:lpstr>07.08 KOTIDO-KABONG</vt:lpstr>
      <vt:lpstr>08.08 KABONG-KOTIDO</vt:lpstr>
      <vt:lpstr>08.08 KITIDO-KABONG </vt:lpstr>
      <vt:lpstr>9.08 KABONG-KOTIDO-24h</vt:lpstr>
      <vt:lpstr>9.08 KOTIDO-KABONG-24h</vt:lpstr>
      <vt:lpstr>10.08 KABONG-KOTIDO-24h</vt:lpstr>
      <vt:lpstr>10.08 KOTIDO-KABONG-24h</vt:lpstr>
      <vt:lpstr>11.08 KABONG-KOTITDO</vt:lpstr>
      <vt:lpstr>11.08 KITIDO-KABONG</vt:lpstr>
      <vt:lpstr>Avg Week KABONG-KOTIDO</vt:lpstr>
      <vt:lpstr>Avg Week KOTIDO-KABONG</vt:lpstr>
      <vt:lpstr>Avg Week KABONG-KOTIDO-2Dir</vt:lpstr>
      <vt:lpstr>'05.08 KABONG-KOTIDO'!Print_Area</vt:lpstr>
      <vt:lpstr>'05.08 KOTIDO-KABONG'!Print_Area</vt:lpstr>
      <vt:lpstr>'06.07 KABONG-KOTIDO'!Print_Area</vt:lpstr>
      <vt:lpstr>'06.08 KOTIDO-KABONG'!Print_Area</vt:lpstr>
      <vt:lpstr>'07.08 KABONG-KOTIDO'!Print_Area</vt:lpstr>
      <vt:lpstr>'07.08 KOTIDO-KABONG'!Print_Area</vt:lpstr>
      <vt:lpstr>'08.08 KABONG-KOTIDO'!Print_Area</vt:lpstr>
      <vt:lpstr>'08.08 KITIDO-KABONG '!Print_Area</vt:lpstr>
      <vt:lpstr>'10.08 KABONG-KOTIDO-24h'!Print_Area</vt:lpstr>
      <vt:lpstr>'10.08 KOTIDO-KABONG-24h'!Print_Area</vt:lpstr>
      <vt:lpstr>'11.08 KABONG-KOTITDO'!Print_Area</vt:lpstr>
      <vt:lpstr>'11.08 KITIDO-KABONG'!Print_Area</vt:lpstr>
      <vt:lpstr>'9.08 KABONG-KOTIDO-24h'!Print_Area</vt:lpstr>
      <vt:lpstr>'9.08 KOTIDO-KABONG-24h'!Print_Area</vt:lpstr>
      <vt:lpstr>'Avg Week KABONG-KOTIDO'!Print_Area</vt:lpstr>
      <vt:lpstr>'Avg Week KABONG-KOTIDO-2Dir'!Print_Area</vt:lpstr>
      <vt:lpstr>'Avg Week KOTIDO-KABONG'!Print_Area</vt:lpstr>
      <vt:lpstr>'05.08 KABONG-KOTIDO'!Print_Titles</vt:lpstr>
      <vt:lpstr>'05.08 KOTIDO-KABONG'!Print_Titles</vt:lpstr>
      <vt:lpstr>'06.07 KABONG-KOTIDO'!Print_Titles</vt:lpstr>
      <vt:lpstr>'06.08 KOTIDO-KABONG'!Print_Titles</vt:lpstr>
      <vt:lpstr>'07.08 KABONG-KOTIDO'!Print_Titles</vt:lpstr>
      <vt:lpstr>'07.08 KOTIDO-KABONG'!Print_Titles</vt:lpstr>
      <vt:lpstr>'08.08 KABONG-KOTIDO'!Print_Titles</vt:lpstr>
      <vt:lpstr>'08.08 KITIDO-KABONG '!Print_Titles</vt:lpstr>
      <vt:lpstr>'10.08 KABONG-KOTIDO-24h'!Print_Titles</vt:lpstr>
      <vt:lpstr>'10.08 KOTIDO-KABONG-24h'!Print_Titles</vt:lpstr>
      <vt:lpstr>'11.08 KABONG-KOTITDO'!Print_Titles</vt:lpstr>
      <vt:lpstr>'11.08 KITIDO-KABONG'!Print_Titles</vt:lpstr>
      <vt:lpstr>'9.08 KABONG-KOTIDO-24h'!Print_Titles</vt:lpstr>
      <vt:lpstr>'9.08 KOTIDO-KABONG-24h'!Print_Titles</vt:lpstr>
      <vt:lpstr>'Avg Week KABONG-KOTIDO'!Print_Titles</vt:lpstr>
      <vt:lpstr>'Avg Week KABONG-KOTIDO-2Dir'!Print_Titles</vt:lpstr>
      <vt:lpstr>'Avg Week KOTIDO-KABONG'!Print_Titles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USER</cp:lastModifiedBy>
  <cp:lastPrinted>2019-07-25T18:18:41Z</cp:lastPrinted>
  <dcterms:created xsi:type="dcterms:W3CDTF">2010-07-06T07:39:49Z</dcterms:created>
  <dcterms:modified xsi:type="dcterms:W3CDTF">2020-04-06T17:56:08Z</dcterms:modified>
</cp:coreProperties>
</file>