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5-RW\STN121 SOROTI-MOROTO\OD\"/>
    </mc:Choice>
  </mc:AlternateContent>
  <xr:revisionPtr revIDLastSave="0" documentId="13_ncr:1_{AFC4DE2A-39F9-473D-A2C1-3E6D31A9D71E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4" r:id="rId1"/>
    <sheet name="ALL DATA" sheetId="42" r:id="rId2"/>
    <sheet name="Zones" sheetId="43" r:id="rId3"/>
    <sheet name="08.08 Soroti-Moroto" sheetId="3" r:id="rId4"/>
    <sheet name="RSI FORM" sheetId="4" state="hidden" r:id="rId5"/>
    <sheet name="08.08 Moroto-Soroti" sheetId="37" r:id="rId6"/>
    <sheet name="09.08 Soroti-Moroto" sheetId="38" r:id="rId7"/>
    <sheet name="09.08 Moroto-Soroti" sheetId="39" r:id="rId8"/>
    <sheet name="10.08 Soroti-Moroto " sheetId="40" r:id="rId9"/>
    <sheet name="10.08 Moroto-Soroti" sheetId="41" r:id="rId10"/>
    <sheet name="Key" sheetId="5" r:id="rId11"/>
  </sheets>
  <externalReferences>
    <externalReference r:id="rId12"/>
  </externalReferences>
  <definedNames>
    <definedName name="_xlnm._FilterDatabase" localSheetId="5" hidden="1">'08.08 Moroto-Soroti'!$B$9:$AB$46</definedName>
    <definedName name="_xlnm._FilterDatabase" localSheetId="3" hidden="1">'08.08 Soroti-Moroto'!$B$9:$AB$41</definedName>
    <definedName name="_xlnm._FilterDatabase" localSheetId="7" hidden="1">'09.08 Moroto-Soroti'!$B$9:$AB$17</definedName>
    <definedName name="_xlnm._FilterDatabase" localSheetId="6" hidden="1">'09.08 Soroti-Moroto'!$B$9:$AB$105</definedName>
    <definedName name="_xlnm._FilterDatabase" localSheetId="9" hidden="1">'10.08 Moroto-Soroti'!$B$9:$AB$105</definedName>
    <definedName name="_xlnm._FilterDatabase" localSheetId="8" hidden="1">'10.08 Soroti-Moroto '!$B$9:$AB$36</definedName>
    <definedName name="_xlnm._FilterDatabase" localSheetId="1" hidden="1">'ALL DATA'!$B$9:$AB$41</definedName>
    <definedName name="_xlnm._FilterDatabase" localSheetId="2" hidden="1">Zones!$A$1:$N$1569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5">'08.08 Moroto-Soroti'!$D$9:$D$43</definedName>
    <definedName name="Veh_Type" localSheetId="7">'09.08 Moroto-Soroti'!$D$9:$D$17</definedName>
    <definedName name="Veh_Type" localSheetId="9">'10.08 Moroto-Soroti'!$D$9:$D$31</definedName>
    <definedName name="Veh_Type" localSheetId="8">'10.08 Soroti-Moroto '!$D$9:$D$36</definedName>
    <definedName name="Veh_Type" localSheetId="1">'ALL DATA'!$D$9:$D$41</definedName>
    <definedName name="Veh_Type" localSheetId="2">'[1]25.07 BUSEGA-NATEETE'!$D:$D</definedName>
    <definedName name="Veh_Type">'08.08 Soroti-Moroto'!$D$9:$D$41</definedName>
    <definedName name="zones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4" l="1"/>
  <c r="X66" i="44"/>
  <c r="W66" i="44"/>
  <c r="V66" i="44"/>
  <c r="U66" i="44"/>
  <c r="T66" i="44"/>
  <c r="S66" i="44"/>
  <c r="R66" i="44"/>
  <c r="Y65" i="44"/>
  <c r="X65" i="44"/>
  <c r="W65" i="44"/>
  <c r="V65" i="44"/>
  <c r="U65" i="44"/>
  <c r="T65" i="44"/>
  <c r="S65" i="44"/>
  <c r="R65" i="44"/>
  <c r="Y64" i="44"/>
  <c r="X64" i="44"/>
  <c r="W64" i="44"/>
  <c r="V64" i="44"/>
  <c r="U64" i="44"/>
  <c r="T64" i="44"/>
  <c r="S64" i="44"/>
  <c r="R64" i="44"/>
  <c r="Y63" i="44"/>
  <c r="X63" i="44"/>
  <c r="W63" i="44"/>
  <c r="V63" i="44"/>
  <c r="U63" i="44"/>
  <c r="T63" i="44"/>
  <c r="S63" i="44"/>
  <c r="R63" i="44"/>
  <c r="R52" i="44" s="1"/>
  <c r="Y62" i="44"/>
  <c r="X62" i="44"/>
  <c r="W62" i="44"/>
  <c r="V62" i="44"/>
  <c r="U62" i="44"/>
  <c r="T62" i="44"/>
  <c r="S62" i="44"/>
  <c r="R62" i="44"/>
  <c r="R51" i="44" s="1"/>
  <c r="Y61" i="44"/>
  <c r="X61" i="44"/>
  <c r="W61" i="44"/>
  <c r="V61" i="44"/>
  <c r="V50" i="44" s="1"/>
  <c r="U61" i="44"/>
  <c r="T61" i="44"/>
  <c r="S61" i="44"/>
  <c r="R61" i="44"/>
  <c r="R50" i="44" s="1"/>
  <c r="Y60" i="44"/>
  <c r="X60" i="44"/>
  <c r="W60" i="44"/>
  <c r="V60" i="44"/>
  <c r="U60" i="44"/>
  <c r="T60" i="44"/>
  <c r="S60" i="44"/>
  <c r="R60" i="44"/>
  <c r="R49" i="44" s="1"/>
  <c r="Y59" i="44"/>
  <c r="X59" i="44"/>
  <c r="W59" i="44"/>
  <c r="V59" i="44"/>
  <c r="V48" i="44" s="1"/>
  <c r="U59" i="44"/>
  <c r="T59" i="44"/>
  <c r="S59" i="44"/>
  <c r="S48" i="44" s="1"/>
  <c r="R59" i="44"/>
  <c r="Y55" i="44" s="1"/>
  <c r="Y76" i="44"/>
  <c r="X76" i="44"/>
  <c r="W76" i="44"/>
  <c r="V76" i="44"/>
  <c r="U76" i="44"/>
  <c r="T76" i="44"/>
  <c r="S76" i="44"/>
  <c r="R76" i="44"/>
  <c r="Y75" i="44"/>
  <c r="X75" i="44"/>
  <c r="W75" i="44"/>
  <c r="V75" i="44"/>
  <c r="U75" i="44"/>
  <c r="T75" i="44"/>
  <c r="S75" i="44"/>
  <c r="R75" i="44"/>
  <c r="Y74" i="44"/>
  <c r="X74" i="44"/>
  <c r="W74" i="44"/>
  <c r="V74" i="44"/>
  <c r="U74" i="44"/>
  <c r="T74" i="44"/>
  <c r="S74" i="44"/>
  <c r="R74" i="44"/>
  <c r="Y73" i="44"/>
  <c r="X73" i="44"/>
  <c r="W73" i="44"/>
  <c r="V73" i="44"/>
  <c r="U73" i="44"/>
  <c r="T73" i="44"/>
  <c r="S73" i="44"/>
  <c r="R73" i="44"/>
  <c r="Y72" i="44"/>
  <c r="X72" i="44"/>
  <c r="W72" i="44"/>
  <c r="V72" i="44"/>
  <c r="U72" i="44"/>
  <c r="T72" i="44"/>
  <c r="S72" i="44"/>
  <c r="R72" i="44"/>
  <c r="Y71" i="44"/>
  <c r="X71" i="44"/>
  <c r="W71" i="44"/>
  <c r="V71" i="44"/>
  <c r="U71" i="44"/>
  <c r="T71" i="44"/>
  <c r="S71" i="44"/>
  <c r="R71" i="44"/>
  <c r="Y70" i="44"/>
  <c r="X70" i="44"/>
  <c r="W70" i="44"/>
  <c r="V70" i="44"/>
  <c r="U70" i="44"/>
  <c r="T70" i="44"/>
  <c r="S70" i="44"/>
  <c r="R70" i="44"/>
  <c r="Y69" i="44"/>
  <c r="X69" i="44"/>
  <c r="W69" i="44"/>
  <c r="V69" i="44"/>
  <c r="U69" i="44"/>
  <c r="T69" i="44"/>
  <c r="S69" i="44"/>
  <c r="R69" i="44"/>
  <c r="V49" i="44"/>
  <c r="V51" i="44" l="1"/>
  <c r="R48" i="44"/>
  <c r="V52" i="44"/>
  <c r="R53" i="44"/>
  <c r="V53" i="44"/>
  <c r="R54" i="44"/>
  <c r="V54" i="44"/>
  <c r="R55" i="44"/>
  <c r="V55" i="44"/>
  <c r="W48" i="44"/>
  <c r="S49" i="44"/>
  <c r="W49" i="44"/>
  <c r="S50" i="44"/>
  <c r="W50" i="44"/>
  <c r="S51" i="44"/>
  <c r="W51" i="44"/>
  <c r="S52" i="44"/>
  <c r="W52" i="44"/>
  <c r="S53" i="44"/>
  <c r="W53" i="44"/>
  <c r="S54" i="44"/>
  <c r="W54" i="44"/>
  <c r="S55" i="44"/>
  <c r="W55" i="44"/>
  <c r="T48" i="44"/>
  <c r="X48" i="44"/>
  <c r="T49" i="44"/>
  <c r="X49" i="44"/>
  <c r="T50" i="44"/>
  <c r="X50" i="44"/>
  <c r="T51" i="44"/>
  <c r="X51" i="44"/>
  <c r="T52" i="44"/>
  <c r="X52" i="44"/>
  <c r="T53" i="44"/>
  <c r="X53" i="44"/>
  <c r="T54" i="44"/>
  <c r="X54" i="44"/>
  <c r="T55" i="44"/>
  <c r="X55" i="44"/>
  <c r="U48" i="44"/>
  <c r="Y48" i="44"/>
  <c r="U49" i="44"/>
  <c r="Y49" i="44"/>
  <c r="U50" i="44"/>
  <c r="Y50" i="44"/>
  <c r="U51" i="44"/>
  <c r="Y51" i="44"/>
  <c r="U52" i="44"/>
  <c r="Y52" i="44"/>
  <c r="U53" i="44"/>
  <c r="Y53" i="44"/>
  <c r="U54" i="44"/>
  <c r="Y54" i="44"/>
  <c r="U55" i="44"/>
  <c r="C70" i="44"/>
  <c r="C69" i="44"/>
  <c r="C68" i="44"/>
  <c r="C67" i="44"/>
  <c r="C66" i="44"/>
  <c r="C65" i="44"/>
  <c r="C64" i="44"/>
  <c r="C63" i="44"/>
  <c r="C62" i="44"/>
  <c r="C61" i="44"/>
  <c r="C60" i="44"/>
  <c r="C42" i="44"/>
  <c r="C16" i="44"/>
  <c r="C15" i="44"/>
  <c r="C14" i="44"/>
  <c r="C13" i="44"/>
  <c r="C12" i="44"/>
  <c r="C11" i="44"/>
  <c r="C10" i="44"/>
  <c r="C9" i="44"/>
  <c r="C8" i="44"/>
  <c r="C7" i="44"/>
  <c r="C6" i="44"/>
  <c r="C5" i="44"/>
  <c r="C88" i="44"/>
  <c r="D88" i="44" s="1"/>
  <c r="E88" i="44" s="1"/>
  <c r="C87" i="44"/>
  <c r="C86" i="44"/>
  <c r="C85" i="44"/>
  <c r="D85" i="44" s="1"/>
  <c r="E85" i="44" s="1"/>
  <c r="C84" i="44"/>
  <c r="D84" i="44" s="1"/>
  <c r="E84" i="44" s="1"/>
  <c r="C83" i="44"/>
  <c r="C82" i="44"/>
  <c r="C81" i="44"/>
  <c r="C80" i="44"/>
  <c r="O28" i="44"/>
  <c r="O27" i="44"/>
  <c r="O26" i="44"/>
  <c r="O25" i="44"/>
  <c r="O24" i="44"/>
  <c r="O23" i="44"/>
  <c r="O15" i="44"/>
  <c r="O14" i="44"/>
  <c r="O13" i="44"/>
  <c r="O12" i="44"/>
  <c r="P12" i="44" s="1"/>
  <c r="Q12" i="44" s="1"/>
  <c r="O11" i="44"/>
  <c r="O10" i="44"/>
  <c r="O9" i="44"/>
  <c r="P10" i="44" s="1"/>
  <c r="O8" i="44"/>
  <c r="O7" i="44"/>
  <c r="O6" i="44"/>
  <c r="O5" i="44"/>
  <c r="P5" i="44" s="1"/>
  <c r="Q10" i="44" l="1"/>
  <c r="Q5" i="44"/>
  <c r="D80" i="44"/>
  <c r="E80" i="44" s="1"/>
  <c r="C17" i="44"/>
  <c r="D9" i="44" s="1"/>
  <c r="O29" i="44"/>
  <c r="P25" i="44" s="1"/>
  <c r="D81" i="44"/>
  <c r="E81" i="44" s="1"/>
  <c r="P7" i="44"/>
  <c r="Q7" i="44" s="1"/>
  <c r="P14" i="44"/>
  <c r="Q14" i="44" s="1"/>
  <c r="P8" i="44"/>
  <c r="Q8" i="44" s="1"/>
  <c r="P11" i="44"/>
  <c r="Q11" i="44" s="1"/>
  <c r="P15" i="44"/>
  <c r="Q15" i="44" s="1"/>
  <c r="P6" i="44"/>
  <c r="Q6" i="44" s="1"/>
  <c r="D83" i="44"/>
  <c r="E83" i="44" s="1"/>
  <c r="D87" i="44"/>
  <c r="E87" i="44" s="1"/>
  <c r="D13" i="44"/>
  <c r="D15" i="44"/>
  <c r="D8" i="44"/>
  <c r="D14" i="44"/>
  <c r="D10" i="44"/>
  <c r="C29" i="44"/>
  <c r="D16" i="44"/>
  <c r="D12" i="44"/>
  <c r="D6" i="44"/>
  <c r="D7" i="44"/>
  <c r="D82" i="44"/>
  <c r="E82" i="44" s="1"/>
  <c r="D86" i="44"/>
  <c r="E86" i="44" s="1"/>
  <c r="P9" i="44"/>
  <c r="Q9" i="44" s="1"/>
  <c r="P13" i="44"/>
  <c r="Q13" i="44" s="1"/>
  <c r="D5" i="44"/>
  <c r="D11" i="44" l="1"/>
  <c r="P26" i="44"/>
  <c r="P23" i="44"/>
  <c r="P24" i="44"/>
  <c r="P27" i="44"/>
  <c r="P28" i="44"/>
  <c r="C44" i="44"/>
  <c r="C43" i="44" l="1"/>
  <c r="D43" i="44" s="1"/>
  <c r="D42" i="44"/>
  <c r="D3" i="43" l="1"/>
  <c r="D4" i="43"/>
  <c r="D5" i="43"/>
  <c r="D6" i="43"/>
  <c r="D7" i="43"/>
  <c r="D8" i="43"/>
  <c r="D9" i="43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D26" i="43"/>
  <c r="D27" i="43"/>
  <c r="D28" i="43"/>
  <c r="D29" i="43"/>
  <c r="D30" i="43"/>
  <c r="D31" i="43"/>
  <c r="D32" i="43"/>
  <c r="D33" i="43"/>
  <c r="D34" i="43"/>
  <c r="D35" i="43"/>
  <c r="D36" i="43"/>
  <c r="D37" i="43"/>
  <c r="D38" i="43"/>
  <c r="D39" i="43"/>
  <c r="D40" i="43"/>
  <c r="D41" i="43"/>
  <c r="D42" i="43"/>
  <c r="D43" i="43"/>
  <c r="D44" i="43"/>
  <c r="D45" i="43"/>
  <c r="D46" i="43"/>
  <c r="D47" i="43"/>
  <c r="D48" i="43"/>
  <c r="D49" i="43"/>
  <c r="D50" i="43"/>
  <c r="D51" i="43"/>
  <c r="D52" i="43"/>
  <c r="D53" i="43"/>
  <c r="D54" i="43"/>
  <c r="D55" i="43"/>
  <c r="D56" i="43"/>
  <c r="D57" i="43"/>
  <c r="D58" i="43"/>
  <c r="D59" i="43"/>
  <c r="D60" i="43"/>
  <c r="D61" i="43"/>
  <c r="D62" i="43"/>
  <c r="D63" i="43"/>
  <c r="D64" i="43"/>
  <c r="D65" i="43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D79" i="43"/>
  <c r="D80" i="43"/>
  <c r="D81" i="43"/>
  <c r="D82" i="43"/>
  <c r="D83" i="43"/>
  <c r="D84" i="43"/>
  <c r="D85" i="43"/>
  <c r="D86" i="43"/>
  <c r="D87" i="43"/>
  <c r="D88" i="43"/>
  <c r="D89" i="43"/>
  <c r="D90" i="43"/>
  <c r="D91" i="43"/>
  <c r="D92" i="43"/>
  <c r="D93" i="43"/>
  <c r="D94" i="43"/>
  <c r="D95" i="43"/>
  <c r="D96" i="43"/>
  <c r="D97" i="43"/>
  <c r="D98" i="43"/>
  <c r="D99" i="43"/>
  <c r="D100" i="43"/>
  <c r="D101" i="43"/>
  <c r="D102" i="43"/>
  <c r="D103" i="43"/>
  <c r="D104" i="43"/>
  <c r="D105" i="43"/>
  <c r="D106" i="43"/>
  <c r="D107" i="43"/>
  <c r="D108" i="43"/>
  <c r="D109" i="43"/>
  <c r="D110" i="43"/>
  <c r="D111" i="43"/>
  <c r="D112" i="43"/>
  <c r="D113" i="43"/>
  <c r="D114" i="43"/>
  <c r="D115" i="43"/>
  <c r="D116" i="43"/>
  <c r="D117" i="43"/>
  <c r="D118" i="43"/>
  <c r="D119" i="43"/>
  <c r="D120" i="43"/>
  <c r="D121" i="43"/>
  <c r="D122" i="43"/>
  <c r="D123" i="43"/>
  <c r="D124" i="43"/>
  <c r="D125" i="43"/>
  <c r="D126" i="43"/>
  <c r="D127" i="43"/>
  <c r="D128" i="43"/>
  <c r="D129" i="43"/>
  <c r="D130" i="43"/>
  <c r="D131" i="43"/>
  <c r="D132" i="43"/>
  <c r="D133" i="43"/>
  <c r="D134" i="43"/>
  <c r="D135" i="43"/>
  <c r="D136" i="43"/>
  <c r="D137" i="43"/>
  <c r="D138" i="43"/>
  <c r="D139" i="43"/>
  <c r="D140" i="43"/>
  <c r="D141" i="43"/>
  <c r="D142" i="43"/>
  <c r="D143" i="43"/>
  <c r="D144" i="43"/>
  <c r="D145" i="43"/>
  <c r="D146" i="43"/>
  <c r="D147" i="43"/>
  <c r="D148" i="43"/>
  <c r="D149" i="43"/>
  <c r="D150" i="43"/>
  <c r="D151" i="43"/>
  <c r="D152" i="43"/>
  <c r="D153" i="43"/>
  <c r="D154" i="43"/>
  <c r="D155" i="43"/>
  <c r="D156" i="43"/>
  <c r="D157" i="43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D170" i="43"/>
  <c r="D171" i="43"/>
  <c r="D172" i="43"/>
  <c r="D173" i="43"/>
  <c r="D174" i="43"/>
  <c r="D175" i="43"/>
  <c r="D176" i="43"/>
  <c r="D177" i="43"/>
  <c r="D178" i="43"/>
  <c r="D179" i="43"/>
  <c r="D180" i="43"/>
  <c r="D181" i="43"/>
  <c r="D182" i="43"/>
  <c r="D183" i="43"/>
  <c r="D184" i="43"/>
  <c r="D185" i="43"/>
  <c r="D186" i="43"/>
  <c r="D187" i="43"/>
  <c r="D188" i="43"/>
  <c r="D189" i="43"/>
  <c r="D190" i="43"/>
  <c r="D191" i="43"/>
  <c r="D192" i="43"/>
  <c r="D193" i="43"/>
  <c r="D194" i="43"/>
  <c r="D195" i="43"/>
  <c r="D196" i="43"/>
  <c r="D197" i="43"/>
  <c r="D198" i="43"/>
  <c r="D199" i="43"/>
  <c r="D200" i="43"/>
  <c r="D201" i="43"/>
  <c r="D202" i="43"/>
  <c r="D203" i="43"/>
  <c r="D204" i="43"/>
  <c r="D205" i="43"/>
  <c r="D206" i="43"/>
  <c r="D207" i="43"/>
  <c r="D208" i="43"/>
  <c r="D209" i="43"/>
  <c r="D210" i="43"/>
  <c r="D211" i="43"/>
  <c r="D212" i="43"/>
  <c r="D213" i="43"/>
  <c r="D214" i="43"/>
  <c r="D215" i="43"/>
  <c r="D216" i="43"/>
  <c r="D217" i="43"/>
  <c r="D218" i="43"/>
  <c r="D219" i="43"/>
  <c r="D220" i="43"/>
  <c r="D221" i="43"/>
  <c r="D222" i="43"/>
  <c r="D223" i="43"/>
  <c r="D224" i="43"/>
  <c r="D225" i="43"/>
  <c r="D226" i="43"/>
  <c r="D227" i="43"/>
  <c r="D228" i="43"/>
  <c r="D229" i="43"/>
  <c r="D230" i="43"/>
  <c r="D231" i="43"/>
  <c r="D232" i="43"/>
  <c r="D233" i="43"/>
  <c r="D234" i="43"/>
  <c r="D235" i="43"/>
  <c r="D236" i="43"/>
  <c r="D237" i="43"/>
  <c r="D238" i="43"/>
  <c r="D239" i="43"/>
  <c r="D240" i="43"/>
  <c r="D241" i="43"/>
  <c r="D242" i="43"/>
  <c r="D243" i="43"/>
  <c r="D244" i="43"/>
  <c r="D245" i="43"/>
  <c r="D246" i="43"/>
  <c r="D247" i="43"/>
  <c r="D248" i="43"/>
  <c r="D249" i="43"/>
  <c r="D250" i="43"/>
  <c r="D251" i="43"/>
  <c r="D252" i="43"/>
  <c r="D253" i="43"/>
  <c r="D254" i="43"/>
  <c r="D255" i="43"/>
  <c r="D256" i="43"/>
  <c r="D257" i="43"/>
  <c r="D258" i="43"/>
  <c r="D259" i="43"/>
  <c r="D260" i="43"/>
  <c r="D261" i="43"/>
  <c r="D262" i="43"/>
  <c r="D263" i="43"/>
  <c r="D264" i="43"/>
  <c r="D265" i="43"/>
  <c r="D266" i="43"/>
  <c r="D267" i="43"/>
  <c r="D268" i="43"/>
  <c r="D269" i="43"/>
  <c r="D270" i="43"/>
  <c r="D271" i="43"/>
  <c r="D272" i="43"/>
  <c r="D273" i="43"/>
  <c r="D274" i="43"/>
  <c r="D275" i="43"/>
  <c r="D276" i="43"/>
  <c r="D277" i="43"/>
  <c r="D278" i="43"/>
  <c r="D279" i="43"/>
  <c r="D280" i="43"/>
  <c r="D281" i="43"/>
  <c r="D282" i="43"/>
  <c r="D283" i="43"/>
  <c r="D284" i="43"/>
  <c r="D285" i="43"/>
  <c r="D286" i="43"/>
  <c r="D287" i="43"/>
  <c r="D288" i="43"/>
  <c r="D289" i="43"/>
  <c r="D290" i="43"/>
  <c r="D291" i="43"/>
  <c r="D292" i="43"/>
  <c r="D293" i="43"/>
  <c r="D294" i="43"/>
  <c r="D295" i="43"/>
  <c r="D296" i="43"/>
  <c r="D297" i="43"/>
  <c r="D298" i="43"/>
  <c r="D299" i="43"/>
  <c r="D300" i="43"/>
  <c r="D301" i="43"/>
  <c r="D302" i="43"/>
  <c r="D303" i="43"/>
  <c r="D304" i="43"/>
  <c r="D305" i="43"/>
  <c r="D306" i="43"/>
  <c r="D307" i="43"/>
  <c r="D308" i="43"/>
  <c r="D309" i="43"/>
  <c r="D310" i="43"/>
  <c r="D311" i="43"/>
  <c r="D312" i="43"/>
  <c r="D313" i="43"/>
  <c r="D314" i="43"/>
  <c r="D315" i="43"/>
  <c r="D316" i="43"/>
  <c r="D317" i="43"/>
  <c r="D318" i="43"/>
  <c r="D319" i="43"/>
  <c r="D320" i="43"/>
  <c r="D321" i="43"/>
  <c r="D322" i="43"/>
  <c r="D323" i="43"/>
  <c r="D324" i="43"/>
  <c r="D325" i="43"/>
  <c r="D326" i="43"/>
  <c r="D327" i="43"/>
  <c r="D328" i="43"/>
  <c r="D329" i="43"/>
  <c r="D330" i="43"/>
  <c r="D331" i="43"/>
  <c r="D332" i="43"/>
  <c r="D333" i="43"/>
  <c r="D334" i="43"/>
  <c r="D335" i="43"/>
  <c r="D336" i="43"/>
  <c r="D337" i="43"/>
  <c r="D338" i="43"/>
  <c r="D339" i="43"/>
  <c r="D340" i="43"/>
  <c r="D341" i="43"/>
  <c r="D342" i="43"/>
  <c r="D343" i="43"/>
  <c r="D344" i="43"/>
  <c r="D345" i="43"/>
  <c r="D346" i="43"/>
  <c r="D347" i="43"/>
  <c r="D348" i="43"/>
  <c r="D349" i="43"/>
  <c r="D350" i="43"/>
  <c r="D351" i="43"/>
  <c r="D352" i="43"/>
  <c r="D353" i="43"/>
  <c r="D354" i="43"/>
  <c r="D355" i="43"/>
  <c r="D356" i="43"/>
  <c r="D357" i="43"/>
  <c r="D358" i="43"/>
  <c r="D359" i="43"/>
  <c r="D360" i="43"/>
  <c r="D361" i="43"/>
  <c r="D362" i="43"/>
  <c r="D363" i="43"/>
  <c r="D364" i="43"/>
  <c r="D365" i="43"/>
  <c r="D366" i="43"/>
  <c r="D367" i="43"/>
  <c r="D368" i="43"/>
  <c r="D369" i="43"/>
  <c r="D370" i="43"/>
  <c r="D371" i="43"/>
  <c r="D372" i="43"/>
  <c r="D373" i="43"/>
  <c r="D374" i="43"/>
  <c r="D375" i="43"/>
  <c r="D376" i="43"/>
  <c r="D377" i="43"/>
  <c r="D378" i="43"/>
  <c r="D379" i="43"/>
  <c r="D380" i="43"/>
  <c r="D381" i="43"/>
  <c r="D382" i="43"/>
  <c r="D383" i="43"/>
  <c r="D384" i="43"/>
  <c r="D385" i="43"/>
  <c r="D386" i="43"/>
  <c r="D387" i="43"/>
  <c r="D388" i="43"/>
  <c r="D389" i="43"/>
  <c r="D390" i="43"/>
  <c r="D391" i="43"/>
  <c r="D392" i="43"/>
  <c r="D393" i="43"/>
  <c r="D394" i="43"/>
  <c r="D395" i="43"/>
  <c r="D396" i="43"/>
  <c r="D397" i="43"/>
  <c r="D398" i="43"/>
  <c r="D399" i="43"/>
  <c r="D400" i="43"/>
  <c r="D401" i="43"/>
  <c r="D402" i="43"/>
  <c r="D403" i="43"/>
  <c r="D404" i="43"/>
  <c r="D405" i="43"/>
  <c r="D406" i="43"/>
  <c r="D407" i="43"/>
  <c r="D408" i="43"/>
  <c r="D409" i="43"/>
  <c r="D410" i="43"/>
  <c r="D411" i="43"/>
  <c r="D412" i="43"/>
  <c r="D413" i="43"/>
  <c r="D414" i="43"/>
  <c r="D415" i="43"/>
  <c r="D416" i="43"/>
  <c r="D417" i="43"/>
  <c r="D418" i="43"/>
  <c r="D419" i="43"/>
  <c r="D420" i="43"/>
  <c r="D421" i="43"/>
  <c r="D422" i="43"/>
  <c r="D423" i="43"/>
  <c r="D424" i="43"/>
  <c r="D425" i="43"/>
  <c r="D426" i="43"/>
  <c r="D427" i="43"/>
  <c r="D428" i="43"/>
  <c r="D429" i="43"/>
  <c r="D430" i="43"/>
  <c r="D431" i="43"/>
  <c r="D432" i="43"/>
  <c r="D433" i="43"/>
  <c r="D434" i="43"/>
  <c r="D435" i="43"/>
  <c r="D436" i="43"/>
  <c r="D437" i="43"/>
  <c r="D438" i="43"/>
  <c r="D439" i="43"/>
  <c r="D440" i="43"/>
  <c r="D441" i="43"/>
  <c r="D442" i="43"/>
  <c r="D443" i="43"/>
  <c r="D444" i="43"/>
  <c r="D445" i="43"/>
  <c r="D446" i="43"/>
  <c r="D447" i="43"/>
  <c r="D448" i="43"/>
  <c r="D449" i="43"/>
  <c r="D450" i="43"/>
  <c r="D451" i="43"/>
  <c r="D452" i="43"/>
  <c r="D453" i="43"/>
  <c r="D454" i="43"/>
  <c r="D455" i="43"/>
  <c r="D456" i="43"/>
  <c r="D457" i="43"/>
  <c r="D458" i="43"/>
  <c r="D459" i="43"/>
  <c r="D460" i="43"/>
  <c r="D461" i="43"/>
  <c r="D462" i="43"/>
  <c r="D463" i="43"/>
  <c r="D464" i="43"/>
  <c r="D465" i="43"/>
  <c r="D466" i="43"/>
  <c r="D467" i="43"/>
  <c r="D468" i="43"/>
  <c r="D469" i="43"/>
  <c r="D470" i="43"/>
  <c r="D471" i="43"/>
  <c r="D472" i="43"/>
  <c r="D473" i="43"/>
  <c r="D474" i="43"/>
  <c r="D475" i="43"/>
  <c r="D476" i="43"/>
  <c r="D477" i="43"/>
  <c r="D478" i="43"/>
  <c r="D479" i="43"/>
  <c r="D480" i="43"/>
  <c r="D481" i="43"/>
  <c r="D482" i="43"/>
  <c r="D483" i="43"/>
  <c r="D484" i="43"/>
  <c r="D485" i="43"/>
  <c r="D486" i="43"/>
  <c r="D487" i="43"/>
  <c r="D488" i="43"/>
  <c r="D489" i="43"/>
  <c r="D490" i="43"/>
  <c r="D491" i="43"/>
  <c r="D492" i="43"/>
  <c r="D493" i="43"/>
  <c r="D494" i="43"/>
  <c r="D495" i="43"/>
  <c r="D496" i="43"/>
  <c r="D497" i="43"/>
  <c r="D498" i="43"/>
  <c r="D499" i="43"/>
  <c r="D500" i="43"/>
  <c r="D501" i="43"/>
  <c r="D502" i="43"/>
  <c r="D503" i="43"/>
  <c r="D504" i="43"/>
  <c r="D505" i="43"/>
  <c r="D506" i="43"/>
  <c r="D507" i="43"/>
  <c r="D508" i="43"/>
  <c r="D509" i="43"/>
  <c r="D510" i="43"/>
  <c r="D511" i="43"/>
  <c r="D512" i="43"/>
  <c r="D513" i="43"/>
  <c r="D514" i="43"/>
  <c r="D515" i="43"/>
  <c r="D516" i="43"/>
  <c r="D517" i="43"/>
  <c r="D518" i="43"/>
  <c r="D519" i="43"/>
  <c r="D520" i="43"/>
  <c r="D521" i="43"/>
  <c r="D522" i="43"/>
  <c r="D523" i="43"/>
  <c r="D524" i="43"/>
  <c r="D525" i="43"/>
  <c r="D526" i="43"/>
  <c r="D527" i="43"/>
  <c r="D528" i="43"/>
  <c r="D529" i="43"/>
  <c r="D530" i="43"/>
  <c r="D531" i="43"/>
  <c r="D532" i="43"/>
  <c r="D533" i="43"/>
  <c r="D534" i="43"/>
  <c r="D535" i="43"/>
  <c r="D536" i="43"/>
  <c r="D537" i="43"/>
  <c r="D538" i="43"/>
  <c r="D539" i="43"/>
  <c r="D540" i="43"/>
  <c r="D541" i="43"/>
  <c r="D542" i="43"/>
  <c r="D543" i="43"/>
  <c r="D544" i="43"/>
  <c r="D545" i="43"/>
  <c r="D546" i="43"/>
  <c r="D547" i="43"/>
  <c r="D548" i="43"/>
  <c r="D549" i="43"/>
  <c r="D550" i="43"/>
  <c r="D551" i="43"/>
  <c r="D552" i="43"/>
  <c r="D553" i="43"/>
  <c r="D554" i="43"/>
  <c r="D555" i="43"/>
  <c r="D556" i="43"/>
  <c r="D557" i="43"/>
  <c r="D558" i="43"/>
  <c r="D559" i="43"/>
  <c r="D560" i="43"/>
  <c r="D561" i="43"/>
  <c r="D562" i="43"/>
  <c r="D563" i="43"/>
  <c r="D564" i="43"/>
  <c r="D565" i="43"/>
  <c r="D566" i="43"/>
  <c r="D567" i="43"/>
  <c r="D568" i="43"/>
  <c r="D569" i="43"/>
  <c r="D570" i="43"/>
  <c r="D571" i="43"/>
  <c r="D572" i="43"/>
  <c r="D573" i="43"/>
  <c r="D574" i="43"/>
  <c r="D575" i="43"/>
  <c r="D576" i="43"/>
  <c r="D577" i="43"/>
  <c r="D578" i="43"/>
  <c r="D579" i="43"/>
  <c r="D580" i="43"/>
  <c r="D581" i="43"/>
  <c r="D582" i="43"/>
  <c r="D583" i="43"/>
  <c r="D584" i="43"/>
  <c r="D585" i="43"/>
  <c r="D586" i="43"/>
  <c r="D587" i="43"/>
  <c r="D588" i="43"/>
  <c r="D589" i="43"/>
  <c r="D590" i="43"/>
  <c r="D591" i="43"/>
  <c r="D592" i="43"/>
  <c r="D593" i="43"/>
  <c r="D594" i="43"/>
  <c r="D595" i="43"/>
  <c r="D596" i="43"/>
  <c r="D597" i="43"/>
  <c r="D598" i="43"/>
  <c r="D599" i="43"/>
  <c r="D600" i="43"/>
  <c r="D601" i="43"/>
  <c r="D602" i="43"/>
  <c r="D603" i="43"/>
  <c r="D604" i="43"/>
  <c r="D605" i="43"/>
  <c r="D606" i="43"/>
  <c r="D607" i="43"/>
  <c r="D608" i="43"/>
  <c r="D609" i="43"/>
  <c r="D610" i="43"/>
  <c r="D611" i="43"/>
  <c r="D612" i="43"/>
  <c r="D613" i="43"/>
  <c r="D614" i="43"/>
  <c r="D615" i="43"/>
  <c r="D616" i="43"/>
  <c r="D617" i="43"/>
  <c r="D618" i="43"/>
  <c r="D619" i="43"/>
  <c r="D620" i="43"/>
  <c r="D621" i="43"/>
  <c r="D622" i="43"/>
  <c r="D623" i="43"/>
  <c r="D624" i="43"/>
  <c r="D625" i="43"/>
  <c r="D626" i="43"/>
  <c r="D627" i="43"/>
  <c r="D628" i="43"/>
  <c r="D629" i="43"/>
  <c r="D630" i="43"/>
  <c r="D631" i="43"/>
  <c r="D632" i="43"/>
  <c r="D633" i="43"/>
  <c r="D634" i="43"/>
  <c r="D635" i="43"/>
  <c r="D636" i="43"/>
  <c r="D637" i="43"/>
  <c r="D638" i="43"/>
  <c r="D639" i="43"/>
  <c r="D640" i="43"/>
  <c r="D641" i="43"/>
  <c r="D642" i="43"/>
  <c r="D643" i="43"/>
  <c r="D644" i="43"/>
  <c r="D645" i="43"/>
  <c r="D646" i="43"/>
  <c r="D647" i="43"/>
  <c r="D648" i="43"/>
  <c r="D649" i="43"/>
  <c r="D650" i="43"/>
  <c r="D651" i="43"/>
  <c r="D652" i="43"/>
  <c r="D653" i="43"/>
  <c r="D654" i="43"/>
  <c r="D655" i="43"/>
  <c r="D656" i="43"/>
  <c r="D657" i="43"/>
  <c r="D658" i="43"/>
  <c r="D659" i="43"/>
  <c r="D660" i="43"/>
  <c r="D661" i="43"/>
  <c r="D662" i="43"/>
  <c r="D663" i="43"/>
  <c r="D664" i="43"/>
  <c r="D665" i="43"/>
  <c r="D666" i="43"/>
  <c r="D667" i="43"/>
  <c r="D668" i="43"/>
  <c r="D669" i="43"/>
  <c r="D670" i="43"/>
  <c r="D671" i="43"/>
  <c r="D672" i="43"/>
  <c r="D673" i="43"/>
  <c r="D674" i="43"/>
  <c r="D675" i="43"/>
  <c r="D676" i="43"/>
  <c r="D677" i="43"/>
  <c r="D678" i="43"/>
  <c r="D679" i="43"/>
  <c r="D680" i="43"/>
  <c r="D681" i="43"/>
  <c r="D682" i="43"/>
  <c r="D683" i="43"/>
  <c r="D684" i="43"/>
  <c r="D685" i="43"/>
  <c r="D686" i="43"/>
  <c r="D687" i="43"/>
  <c r="D688" i="43"/>
  <c r="D689" i="43"/>
  <c r="D690" i="43"/>
  <c r="D691" i="43"/>
  <c r="D692" i="43"/>
  <c r="D693" i="43"/>
  <c r="D694" i="43"/>
  <c r="D695" i="43"/>
  <c r="D696" i="43"/>
  <c r="D697" i="43"/>
  <c r="D698" i="43"/>
  <c r="D699" i="43"/>
  <c r="D700" i="43"/>
  <c r="D701" i="43"/>
  <c r="D702" i="43"/>
  <c r="D703" i="43"/>
  <c r="D704" i="43"/>
  <c r="D705" i="43"/>
  <c r="D706" i="43"/>
  <c r="D707" i="43"/>
  <c r="D708" i="43"/>
  <c r="D709" i="43"/>
  <c r="D710" i="43"/>
  <c r="D711" i="43"/>
  <c r="D712" i="43"/>
  <c r="D713" i="43"/>
  <c r="D714" i="43"/>
  <c r="D715" i="43"/>
  <c r="D716" i="43"/>
  <c r="D717" i="43"/>
  <c r="D718" i="43"/>
  <c r="D719" i="43"/>
  <c r="D720" i="43"/>
  <c r="D721" i="43"/>
  <c r="D722" i="43"/>
  <c r="D723" i="43"/>
  <c r="D724" i="43"/>
  <c r="D725" i="43"/>
  <c r="D726" i="43"/>
  <c r="D727" i="43"/>
  <c r="D728" i="43"/>
  <c r="D729" i="43"/>
  <c r="D730" i="43"/>
  <c r="D731" i="43"/>
  <c r="D732" i="43"/>
  <c r="D733" i="43"/>
  <c r="D734" i="43"/>
  <c r="D735" i="43"/>
  <c r="D736" i="43"/>
  <c r="D737" i="43"/>
  <c r="D738" i="43"/>
  <c r="D739" i="43"/>
  <c r="D740" i="43"/>
  <c r="D741" i="43"/>
  <c r="D742" i="43"/>
  <c r="D743" i="43"/>
  <c r="D744" i="43"/>
  <c r="D745" i="43"/>
  <c r="D746" i="43"/>
  <c r="D747" i="43"/>
  <c r="D748" i="43"/>
  <c r="D749" i="43"/>
  <c r="D750" i="43"/>
  <c r="D751" i="43"/>
  <c r="D752" i="43"/>
  <c r="D753" i="43"/>
  <c r="D754" i="43"/>
  <c r="D755" i="43"/>
  <c r="D756" i="43"/>
  <c r="D757" i="43"/>
  <c r="D758" i="43"/>
  <c r="D759" i="43"/>
  <c r="D760" i="43"/>
  <c r="D761" i="43"/>
  <c r="D762" i="43"/>
  <c r="D763" i="43"/>
  <c r="D764" i="43"/>
  <c r="D765" i="43"/>
  <c r="D766" i="43"/>
  <c r="D767" i="43"/>
  <c r="D768" i="43"/>
  <c r="D769" i="43"/>
  <c r="D770" i="43"/>
  <c r="D771" i="43"/>
  <c r="D772" i="43"/>
  <c r="D773" i="43"/>
  <c r="D774" i="43"/>
  <c r="D775" i="43"/>
  <c r="D776" i="43"/>
  <c r="D777" i="43"/>
  <c r="D778" i="43"/>
  <c r="D779" i="43"/>
  <c r="D780" i="43"/>
  <c r="D781" i="43"/>
  <c r="D782" i="43"/>
  <c r="D783" i="43"/>
  <c r="D784" i="43"/>
  <c r="D785" i="43"/>
  <c r="D786" i="43"/>
  <c r="D787" i="43"/>
  <c r="D788" i="43"/>
  <c r="D789" i="43"/>
  <c r="D790" i="43"/>
  <c r="D791" i="43"/>
  <c r="D792" i="43"/>
  <c r="D793" i="43"/>
  <c r="D794" i="43"/>
  <c r="D795" i="43"/>
  <c r="D796" i="43"/>
  <c r="D797" i="43"/>
  <c r="D798" i="43"/>
  <c r="D799" i="43"/>
  <c r="D800" i="43"/>
  <c r="D801" i="43"/>
  <c r="D802" i="43"/>
  <c r="D803" i="43"/>
  <c r="D804" i="43"/>
  <c r="D805" i="43"/>
  <c r="D806" i="43"/>
  <c r="D807" i="43"/>
  <c r="D808" i="43"/>
  <c r="D809" i="43"/>
  <c r="D810" i="43"/>
  <c r="D811" i="43"/>
  <c r="D812" i="43"/>
  <c r="D813" i="43"/>
  <c r="D814" i="43"/>
  <c r="D815" i="43"/>
  <c r="D816" i="43"/>
  <c r="D817" i="43"/>
  <c r="D818" i="43"/>
  <c r="D819" i="43"/>
  <c r="D820" i="43"/>
  <c r="D821" i="43"/>
  <c r="D822" i="43"/>
  <c r="D823" i="43"/>
  <c r="D824" i="43"/>
  <c r="D825" i="43"/>
  <c r="D826" i="43"/>
  <c r="D827" i="43"/>
  <c r="D828" i="43"/>
  <c r="D829" i="43"/>
  <c r="D830" i="43"/>
  <c r="D831" i="43"/>
  <c r="D832" i="43"/>
  <c r="D833" i="43"/>
  <c r="D834" i="43"/>
  <c r="D835" i="43"/>
  <c r="D836" i="43"/>
  <c r="D837" i="43"/>
  <c r="D838" i="43"/>
  <c r="D839" i="43"/>
  <c r="D840" i="43"/>
  <c r="D841" i="43"/>
  <c r="D842" i="43"/>
  <c r="D843" i="43"/>
  <c r="D844" i="43"/>
  <c r="D845" i="43"/>
  <c r="D846" i="43"/>
  <c r="D847" i="43"/>
  <c r="D848" i="43"/>
  <c r="D849" i="43"/>
  <c r="D850" i="43"/>
  <c r="D851" i="43"/>
  <c r="D852" i="43"/>
  <c r="D853" i="43"/>
  <c r="D854" i="43"/>
  <c r="D855" i="43"/>
  <c r="D856" i="43"/>
  <c r="D857" i="43"/>
  <c r="D858" i="43"/>
  <c r="D859" i="43"/>
  <c r="D860" i="43"/>
  <c r="D861" i="43"/>
  <c r="D862" i="43"/>
  <c r="D863" i="43"/>
  <c r="D864" i="43"/>
  <c r="D865" i="43"/>
  <c r="D866" i="43"/>
  <c r="D867" i="43"/>
  <c r="D868" i="43"/>
  <c r="D869" i="43"/>
  <c r="D870" i="43"/>
  <c r="D871" i="43"/>
  <c r="D872" i="43"/>
  <c r="D873" i="43"/>
  <c r="D874" i="43"/>
  <c r="D875" i="43"/>
  <c r="D876" i="43"/>
  <c r="D877" i="43"/>
  <c r="D878" i="43"/>
  <c r="D879" i="43"/>
  <c r="D880" i="43"/>
  <c r="D881" i="43"/>
  <c r="D882" i="43"/>
  <c r="D883" i="43"/>
  <c r="D884" i="43"/>
  <c r="D885" i="43"/>
  <c r="D886" i="43"/>
  <c r="D887" i="43"/>
  <c r="D888" i="43"/>
  <c r="D889" i="43"/>
  <c r="D890" i="43"/>
  <c r="D891" i="43"/>
  <c r="D892" i="43"/>
  <c r="D893" i="43"/>
  <c r="D894" i="43"/>
  <c r="D895" i="43"/>
  <c r="D896" i="43"/>
  <c r="D897" i="43"/>
  <c r="D898" i="43"/>
  <c r="D899" i="43"/>
  <c r="D900" i="43"/>
  <c r="D901" i="43"/>
  <c r="D902" i="43"/>
  <c r="D903" i="43"/>
  <c r="D904" i="43"/>
  <c r="D905" i="43"/>
  <c r="D906" i="43"/>
  <c r="D907" i="43"/>
  <c r="D908" i="43"/>
  <c r="D909" i="43"/>
  <c r="D910" i="43"/>
  <c r="D911" i="43"/>
  <c r="D912" i="43"/>
  <c r="D913" i="43"/>
  <c r="D914" i="43"/>
  <c r="D915" i="43"/>
  <c r="D916" i="43"/>
  <c r="D917" i="43"/>
  <c r="D918" i="43"/>
  <c r="D919" i="43"/>
  <c r="D920" i="43"/>
  <c r="D921" i="43"/>
  <c r="D922" i="43"/>
  <c r="D923" i="43"/>
  <c r="D924" i="43"/>
  <c r="D925" i="43"/>
  <c r="D926" i="43"/>
  <c r="D927" i="43"/>
  <c r="D928" i="43"/>
  <c r="D929" i="43"/>
  <c r="D930" i="43"/>
  <c r="D931" i="43"/>
  <c r="D932" i="43"/>
  <c r="D933" i="43"/>
  <c r="D934" i="43"/>
  <c r="D935" i="43"/>
  <c r="D936" i="43"/>
  <c r="D937" i="43"/>
  <c r="D938" i="43"/>
  <c r="D939" i="43"/>
  <c r="D940" i="43"/>
  <c r="D941" i="43"/>
  <c r="D942" i="43"/>
  <c r="D943" i="43"/>
  <c r="D944" i="43"/>
  <c r="D945" i="43"/>
  <c r="D946" i="43"/>
  <c r="D947" i="43"/>
  <c r="D948" i="43"/>
  <c r="D949" i="43"/>
  <c r="D950" i="43"/>
  <c r="D951" i="43"/>
  <c r="D952" i="43"/>
  <c r="D953" i="43"/>
  <c r="D954" i="43"/>
  <c r="D955" i="43"/>
  <c r="D956" i="43"/>
  <c r="D957" i="43"/>
  <c r="D958" i="43"/>
  <c r="D959" i="43"/>
  <c r="D960" i="43"/>
  <c r="D961" i="43"/>
  <c r="D962" i="43"/>
  <c r="D963" i="43"/>
  <c r="D964" i="43"/>
  <c r="D965" i="43"/>
  <c r="D966" i="43"/>
  <c r="D967" i="43"/>
  <c r="D968" i="43"/>
  <c r="D969" i="43"/>
  <c r="D970" i="43"/>
  <c r="D971" i="43"/>
  <c r="D972" i="43"/>
  <c r="D973" i="43"/>
  <c r="D974" i="43"/>
  <c r="D975" i="43"/>
  <c r="D976" i="43"/>
  <c r="D977" i="43"/>
  <c r="D978" i="43"/>
  <c r="D979" i="43"/>
  <c r="D980" i="43"/>
  <c r="D981" i="43"/>
  <c r="D982" i="43"/>
  <c r="D983" i="43"/>
  <c r="D984" i="43"/>
  <c r="D985" i="43"/>
  <c r="D986" i="43"/>
  <c r="D987" i="43"/>
  <c r="D988" i="43"/>
  <c r="D989" i="43"/>
  <c r="D990" i="43"/>
  <c r="D991" i="43"/>
  <c r="D992" i="43"/>
  <c r="D993" i="43"/>
  <c r="D994" i="43"/>
  <c r="D995" i="43"/>
  <c r="D996" i="43"/>
  <c r="D997" i="43"/>
  <c r="D998" i="43"/>
  <c r="D999" i="43"/>
  <c r="D1000" i="43"/>
  <c r="D1001" i="43"/>
  <c r="D1002" i="43"/>
  <c r="D1003" i="43"/>
  <c r="D1004" i="43"/>
  <c r="D1005" i="43"/>
  <c r="D1006" i="43"/>
  <c r="D1007" i="43"/>
  <c r="D1008" i="43"/>
  <c r="D1009" i="43"/>
  <c r="D1010" i="43"/>
  <c r="D1011" i="43"/>
  <c r="D1012" i="43"/>
  <c r="D1013" i="43"/>
  <c r="D1014" i="43"/>
  <c r="D1015" i="43"/>
  <c r="D1016" i="43"/>
  <c r="D1017" i="43"/>
  <c r="D1018" i="43"/>
  <c r="D1019" i="43"/>
  <c r="D1020" i="43"/>
  <c r="D1021" i="43"/>
  <c r="D1022" i="43"/>
  <c r="D1023" i="43"/>
  <c r="D1024" i="43"/>
  <c r="D1025" i="43"/>
  <c r="D1026" i="43"/>
  <c r="D1027" i="43"/>
  <c r="D1028" i="43"/>
  <c r="D1029" i="43"/>
  <c r="D1030" i="43"/>
  <c r="D1031" i="43"/>
  <c r="D1032" i="43"/>
  <c r="D1033" i="43"/>
  <c r="D1034" i="43"/>
  <c r="D1035" i="43"/>
  <c r="D1036" i="43"/>
  <c r="D1037" i="43"/>
  <c r="D1038" i="43"/>
  <c r="D1039" i="43"/>
  <c r="D1040" i="43"/>
  <c r="D1041" i="43"/>
  <c r="D1042" i="43"/>
  <c r="D1043" i="43"/>
  <c r="D1044" i="43"/>
  <c r="D1045" i="43"/>
  <c r="D1046" i="43"/>
  <c r="D1047" i="43"/>
  <c r="D1048" i="43"/>
  <c r="D1049" i="43"/>
  <c r="D1050" i="43"/>
  <c r="D1051" i="43"/>
  <c r="D1052" i="43"/>
  <c r="D1053" i="43"/>
  <c r="D1054" i="43"/>
  <c r="D1055" i="43"/>
  <c r="D1056" i="43"/>
  <c r="D1057" i="43"/>
  <c r="D1058" i="43"/>
  <c r="D1059" i="43"/>
  <c r="D1060" i="43"/>
  <c r="D1061" i="43"/>
  <c r="D1062" i="43"/>
  <c r="D1063" i="43"/>
  <c r="D1064" i="43"/>
  <c r="D1065" i="43"/>
  <c r="D1066" i="43"/>
  <c r="D1067" i="43"/>
  <c r="D1068" i="43"/>
  <c r="D1069" i="43"/>
  <c r="D1070" i="43"/>
  <c r="D1071" i="43"/>
  <c r="D1072" i="43"/>
  <c r="D1073" i="43"/>
  <c r="D1074" i="43"/>
  <c r="D1075" i="43"/>
  <c r="D1076" i="43"/>
  <c r="D1077" i="43"/>
  <c r="D1078" i="43"/>
  <c r="D1079" i="43"/>
  <c r="D1080" i="43"/>
  <c r="D1081" i="43"/>
  <c r="D1082" i="43"/>
  <c r="D1083" i="43"/>
  <c r="D1084" i="43"/>
  <c r="D1085" i="43"/>
  <c r="D1086" i="43"/>
  <c r="D1087" i="43"/>
  <c r="D1088" i="43"/>
  <c r="D1089" i="43"/>
  <c r="D1090" i="43"/>
  <c r="D1091" i="43"/>
  <c r="D1092" i="43"/>
  <c r="D1093" i="43"/>
  <c r="D1094" i="43"/>
  <c r="D1095" i="43"/>
  <c r="D1096" i="43"/>
  <c r="D1097" i="43"/>
  <c r="D1098" i="43"/>
  <c r="D1099" i="43"/>
  <c r="D1100" i="43"/>
  <c r="D1101" i="43"/>
  <c r="D1102" i="43"/>
  <c r="D1103" i="43"/>
  <c r="D1104" i="43"/>
  <c r="D1105" i="43"/>
  <c r="D1106" i="43"/>
  <c r="D1107" i="43"/>
  <c r="D1108" i="43"/>
  <c r="D1109" i="43"/>
  <c r="D1110" i="43"/>
  <c r="D1111" i="43"/>
  <c r="D1112" i="43"/>
  <c r="D1113" i="43"/>
  <c r="D1114" i="43"/>
  <c r="D1115" i="43"/>
  <c r="D1116" i="43"/>
  <c r="D1117" i="43"/>
  <c r="D1118" i="43"/>
  <c r="D1119" i="43"/>
  <c r="D1120" i="43"/>
  <c r="D1121" i="43"/>
  <c r="D1122" i="43"/>
  <c r="D1123" i="43"/>
  <c r="D1124" i="43"/>
  <c r="D1125" i="43"/>
  <c r="D1126" i="43"/>
  <c r="D1127" i="43"/>
  <c r="D1128" i="43"/>
  <c r="D1129" i="43"/>
  <c r="D1130" i="43"/>
  <c r="D1131" i="43"/>
  <c r="D1132" i="43"/>
  <c r="D1133" i="43"/>
  <c r="D1134" i="43"/>
  <c r="D1135" i="43"/>
  <c r="D1136" i="43"/>
  <c r="D1137" i="43"/>
  <c r="D1138" i="43"/>
  <c r="D1139" i="43"/>
  <c r="D1140" i="43"/>
  <c r="D1141" i="43"/>
  <c r="D1142" i="43"/>
  <c r="D1143" i="43"/>
  <c r="D1144" i="43"/>
  <c r="D1145" i="43"/>
  <c r="D1146" i="43"/>
  <c r="D1147" i="43"/>
  <c r="D1148" i="43"/>
  <c r="D1149" i="43"/>
  <c r="D1150" i="43"/>
  <c r="D1151" i="43"/>
  <c r="D1152" i="43"/>
  <c r="D1153" i="43"/>
  <c r="D1154" i="43"/>
  <c r="D1155" i="43"/>
  <c r="D1156" i="43"/>
  <c r="D1157" i="43"/>
  <c r="D1158" i="43"/>
  <c r="D1159" i="43"/>
  <c r="D1160" i="43"/>
  <c r="D1161" i="43"/>
  <c r="D1162" i="43"/>
  <c r="D1163" i="43"/>
  <c r="D1164" i="43"/>
  <c r="D1165" i="43"/>
  <c r="D1166" i="43"/>
  <c r="D1167" i="43"/>
  <c r="D1168" i="43"/>
  <c r="D1169" i="43"/>
  <c r="D1170" i="43"/>
  <c r="D1171" i="43"/>
  <c r="D1172" i="43"/>
  <c r="D1173" i="43"/>
  <c r="D1174" i="43"/>
  <c r="D1175" i="43"/>
  <c r="D1176" i="43"/>
  <c r="D1177" i="43"/>
  <c r="D1178" i="43"/>
  <c r="D1179" i="43"/>
  <c r="D1180" i="43"/>
  <c r="D1181" i="43"/>
  <c r="D1182" i="43"/>
  <c r="D1183" i="43"/>
  <c r="D1184" i="43"/>
  <c r="D1185" i="43"/>
  <c r="D1186" i="43"/>
  <c r="D1187" i="43"/>
  <c r="D1188" i="43"/>
  <c r="D1189" i="43"/>
  <c r="D1190" i="43"/>
  <c r="D1191" i="43"/>
  <c r="D1192" i="43"/>
  <c r="D1193" i="43"/>
  <c r="D1194" i="43"/>
  <c r="D1195" i="43"/>
  <c r="D1196" i="43"/>
  <c r="D1197" i="43"/>
  <c r="D1198" i="43"/>
  <c r="D1199" i="43"/>
  <c r="D1200" i="43"/>
  <c r="D1201" i="43"/>
  <c r="D1202" i="43"/>
  <c r="D1203" i="43"/>
  <c r="D1204" i="43"/>
  <c r="D1205" i="43"/>
  <c r="D1206" i="43"/>
  <c r="D1207" i="43"/>
  <c r="D1208" i="43"/>
  <c r="D1209" i="43"/>
  <c r="D1210" i="43"/>
  <c r="D1211" i="43"/>
  <c r="D1212" i="43"/>
  <c r="D1213" i="43"/>
  <c r="D1214" i="43"/>
  <c r="D1215" i="43"/>
  <c r="D1216" i="43"/>
  <c r="D1217" i="43"/>
  <c r="D1218" i="43"/>
  <c r="D1219" i="43"/>
  <c r="D1220" i="43"/>
  <c r="D1221" i="43"/>
  <c r="D1222" i="43"/>
  <c r="D1223" i="43"/>
  <c r="D1224" i="43"/>
  <c r="D1225" i="43"/>
  <c r="D1226" i="43"/>
  <c r="D1227" i="43"/>
  <c r="D1228" i="43"/>
  <c r="D1229" i="43"/>
  <c r="D1230" i="43"/>
  <c r="D1231" i="43"/>
  <c r="D1232" i="43"/>
  <c r="D1233" i="43"/>
  <c r="D1234" i="43"/>
  <c r="D1235" i="43"/>
  <c r="D1236" i="43"/>
  <c r="D1237" i="43"/>
  <c r="D1238" i="43"/>
  <c r="D1239" i="43"/>
  <c r="D1240" i="43"/>
  <c r="D1241" i="43"/>
  <c r="D1242" i="43"/>
  <c r="D1243" i="43"/>
  <c r="D1244" i="43"/>
  <c r="D1245" i="43"/>
  <c r="D1246" i="43"/>
  <c r="D1247" i="43"/>
  <c r="D1248" i="43"/>
  <c r="D1249" i="43"/>
  <c r="D1250" i="43"/>
  <c r="D1251" i="43"/>
  <c r="D1252" i="43"/>
  <c r="D1253" i="43"/>
  <c r="D1254" i="43"/>
  <c r="D1255" i="43"/>
  <c r="D1256" i="43"/>
  <c r="D1257" i="43"/>
  <c r="D1258" i="43"/>
  <c r="D1259" i="43"/>
  <c r="D1260" i="43"/>
  <c r="D1261" i="43"/>
  <c r="D1262" i="43"/>
  <c r="D1263" i="43"/>
  <c r="D1264" i="43"/>
  <c r="D1265" i="43"/>
  <c r="D1266" i="43"/>
  <c r="D1267" i="43"/>
  <c r="D1268" i="43"/>
  <c r="D1269" i="43"/>
  <c r="D1270" i="43"/>
  <c r="D1271" i="43"/>
  <c r="D1272" i="43"/>
  <c r="D1273" i="43"/>
  <c r="D1274" i="43"/>
  <c r="D1275" i="43"/>
  <c r="D1276" i="43"/>
  <c r="D1277" i="43"/>
  <c r="D1278" i="43"/>
  <c r="D1279" i="43"/>
  <c r="D1280" i="43"/>
  <c r="D1281" i="43"/>
  <c r="D1282" i="43"/>
  <c r="D1283" i="43"/>
  <c r="D1284" i="43"/>
  <c r="D1285" i="43"/>
  <c r="D1286" i="43"/>
  <c r="D1287" i="43"/>
  <c r="D1288" i="43"/>
  <c r="D1289" i="43"/>
  <c r="D1290" i="43"/>
  <c r="D1291" i="43"/>
  <c r="D1292" i="43"/>
  <c r="D1293" i="43"/>
  <c r="D1294" i="43"/>
  <c r="D1295" i="43"/>
  <c r="D1296" i="43"/>
  <c r="D1297" i="43"/>
  <c r="D1298" i="43"/>
  <c r="D1299" i="43"/>
  <c r="D1300" i="43"/>
  <c r="D1301" i="43"/>
  <c r="D1302" i="43"/>
  <c r="D1303" i="43"/>
  <c r="D1304" i="43"/>
  <c r="D1305" i="43"/>
  <c r="D1306" i="43"/>
  <c r="D1307" i="43"/>
  <c r="D1308" i="43"/>
  <c r="D1309" i="43"/>
  <c r="D1310" i="43"/>
  <c r="D1311" i="43"/>
  <c r="D1312" i="43"/>
  <c r="D1313" i="43"/>
  <c r="D1314" i="43"/>
  <c r="D1315" i="43"/>
  <c r="D1316" i="43"/>
  <c r="D1317" i="43"/>
  <c r="D1318" i="43"/>
  <c r="D1319" i="43"/>
  <c r="D1320" i="43"/>
  <c r="D1321" i="43"/>
  <c r="D1322" i="43"/>
  <c r="D1323" i="43"/>
  <c r="D1324" i="43"/>
  <c r="D1325" i="43"/>
  <c r="D1326" i="43"/>
  <c r="D1327" i="43"/>
  <c r="D1328" i="43"/>
  <c r="D1329" i="43"/>
  <c r="D1330" i="43"/>
  <c r="D1331" i="43"/>
  <c r="D1332" i="43"/>
  <c r="D1333" i="43"/>
  <c r="D1334" i="43"/>
  <c r="D1335" i="43"/>
  <c r="D1336" i="43"/>
  <c r="D1337" i="43"/>
  <c r="D1338" i="43"/>
  <c r="D1339" i="43"/>
  <c r="D1340" i="43"/>
  <c r="D1341" i="43"/>
  <c r="D1342" i="43"/>
  <c r="D1343" i="43"/>
  <c r="D1344" i="43"/>
  <c r="D1345" i="43"/>
  <c r="D1346" i="43"/>
  <c r="D1347" i="43"/>
  <c r="D1348" i="43"/>
  <c r="D1349" i="43"/>
  <c r="D1350" i="43"/>
  <c r="D1351" i="43"/>
  <c r="D1352" i="43"/>
  <c r="D1353" i="43"/>
  <c r="D1354" i="43"/>
  <c r="D1355" i="43"/>
  <c r="D1356" i="43"/>
  <c r="D1357" i="43"/>
  <c r="D1358" i="43"/>
  <c r="D1359" i="43"/>
  <c r="D1360" i="43"/>
  <c r="D1361" i="43"/>
  <c r="D1362" i="43"/>
  <c r="D1363" i="43"/>
  <c r="D1364" i="43"/>
  <c r="D1365" i="43"/>
  <c r="D1366" i="43"/>
  <c r="D1367" i="43"/>
  <c r="D1368" i="43"/>
  <c r="D1369" i="43"/>
  <c r="D1370" i="43"/>
  <c r="D1371" i="43"/>
  <c r="D1372" i="43"/>
  <c r="D1373" i="43"/>
  <c r="D1374" i="43"/>
  <c r="D1375" i="43"/>
  <c r="D1376" i="43"/>
  <c r="D1377" i="43"/>
  <c r="D1378" i="43"/>
  <c r="D1379" i="43"/>
  <c r="D1380" i="43"/>
  <c r="D1381" i="43"/>
  <c r="D1382" i="43"/>
  <c r="D1383" i="43"/>
  <c r="D1384" i="43"/>
  <c r="D1385" i="43"/>
  <c r="D1386" i="43"/>
  <c r="D1387" i="43"/>
  <c r="D1388" i="43"/>
  <c r="D1389" i="43"/>
  <c r="D1390" i="43"/>
  <c r="D1391" i="43"/>
  <c r="D1392" i="43"/>
  <c r="D1393" i="43"/>
  <c r="D1394" i="43"/>
  <c r="D1395" i="43"/>
  <c r="D1396" i="43"/>
  <c r="D1397" i="43"/>
  <c r="D1398" i="43"/>
  <c r="D1399" i="43"/>
  <c r="D1400" i="43"/>
  <c r="D1401" i="43"/>
  <c r="D1402" i="43"/>
  <c r="D1403" i="43"/>
  <c r="D1404" i="43"/>
  <c r="D1405" i="43"/>
  <c r="D1406" i="43"/>
  <c r="D1407" i="43"/>
  <c r="D1408" i="43"/>
  <c r="D1409" i="43"/>
  <c r="D1410" i="43"/>
  <c r="D1411" i="43"/>
  <c r="D1412" i="43"/>
  <c r="D1413" i="43"/>
  <c r="D1414" i="43"/>
  <c r="D1415" i="43"/>
  <c r="D1416" i="43"/>
  <c r="D1417" i="43"/>
  <c r="D1418" i="43"/>
  <c r="D1419" i="43"/>
  <c r="D1420" i="43"/>
  <c r="D1421" i="43"/>
  <c r="D1422" i="43"/>
  <c r="D1423" i="43"/>
  <c r="D1424" i="43"/>
  <c r="D1425" i="43"/>
  <c r="D1426" i="43"/>
  <c r="D1427" i="43"/>
  <c r="D1428" i="43"/>
  <c r="D1429" i="43"/>
  <c r="D1430" i="43"/>
  <c r="D1431" i="43"/>
  <c r="D1432" i="43"/>
  <c r="D1433" i="43"/>
  <c r="D1434" i="43"/>
  <c r="D1435" i="43"/>
  <c r="D1436" i="43"/>
  <c r="D1437" i="43"/>
  <c r="D1438" i="43"/>
  <c r="D1439" i="43"/>
  <c r="D1440" i="43"/>
  <c r="D1441" i="43"/>
  <c r="D1442" i="43"/>
  <c r="D1443" i="43"/>
  <c r="D1444" i="43"/>
  <c r="D1445" i="43"/>
  <c r="D1446" i="43"/>
  <c r="D1447" i="43"/>
  <c r="D1448" i="43"/>
  <c r="D1449" i="43"/>
  <c r="D1450" i="43"/>
  <c r="D1451" i="43"/>
  <c r="D1452" i="43"/>
  <c r="D1453" i="43"/>
  <c r="D1454" i="43"/>
  <c r="D1455" i="43"/>
  <c r="D1456" i="43"/>
  <c r="D1457" i="43"/>
  <c r="D1458" i="43"/>
  <c r="D1459" i="43"/>
  <c r="D1460" i="43"/>
  <c r="D1461" i="43"/>
  <c r="D1462" i="43"/>
  <c r="D1463" i="43"/>
  <c r="D1464" i="43"/>
  <c r="D1465" i="43"/>
  <c r="D1466" i="43"/>
  <c r="D1467" i="43"/>
  <c r="D1468" i="43"/>
  <c r="D1469" i="43"/>
  <c r="D1470" i="43"/>
  <c r="D1471" i="43"/>
  <c r="D1472" i="43"/>
  <c r="D1473" i="43"/>
  <c r="D1474" i="43"/>
  <c r="D1475" i="43"/>
  <c r="D1476" i="43"/>
  <c r="D1477" i="43"/>
  <c r="D1478" i="43"/>
  <c r="D1479" i="43"/>
  <c r="D1480" i="43"/>
  <c r="D1481" i="43"/>
  <c r="D1482" i="43"/>
  <c r="D1483" i="43"/>
  <c r="D1484" i="43"/>
  <c r="D1485" i="43"/>
  <c r="D1486" i="43"/>
  <c r="D1487" i="43"/>
  <c r="D1488" i="43"/>
  <c r="D1489" i="43"/>
  <c r="D1490" i="43"/>
  <c r="D1491" i="43"/>
  <c r="D1492" i="43"/>
  <c r="D1493" i="43"/>
  <c r="D1494" i="43"/>
  <c r="D1495" i="43"/>
  <c r="D1496" i="43"/>
  <c r="D1497" i="43"/>
  <c r="D1498" i="43"/>
  <c r="D1499" i="43"/>
  <c r="D1500" i="43"/>
  <c r="D1501" i="43"/>
  <c r="D1502" i="43"/>
  <c r="D1503" i="43"/>
  <c r="D1504" i="43"/>
  <c r="D1505" i="43"/>
  <c r="D1506" i="43"/>
  <c r="D1507" i="43"/>
  <c r="D1508" i="43"/>
  <c r="D1509" i="43"/>
  <c r="D1510" i="43"/>
  <c r="D1511" i="43"/>
  <c r="D1512" i="43"/>
  <c r="D1513" i="43"/>
  <c r="D1514" i="43"/>
  <c r="D1515" i="43"/>
  <c r="D1516" i="43"/>
  <c r="D1517" i="43"/>
  <c r="D1518" i="43"/>
  <c r="D1519" i="43"/>
  <c r="D1520" i="43"/>
  <c r="D1521" i="43"/>
  <c r="D1522" i="43"/>
  <c r="D1523" i="43"/>
  <c r="D1524" i="43"/>
  <c r="D1525" i="43"/>
  <c r="D1526" i="43"/>
  <c r="D1527" i="43"/>
  <c r="D1528" i="43"/>
  <c r="D1529" i="43"/>
  <c r="D1530" i="43"/>
  <c r="D1531" i="43"/>
  <c r="D1532" i="43"/>
  <c r="D1533" i="43"/>
  <c r="D1534" i="43"/>
  <c r="D1535" i="43"/>
  <c r="D1536" i="43"/>
  <c r="D1537" i="43"/>
  <c r="D1538" i="43"/>
  <c r="D1539" i="43"/>
  <c r="D1540" i="43"/>
  <c r="D1541" i="43"/>
  <c r="D1542" i="43"/>
  <c r="D1543" i="43"/>
  <c r="D1544" i="43"/>
  <c r="D1545" i="43"/>
  <c r="D1546" i="43"/>
  <c r="D1547" i="43"/>
  <c r="D1548" i="43"/>
  <c r="D1549" i="43"/>
  <c r="D1550" i="43"/>
  <c r="D1551" i="43"/>
  <c r="D1552" i="43"/>
  <c r="D1553" i="43"/>
  <c r="D1554" i="43"/>
  <c r="D1555" i="43"/>
  <c r="D1556" i="43"/>
  <c r="D1557" i="43"/>
  <c r="D1558" i="43"/>
  <c r="D1559" i="43"/>
  <c r="D1560" i="43"/>
  <c r="D1561" i="43"/>
  <c r="D1562" i="43"/>
  <c r="D1563" i="43"/>
  <c r="D1564" i="43"/>
  <c r="D1565" i="43"/>
  <c r="D1566" i="43"/>
  <c r="D1567" i="43"/>
  <c r="D1568" i="43"/>
  <c r="D1569" i="43"/>
  <c r="D1571" i="43"/>
  <c r="D1572" i="43"/>
  <c r="D1573" i="43"/>
  <c r="D1574" i="43"/>
  <c r="D1575" i="43"/>
  <c r="D1576" i="43"/>
  <c r="D1577" i="43"/>
  <c r="D1578" i="43"/>
  <c r="D1579" i="43"/>
  <c r="D1580" i="43"/>
  <c r="D1581" i="43"/>
  <c r="D1582" i="43"/>
  <c r="D1583" i="43"/>
  <c r="D1584" i="43"/>
  <c r="D1585" i="43"/>
  <c r="D1586" i="43"/>
  <c r="D1587" i="43"/>
  <c r="AB32" i="42" l="1"/>
  <c r="AB33" i="42"/>
  <c r="AB34" i="42"/>
  <c r="AB35" i="42"/>
  <c r="AB36" i="42"/>
  <c r="AB37" i="42"/>
  <c r="AB38" i="42"/>
  <c r="AB39" i="42"/>
  <c r="AB40" i="42"/>
  <c r="AB41" i="42"/>
  <c r="AB42" i="42"/>
  <c r="AB43" i="42"/>
  <c r="AB44" i="42"/>
  <c r="AB45" i="42"/>
  <c r="AB46" i="42"/>
  <c r="AB47" i="42"/>
  <c r="AB48" i="42"/>
  <c r="AB49" i="42"/>
  <c r="AB50" i="42"/>
  <c r="AB51" i="42"/>
  <c r="AB52" i="42"/>
  <c r="AB53" i="42"/>
  <c r="AB54" i="42"/>
  <c r="AB55" i="42"/>
  <c r="AB56" i="42"/>
  <c r="AB57" i="42"/>
  <c r="AB58" i="42"/>
  <c r="AB59" i="42"/>
  <c r="AB60" i="42"/>
  <c r="AB61" i="42"/>
  <c r="AB62" i="42"/>
  <c r="AB63" i="42"/>
  <c r="AB64" i="42"/>
  <c r="AB65" i="42"/>
  <c r="AB66" i="42"/>
  <c r="AB67" i="42"/>
  <c r="AB68" i="42"/>
  <c r="AB69" i="42"/>
  <c r="AB70" i="42"/>
  <c r="AB71" i="42"/>
  <c r="AB72" i="42"/>
  <c r="AB73" i="42"/>
  <c r="AB74" i="42"/>
  <c r="AB75" i="42"/>
  <c r="AB76" i="42"/>
  <c r="AB77" i="42"/>
  <c r="AB78" i="42"/>
  <c r="AB79" i="42"/>
  <c r="AB80" i="42"/>
  <c r="AB81" i="42"/>
  <c r="AB82" i="42"/>
  <c r="AB83" i="42"/>
  <c r="AB84" i="42"/>
  <c r="AB85" i="42"/>
  <c r="AB86" i="42"/>
  <c r="AB87" i="42"/>
  <c r="AB88" i="42"/>
  <c r="AB89" i="42"/>
  <c r="AB90" i="42"/>
  <c r="AB91" i="42"/>
  <c r="AB92" i="42"/>
  <c r="AB93" i="42"/>
  <c r="AB94" i="42"/>
  <c r="AB95" i="42"/>
  <c r="AB96" i="42"/>
  <c r="AB97" i="42"/>
  <c r="AB98" i="42"/>
  <c r="AB99" i="42"/>
  <c r="AB100" i="42"/>
  <c r="AB101" i="42"/>
  <c r="AB102" i="42"/>
  <c r="AB103" i="42"/>
  <c r="AB104" i="42"/>
  <c r="AB105" i="42"/>
  <c r="AB106" i="42"/>
  <c r="AB107" i="42"/>
  <c r="AB108" i="42"/>
  <c r="AB109" i="42"/>
  <c r="AB110" i="42"/>
  <c r="AB111" i="42"/>
  <c r="AB112" i="42"/>
  <c r="AB113" i="42"/>
  <c r="AB114" i="42"/>
  <c r="AB115" i="42"/>
  <c r="AB116" i="42"/>
  <c r="AB117" i="42"/>
  <c r="AB118" i="42"/>
  <c r="AB119" i="42"/>
  <c r="AB120" i="42"/>
  <c r="AB121" i="42"/>
  <c r="AB122" i="42"/>
  <c r="AB123" i="42"/>
  <c r="AB124" i="42"/>
  <c r="AB125" i="42"/>
  <c r="AB126" i="42"/>
  <c r="AB127" i="42"/>
  <c r="AB128" i="42"/>
  <c r="AB129" i="42"/>
  <c r="AB130" i="42"/>
  <c r="AB131" i="42"/>
  <c r="AB132" i="42"/>
  <c r="AB133" i="42"/>
  <c r="AB134" i="42"/>
  <c r="AB135" i="42"/>
  <c r="AB136" i="42"/>
  <c r="AB137" i="42"/>
  <c r="AB138" i="42"/>
  <c r="AB139" i="42"/>
  <c r="AB140" i="42"/>
  <c r="AB141" i="42"/>
  <c r="AB142" i="42"/>
  <c r="AB143" i="42"/>
  <c r="AB144" i="42"/>
  <c r="AB145" i="42"/>
  <c r="AB146" i="42"/>
  <c r="AB147" i="42"/>
  <c r="AB148" i="42"/>
  <c r="AB149" i="42"/>
  <c r="AB150" i="42"/>
  <c r="AB151" i="42"/>
  <c r="AB152" i="42"/>
  <c r="AB153" i="42"/>
  <c r="AB154" i="42"/>
  <c r="AA16" i="42"/>
  <c r="AA17" i="42"/>
  <c r="AA18" i="42"/>
  <c r="AA19" i="42"/>
  <c r="AA20" i="42"/>
  <c r="AA21" i="42"/>
  <c r="AA22" i="42"/>
  <c r="AA23" i="42"/>
  <c r="AA24" i="42"/>
  <c r="AA25" i="42"/>
  <c r="AA26" i="42"/>
  <c r="AA27" i="42"/>
  <c r="AA28" i="42"/>
  <c r="AA29" i="42"/>
  <c r="AA30" i="42"/>
  <c r="AA31" i="42"/>
  <c r="AA32" i="42"/>
  <c r="AA33" i="42"/>
  <c r="AA34" i="42"/>
  <c r="AA35" i="42"/>
  <c r="AA36" i="42"/>
  <c r="AA37" i="42"/>
  <c r="AA38" i="42"/>
  <c r="AA39" i="42"/>
  <c r="AA40" i="42"/>
  <c r="AA41" i="42"/>
  <c r="AA42" i="42"/>
  <c r="AA43" i="42"/>
  <c r="AA44" i="42"/>
  <c r="AA45" i="42"/>
  <c r="AA46" i="42"/>
  <c r="AA47" i="42"/>
  <c r="AA48" i="42"/>
  <c r="AA49" i="42"/>
  <c r="AA50" i="42"/>
  <c r="AA51" i="42"/>
  <c r="AA52" i="42"/>
  <c r="AA53" i="42"/>
  <c r="AA54" i="42"/>
  <c r="AA55" i="42"/>
  <c r="AA56" i="42"/>
  <c r="AA57" i="42"/>
  <c r="AA58" i="42"/>
  <c r="AA59" i="42"/>
  <c r="AA60" i="42"/>
  <c r="AA61" i="42"/>
  <c r="AA62" i="42"/>
  <c r="AA63" i="42"/>
  <c r="AA64" i="42"/>
  <c r="AA65" i="42"/>
  <c r="AA66" i="42"/>
  <c r="AA67" i="42"/>
  <c r="AA68" i="42"/>
  <c r="AA69" i="42"/>
  <c r="AA70" i="42"/>
  <c r="AA71" i="42"/>
  <c r="AA72" i="42"/>
  <c r="AA73" i="42"/>
  <c r="AA74" i="42"/>
  <c r="AA75" i="42"/>
  <c r="AA76" i="42"/>
  <c r="AA77" i="42"/>
  <c r="AA78" i="42"/>
  <c r="AA79" i="42"/>
  <c r="AA80" i="42"/>
  <c r="AA81" i="42"/>
  <c r="AA82" i="42"/>
  <c r="AA83" i="42"/>
  <c r="AA84" i="42"/>
  <c r="AA85" i="42"/>
  <c r="AA86" i="42"/>
  <c r="AA87" i="42"/>
  <c r="AA88" i="42"/>
  <c r="AA89" i="42"/>
  <c r="AA90" i="42"/>
  <c r="AA91" i="42"/>
  <c r="AA92" i="42"/>
  <c r="AA93" i="42"/>
  <c r="AA94" i="42"/>
  <c r="AA95" i="42"/>
  <c r="AA96" i="42"/>
  <c r="AA97" i="42"/>
  <c r="AA98" i="42"/>
  <c r="AA99" i="42"/>
  <c r="AA100" i="42"/>
  <c r="AA101" i="42"/>
  <c r="AA102" i="42"/>
  <c r="AA103" i="42"/>
  <c r="AA104" i="42"/>
  <c r="AA105" i="42"/>
  <c r="AA106" i="42"/>
  <c r="AA107" i="42"/>
  <c r="AA108" i="42"/>
  <c r="AA109" i="42"/>
  <c r="AA110" i="42"/>
  <c r="AA111" i="42"/>
  <c r="AA112" i="42"/>
  <c r="AA113" i="42"/>
  <c r="AA114" i="42"/>
  <c r="AA115" i="42"/>
  <c r="AA116" i="42"/>
  <c r="AA117" i="42"/>
  <c r="AA118" i="42"/>
  <c r="AA119" i="42"/>
  <c r="AA120" i="42"/>
  <c r="AA121" i="42"/>
  <c r="AA122" i="42"/>
  <c r="AA123" i="42"/>
  <c r="AA124" i="42"/>
  <c r="AA125" i="42"/>
  <c r="AA126" i="42"/>
  <c r="AA127" i="42"/>
  <c r="AA128" i="42"/>
  <c r="AA129" i="42"/>
  <c r="AA130" i="42"/>
  <c r="AA131" i="42"/>
  <c r="AA132" i="42"/>
  <c r="AA133" i="42"/>
  <c r="AA134" i="42"/>
  <c r="AA135" i="42"/>
  <c r="AA136" i="42"/>
  <c r="AA137" i="42"/>
  <c r="AA138" i="42"/>
  <c r="AA139" i="42"/>
  <c r="AA140" i="42"/>
  <c r="AA141" i="42"/>
  <c r="AA142" i="42"/>
  <c r="AA143" i="42"/>
  <c r="AA144" i="42"/>
  <c r="AA145" i="42"/>
  <c r="AA146" i="42"/>
  <c r="AA147" i="42"/>
  <c r="AA148" i="42"/>
  <c r="AA149" i="42"/>
  <c r="AA150" i="42"/>
  <c r="AA151" i="42"/>
  <c r="AA152" i="42"/>
  <c r="AA153" i="42"/>
  <c r="AA154" i="42"/>
  <c r="AB10" i="42"/>
  <c r="AB11" i="42"/>
  <c r="AB12" i="42"/>
  <c r="AB13" i="42"/>
  <c r="AB14" i="42"/>
  <c r="AB15" i="42"/>
  <c r="AB16" i="42"/>
  <c r="AB17" i="42"/>
  <c r="AB18" i="42"/>
  <c r="AB19" i="42"/>
  <c r="AB20" i="42"/>
  <c r="AB21" i="42"/>
  <c r="AB22" i="42"/>
  <c r="AB23" i="42"/>
  <c r="AB24" i="42"/>
  <c r="AB25" i="42"/>
  <c r="AB26" i="42"/>
  <c r="AB27" i="42"/>
  <c r="AB28" i="42"/>
  <c r="AB29" i="42"/>
  <c r="AB30" i="42"/>
  <c r="AB31" i="42"/>
  <c r="AB9" i="42"/>
  <c r="AA10" i="42"/>
  <c r="AA11" i="42"/>
  <c r="AA12" i="42"/>
  <c r="AA13" i="42"/>
  <c r="AA14" i="42"/>
  <c r="AA15" i="42"/>
  <c r="AA9" i="42"/>
  <c r="E677" i="43" l="1"/>
  <c r="E676" i="43"/>
  <c r="E675" i="43"/>
  <c r="E674" i="43"/>
  <c r="E671" i="43"/>
  <c r="E670" i="43"/>
  <c r="E669" i="43"/>
  <c r="E668" i="43"/>
  <c r="E667" i="43"/>
  <c r="E666" i="43"/>
  <c r="E665" i="43"/>
  <c r="E664" i="43"/>
  <c r="E663" i="43"/>
  <c r="E662" i="43"/>
  <c r="E661" i="43"/>
  <c r="E660" i="43"/>
  <c r="E659" i="43"/>
  <c r="E658" i="43"/>
  <c r="E657" i="43"/>
  <c r="E656" i="43"/>
  <c r="E655" i="43"/>
  <c r="E654" i="43"/>
  <c r="E653" i="43"/>
  <c r="E652" i="43"/>
  <c r="E651" i="43"/>
  <c r="E646" i="43"/>
  <c r="E645" i="43"/>
  <c r="E644" i="43"/>
  <c r="E643" i="43"/>
  <c r="E641" i="43"/>
  <c r="E640" i="43"/>
  <c r="E639" i="43"/>
  <c r="E638" i="43"/>
  <c r="E637" i="43"/>
  <c r="E636" i="43"/>
  <c r="E635" i="43"/>
  <c r="E634" i="43"/>
  <c r="E633" i="43"/>
  <c r="E632" i="43"/>
  <c r="E626" i="43"/>
  <c r="E625" i="43"/>
  <c r="E624" i="43"/>
  <c r="E623" i="43"/>
  <c r="E622" i="43"/>
  <c r="E621" i="43"/>
  <c r="E619" i="43"/>
  <c r="E618" i="43"/>
  <c r="E617" i="43"/>
  <c r="E616" i="43"/>
  <c r="E615" i="43"/>
  <c r="E614" i="43"/>
  <c r="E613" i="43"/>
  <c r="E612" i="43"/>
  <c r="E610" i="43"/>
  <c r="E609" i="43"/>
  <c r="E607" i="43"/>
  <c r="E606" i="43"/>
  <c r="E605" i="43"/>
  <c r="E604" i="43"/>
  <c r="E602" i="43"/>
  <c r="E601" i="43"/>
  <c r="E600" i="43"/>
  <c r="E599" i="43"/>
  <c r="E598" i="43"/>
  <c r="E597" i="43"/>
  <c r="E596" i="43"/>
  <c r="E595" i="43"/>
  <c r="E593" i="43"/>
  <c r="E592" i="43"/>
  <c r="E591" i="43"/>
  <c r="E585" i="43"/>
  <c r="E580" i="43"/>
  <c r="E579" i="43"/>
  <c r="E578" i="43"/>
  <c r="E550" i="43"/>
  <c r="E549" i="43"/>
  <c r="E548" i="43"/>
  <c r="E547" i="43"/>
  <c r="E546" i="43"/>
  <c r="E545" i="43"/>
  <c r="E544" i="43"/>
  <c r="E543" i="43"/>
  <c r="E542" i="43"/>
  <c r="E541" i="43"/>
  <c r="E540" i="43"/>
  <c r="D2" i="43"/>
  <c r="Q154" i="42" l="1"/>
  <c r="K154" i="42"/>
  <c r="R154" i="42" s="1"/>
  <c r="Q153" i="42"/>
  <c r="K153" i="42"/>
  <c r="R153" i="42" s="1"/>
  <c r="Q152" i="42"/>
  <c r="K152" i="42"/>
  <c r="R152" i="42" s="1"/>
  <c r="Q151" i="42"/>
  <c r="K151" i="42"/>
  <c r="R151" i="42" s="1"/>
  <c r="Q150" i="42"/>
  <c r="K150" i="42"/>
  <c r="R150" i="42" s="1"/>
  <c r="Q149" i="42"/>
  <c r="K149" i="42"/>
  <c r="R149" i="42" s="1"/>
  <c r="Q148" i="42"/>
  <c r="K148" i="42"/>
  <c r="R148" i="42" s="1"/>
  <c r="Q147" i="42"/>
  <c r="K147" i="42"/>
  <c r="R147" i="42" s="1"/>
  <c r="Q146" i="42"/>
  <c r="K146" i="42"/>
  <c r="R146" i="42" s="1"/>
  <c r="Q145" i="42"/>
  <c r="K145" i="42"/>
  <c r="R145" i="42" s="1"/>
  <c r="Q144" i="42"/>
  <c r="K144" i="42"/>
  <c r="Q143" i="42"/>
  <c r="K143" i="42"/>
  <c r="R143" i="42" s="1"/>
  <c r="Q142" i="42"/>
  <c r="K142" i="42"/>
  <c r="Q141" i="42"/>
  <c r="K141" i="42"/>
  <c r="R141" i="42" s="1"/>
  <c r="Q140" i="42"/>
  <c r="K140" i="42"/>
  <c r="Q139" i="42"/>
  <c r="K139" i="42"/>
  <c r="R139" i="42" s="1"/>
  <c r="Q138" i="42"/>
  <c r="K138" i="42"/>
  <c r="Q137" i="42"/>
  <c r="K137" i="42"/>
  <c r="R137" i="42" s="1"/>
  <c r="Q136" i="42"/>
  <c r="K136" i="42"/>
  <c r="Q135" i="42"/>
  <c r="K135" i="42"/>
  <c r="R135" i="42" s="1"/>
  <c r="Q134" i="42"/>
  <c r="K134" i="42"/>
  <c r="Q133" i="42"/>
  <c r="K133" i="42"/>
  <c r="R133" i="42" s="1"/>
  <c r="Q132" i="42"/>
  <c r="K132" i="42"/>
  <c r="Q131" i="42"/>
  <c r="K131" i="42"/>
  <c r="R131" i="42" s="1"/>
  <c r="Q130" i="42"/>
  <c r="K130" i="42"/>
  <c r="Q129" i="42"/>
  <c r="K129" i="42"/>
  <c r="R129" i="42" s="1"/>
  <c r="Q128" i="42"/>
  <c r="K128" i="42"/>
  <c r="Q127" i="42"/>
  <c r="K127" i="42"/>
  <c r="R127" i="42" s="1"/>
  <c r="Q126" i="42"/>
  <c r="K126" i="42"/>
  <c r="Q125" i="42"/>
  <c r="K125" i="42"/>
  <c r="R125" i="42" s="1"/>
  <c r="Q124" i="42"/>
  <c r="K124" i="42"/>
  <c r="Q123" i="42"/>
  <c r="K123" i="42"/>
  <c r="R123" i="42" s="1"/>
  <c r="Q122" i="42"/>
  <c r="K122" i="42"/>
  <c r="Q121" i="42"/>
  <c r="K121" i="42"/>
  <c r="R121" i="42" s="1"/>
  <c r="Q120" i="42"/>
  <c r="K120" i="42"/>
  <c r="Q119" i="42"/>
  <c r="K119" i="42"/>
  <c r="R119" i="42" s="1"/>
  <c r="Q118" i="42"/>
  <c r="K118" i="42"/>
  <c r="Q117" i="42"/>
  <c r="K117" i="42"/>
  <c r="R117" i="42" s="1"/>
  <c r="Q116" i="42"/>
  <c r="K116" i="42"/>
  <c r="Q115" i="42"/>
  <c r="K115" i="42"/>
  <c r="R115" i="42" s="1"/>
  <c r="Q114" i="42"/>
  <c r="K114" i="42"/>
  <c r="Q113" i="42"/>
  <c r="K113" i="42"/>
  <c r="R113" i="42" s="1"/>
  <c r="Q112" i="42"/>
  <c r="K112" i="42"/>
  <c r="Q111" i="42"/>
  <c r="K111" i="42"/>
  <c r="R111" i="42" s="1"/>
  <c r="Q110" i="42"/>
  <c r="K110" i="42"/>
  <c r="Q109" i="42"/>
  <c r="K109" i="42"/>
  <c r="R109" i="42" s="1"/>
  <c r="Q108" i="42"/>
  <c r="K108" i="42"/>
  <c r="Q107" i="42"/>
  <c r="K107" i="42"/>
  <c r="R107" i="42" s="1"/>
  <c r="Q106" i="42"/>
  <c r="K106" i="42"/>
  <c r="Q105" i="42"/>
  <c r="K105" i="42"/>
  <c r="R105" i="42" s="1"/>
  <c r="Q104" i="42"/>
  <c r="K104" i="42"/>
  <c r="Q103" i="42"/>
  <c r="K103" i="42"/>
  <c r="R103" i="42" s="1"/>
  <c r="Q102" i="42"/>
  <c r="K102" i="42"/>
  <c r="Q101" i="42"/>
  <c r="K101" i="42"/>
  <c r="R101" i="42" s="1"/>
  <c r="Q100" i="42"/>
  <c r="K100" i="42"/>
  <c r="Q99" i="42"/>
  <c r="K99" i="42"/>
  <c r="R99" i="42" s="1"/>
  <c r="Q98" i="42"/>
  <c r="K98" i="42"/>
  <c r="Q97" i="42"/>
  <c r="K97" i="42"/>
  <c r="R97" i="42" s="1"/>
  <c r="Q96" i="42"/>
  <c r="K96" i="42"/>
  <c r="Q95" i="42"/>
  <c r="K95" i="42"/>
  <c r="R95" i="42" s="1"/>
  <c r="Q94" i="42"/>
  <c r="K94" i="42"/>
  <c r="Q93" i="42"/>
  <c r="K93" i="42"/>
  <c r="R93" i="42" s="1"/>
  <c r="Q92" i="42"/>
  <c r="K92" i="42"/>
  <c r="Q91" i="42"/>
  <c r="K91" i="42"/>
  <c r="R91" i="42" s="1"/>
  <c r="Q90" i="42"/>
  <c r="K90" i="42"/>
  <c r="Q89" i="42"/>
  <c r="K89" i="42"/>
  <c r="R89" i="42" s="1"/>
  <c r="Q88" i="42"/>
  <c r="K88" i="42"/>
  <c r="Q87" i="42"/>
  <c r="K87" i="42"/>
  <c r="R87" i="42" s="1"/>
  <c r="Q86" i="42"/>
  <c r="K86" i="42"/>
  <c r="Q85" i="42"/>
  <c r="K85" i="42"/>
  <c r="R85" i="42" s="1"/>
  <c r="Q84" i="42"/>
  <c r="K84" i="42"/>
  <c r="Q83" i="42"/>
  <c r="K83" i="42"/>
  <c r="R83" i="42" s="1"/>
  <c r="Q82" i="42"/>
  <c r="K82" i="42"/>
  <c r="Q81" i="42"/>
  <c r="K81" i="42"/>
  <c r="Q80" i="42"/>
  <c r="K80" i="42"/>
  <c r="Q79" i="42"/>
  <c r="K79" i="42"/>
  <c r="Q78" i="42"/>
  <c r="K78" i="42"/>
  <c r="Q77" i="42"/>
  <c r="K77" i="42"/>
  <c r="K9" i="39"/>
  <c r="Q9" i="39"/>
  <c r="K10" i="39"/>
  <c r="Q10" i="39"/>
  <c r="K11" i="39"/>
  <c r="Q11" i="39"/>
  <c r="K12" i="39"/>
  <c r="Q12" i="39"/>
  <c r="K13" i="39"/>
  <c r="Q13" i="39"/>
  <c r="K14" i="39"/>
  <c r="Q14" i="39"/>
  <c r="K15" i="39"/>
  <c r="Q15" i="39"/>
  <c r="R15" i="39"/>
  <c r="K16" i="39"/>
  <c r="Q16" i="39"/>
  <c r="K17" i="39"/>
  <c r="Q17" i="39"/>
  <c r="R17" i="39" s="1"/>
  <c r="Q76" i="42"/>
  <c r="K76" i="42"/>
  <c r="Q75" i="42"/>
  <c r="K75" i="42"/>
  <c r="Q74" i="42"/>
  <c r="K74" i="42"/>
  <c r="Q73" i="42"/>
  <c r="K73" i="42"/>
  <c r="Q72" i="42"/>
  <c r="K72" i="42"/>
  <c r="Q71" i="42"/>
  <c r="K71" i="42"/>
  <c r="Q70" i="42"/>
  <c r="K70" i="42"/>
  <c r="Q69" i="42"/>
  <c r="K69" i="42"/>
  <c r="Q68" i="42"/>
  <c r="K68" i="42"/>
  <c r="Q67" i="42"/>
  <c r="K67" i="42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Q59" i="42"/>
  <c r="K59" i="42"/>
  <c r="Q58" i="42"/>
  <c r="K58" i="42"/>
  <c r="Q57" i="42"/>
  <c r="K57" i="42"/>
  <c r="Q56" i="42"/>
  <c r="K56" i="42"/>
  <c r="Q55" i="42"/>
  <c r="K55" i="42"/>
  <c r="Q54" i="42"/>
  <c r="K54" i="42"/>
  <c r="Q53" i="42"/>
  <c r="K53" i="42"/>
  <c r="Q52" i="42"/>
  <c r="K52" i="42"/>
  <c r="Q51" i="42"/>
  <c r="K51" i="42"/>
  <c r="Q50" i="42"/>
  <c r="K50" i="42"/>
  <c r="Q49" i="42"/>
  <c r="K49" i="42"/>
  <c r="Q48" i="42"/>
  <c r="K48" i="42"/>
  <c r="Q47" i="42"/>
  <c r="K47" i="42"/>
  <c r="Q46" i="42"/>
  <c r="K46" i="42"/>
  <c r="Q45" i="42"/>
  <c r="K45" i="42"/>
  <c r="Q44" i="42"/>
  <c r="K44" i="42"/>
  <c r="Q43" i="42"/>
  <c r="K43" i="42"/>
  <c r="Q42" i="42"/>
  <c r="K42" i="42"/>
  <c r="Q41" i="42"/>
  <c r="K41" i="42"/>
  <c r="Q40" i="42"/>
  <c r="K40" i="42"/>
  <c r="Q39" i="42"/>
  <c r="K39" i="42"/>
  <c r="Q38" i="42"/>
  <c r="K38" i="42"/>
  <c r="Q37" i="42"/>
  <c r="K37" i="42"/>
  <c r="Q36" i="42"/>
  <c r="K36" i="42"/>
  <c r="Q35" i="42"/>
  <c r="K35" i="42"/>
  <c r="Q34" i="42"/>
  <c r="K34" i="42"/>
  <c r="Q33" i="42"/>
  <c r="K33" i="42"/>
  <c r="Q32" i="42"/>
  <c r="K32" i="42"/>
  <c r="Q31" i="42"/>
  <c r="K31" i="42"/>
  <c r="Q30" i="42"/>
  <c r="K30" i="42"/>
  <c r="Q29" i="42"/>
  <c r="K29" i="42"/>
  <c r="Q28" i="42"/>
  <c r="K28" i="42"/>
  <c r="Q27" i="42"/>
  <c r="K27" i="42"/>
  <c r="Q26" i="42"/>
  <c r="K26" i="42"/>
  <c r="Q25" i="42"/>
  <c r="K25" i="42"/>
  <c r="Q24" i="42"/>
  <c r="K24" i="42"/>
  <c r="Q23" i="42"/>
  <c r="K23" i="42"/>
  <c r="Q22" i="42"/>
  <c r="K22" i="42"/>
  <c r="Q21" i="42"/>
  <c r="K21" i="42"/>
  <c r="Q20" i="42"/>
  <c r="K20" i="42"/>
  <c r="Q19" i="42"/>
  <c r="K19" i="42"/>
  <c r="Q18" i="42"/>
  <c r="K18" i="42"/>
  <c r="Q17" i="42"/>
  <c r="K17" i="42"/>
  <c r="Q16" i="42"/>
  <c r="K16" i="42"/>
  <c r="Q15" i="42"/>
  <c r="K15" i="42"/>
  <c r="Q14" i="42"/>
  <c r="K14" i="42"/>
  <c r="Q13" i="42"/>
  <c r="K13" i="42"/>
  <c r="Q12" i="42"/>
  <c r="K12" i="42"/>
  <c r="Q11" i="42"/>
  <c r="K11" i="42"/>
  <c r="Q10" i="42"/>
  <c r="K10" i="42"/>
  <c r="Q9" i="42"/>
  <c r="K9" i="42"/>
  <c r="R77" i="42" l="1"/>
  <c r="R79" i="42"/>
  <c r="R81" i="42"/>
  <c r="R11" i="39"/>
  <c r="R9" i="39"/>
  <c r="R78" i="42"/>
  <c r="R80" i="42"/>
  <c r="R82" i="42"/>
  <c r="R84" i="42"/>
  <c r="R86" i="42"/>
  <c r="R88" i="42"/>
  <c r="R90" i="42"/>
  <c r="R92" i="42"/>
  <c r="R94" i="42"/>
  <c r="R96" i="42"/>
  <c r="R98" i="42"/>
  <c r="R100" i="42"/>
  <c r="R102" i="42"/>
  <c r="R104" i="42"/>
  <c r="R106" i="42"/>
  <c r="R108" i="42"/>
  <c r="R110" i="42"/>
  <c r="R112" i="42"/>
  <c r="R114" i="42"/>
  <c r="R116" i="42"/>
  <c r="R118" i="42"/>
  <c r="R120" i="42"/>
  <c r="R122" i="42"/>
  <c r="R124" i="42"/>
  <c r="R126" i="42"/>
  <c r="R128" i="42"/>
  <c r="R130" i="42"/>
  <c r="R132" i="42"/>
  <c r="R134" i="42"/>
  <c r="R136" i="42"/>
  <c r="R138" i="42"/>
  <c r="R140" i="42"/>
  <c r="R142" i="42"/>
  <c r="R144" i="42"/>
  <c r="R16" i="39"/>
  <c r="R13" i="39"/>
  <c r="R12" i="39"/>
  <c r="R9" i="42"/>
  <c r="R10" i="42"/>
  <c r="R11" i="42"/>
  <c r="R12" i="42"/>
  <c r="R13" i="42"/>
  <c r="R14" i="42"/>
  <c r="R15" i="42"/>
  <c r="R16" i="42"/>
  <c r="R17" i="42"/>
  <c r="R18" i="42"/>
  <c r="R19" i="42"/>
  <c r="R20" i="42"/>
  <c r="R21" i="42"/>
  <c r="R22" i="42"/>
  <c r="R23" i="42"/>
  <c r="R24" i="42"/>
  <c r="R25" i="42"/>
  <c r="R26" i="42"/>
  <c r="R27" i="42"/>
  <c r="R28" i="42"/>
  <c r="R29" i="42"/>
  <c r="R30" i="42"/>
  <c r="R31" i="42"/>
  <c r="R32" i="42"/>
  <c r="R33" i="42"/>
  <c r="R34" i="42"/>
  <c r="R35" i="42"/>
  <c r="R36" i="42"/>
  <c r="R37" i="42"/>
  <c r="R38" i="42"/>
  <c r="R39" i="42"/>
  <c r="R40" i="42"/>
  <c r="R41" i="42"/>
  <c r="R42" i="42"/>
  <c r="R43" i="42"/>
  <c r="R44" i="42"/>
  <c r="R45" i="42"/>
  <c r="R46" i="42"/>
  <c r="R47" i="42"/>
  <c r="R48" i="42"/>
  <c r="R49" i="42"/>
  <c r="R50" i="42"/>
  <c r="R51" i="42"/>
  <c r="R52" i="42"/>
  <c r="R53" i="42"/>
  <c r="R54" i="42"/>
  <c r="R55" i="42"/>
  <c r="R56" i="42"/>
  <c r="R57" i="42"/>
  <c r="R58" i="42"/>
  <c r="R59" i="42"/>
  <c r="R60" i="42"/>
  <c r="R61" i="42"/>
  <c r="R62" i="42"/>
  <c r="R63" i="42"/>
  <c r="R64" i="42"/>
  <c r="R65" i="42"/>
  <c r="R66" i="42"/>
  <c r="R67" i="42"/>
  <c r="R68" i="42"/>
  <c r="R69" i="42"/>
  <c r="R70" i="42"/>
  <c r="R71" i="42"/>
  <c r="R72" i="42"/>
  <c r="R73" i="42"/>
  <c r="R74" i="42"/>
  <c r="R75" i="42"/>
  <c r="R76" i="42"/>
  <c r="R14" i="39"/>
  <c r="R10" i="39"/>
  <c r="C24" i="44" l="1"/>
  <c r="C25" i="44"/>
  <c r="D25" i="44" s="1"/>
  <c r="C27" i="44"/>
  <c r="D27" i="44" s="1"/>
  <c r="C26" i="44"/>
  <c r="D26" i="44" s="1"/>
  <c r="Q31" i="41"/>
  <c r="K31" i="41"/>
  <c r="Q30" i="41"/>
  <c r="K30" i="41"/>
  <c r="Q29" i="41"/>
  <c r="K29" i="41"/>
  <c r="Q28" i="41"/>
  <c r="K28" i="41"/>
  <c r="Q27" i="41"/>
  <c r="K27" i="41"/>
  <c r="Q26" i="41"/>
  <c r="K26" i="41"/>
  <c r="Q25" i="41"/>
  <c r="K25" i="41"/>
  <c r="Q24" i="41"/>
  <c r="K24" i="41"/>
  <c r="Q23" i="41"/>
  <c r="K23" i="41"/>
  <c r="Q22" i="41"/>
  <c r="K22" i="41"/>
  <c r="Q21" i="41"/>
  <c r="K21" i="41"/>
  <c r="Q20" i="41"/>
  <c r="K20" i="41"/>
  <c r="Q19" i="41"/>
  <c r="K19" i="41"/>
  <c r="Q18" i="41"/>
  <c r="K18" i="41"/>
  <c r="Q17" i="41"/>
  <c r="K17" i="41"/>
  <c r="Q16" i="41"/>
  <c r="K16" i="41"/>
  <c r="Q15" i="41"/>
  <c r="K15" i="41"/>
  <c r="Q14" i="41"/>
  <c r="K14" i="41"/>
  <c r="Q13" i="41"/>
  <c r="K13" i="41"/>
  <c r="Q12" i="41"/>
  <c r="K12" i="41"/>
  <c r="Q11" i="41"/>
  <c r="K11" i="41"/>
  <c r="Q10" i="41"/>
  <c r="K10" i="41"/>
  <c r="Q9" i="41"/>
  <c r="K9" i="41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D24" i="44" l="1"/>
  <c r="C28" i="44"/>
  <c r="D28" i="44" s="1"/>
  <c r="R9" i="41"/>
  <c r="R10" i="41"/>
  <c r="R11" i="41"/>
  <c r="R12" i="41"/>
  <c r="R13" i="41"/>
  <c r="R14" i="41"/>
  <c r="R15" i="41"/>
  <c r="R16" i="41"/>
  <c r="R17" i="41"/>
  <c r="R18" i="41"/>
  <c r="R19" i="41"/>
  <c r="R20" i="41"/>
  <c r="R21" i="41"/>
  <c r="R22" i="41"/>
  <c r="R23" i="41"/>
  <c r="R24" i="41"/>
  <c r="R25" i="41"/>
  <c r="R26" i="41"/>
  <c r="R27" i="41"/>
  <c r="R28" i="41"/>
  <c r="R29" i="41"/>
  <c r="R30" i="41"/>
  <c r="R31" i="41"/>
  <c r="R9" i="40"/>
  <c r="R11" i="40"/>
  <c r="R12" i="40"/>
  <c r="R13" i="40"/>
  <c r="R14" i="40"/>
  <c r="R15" i="40"/>
  <c r="R16" i="40"/>
  <c r="R17" i="40"/>
  <c r="R18" i="40"/>
  <c r="R19" i="40"/>
  <c r="R20" i="40"/>
  <c r="R21" i="40"/>
  <c r="R22" i="40"/>
  <c r="R23" i="40"/>
  <c r="R24" i="40"/>
  <c r="R25" i="40"/>
  <c r="R26" i="40"/>
  <c r="R27" i="40"/>
  <c r="R28" i="40"/>
  <c r="R29" i="40"/>
  <c r="R30" i="40"/>
  <c r="R31" i="40"/>
  <c r="R32" i="40"/>
  <c r="R33" i="40"/>
  <c r="R34" i="40"/>
  <c r="R35" i="40"/>
  <c r="R36" i="40"/>
  <c r="R10" i="40"/>
  <c r="K38" i="3"/>
  <c r="Q38" i="3"/>
  <c r="K39" i="3"/>
  <c r="Q39" i="3"/>
  <c r="K40" i="3"/>
  <c r="Q40" i="3"/>
  <c r="K41" i="3"/>
  <c r="Q41" i="3"/>
  <c r="Q38" i="37"/>
  <c r="Q39" i="37"/>
  <c r="Q40" i="37"/>
  <c r="Q41" i="37"/>
  <c r="Q42" i="37"/>
  <c r="Q43" i="37"/>
  <c r="K38" i="37"/>
  <c r="K39" i="37"/>
  <c r="K40" i="37"/>
  <c r="K41" i="37"/>
  <c r="K42" i="37"/>
  <c r="K43" i="37"/>
  <c r="R43" i="37" l="1"/>
  <c r="R41" i="37"/>
  <c r="R39" i="37"/>
  <c r="R38" i="37"/>
  <c r="R42" i="37"/>
  <c r="R39" i="3"/>
  <c r="R41" i="3"/>
  <c r="R40" i="3"/>
  <c r="R40" i="37"/>
  <c r="R38" i="3"/>
  <c r="AB4" i="38"/>
  <c r="Z4" i="38"/>
  <c r="Z4" i="39" s="1"/>
  <c r="W4" i="38"/>
  <c r="F4" i="38"/>
  <c r="AB4" i="39"/>
  <c r="W4" i="39"/>
  <c r="F4" i="39"/>
  <c r="C4" i="39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F4" i="41" l="1"/>
  <c r="F4" i="40"/>
  <c r="Z4" i="41"/>
  <c r="Z4" i="40"/>
  <c r="W4" i="41"/>
  <c r="W4" i="40"/>
  <c r="AB4" i="41"/>
  <c r="AB4" i="40"/>
  <c r="R37" i="37"/>
  <c r="R33" i="37"/>
  <c r="R31" i="37"/>
  <c r="R29" i="37"/>
  <c r="R27" i="37"/>
  <c r="R25" i="37"/>
  <c r="R9" i="38"/>
  <c r="R26" i="37"/>
  <c r="R28" i="37"/>
  <c r="R30" i="37"/>
  <c r="R32" i="37"/>
  <c r="R36" i="37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<sst xmlns="http://schemas.openxmlformats.org/spreadsheetml/2006/main" count="7482" uniqueCount="2092">
  <si>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</si>
  <si>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</si>
  <si>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</si>
  <si>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</si>
  <si>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</si>
  <si>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</si>
  <si>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</si>
  <si>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</si>
  <si>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</si>
  <si>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</si>
  <si>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</si>
  <si>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</si>
  <si>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</si>
  <si>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</si>
  <si>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</si>
  <si>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</si>
  <si>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</si>
  <si>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</si>
  <si>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</si>
  <si>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</si>
  <si>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</si>
  <si>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</si>
  <si>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</si>
  <si>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</si>
  <si>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</si>
  <si>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</si>
  <si>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</si>
  <si>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</si>
  <si>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</si>
  <si>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</si>
  <si>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</si>
  <si>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</si>
  <si>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</si>
  <si>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</si>
  <si>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</si>
  <si>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</si>
  <si>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</si>
  <si>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</si>
  <si>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</si>
  <si>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</si>
  <si>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</si>
  <si>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</si>
  <si>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</si>
  <si>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</si>
  <si>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</si>
  <si>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</si>
  <si>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</si>
  <si>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</si>
  <si>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</si>
  <si>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</si>
  <si>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</si>
  <si>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</si>
  <si>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</si>
  <si>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</si>
  <si>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</si>
  <si>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</si>
  <si>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</si>
  <si>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</si>
  <si>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</si>
  <si>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</si>
  <si>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</si>
  <si>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</si>
  <si>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</si>
  <si>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</si>
  <si>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</si>
  <si>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</si>
  <si>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</si>
  <si>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</si>
  <si>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</si>
  <si>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</si>
  <si>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 xml:space="preserve">Alex O, Dan S, 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</si>
  <si>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</si>
  <si>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</si>
  <si>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</si>
  <si>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</si>
  <si>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</si>
  <si>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</si>
  <si>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</si>
  <si>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</si>
  <si>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</si>
  <si>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</si>
  <si>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</si>
  <si>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</si>
  <si>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</si>
  <si>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</si>
  <si>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</si>
  <si>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</si>
  <si>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</si>
  <si>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</si>
  <si>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</si>
  <si>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</si>
  <si>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</si>
  <si>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</si>
  <si>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</si>
  <si>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</si>
  <si>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</si>
  <si>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</si>
  <si>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</si>
  <si>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</si>
  <si>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</si>
  <si>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</si>
  <si>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</si>
  <si>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</si>
  <si>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</si>
  <si>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</si>
  <si>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</si>
  <si>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</si>
  <si>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</si>
  <si>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</si>
  <si>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</si>
  <si>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</si>
  <si>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</si>
  <si>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</si>
  <si>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</si>
  <si>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</si>
  <si>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</si>
  <si>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</si>
  <si>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</si>
  <si>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</si>
  <si>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</si>
  <si>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</si>
  <si>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</si>
  <si>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</si>
  <si>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</si>
  <si>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</si>
  <si>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</si>
  <si>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</si>
  <si>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</si>
  <si>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</si>
  <si>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</si>
  <si>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</si>
  <si>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</si>
  <si>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</si>
  <si>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</si>
  <si>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</si>
  <si>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</si>
  <si>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</si>
  <si>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</si>
  <si>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</si>
  <si>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</si>
  <si>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</si>
  <si>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</si>
  <si>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</si>
  <si>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</si>
  <si>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</si>
  <si>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</si>
  <si>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</si>
  <si>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</si>
  <si>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</si>
  <si>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08.08.19</t>
  </si>
  <si>
    <t>Moroto Soroti road</t>
  </si>
  <si>
    <t>Soroti</t>
  </si>
  <si>
    <t>Moroto</t>
  </si>
  <si>
    <t>Emmanuel, Rachael, Patrick</t>
  </si>
  <si>
    <t>Patrick</t>
  </si>
  <si>
    <t>Genevivie Ankunda</t>
  </si>
  <si>
    <t>UAG 688B</t>
  </si>
  <si>
    <t>SOROTI</t>
  </si>
  <si>
    <t>UGANDA</t>
  </si>
  <si>
    <t>MOROTO</t>
  </si>
  <si>
    <t>Y</t>
  </si>
  <si>
    <t>UBE 608Z</t>
  </si>
  <si>
    <t>KANGOLE</t>
  </si>
  <si>
    <t>NADUNGET</t>
  </si>
  <si>
    <t>UAX 606M</t>
  </si>
  <si>
    <t>UG 2096J</t>
  </si>
  <si>
    <t>NAPAK</t>
  </si>
  <si>
    <t>UAU 404W</t>
  </si>
  <si>
    <t>MATANYA</t>
  </si>
  <si>
    <t>UBE 912W</t>
  </si>
  <si>
    <t>KAMPALA</t>
  </si>
  <si>
    <t>N</t>
  </si>
  <si>
    <t>UG 2209S</t>
  </si>
  <si>
    <t>UBE 956Z</t>
  </si>
  <si>
    <t>KCS 044D</t>
  </si>
  <si>
    <t>UAL 174B</t>
  </si>
  <si>
    <t>KMEW 861E</t>
  </si>
  <si>
    <t>UAV 672Z</t>
  </si>
  <si>
    <t>UBC 404B</t>
  </si>
  <si>
    <t>UBC 821A</t>
  </si>
  <si>
    <t>UG 2293C</t>
  </si>
  <si>
    <t>UAS 905Z</t>
  </si>
  <si>
    <t>UBE 179A</t>
  </si>
  <si>
    <t>ARUA</t>
  </si>
  <si>
    <t>KOSIROI</t>
  </si>
  <si>
    <t>UAM 181Y</t>
  </si>
  <si>
    <t>LOKALI</t>
  </si>
  <si>
    <t>UAM 606Y</t>
  </si>
  <si>
    <t>UG 062Y</t>
  </si>
  <si>
    <t>UAX 048Z</t>
  </si>
  <si>
    <t>UBD 446B</t>
  </si>
  <si>
    <t>UEO 344Z</t>
  </si>
  <si>
    <t>UG 0023</t>
  </si>
  <si>
    <t>UAN 963C</t>
  </si>
  <si>
    <t>UAX 511Y</t>
  </si>
  <si>
    <t>MBALE</t>
  </si>
  <si>
    <t>UBC 172D</t>
  </si>
  <si>
    <t>UBA 496M</t>
  </si>
  <si>
    <t>UDJ 354B</t>
  </si>
  <si>
    <t>UBA 176B</t>
  </si>
  <si>
    <t>UBA 667K</t>
  </si>
  <si>
    <t>UAR 095M</t>
  </si>
  <si>
    <t>UAX 347T</t>
  </si>
  <si>
    <t>UAR 722Z</t>
  </si>
  <si>
    <t>UAX 476S</t>
  </si>
  <si>
    <t>UAT 192D</t>
  </si>
  <si>
    <t>UBB 517U</t>
  </si>
  <si>
    <t>UAK 991A</t>
  </si>
  <si>
    <t>UBE 126S</t>
  </si>
  <si>
    <t>UAM 239F</t>
  </si>
  <si>
    <t>MATENG</t>
  </si>
  <si>
    <t xml:space="preserve">UAX 347D </t>
  </si>
  <si>
    <t>TORORO</t>
  </si>
  <si>
    <t>UBA 647D</t>
  </si>
  <si>
    <t>UAN 430E</t>
  </si>
  <si>
    <t>UAX 375X</t>
  </si>
  <si>
    <t>UAY 401Q</t>
  </si>
  <si>
    <t>UDX 289S</t>
  </si>
  <si>
    <t>UEA 613W</t>
  </si>
  <si>
    <t>UAY 518N</t>
  </si>
  <si>
    <t>MATAYA</t>
  </si>
  <si>
    <t>UEW 264Y</t>
  </si>
  <si>
    <t>UBB 602A</t>
  </si>
  <si>
    <t>UAW 627G</t>
  </si>
  <si>
    <t>ABIM</t>
  </si>
  <si>
    <t>UAG 266F</t>
  </si>
  <si>
    <t>UAX 475C</t>
  </si>
  <si>
    <t>KATAWI</t>
  </si>
  <si>
    <t>UBA 174D</t>
  </si>
  <si>
    <t>UAY 288Y</t>
  </si>
  <si>
    <t>UAV 753K</t>
  </si>
  <si>
    <t>UBB 938P</t>
  </si>
  <si>
    <t>UAX 432L</t>
  </si>
  <si>
    <t>YIRRIRI</t>
  </si>
  <si>
    <t>UBC 505U</t>
  </si>
  <si>
    <t>UAS 959Z</t>
  </si>
  <si>
    <t>UG 4650M</t>
  </si>
  <si>
    <t>UBA 342M</t>
  </si>
  <si>
    <t>UAQ 195V</t>
  </si>
  <si>
    <t>MATAN</t>
  </si>
  <si>
    <t>UAW 598S</t>
  </si>
  <si>
    <t>UAX 184V</t>
  </si>
  <si>
    <t>09.08.2019</t>
  </si>
  <si>
    <t>Patrick,</t>
  </si>
  <si>
    <t>UAT 224C</t>
  </si>
  <si>
    <t>UBB 465Q</t>
  </si>
  <si>
    <t>UBC 076M</t>
  </si>
  <si>
    <t>UBA 004T</t>
  </si>
  <si>
    <t>UBD 746P</t>
  </si>
  <si>
    <t>UBA 207A</t>
  </si>
  <si>
    <t>UAX 246G</t>
  </si>
  <si>
    <t>UBB 064P</t>
  </si>
  <si>
    <t>UAP 221X</t>
  </si>
  <si>
    <t xml:space="preserve"> YIRIRI</t>
  </si>
  <si>
    <t>UAW 648K</t>
  </si>
  <si>
    <t>UBA 022K</t>
  </si>
  <si>
    <t>UBC 098V1</t>
  </si>
  <si>
    <t>UAP 820K</t>
  </si>
  <si>
    <t>UAJ 787L</t>
  </si>
  <si>
    <t>YIRIRI</t>
  </si>
  <si>
    <t>UAP 266N</t>
  </si>
  <si>
    <t>UDE 464T</t>
  </si>
  <si>
    <t>UAM 085N</t>
  </si>
  <si>
    <t>AMUDAT</t>
  </si>
  <si>
    <t>UAZ 723T</t>
  </si>
  <si>
    <t>UAM 222N</t>
  </si>
  <si>
    <t>UAZ 495L</t>
  </si>
  <si>
    <t>UAK 235V</t>
  </si>
  <si>
    <t>UBA 092D</t>
  </si>
  <si>
    <t>Rachael</t>
  </si>
  <si>
    <t>10.08.2019</t>
  </si>
  <si>
    <t>Racheal, Emmanuel,</t>
  </si>
  <si>
    <t>UBE 918G</t>
  </si>
  <si>
    <t>UBA 182N</t>
  </si>
  <si>
    <t>UAF 317F</t>
  </si>
  <si>
    <t>UAK 200P</t>
  </si>
  <si>
    <t>NADNUGET</t>
  </si>
  <si>
    <t>UAK 392P</t>
  </si>
  <si>
    <t>UBE 194A</t>
  </si>
  <si>
    <t>UAV 748E</t>
  </si>
  <si>
    <t>UBD 475F</t>
  </si>
  <si>
    <t>UBE 527A</t>
  </si>
  <si>
    <t>UAJ 124D</t>
  </si>
  <si>
    <t>UEJ 700N</t>
  </si>
  <si>
    <t>UEQ 948S</t>
  </si>
  <si>
    <t>LORENGECHERA</t>
  </si>
  <si>
    <t>UAV 022F</t>
  </si>
  <si>
    <t>UAP 176Z</t>
  </si>
  <si>
    <t>UBE 627Q</t>
  </si>
  <si>
    <t>UG 748L</t>
  </si>
  <si>
    <t>UEU 740T</t>
  </si>
  <si>
    <t>UAV 457F</t>
  </si>
  <si>
    <t>UEP 736P</t>
  </si>
  <si>
    <t>UG 928W</t>
  </si>
  <si>
    <t>UDS 140N</t>
  </si>
  <si>
    <t>UBA 493M</t>
  </si>
  <si>
    <t>UG 3165R</t>
  </si>
  <si>
    <t>UEO 738Z</t>
  </si>
  <si>
    <t>UEH 997V</t>
  </si>
  <si>
    <t>UAD 178D</t>
  </si>
  <si>
    <t>LOKAMURI</t>
  </si>
  <si>
    <t>UAZ 040G</t>
  </si>
  <si>
    <t>UG 043Y</t>
  </si>
  <si>
    <t>UG 3168A</t>
  </si>
  <si>
    <t>UAX 679M</t>
  </si>
  <si>
    <t>KOTAWI</t>
  </si>
  <si>
    <t>Racheal, Patrick, Emma</t>
  </si>
  <si>
    <t>UAK 149B</t>
  </si>
  <si>
    <t>UAV 272V</t>
  </si>
  <si>
    <t>UBE 728D</t>
  </si>
  <si>
    <t>UBA 649T</t>
  </si>
  <si>
    <t>UAZ 679V</t>
  </si>
  <si>
    <t>UBE287P</t>
  </si>
  <si>
    <t>UAY 067P</t>
  </si>
  <si>
    <t>UAJ 234K</t>
  </si>
  <si>
    <t>UBE 643C</t>
  </si>
  <si>
    <t>UAZ 248P</t>
  </si>
  <si>
    <t>UAT 027K</t>
  </si>
  <si>
    <t>UAX 821P</t>
  </si>
  <si>
    <t>UBA 692D</t>
  </si>
  <si>
    <t>UAJ 222M</t>
  </si>
  <si>
    <t>UDN 964V</t>
  </si>
  <si>
    <t>ODO</t>
  </si>
  <si>
    <t>UAQ 334F</t>
  </si>
  <si>
    <t>UG 085J</t>
  </si>
  <si>
    <t>UAW 332K</t>
  </si>
  <si>
    <t>UBA 109K</t>
  </si>
  <si>
    <t>UAS 103P</t>
  </si>
  <si>
    <t>UAZ 009S</t>
  </si>
  <si>
    <t>UAK 856V</t>
  </si>
  <si>
    <t>UAW 669V</t>
  </si>
  <si>
    <t>UAX 115K</t>
  </si>
  <si>
    <t>UAS 531K</t>
  </si>
  <si>
    <t>UAZ 726W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</si>
  <si>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</si>
  <si>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</si>
  <si>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</si>
  <si>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</si>
  <si>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</si>
  <si>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</si>
  <si>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</si>
  <si>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</si>
  <si>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Arioli</t>
  </si>
  <si>
    <t>Oporoth village</t>
  </si>
  <si>
    <t>Loyoroit</t>
  </si>
  <si>
    <t>Abim town</t>
  </si>
  <si>
    <t>Olumi</t>
  </si>
  <si>
    <t>Abim Town Council</t>
  </si>
  <si>
    <t xml:space="preserve"> Abim town</t>
  </si>
  <si>
    <t>Liamging village</t>
  </si>
  <si>
    <t>Abuk</t>
  </si>
  <si>
    <t>Orwamuge</t>
  </si>
  <si>
    <t>Barotuke</t>
  </si>
  <si>
    <t xml:space="preserve">Orwamuge </t>
  </si>
  <si>
    <t>Achangali</t>
  </si>
  <si>
    <t>Adea</t>
  </si>
  <si>
    <t xml:space="preserve">Abim town 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</si>
  <si>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</si>
  <si>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</si>
  <si>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</si>
  <si>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</si>
  <si>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</si>
  <si>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</si>
  <si>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</si>
  <si>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</si>
  <si>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</si>
  <si>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</si>
  <si>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</si>
  <si>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</si>
  <si>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</si>
  <si>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</si>
  <si>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</si>
  <si>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</si>
  <si>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</si>
  <si>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</si>
  <si>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</si>
  <si>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</si>
  <si>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</si>
  <si>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</si>
  <si>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</si>
  <si>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</si>
  <si>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</si>
  <si>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</si>
  <si>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</si>
  <si>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</si>
  <si>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</si>
  <si>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</si>
  <si>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</si>
  <si>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</si>
  <si>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</si>
  <si>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</si>
  <si>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</si>
  <si>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</si>
  <si>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</si>
  <si>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</si>
  <si>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</si>
  <si>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</si>
  <si>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</si>
  <si>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</si>
  <si>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</si>
  <si>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</si>
  <si>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</si>
  <si>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</si>
  <si>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</si>
  <si>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</si>
  <si>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</si>
  <si>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</si>
  <si>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</si>
  <si>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</si>
  <si>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</si>
  <si>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</si>
  <si>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</si>
  <si>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</si>
  <si>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</si>
  <si>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</si>
  <si>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</si>
  <si>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</si>
  <si>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</si>
  <si>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</si>
  <si>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</si>
  <si>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</si>
  <si>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</si>
  <si>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</si>
  <si>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</si>
  <si>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</si>
  <si>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</si>
  <si>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</si>
  <si>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</si>
  <si>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</si>
  <si>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</si>
  <si>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</si>
  <si>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</si>
  <si>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</si>
  <si>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</si>
  <si>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</si>
  <si>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</si>
  <si>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</si>
  <si>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</si>
  <si>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</si>
  <si>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</si>
  <si>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</si>
  <si>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</si>
  <si>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</si>
  <si>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</si>
  <si>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</si>
  <si>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</si>
  <si>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</si>
  <si>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</si>
  <si>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</si>
  <si>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</si>
  <si>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</si>
  <si>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</si>
  <si>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</si>
  <si>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</si>
  <si>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</si>
  <si>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</si>
  <si>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</si>
  <si>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</si>
  <si>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</si>
  <si>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</si>
  <si>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</si>
  <si>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</si>
  <si>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</si>
  <si>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</si>
  <si>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</si>
  <si>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</si>
  <si>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</si>
  <si>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</si>
  <si>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</si>
  <si>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</si>
  <si>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</si>
  <si>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</si>
  <si>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</si>
  <si>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</si>
  <si>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</si>
  <si>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</si>
  <si>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</si>
  <si>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</si>
  <si>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</si>
  <si>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</si>
  <si>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</si>
  <si>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</si>
  <si>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</si>
  <si>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</si>
  <si>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</si>
  <si>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</si>
  <si>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</si>
  <si>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</si>
  <si>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</si>
  <si>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</si>
  <si>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</si>
  <si>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</si>
  <si>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</si>
  <si>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</si>
  <si>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</si>
  <si>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</si>
  <si>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</si>
  <si>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</si>
  <si>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</si>
  <si>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</si>
  <si>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</si>
  <si>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</si>
  <si>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</si>
  <si>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</si>
  <si>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</si>
  <si>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</si>
  <si>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</si>
  <si>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</si>
  <si>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</si>
  <si>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</si>
  <si>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</si>
  <si>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</si>
  <si>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</si>
  <si>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</si>
  <si>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</si>
  <si>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</si>
  <si>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</si>
  <si>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</si>
  <si>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</si>
  <si>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</si>
  <si>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</si>
  <si>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</si>
  <si>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</si>
  <si>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</si>
  <si>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</si>
  <si>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</si>
  <si>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</si>
  <si>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</si>
  <si>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</si>
  <si>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</si>
  <si>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</si>
  <si>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</si>
  <si>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</si>
  <si>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</si>
  <si>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</si>
  <si>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</si>
  <si>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</si>
  <si>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</si>
  <si>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</si>
  <si>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</si>
  <si>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</si>
  <si>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</si>
  <si>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</si>
  <si>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</si>
  <si>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</si>
  <si>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</si>
  <si>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</si>
  <si>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</si>
  <si>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</si>
  <si>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</si>
  <si>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</si>
  <si>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</si>
  <si>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</si>
  <si>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</si>
  <si>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</si>
  <si>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</si>
  <si>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</si>
  <si>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</si>
  <si>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</si>
  <si>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</si>
  <si>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</si>
  <si>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</si>
  <si>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</si>
  <si>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</si>
  <si>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</si>
  <si>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</si>
  <si>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</si>
  <si>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</si>
  <si>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</si>
  <si>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</si>
  <si>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</si>
  <si>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</si>
  <si>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</si>
  <si>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</si>
  <si>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</si>
  <si>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</si>
  <si>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</si>
  <si>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</si>
  <si>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</si>
  <si>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</si>
  <si>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</si>
  <si>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</si>
  <si>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</si>
  <si>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</si>
  <si>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</si>
  <si>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</si>
  <si>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</si>
  <si>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</si>
  <si>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</si>
  <si>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</si>
  <si>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</si>
  <si>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</si>
  <si>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</si>
  <si>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</si>
  <si>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</si>
  <si>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</si>
  <si>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</si>
  <si>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</si>
  <si>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</si>
  <si>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</si>
  <si>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</si>
  <si>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</si>
  <si>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</si>
  <si>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</si>
  <si>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</si>
  <si>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</si>
  <si>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</si>
  <si>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</si>
  <si>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</si>
  <si>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</si>
  <si>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</si>
  <si>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</si>
  <si>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</si>
  <si>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</si>
  <si>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</si>
  <si>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</si>
  <si>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</si>
  <si>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</si>
  <si>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</si>
  <si>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</si>
  <si>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</si>
  <si>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</si>
  <si>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</si>
  <si>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</si>
  <si>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</si>
  <si>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</si>
  <si>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</si>
  <si>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</si>
  <si>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</si>
  <si>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</si>
  <si>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</si>
  <si>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</si>
  <si>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</si>
  <si>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</si>
  <si>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</si>
  <si>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</si>
  <si>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</si>
  <si>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</si>
  <si>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</si>
  <si>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</si>
  <si>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</si>
  <si>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</si>
  <si>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</si>
  <si>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</si>
  <si>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</si>
  <si>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</si>
  <si>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</si>
  <si>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</si>
  <si>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</si>
  <si>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</si>
  <si>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</si>
  <si>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</si>
  <si>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</si>
  <si>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</si>
  <si>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</si>
  <si>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</si>
  <si>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</si>
  <si>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</si>
  <si>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</si>
  <si>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</si>
  <si>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</si>
  <si>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</si>
  <si>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</si>
  <si>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</si>
  <si>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</si>
  <si>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</si>
  <si>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</si>
  <si>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</si>
  <si>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</si>
  <si>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</si>
  <si>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</si>
  <si>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</si>
  <si>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</si>
  <si>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</si>
  <si>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</si>
  <si>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</si>
  <si>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</si>
  <si>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</si>
  <si>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</si>
  <si>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</si>
  <si>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</si>
  <si>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</si>
  <si>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</si>
  <si>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</si>
  <si>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</si>
  <si>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</si>
  <si>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</si>
  <si>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</si>
  <si>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</si>
  <si>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</si>
  <si>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</si>
  <si>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</si>
  <si>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</si>
  <si>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</si>
  <si>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</si>
  <si>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</si>
  <si>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</si>
  <si>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</si>
  <si>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</si>
  <si>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</si>
  <si>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</si>
  <si>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</si>
  <si>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</si>
  <si>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</si>
  <si>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</si>
  <si>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</si>
  <si>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</si>
  <si>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</si>
  <si>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</si>
  <si>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</si>
  <si>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</si>
  <si>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</si>
  <si>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</si>
  <si>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</si>
  <si>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</si>
  <si>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</si>
  <si>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Aridi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</si>
  <si>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</si>
  <si>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</si>
  <si>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</si>
  <si>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</si>
  <si>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</si>
  <si>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</si>
  <si>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</si>
  <si>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</si>
  <si>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</si>
  <si>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</si>
  <si>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</si>
  <si>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</si>
  <si>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</si>
  <si>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</si>
  <si>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</si>
  <si>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</si>
  <si>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</si>
  <si>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</si>
  <si>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</si>
  <si>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</si>
  <si>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</si>
  <si>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</si>
  <si>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</si>
  <si>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</si>
  <si>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</si>
  <si>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</si>
  <si>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</si>
  <si>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</si>
  <si>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</si>
  <si>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</si>
  <si>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</si>
  <si>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</si>
  <si>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</si>
  <si>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</si>
  <si>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</si>
  <si>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</si>
  <si>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</si>
  <si>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</si>
  <si>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</si>
  <si>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</si>
  <si>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</si>
  <si>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</si>
  <si>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</si>
  <si>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</si>
  <si>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</si>
  <si>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</si>
  <si>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</si>
  <si>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</si>
  <si>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</si>
  <si>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</si>
  <si>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</si>
  <si>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</si>
  <si>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</si>
  <si>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</si>
  <si>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</si>
  <si>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</si>
  <si>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</si>
  <si>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</si>
  <si>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</si>
  <si>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</si>
  <si>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</si>
  <si>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</si>
  <si>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</si>
  <si>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</si>
  <si>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</si>
  <si>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</si>
  <si>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</si>
  <si>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</si>
  <si>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</si>
  <si>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</si>
  <si>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</si>
  <si>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</si>
  <si>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</si>
  <si>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</si>
  <si>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</si>
  <si>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</si>
  <si>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</si>
  <si>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</si>
  <si>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</si>
  <si>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</si>
  <si>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</si>
  <si>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</si>
  <si>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</si>
  <si>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</si>
  <si>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</si>
  <si>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</si>
  <si>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</si>
  <si>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</si>
  <si>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</si>
  <si>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</si>
  <si>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</si>
  <si>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Jinja Town</t>
  </si>
  <si>
    <t>JINJA</t>
  </si>
  <si>
    <t>Kakira Town Council</t>
  </si>
  <si>
    <t>Mafubira</t>
  </si>
  <si>
    <t>Kaabong East</t>
  </si>
  <si>
    <t>Kaabong</t>
  </si>
  <si>
    <t>Dodoth</t>
  </si>
  <si>
    <t>Kaabong Town Council</t>
  </si>
  <si>
    <t>Kidepo NP</t>
  </si>
  <si>
    <t>Kaabong Town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</si>
  <si>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</si>
  <si>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</si>
  <si>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</si>
  <si>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</si>
  <si>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</si>
  <si>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</si>
  <si>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</si>
  <si>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</si>
  <si>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</si>
  <si>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</si>
  <si>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Kiru town council</t>
  </si>
  <si>
    <t>Kiru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</si>
  <si>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</si>
  <si>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</si>
  <si>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</si>
  <si>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</si>
  <si>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</si>
  <si>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</si>
  <si>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</si>
  <si>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</si>
  <si>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</si>
  <si>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</si>
  <si>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</si>
  <si>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</si>
  <si>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</si>
  <si>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</si>
  <si>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</si>
  <si>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</si>
  <si>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</si>
  <si>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</si>
  <si>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</si>
  <si>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</si>
  <si>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</si>
  <si>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</si>
  <si>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</si>
  <si>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</si>
  <si>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</si>
  <si>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</si>
  <si>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</si>
  <si>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</si>
  <si>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</si>
  <si>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</si>
  <si>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</si>
  <si>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</si>
  <si>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</si>
  <si>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</si>
  <si>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</si>
  <si>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</si>
  <si>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</si>
  <si>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</si>
  <si>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</si>
  <si>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</si>
  <si>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</si>
  <si>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</si>
  <si>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</si>
  <si>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</si>
  <si>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</si>
  <si>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</si>
  <si>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</si>
  <si>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</si>
  <si>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</si>
  <si>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</si>
  <si>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</si>
  <si>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</si>
  <si>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</si>
  <si>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</si>
  <si>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</si>
  <si>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</si>
  <si>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</si>
  <si>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</si>
  <si>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</si>
  <si>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</si>
  <si>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</si>
  <si>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</si>
  <si>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</si>
  <si>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</si>
  <si>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</si>
  <si>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</si>
  <si>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</si>
  <si>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</si>
  <si>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</si>
  <si>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</si>
  <si>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</si>
  <si>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</si>
  <si>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</si>
  <si>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</si>
  <si>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</si>
  <si>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</si>
  <si>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</si>
  <si>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</si>
  <si>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</si>
  <si>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</si>
  <si>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</si>
  <si>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</si>
  <si>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</si>
  <si>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</si>
  <si>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</si>
  <si>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</si>
  <si>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</si>
  <si>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</si>
  <si>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</si>
  <si>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</si>
  <si>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</si>
  <si>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</si>
  <si>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</si>
  <si>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</si>
  <si>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</si>
  <si>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</si>
  <si>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</si>
  <si>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</si>
  <si>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</si>
  <si>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</si>
  <si>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</si>
  <si>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</si>
  <si>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</si>
  <si>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</si>
  <si>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</si>
  <si>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</si>
  <si>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Kampala</t>
  </si>
  <si>
    <t>KCCA</t>
  </si>
  <si>
    <t>Bugolobi</t>
  </si>
  <si>
    <t>Bukasa</t>
  </si>
  <si>
    <t>Bukesa</t>
  </si>
  <si>
    <t>Busega</t>
  </si>
  <si>
    <t>Butabika</t>
  </si>
  <si>
    <t>Buziga</t>
  </si>
  <si>
    <t>Bwaise</t>
  </si>
  <si>
    <t>Civic Centre</t>
  </si>
  <si>
    <t xml:space="preserve">Kampala </t>
  </si>
  <si>
    <t>City centre</t>
  </si>
  <si>
    <t>Clock tower</t>
  </si>
  <si>
    <t>Shoprite</t>
  </si>
  <si>
    <t>Ben kiwanuka</t>
  </si>
  <si>
    <t>Central</t>
  </si>
  <si>
    <t>Zai plaza</t>
  </si>
  <si>
    <t>Old taxi park</t>
  </si>
  <si>
    <t>OLDPARK</t>
  </si>
  <si>
    <t>Kikuubo</t>
  </si>
  <si>
    <t>Commercial plaza</t>
  </si>
  <si>
    <t>William street</t>
  </si>
  <si>
    <t>Africana</t>
  </si>
  <si>
    <t>City parents</t>
  </si>
  <si>
    <t>Mega supermarket</t>
  </si>
  <si>
    <t>Sir Apollo</t>
  </si>
  <si>
    <t>City square</t>
  </si>
  <si>
    <t>Bank of Baroda</t>
  </si>
  <si>
    <t>Kafumbe road</t>
  </si>
  <si>
    <t xml:space="preserve">Speke road </t>
  </si>
  <si>
    <t>Nassa</t>
  </si>
  <si>
    <t>Nasser</t>
  </si>
  <si>
    <t>La bonita</t>
  </si>
  <si>
    <t>Magistrate court</t>
  </si>
  <si>
    <t>Jinja road</t>
  </si>
  <si>
    <t>New taxi park</t>
  </si>
  <si>
    <t>NEWTAXI PARK</t>
  </si>
  <si>
    <t>Mini price</t>
  </si>
  <si>
    <t>Gaba</t>
  </si>
  <si>
    <t>Munyonyo</t>
  </si>
  <si>
    <t>Busaabala</t>
  </si>
  <si>
    <t>Busabaala</t>
  </si>
  <si>
    <t>BUSABALA</t>
  </si>
  <si>
    <t>Kazi</t>
  </si>
  <si>
    <t>Ggaba</t>
  </si>
  <si>
    <t xml:space="preserve">Bunga  </t>
  </si>
  <si>
    <t>BUNGA</t>
  </si>
  <si>
    <t>Kiruddu</t>
  </si>
  <si>
    <t>Kirundu</t>
  </si>
  <si>
    <t>Kirudu</t>
  </si>
  <si>
    <t>Industrial Area</t>
  </si>
  <si>
    <t>Itek</t>
  </si>
  <si>
    <t>Kabalagala</t>
  </si>
  <si>
    <t>Muyenga</t>
  </si>
  <si>
    <t>Kabowa</t>
  </si>
  <si>
    <t>Wankulukuku</t>
  </si>
  <si>
    <t>Kagugube</t>
  </si>
  <si>
    <t>Kamwokya</t>
  </si>
  <si>
    <t>Kansanga</t>
  </si>
  <si>
    <t>Kanyanya</t>
  </si>
  <si>
    <t>Kasubi</t>
  </si>
  <si>
    <t>Katwe</t>
  </si>
  <si>
    <t>KABUSU</t>
  </si>
  <si>
    <t>Kawempe</t>
  </si>
  <si>
    <t>Kazo Angola</t>
  </si>
  <si>
    <t>Kibuli</t>
  </si>
  <si>
    <t>Kibuye</t>
  </si>
  <si>
    <t>KOBIL</t>
  </si>
  <si>
    <t>Kikaaya</t>
  </si>
  <si>
    <t xml:space="preserve">Kisenyi </t>
  </si>
  <si>
    <t>Kisugu</t>
  </si>
  <si>
    <t>Kiswa</t>
  </si>
  <si>
    <t>Kiwatule</t>
  </si>
  <si>
    <t>Kololo</t>
  </si>
  <si>
    <t>Komamboga</t>
  </si>
  <si>
    <t>Kyambogo</t>
  </si>
  <si>
    <t>Kyanja</t>
  </si>
  <si>
    <t>Kyebando</t>
  </si>
  <si>
    <t>Kalerwe</t>
  </si>
  <si>
    <t>Lubaga</t>
  </si>
  <si>
    <t>Rubaga</t>
  </si>
  <si>
    <t>Lukuli</t>
  </si>
  <si>
    <t>Lungujja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</si>
  <si>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</si>
  <si>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</si>
  <si>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</si>
  <si>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</si>
  <si>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</si>
  <si>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</si>
  <si>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</si>
  <si>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 Prisons</t>
  </si>
  <si>
    <t>Makerere</t>
  </si>
  <si>
    <t>Makerere University</t>
  </si>
  <si>
    <t>Makindye</t>
  </si>
  <si>
    <t>Mbuya</t>
  </si>
  <si>
    <t>Mengo</t>
  </si>
  <si>
    <t>Mpererwe</t>
  </si>
  <si>
    <t>Mulago</t>
  </si>
  <si>
    <t>Mutundwe</t>
  </si>
  <si>
    <t>Nyanama</t>
  </si>
  <si>
    <t>Mutungo</t>
  </si>
  <si>
    <t>Nabisunsa</t>
  </si>
  <si>
    <t>Naguru</t>
  </si>
  <si>
    <t>Najjanankumbi</t>
  </si>
  <si>
    <t>NAJJANAKUMBI</t>
  </si>
  <si>
    <t>SITELLA</t>
  </si>
  <si>
    <t>Freedom city</t>
  </si>
  <si>
    <t>Zana</t>
  </si>
  <si>
    <t>Nakasero</t>
  </si>
  <si>
    <t>Nakawa</t>
  </si>
  <si>
    <t>Nakawa Institute</t>
  </si>
  <si>
    <t>Nakivubo Shauriyaako</t>
  </si>
  <si>
    <t>Namirembe</t>
  </si>
  <si>
    <t>Nankulabye</t>
  </si>
  <si>
    <t>Nateete</t>
  </si>
  <si>
    <t>Natete</t>
  </si>
  <si>
    <t>Ndeeba</t>
  </si>
  <si>
    <t>Ndeba</t>
  </si>
  <si>
    <t>Nsambya</t>
  </si>
  <si>
    <t>Nsabya</t>
  </si>
  <si>
    <t>Nsambya Police Barracks</t>
  </si>
  <si>
    <t>Nsambya Railway</t>
  </si>
  <si>
    <t>Ntinda</t>
  </si>
  <si>
    <t>Old Kampala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</si>
  <si>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</si>
  <si>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</si>
  <si>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</si>
  <si>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</si>
  <si>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</si>
  <si>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</si>
  <si>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</si>
  <si>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</si>
  <si>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</si>
  <si>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</si>
  <si>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</si>
  <si>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</si>
  <si>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</si>
  <si>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</si>
  <si>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</si>
  <si>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</si>
  <si>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</si>
  <si>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</si>
  <si>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</si>
  <si>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</si>
  <si>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</si>
  <si>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</si>
  <si>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</si>
  <si>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</si>
  <si>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</si>
  <si>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</si>
  <si>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</si>
  <si>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</si>
  <si>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</si>
  <si>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</si>
  <si>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</si>
  <si>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</si>
  <si>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</si>
  <si>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</si>
  <si>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</si>
  <si>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</si>
  <si>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</si>
  <si>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</si>
  <si>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</si>
  <si>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</si>
  <si>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</si>
  <si>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</si>
  <si>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</si>
  <si>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</si>
  <si>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</si>
  <si>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</si>
  <si>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</si>
  <si>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</si>
  <si>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</si>
  <si>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</si>
  <si>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</si>
  <si>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</si>
  <si>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</si>
  <si>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</si>
  <si>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</si>
  <si>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</si>
  <si>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</si>
  <si>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</si>
  <si>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</si>
  <si>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</si>
  <si>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</si>
  <si>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</si>
  <si>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</si>
  <si>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</si>
  <si>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</si>
  <si>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</si>
  <si>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</si>
  <si>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</si>
  <si>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</si>
  <si>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</si>
  <si>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</si>
  <si>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</si>
  <si>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</si>
  <si>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</si>
  <si>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</si>
  <si>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</si>
  <si>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</si>
  <si>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</si>
  <si>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</si>
  <si>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</si>
  <si>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</si>
  <si>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</si>
  <si>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</si>
  <si>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</si>
  <si>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</si>
  <si>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</si>
  <si>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</si>
  <si>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</si>
  <si>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</si>
  <si>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</si>
  <si>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</si>
  <si>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</si>
  <si>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</si>
  <si>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</si>
  <si>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</si>
  <si>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</si>
  <si>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</si>
  <si>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</si>
  <si>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</si>
  <si>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</si>
  <si>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</si>
  <si>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</si>
  <si>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</si>
  <si>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</si>
  <si>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</si>
  <si>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</si>
  <si>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</si>
  <si>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</si>
  <si>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</si>
  <si>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</si>
  <si>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</si>
  <si>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</si>
  <si>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</si>
  <si>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</si>
  <si>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</si>
  <si>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</si>
  <si>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</si>
  <si>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</si>
  <si>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</si>
  <si>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</si>
  <si>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</si>
  <si>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</si>
  <si>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</si>
  <si>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</si>
  <si>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</si>
  <si>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</si>
  <si>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</si>
  <si>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</si>
  <si>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</si>
  <si>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</si>
  <si>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</si>
  <si>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</si>
  <si>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</si>
  <si>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</si>
  <si>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</si>
  <si>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</si>
  <si>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</si>
  <si>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</si>
  <si>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</si>
  <si>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</si>
  <si>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</si>
  <si>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</si>
  <si>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</si>
  <si>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</si>
  <si>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</si>
  <si>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</si>
  <si>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</si>
  <si>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</si>
  <si>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</si>
  <si>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</si>
  <si>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</si>
  <si>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</si>
  <si>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</si>
  <si>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</si>
  <si>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</si>
  <si>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</si>
  <si>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</si>
  <si>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</si>
  <si>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</si>
  <si>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</si>
  <si>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</si>
  <si>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</si>
  <si>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</si>
  <si>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</si>
  <si>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</si>
  <si>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</si>
  <si>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</si>
  <si>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</si>
  <si>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</si>
  <si>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</si>
  <si>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</si>
  <si>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</si>
  <si>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</si>
  <si>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</si>
  <si>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</si>
  <si>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</si>
  <si>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</si>
  <si>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</si>
  <si>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</si>
  <si>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</si>
  <si>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</si>
  <si>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</si>
  <si>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</si>
  <si>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</si>
  <si>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</si>
  <si>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</si>
  <si>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</si>
  <si>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</si>
  <si>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</si>
  <si>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</si>
  <si>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</si>
  <si>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</si>
  <si>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</si>
  <si>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</si>
  <si>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</si>
  <si>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</si>
  <si>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</si>
  <si>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</si>
  <si>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</si>
  <si>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</si>
  <si>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</si>
  <si>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</si>
  <si>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</si>
  <si>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</si>
  <si>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</si>
  <si>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</si>
  <si>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</si>
  <si>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</si>
  <si>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</si>
  <si>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</si>
  <si>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</si>
  <si>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</si>
  <si>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</si>
  <si>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</si>
  <si>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</si>
  <si>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</si>
  <si>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</si>
  <si>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</si>
  <si>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</si>
  <si>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</si>
  <si>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</si>
  <si>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</si>
  <si>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</si>
  <si>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</si>
  <si>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</si>
  <si>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</si>
  <si>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</si>
  <si>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</si>
  <si>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</si>
  <si>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</si>
  <si>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</si>
  <si>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</si>
  <si>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Kotido town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</si>
  <si>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</si>
  <si>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</si>
  <si>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</si>
  <si>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</si>
  <si>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</si>
  <si>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</si>
  <si>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</si>
  <si>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</si>
  <si>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</si>
  <si>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</si>
  <si>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</si>
  <si>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</si>
  <si>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</si>
  <si>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</si>
  <si>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</si>
  <si>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</si>
  <si>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</si>
  <si>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</si>
  <si>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</si>
  <si>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</si>
  <si>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</si>
  <si>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</si>
  <si>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</si>
  <si>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</si>
  <si>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</si>
  <si>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</si>
  <si>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</si>
  <si>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</si>
  <si>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</si>
  <si>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</si>
  <si>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</si>
  <si>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</si>
  <si>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</si>
  <si>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</si>
  <si>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</si>
  <si>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</si>
  <si>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</si>
  <si>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</si>
  <si>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</si>
  <si>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</si>
  <si>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</si>
  <si>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</si>
  <si>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</si>
  <si>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</si>
  <si>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</si>
  <si>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</si>
  <si>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</si>
  <si>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</si>
  <si>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</si>
  <si>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</si>
  <si>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</si>
  <si>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</si>
  <si>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</si>
  <si>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</si>
  <si>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</si>
  <si>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</si>
  <si>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</si>
  <si>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</si>
  <si>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</si>
  <si>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</si>
  <si>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</si>
  <si>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</si>
  <si>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</si>
  <si>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</si>
  <si>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</si>
  <si>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</si>
  <si>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</si>
  <si>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</si>
  <si>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</si>
  <si>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</si>
  <si>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</si>
  <si>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</si>
  <si>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</si>
  <si>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</si>
  <si>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</si>
  <si>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</si>
  <si>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</si>
  <si>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</si>
  <si>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</si>
  <si>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</si>
  <si>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</si>
  <si>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</si>
  <si>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</si>
  <si>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</si>
  <si>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</si>
  <si>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</si>
  <si>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</si>
  <si>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</si>
  <si>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</si>
  <si>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</si>
  <si>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</si>
  <si>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</si>
  <si>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Obanga subcounty</t>
  </si>
  <si>
    <t xml:space="preserve">Lira town </t>
  </si>
  <si>
    <t>Lira town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</si>
  <si>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</si>
  <si>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</si>
  <si>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</si>
  <si>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</si>
  <si>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</si>
  <si>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</si>
  <si>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</si>
  <si>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</si>
  <si>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</si>
  <si>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</si>
  <si>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</si>
  <si>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</si>
  <si>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</si>
  <si>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</si>
  <si>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Butuntumula</t>
  </si>
  <si>
    <t>Kalagala</t>
  </si>
  <si>
    <t>Kamira</t>
  </si>
  <si>
    <t>Kikyusa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</si>
  <si>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</si>
  <si>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</si>
  <si>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</si>
  <si>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</si>
  <si>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</si>
  <si>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</si>
  <si>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</si>
  <si>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</si>
  <si>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</si>
  <si>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</si>
  <si>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</si>
  <si>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</si>
  <si>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</si>
  <si>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</si>
  <si>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</si>
  <si>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</si>
  <si>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</si>
  <si>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</si>
  <si>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</si>
  <si>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</si>
  <si>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</si>
  <si>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</si>
  <si>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</si>
  <si>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</si>
  <si>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</si>
  <si>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</si>
  <si>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</si>
  <si>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</si>
  <si>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</si>
  <si>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</si>
  <si>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</si>
  <si>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</si>
  <si>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</si>
  <si>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</si>
  <si>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</si>
  <si>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</si>
  <si>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</si>
  <si>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</si>
  <si>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</si>
  <si>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</si>
  <si>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</si>
  <si>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</si>
  <si>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</si>
  <si>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</si>
  <si>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</si>
  <si>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</si>
  <si>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</si>
  <si>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</si>
  <si>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</si>
  <si>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</si>
  <si>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</si>
  <si>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</si>
  <si>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</si>
  <si>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</si>
  <si>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Masaka town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</si>
  <si>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</si>
  <si>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</si>
  <si>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</si>
  <si>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</si>
  <si>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</si>
  <si>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</si>
  <si>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</si>
  <si>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</si>
  <si>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Masindi town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</si>
  <si>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</si>
  <si>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</si>
  <si>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</si>
  <si>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</si>
  <si>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</si>
  <si>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</si>
  <si>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</si>
  <si>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</si>
  <si>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</si>
  <si>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</si>
  <si>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</si>
  <si>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</si>
  <si>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</si>
  <si>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</si>
  <si>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</si>
  <si>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</si>
  <si>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</si>
  <si>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</si>
  <si>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</si>
  <si>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</si>
  <si>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</si>
  <si>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</si>
  <si>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</si>
  <si>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</si>
  <si>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</si>
  <si>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</si>
  <si>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</si>
  <si>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</si>
  <si>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</si>
  <si>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</si>
  <si>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</si>
  <si>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</si>
  <si>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</si>
  <si>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</si>
  <si>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</si>
  <si>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</si>
  <si>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</si>
  <si>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</si>
  <si>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</si>
  <si>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</si>
  <si>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</si>
  <si>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</si>
  <si>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</si>
  <si>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</si>
  <si>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</si>
  <si>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</si>
  <si>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</si>
  <si>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</si>
  <si>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</si>
  <si>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</si>
  <si>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</si>
  <si>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</t>
  </si>
  <si>
    <t xml:space="preserve">Mbarara   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</si>
  <si>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</si>
  <si>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</si>
  <si>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</si>
  <si>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</si>
  <si>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</si>
  <si>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</si>
  <si>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</si>
  <si>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</si>
  <si>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</si>
  <si>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</si>
  <si>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</si>
  <si>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</si>
  <si>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</si>
  <si>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</si>
  <si>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</si>
  <si>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</si>
  <si>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</si>
  <si>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</si>
  <si>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</si>
  <si>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</si>
  <si>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</si>
  <si>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</si>
  <si>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</si>
  <si>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</si>
  <si>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</si>
  <si>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</si>
  <si>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</si>
  <si>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</si>
  <si>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</si>
  <si>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</si>
  <si>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 xml:space="preserve">Mityana  </t>
  </si>
  <si>
    <t>Namungo</t>
  </si>
  <si>
    <t>Ssekanyonyi</t>
  </si>
  <si>
    <t>Katikekile</t>
  </si>
  <si>
    <t>Matheniko</t>
  </si>
  <si>
    <t>Moroto Municipality</t>
  </si>
  <si>
    <t>Moroto town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</si>
  <si>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</si>
  <si>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</si>
  <si>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</si>
  <si>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</si>
  <si>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</si>
  <si>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</si>
  <si>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</si>
  <si>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</si>
  <si>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</si>
  <si>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</si>
  <si>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</si>
  <si>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</si>
  <si>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</si>
  <si>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</si>
  <si>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</si>
  <si>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</si>
  <si>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</si>
  <si>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</si>
  <si>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</si>
  <si>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</si>
  <si>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</t>
  </si>
  <si>
    <t>Mpigi Town Council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</si>
  <si>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</si>
  <si>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</si>
  <si>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</si>
  <si>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</si>
  <si>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</si>
  <si>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</si>
  <si>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</si>
  <si>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</si>
  <si>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</si>
  <si>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</si>
  <si>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</si>
  <si>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</si>
  <si>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</si>
  <si>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</si>
  <si>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</si>
  <si>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</si>
  <si>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</si>
  <si>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</si>
  <si>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</si>
  <si>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</si>
  <si>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</si>
  <si>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</si>
  <si>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</si>
  <si>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</si>
  <si>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</si>
  <si>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</si>
  <si>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</si>
  <si>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</si>
  <si>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</si>
  <si>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</si>
  <si>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</si>
  <si>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</si>
  <si>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</si>
  <si>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MUKONO</t>
  </si>
  <si>
    <t>MBALALA</t>
  </si>
  <si>
    <t>Nabbaale</t>
  </si>
  <si>
    <t>Nagojje</t>
  </si>
  <si>
    <t>Nakisunga</t>
  </si>
  <si>
    <t>Nama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</si>
  <si>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</si>
  <si>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</si>
  <si>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</si>
  <si>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</si>
  <si>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</si>
  <si>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</si>
  <si>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</si>
  <si>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</si>
  <si>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</si>
  <si>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</si>
  <si>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</si>
  <si>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</si>
  <si>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</si>
  <si>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</si>
  <si>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</si>
  <si>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</si>
  <si>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</si>
  <si>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</si>
  <si>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</si>
  <si>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</si>
  <si>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</si>
  <si>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</si>
  <si>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</si>
  <si>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</si>
  <si>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</si>
  <si>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</si>
  <si>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</si>
  <si>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</si>
  <si>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</si>
  <si>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</si>
  <si>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</si>
  <si>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</si>
  <si>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</si>
  <si>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</si>
  <si>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</si>
  <si>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</si>
  <si>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</si>
  <si>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</si>
  <si>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</si>
  <si>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</si>
  <si>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</si>
  <si>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</si>
  <si>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</si>
  <si>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</si>
  <si>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</si>
  <si>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</si>
  <si>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</si>
  <si>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</si>
  <si>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</si>
  <si>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</si>
  <si>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</si>
  <si>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</si>
  <si>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</si>
  <si>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</si>
  <si>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</si>
  <si>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</si>
  <si>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</si>
  <si>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</si>
  <si>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</si>
  <si>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</si>
  <si>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</si>
  <si>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</si>
  <si>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</si>
  <si>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</si>
  <si>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</si>
  <si>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</si>
  <si>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</si>
  <si>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</si>
  <si>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</si>
  <si>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</si>
  <si>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</si>
  <si>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</si>
  <si>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</si>
  <si>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</si>
  <si>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</si>
  <si>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</si>
  <si>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</si>
  <si>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</si>
  <si>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</si>
  <si>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</si>
  <si>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</si>
  <si>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</si>
  <si>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</si>
  <si>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</si>
  <si>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</si>
  <si>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</si>
  <si>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</si>
  <si>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</si>
  <si>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</si>
  <si>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</si>
  <si>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</si>
  <si>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</si>
  <si>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</si>
  <si>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</si>
  <si>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</si>
  <si>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</si>
  <si>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</si>
  <si>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</si>
  <si>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</si>
  <si>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</si>
  <si>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</si>
  <si>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</si>
  <si>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</si>
  <si>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</si>
  <si>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</si>
  <si>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</si>
  <si>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</si>
  <si>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</si>
  <si>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</si>
  <si>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</si>
  <si>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</si>
  <si>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</si>
  <si>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</si>
  <si>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</si>
  <si>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</si>
  <si>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</si>
  <si>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</si>
  <si>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</si>
  <si>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</si>
  <si>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</si>
  <si>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</si>
  <si>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</si>
  <si>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</si>
  <si>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</si>
  <si>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</si>
  <si>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</si>
  <si>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</si>
  <si>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</si>
  <si>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</si>
  <si>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</si>
  <si>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</si>
  <si>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</si>
  <si>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</si>
  <si>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</si>
  <si>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</si>
  <si>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</si>
  <si>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</si>
  <si>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</si>
  <si>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</si>
  <si>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</si>
  <si>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</si>
  <si>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</si>
  <si>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</si>
  <si>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</si>
  <si>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</si>
  <si>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</si>
  <si>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</si>
  <si>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</si>
  <si>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</si>
  <si>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</si>
  <si>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</si>
  <si>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</si>
  <si>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</si>
  <si>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</si>
  <si>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</si>
  <si>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</si>
  <si>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</si>
  <si>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</si>
  <si>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</si>
  <si>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</si>
  <si>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</si>
  <si>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</si>
  <si>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</si>
  <si>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</si>
  <si>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</si>
  <si>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</si>
  <si>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</si>
  <si>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</si>
  <si>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</si>
  <si>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</si>
  <si>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</si>
  <si>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</si>
  <si>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</si>
  <si>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</si>
  <si>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</si>
  <si>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</si>
  <si>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</si>
  <si>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</si>
  <si>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</si>
  <si>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</si>
  <si>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Pader town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</si>
  <si>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</si>
  <si>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</si>
  <si>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</si>
  <si>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</si>
  <si>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</si>
  <si>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</si>
  <si>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</si>
  <si>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</si>
  <si>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</si>
  <si>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</si>
  <si>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</si>
  <si>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</si>
  <si>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</si>
  <si>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</si>
  <si>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</si>
  <si>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</si>
  <si>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</si>
  <si>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</si>
  <si>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</si>
  <si>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</si>
  <si>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</si>
  <si>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</si>
  <si>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</si>
  <si>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</si>
  <si>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</si>
  <si>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</si>
  <si>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</si>
  <si>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</si>
  <si>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</si>
  <si>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</si>
  <si>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</si>
  <si>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</si>
  <si>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</si>
  <si>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</si>
  <si>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</si>
  <si>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</si>
  <si>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</si>
  <si>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</si>
  <si>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</si>
  <si>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</si>
  <si>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</si>
  <si>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</si>
  <si>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</si>
  <si>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</si>
  <si>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</si>
  <si>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</si>
  <si>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</si>
  <si>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</si>
  <si>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</si>
  <si>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</si>
  <si>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</si>
  <si>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</si>
  <si>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</si>
  <si>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</si>
  <si>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</si>
  <si>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</si>
  <si>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</si>
  <si>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</si>
  <si>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</si>
  <si>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</si>
  <si>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</si>
  <si>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</si>
  <si>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</si>
  <si>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</si>
  <si>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</si>
  <si>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</si>
  <si>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</si>
  <si>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</si>
  <si>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</si>
  <si>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</si>
  <si>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</si>
  <si>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</si>
  <si>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</si>
  <si>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</si>
  <si>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</si>
  <si>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</si>
  <si>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</si>
  <si>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</si>
  <si>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</si>
  <si>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</si>
  <si>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</si>
  <si>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</si>
  <si>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</si>
  <si>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</si>
  <si>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</si>
  <si>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</si>
  <si>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</si>
  <si>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</si>
  <si>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</si>
  <si>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</si>
  <si>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</si>
  <si>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</si>
  <si>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</si>
  <si>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</si>
  <si>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</si>
  <si>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</si>
  <si>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</si>
  <si>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</si>
  <si>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</si>
  <si>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</si>
  <si>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</si>
  <si>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</si>
  <si>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</si>
  <si>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</si>
  <si>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</si>
  <si>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</si>
  <si>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</si>
  <si>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</si>
  <si>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</si>
  <si>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</si>
  <si>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</si>
  <si>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</si>
  <si>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</si>
  <si>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</si>
  <si>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</si>
  <si>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</si>
  <si>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</si>
  <si>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</si>
  <si>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</si>
  <si>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</si>
  <si>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</si>
  <si>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Asuret</t>
  </si>
  <si>
    <t>Gweri</t>
  </si>
  <si>
    <t>Kamuda</t>
  </si>
  <si>
    <t>Katine</t>
  </si>
  <si>
    <t>Soroti Municipality</t>
  </si>
  <si>
    <t>Obanga</t>
  </si>
  <si>
    <t>Soroti town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</si>
  <si>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</si>
  <si>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</si>
  <si>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</si>
  <si>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</si>
  <si>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</si>
  <si>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</si>
  <si>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</si>
  <si>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</si>
  <si>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</si>
  <si>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</si>
  <si>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</si>
  <si>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</si>
  <si>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</si>
  <si>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</si>
  <si>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</si>
  <si>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</si>
  <si>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</si>
  <si>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</si>
  <si>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</si>
  <si>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</si>
  <si>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</si>
  <si>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</si>
  <si>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</si>
  <si>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</si>
  <si>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</si>
  <si>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</si>
  <si>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</si>
  <si>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</si>
  <si>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</si>
  <si>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</si>
  <si>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</si>
  <si>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</si>
  <si>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</si>
  <si>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</si>
  <si>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</si>
  <si>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Wakiso</t>
  </si>
  <si>
    <t>Makindye Ssabagabo Municipality</t>
  </si>
  <si>
    <t>Namasuba</t>
  </si>
  <si>
    <t>Bussi</t>
  </si>
  <si>
    <t>Busiro</t>
  </si>
  <si>
    <t>Busukuma</t>
  </si>
  <si>
    <t>Nansana Municipality</t>
  </si>
  <si>
    <t>Kira Municipality</t>
  </si>
  <si>
    <t>Entebbe Airport</t>
  </si>
  <si>
    <t>Entebbe Municipality</t>
  </si>
  <si>
    <t>Gombe</t>
  </si>
  <si>
    <t>Katende</t>
  </si>
  <si>
    <t>Kajjansi Town Council</t>
  </si>
  <si>
    <t>Kajjansi</t>
  </si>
  <si>
    <t>Seguku</t>
  </si>
  <si>
    <t>Katale</t>
  </si>
  <si>
    <t>Kakiri</t>
  </si>
  <si>
    <t>Kakiri Town Council</t>
  </si>
  <si>
    <t>Kasangati Town Council</t>
  </si>
  <si>
    <t>Kyadondo</t>
  </si>
  <si>
    <t>Kasangati</t>
  </si>
  <si>
    <t>Kasanje</t>
  </si>
  <si>
    <t>Katabi Town Council</t>
  </si>
  <si>
    <t>Kira</t>
  </si>
  <si>
    <t>Kireka</t>
  </si>
  <si>
    <t>Kyengera Town Council</t>
  </si>
  <si>
    <t xml:space="preserve">Kyengera   </t>
  </si>
  <si>
    <t>Masajja</t>
  </si>
  <si>
    <t>Masuliita</t>
  </si>
  <si>
    <t>Masulita Town Council</t>
  </si>
  <si>
    <t>Mende</t>
  </si>
  <si>
    <t>Nabweru</t>
  </si>
  <si>
    <t>Namayumba</t>
  </si>
  <si>
    <t>Namayumba Town Council</t>
  </si>
  <si>
    <t>Namugongo</t>
  </si>
  <si>
    <t>Nansana</t>
  </si>
  <si>
    <t>Ndejje</t>
  </si>
  <si>
    <t>waakiso</t>
  </si>
  <si>
    <t>Bulenga</t>
  </si>
  <si>
    <t>Buloba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</si>
  <si>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</si>
  <si>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</si>
  <si>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</si>
  <si>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</si>
  <si>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</si>
  <si>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</si>
  <si>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</si>
  <si>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</si>
  <si>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</si>
  <si>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</si>
  <si>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</si>
  <si>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</si>
  <si>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</si>
  <si>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</si>
  <si>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</si>
  <si>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</si>
  <si>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</si>
  <si>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</si>
  <si>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</si>
  <si>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</si>
  <si>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</si>
  <si>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</si>
  <si>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</si>
  <si>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</si>
  <si>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</si>
  <si>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</si>
  <si>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</si>
  <si>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</si>
  <si>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</si>
  <si>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</si>
  <si>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Mutukula</t>
  </si>
  <si>
    <t>Katuna</t>
  </si>
  <si>
    <t>Cyanika</t>
  </si>
  <si>
    <t>Kiyumba</t>
  </si>
  <si>
    <t>Bunagana</t>
  </si>
  <si>
    <t>Mpondwe</t>
  </si>
  <si>
    <t>Goli</t>
  </si>
  <si>
    <t>Elegu</t>
  </si>
  <si>
    <t xml:space="preserve">South Sudan </t>
  </si>
  <si>
    <t>Nimule</t>
  </si>
  <si>
    <t>Mirama Hills</t>
  </si>
  <si>
    <t>Oraba</t>
  </si>
  <si>
    <t>Padea</t>
  </si>
  <si>
    <t>MATANY</t>
  </si>
  <si>
    <t>KATAKWI</t>
  </si>
  <si>
    <t>IRIRI</t>
  </si>
  <si>
    <t>LORENGECHORA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</si>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</sst>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7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1"/>
      <name val="Arial"/>
      <family val="2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3" fillId="0" borderId="0"/>
    <xf numFmtId="0" fontId="15" fillId="0" borderId="0">
      <alignment vertical="center"/>
    </xf>
    <xf numFmtId="164" fontId="5" fillId="0" borderId="0" applyFont="0" applyFill="0" applyBorder="0" applyAlignment="0" applyProtection="0"/>
  </cellStyleXfs>
  <cellXfs count="145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0" fillId="3" borderId="3" xfId="0" applyNumberFormat="1" applyFill="1" applyBorder="1"/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0" fontId="3" fillId="3" borderId="2" xfId="0" applyFont="1" applyFill="1" applyBorder="1" applyAlignment="1">
      <alignment horizontal="center" vertical="center"/>
    </xf>
    <xf numFmtId="0" fontId="1" fillId="4" borderId="0" xfId="0" applyFont="1" applyFill="1"/>
    <xf numFmtId="0" fontId="0" fillId="4" borderId="0" xfId="0" applyFill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9" fillId="0" borderId="0" xfId="0" applyFont="1"/>
    <xf numFmtId="20" fontId="3" fillId="0" borderId="2" xfId="0" applyNumberFormat="1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0" fontId="11" fillId="0" borderId="2" xfId="0" applyFont="1" applyFill="1" applyBorder="1" applyAlignment="1">
      <alignment horizontal="left"/>
    </xf>
    <xf numFmtId="0" fontId="11" fillId="0" borderId="2" xfId="0" applyFont="1" applyFill="1" applyBorder="1" applyAlignment="1">
      <alignment horizontal="left" vertical="center"/>
    </xf>
    <xf numFmtId="165" fontId="11" fillId="3" borderId="2" xfId="0" applyNumberFormat="1" applyFont="1" applyFill="1" applyBorder="1" applyAlignment="1">
      <alignment horizontal="center"/>
    </xf>
    <xf numFmtId="20" fontId="3" fillId="3" borderId="2" xfId="0" applyNumberFormat="1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11" fillId="3" borderId="2" xfId="0" applyFont="1" applyFill="1" applyBorder="1"/>
    <xf numFmtId="0" fontId="11" fillId="3" borderId="2" xfId="0" applyFont="1" applyFill="1" applyBorder="1" applyAlignment="1">
      <alignment vertical="center"/>
    </xf>
    <xf numFmtId="20" fontId="3" fillId="0" borderId="2" xfId="0" applyNumberFormat="1" applyFont="1" applyFill="1" applyBorder="1" applyAlignment="1">
      <alignment vertical="center"/>
    </xf>
    <xf numFmtId="0" fontId="11" fillId="0" borderId="2" xfId="0" applyFont="1" applyFill="1" applyBorder="1"/>
    <xf numFmtId="0" fontId="11" fillId="0" borderId="2" xfId="0" applyFont="1" applyFill="1" applyBorder="1" applyAlignment="1">
      <alignment vertical="center"/>
    </xf>
    <xf numFmtId="20" fontId="3" fillId="2" borderId="2" xfId="0" applyNumberFormat="1" applyFont="1" applyFill="1" applyBorder="1" applyAlignment="1">
      <alignment vertical="center"/>
    </xf>
    <xf numFmtId="1" fontId="5" fillId="3" borderId="3" xfId="0" applyNumberFormat="1" applyFon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5" fillId="0" borderId="0" xfId="5" applyFill="1" applyBorder="1">
      <alignment vertical="center"/>
    </xf>
    <xf numFmtId="0" fontId="14" fillId="0" borderId="0" xfId="4" applyFont="1" applyFill="1" applyBorder="1" applyAlignment="1">
      <alignment horizontal="center"/>
    </xf>
    <xf numFmtId="0" fontId="12" fillId="0" borderId="0" xfId="5" applyFont="1" applyFill="1" applyBorder="1">
      <alignment vertical="center"/>
    </xf>
    <xf numFmtId="0" fontId="16" fillId="0" borderId="0" xfId="5" applyFont="1" applyFill="1" applyBorder="1">
      <alignment vertical="center"/>
    </xf>
    <xf numFmtId="0" fontId="15" fillId="5" borderId="0" xfId="5" applyFill="1" applyBorder="1">
      <alignment vertical="center"/>
    </xf>
    <xf numFmtId="0" fontId="16" fillId="5" borderId="0" xfId="5" applyFont="1" applyFill="1" applyBorder="1">
      <alignment vertical="center"/>
    </xf>
    <xf numFmtId="0" fontId="3" fillId="0" borderId="0" xfId="0" applyFont="1"/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6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6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8" borderId="2" xfId="6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6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3" fillId="0" borderId="21" xfId="0" applyFont="1" applyFill="1" applyBorder="1" applyAlignment="1">
      <alignment horizontal="center" vertical="center"/>
    </xf>
    <xf numFmtId="0" fontId="3" fillId="0" borderId="23" xfId="0" applyFont="1" applyFill="1" applyBorder="1" applyAlignment="1">
      <alignment horizontal="center" vertical="center"/>
    </xf>
    <xf numFmtId="0" fontId="3" fillId="0" borderId="21" xfId="0" applyFont="1" applyFill="1" applyBorder="1" applyAlignment="1">
      <alignment horizontal="left" vertical="center"/>
    </xf>
    <xf numFmtId="0" fontId="3" fillId="0" borderId="23" xfId="0" applyFont="1" applyFill="1" applyBorder="1" applyAlignment="1">
      <alignment horizontal="left" vertical="center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</cellXfs>
  <cellStyles count="7">
    <cellStyle name="Comma" xfId="1" builtinId="3"/>
    <cellStyle name="Comma 2" xfId="6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_Indicators_12" xfId="4" xr:uid="{00000000-0005-0000-0000-000005000000}"/>
    <cellStyle name="Percent 2" xfId="2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842-49F7-83A3-ACDC613252F2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842-49F7-83A3-ACDC613252F2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842-49F7-83A3-ACDC613252F2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842-49F7-83A3-ACDC613252F2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842-49F7-83A3-ACDC613252F2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842-49F7-83A3-ACDC613252F2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842-49F7-83A3-ACDC613252F2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842-49F7-83A3-ACDC613252F2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842-49F7-83A3-ACDC613252F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842-49F7-83A3-ACDC613252F2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842-49F7-83A3-ACDC613252F2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842-49F7-83A3-ACDC613252F2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842-49F7-83A3-ACDC613252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26</c:v>
                </c:pt>
                <c:pt idx="1">
                  <c:v>30</c:v>
                </c:pt>
                <c:pt idx="2">
                  <c:v>20</c:v>
                </c:pt>
                <c:pt idx="3">
                  <c:v>18</c:v>
                </c:pt>
                <c:pt idx="4">
                  <c:v>1</c:v>
                </c:pt>
                <c:pt idx="5">
                  <c:v>3</c:v>
                </c:pt>
                <c:pt idx="6">
                  <c:v>9</c:v>
                </c:pt>
                <c:pt idx="7">
                  <c:v>7</c:v>
                </c:pt>
                <c:pt idx="8">
                  <c:v>9</c:v>
                </c:pt>
                <c:pt idx="9">
                  <c:v>4</c:v>
                </c:pt>
                <c:pt idx="10">
                  <c:v>19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842-49F7-83A3-ACDC61325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EA6-4738-9C34-842ABC32A7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EA6-4738-9C34-842ABC32A764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EA6-4738-9C34-842ABC32A7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EA6-4738-9C34-842ABC32A764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EA6-4738-9C34-842ABC32A764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6-4738-9C34-842ABC32A764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6-4738-9C34-842ABC32A764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6-4738-9C34-842ABC32A764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6-4738-9C34-842ABC32A76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26</c:v>
                </c:pt>
                <c:pt idx="1">
                  <c:v>3</c:v>
                </c:pt>
                <c:pt idx="2">
                  <c:v>9</c:v>
                </c:pt>
                <c:pt idx="3">
                  <c:v>71</c:v>
                </c:pt>
                <c:pt idx="4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EA6-4738-9C34-842ABC32A76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0.72602739726027399</c:v>
                </c:pt>
                <c:pt idx="1">
                  <c:v>0.27397260273972601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DCF-9092-2DED58A31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1434.7826086956522</c:v>
                </c:pt>
                <c:pt idx="1">
                  <c:v>692.30769230769226</c:v>
                </c:pt>
                <c:pt idx="2">
                  <c:v>722.22222222222217</c:v>
                </c:pt>
                <c:pt idx="3">
                  <c:v>800</c:v>
                </c:pt>
                <c:pt idx="4">
                  <c:v>4000</c:v>
                </c:pt>
                <c:pt idx="5">
                  <c:v>6666.666666666667</c:v>
                </c:pt>
                <c:pt idx="6">
                  <c:v>1375</c:v>
                </c:pt>
                <c:pt idx="7">
                  <c:v>2500</c:v>
                </c:pt>
                <c:pt idx="8">
                  <c:v>857.14285714285711</c:v>
                </c:pt>
                <c:pt idx="9">
                  <c:v>500</c:v>
                </c:pt>
                <c:pt idx="10">
                  <c:v>764.70588235294122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AC-4191-9E75-A7F8A7E3F64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12</c:v>
                </c:pt>
                <c:pt idx="4">
                  <c:v>33</c:v>
                </c:pt>
                <c:pt idx="5">
                  <c:v>32</c:v>
                </c:pt>
                <c:pt idx="6">
                  <c:v>1</c:v>
                </c:pt>
                <c:pt idx="7">
                  <c:v>22</c:v>
                </c:pt>
                <c:pt idx="8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1F-4814-B0DE-C2D3E06CCF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16</c:v>
                </c:pt>
                <c:pt idx="1">
                  <c:v>35</c:v>
                </c:pt>
                <c:pt idx="2">
                  <c:v>4</c:v>
                </c:pt>
                <c:pt idx="3">
                  <c:v>12</c:v>
                </c:pt>
                <c:pt idx="4">
                  <c:v>3</c:v>
                </c:pt>
                <c:pt idx="5">
                  <c:v>8</c:v>
                </c:pt>
                <c:pt idx="6">
                  <c:v>24</c:v>
                </c:pt>
                <c:pt idx="7">
                  <c:v>11</c:v>
                </c:pt>
                <c:pt idx="8">
                  <c:v>3</c:v>
                </c:pt>
                <c:pt idx="9">
                  <c:v>6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D4-4F61-9406-EF9AA39A8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17B-469B-BA8F-C43725ADFCB1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17B-469B-BA8F-C43725ADFCB1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17B-469B-BA8F-C43725ADFCB1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17B-469B-BA8F-C43725ADFCB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17B-469B-BA8F-C43725ADFCB1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17B-469B-BA8F-C43725ADFCB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6</c:v>
                </c:pt>
                <c:pt idx="1">
                  <c:v>82</c:v>
                </c:pt>
                <c:pt idx="2">
                  <c:v>18</c:v>
                </c:pt>
                <c:pt idx="3">
                  <c:v>7</c:v>
                </c:pt>
                <c:pt idx="4">
                  <c:v>8</c:v>
                </c:pt>
                <c:pt idx="5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17B-469B-BA8F-C43725ADFC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761999</xdr:colOff>
      <xdr:row>2</xdr:row>
      <xdr:rowOff>187325</xdr:rowOff>
    </xdr:from>
    <xdr:to>
      <xdr:col>11</xdr:col>
      <xdr:colOff>304799</xdr:colOff>
      <xdr:row>17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0B4EEC-3CAC-4BF5-BAF0-BB42C802C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22</xdr:row>
      <xdr:rowOff>24180</xdr:rowOff>
    </xdr:from>
    <xdr:to>
      <xdr:col>11</xdr:col>
      <xdr:colOff>44937</xdr:colOff>
      <xdr:row>38</xdr:row>
      <xdr:rowOff>58617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0E4BE8-DF09-403F-8039-08BA50A95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10012</xdr:colOff>
      <xdr:row>40</xdr:row>
      <xdr:rowOff>22714</xdr:rowOff>
    </xdr:from>
    <xdr:to>
      <xdr:col>11</xdr:col>
      <xdr:colOff>314812</xdr:colOff>
      <xdr:row>56</xdr:row>
      <xdr:rowOff>124314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15F20C-BD33-4815-8399-6ACE317BF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184150</xdr:rowOff>
    </xdr:from>
    <xdr:to>
      <xdr:col>10</xdr:col>
      <xdr:colOff>546100</xdr:colOff>
      <xdr:row>74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BB4208-56BE-4573-9536-C7ACA489A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15873</xdr:colOff>
      <xdr:row>77</xdr:row>
      <xdr:rowOff>200025</xdr:rowOff>
    </xdr:from>
    <xdr:to>
      <xdr:col>12</xdr:col>
      <xdr:colOff>555625</xdr:colOff>
      <xdr:row>94</xdr:row>
      <xdr:rowOff>79375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098148-81AF-46D7-BBC5-C7953BFF2F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3173</xdr:colOff>
      <xdr:row>3</xdr:row>
      <xdr:rowOff>0</xdr:rowOff>
    </xdr:from>
    <xdr:to>
      <xdr:col>25</xdr:col>
      <xdr:colOff>187325</xdr:colOff>
      <xdr:row>18</xdr:row>
      <xdr:rowOff>146050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4E327D-A7EA-4286-B473-DBEEAC2839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15872</xdr:colOff>
      <xdr:row>20</xdr:row>
      <xdr:rowOff>155574</xdr:rowOff>
    </xdr:from>
    <xdr:to>
      <xdr:col>24</xdr:col>
      <xdr:colOff>379778</xdr:colOff>
      <xdr:row>39</xdr:row>
      <xdr:rowOff>72047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650AFFF-10C2-4235-83ED-933C15FED9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STEWARD%20CONSULTANT\Desktop\EXAMPLES\OD-C1-STN10-EXAMPLE%20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D4C46-4572-4F08-B219-244C4E6FDD83}">
  <dimension ref="A2:Y88"/>
  <sheetViews>
    <sheetView tabSelected="1" view="pageBreakPreview" topLeftCell="A31" zoomScale="60" zoomScaleNormal="60" workbookViewId="0">
      <selection activeCell="N61" sqref="N61"/>
    </sheetView>
  </sheetViews>
  <sheetFormatPr defaultRowHeight="12.75"/>
  <cols>
    <col min="1" max="1" width="3.85546875" style="49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48"/>
      <c r="B2" s="1"/>
      <c r="C2" s="19"/>
    </row>
    <row r="3" spans="1:17" ht="15">
      <c r="B3" s="75" t="s">
        <v>2052</v>
      </c>
      <c r="N3" s="1" t="s">
        <v>2053</v>
      </c>
    </row>
    <row r="4" spans="1:17" ht="38.25">
      <c r="B4" s="76" t="s">
        <v>140</v>
      </c>
      <c r="C4" s="76" t="s">
        <v>2054</v>
      </c>
      <c r="D4" s="76" t="s">
        <v>2055</v>
      </c>
      <c r="N4" s="77" t="s">
        <v>2056</v>
      </c>
      <c r="O4" s="77" t="s">
        <v>2057</v>
      </c>
      <c r="P4" s="77" t="s">
        <v>2058</v>
      </c>
      <c r="Q4" s="78" t="s">
        <v>2059</v>
      </c>
    </row>
    <row r="5" spans="1:17" ht="15" customHeight="1">
      <c r="B5" s="79" t="s">
        <v>74</v>
      </c>
      <c r="C5" s="80">
        <f>COUNTIF('ALL DATA'!$D$9:$D$5000,"1")</f>
        <v>26</v>
      </c>
      <c r="D5" s="81">
        <f t="shared" ref="D5:D16" si="0">C5/$C$17</f>
        <v>0.17808219178082191</v>
      </c>
      <c r="N5" s="82" t="s">
        <v>2060</v>
      </c>
      <c r="O5" s="83">
        <f>COUNTIF(Jtime,"&lt;=0.25")</f>
        <v>16</v>
      </c>
      <c r="P5" s="84">
        <f>O5</f>
        <v>16</v>
      </c>
      <c r="Q5" s="85">
        <f>P5/$O$15</f>
        <v>0.128</v>
      </c>
    </row>
    <row r="6" spans="1:17" ht="15" customHeight="1">
      <c r="B6" s="79" t="s">
        <v>75</v>
      </c>
      <c r="C6" s="80">
        <f>COUNTIF('ALL DATA'!$D$9:$D$5000,"2")</f>
        <v>30</v>
      </c>
      <c r="D6" s="81">
        <f t="shared" si="0"/>
        <v>0.20547945205479451</v>
      </c>
      <c r="N6" s="82" t="s">
        <v>2061</v>
      </c>
      <c r="O6" s="83">
        <f>COUNTIF(Jtime,"&lt;=0.5")</f>
        <v>51</v>
      </c>
      <c r="P6" s="84">
        <f>O6-O5</f>
        <v>35</v>
      </c>
      <c r="Q6" s="85">
        <f t="shared" ref="Q6:Q15" si="1">P6/$O$15</f>
        <v>0.28000000000000003</v>
      </c>
    </row>
    <row r="7" spans="1:17" ht="15" customHeight="1">
      <c r="B7" s="79" t="s">
        <v>76</v>
      </c>
      <c r="C7" s="80">
        <f>COUNTIF('ALL DATA'!$D$9:$D$5000,"3")</f>
        <v>20</v>
      </c>
      <c r="D7" s="81">
        <f t="shared" si="0"/>
        <v>0.13698630136986301</v>
      </c>
      <c r="N7" s="82" t="s">
        <v>2062</v>
      </c>
      <c r="O7" s="83">
        <f>COUNTIF(Jtime,"&lt;=0.75")</f>
        <v>55</v>
      </c>
      <c r="P7" s="84">
        <f t="shared" ref="P7:P15" si="2">O7-O6</f>
        <v>4</v>
      </c>
      <c r="Q7" s="85">
        <f t="shared" si="1"/>
        <v>3.2000000000000001E-2</v>
      </c>
    </row>
    <row r="8" spans="1:17" ht="15" customHeight="1">
      <c r="B8" s="79" t="s">
        <v>77</v>
      </c>
      <c r="C8" s="80">
        <f>COUNTIF('ALL DATA'!$D$9:$D$5000,"4")</f>
        <v>18</v>
      </c>
      <c r="D8" s="81">
        <f t="shared" si="0"/>
        <v>0.12328767123287671</v>
      </c>
      <c r="N8" s="82" t="s">
        <v>2063</v>
      </c>
      <c r="O8" s="83">
        <f>COUNTIF(Jtime,"&lt;=1.0")</f>
        <v>67</v>
      </c>
      <c r="P8" s="84">
        <f t="shared" si="2"/>
        <v>12</v>
      </c>
      <c r="Q8" s="85">
        <f t="shared" si="1"/>
        <v>9.6000000000000002E-2</v>
      </c>
    </row>
    <row r="9" spans="1:17" ht="15" customHeight="1">
      <c r="B9" s="79" t="s">
        <v>78</v>
      </c>
      <c r="C9" s="80">
        <f>COUNTIF('ALL DATA'!$D$9:$D$5000,"5")</f>
        <v>1</v>
      </c>
      <c r="D9" s="81">
        <f t="shared" si="0"/>
        <v>6.8493150684931503E-3</v>
      </c>
      <c r="N9" s="82" t="s">
        <v>2064</v>
      </c>
      <c r="O9" s="83">
        <f>COUNTIF(Jtime,"&lt;=1.5")</f>
        <v>70</v>
      </c>
      <c r="P9" s="84">
        <f t="shared" si="2"/>
        <v>3</v>
      </c>
      <c r="Q9" s="85">
        <f t="shared" si="1"/>
        <v>2.4E-2</v>
      </c>
    </row>
    <row r="10" spans="1:17" ht="15" customHeight="1">
      <c r="B10" s="79" t="s">
        <v>79</v>
      </c>
      <c r="C10" s="80">
        <f>COUNTIF('ALL DATA'!$D$9:$D$5000,"6")</f>
        <v>3</v>
      </c>
      <c r="D10" s="81">
        <f t="shared" si="0"/>
        <v>2.0547945205479451E-2</v>
      </c>
      <c r="N10" s="82" t="s">
        <v>2065</v>
      </c>
      <c r="O10" s="83">
        <f>COUNTIF(Jtime,"&lt;=2")</f>
        <v>78</v>
      </c>
      <c r="P10" s="84">
        <f t="shared" si="2"/>
        <v>8</v>
      </c>
      <c r="Q10" s="85">
        <f t="shared" si="1"/>
        <v>6.4000000000000001E-2</v>
      </c>
    </row>
    <row r="11" spans="1:17" ht="15" customHeight="1">
      <c r="B11" s="79" t="s">
        <v>80</v>
      </c>
      <c r="C11" s="80">
        <f>COUNTIF('ALL DATA'!$D$9:$D$5000,"7")</f>
        <v>9</v>
      </c>
      <c r="D11" s="81">
        <f t="shared" si="0"/>
        <v>6.1643835616438353E-2</v>
      </c>
      <c r="N11" s="82" t="s">
        <v>2066</v>
      </c>
      <c r="O11" s="83">
        <f>COUNTIF(Jtime,"&lt;=3")</f>
        <v>102</v>
      </c>
      <c r="P11" s="84">
        <f t="shared" si="2"/>
        <v>24</v>
      </c>
      <c r="Q11" s="85">
        <f t="shared" si="1"/>
        <v>0.192</v>
      </c>
    </row>
    <row r="12" spans="1:17" ht="15" customHeight="1">
      <c r="B12" s="79" t="s">
        <v>81</v>
      </c>
      <c r="C12" s="80">
        <f>COUNTIF('ALL DATA'!$D$9:$D$5000,"8")</f>
        <v>7</v>
      </c>
      <c r="D12" s="81">
        <f t="shared" si="0"/>
        <v>4.7945205479452052E-2</v>
      </c>
      <c r="N12" s="82" t="s">
        <v>2067</v>
      </c>
      <c r="O12" s="83">
        <f>COUNTIF(Jtime,"&lt;=5")</f>
        <v>113</v>
      </c>
      <c r="P12" s="84">
        <f t="shared" si="2"/>
        <v>11</v>
      </c>
      <c r="Q12" s="85">
        <f t="shared" si="1"/>
        <v>8.7999999999999995E-2</v>
      </c>
    </row>
    <row r="13" spans="1:17" ht="15" customHeight="1">
      <c r="B13" s="79" t="s">
        <v>82</v>
      </c>
      <c r="C13" s="80">
        <f>COUNTIF('ALL DATA'!$D$9:$D$5000,"9")</f>
        <v>9</v>
      </c>
      <c r="D13" s="81">
        <f t="shared" si="0"/>
        <v>6.1643835616438353E-2</v>
      </c>
      <c r="N13" s="82" t="s">
        <v>2068</v>
      </c>
      <c r="O13" s="83">
        <f>COUNTIF(Jtime,"&lt;=7.5")</f>
        <v>116</v>
      </c>
      <c r="P13" s="84">
        <f t="shared" si="2"/>
        <v>3</v>
      </c>
      <c r="Q13" s="85">
        <f t="shared" si="1"/>
        <v>2.4E-2</v>
      </c>
    </row>
    <row r="14" spans="1:17" ht="15" customHeight="1">
      <c r="B14" s="79" t="s">
        <v>83</v>
      </c>
      <c r="C14" s="80">
        <f>COUNTIF('ALL DATA'!$D$9:$D$5000,"10")</f>
        <v>4</v>
      </c>
      <c r="D14" s="81">
        <f t="shared" si="0"/>
        <v>2.7397260273972601E-2</v>
      </c>
      <c r="N14" s="82" t="s">
        <v>2069</v>
      </c>
      <c r="O14" s="83">
        <f>COUNTIF(Jtime,"&lt;=10")</f>
        <v>122</v>
      </c>
      <c r="P14" s="84">
        <f t="shared" si="2"/>
        <v>6</v>
      </c>
      <c r="Q14" s="85">
        <f t="shared" si="1"/>
        <v>4.8000000000000001E-2</v>
      </c>
    </row>
    <row r="15" spans="1:17" ht="15" customHeight="1">
      <c r="B15" s="79" t="s">
        <v>85</v>
      </c>
      <c r="C15" s="80">
        <f>COUNTIF('ALL DATA'!$D$9:$D$5000,"11")</f>
        <v>19</v>
      </c>
      <c r="D15" s="81">
        <f t="shared" si="0"/>
        <v>0.13013698630136986</v>
      </c>
      <c r="N15" s="82" t="s">
        <v>2070</v>
      </c>
      <c r="O15" s="83">
        <f>COUNTIF(Jtime,"&lt;=15")</f>
        <v>125</v>
      </c>
      <c r="P15" s="84">
        <f t="shared" si="2"/>
        <v>3</v>
      </c>
      <c r="Q15" s="85">
        <f t="shared" si="1"/>
        <v>2.4E-2</v>
      </c>
    </row>
    <row r="16" spans="1:17">
      <c r="B16" s="79" t="s">
        <v>84</v>
      </c>
      <c r="C16" s="80">
        <f>COUNTIF('ALL DATA'!$D$9:$D$5000,"12")</f>
        <v>0</v>
      </c>
      <c r="D16" s="81">
        <f t="shared" si="0"/>
        <v>0</v>
      </c>
    </row>
    <row r="17" spans="2:16">
      <c r="B17" s="80"/>
      <c r="C17" s="86">
        <f>SUM(C5:C16)</f>
        <v>146</v>
      </c>
      <c r="D17" s="80"/>
    </row>
    <row r="21" spans="2:16">
      <c r="N21" s="1" t="s">
        <v>111</v>
      </c>
    </row>
    <row r="22" spans="2:16" ht="39">
      <c r="B22" s="75" t="s">
        <v>141</v>
      </c>
      <c r="N22" s="87" t="s">
        <v>111</v>
      </c>
      <c r="O22" s="87" t="s">
        <v>2058</v>
      </c>
      <c r="P22" s="88" t="s">
        <v>2059</v>
      </c>
    </row>
    <row r="23" spans="2:16" ht="15" customHeight="1">
      <c r="B23" s="89" t="s">
        <v>2071</v>
      </c>
      <c r="C23" s="89" t="s">
        <v>2072</v>
      </c>
      <c r="D23" s="89" t="s">
        <v>2073</v>
      </c>
      <c r="N23" s="90" t="s">
        <v>2074</v>
      </c>
      <c r="O23" s="91">
        <f>COUNTIF(Tripfreq,"=1")</f>
        <v>6</v>
      </c>
      <c r="P23" s="81">
        <f>O23/$O$29</f>
        <v>4.4117647058823532E-2</v>
      </c>
    </row>
    <row r="24" spans="2:16" ht="15" customHeight="1">
      <c r="B24" s="92" t="s">
        <v>142</v>
      </c>
      <c r="C24" s="93">
        <f>COUNTIF('ALL DATA'!$R$9:$R$5000,"Home-Work")</f>
        <v>26</v>
      </c>
      <c r="D24" s="94">
        <f>C24/$C$29</f>
        <v>0.17808219178082191</v>
      </c>
      <c r="N24" s="90" t="s">
        <v>113</v>
      </c>
      <c r="O24" s="91">
        <f>COUNTIF(Tripfreq,"=2")</f>
        <v>82</v>
      </c>
      <c r="P24" s="81">
        <f t="shared" ref="P24:P28" si="3">O24/$O$29</f>
        <v>0.6029411764705882</v>
      </c>
    </row>
    <row r="25" spans="2:16" ht="15" customHeight="1">
      <c r="B25" s="92" t="s">
        <v>143</v>
      </c>
      <c r="C25" s="93">
        <f>COUNTIF('ALL DATA'!$R$9:$R$369,"Home-Study")</f>
        <v>3</v>
      </c>
      <c r="D25" s="94">
        <f>C25/$C$29</f>
        <v>2.0547945205479451E-2</v>
      </c>
      <c r="N25" s="90" t="s">
        <v>114</v>
      </c>
      <c r="O25" s="91">
        <f>COUNTIF(Tripfreq,"=3")</f>
        <v>18</v>
      </c>
      <c r="P25" s="81">
        <f t="shared" si="3"/>
        <v>0.13235294117647059</v>
      </c>
    </row>
    <row r="26" spans="2:16" ht="15" customHeight="1">
      <c r="B26" s="92" t="s">
        <v>144</v>
      </c>
      <c r="C26" s="93">
        <f>COUNTIF('ALL DATA'!$R$9:$R$369,"Work-Home")</f>
        <v>9</v>
      </c>
      <c r="D26" s="94">
        <f>C26/$C$29</f>
        <v>6.1643835616438353E-2</v>
      </c>
      <c r="N26" s="90" t="s">
        <v>115</v>
      </c>
      <c r="O26" s="91">
        <f>COUNTIF(Tripfreq,"=4")</f>
        <v>7</v>
      </c>
      <c r="P26" s="81">
        <f t="shared" si="3"/>
        <v>5.1470588235294115E-2</v>
      </c>
    </row>
    <row r="27" spans="2:16" ht="15" customHeight="1">
      <c r="B27" s="92" t="s">
        <v>145</v>
      </c>
      <c r="C27" s="93">
        <f>COUNTIF('ALL DATA'!$R$9:$R$369,"Work-Work")</f>
        <v>71</v>
      </c>
      <c r="D27" s="94">
        <f>C27/$C$29</f>
        <v>0.4863013698630137</v>
      </c>
      <c r="N27" s="90" t="s">
        <v>116</v>
      </c>
      <c r="O27" s="91">
        <f>COUNTIF(Tripfreq,"=5")</f>
        <v>8</v>
      </c>
      <c r="P27" s="81">
        <f t="shared" si="3"/>
        <v>5.8823529411764705E-2</v>
      </c>
    </row>
    <row r="28" spans="2:16" ht="15" customHeight="1">
      <c r="B28" s="92" t="s">
        <v>110</v>
      </c>
      <c r="C28" s="93">
        <f>C29-SUM(C24:C27)</f>
        <v>37</v>
      </c>
      <c r="D28" s="94">
        <f>C28/$C$29</f>
        <v>0.25342465753424659</v>
      </c>
      <c r="N28" s="90" t="s">
        <v>117</v>
      </c>
      <c r="O28" s="91">
        <f>COUNTIF(Tripfreq,"=6")</f>
        <v>15</v>
      </c>
      <c r="P28" s="81">
        <f t="shared" si="3"/>
        <v>0.11029411764705882</v>
      </c>
    </row>
    <row r="29" spans="2:16" ht="15" customHeight="1">
      <c r="B29" s="95" t="s">
        <v>146</v>
      </c>
      <c r="C29" s="95">
        <f>C17</f>
        <v>146</v>
      </c>
      <c r="D29" s="93"/>
      <c r="N29" s="79"/>
      <c r="O29" s="96">
        <f>SUM(O23:O28)</f>
        <v>136</v>
      </c>
      <c r="P29" s="81"/>
    </row>
    <row r="40" spans="2:25">
      <c r="B40" s="1" t="s">
        <v>147</v>
      </c>
    </row>
    <row r="41" spans="2:25">
      <c r="B41" s="97" t="s">
        <v>2075</v>
      </c>
      <c r="C41" s="97" t="s">
        <v>2076</v>
      </c>
      <c r="D41" s="97" t="s">
        <v>2073</v>
      </c>
    </row>
    <row r="42" spans="2:25">
      <c r="B42" s="98" t="s">
        <v>32</v>
      </c>
      <c r="C42" s="99">
        <f>COUNTIF('ALL DATA'!$Y$9:$Y$5000,"Y")</f>
        <v>106</v>
      </c>
      <c r="D42" s="85">
        <f>C42/$C$44</f>
        <v>0.72602739726027399</v>
      </c>
    </row>
    <row r="43" spans="2:25">
      <c r="B43" s="98" t="s">
        <v>148</v>
      </c>
      <c r="C43" s="99">
        <f>C44-C42</f>
        <v>40</v>
      </c>
      <c r="D43" s="85">
        <f>C43/$C$44</f>
        <v>0.27397260273972601</v>
      </c>
    </row>
    <row r="44" spans="2:25">
      <c r="B44" s="100" t="s">
        <v>146</v>
      </c>
      <c r="C44" s="100">
        <f>C29</f>
        <v>146</v>
      </c>
      <c r="D44" s="99"/>
    </row>
    <row r="47" spans="2:25">
      <c r="R47" s="142" t="s">
        <v>104</v>
      </c>
      <c r="S47" s="142" t="s">
        <v>105</v>
      </c>
      <c r="T47" s="142" t="s">
        <v>106</v>
      </c>
      <c r="U47" s="142" t="s">
        <v>107</v>
      </c>
      <c r="V47" s="142" t="s">
        <v>108</v>
      </c>
      <c r="W47" s="142" t="s">
        <v>109</v>
      </c>
      <c r="X47" s="142" t="s">
        <v>91</v>
      </c>
      <c r="Y47" s="142" t="s">
        <v>110</v>
      </c>
    </row>
    <row r="48" spans="2:25">
      <c r="P48">
        <v>1</v>
      </c>
      <c r="Q48" s="143" t="s">
        <v>104</v>
      </c>
      <c r="R48" s="144">
        <f t="shared" ref="R48:Y55" si="4">R59/SUM($R$59:$Y$66)</f>
        <v>5.4794520547945202E-2</v>
      </c>
      <c r="S48" s="144">
        <f t="shared" si="4"/>
        <v>0.17808219178082191</v>
      </c>
      <c r="T48" s="144">
        <f t="shared" si="4"/>
        <v>2.0547945205479451E-2</v>
      </c>
      <c r="U48" s="144">
        <f t="shared" si="4"/>
        <v>6.8493150684931503E-3</v>
      </c>
      <c r="V48" s="144">
        <f t="shared" si="4"/>
        <v>0</v>
      </c>
      <c r="W48" s="144">
        <f t="shared" si="4"/>
        <v>0</v>
      </c>
      <c r="X48" s="144">
        <f t="shared" si="4"/>
        <v>2.0547945205479451E-2</v>
      </c>
      <c r="Y48" s="144">
        <f t="shared" si="4"/>
        <v>3.4246575342465752E-2</v>
      </c>
    </row>
    <row r="49" spans="2:25">
      <c r="P49">
        <v>2</v>
      </c>
      <c r="Q49" s="143" t="s">
        <v>105</v>
      </c>
      <c r="R49" s="144">
        <f t="shared" si="4"/>
        <v>6.1643835616438353E-2</v>
      </c>
      <c r="S49" s="144">
        <f t="shared" si="4"/>
        <v>0.4863013698630137</v>
      </c>
      <c r="T49" s="144">
        <f t="shared" si="4"/>
        <v>6.8493150684931503E-3</v>
      </c>
      <c r="U49" s="144">
        <f t="shared" si="4"/>
        <v>0</v>
      </c>
      <c r="V49" s="144">
        <f t="shared" si="4"/>
        <v>0</v>
      </c>
      <c r="W49" s="144">
        <f t="shared" si="4"/>
        <v>6.8493150684931503E-3</v>
      </c>
      <c r="X49" s="144">
        <f t="shared" si="4"/>
        <v>0</v>
      </c>
      <c r="Y49" s="144">
        <f t="shared" si="4"/>
        <v>1.3698630136986301E-2</v>
      </c>
    </row>
    <row r="50" spans="2:25">
      <c r="P50">
        <v>3</v>
      </c>
      <c r="Q50" s="143" t="s">
        <v>106</v>
      </c>
      <c r="R50" s="144">
        <f t="shared" si="4"/>
        <v>0</v>
      </c>
      <c r="S50" s="144">
        <f t="shared" si="4"/>
        <v>6.8493150684931503E-3</v>
      </c>
      <c r="T50" s="144">
        <f t="shared" si="4"/>
        <v>0</v>
      </c>
      <c r="U50" s="144">
        <f t="shared" si="4"/>
        <v>0</v>
      </c>
      <c r="V50" s="144">
        <f t="shared" si="4"/>
        <v>0</v>
      </c>
      <c r="W50" s="144">
        <f t="shared" si="4"/>
        <v>0</v>
      </c>
      <c r="X50" s="144">
        <f t="shared" si="4"/>
        <v>0</v>
      </c>
      <c r="Y50" s="144">
        <f t="shared" si="4"/>
        <v>0</v>
      </c>
    </row>
    <row r="51" spans="2:25">
      <c r="P51">
        <v>4</v>
      </c>
      <c r="Q51" s="143" t="s">
        <v>107</v>
      </c>
      <c r="R51" s="144">
        <f t="shared" si="4"/>
        <v>0</v>
      </c>
      <c r="S51" s="144">
        <f t="shared" si="4"/>
        <v>1.3698630136986301E-2</v>
      </c>
      <c r="T51" s="144">
        <f t="shared" si="4"/>
        <v>0</v>
      </c>
      <c r="U51" s="144">
        <f t="shared" si="4"/>
        <v>3.4246575342465752E-2</v>
      </c>
      <c r="V51" s="144">
        <f t="shared" si="4"/>
        <v>0</v>
      </c>
      <c r="W51" s="144">
        <f t="shared" si="4"/>
        <v>0</v>
      </c>
      <c r="X51" s="144">
        <f t="shared" si="4"/>
        <v>0</v>
      </c>
      <c r="Y51" s="144">
        <f t="shared" si="4"/>
        <v>0</v>
      </c>
    </row>
    <row r="52" spans="2:25">
      <c r="P52">
        <v>5</v>
      </c>
      <c r="Q52" s="143" t="s">
        <v>108</v>
      </c>
      <c r="R52" s="144">
        <f t="shared" si="4"/>
        <v>0</v>
      </c>
      <c r="S52" s="144">
        <f t="shared" si="4"/>
        <v>0</v>
      </c>
      <c r="T52" s="144">
        <f t="shared" si="4"/>
        <v>0</v>
      </c>
      <c r="U52" s="144">
        <f t="shared" si="4"/>
        <v>0</v>
      </c>
      <c r="V52" s="144">
        <f t="shared" si="4"/>
        <v>6.8493150684931503E-3</v>
      </c>
      <c r="W52" s="144">
        <f t="shared" si="4"/>
        <v>6.8493150684931503E-3</v>
      </c>
      <c r="X52" s="144">
        <f t="shared" si="4"/>
        <v>0</v>
      </c>
      <c r="Y52" s="144">
        <f t="shared" si="4"/>
        <v>0</v>
      </c>
    </row>
    <row r="53" spans="2:25">
      <c r="P53">
        <v>6</v>
      </c>
      <c r="Q53" s="143" t="s">
        <v>109</v>
      </c>
      <c r="R53" s="144">
        <f t="shared" si="4"/>
        <v>0</v>
      </c>
      <c r="S53" s="144">
        <f t="shared" si="4"/>
        <v>0</v>
      </c>
      <c r="T53" s="144">
        <f t="shared" si="4"/>
        <v>0</v>
      </c>
      <c r="U53" s="144">
        <f t="shared" si="4"/>
        <v>0</v>
      </c>
      <c r="V53" s="144">
        <f t="shared" si="4"/>
        <v>0</v>
      </c>
      <c r="W53" s="144">
        <f t="shared" si="4"/>
        <v>1.3698630136986301E-2</v>
      </c>
      <c r="X53" s="144">
        <f t="shared" si="4"/>
        <v>0</v>
      </c>
      <c r="Y53" s="144">
        <f t="shared" si="4"/>
        <v>0</v>
      </c>
    </row>
    <row r="54" spans="2:25">
      <c r="P54">
        <v>7</v>
      </c>
      <c r="Q54" s="143" t="s">
        <v>91</v>
      </c>
      <c r="R54" s="144">
        <f t="shared" si="4"/>
        <v>0</v>
      </c>
      <c r="S54" s="144">
        <f t="shared" si="4"/>
        <v>0</v>
      </c>
      <c r="T54" s="144">
        <f t="shared" si="4"/>
        <v>0</v>
      </c>
      <c r="U54" s="144">
        <f t="shared" si="4"/>
        <v>0</v>
      </c>
      <c r="V54" s="144">
        <f t="shared" si="4"/>
        <v>0</v>
      </c>
      <c r="W54" s="144">
        <f t="shared" si="4"/>
        <v>0</v>
      </c>
      <c r="X54" s="144">
        <f t="shared" si="4"/>
        <v>0</v>
      </c>
      <c r="Y54" s="144">
        <f t="shared" si="4"/>
        <v>0</v>
      </c>
    </row>
    <row r="55" spans="2:25">
      <c r="P55">
        <v>8</v>
      </c>
      <c r="Q55" s="143" t="s">
        <v>110</v>
      </c>
      <c r="R55" s="144">
        <f t="shared" si="4"/>
        <v>0</v>
      </c>
      <c r="S55" s="144">
        <f t="shared" si="4"/>
        <v>0</v>
      </c>
      <c r="T55" s="144">
        <f t="shared" si="4"/>
        <v>0</v>
      </c>
      <c r="U55" s="144">
        <f t="shared" si="4"/>
        <v>0</v>
      </c>
      <c r="V55" s="144">
        <f t="shared" si="4"/>
        <v>0</v>
      </c>
      <c r="W55" s="144">
        <f t="shared" si="4"/>
        <v>0</v>
      </c>
      <c r="X55" s="144">
        <f t="shared" si="4"/>
        <v>0</v>
      </c>
      <c r="Y55" s="144">
        <f t="shared" si="4"/>
        <v>2.7397260273972601E-2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2077</v>
      </c>
      <c r="R58" t="s">
        <v>104</v>
      </c>
      <c r="S58" t="s">
        <v>105</v>
      </c>
      <c r="T58" t="s">
        <v>106</v>
      </c>
      <c r="U58" t="s">
        <v>107</v>
      </c>
      <c r="V58" t="s">
        <v>108</v>
      </c>
      <c r="W58" t="s">
        <v>109</v>
      </c>
      <c r="X58" t="s">
        <v>91</v>
      </c>
      <c r="Y58" t="s">
        <v>110</v>
      </c>
    </row>
    <row r="59" spans="2:25">
      <c r="B59" s="101" t="s">
        <v>140</v>
      </c>
      <c r="C59" s="102" t="s">
        <v>2078</v>
      </c>
      <c r="P59">
        <v>1</v>
      </c>
      <c r="Q59" t="s">
        <v>104</v>
      </c>
      <c r="R59">
        <f>COUNTIF('ALL DATA'!$R$9:$R$5000,R69)</f>
        <v>8</v>
      </c>
      <c r="S59">
        <f>COUNTIF('ALL DATA'!$R$9:$R$5000,S69)</f>
        <v>26</v>
      </c>
      <c r="T59">
        <f>COUNTIF('ALL DATA'!$R$9:$R$5000,T69)</f>
        <v>3</v>
      </c>
      <c r="U59">
        <f>COUNTIF('ALL DATA'!$R$9:$R$5000,U69)</f>
        <v>1</v>
      </c>
      <c r="V59">
        <f>COUNTIF('ALL DATA'!$R$9:$R$5000,V69)</f>
        <v>0</v>
      </c>
      <c r="W59">
        <f>COUNTIF('ALL DATA'!$R$9:$R$5000,W69)</f>
        <v>0</v>
      </c>
      <c r="X59">
        <f>COUNTIF('ALL DATA'!$R$9:$R$5000,X69)</f>
        <v>3</v>
      </c>
      <c r="Y59">
        <f>COUNTIF('ALL DATA'!$R$9:$R$5000,Y69)</f>
        <v>5</v>
      </c>
    </row>
    <row r="60" spans="2:25" ht="15" customHeight="1">
      <c r="B60" s="82" t="s">
        <v>74</v>
      </c>
      <c r="C60" s="83">
        <f ca="1">AVERAGEIF(Veh,"=1",'ALL DATA'!$Z$9:$Z$5000)</f>
        <v>1434.7826086956522</v>
      </c>
      <c r="P60">
        <v>2</v>
      </c>
      <c r="Q60" t="s">
        <v>105</v>
      </c>
      <c r="R60">
        <f>COUNTIF('ALL DATA'!$R$9:$R$5000,R70)</f>
        <v>9</v>
      </c>
      <c r="S60">
        <f>COUNTIF('ALL DATA'!$R$9:$R$5000,S70)</f>
        <v>71</v>
      </c>
      <c r="T60">
        <f>COUNTIF('ALL DATA'!$R$9:$R$5000,T70)</f>
        <v>1</v>
      </c>
      <c r="U60">
        <f>COUNTIF('ALL DATA'!$R$9:$R$5000,U70)</f>
        <v>0</v>
      </c>
      <c r="V60">
        <f>COUNTIF('ALL DATA'!$R$9:$R$5000,V70)</f>
        <v>0</v>
      </c>
      <c r="W60">
        <f>COUNTIF('ALL DATA'!$R$9:$R$5000,W70)</f>
        <v>1</v>
      </c>
      <c r="X60">
        <f>COUNTIF('ALL DATA'!$R$9:$R$5000,X70)</f>
        <v>0</v>
      </c>
      <c r="Y60">
        <f>COUNTIF('ALL DATA'!$R$9:$R$5000,Y70)</f>
        <v>2</v>
      </c>
    </row>
    <row r="61" spans="2:25" ht="15" customHeight="1">
      <c r="B61" s="82" t="s">
        <v>75</v>
      </c>
      <c r="C61" s="83">
        <f ca="1">AVERAGEIF(Veh,"=2",'ALL DATA'!$Z$9:$Z$5000)</f>
        <v>692.30769230769226</v>
      </c>
      <c r="P61">
        <v>3</v>
      </c>
      <c r="Q61" t="s">
        <v>106</v>
      </c>
      <c r="R61">
        <f>COUNTIF('ALL DATA'!$R$9:$R$5000,R71)</f>
        <v>0</v>
      </c>
      <c r="S61">
        <f>COUNTIF('ALL DATA'!$R$9:$R$5000,S71)</f>
        <v>1</v>
      </c>
      <c r="T61">
        <f>COUNTIF('ALL DATA'!$R$9:$R$5000,T71)</f>
        <v>0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82" t="s">
        <v>76</v>
      </c>
      <c r="C62" s="83">
        <f ca="1">AVERAGEIF(Veh,"=3",'ALL DATA'!$Z$9:$Z$5000)</f>
        <v>722.22222222222217</v>
      </c>
      <c r="P62">
        <v>4</v>
      </c>
      <c r="Q62" t="s">
        <v>107</v>
      </c>
      <c r="R62">
        <f>COUNTIF('ALL DATA'!$R$9:$R$5000,R72)</f>
        <v>0</v>
      </c>
      <c r="S62">
        <f>COUNTIF('ALL DATA'!$R$9:$R$5000,S72)</f>
        <v>2</v>
      </c>
      <c r="T62">
        <f>COUNTIF('ALL DATA'!$R$9:$R$5000,T72)</f>
        <v>0</v>
      </c>
      <c r="U62">
        <f>COUNTIF('ALL DATA'!$R$9:$R$5000,U72)</f>
        <v>5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82" t="s">
        <v>77</v>
      </c>
      <c r="C63" s="83">
        <f ca="1">AVERAGEIF(Veh,"=4",'ALL DATA'!$Z$9:$Z$5000)</f>
        <v>800</v>
      </c>
      <c r="P63">
        <v>5</v>
      </c>
      <c r="Q63" t="s">
        <v>108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1</v>
      </c>
      <c r="W63">
        <f>COUNTIF('ALL DATA'!$R$9:$R$5000,W73)</f>
        <v>1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82" t="s">
        <v>78</v>
      </c>
      <c r="C64" s="83">
        <f ca="1">AVERAGEIF(Veh,"=5",'ALL DATA'!$Z$9:$Z$5000)</f>
        <v>4000</v>
      </c>
      <c r="P64">
        <v>6</v>
      </c>
      <c r="Q64" t="s">
        <v>109</v>
      </c>
      <c r="R64">
        <f>COUNTIF('ALL DATA'!$R$9:$R$5000,R74)</f>
        <v>0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2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82" t="s">
        <v>79</v>
      </c>
      <c r="C65" s="83">
        <f ca="1">AVERAGEIF(Veh,"=6",'ALL DATA'!$Z$9:$Z$5000)</f>
        <v>6666.666666666667</v>
      </c>
      <c r="P65">
        <v>7</v>
      </c>
      <c r="Q65" t="s">
        <v>91</v>
      </c>
      <c r="R65">
        <f>COUNTIF('ALL DATA'!$R$9:$R$5000,R75)</f>
        <v>0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82" t="s">
        <v>80</v>
      </c>
      <c r="C66" s="83">
        <f ca="1">AVERAGEIF(Veh,"=7",'ALL DATA'!$Z$9:$Z$5000)</f>
        <v>1375</v>
      </c>
      <c r="P66">
        <v>8</v>
      </c>
      <c r="Q66" t="s">
        <v>110</v>
      </c>
      <c r="R66">
        <f>COUNTIF('ALL DATA'!$R$9:$R$5000,R76)</f>
        <v>0</v>
      </c>
      <c r="S66">
        <f>COUNTIF('ALL DATA'!$R$9:$R$5000,S76)</f>
        <v>0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4</v>
      </c>
    </row>
    <row r="67" spans="2:25" ht="15" customHeight="1">
      <c r="B67" s="82" t="s">
        <v>81</v>
      </c>
      <c r="C67" s="83">
        <f ca="1">AVERAGEIF(Veh,"=8",'ALL DATA'!$Z$9:$Z$5000)</f>
        <v>2500</v>
      </c>
    </row>
    <row r="68" spans="2:25" ht="15" customHeight="1">
      <c r="B68" s="82" t="s">
        <v>82</v>
      </c>
      <c r="C68" s="83">
        <f ca="1">AVERAGEIF(Veh,"=9",'ALL DATA'!$Z$9:$Z$5000)</f>
        <v>857.14285714285711</v>
      </c>
      <c r="R68" t="s">
        <v>104</v>
      </c>
      <c r="S68" t="s">
        <v>105</v>
      </c>
      <c r="T68" t="s">
        <v>106</v>
      </c>
      <c r="U68" t="s">
        <v>107</v>
      </c>
      <c r="V68" t="s">
        <v>108</v>
      </c>
      <c r="W68" t="s">
        <v>109</v>
      </c>
      <c r="X68" t="s">
        <v>91</v>
      </c>
      <c r="Y68" t="s">
        <v>110</v>
      </c>
    </row>
    <row r="69" spans="2:25" ht="15" customHeight="1">
      <c r="B69" s="82" t="s">
        <v>83</v>
      </c>
      <c r="C69" s="83">
        <f ca="1">AVERAGEIF(Veh,"=10",'ALL DATA'!$Z$9:$Z$5000)</f>
        <v>500</v>
      </c>
      <c r="P69">
        <v>1</v>
      </c>
      <c r="Q69" t="s">
        <v>104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82" t="s">
        <v>85</v>
      </c>
      <c r="C70" s="83">
        <f ca="1">AVERAGEIF(Veh,"=11",'ALL DATA'!$Z$9:$Z$5000)</f>
        <v>764.70588235294122</v>
      </c>
      <c r="P70">
        <v>2</v>
      </c>
      <c r="Q70" t="s">
        <v>105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82" t="s">
        <v>84</v>
      </c>
      <c r="C71" s="83">
        <v>0</v>
      </c>
      <c r="P71">
        <v>3</v>
      </c>
      <c r="Q71" t="s">
        <v>106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107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108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109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91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110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2079</v>
      </c>
    </row>
    <row r="79" spans="2:25" ht="25.5">
      <c r="B79" s="103" t="s">
        <v>2080</v>
      </c>
      <c r="C79" s="104" t="s">
        <v>2081</v>
      </c>
      <c r="D79" s="105" t="s">
        <v>2058</v>
      </c>
      <c r="E79" s="106" t="s">
        <v>2082</v>
      </c>
    </row>
    <row r="80" spans="2:25" ht="15" customHeight="1">
      <c r="B80" s="107" t="s">
        <v>2083</v>
      </c>
      <c r="C80" s="108">
        <f>COUNTIF(Dist,"&lt;=1")</f>
        <v>0</v>
      </c>
      <c r="D80" s="109">
        <f>C80</f>
        <v>0</v>
      </c>
      <c r="E80" s="110">
        <f>D80/$C$88</f>
        <v>0</v>
      </c>
    </row>
    <row r="81" spans="2:5" ht="15" customHeight="1">
      <c r="B81" s="107" t="s">
        <v>2084</v>
      </c>
      <c r="C81" s="108">
        <f>COUNTIF(Dist,"&lt;=2.5")</f>
        <v>0</v>
      </c>
      <c r="D81" s="109">
        <f>C81-C80</f>
        <v>0</v>
      </c>
      <c r="E81" s="110">
        <f t="shared" ref="E81:E88" si="6">D81/$C$88</f>
        <v>0</v>
      </c>
    </row>
    <row r="82" spans="2:5" ht="15" customHeight="1">
      <c r="B82" s="107" t="s">
        <v>2085</v>
      </c>
      <c r="C82" s="108">
        <f>COUNTIF(Dist,"&lt;=5")</f>
        <v>3</v>
      </c>
      <c r="D82" s="109">
        <f t="shared" ref="D82:D88" si="7">C82-C81</f>
        <v>3</v>
      </c>
      <c r="E82" s="110">
        <f t="shared" si="6"/>
        <v>2.6315789473684209E-2</v>
      </c>
    </row>
    <row r="83" spans="2:5" ht="15" customHeight="1">
      <c r="B83" s="107" t="s">
        <v>2086</v>
      </c>
      <c r="C83" s="108">
        <f>COUNTIF(Dist,"&lt;=10")</f>
        <v>15</v>
      </c>
      <c r="D83" s="109">
        <f t="shared" si="7"/>
        <v>12</v>
      </c>
      <c r="E83" s="110">
        <f t="shared" si="6"/>
        <v>0.10526315789473684</v>
      </c>
    </row>
    <row r="84" spans="2:5" ht="15" customHeight="1">
      <c r="B84" s="107" t="s">
        <v>2087</v>
      </c>
      <c r="C84" s="108">
        <f>COUNTIF(Dist,"&lt;=20")</f>
        <v>48</v>
      </c>
      <c r="D84" s="109">
        <f t="shared" si="7"/>
        <v>33</v>
      </c>
      <c r="E84" s="110">
        <f t="shared" si="6"/>
        <v>0.28947368421052633</v>
      </c>
    </row>
    <row r="85" spans="2:5" ht="15" customHeight="1">
      <c r="B85" s="107" t="s">
        <v>2088</v>
      </c>
      <c r="C85" s="108">
        <f>COUNTIF(Dist,"&lt;=50")</f>
        <v>80</v>
      </c>
      <c r="D85" s="109">
        <f t="shared" si="7"/>
        <v>32</v>
      </c>
      <c r="E85" s="110">
        <f t="shared" si="6"/>
        <v>0.2807017543859649</v>
      </c>
    </row>
    <row r="86" spans="2:5" ht="15" customHeight="1">
      <c r="B86" s="107" t="s">
        <v>2089</v>
      </c>
      <c r="C86" s="108">
        <f>COUNTIF(Dist,"&lt;=100")</f>
        <v>81</v>
      </c>
      <c r="D86" s="109">
        <f t="shared" si="7"/>
        <v>1</v>
      </c>
      <c r="E86" s="110">
        <f t="shared" si="6"/>
        <v>8.771929824561403E-3</v>
      </c>
    </row>
    <row r="87" spans="2:5" ht="15" customHeight="1">
      <c r="B87" s="107" t="s">
        <v>2090</v>
      </c>
      <c r="C87" s="108">
        <f>COUNTIF(Dist,"&lt;=250")</f>
        <v>103</v>
      </c>
      <c r="D87" s="109">
        <f t="shared" si="7"/>
        <v>22</v>
      </c>
      <c r="E87" s="110">
        <f t="shared" si="6"/>
        <v>0.19298245614035087</v>
      </c>
    </row>
    <row r="88" spans="2:5" ht="15" customHeight="1">
      <c r="B88" s="107" t="s">
        <v>2091</v>
      </c>
      <c r="C88" s="108">
        <f>COUNTIF(Dist,"&lt;=700")</f>
        <v>114</v>
      </c>
      <c r="D88" s="109">
        <f t="shared" si="7"/>
        <v>11</v>
      </c>
      <c r="E88" s="110">
        <f t="shared" si="6"/>
        <v>9.6491228070175433E-2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54"/>
  <sheetViews>
    <sheetView zoomScale="60" zoomScaleNormal="60" zoomScaleSheetLayoutView="80" workbookViewId="0">
      <selection activeCell="AE9" sqref="AE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9" t="s">
        <v>131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"/>
      <c r="AD1" s="6"/>
      <c r="AE1" s="6"/>
      <c r="AF1" s="6"/>
      <c r="AG1" s="6"/>
      <c r="AH1" s="6"/>
      <c r="AI1" s="6"/>
    </row>
    <row r="2" spans="2:35" ht="15">
      <c r="B2" s="119" t="s">
        <v>1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7"/>
      <c r="AD2" s="7"/>
      <c r="AE2" s="7"/>
      <c r="AF2" s="7"/>
      <c r="AG2" s="7"/>
      <c r="AH2" s="7"/>
      <c r="AI2" s="7"/>
    </row>
    <row r="3" spans="2:35" ht="15.75" customHeight="1"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</row>
    <row r="4" spans="2:35" ht="15" customHeight="1">
      <c r="B4" s="26" t="s">
        <v>2</v>
      </c>
      <c r="C4" s="58" t="s">
        <v>149</v>
      </c>
      <c r="E4" s="1" t="s">
        <v>66</v>
      </c>
      <c r="F4" s="120" t="s">
        <v>150</v>
      </c>
      <c r="G4" s="121"/>
      <c r="I4" s="27" t="s">
        <v>67</v>
      </c>
      <c r="J4" s="5"/>
      <c r="K4" s="5"/>
      <c r="L4" s="59" t="s">
        <v>151</v>
      </c>
      <c r="M4" s="68"/>
      <c r="N4" s="1" t="s">
        <v>69</v>
      </c>
      <c r="O4" s="122" t="s">
        <v>153</v>
      </c>
      <c r="P4" s="122"/>
      <c r="Q4" s="122"/>
      <c r="R4" s="122"/>
      <c r="S4" s="122"/>
      <c r="T4" s="122"/>
      <c r="V4" s="1" t="s">
        <v>71</v>
      </c>
      <c r="W4" s="60" t="s">
        <v>154</v>
      </c>
      <c r="Y4" s="27" t="s">
        <v>6</v>
      </c>
      <c r="Z4" s="61" t="s">
        <v>155</v>
      </c>
      <c r="AA4" s="31" t="s">
        <v>7</v>
      </c>
      <c r="AB4" s="61" t="s">
        <v>72</v>
      </c>
      <c r="AE4" s="10"/>
      <c r="AF4" s="5"/>
    </row>
    <row r="5" spans="2:35" ht="15" customHeight="1">
      <c r="B5" s="68"/>
      <c r="C5" s="68"/>
      <c r="D5" s="68"/>
      <c r="E5" s="22"/>
      <c r="F5" s="68"/>
      <c r="G5" s="68"/>
      <c r="I5" s="28" t="s">
        <v>68</v>
      </c>
      <c r="J5" s="68"/>
      <c r="K5" s="68"/>
      <c r="L5" s="47" t="s">
        <v>152</v>
      </c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</row>
    <row r="6" spans="2:35" ht="13.5" thickBot="1"/>
    <row r="7" spans="2:35" ht="30.75" customHeight="1">
      <c r="B7" s="123" t="s">
        <v>34</v>
      </c>
      <c r="C7" s="111" t="s">
        <v>57</v>
      </c>
      <c r="D7" s="113" t="s">
        <v>9</v>
      </c>
      <c r="E7" s="111" t="s">
        <v>35</v>
      </c>
      <c r="F7" s="126" t="s">
        <v>12</v>
      </c>
      <c r="G7" s="127"/>
      <c r="H7" s="128"/>
      <c r="I7" s="113" t="s">
        <v>60</v>
      </c>
      <c r="J7" s="111" t="s">
        <v>15</v>
      </c>
      <c r="K7" s="111" t="s">
        <v>132</v>
      </c>
      <c r="L7" s="126" t="s">
        <v>17</v>
      </c>
      <c r="M7" s="127"/>
      <c r="N7" s="128"/>
      <c r="O7" s="113" t="s">
        <v>61</v>
      </c>
      <c r="P7" s="111" t="s">
        <v>18</v>
      </c>
      <c r="Q7" s="111" t="s">
        <v>133</v>
      </c>
      <c r="R7" s="111" t="s">
        <v>134</v>
      </c>
      <c r="S7" s="111" t="s">
        <v>136</v>
      </c>
      <c r="T7" s="111" t="s">
        <v>135</v>
      </c>
      <c r="U7" s="111" t="s">
        <v>62</v>
      </c>
      <c r="V7" s="116" t="s">
        <v>65</v>
      </c>
      <c r="W7" s="117"/>
      <c r="X7" s="118"/>
      <c r="Y7" s="111" t="s">
        <v>64</v>
      </c>
      <c r="Z7" s="111" t="s">
        <v>139</v>
      </c>
      <c r="AA7" s="113" t="s">
        <v>20</v>
      </c>
      <c r="AB7" s="115" t="s">
        <v>21</v>
      </c>
      <c r="AD7" s="19"/>
    </row>
    <row r="8" spans="2:35" ht="38.25" customHeight="1">
      <c r="B8" s="124"/>
      <c r="C8" s="112"/>
      <c r="D8" s="114"/>
      <c r="E8" s="125"/>
      <c r="F8" s="67" t="s">
        <v>73</v>
      </c>
      <c r="G8" s="67" t="s">
        <v>58</v>
      </c>
      <c r="H8" s="24" t="s">
        <v>59</v>
      </c>
      <c r="I8" s="114"/>
      <c r="J8" s="112"/>
      <c r="K8" s="112"/>
      <c r="L8" s="67" t="s">
        <v>73</v>
      </c>
      <c r="M8" s="67" t="s">
        <v>58</v>
      </c>
      <c r="N8" s="67" t="s">
        <v>59</v>
      </c>
      <c r="O8" s="114"/>
      <c r="P8" s="112"/>
      <c r="Q8" s="112"/>
      <c r="R8" s="112"/>
      <c r="S8" s="112"/>
      <c r="T8" s="112"/>
      <c r="U8" s="112"/>
      <c r="V8" s="29" t="s">
        <v>63</v>
      </c>
      <c r="W8" s="30" t="s">
        <v>137</v>
      </c>
      <c r="X8" s="30" t="s">
        <v>138</v>
      </c>
      <c r="Y8" s="112"/>
      <c r="Z8" s="112"/>
      <c r="AA8" s="114"/>
      <c r="AB8" s="115"/>
    </row>
    <row r="9" spans="2:35" s="19" customFormat="1">
      <c r="B9" s="37">
        <v>0.56666666666666665</v>
      </c>
      <c r="C9" s="37" t="s">
        <v>156</v>
      </c>
      <c r="D9" s="38">
        <v>1</v>
      </c>
      <c r="E9" s="39">
        <v>3</v>
      </c>
      <c r="F9" s="39" t="s">
        <v>157</v>
      </c>
      <c r="G9" s="40" t="s">
        <v>157</v>
      </c>
      <c r="H9" s="39" t="s">
        <v>158</v>
      </c>
      <c r="I9" s="40">
        <v>1</v>
      </c>
      <c r="J9" s="40">
        <v>2</v>
      </c>
      <c r="K9" s="25" t="str">
        <f>VLOOKUP(J9,Key!$E$2:$F$9,2,FALSE)</f>
        <v>Work</v>
      </c>
      <c r="L9" s="39" t="s">
        <v>159</v>
      </c>
      <c r="M9" s="40" t="s">
        <v>159</v>
      </c>
      <c r="N9" s="39" t="s">
        <v>158</v>
      </c>
      <c r="O9" s="40">
        <v>10</v>
      </c>
      <c r="P9" s="40">
        <v>2</v>
      </c>
      <c r="Q9" s="25" t="str">
        <f>VLOOKUP(P9,Key!$E$2:$F$9,2,FALSE)</f>
        <v>Work</v>
      </c>
      <c r="R9" s="25" t="str">
        <f>K9&amp;"-"&amp;Q9</f>
        <v>Work-Work</v>
      </c>
      <c r="S9" s="44">
        <v>12</v>
      </c>
      <c r="T9" s="44">
        <v>0.3</v>
      </c>
      <c r="U9" s="40">
        <v>2</v>
      </c>
      <c r="V9" s="40"/>
      <c r="W9" s="44"/>
      <c r="X9" s="44"/>
      <c r="Y9" s="45"/>
      <c r="Z9" s="46"/>
      <c r="AA9" s="25">
        <f>VLOOKUP(F9,Zones!$A$2:$F$1587,6,FALSE)</f>
        <v>1352</v>
      </c>
      <c r="AB9" s="25">
        <f>VLOOKUP(L9,Zones!$A$2:$F$1587,6,FALSE)</f>
        <v>1020</v>
      </c>
    </row>
    <row r="10" spans="2:35" s="19" customFormat="1">
      <c r="B10" s="37">
        <v>0.56944444444444442</v>
      </c>
      <c r="C10" s="37" t="s">
        <v>161</v>
      </c>
      <c r="D10" s="38">
        <v>1</v>
      </c>
      <c r="E10" s="39">
        <v>1</v>
      </c>
      <c r="F10" s="39" t="s">
        <v>162</v>
      </c>
      <c r="G10" s="40" t="s">
        <v>159</v>
      </c>
      <c r="H10" s="39" t="s">
        <v>158</v>
      </c>
      <c r="I10" s="40">
        <v>1</v>
      </c>
      <c r="J10" s="40">
        <v>1</v>
      </c>
      <c r="K10" s="25" t="str">
        <f>VLOOKUP(J10,Key!$E$2:$F$9,2,FALSE)</f>
        <v>Home</v>
      </c>
      <c r="L10" s="39" t="s">
        <v>163</v>
      </c>
      <c r="M10" s="40" t="s">
        <v>159</v>
      </c>
      <c r="N10" s="39" t="s">
        <v>158</v>
      </c>
      <c r="O10" s="40">
        <v>1</v>
      </c>
      <c r="P10" s="40">
        <v>1</v>
      </c>
      <c r="Q10" s="25" t="str">
        <f>VLOOKUP(P10,Key!$E$2:$F$9,2,FALSE)</f>
        <v>Home</v>
      </c>
      <c r="R10" s="25" t="str">
        <f t="shared" ref="R10:R41" si="0">K10&amp;"-"&amp;Q10</f>
        <v>Home-Home</v>
      </c>
      <c r="S10" s="44">
        <v>6</v>
      </c>
      <c r="T10" s="44"/>
      <c r="U10" s="40">
        <v>2</v>
      </c>
      <c r="V10" s="40"/>
      <c r="W10" s="44"/>
      <c r="X10" s="44"/>
      <c r="Y10" s="45"/>
      <c r="Z10" s="46"/>
      <c r="AA10" s="25">
        <f>VLOOKUP(F10,Zones!$A$2:$F$1587,6,FALSE)</f>
        <v>1020</v>
      </c>
      <c r="AB10" s="25">
        <f>VLOOKUP(L10,Zones!$A$2:$F$1587,6,FALSE)</f>
        <v>1021</v>
      </c>
    </row>
    <row r="11" spans="2:35" s="19" customFormat="1">
      <c r="B11" s="37">
        <v>0.57638888888888895</v>
      </c>
      <c r="C11" s="37" t="s">
        <v>164</v>
      </c>
      <c r="D11" s="38">
        <v>2</v>
      </c>
      <c r="E11" s="39">
        <v>2</v>
      </c>
      <c r="F11" s="39" t="s">
        <v>157</v>
      </c>
      <c r="G11" s="40" t="s">
        <v>157</v>
      </c>
      <c r="H11" s="39" t="s">
        <v>158</v>
      </c>
      <c r="I11" s="40">
        <v>16</v>
      </c>
      <c r="J11" s="40">
        <v>8</v>
      </c>
      <c r="K11" s="25" t="str">
        <f>VLOOKUP(J11,Key!$E$2:$F$9,2,FALSE)</f>
        <v>Others</v>
      </c>
      <c r="L11" s="39" t="s">
        <v>159</v>
      </c>
      <c r="M11" s="40" t="s">
        <v>159</v>
      </c>
      <c r="N11" s="39" t="s">
        <v>158</v>
      </c>
      <c r="O11" s="40">
        <v>16</v>
      </c>
      <c r="P11" s="40">
        <v>8</v>
      </c>
      <c r="Q11" s="25" t="str">
        <f>VLOOKUP(P11,Key!$E$2:$F$9,2,FALSE)</f>
        <v>Others</v>
      </c>
      <c r="R11" s="25" t="str">
        <f t="shared" si="0"/>
        <v>Others-Others</v>
      </c>
      <c r="S11" s="44">
        <v>13</v>
      </c>
      <c r="T11" s="44">
        <v>0.3</v>
      </c>
      <c r="U11" s="40">
        <v>2</v>
      </c>
      <c r="V11" s="40"/>
      <c r="W11" s="44"/>
      <c r="X11" s="44"/>
      <c r="Y11" s="45"/>
      <c r="Z11" s="46"/>
      <c r="AA11" s="25">
        <f>VLOOKUP(F11,Zones!$A$2:$F$1587,6,FALSE)</f>
        <v>1352</v>
      </c>
      <c r="AB11" s="25">
        <f>VLOOKUP(L11,Zones!$A$2:$F$1587,6,FALSE)</f>
        <v>1020</v>
      </c>
    </row>
    <row r="12" spans="2:35" s="19" customFormat="1">
      <c r="B12" s="37">
        <v>0.56944444444444442</v>
      </c>
      <c r="C12" s="37" t="s">
        <v>165</v>
      </c>
      <c r="D12" s="38">
        <v>3</v>
      </c>
      <c r="E12" s="39">
        <v>2</v>
      </c>
      <c r="F12" s="39" t="s">
        <v>162</v>
      </c>
      <c r="G12" s="40" t="s">
        <v>166</v>
      </c>
      <c r="H12" s="39" t="s">
        <v>158</v>
      </c>
      <c r="I12" s="40">
        <v>1</v>
      </c>
      <c r="J12" s="40">
        <v>1</v>
      </c>
      <c r="K12" s="25" t="str">
        <f>VLOOKUP(J12,Key!$E$2:$F$9,2,FALSE)</f>
        <v>Home</v>
      </c>
      <c r="L12" s="39" t="s">
        <v>159</v>
      </c>
      <c r="M12" s="40" t="s">
        <v>159</v>
      </c>
      <c r="N12" s="39" t="s">
        <v>158</v>
      </c>
      <c r="O12" s="40">
        <v>1</v>
      </c>
      <c r="P12" s="40">
        <v>1</v>
      </c>
      <c r="Q12" s="25" t="str">
        <f>VLOOKUP(P12,Key!$E$2:$F$9,2,FALSE)</f>
        <v>Home</v>
      </c>
      <c r="R12" s="25" t="str">
        <f t="shared" si="0"/>
        <v>Home-Home</v>
      </c>
      <c r="S12" s="44">
        <v>12</v>
      </c>
      <c r="T12" s="44">
        <v>0.2</v>
      </c>
      <c r="U12" s="40">
        <v>2</v>
      </c>
      <c r="V12" s="40"/>
      <c r="W12" s="44"/>
      <c r="X12" s="44"/>
      <c r="Y12" s="45" t="s">
        <v>160</v>
      </c>
      <c r="Z12" s="46">
        <v>0</v>
      </c>
      <c r="AA12" s="25">
        <f>VLOOKUP(F12,Zones!$A$2:$F$1587,6,FALSE)</f>
        <v>1020</v>
      </c>
      <c r="AB12" s="25">
        <f>VLOOKUP(L12,Zones!$A$2:$F$1587,6,FALSE)</f>
        <v>1020</v>
      </c>
    </row>
    <row r="13" spans="2:35" s="19" customFormat="1">
      <c r="B13" s="37">
        <v>0.6791666666666667</v>
      </c>
      <c r="C13" s="37" t="s">
        <v>167</v>
      </c>
      <c r="D13" s="38">
        <v>2</v>
      </c>
      <c r="E13" s="39">
        <v>3</v>
      </c>
      <c r="F13" s="39" t="s">
        <v>2048</v>
      </c>
      <c r="G13" s="40" t="s">
        <v>166</v>
      </c>
      <c r="H13" s="39" t="s">
        <v>158</v>
      </c>
      <c r="I13" s="40">
        <v>1</v>
      </c>
      <c r="J13" s="40">
        <v>1</v>
      </c>
      <c r="K13" s="25" t="str">
        <f>VLOOKUP(J13,Key!$E$2:$F$9,2,FALSE)</f>
        <v>Home</v>
      </c>
      <c r="L13" s="39" t="s">
        <v>159</v>
      </c>
      <c r="M13" s="40" t="s">
        <v>159</v>
      </c>
      <c r="N13" s="39" t="s">
        <v>158</v>
      </c>
      <c r="O13" s="40">
        <v>16</v>
      </c>
      <c r="P13" s="40">
        <v>8</v>
      </c>
      <c r="Q13" s="25" t="str">
        <f>VLOOKUP(P13,Key!$E$2:$F$9,2,FALSE)</f>
        <v>Others</v>
      </c>
      <c r="R13" s="25" t="str">
        <f t="shared" si="0"/>
        <v>Home-Others</v>
      </c>
      <c r="S13" s="44">
        <v>15</v>
      </c>
      <c r="T13" s="44"/>
      <c r="U13" s="40">
        <v>2</v>
      </c>
      <c r="V13" s="40"/>
      <c r="W13" s="44"/>
      <c r="X13" s="44"/>
      <c r="Y13" s="45" t="s">
        <v>160</v>
      </c>
      <c r="Z13" s="46">
        <v>5000</v>
      </c>
      <c r="AA13" s="25">
        <f>VLOOKUP(F13,Zones!$A$2:$F$1587,6,FALSE)</f>
        <v>1146</v>
      </c>
      <c r="AB13" s="25">
        <f>VLOOKUP(L13,Zones!$A$2:$F$1587,6,FALSE)</f>
        <v>1020</v>
      </c>
    </row>
    <row r="14" spans="2:35" s="19" customFormat="1">
      <c r="B14" s="37">
        <v>0.68611111111111101</v>
      </c>
      <c r="C14" s="37" t="s">
        <v>169</v>
      </c>
      <c r="D14" s="38">
        <v>2</v>
      </c>
      <c r="E14" s="39">
        <v>1</v>
      </c>
      <c r="F14" s="39" t="s">
        <v>170</v>
      </c>
      <c r="G14" s="40" t="s">
        <v>159</v>
      </c>
      <c r="H14" s="39" t="s">
        <v>158</v>
      </c>
      <c r="I14" s="40">
        <v>1</v>
      </c>
      <c r="J14" s="40">
        <v>1</v>
      </c>
      <c r="K14" s="25" t="str">
        <f>VLOOKUP(J14,Key!$E$2:$F$9,2,FALSE)</f>
        <v>Home</v>
      </c>
      <c r="L14" s="39" t="s">
        <v>159</v>
      </c>
      <c r="M14" s="40" t="s">
        <v>159</v>
      </c>
      <c r="N14" s="39" t="s">
        <v>158</v>
      </c>
      <c r="O14" s="40">
        <v>2</v>
      </c>
      <c r="P14" s="40">
        <v>2</v>
      </c>
      <c r="Q14" s="25" t="str">
        <f>VLOOKUP(P14,Key!$E$2:$F$9,2,FALSE)</f>
        <v>Work</v>
      </c>
      <c r="R14" s="25" t="str">
        <f t="shared" si="0"/>
        <v>Home-Work</v>
      </c>
      <c r="S14" s="44">
        <v>12</v>
      </c>
      <c r="T14" s="44">
        <v>0.2</v>
      </c>
      <c r="U14" s="40">
        <v>1</v>
      </c>
      <c r="V14" s="40"/>
      <c r="W14" s="44"/>
      <c r="X14" s="44"/>
      <c r="Y14" s="45" t="s">
        <v>171</v>
      </c>
      <c r="Z14" s="46">
        <v>0</v>
      </c>
      <c r="AA14" s="25">
        <f>VLOOKUP(F14,Zones!$A$2:$F$1587,6,FALSE)</f>
        <v>521</v>
      </c>
      <c r="AB14" s="25">
        <f>VLOOKUP(L14,Zones!$A$2:$F$1587,6,FALSE)</f>
        <v>1020</v>
      </c>
    </row>
    <row r="15" spans="2:35" s="19" customFormat="1">
      <c r="B15" s="37">
        <v>0.68888888888888899</v>
      </c>
      <c r="C15" s="37" t="s">
        <v>172</v>
      </c>
      <c r="D15" s="38">
        <v>2</v>
      </c>
      <c r="E15" s="39">
        <v>6</v>
      </c>
      <c r="F15" s="39" t="s">
        <v>157</v>
      </c>
      <c r="G15" s="40" t="s">
        <v>157</v>
      </c>
      <c r="H15" s="39" t="s">
        <v>158</v>
      </c>
      <c r="I15" s="40">
        <v>1</v>
      </c>
      <c r="J15" s="40">
        <v>1</v>
      </c>
      <c r="K15" s="25" t="str">
        <f>VLOOKUP(J15,Key!$E$2:$F$9,2,FALSE)</f>
        <v>Home</v>
      </c>
      <c r="L15" s="39" t="s">
        <v>159</v>
      </c>
      <c r="M15" s="40" t="s">
        <v>159</v>
      </c>
      <c r="N15" s="39" t="s">
        <v>158</v>
      </c>
      <c r="O15" s="40">
        <v>2</v>
      </c>
      <c r="P15" s="40">
        <v>2</v>
      </c>
      <c r="Q15" s="25" t="str">
        <f>VLOOKUP(P15,Key!$E$2:$F$9,2,FALSE)</f>
        <v>Work</v>
      </c>
      <c r="R15" s="25" t="str">
        <f t="shared" si="0"/>
        <v>Home-Work</v>
      </c>
      <c r="S15" s="44">
        <v>12</v>
      </c>
      <c r="T15" s="44">
        <v>0.1</v>
      </c>
      <c r="U15" s="40"/>
      <c r="V15" s="40"/>
      <c r="W15" s="44"/>
      <c r="X15" s="44"/>
      <c r="Y15" s="45" t="s">
        <v>171</v>
      </c>
      <c r="Z15" s="46">
        <v>0</v>
      </c>
      <c r="AA15" s="25">
        <f>VLOOKUP(F15,Zones!$A$2:$F$1587,6,FALSE)</f>
        <v>1352</v>
      </c>
      <c r="AB15" s="25">
        <f>VLOOKUP(L15,Zones!$A$2:$F$1587,6,FALSE)</f>
        <v>1020</v>
      </c>
    </row>
    <row r="16" spans="2:35" s="19" customFormat="1">
      <c r="B16" s="37">
        <v>0.70138888888888884</v>
      </c>
      <c r="C16" s="37" t="s">
        <v>174</v>
      </c>
      <c r="D16" s="38">
        <v>8</v>
      </c>
      <c r="E16" s="39">
        <v>2</v>
      </c>
      <c r="F16" s="39" t="s">
        <v>157</v>
      </c>
      <c r="G16" s="40" t="s">
        <v>157</v>
      </c>
      <c r="H16" s="39" t="s">
        <v>158</v>
      </c>
      <c r="I16" s="40">
        <v>3</v>
      </c>
      <c r="J16" s="40">
        <v>2</v>
      </c>
      <c r="K16" s="25" t="str">
        <f>VLOOKUP(J16,Key!$E$2:$F$9,2,FALSE)</f>
        <v>Work</v>
      </c>
      <c r="L16" s="39" t="s">
        <v>159</v>
      </c>
      <c r="M16" s="40" t="s">
        <v>159</v>
      </c>
      <c r="N16" s="39" t="s">
        <v>158</v>
      </c>
      <c r="O16" s="40">
        <v>3</v>
      </c>
      <c r="P16" s="40">
        <v>2</v>
      </c>
      <c r="Q16" s="25" t="str">
        <f>VLOOKUP(P16,Key!$E$2:$F$9,2,FALSE)</f>
        <v>Work</v>
      </c>
      <c r="R16" s="25" t="str">
        <f t="shared" si="0"/>
        <v>Work-Work</v>
      </c>
      <c r="S16" s="44">
        <v>10</v>
      </c>
      <c r="T16" s="44">
        <v>0.1</v>
      </c>
      <c r="U16" s="40">
        <v>1</v>
      </c>
      <c r="V16" s="40"/>
      <c r="W16" s="44"/>
      <c r="X16" s="44"/>
      <c r="Y16" s="45"/>
      <c r="Z16" s="46"/>
      <c r="AA16" s="25">
        <f>VLOOKUP(F16,Zones!$A$2:$F$1587,6,FALSE)</f>
        <v>1352</v>
      </c>
      <c r="AB16" s="25">
        <f>VLOOKUP(L16,Zones!$A$2:$F$1587,6,FALSE)</f>
        <v>1020</v>
      </c>
    </row>
    <row r="17" spans="2:28" s="19" customFormat="1">
      <c r="B17" s="37">
        <v>0.69166666666666676</v>
      </c>
      <c r="C17" s="37" t="s">
        <v>175</v>
      </c>
      <c r="D17" s="38">
        <v>6</v>
      </c>
      <c r="E17" s="39">
        <v>27</v>
      </c>
      <c r="F17" s="39" t="s">
        <v>170</v>
      </c>
      <c r="G17" s="40" t="s">
        <v>170</v>
      </c>
      <c r="H17" s="39" t="s">
        <v>158</v>
      </c>
      <c r="I17" s="40">
        <v>6</v>
      </c>
      <c r="J17" s="40">
        <v>2</v>
      </c>
      <c r="K17" s="25" t="str">
        <f>VLOOKUP(J17,Key!$E$2:$F$9,2,FALSE)</f>
        <v>Work</v>
      </c>
      <c r="L17" s="39" t="s">
        <v>159</v>
      </c>
      <c r="M17" s="40" t="s">
        <v>159</v>
      </c>
      <c r="N17" s="39" t="s">
        <v>158</v>
      </c>
      <c r="O17" s="40">
        <v>6</v>
      </c>
      <c r="P17" s="40">
        <v>2</v>
      </c>
      <c r="Q17" s="25" t="str">
        <f>VLOOKUP(P17,Key!$E$2:$F$9,2,FALSE)</f>
        <v>Work</v>
      </c>
      <c r="R17" s="25" t="str">
        <f t="shared" si="0"/>
        <v>Work-Work</v>
      </c>
      <c r="S17" s="44"/>
      <c r="T17" s="44"/>
      <c r="U17" s="40"/>
      <c r="V17" s="40"/>
      <c r="W17" s="44"/>
      <c r="X17" s="44"/>
      <c r="Y17" s="45" t="s">
        <v>160</v>
      </c>
      <c r="Z17" s="46">
        <v>10000</v>
      </c>
      <c r="AA17" s="25">
        <f>VLOOKUP(F17,Zones!$A$2:$F$1587,6,FALSE)</f>
        <v>521</v>
      </c>
      <c r="AB17" s="25">
        <f>VLOOKUP(L17,Zones!$A$2:$F$1587,6,FALSE)</f>
        <v>1020</v>
      </c>
    </row>
    <row r="18" spans="2:28" s="19" customFormat="1">
      <c r="B18" s="37">
        <v>0.40416666666666662</v>
      </c>
      <c r="C18" s="37" t="s">
        <v>176</v>
      </c>
      <c r="D18" s="38">
        <v>11</v>
      </c>
      <c r="E18" s="39">
        <v>2</v>
      </c>
      <c r="F18" s="39" t="s">
        <v>159</v>
      </c>
      <c r="G18" s="40" t="s">
        <v>159</v>
      </c>
      <c r="H18" s="39" t="s">
        <v>158</v>
      </c>
      <c r="I18" s="40">
        <v>8</v>
      </c>
      <c r="J18" s="40">
        <v>2</v>
      </c>
      <c r="K18" s="25" t="str">
        <f>VLOOKUP(J18,Key!$E$2:$F$9,2,FALSE)</f>
        <v>Work</v>
      </c>
      <c r="L18" s="39" t="s">
        <v>162</v>
      </c>
      <c r="M18" s="40" t="s">
        <v>166</v>
      </c>
      <c r="N18" s="39" t="s">
        <v>158</v>
      </c>
      <c r="O18" s="40">
        <v>8</v>
      </c>
      <c r="P18" s="40">
        <v>2</v>
      </c>
      <c r="Q18" s="25" t="str">
        <f>VLOOKUP(P18,Key!$E$2:$F$9,2,FALSE)</f>
        <v>Work</v>
      </c>
      <c r="R18" s="25" t="str">
        <f t="shared" si="0"/>
        <v>Work-Work</v>
      </c>
      <c r="S18" s="44">
        <v>15</v>
      </c>
      <c r="T18" s="44">
        <v>0.3</v>
      </c>
      <c r="U18" s="40">
        <v>2</v>
      </c>
      <c r="V18" s="40"/>
      <c r="W18" s="44"/>
      <c r="X18" s="44"/>
      <c r="Y18" s="45" t="s">
        <v>171</v>
      </c>
      <c r="Z18" s="46">
        <v>0</v>
      </c>
      <c r="AA18" s="25">
        <f>VLOOKUP(F18,Zones!$A$2:$F$1587,6,FALSE)</f>
        <v>1020</v>
      </c>
      <c r="AB18" s="25">
        <f>VLOOKUP(L18,Zones!$A$2:$F$1587,6,FALSE)</f>
        <v>1020</v>
      </c>
    </row>
    <row r="19" spans="2:28" s="19" customFormat="1">
      <c r="B19" s="37">
        <v>0.41111111111111115</v>
      </c>
      <c r="C19" s="37" t="s">
        <v>177</v>
      </c>
      <c r="D19" s="38">
        <v>2</v>
      </c>
      <c r="E19" s="39">
        <v>1</v>
      </c>
      <c r="F19" s="39" t="s">
        <v>159</v>
      </c>
      <c r="G19" s="40" t="s">
        <v>159</v>
      </c>
      <c r="H19" s="39" t="s">
        <v>158</v>
      </c>
      <c r="I19" s="40"/>
      <c r="J19" s="40">
        <v>2</v>
      </c>
      <c r="K19" s="25" t="str">
        <f>VLOOKUP(J19,Key!$E$2:$F$9,2,FALSE)</f>
        <v>Work</v>
      </c>
      <c r="L19" s="39" t="s">
        <v>162</v>
      </c>
      <c r="M19" s="40" t="s">
        <v>166</v>
      </c>
      <c r="N19" s="39" t="s">
        <v>158</v>
      </c>
      <c r="O19" s="40">
        <v>2</v>
      </c>
      <c r="P19" s="40">
        <v>2</v>
      </c>
      <c r="Q19" s="25" t="str">
        <f>VLOOKUP(P19,Key!$E$2:$F$9,2,FALSE)</f>
        <v>Work</v>
      </c>
      <c r="R19" s="25" t="str">
        <f t="shared" si="0"/>
        <v>Work-Work</v>
      </c>
      <c r="S19" s="44">
        <v>16</v>
      </c>
      <c r="T19" s="44">
        <v>0.3</v>
      </c>
      <c r="U19" s="40">
        <v>2</v>
      </c>
      <c r="V19" s="40"/>
      <c r="W19" s="44"/>
      <c r="X19" s="44"/>
      <c r="Y19" s="45"/>
      <c r="Z19" s="46"/>
      <c r="AA19" s="25">
        <f>VLOOKUP(F19,Zones!$A$2:$F$1587,6,FALSE)</f>
        <v>1020</v>
      </c>
      <c r="AB19" s="25">
        <f>VLOOKUP(L19,Zones!$A$2:$F$1587,6,FALSE)</f>
        <v>1020</v>
      </c>
    </row>
    <row r="20" spans="2:28" s="19" customFormat="1">
      <c r="B20" s="37">
        <v>0.46388888888888885</v>
      </c>
      <c r="C20" s="37" t="s">
        <v>178</v>
      </c>
      <c r="D20" s="38">
        <v>4</v>
      </c>
      <c r="E20" s="39">
        <v>10</v>
      </c>
      <c r="F20" s="39" t="s">
        <v>157</v>
      </c>
      <c r="G20" s="40" t="s">
        <v>157</v>
      </c>
      <c r="H20" s="39" t="s">
        <v>158</v>
      </c>
      <c r="I20" s="40">
        <v>6</v>
      </c>
      <c r="J20" s="40">
        <v>2</v>
      </c>
      <c r="K20" s="25" t="str">
        <f>VLOOKUP(J20,Key!$E$2:$F$9,2,FALSE)</f>
        <v>Work</v>
      </c>
      <c r="L20" s="39" t="s">
        <v>159</v>
      </c>
      <c r="M20" s="40" t="s">
        <v>159</v>
      </c>
      <c r="N20" s="39" t="s">
        <v>158</v>
      </c>
      <c r="O20" s="40">
        <v>6</v>
      </c>
      <c r="P20" s="40">
        <v>2</v>
      </c>
      <c r="Q20" s="25" t="str">
        <f>VLOOKUP(P20,Key!$E$2:$F$9,2,FALSE)</f>
        <v>Work</v>
      </c>
      <c r="R20" s="25" t="str">
        <f t="shared" si="0"/>
        <v>Work-Work</v>
      </c>
      <c r="S20" s="44"/>
      <c r="T20" s="44">
        <v>3</v>
      </c>
      <c r="U20" s="40">
        <v>2</v>
      </c>
      <c r="V20" s="40"/>
      <c r="W20" s="44"/>
      <c r="X20" s="44"/>
      <c r="Y20" s="45" t="s">
        <v>160</v>
      </c>
      <c r="Z20" s="46">
        <v>500</v>
      </c>
      <c r="AA20" s="25">
        <f>VLOOKUP(F20,Zones!$A$2:$F$1587,6,FALSE)</f>
        <v>1352</v>
      </c>
      <c r="AB20" s="25">
        <f>VLOOKUP(L20,Zones!$A$2:$F$1587,6,FALSE)</f>
        <v>1020</v>
      </c>
    </row>
    <row r="21" spans="2:28" s="19" customFormat="1">
      <c r="B21" s="37">
        <v>0.46597222222222223</v>
      </c>
      <c r="C21" s="37" t="s">
        <v>179</v>
      </c>
      <c r="D21" s="38">
        <v>1</v>
      </c>
      <c r="E21" s="39">
        <v>2</v>
      </c>
      <c r="F21" s="39" t="s">
        <v>157</v>
      </c>
      <c r="G21" s="40" t="s">
        <v>157</v>
      </c>
      <c r="H21" s="39" t="s">
        <v>158</v>
      </c>
      <c r="I21" s="40">
        <v>1</v>
      </c>
      <c r="J21" s="40">
        <v>1</v>
      </c>
      <c r="K21" s="25" t="str">
        <f>VLOOKUP(J21,Key!$E$2:$F$9,2,FALSE)</f>
        <v>Home</v>
      </c>
      <c r="L21" s="39" t="s">
        <v>159</v>
      </c>
      <c r="M21" s="40" t="s">
        <v>159</v>
      </c>
      <c r="N21" s="39" t="s">
        <v>158</v>
      </c>
      <c r="O21" s="40">
        <v>4</v>
      </c>
      <c r="P21" s="40">
        <v>3</v>
      </c>
      <c r="Q21" s="25" t="str">
        <f>VLOOKUP(P21,Key!$E$2:$F$9,2,FALSE)</f>
        <v>Study</v>
      </c>
      <c r="R21" s="25" t="str">
        <f t="shared" si="0"/>
        <v>Home-Study</v>
      </c>
      <c r="S21" s="44"/>
      <c r="T21" s="44">
        <v>0.5</v>
      </c>
      <c r="U21" s="40">
        <v>2</v>
      </c>
      <c r="V21" s="40"/>
      <c r="W21" s="44"/>
      <c r="X21" s="44"/>
      <c r="Y21" s="45" t="s">
        <v>160</v>
      </c>
      <c r="Z21" s="46">
        <v>0</v>
      </c>
      <c r="AA21" s="25">
        <f>VLOOKUP(F21,Zones!$A$2:$F$1587,6,FALSE)</f>
        <v>1352</v>
      </c>
      <c r="AB21" s="25">
        <f>VLOOKUP(L21,Zones!$A$2:$F$1587,6,FALSE)</f>
        <v>1020</v>
      </c>
    </row>
    <row r="22" spans="2:28" s="19" customFormat="1">
      <c r="B22" s="37">
        <v>0.55208333333333337</v>
      </c>
      <c r="C22" s="37" t="s">
        <v>180</v>
      </c>
      <c r="D22" s="38">
        <v>1</v>
      </c>
      <c r="E22" s="39">
        <v>2</v>
      </c>
      <c r="F22" s="39" t="s">
        <v>157</v>
      </c>
      <c r="G22" s="40" t="s">
        <v>157</v>
      </c>
      <c r="H22" s="39" t="s">
        <v>158</v>
      </c>
      <c r="I22" s="40">
        <v>2</v>
      </c>
      <c r="J22" s="40">
        <v>2</v>
      </c>
      <c r="K22" s="25" t="str">
        <f>VLOOKUP(J22,Key!$E$2:$F$9,2,FALSE)</f>
        <v>Work</v>
      </c>
      <c r="L22" s="39" t="s">
        <v>159</v>
      </c>
      <c r="M22" s="40" t="s">
        <v>159</v>
      </c>
      <c r="N22" s="39" t="s">
        <v>158</v>
      </c>
      <c r="O22" s="40">
        <v>2</v>
      </c>
      <c r="P22" s="40">
        <v>2</v>
      </c>
      <c r="Q22" s="25" t="str">
        <f>VLOOKUP(P22,Key!$E$2:$F$9,2,FALSE)</f>
        <v>Work</v>
      </c>
      <c r="R22" s="25" t="str">
        <f t="shared" si="0"/>
        <v>Work-Work</v>
      </c>
      <c r="S22" s="44">
        <v>15</v>
      </c>
      <c r="T22" s="44">
        <v>0.2</v>
      </c>
      <c r="U22" s="40">
        <v>2</v>
      </c>
      <c r="V22" s="40"/>
      <c r="W22" s="44"/>
      <c r="X22" s="44"/>
      <c r="Y22" s="45" t="s">
        <v>171</v>
      </c>
      <c r="Z22" s="46">
        <v>0</v>
      </c>
      <c r="AA22" s="25">
        <f>VLOOKUP(F22,Zones!$A$2:$F$1587,6,FALSE)</f>
        <v>1352</v>
      </c>
      <c r="AB22" s="25">
        <f>VLOOKUP(L22,Zones!$A$2:$F$1587,6,FALSE)</f>
        <v>1020</v>
      </c>
    </row>
    <row r="23" spans="2:28" s="19" customFormat="1">
      <c r="B23" s="37">
        <v>0.67708333333333337</v>
      </c>
      <c r="C23" s="37" t="s">
        <v>181</v>
      </c>
      <c r="D23" s="38">
        <v>2</v>
      </c>
      <c r="E23" s="39">
        <v>2</v>
      </c>
      <c r="F23" s="39" t="s">
        <v>162</v>
      </c>
      <c r="G23" s="40" t="s">
        <v>159</v>
      </c>
      <c r="H23" s="39" t="s">
        <v>158</v>
      </c>
      <c r="I23" s="40">
        <v>10</v>
      </c>
      <c r="J23" s="40">
        <v>2</v>
      </c>
      <c r="K23" s="25" t="str">
        <f>VLOOKUP(J23,Key!$E$2:$F$9,2,FALSE)</f>
        <v>Work</v>
      </c>
      <c r="L23" s="39" t="s">
        <v>159</v>
      </c>
      <c r="M23" s="40" t="s">
        <v>159</v>
      </c>
      <c r="N23" s="39" t="s">
        <v>158</v>
      </c>
      <c r="O23" s="40">
        <v>10</v>
      </c>
      <c r="P23" s="40">
        <v>2</v>
      </c>
      <c r="Q23" s="25" t="str">
        <f>VLOOKUP(P23,Key!$E$2:$F$9,2,FALSE)</f>
        <v>Work</v>
      </c>
      <c r="R23" s="25" t="str">
        <f t="shared" si="0"/>
        <v>Work-Work</v>
      </c>
      <c r="S23" s="44">
        <v>10</v>
      </c>
      <c r="T23" s="44">
        <v>0.1</v>
      </c>
      <c r="U23" s="40">
        <v>2</v>
      </c>
      <c r="V23" s="40"/>
      <c r="W23" s="44"/>
      <c r="X23" s="44"/>
      <c r="Y23" s="45"/>
      <c r="Z23" s="46"/>
      <c r="AA23" s="25">
        <f>VLOOKUP(F23,Zones!$A$2:$F$1587,6,FALSE)</f>
        <v>1020</v>
      </c>
      <c r="AB23" s="25">
        <f>VLOOKUP(L23,Zones!$A$2:$F$1587,6,FALSE)</f>
        <v>1020</v>
      </c>
    </row>
    <row r="24" spans="2:28" s="19" customFormat="1">
      <c r="B24" s="37">
        <v>0.49027777777777781</v>
      </c>
      <c r="C24" s="37" t="s">
        <v>182</v>
      </c>
      <c r="D24" s="38">
        <v>9</v>
      </c>
      <c r="E24" s="39">
        <v>2</v>
      </c>
      <c r="F24" s="39" t="s">
        <v>183</v>
      </c>
      <c r="G24" s="40" t="s">
        <v>183</v>
      </c>
      <c r="H24" s="39" t="s">
        <v>158</v>
      </c>
      <c r="I24" s="40">
        <v>3</v>
      </c>
      <c r="J24" s="40">
        <v>2</v>
      </c>
      <c r="K24" s="25" t="str">
        <f>VLOOKUP(J24,Key!$E$2:$F$9,2,FALSE)</f>
        <v>Work</v>
      </c>
      <c r="L24" s="39" t="s">
        <v>159</v>
      </c>
      <c r="M24" s="40" t="s">
        <v>159</v>
      </c>
      <c r="N24" s="39" t="s">
        <v>158</v>
      </c>
      <c r="O24" s="40">
        <v>10</v>
      </c>
      <c r="P24" s="40">
        <v>2</v>
      </c>
      <c r="Q24" s="25" t="str">
        <f>VLOOKUP(P24,Key!$E$2:$F$9,2,FALSE)</f>
        <v>Work</v>
      </c>
      <c r="R24" s="25" t="str">
        <f t="shared" si="0"/>
        <v>Work-Work</v>
      </c>
      <c r="S24" s="44">
        <v>30</v>
      </c>
      <c r="T24" s="44">
        <v>1</v>
      </c>
      <c r="U24" s="40">
        <v>2</v>
      </c>
      <c r="V24" s="40"/>
      <c r="W24" s="44"/>
      <c r="X24" s="44"/>
      <c r="Y24" s="45"/>
      <c r="Z24" s="46"/>
      <c r="AA24" s="25">
        <f>VLOOKUP(F24,Zones!$A$2:$F$1587,6,FALSE)</f>
        <v>94</v>
      </c>
      <c r="AB24" s="25">
        <f>VLOOKUP(L24,Zones!$A$2:$F$1587,6,FALSE)</f>
        <v>1020</v>
      </c>
    </row>
    <row r="25" spans="2:28" s="19" customFormat="1">
      <c r="B25" s="37">
        <v>0.49305555555555558</v>
      </c>
      <c r="C25" s="37" t="s">
        <v>185</v>
      </c>
      <c r="D25" s="38">
        <v>7</v>
      </c>
      <c r="E25" s="39">
        <v>6</v>
      </c>
      <c r="F25" s="39" t="s">
        <v>162</v>
      </c>
      <c r="G25" s="40" t="s">
        <v>166</v>
      </c>
      <c r="H25" s="39" t="s">
        <v>158</v>
      </c>
      <c r="I25" s="40">
        <v>10</v>
      </c>
      <c r="J25" s="40">
        <v>2</v>
      </c>
      <c r="K25" s="25" t="str">
        <f>VLOOKUP(J25,Key!$E$2:$F$9,2,FALSE)</f>
        <v>Work</v>
      </c>
      <c r="L25" s="39" t="s">
        <v>159</v>
      </c>
      <c r="M25" s="40" t="s">
        <v>159</v>
      </c>
      <c r="N25" s="39" t="s">
        <v>158</v>
      </c>
      <c r="O25" s="40">
        <v>2</v>
      </c>
      <c r="P25" s="40">
        <v>2</v>
      </c>
      <c r="Q25" s="25" t="str">
        <f>VLOOKUP(P25,Key!$E$2:$F$9,2,FALSE)</f>
        <v>Work</v>
      </c>
      <c r="R25" s="25" t="str">
        <f t="shared" si="0"/>
        <v>Work-Work</v>
      </c>
      <c r="S25" s="44">
        <v>15</v>
      </c>
      <c r="T25" s="44">
        <v>0.3</v>
      </c>
      <c r="U25" s="40">
        <v>1</v>
      </c>
      <c r="V25" s="40"/>
      <c r="W25" s="44"/>
      <c r="X25" s="44"/>
      <c r="Y25" s="45" t="s">
        <v>160</v>
      </c>
      <c r="Z25" s="46">
        <v>10000</v>
      </c>
      <c r="AA25" s="25">
        <f>VLOOKUP(F25,Zones!$A$2:$F$1587,6,FALSE)</f>
        <v>1020</v>
      </c>
      <c r="AB25" s="25">
        <f>VLOOKUP(L25,Zones!$A$2:$F$1587,6,FALSE)</f>
        <v>1020</v>
      </c>
    </row>
    <row r="26" spans="2:28" s="19" customFormat="1">
      <c r="B26" s="37">
        <v>0.52500000000000002</v>
      </c>
      <c r="C26" s="37" t="s">
        <v>187</v>
      </c>
      <c r="D26" s="38">
        <v>1</v>
      </c>
      <c r="E26" s="39"/>
      <c r="F26" s="39" t="s">
        <v>166</v>
      </c>
      <c r="G26" s="40" t="s">
        <v>166</v>
      </c>
      <c r="H26" s="39" t="s">
        <v>158</v>
      </c>
      <c r="I26" s="40">
        <v>1</v>
      </c>
      <c r="J26" s="40">
        <v>2</v>
      </c>
      <c r="K26" s="25" t="str">
        <f>VLOOKUP(J26,Key!$E$2:$F$9,2,FALSE)</f>
        <v>Work</v>
      </c>
      <c r="L26" s="39" t="s">
        <v>159</v>
      </c>
      <c r="M26" s="40" t="s">
        <v>159</v>
      </c>
      <c r="N26" s="39" t="s">
        <v>158</v>
      </c>
      <c r="O26" s="40">
        <v>10</v>
      </c>
      <c r="P26" s="40">
        <v>2</v>
      </c>
      <c r="Q26" s="25" t="str">
        <f>VLOOKUP(P26,Key!$E$2:$F$9,2,FALSE)</f>
        <v>Work</v>
      </c>
      <c r="R26" s="25" t="str">
        <f t="shared" si="0"/>
        <v>Work-Work</v>
      </c>
      <c r="S26" s="44"/>
      <c r="T26" s="44"/>
      <c r="U26" s="40">
        <v>2</v>
      </c>
      <c r="V26" s="40"/>
      <c r="W26" s="44"/>
      <c r="X26" s="44"/>
      <c r="Y26" s="45" t="s">
        <v>160</v>
      </c>
      <c r="Z26" s="46">
        <v>6000</v>
      </c>
      <c r="AA26" s="25">
        <f>VLOOKUP(F26,Zones!$A$2:$F$1587,6,FALSE)</f>
        <v>1147</v>
      </c>
      <c r="AB26" s="25">
        <f>VLOOKUP(L26,Zones!$A$2:$F$1587,6,FALSE)</f>
        <v>1020</v>
      </c>
    </row>
    <row r="27" spans="2:28" s="19" customFormat="1">
      <c r="B27" s="37">
        <v>0.51736111111111105</v>
      </c>
      <c r="C27" s="37" t="s">
        <v>188</v>
      </c>
      <c r="D27" s="38">
        <v>3</v>
      </c>
      <c r="E27" s="39">
        <v>6</v>
      </c>
      <c r="F27" s="39" t="s">
        <v>162</v>
      </c>
      <c r="G27" s="40" t="s">
        <v>166</v>
      </c>
      <c r="H27" s="39" t="s">
        <v>158</v>
      </c>
      <c r="I27" s="40">
        <v>1</v>
      </c>
      <c r="J27" s="40">
        <v>1</v>
      </c>
      <c r="K27" s="25" t="str">
        <f>VLOOKUP(J27,Key!$E$2:$F$9,2,FALSE)</f>
        <v>Home</v>
      </c>
      <c r="L27" s="39" t="s">
        <v>159</v>
      </c>
      <c r="M27" s="40" t="s">
        <v>159</v>
      </c>
      <c r="N27" s="39" t="s">
        <v>158</v>
      </c>
      <c r="O27" s="40">
        <v>1</v>
      </c>
      <c r="P27" s="40">
        <v>1</v>
      </c>
      <c r="Q27" s="25" t="str">
        <f>VLOOKUP(P27,Key!$E$2:$F$9,2,FALSE)</f>
        <v>Home</v>
      </c>
      <c r="R27" s="25" t="str">
        <f t="shared" si="0"/>
        <v>Home-Home</v>
      </c>
      <c r="S27" s="44">
        <v>13</v>
      </c>
      <c r="T27" s="44">
        <v>0.3</v>
      </c>
      <c r="U27" s="40">
        <v>2</v>
      </c>
      <c r="V27" s="40"/>
      <c r="W27" s="44"/>
      <c r="X27" s="44"/>
      <c r="Y27" s="45" t="s">
        <v>171</v>
      </c>
      <c r="Z27" s="46">
        <v>0</v>
      </c>
      <c r="AA27" s="25">
        <f>VLOOKUP(F27,Zones!$A$2:$F$1587,6,FALSE)</f>
        <v>1020</v>
      </c>
      <c r="AB27" s="25">
        <f>VLOOKUP(L27,Zones!$A$2:$F$1587,6,FALSE)</f>
        <v>1020</v>
      </c>
    </row>
    <row r="28" spans="2:28" s="19" customFormat="1">
      <c r="B28" s="37">
        <v>0.50347222222222221</v>
      </c>
      <c r="C28" s="37" t="s">
        <v>189</v>
      </c>
      <c r="D28" s="38">
        <v>11</v>
      </c>
      <c r="E28" s="39">
        <v>3</v>
      </c>
      <c r="F28" s="39" t="s">
        <v>162</v>
      </c>
      <c r="G28" s="40" t="s">
        <v>166</v>
      </c>
      <c r="H28" s="39" t="s">
        <v>158</v>
      </c>
      <c r="I28" s="40">
        <v>8</v>
      </c>
      <c r="J28" s="40">
        <v>2</v>
      </c>
      <c r="K28" s="25" t="str">
        <f>VLOOKUP(J28,Key!$E$2:$F$9,2,FALSE)</f>
        <v>Work</v>
      </c>
      <c r="L28" s="39" t="s">
        <v>159</v>
      </c>
      <c r="M28" s="40" t="s">
        <v>159</v>
      </c>
      <c r="N28" s="39" t="s">
        <v>158</v>
      </c>
      <c r="O28" s="40">
        <v>8</v>
      </c>
      <c r="P28" s="40">
        <v>2</v>
      </c>
      <c r="Q28" s="25" t="str">
        <f>VLOOKUP(P28,Key!$E$2:$F$9,2,FALSE)</f>
        <v>Work</v>
      </c>
      <c r="R28" s="25" t="str">
        <f t="shared" si="0"/>
        <v>Work-Work</v>
      </c>
      <c r="S28" s="44">
        <v>12</v>
      </c>
      <c r="T28" s="44">
        <v>0.3</v>
      </c>
      <c r="U28" s="40">
        <v>2</v>
      </c>
      <c r="V28" s="40"/>
      <c r="W28" s="44"/>
      <c r="X28" s="44"/>
      <c r="Y28" s="45" t="s">
        <v>160</v>
      </c>
      <c r="Z28" s="46">
        <v>1000</v>
      </c>
      <c r="AA28" s="25">
        <f>VLOOKUP(F28,Zones!$A$2:$F$1587,6,FALSE)</f>
        <v>1020</v>
      </c>
      <c r="AB28" s="25">
        <f>VLOOKUP(L28,Zones!$A$2:$F$1587,6,FALSE)</f>
        <v>1020</v>
      </c>
    </row>
    <row r="29" spans="2:28" s="19" customFormat="1">
      <c r="B29" s="37">
        <v>0.42638888888888887</v>
      </c>
      <c r="C29" s="37" t="s">
        <v>200</v>
      </c>
      <c r="D29" s="38">
        <v>4</v>
      </c>
      <c r="E29" s="39">
        <v>14</v>
      </c>
      <c r="F29" s="39" t="s">
        <v>157</v>
      </c>
      <c r="G29" s="40" t="s">
        <v>157</v>
      </c>
      <c r="H29" s="39" t="s">
        <v>158</v>
      </c>
      <c r="I29" s="40">
        <v>6</v>
      </c>
      <c r="J29" s="40">
        <v>2</v>
      </c>
      <c r="K29" s="25" t="str">
        <f>VLOOKUP(J29,Key!$E$2:$F$9,2,FALSE)</f>
        <v>Work</v>
      </c>
      <c r="L29" s="39" t="s">
        <v>159</v>
      </c>
      <c r="M29" s="40" t="s">
        <v>159</v>
      </c>
      <c r="N29" s="39" t="s">
        <v>158</v>
      </c>
      <c r="O29" s="40">
        <v>6</v>
      </c>
      <c r="P29" s="40">
        <v>2</v>
      </c>
      <c r="Q29" s="25" t="str">
        <f>VLOOKUP(P29,Key!$E$2:$F$9,2,FALSE)</f>
        <v>Work</v>
      </c>
      <c r="R29" s="25" t="str">
        <f t="shared" si="0"/>
        <v>Work-Work</v>
      </c>
      <c r="S29" s="44">
        <v>160</v>
      </c>
      <c r="T29" s="44">
        <v>2.5</v>
      </c>
      <c r="U29" s="40">
        <v>2</v>
      </c>
      <c r="V29" s="40"/>
      <c r="W29" s="44"/>
      <c r="X29" s="44"/>
      <c r="Y29" s="45" t="s">
        <v>160</v>
      </c>
      <c r="Z29" s="46"/>
      <c r="AA29" s="25">
        <f>VLOOKUP(F29,Zones!$A$2:$F$1587,6,FALSE)</f>
        <v>1352</v>
      </c>
      <c r="AB29" s="25">
        <f>VLOOKUP(L29,Zones!$A$2:$F$1587,6,FALSE)</f>
        <v>1020</v>
      </c>
    </row>
    <row r="30" spans="2:28" s="19" customFormat="1">
      <c r="B30" s="37">
        <v>0.54861111111111105</v>
      </c>
      <c r="C30" s="37" t="s">
        <v>201</v>
      </c>
      <c r="D30" s="38">
        <v>1</v>
      </c>
      <c r="E30" s="39">
        <v>2</v>
      </c>
      <c r="F30" s="39" t="s">
        <v>157</v>
      </c>
      <c r="G30" s="40" t="s">
        <v>157</v>
      </c>
      <c r="H30" s="39" t="s">
        <v>158</v>
      </c>
      <c r="I30" s="40">
        <v>11</v>
      </c>
      <c r="J30" s="40">
        <v>2</v>
      </c>
      <c r="K30" s="25" t="str">
        <f>VLOOKUP(J30,Key!$E$2:$F$9,2,FALSE)</f>
        <v>Work</v>
      </c>
      <c r="L30" s="39" t="s">
        <v>159</v>
      </c>
      <c r="M30" s="40" t="s">
        <v>159</v>
      </c>
      <c r="N30" s="39" t="s">
        <v>158</v>
      </c>
      <c r="O30" s="40">
        <v>10</v>
      </c>
      <c r="P30" s="40">
        <v>2</v>
      </c>
      <c r="Q30" s="25" t="str">
        <f>VLOOKUP(P30,Key!$E$2:$F$9,2,FALSE)</f>
        <v>Work</v>
      </c>
      <c r="R30" s="25" t="str">
        <f t="shared" si="0"/>
        <v>Work-Work</v>
      </c>
      <c r="S30" s="44">
        <v>10</v>
      </c>
      <c r="T30" s="44">
        <v>0.5</v>
      </c>
      <c r="U30" s="40">
        <v>2</v>
      </c>
      <c r="V30" s="40"/>
      <c r="W30" s="44"/>
      <c r="X30" s="44"/>
      <c r="Y30" s="45"/>
      <c r="Z30" s="46"/>
      <c r="AA30" s="25">
        <f>VLOOKUP(F30,Zones!$A$2:$F$1587,6,FALSE)</f>
        <v>1352</v>
      </c>
      <c r="AB30" s="25">
        <f>VLOOKUP(L30,Zones!$A$2:$F$1587,6,FALSE)</f>
        <v>1020</v>
      </c>
    </row>
    <row r="31" spans="2:28" s="19" customFormat="1">
      <c r="B31" s="37">
        <v>0.50069444444444444</v>
      </c>
      <c r="C31" s="37" t="s">
        <v>202</v>
      </c>
      <c r="D31" s="38">
        <v>1</v>
      </c>
      <c r="E31" s="39">
        <v>3</v>
      </c>
      <c r="F31" s="39" t="s">
        <v>166</v>
      </c>
      <c r="G31" s="40" t="s">
        <v>166</v>
      </c>
      <c r="H31" s="39" t="s">
        <v>158</v>
      </c>
      <c r="I31" s="40">
        <v>1</v>
      </c>
      <c r="J31" s="40">
        <v>2</v>
      </c>
      <c r="K31" s="25" t="str">
        <f>VLOOKUP(J31,Key!$E$2:$F$9,2,FALSE)</f>
        <v>Work</v>
      </c>
      <c r="L31" s="39" t="s">
        <v>159</v>
      </c>
      <c r="M31" s="40" t="s">
        <v>159</v>
      </c>
      <c r="N31" s="39" t="s">
        <v>158</v>
      </c>
      <c r="O31" s="40">
        <v>2</v>
      </c>
      <c r="P31" s="40">
        <v>2</v>
      </c>
      <c r="Q31" s="25" t="str">
        <f>VLOOKUP(P31,Key!$E$2:$F$9,2,FALSE)</f>
        <v>Work</v>
      </c>
      <c r="R31" s="25" t="str">
        <f t="shared" si="0"/>
        <v>Work-Work</v>
      </c>
      <c r="S31" s="44">
        <v>11</v>
      </c>
      <c r="T31" s="44">
        <v>1.3</v>
      </c>
      <c r="U31" s="40">
        <v>2</v>
      </c>
      <c r="V31" s="40"/>
      <c r="W31" s="44"/>
      <c r="X31" s="44"/>
      <c r="Y31" s="45" t="s">
        <v>160</v>
      </c>
      <c r="Z31" s="46"/>
      <c r="AA31" s="25">
        <f>VLOOKUP(F31,Zones!$A$2:$F$1587,6,FALSE)</f>
        <v>1147</v>
      </c>
      <c r="AB31" s="25">
        <f>VLOOKUP(L31,Zones!$A$2:$F$1587,6,FALSE)</f>
        <v>1020</v>
      </c>
    </row>
    <row r="32" spans="2:28" s="19" customFormat="1">
      <c r="B32" s="37">
        <v>0.46875</v>
      </c>
      <c r="C32" s="37" t="s">
        <v>203</v>
      </c>
      <c r="D32" s="38">
        <v>4</v>
      </c>
      <c r="E32" s="39">
        <v>6</v>
      </c>
      <c r="F32" s="39" t="s">
        <v>2048</v>
      </c>
      <c r="G32" s="40" t="s">
        <v>166</v>
      </c>
      <c r="H32" s="39" t="s">
        <v>158</v>
      </c>
      <c r="I32" s="40">
        <v>6</v>
      </c>
      <c r="J32" s="40">
        <v>1</v>
      </c>
      <c r="K32" s="25" t="str">
        <f>VLOOKUP(J32,Key!$E$2:$F$9,2,FALSE)</f>
        <v>Home</v>
      </c>
      <c r="L32" s="39" t="s">
        <v>159</v>
      </c>
      <c r="M32" s="40" t="s">
        <v>159</v>
      </c>
      <c r="N32" s="39" t="s">
        <v>158</v>
      </c>
      <c r="O32" s="40"/>
      <c r="P32" s="40">
        <v>1</v>
      </c>
      <c r="Q32" s="25" t="str">
        <f>VLOOKUP(P32,Key!$E$2:$F$9,2,FALSE)</f>
        <v>Home</v>
      </c>
      <c r="R32" s="25" t="str">
        <f t="shared" si="0"/>
        <v>Home-Home</v>
      </c>
      <c r="S32" s="44">
        <v>12</v>
      </c>
      <c r="T32" s="44">
        <v>0.3</v>
      </c>
      <c r="U32" s="40">
        <v>2</v>
      </c>
      <c r="V32" s="40"/>
      <c r="W32" s="44"/>
      <c r="X32" s="44"/>
      <c r="Y32" s="45"/>
      <c r="Z32" s="46"/>
      <c r="AA32" s="25">
        <f>VLOOKUP(F32,Zones!$A$2:$F$1587,6,FALSE)</f>
        <v>1146</v>
      </c>
      <c r="AB32" s="25">
        <f>VLOOKUP(L32,Zones!$A$2:$F$1587,6,FALSE)</f>
        <v>1020</v>
      </c>
    </row>
    <row r="33" spans="2:28" s="19" customFormat="1">
      <c r="B33" s="37">
        <v>0.47013888888888888</v>
      </c>
      <c r="C33" s="37" t="s">
        <v>204</v>
      </c>
      <c r="D33" s="38">
        <v>2</v>
      </c>
      <c r="E33" s="39">
        <v>4</v>
      </c>
      <c r="F33" s="39" t="s">
        <v>157</v>
      </c>
      <c r="G33" s="40" t="s">
        <v>157</v>
      </c>
      <c r="H33" s="39" t="s">
        <v>158</v>
      </c>
      <c r="I33" s="40">
        <v>1</v>
      </c>
      <c r="J33" s="40">
        <v>2</v>
      </c>
      <c r="K33" s="25" t="str">
        <f>VLOOKUP(J33,Key!$E$2:$F$9,2,FALSE)</f>
        <v>Work</v>
      </c>
      <c r="L33" s="39" t="s">
        <v>159</v>
      </c>
      <c r="M33" s="40" t="s">
        <v>159</v>
      </c>
      <c r="N33" s="39" t="s">
        <v>158</v>
      </c>
      <c r="O33" s="40">
        <v>2</v>
      </c>
      <c r="P33" s="40">
        <v>2</v>
      </c>
      <c r="Q33" s="25" t="str">
        <f>VLOOKUP(P33,Key!$E$2:$F$9,2,FALSE)</f>
        <v>Work</v>
      </c>
      <c r="R33" s="25" t="str">
        <f t="shared" si="0"/>
        <v>Work-Work</v>
      </c>
      <c r="S33" s="44"/>
      <c r="T33" s="44">
        <v>4</v>
      </c>
      <c r="U33" s="40">
        <v>2</v>
      </c>
      <c r="V33" s="40"/>
      <c r="W33" s="44"/>
      <c r="X33" s="44"/>
      <c r="Y33" s="45" t="s">
        <v>160</v>
      </c>
      <c r="Z33" s="46"/>
      <c r="AA33" s="25">
        <f>VLOOKUP(F33,Zones!$A$2:$F$1587,6,FALSE)</f>
        <v>1352</v>
      </c>
      <c r="AB33" s="25">
        <f>VLOOKUP(L33,Zones!$A$2:$F$1587,6,FALSE)</f>
        <v>1020</v>
      </c>
    </row>
    <row r="34" spans="2:28" s="19" customFormat="1">
      <c r="B34" s="37">
        <v>0.4680555555555555</v>
      </c>
      <c r="C34" s="37" t="s">
        <v>205</v>
      </c>
      <c r="D34" s="38">
        <v>2</v>
      </c>
      <c r="E34" s="39">
        <v>2</v>
      </c>
      <c r="F34" s="39" t="s">
        <v>2048</v>
      </c>
      <c r="G34" s="40" t="s">
        <v>166</v>
      </c>
      <c r="H34" s="39" t="s">
        <v>158</v>
      </c>
      <c r="I34" s="40">
        <v>1</v>
      </c>
      <c r="J34" s="40">
        <v>1</v>
      </c>
      <c r="K34" s="25" t="str">
        <f>VLOOKUP(J34,Key!$E$2:$F$9,2,FALSE)</f>
        <v>Home</v>
      </c>
      <c r="L34" s="39" t="s">
        <v>159</v>
      </c>
      <c r="M34" s="40" t="s">
        <v>159</v>
      </c>
      <c r="N34" s="39" t="s">
        <v>158</v>
      </c>
      <c r="O34" s="40">
        <v>10</v>
      </c>
      <c r="P34" s="40">
        <v>2</v>
      </c>
      <c r="Q34" s="25" t="str">
        <f>VLOOKUP(P34,Key!$E$2:$F$9,2,FALSE)</f>
        <v>Work</v>
      </c>
      <c r="R34" s="25" t="str">
        <f t="shared" si="0"/>
        <v>Home-Work</v>
      </c>
      <c r="S34" s="44"/>
      <c r="T34" s="44">
        <v>0.5</v>
      </c>
      <c r="U34" s="40">
        <v>3</v>
      </c>
      <c r="V34" s="40"/>
      <c r="W34" s="44"/>
      <c r="X34" s="44"/>
      <c r="Y34" s="45" t="s">
        <v>160</v>
      </c>
      <c r="Z34" s="46">
        <v>2000</v>
      </c>
      <c r="AA34" s="25">
        <f>VLOOKUP(F34,Zones!$A$2:$F$1587,6,FALSE)</f>
        <v>1146</v>
      </c>
      <c r="AB34" s="25">
        <f>VLOOKUP(L34,Zones!$A$2:$F$1587,6,FALSE)</f>
        <v>1020</v>
      </c>
    </row>
    <row r="35" spans="2:28" s="19" customFormat="1">
      <c r="B35" s="37">
        <v>0.58819444444444446</v>
      </c>
      <c r="C35" s="37" t="s">
        <v>206</v>
      </c>
      <c r="D35" s="38">
        <v>2</v>
      </c>
      <c r="E35" s="39">
        <v>3</v>
      </c>
      <c r="F35" s="39" t="s">
        <v>157</v>
      </c>
      <c r="G35" s="40" t="s">
        <v>157</v>
      </c>
      <c r="H35" s="39" t="s">
        <v>158</v>
      </c>
      <c r="I35" s="40">
        <v>2</v>
      </c>
      <c r="J35" s="40">
        <v>2</v>
      </c>
      <c r="K35" s="25" t="str">
        <f>VLOOKUP(J35,Key!$E$2:$F$9,2,FALSE)</f>
        <v>Work</v>
      </c>
      <c r="L35" s="39" t="s">
        <v>159</v>
      </c>
      <c r="M35" s="40" t="s">
        <v>159</v>
      </c>
      <c r="N35" s="39" t="s">
        <v>158</v>
      </c>
      <c r="O35" s="40">
        <v>2</v>
      </c>
      <c r="P35" s="40">
        <v>2</v>
      </c>
      <c r="Q35" s="25" t="str">
        <f>VLOOKUP(P35,Key!$E$2:$F$9,2,FALSE)</f>
        <v>Work</v>
      </c>
      <c r="R35" s="25" t="str">
        <f t="shared" si="0"/>
        <v>Work-Work</v>
      </c>
      <c r="S35" s="44">
        <v>170</v>
      </c>
      <c r="T35" s="44">
        <v>2.7</v>
      </c>
      <c r="U35" s="40">
        <v>3</v>
      </c>
      <c r="V35" s="40"/>
      <c r="W35" s="44"/>
      <c r="X35" s="44"/>
      <c r="Y35" s="45" t="s">
        <v>160</v>
      </c>
      <c r="Z35" s="46">
        <v>1000</v>
      </c>
      <c r="AA35" s="25">
        <f>VLOOKUP(F35,Zones!$A$2:$F$1587,6,FALSE)</f>
        <v>1352</v>
      </c>
      <c r="AB35" s="25">
        <f>VLOOKUP(L35,Zones!$A$2:$F$1587,6,FALSE)</f>
        <v>1020</v>
      </c>
    </row>
    <row r="36" spans="2:28" s="19" customFormat="1">
      <c r="B36" s="37">
        <v>0.57847222222222217</v>
      </c>
      <c r="C36" s="37" t="s">
        <v>207</v>
      </c>
      <c r="D36" s="38">
        <v>4</v>
      </c>
      <c r="E36" s="39">
        <v>8</v>
      </c>
      <c r="F36" s="39" t="s">
        <v>157</v>
      </c>
      <c r="G36" s="40" t="s">
        <v>157</v>
      </c>
      <c r="H36" s="39" t="s">
        <v>158</v>
      </c>
      <c r="I36" s="40">
        <v>6</v>
      </c>
      <c r="J36" s="40">
        <v>2</v>
      </c>
      <c r="K36" s="25" t="str">
        <f>VLOOKUP(J36,Key!$E$2:$F$9,2,FALSE)</f>
        <v>Work</v>
      </c>
      <c r="L36" s="39" t="s">
        <v>159</v>
      </c>
      <c r="M36" s="40" t="s">
        <v>159</v>
      </c>
      <c r="N36" s="39" t="s">
        <v>158</v>
      </c>
      <c r="O36" s="40">
        <v>6</v>
      </c>
      <c r="P36" s="40">
        <v>2</v>
      </c>
      <c r="Q36" s="25" t="str">
        <f>VLOOKUP(P36,Key!$E$2:$F$9,2,FALSE)</f>
        <v>Work</v>
      </c>
      <c r="R36" s="25" t="str">
        <f t="shared" si="0"/>
        <v>Work-Work</v>
      </c>
      <c r="S36" s="44">
        <v>156</v>
      </c>
      <c r="T36" s="44">
        <v>4</v>
      </c>
      <c r="U36" s="40">
        <v>2</v>
      </c>
      <c r="V36" s="40"/>
      <c r="W36" s="44"/>
      <c r="X36" s="44"/>
      <c r="Y36" s="45" t="s">
        <v>160</v>
      </c>
      <c r="Z36" s="46"/>
      <c r="AA36" s="25">
        <f>VLOOKUP(F36,Zones!$A$2:$F$1587,6,FALSE)</f>
        <v>1352</v>
      </c>
      <c r="AB36" s="25">
        <f>VLOOKUP(L36,Zones!$A$2:$F$1587,6,FALSE)</f>
        <v>1020</v>
      </c>
    </row>
    <row r="37" spans="2:28" s="19" customFormat="1">
      <c r="B37" s="37">
        <v>0.44097222222222227</v>
      </c>
      <c r="C37" s="37" t="s">
        <v>208</v>
      </c>
      <c r="D37" s="38">
        <v>2</v>
      </c>
      <c r="E37" s="39">
        <v>5</v>
      </c>
      <c r="F37" s="39" t="s">
        <v>157</v>
      </c>
      <c r="G37" s="40" t="s">
        <v>157</v>
      </c>
      <c r="H37" s="39" t="s">
        <v>158</v>
      </c>
      <c r="I37" s="40">
        <v>1</v>
      </c>
      <c r="J37" s="40">
        <v>1</v>
      </c>
      <c r="K37" s="25" t="str">
        <f>VLOOKUP(J37,Key!$E$2:$F$9,2,FALSE)</f>
        <v>Home</v>
      </c>
      <c r="L37" s="39" t="s">
        <v>159</v>
      </c>
      <c r="M37" s="40" t="s">
        <v>159</v>
      </c>
      <c r="N37" s="39" t="s">
        <v>158</v>
      </c>
      <c r="O37" s="40">
        <v>3</v>
      </c>
      <c r="P37" s="40">
        <v>2</v>
      </c>
      <c r="Q37" s="25" t="str">
        <f>VLOOKUP(P37,Key!$E$2:$F$9,2,FALSE)</f>
        <v>Work</v>
      </c>
      <c r="R37" s="25" t="str">
        <f t="shared" si="0"/>
        <v>Home-Work</v>
      </c>
      <c r="S37" s="44">
        <v>13</v>
      </c>
      <c r="T37" s="44"/>
      <c r="U37" s="40">
        <v>2</v>
      </c>
      <c r="V37" s="40"/>
      <c r="W37" s="44"/>
      <c r="X37" s="44"/>
      <c r="Y37" s="45" t="s">
        <v>171</v>
      </c>
      <c r="Z37" s="46">
        <v>5000</v>
      </c>
      <c r="AA37" s="25">
        <f>VLOOKUP(F37,Zones!$A$2:$F$1587,6,FALSE)</f>
        <v>1352</v>
      </c>
      <c r="AB37" s="25">
        <f>VLOOKUP(L37,Zones!$A$2:$F$1587,6,FALSE)</f>
        <v>1020</v>
      </c>
    </row>
    <row r="38" spans="2:28" s="19" customFormat="1">
      <c r="B38" s="37">
        <v>0.44930555555555557</v>
      </c>
      <c r="C38" s="37" t="s">
        <v>209</v>
      </c>
      <c r="D38" s="38">
        <v>4</v>
      </c>
      <c r="E38" s="39">
        <v>1</v>
      </c>
      <c r="F38" s="39" t="s">
        <v>210</v>
      </c>
      <c r="G38" s="40" t="s">
        <v>157</v>
      </c>
      <c r="H38" s="39" t="s">
        <v>158</v>
      </c>
      <c r="I38" s="40">
        <v>1</v>
      </c>
      <c r="J38" s="40">
        <v>1</v>
      </c>
      <c r="K38" s="25" t="str">
        <f>VLOOKUP(J38,Key!$E$2:$F$9,2,FALSE)</f>
        <v>Home</v>
      </c>
      <c r="L38" s="39" t="s">
        <v>159</v>
      </c>
      <c r="M38" s="40" t="s">
        <v>159</v>
      </c>
      <c r="N38" s="39" t="s">
        <v>158</v>
      </c>
      <c r="O38" s="40">
        <v>4</v>
      </c>
      <c r="P38" s="40">
        <v>3</v>
      </c>
      <c r="Q38" s="25" t="str">
        <f>VLOOKUP(P38,Key!$E$2:$F$9,2,FALSE)</f>
        <v>Study</v>
      </c>
      <c r="R38" s="25" t="str">
        <f t="shared" si="0"/>
        <v>Home-Study</v>
      </c>
      <c r="S38" s="44">
        <v>33</v>
      </c>
      <c r="T38" s="44">
        <v>1</v>
      </c>
      <c r="U38" s="40">
        <v>2</v>
      </c>
      <c r="V38" s="40"/>
      <c r="W38" s="44"/>
      <c r="X38" s="44"/>
      <c r="Y38" s="45" t="s">
        <v>160</v>
      </c>
      <c r="Z38" s="46">
        <v>5000</v>
      </c>
      <c r="AA38" s="25">
        <f>VLOOKUP(F38,Zones!$A$2:$F$1587,6,FALSE)</f>
        <v>1352</v>
      </c>
      <c r="AB38" s="25">
        <f>VLOOKUP(L38,Zones!$A$2:$F$1587,6,FALSE)</f>
        <v>1020</v>
      </c>
    </row>
    <row r="39" spans="2:28" s="19" customFormat="1">
      <c r="B39" s="37">
        <v>0.3888888888888889</v>
      </c>
      <c r="C39" s="37" t="s">
        <v>211</v>
      </c>
      <c r="D39" s="38">
        <v>2</v>
      </c>
      <c r="E39" s="39">
        <v>2</v>
      </c>
      <c r="F39" s="39" t="s">
        <v>212</v>
      </c>
      <c r="G39" s="40" t="s">
        <v>212</v>
      </c>
      <c r="H39" s="39" t="s">
        <v>158</v>
      </c>
      <c r="I39" s="40">
        <v>1</v>
      </c>
      <c r="J39" s="40">
        <v>1</v>
      </c>
      <c r="K39" s="25" t="str">
        <f>VLOOKUP(J39,Key!$E$2:$F$9,2,FALSE)</f>
        <v>Home</v>
      </c>
      <c r="L39" s="39" t="s">
        <v>159</v>
      </c>
      <c r="M39" s="40" t="s">
        <v>159</v>
      </c>
      <c r="N39" s="39" t="s">
        <v>158</v>
      </c>
      <c r="O39" s="40">
        <v>3</v>
      </c>
      <c r="P39" s="40">
        <v>2</v>
      </c>
      <c r="Q39" s="25" t="str">
        <f>VLOOKUP(P39,Key!$E$2:$F$9,2,FALSE)</f>
        <v>Work</v>
      </c>
      <c r="R39" s="25" t="str">
        <f t="shared" si="0"/>
        <v>Home-Work</v>
      </c>
      <c r="S39" s="44">
        <v>12</v>
      </c>
      <c r="T39" s="44">
        <v>0.5</v>
      </c>
      <c r="U39" s="40">
        <v>6</v>
      </c>
      <c r="V39" s="40"/>
      <c r="W39" s="44"/>
      <c r="X39" s="44"/>
      <c r="Y39" s="45" t="s">
        <v>160</v>
      </c>
      <c r="Z39" s="46"/>
      <c r="AA39" s="25">
        <f>VLOOKUP(F39,Zones!$A$2:$F$1587,6,FALSE)</f>
        <v>1382</v>
      </c>
      <c r="AB39" s="25">
        <f>VLOOKUP(L39,Zones!$A$2:$F$1587,6,FALSE)</f>
        <v>1020</v>
      </c>
    </row>
    <row r="40" spans="2:28" s="19" customFormat="1">
      <c r="B40" s="37">
        <v>0.40833333333333338</v>
      </c>
      <c r="C40" s="37" t="s">
        <v>217</v>
      </c>
      <c r="D40" s="38">
        <v>11</v>
      </c>
      <c r="E40" s="39">
        <v>2</v>
      </c>
      <c r="F40" s="39" t="s">
        <v>157</v>
      </c>
      <c r="G40" s="40" t="s">
        <v>157</v>
      </c>
      <c r="H40" s="39" t="s">
        <v>158</v>
      </c>
      <c r="I40" s="40">
        <v>8</v>
      </c>
      <c r="J40" s="40">
        <v>2</v>
      </c>
      <c r="K40" s="25" t="str">
        <f>VLOOKUP(J40,Key!$E$2:$F$9,2,FALSE)</f>
        <v>Work</v>
      </c>
      <c r="L40" s="39" t="s">
        <v>159</v>
      </c>
      <c r="M40" s="40" t="s">
        <v>159</v>
      </c>
      <c r="N40" s="39" t="s">
        <v>158</v>
      </c>
      <c r="O40" s="40">
        <v>8</v>
      </c>
      <c r="P40" s="40">
        <v>2</v>
      </c>
      <c r="Q40" s="25" t="str">
        <f>VLOOKUP(P40,Key!$E$2:$F$9,2,FALSE)</f>
        <v>Work</v>
      </c>
      <c r="R40" s="25" t="str">
        <f t="shared" si="0"/>
        <v>Work-Work</v>
      </c>
      <c r="S40" s="44">
        <v>16</v>
      </c>
      <c r="T40" s="44">
        <v>0.7</v>
      </c>
      <c r="U40" s="40">
        <v>2</v>
      </c>
      <c r="V40" s="40"/>
      <c r="W40" s="44"/>
      <c r="X40" s="44"/>
      <c r="Y40" s="45" t="s">
        <v>160</v>
      </c>
      <c r="Z40" s="46"/>
      <c r="AA40" s="25">
        <f>VLOOKUP(F40,Zones!$A$2:$F$1587,6,FALSE)</f>
        <v>1352</v>
      </c>
      <c r="AB40" s="25">
        <f>VLOOKUP(L40,Zones!$A$2:$F$1587,6,FALSE)</f>
        <v>1020</v>
      </c>
    </row>
    <row r="41" spans="2:28" s="19" customFormat="1">
      <c r="B41" s="37">
        <v>0.41180555555555554</v>
      </c>
      <c r="C41" s="37" t="s">
        <v>222</v>
      </c>
      <c r="D41" s="38">
        <v>1</v>
      </c>
      <c r="E41" s="39">
        <v>1</v>
      </c>
      <c r="F41" s="39" t="s">
        <v>183</v>
      </c>
      <c r="G41" s="40" t="s">
        <v>183</v>
      </c>
      <c r="H41" s="39" t="s">
        <v>158</v>
      </c>
      <c r="I41" s="40"/>
      <c r="J41" s="40">
        <v>2</v>
      </c>
      <c r="K41" s="25" t="str">
        <f>VLOOKUP(J41,Key!$E$2:$F$9,2,FALSE)</f>
        <v>Work</v>
      </c>
      <c r="L41" s="39" t="s">
        <v>159</v>
      </c>
      <c r="M41" s="40" t="s">
        <v>159</v>
      </c>
      <c r="N41" s="39" t="s">
        <v>158</v>
      </c>
      <c r="O41" s="40">
        <v>2</v>
      </c>
      <c r="P41" s="40">
        <v>2</v>
      </c>
      <c r="Q41" s="25" t="str">
        <f>VLOOKUP(P41,Key!$E$2:$F$9,2,FALSE)</f>
        <v>Work</v>
      </c>
      <c r="R41" s="25" t="str">
        <f t="shared" si="0"/>
        <v>Work-Work</v>
      </c>
      <c r="S41" s="44">
        <v>600</v>
      </c>
      <c r="T41" s="44">
        <v>8</v>
      </c>
      <c r="U41" s="40">
        <v>2</v>
      </c>
      <c r="V41" s="40"/>
      <c r="W41" s="44"/>
      <c r="X41" s="44"/>
      <c r="Y41" s="45" t="s">
        <v>171</v>
      </c>
      <c r="Z41" s="46"/>
      <c r="AA41" s="25">
        <f>VLOOKUP(F41,Zones!$A$2:$F$1587,6,FALSE)</f>
        <v>94</v>
      </c>
      <c r="AB41" s="25">
        <f>VLOOKUP(L41,Zones!$A$2:$F$1587,6,FALSE)</f>
        <v>1020</v>
      </c>
    </row>
    <row r="42" spans="2:28" s="19" customFormat="1">
      <c r="B42" s="37">
        <v>0.72777777777777775</v>
      </c>
      <c r="C42" s="37" t="s">
        <v>173</v>
      </c>
      <c r="D42" s="38">
        <v>9</v>
      </c>
      <c r="E42" s="39">
        <v>2</v>
      </c>
      <c r="F42" s="39" t="s">
        <v>159</v>
      </c>
      <c r="G42" s="40" t="s">
        <v>159</v>
      </c>
      <c r="H42" s="39" t="s">
        <v>158</v>
      </c>
      <c r="I42" s="40">
        <v>10</v>
      </c>
      <c r="J42" s="40">
        <v>2</v>
      </c>
      <c r="K42" s="25" t="str">
        <f>VLOOKUP(J42,Key!$E$2:$F$9,2,FALSE)</f>
        <v>Work</v>
      </c>
      <c r="L42" s="39" t="s">
        <v>157</v>
      </c>
      <c r="M42" s="40" t="s">
        <v>157</v>
      </c>
      <c r="N42" s="39" t="s">
        <v>158</v>
      </c>
      <c r="O42" s="40">
        <v>11</v>
      </c>
      <c r="P42" s="40">
        <v>2</v>
      </c>
      <c r="Q42" s="25" t="str">
        <f>VLOOKUP(P42,Key!$E$2:$F$9,2,FALSE)</f>
        <v>Work</v>
      </c>
      <c r="R42" s="25" t="str">
        <f>K42&amp;"-"&amp;Q42</f>
        <v>Work-Work</v>
      </c>
      <c r="S42" s="44">
        <v>160</v>
      </c>
      <c r="T42" s="44">
        <v>2.2000000000000002</v>
      </c>
      <c r="U42" s="40">
        <v>2</v>
      </c>
      <c r="V42" s="40"/>
      <c r="W42" s="44"/>
      <c r="X42" s="44"/>
      <c r="Y42" s="45" t="s">
        <v>160</v>
      </c>
      <c r="Z42" s="46">
        <v>3000</v>
      </c>
      <c r="AA42" s="25">
        <f>VLOOKUP(F42,Zones!$A$2:$F$1587,6,FALSE)</f>
        <v>1020</v>
      </c>
      <c r="AB42" s="25">
        <f>VLOOKUP(L42,Zones!$A$2:$F$1587,6,FALSE)</f>
        <v>1352</v>
      </c>
    </row>
    <row r="43" spans="2:28" s="19" customFormat="1">
      <c r="B43" s="37">
        <v>0.51388888888888895</v>
      </c>
      <c r="C43" s="37" t="s">
        <v>190</v>
      </c>
      <c r="D43" s="38">
        <v>1</v>
      </c>
      <c r="E43" s="39">
        <v>2</v>
      </c>
      <c r="F43" s="39" t="s">
        <v>159</v>
      </c>
      <c r="G43" s="40" t="s">
        <v>159</v>
      </c>
      <c r="H43" s="39" t="s">
        <v>158</v>
      </c>
      <c r="I43" s="40">
        <v>2</v>
      </c>
      <c r="J43" s="40">
        <v>1</v>
      </c>
      <c r="K43" s="25" t="str">
        <f>VLOOKUP(J43,Key!$E$2:$F$9,2,FALSE)</f>
        <v>Home</v>
      </c>
      <c r="L43" s="39" t="s">
        <v>157</v>
      </c>
      <c r="M43" s="40" t="s">
        <v>157</v>
      </c>
      <c r="N43" s="39" t="s">
        <v>158</v>
      </c>
      <c r="O43" s="40">
        <v>1</v>
      </c>
      <c r="P43" s="40">
        <v>1</v>
      </c>
      <c r="Q43" s="25" t="str">
        <f>VLOOKUP(P43,Key!$E$2:$F$9,2,FALSE)</f>
        <v>Home</v>
      </c>
      <c r="R43" s="25" t="str">
        <f t="shared" ref="R43:R76" si="1">K43&amp;"-"&amp;Q43</f>
        <v>Home-Home</v>
      </c>
      <c r="S43" s="44">
        <v>50</v>
      </c>
      <c r="T43" s="44">
        <v>1</v>
      </c>
      <c r="U43" s="40"/>
      <c r="V43" s="40"/>
      <c r="W43" s="44"/>
      <c r="X43" s="44"/>
      <c r="Y43" s="45" t="s">
        <v>160</v>
      </c>
      <c r="Z43" s="46">
        <v>3000</v>
      </c>
      <c r="AA43" s="25">
        <f>VLOOKUP(F43,Zones!$A$2:$F$1587,6,FALSE)</f>
        <v>1020</v>
      </c>
      <c r="AB43" s="25">
        <f>VLOOKUP(L43,Zones!$A$2:$F$1587,6,FALSE)</f>
        <v>1352</v>
      </c>
    </row>
    <row r="44" spans="2:28" s="19" customFormat="1">
      <c r="B44" s="37">
        <v>0.38472222222222219</v>
      </c>
      <c r="C44" s="37" t="s">
        <v>191</v>
      </c>
      <c r="D44" s="38">
        <v>11</v>
      </c>
      <c r="E44" s="39">
        <v>3</v>
      </c>
      <c r="F44" s="39" t="s">
        <v>159</v>
      </c>
      <c r="G44" s="40" t="s">
        <v>159</v>
      </c>
      <c r="H44" s="39" t="s">
        <v>158</v>
      </c>
      <c r="I44" s="40">
        <v>1</v>
      </c>
      <c r="J44" s="40">
        <v>1</v>
      </c>
      <c r="K44" s="25" t="str">
        <f>VLOOKUP(J44,Key!$E$2:$F$9,2,FALSE)</f>
        <v>Home</v>
      </c>
      <c r="L44" s="39" t="s">
        <v>166</v>
      </c>
      <c r="M44" s="40" t="s">
        <v>166</v>
      </c>
      <c r="N44" s="39" t="s">
        <v>158</v>
      </c>
      <c r="O44" s="40">
        <v>8</v>
      </c>
      <c r="P44" s="40">
        <v>2</v>
      </c>
      <c r="Q44" s="25" t="str">
        <f>VLOOKUP(P44,Key!$E$2:$F$9,2,FALSE)</f>
        <v>Work</v>
      </c>
      <c r="R44" s="25" t="str">
        <f t="shared" si="1"/>
        <v>Home-Work</v>
      </c>
      <c r="S44" s="44">
        <v>18</v>
      </c>
      <c r="T44" s="44">
        <v>0.3</v>
      </c>
      <c r="U44" s="40">
        <v>2</v>
      </c>
      <c r="V44" s="40"/>
      <c r="W44" s="44"/>
      <c r="X44" s="44"/>
      <c r="Y44" s="45" t="s">
        <v>160</v>
      </c>
      <c r="Z44" s="46">
        <v>0</v>
      </c>
      <c r="AA44" s="25">
        <f>VLOOKUP(F44,Zones!$A$2:$F$1587,6,FALSE)</f>
        <v>1020</v>
      </c>
      <c r="AB44" s="25">
        <f>VLOOKUP(L44,Zones!$A$2:$F$1587,6,FALSE)</f>
        <v>1147</v>
      </c>
    </row>
    <row r="45" spans="2:28" s="19" customFormat="1">
      <c r="B45" s="37">
        <v>0.38680555555555557</v>
      </c>
      <c r="C45" s="37" t="s">
        <v>192</v>
      </c>
      <c r="D45" s="38">
        <v>2</v>
      </c>
      <c r="E45" s="39">
        <v>1</v>
      </c>
      <c r="F45" s="39" t="s">
        <v>159</v>
      </c>
      <c r="G45" s="40" t="s">
        <v>159</v>
      </c>
      <c r="H45" s="39" t="s">
        <v>158</v>
      </c>
      <c r="I45" s="40">
        <v>1</v>
      </c>
      <c r="J45" s="40">
        <v>1</v>
      </c>
      <c r="K45" s="25" t="str">
        <f>VLOOKUP(J45,Key!$E$2:$F$9,2,FALSE)</f>
        <v>Home</v>
      </c>
      <c r="L45" s="39" t="s">
        <v>166</v>
      </c>
      <c r="M45" s="40" t="s">
        <v>166</v>
      </c>
      <c r="N45" s="39" t="s">
        <v>158</v>
      </c>
      <c r="O45" s="40">
        <v>2</v>
      </c>
      <c r="P45" s="40">
        <v>2</v>
      </c>
      <c r="Q45" s="25" t="str">
        <f>VLOOKUP(P45,Key!$E$2:$F$9,2,FALSE)</f>
        <v>Work</v>
      </c>
      <c r="R45" s="25" t="str">
        <f t="shared" si="1"/>
        <v>Home-Work</v>
      </c>
      <c r="S45" s="44"/>
      <c r="T45" s="44">
        <v>0.3</v>
      </c>
      <c r="U45" s="40">
        <v>6</v>
      </c>
      <c r="V45" s="40"/>
      <c r="W45" s="44"/>
      <c r="X45" s="44"/>
      <c r="Y45" s="45" t="s">
        <v>160</v>
      </c>
      <c r="Z45" s="46">
        <v>0</v>
      </c>
      <c r="AA45" s="25">
        <f>VLOOKUP(F45,Zones!$A$2:$F$1587,6,FALSE)</f>
        <v>1020</v>
      </c>
      <c r="AB45" s="25">
        <f>VLOOKUP(L45,Zones!$A$2:$F$1587,6,FALSE)</f>
        <v>1147</v>
      </c>
    </row>
    <row r="46" spans="2:28" s="19" customFormat="1">
      <c r="B46" s="37">
        <v>0.39027777777777778</v>
      </c>
      <c r="C46" s="37" t="s">
        <v>193</v>
      </c>
      <c r="D46" s="38">
        <v>1</v>
      </c>
      <c r="E46" s="39">
        <v>4</v>
      </c>
      <c r="F46" s="39" t="s">
        <v>159</v>
      </c>
      <c r="G46" s="40" t="s">
        <v>159</v>
      </c>
      <c r="H46" s="39" t="s">
        <v>158</v>
      </c>
      <c r="I46" s="40">
        <v>1</v>
      </c>
      <c r="J46" s="40">
        <v>1</v>
      </c>
      <c r="K46" s="25" t="str">
        <f>VLOOKUP(J46,Key!$E$2:$F$9,2,FALSE)</f>
        <v>Home</v>
      </c>
      <c r="L46" s="39" t="s">
        <v>166</v>
      </c>
      <c r="M46" s="40" t="s">
        <v>166</v>
      </c>
      <c r="N46" s="39" t="s">
        <v>158</v>
      </c>
      <c r="O46" s="40">
        <v>4</v>
      </c>
      <c r="P46" s="40">
        <v>3</v>
      </c>
      <c r="Q46" s="25" t="str">
        <f>VLOOKUP(P46,Key!$E$2:$F$9,2,FALSE)</f>
        <v>Study</v>
      </c>
      <c r="R46" s="25" t="str">
        <f t="shared" si="1"/>
        <v>Home-Study</v>
      </c>
      <c r="S46" s="44">
        <v>42</v>
      </c>
      <c r="T46" s="44">
        <v>0.3</v>
      </c>
      <c r="U46" s="40">
        <v>2</v>
      </c>
      <c r="V46" s="40"/>
      <c r="W46" s="44"/>
      <c r="X46" s="44"/>
      <c r="Y46" s="45" t="s">
        <v>160</v>
      </c>
      <c r="Z46" s="46">
        <v>0</v>
      </c>
      <c r="AA46" s="25">
        <f>VLOOKUP(F46,Zones!$A$2:$F$1587,6,FALSE)</f>
        <v>1020</v>
      </c>
      <c r="AB46" s="25">
        <f>VLOOKUP(L46,Zones!$A$2:$F$1587,6,FALSE)</f>
        <v>1147</v>
      </c>
    </row>
    <row r="47" spans="2:28" s="19" customFormat="1">
      <c r="B47" s="37">
        <v>0.39652777777777781</v>
      </c>
      <c r="C47" s="37" t="s">
        <v>194</v>
      </c>
      <c r="D47" s="38">
        <v>9</v>
      </c>
      <c r="E47" s="39">
        <v>4</v>
      </c>
      <c r="F47" s="39" t="s">
        <v>159</v>
      </c>
      <c r="G47" s="40" t="s">
        <v>159</v>
      </c>
      <c r="H47" s="39" t="s">
        <v>158</v>
      </c>
      <c r="I47" s="40">
        <v>1</v>
      </c>
      <c r="J47" s="40">
        <v>1</v>
      </c>
      <c r="K47" s="25" t="str">
        <f>VLOOKUP(J47,Key!$E$2:$F$9,2,FALSE)</f>
        <v>Home</v>
      </c>
      <c r="L47" s="39" t="s">
        <v>195</v>
      </c>
      <c r="M47" s="40" t="s">
        <v>195</v>
      </c>
      <c r="N47" s="39" t="s">
        <v>158</v>
      </c>
      <c r="O47" s="40">
        <v>9</v>
      </c>
      <c r="P47" s="40">
        <v>2</v>
      </c>
      <c r="Q47" s="25" t="str">
        <f>VLOOKUP(P47,Key!$E$2:$F$9,2,FALSE)</f>
        <v>Work</v>
      </c>
      <c r="R47" s="25" t="str">
        <f t="shared" si="1"/>
        <v>Home-Work</v>
      </c>
      <c r="S47" s="44">
        <v>322</v>
      </c>
      <c r="T47" s="44">
        <v>7</v>
      </c>
      <c r="U47" s="40">
        <v>2</v>
      </c>
      <c r="V47" s="40">
        <v>7</v>
      </c>
      <c r="W47" s="44">
        <v>26</v>
      </c>
      <c r="X47" s="44"/>
      <c r="Y47" s="45" t="s">
        <v>160</v>
      </c>
      <c r="Z47" s="46">
        <v>0</v>
      </c>
      <c r="AA47" s="25">
        <f>VLOOKUP(F47,Zones!$A$2:$F$1587,6,FALSE)</f>
        <v>1020</v>
      </c>
      <c r="AB47" s="25">
        <f>VLOOKUP(L47,Zones!$A$2:$F$1587,6,FALSE)</f>
        <v>975</v>
      </c>
    </row>
    <row r="48" spans="2:28" s="19" customFormat="1">
      <c r="B48" s="37">
        <v>0.40486111111111112</v>
      </c>
      <c r="C48" s="37" t="s">
        <v>196</v>
      </c>
      <c r="D48" s="38">
        <v>3</v>
      </c>
      <c r="E48" s="39">
        <v>8</v>
      </c>
      <c r="F48" s="39" t="s">
        <v>159</v>
      </c>
      <c r="G48" s="40" t="s">
        <v>159</v>
      </c>
      <c r="H48" s="39" t="s">
        <v>158</v>
      </c>
      <c r="I48" s="40">
        <v>1</v>
      </c>
      <c r="J48" s="40">
        <v>1</v>
      </c>
      <c r="K48" s="25" t="str">
        <f>VLOOKUP(J48,Key!$E$2:$F$9,2,FALSE)</f>
        <v>Home</v>
      </c>
      <c r="L48" s="39" t="s">
        <v>166</v>
      </c>
      <c r="M48" s="40" t="s">
        <v>166</v>
      </c>
      <c r="N48" s="39" t="s">
        <v>158</v>
      </c>
      <c r="O48" s="40">
        <v>3</v>
      </c>
      <c r="P48" s="40">
        <v>2</v>
      </c>
      <c r="Q48" s="25" t="str">
        <f>VLOOKUP(P48,Key!$E$2:$F$9,2,FALSE)</f>
        <v>Work</v>
      </c>
      <c r="R48" s="25" t="str">
        <f t="shared" si="1"/>
        <v>Home-Work</v>
      </c>
      <c r="S48" s="44">
        <v>42</v>
      </c>
      <c r="T48" s="44">
        <v>0.2</v>
      </c>
      <c r="U48" s="40">
        <v>2</v>
      </c>
      <c r="V48" s="40"/>
      <c r="W48" s="44"/>
      <c r="X48" s="44"/>
      <c r="Y48" s="45" t="s">
        <v>160</v>
      </c>
      <c r="Z48" s="46">
        <v>0</v>
      </c>
      <c r="AA48" s="25">
        <f>VLOOKUP(F48,Zones!$A$2:$F$1587,6,FALSE)</f>
        <v>1020</v>
      </c>
      <c r="AB48" s="25">
        <f>VLOOKUP(L48,Zones!$A$2:$F$1587,6,FALSE)</f>
        <v>1147</v>
      </c>
    </row>
    <row r="49" spans="2:28" s="19" customFormat="1">
      <c r="B49" s="37">
        <v>0.40416666666666662</v>
      </c>
      <c r="C49" s="37" t="s">
        <v>197</v>
      </c>
      <c r="D49" s="38">
        <v>3</v>
      </c>
      <c r="E49" s="39">
        <v>2</v>
      </c>
      <c r="F49" s="39" t="s">
        <v>159</v>
      </c>
      <c r="G49" s="40" t="s">
        <v>159</v>
      </c>
      <c r="H49" s="39" t="s">
        <v>158</v>
      </c>
      <c r="I49" s="40">
        <v>1</v>
      </c>
      <c r="J49" s="40">
        <v>1</v>
      </c>
      <c r="K49" s="25" t="str">
        <f>VLOOKUP(J49,Key!$E$2:$F$9,2,FALSE)</f>
        <v>Home</v>
      </c>
      <c r="L49" s="39" t="s">
        <v>166</v>
      </c>
      <c r="M49" s="40" t="s">
        <v>166</v>
      </c>
      <c r="N49" s="39" t="s">
        <v>158</v>
      </c>
      <c r="O49" s="40">
        <v>2</v>
      </c>
      <c r="P49" s="40">
        <v>2</v>
      </c>
      <c r="Q49" s="25" t="str">
        <f>VLOOKUP(P49,Key!$E$2:$F$9,2,FALSE)</f>
        <v>Work</v>
      </c>
      <c r="R49" s="25" t="str">
        <f t="shared" si="1"/>
        <v>Home-Work</v>
      </c>
      <c r="S49" s="44">
        <v>42</v>
      </c>
      <c r="T49" s="44"/>
      <c r="U49" s="40">
        <v>2</v>
      </c>
      <c r="V49" s="40"/>
      <c r="W49" s="44"/>
      <c r="X49" s="44"/>
      <c r="Y49" s="45" t="s">
        <v>160</v>
      </c>
      <c r="Z49" s="46">
        <v>0</v>
      </c>
      <c r="AA49" s="25">
        <f>VLOOKUP(F49,Zones!$A$2:$F$1587,6,FALSE)</f>
        <v>1020</v>
      </c>
      <c r="AB49" s="25">
        <f>VLOOKUP(L49,Zones!$A$2:$F$1587,6,FALSE)</f>
        <v>1147</v>
      </c>
    </row>
    <row r="50" spans="2:28" s="19" customFormat="1">
      <c r="B50" s="37">
        <v>0.41666666666666669</v>
      </c>
      <c r="C50" s="37" t="s">
        <v>198</v>
      </c>
      <c r="D50" s="38">
        <v>11</v>
      </c>
      <c r="E50" s="39">
        <v>1</v>
      </c>
      <c r="F50" s="39" t="s">
        <v>159</v>
      </c>
      <c r="G50" s="40" t="s">
        <v>159</v>
      </c>
      <c r="H50" s="39" t="s">
        <v>158</v>
      </c>
      <c r="I50" s="40">
        <v>8</v>
      </c>
      <c r="J50" s="40">
        <v>2</v>
      </c>
      <c r="K50" s="25" t="str">
        <f>VLOOKUP(J50,Key!$E$2:$F$9,2,FALSE)</f>
        <v>Work</v>
      </c>
      <c r="L50" s="39" t="s">
        <v>162</v>
      </c>
      <c r="M50" s="40" t="s">
        <v>166</v>
      </c>
      <c r="N50" s="39" t="s">
        <v>158</v>
      </c>
      <c r="O50" s="40">
        <v>8</v>
      </c>
      <c r="P50" s="40">
        <v>2</v>
      </c>
      <c r="Q50" s="25" t="str">
        <f>VLOOKUP(P50,Key!$E$2:$F$9,2,FALSE)</f>
        <v>Work</v>
      </c>
      <c r="R50" s="25" t="str">
        <f t="shared" si="1"/>
        <v>Work-Work</v>
      </c>
      <c r="S50" s="44">
        <v>18</v>
      </c>
      <c r="T50" s="44">
        <v>0.7</v>
      </c>
      <c r="U50" s="40">
        <v>2</v>
      </c>
      <c r="V50" s="40"/>
      <c r="W50" s="44"/>
      <c r="X50" s="44"/>
      <c r="Y50" s="45" t="s">
        <v>171</v>
      </c>
      <c r="Z50" s="46">
        <v>0</v>
      </c>
      <c r="AA50" s="25">
        <f>VLOOKUP(F50,Zones!$A$2:$F$1587,6,FALSE)</f>
        <v>1020</v>
      </c>
      <c r="AB50" s="25">
        <f>VLOOKUP(L50,Zones!$A$2:$F$1587,6,FALSE)</f>
        <v>1020</v>
      </c>
    </row>
    <row r="51" spans="2:28" s="19" customFormat="1">
      <c r="B51" s="37">
        <v>0.4152777777777778</v>
      </c>
      <c r="C51" s="37" t="s">
        <v>199</v>
      </c>
      <c r="D51" s="38">
        <v>2</v>
      </c>
      <c r="E51" s="39">
        <v>2</v>
      </c>
      <c r="F51" s="39" t="s">
        <v>162</v>
      </c>
      <c r="G51" s="40" t="s">
        <v>166</v>
      </c>
      <c r="H51" s="39" t="s">
        <v>158</v>
      </c>
      <c r="I51" s="40">
        <v>2</v>
      </c>
      <c r="J51" s="40">
        <v>2</v>
      </c>
      <c r="K51" s="25" t="str">
        <f>VLOOKUP(J51,Key!$E$2:$F$9,2,FALSE)</f>
        <v>Work</v>
      </c>
      <c r="L51" s="39" t="s">
        <v>159</v>
      </c>
      <c r="M51" s="40" t="s">
        <v>159</v>
      </c>
      <c r="N51" s="39" t="s">
        <v>158</v>
      </c>
      <c r="O51" s="40">
        <v>8</v>
      </c>
      <c r="P51" s="40">
        <v>2</v>
      </c>
      <c r="Q51" s="25" t="str">
        <f>VLOOKUP(P51,Key!$E$2:$F$9,2,FALSE)</f>
        <v>Work</v>
      </c>
      <c r="R51" s="25" t="str">
        <f t="shared" si="1"/>
        <v>Work-Work</v>
      </c>
      <c r="S51" s="44">
        <v>50</v>
      </c>
      <c r="T51" s="44">
        <v>2</v>
      </c>
      <c r="U51" s="40">
        <v>2</v>
      </c>
      <c r="V51" s="40"/>
      <c r="W51" s="44"/>
      <c r="X51" s="44"/>
      <c r="Y51" s="45" t="s">
        <v>171</v>
      </c>
      <c r="Z51" s="46">
        <v>0</v>
      </c>
      <c r="AA51" s="25">
        <f>VLOOKUP(F51,Zones!$A$2:$F$1587,6,FALSE)</f>
        <v>1020</v>
      </c>
      <c r="AB51" s="25">
        <f>VLOOKUP(L51,Zones!$A$2:$F$1587,6,FALSE)</f>
        <v>1020</v>
      </c>
    </row>
    <row r="52" spans="2:28" s="19" customFormat="1">
      <c r="B52" s="37">
        <v>0.38819444444444445</v>
      </c>
      <c r="C52" s="37" t="s">
        <v>213</v>
      </c>
      <c r="D52" s="38">
        <v>3</v>
      </c>
      <c r="E52" s="39">
        <v>8</v>
      </c>
      <c r="F52" s="39" t="s">
        <v>159</v>
      </c>
      <c r="G52" s="40" t="s">
        <v>159</v>
      </c>
      <c r="H52" s="39" t="s">
        <v>158</v>
      </c>
      <c r="I52" s="40">
        <v>1</v>
      </c>
      <c r="J52" s="40">
        <v>1</v>
      </c>
      <c r="K52" s="25" t="str">
        <f>VLOOKUP(J52,Key!$E$2:$F$9,2,FALSE)</f>
        <v>Home</v>
      </c>
      <c r="L52" s="39" t="s">
        <v>166</v>
      </c>
      <c r="M52" s="40" t="s">
        <v>166</v>
      </c>
      <c r="N52" s="39" t="s">
        <v>158</v>
      </c>
      <c r="O52" s="40">
        <v>2</v>
      </c>
      <c r="P52" s="40">
        <v>2</v>
      </c>
      <c r="Q52" s="25" t="str">
        <f>VLOOKUP(P52,Key!$E$2:$F$9,2,FALSE)</f>
        <v>Work</v>
      </c>
      <c r="R52" s="25" t="str">
        <f t="shared" si="1"/>
        <v>Home-Work</v>
      </c>
      <c r="S52" s="44">
        <v>42</v>
      </c>
      <c r="T52" s="44">
        <v>0.3</v>
      </c>
      <c r="U52" s="40">
        <v>2</v>
      </c>
      <c r="V52" s="40"/>
      <c r="W52" s="44"/>
      <c r="X52" s="44"/>
      <c r="Y52" s="45" t="s">
        <v>160</v>
      </c>
      <c r="Z52" s="46">
        <v>0</v>
      </c>
      <c r="AA52" s="25">
        <f>VLOOKUP(F52,Zones!$A$2:$F$1587,6,FALSE)</f>
        <v>1020</v>
      </c>
      <c r="AB52" s="25">
        <f>VLOOKUP(L52,Zones!$A$2:$F$1587,6,FALSE)</f>
        <v>1147</v>
      </c>
    </row>
    <row r="53" spans="2:28" s="19" customFormat="1">
      <c r="B53" s="37">
        <v>0.40416666666666662</v>
      </c>
      <c r="C53" s="37" t="s">
        <v>214</v>
      </c>
      <c r="D53" s="38">
        <v>1</v>
      </c>
      <c r="E53" s="39">
        <v>2</v>
      </c>
      <c r="F53" s="39" t="s">
        <v>159</v>
      </c>
      <c r="G53" s="40" t="s">
        <v>159</v>
      </c>
      <c r="H53" s="39" t="s">
        <v>158</v>
      </c>
      <c r="I53" s="40">
        <v>1</v>
      </c>
      <c r="J53" s="40">
        <v>1</v>
      </c>
      <c r="K53" s="25" t="str">
        <f>VLOOKUP(J53,Key!$E$2:$F$9,2,FALSE)</f>
        <v>Home</v>
      </c>
      <c r="L53" s="39" t="s">
        <v>162</v>
      </c>
      <c r="M53" s="40" t="s">
        <v>166</v>
      </c>
      <c r="N53" s="39" t="s">
        <v>158</v>
      </c>
      <c r="O53" s="40">
        <v>10</v>
      </c>
      <c r="P53" s="40">
        <v>2</v>
      </c>
      <c r="Q53" s="25" t="str">
        <f>VLOOKUP(P53,Key!$E$2:$F$9,2,FALSE)</f>
        <v>Work</v>
      </c>
      <c r="R53" s="25" t="str">
        <f t="shared" si="1"/>
        <v>Home-Work</v>
      </c>
      <c r="S53" s="44">
        <v>32</v>
      </c>
      <c r="T53" s="44">
        <v>2</v>
      </c>
      <c r="U53" s="40">
        <v>2</v>
      </c>
      <c r="V53" s="40"/>
      <c r="W53" s="44"/>
      <c r="X53" s="44"/>
      <c r="Y53" s="45" t="s">
        <v>160</v>
      </c>
      <c r="Z53" s="46">
        <v>0</v>
      </c>
      <c r="AA53" s="25">
        <f>VLOOKUP(F53,Zones!$A$2:$F$1587,6,FALSE)</f>
        <v>1020</v>
      </c>
      <c r="AB53" s="25">
        <f>VLOOKUP(L53,Zones!$A$2:$F$1587,6,FALSE)</f>
        <v>1020</v>
      </c>
    </row>
    <row r="54" spans="2:28" s="19" customFormat="1">
      <c r="B54" s="37">
        <v>0.40902777777777777</v>
      </c>
      <c r="C54" s="37" t="s">
        <v>215</v>
      </c>
      <c r="D54" s="38">
        <v>5</v>
      </c>
      <c r="E54" s="39">
        <v>27</v>
      </c>
      <c r="F54" s="39" t="s">
        <v>159</v>
      </c>
      <c r="G54" s="40" t="s">
        <v>159</v>
      </c>
      <c r="H54" s="39" t="s">
        <v>158</v>
      </c>
      <c r="I54" s="40">
        <v>6</v>
      </c>
      <c r="J54" s="40">
        <v>2</v>
      </c>
      <c r="K54" s="25" t="str">
        <f>VLOOKUP(J54,Key!$E$2:$F$9,2,FALSE)</f>
        <v>Work</v>
      </c>
      <c r="L54" s="39" t="s">
        <v>170</v>
      </c>
      <c r="M54" s="40" t="s">
        <v>170</v>
      </c>
      <c r="N54" s="39" t="s">
        <v>158</v>
      </c>
      <c r="O54" s="40">
        <v>6</v>
      </c>
      <c r="P54" s="40">
        <v>2</v>
      </c>
      <c r="Q54" s="25" t="str">
        <f>VLOOKUP(P54,Key!$E$2:$F$9,2,FALSE)</f>
        <v>Work</v>
      </c>
      <c r="R54" s="25" t="str">
        <f t="shared" si="1"/>
        <v>Work-Work</v>
      </c>
      <c r="S54" s="44">
        <v>600</v>
      </c>
      <c r="T54" s="44">
        <v>10</v>
      </c>
      <c r="U54" s="40">
        <v>2</v>
      </c>
      <c r="V54" s="40"/>
      <c r="W54" s="44"/>
      <c r="X54" s="44"/>
      <c r="Y54" s="45" t="s">
        <v>160</v>
      </c>
      <c r="Z54" s="46">
        <v>0</v>
      </c>
      <c r="AA54" s="25">
        <f>VLOOKUP(F54,Zones!$A$2:$F$1587,6,FALSE)</f>
        <v>1020</v>
      </c>
      <c r="AB54" s="25">
        <f>VLOOKUP(L54,Zones!$A$2:$F$1587,6,FALSE)</f>
        <v>521</v>
      </c>
    </row>
    <row r="55" spans="2:28" s="19" customFormat="1">
      <c r="B55" s="37">
        <v>0.45416666666666666</v>
      </c>
      <c r="C55" s="37" t="s">
        <v>216</v>
      </c>
      <c r="D55" s="38">
        <v>4</v>
      </c>
      <c r="E55" s="39">
        <v>12</v>
      </c>
      <c r="F55" s="39" t="s">
        <v>159</v>
      </c>
      <c r="G55" s="40" t="s">
        <v>159</v>
      </c>
      <c r="H55" s="39" t="s">
        <v>158</v>
      </c>
      <c r="I55" s="40"/>
      <c r="J55" s="40">
        <v>2</v>
      </c>
      <c r="K55" s="25" t="str">
        <f>VLOOKUP(J55,Key!$E$2:$F$9,2,FALSE)</f>
        <v>Work</v>
      </c>
      <c r="L55" s="39" t="s">
        <v>157</v>
      </c>
      <c r="M55" s="40" t="s">
        <v>157</v>
      </c>
      <c r="N55" s="39" t="s">
        <v>158</v>
      </c>
      <c r="O55" s="40">
        <v>2</v>
      </c>
      <c r="P55" s="40">
        <v>2</v>
      </c>
      <c r="Q55" s="25" t="str">
        <f>VLOOKUP(P55,Key!$E$2:$F$9,2,FALSE)</f>
        <v>Work</v>
      </c>
      <c r="R55" s="25" t="str">
        <f t="shared" si="1"/>
        <v>Work-Work</v>
      </c>
      <c r="S55" s="44">
        <v>172</v>
      </c>
      <c r="T55" s="44">
        <v>3</v>
      </c>
      <c r="U55" s="40">
        <v>2</v>
      </c>
      <c r="V55" s="40"/>
      <c r="W55" s="44"/>
      <c r="X55" s="44"/>
      <c r="Y55" s="45" t="s">
        <v>160</v>
      </c>
      <c r="Z55" s="46">
        <v>2000</v>
      </c>
      <c r="AA55" s="25">
        <f>VLOOKUP(F55,Zones!$A$2:$F$1587,6,FALSE)</f>
        <v>1020</v>
      </c>
      <c r="AB55" s="25">
        <f>VLOOKUP(L55,Zones!$A$2:$F$1587,6,FALSE)</f>
        <v>1352</v>
      </c>
    </row>
    <row r="56" spans="2:28" s="19" customFormat="1">
      <c r="B56" s="37">
        <v>0.40625</v>
      </c>
      <c r="C56" s="37" t="s">
        <v>218</v>
      </c>
      <c r="D56" s="38">
        <v>11</v>
      </c>
      <c r="E56" s="39">
        <v>2</v>
      </c>
      <c r="F56" s="39" t="s">
        <v>159</v>
      </c>
      <c r="G56" s="40" t="s">
        <v>159</v>
      </c>
      <c r="H56" s="39" t="s">
        <v>158</v>
      </c>
      <c r="I56" s="40">
        <v>8</v>
      </c>
      <c r="J56" s="40">
        <v>2</v>
      </c>
      <c r="K56" s="25" t="str">
        <f>VLOOKUP(J56,Key!$E$2:$F$9,2,FALSE)</f>
        <v>Work</v>
      </c>
      <c r="L56" s="39" t="s">
        <v>162</v>
      </c>
      <c r="M56" s="40" t="s">
        <v>166</v>
      </c>
      <c r="N56" s="39" t="s">
        <v>158</v>
      </c>
      <c r="O56" s="40">
        <v>8</v>
      </c>
      <c r="P56" s="40">
        <v>2</v>
      </c>
      <c r="Q56" s="25" t="str">
        <f>VLOOKUP(P56,Key!$E$2:$F$9,2,FALSE)</f>
        <v>Work</v>
      </c>
      <c r="R56" s="25" t="str">
        <f t="shared" si="1"/>
        <v>Work-Work</v>
      </c>
      <c r="S56" s="44">
        <v>25</v>
      </c>
      <c r="T56" s="44">
        <v>0.5</v>
      </c>
      <c r="U56" s="40">
        <v>2</v>
      </c>
      <c r="V56" s="40"/>
      <c r="W56" s="44"/>
      <c r="X56" s="44"/>
      <c r="Y56" s="45" t="s">
        <v>171</v>
      </c>
      <c r="Z56" s="46">
        <v>0</v>
      </c>
      <c r="AA56" s="25">
        <f>VLOOKUP(F56,Zones!$A$2:$F$1587,6,FALSE)</f>
        <v>1020</v>
      </c>
      <c r="AB56" s="25">
        <f>VLOOKUP(L56,Zones!$A$2:$F$1587,6,FALSE)</f>
        <v>1020</v>
      </c>
    </row>
    <row r="57" spans="2:28" s="19" customFormat="1">
      <c r="B57" s="37">
        <v>0.40972222222222227</v>
      </c>
      <c r="C57" s="37" t="s">
        <v>219</v>
      </c>
      <c r="D57" s="38">
        <v>2</v>
      </c>
      <c r="E57" s="39">
        <v>3</v>
      </c>
      <c r="F57" s="39" t="s">
        <v>159</v>
      </c>
      <c r="G57" s="40" t="s">
        <v>159</v>
      </c>
      <c r="H57" s="39" t="s">
        <v>158</v>
      </c>
      <c r="I57" s="40">
        <v>16</v>
      </c>
      <c r="J57" s="40">
        <v>8</v>
      </c>
      <c r="K57" s="25" t="str">
        <f>VLOOKUP(J57,Key!$E$2:$F$9,2,FALSE)</f>
        <v>Others</v>
      </c>
      <c r="L57" s="39" t="s">
        <v>2048</v>
      </c>
      <c r="M57" s="40" t="s">
        <v>166</v>
      </c>
      <c r="N57" s="39" t="s">
        <v>158</v>
      </c>
      <c r="O57" s="40">
        <v>16</v>
      </c>
      <c r="P57" s="40">
        <v>8</v>
      </c>
      <c r="Q57" s="25" t="str">
        <f>VLOOKUP(P57,Key!$E$2:$F$9,2,FALSE)</f>
        <v>Others</v>
      </c>
      <c r="R57" s="25" t="str">
        <f t="shared" si="1"/>
        <v>Others-Others</v>
      </c>
      <c r="S57" s="44">
        <v>44</v>
      </c>
      <c r="T57" s="44">
        <v>1</v>
      </c>
      <c r="U57" s="40">
        <v>2</v>
      </c>
      <c r="V57" s="40">
        <v>12</v>
      </c>
      <c r="W57" s="44">
        <v>5</v>
      </c>
      <c r="X57" s="44"/>
      <c r="Y57" s="45" t="s">
        <v>171</v>
      </c>
      <c r="Z57" s="46">
        <v>0</v>
      </c>
      <c r="AA57" s="25">
        <f>VLOOKUP(F57,Zones!$A$2:$F$1587,6,FALSE)</f>
        <v>1020</v>
      </c>
      <c r="AB57" s="25">
        <f>VLOOKUP(L57,Zones!$A$2:$F$1587,6,FALSE)</f>
        <v>1146</v>
      </c>
    </row>
    <row r="58" spans="2:28" s="19" customFormat="1">
      <c r="B58" s="37">
        <v>0.4055555555555555</v>
      </c>
      <c r="C58" s="37" t="s">
        <v>221</v>
      </c>
      <c r="D58" s="38">
        <v>3</v>
      </c>
      <c r="E58" s="39">
        <v>2</v>
      </c>
      <c r="F58" s="39" t="s">
        <v>159</v>
      </c>
      <c r="G58" s="40" t="s">
        <v>159</v>
      </c>
      <c r="H58" s="39" t="s">
        <v>158</v>
      </c>
      <c r="I58" s="40">
        <v>1</v>
      </c>
      <c r="J58" s="40">
        <v>1</v>
      </c>
      <c r="K58" s="25" t="str">
        <f>VLOOKUP(J58,Key!$E$2:$F$9,2,FALSE)</f>
        <v>Home</v>
      </c>
      <c r="L58" s="39" t="s">
        <v>162</v>
      </c>
      <c r="M58" s="40" t="s">
        <v>166</v>
      </c>
      <c r="N58" s="39" t="s">
        <v>158</v>
      </c>
      <c r="O58" s="40">
        <v>11</v>
      </c>
      <c r="P58" s="40">
        <v>2</v>
      </c>
      <c r="Q58" s="25" t="str">
        <f>VLOOKUP(P58,Key!$E$2:$F$9,2,FALSE)</f>
        <v>Work</v>
      </c>
      <c r="R58" s="25" t="str">
        <f t="shared" si="1"/>
        <v>Home-Work</v>
      </c>
      <c r="S58" s="44">
        <v>4</v>
      </c>
      <c r="T58" s="44">
        <v>0.5</v>
      </c>
      <c r="U58" s="40">
        <v>2</v>
      </c>
      <c r="V58" s="40"/>
      <c r="W58" s="44"/>
      <c r="X58" s="44"/>
      <c r="Y58" s="45" t="s">
        <v>160</v>
      </c>
      <c r="Z58" s="46">
        <v>0</v>
      </c>
      <c r="AA58" s="25">
        <f>VLOOKUP(F58,Zones!$A$2:$F$1587,6,FALSE)</f>
        <v>1020</v>
      </c>
      <c r="AB58" s="25">
        <f>VLOOKUP(L58,Zones!$A$2:$F$1587,6,FALSE)</f>
        <v>1020</v>
      </c>
    </row>
    <row r="59" spans="2:28" s="19" customFormat="1">
      <c r="B59" s="37">
        <v>0.40763888888888888</v>
      </c>
      <c r="C59" s="37" t="s">
        <v>223</v>
      </c>
      <c r="D59" s="38">
        <v>1</v>
      </c>
      <c r="E59" s="39">
        <v>1</v>
      </c>
      <c r="F59" s="39" t="s">
        <v>159</v>
      </c>
      <c r="G59" s="40" t="s">
        <v>159</v>
      </c>
      <c r="H59" s="39" t="s">
        <v>158</v>
      </c>
      <c r="I59" s="40">
        <v>1</v>
      </c>
      <c r="J59" s="40">
        <v>1</v>
      </c>
      <c r="K59" s="25" t="str">
        <f>VLOOKUP(J59,Key!$E$2:$F$9,2,FALSE)</f>
        <v>Home</v>
      </c>
      <c r="L59" s="39" t="s">
        <v>224</v>
      </c>
      <c r="M59" s="40" t="s">
        <v>224</v>
      </c>
      <c r="N59" s="39" t="s">
        <v>158</v>
      </c>
      <c r="O59" s="40">
        <v>1</v>
      </c>
      <c r="P59" s="40">
        <v>1</v>
      </c>
      <c r="Q59" s="25" t="str">
        <f>VLOOKUP(P59,Key!$E$2:$F$9,2,FALSE)</f>
        <v>Home</v>
      </c>
      <c r="R59" s="25" t="str">
        <f t="shared" si="1"/>
        <v>Home-Home</v>
      </c>
      <c r="S59" s="44">
        <v>145</v>
      </c>
      <c r="T59" s="44">
        <v>5</v>
      </c>
      <c r="U59" s="40">
        <v>2</v>
      </c>
      <c r="V59" s="40"/>
      <c r="W59" s="44"/>
      <c r="X59" s="44"/>
      <c r="Y59" s="45" t="s">
        <v>171</v>
      </c>
      <c r="Z59" s="46">
        <v>0</v>
      </c>
      <c r="AA59" s="25">
        <f>VLOOKUP(F59,Zones!$A$2:$F$1587,6,FALSE)</f>
        <v>1020</v>
      </c>
      <c r="AB59" s="25">
        <f>VLOOKUP(L59,Zones!$A$2:$F$1587,6,FALSE)</f>
        <v>1</v>
      </c>
    </row>
    <row r="60" spans="2:28" s="19" customFormat="1">
      <c r="B60" s="37">
        <v>0.42222222222222222</v>
      </c>
      <c r="C60" s="37" t="s">
        <v>225</v>
      </c>
      <c r="D60" s="38">
        <v>8</v>
      </c>
      <c r="E60" s="39">
        <v>3</v>
      </c>
      <c r="F60" s="39" t="s">
        <v>159</v>
      </c>
      <c r="G60" s="40" t="s">
        <v>159</v>
      </c>
      <c r="H60" s="39" t="s">
        <v>158</v>
      </c>
      <c r="I60" s="40">
        <v>16</v>
      </c>
      <c r="J60" s="40">
        <v>8</v>
      </c>
      <c r="K60" s="25" t="str">
        <f>VLOOKUP(J60,Key!$E$2:$F$9,2,FALSE)</f>
        <v>Others</v>
      </c>
      <c r="L60" s="39" t="s">
        <v>162</v>
      </c>
      <c r="M60" s="40" t="s">
        <v>166</v>
      </c>
      <c r="N60" s="39" t="s">
        <v>158</v>
      </c>
      <c r="O60" s="40">
        <v>1</v>
      </c>
      <c r="P60" s="40">
        <v>8</v>
      </c>
      <c r="Q60" s="25" t="str">
        <f>VLOOKUP(P60,Key!$E$2:$F$9,2,FALSE)</f>
        <v>Others</v>
      </c>
      <c r="R60" s="25" t="str">
        <f t="shared" si="1"/>
        <v>Others-Others</v>
      </c>
      <c r="S60" s="44">
        <v>21</v>
      </c>
      <c r="T60" s="44">
        <v>5</v>
      </c>
      <c r="U60" s="40">
        <v>2</v>
      </c>
      <c r="V60" s="40"/>
      <c r="W60" s="44"/>
      <c r="X60" s="44"/>
      <c r="Y60" s="45" t="s">
        <v>160</v>
      </c>
      <c r="Z60" s="46">
        <v>0</v>
      </c>
      <c r="AA60" s="25">
        <f>VLOOKUP(F60,Zones!$A$2:$F$1587,6,FALSE)</f>
        <v>1020</v>
      </c>
      <c r="AB60" s="25">
        <f>VLOOKUP(L60,Zones!$A$2:$F$1587,6,FALSE)</f>
        <v>1020</v>
      </c>
    </row>
    <row r="61" spans="2:28" s="19" customFormat="1">
      <c r="B61" s="37">
        <v>0.41180555555555554</v>
      </c>
      <c r="C61" s="37" t="s">
        <v>226</v>
      </c>
      <c r="D61" s="38">
        <v>4</v>
      </c>
      <c r="E61" s="39">
        <v>2</v>
      </c>
      <c r="F61" s="39" t="s">
        <v>159</v>
      </c>
      <c r="G61" s="40" t="s">
        <v>159</v>
      </c>
      <c r="H61" s="39" t="s">
        <v>158</v>
      </c>
      <c r="I61" s="40">
        <v>2</v>
      </c>
      <c r="J61" s="40">
        <v>2</v>
      </c>
      <c r="K61" s="25" t="str">
        <f>VLOOKUP(J61,Key!$E$2:$F$9,2,FALSE)</f>
        <v>Work</v>
      </c>
      <c r="L61" s="39" t="s">
        <v>2049</v>
      </c>
      <c r="M61" s="40" t="s">
        <v>157</v>
      </c>
      <c r="N61" s="39" t="s">
        <v>158</v>
      </c>
      <c r="O61" s="40">
        <v>4</v>
      </c>
      <c r="P61" s="40">
        <v>3</v>
      </c>
      <c r="Q61" s="25" t="str">
        <f>VLOOKUP(P61,Key!$E$2:$F$9,2,FALSE)</f>
        <v>Study</v>
      </c>
      <c r="R61" s="25" t="str">
        <f t="shared" si="1"/>
        <v>Work-Study</v>
      </c>
      <c r="S61" s="44">
        <v>160</v>
      </c>
      <c r="T61" s="44">
        <v>2</v>
      </c>
      <c r="U61" s="40">
        <v>2</v>
      </c>
      <c r="V61" s="40"/>
      <c r="W61" s="44"/>
      <c r="X61" s="44"/>
      <c r="Y61" s="45" t="s">
        <v>160</v>
      </c>
      <c r="Z61" s="46">
        <v>1000</v>
      </c>
      <c r="AA61" s="25">
        <f>VLOOKUP(F61,Zones!$A$2:$F$1587,6,FALSE)</f>
        <v>1020</v>
      </c>
      <c r="AB61" s="25">
        <f>VLOOKUP(L61,Zones!$A$2:$F$1587,6,FALSE)</f>
        <v>671</v>
      </c>
    </row>
    <row r="62" spans="2:28" s="19" customFormat="1">
      <c r="B62" s="37">
        <v>0.43402777777777773</v>
      </c>
      <c r="C62" s="37" t="s">
        <v>228</v>
      </c>
      <c r="D62" s="38">
        <v>1</v>
      </c>
      <c r="E62" s="39">
        <v>3</v>
      </c>
      <c r="F62" s="39" t="s">
        <v>159</v>
      </c>
      <c r="G62" s="40" t="s">
        <v>159</v>
      </c>
      <c r="H62" s="39" t="s">
        <v>158</v>
      </c>
      <c r="I62" s="40">
        <v>1</v>
      </c>
      <c r="J62" s="40">
        <v>2</v>
      </c>
      <c r="K62" s="25" t="str">
        <f>VLOOKUP(J62,Key!$E$2:$F$9,2,FALSE)</f>
        <v>Work</v>
      </c>
      <c r="L62" s="39" t="s">
        <v>2048</v>
      </c>
      <c r="M62" s="40" t="s">
        <v>166</v>
      </c>
      <c r="N62" s="39" t="s">
        <v>158</v>
      </c>
      <c r="O62" s="40">
        <v>10</v>
      </c>
      <c r="P62" s="40">
        <v>2</v>
      </c>
      <c r="Q62" s="25" t="str">
        <f>VLOOKUP(P62,Key!$E$2:$F$9,2,FALSE)</f>
        <v>Work</v>
      </c>
      <c r="R62" s="25" t="str">
        <f t="shared" si="1"/>
        <v>Work-Work</v>
      </c>
      <c r="S62" s="44">
        <v>25</v>
      </c>
      <c r="T62" s="44">
        <v>1</v>
      </c>
      <c r="U62" s="40"/>
      <c r="V62" s="40"/>
      <c r="W62" s="44"/>
      <c r="X62" s="44"/>
      <c r="Y62" s="45" t="s">
        <v>160</v>
      </c>
      <c r="Z62" s="46">
        <v>4000</v>
      </c>
      <c r="AA62" s="25">
        <f>VLOOKUP(F62,Zones!$A$2:$F$1587,6,FALSE)</f>
        <v>1020</v>
      </c>
      <c r="AB62" s="25">
        <f>VLOOKUP(L62,Zones!$A$2:$F$1587,6,FALSE)</f>
        <v>1146</v>
      </c>
    </row>
    <row r="63" spans="2:28" s="19" customFormat="1">
      <c r="B63" s="37">
        <v>0.4291666666666667</v>
      </c>
      <c r="C63" s="37" t="s">
        <v>229</v>
      </c>
      <c r="D63" s="38">
        <v>1</v>
      </c>
      <c r="E63" s="39">
        <v>3</v>
      </c>
      <c r="F63" s="39" t="s">
        <v>159</v>
      </c>
      <c r="G63" s="40" t="s">
        <v>159</v>
      </c>
      <c r="H63" s="39" t="s">
        <v>158</v>
      </c>
      <c r="I63" s="40">
        <v>10</v>
      </c>
      <c r="J63" s="40">
        <v>2</v>
      </c>
      <c r="K63" s="25" t="str">
        <f>VLOOKUP(J63,Key!$E$2:$F$9,2,FALSE)</f>
        <v>Work</v>
      </c>
      <c r="L63" s="39" t="s">
        <v>2048</v>
      </c>
      <c r="M63" s="40" t="s">
        <v>166</v>
      </c>
      <c r="N63" s="39" t="s">
        <v>158</v>
      </c>
      <c r="O63" s="40">
        <v>8</v>
      </c>
      <c r="P63" s="40">
        <v>2</v>
      </c>
      <c r="Q63" s="25" t="str">
        <f>VLOOKUP(P63,Key!$E$2:$F$9,2,FALSE)</f>
        <v>Work</v>
      </c>
      <c r="R63" s="25" t="str">
        <f t="shared" si="1"/>
        <v>Work-Work</v>
      </c>
      <c r="S63" s="44">
        <v>18</v>
      </c>
      <c r="T63" s="44">
        <v>0.5</v>
      </c>
      <c r="U63" s="40">
        <v>2</v>
      </c>
      <c r="V63" s="40"/>
      <c r="W63" s="44"/>
      <c r="X63" s="44"/>
      <c r="Y63" s="45" t="s">
        <v>160</v>
      </c>
      <c r="Z63" s="46">
        <v>0</v>
      </c>
      <c r="AA63" s="25">
        <f>VLOOKUP(F63,Zones!$A$2:$F$1587,6,FALSE)</f>
        <v>1020</v>
      </c>
      <c r="AB63" s="25">
        <f>VLOOKUP(L63,Zones!$A$2:$F$1587,6,FALSE)</f>
        <v>1146</v>
      </c>
    </row>
    <row r="64" spans="2:28" s="19" customFormat="1">
      <c r="B64" s="37">
        <v>0.4458333333333333</v>
      </c>
      <c r="C64" s="37" t="s">
        <v>230</v>
      </c>
      <c r="D64" s="38">
        <v>7</v>
      </c>
      <c r="E64" s="39">
        <v>4</v>
      </c>
      <c r="F64" s="39" t="s">
        <v>159</v>
      </c>
      <c r="G64" s="40" t="s">
        <v>159</v>
      </c>
      <c r="H64" s="39" t="s">
        <v>158</v>
      </c>
      <c r="I64" s="40">
        <v>2</v>
      </c>
      <c r="J64" s="40">
        <v>1</v>
      </c>
      <c r="K64" s="25" t="str">
        <f>VLOOKUP(J64,Key!$E$2:$F$9,2,FALSE)</f>
        <v>Home</v>
      </c>
      <c r="L64" s="39" t="s">
        <v>170</v>
      </c>
      <c r="M64" s="40" t="s">
        <v>170</v>
      </c>
      <c r="N64" s="39" t="s">
        <v>158</v>
      </c>
      <c r="O64" s="40"/>
      <c r="P64" s="40">
        <v>1</v>
      </c>
      <c r="Q64" s="25" t="str">
        <f>VLOOKUP(P64,Key!$E$2:$F$9,2,FALSE)</f>
        <v>Home</v>
      </c>
      <c r="R64" s="25" t="str">
        <f t="shared" si="1"/>
        <v>Home-Home</v>
      </c>
      <c r="S64" s="44">
        <v>560</v>
      </c>
      <c r="T64" s="44">
        <v>8</v>
      </c>
      <c r="U64" s="40">
        <v>2</v>
      </c>
      <c r="V64" s="40">
        <v>11</v>
      </c>
      <c r="W64" s="44"/>
      <c r="X64" s="44"/>
      <c r="Y64" s="45" t="s">
        <v>171</v>
      </c>
      <c r="Z64" s="46">
        <v>0</v>
      </c>
      <c r="AA64" s="25">
        <f>VLOOKUP(F64,Zones!$A$2:$F$1587,6,FALSE)</f>
        <v>1020</v>
      </c>
      <c r="AB64" s="25">
        <f>VLOOKUP(L64,Zones!$A$2:$F$1587,6,FALSE)</f>
        <v>521</v>
      </c>
    </row>
    <row r="65" spans="2:28" s="19" customFormat="1">
      <c r="B65" s="37">
        <v>0.40208333333333335</v>
      </c>
      <c r="C65" s="37" t="s">
        <v>231</v>
      </c>
      <c r="D65" s="38">
        <v>2</v>
      </c>
      <c r="E65" s="39">
        <v>3</v>
      </c>
      <c r="F65" s="39" t="s">
        <v>159</v>
      </c>
      <c r="G65" s="40" t="s">
        <v>159</v>
      </c>
      <c r="H65" s="39" t="s">
        <v>158</v>
      </c>
      <c r="I65" s="40">
        <v>8</v>
      </c>
      <c r="J65" s="40">
        <v>2</v>
      </c>
      <c r="K65" s="25" t="str">
        <f>VLOOKUP(J65,Key!$E$2:$F$9,2,FALSE)</f>
        <v>Work</v>
      </c>
      <c r="L65" s="39" t="s">
        <v>162</v>
      </c>
      <c r="M65" s="40" t="s">
        <v>166</v>
      </c>
      <c r="N65" s="39" t="s">
        <v>158</v>
      </c>
      <c r="O65" s="40">
        <v>1</v>
      </c>
      <c r="P65" s="40">
        <v>1</v>
      </c>
      <c r="Q65" s="25" t="str">
        <f>VLOOKUP(P65,Key!$E$2:$F$9,2,FALSE)</f>
        <v>Home</v>
      </c>
      <c r="R65" s="25" t="str">
        <f t="shared" si="1"/>
        <v>Work-Home</v>
      </c>
      <c r="S65" s="44">
        <v>10</v>
      </c>
      <c r="T65" s="44">
        <v>0.7</v>
      </c>
      <c r="U65" s="40">
        <v>2</v>
      </c>
      <c r="V65" s="40"/>
      <c r="W65" s="44"/>
      <c r="X65" s="44"/>
      <c r="Y65" s="45" t="s">
        <v>171</v>
      </c>
      <c r="Z65" s="46">
        <v>0</v>
      </c>
      <c r="AA65" s="25">
        <f>VLOOKUP(F65,Zones!$A$2:$F$1587,6,FALSE)</f>
        <v>1020</v>
      </c>
      <c r="AB65" s="25">
        <f>VLOOKUP(L65,Zones!$A$2:$F$1587,6,FALSE)</f>
        <v>1020</v>
      </c>
    </row>
    <row r="66" spans="2:28" s="19" customFormat="1">
      <c r="B66" s="37">
        <v>0.40277777777777773</v>
      </c>
      <c r="C66" s="37" t="s">
        <v>232</v>
      </c>
      <c r="D66" s="38">
        <v>1</v>
      </c>
      <c r="E66" s="39">
        <v>2</v>
      </c>
      <c r="F66" s="39" t="s">
        <v>159</v>
      </c>
      <c r="G66" s="40" t="s">
        <v>159</v>
      </c>
      <c r="H66" s="39" t="s">
        <v>158</v>
      </c>
      <c r="I66" s="40">
        <v>2</v>
      </c>
      <c r="J66" s="40">
        <v>2</v>
      </c>
      <c r="K66" s="25" t="str">
        <f>VLOOKUP(J66,Key!$E$2:$F$9,2,FALSE)</f>
        <v>Work</v>
      </c>
      <c r="L66" s="39" t="s">
        <v>166</v>
      </c>
      <c r="M66" s="40" t="s">
        <v>166</v>
      </c>
      <c r="N66" s="39" t="s">
        <v>158</v>
      </c>
      <c r="O66" s="40">
        <v>2</v>
      </c>
      <c r="P66" s="40">
        <v>2</v>
      </c>
      <c r="Q66" s="25" t="str">
        <f>VLOOKUP(P66,Key!$E$2:$F$9,2,FALSE)</f>
        <v>Work</v>
      </c>
      <c r="R66" s="25" t="str">
        <f t="shared" si="1"/>
        <v>Work-Work</v>
      </c>
      <c r="S66" s="44">
        <v>18</v>
      </c>
      <c r="T66" s="44">
        <v>0.5</v>
      </c>
      <c r="U66" s="40">
        <v>2</v>
      </c>
      <c r="V66" s="40"/>
      <c r="W66" s="44"/>
      <c r="X66" s="44"/>
      <c r="Y66" s="45" t="s">
        <v>171</v>
      </c>
      <c r="Z66" s="46">
        <v>0</v>
      </c>
      <c r="AA66" s="25">
        <f>VLOOKUP(F66,Zones!$A$2:$F$1587,6,FALSE)</f>
        <v>1020</v>
      </c>
      <c r="AB66" s="25">
        <f>VLOOKUP(L66,Zones!$A$2:$F$1587,6,FALSE)</f>
        <v>1147</v>
      </c>
    </row>
    <row r="67" spans="2:28" s="19" customFormat="1">
      <c r="B67" s="37">
        <v>0.4291666666666667</v>
      </c>
      <c r="C67" s="37" t="s">
        <v>206</v>
      </c>
      <c r="D67" s="38">
        <v>8</v>
      </c>
      <c r="E67" s="39">
        <v>1</v>
      </c>
      <c r="F67" s="39" t="s">
        <v>159</v>
      </c>
      <c r="G67" s="40" t="s">
        <v>159</v>
      </c>
      <c r="H67" s="39" t="s">
        <v>158</v>
      </c>
      <c r="I67" s="40">
        <v>1</v>
      </c>
      <c r="J67" s="40">
        <v>1</v>
      </c>
      <c r="K67" s="25" t="str">
        <f>VLOOKUP(J67,Key!$E$2:$F$9,2,FALSE)</f>
        <v>Home</v>
      </c>
      <c r="L67" s="39" t="s">
        <v>2050</v>
      </c>
      <c r="M67" s="40" t="s">
        <v>166</v>
      </c>
      <c r="N67" s="39" t="s">
        <v>158</v>
      </c>
      <c r="O67" s="40">
        <v>10</v>
      </c>
      <c r="P67" s="40">
        <v>2</v>
      </c>
      <c r="Q67" s="25" t="str">
        <f>VLOOKUP(P67,Key!$E$2:$F$9,2,FALSE)</f>
        <v>Work</v>
      </c>
      <c r="R67" s="25" t="str">
        <f t="shared" si="1"/>
        <v>Home-Work</v>
      </c>
      <c r="S67" s="44">
        <v>80</v>
      </c>
      <c r="T67" s="44">
        <v>1.3</v>
      </c>
      <c r="U67" s="40">
        <v>2</v>
      </c>
      <c r="V67" s="40"/>
      <c r="W67" s="44"/>
      <c r="X67" s="44"/>
      <c r="Y67" s="45" t="s">
        <v>171</v>
      </c>
      <c r="Z67" s="46">
        <v>0</v>
      </c>
      <c r="AA67" s="25">
        <f>VLOOKUP(F67,Zones!$A$2:$F$1587,6,FALSE)</f>
        <v>1020</v>
      </c>
      <c r="AB67" s="25">
        <f>VLOOKUP(L67,Zones!$A$2:$F$1587,6,FALSE)</f>
        <v>1147</v>
      </c>
    </row>
    <row r="68" spans="2:28" s="19" customFormat="1">
      <c r="B68" s="37">
        <v>0.42430555555555555</v>
      </c>
      <c r="C68" s="37" t="s">
        <v>234</v>
      </c>
      <c r="D68" s="38">
        <v>1</v>
      </c>
      <c r="E68" s="39">
        <v>2</v>
      </c>
      <c r="F68" s="39" t="s">
        <v>159</v>
      </c>
      <c r="G68" s="40" t="s">
        <v>159</v>
      </c>
      <c r="H68" s="39" t="s">
        <v>158</v>
      </c>
      <c r="I68" s="40">
        <v>1</v>
      </c>
      <c r="J68" s="40">
        <v>1</v>
      </c>
      <c r="K68" s="25" t="str">
        <f>VLOOKUP(J68,Key!$E$2:$F$9,2,FALSE)</f>
        <v>Home</v>
      </c>
      <c r="L68" s="39" t="s">
        <v>166</v>
      </c>
      <c r="M68" s="40" t="s">
        <v>166</v>
      </c>
      <c r="N68" s="39" t="s">
        <v>158</v>
      </c>
      <c r="O68" s="40">
        <v>2</v>
      </c>
      <c r="P68" s="40">
        <v>2</v>
      </c>
      <c r="Q68" s="25" t="str">
        <f>VLOOKUP(P68,Key!$E$2:$F$9,2,FALSE)</f>
        <v>Work</v>
      </c>
      <c r="R68" s="25" t="str">
        <f t="shared" si="1"/>
        <v>Home-Work</v>
      </c>
      <c r="S68" s="44">
        <v>42</v>
      </c>
      <c r="T68" s="44">
        <v>3</v>
      </c>
      <c r="U68" s="40">
        <v>2</v>
      </c>
      <c r="V68" s="40"/>
      <c r="W68" s="44"/>
      <c r="X68" s="44"/>
      <c r="Y68" s="45" t="s">
        <v>160</v>
      </c>
      <c r="Z68" s="46">
        <v>0</v>
      </c>
      <c r="AA68" s="25">
        <f>VLOOKUP(F68,Zones!$A$2:$F$1587,6,FALSE)</f>
        <v>1020</v>
      </c>
      <c r="AB68" s="25">
        <f>VLOOKUP(L68,Zones!$A$2:$F$1587,6,FALSE)</f>
        <v>1147</v>
      </c>
    </row>
    <row r="69" spans="2:28" s="19" customFormat="1">
      <c r="B69" s="37">
        <v>0.54027777777777775</v>
      </c>
      <c r="C69" s="37" t="s">
        <v>235</v>
      </c>
      <c r="D69" s="38">
        <v>7</v>
      </c>
      <c r="E69" s="39">
        <v>2</v>
      </c>
      <c r="F69" s="39" t="s">
        <v>159</v>
      </c>
      <c r="G69" s="40" t="s">
        <v>159</v>
      </c>
      <c r="H69" s="39" t="s">
        <v>158</v>
      </c>
      <c r="I69" s="40">
        <v>10</v>
      </c>
      <c r="J69" s="40">
        <v>2</v>
      </c>
      <c r="K69" s="25" t="str">
        <f>VLOOKUP(J69,Key!$E$2:$F$9,2,FALSE)</f>
        <v>Work</v>
      </c>
      <c r="L69" s="39" t="s">
        <v>162</v>
      </c>
      <c r="M69" s="40" t="s">
        <v>166</v>
      </c>
      <c r="N69" s="39" t="s">
        <v>158</v>
      </c>
      <c r="O69" s="40">
        <v>10</v>
      </c>
      <c r="P69" s="40">
        <v>2</v>
      </c>
      <c r="Q69" s="25" t="str">
        <f>VLOOKUP(P69,Key!$E$2:$F$9,2,FALSE)</f>
        <v>Work</v>
      </c>
      <c r="R69" s="25" t="str">
        <f t="shared" si="1"/>
        <v>Work-Work</v>
      </c>
      <c r="S69" s="44">
        <v>5</v>
      </c>
      <c r="T69" s="44">
        <v>0.2</v>
      </c>
      <c r="U69" s="40">
        <v>2</v>
      </c>
      <c r="V69" s="40"/>
      <c r="W69" s="44"/>
      <c r="X69" s="44"/>
      <c r="Y69" s="45" t="s">
        <v>160</v>
      </c>
      <c r="Z69" s="46">
        <v>0</v>
      </c>
      <c r="AA69" s="25">
        <f>VLOOKUP(F69,Zones!$A$2:$F$1587,6,FALSE)</f>
        <v>1020</v>
      </c>
      <c r="AB69" s="25">
        <f>VLOOKUP(L69,Zones!$A$2:$F$1587,6,FALSE)</f>
        <v>1020</v>
      </c>
    </row>
    <row r="70" spans="2:28" s="19" customFormat="1">
      <c r="B70" s="37">
        <v>0.44375000000000003</v>
      </c>
      <c r="C70" s="37" t="s">
        <v>236</v>
      </c>
      <c r="D70" s="38">
        <v>2</v>
      </c>
      <c r="E70" s="39">
        <v>5</v>
      </c>
      <c r="F70" s="39" t="s">
        <v>159</v>
      </c>
      <c r="G70" s="40" t="s">
        <v>159</v>
      </c>
      <c r="H70" s="39" t="s">
        <v>158</v>
      </c>
      <c r="I70" s="40">
        <v>2</v>
      </c>
      <c r="J70" s="40">
        <v>2</v>
      </c>
      <c r="K70" s="25" t="str">
        <f>VLOOKUP(J70,Key!$E$2:$F$9,2,FALSE)</f>
        <v>Work</v>
      </c>
      <c r="L70" s="39" t="s">
        <v>166</v>
      </c>
      <c r="M70" s="40" t="s">
        <v>166</v>
      </c>
      <c r="N70" s="39" t="s">
        <v>158</v>
      </c>
      <c r="O70" s="40">
        <v>2</v>
      </c>
      <c r="P70" s="40">
        <v>2</v>
      </c>
      <c r="Q70" s="25" t="str">
        <f>VLOOKUP(P70,Key!$E$2:$F$9,2,FALSE)</f>
        <v>Work</v>
      </c>
      <c r="R70" s="25" t="str">
        <f t="shared" si="1"/>
        <v>Work-Work</v>
      </c>
      <c r="S70" s="44"/>
      <c r="T70" s="44">
        <v>2.2000000000000002</v>
      </c>
      <c r="U70" s="40">
        <v>2</v>
      </c>
      <c r="V70" s="40"/>
      <c r="W70" s="44"/>
      <c r="X70" s="44"/>
      <c r="Y70" s="45" t="s">
        <v>171</v>
      </c>
      <c r="Z70" s="46">
        <v>0</v>
      </c>
      <c r="AA70" s="25">
        <f>VLOOKUP(F70,Zones!$A$2:$F$1587,6,FALSE)</f>
        <v>1020</v>
      </c>
      <c r="AB70" s="25">
        <f>VLOOKUP(L70,Zones!$A$2:$F$1587,6,FALSE)</f>
        <v>1147</v>
      </c>
    </row>
    <row r="71" spans="2:28" s="19" customFormat="1">
      <c r="B71" s="37">
        <v>0.38541666666666669</v>
      </c>
      <c r="C71" s="37" t="s">
        <v>237</v>
      </c>
      <c r="D71" s="38">
        <v>3</v>
      </c>
      <c r="E71" s="39">
        <v>1</v>
      </c>
      <c r="F71" s="39" t="s">
        <v>159</v>
      </c>
      <c r="G71" s="40" t="s">
        <v>159</v>
      </c>
      <c r="H71" s="39" t="s">
        <v>158</v>
      </c>
      <c r="I71" s="40">
        <v>2</v>
      </c>
      <c r="J71" s="40">
        <v>2</v>
      </c>
      <c r="K71" s="25" t="str">
        <f>VLOOKUP(J71,Key!$E$2:$F$9,2,FALSE)</f>
        <v>Work</v>
      </c>
      <c r="L71" s="39" t="s">
        <v>162</v>
      </c>
      <c r="M71" s="40" t="s">
        <v>166</v>
      </c>
      <c r="N71" s="39" t="s">
        <v>158</v>
      </c>
      <c r="O71" s="40">
        <v>2</v>
      </c>
      <c r="P71" s="40">
        <v>2</v>
      </c>
      <c r="Q71" s="25" t="str">
        <f>VLOOKUP(P71,Key!$E$2:$F$9,2,FALSE)</f>
        <v>Work</v>
      </c>
      <c r="R71" s="25" t="str">
        <f t="shared" si="1"/>
        <v>Work-Work</v>
      </c>
      <c r="S71" s="44">
        <v>20</v>
      </c>
      <c r="T71" s="44">
        <v>0.5</v>
      </c>
      <c r="U71" s="40">
        <v>1</v>
      </c>
      <c r="V71" s="40"/>
      <c r="W71" s="44"/>
      <c r="X71" s="44"/>
      <c r="Y71" s="45" t="s">
        <v>160</v>
      </c>
      <c r="Z71" s="46">
        <v>0</v>
      </c>
      <c r="AA71" s="25">
        <f>VLOOKUP(F71,Zones!$A$2:$F$1587,6,FALSE)</f>
        <v>1020</v>
      </c>
      <c r="AB71" s="25">
        <f>VLOOKUP(L71,Zones!$A$2:$F$1587,6,FALSE)</f>
        <v>1020</v>
      </c>
    </row>
    <row r="72" spans="2:28" s="19" customFormat="1">
      <c r="B72" s="37">
        <v>0.3972222222222222</v>
      </c>
      <c r="C72" s="37" t="s">
        <v>238</v>
      </c>
      <c r="D72" s="38">
        <v>7</v>
      </c>
      <c r="E72" s="39">
        <v>3</v>
      </c>
      <c r="F72" s="39" t="s">
        <v>159</v>
      </c>
      <c r="G72" s="40" t="s">
        <v>159</v>
      </c>
      <c r="H72" s="39" t="s">
        <v>158</v>
      </c>
      <c r="I72" s="40">
        <v>11</v>
      </c>
      <c r="J72" s="40">
        <v>4</v>
      </c>
      <c r="K72" s="25" t="str">
        <f>VLOOKUP(J72,Key!$E$2:$F$9,2,FALSE)</f>
        <v>Commercial</v>
      </c>
      <c r="L72" s="39" t="s">
        <v>2048</v>
      </c>
      <c r="M72" s="40" t="s">
        <v>166</v>
      </c>
      <c r="N72" s="39" t="s">
        <v>158</v>
      </c>
      <c r="O72" s="40">
        <v>3</v>
      </c>
      <c r="P72" s="40">
        <v>2</v>
      </c>
      <c r="Q72" s="25" t="str">
        <f>VLOOKUP(P72,Key!$E$2:$F$9,2,FALSE)</f>
        <v>Work</v>
      </c>
      <c r="R72" s="25" t="str">
        <f t="shared" si="1"/>
        <v>Commercial-Work</v>
      </c>
      <c r="S72" s="44">
        <v>20</v>
      </c>
      <c r="T72" s="44">
        <v>0.3</v>
      </c>
      <c r="U72" s="40">
        <v>4</v>
      </c>
      <c r="V72" s="40">
        <v>11</v>
      </c>
      <c r="W72" s="44"/>
      <c r="X72" s="44"/>
      <c r="Y72" s="45" t="s">
        <v>160</v>
      </c>
      <c r="Z72" s="46">
        <v>10000</v>
      </c>
      <c r="AA72" s="25">
        <f>VLOOKUP(F72,Zones!$A$2:$F$1587,6,FALSE)</f>
        <v>1020</v>
      </c>
      <c r="AB72" s="25">
        <f>VLOOKUP(L72,Zones!$A$2:$F$1587,6,FALSE)</f>
        <v>1146</v>
      </c>
    </row>
    <row r="73" spans="2:28" s="19" customFormat="1">
      <c r="B73" s="37">
        <v>0.42708333333333331</v>
      </c>
      <c r="C73" s="37" t="s">
        <v>331</v>
      </c>
      <c r="D73" s="38">
        <v>7</v>
      </c>
      <c r="E73" s="39">
        <v>1</v>
      </c>
      <c r="F73" s="39" t="s">
        <v>159</v>
      </c>
      <c r="G73" s="40" t="s">
        <v>159</v>
      </c>
      <c r="H73" s="39" t="s">
        <v>158</v>
      </c>
      <c r="I73" s="40">
        <v>10</v>
      </c>
      <c r="J73" s="40">
        <v>2</v>
      </c>
      <c r="K73" s="25" t="str">
        <f>VLOOKUP(J73,Key!$E$2:$F$9,2,FALSE)</f>
        <v>Work</v>
      </c>
      <c r="L73" s="39" t="s">
        <v>162</v>
      </c>
      <c r="M73" s="40" t="s">
        <v>166</v>
      </c>
      <c r="N73" s="39" t="s">
        <v>158</v>
      </c>
      <c r="O73" s="40">
        <v>15</v>
      </c>
      <c r="P73" s="40">
        <v>2</v>
      </c>
      <c r="Q73" s="25" t="str">
        <f>VLOOKUP(P73,Key!$E$2:$F$9,2,FALSE)</f>
        <v>Work</v>
      </c>
      <c r="R73" s="25" t="str">
        <f t="shared" si="1"/>
        <v>Work-Work</v>
      </c>
      <c r="S73" s="44">
        <v>20</v>
      </c>
      <c r="T73" s="44">
        <v>0.5</v>
      </c>
      <c r="U73" s="40">
        <v>3</v>
      </c>
      <c r="V73" s="40">
        <v>11</v>
      </c>
      <c r="W73" s="44"/>
      <c r="X73" s="44"/>
      <c r="Y73" s="45" t="s">
        <v>160</v>
      </c>
      <c r="Z73" s="46">
        <v>0</v>
      </c>
      <c r="AA73" s="25">
        <f>VLOOKUP(F73,Zones!$A$2:$F$1587,6,FALSE)</f>
        <v>1020</v>
      </c>
      <c r="AB73" s="25">
        <f>VLOOKUP(L73,Zones!$A$2:$F$1587,6,FALSE)</f>
        <v>1020</v>
      </c>
    </row>
    <row r="74" spans="2:28" s="19" customFormat="1">
      <c r="B74" s="37">
        <v>0.4458333333333333</v>
      </c>
      <c r="C74" s="37" t="s">
        <v>240</v>
      </c>
      <c r="D74" s="38">
        <v>1</v>
      </c>
      <c r="E74" s="39">
        <v>3</v>
      </c>
      <c r="F74" s="39" t="s">
        <v>159</v>
      </c>
      <c r="G74" s="40" t="s">
        <v>159</v>
      </c>
      <c r="H74" s="39" t="s">
        <v>158</v>
      </c>
      <c r="I74" s="40">
        <v>16</v>
      </c>
      <c r="J74" s="40">
        <v>5</v>
      </c>
      <c r="K74" s="25" t="str">
        <f>VLOOKUP(J74,Key!$E$2:$F$9,2,FALSE)</f>
        <v>Tourism</v>
      </c>
      <c r="L74" s="39" t="s">
        <v>157</v>
      </c>
      <c r="M74" s="40" t="s">
        <v>157</v>
      </c>
      <c r="N74" s="39" t="s">
        <v>158</v>
      </c>
      <c r="O74" s="40">
        <v>16</v>
      </c>
      <c r="P74" s="40">
        <v>6</v>
      </c>
      <c r="Q74" s="25" t="str">
        <f>VLOOKUP(P74,Key!$E$2:$F$9,2,FALSE)</f>
        <v>Leisure/Social</v>
      </c>
      <c r="R74" s="25" t="str">
        <f t="shared" si="1"/>
        <v>Tourism-Leisure/Social</v>
      </c>
      <c r="S74" s="44">
        <v>168</v>
      </c>
      <c r="T74" s="44">
        <v>3</v>
      </c>
      <c r="U74" s="40">
        <v>6</v>
      </c>
      <c r="V74" s="40"/>
      <c r="W74" s="44"/>
      <c r="X74" s="44"/>
      <c r="Y74" s="45" t="s">
        <v>160</v>
      </c>
      <c r="Z74" s="46">
        <v>0</v>
      </c>
      <c r="AA74" s="25">
        <f>VLOOKUP(F74,Zones!$A$2:$F$1587,6,FALSE)</f>
        <v>1020</v>
      </c>
      <c r="AB74" s="25">
        <f>VLOOKUP(L74,Zones!$A$2:$F$1587,6,FALSE)</f>
        <v>1352</v>
      </c>
    </row>
    <row r="75" spans="2:28" s="19" customFormat="1">
      <c r="B75" s="37">
        <v>0.47222222222222227</v>
      </c>
      <c r="C75" s="37" t="s">
        <v>241</v>
      </c>
      <c r="D75" s="38">
        <v>10</v>
      </c>
      <c r="E75" s="39">
        <v>1</v>
      </c>
      <c r="F75" s="39" t="s">
        <v>159</v>
      </c>
      <c r="G75" s="40" t="s">
        <v>159</v>
      </c>
      <c r="H75" s="39" t="s">
        <v>158</v>
      </c>
      <c r="I75" s="40">
        <v>16</v>
      </c>
      <c r="J75" s="40">
        <v>2</v>
      </c>
      <c r="K75" s="25" t="str">
        <f>VLOOKUP(J75,Key!$E$2:$F$9,2,FALSE)</f>
        <v>Work</v>
      </c>
      <c r="L75" s="39" t="s">
        <v>157</v>
      </c>
      <c r="M75" s="40" t="s">
        <v>157</v>
      </c>
      <c r="N75" s="39" t="s">
        <v>158</v>
      </c>
      <c r="O75" s="40">
        <v>16</v>
      </c>
      <c r="P75" s="40">
        <v>2</v>
      </c>
      <c r="Q75" s="25" t="str">
        <f>VLOOKUP(P75,Key!$E$2:$F$9,2,FALSE)</f>
        <v>Work</v>
      </c>
      <c r="R75" s="25" t="str">
        <f t="shared" si="1"/>
        <v>Work-Work</v>
      </c>
      <c r="S75" s="44">
        <v>165</v>
      </c>
      <c r="T75" s="44">
        <v>3</v>
      </c>
      <c r="U75" s="40">
        <v>4</v>
      </c>
      <c r="V75" s="40">
        <v>7</v>
      </c>
      <c r="W75" s="44"/>
      <c r="X75" s="44"/>
      <c r="Y75" s="45" t="s">
        <v>160</v>
      </c>
      <c r="Z75" s="46">
        <v>0</v>
      </c>
      <c r="AA75" s="25">
        <f>VLOOKUP(F75,Zones!$A$2:$F$1587,6,FALSE)</f>
        <v>1020</v>
      </c>
      <c r="AB75" s="25">
        <f>VLOOKUP(L75,Zones!$A$2:$F$1587,6,FALSE)</f>
        <v>1352</v>
      </c>
    </row>
    <row r="76" spans="2:28" s="19" customFormat="1">
      <c r="B76" s="37">
        <v>0.38541666666666669</v>
      </c>
      <c r="C76" s="37" t="s">
        <v>237</v>
      </c>
      <c r="D76" s="38">
        <v>3</v>
      </c>
      <c r="E76" s="39">
        <v>1</v>
      </c>
      <c r="F76" s="39" t="s">
        <v>159</v>
      </c>
      <c r="G76" s="40" t="s">
        <v>159</v>
      </c>
      <c r="H76" s="39" t="s">
        <v>158</v>
      </c>
      <c r="I76" s="40">
        <v>2</v>
      </c>
      <c r="J76" s="40">
        <v>2</v>
      </c>
      <c r="K76" s="25" t="str">
        <f>VLOOKUP(J76,Key!$E$2:$F$9,2,FALSE)</f>
        <v>Work</v>
      </c>
      <c r="L76" s="39" t="s">
        <v>162</v>
      </c>
      <c r="M76" s="40" t="s">
        <v>166</v>
      </c>
      <c r="N76" s="39" t="s">
        <v>158</v>
      </c>
      <c r="O76" s="40">
        <v>2</v>
      </c>
      <c r="P76" s="40">
        <v>2</v>
      </c>
      <c r="Q76" s="25" t="str">
        <f>VLOOKUP(P76,Key!$E$2:$F$9,2,FALSE)</f>
        <v>Work</v>
      </c>
      <c r="R76" s="25" t="str">
        <f t="shared" si="1"/>
        <v>Work-Work</v>
      </c>
      <c r="S76" s="44">
        <v>20</v>
      </c>
      <c r="T76" s="44">
        <v>0.5</v>
      </c>
      <c r="U76" s="40">
        <v>1</v>
      </c>
      <c r="V76" s="40"/>
      <c r="W76" s="44"/>
      <c r="X76" s="44"/>
      <c r="Y76" s="45" t="s">
        <v>160</v>
      </c>
      <c r="Z76" s="46">
        <v>0</v>
      </c>
      <c r="AA76" s="25">
        <f>VLOOKUP(F76,Zones!$A$2:$F$1587,6,FALSE)</f>
        <v>1020</v>
      </c>
      <c r="AB76" s="25">
        <f>VLOOKUP(L76,Zones!$A$2:$F$1587,6,FALSE)</f>
        <v>1020</v>
      </c>
    </row>
    <row r="77" spans="2:28">
      <c r="B77" s="37">
        <v>0.30069444444444443</v>
      </c>
      <c r="C77" s="37" t="s">
        <v>244</v>
      </c>
      <c r="D77" s="38">
        <v>3</v>
      </c>
      <c r="E77" s="39">
        <v>6</v>
      </c>
      <c r="F77" s="39" t="s">
        <v>157</v>
      </c>
      <c r="G77" s="40" t="s">
        <v>157</v>
      </c>
      <c r="H77" s="39" t="s">
        <v>158</v>
      </c>
      <c r="I77" s="40">
        <v>1</v>
      </c>
      <c r="J77" s="40">
        <v>1</v>
      </c>
      <c r="K77" s="25" t="str">
        <f>VLOOKUP(J77,Key!$E$2:$F$9,2,FALSE)</f>
        <v>Home</v>
      </c>
      <c r="L77" s="39" t="s">
        <v>159</v>
      </c>
      <c r="M77" s="40" t="s">
        <v>159</v>
      </c>
      <c r="N77" s="39" t="s">
        <v>158</v>
      </c>
      <c r="O77" s="40">
        <v>6</v>
      </c>
      <c r="P77" s="40">
        <v>2</v>
      </c>
      <c r="Q77" s="25" t="str">
        <f>VLOOKUP(P77,Key!$E$2:$F$9,2,FALSE)</f>
        <v>Work</v>
      </c>
      <c r="R77" s="25" t="str">
        <f>K77&amp;"-"&amp;Q77</f>
        <v>Home-Work</v>
      </c>
      <c r="S77" s="44">
        <v>160</v>
      </c>
      <c r="T77" s="44">
        <v>2.7</v>
      </c>
      <c r="U77" s="40">
        <v>2</v>
      </c>
      <c r="V77" s="40"/>
      <c r="W77" s="44"/>
      <c r="X77" s="44"/>
      <c r="Y77" s="45" t="s">
        <v>160</v>
      </c>
      <c r="Z77" s="46">
        <v>0</v>
      </c>
      <c r="AA77" s="25">
        <f>VLOOKUP(F77,Zones!$A$2:$F$1587,6,FALSE)</f>
        <v>1352</v>
      </c>
      <c r="AB77" s="25">
        <f>VLOOKUP(L77,Zones!$A$2:$F$1587,6,FALSE)</f>
        <v>1020</v>
      </c>
    </row>
    <row r="78" spans="2:28">
      <c r="B78" s="37">
        <v>0.31666666666666665</v>
      </c>
      <c r="C78" s="37" t="s">
        <v>245</v>
      </c>
      <c r="D78" s="38">
        <v>2</v>
      </c>
      <c r="E78" s="39">
        <v>2</v>
      </c>
      <c r="F78" s="39" t="s">
        <v>157</v>
      </c>
      <c r="G78" s="40" t="s">
        <v>157</v>
      </c>
      <c r="H78" s="39" t="s">
        <v>158</v>
      </c>
      <c r="I78" s="40">
        <v>2</v>
      </c>
      <c r="J78" s="40">
        <v>2</v>
      </c>
      <c r="K78" s="25" t="str">
        <f>VLOOKUP(J78,Key!$E$2:$F$9,2,FALSE)</f>
        <v>Work</v>
      </c>
      <c r="L78" s="39" t="s">
        <v>159</v>
      </c>
      <c r="M78" s="40" t="s">
        <v>159</v>
      </c>
      <c r="N78" s="39" t="s">
        <v>158</v>
      </c>
      <c r="O78" s="40">
        <v>2</v>
      </c>
      <c r="P78" s="40">
        <v>2</v>
      </c>
      <c r="Q78" s="25" t="str">
        <f>VLOOKUP(P78,Key!$E$2:$F$9,2,FALSE)</f>
        <v>Work</v>
      </c>
      <c r="R78" s="25" t="str">
        <f t="shared" ref="R78:R94" si="2">K78&amp;"-"&amp;Q78</f>
        <v>Work-Work</v>
      </c>
      <c r="S78" s="44">
        <v>168</v>
      </c>
      <c r="T78" s="44">
        <v>3</v>
      </c>
      <c r="U78" s="40">
        <v>3</v>
      </c>
      <c r="V78" s="40"/>
      <c r="W78" s="44"/>
      <c r="X78" s="44"/>
      <c r="Y78" s="45" t="s">
        <v>160</v>
      </c>
      <c r="Z78" s="46">
        <v>2000</v>
      </c>
      <c r="AA78" s="25">
        <f>VLOOKUP(F78,Zones!$A$2:$F$1587,6,FALSE)</f>
        <v>1352</v>
      </c>
      <c r="AB78" s="25">
        <f>VLOOKUP(L78,Zones!$A$2:$F$1587,6,FALSE)</f>
        <v>1020</v>
      </c>
    </row>
    <row r="79" spans="2:28">
      <c r="B79" s="37">
        <v>0.32777777777777778</v>
      </c>
      <c r="C79" s="37" t="s">
        <v>246</v>
      </c>
      <c r="D79" s="38">
        <v>2</v>
      </c>
      <c r="E79" s="39">
        <v>4</v>
      </c>
      <c r="F79" s="39" t="s">
        <v>166</v>
      </c>
      <c r="G79" s="40" t="s">
        <v>166</v>
      </c>
      <c r="H79" s="39" t="s">
        <v>158</v>
      </c>
      <c r="I79" s="40">
        <v>2</v>
      </c>
      <c r="J79" s="40">
        <v>2</v>
      </c>
      <c r="K79" s="25" t="str">
        <f>VLOOKUP(J79,Key!$E$2:$F$9,2,FALSE)</f>
        <v>Work</v>
      </c>
      <c r="L79" s="39" t="s">
        <v>159</v>
      </c>
      <c r="M79" s="40" t="s">
        <v>159</v>
      </c>
      <c r="N79" s="39" t="s">
        <v>158</v>
      </c>
      <c r="O79" s="40">
        <v>2</v>
      </c>
      <c r="P79" s="40">
        <v>2</v>
      </c>
      <c r="Q79" s="25" t="str">
        <f>VLOOKUP(P79,Key!$E$2:$F$9,2,FALSE)</f>
        <v>Work</v>
      </c>
      <c r="R79" s="25" t="str">
        <f t="shared" si="2"/>
        <v>Work-Work</v>
      </c>
      <c r="S79" s="44"/>
      <c r="T79" s="44">
        <v>0.5</v>
      </c>
      <c r="U79" s="40">
        <v>2</v>
      </c>
      <c r="V79" s="40"/>
      <c r="W79" s="44"/>
      <c r="X79" s="44"/>
      <c r="Y79" s="45" t="s">
        <v>160</v>
      </c>
      <c r="Z79" s="46">
        <v>0</v>
      </c>
      <c r="AA79" s="25">
        <f>VLOOKUP(F79,Zones!$A$2:$F$1587,6,FALSE)</f>
        <v>1147</v>
      </c>
      <c r="AB79" s="25">
        <f>VLOOKUP(L79,Zones!$A$2:$F$1587,6,FALSE)</f>
        <v>1020</v>
      </c>
    </row>
    <row r="80" spans="2:28">
      <c r="B80" s="37">
        <v>0.33888888888888885</v>
      </c>
      <c r="C80" s="37" t="s">
        <v>247</v>
      </c>
      <c r="D80" s="38">
        <v>7</v>
      </c>
      <c r="E80" s="39">
        <v>3</v>
      </c>
      <c r="F80" s="39" t="s">
        <v>162</v>
      </c>
      <c r="G80" s="40" t="s">
        <v>166</v>
      </c>
      <c r="H80" s="39" t="s">
        <v>158</v>
      </c>
      <c r="I80" s="40">
        <v>1</v>
      </c>
      <c r="J80" s="40">
        <v>1</v>
      </c>
      <c r="K80" s="25" t="str">
        <f>VLOOKUP(J80,Key!$E$2:$F$9,2,FALSE)</f>
        <v>Home</v>
      </c>
      <c r="L80" s="39" t="s">
        <v>159</v>
      </c>
      <c r="M80" s="40" t="s">
        <v>159</v>
      </c>
      <c r="N80" s="39" t="s">
        <v>158</v>
      </c>
      <c r="O80" s="40">
        <v>7</v>
      </c>
      <c r="P80" s="40">
        <v>4</v>
      </c>
      <c r="Q80" s="25" t="str">
        <f>VLOOKUP(P80,Key!$E$2:$F$9,2,FALSE)</f>
        <v>Commercial</v>
      </c>
      <c r="R80" s="25" t="str">
        <f t="shared" si="2"/>
        <v>Home-Commercial</v>
      </c>
      <c r="S80" s="44">
        <v>42</v>
      </c>
      <c r="T80" s="44">
        <v>1</v>
      </c>
      <c r="U80" s="40">
        <v>3</v>
      </c>
      <c r="V80" s="40">
        <v>10</v>
      </c>
      <c r="W80" s="44">
        <v>2.5</v>
      </c>
      <c r="X80" s="44"/>
      <c r="Y80" s="45" t="s">
        <v>160</v>
      </c>
      <c r="Z80" s="46">
        <v>0</v>
      </c>
      <c r="AA80" s="25">
        <f>VLOOKUP(F80,Zones!$A$2:$F$1587,6,FALSE)</f>
        <v>1020</v>
      </c>
      <c r="AB80" s="25">
        <f>VLOOKUP(L80,Zones!$A$2:$F$1587,6,FALSE)</f>
        <v>1020</v>
      </c>
    </row>
    <row r="81" spans="2:28">
      <c r="B81" s="37">
        <v>0.36458333333333331</v>
      </c>
      <c r="C81" s="37" t="s">
        <v>332</v>
      </c>
      <c r="D81" s="38">
        <v>8</v>
      </c>
      <c r="E81" s="39">
        <v>2</v>
      </c>
      <c r="F81" s="39" t="s">
        <v>2048</v>
      </c>
      <c r="G81" s="40" t="s">
        <v>166</v>
      </c>
      <c r="H81" s="39" t="s">
        <v>158</v>
      </c>
      <c r="I81" s="40">
        <v>3</v>
      </c>
      <c r="J81" s="40">
        <v>4</v>
      </c>
      <c r="K81" s="25" t="str">
        <f>VLOOKUP(J81,Key!$E$2:$F$9,2,FALSE)</f>
        <v>Commercial</v>
      </c>
      <c r="L81" s="39" t="s">
        <v>159</v>
      </c>
      <c r="M81" s="40" t="s">
        <v>159</v>
      </c>
      <c r="N81" s="39" t="s">
        <v>158</v>
      </c>
      <c r="O81" s="40">
        <v>11</v>
      </c>
      <c r="P81" s="40">
        <v>2</v>
      </c>
      <c r="Q81" s="25" t="str">
        <f>VLOOKUP(P81,Key!$E$2:$F$9,2,FALSE)</f>
        <v>Work</v>
      </c>
      <c r="R81" s="25" t="str">
        <f t="shared" si="2"/>
        <v>Commercial-Work</v>
      </c>
      <c r="S81" s="44">
        <v>36</v>
      </c>
      <c r="T81" s="44">
        <v>0.8</v>
      </c>
      <c r="U81" s="40">
        <v>4</v>
      </c>
      <c r="V81" s="40">
        <v>4</v>
      </c>
      <c r="W81" s="44"/>
      <c r="X81" s="44"/>
      <c r="Y81" s="45" t="s">
        <v>160</v>
      </c>
      <c r="Z81" s="46">
        <v>1000</v>
      </c>
      <c r="AA81" s="25">
        <f>VLOOKUP(F81,Zones!$A$2:$F$1587,6,FALSE)</f>
        <v>1146</v>
      </c>
      <c r="AB81" s="25">
        <f>VLOOKUP(L81,Zones!$A$2:$F$1587,6,FALSE)</f>
        <v>1020</v>
      </c>
    </row>
    <row r="82" spans="2:28">
      <c r="B82" s="37">
        <v>0.38750000000000001</v>
      </c>
      <c r="C82" s="37" t="s">
        <v>248</v>
      </c>
      <c r="D82" s="38">
        <v>3</v>
      </c>
      <c r="E82" s="39">
        <v>1</v>
      </c>
      <c r="F82" s="39" t="s">
        <v>157</v>
      </c>
      <c r="G82" s="40" t="s">
        <v>157</v>
      </c>
      <c r="H82" s="39" t="s">
        <v>158</v>
      </c>
      <c r="I82" s="40">
        <v>2</v>
      </c>
      <c r="J82" s="40">
        <v>2</v>
      </c>
      <c r="K82" s="25" t="str">
        <f>VLOOKUP(J82,Key!$E$2:$F$9,2,FALSE)</f>
        <v>Work</v>
      </c>
      <c r="L82" s="39" t="s">
        <v>159</v>
      </c>
      <c r="M82" s="40" t="s">
        <v>159</v>
      </c>
      <c r="N82" s="39" t="s">
        <v>158</v>
      </c>
      <c r="O82" s="40">
        <v>10</v>
      </c>
      <c r="P82" s="40">
        <v>2</v>
      </c>
      <c r="Q82" s="25" t="str">
        <f>VLOOKUP(P82,Key!$E$2:$F$9,2,FALSE)</f>
        <v>Work</v>
      </c>
      <c r="R82" s="25" t="str">
        <f t="shared" si="2"/>
        <v>Work-Work</v>
      </c>
      <c r="S82" s="44">
        <v>160</v>
      </c>
      <c r="T82" s="44">
        <v>3</v>
      </c>
      <c r="U82" s="40">
        <v>5</v>
      </c>
      <c r="V82" s="40"/>
      <c r="W82" s="44"/>
      <c r="X82" s="44"/>
      <c r="Y82" s="45" t="s">
        <v>160</v>
      </c>
      <c r="Z82" s="46">
        <v>0</v>
      </c>
      <c r="AA82" s="25">
        <f>VLOOKUP(F82,Zones!$A$2:$F$1587,6,FALSE)</f>
        <v>1352</v>
      </c>
      <c r="AB82" s="25">
        <f>VLOOKUP(L82,Zones!$A$2:$F$1587,6,FALSE)</f>
        <v>1020</v>
      </c>
    </row>
    <row r="83" spans="2:28">
      <c r="B83" s="37">
        <v>0.40277777777777773</v>
      </c>
      <c r="C83" s="37" t="s">
        <v>249</v>
      </c>
      <c r="D83" s="38">
        <v>6</v>
      </c>
      <c r="E83" s="39">
        <v>56</v>
      </c>
      <c r="F83" s="39" t="s">
        <v>170</v>
      </c>
      <c r="G83" s="40" t="s">
        <v>170</v>
      </c>
      <c r="H83" s="39" t="s">
        <v>158</v>
      </c>
      <c r="I83" s="40">
        <v>6</v>
      </c>
      <c r="J83" s="40">
        <v>2</v>
      </c>
      <c r="K83" s="25" t="str">
        <f>VLOOKUP(J83,Key!$E$2:$F$9,2,FALSE)</f>
        <v>Work</v>
      </c>
      <c r="L83" s="39" t="s">
        <v>159</v>
      </c>
      <c r="M83" s="40" t="s">
        <v>159</v>
      </c>
      <c r="N83" s="39" t="s">
        <v>158</v>
      </c>
      <c r="O83" s="40">
        <v>6</v>
      </c>
      <c r="P83" s="40">
        <v>2</v>
      </c>
      <c r="Q83" s="25" t="str">
        <f>VLOOKUP(P83,Key!$E$2:$F$9,2,FALSE)</f>
        <v>Work</v>
      </c>
      <c r="R83" s="25" t="str">
        <f t="shared" si="2"/>
        <v>Work-Work</v>
      </c>
      <c r="S83" s="44">
        <v>650</v>
      </c>
      <c r="T83" s="44">
        <v>10</v>
      </c>
      <c r="U83" s="40">
        <v>2</v>
      </c>
      <c r="V83" s="40"/>
      <c r="W83" s="44"/>
      <c r="X83" s="44"/>
      <c r="Y83" s="45" t="s">
        <v>160</v>
      </c>
      <c r="Z83" s="46">
        <v>0</v>
      </c>
      <c r="AA83" s="25">
        <f>VLOOKUP(F83,Zones!$A$2:$F$1587,6,FALSE)</f>
        <v>521</v>
      </c>
      <c r="AB83" s="25">
        <f>VLOOKUP(L83,Zones!$A$2:$F$1587,6,FALSE)</f>
        <v>1020</v>
      </c>
    </row>
    <row r="84" spans="2:28">
      <c r="B84" s="37">
        <v>0.40625</v>
      </c>
      <c r="C84" s="37" t="s">
        <v>250</v>
      </c>
      <c r="D84" s="38">
        <v>4</v>
      </c>
      <c r="E84" s="39">
        <v>11</v>
      </c>
      <c r="F84" s="39" t="s">
        <v>157</v>
      </c>
      <c r="G84" s="40" t="s">
        <v>157</v>
      </c>
      <c r="H84" s="39" t="s">
        <v>158</v>
      </c>
      <c r="I84" s="40">
        <v>6</v>
      </c>
      <c r="J84" s="40">
        <v>2</v>
      </c>
      <c r="K84" s="25" t="str">
        <f>VLOOKUP(J84,Key!$E$2:$F$9,2,FALSE)</f>
        <v>Work</v>
      </c>
      <c r="L84" s="39" t="s">
        <v>159</v>
      </c>
      <c r="M84" s="40" t="s">
        <v>159</v>
      </c>
      <c r="N84" s="39" t="s">
        <v>158</v>
      </c>
      <c r="O84" s="40">
        <v>6</v>
      </c>
      <c r="P84" s="40">
        <v>2</v>
      </c>
      <c r="Q84" s="25" t="str">
        <f>VLOOKUP(P84,Key!$E$2:$F$9,2,FALSE)</f>
        <v>Work</v>
      </c>
      <c r="R84" s="25" t="str">
        <f t="shared" si="2"/>
        <v>Work-Work</v>
      </c>
      <c r="S84" s="44">
        <v>160</v>
      </c>
      <c r="T84" s="44">
        <v>2.2000000000000002</v>
      </c>
      <c r="U84" s="40">
        <v>2</v>
      </c>
      <c r="V84" s="40"/>
      <c r="W84" s="44"/>
      <c r="X84" s="44"/>
      <c r="Y84" s="45" t="s">
        <v>160</v>
      </c>
      <c r="Z84" s="46">
        <v>1000</v>
      </c>
      <c r="AA84" s="25">
        <f>VLOOKUP(F84,Zones!$A$2:$F$1587,6,FALSE)</f>
        <v>1352</v>
      </c>
      <c r="AB84" s="25">
        <f>VLOOKUP(L84,Zones!$A$2:$F$1587,6,FALSE)</f>
        <v>1020</v>
      </c>
    </row>
    <row r="85" spans="2:28">
      <c r="B85" s="37">
        <v>0.42152777777777778</v>
      </c>
      <c r="C85" s="37" t="s">
        <v>251</v>
      </c>
      <c r="D85" s="38">
        <v>3</v>
      </c>
      <c r="E85" s="39">
        <v>3</v>
      </c>
      <c r="F85" s="39" t="s">
        <v>166</v>
      </c>
      <c r="G85" s="40" t="s">
        <v>166</v>
      </c>
      <c r="H85" s="39" t="s">
        <v>158</v>
      </c>
      <c r="I85" s="40">
        <v>1</v>
      </c>
      <c r="J85" s="40">
        <v>1</v>
      </c>
      <c r="K85" s="25" t="str">
        <f>VLOOKUP(J85,Key!$E$2:$F$9,2,FALSE)</f>
        <v>Home</v>
      </c>
      <c r="L85" s="39" t="s">
        <v>159</v>
      </c>
      <c r="M85" s="40" t="s">
        <v>159</v>
      </c>
      <c r="N85" s="39" t="s">
        <v>158</v>
      </c>
      <c r="O85" s="40">
        <v>2</v>
      </c>
      <c r="P85" s="40">
        <v>2</v>
      </c>
      <c r="Q85" s="25" t="str">
        <f>VLOOKUP(P85,Key!$E$2:$F$9,2,FALSE)</f>
        <v>Work</v>
      </c>
      <c r="R85" s="25" t="str">
        <f t="shared" si="2"/>
        <v>Home-Work</v>
      </c>
      <c r="S85" s="44">
        <v>16</v>
      </c>
      <c r="T85" s="44">
        <v>0.2</v>
      </c>
      <c r="U85" s="40">
        <v>1</v>
      </c>
      <c r="V85" s="40"/>
      <c r="W85" s="44"/>
      <c r="X85" s="44"/>
      <c r="Y85" s="45" t="s">
        <v>160</v>
      </c>
      <c r="Z85" s="46">
        <v>10000</v>
      </c>
      <c r="AA85" s="25">
        <f>VLOOKUP(F85,Zones!$A$2:$F$1587,6,FALSE)</f>
        <v>1147</v>
      </c>
      <c r="AB85" s="25">
        <f>VLOOKUP(L85,Zones!$A$2:$F$1587,6,FALSE)</f>
        <v>1020</v>
      </c>
    </row>
    <row r="86" spans="2:28">
      <c r="B86" s="37">
        <v>0.42708333333333331</v>
      </c>
      <c r="C86" s="37" t="s">
        <v>252</v>
      </c>
      <c r="D86" s="38">
        <v>1</v>
      </c>
      <c r="E86" s="39">
        <v>4</v>
      </c>
      <c r="F86" s="39" t="s">
        <v>2050</v>
      </c>
      <c r="G86" s="40" t="s">
        <v>166</v>
      </c>
      <c r="H86" s="39" t="s">
        <v>158</v>
      </c>
      <c r="I86" s="40">
        <v>1</v>
      </c>
      <c r="J86" s="40">
        <v>1</v>
      </c>
      <c r="K86" s="25" t="str">
        <f>VLOOKUP(J86,Key!$E$2:$F$9,2,FALSE)</f>
        <v>Home</v>
      </c>
      <c r="L86" s="39" t="s">
        <v>159</v>
      </c>
      <c r="M86" s="40" t="s">
        <v>159</v>
      </c>
      <c r="N86" s="39" t="s">
        <v>158</v>
      </c>
      <c r="O86" s="40">
        <v>5</v>
      </c>
      <c r="P86" s="40">
        <v>7</v>
      </c>
      <c r="Q86" s="25" t="str">
        <f>VLOOKUP(P86,Key!$E$2:$F$9,2,FALSE)</f>
        <v>Hospital</v>
      </c>
      <c r="R86" s="25" t="str">
        <f t="shared" si="2"/>
        <v>Home-Hospital</v>
      </c>
      <c r="S86" s="44"/>
      <c r="T86" s="44"/>
      <c r="U86" s="40">
        <v>5</v>
      </c>
      <c r="V86" s="40"/>
      <c r="W86" s="44"/>
      <c r="X86" s="44"/>
      <c r="Y86" s="45" t="s">
        <v>160</v>
      </c>
      <c r="Z86" s="46">
        <v>0</v>
      </c>
      <c r="AA86" s="25">
        <f>VLOOKUP(F86,Zones!$A$2:$F$1587,6,FALSE)</f>
        <v>1147</v>
      </c>
      <c r="AB86" s="25">
        <f>VLOOKUP(L86,Zones!$A$2:$F$1587,6,FALSE)</f>
        <v>1020</v>
      </c>
    </row>
    <row r="87" spans="2:28">
      <c r="B87" s="37">
        <v>0.4458333333333333</v>
      </c>
      <c r="C87" s="37" t="s">
        <v>254</v>
      </c>
      <c r="D87" s="38">
        <v>9</v>
      </c>
      <c r="E87" s="39">
        <v>8</v>
      </c>
      <c r="F87" s="39" t="s">
        <v>195</v>
      </c>
      <c r="G87" s="40" t="s">
        <v>195</v>
      </c>
      <c r="H87" s="39" t="s">
        <v>158</v>
      </c>
      <c r="I87" s="40">
        <v>7</v>
      </c>
      <c r="J87" s="40">
        <v>4</v>
      </c>
      <c r="K87" s="25" t="str">
        <f>VLOOKUP(J87,Key!$E$2:$F$9,2,FALSE)</f>
        <v>Commercial</v>
      </c>
      <c r="L87" s="39" t="s">
        <v>159</v>
      </c>
      <c r="M87" s="40" t="s">
        <v>159</v>
      </c>
      <c r="N87" s="39" t="s">
        <v>158</v>
      </c>
      <c r="O87" s="40">
        <v>11</v>
      </c>
      <c r="P87" s="40">
        <v>4</v>
      </c>
      <c r="Q87" s="25" t="str">
        <f>VLOOKUP(P87,Key!$E$2:$F$9,2,FALSE)</f>
        <v>Commercial</v>
      </c>
      <c r="R87" s="25" t="str">
        <f t="shared" si="2"/>
        <v>Commercial-Commercial</v>
      </c>
      <c r="S87" s="44">
        <v>300</v>
      </c>
      <c r="T87" s="44">
        <v>8</v>
      </c>
      <c r="U87" s="40">
        <v>6</v>
      </c>
      <c r="V87" s="40">
        <v>1</v>
      </c>
      <c r="W87" s="44">
        <v>6</v>
      </c>
      <c r="X87" s="44"/>
      <c r="Y87" s="45" t="s">
        <v>160</v>
      </c>
      <c r="Z87" s="46">
        <v>0</v>
      </c>
      <c r="AA87" s="25">
        <f>VLOOKUP(F87,Zones!$A$2:$F$1587,6,FALSE)</f>
        <v>975</v>
      </c>
      <c r="AB87" s="25">
        <f>VLOOKUP(L87,Zones!$A$2:$F$1587,6,FALSE)</f>
        <v>1020</v>
      </c>
    </row>
    <row r="88" spans="2:28">
      <c r="B88" s="37">
        <v>0.46666666666666662</v>
      </c>
      <c r="C88" s="37" t="s">
        <v>255</v>
      </c>
      <c r="D88" s="38">
        <v>4</v>
      </c>
      <c r="E88" s="39">
        <v>7</v>
      </c>
      <c r="F88" s="39" t="s">
        <v>157</v>
      </c>
      <c r="G88" s="40" t="s">
        <v>157</v>
      </c>
      <c r="H88" s="39" t="s">
        <v>158</v>
      </c>
      <c r="I88" s="40">
        <v>6</v>
      </c>
      <c r="J88" s="40">
        <v>2</v>
      </c>
      <c r="K88" s="25" t="str">
        <f>VLOOKUP(J88,Key!$E$2:$F$9,2,FALSE)</f>
        <v>Work</v>
      </c>
      <c r="L88" s="39" t="s">
        <v>159</v>
      </c>
      <c r="M88" s="40" t="s">
        <v>159</v>
      </c>
      <c r="N88" s="39" t="s">
        <v>158</v>
      </c>
      <c r="O88" s="40">
        <v>6</v>
      </c>
      <c r="P88" s="40">
        <v>2</v>
      </c>
      <c r="Q88" s="25" t="str">
        <f>VLOOKUP(P88,Key!$E$2:$F$9,2,FALSE)</f>
        <v>Work</v>
      </c>
      <c r="R88" s="25" t="str">
        <f t="shared" si="2"/>
        <v>Work-Work</v>
      </c>
      <c r="S88" s="44"/>
      <c r="T88" s="44">
        <v>3.1</v>
      </c>
      <c r="U88" s="40">
        <v>3</v>
      </c>
      <c r="V88" s="40"/>
      <c r="W88" s="44"/>
      <c r="X88" s="44"/>
      <c r="Y88" s="45" t="s">
        <v>171</v>
      </c>
      <c r="Z88" s="46">
        <v>0</v>
      </c>
      <c r="AA88" s="25">
        <f>VLOOKUP(F88,Zones!$A$2:$F$1587,6,FALSE)</f>
        <v>1352</v>
      </c>
      <c r="AB88" s="25">
        <f>VLOOKUP(L88,Zones!$A$2:$F$1587,6,FALSE)</f>
        <v>1020</v>
      </c>
    </row>
    <row r="89" spans="2:28">
      <c r="B89" s="37">
        <v>0.50277777777777777</v>
      </c>
      <c r="C89" s="37" t="s">
        <v>256</v>
      </c>
      <c r="D89" s="38">
        <v>2</v>
      </c>
      <c r="E89" s="39">
        <v>2</v>
      </c>
      <c r="F89" s="39" t="s">
        <v>195</v>
      </c>
      <c r="G89" s="40" t="s">
        <v>195</v>
      </c>
      <c r="H89" s="39" t="s">
        <v>158</v>
      </c>
      <c r="I89" s="40">
        <v>2</v>
      </c>
      <c r="J89" s="40">
        <v>2</v>
      </c>
      <c r="K89" s="25" t="str">
        <f>VLOOKUP(J89,Key!$E$2:$F$9,2,FALSE)</f>
        <v>Work</v>
      </c>
      <c r="L89" s="39" t="s">
        <v>159</v>
      </c>
      <c r="M89" s="40" t="s">
        <v>159</v>
      </c>
      <c r="N89" s="39" t="s">
        <v>158</v>
      </c>
      <c r="O89" s="40">
        <v>1</v>
      </c>
      <c r="P89" s="40">
        <v>1</v>
      </c>
      <c r="Q89" s="25" t="str">
        <f>VLOOKUP(P89,Key!$E$2:$F$9,2,FALSE)</f>
        <v>Home</v>
      </c>
      <c r="R89" s="25" t="str">
        <f t="shared" si="2"/>
        <v>Work-Home</v>
      </c>
      <c r="S89" s="44">
        <v>300</v>
      </c>
      <c r="T89" s="44">
        <v>6</v>
      </c>
      <c r="U89" s="40">
        <v>5</v>
      </c>
      <c r="V89" s="40"/>
      <c r="W89" s="44"/>
      <c r="X89" s="44"/>
      <c r="Y89" s="45" t="s">
        <v>160</v>
      </c>
      <c r="Z89" s="46">
        <v>5000</v>
      </c>
      <c r="AA89" s="25">
        <f>VLOOKUP(F89,Zones!$A$2:$F$1587,6,FALSE)</f>
        <v>975</v>
      </c>
      <c r="AB89" s="25">
        <f>VLOOKUP(L89,Zones!$A$2:$F$1587,6,FALSE)</f>
        <v>1020</v>
      </c>
    </row>
    <row r="90" spans="2:28">
      <c r="B90" s="37">
        <v>0.54791666666666672</v>
      </c>
      <c r="C90" s="37" t="s">
        <v>257</v>
      </c>
      <c r="D90" s="38">
        <v>10</v>
      </c>
      <c r="E90" s="39">
        <v>2</v>
      </c>
      <c r="F90" s="39" t="s">
        <v>166</v>
      </c>
      <c r="G90" s="40" t="s">
        <v>166</v>
      </c>
      <c r="H90" s="39" t="s">
        <v>158</v>
      </c>
      <c r="I90" s="40">
        <v>12</v>
      </c>
      <c r="J90" s="40">
        <v>2</v>
      </c>
      <c r="K90" s="25" t="str">
        <f>VLOOKUP(J90,Key!$E$2:$F$9,2,FALSE)</f>
        <v>Work</v>
      </c>
      <c r="L90" s="39" t="s">
        <v>159</v>
      </c>
      <c r="M90" s="40" t="s">
        <v>159</v>
      </c>
      <c r="N90" s="39" t="s">
        <v>158</v>
      </c>
      <c r="O90" s="40">
        <v>10</v>
      </c>
      <c r="P90" s="40">
        <v>2</v>
      </c>
      <c r="Q90" s="25" t="str">
        <f>VLOOKUP(P90,Key!$E$2:$F$9,2,FALSE)</f>
        <v>Work</v>
      </c>
      <c r="R90" s="25" t="str">
        <f t="shared" si="2"/>
        <v>Work-Work</v>
      </c>
      <c r="S90" s="44">
        <v>30</v>
      </c>
      <c r="T90" s="44">
        <v>1</v>
      </c>
      <c r="U90" s="40">
        <v>6</v>
      </c>
      <c r="V90" s="40">
        <v>4</v>
      </c>
      <c r="W90" s="44"/>
      <c r="X90" s="44"/>
      <c r="Y90" s="45" t="s">
        <v>160</v>
      </c>
      <c r="Z90" s="46">
        <v>0</v>
      </c>
      <c r="AA90" s="25">
        <f>VLOOKUP(F90,Zones!$A$2:$F$1587,6,FALSE)</f>
        <v>1147</v>
      </c>
      <c r="AB90" s="25">
        <f>VLOOKUP(L90,Zones!$A$2:$F$1587,6,FALSE)</f>
        <v>1020</v>
      </c>
    </row>
    <row r="91" spans="2:28">
      <c r="B91" s="37">
        <v>0.60972222222222217</v>
      </c>
      <c r="C91" s="37" t="s">
        <v>333</v>
      </c>
      <c r="D91" s="38">
        <v>4</v>
      </c>
      <c r="E91" s="39">
        <v>11</v>
      </c>
      <c r="F91" s="39" t="s">
        <v>157</v>
      </c>
      <c r="G91" s="40" t="s">
        <v>157</v>
      </c>
      <c r="H91" s="39" t="s">
        <v>158</v>
      </c>
      <c r="I91" s="40">
        <v>6</v>
      </c>
      <c r="J91" s="40">
        <v>2</v>
      </c>
      <c r="K91" s="25" t="str">
        <f>VLOOKUP(J91,Key!$E$2:$F$9,2,FALSE)</f>
        <v>Work</v>
      </c>
      <c r="L91" s="39" t="s">
        <v>159</v>
      </c>
      <c r="M91" s="40" t="s">
        <v>159</v>
      </c>
      <c r="N91" s="39" t="s">
        <v>158</v>
      </c>
      <c r="O91" s="40">
        <v>6</v>
      </c>
      <c r="P91" s="40">
        <v>2</v>
      </c>
      <c r="Q91" s="25" t="str">
        <f>VLOOKUP(P91,Key!$E$2:$F$9,2,FALSE)</f>
        <v>Work</v>
      </c>
      <c r="R91" s="25" t="str">
        <f t="shared" si="2"/>
        <v>Work-Work</v>
      </c>
      <c r="S91" s="44">
        <v>166</v>
      </c>
      <c r="T91" s="44">
        <v>3.5</v>
      </c>
      <c r="U91" s="40">
        <v>2</v>
      </c>
      <c r="V91" s="40"/>
      <c r="W91" s="44"/>
      <c r="X91" s="44"/>
      <c r="Y91" s="45" t="s">
        <v>160</v>
      </c>
      <c r="Z91" s="46">
        <v>10000</v>
      </c>
      <c r="AA91" s="25">
        <f>VLOOKUP(F91,Zones!$A$2:$F$1587,6,FALSE)</f>
        <v>1352</v>
      </c>
      <c r="AB91" s="25">
        <f>VLOOKUP(L91,Zones!$A$2:$F$1587,6,FALSE)</f>
        <v>1020</v>
      </c>
    </row>
    <row r="92" spans="2:28">
      <c r="B92" s="37">
        <v>0.65277777777777779</v>
      </c>
      <c r="C92" s="37" t="s">
        <v>258</v>
      </c>
      <c r="D92" s="38">
        <v>8</v>
      </c>
      <c r="E92" s="39">
        <v>4</v>
      </c>
      <c r="F92" s="39" t="s">
        <v>2050</v>
      </c>
      <c r="G92" s="40" t="s">
        <v>166</v>
      </c>
      <c r="H92" s="39" t="s">
        <v>158</v>
      </c>
      <c r="I92" s="40">
        <v>10</v>
      </c>
      <c r="J92" s="40">
        <v>2</v>
      </c>
      <c r="K92" s="25" t="str">
        <f>VLOOKUP(J92,Key!$E$2:$F$9,2,FALSE)</f>
        <v>Work</v>
      </c>
      <c r="L92" s="39" t="s">
        <v>159</v>
      </c>
      <c r="M92" s="40" t="s">
        <v>159</v>
      </c>
      <c r="N92" s="39" t="s">
        <v>158</v>
      </c>
      <c r="O92" s="40">
        <v>3</v>
      </c>
      <c r="P92" s="40">
        <v>2</v>
      </c>
      <c r="Q92" s="25" t="str">
        <f>VLOOKUP(P92,Key!$E$2:$F$9,2,FALSE)</f>
        <v>Work</v>
      </c>
      <c r="R92" s="25" t="str">
        <f t="shared" si="2"/>
        <v>Work-Work</v>
      </c>
      <c r="S92" s="44">
        <v>20</v>
      </c>
      <c r="T92" s="44">
        <v>0.8</v>
      </c>
      <c r="U92" s="40">
        <v>2</v>
      </c>
      <c r="V92" s="40"/>
      <c r="W92" s="44"/>
      <c r="X92" s="44"/>
      <c r="Y92" s="45" t="s">
        <v>160</v>
      </c>
      <c r="Z92" s="46">
        <v>1000</v>
      </c>
      <c r="AA92" s="25">
        <f>VLOOKUP(F92,Zones!$A$2:$F$1587,6,FALSE)</f>
        <v>1147</v>
      </c>
      <c r="AB92" s="25">
        <f>VLOOKUP(L92,Zones!$A$2:$F$1587,6,FALSE)</f>
        <v>1020</v>
      </c>
    </row>
    <row r="93" spans="2:28">
      <c r="B93" s="37">
        <v>0.6791666666666667</v>
      </c>
      <c r="C93" s="37" t="s">
        <v>260</v>
      </c>
      <c r="D93" s="38">
        <v>1</v>
      </c>
      <c r="E93" s="39">
        <v>6</v>
      </c>
      <c r="F93" s="39" t="s">
        <v>162</v>
      </c>
      <c r="G93" s="40" t="s">
        <v>166</v>
      </c>
      <c r="H93" s="39" t="s">
        <v>158</v>
      </c>
      <c r="I93" s="40">
        <v>7</v>
      </c>
      <c r="J93" s="40">
        <v>4</v>
      </c>
      <c r="K93" s="25" t="str">
        <f>VLOOKUP(J93,Key!$E$2:$F$9,2,FALSE)</f>
        <v>Commercial</v>
      </c>
      <c r="L93" s="39" t="s">
        <v>159</v>
      </c>
      <c r="M93" s="40" t="s">
        <v>159</v>
      </c>
      <c r="N93" s="39" t="s">
        <v>158</v>
      </c>
      <c r="O93" s="40">
        <v>11</v>
      </c>
      <c r="P93" s="40">
        <v>4</v>
      </c>
      <c r="Q93" s="25" t="str">
        <f>VLOOKUP(P93,Key!$E$2:$F$9,2,FALSE)</f>
        <v>Commercial</v>
      </c>
      <c r="R93" s="25" t="str">
        <f t="shared" si="2"/>
        <v>Commercial-Commercial</v>
      </c>
      <c r="S93" s="44">
        <v>20</v>
      </c>
      <c r="T93" s="44">
        <v>0.8</v>
      </c>
      <c r="U93" s="40">
        <v>4</v>
      </c>
      <c r="V93" s="40"/>
      <c r="W93" s="44"/>
      <c r="X93" s="44"/>
      <c r="Y93" s="45" t="s">
        <v>171</v>
      </c>
      <c r="Z93" s="46">
        <v>0</v>
      </c>
      <c r="AA93" s="25">
        <f>VLOOKUP(F93,Zones!$A$2:$F$1587,6,FALSE)</f>
        <v>1020</v>
      </c>
      <c r="AB93" s="25">
        <f>VLOOKUP(L93,Zones!$A$2:$F$1587,6,FALSE)</f>
        <v>1020</v>
      </c>
    </row>
    <row r="94" spans="2:28">
      <c r="B94" s="37">
        <v>0.72777777777777775</v>
      </c>
      <c r="C94" s="37" t="s">
        <v>261</v>
      </c>
      <c r="D94" s="38">
        <v>11</v>
      </c>
      <c r="E94" s="39">
        <v>3</v>
      </c>
      <c r="F94" s="39" t="s">
        <v>2050</v>
      </c>
      <c r="G94" s="40" t="s">
        <v>166</v>
      </c>
      <c r="H94" s="39" t="s">
        <v>158</v>
      </c>
      <c r="I94" s="40">
        <v>8</v>
      </c>
      <c r="J94" s="40">
        <v>2</v>
      </c>
      <c r="K94" s="25" t="str">
        <f>VLOOKUP(J94,Key!$E$2:$F$9,2,FALSE)</f>
        <v>Work</v>
      </c>
      <c r="L94" s="39" t="s">
        <v>159</v>
      </c>
      <c r="M94" s="40" t="s">
        <v>159</v>
      </c>
      <c r="N94" s="39" t="s">
        <v>158</v>
      </c>
      <c r="O94" s="40">
        <v>16</v>
      </c>
      <c r="P94" s="40">
        <v>6</v>
      </c>
      <c r="Q94" s="25" t="str">
        <f>VLOOKUP(P94,Key!$E$2:$F$9,2,FALSE)</f>
        <v>Leisure/Social</v>
      </c>
      <c r="R94" s="25" t="str">
        <f t="shared" si="2"/>
        <v>Work-Leisure/Social</v>
      </c>
      <c r="S94" s="44">
        <v>25</v>
      </c>
      <c r="T94" s="44">
        <v>1</v>
      </c>
      <c r="U94" s="40">
        <v>6</v>
      </c>
      <c r="V94" s="40"/>
      <c r="W94" s="44"/>
      <c r="X94" s="44"/>
      <c r="Y94" s="45" t="s">
        <v>160</v>
      </c>
      <c r="Z94" s="46">
        <v>0</v>
      </c>
      <c r="AA94" s="25">
        <f>VLOOKUP(F94,Zones!$A$2:$F$1587,6,FALSE)</f>
        <v>1147</v>
      </c>
      <c r="AB94" s="25">
        <f>VLOOKUP(L94,Zones!$A$2:$F$1587,6,FALSE)</f>
        <v>1020</v>
      </c>
    </row>
    <row r="95" spans="2:28">
      <c r="B95" s="37">
        <v>0.33680555555555558</v>
      </c>
      <c r="C95" s="37" t="s">
        <v>262</v>
      </c>
      <c r="D95" s="38">
        <v>4</v>
      </c>
      <c r="E95" s="39">
        <v>14</v>
      </c>
      <c r="F95" s="39" t="s">
        <v>159</v>
      </c>
      <c r="G95" s="40" t="s">
        <v>159</v>
      </c>
      <c r="H95" s="39" t="s">
        <v>158</v>
      </c>
      <c r="I95" s="40">
        <v>6</v>
      </c>
      <c r="J95" s="40">
        <v>2</v>
      </c>
      <c r="K95" s="25" t="str">
        <f>VLOOKUP(J95,Key!$E$2:$F$9,2,FALSE)</f>
        <v>Work</v>
      </c>
      <c r="L95" s="39" t="s">
        <v>157</v>
      </c>
      <c r="M95" s="40" t="s">
        <v>157</v>
      </c>
      <c r="N95" s="39" t="s">
        <v>158</v>
      </c>
      <c r="O95" s="40">
        <v>6</v>
      </c>
      <c r="P95" s="40">
        <v>2</v>
      </c>
      <c r="Q95" s="25" t="str">
        <f>VLOOKUP(P95,Key!$E$2:$F$9,2,FALSE)</f>
        <v>Work</v>
      </c>
      <c r="R95" s="25" t="str">
        <f>K95&amp;"-"&amp;Q95</f>
        <v>Work-Work</v>
      </c>
      <c r="S95" s="44">
        <v>160</v>
      </c>
      <c r="T95" s="44">
        <v>3</v>
      </c>
      <c r="U95" s="40">
        <v>2</v>
      </c>
      <c r="V95" s="40"/>
      <c r="W95" s="44"/>
      <c r="X95" s="44"/>
      <c r="Y95" s="45" t="s">
        <v>160</v>
      </c>
      <c r="Z95" s="46">
        <v>0</v>
      </c>
      <c r="AA95" s="25">
        <f>VLOOKUP(F95,Zones!$A$2:$F$1587,6,FALSE)</f>
        <v>1020</v>
      </c>
      <c r="AB95" s="25">
        <f>VLOOKUP(L95,Zones!$A$2:$F$1587,6,FALSE)</f>
        <v>1352</v>
      </c>
    </row>
    <row r="96" spans="2:28">
      <c r="B96" s="37">
        <v>0.34722222222222227</v>
      </c>
      <c r="C96" s="37" t="s">
        <v>329</v>
      </c>
      <c r="D96" s="38">
        <v>9</v>
      </c>
      <c r="E96" s="39">
        <v>2</v>
      </c>
      <c r="F96" s="39" t="s">
        <v>159</v>
      </c>
      <c r="G96" s="40" t="s">
        <v>159</v>
      </c>
      <c r="H96" s="39" t="s">
        <v>158</v>
      </c>
      <c r="I96" s="40">
        <v>15</v>
      </c>
      <c r="J96" s="40">
        <v>2</v>
      </c>
      <c r="K96" s="25" t="str">
        <f>VLOOKUP(J96,Key!$E$2:$F$9,2,FALSE)</f>
        <v>Work</v>
      </c>
      <c r="L96" s="39" t="s">
        <v>157</v>
      </c>
      <c r="M96" s="40" t="s">
        <v>157</v>
      </c>
      <c r="N96" s="39" t="s">
        <v>158</v>
      </c>
      <c r="O96" s="40">
        <v>10</v>
      </c>
      <c r="P96" s="40">
        <v>2</v>
      </c>
      <c r="Q96" s="25" t="str">
        <f>VLOOKUP(P96,Key!$E$2:$F$9,2,FALSE)</f>
        <v>Work</v>
      </c>
      <c r="R96" s="25" t="str">
        <f t="shared" ref="R96:R103" si="3">K96&amp;"-"&amp;Q96</f>
        <v>Work-Work</v>
      </c>
      <c r="S96" s="44">
        <v>160</v>
      </c>
      <c r="T96" s="44">
        <v>3</v>
      </c>
      <c r="U96" s="40">
        <v>4</v>
      </c>
      <c r="V96" s="40"/>
      <c r="W96" s="44"/>
      <c r="X96" s="44"/>
      <c r="Y96" s="45" t="s">
        <v>160</v>
      </c>
      <c r="Z96" s="46">
        <v>0</v>
      </c>
      <c r="AA96" s="25">
        <f>VLOOKUP(F96,Zones!$A$2:$F$1587,6,FALSE)</f>
        <v>1020</v>
      </c>
      <c r="AB96" s="25">
        <f>VLOOKUP(L96,Zones!$A$2:$F$1587,6,FALSE)</f>
        <v>1352</v>
      </c>
    </row>
    <row r="97" spans="2:28">
      <c r="B97" s="37">
        <v>0.29930555555555555</v>
      </c>
      <c r="C97" s="37" t="s">
        <v>328</v>
      </c>
      <c r="D97" s="38">
        <v>3</v>
      </c>
      <c r="E97" s="39">
        <v>1</v>
      </c>
      <c r="F97" s="39" t="s">
        <v>159</v>
      </c>
      <c r="G97" s="40" t="s">
        <v>159</v>
      </c>
      <c r="H97" s="39" t="s">
        <v>158</v>
      </c>
      <c r="I97" s="40">
        <v>2</v>
      </c>
      <c r="J97" s="40">
        <v>2</v>
      </c>
      <c r="K97" s="25" t="str">
        <f>VLOOKUP(J97,Key!$E$2:$F$9,2,FALSE)</f>
        <v>Work</v>
      </c>
      <c r="L97" s="39" t="s">
        <v>263</v>
      </c>
      <c r="M97" s="40" t="s">
        <v>263</v>
      </c>
      <c r="N97" s="39" t="s">
        <v>158</v>
      </c>
      <c r="O97" s="40">
        <v>2</v>
      </c>
      <c r="P97" s="40">
        <v>2</v>
      </c>
      <c r="Q97" s="25" t="str">
        <f>VLOOKUP(P97,Key!$E$2:$F$9,2,FALSE)</f>
        <v>Work</v>
      </c>
      <c r="R97" s="25" t="str">
        <f t="shared" si="3"/>
        <v>Work-Work</v>
      </c>
      <c r="S97" s="44"/>
      <c r="T97" s="44"/>
      <c r="U97" s="40">
        <v>6</v>
      </c>
      <c r="V97" s="40"/>
      <c r="W97" s="44"/>
      <c r="X97" s="44"/>
      <c r="Y97" s="45" t="s">
        <v>160</v>
      </c>
      <c r="Z97" s="46">
        <v>0</v>
      </c>
      <c r="AA97" s="25">
        <f>VLOOKUP(F97,Zones!$A$2:$F$1587,6,FALSE)</f>
        <v>1020</v>
      </c>
      <c r="AB97" s="25">
        <f>VLOOKUP(L97,Zones!$A$2:$F$1587,6,FALSE)</f>
        <v>53</v>
      </c>
    </row>
    <row r="98" spans="2:28">
      <c r="B98" s="37">
        <v>0.32500000000000001</v>
      </c>
      <c r="C98" s="37" t="s">
        <v>264</v>
      </c>
      <c r="D98" s="38">
        <v>2</v>
      </c>
      <c r="E98" s="39">
        <v>1</v>
      </c>
      <c r="F98" s="39" t="s">
        <v>159</v>
      </c>
      <c r="G98" s="40" t="s">
        <v>159</v>
      </c>
      <c r="H98" s="39" t="s">
        <v>158</v>
      </c>
      <c r="I98" s="40">
        <v>1</v>
      </c>
      <c r="J98" s="40">
        <v>1</v>
      </c>
      <c r="K98" s="25" t="str">
        <f>VLOOKUP(J98,Key!$E$2:$F$9,2,FALSE)</f>
        <v>Home</v>
      </c>
      <c r="L98" s="39" t="s">
        <v>170</v>
      </c>
      <c r="M98" s="40" t="s">
        <v>170</v>
      </c>
      <c r="N98" s="39" t="s">
        <v>158</v>
      </c>
      <c r="O98" s="40">
        <v>16</v>
      </c>
      <c r="P98" s="40">
        <v>8</v>
      </c>
      <c r="Q98" s="25" t="str">
        <f>VLOOKUP(P98,Key!$E$2:$F$9,2,FALSE)</f>
        <v>Others</v>
      </c>
      <c r="R98" s="25" t="str">
        <f t="shared" si="3"/>
        <v>Home-Others</v>
      </c>
      <c r="S98" s="44">
        <v>600</v>
      </c>
      <c r="T98" s="44">
        <v>12</v>
      </c>
      <c r="U98" s="40">
        <v>3</v>
      </c>
      <c r="V98" s="40"/>
      <c r="W98" s="44"/>
      <c r="X98" s="44"/>
      <c r="Y98" s="45" t="s">
        <v>160</v>
      </c>
      <c r="Z98" s="46">
        <v>1000</v>
      </c>
      <c r="AA98" s="25">
        <f>VLOOKUP(F98,Zones!$A$2:$F$1587,6,FALSE)</f>
        <v>1020</v>
      </c>
      <c r="AB98" s="25">
        <f>VLOOKUP(L98,Zones!$A$2:$F$1587,6,FALSE)</f>
        <v>521</v>
      </c>
    </row>
    <row r="99" spans="2:28">
      <c r="B99" s="37">
        <v>0.36388888888888887</v>
      </c>
      <c r="C99" s="37" t="s">
        <v>265</v>
      </c>
      <c r="D99" s="38">
        <v>3</v>
      </c>
      <c r="E99" s="39">
        <v>1</v>
      </c>
      <c r="F99" s="39" t="s">
        <v>159</v>
      </c>
      <c r="G99" s="40" t="s">
        <v>159</v>
      </c>
      <c r="H99" s="39" t="s">
        <v>158</v>
      </c>
      <c r="I99" s="40">
        <v>2</v>
      </c>
      <c r="J99" s="40">
        <v>2</v>
      </c>
      <c r="K99" s="25" t="str">
        <f>VLOOKUP(J99,Key!$E$2:$F$9,2,FALSE)</f>
        <v>Work</v>
      </c>
      <c r="L99" s="39" t="s">
        <v>166</v>
      </c>
      <c r="M99" s="40" t="s">
        <v>166</v>
      </c>
      <c r="N99" s="39" t="s">
        <v>158</v>
      </c>
      <c r="O99" s="40">
        <v>2</v>
      </c>
      <c r="P99" s="40">
        <v>2</v>
      </c>
      <c r="Q99" s="25" t="str">
        <f>VLOOKUP(P99,Key!$E$2:$F$9,2,FALSE)</f>
        <v>Work</v>
      </c>
      <c r="R99" s="25" t="str">
        <f t="shared" si="3"/>
        <v>Work-Work</v>
      </c>
      <c r="S99" s="44">
        <v>20</v>
      </c>
      <c r="T99" s="44">
        <v>0.55000000000000004</v>
      </c>
      <c r="U99" s="40">
        <v>2</v>
      </c>
      <c r="V99" s="40"/>
      <c r="W99" s="44"/>
      <c r="X99" s="44"/>
      <c r="Y99" s="45" t="s">
        <v>160</v>
      </c>
      <c r="Z99" s="46">
        <v>0</v>
      </c>
      <c r="AA99" s="25">
        <f>VLOOKUP(F99,Zones!$A$2:$F$1587,6,FALSE)</f>
        <v>1020</v>
      </c>
      <c r="AB99" s="25">
        <f>VLOOKUP(L99,Zones!$A$2:$F$1587,6,FALSE)</f>
        <v>1147</v>
      </c>
    </row>
    <row r="100" spans="2:28">
      <c r="B100" s="37">
        <v>0.37638888888888888</v>
      </c>
      <c r="C100" s="37" t="s">
        <v>266</v>
      </c>
      <c r="D100" s="38">
        <v>4</v>
      </c>
      <c r="E100" s="39">
        <v>14</v>
      </c>
      <c r="F100" s="39" t="s">
        <v>159</v>
      </c>
      <c r="G100" s="40" t="s">
        <v>159</v>
      </c>
      <c r="H100" s="39" t="s">
        <v>158</v>
      </c>
      <c r="I100" s="40">
        <v>6</v>
      </c>
      <c r="J100" s="40">
        <v>2</v>
      </c>
      <c r="K100" s="25" t="str">
        <f>VLOOKUP(J100,Key!$E$2:$F$9,2,FALSE)</f>
        <v>Work</v>
      </c>
      <c r="L100" s="39" t="s">
        <v>157</v>
      </c>
      <c r="M100" s="40" t="s">
        <v>157</v>
      </c>
      <c r="N100" s="39" t="s">
        <v>158</v>
      </c>
      <c r="O100" s="40">
        <v>6</v>
      </c>
      <c r="P100" s="40">
        <v>2</v>
      </c>
      <c r="Q100" s="25" t="str">
        <f>VLOOKUP(P100,Key!$E$2:$F$9,2,FALSE)</f>
        <v>Work</v>
      </c>
      <c r="R100" s="25" t="str">
        <f t="shared" si="3"/>
        <v>Work-Work</v>
      </c>
      <c r="S100" s="44">
        <v>168</v>
      </c>
      <c r="T100" s="44">
        <v>2.8</v>
      </c>
      <c r="U100" s="40">
        <v>2</v>
      </c>
      <c r="V100" s="40"/>
      <c r="W100" s="44"/>
      <c r="X100" s="44"/>
      <c r="Y100" s="45" t="s">
        <v>171</v>
      </c>
      <c r="Z100" s="46">
        <v>0</v>
      </c>
      <c r="AA100" s="25">
        <f>VLOOKUP(F100,Zones!$A$2:$F$1587,6,FALSE)</f>
        <v>1020</v>
      </c>
      <c r="AB100" s="25">
        <f>VLOOKUP(L100,Zones!$A$2:$F$1587,6,FALSE)</f>
        <v>1352</v>
      </c>
    </row>
    <row r="101" spans="2:28">
      <c r="B101" s="37">
        <v>0.51944444444444449</v>
      </c>
      <c r="C101" s="37" t="s">
        <v>330</v>
      </c>
      <c r="D101" s="38">
        <v>3</v>
      </c>
      <c r="E101" s="39">
        <v>4</v>
      </c>
      <c r="F101" s="39" t="s">
        <v>159</v>
      </c>
      <c r="G101" s="40" t="s">
        <v>159</v>
      </c>
      <c r="H101" s="39" t="s">
        <v>158</v>
      </c>
      <c r="I101" s="40">
        <v>2</v>
      </c>
      <c r="J101" s="40">
        <v>2</v>
      </c>
      <c r="K101" s="25" t="str">
        <f>VLOOKUP(J101,Key!$E$2:$F$9,2,FALSE)</f>
        <v>Work</v>
      </c>
      <c r="L101" s="39" t="s">
        <v>195</v>
      </c>
      <c r="M101" s="40" t="s">
        <v>195</v>
      </c>
      <c r="N101" s="39" t="s">
        <v>158</v>
      </c>
      <c r="O101" s="40">
        <v>4</v>
      </c>
      <c r="P101" s="40">
        <v>2</v>
      </c>
      <c r="Q101" s="25" t="str">
        <f>VLOOKUP(P101,Key!$E$2:$F$9,2,FALSE)</f>
        <v>Work</v>
      </c>
      <c r="R101" s="25" t="str">
        <f t="shared" si="3"/>
        <v>Work-Work</v>
      </c>
      <c r="S101" s="44">
        <v>320</v>
      </c>
      <c r="T101" s="44">
        <v>7</v>
      </c>
      <c r="U101" s="40">
        <v>6</v>
      </c>
      <c r="V101" s="40"/>
      <c r="W101" s="44"/>
      <c r="X101" s="44"/>
      <c r="Y101" s="45" t="s">
        <v>160</v>
      </c>
      <c r="Z101" s="46">
        <v>0</v>
      </c>
      <c r="AA101" s="25">
        <f>VLOOKUP(F101,Zones!$A$2:$F$1587,6,FALSE)</f>
        <v>1020</v>
      </c>
      <c r="AB101" s="25">
        <f>VLOOKUP(L101,Zones!$A$2:$F$1587,6,FALSE)</f>
        <v>975</v>
      </c>
    </row>
    <row r="102" spans="2:28" ht="12" customHeight="1">
      <c r="B102" s="37">
        <v>0.64444444444444449</v>
      </c>
      <c r="C102" s="37" t="s">
        <v>267</v>
      </c>
      <c r="D102" s="38">
        <v>1</v>
      </c>
      <c r="E102" s="39">
        <v>2</v>
      </c>
      <c r="F102" s="39" t="s">
        <v>159</v>
      </c>
      <c r="G102" s="40" t="s">
        <v>159</v>
      </c>
      <c r="H102" s="39" t="s">
        <v>158</v>
      </c>
      <c r="I102" s="40">
        <v>7</v>
      </c>
      <c r="J102" s="40">
        <v>4</v>
      </c>
      <c r="K102" s="25" t="str">
        <f>VLOOKUP(J102,Key!$E$2:$F$9,2,FALSE)</f>
        <v>Commercial</v>
      </c>
      <c r="L102" s="39" t="s">
        <v>2050</v>
      </c>
      <c r="M102" s="40" t="s">
        <v>166</v>
      </c>
      <c r="N102" s="39" t="s">
        <v>158</v>
      </c>
      <c r="O102" s="40">
        <v>11</v>
      </c>
      <c r="P102" s="40">
        <v>4</v>
      </c>
      <c r="Q102" s="25" t="str">
        <f>VLOOKUP(P102,Key!$E$2:$F$9,2,FALSE)</f>
        <v>Commercial</v>
      </c>
      <c r="R102" s="25" t="str">
        <f t="shared" si="3"/>
        <v>Commercial-Commercial</v>
      </c>
      <c r="S102" s="44">
        <v>30</v>
      </c>
      <c r="T102" s="44">
        <v>0.5</v>
      </c>
      <c r="U102" s="40">
        <v>5</v>
      </c>
      <c r="V102" s="40">
        <v>10</v>
      </c>
      <c r="W102" s="44"/>
      <c r="X102" s="44">
        <v>0.5</v>
      </c>
      <c r="Y102" s="45" t="s">
        <v>160</v>
      </c>
      <c r="Z102" s="46">
        <v>1000</v>
      </c>
      <c r="AA102" s="25">
        <f>VLOOKUP(F102,Zones!$A$2:$F$1587,6,FALSE)</f>
        <v>1020</v>
      </c>
      <c r="AB102" s="25">
        <f>VLOOKUP(L102,Zones!$A$2:$F$1587,6,FALSE)</f>
        <v>1147</v>
      </c>
    </row>
    <row r="103" spans="2:28">
      <c r="B103" s="37">
        <v>0.64583333333333337</v>
      </c>
      <c r="C103" s="37" t="s">
        <v>268</v>
      </c>
      <c r="D103" s="38">
        <v>2</v>
      </c>
      <c r="E103" s="39">
        <v>1</v>
      </c>
      <c r="F103" s="39" t="s">
        <v>159</v>
      </c>
      <c r="G103" s="40" t="s">
        <v>159</v>
      </c>
      <c r="H103" s="39" t="s">
        <v>158</v>
      </c>
      <c r="I103" s="40">
        <v>2</v>
      </c>
      <c r="J103" s="40">
        <v>2</v>
      </c>
      <c r="K103" s="25" t="str">
        <f>VLOOKUP(J103,Key!$E$2:$F$9,2,FALSE)</f>
        <v>Work</v>
      </c>
      <c r="L103" s="39" t="s">
        <v>166</v>
      </c>
      <c r="M103" s="40" t="s">
        <v>166</v>
      </c>
      <c r="N103" s="39" t="s">
        <v>158</v>
      </c>
      <c r="O103" s="40">
        <v>1</v>
      </c>
      <c r="P103" s="40">
        <v>1</v>
      </c>
      <c r="Q103" s="25" t="str">
        <f>VLOOKUP(P103,Key!$E$2:$F$9,2,FALSE)</f>
        <v>Home</v>
      </c>
      <c r="R103" s="25" t="str">
        <f t="shared" si="3"/>
        <v>Work-Home</v>
      </c>
      <c r="S103" s="44"/>
      <c r="T103" s="44">
        <v>0.3</v>
      </c>
      <c r="U103" s="40">
        <v>5</v>
      </c>
      <c r="V103" s="40"/>
      <c r="W103" s="44"/>
      <c r="X103" s="44"/>
      <c r="Y103" s="45" t="s">
        <v>160</v>
      </c>
      <c r="Z103" s="46">
        <v>5000</v>
      </c>
      <c r="AA103" s="25">
        <f>VLOOKUP(F103,Zones!$A$2:$F$1587,6,FALSE)</f>
        <v>1020</v>
      </c>
      <c r="AB103" s="25">
        <f>VLOOKUP(L103,Zones!$A$2:$F$1587,6,FALSE)</f>
        <v>1147</v>
      </c>
    </row>
    <row r="104" spans="2:28">
      <c r="B104" s="37">
        <v>0.38541666666666669</v>
      </c>
      <c r="C104" s="37" t="s">
        <v>272</v>
      </c>
      <c r="D104" s="38">
        <v>11</v>
      </c>
      <c r="E104" s="39">
        <v>2</v>
      </c>
      <c r="F104" s="39" t="s">
        <v>166</v>
      </c>
      <c r="G104" s="40" t="s">
        <v>166</v>
      </c>
      <c r="H104" s="39" t="s">
        <v>158</v>
      </c>
      <c r="I104" s="40">
        <v>8</v>
      </c>
      <c r="J104" s="40">
        <v>2</v>
      </c>
      <c r="K104" s="25" t="str">
        <f>VLOOKUP(J104,Key!$E$2:$F$9,2,FALSE)</f>
        <v>Work</v>
      </c>
      <c r="L104" s="39" t="s">
        <v>159</v>
      </c>
      <c r="M104" s="40" t="s">
        <v>159</v>
      </c>
      <c r="N104" s="39" t="s">
        <v>158</v>
      </c>
      <c r="O104" s="40">
        <v>1</v>
      </c>
      <c r="P104" s="40">
        <v>1</v>
      </c>
      <c r="Q104" s="25" t="str">
        <f>VLOOKUP(P104,Key!$E$2:$F$9,2,FALSE)</f>
        <v>Home</v>
      </c>
      <c r="R104" s="25" t="str">
        <f>K104&amp;"-"&amp;Q104</f>
        <v>Work-Home</v>
      </c>
      <c r="S104" s="44">
        <v>46</v>
      </c>
      <c r="T104" s="44">
        <v>4</v>
      </c>
      <c r="U104" s="40">
        <v>3</v>
      </c>
      <c r="V104" s="40"/>
      <c r="W104" s="44"/>
      <c r="X104" s="44"/>
      <c r="Y104" s="45" t="s">
        <v>160</v>
      </c>
      <c r="Z104" s="46">
        <v>0</v>
      </c>
      <c r="AA104" s="25">
        <f>VLOOKUP(F104,Zones!$A$2:$F$1587,6,FALSE)</f>
        <v>1147</v>
      </c>
      <c r="AB104" s="25">
        <f>VLOOKUP(L104,Zones!$A$2:$F$1587,6,FALSE)</f>
        <v>1020</v>
      </c>
    </row>
    <row r="105" spans="2:28">
      <c r="B105" s="37">
        <v>0.40208333333333335</v>
      </c>
      <c r="C105" s="37" t="s">
        <v>274</v>
      </c>
      <c r="D105" s="38">
        <v>11</v>
      </c>
      <c r="E105" s="39">
        <v>2</v>
      </c>
      <c r="F105" s="39" t="s">
        <v>157</v>
      </c>
      <c r="G105" s="40" t="s">
        <v>157</v>
      </c>
      <c r="H105" s="39" t="s">
        <v>158</v>
      </c>
      <c r="I105" s="40">
        <v>8</v>
      </c>
      <c r="J105" s="40">
        <v>2</v>
      </c>
      <c r="K105" s="25" t="str">
        <f>VLOOKUP(J105,Key!$E$2:$F$9,2,FALSE)</f>
        <v>Work</v>
      </c>
      <c r="L105" s="39" t="s">
        <v>159</v>
      </c>
      <c r="M105" s="40" t="s">
        <v>159</v>
      </c>
      <c r="N105" s="39" t="s">
        <v>158</v>
      </c>
      <c r="O105" s="40">
        <v>1</v>
      </c>
      <c r="P105" s="40">
        <v>1</v>
      </c>
      <c r="Q105" s="25" t="str">
        <f>VLOOKUP(P105,Key!$E$2:$F$9,2,FALSE)</f>
        <v>Home</v>
      </c>
      <c r="R105" s="25" t="str">
        <f t="shared" ref="R105:R131" si="4">K105&amp;"-"&amp;Q105</f>
        <v>Work-Home</v>
      </c>
      <c r="S105" s="44">
        <v>30</v>
      </c>
      <c r="T105" s="44">
        <v>1.5</v>
      </c>
      <c r="U105" s="40">
        <v>3</v>
      </c>
      <c r="V105" s="40"/>
      <c r="W105" s="44"/>
      <c r="X105" s="44"/>
      <c r="Y105" s="45" t="s">
        <v>160</v>
      </c>
      <c r="Z105" s="46">
        <v>0</v>
      </c>
      <c r="AA105" s="25">
        <f>VLOOKUP(F105,Zones!$A$2:$F$1587,6,FALSE)</f>
        <v>1352</v>
      </c>
      <c r="AB105" s="25">
        <f>VLOOKUP(L105,Zones!$A$2:$F$1587,6,FALSE)</f>
        <v>1020</v>
      </c>
    </row>
    <row r="106" spans="2:28">
      <c r="B106" s="37">
        <v>0.48749999999999999</v>
      </c>
      <c r="C106" s="37" t="s">
        <v>277</v>
      </c>
      <c r="D106" s="38">
        <v>4</v>
      </c>
      <c r="E106" s="39">
        <v>15</v>
      </c>
      <c r="F106" s="39" t="s">
        <v>157</v>
      </c>
      <c r="G106" s="40" t="s">
        <v>157</v>
      </c>
      <c r="H106" s="39" t="s">
        <v>158</v>
      </c>
      <c r="I106" s="40">
        <v>2</v>
      </c>
      <c r="J106" s="40">
        <v>2</v>
      </c>
      <c r="K106" s="25" t="str">
        <f>VLOOKUP(J106,Key!$E$2:$F$9,2,FALSE)</f>
        <v>Work</v>
      </c>
      <c r="L106" s="39" t="s">
        <v>159</v>
      </c>
      <c r="M106" s="40" t="s">
        <v>159</v>
      </c>
      <c r="N106" s="39" t="s">
        <v>158</v>
      </c>
      <c r="O106" s="40">
        <v>1</v>
      </c>
      <c r="P106" s="40">
        <v>1</v>
      </c>
      <c r="Q106" s="25" t="str">
        <f>VLOOKUP(P106,Key!$E$2:$F$9,2,FALSE)</f>
        <v>Home</v>
      </c>
      <c r="R106" s="25" t="str">
        <f t="shared" si="4"/>
        <v>Work-Home</v>
      </c>
      <c r="S106" s="44">
        <v>45</v>
      </c>
      <c r="T106" s="44">
        <v>3</v>
      </c>
      <c r="U106" s="40">
        <v>3</v>
      </c>
      <c r="V106" s="40"/>
      <c r="W106" s="44"/>
      <c r="X106" s="44"/>
      <c r="Y106" s="45" t="s">
        <v>160</v>
      </c>
      <c r="Z106" s="46">
        <v>0</v>
      </c>
      <c r="AA106" s="25">
        <f>VLOOKUP(F106,Zones!$A$2:$F$1587,6,FALSE)</f>
        <v>1352</v>
      </c>
      <c r="AB106" s="25">
        <f>VLOOKUP(L106,Zones!$A$2:$F$1587,6,FALSE)</f>
        <v>1020</v>
      </c>
    </row>
    <row r="107" spans="2:28">
      <c r="B107" s="37">
        <v>0.82291666666666663</v>
      </c>
      <c r="C107" s="37" t="s">
        <v>279</v>
      </c>
      <c r="D107" s="38">
        <v>1</v>
      </c>
      <c r="E107" s="39">
        <v>3</v>
      </c>
      <c r="F107" s="39" t="s">
        <v>157</v>
      </c>
      <c r="G107" s="40" t="s">
        <v>157</v>
      </c>
      <c r="H107" s="39" t="s">
        <v>158</v>
      </c>
      <c r="I107" s="40">
        <v>1</v>
      </c>
      <c r="J107" s="40">
        <v>1</v>
      </c>
      <c r="K107" s="25" t="str">
        <f>VLOOKUP(J107,Key!$E$2:$F$9,2,FALSE)</f>
        <v>Home</v>
      </c>
      <c r="L107" s="39" t="s">
        <v>159</v>
      </c>
      <c r="M107" s="40" t="s">
        <v>159</v>
      </c>
      <c r="N107" s="39" t="s">
        <v>158</v>
      </c>
      <c r="O107" s="40">
        <v>5</v>
      </c>
      <c r="P107" s="40">
        <v>7</v>
      </c>
      <c r="Q107" s="25" t="str">
        <f>VLOOKUP(P107,Key!$E$2:$F$9,2,FALSE)</f>
        <v>Hospital</v>
      </c>
      <c r="R107" s="25" t="str">
        <f t="shared" si="4"/>
        <v>Home-Hospital</v>
      </c>
      <c r="S107" s="44">
        <v>3</v>
      </c>
      <c r="T107" s="44">
        <v>1</v>
      </c>
      <c r="U107" s="40">
        <v>6</v>
      </c>
      <c r="V107" s="40"/>
      <c r="W107" s="44"/>
      <c r="X107" s="44"/>
      <c r="Y107" s="45" t="s">
        <v>160</v>
      </c>
      <c r="Z107" s="46">
        <v>0</v>
      </c>
      <c r="AA107" s="25">
        <f>VLOOKUP(F107,Zones!$A$2:$F$1587,6,FALSE)</f>
        <v>1352</v>
      </c>
      <c r="AB107" s="25">
        <f>VLOOKUP(L107,Zones!$A$2:$F$1587,6,FALSE)</f>
        <v>1020</v>
      </c>
    </row>
    <row r="108" spans="2:28">
      <c r="B108" s="37">
        <v>0.83263888888888893</v>
      </c>
      <c r="C108" s="37" t="s">
        <v>280</v>
      </c>
      <c r="D108" s="38">
        <v>4</v>
      </c>
      <c r="E108" s="39">
        <v>12</v>
      </c>
      <c r="F108" s="39" t="s">
        <v>157</v>
      </c>
      <c r="G108" s="40" t="s">
        <v>157</v>
      </c>
      <c r="H108" s="39" t="s">
        <v>158</v>
      </c>
      <c r="I108" s="40">
        <v>6</v>
      </c>
      <c r="J108" s="40">
        <v>2</v>
      </c>
      <c r="K108" s="25" t="str">
        <f>VLOOKUP(J108,Key!$E$2:$F$9,2,FALSE)</f>
        <v>Work</v>
      </c>
      <c r="L108" s="39" t="s">
        <v>159</v>
      </c>
      <c r="M108" s="40" t="s">
        <v>159</v>
      </c>
      <c r="N108" s="39" t="s">
        <v>158</v>
      </c>
      <c r="O108" s="40">
        <v>6</v>
      </c>
      <c r="P108" s="40">
        <v>2</v>
      </c>
      <c r="Q108" s="25" t="str">
        <f>VLOOKUP(P108,Key!$E$2:$F$9,2,FALSE)</f>
        <v>Work</v>
      </c>
      <c r="R108" s="25" t="str">
        <f t="shared" si="4"/>
        <v>Work-Work</v>
      </c>
      <c r="S108" s="44"/>
      <c r="T108" s="44">
        <v>2</v>
      </c>
      <c r="U108" s="40">
        <v>3</v>
      </c>
      <c r="V108" s="40"/>
      <c r="W108" s="44"/>
      <c r="X108" s="44"/>
      <c r="Y108" s="45" t="s">
        <v>160</v>
      </c>
      <c r="Z108" s="46">
        <v>0</v>
      </c>
      <c r="AA108" s="25">
        <f>VLOOKUP(F108,Zones!$A$2:$F$1587,6,FALSE)</f>
        <v>1352</v>
      </c>
      <c r="AB108" s="25">
        <f>VLOOKUP(L108,Zones!$A$2:$F$1587,6,FALSE)</f>
        <v>1020</v>
      </c>
    </row>
    <row r="109" spans="2:28">
      <c r="B109" s="37">
        <v>0.35972222222222222</v>
      </c>
      <c r="C109" s="37" t="s">
        <v>281</v>
      </c>
      <c r="D109" s="38">
        <v>4</v>
      </c>
      <c r="E109" s="39">
        <v>14</v>
      </c>
      <c r="F109" s="39" t="s">
        <v>210</v>
      </c>
      <c r="G109" s="40"/>
      <c r="H109" s="39" t="s">
        <v>158</v>
      </c>
      <c r="I109" s="40">
        <v>1</v>
      </c>
      <c r="J109" s="40">
        <v>1</v>
      </c>
      <c r="K109" s="25" t="str">
        <f>VLOOKUP(J109,Key!$E$2:$F$9,2,FALSE)</f>
        <v>Home</v>
      </c>
      <c r="L109" s="39" t="s">
        <v>159</v>
      </c>
      <c r="M109" s="40" t="s">
        <v>159</v>
      </c>
      <c r="N109" s="39" t="s">
        <v>158</v>
      </c>
      <c r="O109" s="40">
        <v>2</v>
      </c>
      <c r="P109" s="40">
        <v>2</v>
      </c>
      <c r="Q109" s="25" t="str">
        <f>VLOOKUP(P109,Key!$E$2:$F$9,2,FALSE)</f>
        <v>Work</v>
      </c>
      <c r="R109" s="25" t="str">
        <f t="shared" si="4"/>
        <v>Home-Work</v>
      </c>
      <c r="S109" s="44">
        <v>33</v>
      </c>
      <c r="T109" s="44">
        <v>3</v>
      </c>
      <c r="U109" s="40">
        <v>4</v>
      </c>
      <c r="V109" s="40"/>
      <c r="W109" s="44"/>
      <c r="X109" s="44"/>
      <c r="Y109" s="45" t="s">
        <v>160</v>
      </c>
      <c r="Z109" s="46">
        <v>0</v>
      </c>
      <c r="AA109" s="25">
        <f>VLOOKUP(F109,Zones!$A$2:$F$1587,6,FALSE)</f>
        <v>1352</v>
      </c>
      <c r="AB109" s="25">
        <f>VLOOKUP(L109,Zones!$A$2:$F$1587,6,FALSE)</f>
        <v>1020</v>
      </c>
    </row>
    <row r="110" spans="2:28">
      <c r="B110" s="37">
        <v>0.35416666666666669</v>
      </c>
      <c r="C110" s="37" t="s">
        <v>282</v>
      </c>
      <c r="D110" s="38">
        <v>1</v>
      </c>
      <c r="E110" s="39">
        <v>4</v>
      </c>
      <c r="F110" s="39" t="s">
        <v>157</v>
      </c>
      <c r="G110" s="40" t="s">
        <v>157</v>
      </c>
      <c r="H110" s="39" t="s">
        <v>158</v>
      </c>
      <c r="I110" s="40">
        <v>2</v>
      </c>
      <c r="J110" s="40">
        <v>2</v>
      </c>
      <c r="K110" s="25" t="str">
        <f>VLOOKUP(J110,Key!$E$2:$F$9,2,FALSE)</f>
        <v>Work</v>
      </c>
      <c r="L110" s="39" t="s">
        <v>159</v>
      </c>
      <c r="M110" s="40" t="s">
        <v>159</v>
      </c>
      <c r="N110" s="39" t="s">
        <v>158</v>
      </c>
      <c r="O110" s="40">
        <v>1</v>
      </c>
      <c r="P110" s="40">
        <v>1</v>
      </c>
      <c r="Q110" s="25" t="str">
        <f>VLOOKUP(P110,Key!$E$2:$F$9,2,FALSE)</f>
        <v>Home</v>
      </c>
      <c r="R110" s="25" t="str">
        <f t="shared" si="4"/>
        <v>Work-Home</v>
      </c>
      <c r="S110" s="44">
        <v>30</v>
      </c>
      <c r="T110" s="44">
        <v>2</v>
      </c>
      <c r="U110" s="40">
        <v>2</v>
      </c>
      <c r="V110" s="40"/>
      <c r="W110" s="44"/>
      <c r="X110" s="44"/>
      <c r="Y110" s="45" t="s">
        <v>160</v>
      </c>
      <c r="Z110" s="46">
        <v>0</v>
      </c>
      <c r="AA110" s="25">
        <f>VLOOKUP(F110,Zones!$A$2:$F$1587,6,FALSE)</f>
        <v>1352</v>
      </c>
      <c r="AB110" s="25">
        <f>VLOOKUP(L110,Zones!$A$2:$F$1587,6,FALSE)</f>
        <v>1020</v>
      </c>
    </row>
    <row r="111" spans="2:28">
      <c r="B111" s="37">
        <v>0.52500000000000002</v>
      </c>
      <c r="C111" s="37" t="s">
        <v>283</v>
      </c>
      <c r="D111" s="38">
        <v>11</v>
      </c>
      <c r="E111" s="39">
        <v>1</v>
      </c>
      <c r="F111" s="39" t="s">
        <v>162</v>
      </c>
      <c r="G111" s="40" t="s">
        <v>166</v>
      </c>
      <c r="H111" s="39" t="s">
        <v>158</v>
      </c>
      <c r="I111" s="40">
        <v>1</v>
      </c>
      <c r="J111" s="40">
        <v>1</v>
      </c>
      <c r="K111" s="25" t="str">
        <f>VLOOKUP(J111,Key!$E$2:$F$9,2,FALSE)</f>
        <v>Home</v>
      </c>
      <c r="L111" s="39" t="s">
        <v>159</v>
      </c>
      <c r="M111" s="40" t="s">
        <v>159</v>
      </c>
      <c r="N111" s="39" t="s">
        <v>158</v>
      </c>
      <c r="O111" s="40">
        <v>8</v>
      </c>
      <c r="P111" s="40">
        <v>2</v>
      </c>
      <c r="Q111" s="25" t="str">
        <f>VLOOKUP(P111,Key!$E$2:$F$9,2,FALSE)</f>
        <v>Work</v>
      </c>
      <c r="R111" s="25" t="str">
        <f t="shared" si="4"/>
        <v>Home-Work</v>
      </c>
      <c r="S111" s="44">
        <v>10</v>
      </c>
      <c r="T111" s="44">
        <v>0.2</v>
      </c>
      <c r="U111" s="40">
        <v>2</v>
      </c>
      <c r="V111" s="40"/>
      <c r="W111" s="44"/>
      <c r="X111" s="44"/>
      <c r="Y111" s="45" t="s">
        <v>160</v>
      </c>
      <c r="Z111" s="46">
        <v>0</v>
      </c>
      <c r="AA111" s="25">
        <f>VLOOKUP(F111,Zones!$A$2:$F$1587,6,FALSE)</f>
        <v>1020</v>
      </c>
      <c r="AB111" s="25">
        <f>VLOOKUP(L111,Zones!$A$2:$F$1587,6,FALSE)</f>
        <v>1020</v>
      </c>
    </row>
    <row r="112" spans="2:28">
      <c r="B112" s="37">
        <v>0.59444444444444444</v>
      </c>
      <c r="C112" s="37" t="s">
        <v>284</v>
      </c>
      <c r="D112" s="38">
        <v>11</v>
      </c>
      <c r="E112" s="39">
        <v>2</v>
      </c>
      <c r="F112" s="39" t="s">
        <v>2051</v>
      </c>
      <c r="G112" s="40" t="s">
        <v>157</v>
      </c>
      <c r="H112" s="39" t="s">
        <v>158</v>
      </c>
      <c r="I112" s="40">
        <v>8</v>
      </c>
      <c r="J112" s="40">
        <v>2</v>
      </c>
      <c r="K112" s="25" t="str">
        <f>VLOOKUP(J112,Key!$E$2:$F$9,2,FALSE)</f>
        <v>Work</v>
      </c>
      <c r="L112" s="39" t="s">
        <v>159</v>
      </c>
      <c r="M112" s="40" t="s">
        <v>159</v>
      </c>
      <c r="N112" s="39" t="s">
        <v>158</v>
      </c>
      <c r="O112" s="40">
        <v>8</v>
      </c>
      <c r="P112" s="40">
        <v>2</v>
      </c>
      <c r="Q112" s="25" t="str">
        <f>VLOOKUP(P112,Key!$E$2:$F$9,2,FALSE)</f>
        <v>Work</v>
      </c>
      <c r="R112" s="25" t="str">
        <f t="shared" si="4"/>
        <v>Work-Work</v>
      </c>
      <c r="S112" s="44">
        <v>10</v>
      </c>
      <c r="T112" s="44">
        <v>0.2</v>
      </c>
      <c r="U112" s="40"/>
      <c r="V112" s="40"/>
      <c r="W112" s="44"/>
      <c r="X112" s="44"/>
      <c r="Y112" s="45"/>
      <c r="Z112" s="46">
        <v>0</v>
      </c>
      <c r="AA112" s="25">
        <f>VLOOKUP(F112,Zones!$A$2:$F$1587,6,FALSE)</f>
        <v>1147</v>
      </c>
      <c r="AB112" s="25">
        <f>VLOOKUP(L112,Zones!$A$2:$F$1587,6,FALSE)</f>
        <v>1020</v>
      </c>
    </row>
    <row r="113" spans="2:28">
      <c r="B113" s="37">
        <v>0.58472222222222225</v>
      </c>
      <c r="C113" s="37" t="s">
        <v>286</v>
      </c>
      <c r="D113" s="38">
        <v>4</v>
      </c>
      <c r="E113" s="39">
        <v>16</v>
      </c>
      <c r="F113" s="39" t="s">
        <v>162</v>
      </c>
      <c r="G113" s="40" t="s">
        <v>166</v>
      </c>
      <c r="H113" s="39" t="s">
        <v>158</v>
      </c>
      <c r="I113" s="40">
        <v>6</v>
      </c>
      <c r="J113" s="40">
        <v>2</v>
      </c>
      <c r="K113" s="25" t="str">
        <f>VLOOKUP(J113,Key!$E$2:$F$9,2,FALSE)</f>
        <v>Work</v>
      </c>
      <c r="L113" s="39" t="s">
        <v>159</v>
      </c>
      <c r="M113" s="40" t="s">
        <v>159</v>
      </c>
      <c r="N113" s="39" t="s">
        <v>158</v>
      </c>
      <c r="O113" s="40">
        <v>6</v>
      </c>
      <c r="P113" s="40">
        <v>2</v>
      </c>
      <c r="Q113" s="25" t="str">
        <f>VLOOKUP(P113,Key!$E$2:$F$9,2,FALSE)</f>
        <v>Work</v>
      </c>
      <c r="R113" s="25" t="str">
        <f t="shared" si="4"/>
        <v>Work-Work</v>
      </c>
      <c r="S113" s="44">
        <v>11</v>
      </c>
      <c r="T113" s="44">
        <v>0.2</v>
      </c>
      <c r="U113" s="40">
        <v>2</v>
      </c>
      <c r="V113" s="40"/>
      <c r="W113" s="44"/>
      <c r="X113" s="44"/>
      <c r="Y113" s="45" t="s">
        <v>160</v>
      </c>
      <c r="Z113" s="46">
        <v>5000</v>
      </c>
      <c r="AA113" s="25">
        <f>VLOOKUP(F113,Zones!$A$2:$F$1587,6,FALSE)</f>
        <v>1020</v>
      </c>
      <c r="AB113" s="25">
        <f>VLOOKUP(L113,Zones!$A$2:$F$1587,6,FALSE)</f>
        <v>1020</v>
      </c>
    </row>
    <row r="114" spans="2:28">
      <c r="B114" s="37">
        <v>0.48125000000000001</v>
      </c>
      <c r="C114" s="37" t="s">
        <v>287</v>
      </c>
      <c r="D114" s="38">
        <v>9</v>
      </c>
      <c r="E114" s="39">
        <v>1</v>
      </c>
      <c r="F114" s="39" t="s">
        <v>170</v>
      </c>
      <c r="G114" s="40" t="s">
        <v>170</v>
      </c>
      <c r="H114" s="39" t="s">
        <v>158</v>
      </c>
      <c r="I114" s="40">
        <v>16</v>
      </c>
      <c r="J114" s="40">
        <v>8</v>
      </c>
      <c r="K114" s="25" t="str">
        <f>VLOOKUP(J114,Key!$E$2:$F$9,2,FALSE)</f>
        <v>Others</v>
      </c>
      <c r="L114" s="39" t="s">
        <v>159</v>
      </c>
      <c r="M114" s="40" t="s">
        <v>159</v>
      </c>
      <c r="N114" s="39" t="s">
        <v>158</v>
      </c>
      <c r="O114" s="40">
        <v>16</v>
      </c>
      <c r="P114" s="40">
        <v>8</v>
      </c>
      <c r="Q114" s="25" t="str">
        <f>VLOOKUP(P114,Key!$E$2:$F$9,2,FALSE)</f>
        <v>Others</v>
      </c>
      <c r="R114" s="25" t="str">
        <f t="shared" si="4"/>
        <v>Others-Others</v>
      </c>
      <c r="S114" s="44"/>
      <c r="T114" s="44"/>
      <c r="U114" s="40">
        <v>2</v>
      </c>
      <c r="V114" s="40"/>
      <c r="W114" s="44"/>
      <c r="X114" s="44"/>
      <c r="Y114" s="45" t="s">
        <v>160</v>
      </c>
      <c r="Z114" s="46">
        <v>0</v>
      </c>
      <c r="AA114" s="25">
        <f>VLOOKUP(F114,Zones!$A$2:$F$1587,6,FALSE)</f>
        <v>521</v>
      </c>
      <c r="AB114" s="25">
        <f>VLOOKUP(L114,Zones!$A$2:$F$1587,6,FALSE)</f>
        <v>1020</v>
      </c>
    </row>
    <row r="115" spans="2:28">
      <c r="B115" s="37">
        <v>0.49305555555555558</v>
      </c>
      <c r="C115" s="37" t="s">
        <v>178</v>
      </c>
      <c r="D115" s="38">
        <v>2</v>
      </c>
      <c r="E115" s="39">
        <v>15</v>
      </c>
      <c r="F115" s="39" t="s">
        <v>157</v>
      </c>
      <c r="G115" s="40" t="s">
        <v>157</v>
      </c>
      <c r="H115" s="39" t="s">
        <v>158</v>
      </c>
      <c r="I115" s="40">
        <v>6</v>
      </c>
      <c r="J115" s="40">
        <v>2</v>
      </c>
      <c r="K115" s="25" t="str">
        <f>VLOOKUP(J115,Key!$E$2:$F$9,2,FALSE)</f>
        <v>Work</v>
      </c>
      <c r="L115" s="39" t="s">
        <v>159</v>
      </c>
      <c r="M115" s="40" t="s">
        <v>159</v>
      </c>
      <c r="N115" s="39" t="s">
        <v>158</v>
      </c>
      <c r="O115" s="40">
        <v>16</v>
      </c>
      <c r="P115" s="40">
        <v>8</v>
      </c>
      <c r="Q115" s="25" t="str">
        <f>VLOOKUP(P115,Key!$E$2:$F$9,2,FALSE)</f>
        <v>Others</v>
      </c>
      <c r="R115" s="25" t="str">
        <f t="shared" si="4"/>
        <v>Work-Others</v>
      </c>
      <c r="S115" s="44"/>
      <c r="T115" s="44"/>
      <c r="U115" s="40"/>
      <c r="V115" s="40"/>
      <c r="W115" s="44"/>
      <c r="X115" s="44"/>
      <c r="Y115" s="45" t="s">
        <v>160</v>
      </c>
      <c r="Z115" s="46">
        <v>5000</v>
      </c>
      <c r="AA115" s="25">
        <f>VLOOKUP(F115,Zones!$A$2:$F$1587,6,FALSE)</f>
        <v>1352</v>
      </c>
      <c r="AB115" s="25">
        <f>VLOOKUP(L115,Zones!$A$2:$F$1587,6,FALSE)</f>
        <v>1020</v>
      </c>
    </row>
    <row r="116" spans="2:28">
      <c r="B116" s="37">
        <v>0.4861111111111111</v>
      </c>
      <c r="C116" s="37" t="s">
        <v>288</v>
      </c>
      <c r="D116" s="38">
        <v>9</v>
      </c>
      <c r="E116" s="39">
        <v>2</v>
      </c>
      <c r="F116" s="39" t="s">
        <v>212</v>
      </c>
      <c r="G116" s="40" t="s">
        <v>212</v>
      </c>
      <c r="H116" s="39" t="s">
        <v>158</v>
      </c>
      <c r="I116" s="40">
        <v>3</v>
      </c>
      <c r="J116" s="40">
        <v>1</v>
      </c>
      <c r="K116" s="25" t="str">
        <f>VLOOKUP(J116,Key!$E$2:$F$9,2,FALSE)</f>
        <v>Home</v>
      </c>
      <c r="L116" s="39" t="s">
        <v>263</v>
      </c>
      <c r="M116" s="40" t="s">
        <v>263</v>
      </c>
      <c r="N116" s="39" t="s">
        <v>158</v>
      </c>
      <c r="O116" s="40">
        <v>10</v>
      </c>
      <c r="P116" s="40">
        <v>2</v>
      </c>
      <c r="Q116" s="25" t="str">
        <f>VLOOKUP(P116,Key!$E$2:$F$9,2,FALSE)</f>
        <v>Work</v>
      </c>
      <c r="R116" s="25" t="str">
        <f t="shared" si="4"/>
        <v>Home-Work</v>
      </c>
      <c r="S116" s="44">
        <v>42</v>
      </c>
      <c r="T116" s="44">
        <v>0.5</v>
      </c>
      <c r="U116" s="40">
        <v>2</v>
      </c>
      <c r="V116" s="40"/>
      <c r="W116" s="44"/>
      <c r="X116" s="44"/>
      <c r="Y116" s="45" t="s">
        <v>171</v>
      </c>
      <c r="Z116" s="46">
        <v>0</v>
      </c>
      <c r="AA116" s="25">
        <f>VLOOKUP(F116,Zones!$A$2:$F$1587,6,FALSE)</f>
        <v>1382</v>
      </c>
      <c r="AB116" s="25">
        <f>VLOOKUP(L116,Zones!$A$2:$F$1587,6,FALSE)</f>
        <v>53</v>
      </c>
    </row>
    <row r="117" spans="2:28">
      <c r="B117" s="37">
        <v>0.45277777777777778</v>
      </c>
      <c r="C117" s="37" t="s">
        <v>289</v>
      </c>
      <c r="D117" s="38">
        <v>3</v>
      </c>
      <c r="E117" s="39">
        <v>1</v>
      </c>
      <c r="F117" s="39" t="s">
        <v>166</v>
      </c>
      <c r="G117" s="40" t="s">
        <v>166</v>
      </c>
      <c r="H117" s="39" t="s">
        <v>158</v>
      </c>
      <c r="I117" s="40">
        <v>2</v>
      </c>
      <c r="J117" s="40">
        <v>2</v>
      </c>
      <c r="K117" s="25" t="str">
        <f>VLOOKUP(J117,Key!$E$2:$F$9,2,FALSE)</f>
        <v>Work</v>
      </c>
      <c r="L117" s="39" t="s">
        <v>159</v>
      </c>
      <c r="M117" s="40" t="s">
        <v>159</v>
      </c>
      <c r="N117" s="39" t="s">
        <v>158</v>
      </c>
      <c r="O117" s="40">
        <v>2</v>
      </c>
      <c r="P117" s="40">
        <v>2</v>
      </c>
      <c r="Q117" s="25" t="str">
        <f>VLOOKUP(P117,Key!$E$2:$F$9,2,FALSE)</f>
        <v>Work</v>
      </c>
      <c r="R117" s="25" t="str">
        <f t="shared" si="4"/>
        <v>Work-Work</v>
      </c>
      <c r="S117" s="44">
        <v>10</v>
      </c>
      <c r="T117" s="44">
        <v>0.2</v>
      </c>
      <c r="U117" s="40">
        <v>2</v>
      </c>
      <c r="V117" s="40"/>
      <c r="W117" s="44"/>
      <c r="X117" s="44"/>
      <c r="Y117" s="45"/>
      <c r="Z117" s="46">
        <v>0</v>
      </c>
      <c r="AA117" s="25">
        <f>VLOOKUP(F117,Zones!$A$2:$F$1587,6,FALSE)</f>
        <v>1147</v>
      </c>
      <c r="AB117" s="25">
        <f>VLOOKUP(L117,Zones!$A$2:$F$1587,6,FALSE)</f>
        <v>1020</v>
      </c>
    </row>
    <row r="118" spans="2:28">
      <c r="B118" s="37">
        <v>0.4597222222222222</v>
      </c>
      <c r="C118" s="37" t="s">
        <v>291</v>
      </c>
      <c r="D118" s="38">
        <v>7</v>
      </c>
      <c r="E118" s="39">
        <v>2</v>
      </c>
      <c r="F118" s="39" t="s">
        <v>166</v>
      </c>
      <c r="G118" s="40" t="s">
        <v>166</v>
      </c>
      <c r="H118" s="39" t="s">
        <v>158</v>
      </c>
      <c r="I118" s="40">
        <v>1</v>
      </c>
      <c r="J118" s="40">
        <v>1</v>
      </c>
      <c r="K118" s="25" t="str">
        <f>VLOOKUP(J118,Key!$E$2:$F$9,2,FALSE)</f>
        <v>Home</v>
      </c>
      <c r="L118" s="39" t="s">
        <v>159</v>
      </c>
      <c r="M118" s="40" t="s">
        <v>159</v>
      </c>
      <c r="N118" s="39" t="s">
        <v>158</v>
      </c>
      <c r="O118" s="40">
        <v>2</v>
      </c>
      <c r="P118" s="40">
        <v>2</v>
      </c>
      <c r="Q118" s="25" t="str">
        <f>VLOOKUP(P118,Key!$E$2:$F$9,2,FALSE)</f>
        <v>Work</v>
      </c>
      <c r="R118" s="25" t="str">
        <f t="shared" si="4"/>
        <v>Home-Work</v>
      </c>
      <c r="S118" s="44"/>
      <c r="T118" s="44">
        <v>0.5</v>
      </c>
      <c r="U118" s="40">
        <v>2</v>
      </c>
      <c r="V118" s="40"/>
      <c r="W118" s="44"/>
      <c r="X118" s="44"/>
      <c r="Y118" s="45" t="s">
        <v>160</v>
      </c>
      <c r="Z118" s="46">
        <v>0</v>
      </c>
      <c r="AA118" s="25">
        <f>VLOOKUP(F118,Zones!$A$2:$F$1587,6,FALSE)</f>
        <v>1147</v>
      </c>
      <c r="AB118" s="25">
        <f>VLOOKUP(L118,Zones!$A$2:$F$1587,6,FALSE)</f>
        <v>1020</v>
      </c>
    </row>
    <row r="119" spans="2:28">
      <c r="B119" s="37">
        <v>0.4826388888888889</v>
      </c>
      <c r="C119" s="37" t="s">
        <v>292</v>
      </c>
      <c r="D119" s="38">
        <v>2</v>
      </c>
      <c r="E119" s="39">
        <v>2</v>
      </c>
      <c r="F119" s="39" t="s">
        <v>162</v>
      </c>
      <c r="G119" s="40" t="s">
        <v>166</v>
      </c>
      <c r="H119" s="39" t="s">
        <v>158</v>
      </c>
      <c r="I119" s="40">
        <v>1</v>
      </c>
      <c r="J119" s="40">
        <v>1</v>
      </c>
      <c r="K119" s="25" t="str">
        <f>VLOOKUP(J119,Key!$E$2:$F$9,2,FALSE)</f>
        <v>Home</v>
      </c>
      <c r="L119" s="39" t="s">
        <v>159</v>
      </c>
      <c r="M119" s="40" t="s">
        <v>159</v>
      </c>
      <c r="N119" s="39" t="s">
        <v>158</v>
      </c>
      <c r="O119" s="40">
        <v>2</v>
      </c>
      <c r="P119" s="40">
        <v>2</v>
      </c>
      <c r="Q119" s="25" t="str">
        <f>VLOOKUP(P119,Key!$E$2:$F$9,2,FALSE)</f>
        <v>Work</v>
      </c>
      <c r="R119" s="25" t="str">
        <f t="shared" si="4"/>
        <v>Home-Work</v>
      </c>
      <c r="S119" s="44"/>
      <c r="T119" s="44"/>
      <c r="U119" s="40">
        <v>2</v>
      </c>
      <c r="V119" s="40"/>
      <c r="W119" s="44"/>
      <c r="X119" s="44"/>
      <c r="Y119" s="45" t="s">
        <v>160</v>
      </c>
      <c r="Z119" s="46">
        <v>0</v>
      </c>
      <c r="AA119" s="25">
        <f>VLOOKUP(F119,Zones!$A$2:$F$1587,6,FALSE)</f>
        <v>1020</v>
      </c>
      <c r="AB119" s="25">
        <f>VLOOKUP(L119,Zones!$A$2:$F$1587,6,FALSE)</f>
        <v>1020</v>
      </c>
    </row>
    <row r="120" spans="2:28">
      <c r="B120" s="37">
        <v>0.4513888888888889</v>
      </c>
      <c r="C120" s="37" t="s">
        <v>293</v>
      </c>
      <c r="D120" s="38">
        <v>11</v>
      </c>
      <c r="E120" s="39">
        <v>3</v>
      </c>
      <c r="F120" s="39" t="s">
        <v>166</v>
      </c>
      <c r="G120" s="40" t="s">
        <v>166</v>
      </c>
      <c r="H120" s="39" t="s">
        <v>158</v>
      </c>
      <c r="I120" s="40">
        <v>8</v>
      </c>
      <c r="J120" s="40">
        <v>2</v>
      </c>
      <c r="K120" s="25" t="str">
        <f>VLOOKUP(J120,Key!$E$2:$F$9,2,FALSE)</f>
        <v>Work</v>
      </c>
      <c r="L120" s="39" t="s">
        <v>159</v>
      </c>
      <c r="M120" s="40" t="s">
        <v>159</v>
      </c>
      <c r="N120" s="39" t="s">
        <v>158</v>
      </c>
      <c r="O120" s="40">
        <v>8</v>
      </c>
      <c r="P120" s="40">
        <v>2</v>
      </c>
      <c r="Q120" s="25" t="str">
        <f>VLOOKUP(P120,Key!$E$2:$F$9,2,FALSE)</f>
        <v>Work</v>
      </c>
      <c r="R120" s="25" t="str">
        <f t="shared" si="4"/>
        <v>Work-Work</v>
      </c>
      <c r="S120" s="44"/>
      <c r="T120" s="44"/>
      <c r="U120" s="40">
        <v>2</v>
      </c>
      <c r="V120" s="40"/>
      <c r="W120" s="44"/>
      <c r="X120" s="44"/>
      <c r="Y120" s="45"/>
      <c r="Z120" s="46">
        <v>0</v>
      </c>
      <c r="AA120" s="25">
        <f>VLOOKUP(F120,Zones!$A$2:$F$1587,6,FALSE)</f>
        <v>1147</v>
      </c>
      <c r="AB120" s="25">
        <f>VLOOKUP(L120,Zones!$A$2:$F$1587,6,FALSE)</f>
        <v>1020</v>
      </c>
    </row>
    <row r="121" spans="2:28">
      <c r="B121" s="37">
        <v>0.45208333333333334</v>
      </c>
      <c r="C121" s="37" t="s">
        <v>294</v>
      </c>
      <c r="D121" s="38">
        <v>11</v>
      </c>
      <c r="E121" s="39">
        <v>3</v>
      </c>
      <c r="F121" s="39" t="s">
        <v>162</v>
      </c>
      <c r="G121" s="40" t="s">
        <v>166</v>
      </c>
      <c r="H121" s="39" t="s">
        <v>158</v>
      </c>
      <c r="I121" s="40">
        <v>8</v>
      </c>
      <c r="J121" s="40">
        <v>2</v>
      </c>
      <c r="K121" s="25" t="str">
        <f>VLOOKUP(J121,Key!$E$2:$F$9,2,FALSE)</f>
        <v>Work</v>
      </c>
      <c r="L121" s="39" t="s">
        <v>159</v>
      </c>
      <c r="M121" s="40" t="s">
        <v>159</v>
      </c>
      <c r="N121" s="39" t="s">
        <v>158</v>
      </c>
      <c r="O121" s="40">
        <v>8</v>
      </c>
      <c r="P121" s="40">
        <v>2</v>
      </c>
      <c r="Q121" s="25" t="str">
        <f>VLOOKUP(P121,Key!$E$2:$F$9,2,FALSE)</f>
        <v>Work</v>
      </c>
      <c r="R121" s="25" t="str">
        <f t="shared" si="4"/>
        <v>Work-Work</v>
      </c>
      <c r="S121" s="44"/>
      <c r="T121" s="44"/>
      <c r="U121" s="40">
        <v>2</v>
      </c>
      <c r="V121" s="40"/>
      <c r="W121" s="44"/>
      <c r="X121" s="44"/>
      <c r="Y121" s="45"/>
      <c r="Z121" s="46">
        <v>0</v>
      </c>
      <c r="AA121" s="25">
        <f>VLOOKUP(F121,Zones!$A$2:$F$1587,6,FALSE)</f>
        <v>1020</v>
      </c>
      <c r="AB121" s="25">
        <f>VLOOKUP(L121,Zones!$A$2:$F$1587,6,FALSE)</f>
        <v>1020</v>
      </c>
    </row>
    <row r="122" spans="2:28">
      <c r="B122" s="37">
        <v>0.60555555555555551</v>
      </c>
      <c r="C122" s="37" t="s">
        <v>295</v>
      </c>
      <c r="D122" s="38">
        <v>2</v>
      </c>
      <c r="E122" s="39">
        <v>6</v>
      </c>
      <c r="F122" s="39" t="s">
        <v>157</v>
      </c>
      <c r="G122" s="40" t="s">
        <v>157</v>
      </c>
      <c r="H122" s="39" t="s">
        <v>158</v>
      </c>
      <c r="I122" s="40">
        <v>1</v>
      </c>
      <c r="J122" s="40">
        <v>1</v>
      </c>
      <c r="K122" s="25" t="str">
        <f>VLOOKUP(J122,Key!$E$2:$F$9,2,FALSE)</f>
        <v>Home</v>
      </c>
      <c r="L122" s="39" t="s">
        <v>159</v>
      </c>
      <c r="M122" s="40" t="s">
        <v>159</v>
      </c>
      <c r="N122" s="39" t="s">
        <v>158</v>
      </c>
      <c r="O122" s="40">
        <v>1</v>
      </c>
      <c r="P122" s="40">
        <v>1</v>
      </c>
      <c r="Q122" s="25" t="str">
        <f>VLOOKUP(P122,Key!$E$2:$F$9,2,FALSE)</f>
        <v>Home</v>
      </c>
      <c r="R122" s="25" t="str">
        <f t="shared" si="4"/>
        <v>Home-Home</v>
      </c>
      <c r="S122" s="44">
        <v>10</v>
      </c>
      <c r="T122" s="44">
        <v>0.2</v>
      </c>
      <c r="U122" s="40">
        <v>2</v>
      </c>
      <c r="V122" s="40"/>
      <c r="W122" s="44"/>
      <c r="X122" s="44"/>
      <c r="Y122" s="45" t="s">
        <v>160</v>
      </c>
      <c r="Z122" s="46">
        <v>4000</v>
      </c>
      <c r="AA122" s="25">
        <f>VLOOKUP(F122,Zones!$A$2:$F$1587,6,FALSE)</f>
        <v>1352</v>
      </c>
      <c r="AB122" s="25">
        <f>VLOOKUP(L122,Zones!$A$2:$F$1587,6,FALSE)</f>
        <v>1020</v>
      </c>
    </row>
    <row r="123" spans="2:28">
      <c r="B123" s="37">
        <v>0.62916666666666665</v>
      </c>
      <c r="C123" s="37" t="s">
        <v>296</v>
      </c>
      <c r="D123" s="38">
        <v>2</v>
      </c>
      <c r="E123" s="39">
        <v>5</v>
      </c>
      <c r="F123" s="39" t="s">
        <v>157</v>
      </c>
      <c r="G123" s="40" t="s">
        <v>157</v>
      </c>
      <c r="H123" s="39" t="s">
        <v>158</v>
      </c>
      <c r="I123" s="40">
        <v>1</v>
      </c>
      <c r="J123" s="40">
        <v>1</v>
      </c>
      <c r="K123" s="25" t="str">
        <f>VLOOKUP(J123,Key!$E$2:$F$9,2,FALSE)</f>
        <v>Home</v>
      </c>
      <c r="L123" s="39" t="s">
        <v>159</v>
      </c>
      <c r="M123" s="40" t="s">
        <v>159</v>
      </c>
      <c r="N123" s="39" t="s">
        <v>158</v>
      </c>
      <c r="O123" s="40">
        <v>16</v>
      </c>
      <c r="P123" s="40">
        <v>8</v>
      </c>
      <c r="Q123" s="25" t="str">
        <f>VLOOKUP(P123,Key!$E$2:$F$9,2,FALSE)</f>
        <v>Others</v>
      </c>
      <c r="R123" s="25" t="str">
        <f t="shared" si="4"/>
        <v>Home-Others</v>
      </c>
      <c r="S123" s="44"/>
      <c r="T123" s="44"/>
      <c r="U123" s="40"/>
      <c r="V123" s="40"/>
      <c r="W123" s="44"/>
      <c r="X123" s="44"/>
      <c r="Y123" s="45" t="s">
        <v>160</v>
      </c>
      <c r="Z123" s="46">
        <v>0</v>
      </c>
      <c r="AA123" s="25">
        <f>VLOOKUP(F123,Zones!$A$2:$F$1587,6,FALSE)</f>
        <v>1352</v>
      </c>
      <c r="AB123" s="25">
        <f>VLOOKUP(L123,Zones!$A$2:$F$1587,6,FALSE)</f>
        <v>1020</v>
      </c>
    </row>
    <row r="124" spans="2:28">
      <c r="B124" s="37">
        <v>0.52083333333333337</v>
      </c>
      <c r="C124" s="37" t="s">
        <v>297</v>
      </c>
      <c r="D124" s="38">
        <v>11</v>
      </c>
      <c r="E124" s="39">
        <v>3</v>
      </c>
      <c r="F124" s="39" t="s">
        <v>162</v>
      </c>
      <c r="G124" s="40" t="s">
        <v>166</v>
      </c>
      <c r="H124" s="39" t="s">
        <v>158</v>
      </c>
      <c r="I124" s="40">
        <v>1</v>
      </c>
      <c r="J124" s="40">
        <v>1</v>
      </c>
      <c r="K124" s="25" t="str">
        <f>VLOOKUP(J124,Key!$E$2:$F$9,2,FALSE)</f>
        <v>Home</v>
      </c>
      <c r="L124" s="39" t="s">
        <v>159</v>
      </c>
      <c r="M124" s="40" t="s">
        <v>159</v>
      </c>
      <c r="N124" s="39" t="s">
        <v>158</v>
      </c>
      <c r="O124" s="40">
        <v>16</v>
      </c>
      <c r="P124" s="40">
        <v>8</v>
      </c>
      <c r="Q124" s="25" t="str">
        <f>VLOOKUP(P124,Key!$E$2:$F$9,2,FALSE)</f>
        <v>Others</v>
      </c>
      <c r="R124" s="25" t="str">
        <f t="shared" si="4"/>
        <v>Home-Others</v>
      </c>
      <c r="S124" s="44">
        <v>10</v>
      </c>
      <c r="T124" s="44">
        <v>0.1</v>
      </c>
      <c r="U124" s="40">
        <v>2</v>
      </c>
      <c r="V124" s="40"/>
      <c r="W124" s="44"/>
      <c r="X124" s="44"/>
      <c r="Y124" s="45"/>
      <c r="Z124" s="46">
        <v>0</v>
      </c>
      <c r="AA124" s="25">
        <f>VLOOKUP(F124,Zones!$A$2:$F$1587,6,FALSE)</f>
        <v>1020</v>
      </c>
      <c r="AB124" s="25">
        <f>VLOOKUP(L124,Zones!$A$2:$F$1587,6,FALSE)</f>
        <v>1020</v>
      </c>
    </row>
    <row r="125" spans="2:28">
      <c r="B125" s="37">
        <v>0.58680555555555558</v>
      </c>
      <c r="C125" s="37" t="s">
        <v>298</v>
      </c>
      <c r="D125" s="38">
        <v>11</v>
      </c>
      <c r="E125" s="39">
        <v>2</v>
      </c>
      <c r="F125" s="39" t="s">
        <v>162</v>
      </c>
      <c r="G125" s="40" t="s">
        <v>166</v>
      </c>
      <c r="H125" s="39" t="s">
        <v>158</v>
      </c>
      <c r="I125" s="40">
        <v>8</v>
      </c>
      <c r="J125" s="40">
        <v>2</v>
      </c>
      <c r="K125" s="25" t="str">
        <f>VLOOKUP(J125,Key!$E$2:$F$9,2,FALSE)</f>
        <v>Work</v>
      </c>
      <c r="L125" s="39" t="s">
        <v>159</v>
      </c>
      <c r="M125" s="40" t="s">
        <v>159</v>
      </c>
      <c r="N125" s="39" t="s">
        <v>158</v>
      </c>
      <c r="O125" s="40">
        <v>8</v>
      </c>
      <c r="P125" s="40">
        <v>2</v>
      </c>
      <c r="Q125" s="25" t="str">
        <f>VLOOKUP(P125,Key!$E$2:$F$9,2,FALSE)</f>
        <v>Work</v>
      </c>
      <c r="R125" s="25" t="str">
        <f t="shared" si="4"/>
        <v>Work-Work</v>
      </c>
      <c r="S125" s="44">
        <v>13</v>
      </c>
      <c r="T125" s="44"/>
      <c r="U125" s="40">
        <v>2</v>
      </c>
      <c r="V125" s="40"/>
      <c r="W125" s="44"/>
      <c r="X125" s="44"/>
      <c r="Y125" s="45" t="s">
        <v>160</v>
      </c>
      <c r="Z125" s="46">
        <v>500</v>
      </c>
      <c r="AA125" s="25">
        <f>VLOOKUP(F125,Zones!$A$2:$F$1587,6,FALSE)</f>
        <v>1020</v>
      </c>
      <c r="AB125" s="25">
        <f>VLOOKUP(L125,Zones!$A$2:$F$1587,6,FALSE)</f>
        <v>1020</v>
      </c>
    </row>
    <row r="126" spans="2:28">
      <c r="B126" s="37">
        <v>0.53472222222222221</v>
      </c>
      <c r="C126" s="37" t="s">
        <v>299</v>
      </c>
      <c r="D126" s="38">
        <v>7</v>
      </c>
      <c r="E126" s="39">
        <v>2</v>
      </c>
      <c r="F126" s="39" t="s">
        <v>157</v>
      </c>
      <c r="G126" s="40" t="s">
        <v>157</v>
      </c>
      <c r="H126" s="39" t="s">
        <v>158</v>
      </c>
      <c r="I126" s="40">
        <v>1</v>
      </c>
      <c r="J126" s="40">
        <v>2</v>
      </c>
      <c r="K126" s="25" t="str">
        <f>VLOOKUP(J126,Key!$E$2:$F$9,2,FALSE)</f>
        <v>Work</v>
      </c>
      <c r="L126" s="39" t="s">
        <v>159</v>
      </c>
      <c r="M126" s="40" t="s">
        <v>159</v>
      </c>
      <c r="N126" s="39" t="s">
        <v>158</v>
      </c>
      <c r="O126" s="40">
        <v>2</v>
      </c>
      <c r="P126" s="40">
        <v>2</v>
      </c>
      <c r="Q126" s="25" t="str">
        <f>VLOOKUP(P126,Key!$E$2:$F$9,2,FALSE)</f>
        <v>Work</v>
      </c>
      <c r="R126" s="25" t="str">
        <f t="shared" si="4"/>
        <v>Work-Work</v>
      </c>
      <c r="S126" s="44">
        <v>10</v>
      </c>
      <c r="T126" s="44"/>
      <c r="U126" s="40">
        <v>2</v>
      </c>
      <c r="V126" s="40"/>
      <c r="W126" s="44"/>
      <c r="X126" s="44"/>
      <c r="Y126" s="45" t="s">
        <v>171</v>
      </c>
      <c r="Z126" s="46">
        <v>0</v>
      </c>
      <c r="AA126" s="25">
        <f>VLOOKUP(F126,Zones!$A$2:$F$1587,6,FALSE)</f>
        <v>1352</v>
      </c>
      <c r="AB126" s="25">
        <f>VLOOKUP(L126,Zones!$A$2:$F$1587,6,FALSE)</f>
        <v>1020</v>
      </c>
    </row>
    <row r="127" spans="2:28">
      <c r="B127" s="37">
        <v>0.65277777777777779</v>
      </c>
      <c r="C127" s="37" t="s">
        <v>327</v>
      </c>
      <c r="D127" s="38">
        <v>7</v>
      </c>
      <c r="E127" s="39">
        <v>2</v>
      </c>
      <c r="F127" s="39" t="s">
        <v>166</v>
      </c>
      <c r="G127" s="40" t="s">
        <v>166</v>
      </c>
      <c r="H127" s="39" t="s">
        <v>158</v>
      </c>
      <c r="I127" s="40">
        <v>1</v>
      </c>
      <c r="J127" s="40">
        <v>3</v>
      </c>
      <c r="K127" s="25" t="str">
        <f>VLOOKUP(J127,Key!$E$2:$F$9,2,FALSE)</f>
        <v>Study</v>
      </c>
      <c r="L127" s="39" t="s">
        <v>300</v>
      </c>
      <c r="M127" s="40" t="s">
        <v>159</v>
      </c>
      <c r="N127" s="39" t="s">
        <v>158</v>
      </c>
      <c r="O127" s="40">
        <v>2</v>
      </c>
      <c r="P127" s="40">
        <v>2</v>
      </c>
      <c r="Q127" s="25" t="str">
        <f>VLOOKUP(P127,Key!$E$2:$F$9,2,FALSE)</f>
        <v>Work</v>
      </c>
      <c r="R127" s="25" t="str">
        <f t="shared" si="4"/>
        <v>Study-Work</v>
      </c>
      <c r="S127" s="44"/>
      <c r="T127" s="44"/>
      <c r="U127" s="40">
        <v>2</v>
      </c>
      <c r="V127" s="40"/>
      <c r="W127" s="44"/>
      <c r="X127" s="44"/>
      <c r="Y127" s="45"/>
      <c r="Z127" s="46">
        <v>0</v>
      </c>
      <c r="AA127" s="25">
        <f>VLOOKUP(F127,Zones!$A$2:$F$1587,6,FALSE)</f>
        <v>1147</v>
      </c>
      <c r="AB127" s="25">
        <f>VLOOKUP(L127,Zones!$A$2:$F$1587,6,FALSE)</f>
        <v>1020</v>
      </c>
    </row>
    <row r="128" spans="2:28">
      <c r="B128" s="37">
        <v>0.4152777777777778</v>
      </c>
      <c r="C128" s="37" t="s">
        <v>301</v>
      </c>
      <c r="D128" s="38">
        <v>2</v>
      </c>
      <c r="E128" s="39">
        <v>1</v>
      </c>
      <c r="F128" s="39" t="s">
        <v>166</v>
      </c>
      <c r="G128" s="40" t="s">
        <v>166</v>
      </c>
      <c r="H128" s="39" t="s">
        <v>158</v>
      </c>
      <c r="I128" s="40">
        <v>1</v>
      </c>
      <c r="J128" s="40">
        <v>1</v>
      </c>
      <c r="K128" s="25" t="str">
        <f>VLOOKUP(J128,Key!$E$2:$F$9,2,FALSE)</f>
        <v>Home</v>
      </c>
      <c r="L128" s="39" t="s">
        <v>159</v>
      </c>
      <c r="M128" s="40" t="s">
        <v>159</v>
      </c>
      <c r="N128" s="39" t="s">
        <v>158</v>
      </c>
      <c r="O128" s="40">
        <v>16</v>
      </c>
      <c r="P128" s="40">
        <v>8</v>
      </c>
      <c r="Q128" s="25" t="str">
        <f>VLOOKUP(P128,Key!$E$2:$F$9,2,FALSE)</f>
        <v>Others</v>
      </c>
      <c r="R128" s="25" t="str">
        <f t="shared" si="4"/>
        <v>Home-Others</v>
      </c>
      <c r="S128" s="44"/>
      <c r="T128" s="44">
        <v>0.5</v>
      </c>
      <c r="U128" s="40">
        <v>2</v>
      </c>
      <c r="V128" s="40"/>
      <c r="W128" s="44"/>
      <c r="X128" s="44"/>
      <c r="Y128" s="45" t="s">
        <v>160</v>
      </c>
      <c r="Z128" s="46">
        <v>0</v>
      </c>
      <c r="AA128" s="25">
        <f>VLOOKUP(F128,Zones!$A$2:$F$1587,6,FALSE)</f>
        <v>1147</v>
      </c>
      <c r="AB128" s="25">
        <f>VLOOKUP(L128,Zones!$A$2:$F$1587,6,FALSE)</f>
        <v>1020</v>
      </c>
    </row>
    <row r="129" spans="1:28">
      <c r="B129" s="37">
        <v>0.40138888888888885</v>
      </c>
      <c r="C129" s="37" t="s">
        <v>302</v>
      </c>
      <c r="D129" s="38">
        <v>2</v>
      </c>
      <c r="E129" s="39">
        <v>2</v>
      </c>
      <c r="F129" s="39" t="s">
        <v>166</v>
      </c>
      <c r="G129" s="40" t="s">
        <v>166</v>
      </c>
      <c r="H129" s="39" t="s">
        <v>158</v>
      </c>
      <c r="I129" s="40">
        <v>2</v>
      </c>
      <c r="J129" s="40">
        <v>2</v>
      </c>
      <c r="K129" s="25" t="str">
        <f>VLOOKUP(J129,Key!$E$2:$F$9,2,FALSE)</f>
        <v>Work</v>
      </c>
      <c r="L129" s="39" t="s">
        <v>159</v>
      </c>
      <c r="M129" s="40" t="s">
        <v>159</v>
      </c>
      <c r="N129" s="39" t="s">
        <v>158</v>
      </c>
      <c r="O129" s="40">
        <v>2</v>
      </c>
      <c r="P129" s="40">
        <v>2</v>
      </c>
      <c r="Q129" s="25" t="str">
        <f>VLOOKUP(P129,Key!$E$2:$F$9,2,FALSE)</f>
        <v>Work</v>
      </c>
      <c r="R129" s="25" t="str">
        <f t="shared" si="4"/>
        <v>Work-Work</v>
      </c>
      <c r="S129" s="44"/>
      <c r="T129" s="44">
        <v>0.5</v>
      </c>
      <c r="U129" s="40">
        <v>2</v>
      </c>
      <c r="V129" s="40"/>
      <c r="W129" s="44"/>
      <c r="X129" s="44"/>
      <c r="Y129" s="45" t="s">
        <v>160</v>
      </c>
      <c r="Z129" s="46">
        <v>0</v>
      </c>
      <c r="AA129" s="25">
        <f>VLOOKUP(F129,Zones!$A$2:$F$1587,6,FALSE)</f>
        <v>1147</v>
      </c>
      <c r="AB129" s="25">
        <f>VLOOKUP(L129,Zones!$A$2:$F$1587,6,FALSE)</f>
        <v>1020</v>
      </c>
    </row>
    <row r="130" spans="1:28">
      <c r="B130" s="37">
        <v>0.64583333333333337</v>
      </c>
      <c r="C130" s="37" t="s">
        <v>303</v>
      </c>
      <c r="D130" s="38">
        <v>3</v>
      </c>
      <c r="E130" s="39">
        <v>4</v>
      </c>
      <c r="F130" s="39" t="s">
        <v>162</v>
      </c>
      <c r="G130" s="40" t="s">
        <v>166</v>
      </c>
      <c r="H130" s="39" t="s">
        <v>158</v>
      </c>
      <c r="I130" s="40">
        <v>2</v>
      </c>
      <c r="J130" s="40">
        <v>2</v>
      </c>
      <c r="K130" s="25" t="str">
        <f>VLOOKUP(J130,Key!$E$2:$F$9,2,FALSE)</f>
        <v>Work</v>
      </c>
      <c r="L130" s="39" t="s">
        <v>159</v>
      </c>
      <c r="M130" s="40" t="s">
        <v>159</v>
      </c>
      <c r="N130" s="39" t="s">
        <v>158</v>
      </c>
      <c r="O130" s="40">
        <v>2</v>
      </c>
      <c r="P130" s="40">
        <v>2</v>
      </c>
      <c r="Q130" s="25" t="str">
        <f>VLOOKUP(P130,Key!$E$2:$F$9,2,FALSE)</f>
        <v>Work</v>
      </c>
      <c r="R130" s="25" t="str">
        <f t="shared" si="4"/>
        <v>Work-Work</v>
      </c>
      <c r="S130" s="44"/>
      <c r="T130" s="44"/>
      <c r="U130" s="40"/>
      <c r="V130" s="40"/>
      <c r="W130" s="44"/>
      <c r="X130" s="44"/>
      <c r="Y130" s="45" t="s">
        <v>160</v>
      </c>
      <c r="Z130" s="46">
        <v>0</v>
      </c>
      <c r="AA130" s="25">
        <f>VLOOKUP(F130,Zones!$A$2:$F$1587,6,FALSE)</f>
        <v>1020</v>
      </c>
      <c r="AB130" s="25">
        <f>VLOOKUP(L130,Zones!$A$2:$F$1587,6,FALSE)</f>
        <v>1020</v>
      </c>
    </row>
    <row r="131" spans="1:28">
      <c r="B131" s="37">
        <v>0.66527777777777775</v>
      </c>
      <c r="C131" s="37" t="s">
        <v>304</v>
      </c>
      <c r="D131" s="38">
        <v>2</v>
      </c>
      <c r="E131" s="39">
        <v>3</v>
      </c>
      <c r="F131" s="39" t="s">
        <v>2049</v>
      </c>
      <c r="G131" s="40" t="s">
        <v>157</v>
      </c>
      <c r="H131" s="39" t="s">
        <v>158</v>
      </c>
      <c r="I131" s="40">
        <v>1</v>
      </c>
      <c r="J131" s="40">
        <v>1</v>
      </c>
      <c r="K131" s="25" t="str">
        <f>VLOOKUP(J131,Key!$E$2:$F$9,2,FALSE)</f>
        <v>Home</v>
      </c>
      <c r="L131" s="39" t="s">
        <v>159</v>
      </c>
      <c r="M131" s="40" t="s">
        <v>159</v>
      </c>
      <c r="N131" s="39" t="s">
        <v>158</v>
      </c>
      <c r="O131" s="40">
        <v>1</v>
      </c>
      <c r="P131" s="40">
        <v>2</v>
      </c>
      <c r="Q131" s="25" t="str">
        <f>VLOOKUP(P131,Key!$E$2:$F$9,2,FALSE)</f>
        <v>Work</v>
      </c>
      <c r="R131" s="25" t="str">
        <f t="shared" si="4"/>
        <v>Home-Work</v>
      </c>
      <c r="S131" s="44">
        <v>10</v>
      </c>
      <c r="T131" s="44">
        <v>0.2</v>
      </c>
      <c r="U131" s="40"/>
      <c r="V131" s="40"/>
      <c r="W131" s="44"/>
      <c r="X131" s="44"/>
      <c r="Y131" s="45" t="s">
        <v>160</v>
      </c>
      <c r="Z131" s="46">
        <v>10000</v>
      </c>
      <c r="AA131" s="25">
        <f>VLOOKUP(F131,Zones!$A$2:$F$1587,6,FALSE)</f>
        <v>671</v>
      </c>
      <c r="AB131" s="25">
        <f>VLOOKUP(L131,Zones!$A$2:$F$1587,6,FALSE)</f>
        <v>1020</v>
      </c>
    </row>
    <row r="132" spans="1:28">
      <c r="B132" s="37">
        <v>0.3923611111111111</v>
      </c>
      <c r="C132" s="37" t="s">
        <v>273</v>
      </c>
      <c r="D132" s="38">
        <v>11</v>
      </c>
      <c r="E132" s="39">
        <v>2</v>
      </c>
      <c r="F132" s="39" t="s">
        <v>159</v>
      </c>
      <c r="G132" s="40" t="s">
        <v>159</v>
      </c>
      <c r="H132" s="39" t="s">
        <v>158</v>
      </c>
      <c r="I132" s="40">
        <v>8</v>
      </c>
      <c r="J132" s="40">
        <v>2</v>
      </c>
      <c r="K132" s="25" t="str">
        <f>VLOOKUP(J132,Key!$E$2:$F$9,2,FALSE)</f>
        <v>Work</v>
      </c>
      <c r="L132" s="39" t="s">
        <v>166</v>
      </c>
      <c r="M132" s="40" t="s">
        <v>166</v>
      </c>
      <c r="N132" s="39" t="s">
        <v>158</v>
      </c>
      <c r="O132" s="40">
        <v>1</v>
      </c>
      <c r="P132" s="40">
        <v>1</v>
      </c>
      <c r="Q132" s="25" t="str">
        <f>VLOOKUP(P132,Key!$E$2:$F$9,2,FALSE)</f>
        <v>Home</v>
      </c>
      <c r="R132" s="25" t="str">
        <f>K132&amp;"-"&amp;Q132</f>
        <v>Work-Home</v>
      </c>
      <c r="S132" s="44">
        <v>40</v>
      </c>
      <c r="T132" s="44">
        <v>5</v>
      </c>
      <c r="U132" s="40">
        <v>3</v>
      </c>
      <c r="V132" s="40"/>
      <c r="W132" s="44"/>
      <c r="X132" s="44"/>
      <c r="Y132" s="45" t="s">
        <v>160</v>
      </c>
      <c r="Z132" s="46">
        <v>0</v>
      </c>
      <c r="AA132" s="25">
        <f>VLOOKUP(F132,Zones!$A$2:$F$1587,6,FALSE)</f>
        <v>1020</v>
      </c>
      <c r="AB132" s="25">
        <f>VLOOKUP(L132,Zones!$A$2:$F$1587,6,FALSE)</f>
        <v>1147</v>
      </c>
    </row>
    <row r="133" spans="1:28">
      <c r="B133" s="37">
        <v>0.42777777777777781</v>
      </c>
      <c r="C133" s="37" t="s">
        <v>275</v>
      </c>
      <c r="D133" s="38">
        <v>11</v>
      </c>
      <c r="E133" s="39">
        <v>2</v>
      </c>
      <c r="F133" s="39" t="s">
        <v>163</v>
      </c>
      <c r="G133" s="40" t="s">
        <v>159</v>
      </c>
      <c r="H133" s="39" t="s">
        <v>158</v>
      </c>
      <c r="I133" s="40">
        <v>8</v>
      </c>
      <c r="J133" s="40">
        <v>2</v>
      </c>
      <c r="K133" s="25" t="str">
        <f>VLOOKUP(J133,Key!$E$2:$F$9,2,FALSE)</f>
        <v>Work</v>
      </c>
      <c r="L133" s="39" t="s">
        <v>157</v>
      </c>
      <c r="M133" s="40" t="s">
        <v>157</v>
      </c>
      <c r="N133" s="39" t="s">
        <v>158</v>
      </c>
      <c r="O133" s="40">
        <v>8</v>
      </c>
      <c r="P133" s="40">
        <v>2</v>
      </c>
      <c r="Q133" s="25" t="str">
        <f>VLOOKUP(P133,Key!$E$2:$F$9,2,FALSE)</f>
        <v>Work</v>
      </c>
      <c r="R133" s="25" t="str">
        <f t="shared" ref="R133:R154" si="5">K133&amp;"-"&amp;Q133</f>
        <v>Work-Work</v>
      </c>
      <c r="S133" s="44">
        <v>20</v>
      </c>
      <c r="T133" s="44">
        <v>2</v>
      </c>
      <c r="U133" s="40">
        <v>3</v>
      </c>
      <c r="V133" s="40"/>
      <c r="W133" s="44"/>
      <c r="X133" s="44"/>
      <c r="Y133" s="45" t="s">
        <v>160</v>
      </c>
      <c r="Z133" s="46">
        <v>0</v>
      </c>
      <c r="AA133" s="25">
        <f>VLOOKUP(F133,Zones!$A$2:$F$1587,6,FALSE)</f>
        <v>1021</v>
      </c>
      <c r="AB133" s="25">
        <f>VLOOKUP(L133,Zones!$A$2:$F$1587,6,FALSE)</f>
        <v>1352</v>
      </c>
    </row>
    <row r="134" spans="1:28">
      <c r="B134" s="37">
        <v>0.45277777777777778</v>
      </c>
      <c r="C134" s="37" t="s">
        <v>278</v>
      </c>
      <c r="D134" s="38">
        <v>1</v>
      </c>
      <c r="E134" s="39">
        <v>2</v>
      </c>
      <c r="F134" s="39" t="s">
        <v>159</v>
      </c>
      <c r="G134" s="40" t="s">
        <v>159</v>
      </c>
      <c r="H134" s="39" t="s">
        <v>158</v>
      </c>
      <c r="I134" s="40">
        <v>1</v>
      </c>
      <c r="J134" s="40">
        <v>1</v>
      </c>
      <c r="K134" s="25" t="str">
        <f>VLOOKUP(J134,Key!$E$2:$F$9,2,FALSE)</f>
        <v>Home</v>
      </c>
      <c r="L134" s="39" t="s">
        <v>157</v>
      </c>
      <c r="M134" s="40" t="s">
        <v>157</v>
      </c>
      <c r="N134" s="39" t="s">
        <v>158</v>
      </c>
      <c r="O134" s="40">
        <v>5</v>
      </c>
      <c r="P134" s="40">
        <v>7</v>
      </c>
      <c r="Q134" s="25" t="str">
        <f>VLOOKUP(P134,Key!$E$2:$F$9,2,FALSE)</f>
        <v>Hospital</v>
      </c>
      <c r="R134" s="25" t="str">
        <f t="shared" si="5"/>
        <v>Home-Hospital</v>
      </c>
      <c r="S134" s="44">
        <v>40</v>
      </c>
      <c r="T134" s="44">
        <v>2</v>
      </c>
      <c r="U134" s="40">
        <v>6</v>
      </c>
      <c r="V134" s="40"/>
      <c r="W134" s="44"/>
      <c r="X134" s="44"/>
      <c r="Y134" s="45" t="s">
        <v>160</v>
      </c>
      <c r="Z134" s="46">
        <v>0</v>
      </c>
      <c r="AA134" s="25">
        <f>VLOOKUP(F134,Zones!$A$2:$F$1587,6,FALSE)</f>
        <v>1020</v>
      </c>
      <c r="AB134" s="25">
        <f>VLOOKUP(L134,Zones!$A$2:$F$1587,6,FALSE)</f>
        <v>1352</v>
      </c>
    </row>
    <row r="135" spans="1:28">
      <c r="B135" s="37">
        <v>0.47986111111111113</v>
      </c>
      <c r="C135" s="37" t="s">
        <v>290</v>
      </c>
      <c r="D135" s="38">
        <v>11</v>
      </c>
      <c r="E135" s="39">
        <v>1</v>
      </c>
      <c r="F135" s="39" t="s">
        <v>159</v>
      </c>
      <c r="G135" s="40" t="s">
        <v>159</v>
      </c>
      <c r="H135" s="39" t="s">
        <v>158</v>
      </c>
      <c r="I135" s="40">
        <v>8</v>
      </c>
      <c r="J135" s="40">
        <v>2</v>
      </c>
      <c r="K135" s="25" t="str">
        <f>VLOOKUP(J135,Key!$E$2:$F$9,2,FALSE)</f>
        <v>Work</v>
      </c>
      <c r="L135" s="39" t="s">
        <v>162</v>
      </c>
      <c r="M135" s="40" t="s">
        <v>166</v>
      </c>
      <c r="N135" s="39" t="s">
        <v>158</v>
      </c>
      <c r="O135" s="40">
        <v>8</v>
      </c>
      <c r="P135" s="40">
        <v>2</v>
      </c>
      <c r="Q135" s="25" t="str">
        <f>VLOOKUP(P135,Key!$E$2:$F$9,2,FALSE)</f>
        <v>Work</v>
      </c>
      <c r="R135" s="25" t="str">
        <f t="shared" si="5"/>
        <v>Work-Work</v>
      </c>
      <c r="S135" s="44"/>
      <c r="T135" s="44">
        <v>0.3</v>
      </c>
      <c r="U135" s="40">
        <v>2</v>
      </c>
      <c r="V135" s="40"/>
      <c r="W135" s="44"/>
      <c r="X135" s="44"/>
      <c r="Y135" s="45" t="s">
        <v>171</v>
      </c>
      <c r="Z135" s="46">
        <v>0</v>
      </c>
      <c r="AA135" s="25">
        <f>VLOOKUP(F135,Zones!$A$2:$F$1587,6,FALSE)</f>
        <v>1020</v>
      </c>
      <c r="AB135" s="25">
        <f>VLOOKUP(L135,Zones!$A$2:$F$1587,6,FALSE)</f>
        <v>1020</v>
      </c>
    </row>
    <row r="136" spans="1:28">
      <c r="B136" s="37">
        <v>0.36527777777777781</v>
      </c>
      <c r="C136" s="37" t="s">
        <v>307</v>
      </c>
      <c r="D136" s="38">
        <v>8</v>
      </c>
      <c r="E136" s="39">
        <v>3</v>
      </c>
      <c r="F136" s="39" t="s">
        <v>159</v>
      </c>
      <c r="G136" s="40" t="s">
        <v>159</v>
      </c>
      <c r="H136" s="39" t="s">
        <v>158</v>
      </c>
      <c r="I136" s="40">
        <v>10</v>
      </c>
      <c r="J136" s="40">
        <v>2</v>
      </c>
      <c r="K136" s="25" t="str">
        <f>VLOOKUP(J136,Key!$E$2:$F$9,2,FALSE)</f>
        <v>Work</v>
      </c>
      <c r="L136" s="39" t="s">
        <v>157</v>
      </c>
      <c r="M136" s="40" t="s">
        <v>157</v>
      </c>
      <c r="N136" s="39" t="s">
        <v>158</v>
      </c>
      <c r="O136" s="40">
        <v>10</v>
      </c>
      <c r="P136" s="40">
        <v>2</v>
      </c>
      <c r="Q136" s="25" t="str">
        <f>VLOOKUP(P136,Key!$E$2:$F$9,2,FALSE)</f>
        <v>Work</v>
      </c>
      <c r="R136" s="25" t="str">
        <f t="shared" si="5"/>
        <v>Work-Work</v>
      </c>
      <c r="S136" s="44">
        <v>41</v>
      </c>
      <c r="T136" s="44">
        <v>3.5</v>
      </c>
      <c r="U136" s="40">
        <v>2</v>
      </c>
      <c r="V136" s="40"/>
      <c r="W136" s="44"/>
      <c r="X136" s="44"/>
      <c r="Y136" s="45" t="s">
        <v>160</v>
      </c>
      <c r="Z136" s="46">
        <v>0</v>
      </c>
      <c r="AA136" s="25">
        <f>VLOOKUP(F136,Zones!$A$2:$F$1587,6,FALSE)</f>
        <v>1020</v>
      </c>
      <c r="AB136" s="25">
        <f>VLOOKUP(L136,Zones!$A$2:$F$1587,6,FALSE)</f>
        <v>1352</v>
      </c>
    </row>
    <row r="137" spans="1:28">
      <c r="B137" s="37">
        <v>0.36944444444444446</v>
      </c>
      <c r="C137" s="37" t="s">
        <v>308</v>
      </c>
      <c r="D137" s="38">
        <v>9</v>
      </c>
      <c r="E137" s="39">
        <v>2</v>
      </c>
      <c r="F137" s="39" t="s">
        <v>159</v>
      </c>
      <c r="G137" s="40" t="s">
        <v>159</v>
      </c>
      <c r="H137" s="39" t="s">
        <v>158</v>
      </c>
      <c r="I137" s="40">
        <v>10</v>
      </c>
      <c r="J137" s="40">
        <v>2</v>
      </c>
      <c r="K137" s="25" t="str">
        <f>VLOOKUP(J137,Key!$E$2:$F$9,2,FALSE)</f>
        <v>Work</v>
      </c>
      <c r="L137" s="39" t="s">
        <v>157</v>
      </c>
      <c r="M137" s="40" t="s">
        <v>157</v>
      </c>
      <c r="N137" s="39" t="s">
        <v>158</v>
      </c>
      <c r="O137" s="40">
        <v>1</v>
      </c>
      <c r="P137" s="40">
        <v>1</v>
      </c>
      <c r="Q137" s="25" t="str">
        <f>VLOOKUP(P137,Key!$E$2:$F$9,2,FALSE)</f>
        <v>Home</v>
      </c>
      <c r="R137" s="25" t="str">
        <f t="shared" si="5"/>
        <v>Work-Home</v>
      </c>
      <c r="S137" s="44">
        <v>40</v>
      </c>
      <c r="T137" s="44">
        <v>3</v>
      </c>
      <c r="U137" s="40">
        <v>2</v>
      </c>
      <c r="V137" s="40"/>
      <c r="W137" s="44"/>
      <c r="X137" s="44"/>
      <c r="Y137" s="45" t="s">
        <v>160</v>
      </c>
      <c r="Z137" s="46">
        <v>0</v>
      </c>
      <c r="AA137" s="25">
        <f>VLOOKUP(F137,Zones!$A$2:$F$1587,6,FALSE)</f>
        <v>1020</v>
      </c>
      <c r="AB137" s="25">
        <f>VLOOKUP(L137,Zones!$A$2:$F$1587,6,FALSE)</f>
        <v>1352</v>
      </c>
    </row>
    <row r="138" spans="1:28">
      <c r="A138" s="14"/>
      <c r="B138" s="37">
        <v>0.69305555555555554</v>
      </c>
      <c r="C138" s="37" t="s">
        <v>309</v>
      </c>
      <c r="D138" s="38">
        <v>6</v>
      </c>
      <c r="E138" s="39">
        <v>50</v>
      </c>
      <c r="F138" s="39" t="s">
        <v>159</v>
      </c>
      <c r="G138" s="40" t="s">
        <v>159</v>
      </c>
      <c r="H138" s="39" t="s">
        <v>158</v>
      </c>
      <c r="I138" s="40">
        <v>6</v>
      </c>
      <c r="J138" s="40">
        <v>2</v>
      </c>
      <c r="K138" s="25" t="str">
        <f>VLOOKUP(J138,Key!$E$2:$F$9,2,FALSE)</f>
        <v>Work</v>
      </c>
      <c r="L138" s="39" t="s">
        <v>170</v>
      </c>
      <c r="M138" s="40" t="s">
        <v>170</v>
      </c>
      <c r="N138" s="39" t="s">
        <v>158</v>
      </c>
      <c r="O138" s="40">
        <v>6</v>
      </c>
      <c r="P138" s="40">
        <v>2</v>
      </c>
      <c r="Q138" s="25" t="str">
        <f>VLOOKUP(P138,Key!$E$2:$F$9,2,FALSE)</f>
        <v>Work</v>
      </c>
      <c r="R138" s="25" t="str">
        <f t="shared" si="5"/>
        <v>Work-Work</v>
      </c>
      <c r="S138" s="44"/>
      <c r="T138" s="44">
        <v>13</v>
      </c>
      <c r="U138" s="40">
        <v>3</v>
      </c>
      <c r="V138" s="40"/>
      <c r="W138" s="44"/>
      <c r="X138" s="44"/>
      <c r="Y138" s="45" t="s">
        <v>160</v>
      </c>
      <c r="Z138" s="46">
        <v>0</v>
      </c>
      <c r="AA138" s="25">
        <f>VLOOKUP(F138,Zones!$A$2:$F$1587,6,FALSE)</f>
        <v>1020</v>
      </c>
      <c r="AB138" s="25">
        <f>VLOOKUP(L138,Zones!$A$2:$F$1587,6,FALSE)</f>
        <v>521</v>
      </c>
    </row>
    <row r="139" spans="1:28">
      <c r="A139" s="14"/>
      <c r="B139" s="37">
        <v>0.65347222222222223</v>
      </c>
      <c r="C139" s="37" t="s">
        <v>310</v>
      </c>
      <c r="D139" s="38">
        <v>1</v>
      </c>
      <c r="E139" s="39">
        <v>1</v>
      </c>
      <c r="F139" s="39" t="s">
        <v>159</v>
      </c>
      <c r="G139" s="40" t="s">
        <v>159</v>
      </c>
      <c r="H139" s="39" t="s">
        <v>158</v>
      </c>
      <c r="I139" s="40">
        <v>1</v>
      </c>
      <c r="J139" s="40">
        <v>6</v>
      </c>
      <c r="K139" s="25" t="str">
        <f>VLOOKUP(J139,Key!$E$2:$F$9,2,FALSE)</f>
        <v>Leisure/Social</v>
      </c>
      <c r="L139" s="39" t="s">
        <v>157</v>
      </c>
      <c r="M139" s="40" t="s">
        <v>157</v>
      </c>
      <c r="N139" s="39" t="s">
        <v>158</v>
      </c>
      <c r="O139" s="40">
        <v>1</v>
      </c>
      <c r="P139" s="40">
        <v>6</v>
      </c>
      <c r="Q139" s="25" t="str">
        <f>VLOOKUP(P139,Key!$E$2:$F$9,2,FALSE)</f>
        <v>Leisure/Social</v>
      </c>
      <c r="R139" s="25" t="str">
        <f t="shared" si="5"/>
        <v>Leisure/Social-Leisure/Social</v>
      </c>
      <c r="S139" s="44">
        <v>160</v>
      </c>
      <c r="T139" s="44">
        <v>2.5</v>
      </c>
      <c r="U139" s="40"/>
      <c r="V139" s="40"/>
      <c r="W139" s="44"/>
      <c r="X139" s="44"/>
      <c r="Y139" s="45" t="s">
        <v>160</v>
      </c>
      <c r="Z139" s="46">
        <v>0</v>
      </c>
      <c r="AA139" s="25">
        <f>VLOOKUP(F139,Zones!$A$2:$F$1587,6,FALSE)</f>
        <v>1020</v>
      </c>
      <c r="AB139" s="25">
        <f>VLOOKUP(L139,Zones!$A$2:$F$1587,6,FALSE)</f>
        <v>1352</v>
      </c>
    </row>
    <row r="140" spans="1:28">
      <c r="A140" s="14"/>
      <c r="B140" s="37">
        <v>0.37986111111111115</v>
      </c>
      <c r="C140" s="37" t="s">
        <v>311</v>
      </c>
      <c r="D140" s="38">
        <v>2</v>
      </c>
      <c r="E140" s="39">
        <v>4</v>
      </c>
      <c r="F140" s="39" t="s">
        <v>159</v>
      </c>
      <c r="G140" s="40" t="s">
        <v>159</v>
      </c>
      <c r="H140" s="39" t="s">
        <v>158</v>
      </c>
      <c r="I140" s="40">
        <v>1</v>
      </c>
      <c r="J140" s="40">
        <v>6</v>
      </c>
      <c r="K140" s="25" t="str">
        <f>VLOOKUP(J140,Key!$E$2:$F$9,2,FALSE)</f>
        <v>Leisure/Social</v>
      </c>
      <c r="L140" s="39" t="s">
        <v>170</v>
      </c>
      <c r="M140" s="40" t="s">
        <v>170</v>
      </c>
      <c r="N140" s="39" t="s">
        <v>158</v>
      </c>
      <c r="O140" s="40">
        <v>1</v>
      </c>
      <c r="P140" s="40">
        <v>6</v>
      </c>
      <c r="Q140" s="25" t="str">
        <f>VLOOKUP(P140,Key!$E$2:$F$9,2,FALSE)</f>
        <v>Leisure/Social</v>
      </c>
      <c r="R140" s="25" t="str">
        <f t="shared" si="5"/>
        <v>Leisure/Social-Leisure/Social</v>
      </c>
      <c r="S140" s="44">
        <v>620</v>
      </c>
      <c r="T140" s="44">
        <v>14</v>
      </c>
      <c r="U140" s="40">
        <v>6</v>
      </c>
      <c r="V140" s="40"/>
      <c r="W140" s="44"/>
      <c r="X140" s="44"/>
      <c r="Y140" s="45" t="s">
        <v>160</v>
      </c>
      <c r="Z140" s="46">
        <v>0</v>
      </c>
      <c r="AA140" s="25">
        <f>VLOOKUP(F140,Zones!$A$2:$F$1587,6,FALSE)</f>
        <v>1020</v>
      </c>
      <c r="AB140" s="25">
        <f>VLOOKUP(L140,Zones!$A$2:$F$1587,6,FALSE)</f>
        <v>521</v>
      </c>
    </row>
    <row r="141" spans="1:28">
      <c r="B141" s="37">
        <v>0.36944444444444446</v>
      </c>
      <c r="C141" s="37" t="s">
        <v>312</v>
      </c>
      <c r="D141" s="38">
        <v>3</v>
      </c>
      <c r="E141" s="39">
        <v>3</v>
      </c>
      <c r="F141" s="39" t="s">
        <v>159</v>
      </c>
      <c r="G141" s="40" t="s">
        <v>159</v>
      </c>
      <c r="H141" s="39" t="s">
        <v>158</v>
      </c>
      <c r="I141" s="40">
        <v>2</v>
      </c>
      <c r="J141" s="40">
        <v>2</v>
      </c>
      <c r="K141" s="25" t="str">
        <f>VLOOKUP(J141,Key!$E$2:$F$9,2,FALSE)</f>
        <v>Work</v>
      </c>
      <c r="L141" s="39" t="s">
        <v>166</v>
      </c>
      <c r="M141" s="40" t="s">
        <v>166</v>
      </c>
      <c r="N141" s="39" t="s">
        <v>158</v>
      </c>
      <c r="O141" s="40">
        <v>2</v>
      </c>
      <c r="P141" s="40">
        <v>2</v>
      </c>
      <c r="Q141" s="25" t="str">
        <f>VLOOKUP(P141,Key!$E$2:$F$9,2,FALSE)</f>
        <v>Work</v>
      </c>
      <c r="R141" s="25" t="str">
        <f t="shared" si="5"/>
        <v>Work-Work</v>
      </c>
      <c r="S141" s="44">
        <v>20</v>
      </c>
      <c r="T141" s="44">
        <v>0.5</v>
      </c>
      <c r="U141" s="40">
        <v>2</v>
      </c>
      <c r="V141" s="40"/>
      <c r="W141" s="44"/>
      <c r="X141" s="44"/>
      <c r="Y141" s="45" t="s">
        <v>160</v>
      </c>
      <c r="Z141" s="46">
        <v>1000</v>
      </c>
      <c r="AA141" s="25">
        <f>VLOOKUP(F141,Zones!$A$2:$F$1587,6,FALSE)</f>
        <v>1020</v>
      </c>
      <c r="AB141" s="25">
        <f>VLOOKUP(L141,Zones!$A$2:$F$1587,6,FALSE)</f>
        <v>1147</v>
      </c>
    </row>
    <row r="142" spans="1:28">
      <c r="B142" s="37">
        <v>0.61111111111111105</v>
      </c>
      <c r="C142" s="37" t="s">
        <v>313</v>
      </c>
      <c r="D142" s="38">
        <v>1</v>
      </c>
      <c r="E142" s="39">
        <v>1</v>
      </c>
      <c r="F142" s="39" t="s">
        <v>159</v>
      </c>
      <c r="G142" s="40" t="s">
        <v>159</v>
      </c>
      <c r="H142" s="39" t="s">
        <v>158</v>
      </c>
      <c r="I142" s="40">
        <v>2</v>
      </c>
      <c r="J142" s="40">
        <v>2</v>
      </c>
      <c r="K142" s="25" t="str">
        <f>VLOOKUP(J142,Key!$E$2:$F$9,2,FALSE)</f>
        <v>Work</v>
      </c>
      <c r="L142" s="39" t="s">
        <v>166</v>
      </c>
      <c r="M142" s="40" t="s">
        <v>166</v>
      </c>
      <c r="N142" s="39" t="s">
        <v>158</v>
      </c>
      <c r="O142" s="40">
        <v>9</v>
      </c>
      <c r="P142" s="40">
        <v>8</v>
      </c>
      <c r="Q142" s="25" t="str">
        <f>VLOOKUP(P142,Key!$E$2:$F$9,2,FALSE)</f>
        <v>Others</v>
      </c>
      <c r="R142" s="25" t="str">
        <f t="shared" si="5"/>
        <v>Work-Others</v>
      </c>
      <c r="S142" s="44"/>
      <c r="T142" s="44"/>
      <c r="U142" s="40">
        <v>6</v>
      </c>
      <c r="V142" s="40"/>
      <c r="W142" s="44"/>
      <c r="X142" s="44"/>
      <c r="Y142" s="45" t="s">
        <v>171</v>
      </c>
      <c r="Z142" s="46">
        <v>0</v>
      </c>
      <c r="AA142" s="25">
        <f>VLOOKUP(F142,Zones!$A$2:$F$1587,6,FALSE)</f>
        <v>1020</v>
      </c>
      <c r="AB142" s="25">
        <f>VLOOKUP(L142,Zones!$A$2:$F$1587,6,FALSE)</f>
        <v>1147</v>
      </c>
    </row>
    <row r="143" spans="1:28">
      <c r="B143" s="37">
        <v>0.55208333333333337</v>
      </c>
      <c r="C143" s="37" t="s">
        <v>326</v>
      </c>
      <c r="D143" s="38">
        <v>1</v>
      </c>
      <c r="E143" s="39">
        <v>2</v>
      </c>
      <c r="F143" s="39" t="s">
        <v>159</v>
      </c>
      <c r="G143" s="40" t="s">
        <v>159</v>
      </c>
      <c r="H143" s="39" t="s">
        <v>158</v>
      </c>
      <c r="I143" s="40">
        <v>16</v>
      </c>
      <c r="J143" s="40">
        <v>5</v>
      </c>
      <c r="K143" s="25" t="str">
        <f>VLOOKUP(J143,Key!$E$2:$F$9,2,FALSE)</f>
        <v>Tourism</v>
      </c>
      <c r="L143" s="39" t="s">
        <v>157</v>
      </c>
      <c r="M143" s="40" t="s">
        <v>157</v>
      </c>
      <c r="N143" s="39" t="s">
        <v>158</v>
      </c>
      <c r="O143" s="40">
        <v>16</v>
      </c>
      <c r="P143" s="40">
        <v>5</v>
      </c>
      <c r="Q143" s="25" t="str">
        <f>VLOOKUP(P143,Key!$E$2:$F$9,2,FALSE)</f>
        <v>Tourism</v>
      </c>
      <c r="R143" s="25" t="str">
        <f t="shared" si="5"/>
        <v>Tourism-Tourism</v>
      </c>
      <c r="S143" s="44"/>
      <c r="T143" s="44"/>
      <c r="U143" s="40">
        <v>6</v>
      </c>
      <c r="V143" s="40"/>
      <c r="W143" s="44"/>
      <c r="X143" s="44"/>
      <c r="Y143" s="45" t="s">
        <v>160</v>
      </c>
      <c r="Z143" s="46">
        <v>0</v>
      </c>
      <c r="AA143" s="25">
        <f>VLOOKUP(F143,Zones!$A$2:$F$1587,6,FALSE)</f>
        <v>1020</v>
      </c>
      <c r="AB143" s="25">
        <f>VLOOKUP(L143,Zones!$A$2:$F$1587,6,FALSE)</f>
        <v>1352</v>
      </c>
    </row>
    <row r="144" spans="1:28">
      <c r="B144" s="37">
        <v>0.54722222222222217</v>
      </c>
      <c r="C144" s="37" t="s">
        <v>314</v>
      </c>
      <c r="D144" s="38">
        <v>2</v>
      </c>
      <c r="E144" s="39">
        <v>2</v>
      </c>
      <c r="F144" s="39" t="s">
        <v>163</v>
      </c>
      <c r="G144" s="40" t="s">
        <v>159</v>
      </c>
      <c r="H144" s="39" t="s">
        <v>158</v>
      </c>
      <c r="I144" s="40">
        <v>1</v>
      </c>
      <c r="J144" s="40">
        <v>1</v>
      </c>
      <c r="K144" s="25" t="str">
        <f>VLOOKUP(J144,Key!$E$2:$F$9,2,FALSE)</f>
        <v>Home</v>
      </c>
      <c r="L144" s="39" t="s">
        <v>157</v>
      </c>
      <c r="M144" s="40" t="s">
        <v>157</v>
      </c>
      <c r="N144" s="39" t="s">
        <v>158</v>
      </c>
      <c r="O144" s="40">
        <v>10</v>
      </c>
      <c r="P144" s="40">
        <v>2</v>
      </c>
      <c r="Q144" s="25" t="str">
        <f>VLOOKUP(P144,Key!$E$2:$F$9,2,FALSE)</f>
        <v>Work</v>
      </c>
      <c r="R144" s="25" t="str">
        <f t="shared" si="5"/>
        <v>Home-Work</v>
      </c>
      <c r="S144" s="44">
        <v>47</v>
      </c>
      <c r="T144" s="44">
        <v>4</v>
      </c>
      <c r="U144" s="40">
        <v>3</v>
      </c>
      <c r="V144" s="40"/>
      <c r="W144" s="44"/>
      <c r="X144" s="44"/>
      <c r="Y144" s="45" t="s">
        <v>160</v>
      </c>
      <c r="Z144" s="46">
        <v>0</v>
      </c>
      <c r="AA144" s="25">
        <f>VLOOKUP(F144,Zones!$A$2:$F$1587,6,FALSE)</f>
        <v>1021</v>
      </c>
      <c r="AB144" s="25">
        <f>VLOOKUP(L144,Zones!$A$2:$F$1587,6,FALSE)</f>
        <v>1352</v>
      </c>
    </row>
    <row r="145" spans="2:28">
      <c r="B145" s="37">
        <v>0.50277777777777777</v>
      </c>
      <c r="C145" s="37" t="s">
        <v>315</v>
      </c>
      <c r="D145" s="38">
        <v>3</v>
      </c>
      <c r="E145" s="39">
        <v>2</v>
      </c>
      <c r="F145" s="39" t="s">
        <v>159</v>
      </c>
      <c r="G145" s="40" t="s">
        <v>159</v>
      </c>
      <c r="H145" s="39" t="s">
        <v>158</v>
      </c>
      <c r="I145" s="40">
        <v>1</v>
      </c>
      <c r="J145" s="40">
        <v>1</v>
      </c>
      <c r="K145" s="25" t="str">
        <f>VLOOKUP(J145,Key!$E$2:$F$9,2,FALSE)</f>
        <v>Home</v>
      </c>
      <c r="L145" s="39" t="s">
        <v>166</v>
      </c>
      <c r="M145" s="40" t="s">
        <v>166</v>
      </c>
      <c r="N145" s="39" t="s">
        <v>158</v>
      </c>
      <c r="O145" s="40">
        <v>9</v>
      </c>
      <c r="P145" s="40">
        <v>2</v>
      </c>
      <c r="Q145" s="25" t="str">
        <f>VLOOKUP(P145,Key!$E$2:$F$9,2,FALSE)</f>
        <v>Work</v>
      </c>
      <c r="R145" s="25" t="str">
        <f t="shared" si="5"/>
        <v>Home-Work</v>
      </c>
      <c r="S145" s="44">
        <v>42</v>
      </c>
      <c r="T145" s="44">
        <v>3</v>
      </c>
      <c r="U145" s="40">
        <v>3</v>
      </c>
      <c r="V145" s="40"/>
      <c r="W145" s="44"/>
      <c r="X145" s="44"/>
      <c r="Y145" s="45" t="s">
        <v>160</v>
      </c>
      <c r="Z145" s="46">
        <v>0</v>
      </c>
      <c r="AA145" s="25">
        <f>VLOOKUP(F145,Zones!$A$2:$F$1587,6,FALSE)</f>
        <v>1020</v>
      </c>
      <c r="AB145" s="25">
        <f>VLOOKUP(L145,Zones!$A$2:$F$1587,6,FALSE)</f>
        <v>1147</v>
      </c>
    </row>
    <row r="146" spans="2:28">
      <c r="B146" s="37">
        <v>0.70138888888888884</v>
      </c>
      <c r="C146" s="37" t="s">
        <v>325</v>
      </c>
      <c r="D146" s="38">
        <v>8</v>
      </c>
      <c r="E146" s="39">
        <v>3</v>
      </c>
      <c r="F146" s="39" t="s">
        <v>159</v>
      </c>
      <c r="G146" s="40" t="s">
        <v>159</v>
      </c>
      <c r="H146" s="39" t="s">
        <v>158</v>
      </c>
      <c r="I146" s="40">
        <v>11</v>
      </c>
      <c r="J146" s="40">
        <v>4</v>
      </c>
      <c r="K146" s="25" t="str">
        <f>VLOOKUP(J146,Key!$E$2:$F$9,2,FALSE)</f>
        <v>Commercial</v>
      </c>
      <c r="L146" s="39" t="s">
        <v>157</v>
      </c>
      <c r="M146" s="40" t="s">
        <v>157</v>
      </c>
      <c r="N146" s="39" t="s">
        <v>158</v>
      </c>
      <c r="O146" s="40">
        <v>7</v>
      </c>
      <c r="P146" s="40">
        <v>4</v>
      </c>
      <c r="Q146" s="25" t="str">
        <f>VLOOKUP(P146,Key!$E$2:$F$9,2,FALSE)</f>
        <v>Commercial</v>
      </c>
      <c r="R146" s="25" t="str">
        <f t="shared" si="5"/>
        <v>Commercial-Commercial</v>
      </c>
      <c r="S146" s="44">
        <v>165</v>
      </c>
      <c r="T146" s="44">
        <v>4</v>
      </c>
      <c r="U146" s="40">
        <v>4</v>
      </c>
      <c r="V146" s="40"/>
      <c r="W146" s="44"/>
      <c r="X146" s="44"/>
      <c r="Y146" s="45" t="s">
        <v>160</v>
      </c>
      <c r="Z146" s="46">
        <v>0</v>
      </c>
      <c r="AA146" s="25">
        <f>VLOOKUP(F146,Zones!$A$2:$F$1587,6,FALSE)</f>
        <v>1020</v>
      </c>
      <c r="AB146" s="25">
        <f>VLOOKUP(L146,Zones!$A$2:$F$1587,6,FALSE)</f>
        <v>1352</v>
      </c>
    </row>
    <row r="147" spans="2:28">
      <c r="B147" s="37">
        <v>0.71319444444444446</v>
      </c>
      <c r="C147" s="37" t="s">
        <v>316</v>
      </c>
      <c r="D147" s="38">
        <v>3</v>
      </c>
      <c r="E147" s="39">
        <v>1</v>
      </c>
      <c r="F147" s="39" t="s">
        <v>159</v>
      </c>
      <c r="G147" s="40" t="s">
        <v>159</v>
      </c>
      <c r="H147" s="39" t="s">
        <v>158</v>
      </c>
      <c r="I147" s="40">
        <v>12</v>
      </c>
      <c r="J147" s="40">
        <v>2</v>
      </c>
      <c r="K147" s="25" t="str">
        <f>VLOOKUP(J147,Key!$E$2:$F$9,2,FALSE)</f>
        <v>Work</v>
      </c>
      <c r="L147" s="39" t="s">
        <v>224</v>
      </c>
      <c r="M147" s="40" t="s">
        <v>224</v>
      </c>
      <c r="N147" s="39" t="s">
        <v>158</v>
      </c>
      <c r="O147" s="40">
        <v>2</v>
      </c>
      <c r="P147" s="40">
        <v>2</v>
      </c>
      <c r="Q147" s="25" t="str">
        <f>VLOOKUP(P147,Key!$E$2:$F$9,2,FALSE)</f>
        <v>Work</v>
      </c>
      <c r="R147" s="25" t="str">
        <f t="shared" si="5"/>
        <v>Work-Work</v>
      </c>
      <c r="S147" s="44"/>
      <c r="T147" s="44"/>
      <c r="U147" s="40">
        <v>5</v>
      </c>
      <c r="V147" s="40"/>
      <c r="W147" s="44"/>
      <c r="X147" s="44"/>
      <c r="Y147" s="45" t="s">
        <v>160</v>
      </c>
      <c r="Z147" s="46">
        <v>10000</v>
      </c>
      <c r="AA147" s="25">
        <f>VLOOKUP(F147,Zones!$A$2:$F$1587,6,FALSE)</f>
        <v>1020</v>
      </c>
      <c r="AB147" s="25">
        <f>VLOOKUP(L147,Zones!$A$2:$F$1587,6,FALSE)</f>
        <v>1</v>
      </c>
    </row>
    <row r="148" spans="2:28">
      <c r="B148" s="37">
        <v>0.39027777777777778</v>
      </c>
      <c r="C148" s="37" t="s">
        <v>317</v>
      </c>
      <c r="D148" s="38">
        <v>9</v>
      </c>
      <c r="E148" s="39">
        <v>3</v>
      </c>
      <c r="F148" s="39" t="s">
        <v>159</v>
      </c>
      <c r="G148" s="40" t="s">
        <v>159</v>
      </c>
      <c r="H148" s="39" t="s">
        <v>158</v>
      </c>
      <c r="I148" s="40">
        <v>7</v>
      </c>
      <c r="J148" s="40">
        <v>4</v>
      </c>
      <c r="K148" s="25" t="str">
        <f>VLOOKUP(J148,Key!$E$2:$F$9,2,FALSE)</f>
        <v>Commercial</v>
      </c>
      <c r="L148" s="39" t="s">
        <v>2048</v>
      </c>
      <c r="M148" s="40" t="s">
        <v>166</v>
      </c>
      <c r="N148" s="39" t="s">
        <v>158</v>
      </c>
      <c r="O148" s="40">
        <v>11</v>
      </c>
      <c r="P148" s="40">
        <v>4</v>
      </c>
      <c r="Q148" s="25" t="str">
        <f>VLOOKUP(P148,Key!$E$2:$F$9,2,FALSE)</f>
        <v>Commercial</v>
      </c>
      <c r="R148" s="25" t="str">
        <f t="shared" si="5"/>
        <v>Commercial-Commercial</v>
      </c>
      <c r="S148" s="44">
        <v>30</v>
      </c>
      <c r="T148" s="44">
        <v>0.3</v>
      </c>
      <c r="U148" s="40">
        <v>5</v>
      </c>
      <c r="V148" s="40"/>
      <c r="W148" s="44"/>
      <c r="X148" s="44"/>
      <c r="Y148" s="45" t="s">
        <v>171</v>
      </c>
      <c r="Z148" s="46">
        <v>0</v>
      </c>
      <c r="AA148" s="25">
        <f>VLOOKUP(F148,Zones!$A$2:$F$1587,6,FALSE)</f>
        <v>1020</v>
      </c>
      <c r="AB148" s="25">
        <f>VLOOKUP(L148,Zones!$A$2:$F$1587,6,FALSE)</f>
        <v>1146</v>
      </c>
    </row>
    <row r="149" spans="2:28">
      <c r="B149" s="37">
        <v>0.41319444444444442</v>
      </c>
      <c r="C149" s="37" t="s">
        <v>318</v>
      </c>
      <c r="D149" s="38">
        <v>4</v>
      </c>
      <c r="E149" s="39">
        <v>16</v>
      </c>
      <c r="F149" s="39" t="s">
        <v>159</v>
      </c>
      <c r="G149" s="40" t="s">
        <v>159</v>
      </c>
      <c r="H149" s="39" t="s">
        <v>158</v>
      </c>
      <c r="I149" s="40">
        <v>6</v>
      </c>
      <c r="J149" s="40">
        <v>2</v>
      </c>
      <c r="K149" s="25" t="str">
        <f>VLOOKUP(J149,Key!$E$2:$F$9,2,FALSE)</f>
        <v>Work</v>
      </c>
      <c r="L149" s="39" t="s">
        <v>157</v>
      </c>
      <c r="M149" s="40" t="s">
        <v>157</v>
      </c>
      <c r="N149" s="39" t="s">
        <v>158</v>
      </c>
      <c r="O149" s="40">
        <v>6</v>
      </c>
      <c r="P149" s="40">
        <v>2</v>
      </c>
      <c r="Q149" s="25" t="str">
        <f>VLOOKUP(P149,Key!$E$2:$F$9,2,FALSE)</f>
        <v>Work</v>
      </c>
      <c r="R149" s="25" t="str">
        <f t="shared" si="5"/>
        <v>Work-Work</v>
      </c>
      <c r="S149" s="44">
        <v>160</v>
      </c>
      <c r="T149" s="44">
        <v>2.7</v>
      </c>
      <c r="U149" s="40">
        <v>2</v>
      </c>
      <c r="V149" s="40"/>
      <c r="W149" s="44"/>
      <c r="X149" s="44"/>
      <c r="Y149" s="45" t="s">
        <v>160</v>
      </c>
      <c r="Z149" s="46">
        <v>0</v>
      </c>
      <c r="AA149" s="25">
        <f>VLOOKUP(F149,Zones!$A$2:$F$1587,6,FALSE)</f>
        <v>1020</v>
      </c>
      <c r="AB149" s="25">
        <f>VLOOKUP(L149,Zones!$A$2:$F$1587,6,FALSE)</f>
        <v>1352</v>
      </c>
    </row>
    <row r="150" spans="2:28">
      <c r="B150" s="37">
        <v>0.42708333333333331</v>
      </c>
      <c r="C150" s="37" t="s">
        <v>319</v>
      </c>
      <c r="D150" s="38">
        <v>10</v>
      </c>
      <c r="E150" s="39">
        <v>1</v>
      </c>
      <c r="F150" s="39" t="s">
        <v>159</v>
      </c>
      <c r="G150" s="40" t="s">
        <v>159</v>
      </c>
      <c r="H150" s="39" t="s">
        <v>158</v>
      </c>
      <c r="I150" s="40">
        <v>10</v>
      </c>
      <c r="J150" s="40">
        <v>2</v>
      </c>
      <c r="K150" s="25" t="str">
        <f>VLOOKUP(J150,Key!$E$2:$F$9,2,FALSE)</f>
        <v>Work</v>
      </c>
      <c r="L150" s="39" t="s">
        <v>195</v>
      </c>
      <c r="M150" s="40" t="s">
        <v>195</v>
      </c>
      <c r="N150" s="39" t="s">
        <v>158</v>
      </c>
      <c r="O150" s="40">
        <v>3</v>
      </c>
      <c r="P150" s="40">
        <v>2</v>
      </c>
      <c r="Q150" s="25" t="str">
        <f>VLOOKUP(P150,Key!$E$2:$F$9,2,FALSE)</f>
        <v>Work</v>
      </c>
      <c r="R150" s="25" t="str">
        <f t="shared" si="5"/>
        <v>Work-Work</v>
      </c>
      <c r="S150" s="44">
        <v>300</v>
      </c>
      <c r="T150" s="44">
        <v>8</v>
      </c>
      <c r="U150" s="40">
        <v>5</v>
      </c>
      <c r="V150" s="40"/>
      <c r="W150" s="44"/>
      <c r="X150" s="44"/>
      <c r="Y150" s="45" t="s">
        <v>160</v>
      </c>
      <c r="Z150" s="46">
        <v>0</v>
      </c>
      <c r="AA150" s="25">
        <f>VLOOKUP(F150,Zones!$A$2:$F$1587,6,FALSE)</f>
        <v>1020</v>
      </c>
      <c r="AB150" s="25">
        <f>VLOOKUP(L150,Zones!$A$2:$F$1587,6,FALSE)</f>
        <v>975</v>
      </c>
    </row>
    <row r="151" spans="2:28">
      <c r="B151" s="37">
        <v>0.48055555555555557</v>
      </c>
      <c r="C151" s="37" t="s">
        <v>320</v>
      </c>
      <c r="D151" s="38">
        <v>10</v>
      </c>
      <c r="E151" s="39">
        <v>8</v>
      </c>
      <c r="F151" s="39" t="s">
        <v>159</v>
      </c>
      <c r="G151" s="40" t="s">
        <v>159</v>
      </c>
      <c r="H151" s="39" t="s">
        <v>158</v>
      </c>
      <c r="I151" s="40">
        <v>1</v>
      </c>
      <c r="J151" s="40">
        <v>2</v>
      </c>
      <c r="K151" s="25" t="str">
        <f>VLOOKUP(J151,Key!$E$2:$F$9,2,FALSE)</f>
        <v>Work</v>
      </c>
      <c r="L151" s="39" t="s">
        <v>157</v>
      </c>
      <c r="M151" s="40" t="s">
        <v>157</v>
      </c>
      <c r="N151" s="39" t="s">
        <v>158</v>
      </c>
      <c r="O151" s="40">
        <v>11</v>
      </c>
      <c r="P151" s="40">
        <v>2</v>
      </c>
      <c r="Q151" s="25" t="str">
        <f>VLOOKUP(P151,Key!$E$2:$F$9,2,FALSE)</f>
        <v>Work</v>
      </c>
      <c r="R151" s="25" t="str">
        <f t="shared" si="5"/>
        <v>Work-Work</v>
      </c>
      <c r="S151" s="44">
        <v>160</v>
      </c>
      <c r="T151" s="44">
        <v>3</v>
      </c>
      <c r="U151" s="40">
        <v>6</v>
      </c>
      <c r="V151" s="40">
        <v>11</v>
      </c>
      <c r="W151" s="44"/>
      <c r="X151" s="44"/>
      <c r="Y151" s="45" t="s">
        <v>160</v>
      </c>
      <c r="Z151" s="46">
        <v>0</v>
      </c>
      <c r="AA151" s="25">
        <f>VLOOKUP(F151,Zones!$A$2:$F$1587,6,FALSE)</f>
        <v>1020</v>
      </c>
      <c r="AB151" s="25">
        <f>VLOOKUP(L151,Zones!$A$2:$F$1587,6,FALSE)</f>
        <v>1352</v>
      </c>
    </row>
    <row r="152" spans="2:28">
      <c r="B152" s="37">
        <v>0.4861111111111111</v>
      </c>
      <c r="C152" s="37" t="s">
        <v>321</v>
      </c>
      <c r="D152" s="38">
        <v>11</v>
      </c>
      <c r="E152" s="39">
        <v>2</v>
      </c>
      <c r="F152" s="39" t="s">
        <v>159</v>
      </c>
      <c r="G152" s="40" t="s">
        <v>159</v>
      </c>
      <c r="H152" s="39" t="s">
        <v>158</v>
      </c>
      <c r="I152" s="40">
        <v>1</v>
      </c>
      <c r="J152" s="40">
        <v>1</v>
      </c>
      <c r="K152" s="25" t="str">
        <f>VLOOKUP(J152,Key!$E$2:$F$9,2,FALSE)</f>
        <v>Home</v>
      </c>
      <c r="L152" s="39" t="s">
        <v>162</v>
      </c>
      <c r="M152" s="40" t="s">
        <v>166</v>
      </c>
      <c r="N152" s="39" t="s">
        <v>158</v>
      </c>
      <c r="O152" s="40">
        <v>3</v>
      </c>
      <c r="P152" s="40">
        <v>2</v>
      </c>
      <c r="Q152" s="25" t="str">
        <f>VLOOKUP(P152,Key!$E$2:$F$9,2,FALSE)</f>
        <v>Work</v>
      </c>
      <c r="R152" s="25" t="str">
        <f t="shared" si="5"/>
        <v>Home-Work</v>
      </c>
      <c r="S152" s="44"/>
      <c r="T152" s="44">
        <v>0.3</v>
      </c>
      <c r="U152" s="40">
        <v>3</v>
      </c>
      <c r="V152" s="40"/>
      <c r="W152" s="44"/>
      <c r="X152" s="44"/>
      <c r="Y152" s="45" t="s">
        <v>160</v>
      </c>
      <c r="Z152" s="46">
        <v>0</v>
      </c>
      <c r="AA152" s="25">
        <f>VLOOKUP(F152,Zones!$A$2:$F$1587,6,FALSE)</f>
        <v>1020</v>
      </c>
      <c r="AB152" s="25">
        <f>VLOOKUP(L152,Zones!$A$2:$F$1587,6,FALSE)</f>
        <v>1020</v>
      </c>
    </row>
    <row r="153" spans="2:28">
      <c r="B153" s="37">
        <v>0.49236111111111108</v>
      </c>
      <c r="C153" s="37" t="s">
        <v>323</v>
      </c>
      <c r="D153" s="38">
        <v>4</v>
      </c>
      <c r="E153" s="39">
        <v>13</v>
      </c>
      <c r="F153" s="39" t="s">
        <v>159</v>
      </c>
      <c r="G153" s="40" t="s">
        <v>159</v>
      </c>
      <c r="H153" s="39" t="s">
        <v>158</v>
      </c>
      <c r="I153" s="40">
        <v>6</v>
      </c>
      <c r="J153" s="40">
        <v>2</v>
      </c>
      <c r="K153" s="25" t="str">
        <f>VLOOKUP(J153,Key!$E$2:$F$9,2,FALSE)</f>
        <v>Work</v>
      </c>
      <c r="L153" s="39" t="s">
        <v>157</v>
      </c>
      <c r="M153" s="40" t="s">
        <v>157</v>
      </c>
      <c r="N153" s="39" t="s">
        <v>158</v>
      </c>
      <c r="O153" s="40">
        <v>6</v>
      </c>
      <c r="P153" s="40">
        <v>2</v>
      </c>
      <c r="Q153" s="25" t="str">
        <f>VLOOKUP(P153,Key!$E$2:$F$9,2,FALSE)</f>
        <v>Work</v>
      </c>
      <c r="R153" s="25" t="str">
        <f t="shared" si="5"/>
        <v>Work-Work</v>
      </c>
      <c r="S153" s="44">
        <v>167</v>
      </c>
      <c r="T153" s="44">
        <v>3</v>
      </c>
      <c r="U153" s="40">
        <v>3</v>
      </c>
      <c r="V153" s="40"/>
      <c r="W153" s="44"/>
      <c r="X153" s="44"/>
      <c r="Y153" s="45" t="s">
        <v>160</v>
      </c>
      <c r="Z153" s="46">
        <v>0</v>
      </c>
      <c r="AA153" s="25">
        <f>VLOOKUP(F153,Zones!$A$2:$F$1587,6,FALSE)</f>
        <v>1020</v>
      </c>
      <c r="AB153" s="25">
        <f>VLOOKUP(L153,Zones!$A$2:$F$1587,6,FALSE)</f>
        <v>1352</v>
      </c>
    </row>
    <row r="154" spans="2:28">
      <c r="B154" s="37">
        <v>0.36736111111111108</v>
      </c>
      <c r="C154" s="37" t="s">
        <v>324</v>
      </c>
      <c r="D154" s="38">
        <v>3</v>
      </c>
      <c r="E154" s="39">
        <v>3</v>
      </c>
      <c r="F154" s="39" t="s">
        <v>159</v>
      </c>
      <c r="G154" s="40" t="s">
        <v>159</v>
      </c>
      <c r="H154" s="39" t="s">
        <v>158</v>
      </c>
      <c r="I154" s="40">
        <v>2</v>
      </c>
      <c r="J154" s="40">
        <v>2</v>
      </c>
      <c r="K154" s="25" t="str">
        <f>VLOOKUP(J154,Key!$E$2:$F$9,2,FALSE)</f>
        <v>Work</v>
      </c>
      <c r="L154" s="39" t="s">
        <v>166</v>
      </c>
      <c r="M154" s="40" t="s">
        <v>166</v>
      </c>
      <c r="N154" s="39" t="s">
        <v>158</v>
      </c>
      <c r="O154" s="40">
        <v>10</v>
      </c>
      <c r="P154" s="40">
        <v>2</v>
      </c>
      <c r="Q154" s="25" t="str">
        <f>VLOOKUP(P154,Key!$E$2:$F$9,2,FALSE)</f>
        <v>Work</v>
      </c>
      <c r="R154" s="25" t="str">
        <f t="shared" si="5"/>
        <v>Work-Work</v>
      </c>
      <c r="S154" s="44"/>
      <c r="T154" s="44">
        <v>2</v>
      </c>
      <c r="U154" s="40">
        <v>6</v>
      </c>
      <c r="V154" s="40"/>
      <c r="W154" s="44"/>
      <c r="X154" s="44"/>
      <c r="Y154" s="45" t="s">
        <v>160</v>
      </c>
      <c r="Z154" s="46">
        <v>10000</v>
      </c>
      <c r="AA154" s="25">
        <f>VLOOKUP(F154,Zones!$A$2:$F$1587,6,FALSE)</f>
        <v>1020</v>
      </c>
      <c r="AB154" s="25">
        <f>VLOOKUP(L154,Zones!$A$2:$F$1587,6,FALSE)</f>
        <v>1147</v>
      </c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87"/>
  <sheetViews>
    <sheetView topLeftCell="A1567" workbookViewId="0">
      <selection activeCell="F449" sqref="F449:F450"/>
    </sheetView>
  </sheetViews>
  <sheetFormatPr defaultRowHeight="15"/>
  <cols>
    <col min="1" max="1" width="23.28515625" style="69" customWidth="1"/>
    <col min="2" max="2" width="17.85546875" style="69" customWidth="1"/>
    <col min="3" max="3" width="15" style="69" customWidth="1"/>
    <col min="4" max="4" width="19.42578125" style="69" customWidth="1"/>
    <col min="5" max="5" width="17.7109375" style="69" customWidth="1"/>
    <col min="6" max="6" width="9.140625" style="69"/>
    <col min="7" max="7" width="35.42578125" style="69" customWidth="1"/>
    <col min="8" max="16384" width="9.140625" style="69"/>
  </cols>
  <sheetData>
    <row r="1" spans="1:6">
      <c r="A1" s="70" t="s">
        <v>334</v>
      </c>
      <c r="B1" s="70" t="s">
        <v>335</v>
      </c>
      <c r="C1" s="70" t="s">
        <v>336</v>
      </c>
      <c r="D1" s="70" t="s">
        <v>337</v>
      </c>
      <c r="E1" s="70" t="s">
        <v>338</v>
      </c>
      <c r="F1" s="71" t="s">
        <v>339</v>
      </c>
    </row>
    <row r="2" spans="1:6">
      <c r="A2" s="69" t="s">
        <v>340</v>
      </c>
      <c r="B2" s="69" t="s">
        <v>340</v>
      </c>
      <c r="C2" s="69" t="s">
        <v>341</v>
      </c>
      <c r="D2" s="69" t="str">
        <f t="shared" ref="D2:D65" si="0">A2</f>
        <v>Abim</v>
      </c>
      <c r="F2" s="69">
        <v>1</v>
      </c>
    </row>
    <row r="3" spans="1:6">
      <c r="A3" s="69" t="s">
        <v>342</v>
      </c>
      <c r="B3" s="69" t="s">
        <v>340</v>
      </c>
      <c r="C3" s="69" t="s">
        <v>341</v>
      </c>
      <c r="D3" s="69" t="str">
        <f t="shared" si="0"/>
        <v>Arioli</v>
      </c>
      <c r="F3" s="69">
        <v>1</v>
      </c>
    </row>
    <row r="4" spans="1:6">
      <c r="A4" s="69" t="s">
        <v>343</v>
      </c>
      <c r="B4" s="69" t="s">
        <v>340</v>
      </c>
      <c r="C4" s="69" t="s">
        <v>341</v>
      </c>
      <c r="D4" s="69" t="str">
        <f t="shared" si="0"/>
        <v>Oporoth village</v>
      </c>
      <c r="F4" s="69">
        <v>1</v>
      </c>
    </row>
    <row r="5" spans="1:6">
      <c r="A5" s="69" t="s">
        <v>344</v>
      </c>
      <c r="B5" s="69" t="s">
        <v>340</v>
      </c>
      <c r="C5" s="69" t="s">
        <v>341</v>
      </c>
      <c r="D5" s="69" t="str">
        <f t="shared" si="0"/>
        <v>Loyoroit</v>
      </c>
      <c r="F5" s="69">
        <v>1</v>
      </c>
    </row>
    <row r="6" spans="1:6">
      <c r="A6" s="69" t="s">
        <v>345</v>
      </c>
      <c r="B6" s="69" t="s">
        <v>340</v>
      </c>
      <c r="C6" s="69" t="s">
        <v>341</v>
      </c>
      <c r="D6" s="69" t="str">
        <f t="shared" si="0"/>
        <v>Abim town</v>
      </c>
      <c r="F6" s="69">
        <v>1</v>
      </c>
    </row>
    <row r="7" spans="1:6">
      <c r="A7" s="69" t="s">
        <v>346</v>
      </c>
      <c r="B7" s="69" t="s">
        <v>340</v>
      </c>
      <c r="C7" s="69" t="s">
        <v>341</v>
      </c>
      <c r="D7" s="69" t="str">
        <f t="shared" si="0"/>
        <v>Olumi</v>
      </c>
      <c r="F7" s="69">
        <v>1</v>
      </c>
    </row>
    <row r="8" spans="1:6">
      <c r="A8" s="69" t="s">
        <v>347</v>
      </c>
      <c r="B8" s="69" t="s">
        <v>340</v>
      </c>
      <c r="C8" s="69" t="s">
        <v>341</v>
      </c>
      <c r="D8" s="69" t="str">
        <f t="shared" si="0"/>
        <v>Abim Town Council</v>
      </c>
      <c r="F8" s="69">
        <v>2</v>
      </c>
    </row>
    <row r="9" spans="1:6">
      <c r="A9" s="69" t="s">
        <v>348</v>
      </c>
      <c r="B9" s="69" t="s">
        <v>340</v>
      </c>
      <c r="C9" s="69" t="s">
        <v>341</v>
      </c>
      <c r="D9" s="69" t="str">
        <f t="shared" si="0"/>
        <v xml:space="preserve"> Abim town</v>
      </c>
      <c r="F9" s="69">
        <v>2</v>
      </c>
    </row>
    <row r="10" spans="1:6">
      <c r="A10" s="69" t="s">
        <v>349</v>
      </c>
      <c r="B10" s="69" t="s">
        <v>340</v>
      </c>
      <c r="C10" s="69" t="s">
        <v>341</v>
      </c>
      <c r="D10" s="69" t="str">
        <f t="shared" si="0"/>
        <v>Liamging village</v>
      </c>
      <c r="F10" s="69">
        <v>2</v>
      </c>
    </row>
    <row r="11" spans="1:6">
      <c r="A11" s="69" t="s">
        <v>350</v>
      </c>
      <c r="B11" s="69" t="s">
        <v>340</v>
      </c>
      <c r="C11" s="69" t="s">
        <v>341</v>
      </c>
      <c r="D11" s="69" t="str">
        <f t="shared" si="0"/>
        <v>Abuk</v>
      </c>
      <c r="F11" s="69">
        <v>2</v>
      </c>
    </row>
    <row r="12" spans="1:6">
      <c r="A12" s="69" t="s">
        <v>351</v>
      </c>
      <c r="B12" s="69" t="s">
        <v>340</v>
      </c>
      <c r="C12" s="69" t="s">
        <v>341</v>
      </c>
      <c r="D12" s="69" t="str">
        <f t="shared" si="0"/>
        <v>Orwamuge</v>
      </c>
      <c r="F12" s="69">
        <v>2</v>
      </c>
    </row>
    <row r="13" spans="1:6">
      <c r="A13" s="69" t="s">
        <v>352</v>
      </c>
      <c r="B13" s="69" t="s">
        <v>340</v>
      </c>
      <c r="C13" s="69" t="s">
        <v>341</v>
      </c>
      <c r="D13" s="69" t="str">
        <f t="shared" si="0"/>
        <v>Barotuke</v>
      </c>
      <c r="F13" s="69">
        <v>2</v>
      </c>
    </row>
    <row r="14" spans="1:6">
      <c r="A14" s="69" t="s">
        <v>353</v>
      </c>
      <c r="B14" s="69" t="s">
        <v>340</v>
      </c>
      <c r="C14" s="69" t="s">
        <v>341</v>
      </c>
      <c r="D14" s="69" t="str">
        <f t="shared" si="0"/>
        <v xml:space="preserve">Orwamuge </v>
      </c>
      <c r="F14" s="69">
        <v>2</v>
      </c>
    </row>
    <row r="15" spans="1:6">
      <c r="A15" s="69" t="s">
        <v>354</v>
      </c>
      <c r="B15" s="69" t="s">
        <v>340</v>
      </c>
      <c r="C15" s="69" t="s">
        <v>341</v>
      </c>
      <c r="D15" s="69" t="str">
        <f t="shared" si="0"/>
        <v>Achangali</v>
      </c>
      <c r="F15" s="69">
        <v>2</v>
      </c>
    </row>
    <row r="16" spans="1:6">
      <c r="A16" s="69" t="s">
        <v>355</v>
      </c>
      <c r="B16" s="69" t="s">
        <v>340</v>
      </c>
      <c r="C16" s="69" t="s">
        <v>341</v>
      </c>
      <c r="D16" s="69" t="str">
        <f t="shared" si="0"/>
        <v>Adea</v>
      </c>
      <c r="F16" s="69">
        <v>2</v>
      </c>
    </row>
    <row r="17" spans="1:6">
      <c r="A17" s="69" t="s">
        <v>356</v>
      </c>
      <c r="B17" s="69" t="s">
        <v>340</v>
      </c>
      <c r="C17" s="69" t="s">
        <v>341</v>
      </c>
      <c r="D17" s="69" t="str">
        <f t="shared" si="0"/>
        <v xml:space="preserve">Abim town </v>
      </c>
      <c r="F17" s="69">
        <v>2</v>
      </c>
    </row>
    <row r="18" spans="1:6">
      <c r="A18" s="69" t="s">
        <v>357</v>
      </c>
      <c r="B18" s="69" t="s">
        <v>340</v>
      </c>
      <c r="C18" s="69" t="s">
        <v>341</v>
      </c>
      <c r="D18" s="69" t="str">
        <f t="shared" si="0"/>
        <v>Alerek</v>
      </c>
      <c r="F18" s="69">
        <v>3</v>
      </c>
    </row>
    <row r="19" spans="1:6">
      <c r="A19" s="69" t="s">
        <v>358</v>
      </c>
      <c r="B19" s="69" t="s">
        <v>340</v>
      </c>
      <c r="C19" s="69" t="s">
        <v>341</v>
      </c>
      <c r="D19" s="69" t="str">
        <f t="shared" si="0"/>
        <v>Lotukei</v>
      </c>
      <c r="F19" s="69">
        <v>4</v>
      </c>
    </row>
    <row r="20" spans="1:6">
      <c r="A20" s="69" t="s">
        <v>359</v>
      </c>
      <c r="B20" s="69" t="s">
        <v>340</v>
      </c>
      <c r="C20" s="69" t="s">
        <v>341</v>
      </c>
      <c r="D20" s="69" t="str">
        <f t="shared" si="0"/>
        <v>Morulem</v>
      </c>
      <c r="F20" s="69">
        <v>5</v>
      </c>
    </row>
    <row r="21" spans="1:6">
      <c r="A21" s="69" t="s">
        <v>360</v>
      </c>
      <c r="B21" s="69" t="s">
        <v>340</v>
      </c>
      <c r="C21" s="69" t="s">
        <v>341</v>
      </c>
      <c r="D21" s="69" t="str">
        <f t="shared" si="0"/>
        <v>Nyakwae</v>
      </c>
      <c r="F21" s="69">
        <v>6</v>
      </c>
    </row>
    <row r="22" spans="1:6">
      <c r="A22" s="69" t="s">
        <v>361</v>
      </c>
      <c r="B22" s="69" t="s">
        <v>362</v>
      </c>
      <c r="C22" s="69" t="s">
        <v>363</v>
      </c>
      <c r="D22" s="69" t="str">
        <f t="shared" si="0"/>
        <v>Adjumani Town Council</v>
      </c>
      <c r="F22" s="69">
        <v>7</v>
      </c>
    </row>
    <row r="23" spans="1:6">
      <c r="A23" s="69" t="s">
        <v>364</v>
      </c>
      <c r="B23" s="69" t="s">
        <v>362</v>
      </c>
      <c r="C23" s="69" t="s">
        <v>363</v>
      </c>
      <c r="D23" s="69" t="str">
        <f t="shared" si="0"/>
        <v>Adropi</v>
      </c>
      <c r="F23" s="69">
        <v>8</v>
      </c>
    </row>
    <row r="24" spans="1:6">
      <c r="A24" s="69" t="s">
        <v>365</v>
      </c>
      <c r="B24" s="69" t="s">
        <v>362</v>
      </c>
      <c r="C24" s="69" t="s">
        <v>363</v>
      </c>
      <c r="D24" s="69" t="str">
        <f t="shared" si="0"/>
        <v>Arinyapi</v>
      </c>
      <c r="F24" s="69">
        <v>9</v>
      </c>
    </row>
    <row r="25" spans="1:6">
      <c r="A25" s="69" t="s">
        <v>366</v>
      </c>
      <c r="B25" s="69" t="s">
        <v>362</v>
      </c>
      <c r="C25" s="69" t="s">
        <v>363</v>
      </c>
      <c r="D25" s="69" t="str">
        <f t="shared" si="0"/>
        <v>Ciforo</v>
      </c>
      <c r="F25" s="69">
        <v>10</v>
      </c>
    </row>
    <row r="26" spans="1:6">
      <c r="A26" s="69" t="s">
        <v>367</v>
      </c>
      <c r="B26" s="69" t="s">
        <v>362</v>
      </c>
      <c r="C26" s="69" t="s">
        <v>363</v>
      </c>
      <c r="D26" s="69" t="str">
        <f t="shared" si="0"/>
        <v>Dzaipi</v>
      </c>
      <c r="F26" s="69">
        <v>11</v>
      </c>
    </row>
    <row r="27" spans="1:6">
      <c r="A27" s="69" t="s">
        <v>368</v>
      </c>
      <c r="B27" s="69" t="s">
        <v>362</v>
      </c>
      <c r="C27" s="69" t="s">
        <v>363</v>
      </c>
      <c r="D27" s="69" t="str">
        <f t="shared" si="0"/>
        <v>Itirikwa</v>
      </c>
      <c r="F27" s="69">
        <v>12</v>
      </c>
    </row>
    <row r="28" spans="1:6">
      <c r="A28" s="69" t="s">
        <v>369</v>
      </c>
      <c r="B28" s="69" t="s">
        <v>362</v>
      </c>
      <c r="C28" s="69" t="s">
        <v>363</v>
      </c>
      <c r="D28" s="69" t="str">
        <f t="shared" si="0"/>
        <v>Ofua</v>
      </c>
      <c r="F28" s="69">
        <v>13</v>
      </c>
    </row>
    <row r="29" spans="1:6">
      <c r="A29" s="69" t="s">
        <v>370</v>
      </c>
      <c r="B29" s="69" t="s">
        <v>362</v>
      </c>
      <c r="C29" s="69" t="s">
        <v>363</v>
      </c>
      <c r="D29" s="69" t="str">
        <f t="shared" si="0"/>
        <v>Pacara</v>
      </c>
      <c r="F29" s="69">
        <v>14</v>
      </c>
    </row>
    <row r="30" spans="1:6">
      <c r="A30" s="69" t="s">
        <v>371</v>
      </c>
      <c r="B30" s="69" t="s">
        <v>362</v>
      </c>
      <c r="C30" s="69" t="s">
        <v>363</v>
      </c>
      <c r="D30" s="69" t="str">
        <f t="shared" si="0"/>
        <v>Pakele</v>
      </c>
      <c r="F30" s="69">
        <v>15</v>
      </c>
    </row>
    <row r="31" spans="1:6">
      <c r="A31" s="69" t="s">
        <v>372</v>
      </c>
      <c r="B31" s="69" t="s">
        <v>362</v>
      </c>
      <c r="C31" s="69" t="s">
        <v>363</v>
      </c>
      <c r="D31" s="69" t="str">
        <f t="shared" si="0"/>
        <v>Ukusijoni</v>
      </c>
      <c r="F31" s="69">
        <v>16</v>
      </c>
    </row>
    <row r="32" spans="1:6">
      <c r="A32" s="69" t="s">
        <v>373</v>
      </c>
      <c r="B32" s="69" t="s">
        <v>374</v>
      </c>
      <c r="C32" s="69" t="s">
        <v>374</v>
      </c>
      <c r="D32" s="69" t="str">
        <f t="shared" si="0"/>
        <v>Adilang</v>
      </c>
      <c r="F32" s="69">
        <v>17</v>
      </c>
    </row>
    <row r="33" spans="1:6">
      <c r="A33" s="69" t="s">
        <v>375</v>
      </c>
      <c r="B33" s="69" t="s">
        <v>374</v>
      </c>
      <c r="C33" s="69" t="s">
        <v>374</v>
      </c>
      <c r="D33" s="69" t="str">
        <f t="shared" si="0"/>
        <v>Agago Town Council</v>
      </c>
      <c r="F33" s="69">
        <v>18</v>
      </c>
    </row>
    <row r="34" spans="1:6">
      <c r="A34" s="69" t="s">
        <v>374</v>
      </c>
      <c r="B34" s="69" t="s">
        <v>374</v>
      </c>
      <c r="C34" s="69" t="s">
        <v>374</v>
      </c>
      <c r="D34" s="69" t="str">
        <f t="shared" si="0"/>
        <v>Agago</v>
      </c>
      <c r="F34" s="69">
        <v>18</v>
      </c>
    </row>
    <row r="35" spans="1:6">
      <c r="A35" s="69" t="s">
        <v>376</v>
      </c>
      <c r="B35" s="69" t="s">
        <v>374</v>
      </c>
      <c r="C35" s="69" t="s">
        <v>374</v>
      </c>
      <c r="D35" s="69" t="str">
        <f t="shared" si="0"/>
        <v>Arum</v>
      </c>
      <c r="F35" s="69">
        <v>19</v>
      </c>
    </row>
    <row r="36" spans="1:6">
      <c r="A36" s="69" t="s">
        <v>377</v>
      </c>
      <c r="B36" s="69" t="s">
        <v>374</v>
      </c>
      <c r="C36" s="69" t="s">
        <v>374</v>
      </c>
      <c r="D36" s="69" t="str">
        <f t="shared" si="0"/>
        <v>Kalongo Town Council</v>
      </c>
      <c r="F36" s="69">
        <v>20</v>
      </c>
    </row>
    <row r="37" spans="1:6">
      <c r="A37" s="69" t="s">
        <v>378</v>
      </c>
      <c r="B37" s="69" t="s">
        <v>374</v>
      </c>
      <c r="C37" s="69" t="s">
        <v>374</v>
      </c>
      <c r="D37" s="69" t="str">
        <f t="shared" si="0"/>
        <v>Kotomol</v>
      </c>
      <c r="F37" s="69">
        <v>21</v>
      </c>
    </row>
    <row r="38" spans="1:6">
      <c r="A38" s="69" t="s">
        <v>379</v>
      </c>
      <c r="B38" s="69" t="s">
        <v>374</v>
      </c>
      <c r="C38" s="69" t="s">
        <v>374</v>
      </c>
      <c r="D38" s="69" t="str">
        <f t="shared" si="0"/>
        <v>Lamiyo</v>
      </c>
      <c r="F38" s="69">
        <v>22</v>
      </c>
    </row>
    <row r="39" spans="1:6">
      <c r="A39" s="69" t="s">
        <v>380</v>
      </c>
      <c r="B39" s="69" t="s">
        <v>374</v>
      </c>
      <c r="C39" s="69" t="s">
        <v>374</v>
      </c>
      <c r="D39" s="69" t="str">
        <f t="shared" si="0"/>
        <v>Lapono</v>
      </c>
      <c r="F39" s="69">
        <v>23</v>
      </c>
    </row>
    <row r="40" spans="1:6">
      <c r="A40" s="69" t="s">
        <v>381</v>
      </c>
      <c r="B40" s="69" t="s">
        <v>374</v>
      </c>
      <c r="C40" s="69" t="s">
        <v>374</v>
      </c>
      <c r="D40" s="69" t="str">
        <f t="shared" si="0"/>
        <v>Lira Palwo</v>
      </c>
      <c r="F40" s="69">
        <v>24</v>
      </c>
    </row>
    <row r="41" spans="1:6">
      <c r="A41" s="69" t="s">
        <v>382</v>
      </c>
      <c r="B41" s="69" t="s">
        <v>374</v>
      </c>
      <c r="C41" s="69" t="s">
        <v>374</v>
      </c>
      <c r="D41" s="69" t="str">
        <f t="shared" si="0"/>
        <v>Lokole</v>
      </c>
      <c r="F41" s="69">
        <v>25</v>
      </c>
    </row>
    <row r="42" spans="1:6">
      <c r="A42" s="69" t="s">
        <v>383</v>
      </c>
      <c r="B42" s="69" t="s">
        <v>374</v>
      </c>
      <c r="C42" s="69" t="s">
        <v>374</v>
      </c>
      <c r="D42" s="69" t="str">
        <f t="shared" si="0"/>
        <v>Omiya Pacwa</v>
      </c>
      <c r="F42" s="69">
        <v>26</v>
      </c>
    </row>
    <row r="43" spans="1:6">
      <c r="A43" s="69" t="s">
        <v>384</v>
      </c>
      <c r="B43" s="69" t="s">
        <v>374</v>
      </c>
      <c r="C43" s="69" t="s">
        <v>374</v>
      </c>
      <c r="D43" s="69" t="str">
        <f t="shared" si="0"/>
        <v>Omot</v>
      </c>
      <c r="F43" s="69">
        <v>27</v>
      </c>
    </row>
    <row r="44" spans="1:6">
      <c r="A44" s="69" t="s">
        <v>385</v>
      </c>
      <c r="B44" s="69" t="s">
        <v>374</v>
      </c>
      <c r="C44" s="69" t="s">
        <v>374</v>
      </c>
      <c r="D44" s="69" t="str">
        <f t="shared" si="0"/>
        <v>Paimol</v>
      </c>
      <c r="F44" s="69">
        <v>28</v>
      </c>
    </row>
    <row r="45" spans="1:6">
      <c r="A45" s="69" t="s">
        <v>386</v>
      </c>
      <c r="B45" s="69" t="s">
        <v>374</v>
      </c>
      <c r="C45" s="69" t="s">
        <v>374</v>
      </c>
      <c r="D45" s="69" t="str">
        <f t="shared" si="0"/>
        <v>Parabongo</v>
      </c>
      <c r="F45" s="69">
        <v>29</v>
      </c>
    </row>
    <row r="46" spans="1:6">
      <c r="A46" s="69" t="s">
        <v>387</v>
      </c>
      <c r="B46" s="69" t="s">
        <v>374</v>
      </c>
      <c r="C46" s="69" t="s">
        <v>374</v>
      </c>
      <c r="D46" s="69" t="str">
        <f t="shared" si="0"/>
        <v>Patongo</v>
      </c>
      <c r="F46" s="69">
        <v>30</v>
      </c>
    </row>
    <row r="47" spans="1:6">
      <c r="A47" s="69" t="s">
        <v>388</v>
      </c>
      <c r="B47" s="69" t="s">
        <v>374</v>
      </c>
      <c r="C47" s="69" t="s">
        <v>374</v>
      </c>
      <c r="D47" s="69" t="str">
        <f t="shared" si="0"/>
        <v>Patongo Town Council</v>
      </c>
      <c r="F47" s="69">
        <v>31</v>
      </c>
    </row>
    <row r="48" spans="1:6">
      <c r="A48" s="69" t="s">
        <v>389</v>
      </c>
      <c r="B48" s="69" t="s">
        <v>374</v>
      </c>
      <c r="C48" s="69" t="s">
        <v>374</v>
      </c>
      <c r="D48" s="69" t="str">
        <f t="shared" si="0"/>
        <v>Wol</v>
      </c>
      <c r="F48" s="69">
        <v>32</v>
      </c>
    </row>
    <row r="49" spans="1:6">
      <c r="A49" s="69" t="s">
        <v>390</v>
      </c>
      <c r="B49" s="69" t="s">
        <v>391</v>
      </c>
      <c r="C49" s="69" t="s">
        <v>152</v>
      </c>
      <c r="D49" s="69" t="str">
        <f t="shared" si="0"/>
        <v>Abako</v>
      </c>
      <c r="F49" s="69">
        <v>33</v>
      </c>
    </row>
    <row r="50" spans="1:6">
      <c r="A50" s="69" t="s">
        <v>392</v>
      </c>
      <c r="B50" s="69" t="s">
        <v>391</v>
      </c>
      <c r="C50" s="69" t="s">
        <v>152</v>
      </c>
      <c r="D50" s="69" t="str">
        <f t="shared" si="0"/>
        <v>Abia</v>
      </c>
      <c r="F50" s="69">
        <v>34</v>
      </c>
    </row>
    <row r="51" spans="1:6">
      <c r="A51" s="69" t="s">
        <v>393</v>
      </c>
      <c r="B51" s="69" t="s">
        <v>391</v>
      </c>
      <c r="C51" s="69" t="s">
        <v>152</v>
      </c>
      <c r="D51" s="69" t="str">
        <f t="shared" si="0"/>
        <v>Akura</v>
      </c>
      <c r="F51" s="69">
        <v>35</v>
      </c>
    </row>
    <row r="52" spans="1:6">
      <c r="A52" s="69" t="s">
        <v>394</v>
      </c>
      <c r="B52" s="69" t="s">
        <v>391</v>
      </c>
      <c r="C52" s="69" t="s">
        <v>152</v>
      </c>
      <c r="D52" s="69" t="str">
        <f t="shared" si="0"/>
        <v>Alebtong Town Council</v>
      </c>
      <c r="F52" s="69">
        <v>36</v>
      </c>
    </row>
    <row r="53" spans="1:6">
      <c r="A53" s="69" t="s">
        <v>395</v>
      </c>
      <c r="B53" s="69" t="s">
        <v>391</v>
      </c>
      <c r="C53" s="69" t="s">
        <v>152</v>
      </c>
      <c r="D53" s="69" t="str">
        <f t="shared" si="0"/>
        <v>Aloi</v>
      </c>
      <c r="F53" s="69">
        <v>37</v>
      </c>
    </row>
    <row r="54" spans="1:6">
      <c r="A54" s="69" t="s">
        <v>396</v>
      </c>
      <c r="B54" s="69" t="s">
        <v>391</v>
      </c>
      <c r="C54" s="69" t="s">
        <v>152</v>
      </c>
      <c r="D54" s="69" t="str">
        <f t="shared" si="0"/>
        <v>Amugu</v>
      </c>
      <c r="F54" s="69">
        <v>38</v>
      </c>
    </row>
    <row r="55" spans="1:6">
      <c r="A55" s="69" t="s">
        <v>397</v>
      </c>
      <c r="B55" s="69" t="s">
        <v>391</v>
      </c>
      <c r="C55" s="69" t="s">
        <v>152</v>
      </c>
      <c r="D55" s="69" t="str">
        <f t="shared" si="0"/>
        <v>Apala</v>
      </c>
      <c r="F55" s="69">
        <v>39</v>
      </c>
    </row>
    <row r="56" spans="1:6">
      <c r="A56" s="69" t="s">
        <v>398</v>
      </c>
      <c r="B56" s="69" t="s">
        <v>391</v>
      </c>
      <c r="C56" s="69" t="s">
        <v>152</v>
      </c>
      <c r="D56" s="69" t="str">
        <f t="shared" si="0"/>
        <v>Awei</v>
      </c>
      <c r="F56" s="69">
        <v>40</v>
      </c>
    </row>
    <row r="57" spans="1:6">
      <c r="A57" s="69" t="s">
        <v>399</v>
      </c>
      <c r="B57" s="69" t="s">
        <v>391</v>
      </c>
      <c r="C57" s="69" t="s">
        <v>152</v>
      </c>
      <c r="D57" s="69" t="str">
        <f t="shared" si="0"/>
        <v>Omoro</v>
      </c>
      <c r="F57" s="69">
        <v>41</v>
      </c>
    </row>
    <row r="58" spans="1:6">
      <c r="A58" s="69" t="s">
        <v>400</v>
      </c>
      <c r="B58" s="69" t="s">
        <v>401</v>
      </c>
      <c r="C58" s="69" t="s">
        <v>402</v>
      </c>
      <c r="D58" s="69" t="str">
        <f t="shared" si="0"/>
        <v>Agikdak</v>
      </c>
      <c r="F58" s="69">
        <v>42</v>
      </c>
    </row>
    <row r="59" spans="1:6">
      <c r="A59" s="69" t="s">
        <v>403</v>
      </c>
      <c r="B59" s="69" t="s">
        <v>401</v>
      </c>
      <c r="C59" s="69" t="s">
        <v>402</v>
      </c>
      <c r="D59" s="69" t="str">
        <f t="shared" si="0"/>
        <v>Agwingiri</v>
      </c>
      <c r="F59" s="69">
        <v>43</v>
      </c>
    </row>
    <row r="60" spans="1:6">
      <c r="A60" s="69" t="s">
        <v>404</v>
      </c>
      <c r="B60" s="69" t="s">
        <v>401</v>
      </c>
      <c r="C60" s="69" t="s">
        <v>402</v>
      </c>
      <c r="D60" s="69" t="str">
        <f t="shared" si="0"/>
        <v>Akwon</v>
      </c>
      <c r="F60" s="69">
        <v>44</v>
      </c>
    </row>
    <row r="61" spans="1:6">
      <c r="A61" s="69" t="s">
        <v>405</v>
      </c>
      <c r="B61" s="69" t="s">
        <v>401</v>
      </c>
      <c r="C61" s="69" t="s">
        <v>402</v>
      </c>
      <c r="D61" s="69" t="str">
        <f t="shared" si="0"/>
        <v>Amolatar Town Council</v>
      </c>
      <c r="F61" s="69">
        <v>45</v>
      </c>
    </row>
    <row r="62" spans="1:6">
      <c r="A62" s="69" t="s">
        <v>406</v>
      </c>
      <c r="B62" s="69" t="s">
        <v>401</v>
      </c>
      <c r="C62" s="69" t="s">
        <v>402</v>
      </c>
      <c r="D62" s="69" t="str">
        <f t="shared" si="0"/>
        <v>Aputi</v>
      </c>
      <c r="F62" s="69">
        <v>46</v>
      </c>
    </row>
    <row r="63" spans="1:6">
      <c r="A63" s="69" t="s">
        <v>407</v>
      </c>
      <c r="B63" s="69" t="s">
        <v>401</v>
      </c>
      <c r="C63" s="69" t="s">
        <v>402</v>
      </c>
      <c r="D63" s="69" t="str">
        <f t="shared" si="0"/>
        <v>Arwotcek</v>
      </c>
      <c r="F63" s="69">
        <v>47</v>
      </c>
    </row>
    <row r="64" spans="1:6">
      <c r="A64" s="69" t="s">
        <v>408</v>
      </c>
      <c r="B64" s="69" t="s">
        <v>401</v>
      </c>
      <c r="C64" s="69" t="s">
        <v>402</v>
      </c>
      <c r="D64" s="69" t="str">
        <f t="shared" si="0"/>
        <v>Awelo</v>
      </c>
      <c r="F64" s="69">
        <v>48</v>
      </c>
    </row>
    <row r="65" spans="1:6">
      <c r="A65" s="69" t="s">
        <v>409</v>
      </c>
      <c r="B65" s="69" t="s">
        <v>401</v>
      </c>
      <c r="C65" s="69" t="s">
        <v>402</v>
      </c>
      <c r="D65" s="69" t="str">
        <f t="shared" si="0"/>
        <v>Etam</v>
      </c>
      <c r="F65" s="69">
        <v>49</v>
      </c>
    </row>
    <row r="66" spans="1:6">
      <c r="A66" s="69" t="s">
        <v>410</v>
      </c>
      <c r="B66" s="69" t="s">
        <v>401</v>
      </c>
      <c r="C66" s="69" t="s">
        <v>402</v>
      </c>
      <c r="D66" s="69" t="str">
        <f t="shared" ref="D66:D129" si="1">A66</f>
        <v>Muntu</v>
      </c>
      <c r="F66" s="69">
        <v>50</v>
      </c>
    </row>
    <row r="67" spans="1:6">
      <c r="A67" s="69" t="s">
        <v>411</v>
      </c>
      <c r="B67" s="69" t="s">
        <v>401</v>
      </c>
      <c r="C67" s="69" t="s">
        <v>402</v>
      </c>
      <c r="D67" s="69" t="str">
        <f t="shared" si="1"/>
        <v>Namasale</v>
      </c>
      <c r="F67" s="69">
        <v>51</v>
      </c>
    </row>
    <row r="68" spans="1:6">
      <c r="A68" s="69" t="s">
        <v>412</v>
      </c>
      <c r="B68" s="69" t="s">
        <v>401</v>
      </c>
      <c r="C68" s="69" t="s">
        <v>402</v>
      </c>
      <c r="D68" s="69" t="str">
        <f t="shared" si="1"/>
        <v>Namasale Town Council</v>
      </c>
      <c r="F68" s="69">
        <v>52</v>
      </c>
    </row>
    <row r="69" spans="1:6">
      <c r="A69" s="69" t="s">
        <v>413</v>
      </c>
      <c r="B69" s="69" t="s">
        <v>413</v>
      </c>
      <c r="C69" s="69" t="s">
        <v>414</v>
      </c>
      <c r="D69" s="69" t="str">
        <f t="shared" si="1"/>
        <v>Amudat</v>
      </c>
      <c r="F69" s="69">
        <v>53</v>
      </c>
    </row>
    <row r="70" spans="1:6">
      <c r="A70" s="69" t="s">
        <v>415</v>
      </c>
      <c r="B70" s="69" t="s">
        <v>413</v>
      </c>
      <c r="C70" s="69" t="s">
        <v>414</v>
      </c>
      <c r="D70" s="69" t="str">
        <f t="shared" si="1"/>
        <v>Amudat Town Council</v>
      </c>
      <c r="F70" s="69">
        <v>54</v>
      </c>
    </row>
    <row r="71" spans="1:6">
      <c r="A71" s="69" t="s">
        <v>416</v>
      </c>
      <c r="B71" s="69" t="s">
        <v>413</v>
      </c>
      <c r="C71" s="69" t="s">
        <v>414</v>
      </c>
      <c r="D71" s="69" t="str">
        <f t="shared" si="1"/>
        <v>Karita</v>
      </c>
      <c r="F71" s="69">
        <v>55</v>
      </c>
    </row>
    <row r="72" spans="1:6">
      <c r="A72" s="69" t="s">
        <v>417</v>
      </c>
      <c r="B72" s="69" t="s">
        <v>413</v>
      </c>
      <c r="C72" s="69" t="s">
        <v>414</v>
      </c>
      <c r="D72" s="69" t="str">
        <f t="shared" si="1"/>
        <v>Loroo</v>
      </c>
      <c r="F72" s="69">
        <v>56</v>
      </c>
    </row>
    <row r="73" spans="1:6">
      <c r="A73" s="69" t="s">
        <v>418</v>
      </c>
      <c r="B73" s="69" t="s">
        <v>419</v>
      </c>
      <c r="C73" s="69" t="s">
        <v>419</v>
      </c>
      <c r="D73" s="69" t="str">
        <f t="shared" si="1"/>
        <v>Abarilela</v>
      </c>
      <c r="F73" s="69">
        <v>57</v>
      </c>
    </row>
    <row r="74" spans="1:6">
      <c r="A74" s="69" t="s">
        <v>420</v>
      </c>
      <c r="B74" s="69" t="s">
        <v>419</v>
      </c>
      <c r="C74" s="69" t="s">
        <v>421</v>
      </c>
      <c r="D74" s="69" t="str">
        <f t="shared" si="1"/>
        <v>Acowa</v>
      </c>
      <c r="F74" s="69">
        <v>58</v>
      </c>
    </row>
    <row r="75" spans="1:6">
      <c r="A75" s="69" t="s">
        <v>422</v>
      </c>
      <c r="B75" s="69" t="s">
        <v>419</v>
      </c>
      <c r="C75" s="69" t="s">
        <v>419</v>
      </c>
      <c r="D75" s="69" t="str">
        <f t="shared" si="1"/>
        <v>Akeriau</v>
      </c>
      <c r="F75" s="69">
        <v>59</v>
      </c>
    </row>
    <row r="76" spans="1:6">
      <c r="A76" s="69" t="s">
        <v>423</v>
      </c>
      <c r="B76" s="69" t="s">
        <v>419</v>
      </c>
      <c r="C76" s="69" t="s">
        <v>421</v>
      </c>
      <c r="D76" s="69" t="str">
        <f t="shared" si="1"/>
        <v>Akoromit</v>
      </c>
      <c r="F76" s="69">
        <v>60</v>
      </c>
    </row>
    <row r="77" spans="1:6">
      <c r="A77" s="69" t="s">
        <v>424</v>
      </c>
      <c r="B77" s="69" t="s">
        <v>419</v>
      </c>
      <c r="C77" s="69" t="s">
        <v>419</v>
      </c>
      <c r="D77" s="69" t="str">
        <f t="shared" si="1"/>
        <v>Amuria Town Council</v>
      </c>
      <c r="F77" s="69">
        <v>61</v>
      </c>
    </row>
    <row r="78" spans="1:6">
      <c r="A78" s="69" t="s">
        <v>425</v>
      </c>
      <c r="B78" s="69" t="s">
        <v>419</v>
      </c>
      <c r="C78" s="69" t="s">
        <v>419</v>
      </c>
      <c r="D78" s="69" t="str">
        <f t="shared" si="1"/>
        <v>Apeduru</v>
      </c>
      <c r="F78" s="69">
        <v>62</v>
      </c>
    </row>
    <row r="79" spans="1:6">
      <c r="A79" s="69" t="s">
        <v>419</v>
      </c>
      <c r="B79" s="69" t="s">
        <v>419</v>
      </c>
      <c r="C79" s="69" t="s">
        <v>419</v>
      </c>
      <c r="D79" s="69" t="str">
        <f t="shared" si="1"/>
        <v>Amuria</v>
      </c>
      <c r="F79" s="69">
        <v>62</v>
      </c>
    </row>
    <row r="80" spans="1:6">
      <c r="A80" s="69" t="s">
        <v>426</v>
      </c>
      <c r="B80" s="69" t="s">
        <v>419</v>
      </c>
      <c r="C80" s="69" t="s">
        <v>419</v>
      </c>
      <c r="D80" s="69" t="str">
        <f t="shared" si="1"/>
        <v>Asamuk</v>
      </c>
      <c r="F80" s="69">
        <v>63</v>
      </c>
    </row>
    <row r="81" spans="1:6">
      <c r="A81" s="69" t="s">
        <v>421</v>
      </c>
      <c r="B81" s="69" t="s">
        <v>419</v>
      </c>
      <c r="C81" s="69" t="s">
        <v>421</v>
      </c>
      <c r="D81" s="69" t="str">
        <f t="shared" si="1"/>
        <v>Kapelebyong</v>
      </c>
      <c r="F81" s="69">
        <v>64</v>
      </c>
    </row>
    <row r="82" spans="1:6">
      <c r="A82" s="69" t="s">
        <v>427</v>
      </c>
      <c r="B82" s="69" t="s">
        <v>419</v>
      </c>
      <c r="C82" s="69" t="s">
        <v>419</v>
      </c>
      <c r="D82" s="69" t="str">
        <f t="shared" si="1"/>
        <v>Kuju</v>
      </c>
      <c r="F82" s="69">
        <v>65</v>
      </c>
    </row>
    <row r="83" spans="1:6">
      <c r="A83" s="69" t="s">
        <v>428</v>
      </c>
      <c r="B83" s="69" t="s">
        <v>419</v>
      </c>
      <c r="C83" s="69" t="s">
        <v>419</v>
      </c>
      <c r="D83" s="69" t="str">
        <f t="shared" si="1"/>
        <v>Morungatuny</v>
      </c>
      <c r="F83" s="69">
        <v>66</v>
      </c>
    </row>
    <row r="84" spans="1:6">
      <c r="A84" s="69" t="s">
        <v>429</v>
      </c>
      <c r="B84" s="69" t="s">
        <v>419</v>
      </c>
      <c r="C84" s="69" t="s">
        <v>421</v>
      </c>
      <c r="D84" s="69" t="str">
        <f t="shared" si="1"/>
        <v>Obalanga</v>
      </c>
      <c r="F84" s="69">
        <v>67</v>
      </c>
    </row>
    <row r="85" spans="1:6">
      <c r="A85" s="69" t="s">
        <v>430</v>
      </c>
      <c r="B85" s="69" t="s">
        <v>419</v>
      </c>
      <c r="C85" s="69" t="s">
        <v>419</v>
      </c>
      <c r="D85" s="69" t="str">
        <f t="shared" si="1"/>
        <v>Ogolai</v>
      </c>
      <c r="F85" s="69">
        <v>68</v>
      </c>
    </row>
    <row r="86" spans="1:6">
      <c r="A86" s="69" t="s">
        <v>431</v>
      </c>
      <c r="B86" s="69" t="s">
        <v>419</v>
      </c>
      <c r="C86" s="69" t="s">
        <v>421</v>
      </c>
      <c r="D86" s="69" t="str">
        <f t="shared" si="1"/>
        <v>Okungur</v>
      </c>
      <c r="F86" s="69">
        <v>69</v>
      </c>
    </row>
    <row r="87" spans="1:6">
      <c r="A87" s="69" t="s">
        <v>432</v>
      </c>
      <c r="B87" s="69" t="s">
        <v>419</v>
      </c>
      <c r="C87" s="69" t="s">
        <v>419</v>
      </c>
      <c r="D87" s="69" t="str">
        <f t="shared" si="1"/>
        <v>Orungo</v>
      </c>
      <c r="F87" s="69">
        <v>70</v>
      </c>
    </row>
    <row r="88" spans="1:6">
      <c r="A88" s="69" t="s">
        <v>433</v>
      </c>
      <c r="B88" s="69" t="s">
        <v>419</v>
      </c>
      <c r="C88" s="69" t="s">
        <v>419</v>
      </c>
      <c r="D88" s="69" t="str">
        <f t="shared" si="1"/>
        <v>Wera</v>
      </c>
      <c r="F88" s="69">
        <v>71</v>
      </c>
    </row>
    <row r="89" spans="1:6">
      <c r="A89" s="69" t="s">
        <v>434</v>
      </c>
      <c r="B89" s="69" t="s">
        <v>419</v>
      </c>
      <c r="C89" s="69" t="s">
        <v>419</v>
      </c>
      <c r="D89" s="69" t="str">
        <f t="shared" si="1"/>
        <v>Willa</v>
      </c>
      <c r="F89" s="69">
        <v>72</v>
      </c>
    </row>
    <row r="90" spans="1:6">
      <c r="A90" s="69" t="s">
        <v>435</v>
      </c>
      <c r="B90" s="69" t="s">
        <v>435</v>
      </c>
      <c r="C90" s="69" t="s">
        <v>436</v>
      </c>
      <c r="D90" s="69" t="str">
        <f t="shared" si="1"/>
        <v>Amuru</v>
      </c>
      <c r="F90" s="69">
        <v>73</v>
      </c>
    </row>
    <row r="91" spans="1:6">
      <c r="A91" s="69" t="s">
        <v>437</v>
      </c>
      <c r="B91" s="69" t="s">
        <v>435</v>
      </c>
      <c r="C91" s="69" t="s">
        <v>436</v>
      </c>
      <c r="D91" s="69" t="str">
        <f t="shared" si="1"/>
        <v>Amuru Town Council</v>
      </c>
      <c r="F91" s="69">
        <v>74</v>
      </c>
    </row>
    <row r="92" spans="1:6">
      <c r="A92" s="69" t="s">
        <v>438</v>
      </c>
      <c r="B92" s="69" t="s">
        <v>435</v>
      </c>
      <c r="C92" s="69" t="s">
        <v>436</v>
      </c>
      <c r="D92" s="69" t="str">
        <f t="shared" si="1"/>
        <v>Attiak</v>
      </c>
      <c r="F92" s="69">
        <v>75</v>
      </c>
    </row>
    <row r="93" spans="1:6">
      <c r="A93" s="69" t="s">
        <v>439</v>
      </c>
      <c r="B93" s="69" t="s">
        <v>435</v>
      </c>
      <c r="C93" s="69" t="s">
        <v>436</v>
      </c>
      <c r="D93" s="69" t="str">
        <f t="shared" si="1"/>
        <v>Lamogi</v>
      </c>
      <c r="F93" s="69">
        <v>76</v>
      </c>
    </row>
    <row r="94" spans="1:6">
      <c r="A94" s="69" t="s">
        <v>440</v>
      </c>
      <c r="B94" s="69" t="s">
        <v>435</v>
      </c>
      <c r="C94" s="69" t="s">
        <v>436</v>
      </c>
      <c r="D94" s="69" t="str">
        <f t="shared" si="1"/>
        <v>Pabo</v>
      </c>
      <c r="F94" s="69">
        <v>77</v>
      </c>
    </row>
    <row r="95" spans="1:6">
      <c r="A95" s="69" t="s">
        <v>441</v>
      </c>
      <c r="B95" s="69" t="s">
        <v>442</v>
      </c>
      <c r="C95" s="69" t="s">
        <v>443</v>
      </c>
      <c r="D95" s="69" t="str">
        <f t="shared" si="1"/>
        <v>Abongomola</v>
      </c>
      <c r="F95" s="69">
        <v>78</v>
      </c>
    </row>
    <row r="96" spans="1:6">
      <c r="A96" s="69" t="s">
        <v>444</v>
      </c>
      <c r="B96" s="69" t="s">
        <v>442</v>
      </c>
      <c r="C96" s="69" t="s">
        <v>443</v>
      </c>
      <c r="D96" s="69" t="str">
        <f t="shared" si="1"/>
        <v>Aduku</v>
      </c>
      <c r="F96" s="69">
        <v>79</v>
      </c>
    </row>
    <row r="97" spans="1:6">
      <c r="A97" s="69" t="s">
        <v>445</v>
      </c>
      <c r="B97" s="69" t="s">
        <v>442</v>
      </c>
      <c r="C97" s="69" t="s">
        <v>443</v>
      </c>
      <c r="D97" s="69" t="str">
        <f t="shared" si="1"/>
        <v>Aduku Town Council</v>
      </c>
      <c r="F97" s="69">
        <v>80</v>
      </c>
    </row>
    <row r="98" spans="1:6">
      <c r="A98" s="69" t="s">
        <v>446</v>
      </c>
      <c r="B98" s="69" t="s">
        <v>442</v>
      </c>
      <c r="C98" s="69" t="s">
        <v>447</v>
      </c>
      <c r="D98" s="69" t="str">
        <f t="shared" si="1"/>
        <v>Akokoro</v>
      </c>
      <c r="F98" s="69">
        <v>81</v>
      </c>
    </row>
    <row r="99" spans="1:6">
      <c r="A99" s="69" t="s">
        <v>448</v>
      </c>
      <c r="B99" s="69" t="s">
        <v>442</v>
      </c>
      <c r="C99" s="69" t="s">
        <v>449</v>
      </c>
      <c r="D99" s="69" t="str">
        <f t="shared" si="1"/>
        <v>Apac Muicipality</v>
      </c>
      <c r="F99" s="69">
        <v>82</v>
      </c>
    </row>
    <row r="100" spans="1:6">
      <c r="A100" s="69" t="s">
        <v>450</v>
      </c>
      <c r="B100" s="69" t="s">
        <v>442</v>
      </c>
      <c r="C100" s="69" t="s">
        <v>443</v>
      </c>
      <c r="D100" s="69" t="str">
        <f t="shared" si="1"/>
        <v>Chawente</v>
      </c>
      <c r="F100" s="69">
        <v>83</v>
      </c>
    </row>
    <row r="101" spans="1:6">
      <c r="A101" s="69" t="s">
        <v>451</v>
      </c>
      <c r="B101" s="69" t="s">
        <v>442</v>
      </c>
      <c r="C101" s="69" t="s">
        <v>447</v>
      </c>
      <c r="D101" s="69" t="str">
        <f t="shared" si="1"/>
        <v>Chegere</v>
      </c>
      <c r="F101" s="69">
        <v>84</v>
      </c>
    </row>
    <row r="102" spans="1:6">
      <c r="A102" s="69" t="s">
        <v>452</v>
      </c>
      <c r="B102" s="69" t="s">
        <v>442</v>
      </c>
      <c r="C102" s="69" t="s">
        <v>447</v>
      </c>
      <c r="D102" s="69" t="str">
        <f t="shared" si="1"/>
        <v>Ibuje</v>
      </c>
      <c r="F102" s="69">
        <v>85</v>
      </c>
    </row>
    <row r="103" spans="1:6">
      <c r="A103" s="69" t="s">
        <v>453</v>
      </c>
      <c r="B103" s="69" t="s">
        <v>442</v>
      </c>
      <c r="C103" s="69" t="s">
        <v>443</v>
      </c>
      <c r="D103" s="69" t="str">
        <f t="shared" si="1"/>
        <v>Inomo</v>
      </c>
      <c r="F103" s="69">
        <v>86</v>
      </c>
    </row>
    <row r="104" spans="1:6">
      <c r="A104" s="69" t="s">
        <v>454</v>
      </c>
      <c r="B104" s="69" t="s">
        <v>442</v>
      </c>
      <c r="C104" s="69" t="s">
        <v>443</v>
      </c>
      <c r="D104" s="69" t="str">
        <f t="shared" si="1"/>
        <v>Nambieso</v>
      </c>
      <c r="F104" s="69">
        <v>87</v>
      </c>
    </row>
    <row r="105" spans="1:6">
      <c r="A105" s="69" t="s">
        <v>455</v>
      </c>
      <c r="B105" s="69" t="s">
        <v>456</v>
      </c>
      <c r="C105" s="69" t="s">
        <v>457</v>
      </c>
      <c r="D105" s="69" t="str">
        <f t="shared" si="1"/>
        <v>Adumi</v>
      </c>
      <c r="F105" s="69">
        <v>88</v>
      </c>
    </row>
    <row r="106" spans="1:6">
      <c r="A106" s="69" t="s">
        <v>458</v>
      </c>
      <c r="B106" s="69" t="s">
        <v>456</v>
      </c>
      <c r="C106" s="69" t="s">
        <v>459</v>
      </c>
      <c r="D106" s="69" t="str">
        <f t="shared" si="1"/>
        <v>Aii-Vu</v>
      </c>
      <c r="F106" s="69">
        <v>89</v>
      </c>
    </row>
    <row r="107" spans="1:6">
      <c r="A107" s="69" t="s">
        <v>460</v>
      </c>
      <c r="B107" s="69" t="s">
        <v>456</v>
      </c>
      <c r="C107" s="69" t="s">
        <v>461</v>
      </c>
      <c r="D107" s="69" t="str">
        <f t="shared" si="1"/>
        <v>Ajia</v>
      </c>
      <c r="F107" s="69">
        <v>90</v>
      </c>
    </row>
    <row r="108" spans="1:6">
      <c r="A108" s="69" t="s">
        <v>462</v>
      </c>
      <c r="B108" s="69" t="s">
        <v>456</v>
      </c>
      <c r="C108" s="69" t="s">
        <v>463</v>
      </c>
      <c r="D108" s="69" t="str">
        <f t="shared" si="1"/>
        <v>Anyiribu</v>
      </c>
      <c r="F108" s="69">
        <v>91</v>
      </c>
    </row>
    <row r="109" spans="1:6">
      <c r="A109" s="69" t="s">
        <v>464</v>
      </c>
      <c r="B109" s="69" t="s">
        <v>456</v>
      </c>
      <c r="C109" s="69" t="s">
        <v>461</v>
      </c>
      <c r="D109" s="69" t="str">
        <f t="shared" si="1"/>
        <v>Arivu</v>
      </c>
      <c r="F109" s="69">
        <v>92</v>
      </c>
    </row>
    <row r="110" spans="1:6">
      <c r="A110" s="69" t="s">
        <v>465</v>
      </c>
      <c r="B110" s="69" t="s">
        <v>456</v>
      </c>
      <c r="C110" s="69" t="s">
        <v>457</v>
      </c>
      <c r="D110" s="69" t="str">
        <f t="shared" si="1"/>
        <v>Aroi</v>
      </c>
      <c r="F110" s="69">
        <v>93</v>
      </c>
    </row>
    <row r="111" spans="1:6">
      <c r="A111" s="69" t="s">
        <v>466</v>
      </c>
      <c r="B111" s="69" t="s">
        <v>456</v>
      </c>
      <c r="C111" s="69" t="s">
        <v>466</v>
      </c>
      <c r="D111" s="69" t="str">
        <f t="shared" si="1"/>
        <v>Arua Municipality</v>
      </c>
      <c r="F111" s="69">
        <v>94</v>
      </c>
    </row>
    <row r="112" spans="1:6">
      <c r="A112" s="69" t="s">
        <v>183</v>
      </c>
      <c r="B112" s="69" t="s">
        <v>456</v>
      </c>
      <c r="C112" s="69" t="s">
        <v>466</v>
      </c>
      <c r="D112" s="69" t="str">
        <f t="shared" si="1"/>
        <v>ARUA</v>
      </c>
      <c r="F112" s="69">
        <v>94</v>
      </c>
    </row>
    <row r="113" spans="1:6">
      <c r="A113" s="69" t="s">
        <v>467</v>
      </c>
      <c r="B113" s="69" t="s">
        <v>456</v>
      </c>
      <c r="C113" s="69" t="s">
        <v>457</v>
      </c>
      <c r="D113" s="69" t="str">
        <f t="shared" si="1"/>
        <v>Ayivuni</v>
      </c>
      <c r="F113" s="69">
        <v>95</v>
      </c>
    </row>
    <row r="114" spans="1:6">
      <c r="A114" s="69" t="s">
        <v>468</v>
      </c>
      <c r="B114" s="69" t="s">
        <v>456</v>
      </c>
      <c r="C114" s="69" t="s">
        <v>459</v>
      </c>
      <c r="D114" s="69" t="str">
        <f t="shared" si="1"/>
        <v>Bileafe</v>
      </c>
      <c r="F114" s="69">
        <v>96</v>
      </c>
    </row>
    <row r="115" spans="1:6">
      <c r="A115" s="69" t="s">
        <v>469</v>
      </c>
      <c r="B115" s="69" t="s">
        <v>456</v>
      </c>
      <c r="C115" s="69" t="s">
        <v>457</v>
      </c>
      <c r="D115" s="69" t="str">
        <f t="shared" si="1"/>
        <v>Dadamu</v>
      </c>
      <c r="F115" s="69">
        <v>97</v>
      </c>
    </row>
    <row r="116" spans="1:6">
      <c r="A116" s="69" t="s">
        <v>470</v>
      </c>
      <c r="B116" s="69" t="s">
        <v>456</v>
      </c>
      <c r="C116" s="69" t="s">
        <v>463</v>
      </c>
      <c r="D116" s="69" t="str">
        <f t="shared" si="1"/>
        <v>Ewanga</v>
      </c>
      <c r="F116" s="69">
        <v>98</v>
      </c>
    </row>
    <row r="117" spans="1:6">
      <c r="A117" s="69" t="s">
        <v>471</v>
      </c>
      <c r="B117" s="69" t="s">
        <v>456</v>
      </c>
      <c r="C117" s="69" t="s">
        <v>459</v>
      </c>
      <c r="D117" s="69" t="str">
        <f t="shared" si="1"/>
        <v>Katrini</v>
      </c>
      <c r="F117" s="69">
        <v>99</v>
      </c>
    </row>
    <row r="118" spans="1:6">
      <c r="A118" s="69" t="s">
        <v>472</v>
      </c>
      <c r="B118" s="69" t="s">
        <v>456</v>
      </c>
      <c r="C118" s="69" t="s">
        <v>461</v>
      </c>
      <c r="D118" s="69" t="str">
        <f t="shared" si="1"/>
        <v>Logiri</v>
      </c>
      <c r="F118" s="69">
        <v>100</v>
      </c>
    </row>
    <row r="119" spans="1:6">
      <c r="A119" s="69" t="s">
        <v>473</v>
      </c>
      <c r="B119" s="69" t="s">
        <v>456</v>
      </c>
      <c r="C119" s="69" t="s">
        <v>457</v>
      </c>
      <c r="D119" s="69" t="str">
        <f t="shared" si="1"/>
        <v>Manibe</v>
      </c>
      <c r="F119" s="69">
        <v>101</v>
      </c>
    </row>
    <row r="120" spans="1:6">
      <c r="A120" s="69" t="s">
        <v>474</v>
      </c>
      <c r="B120" s="69" t="s">
        <v>456</v>
      </c>
      <c r="C120" s="69" t="s">
        <v>459</v>
      </c>
      <c r="D120" s="69" t="str">
        <f t="shared" si="1"/>
        <v>Odupi</v>
      </c>
      <c r="F120" s="69">
        <v>102</v>
      </c>
    </row>
    <row r="121" spans="1:6">
      <c r="A121" s="69" t="s">
        <v>475</v>
      </c>
      <c r="B121" s="69" t="s">
        <v>456</v>
      </c>
      <c r="C121" s="69" t="s">
        <v>463</v>
      </c>
      <c r="D121" s="69" t="str">
        <f t="shared" si="1"/>
        <v>Offaka</v>
      </c>
      <c r="F121" s="69">
        <v>103</v>
      </c>
    </row>
    <row r="122" spans="1:6">
      <c r="A122" s="69" t="s">
        <v>476</v>
      </c>
      <c r="B122" s="69" t="s">
        <v>456</v>
      </c>
      <c r="C122" s="69" t="s">
        <v>463</v>
      </c>
      <c r="D122" s="69" t="str">
        <f t="shared" si="1"/>
        <v>Ogoko</v>
      </c>
      <c r="F122" s="69">
        <v>104</v>
      </c>
    </row>
    <row r="123" spans="1:6">
      <c r="A123" s="69" t="s">
        <v>477</v>
      </c>
      <c r="B123" s="69" t="s">
        <v>456</v>
      </c>
      <c r="C123" s="69" t="s">
        <v>463</v>
      </c>
      <c r="D123" s="69" t="str">
        <f t="shared" si="1"/>
        <v>Okollo</v>
      </c>
      <c r="F123" s="69">
        <v>105</v>
      </c>
    </row>
    <row r="124" spans="1:6">
      <c r="A124" s="69" t="s">
        <v>478</v>
      </c>
      <c r="B124" s="69" t="s">
        <v>456</v>
      </c>
      <c r="C124" s="69" t="s">
        <v>457</v>
      </c>
      <c r="D124" s="69" t="str">
        <f t="shared" si="1"/>
        <v>Oluko</v>
      </c>
      <c r="F124" s="69">
        <v>106</v>
      </c>
    </row>
    <row r="125" spans="1:6">
      <c r="A125" s="69" t="s">
        <v>479</v>
      </c>
      <c r="B125" s="69" t="s">
        <v>456</v>
      </c>
      <c r="C125" s="69" t="s">
        <v>459</v>
      </c>
      <c r="D125" s="69" t="str">
        <f t="shared" si="1"/>
        <v>Omugo</v>
      </c>
      <c r="F125" s="69">
        <v>107</v>
      </c>
    </row>
    <row r="126" spans="1:6">
      <c r="A126" s="69" t="s">
        <v>480</v>
      </c>
      <c r="B126" s="69" t="s">
        <v>456</v>
      </c>
      <c r="C126" s="69" t="s">
        <v>457</v>
      </c>
      <c r="D126" s="69" t="str">
        <f t="shared" si="1"/>
        <v>Pajulu</v>
      </c>
      <c r="F126" s="69">
        <v>108</v>
      </c>
    </row>
    <row r="127" spans="1:6">
      <c r="A127" s="69" t="s">
        <v>481</v>
      </c>
      <c r="B127" s="69" t="s">
        <v>456</v>
      </c>
      <c r="C127" s="69" t="s">
        <v>463</v>
      </c>
      <c r="D127" s="69" t="str">
        <f t="shared" si="1"/>
        <v>Pawor</v>
      </c>
      <c r="F127" s="69">
        <v>109</v>
      </c>
    </row>
    <row r="128" spans="1:6">
      <c r="A128" s="69" t="s">
        <v>482</v>
      </c>
      <c r="B128" s="69" t="s">
        <v>456</v>
      </c>
      <c r="C128" s="69" t="s">
        <v>463</v>
      </c>
      <c r="D128" s="69" t="str">
        <f t="shared" si="1"/>
        <v>Rhino Camp</v>
      </c>
      <c r="F128" s="69">
        <v>110</v>
      </c>
    </row>
    <row r="129" spans="1:6">
      <c r="A129" s="69" t="s">
        <v>483</v>
      </c>
      <c r="B129" s="69" t="s">
        <v>456</v>
      </c>
      <c r="C129" s="69" t="s">
        <v>463</v>
      </c>
      <c r="D129" s="69" t="str">
        <f t="shared" si="1"/>
        <v>Rigbo</v>
      </c>
      <c r="F129" s="69">
        <v>111</v>
      </c>
    </row>
    <row r="130" spans="1:6">
      <c r="A130" s="69" t="s">
        <v>484</v>
      </c>
      <c r="B130" s="69" t="s">
        <v>456</v>
      </c>
      <c r="C130" s="69" t="s">
        <v>463</v>
      </c>
      <c r="D130" s="69" t="str">
        <f t="shared" ref="D130:D193" si="2">A130</f>
        <v>Uleppi</v>
      </c>
      <c r="F130" s="69">
        <v>112</v>
      </c>
    </row>
    <row r="131" spans="1:6">
      <c r="A131" s="69" t="s">
        <v>485</v>
      </c>
      <c r="B131" s="69" t="s">
        <v>456</v>
      </c>
      <c r="C131" s="69" t="s">
        <v>459</v>
      </c>
      <c r="D131" s="69" t="str">
        <f t="shared" si="2"/>
        <v>Uriama</v>
      </c>
      <c r="F131" s="69">
        <v>113</v>
      </c>
    </row>
    <row r="132" spans="1:6">
      <c r="A132" s="69" t="s">
        <v>461</v>
      </c>
      <c r="B132" s="69" t="s">
        <v>456</v>
      </c>
      <c r="C132" s="69" t="s">
        <v>461</v>
      </c>
      <c r="D132" s="69" t="str">
        <f t="shared" si="2"/>
        <v>Vurra</v>
      </c>
      <c r="F132" s="69">
        <v>114</v>
      </c>
    </row>
    <row r="133" spans="1:6">
      <c r="A133" s="69" t="s">
        <v>486</v>
      </c>
      <c r="B133" s="69" t="s">
        <v>486</v>
      </c>
      <c r="C133" s="69" t="s">
        <v>486</v>
      </c>
      <c r="D133" s="69" t="str">
        <f t="shared" si="2"/>
        <v>Budaka</v>
      </c>
      <c r="F133" s="69">
        <v>115</v>
      </c>
    </row>
    <row r="134" spans="1:6">
      <c r="A134" s="69" t="s">
        <v>487</v>
      </c>
      <c r="B134" s="69" t="s">
        <v>486</v>
      </c>
      <c r="C134" s="69" t="s">
        <v>486</v>
      </c>
      <c r="D134" s="69" t="str">
        <f t="shared" si="2"/>
        <v>Budaka Town Council</v>
      </c>
      <c r="F134" s="69">
        <v>116</v>
      </c>
    </row>
    <row r="135" spans="1:6">
      <c r="A135" s="69" t="s">
        <v>488</v>
      </c>
      <c r="B135" s="69" t="s">
        <v>486</v>
      </c>
      <c r="C135" s="69" t="s">
        <v>488</v>
      </c>
      <c r="D135" s="69" t="str">
        <f t="shared" si="2"/>
        <v>Iki-Iki</v>
      </c>
      <c r="F135" s="69">
        <v>117</v>
      </c>
    </row>
    <row r="136" spans="1:6">
      <c r="A136" s="69" t="s">
        <v>489</v>
      </c>
      <c r="B136" s="69" t="s">
        <v>486</v>
      </c>
      <c r="C136" s="69" t="s">
        <v>486</v>
      </c>
      <c r="D136" s="69" t="str">
        <f t="shared" si="2"/>
        <v>Kachomo</v>
      </c>
      <c r="F136" s="69">
        <v>118</v>
      </c>
    </row>
    <row r="137" spans="1:6">
      <c r="A137" s="69" t="s">
        <v>490</v>
      </c>
      <c r="B137" s="69" t="s">
        <v>486</v>
      </c>
      <c r="C137" s="69" t="s">
        <v>486</v>
      </c>
      <c r="D137" s="69" t="str">
        <f t="shared" si="2"/>
        <v>Kaderuna</v>
      </c>
      <c r="F137" s="69">
        <v>119</v>
      </c>
    </row>
    <row r="138" spans="1:6">
      <c r="A138" s="69" t="s">
        <v>491</v>
      </c>
      <c r="B138" s="69" t="s">
        <v>486</v>
      </c>
      <c r="C138" s="69" t="s">
        <v>486</v>
      </c>
      <c r="D138" s="69" t="str">
        <f t="shared" si="2"/>
        <v>Kakule</v>
      </c>
      <c r="F138" s="69">
        <v>120</v>
      </c>
    </row>
    <row r="139" spans="1:6">
      <c r="A139" s="69" t="s">
        <v>492</v>
      </c>
      <c r="B139" s="69" t="s">
        <v>486</v>
      </c>
      <c r="C139" s="69" t="s">
        <v>488</v>
      </c>
      <c r="D139" s="69" t="str">
        <f t="shared" si="2"/>
        <v>Kameruka</v>
      </c>
      <c r="F139" s="69">
        <v>121</v>
      </c>
    </row>
    <row r="140" spans="1:6">
      <c r="A140" s="69" t="s">
        <v>493</v>
      </c>
      <c r="B140" s="69" t="s">
        <v>486</v>
      </c>
      <c r="C140" s="69" t="s">
        <v>488</v>
      </c>
      <c r="D140" s="69" t="str">
        <f t="shared" si="2"/>
        <v>Kamonkoli</v>
      </c>
      <c r="F140" s="69">
        <v>122</v>
      </c>
    </row>
    <row r="141" spans="1:6">
      <c r="A141" s="69" t="s">
        <v>494</v>
      </c>
      <c r="B141" s="69" t="s">
        <v>486</v>
      </c>
      <c r="C141" s="69" t="s">
        <v>488</v>
      </c>
      <c r="D141" s="69" t="str">
        <f t="shared" si="2"/>
        <v>Katiira</v>
      </c>
      <c r="F141" s="69">
        <v>123</v>
      </c>
    </row>
    <row r="142" spans="1:6">
      <c r="A142" s="69" t="s">
        <v>495</v>
      </c>
      <c r="B142" s="69" t="s">
        <v>486</v>
      </c>
      <c r="C142" s="69" t="s">
        <v>486</v>
      </c>
      <c r="D142" s="69" t="str">
        <f t="shared" si="2"/>
        <v>Lyama</v>
      </c>
      <c r="F142" s="69">
        <v>124</v>
      </c>
    </row>
    <row r="143" spans="1:6">
      <c r="A143" s="69" t="s">
        <v>496</v>
      </c>
      <c r="B143" s="69" t="s">
        <v>486</v>
      </c>
      <c r="C143" s="69" t="s">
        <v>488</v>
      </c>
      <c r="D143" s="69" t="str">
        <f t="shared" si="2"/>
        <v>Mugiti</v>
      </c>
      <c r="F143" s="69">
        <v>125</v>
      </c>
    </row>
    <row r="144" spans="1:6">
      <c r="A144" s="69" t="s">
        <v>497</v>
      </c>
      <c r="B144" s="69" t="s">
        <v>486</v>
      </c>
      <c r="C144" s="69" t="s">
        <v>486</v>
      </c>
      <c r="D144" s="69" t="str">
        <f t="shared" si="2"/>
        <v>Naboa</v>
      </c>
      <c r="F144" s="69">
        <v>126</v>
      </c>
    </row>
    <row r="145" spans="1:6">
      <c r="A145" s="69" t="s">
        <v>498</v>
      </c>
      <c r="B145" s="69" t="s">
        <v>486</v>
      </c>
      <c r="C145" s="69" t="s">
        <v>486</v>
      </c>
      <c r="D145" s="69" t="str">
        <f t="shared" si="2"/>
        <v>Nansanga</v>
      </c>
      <c r="F145" s="69">
        <v>127</v>
      </c>
    </row>
    <row r="146" spans="1:6">
      <c r="A146" s="69" t="s">
        <v>499</v>
      </c>
      <c r="B146" s="69" t="s">
        <v>500</v>
      </c>
      <c r="C146" s="69" t="s">
        <v>501</v>
      </c>
      <c r="D146" s="69" t="str">
        <f t="shared" si="2"/>
        <v>Bubiita</v>
      </c>
      <c r="F146" s="69">
        <v>128</v>
      </c>
    </row>
    <row r="147" spans="1:6">
      <c r="A147" s="69" t="s">
        <v>500</v>
      </c>
      <c r="B147" s="69" t="s">
        <v>500</v>
      </c>
      <c r="C147" s="69" t="s">
        <v>501</v>
      </c>
      <c r="D147" s="69" t="str">
        <f t="shared" si="2"/>
        <v>Bududa</v>
      </c>
      <c r="F147" s="69">
        <v>129</v>
      </c>
    </row>
    <row r="148" spans="1:6">
      <c r="A148" s="69" t="s">
        <v>502</v>
      </c>
      <c r="B148" s="69" t="s">
        <v>500</v>
      </c>
      <c r="C148" s="69" t="s">
        <v>501</v>
      </c>
      <c r="D148" s="69" t="str">
        <f t="shared" si="2"/>
        <v>Bududa Town Council</v>
      </c>
      <c r="F148" s="69">
        <v>130</v>
      </c>
    </row>
    <row r="149" spans="1:6">
      <c r="A149" s="69" t="s">
        <v>503</v>
      </c>
      <c r="B149" s="69" t="s">
        <v>500</v>
      </c>
      <c r="C149" s="69" t="s">
        <v>501</v>
      </c>
      <c r="D149" s="69" t="str">
        <f t="shared" si="2"/>
        <v>Bukalasi</v>
      </c>
      <c r="F149" s="69">
        <v>131</v>
      </c>
    </row>
    <row r="150" spans="1:6">
      <c r="A150" s="69" t="s">
        <v>504</v>
      </c>
      <c r="B150" s="69" t="s">
        <v>500</v>
      </c>
      <c r="C150" s="69" t="s">
        <v>501</v>
      </c>
      <c r="D150" s="69" t="str">
        <f t="shared" si="2"/>
        <v>Bukibokolo</v>
      </c>
      <c r="F150" s="69">
        <v>132</v>
      </c>
    </row>
    <row r="151" spans="1:6">
      <c r="A151" s="69" t="s">
        <v>505</v>
      </c>
      <c r="B151" s="69" t="s">
        <v>500</v>
      </c>
      <c r="C151" s="69" t="s">
        <v>501</v>
      </c>
      <c r="D151" s="69" t="str">
        <f t="shared" si="2"/>
        <v>Bukigai</v>
      </c>
      <c r="F151" s="69">
        <v>133</v>
      </c>
    </row>
    <row r="152" spans="1:6">
      <c r="A152" s="69" t="s">
        <v>506</v>
      </c>
      <c r="B152" s="69" t="s">
        <v>500</v>
      </c>
      <c r="C152" s="69" t="s">
        <v>501</v>
      </c>
      <c r="D152" s="69" t="str">
        <f t="shared" si="2"/>
        <v>Bulucheke</v>
      </c>
      <c r="F152" s="69">
        <v>134</v>
      </c>
    </row>
    <row r="153" spans="1:6">
      <c r="A153" s="69" t="s">
        <v>507</v>
      </c>
      <c r="B153" s="69" t="s">
        <v>500</v>
      </c>
      <c r="C153" s="69" t="s">
        <v>501</v>
      </c>
      <c r="D153" s="69" t="str">
        <f t="shared" si="2"/>
        <v>Bumasheti</v>
      </c>
      <c r="F153" s="69">
        <v>135</v>
      </c>
    </row>
    <row r="154" spans="1:6">
      <c r="A154" s="69" t="s">
        <v>508</v>
      </c>
      <c r="B154" s="69" t="s">
        <v>500</v>
      </c>
      <c r="C154" s="69" t="s">
        <v>501</v>
      </c>
      <c r="D154" s="69" t="str">
        <f t="shared" si="2"/>
        <v>Bumayoka</v>
      </c>
      <c r="F154" s="69">
        <v>136</v>
      </c>
    </row>
    <row r="155" spans="1:6">
      <c r="A155" s="69" t="s">
        <v>509</v>
      </c>
      <c r="B155" s="69" t="s">
        <v>500</v>
      </c>
      <c r="C155" s="69" t="s">
        <v>501</v>
      </c>
      <c r="D155" s="69" t="str">
        <f t="shared" si="2"/>
        <v>Bushika</v>
      </c>
      <c r="F155" s="69">
        <v>137</v>
      </c>
    </row>
    <row r="156" spans="1:6">
      <c r="A156" s="69" t="s">
        <v>510</v>
      </c>
      <c r="B156" s="69" t="s">
        <v>500</v>
      </c>
      <c r="C156" s="69" t="s">
        <v>501</v>
      </c>
      <c r="D156" s="69" t="str">
        <f t="shared" si="2"/>
        <v>Bushiribo</v>
      </c>
      <c r="F156" s="69">
        <v>138</v>
      </c>
    </row>
    <row r="157" spans="1:6">
      <c r="A157" s="69" t="s">
        <v>511</v>
      </c>
      <c r="B157" s="69" t="s">
        <v>500</v>
      </c>
      <c r="C157" s="69" t="s">
        <v>501</v>
      </c>
      <c r="D157" s="69" t="str">
        <f t="shared" si="2"/>
        <v>Bushiyi</v>
      </c>
      <c r="F157" s="69">
        <v>139</v>
      </c>
    </row>
    <row r="158" spans="1:6">
      <c r="A158" s="69" t="s">
        <v>512</v>
      </c>
      <c r="B158" s="69" t="s">
        <v>500</v>
      </c>
      <c r="C158" s="69" t="s">
        <v>501</v>
      </c>
      <c r="D158" s="69" t="str">
        <f t="shared" si="2"/>
        <v>Buwali</v>
      </c>
      <c r="F158" s="69">
        <v>140</v>
      </c>
    </row>
    <row r="159" spans="1:6">
      <c r="A159" s="69" t="s">
        <v>513</v>
      </c>
      <c r="B159" s="69" t="s">
        <v>500</v>
      </c>
      <c r="C159" s="69" t="s">
        <v>501</v>
      </c>
      <c r="D159" s="69" t="str">
        <f t="shared" si="2"/>
        <v>Nabweya</v>
      </c>
      <c r="F159" s="69">
        <v>141</v>
      </c>
    </row>
    <row r="160" spans="1:6">
      <c r="A160" s="69" t="s">
        <v>514</v>
      </c>
      <c r="B160" s="69" t="s">
        <v>500</v>
      </c>
      <c r="C160" s="69" t="s">
        <v>501</v>
      </c>
      <c r="D160" s="69" t="str">
        <f t="shared" si="2"/>
        <v>Nakatsi</v>
      </c>
      <c r="F160" s="69">
        <v>142</v>
      </c>
    </row>
    <row r="161" spans="1:6">
      <c r="A161" s="69" t="s">
        <v>515</v>
      </c>
      <c r="B161" s="69" t="s">
        <v>500</v>
      </c>
      <c r="C161" s="69" t="s">
        <v>501</v>
      </c>
      <c r="D161" s="69" t="str">
        <f t="shared" si="2"/>
        <v>Nalwanza</v>
      </c>
      <c r="F161" s="69">
        <v>143</v>
      </c>
    </row>
    <row r="162" spans="1:6">
      <c r="A162" s="69" t="s">
        <v>516</v>
      </c>
      <c r="B162" s="69" t="s">
        <v>517</v>
      </c>
      <c r="C162" s="69" t="s">
        <v>518</v>
      </c>
      <c r="D162" s="69" t="str">
        <f t="shared" si="2"/>
        <v>Budhaya</v>
      </c>
      <c r="F162" s="69">
        <v>144</v>
      </c>
    </row>
    <row r="163" spans="1:6">
      <c r="A163" s="69" t="s">
        <v>519</v>
      </c>
      <c r="B163" s="69" t="s">
        <v>517</v>
      </c>
      <c r="C163" s="69" t="s">
        <v>519</v>
      </c>
      <c r="D163" s="69" t="str">
        <f t="shared" si="2"/>
        <v>Bugiri Municipality</v>
      </c>
      <c r="F163" s="69">
        <v>145</v>
      </c>
    </row>
    <row r="164" spans="1:6">
      <c r="A164" s="69" t="s">
        <v>520</v>
      </c>
      <c r="B164" s="69" t="s">
        <v>517</v>
      </c>
      <c r="C164" s="69" t="s">
        <v>518</v>
      </c>
      <c r="D164" s="69" t="str">
        <f t="shared" si="2"/>
        <v>Bulesa</v>
      </c>
      <c r="F164" s="69">
        <v>146</v>
      </c>
    </row>
    <row r="165" spans="1:6">
      <c r="A165" s="69" t="s">
        <v>521</v>
      </c>
      <c r="B165" s="69" t="s">
        <v>517</v>
      </c>
      <c r="C165" s="69" t="s">
        <v>518</v>
      </c>
      <c r="D165" s="69" t="str">
        <f t="shared" si="2"/>
        <v>Bulidha</v>
      </c>
      <c r="F165" s="69">
        <v>147</v>
      </c>
    </row>
    <row r="166" spans="1:6">
      <c r="A166" s="69" t="s">
        <v>522</v>
      </c>
      <c r="B166" s="69" t="s">
        <v>517</v>
      </c>
      <c r="C166" s="69" t="s">
        <v>518</v>
      </c>
      <c r="D166" s="69" t="str">
        <f t="shared" si="2"/>
        <v>Buluguyi</v>
      </c>
      <c r="F166" s="69">
        <v>148</v>
      </c>
    </row>
    <row r="167" spans="1:6">
      <c r="A167" s="69" t="s">
        <v>523</v>
      </c>
      <c r="B167" s="69" t="s">
        <v>517</v>
      </c>
      <c r="C167" s="69" t="s">
        <v>518</v>
      </c>
      <c r="D167" s="69" t="str">
        <f t="shared" si="2"/>
        <v>Buwunga-Bugiri</v>
      </c>
      <c r="F167" s="69">
        <v>149</v>
      </c>
    </row>
    <row r="168" spans="1:6">
      <c r="A168" s="69" t="s">
        <v>524</v>
      </c>
      <c r="B168" s="69" t="s">
        <v>517</v>
      </c>
      <c r="C168" s="69" t="s">
        <v>518</v>
      </c>
      <c r="D168" s="69" t="str">
        <f t="shared" si="2"/>
        <v>Iwemba</v>
      </c>
      <c r="F168" s="69">
        <v>150</v>
      </c>
    </row>
    <row r="169" spans="1:6">
      <c r="A169" s="69" t="s">
        <v>525</v>
      </c>
      <c r="B169" s="69" t="s">
        <v>517</v>
      </c>
      <c r="C169" s="69" t="s">
        <v>518</v>
      </c>
      <c r="D169" s="69" t="str">
        <f t="shared" si="2"/>
        <v>Kapyanga</v>
      </c>
      <c r="F169" s="69">
        <v>151</v>
      </c>
    </row>
    <row r="170" spans="1:6">
      <c r="A170" s="69" t="s">
        <v>526</v>
      </c>
      <c r="B170" s="69" t="s">
        <v>517</v>
      </c>
      <c r="C170" s="69" t="s">
        <v>518</v>
      </c>
      <c r="D170" s="69" t="str">
        <f t="shared" si="2"/>
        <v>Muterere</v>
      </c>
      <c r="F170" s="69">
        <v>152</v>
      </c>
    </row>
    <row r="171" spans="1:6">
      <c r="A171" s="69" t="s">
        <v>527</v>
      </c>
      <c r="B171" s="69" t="s">
        <v>517</v>
      </c>
      <c r="C171" s="69" t="s">
        <v>518</v>
      </c>
      <c r="D171" s="69" t="str">
        <f t="shared" si="2"/>
        <v>Nabukalu</v>
      </c>
      <c r="F171" s="69">
        <v>153</v>
      </c>
    </row>
    <row r="172" spans="1:6">
      <c r="A172" s="69" t="s">
        <v>528</v>
      </c>
      <c r="B172" s="69" t="s">
        <v>517</v>
      </c>
      <c r="C172" s="69" t="s">
        <v>518</v>
      </c>
      <c r="D172" s="69" t="str">
        <f t="shared" si="2"/>
        <v>Nankoma</v>
      </c>
      <c r="F172" s="69">
        <v>154</v>
      </c>
    </row>
    <row r="173" spans="1:6">
      <c r="A173" s="69" t="s">
        <v>529</v>
      </c>
      <c r="B173" s="69" t="s">
        <v>530</v>
      </c>
      <c r="C173" s="69" t="s">
        <v>530</v>
      </c>
      <c r="D173" s="69" t="str">
        <f t="shared" si="2"/>
        <v>Bihanga-Buhweju</v>
      </c>
      <c r="F173" s="69">
        <v>155</v>
      </c>
    </row>
    <row r="174" spans="1:6">
      <c r="A174" s="69" t="s">
        <v>531</v>
      </c>
      <c r="B174" s="69" t="s">
        <v>530</v>
      </c>
      <c r="C174" s="69" t="s">
        <v>530</v>
      </c>
      <c r="D174" s="69" t="str">
        <f t="shared" si="2"/>
        <v>Bitsya</v>
      </c>
      <c r="F174" s="69">
        <v>156</v>
      </c>
    </row>
    <row r="175" spans="1:6">
      <c r="A175" s="69" t="s">
        <v>532</v>
      </c>
      <c r="B175" s="69" t="s">
        <v>530</v>
      </c>
      <c r="C175" s="69" t="s">
        <v>530</v>
      </c>
      <c r="D175" s="69" t="str">
        <f t="shared" si="2"/>
        <v>Burere</v>
      </c>
      <c r="F175" s="69">
        <v>157</v>
      </c>
    </row>
    <row r="176" spans="1:6">
      <c r="A176" s="69" t="s">
        <v>533</v>
      </c>
      <c r="B176" s="69" t="s">
        <v>530</v>
      </c>
      <c r="C176" s="69" t="s">
        <v>530</v>
      </c>
      <c r="D176" s="69" t="str">
        <f t="shared" si="2"/>
        <v>Engaju</v>
      </c>
      <c r="F176" s="69">
        <v>158</v>
      </c>
    </row>
    <row r="177" spans="1:6">
      <c r="A177" s="69" t="s">
        <v>534</v>
      </c>
      <c r="B177" s="69" t="s">
        <v>530</v>
      </c>
      <c r="C177" s="69" t="s">
        <v>530</v>
      </c>
      <c r="D177" s="69" t="str">
        <f t="shared" si="2"/>
        <v>Karungu</v>
      </c>
      <c r="F177" s="69">
        <v>159</v>
      </c>
    </row>
    <row r="178" spans="1:6">
      <c r="A178" s="69" t="s">
        <v>535</v>
      </c>
      <c r="B178" s="69" t="s">
        <v>530</v>
      </c>
      <c r="C178" s="69" t="s">
        <v>530</v>
      </c>
      <c r="D178" s="69" t="str">
        <f t="shared" si="2"/>
        <v>Nsiika Town Council</v>
      </c>
      <c r="F178" s="69">
        <v>160</v>
      </c>
    </row>
    <row r="179" spans="1:6">
      <c r="A179" s="69" t="s">
        <v>536</v>
      </c>
      <c r="B179" s="69" t="s">
        <v>530</v>
      </c>
      <c r="C179" s="69" t="s">
        <v>530</v>
      </c>
      <c r="D179" s="69" t="str">
        <f t="shared" si="2"/>
        <v>Nyakishana</v>
      </c>
      <c r="F179" s="69">
        <v>161</v>
      </c>
    </row>
    <row r="180" spans="1:6">
      <c r="A180" s="69" t="s">
        <v>537</v>
      </c>
      <c r="B180" s="69" t="s">
        <v>530</v>
      </c>
      <c r="C180" s="69" t="s">
        <v>530</v>
      </c>
      <c r="D180" s="69" t="str">
        <f t="shared" si="2"/>
        <v>Rwengwe</v>
      </c>
      <c r="F180" s="69">
        <v>162</v>
      </c>
    </row>
    <row r="181" spans="1:6">
      <c r="A181" s="69" t="s">
        <v>538</v>
      </c>
      <c r="B181" s="69" t="s">
        <v>538</v>
      </c>
      <c r="C181" s="69" t="s">
        <v>538</v>
      </c>
      <c r="D181" s="69" t="str">
        <f t="shared" si="2"/>
        <v>Buikwe</v>
      </c>
      <c r="F181" s="69">
        <v>163</v>
      </c>
    </row>
    <row r="182" spans="1:6">
      <c r="A182" s="69" t="s">
        <v>539</v>
      </c>
      <c r="B182" s="69" t="s">
        <v>538</v>
      </c>
      <c r="C182" s="69" t="s">
        <v>538</v>
      </c>
      <c r="D182" s="69" t="str">
        <f t="shared" si="2"/>
        <v>Buikwe Town Council</v>
      </c>
      <c r="F182" s="69">
        <v>164</v>
      </c>
    </row>
    <row r="183" spans="1:6">
      <c r="A183" s="69" t="s">
        <v>540</v>
      </c>
      <c r="B183" s="69" t="s">
        <v>538</v>
      </c>
      <c r="C183" s="69" t="s">
        <v>540</v>
      </c>
      <c r="D183" s="69" t="str">
        <f t="shared" si="2"/>
        <v>Lugazi Municipality</v>
      </c>
      <c r="F183" s="69">
        <v>165</v>
      </c>
    </row>
    <row r="184" spans="1:6">
      <c r="A184" s="69" t="s">
        <v>541</v>
      </c>
      <c r="B184" s="69" t="s">
        <v>538</v>
      </c>
      <c r="C184" s="69" t="s">
        <v>538</v>
      </c>
      <c r="D184" s="69" t="str">
        <f t="shared" si="2"/>
        <v>Najja</v>
      </c>
      <c r="F184" s="69">
        <v>166</v>
      </c>
    </row>
    <row r="185" spans="1:6">
      <c r="A185" s="69" t="s">
        <v>542</v>
      </c>
      <c r="B185" s="69" t="s">
        <v>538</v>
      </c>
      <c r="C185" s="69" t="s">
        <v>538</v>
      </c>
      <c r="D185" s="69" t="str">
        <f t="shared" si="2"/>
        <v>Ngogwe</v>
      </c>
      <c r="F185" s="69">
        <v>167</v>
      </c>
    </row>
    <row r="186" spans="1:6">
      <c r="A186" s="69" t="s">
        <v>543</v>
      </c>
      <c r="B186" s="69" t="s">
        <v>538</v>
      </c>
      <c r="C186" s="69" t="s">
        <v>543</v>
      </c>
      <c r="D186" s="69" t="str">
        <f t="shared" si="2"/>
        <v>Njeru Municipality</v>
      </c>
      <c r="F186" s="69">
        <v>168</v>
      </c>
    </row>
    <row r="187" spans="1:6">
      <c r="A187" s="69" t="s">
        <v>544</v>
      </c>
      <c r="B187" s="69" t="s">
        <v>538</v>
      </c>
      <c r="C187" s="69" t="s">
        <v>538</v>
      </c>
      <c r="D187" s="69" t="str">
        <f t="shared" si="2"/>
        <v>Nkokonjeru Town Council</v>
      </c>
      <c r="F187" s="69">
        <v>169</v>
      </c>
    </row>
    <row r="188" spans="1:6">
      <c r="A188" s="69" t="s">
        <v>545</v>
      </c>
      <c r="B188" s="69" t="s">
        <v>538</v>
      </c>
      <c r="C188" s="69" t="s">
        <v>538</v>
      </c>
      <c r="D188" s="69" t="str">
        <f t="shared" si="2"/>
        <v>Ssi-Bukunja</v>
      </c>
      <c r="F188" s="69">
        <v>170</v>
      </c>
    </row>
    <row r="189" spans="1:6">
      <c r="A189" s="69" t="s">
        <v>546</v>
      </c>
      <c r="B189" s="69" t="s">
        <v>546</v>
      </c>
      <c r="C189" s="69" t="s">
        <v>546</v>
      </c>
      <c r="D189" s="69" t="str">
        <f t="shared" si="2"/>
        <v>Bukedea</v>
      </c>
      <c r="F189" s="69">
        <v>171</v>
      </c>
    </row>
    <row r="190" spans="1:6">
      <c r="A190" s="69" t="s">
        <v>547</v>
      </c>
      <c r="B190" s="69" t="s">
        <v>546</v>
      </c>
      <c r="C190" s="69" t="s">
        <v>546</v>
      </c>
      <c r="D190" s="69" t="str">
        <f t="shared" si="2"/>
        <v>Bukedea Town Council</v>
      </c>
      <c r="F190" s="69">
        <v>172</v>
      </c>
    </row>
    <row r="191" spans="1:6">
      <c r="A191" s="69" t="s">
        <v>548</v>
      </c>
      <c r="B191" s="69" t="s">
        <v>546</v>
      </c>
      <c r="C191" s="69" t="s">
        <v>546</v>
      </c>
      <c r="D191" s="69" t="str">
        <f t="shared" si="2"/>
        <v>Kachumbala</v>
      </c>
      <c r="F191" s="69">
        <v>173</v>
      </c>
    </row>
    <row r="192" spans="1:6">
      <c r="A192" s="69" t="s">
        <v>549</v>
      </c>
      <c r="B192" s="69" t="s">
        <v>546</v>
      </c>
      <c r="C192" s="69" t="s">
        <v>546</v>
      </c>
      <c r="D192" s="69" t="str">
        <f t="shared" si="2"/>
        <v>Kidongole</v>
      </c>
      <c r="F192" s="69">
        <v>174</v>
      </c>
    </row>
    <row r="193" spans="1:6">
      <c r="A193" s="69" t="s">
        <v>550</v>
      </c>
      <c r="B193" s="69" t="s">
        <v>546</v>
      </c>
      <c r="C193" s="69" t="s">
        <v>546</v>
      </c>
      <c r="D193" s="69" t="str">
        <f t="shared" si="2"/>
        <v>Kolir</v>
      </c>
      <c r="F193" s="69">
        <v>175</v>
      </c>
    </row>
    <row r="194" spans="1:6">
      <c r="A194" s="69" t="s">
        <v>551</v>
      </c>
      <c r="B194" s="69" t="s">
        <v>546</v>
      </c>
      <c r="C194" s="69" t="s">
        <v>546</v>
      </c>
      <c r="D194" s="69" t="str">
        <f t="shared" ref="D194:D257" si="3">A194</f>
        <v>Malera</v>
      </c>
      <c r="F194" s="69">
        <v>176</v>
      </c>
    </row>
    <row r="195" spans="1:6">
      <c r="A195" s="69" t="s">
        <v>552</v>
      </c>
      <c r="B195" s="69" t="s">
        <v>553</v>
      </c>
      <c r="C195" s="69" t="s">
        <v>553</v>
      </c>
      <c r="D195" s="69" t="str">
        <f t="shared" si="3"/>
        <v>Bigasa</v>
      </c>
      <c r="F195" s="69">
        <v>177</v>
      </c>
    </row>
    <row r="196" spans="1:6">
      <c r="A196" s="69" t="s">
        <v>554</v>
      </c>
      <c r="B196" s="69" t="s">
        <v>553</v>
      </c>
      <c r="C196" s="69" t="s">
        <v>553</v>
      </c>
      <c r="D196" s="69" t="str">
        <f t="shared" si="3"/>
        <v>Bukomansimbi Town Council</v>
      </c>
      <c r="F196" s="69">
        <v>178</v>
      </c>
    </row>
    <row r="197" spans="1:6">
      <c r="A197" s="69" t="s">
        <v>555</v>
      </c>
      <c r="B197" s="69" t="s">
        <v>553</v>
      </c>
      <c r="C197" s="69" t="s">
        <v>553</v>
      </c>
      <c r="D197" s="69" t="str">
        <f t="shared" si="3"/>
        <v>Butenga</v>
      </c>
      <c r="F197" s="69">
        <v>179</v>
      </c>
    </row>
    <row r="198" spans="1:6">
      <c r="A198" s="69" t="s">
        <v>556</v>
      </c>
      <c r="B198" s="69" t="s">
        <v>553</v>
      </c>
      <c r="C198" s="69" t="s">
        <v>553</v>
      </c>
      <c r="D198" s="69" t="str">
        <f t="shared" si="3"/>
        <v>Kibinge</v>
      </c>
      <c r="F198" s="69">
        <v>180</v>
      </c>
    </row>
    <row r="199" spans="1:6">
      <c r="A199" s="69" t="s">
        <v>557</v>
      </c>
      <c r="B199" s="69" t="s">
        <v>553</v>
      </c>
      <c r="C199" s="69" t="s">
        <v>553</v>
      </c>
      <c r="D199" s="69" t="str">
        <f t="shared" si="3"/>
        <v>Kitanda</v>
      </c>
      <c r="F199" s="69">
        <v>181</v>
      </c>
    </row>
    <row r="200" spans="1:6">
      <c r="A200" s="69" t="s">
        <v>558</v>
      </c>
      <c r="B200" s="69" t="s">
        <v>558</v>
      </c>
      <c r="C200" s="69" t="s">
        <v>559</v>
      </c>
      <c r="D200" s="69" t="str">
        <f t="shared" si="3"/>
        <v>Bukwo</v>
      </c>
      <c r="F200" s="69">
        <v>182</v>
      </c>
    </row>
    <row r="201" spans="1:6" ht="16.5" customHeight="1">
      <c r="A201" s="69" t="s">
        <v>560</v>
      </c>
      <c r="B201" s="69" t="s">
        <v>558</v>
      </c>
      <c r="C201" s="69" t="s">
        <v>559</v>
      </c>
      <c r="D201" s="69" t="str">
        <f t="shared" si="3"/>
        <v>Bukwo Town Council</v>
      </c>
      <c r="F201" s="69">
        <v>183</v>
      </c>
    </row>
    <row r="202" spans="1:6">
      <c r="A202" s="69" t="s">
        <v>561</v>
      </c>
      <c r="B202" s="69" t="s">
        <v>558</v>
      </c>
      <c r="C202" s="69" t="s">
        <v>559</v>
      </c>
      <c r="D202" s="69" t="str">
        <f t="shared" si="3"/>
        <v>Chepkwasta</v>
      </c>
      <c r="F202" s="69">
        <v>184</v>
      </c>
    </row>
    <row r="203" spans="1:6">
      <c r="A203" s="69" t="s">
        <v>562</v>
      </c>
      <c r="B203" s="69" t="s">
        <v>558</v>
      </c>
      <c r="C203" s="69" t="s">
        <v>559</v>
      </c>
      <c r="D203" s="69" t="str">
        <f t="shared" si="3"/>
        <v>Chesower</v>
      </c>
      <c r="F203" s="69">
        <v>185</v>
      </c>
    </row>
    <row r="204" spans="1:6">
      <c r="A204" s="69" t="s">
        <v>563</v>
      </c>
      <c r="B204" s="69" t="s">
        <v>558</v>
      </c>
      <c r="C204" s="69" t="s">
        <v>559</v>
      </c>
      <c r="D204" s="69" t="str">
        <f t="shared" si="3"/>
        <v>Kabei</v>
      </c>
      <c r="F204" s="69">
        <v>186</v>
      </c>
    </row>
    <row r="205" spans="1:6">
      <c r="A205" s="69" t="s">
        <v>564</v>
      </c>
      <c r="B205" s="69" t="s">
        <v>558</v>
      </c>
      <c r="C205" s="69" t="s">
        <v>559</v>
      </c>
      <c r="D205" s="69" t="str">
        <f t="shared" si="3"/>
        <v>Kamet</v>
      </c>
      <c r="F205" s="69">
        <v>187</v>
      </c>
    </row>
    <row r="206" spans="1:6">
      <c r="A206" s="69" t="s">
        <v>565</v>
      </c>
      <c r="B206" s="69" t="s">
        <v>558</v>
      </c>
      <c r="C206" s="69" t="s">
        <v>559</v>
      </c>
      <c r="D206" s="69" t="str">
        <f t="shared" si="3"/>
        <v>Kaptererwo</v>
      </c>
      <c r="F206" s="69">
        <v>188</v>
      </c>
    </row>
    <row r="207" spans="1:6">
      <c r="A207" s="69" t="s">
        <v>566</v>
      </c>
      <c r="B207" s="69" t="s">
        <v>558</v>
      </c>
      <c r="C207" s="69" t="s">
        <v>559</v>
      </c>
      <c r="D207" s="69" t="str">
        <f t="shared" si="3"/>
        <v>Kortek</v>
      </c>
      <c r="F207" s="69">
        <v>189</v>
      </c>
    </row>
    <row r="208" spans="1:6">
      <c r="A208" s="69" t="s">
        <v>567</v>
      </c>
      <c r="B208" s="69" t="s">
        <v>558</v>
      </c>
      <c r="C208" s="69" t="s">
        <v>559</v>
      </c>
      <c r="D208" s="69" t="str">
        <f t="shared" si="3"/>
        <v>Riwo</v>
      </c>
      <c r="F208" s="69">
        <v>190</v>
      </c>
    </row>
    <row r="209" spans="1:6">
      <c r="A209" s="69" t="s">
        <v>568</v>
      </c>
      <c r="B209" s="69" t="s">
        <v>558</v>
      </c>
      <c r="C209" s="69" t="s">
        <v>559</v>
      </c>
      <c r="D209" s="69" t="str">
        <f t="shared" si="3"/>
        <v>Senendet</v>
      </c>
      <c r="F209" s="69">
        <v>191</v>
      </c>
    </row>
    <row r="210" spans="1:6">
      <c r="A210" s="69" t="s">
        <v>569</v>
      </c>
      <c r="B210" s="69" t="s">
        <v>558</v>
      </c>
      <c r="C210" s="69" t="s">
        <v>559</v>
      </c>
      <c r="D210" s="69" t="str">
        <f t="shared" si="3"/>
        <v>Suam</v>
      </c>
      <c r="F210" s="69">
        <v>192</v>
      </c>
    </row>
    <row r="211" spans="1:6">
      <c r="A211" s="69" t="s">
        <v>570</v>
      </c>
      <c r="B211" s="69" t="s">
        <v>558</v>
      </c>
      <c r="C211" s="69" t="s">
        <v>559</v>
      </c>
      <c r="D211" s="69" t="str">
        <f t="shared" si="3"/>
        <v>Tulel</v>
      </c>
      <c r="F211" s="69">
        <v>193</v>
      </c>
    </row>
    <row r="212" spans="1:6">
      <c r="A212" s="69" t="s">
        <v>571</v>
      </c>
      <c r="B212" s="69" t="s">
        <v>572</v>
      </c>
      <c r="C212" s="69" t="s">
        <v>572</v>
      </c>
      <c r="D212" s="69" t="str">
        <f t="shared" si="3"/>
        <v>Buginyanya</v>
      </c>
      <c r="F212" s="69">
        <v>194</v>
      </c>
    </row>
    <row r="213" spans="1:6">
      <c r="A213" s="69" t="s">
        <v>573</v>
      </c>
      <c r="B213" s="69" t="s">
        <v>572</v>
      </c>
      <c r="C213" s="69" t="s">
        <v>572</v>
      </c>
      <c r="D213" s="69" t="str">
        <f t="shared" si="3"/>
        <v>Bukhalu</v>
      </c>
      <c r="F213" s="69">
        <v>195</v>
      </c>
    </row>
    <row r="214" spans="1:6">
      <c r="A214" s="69" t="s">
        <v>574</v>
      </c>
      <c r="B214" s="69" t="s">
        <v>572</v>
      </c>
      <c r="C214" s="69" t="s">
        <v>572</v>
      </c>
      <c r="D214" s="69" t="str">
        <f t="shared" si="3"/>
        <v>Bulaago</v>
      </c>
      <c r="F214" s="69">
        <v>196</v>
      </c>
    </row>
    <row r="215" spans="1:6">
      <c r="A215" s="69" t="s">
        <v>575</v>
      </c>
      <c r="B215" s="69" t="s">
        <v>572</v>
      </c>
      <c r="C215" s="69" t="s">
        <v>572</v>
      </c>
      <c r="D215" s="69" t="str">
        <f t="shared" si="3"/>
        <v>Bulambuli Town Council</v>
      </c>
      <c r="F215" s="69">
        <v>197</v>
      </c>
    </row>
    <row r="216" spans="1:6">
      <c r="A216" s="69" t="s">
        <v>576</v>
      </c>
      <c r="B216" s="69" t="s">
        <v>572</v>
      </c>
      <c r="C216" s="69" t="s">
        <v>572</v>
      </c>
      <c r="D216" s="69" t="str">
        <f t="shared" si="3"/>
        <v>Bulegeni</v>
      </c>
      <c r="F216" s="69">
        <v>198</v>
      </c>
    </row>
    <row r="217" spans="1:6">
      <c r="A217" s="69" t="s">
        <v>577</v>
      </c>
      <c r="B217" s="69" t="s">
        <v>572</v>
      </c>
      <c r="C217" s="69" t="s">
        <v>572</v>
      </c>
      <c r="D217" s="69" t="str">
        <f t="shared" si="3"/>
        <v>Bulegeni Town Council</v>
      </c>
      <c r="F217" s="69">
        <v>199</v>
      </c>
    </row>
    <row r="218" spans="1:6">
      <c r="A218" s="69" t="s">
        <v>578</v>
      </c>
      <c r="B218" s="69" t="s">
        <v>572</v>
      </c>
      <c r="C218" s="69" t="s">
        <v>572</v>
      </c>
      <c r="D218" s="69" t="str">
        <f t="shared" si="3"/>
        <v>Buluganya</v>
      </c>
      <c r="F218" s="69">
        <v>200</v>
      </c>
    </row>
    <row r="219" spans="1:6">
      <c r="A219" s="69" t="s">
        <v>579</v>
      </c>
      <c r="B219" s="69" t="s">
        <v>572</v>
      </c>
      <c r="C219" s="69" t="s">
        <v>572</v>
      </c>
      <c r="D219" s="69" t="str">
        <f t="shared" si="3"/>
        <v>Bumasobo</v>
      </c>
      <c r="F219" s="69">
        <v>201</v>
      </c>
    </row>
    <row r="220" spans="1:6">
      <c r="A220" s="69" t="s">
        <v>580</v>
      </c>
      <c r="B220" s="69" t="s">
        <v>572</v>
      </c>
      <c r="C220" s="69" t="s">
        <v>572</v>
      </c>
      <c r="D220" s="69" t="str">
        <f t="shared" si="3"/>
        <v>Bumugibole</v>
      </c>
      <c r="F220" s="69">
        <v>202</v>
      </c>
    </row>
    <row r="221" spans="1:6">
      <c r="A221" s="69" t="s">
        <v>581</v>
      </c>
      <c r="B221" s="69" t="s">
        <v>572</v>
      </c>
      <c r="C221" s="69" t="s">
        <v>572</v>
      </c>
      <c r="D221" s="69" t="str">
        <f t="shared" si="3"/>
        <v>Bunambutye</v>
      </c>
      <c r="F221" s="69">
        <v>203</v>
      </c>
    </row>
    <row r="222" spans="1:6">
      <c r="A222" s="69" t="s">
        <v>582</v>
      </c>
      <c r="B222" s="69" t="s">
        <v>572</v>
      </c>
      <c r="C222" s="69" t="s">
        <v>572</v>
      </c>
      <c r="D222" s="69" t="str">
        <f t="shared" si="3"/>
        <v>Bwikhonge</v>
      </c>
      <c r="F222" s="69">
        <v>204</v>
      </c>
    </row>
    <row r="223" spans="1:6">
      <c r="A223" s="69" t="s">
        <v>583</v>
      </c>
      <c r="B223" s="69" t="s">
        <v>572</v>
      </c>
      <c r="C223" s="69" t="s">
        <v>572</v>
      </c>
      <c r="D223" s="69" t="str">
        <f t="shared" si="3"/>
        <v>Kamu</v>
      </c>
      <c r="F223" s="69">
        <v>205</v>
      </c>
    </row>
    <row r="224" spans="1:6">
      <c r="A224" s="69" t="s">
        <v>584</v>
      </c>
      <c r="B224" s="69" t="s">
        <v>572</v>
      </c>
      <c r="C224" s="69" t="s">
        <v>572</v>
      </c>
      <c r="D224" s="69" t="str">
        <f t="shared" si="3"/>
        <v>Lusha</v>
      </c>
      <c r="F224" s="69">
        <v>206</v>
      </c>
    </row>
    <row r="225" spans="1:6">
      <c r="A225" s="69" t="s">
        <v>585</v>
      </c>
      <c r="B225" s="69" t="s">
        <v>572</v>
      </c>
      <c r="C225" s="69" t="s">
        <v>572</v>
      </c>
      <c r="D225" s="69" t="str">
        <f t="shared" si="3"/>
        <v>Masiira</v>
      </c>
      <c r="F225" s="69">
        <v>207</v>
      </c>
    </row>
    <row r="226" spans="1:6">
      <c r="A226" s="69" t="s">
        <v>586</v>
      </c>
      <c r="B226" s="69" t="s">
        <v>572</v>
      </c>
      <c r="C226" s="69" t="s">
        <v>572</v>
      </c>
      <c r="D226" s="69" t="str">
        <f t="shared" si="3"/>
        <v>Muyembe</v>
      </c>
      <c r="F226" s="69">
        <v>208</v>
      </c>
    </row>
    <row r="227" spans="1:6" ht="15" customHeight="1">
      <c r="A227" s="69" t="s">
        <v>587</v>
      </c>
      <c r="B227" s="69" t="s">
        <v>572</v>
      </c>
      <c r="C227" s="69" t="s">
        <v>572</v>
      </c>
      <c r="D227" s="69" t="str">
        <f t="shared" si="3"/>
        <v>Nabbongo</v>
      </c>
      <c r="F227" s="69">
        <v>209</v>
      </c>
    </row>
    <row r="228" spans="1:6">
      <c r="A228" s="69" t="s">
        <v>588</v>
      </c>
      <c r="B228" s="69" t="s">
        <v>572</v>
      </c>
      <c r="C228" s="69" t="s">
        <v>572</v>
      </c>
      <c r="D228" s="69" t="str">
        <f t="shared" si="3"/>
        <v>Namisuni</v>
      </c>
      <c r="F228" s="69">
        <v>210</v>
      </c>
    </row>
    <row r="229" spans="1:6">
      <c r="A229" s="69" t="s">
        <v>589</v>
      </c>
      <c r="B229" s="69" t="s">
        <v>572</v>
      </c>
      <c r="C229" s="69" t="s">
        <v>572</v>
      </c>
      <c r="D229" s="69" t="str">
        <f t="shared" si="3"/>
        <v>Simu</v>
      </c>
      <c r="F229" s="69">
        <v>211</v>
      </c>
    </row>
    <row r="230" spans="1:6">
      <c r="A230" s="69" t="s">
        <v>590</v>
      </c>
      <c r="B230" s="69" t="s">
        <v>572</v>
      </c>
      <c r="C230" s="69" t="s">
        <v>572</v>
      </c>
      <c r="D230" s="69" t="str">
        <f t="shared" si="3"/>
        <v>Sisiyi</v>
      </c>
      <c r="F230" s="69">
        <v>212</v>
      </c>
    </row>
    <row r="231" spans="1:6">
      <c r="A231" s="69" t="s">
        <v>591</v>
      </c>
      <c r="B231" s="69" t="s">
        <v>592</v>
      </c>
      <c r="C231" s="69" t="s">
        <v>592</v>
      </c>
      <c r="D231" s="69" t="str">
        <f t="shared" si="3"/>
        <v>Biiso</v>
      </c>
      <c r="F231" s="69">
        <v>213</v>
      </c>
    </row>
    <row r="232" spans="1:6">
      <c r="A232" s="69" t="s">
        <v>592</v>
      </c>
      <c r="B232" s="69" t="s">
        <v>592</v>
      </c>
      <c r="C232" s="69" t="s">
        <v>592</v>
      </c>
      <c r="D232" s="69" t="str">
        <f t="shared" si="3"/>
        <v>Buliisa</v>
      </c>
      <c r="F232" s="69">
        <v>214</v>
      </c>
    </row>
    <row r="233" spans="1:6">
      <c r="A233" s="69" t="s">
        <v>593</v>
      </c>
      <c r="B233" s="69" t="s">
        <v>592</v>
      </c>
      <c r="C233" s="69" t="s">
        <v>592</v>
      </c>
      <c r="D233" s="69" t="str">
        <f t="shared" si="3"/>
        <v>Buliisa Town Council</v>
      </c>
      <c r="F233" s="69">
        <v>215</v>
      </c>
    </row>
    <row r="234" spans="1:6">
      <c r="A234" s="69" t="s">
        <v>594</v>
      </c>
      <c r="B234" s="69" t="s">
        <v>592</v>
      </c>
      <c r="C234" s="69" t="s">
        <v>592</v>
      </c>
      <c r="D234" s="69" t="str">
        <f t="shared" si="3"/>
        <v>Butiaba</v>
      </c>
      <c r="F234" s="69">
        <v>216</v>
      </c>
    </row>
    <row r="235" spans="1:6">
      <c r="A235" s="69" t="s">
        <v>595</v>
      </c>
      <c r="B235" s="69" t="s">
        <v>592</v>
      </c>
      <c r="C235" s="69" t="s">
        <v>592</v>
      </c>
      <c r="D235" s="69" t="str">
        <f t="shared" si="3"/>
        <v>Kigwera</v>
      </c>
      <c r="F235" s="69">
        <v>217</v>
      </c>
    </row>
    <row r="236" spans="1:6">
      <c r="A236" s="69" t="s">
        <v>596</v>
      </c>
      <c r="B236" s="69" t="s">
        <v>592</v>
      </c>
      <c r="C236" s="69" t="s">
        <v>592</v>
      </c>
      <c r="D236" s="69" t="str">
        <f t="shared" si="3"/>
        <v>Kihungya</v>
      </c>
      <c r="F236" s="69">
        <v>218</v>
      </c>
    </row>
    <row r="237" spans="1:6">
      <c r="A237" s="69" t="s">
        <v>597</v>
      </c>
      <c r="B237" s="69" t="s">
        <v>592</v>
      </c>
      <c r="C237" s="69" t="s">
        <v>592</v>
      </c>
      <c r="D237" s="69" t="str">
        <f t="shared" si="3"/>
        <v>Ngwedo</v>
      </c>
      <c r="F237" s="69">
        <v>219</v>
      </c>
    </row>
    <row r="238" spans="1:6">
      <c r="A238" s="69" t="s">
        <v>598</v>
      </c>
      <c r="B238" s="69" t="s">
        <v>599</v>
      </c>
      <c r="C238" s="69" t="s">
        <v>600</v>
      </c>
      <c r="D238" s="69" t="str">
        <f t="shared" si="3"/>
        <v>Bubandi</v>
      </c>
      <c r="F238" s="69">
        <v>220</v>
      </c>
    </row>
    <row r="239" spans="1:6">
      <c r="A239" s="69" t="s">
        <v>601</v>
      </c>
      <c r="B239" s="69" t="s">
        <v>599</v>
      </c>
      <c r="C239" s="69" t="s">
        <v>600</v>
      </c>
      <c r="D239" s="69" t="str">
        <f t="shared" si="3"/>
        <v>Bubukwanga</v>
      </c>
      <c r="F239" s="69">
        <v>221</v>
      </c>
    </row>
    <row r="240" spans="1:6">
      <c r="A240" s="69" t="s">
        <v>602</v>
      </c>
      <c r="B240" s="69" t="s">
        <v>599</v>
      </c>
      <c r="C240" s="69" t="s">
        <v>603</v>
      </c>
      <c r="D240" s="69" t="str">
        <f t="shared" si="3"/>
        <v>Bukonzo</v>
      </c>
      <c r="F240" s="69">
        <v>222</v>
      </c>
    </row>
    <row r="241" spans="1:6">
      <c r="A241" s="69" t="s">
        <v>604</v>
      </c>
      <c r="B241" s="69" t="s">
        <v>599</v>
      </c>
      <c r="C241" s="69" t="s">
        <v>600</v>
      </c>
      <c r="D241" s="69" t="str">
        <f t="shared" si="3"/>
        <v>Bundibugyo Town Council</v>
      </c>
      <c r="F241" s="69">
        <v>223</v>
      </c>
    </row>
    <row r="242" spans="1:6">
      <c r="A242" s="69" t="s">
        <v>605</v>
      </c>
      <c r="B242" s="69" t="s">
        <v>599</v>
      </c>
      <c r="C242" s="69" t="s">
        <v>600</v>
      </c>
      <c r="D242" s="69" t="str">
        <f t="shared" si="3"/>
        <v>Bundingoma</v>
      </c>
      <c r="F242" s="69">
        <v>224</v>
      </c>
    </row>
    <row r="243" spans="1:6">
      <c r="A243" s="69" t="s">
        <v>606</v>
      </c>
      <c r="B243" s="69" t="s">
        <v>599</v>
      </c>
      <c r="C243" s="69" t="s">
        <v>603</v>
      </c>
      <c r="D243" s="69" t="str">
        <f t="shared" si="3"/>
        <v>Burondo</v>
      </c>
      <c r="F243" s="69">
        <v>225</v>
      </c>
    </row>
    <row r="244" spans="1:6">
      <c r="A244" s="69" t="s">
        <v>607</v>
      </c>
      <c r="B244" s="69" t="s">
        <v>599</v>
      </c>
      <c r="C244" s="69" t="s">
        <v>600</v>
      </c>
      <c r="D244" s="69" t="str">
        <f t="shared" si="3"/>
        <v>Busaru</v>
      </c>
      <c r="F244" s="69">
        <v>226</v>
      </c>
    </row>
    <row r="245" spans="1:6">
      <c r="A245" s="69" t="s">
        <v>608</v>
      </c>
      <c r="B245" s="69" t="s">
        <v>599</v>
      </c>
      <c r="C245" s="69" t="s">
        <v>603</v>
      </c>
      <c r="D245" s="69" t="str">
        <f t="shared" si="3"/>
        <v>Harugale</v>
      </c>
      <c r="F245" s="69">
        <v>227</v>
      </c>
    </row>
    <row r="246" spans="1:6">
      <c r="A246" s="69" t="s">
        <v>609</v>
      </c>
      <c r="B246" s="69" t="s">
        <v>599</v>
      </c>
      <c r="C246" s="69" t="s">
        <v>603</v>
      </c>
      <c r="D246" s="69" t="str">
        <f t="shared" si="3"/>
        <v>Kagugu</v>
      </c>
      <c r="F246" s="69">
        <v>228</v>
      </c>
    </row>
    <row r="247" spans="1:6">
      <c r="A247" s="69" t="s">
        <v>610</v>
      </c>
      <c r="B247" s="69" t="s">
        <v>599</v>
      </c>
      <c r="C247" s="69" t="s">
        <v>603</v>
      </c>
      <c r="D247" s="69" t="str">
        <f t="shared" si="3"/>
        <v>Kasitu</v>
      </c>
      <c r="F247" s="69">
        <v>229</v>
      </c>
    </row>
    <row r="248" spans="1:6">
      <c r="A248" s="69" t="s">
        <v>611</v>
      </c>
      <c r="B248" s="69" t="s">
        <v>599</v>
      </c>
      <c r="C248" s="69" t="s">
        <v>600</v>
      </c>
      <c r="D248" s="69" t="str">
        <f t="shared" si="3"/>
        <v>Kirumya</v>
      </c>
      <c r="F248" s="69">
        <v>230</v>
      </c>
    </row>
    <row r="249" spans="1:6">
      <c r="A249" s="69" t="s">
        <v>612</v>
      </c>
      <c r="B249" s="69" t="s">
        <v>599</v>
      </c>
      <c r="C249" s="69" t="s">
        <v>600</v>
      </c>
      <c r="D249" s="69" t="str">
        <f t="shared" si="3"/>
        <v>Kisubba</v>
      </c>
      <c r="F249" s="69">
        <v>231</v>
      </c>
    </row>
    <row r="250" spans="1:6">
      <c r="A250" s="69" t="s">
        <v>613</v>
      </c>
      <c r="B250" s="69" t="s">
        <v>599</v>
      </c>
      <c r="C250" s="69" t="s">
        <v>600</v>
      </c>
      <c r="D250" s="69" t="str">
        <f t="shared" si="3"/>
        <v>Mirambi</v>
      </c>
      <c r="F250" s="69">
        <v>232</v>
      </c>
    </row>
    <row r="251" spans="1:6">
      <c r="A251" s="69" t="s">
        <v>614</v>
      </c>
      <c r="B251" s="69" t="s">
        <v>599</v>
      </c>
      <c r="C251" s="69" t="s">
        <v>603</v>
      </c>
      <c r="D251" s="69" t="str">
        <f t="shared" si="3"/>
        <v>Nduguto</v>
      </c>
      <c r="F251" s="69">
        <v>233</v>
      </c>
    </row>
    <row r="252" spans="1:6">
      <c r="A252" s="69" t="s">
        <v>615</v>
      </c>
      <c r="B252" s="69" t="s">
        <v>599</v>
      </c>
      <c r="C252" s="69" t="s">
        <v>603</v>
      </c>
      <c r="D252" s="69" t="str">
        <f t="shared" si="3"/>
        <v>Ngamba</v>
      </c>
      <c r="F252" s="69">
        <v>234</v>
      </c>
    </row>
    <row r="253" spans="1:6">
      <c r="A253" s="69" t="s">
        <v>616</v>
      </c>
      <c r="B253" s="69" t="s">
        <v>599</v>
      </c>
      <c r="C253" s="69" t="s">
        <v>603</v>
      </c>
      <c r="D253" s="69" t="str">
        <f t="shared" si="3"/>
        <v>Ntandi Town Council</v>
      </c>
      <c r="F253" s="69">
        <v>235</v>
      </c>
    </row>
    <row r="254" spans="1:6">
      <c r="A254" s="69" t="s">
        <v>617</v>
      </c>
      <c r="B254" s="69" t="s">
        <v>599</v>
      </c>
      <c r="C254" s="69" t="s">
        <v>603</v>
      </c>
      <c r="D254" s="69" t="str">
        <f t="shared" si="3"/>
        <v>Ntotoro</v>
      </c>
      <c r="F254" s="69">
        <v>236</v>
      </c>
    </row>
    <row r="255" spans="1:6">
      <c r="A255" s="69" t="s">
        <v>618</v>
      </c>
      <c r="B255" s="69" t="s">
        <v>599</v>
      </c>
      <c r="C255" s="69" t="s">
        <v>600</v>
      </c>
      <c r="D255" s="69" t="str">
        <f t="shared" si="3"/>
        <v>Nyahuka Town Council</v>
      </c>
      <c r="F255" s="69">
        <v>237</v>
      </c>
    </row>
    <row r="256" spans="1:6">
      <c r="A256" s="69" t="s">
        <v>619</v>
      </c>
      <c r="B256" s="69" t="s">
        <v>599</v>
      </c>
      <c r="C256" s="69" t="s">
        <v>603</v>
      </c>
      <c r="D256" s="69" t="str">
        <f t="shared" si="3"/>
        <v>Sindila</v>
      </c>
      <c r="F256" s="69">
        <v>238</v>
      </c>
    </row>
    <row r="257" spans="1:6">
      <c r="A257" s="69" t="s">
        <v>620</v>
      </c>
      <c r="B257" s="69" t="s">
        <v>599</v>
      </c>
      <c r="C257" s="69" t="s">
        <v>600</v>
      </c>
      <c r="D257" s="69" t="str">
        <f t="shared" si="3"/>
        <v>Tokwe</v>
      </c>
      <c r="F257" s="69">
        <v>239</v>
      </c>
    </row>
    <row r="258" spans="1:6">
      <c r="A258" s="69" t="s">
        <v>621</v>
      </c>
      <c r="B258" s="69" t="s">
        <v>622</v>
      </c>
      <c r="C258" s="69" t="s">
        <v>622</v>
      </c>
      <c r="D258" s="69" t="str">
        <f t="shared" ref="D258:D321" si="4">A258</f>
        <v>Buheesi</v>
      </c>
      <c r="F258" s="69">
        <v>240</v>
      </c>
    </row>
    <row r="259" spans="1:6">
      <c r="A259" s="69" t="s">
        <v>623</v>
      </c>
      <c r="B259" s="69" t="s">
        <v>622</v>
      </c>
      <c r="C259" s="69" t="s">
        <v>622</v>
      </c>
      <c r="D259" s="69" t="str">
        <f t="shared" si="4"/>
        <v>Buheesi Town Council</v>
      </c>
      <c r="F259" s="69">
        <v>241</v>
      </c>
    </row>
    <row r="260" spans="1:6">
      <c r="A260" s="69" t="s">
        <v>624</v>
      </c>
      <c r="B260" s="69" t="s">
        <v>622</v>
      </c>
      <c r="C260" s="69" t="s">
        <v>622</v>
      </c>
      <c r="D260" s="69" t="str">
        <f t="shared" si="4"/>
        <v>Kabonero</v>
      </c>
      <c r="F260" s="69">
        <v>242</v>
      </c>
    </row>
    <row r="261" spans="1:6">
      <c r="A261" s="69" t="s">
        <v>625</v>
      </c>
      <c r="B261" s="69" t="s">
        <v>622</v>
      </c>
      <c r="C261" s="69" t="s">
        <v>622</v>
      </c>
      <c r="D261" s="69" t="str">
        <f t="shared" si="4"/>
        <v>Katebwa</v>
      </c>
      <c r="F261" s="69">
        <v>243</v>
      </c>
    </row>
    <row r="262" spans="1:6">
      <c r="A262" s="69" t="s">
        <v>626</v>
      </c>
      <c r="B262" s="69" t="s">
        <v>622</v>
      </c>
      <c r="C262" s="69" t="s">
        <v>622</v>
      </c>
      <c r="D262" s="69" t="str">
        <f t="shared" si="4"/>
        <v>Kibiito</v>
      </c>
      <c r="F262" s="69">
        <v>244</v>
      </c>
    </row>
    <row r="263" spans="1:6">
      <c r="A263" s="69" t="s">
        <v>627</v>
      </c>
      <c r="B263" s="69" t="s">
        <v>622</v>
      </c>
      <c r="C263" s="69" t="s">
        <v>622</v>
      </c>
      <c r="D263" s="69" t="str">
        <f t="shared" si="4"/>
        <v>Kibiito Town Council</v>
      </c>
      <c r="F263" s="69">
        <v>245</v>
      </c>
    </row>
    <row r="264" spans="1:6">
      <c r="A264" s="69" t="s">
        <v>628</v>
      </c>
      <c r="B264" s="69" t="s">
        <v>622</v>
      </c>
      <c r="C264" s="69" t="s">
        <v>622</v>
      </c>
      <c r="D264" s="69" t="str">
        <f t="shared" si="4"/>
        <v>Kisomoro</v>
      </c>
      <c r="F264" s="69">
        <v>246</v>
      </c>
    </row>
    <row r="265" spans="1:6">
      <c r="A265" s="69" t="s">
        <v>629</v>
      </c>
      <c r="B265" s="69" t="s">
        <v>622</v>
      </c>
      <c r="C265" s="69" t="s">
        <v>622</v>
      </c>
      <c r="D265" s="69" t="str">
        <f t="shared" si="4"/>
        <v>Kyamukube Town Council</v>
      </c>
      <c r="F265" s="69">
        <v>247</v>
      </c>
    </row>
    <row r="266" spans="1:6">
      <c r="A266" s="69" t="s">
        <v>630</v>
      </c>
      <c r="B266" s="69" t="s">
        <v>622</v>
      </c>
      <c r="C266" s="69" t="s">
        <v>622</v>
      </c>
      <c r="D266" s="69" t="str">
        <f t="shared" si="4"/>
        <v>Rubona Town Council</v>
      </c>
      <c r="F266" s="69">
        <v>248</v>
      </c>
    </row>
    <row r="267" spans="1:6">
      <c r="A267" s="69" t="s">
        <v>631</v>
      </c>
      <c r="B267" s="69" t="s">
        <v>622</v>
      </c>
      <c r="C267" s="69" t="s">
        <v>622</v>
      </c>
      <c r="D267" s="69" t="str">
        <f t="shared" si="4"/>
        <v>Rwimi</v>
      </c>
      <c r="F267" s="69">
        <v>249</v>
      </c>
    </row>
    <row r="268" spans="1:6">
      <c r="A268" s="69" t="s">
        <v>632</v>
      </c>
      <c r="B268" s="69" t="s">
        <v>622</v>
      </c>
      <c r="C268" s="69" t="s">
        <v>622</v>
      </c>
      <c r="D268" s="69" t="str">
        <f t="shared" si="4"/>
        <v>Rwimi Town Council</v>
      </c>
      <c r="F268" s="69">
        <v>250</v>
      </c>
    </row>
    <row r="269" spans="1:6">
      <c r="A269" s="69" t="s">
        <v>633</v>
      </c>
      <c r="B269" s="69" t="s">
        <v>38</v>
      </c>
      <c r="C269" s="69" t="s">
        <v>634</v>
      </c>
      <c r="D269" s="69" t="str">
        <f t="shared" si="4"/>
        <v>Bitooma</v>
      </c>
      <c r="F269" s="69">
        <v>251</v>
      </c>
    </row>
    <row r="270" spans="1:6">
      <c r="A270" s="69" t="s">
        <v>635</v>
      </c>
      <c r="B270" s="69" t="s">
        <v>38</v>
      </c>
      <c r="C270" s="69" t="s">
        <v>634</v>
      </c>
      <c r="D270" s="69" t="str">
        <f t="shared" si="4"/>
        <v>Bumbaire</v>
      </c>
      <c r="F270" s="69">
        <v>252</v>
      </c>
    </row>
    <row r="271" spans="1:6">
      <c r="A271" s="69" t="s">
        <v>636</v>
      </c>
      <c r="B271" s="69" t="s">
        <v>38</v>
      </c>
      <c r="C271" s="69" t="s">
        <v>636</v>
      </c>
      <c r="D271" s="69" t="str">
        <f t="shared" si="4"/>
        <v>Bushenyi-Ishaka Municipality</v>
      </c>
      <c r="F271" s="69">
        <v>253</v>
      </c>
    </row>
    <row r="272" spans="1:6">
      <c r="A272" s="69" t="s">
        <v>637</v>
      </c>
      <c r="B272" s="69" t="s">
        <v>38</v>
      </c>
      <c r="C272" s="69" t="s">
        <v>634</v>
      </c>
      <c r="D272" s="69" t="str">
        <f t="shared" si="4"/>
        <v>Ibaare</v>
      </c>
      <c r="F272" s="69">
        <v>254</v>
      </c>
    </row>
    <row r="273" spans="1:6">
      <c r="A273" s="69" t="s">
        <v>638</v>
      </c>
      <c r="B273" s="69" t="s">
        <v>38</v>
      </c>
      <c r="C273" s="69" t="s">
        <v>634</v>
      </c>
      <c r="D273" s="69" t="str">
        <f t="shared" si="4"/>
        <v>Kakanju</v>
      </c>
      <c r="F273" s="69">
        <v>255</v>
      </c>
    </row>
    <row r="274" spans="1:6">
      <c r="A274" s="69" t="s">
        <v>639</v>
      </c>
      <c r="B274" s="69" t="s">
        <v>38</v>
      </c>
      <c r="C274" s="69" t="s">
        <v>634</v>
      </c>
      <c r="D274" s="69" t="str">
        <f t="shared" si="4"/>
        <v>Kyabugimbi</v>
      </c>
      <c r="F274" s="69">
        <v>256</v>
      </c>
    </row>
    <row r="275" spans="1:6">
      <c r="A275" s="69" t="s">
        <v>50</v>
      </c>
      <c r="B275" s="69" t="s">
        <v>38</v>
      </c>
      <c r="C275" s="69" t="s">
        <v>634</v>
      </c>
      <c r="D275" s="69" t="str">
        <f t="shared" si="4"/>
        <v>Kyamuhunga</v>
      </c>
      <c r="F275" s="69">
        <v>257</v>
      </c>
    </row>
    <row r="276" spans="1:6">
      <c r="A276" s="69" t="s">
        <v>640</v>
      </c>
      <c r="B276" s="69" t="s">
        <v>38</v>
      </c>
      <c r="C276" s="69" t="s">
        <v>634</v>
      </c>
      <c r="D276" s="69" t="str">
        <f t="shared" si="4"/>
        <v>Kyamuhunga Town Council</v>
      </c>
      <c r="F276" s="69">
        <v>258</v>
      </c>
    </row>
    <row r="277" spans="1:6">
      <c r="A277" s="69" t="s">
        <v>641</v>
      </c>
      <c r="B277" s="69" t="s">
        <v>38</v>
      </c>
      <c r="C277" s="69" t="s">
        <v>634</v>
      </c>
      <c r="D277" s="69" t="str">
        <f t="shared" si="4"/>
        <v>Kyeizooba</v>
      </c>
      <c r="F277" s="69">
        <v>259</v>
      </c>
    </row>
    <row r="278" spans="1:6">
      <c r="A278" s="69" t="s">
        <v>642</v>
      </c>
      <c r="B278" s="69" t="s">
        <v>38</v>
      </c>
      <c r="C278" s="69" t="s">
        <v>634</v>
      </c>
      <c r="D278" s="69" t="str">
        <f t="shared" si="4"/>
        <v>Nyabubare</v>
      </c>
      <c r="F278" s="69">
        <v>260</v>
      </c>
    </row>
    <row r="279" spans="1:6">
      <c r="A279" s="69" t="s">
        <v>643</v>
      </c>
      <c r="B279" s="69" t="s">
        <v>38</v>
      </c>
      <c r="C279" s="69" t="s">
        <v>634</v>
      </c>
      <c r="D279" s="69" t="str">
        <f t="shared" si="4"/>
        <v>Ruhumuro</v>
      </c>
      <c r="F279" s="69">
        <v>261</v>
      </c>
    </row>
    <row r="280" spans="1:6">
      <c r="A280" s="69" t="s">
        <v>644</v>
      </c>
      <c r="B280" s="69" t="s">
        <v>645</v>
      </c>
      <c r="C280" s="69" t="s">
        <v>646</v>
      </c>
      <c r="D280" s="69" t="str">
        <f t="shared" si="4"/>
        <v>Buhehe</v>
      </c>
      <c r="F280" s="69">
        <v>262</v>
      </c>
    </row>
    <row r="281" spans="1:6">
      <c r="A281" s="69" t="s">
        <v>647</v>
      </c>
      <c r="B281" s="69" t="s">
        <v>645</v>
      </c>
      <c r="C281" s="69" t="s">
        <v>646</v>
      </c>
      <c r="D281" s="69" t="str">
        <f t="shared" si="4"/>
        <v>Bulumbi</v>
      </c>
      <c r="F281" s="69">
        <v>263</v>
      </c>
    </row>
    <row r="282" spans="1:6">
      <c r="A282" s="69" t="s">
        <v>648</v>
      </c>
      <c r="B282" s="69" t="s">
        <v>645</v>
      </c>
      <c r="C282" s="69" t="s">
        <v>648</v>
      </c>
      <c r="D282" s="69" t="str">
        <f t="shared" si="4"/>
        <v>Busia Municipality</v>
      </c>
      <c r="F282" s="69">
        <v>264</v>
      </c>
    </row>
    <row r="283" spans="1:6">
      <c r="A283" s="69" t="s">
        <v>649</v>
      </c>
      <c r="B283" s="69" t="s">
        <v>645</v>
      </c>
      <c r="C283" s="69" t="s">
        <v>646</v>
      </c>
      <c r="D283" s="69" t="str">
        <f t="shared" si="4"/>
        <v>Busime</v>
      </c>
      <c r="F283" s="69">
        <v>265</v>
      </c>
    </row>
    <row r="284" spans="1:6">
      <c r="A284" s="69" t="s">
        <v>650</v>
      </c>
      <c r="B284" s="69" t="s">
        <v>645</v>
      </c>
      <c r="C284" s="69" t="s">
        <v>646</v>
      </c>
      <c r="D284" s="69" t="str">
        <f t="shared" si="4"/>
        <v>Busitema</v>
      </c>
      <c r="F284" s="69">
        <v>266</v>
      </c>
    </row>
    <row r="285" spans="1:6">
      <c r="A285" s="69" t="s">
        <v>651</v>
      </c>
      <c r="B285" s="69" t="s">
        <v>645</v>
      </c>
      <c r="C285" s="69" t="s">
        <v>646</v>
      </c>
      <c r="D285" s="69" t="str">
        <f t="shared" si="4"/>
        <v>Buteba</v>
      </c>
      <c r="F285" s="69">
        <v>267</v>
      </c>
    </row>
    <row r="286" spans="1:6">
      <c r="A286" s="69" t="s">
        <v>652</v>
      </c>
      <c r="B286" s="69" t="s">
        <v>645</v>
      </c>
      <c r="C286" s="69" t="s">
        <v>646</v>
      </c>
      <c r="D286" s="69" t="str">
        <f t="shared" si="4"/>
        <v>Buyanga-Busia</v>
      </c>
      <c r="F286" s="69">
        <v>268</v>
      </c>
    </row>
    <row r="287" spans="1:6">
      <c r="A287" s="69" t="s">
        <v>653</v>
      </c>
      <c r="B287" s="69" t="s">
        <v>645</v>
      </c>
      <c r="C287" s="69" t="s">
        <v>646</v>
      </c>
      <c r="D287" s="69" t="str">
        <f t="shared" si="4"/>
        <v>Dabani</v>
      </c>
      <c r="F287" s="69">
        <v>269</v>
      </c>
    </row>
    <row r="288" spans="1:6">
      <c r="A288" s="69" t="s">
        <v>654</v>
      </c>
      <c r="B288" s="69" t="s">
        <v>645</v>
      </c>
      <c r="C288" s="69" t="s">
        <v>646</v>
      </c>
      <c r="D288" s="69" t="str">
        <f t="shared" si="4"/>
        <v>Lumino</v>
      </c>
      <c r="F288" s="69">
        <v>270</v>
      </c>
    </row>
    <row r="289" spans="1:6">
      <c r="A289" s="69" t="s">
        <v>655</v>
      </c>
      <c r="B289" s="69" t="s">
        <v>645</v>
      </c>
      <c r="C289" s="69" t="s">
        <v>646</v>
      </c>
      <c r="D289" s="69" t="str">
        <f t="shared" si="4"/>
        <v>Lunyo</v>
      </c>
      <c r="F289" s="69">
        <v>271</v>
      </c>
    </row>
    <row r="290" spans="1:6">
      <c r="A290" s="69" t="s">
        <v>656</v>
      </c>
      <c r="B290" s="69" t="s">
        <v>645</v>
      </c>
      <c r="C290" s="69" t="s">
        <v>646</v>
      </c>
      <c r="D290" s="69" t="str">
        <f t="shared" si="4"/>
        <v>Majanji</v>
      </c>
      <c r="F290" s="69">
        <v>272</v>
      </c>
    </row>
    <row r="291" spans="1:6">
      <c r="A291" s="69" t="s">
        <v>657</v>
      </c>
      <c r="B291" s="69" t="s">
        <v>645</v>
      </c>
      <c r="C291" s="69" t="s">
        <v>646</v>
      </c>
      <c r="D291" s="69" t="str">
        <f t="shared" si="4"/>
        <v>Masaba-Busia</v>
      </c>
      <c r="F291" s="69">
        <v>273</v>
      </c>
    </row>
    <row r="292" spans="1:6">
      <c r="A292" s="69" t="s">
        <v>658</v>
      </c>
      <c r="B292" s="69" t="s">
        <v>645</v>
      </c>
      <c r="C292" s="69" t="s">
        <v>646</v>
      </c>
      <c r="D292" s="69" t="str">
        <f t="shared" si="4"/>
        <v>Masafu</v>
      </c>
      <c r="F292" s="69">
        <v>274</v>
      </c>
    </row>
    <row r="293" spans="1:6">
      <c r="A293" s="69" t="s">
        <v>659</v>
      </c>
      <c r="B293" s="69" t="s">
        <v>645</v>
      </c>
      <c r="C293" s="69" t="s">
        <v>646</v>
      </c>
      <c r="D293" s="69" t="str">
        <f t="shared" si="4"/>
        <v>Masinya</v>
      </c>
      <c r="F293" s="69">
        <v>275</v>
      </c>
    </row>
    <row r="294" spans="1:6">
      <c r="A294" s="69" t="s">
        <v>660</v>
      </c>
      <c r="B294" s="69" t="s">
        <v>645</v>
      </c>
      <c r="C294" s="69" t="s">
        <v>646</v>
      </c>
      <c r="D294" s="69" t="str">
        <f t="shared" si="4"/>
        <v>Sikuda</v>
      </c>
      <c r="F294" s="69">
        <v>276</v>
      </c>
    </row>
    <row r="295" spans="1:6">
      <c r="A295" s="69" t="s">
        <v>661</v>
      </c>
      <c r="B295" s="69" t="s">
        <v>662</v>
      </c>
      <c r="C295" s="69" t="s">
        <v>663</v>
      </c>
      <c r="D295" s="69" t="str">
        <f t="shared" si="4"/>
        <v>Budumba</v>
      </c>
      <c r="F295" s="69">
        <v>277</v>
      </c>
    </row>
    <row r="296" spans="1:6">
      <c r="A296" s="69" t="s">
        <v>664</v>
      </c>
      <c r="B296" s="69" t="s">
        <v>662</v>
      </c>
      <c r="C296" s="69" t="s">
        <v>663</v>
      </c>
      <c r="D296" s="69" t="str">
        <f t="shared" si="4"/>
        <v>Busaba</v>
      </c>
      <c r="F296" s="69">
        <v>278</v>
      </c>
    </row>
    <row r="297" spans="1:6">
      <c r="A297" s="69" t="s">
        <v>665</v>
      </c>
      <c r="B297" s="69" t="s">
        <v>662</v>
      </c>
      <c r="C297" s="69" t="s">
        <v>663</v>
      </c>
      <c r="D297" s="69" t="str">
        <f t="shared" si="4"/>
        <v>Busabi</v>
      </c>
      <c r="F297" s="69">
        <v>279</v>
      </c>
    </row>
    <row r="298" spans="1:6">
      <c r="A298" s="69" t="s">
        <v>666</v>
      </c>
      <c r="B298" s="69" t="s">
        <v>662</v>
      </c>
      <c r="C298" s="69" t="s">
        <v>663</v>
      </c>
      <c r="D298" s="69" t="str">
        <f t="shared" si="4"/>
        <v>Busolwe</v>
      </c>
      <c r="F298" s="69">
        <v>280</v>
      </c>
    </row>
    <row r="299" spans="1:6">
      <c r="A299" s="69" t="s">
        <v>667</v>
      </c>
      <c r="B299" s="69" t="s">
        <v>662</v>
      </c>
      <c r="C299" s="69" t="s">
        <v>663</v>
      </c>
      <c r="D299" s="69" t="str">
        <f t="shared" si="4"/>
        <v>Busolwe Town Council</v>
      </c>
      <c r="F299" s="69">
        <v>281</v>
      </c>
    </row>
    <row r="300" spans="1:6">
      <c r="A300" s="69" t="s">
        <v>662</v>
      </c>
      <c r="B300" s="69" t="s">
        <v>662</v>
      </c>
      <c r="C300" s="69" t="s">
        <v>663</v>
      </c>
      <c r="D300" s="69" t="str">
        <f t="shared" si="4"/>
        <v>Butaleja</v>
      </c>
      <c r="F300" s="69">
        <v>282</v>
      </c>
    </row>
    <row r="301" spans="1:6">
      <c r="A301" s="69" t="s">
        <v>668</v>
      </c>
      <c r="B301" s="69" t="s">
        <v>662</v>
      </c>
      <c r="C301" s="69" t="s">
        <v>663</v>
      </c>
      <c r="D301" s="69" t="str">
        <f t="shared" si="4"/>
        <v>Butaleja Town Council</v>
      </c>
      <c r="F301" s="69">
        <v>283</v>
      </c>
    </row>
    <row r="302" spans="1:6">
      <c r="A302" s="69" t="s">
        <v>669</v>
      </c>
      <c r="B302" s="69" t="s">
        <v>662</v>
      </c>
      <c r="C302" s="69" t="s">
        <v>663</v>
      </c>
      <c r="D302" s="69" t="str">
        <f t="shared" si="4"/>
        <v>Himutu</v>
      </c>
      <c r="F302" s="69">
        <v>284</v>
      </c>
    </row>
    <row r="303" spans="1:6">
      <c r="A303" s="69" t="s">
        <v>670</v>
      </c>
      <c r="B303" s="69" t="s">
        <v>662</v>
      </c>
      <c r="C303" s="69" t="s">
        <v>663</v>
      </c>
      <c r="D303" s="69" t="str">
        <f t="shared" si="4"/>
        <v>Kachonga</v>
      </c>
      <c r="F303" s="69">
        <v>285</v>
      </c>
    </row>
    <row r="304" spans="1:6">
      <c r="A304" s="69" t="s">
        <v>671</v>
      </c>
      <c r="B304" s="69" t="s">
        <v>662</v>
      </c>
      <c r="C304" s="69" t="s">
        <v>663</v>
      </c>
      <c r="D304" s="69" t="str">
        <f t="shared" si="4"/>
        <v>Mazimasa</v>
      </c>
      <c r="F304" s="69">
        <v>286</v>
      </c>
    </row>
    <row r="305" spans="1:6">
      <c r="A305" s="69" t="s">
        <v>672</v>
      </c>
      <c r="B305" s="69" t="s">
        <v>662</v>
      </c>
      <c r="C305" s="69" t="s">
        <v>663</v>
      </c>
      <c r="D305" s="69" t="str">
        <f t="shared" si="4"/>
        <v>Nawanjofu</v>
      </c>
      <c r="F305" s="69">
        <v>287</v>
      </c>
    </row>
    <row r="306" spans="1:6">
      <c r="A306" s="69" t="s">
        <v>673</v>
      </c>
      <c r="B306" s="69" t="s">
        <v>662</v>
      </c>
      <c r="C306" s="69" t="s">
        <v>663</v>
      </c>
      <c r="D306" s="69" t="str">
        <f t="shared" si="4"/>
        <v>Naweyo</v>
      </c>
      <c r="F306" s="69">
        <v>288</v>
      </c>
    </row>
    <row r="307" spans="1:6">
      <c r="A307" s="69" t="s">
        <v>674</v>
      </c>
      <c r="B307" s="69" t="s">
        <v>675</v>
      </c>
      <c r="C307" s="69" t="s">
        <v>675</v>
      </c>
      <c r="D307" s="69" t="str">
        <f t="shared" si="4"/>
        <v>Budde</v>
      </c>
      <c r="F307" s="69">
        <v>289</v>
      </c>
    </row>
    <row r="308" spans="1:6">
      <c r="A308" s="69" t="s">
        <v>676</v>
      </c>
      <c r="B308" s="69" t="s">
        <v>675</v>
      </c>
      <c r="C308" s="69" t="s">
        <v>675</v>
      </c>
      <c r="D308" s="69" t="str">
        <f t="shared" si="4"/>
        <v>Bulo</v>
      </c>
      <c r="F308" s="69">
        <v>290</v>
      </c>
    </row>
    <row r="309" spans="1:6">
      <c r="A309" s="69" t="s">
        <v>677</v>
      </c>
      <c r="B309" s="69" t="s">
        <v>675</v>
      </c>
      <c r="C309" s="69" t="s">
        <v>675</v>
      </c>
      <c r="D309" s="69" t="str">
        <f t="shared" si="4"/>
        <v>Gombe Town Council</v>
      </c>
      <c r="F309" s="69">
        <v>291</v>
      </c>
    </row>
    <row r="310" spans="1:6">
      <c r="A310" s="69" t="s">
        <v>678</v>
      </c>
      <c r="B310" s="69" t="s">
        <v>675</v>
      </c>
      <c r="C310" s="69" t="s">
        <v>675</v>
      </c>
      <c r="D310" s="69" t="str">
        <f t="shared" si="4"/>
        <v>Kalamba</v>
      </c>
      <c r="F310" s="69">
        <v>292</v>
      </c>
    </row>
    <row r="311" spans="1:6">
      <c r="A311" s="69" t="s">
        <v>679</v>
      </c>
      <c r="B311" s="69" t="s">
        <v>675</v>
      </c>
      <c r="C311" s="69" t="s">
        <v>675</v>
      </c>
      <c r="D311" s="69" t="str">
        <f t="shared" si="4"/>
        <v>Kibibi</v>
      </c>
      <c r="F311" s="69">
        <v>293</v>
      </c>
    </row>
    <row r="312" spans="1:6">
      <c r="A312" s="69" t="s">
        <v>680</v>
      </c>
      <c r="B312" s="69" t="s">
        <v>675</v>
      </c>
      <c r="C312" s="69" t="s">
        <v>675</v>
      </c>
      <c r="D312" s="69" t="str">
        <f t="shared" si="4"/>
        <v>Ngando</v>
      </c>
      <c r="F312" s="69">
        <v>294</v>
      </c>
    </row>
    <row r="313" spans="1:6">
      <c r="A313" s="69" t="s">
        <v>681</v>
      </c>
      <c r="B313" s="69" t="s">
        <v>681</v>
      </c>
      <c r="C313" s="69" t="s">
        <v>682</v>
      </c>
      <c r="D313" s="69" t="str">
        <f t="shared" si="4"/>
        <v>Butebo</v>
      </c>
      <c r="F313" s="69">
        <v>295</v>
      </c>
    </row>
    <row r="314" spans="1:6">
      <c r="A314" s="69" t="s">
        <v>683</v>
      </c>
      <c r="B314" s="69" t="s">
        <v>681</v>
      </c>
      <c r="C314" s="69" t="s">
        <v>682</v>
      </c>
      <c r="D314" s="69" t="str">
        <f t="shared" si="4"/>
        <v>Kabwangasi</v>
      </c>
      <c r="F314" s="69">
        <v>296</v>
      </c>
    </row>
    <row r="315" spans="1:6">
      <c r="A315" s="69" t="s">
        <v>684</v>
      </c>
      <c r="B315" s="69" t="s">
        <v>681</v>
      </c>
      <c r="C315" s="69" t="s">
        <v>682</v>
      </c>
      <c r="D315" s="69" t="str">
        <f t="shared" si="4"/>
        <v>Kakoro</v>
      </c>
      <c r="F315" s="69">
        <v>297</v>
      </c>
    </row>
    <row r="316" spans="1:6">
      <c r="A316" s="69" t="s">
        <v>685</v>
      </c>
      <c r="B316" s="69" t="s">
        <v>681</v>
      </c>
      <c r="C316" s="69" t="s">
        <v>682</v>
      </c>
      <c r="D316" s="69" t="str">
        <f t="shared" si="4"/>
        <v>Kanginima</v>
      </c>
      <c r="F316" s="69">
        <v>298</v>
      </c>
    </row>
    <row r="317" spans="1:6">
      <c r="A317" s="69" t="s">
        <v>686</v>
      </c>
      <c r="B317" s="69" t="s">
        <v>681</v>
      </c>
      <c r="C317" s="69" t="s">
        <v>682</v>
      </c>
      <c r="D317" s="69" t="str">
        <f t="shared" si="4"/>
        <v>Kibale</v>
      </c>
      <c r="F317" s="69">
        <v>299</v>
      </c>
    </row>
    <row r="318" spans="1:6">
      <c r="A318" s="69" t="s">
        <v>687</v>
      </c>
      <c r="B318" s="69" t="s">
        <v>681</v>
      </c>
      <c r="C318" s="69" t="s">
        <v>682</v>
      </c>
      <c r="D318" s="69" t="str">
        <f t="shared" si="4"/>
        <v>Opwateta</v>
      </c>
      <c r="F318" s="69">
        <v>300</v>
      </c>
    </row>
    <row r="319" spans="1:6">
      <c r="A319" s="69" t="s">
        <v>688</v>
      </c>
      <c r="B319" s="69" t="s">
        <v>681</v>
      </c>
      <c r="C319" s="69" t="s">
        <v>682</v>
      </c>
      <c r="D319" s="69" t="str">
        <f t="shared" si="4"/>
        <v>Petete</v>
      </c>
      <c r="F319" s="69">
        <v>301</v>
      </c>
    </row>
    <row r="320" spans="1:6">
      <c r="A320" s="69" t="s">
        <v>689</v>
      </c>
      <c r="B320" s="69" t="s">
        <v>690</v>
      </c>
      <c r="C320" s="69" t="s">
        <v>691</v>
      </c>
      <c r="D320" s="69" t="str">
        <f t="shared" si="4"/>
        <v>Bugaya-Buvuma</v>
      </c>
      <c r="F320" s="69">
        <v>302</v>
      </c>
    </row>
    <row r="321" spans="1:6">
      <c r="A321" s="69" t="s">
        <v>692</v>
      </c>
      <c r="B321" s="69" t="s">
        <v>690</v>
      </c>
      <c r="C321" s="69" t="s">
        <v>691</v>
      </c>
      <c r="D321" s="69" t="str">
        <f t="shared" si="4"/>
        <v>Busamuzi</v>
      </c>
      <c r="F321" s="69">
        <v>303</v>
      </c>
    </row>
    <row r="322" spans="1:6">
      <c r="A322" s="69" t="s">
        <v>693</v>
      </c>
      <c r="B322" s="69" t="s">
        <v>690</v>
      </c>
      <c r="C322" s="69" t="s">
        <v>691</v>
      </c>
      <c r="D322" s="69" t="str">
        <f t="shared" ref="D322:D385" si="5">A322</f>
        <v>Buvuma Town Council</v>
      </c>
      <c r="F322" s="69">
        <v>304</v>
      </c>
    </row>
    <row r="323" spans="1:6">
      <c r="A323" s="69" t="s">
        <v>694</v>
      </c>
      <c r="B323" s="69" t="s">
        <v>690</v>
      </c>
      <c r="C323" s="69" t="s">
        <v>691</v>
      </c>
      <c r="D323" s="69" t="str">
        <f t="shared" si="5"/>
        <v>Buwooya</v>
      </c>
      <c r="F323" s="69">
        <v>305</v>
      </c>
    </row>
    <row r="324" spans="1:6">
      <c r="A324" s="69" t="s">
        <v>695</v>
      </c>
      <c r="B324" s="69" t="s">
        <v>690</v>
      </c>
      <c r="C324" s="69" t="s">
        <v>691</v>
      </c>
      <c r="D324" s="69" t="str">
        <f t="shared" si="5"/>
        <v>Bweema</v>
      </c>
      <c r="F324" s="69">
        <v>306</v>
      </c>
    </row>
    <row r="325" spans="1:6">
      <c r="A325" s="69" t="s">
        <v>696</v>
      </c>
      <c r="B325" s="69" t="s">
        <v>690</v>
      </c>
      <c r="C325" s="69" t="s">
        <v>691</v>
      </c>
      <c r="D325" s="69" t="str">
        <f t="shared" si="5"/>
        <v>Lubya</v>
      </c>
      <c r="F325" s="69">
        <v>307</v>
      </c>
    </row>
    <row r="326" spans="1:6">
      <c r="A326" s="69" t="s">
        <v>697</v>
      </c>
      <c r="B326" s="69" t="s">
        <v>690</v>
      </c>
      <c r="C326" s="69" t="s">
        <v>691</v>
      </c>
      <c r="D326" s="69" t="str">
        <f t="shared" si="5"/>
        <v>Lwajje</v>
      </c>
      <c r="F326" s="69">
        <v>308</v>
      </c>
    </row>
    <row r="327" spans="1:6">
      <c r="A327" s="69" t="s">
        <v>698</v>
      </c>
      <c r="B327" s="69" t="s">
        <v>690</v>
      </c>
      <c r="C327" s="69" t="s">
        <v>691</v>
      </c>
      <c r="D327" s="69" t="str">
        <f t="shared" si="5"/>
        <v>Lyabaana</v>
      </c>
      <c r="F327" s="69">
        <v>309</v>
      </c>
    </row>
    <row r="328" spans="1:6">
      <c r="A328" s="69" t="s">
        <v>699</v>
      </c>
      <c r="B328" s="69" t="s">
        <v>690</v>
      </c>
      <c r="C328" s="69" t="s">
        <v>691</v>
      </c>
      <c r="D328" s="69" t="str">
        <f t="shared" si="5"/>
        <v>Nairambi</v>
      </c>
      <c r="F328" s="69">
        <v>310</v>
      </c>
    </row>
    <row r="329" spans="1:6">
      <c r="A329" s="69" t="s">
        <v>700</v>
      </c>
      <c r="B329" s="69" t="s">
        <v>701</v>
      </c>
      <c r="C329" s="69" t="s">
        <v>702</v>
      </c>
      <c r="D329" s="69" t="str">
        <f t="shared" si="5"/>
        <v>Bugaya-Buyende</v>
      </c>
      <c r="F329" s="69">
        <v>311</v>
      </c>
    </row>
    <row r="330" spans="1:6">
      <c r="A330" s="69" t="s">
        <v>701</v>
      </c>
      <c r="B330" s="69" t="s">
        <v>701</v>
      </c>
      <c r="C330" s="69" t="s">
        <v>702</v>
      </c>
      <c r="D330" s="69" t="str">
        <f t="shared" si="5"/>
        <v>Buyende</v>
      </c>
      <c r="F330" s="69">
        <v>312</v>
      </c>
    </row>
    <row r="331" spans="1:6">
      <c r="A331" s="69" t="s">
        <v>703</v>
      </c>
      <c r="B331" s="69" t="s">
        <v>701</v>
      </c>
      <c r="C331" s="69" t="s">
        <v>702</v>
      </c>
      <c r="D331" s="69" t="str">
        <f t="shared" si="5"/>
        <v>Buyende Town Council</v>
      </c>
      <c r="F331" s="69">
        <v>313</v>
      </c>
    </row>
    <row r="332" spans="1:6">
      <c r="A332" s="69" t="s">
        <v>704</v>
      </c>
      <c r="B332" s="69" t="s">
        <v>701</v>
      </c>
      <c r="C332" s="69" t="s">
        <v>702</v>
      </c>
      <c r="D332" s="69" t="str">
        <f t="shared" si="5"/>
        <v>Kagulu</v>
      </c>
      <c r="F332" s="69">
        <v>314</v>
      </c>
    </row>
    <row r="333" spans="1:6">
      <c r="A333" s="69" t="s">
        <v>705</v>
      </c>
      <c r="B333" s="69" t="s">
        <v>701</v>
      </c>
      <c r="C333" s="69" t="s">
        <v>702</v>
      </c>
      <c r="D333" s="69" t="str">
        <f t="shared" si="5"/>
        <v>Kidera</v>
      </c>
      <c r="F333" s="69">
        <v>315</v>
      </c>
    </row>
    <row r="334" spans="1:6">
      <c r="A334" s="69" t="s">
        <v>706</v>
      </c>
      <c r="B334" s="69" t="s">
        <v>701</v>
      </c>
      <c r="C334" s="69" t="s">
        <v>702</v>
      </c>
      <c r="D334" s="69" t="str">
        <f t="shared" si="5"/>
        <v>Nkondo</v>
      </c>
      <c r="F334" s="69">
        <v>316</v>
      </c>
    </row>
    <row r="335" spans="1:6">
      <c r="A335" s="69" t="s">
        <v>707</v>
      </c>
      <c r="B335" s="69" t="s">
        <v>708</v>
      </c>
      <c r="C335" s="69" t="s">
        <v>708</v>
      </c>
      <c r="D335" s="69" t="str">
        <f t="shared" si="5"/>
        <v>Adeknino</v>
      </c>
      <c r="F335" s="69">
        <v>317</v>
      </c>
    </row>
    <row r="336" spans="1:6">
      <c r="A336" s="69" t="s">
        <v>709</v>
      </c>
      <c r="B336" s="69" t="s">
        <v>708</v>
      </c>
      <c r="C336" s="69" t="s">
        <v>708</v>
      </c>
      <c r="D336" s="69" t="str">
        <f t="shared" si="5"/>
        <v>Adok</v>
      </c>
      <c r="F336" s="69">
        <v>318</v>
      </c>
    </row>
    <row r="337" spans="1:6">
      <c r="A337" s="69" t="s">
        <v>710</v>
      </c>
      <c r="B337" s="69" t="s">
        <v>708</v>
      </c>
      <c r="C337" s="69" t="s">
        <v>708</v>
      </c>
      <c r="D337" s="69" t="str">
        <f t="shared" si="5"/>
        <v>Agwata</v>
      </c>
      <c r="F337" s="69">
        <v>319</v>
      </c>
    </row>
    <row r="338" spans="1:6">
      <c r="A338" s="69" t="s">
        <v>711</v>
      </c>
      <c r="B338" s="69" t="s">
        <v>708</v>
      </c>
      <c r="C338" s="69" t="s">
        <v>708</v>
      </c>
      <c r="D338" s="69" t="str">
        <f t="shared" si="5"/>
        <v>Amwoma</v>
      </c>
      <c r="F338" s="69">
        <v>320</v>
      </c>
    </row>
    <row r="339" spans="1:6">
      <c r="A339" s="69" t="s">
        <v>712</v>
      </c>
      <c r="B339" s="69" t="s">
        <v>708</v>
      </c>
      <c r="C339" s="69" t="s">
        <v>708</v>
      </c>
      <c r="D339" s="69" t="str">
        <f t="shared" si="5"/>
        <v>Batta</v>
      </c>
      <c r="F339" s="69">
        <v>321</v>
      </c>
    </row>
    <row r="340" spans="1:6">
      <c r="A340" s="69" t="s">
        <v>708</v>
      </c>
      <c r="B340" s="69" t="s">
        <v>708</v>
      </c>
      <c r="C340" s="69" t="s">
        <v>708</v>
      </c>
      <c r="D340" s="69" t="str">
        <f t="shared" si="5"/>
        <v>Dokolo</v>
      </c>
      <c r="F340" s="69">
        <v>322</v>
      </c>
    </row>
    <row r="341" spans="1:6">
      <c r="A341" s="69" t="s">
        <v>713</v>
      </c>
      <c r="B341" s="69" t="s">
        <v>708</v>
      </c>
      <c r="C341" s="69" t="s">
        <v>708</v>
      </c>
      <c r="D341" s="69" t="str">
        <f t="shared" si="5"/>
        <v>Dokolo Tc</v>
      </c>
      <c r="F341" s="69">
        <v>323</v>
      </c>
    </row>
    <row r="342" spans="1:6">
      <c r="A342" s="69" t="s">
        <v>714</v>
      </c>
      <c r="B342" s="69" t="s">
        <v>708</v>
      </c>
      <c r="C342" s="69" t="s">
        <v>708</v>
      </c>
      <c r="D342" s="69" t="str">
        <f t="shared" si="5"/>
        <v>Kangai</v>
      </c>
      <c r="F342" s="69">
        <v>324</v>
      </c>
    </row>
    <row r="343" spans="1:6">
      <c r="A343" s="69" t="s">
        <v>715</v>
      </c>
      <c r="B343" s="69" t="s">
        <v>708</v>
      </c>
      <c r="C343" s="69" t="s">
        <v>708</v>
      </c>
      <c r="D343" s="69" t="str">
        <f t="shared" si="5"/>
        <v>Kwera</v>
      </c>
      <c r="F343" s="69">
        <v>325</v>
      </c>
    </row>
    <row r="344" spans="1:6">
      <c r="A344" s="69" t="s">
        <v>716</v>
      </c>
      <c r="B344" s="69" t="s">
        <v>708</v>
      </c>
      <c r="C344" s="69" t="s">
        <v>708</v>
      </c>
      <c r="D344" s="69" t="str">
        <f t="shared" si="5"/>
        <v>Aridi</v>
      </c>
      <c r="F344" s="69">
        <v>325</v>
      </c>
    </row>
    <row r="345" spans="1:6">
      <c r="A345" s="69" t="s">
        <v>717</v>
      </c>
      <c r="B345" s="69" t="s">
        <v>708</v>
      </c>
      <c r="C345" s="69" t="s">
        <v>708</v>
      </c>
      <c r="D345" s="69" t="str">
        <f t="shared" si="5"/>
        <v>Okwalongwen</v>
      </c>
      <c r="F345" s="69">
        <v>326</v>
      </c>
    </row>
    <row r="346" spans="1:6">
      <c r="A346" s="69" t="s">
        <v>718</v>
      </c>
      <c r="B346" s="69" t="s">
        <v>708</v>
      </c>
      <c r="C346" s="69" t="s">
        <v>708</v>
      </c>
      <c r="D346" s="69" t="str">
        <f t="shared" si="5"/>
        <v>Okwongodul</v>
      </c>
      <c r="F346" s="69">
        <v>327</v>
      </c>
    </row>
    <row r="347" spans="1:6">
      <c r="A347" s="69" t="s">
        <v>719</v>
      </c>
      <c r="B347" s="69" t="s">
        <v>720</v>
      </c>
      <c r="C347" s="69" t="s">
        <v>720</v>
      </c>
      <c r="D347" s="69" t="str">
        <f t="shared" si="5"/>
        <v>Kabulasoke</v>
      </c>
      <c r="F347" s="69">
        <v>328</v>
      </c>
    </row>
    <row r="348" spans="1:6">
      <c r="A348" s="69" t="s">
        <v>721</v>
      </c>
      <c r="B348" s="69" t="s">
        <v>720</v>
      </c>
      <c r="C348" s="69" t="s">
        <v>720</v>
      </c>
      <c r="D348" s="69" t="str">
        <f t="shared" si="5"/>
        <v>Kanoni Town Council</v>
      </c>
      <c r="F348" s="69">
        <v>329</v>
      </c>
    </row>
    <row r="349" spans="1:6">
      <c r="A349" s="69" t="s">
        <v>722</v>
      </c>
      <c r="B349" s="69" t="s">
        <v>720</v>
      </c>
      <c r="C349" s="69" t="s">
        <v>720</v>
      </c>
      <c r="D349" s="69" t="str">
        <f t="shared" si="5"/>
        <v>Kyegonza</v>
      </c>
      <c r="F349" s="69">
        <v>330</v>
      </c>
    </row>
    <row r="350" spans="1:6">
      <c r="A350" s="69" t="s">
        <v>723</v>
      </c>
      <c r="B350" s="69" t="s">
        <v>720</v>
      </c>
      <c r="C350" s="69" t="s">
        <v>720</v>
      </c>
      <c r="D350" s="69" t="str">
        <f t="shared" si="5"/>
        <v>Maddu</v>
      </c>
      <c r="F350" s="69">
        <v>331</v>
      </c>
    </row>
    <row r="351" spans="1:6">
      <c r="A351" s="69" t="s">
        <v>724</v>
      </c>
      <c r="B351" s="69" t="s">
        <v>720</v>
      </c>
      <c r="C351" s="69" t="s">
        <v>720</v>
      </c>
      <c r="D351" s="69" t="str">
        <f t="shared" si="5"/>
        <v>Mpenja</v>
      </c>
      <c r="F351" s="69">
        <v>332</v>
      </c>
    </row>
    <row r="352" spans="1:6">
      <c r="A352" s="69" t="s">
        <v>725</v>
      </c>
      <c r="B352" s="69" t="s">
        <v>726</v>
      </c>
      <c r="C352" s="69" t="s">
        <v>727</v>
      </c>
      <c r="D352" s="69" t="str">
        <f t="shared" si="5"/>
        <v>Awach</v>
      </c>
      <c r="F352" s="69">
        <v>333</v>
      </c>
    </row>
    <row r="353" spans="1:6">
      <c r="A353" s="69" t="s">
        <v>728</v>
      </c>
      <c r="B353" s="69" t="s">
        <v>726</v>
      </c>
      <c r="C353" s="69" t="s">
        <v>727</v>
      </c>
      <c r="D353" s="69" t="str">
        <f t="shared" si="5"/>
        <v>Bungatira</v>
      </c>
      <c r="F353" s="69">
        <v>334</v>
      </c>
    </row>
    <row r="354" spans="1:6">
      <c r="A354" s="69" t="s">
        <v>729</v>
      </c>
      <c r="B354" s="69" t="s">
        <v>726</v>
      </c>
      <c r="C354" s="69" t="s">
        <v>729</v>
      </c>
      <c r="D354" s="69" t="str">
        <f t="shared" si="5"/>
        <v>Gulu Municipality</v>
      </c>
      <c r="F354" s="69">
        <v>335</v>
      </c>
    </row>
    <row r="355" spans="1:6">
      <c r="A355" s="69" t="s">
        <v>726</v>
      </c>
      <c r="B355" s="69" t="s">
        <v>726</v>
      </c>
      <c r="C355" s="69" t="s">
        <v>729</v>
      </c>
      <c r="D355" s="69" t="str">
        <f t="shared" si="5"/>
        <v>Gulu</v>
      </c>
      <c r="F355" s="69">
        <v>335</v>
      </c>
    </row>
    <row r="356" spans="1:6">
      <c r="A356" s="69" t="s">
        <v>730</v>
      </c>
      <c r="B356" s="69" t="s">
        <v>726</v>
      </c>
      <c r="C356" s="69" t="s">
        <v>727</v>
      </c>
      <c r="D356" s="69" t="str">
        <f t="shared" si="5"/>
        <v>Paicho</v>
      </c>
      <c r="F356" s="69">
        <v>336</v>
      </c>
    </row>
    <row r="357" spans="1:6">
      <c r="A357" s="69" t="s">
        <v>731</v>
      </c>
      <c r="B357" s="69" t="s">
        <v>726</v>
      </c>
      <c r="C357" s="69" t="s">
        <v>727</v>
      </c>
      <c r="D357" s="69" t="str">
        <f t="shared" si="5"/>
        <v>Unyama</v>
      </c>
      <c r="F357" s="69">
        <v>337</v>
      </c>
    </row>
    <row r="358" spans="1:6">
      <c r="A358" s="69" t="s">
        <v>732</v>
      </c>
      <c r="B358" s="69" t="s">
        <v>733</v>
      </c>
      <c r="C358" s="69" t="s">
        <v>734</v>
      </c>
      <c r="D358" s="69" t="str">
        <f t="shared" si="5"/>
        <v>Bugambe</v>
      </c>
      <c r="F358" s="69">
        <v>338</v>
      </c>
    </row>
    <row r="359" spans="1:6">
      <c r="A359" s="69" t="s">
        <v>735</v>
      </c>
      <c r="B359" s="69" t="s">
        <v>733</v>
      </c>
      <c r="C359" s="69" t="s">
        <v>736</v>
      </c>
      <c r="D359" s="69" t="str">
        <f t="shared" si="5"/>
        <v>Buhanika</v>
      </c>
      <c r="F359" s="69">
        <v>339</v>
      </c>
    </row>
    <row r="360" spans="1:6">
      <c r="A360" s="69" t="s">
        <v>737</v>
      </c>
      <c r="B360" s="69" t="s">
        <v>733</v>
      </c>
      <c r="C360" s="69" t="s">
        <v>734</v>
      </c>
      <c r="D360" s="69" t="str">
        <f t="shared" si="5"/>
        <v>Buhimba</v>
      </c>
      <c r="F360" s="69">
        <v>340</v>
      </c>
    </row>
    <row r="361" spans="1:6">
      <c r="A361" s="69" t="s">
        <v>738</v>
      </c>
      <c r="B361" s="69" t="s">
        <v>733</v>
      </c>
      <c r="C361" s="69" t="s">
        <v>738</v>
      </c>
      <c r="D361" s="69" t="str">
        <f t="shared" si="5"/>
        <v>Hoima Municipality</v>
      </c>
      <c r="F361" s="69">
        <v>341</v>
      </c>
    </row>
    <row r="362" spans="1:6">
      <c r="A362" s="69" t="s">
        <v>739</v>
      </c>
      <c r="B362" s="69" t="s">
        <v>733</v>
      </c>
      <c r="C362" s="69" t="s">
        <v>734</v>
      </c>
      <c r="D362" s="69" t="str">
        <f t="shared" si="5"/>
        <v>Kabwoya</v>
      </c>
      <c r="F362" s="69">
        <v>342</v>
      </c>
    </row>
    <row r="363" spans="1:6">
      <c r="A363" s="69" t="s">
        <v>740</v>
      </c>
      <c r="B363" s="69" t="s">
        <v>733</v>
      </c>
      <c r="C363" s="69" t="s">
        <v>736</v>
      </c>
      <c r="D363" s="69" t="str">
        <f t="shared" si="5"/>
        <v>Kigorobya</v>
      </c>
      <c r="F363" s="69">
        <v>343</v>
      </c>
    </row>
    <row r="364" spans="1:6">
      <c r="A364" s="69" t="s">
        <v>741</v>
      </c>
      <c r="B364" s="69" t="s">
        <v>733</v>
      </c>
      <c r="C364" s="69" t="s">
        <v>736</v>
      </c>
      <c r="D364" s="69" t="str">
        <f t="shared" si="5"/>
        <v>Kigorobya Town Council</v>
      </c>
      <c r="F364" s="69">
        <v>344</v>
      </c>
    </row>
    <row r="365" spans="1:6">
      <c r="A365" s="69" t="s">
        <v>742</v>
      </c>
      <c r="B365" s="69" t="s">
        <v>733</v>
      </c>
      <c r="C365" s="69" t="s">
        <v>736</v>
      </c>
      <c r="D365" s="69" t="str">
        <f t="shared" si="5"/>
        <v>Kitoba</v>
      </c>
      <c r="F365" s="69">
        <v>345</v>
      </c>
    </row>
    <row r="366" spans="1:6">
      <c r="A366" s="69" t="s">
        <v>743</v>
      </c>
      <c r="B366" s="69" t="s">
        <v>733</v>
      </c>
      <c r="C366" s="69" t="s">
        <v>734</v>
      </c>
      <c r="D366" s="69" t="str">
        <f t="shared" si="5"/>
        <v>Kiziranfumbi</v>
      </c>
      <c r="F366" s="69">
        <v>346</v>
      </c>
    </row>
    <row r="367" spans="1:6">
      <c r="A367" s="69" t="s">
        <v>744</v>
      </c>
      <c r="B367" s="69" t="s">
        <v>733</v>
      </c>
      <c r="C367" s="69" t="s">
        <v>736</v>
      </c>
      <c r="D367" s="69" t="str">
        <f t="shared" si="5"/>
        <v>Kyabigambire</v>
      </c>
      <c r="F367" s="69">
        <v>347</v>
      </c>
    </row>
    <row r="368" spans="1:6">
      <c r="A368" s="69" t="s">
        <v>745</v>
      </c>
      <c r="B368" s="69" t="s">
        <v>733</v>
      </c>
      <c r="C368" s="69" t="s">
        <v>734</v>
      </c>
      <c r="D368" s="69" t="str">
        <f t="shared" si="5"/>
        <v>Kyangwali</v>
      </c>
      <c r="F368" s="69">
        <v>348</v>
      </c>
    </row>
    <row r="369" spans="1:6">
      <c r="A369" s="69" t="s">
        <v>746</v>
      </c>
      <c r="B369" s="69" t="s">
        <v>43</v>
      </c>
      <c r="C369" s="69" t="s">
        <v>746</v>
      </c>
      <c r="D369" s="69" t="str">
        <f t="shared" si="5"/>
        <v>Ibanda Municipality</v>
      </c>
      <c r="F369" s="69">
        <v>349</v>
      </c>
    </row>
    <row r="370" spans="1:6">
      <c r="A370" s="69" t="s">
        <v>747</v>
      </c>
      <c r="B370" s="69" t="s">
        <v>43</v>
      </c>
      <c r="C370" s="69" t="s">
        <v>43</v>
      </c>
      <c r="D370" s="69" t="str">
        <f t="shared" si="5"/>
        <v>Igorora Town Council</v>
      </c>
      <c r="F370" s="69">
        <v>350</v>
      </c>
    </row>
    <row r="371" spans="1:6">
      <c r="A371" s="69" t="s">
        <v>748</v>
      </c>
      <c r="B371" s="69" t="s">
        <v>43</v>
      </c>
      <c r="C371" s="69" t="s">
        <v>43</v>
      </c>
      <c r="D371" s="69" t="str">
        <f t="shared" si="5"/>
        <v>Ishongororo</v>
      </c>
      <c r="F371" s="69">
        <v>351</v>
      </c>
    </row>
    <row r="372" spans="1:6">
      <c r="A372" s="69" t="s">
        <v>749</v>
      </c>
      <c r="B372" s="69" t="s">
        <v>43</v>
      </c>
      <c r="C372" s="69" t="s">
        <v>43</v>
      </c>
      <c r="D372" s="69" t="str">
        <f t="shared" si="5"/>
        <v>Ishongororo Town Council</v>
      </c>
      <c r="F372" s="69">
        <v>352</v>
      </c>
    </row>
    <row r="373" spans="1:6">
      <c r="A373" s="69" t="s">
        <v>750</v>
      </c>
      <c r="B373" s="69" t="s">
        <v>43</v>
      </c>
      <c r="C373" s="69" t="s">
        <v>746</v>
      </c>
      <c r="D373" s="69" t="str">
        <f t="shared" si="5"/>
        <v>Kagango Division-Ibanda</v>
      </c>
      <c r="F373" s="69">
        <v>353</v>
      </c>
    </row>
    <row r="374" spans="1:6">
      <c r="A374" s="69" t="s">
        <v>751</v>
      </c>
      <c r="B374" s="69" t="s">
        <v>43</v>
      </c>
      <c r="C374" s="69" t="s">
        <v>43</v>
      </c>
      <c r="D374" s="69" t="str">
        <f t="shared" si="5"/>
        <v>Keihangara</v>
      </c>
      <c r="F374" s="69">
        <v>354</v>
      </c>
    </row>
    <row r="375" spans="1:6">
      <c r="A375" s="69" t="s">
        <v>752</v>
      </c>
      <c r="B375" s="69" t="s">
        <v>43</v>
      </c>
      <c r="C375" s="69" t="s">
        <v>43</v>
      </c>
      <c r="D375" s="69" t="str">
        <f t="shared" si="5"/>
        <v>Kicuzi</v>
      </c>
      <c r="F375" s="69">
        <v>355</v>
      </c>
    </row>
    <row r="376" spans="1:6">
      <c r="A376" s="69" t="s">
        <v>753</v>
      </c>
      <c r="B376" s="69" t="s">
        <v>43</v>
      </c>
      <c r="C376" s="69" t="s">
        <v>43</v>
      </c>
      <c r="D376" s="69" t="str">
        <f t="shared" si="5"/>
        <v>Kijongo</v>
      </c>
      <c r="F376" s="69">
        <v>356</v>
      </c>
    </row>
    <row r="377" spans="1:6">
      <c r="A377" s="69" t="s">
        <v>754</v>
      </c>
      <c r="B377" s="69" t="s">
        <v>43</v>
      </c>
      <c r="C377" s="69" t="s">
        <v>43</v>
      </c>
      <c r="D377" s="69" t="str">
        <f t="shared" si="5"/>
        <v>Kikyenkye</v>
      </c>
      <c r="F377" s="69">
        <v>357</v>
      </c>
    </row>
    <row r="378" spans="1:6">
      <c r="A378" s="69" t="s">
        <v>755</v>
      </c>
      <c r="B378" s="69" t="s">
        <v>43</v>
      </c>
      <c r="C378" s="69" t="s">
        <v>43</v>
      </c>
      <c r="D378" s="69" t="str">
        <f t="shared" si="5"/>
        <v>Nyamarebe</v>
      </c>
      <c r="F378" s="69">
        <v>358</v>
      </c>
    </row>
    <row r="379" spans="1:6">
      <c r="A379" s="69" t="s">
        <v>756</v>
      </c>
      <c r="B379" s="69" t="s">
        <v>43</v>
      </c>
      <c r="C379" s="69" t="s">
        <v>43</v>
      </c>
      <c r="D379" s="69" t="str">
        <f t="shared" si="5"/>
        <v>Rukiri</v>
      </c>
      <c r="F379" s="69">
        <v>359</v>
      </c>
    </row>
    <row r="380" spans="1:6">
      <c r="A380" s="69" t="s">
        <v>757</v>
      </c>
      <c r="B380" s="69" t="s">
        <v>43</v>
      </c>
      <c r="C380" s="69" t="s">
        <v>43</v>
      </c>
      <c r="D380" s="69" t="str">
        <f t="shared" si="5"/>
        <v>Rushango Town Council</v>
      </c>
      <c r="F380" s="69">
        <v>360</v>
      </c>
    </row>
    <row r="381" spans="1:6">
      <c r="A381" s="69" t="s">
        <v>758</v>
      </c>
      <c r="B381" s="69" t="s">
        <v>759</v>
      </c>
      <c r="C381" s="69" t="s">
        <v>760</v>
      </c>
      <c r="D381" s="69" t="str">
        <f t="shared" si="5"/>
        <v>Bulamogi</v>
      </c>
      <c r="F381" s="69">
        <v>361</v>
      </c>
    </row>
    <row r="382" spans="1:6">
      <c r="A382" s="69" t="s">
        <v>761</v>
      </c>
      <c r="B382" s="69" t="s">
        <v>759</v>
      </c>
      <c r="C382" s="69" t="s">
        <v>762</v>
      </c>
      <c r="D382" s="69" t="str">
        <f t="shared" si="5"/>
        <v>Busembatia Town Council</v>
      </c>
      <c r="F382" s="69">
        <v>362</v>
      </c>
    </row>
    <row r="383" spans="1:6">
      <c r="A383" s="69" t="s">
        <v>763</v>
      </c>
      <c r="B383" s="69" t="s">
        <v>759</v>
      </c>
      <c r="C383" s="69" t="s">
        <v>762</v>
      </c>
      <c r="D383" s="69" t="str">
        <f t="shared" si="5"/>
        <v>Buyanga-Iganga</v>
      </c>
      <c r="F383" s="69">
        <v>363</v>
      </c>
    </row>
    <row r="384" spans="1:6">
      <c r="A384" s="69" t="s">
        <v>764</v>
      </c>
      <c r="B384" s="69" t="s">
        <v>759</v>
      </c>
      <c r="C384" s="69" t="s">
        <v>762</v>
      </c>
      <c r="D384" s="69" t="str">
        <f t="shared" si="5"/>
        <v>Ibulanku</v>
      </c>
      <c r="F384" s="69">
        <v>364</v>
      </c>
    </row>
    <row r="385" spans="1:6">
      <c r="A385" s="69" t="s">
        <v>765</v>
      </c>
      <c r="B385" s="69" t="s">
        <v>759</v>
      </c>
      <c r="C385" s="69" t="s">
        <v>765</v>
      </c>
      <c r="D385" s="69" t="str">
        <f t="shared" si="5"/>
        <v>Iganga Municipality</v>
      </c>
      <c r="F385" s="69">
        <v>365</v>
      </c>
    </row>
    <row r="386" spans="1:6" ht="16.5" customHeight="1">
      <c r="A386" s="69" t="s">
        <v>766</v>
      </c>
      <c r="B386" s="69" t="s">
        <v>759</v>
      </c>
      <c r="C386" s="69" t="s">
        <v>762</v>
      </c>
      <c r="D386" s="69" t="str">
        <f t="shared" ref="D386:D449" si="6">A386</f>
        <v>Igombe</v>
      </c>
      <c r="F386" s="69">
        <v>366</v>
      </c>
    </row>
    <row r="387" spans="1:6">
      <c r="A387" s="69" t="s">
        <v>767</v>
      </c>
      <c r="B387" s="69" t="s">
        <v>759</v>
      </c>
      <c r="C387" s="69" t="s">
        <v>762</v>
      </c>
      <c r="D387" s="69" t="str">
        <f t="shared" si="6"/>
        <v>Makuutu</v>
      </c>
      <c r="F387" s="69">
        <v>367</v>
      </c>
    </row>
    <row r="388" spans="1:6">
      <c r="A388" s="69" t="s">
        <v>768</v>
      </c>
      <c r="B388" s="69" t="s">
        <v>759</v>
      </c>
      <c r="C388" s="69" t="s">
        <v>760</v>
      </c>
      <c r="D388" s="69" t="str">
        <f t="shared" si="6"/>
        <v>Nabitende</v>
      </c>
      <c r="F388" s="69">
        <v>368</v>
      </c>
    </row>
    <row r="389" spans="1:6">
      <c r="A389" s="69" t="s">
        <v>769</v>
      </c>
      <c r="B389" s="69" t="s">
        <v>759</v>
      </c>
      <c r="C389" s="69" t="s">
        <v>760</v>
      </c>
      <c r="D389" s="69" t="str">
        <f t="shared" si="6"/>
        <v>Nakalama</v>
      </c>
      <c r="F389" s="69">
        <v>369</v>
      </c>
    </row>
    <row r="390" spans="1:6">
      <c r="A390" s="69" t="s">
        <v>770</v>
      </c>
      <c r="B390" s="69" t="s">
        <v>759</v>
      </c>
      <c r="C390" s="69" t="s">
        <v>760</v>
      </c>
      <c r="D390" s="69" t="str">
        <f t="shared" si="6"/>
        <v>Nakigo</v>
      </c>
      <c r="F390" s="69">
        <v>370</v>
      </c>
    </row>
    <row r="391" spans="1:6">
      <c r="A391" s="69" t="s">
        <v>771</v>
      </c>
      <c r="B391" s="69" t="s">
        <v>759</v>
      </c>
      <c r="C391" s="69" t="s">
        <v>762</v>
      </c>
      <c r="D391" s="69" t="str">
        <f t="shared" si="6"/>
        <v>Namalemba</v>
      </c>
      <c r="F391" s="69">
        <v>371</v>
      </c>
    </row>
    <row r="392" spans="1:6">
      <c r="A392" s="69" t="s">
        <v>772</v>
      </c>
      <c r="B392" s="69" t="s">
        <v>759</v>
      </c>
      <c r="C392" s="69" t="s">
        <v>760</v>
      </c>
      <c r="D392" s="69" t="str">
        <f t="shared" si="6"/>
        <v>Nambale</v>
      </c>
      <c r="F392" s="69">
        <v>372</v>
      </c>
    </row>
    <row r="393" spans="1:6">
      <c r="A393" s="69" t="s">
        <v>773</v>
      </c>
      <c r="B393" s="69" t="s">
        <v>759</v>
      </c>
      <c r="C393" s="69" t="s">
        <v>760</v>
      </c>
      <c r="D393" s="69" t="str">
        <f t="shared" si="6"/>
        <v>Namungalwe</v>
      </c>
      <c r="F393" s="69">
        <v>373</v>
      </c>
    </row>
    <row r="394" spans="1:6">
      <c r="A394" s="69" t="s">
        <v>774</v>
      </c>
      <c r="B394" s="69" t="s">
        <v>759</v>
      </c>
      <c r="C394" s="69" t="s">
        <v>760</v>
      </c>
      <c r="D394" s="69" t="str">
        <f t="shared" si="6"/>
        <v>Nawandala</v>
      </c>
      <c r="F394" s="69">
        <v>374</v>
      </c>
    </row>
    <row r="395" spans="1:6">
      <c r="A395" s="69" t="s">
        <v>775</v>
      </c>
      <c r="B395" s="69" t="s">
        <v>759</v>
      </c>
      <c r="C395" s="69" t="s">
        <v>760</v>
      </c>
      <c r="D395" s="69" t="str">
        <f t="shared" si="6"/>
        <v>Nawanyingi</v>
      </c>
      <c r="F395" s="69">
        <v>375</v>
      </c>
    </row>
    <row r="396" spans="1:6">
      <c r="A396" s="69" t="s">
        <v>776</v>
      </c>
      <c r="B396" s="69" t="s">
        <v>47</v>
      </c>
      <c r="C396" s="69" t="s">
        <v>47</v>
      </c>
      <c r="D396" s="69" t="str">
        <f t="shared" si="6"/>
        <v>Birere</v>
      </c>
      <c r="F396" s="69">
        <v>376</v>
      </c>
    </row>
    <row r="397" spans="1:6">
      <c r="A397" s="69" t="s">
        <v>777</v>
      </c>
      <c r="B397" s="69" t="s">
        <v>47</v>
      </c>
      <c r="C397" s="69" t="s">
        <v>778</v>
      </c>
      <c r="D397" s="69" t="str">
        <f t="shared" si="6"/>
        <v>Endiinzi</v>
      </c>
      <c r="F397" s="69">
        <v>377</v>
      </c>
    </row>
    <row r="398" spans="1:6">
      <c r="A398" s="69" t="s">
        <v>779</v>
      </c>
      <c r="B398" s="69" t="s">
        <v>47</v>
      </c>
      <c r="C398" s="69" t="s">
        <v>778</v>
      </c>
      <c r="D398" s="69" t="str">
        <f t="shared" si="6"/>
        <v>Endiinzi Town Council</v>
      </c>
      <c r="F398" s="69">
        <v>378</v>
      </c>
    </row>
    <row r="399" spans="1:6">
      <c r="A399" s="69" t="s">
        <v>780</v>
      </c>
      <c r="B399" s="69" t="s">
        <v>47</v>
      </c>
      <c r="C399" s="69" t="s">
        <v>47</v>
      </c>
      <c r="D399" s="69" t="str">
        <f t="shared" si="6"/>
        <v>Isingiro Town Council</v>
      </c>
      <c r="F399" s="69">
        <v>379</v>
      </c>
    </row>
    <row r="400" spans="1:6">
      <c r="A400" s="69" t="s">
        <v>781</v>
      </c>
      <c r="B400" s="69" t="s">
        <v>47</v>
      </c>
      <c r="C400" s="69" t="s">
        <v>47</v>
      </c>
      <c r="D400" s="69" t="str">
        <f t="shared" si="6"/>
        <v>Kaberebere Town Council</v>
      </c>
      <c r="F400" s="69">
        <v>380</v>
      </c>
    </row>
    <row r="401" spans="1:6">
      <c r="A401" s="69" t="s">
        <v>782</v>
      </c>
      <c r="B401" s="69" t="s">
        <v>47</v>
      </c>
      <c r="C401" s="69" t="s">
        <v>47</v>
      </c>
      <c r="D401" s="69" t="str">
        <f t="shared" si="6"/>
        <v>Kabingo</v>
      </c>
      <c r="F401" s="69">
        <v>381</v>
      </c>
    </row>
    <row r="402" spans="1:6">
      <c r="A402" s="69" t="s">
        <v>783</v>
      </c>
      <c r="B402" s="69" t="s">
        <v>47</v>
      </c>
      <c r="C402" s="69" t="s">
        <v>47</v>
      </c>
      <c r="D402" s="69" t="str">
        <f t="shared" si="6"/>
        <v>Kabuyanda</v>
      </c>
      <c r="F402" s="69">
        <v>382</v>
      </c>
    </row>
    <row r="403" spans="1:6">
      <c r="A403" s="69" t="s">
        <v>784</v>
      </c>
      <c r="B403" s="69" t="s">
        <v>47</v>
      </c>
      <c r="C403" s="69" t="s">
        <v>47</v>
      </c>
      <c r="D403" s="69" t="str">
        <f t="shared" si="6"/>
        <v>Kabuyanda Town Council</v>
      </c>
      <c r="F403" s="69">
        <v>383</v>
      </c>
    </row>
    <row r="404" spans="1:6">
      <c r="A404" s="69" t="s">
        <v>785</v>
      </c>
      <c r="B404" s="69" t="s">
        <v>47</v>
      </c>
      <c r="C404" s="69" t="s">
        <v>778</v>
      </c>
      <c r="D404" s="69" t="str">
        <f t="shared" si="6"/>
        <v>Kakamba-Isingiro</v>
      </c>
      <c r="F404" s="69">
        <v>384</v>
      </c>
    </row>
    <row r="405" spans="1:6">
      <c r="A405" s="69" t="s">
        <v>786</v>
      </c>
      <c r="B405" s="69" t="s">
        <v>47</v>
      </c>
      <c r="C405" s="69" t="s">
        <v>47</v>
      </c>
      <c r="D405" s="69" t="str">
        <f t="shared" si="6"/>
        <v>Kikagate</v>
      </c>
      <c r="F405" s="69">
        <v>385</v>
      </c>
    </row>
    <row r="406" spans="1:6">
      <c r="A406" s="69" t="s">
        <v>787</v>
      </c>
      <c r="B406" s="69" t="s">
        <v>47</v>
      </c>
      <c r="C406" s="69" t="s">
        <v>47</v>
      </c>
      <c r="D406" s="69" t="str">
        <f t="shared" si="6"/>
        <v>Masha</v>
      </c>
      <c r="F406" s="69">
        <v>386</v>
      </c>
    </row>
    <row r="407" spans="1:6">
      <c r="A407" s="69" t="s">
        <v>788</v>
      </c>
      <c r="B407" s="69" t="s">
        <v>47</v>
      </c>
      <c r="C407" s="69" t="s">
        <v>778</v>
      </c>
      <c r="D407" s="69" t="str">
        <f t="shared" si="6"/>
        <v>Mbaare</v>
      </c>
      <c r="F407" s="69">
        <v>387</v>
      </c>
    </row>
    <row r="408" spans="1:6">
      <c r="A408" s="69" t="s">
        <v>789</v>
      </c>
      <c r="B408" s="69" t="s">
        <v>47</v>
      </c>
      <c r="C408" s="69" t="s">
        <v>778</v>
      </c>
      <c r="D408" s="69" t="str">
        <f t="shared" si="6"/>
        <v>Nakivale Refugee Camp</v>
      </c>
      <c r="F408" s="69">
        <v>388</v>
      </c>
    </row>
    <row r="409" spans="1:6">
      <c r="A409" s="69" t="s">
        <v>790</v>
      </c>
      <c r="B409" s="69" t="s">
        <v>47</v>
      </c>
      <c r="C409" s="69" t="s">
        <v>778</v>
      </c>
      <c r="D409" s="69" t="str">
        <f t="shared" si="6"/>
        <v>Ngarama</v>
      </c>
      <c r="F409" s="69">
        <v>389</v>
      </c>
    </row>
    <row r="410" spans="1:6">
      <c r="A410" s="69" t="s">
        <v>791</v>
      </c>
      <c r="B410" s="69" t="s">
        <v>47</v>
      </c>
      <c r="C410" s="69" t="s">
        <v>47</v>
      </c>
      <c r="D410" s="69" t="str">
        <f t="shared" si="6"/>
        <v>Nyakitunda</v>
      </c>
      <c r="F410" s="69">
        <v>390</v>
      </c>
    </row>
    <row r="411" spans="1:6">
      <c r="A411" s="69" t="s">
        <v>792</v>
      </c>
      <c r="B411" s="69" t="s">
        <v>47</v>
      </c>
      <c r="C411" s="69" t="s">
        <v>47</v>
      </c>
      <c r="D411" s="69" t="str">
        <f t="shared" si="6"/>
        <v>Nyamuyanja</v>
      </c>
      <c r="F411" s="69">
        <v>391</v>
      </c>
    </row>
    <row r="412" spans="1:6">
      <c r="A412" s="69" t="s">
        <v>793</v>
      </c>
      <c r="B412" s="69" t="s">
        <v>47</v>
      </c>
      <c r="C412" s="69" t="s">
        <v>47</v>
      </c>
      <c r="D412" s="69" t="str">
        <f t="shared" si="6"/>
        <v>Oruchinga Refugee Camp</v>
      </c>
      <c r="F412" s="69">
        <v>392</v>
      </c>
    </row>
    <row r="413" spans="1:6">
      <c r="A413" s="69" t="s">
        <v>794</v>
      </c>
      <c r="B413" s="69" t="s">
        <v>47</v>
      </c>
      <c r="C413" s="69" t="s">
        <v>47</v>
      </c>
      <c r="D413" s="69" t="str">
        <f t="shared" si="6"/>
        <v>Ruborogota</v>
      </c>
      <c r="F413" s="69">
        <v>393</v>
      </c>
    </row>
    <row r="414" spans="1:6">
      <c r="A414" s="69" t="s">
        <v>795</v>
      </c>
      <c r="B414" s="69" t="s">
        <v>47</v>
      </c>
      <c r="C414" s="69" t="s">
        <v>778</v>
      </c>
      <c r="D414" s="69" t="str">
        <f t="shared" si="6"/>
        <v>Rugaaga</v>
      </c>
      <c r="F414" s="69">
        <v>394</v>
      </c>
    </row>
    <row r="415" spans="1:6">
      <c r="A415" s="69" t="s">
        <v>796</v>
      </c>
      <c r="B415" s="69" t="s">
        <v>47</v>
      </c>
      <c r="C415" s="69" t="s">
        <v>778</v>
      </c>
      <c r="D415" s="69" t="str">
        <f t="shared" si="6"/>
        <v>Rushasha</v>
      </c>
      <c r="F415" s="69">
        <v>395</v>
      </c>
    </row>
    <row r="416" spans="1:6">
      <c r="A416" s="69" t="s">
        <v>797</v>
      </c>
      <c r="B416" s="69" t="s">
        <v>798</v>
      </c>
      <c r="C416" s="69" t="s">
        <v>799</v>
      </c>
      <c r="D416" s="69" t="str">
        <f t="shared" si="6"/>
        <v>Budondo</v>
      </c>
      <c r="F416" s="69">
        <v>396</v>
      </c>
    </row>
    <row r="417" spans="1:6">
      <c r="A417" s="69" t="s">
        <v>800</v>
      </c>
      <c r="B417" s="69" t="s">
        <v>798</v>
      </c>
      <c r="C417" s="69" t="s">
        <v>801</v>
      </c>
      <c r="D417" s="69" t="str">
        <f t="shared" si="6"/>
        <v>Bugembe Town Council</v>
      </c>
      <c r="F417" s="69">
        <v>397</v>
      </c>
    </row>
    <row r="418" spans="1:6">
      <c r="A418" s="69" t="s">
        <v>802</v>
      </c>
      <c r="B418" s="69" t="s">
        <v>798</v>
      </c>
      <c r="C418" s="69" t="s">
        <v>801</v>
      </c>
      <c r="D418" s="69" t="str">
        <f t="shared" si="6"/>
        <v>Busedde</v>
      </c>
      <c r="F418" s="69">
        <v>398</v>
      </c>
    </row>
    <row r="419" spans="1:6">
      <c r="A419" s="69" t="s">
        <v>803</v>
      </c>
      <c r="B419" s="69" t="s">
        <v>798</v>
      </c>
      <c r="C419" s="69" t="s">
        <v>799</v>
      </c>
      <c r="D419" s="69" t="str">
        <f t="shared" si="6"/>
        <v>Butagaya</v>
      </c>
      <c r="F419" s="69">
        <v>399</v>
      </c>
    </row>
    <row r="420" spans="1:6">
      <c r="A420" s="69" t="s">
        <v>804</v>
      </c>
      <c r="B420" s="69" t="s">
        <v>798</v>
      </c>
      <c r="C420" s="69" t="s">
        <v>799</v>
      </c>
      <c r="D420" s="69" t="str">
        <f t="shared" si="6"/>
        <v>Buwenge</v>
      </c>
      <c r="F420" s="69">
        <v>400</v>
      </c>
    </row>
    <row r="421" spans="1:6">
      <c r="A421" s="69" t="s">
        <v>805</v>
      </c>
      <c r="B421" s="69" t="s">
        <v>798</v>
      </c>
      <c r="C421" s="69" t="s">
        <v>799</v>
      </c>
      <c r="D421" s="69" t="str">
        <f t="shared" si="6"/>
        <v>Buwenge Town Council</v>
      </c>
      <c r="F421" s="69">
        <v>401</v>
      </c>
    </row>
    <row r="422" spans="1:6">
      <c r="A422" s="69" t="s">
        <v>806</v>
      </c>
      <c r="B422" s="69" t="s">
        <v>798</v>
      </c>
      <c r="C422" s="69" t="s">
        <v>799</v>
      </c>
      <c r="D422" s="69" t="str">
        <f t="shared" si="6"/>
        <v>Buyengo</v>
      </c>
      <c r="F422" s="69">
        <v>402</v>
      </c>
    </row>
    <row r="423" spans="1:6">
      <c r="A423" s="69" t="s">
        <v>807</v>
      </c>
      <c r="B423" s="69" t="s">
        <v>798</v>
      </c>
      <c r="C423" s="69" t="s">
        <v>807</v>
      </c>
      <c r="D423" s="69" t="str">
        <f t="shared" si="6"/>
        <v>Jinja Municipality</v>
      </c>
      <c r="F423" s="69">
        <v>403</v>
      </c>
    </row>
    <row r="424" spans="1:6">
      <c r="A424" s="69" t="s">
        <v>808</v>
      </c>
      <c r="B424" s="69" t="s">
        <v>798</v>
      </c>
      <c r="C424" s="69" t="s">
        <v>807</v>
      </c>
      <c r="D424" s="69" t="str">
        <f t="shared" si="6"/>
        <v>Jinja Town</v>
      </c>
      <c r="F424" s="69">
        <v>403</v>
      </c>
    </row>
    <row r="425" spans="1:6">
      <c r="A425" s="69" t="s">
        <v>809</v>
      </c>
      <c r="D425" s="69" t="str">
        <f t="shared" si="6"/>
        <v>JINJA</v>
      </c>
      <c r="F425" s="69">
        <v>403</v>
      </c>
    </row>
    <row r="426" spans="1:6">
      <c r="A426" s="69" t="s">
        <v>810</v>
      </c>
      <c r="B426" s="69" t="s">
        <v>798</v>
      </c>
      <c r="C426" s="69" t="s">
        <v>801</v>
      </c>
      <c r="D426" s="69" t="str">
        <f t="shared" si="6"/>
        <v>Kakira Town Council</v>
      </c>
      <c r="F426" s="69">
        <v>404</v>
      </c>
    </row>
    <row r="427" spans="1:6">
      <c r="A427" s="69" t="s">
        <v>811</v>
      </c>
      <c r="B427" s="69" t="s">
        <v>798</v>
      </c>
      <c r="C427" s="69" t="s">
        <v>801</v>
      </c>
      <c r="D427" s="69" t="str">
        <f t="shared" si="6"/>
        <v>Mafubira</v>
      </c>
      <c r="F427" s="69">
        <v>405</v>
      </c>
    </row>
    <row r="428" spans="1:6">
      <c r="A428" s="69" t="s">
        <v>812</v>
      </c>
      <c r="B428" s="69" t="s">
        <v>813</v>
      </c>
      <c r="C428" s="69" t="s">
        <v>814</v>
      </c>
      <c r="D428" s="69" t="str">
        <f t="shared" si="6"/>
        <v>Kaabong East</v>
      </c>
      <c r="F428" s="69">
        <v>406</v>
      </c>
    </row>
    <row r="429" spans="1:6">
      <c r="A429" s="69" t="s">
        <v>815</v>
      </c>
      <c r="B429" s="69" t="s">
        <v>813</v>
      </c>
      <c r="C429" s="69" t="s">
        <v>814</v>
      </c>
      <c r="D429" s="69" t="str">
        <f t="shared" si="6"/>
        <v>Kaabong Town Council</v>
      </c>
      <c r="F429" s="69">
        <v>407</v>
      </c>
    </row>
    <row r="430" spans="1:6">
      <c r="A430" s="69" t="s">
        <v>816</v>
      </c>
      <c r="B430" s="69" t="s">
        <v>813</v>
      </c>
      <c r="C430" s="69" t="s">
        <v>814</v>
      </c>
      <c r="D430" s="69" t="str">
        <f t="shared" si="6"/>
        <v>Kidepo NP</v>
      </c>
      <c r="F430" s="69">
        <v>407</v>
      </c>
    </row>
    <row r="431" spans="1:6">
      <c r="A431" s="69" t="s">
        <v>817</v>
      </c>
      <c r="B431" s="69" t="s">
        <v>813</v>
      </c>
      <c r="C431" s="69" t="s">
        <v>814</v>
      </c>
      <c r="D431" s="69" t="str">
        <f t="shared" si="6"/>
        <v>Kaabong Town</v>
      </c>
      <c r="F431" s="69">
        <v>407</v>
      </c>
    </row>
    <row r="432" spans="1:6">
      <c r="A432" s="69" t="s">
        <v>818</v>
      </c>
      <c r="B432" s="69" t="s">
        <v>813</v>
      </c>
      <c r="C432" s="69" t="s">
        <v>814</v>
      </c>
      <c r="D432" s="69" t="str">
        <f t="shared" si="6"/>
        <v>Kaabong West</v>
      </c>
      <c r="F432" s="69">
        <v>408</v>
      </c>
    </row>
    <row r="433" spans="1:6">
      <c r="A433" s="69" t="s">
        <v>819</v>
      </c>
      <c r="B433" s="69" t="s">
        <v>813</v>
      </c>
      <c r="C433" s="69" t="s">
        <v>814</v>
      </c>
      <c r="D433" s="69" t="str">
        <f t="shared" si="6"/>
        <v>Kalapata</v>
      </c>
      <c r="F433" s="69">
        <v>409</v>
      </c>
    </row>
    <row r="434" spans="1:6">
      <c r="A434" s="69" t="s">
        <v>820</v>
      </c>
      <c r="B434" s="69" t="s">
        <v>813</v>
      </c>
      <c r="C434" s="69" t="s">
        <v>814</v>
      </c>
      <c r="D434" s="69" t="str">
        <f t="shared" si="6"/>
        <v>Kamion</v>
      </c>
      <c r="F434" s="69">
        <v>410</v>
      </c>
    </row>
    <row r="435" spans="1:6">
      <c r="A435" s="69" t="s">
        <v>821</v>
      </c>
      <c r="B435" s="69" t="s">
        <v>813</v>
      </c>
      <c r="C435" s="69" t="s">
        <v>814</v>
      </c>
      <c r="D435" s="69" t="str">
        <f t="shared" si="6"/>
        <v>Kapedo</v>
      </c>
      <c r="F435" s="69">
        <v>411</v>
      </c>
    </row>
    <row r="436" spans="1:6">
      <c r="A436" s="69" t="s">
        <v>822</v>
      </c>
      <c r="B436" s="69" t="s">
        <v>813</v>
      </c>
      <c r="C436" s="69" t="s">
        <v>814</v>
      </c>
      <c r="D436" s="69" t="str">
        <f t="shared" si="6"/>
        <v>Kathile</v>
      </c>
      <c r="F436" s="69">
        <v>412</v>
      </c>
    </row>
    <row r="437" spans="1:6">
      <c r="A437" s="69" t="s">
        <v>823</v>
      </c>
      <c r="B437" s="69" t="s">
        <v>813</v>
      </c>
      <c r="C437" s="69" t="s">
        <v>814</v>
      </c>
      <c r="D437" s="69" t="str">
        <f t="shared" si="6"/>
        <v>Kawalakol</v>
      </c>
      <c r="F437" s="69">
        <v>413</v>
      </c>
    </row>
    <row r="438" spans="1:6">
      <c r="A438" s="69" t="s">
        <v>824</v>
      </c>
      <c r="B438" s="69" t="s">
        <v>813</v>
      </c>
      <c r="C438" s="69" t="s">
        <v>814</v>
      </c>
      <c r="D438" s="69" t="str">
        <f t="shared" si="6"/>
        <v>Lobalangit</v>
      </c>
      <c r="F438" s="69">
        <v>414</v>
      </c>
    </row>
    <row r="439" spans="1:6">
      <c r="A439" s="69" t="s">
        <v>825</v>
      </c>
      <c r="B439" s="69" t="s">
        <v>813</v>
      </c>
      <c r="C439" s="69" t="s">
        <v>814</v>
      </c>
      <c r="D439" s="69" t="str">
        <f t="shared" si="6"/>
        <v>Lodiko</v>
      </c>
      <c r="F439" s="69">
        <v>415</v>
      </c>
    </row>
    <row r="440" spans="1:6">
      <c r="A440" s="69" t="s">
        <v>826</v>
      </c>
      <c r="B440" s="69" t="s">
        <v>813</v>
      </c>
      <c r="C440" s="69" t="s">
        <v>814</v>
      </c>
      <c r="D440" s="69" t="str">
        <f t="shared" si="6"/>
        <v>Lolelia</v>
      </c>
      <c r="F440" s="69">
        <v>416</v>
      </c>
    </row>
    <row r="441" spans="1:6">
      <c r="A441" s="69" t="s">
        <v>827</v>
      </c>
      <c r="B441" s="69" t="s">
        <v>813</v>
      </c>
      <c r="C441" s="69" t="s">
        <v>814</v>
      </c>
      <c r="D441" s="69" t="str">
        <f t="shared" si="6"/>
        <v>Loyoro</v>
      </c>
      <c r="F441" s="69">
        <v>417</v>
      </c>
    </row>
    <row r="442" spans="1:6">
      <c r="A442" s="69" t="s">
        <v>828</v>
      </c>
      <c r="B442" s="69" t="s">
        <v>813</v>
      </c>
      <c r="C442" s="69" t="s">
        <v>814</v>
      </c>
      <c r="D442" s="69" t="str">
        <f t="shared" si="6"/>
        <v>Kiru town council</v>
      </c>
      <c r="F442" s="69">
        <v>417</v>
      </c>
    </row>
    <row r="443" spans="1:6">
      <c r="A443" s="69" t="s">
        <v>829</v>
      </c>
      <c r="B443" s="69" t="s">
        <v>813</v>
      </c>
      <c r="C443" s="69" t="s">
        <v>814</v>
      </c>
      <c r="D443" s="69" t="str">
        <f t="shared" si="6"/>
        <v>Kiru</v>
      </c>
      <c r="F443" s="69">
        <v>417</v>
      </c>
    </row>
    <row r="444" spans="1:6">
      <c r="A444" s="69" t="s">
        <v>830</v>
      </c>
      <c r="B444" s="69" t="s">
        <v>813</v>
      </c>
      <c r="C444" s="69" t="s">
        <v>814</v>
      </c>
      <c r="D444" s="69" t="str">
        <f t="shared" si="6"/>
        <v>Napore Karenga</v>
      </c>
      <c r="F444" s="69">
        <v>418</v>
      </c>
    </row>
    <row r="445" spans="1:6">
      <c r="A445" s="69" t="s">
        <v>831</v>
      </c>
      <c r="B445" s="69" t="s">
        <v>813</v>
      </c>
      <c r="C445" s="69" t="s">
        <v>814</v>
      </c>
      <c r="D445" s="69" t="str">
        <f t="shared" si="6"/>
        <v>Sidok</v>
      </c>
      <c r="F445" s="69">
        <v>419</v>
      </c>
    </row>
    <row r="446" spans="1:6">
      <c r="A446" s="69" t="s">
        <v>832</v>
      </c>
      <c r="B446" s="69" t="s">
        <v>833</v>
      </c>
      <c r="C446" s="69" t="s">
        <v>834</v>
      </c>
      <c r="D446" s="69" t="str">
        <f t="shared" si="6"/>
        <v>Buhara</v>
      </c>
      <c r="F446" s="69">
        <v>420</v>
      </c>
    </row>
    <row r="447" spans="1:6">
      <c r="A447" s="69" t="s">
        <v>835</v>
      </c>
      <c r="B447" s="69" t="s">
        <v>833</v>
      </c>
      <c r="C447" s="69" t="s">
        <v>834</v>
      </c>
      <c r="D447" s="69" t="str">
        <f t="shared" si="6"/>
        <v>Butanda</v>
      </c>
      <c r="F447" s="69">
        <v>421</v>
      </c>
    </row>
    <row r="448" spans="1:6">
      <c r="A448" s="69" t="s">
        <v>836</v>
      </c>
      <c r="B448" s="69" t="s">
        <v>833</v>
      </c>
      <c r="C448" s="69" t="s">
        <v>836</v>
      </c>
      <c r="D448" s="69" t="str">
        <f t="shared" si="6"/>
        <v>Kabale Municipality</v>
      </c>
      <c r="F448" s="69">
        <v>422</v>
      </c>
    </row>
    <row r="449" spans="1:6">
      <c r="A449" s="69" t="s">
        <v>837</v>
      </c>
      <c r="D449" s="69" t="str">
        <f t="shared" si="6"/>
        <v>town</v>
      </c>
      <c r="F449" s="69">
        <v>422</v>
      </c>
    </row>
    <row r="450" spans="1:6">
      <c r="A450" s="69" t="s">
        <v>838</v>
      </c>
      <c r="D450" s="69" t="str">
        <f t="shared" ref="D450:D513" si="7">A450</f>
        <v>KABALE</v>
      </c>
      <c r="F450" s="69">
        <v>422</v>
      </c>
    </row>
    <row r="451" spans="1:6">
      <c r="A451" s="69" t="s">
        <v>839</v>
      </c>
      <c r="B451" s="69" t="s">
        <v>833</v>
      </c>
      <c r="C451" s="69" t="s">
        <v>834</v>
      </c>
      <c r="D451" s="69" t="str">
        <f t="shared" si="7"/>
        <v>Kaharo</v>
      </c>
      <c r="F451" s="69">
        <v>423</v>
      </c>
    </row>
    <row r="452" spans="1:6">
      <c r="A452" s="69" t="s">
        <v>840</v>
      </c>
      <c r="B452" s="69" t="s">
        <v>833</v>
      </c>
      <c r="C452" s="69" t="s">
        <v>834</v>
      </c>
      <c r="D452" s="69" t="str">
        <f t="shared" si="7"/>
        <v>Kamuganguzi</v>
      </c>
      <c r="F452" s="69">
        <v>424</v>
      </c>
    </row>
    <row r="453" spans="1:6">
      <c r="A453" s="69" t="s">
        <v>841</v>
      </c>
      <c r="B453" s="69" t="s">
        <v>833</v>
      </c>
      <c r="C453" s="69" t="s">
        <v>834</v>
      </c>
      <c r="D453" s="69" t="str">
        <f t="shared" si="7"/>
        <v>Katuna Town Council</v>
      </c>
      <c r="F453" s="69">
        <v>425</v>
      </c>
    </row>
    <row r="454" spans="1:6">
      <c r="A454" s="69" t="s">
        <v>842</v>
      </c>
      <c r="B454" s="69" t="s">
        <v>833</v>
      </c>
      <c r="C454" s="69" t="s">
        <v>834</v>
      </c>
      <c r="D454" s="69" t="str">
        <f t="shared" si="7"/>
        <v>Kitumba</v>
      </c>
      <c r="F454" s="69">
        <v>426</v>
      </c>
    </row>
    <row r="455" spans="1:6">
      <c r="A455" s="69" t="s">
        <v>843</v>
      </c>
      <c r="B455" s="69" t="s">
        <v>833</v>
      </c>
      <c r="C455" s="69" t="s">
        <v>834</v>
      </c>
      <c r="D455" s="69" t="str">
        <f t="shared" si="7"/>
        <v>Kyanamira</v>
      </c>
      <c r="F455" s="69">
        <v>427</v>
      </c>
    </row>
    <row r="456" spans="1:6">
      <c r="A456" s="69" t="s">
        <v>844</v>
      </c>
      <c r="B456" s="69" t="s">
        <v>833</v>
      </c>
      <c r="C456" s="69" t="s">
        <v>834</v>
      </c>
      <c r="D456" s="69" t="str">
        <f t="shared" si="7"/>
        <v>Maziba</v>
      </c>
      <c r="F456" s="69">
        <v>428</v>
      </c>
    </row>
    <row r="457" spans="1:6">
      <c r="A457" s="69" t="s">
        <v>845</v>
      </c>
      <c r="B457" s="69" t="s">
        <v>833</v>
      </c>
      <c r="C457" s="69" t="s">
        <v>834</v>
      </c>
      <c r="D457" s="69" t="str">
        <f t="shared" si="7"/>
        <v>Rubaya-Kabale</v>
      </c>
      <c r="F457" s="69">
        <v>429</v>
      </c>
    </row>
    <row r="458" spans="1:6">
      <c r="A458" s="69" t="s">
        <v>846</v>
      </c>
      <c r="B458" s="69" t="s">
        <v>833</v>
      </c>
      <c r="C458" s="69" t="s">
        <v>834</v>
      </c>
      <c r="D458" s="69" t="str">
        <f t="shared" si="7"/>
        <v>Ryakirimira Town Council</v>
      </c>
      <c r="F458" s="69">
        <v>430</v>
      </c>
    </row>
    <row r="459" spans="1:6">
      <c r="A459" s="69" t="s">
        <v>847</v>
      </c>
      <c r="B459" s="69" t="s">
        <v>848</v>
      </c>
      <c r="C459" s="69" t="s">
        <v>849</v>
      </c>
      <c r="D459" s="69" t="str">
        <f t="shared" si="7"/>
        <v>Bukuuku</v>
      </c>
      <c r="F459" s="69">
        <v>431</v>
      </c>
    </row>
    <row r="460" spans="1:6">
      <c r="A460" s="69" t="s">
        <v>850</v>
      </c>
      <c r="B460" s="69" t="s">
        <v>848</v>
      </c>
      <c r="C460" s="69" t="s">
        <v>849</v>
      </c>
      <c r="D460" s="69" t="str">
        <f t="shared" si="7"/>
        <v>Busoro</v>
      </c>
      <c r="F460" s="69">
        <v>432</v>
      </c>
    </row>
    <row r="461" spans="1:6">
      <c r="A461" s="69" t="s">
        <v>851</v>
      </c>
      <c r="B461" s="69" t="s">
        <v>848</v>
      </c>
      <c r="C461" s="69" t="s">
        <v>851</v>
      </c>
      <c r="D461" s="69" t="str">
        <f t="shared" si="7"/>
        <v>Fort Portal Municipality</v>
      </c>
      <c r="F461" s="69">
        <v>433</v>
      </c>
    </row>
    <row r="462" spans="1:6">
      <c r="A462" s="69" t="s">
        <v>852</v>
      </c>
      <c r="B462" s="69" t="s">
        <v>848</v>
      </c>
      <c r="C462" s="69" t="s">
        <v>849</v>
      </c>
      <c r="D462" s="69" t="str">
        <f t="shared" si="7"/>
        <v>Hakibaale</v>
      </c>
      <c r="F462" s="69">
        <v>434</v>
      </c>
    </row>
    <row r="463" spans="1:6">
      <c r="A463" s="69" t="s">
        <v>853</v>
      </c>
      <c r="B463" s="69" t="s">
        <v>848</v>
      </c>
      <c r="C463" s="69" t="s">
        <v>849</v>
      </c>
      <c r="D463" s="69" t="str">
        <f t="shared" si="7"/>
        <v>Karago Town Council</v>
      </c>
      <c r="F463" s="69">
        <v>435</v>
      </c>
    </row>
    <row r="464" spans="1:6">
      <c r="A464" s="69" t="s">
        <v>854</v>
      </c>
      <c r="B464" s="69" t="s">
        <v>848</v>
      </c>
      <c r="C464" s="69" t="s">
        <v>849</v>
      </c>
      <c r="D464" s="69" t="str">
        <f t="shared" si="7"/>
        <v>Karambi-Kabarole</v>
      </c>
      <c r="F464" s="69">
        <v>436</v>
      </c>
    </row>
    <row r="465" spans="1:6">
      <c r="A465" s="69" t="s">
        <v>855</v>
      </c>
      <c r="B465" s="69" t="s">
        <v>848</v>
      </c>
      <c r="C465" s="69" t="s">
        <v>849</v>
      </c>
      <c r="D465" s="69" t="str">
        <f t="shared" si="7"/>
        <v>Karangura</v>
      </c>
      <c r="F465" s="69">
        <v>437</v>
      </c>
    </row>
    <row r="466" spans="1:6">
      <c r="A466" s="69" t="s">
        <v>856</v>
      </c>
      <c r="B466" s="69" t="s">
        <v>848</v>
      </c>
      <c r="C466" s="69" t="s">
        <v>849</v>
      </c>
      <c r="D466" s="69" t="str">
        <f t="shared" si="7"/>
        <v>Kasenda</v>
      </c>
      <c r="F466" s="69">
        <v>438</v>
      </c>
    </row>
    <row r="467" spans="1:6">
      <c r="A467" s="69" t="s">
        <v>857</v>
      </c>
      <c r="B467" s="69" t="s">
        <v>848</v>
      </c>
      <c r="C467" s="69" t="s">
        <v>849</v>
      </c>
      <c r="D467" s="69" t="str">
        <f t="shared" si="7"/>
        <v>Kicwamba</v>
      </c>
      <c r="F467" s="69">
        <v>439</v>
      </c>
    </row>
    <row r="468" spans="1:6">
      <c r="A468" s="69" t="s">
        <v>858</v>
      </c>
      <c r="B468" s="69" t="s">
        <v>848</v>
      </c>
      <c r="C468" s="69" t="s">
        <v>849</v>
      </c>
      <c r="D468" s="69" t="str">
        <f t="shared" si="7"/>
        <v>Kijura Town Council</v>
      </c>
      <c r="F468" s="69">
        <v>440</v>
      </c>
    </row>
    <row r="469" spans="1:6">
      <c r="A469" s="69" t="s">
        <v>859</v>
      </c>
      <c r="B469" s="69" t="s">
        <v>848</v>
      </c>
      <c r="C469" s="69" t="s">
        <v>849</v>
      </c>
      <c r="D469" s="69" t="str">
        <f t="shared" si="7"/>
        <v>Kiko Town Council</v>
      </c>
      <c r="F469" s="69">
        <v>441</v>
      </c>
    </row>
    <row r="470" spans="1:6">
      <c r="A470" s="69" t="s">
        <v>860</v>
      </c>
      <c r="B470" s="69" t="s">
        <v>848</v>
      </c>
      <c r="C470" s="69" t="s">
        <v>849</v>
      </c>
      <c r="D470" s="69" t="str">
        <f t="shared" si="7"/>
        <v>Mugusu</v>
      </c>
      <c r="F470" s="69">
        <v>442</v>
      </c>
    </row>
    <row r="471" spans="1:6">
      <c r="A471" s="69" t="s">
        <v>861</v>
      </c>
      <c r="B471" s="69" t="s">
        <v>848</v>
      </c>
      <c r="C471" s="69" t="s">
        <v>849</v>
      </c>
      <c r="D471" s="69" t="str">
        <f t="shared" si="7"/>
        <v>Mugusu Town Council</v>
      </c>
      <c r="F471" s="69">
        <v>443</v>
      </c>
    </row>
    <row r="472" spans="1:6">
      <c r="A472" s="69" t="s">
        <v>862</v>
      </c>
      <c r="B472" s="69" t="s">
        <v>848</v>
      </c>
      <c r="C472" s="69" t="s">
        <v>849</v>
      </c>
      <c r="D472" s="69" t="str">
        <f t="shared" si="7"/>
        <v>Ruteete-Kabarole</v>
      </c>
      <c r="F472" s="69">
        <v>444</v>
      </c>
    </row>
    <row r="473" spans="1:6">
      <c r="A473" s="69" t="s">
        <v>863</v>
      </c>
      <c r="B473" s="69" t="s">
        <v>864</v>
      </c>
      <c r="C473" s="69" t="s">
        <v>864</v>
      </c>
      <c r="D473" s="69" t="str">
        <f t="shared" si="7"/>
        <v>Alwa</v>
      </c>
      <c r="F473" s="69">
        <v>445</v>
      </c>
    </row>
    <row r="474" spans="1:6">
      <c r="A474" s="69" t="s">
        <v>865</v>
      </c>
      <c r="B474" s="69" t="s">
        <v>864</v>
      </c>
      <c r="C474" s="69" t="s">
        <v>866</v>
      </c>
      <c r="D474" s="69" t="str">
        <f t="shared" si="7"/>
        <v>Anyara</v>
      </c>
      <c r="F474" s="69">
        <v>446</v>
      </c>
    </row>
    <row r="475" spans="1:6">
      <c r="A475" s="69" t="s">
        <v>867</v>
      </c>
      <c r="B475" s="69" t="s">
        <v>864</v>
      </c>
      <c r="C475" s="69" t="s">
        <v>866</v>
      </c>
      <c r="D475" s="69" t="str">
        <f t="shared" si="7"/>
        <v>Apapai</v>
      </c>
      <c r="F475" s="69">
        <v>447</v>
      </c>
    </row>
    <row r="476" spans="1:6">
      <c r="A476" s="69" t="s">
        <v>868</v>
      </c>
      <c r="B476" s="69" t="s">
        <v>864</v>
      </c>
      <c r="C476" s="69" t="s">
        <v>864</v>
      </c>
      <c r="D476" s="69" t="str">
        <f t="shared" si="7"/>
        <v>Aperkira</v>
      </c>
      <c r="F476" s="69">
        <v>448</v>
      </c>
    </row>
    <row r="477" spans="1:6">
      <c r="A477" s="69" t="s">
        <v>869</v>
      </c>
      <c r="B477" s="69" t="s">
        <v>864</v>
      </c>
      <c r="C477" s="69" t="s">
        <v>866</v>
      </c>
      <c r="D477" s="69" t="str">
        <f t="shared" si="7"/>
        <v>Bululu</v>
      </c>
      <c r="F477" s="69">
        <v>449</v>
      </c>
    </row>
    <row r="478" spans="1:6">
      <c r="A478" s="69" t="s">
        <v>864</v>
      </c>
      <c r="B478" s="69" t="s">
        <v>864</v>
      </c>
      <c r="C478" s="69" t="s">
        <v>864</v>
      </c>
      <c r="D478" s="69" t="str">
        <f t="shared" si="7"/>
        <v>Kaberamaido</v>
      </c>
      <c r="F478" s="69">
        <v>450</v>
      </c>
    </row>
    <row r="479" spans="1:6">
      <c r="A479" s="69" t="s">
        <v>870</v>
      </c>
      <c r="B479" s="69" t="s">
        <v>864</v>
      </c>
      <c r="C479" s="69" t="s">
        <v>864</v>
      </c>
      <c r="D479" s="69" t="str">
        <f t="shared" si="7"/>
        <v>Kaberamaido Town Council</v>
      </c>
      <c r="F479" s="69">
        <v>451</v>
      </c>
    </row>
    <row r="480" spans="1:6">
      <c r="A480" s="69" t="s">
        <v>871</v>
      </c>
      <c r="B480" s="69" t="s">
        <v>864</v>
      </c>
      <c r="C480" s="69" t="s">
        <v>866</v>
      </c>
      <c r="D480" s="69" t="str">
        <f t="shared" si="7"/>
        <v>Kakure</v>
      </c>
      <c r="F480" s="69">
        <v>452</v>
      </c>
    </row>
    <row r="481" spans="1:6">
      <c r="A481" s="69" t="s">
        <v>866</v>
      </c>
      <c r="B481" s="69" t="s">
        <v>864</v>
      </c>
      <c r="C481" s="69" t="s">
        <v>866</v>
      </c>
      <c r="D481" s="69" t="str">
        <f t="shared" si="7"/>
        <v>Kalaki</v>
      </c>
      <c r="F481" s="69">
        <v>453</v>
      </c>
    </row>
    <row r="482" spans="1:6">
      <c r="A482" s="69" t="s">
        <v>872</v>
      </c>
      <c r="B482" s="69" t="s">
        <v>864</v>
      </c>
      <c r="C482" s="69" t="s">
        <v>864</v>
      </c>
      <c r="D482" s="69" t="str">
        <f t="shared" si="7"/>
        <v>Kobulubulu</v>
      </c>
      <c r="F482" s="69">
        <v>454</v>
      </c>
    </row>
    <row r="483" spans="1:6">
      <c r="A483" s="69" t="s">
        <v>873</v>
      </c>
      <c r="B483" s="69" t="s">
        <v>864</v>
      </c>
      <c r="C483" s="69" t="s">
        <v>864</v>
      </c>
      <c r="D483" s="69" t="str">
        <f t="shared" si="7"/>
        <v>Ochero</v>
      </c>
      <c r="F483" s="69">
        <v>455</v>
      </c>
    </row>
    <row r="484" spans="1:6">
      <c r="A484" s="69" t="s">
        <v>874</v>
      </c>
      <c r="B484" s="69" t="s">
        <v>864</v>
      </c>
      <c r="C484" s="69" t="s">
        <v>866</v>
      </c>
      <c r="D484" s="69" t="str">
        <f t="shared" si="7"/>
        <v>Otuboi</v>
      </c>
      <c r="F484" s="69">
        <v>456</v>
      </c>
    </row>
    <row r="485" spans="1:6">
      <c r="A485" s="69" t="s">
        <v>875</v>
      </c>
      <c r="B485" s="69" t="s">
        <v>876</v>
      </c>
      <c r="C485" s="69" t="s">
        <v>877</v>
      </c>
      <c r="D485" s="69" t="str">
        <f t="shared" si="7"/>
        <v>Burora</v>
      </c>
      <c r="F485" s="69">
        <v>457</v>
      </c>
    </row>
    <row r="486" spans="1:6">
      <c r="A486" s="69" t="s">
        <v>878</v>
      </c>
      <c r="B486" s="69" t="s">
        <v>876</v>
      </c>
      <c r="C486" s="69" t="s">
        <v>877</v>
      </c>
      <c r="D486" s="69" t="str">
        <f t="shared" si="7"/>
        <v>Bwikara</v>
      </c>
      <c r="F486" s="69">
        <v>458</v>
      </c>
    </row>
    <row r="487" spans="1:6">
      <c r="A487" s="69" t="s">
        <v>879</v>
      </c>
      <c r="B487" s="69" t="s">
        <v>876</v>
      </c>
      <c r="C487" s="69" t="s">
        <v>877</v>
      </c>
      <c r="D487" s="69" t="str">
        <f t="shared" si="7"/>
        <v>Kabamba</v>
      </c>
      <c r="F487" s="69">
        <v>459</v>
      </c>
    </row>
    <row r="488" spans="1:6">
      <c r="A488" s="69" t="s">
        <v>876</v>
      </c>
      <c r="B488" s="69" t="s">
        <v>876</v>
      </c>
      <c r="C488" s="69" t="s">
        <v>877</v>
      </c>
      <c r="D488" s="69" t="str">
        <f t="shared" si="7"/>
        <v>Kagadi</v>
      </c>
      <c r="F488" s="69">
        <v>460</v>
      </c>
    </row>
    <row r="489" spans="1:6">
      <c r="A489" s="69" t="s">
        <v>880</v>
      </c>
      <c r="B489" s="69" t="s">
        <v>876</v>
      </c>
      <c r="C489" s="69" t="s">
        <v>877</v>
      </c>
      <c r="D489" s="69" t="str">
        <f t="shared" si="7"/>
        <v>Kagadi Town Council</v>
      </c>
      <c r="F489" s="69">
        <v>461</v>
      </c>
    </row>
    <row r="490" spans="1:6">
      <c r="A490" s="69" t="s">
        <v>881</v>
      </c>
      <c r="B490" s="69" t="s">
        <v>876</v>
      </c>
      <c r="C490" s="69" t="s">
        <v>877</v>
      </c>
      <c r="D490" s="69" t="str">
        <f t="shared" si="7"/>
        <v>Kiryanga</v>
      </c>
      <c r="F490" s="69">
        <v>462</v>
      </c>
    </row>
    <row r="491" spans="1:6">
      <c r="A491" s="69" t="s">
        <v>882</v>
      </c>
      <c r="B491" s="69" t="s">
        <v>876</v>
      </c>
      <c r="C491" s="69" t="s">
        <v>877</v>
      </c>
      <c r="D491" s="69" t="str">
        <f t="shared" si="7"/>
        <v>Kyakabadiima</v>
      </c>
      <c r="F491" s="69">
        <v>463</v>
      </c>
    </row>
    <row r="492" spans="1:6">
      <c r="A492" s="69" t="s">
        <v>883</v>
      </c>
      <c r="B492" s="69" t="s">
        <v>876</v>
      </c>
      <c r="C492" s="69" t="s">
        <v>877</v>
      </c>
      <c r="D492" s="69" t="str">
        <f t="shared" si="7"/>
        <v>Kyanaisoke</v>
      </c>
      <c r="F492" s="69">
        <v>464</v>
      </c>
    </row>
    <row r="493" spans="1:6">
      <c r="A493" s="69" t="s">
        <v>884</v>
      </c>
      <c r="B493" s="69" t="s">
        <v>876</v>
      </c>
      <c r="C493" s="69" t="s">
        <v>877</v>
      </c>
      <c r="D493" s="69" t="str">
        <f t="shared" si="7"/>
        <v>Kyaterekera</v>
      </c>
      <c r="F493" s="69">
        <v>465</v>
      </c>
    </row>
    <row r="494" spans="1:6">
      <c r="A494" s="69" t="s">
        <v>885</v>
      </c>
      <c r="B494" s="69" t="s">
        <v>876</v>
      </c>
      <c r="C494" s="69" t="s">
        <v>877</v>
      </c>
      <c r="D494" s="69" t="str">
        <f t="shared" si="7"/>
        <v>Kyenzige</v>
      </c>
      <c r="F494" s="69">
        <v>466</v>
      </c>
    </row>
    <row r="495" spans="1:6">
      <c r="A495" s="69" t="s">
        <v>886</v>
      </c>
      <c r="B495" s="69" t="s">
        <v>876</v>
      </c>
      <c r="C495" s="69" t="s">
        <v>877</v>
      </c>
      <c r="D495" s="69" t="str">
        <f t="shared" si="7"/>
        <v>Mabaale</v>
      </c>
      <c r="F495" s="69">
        <v>467</v>
      </c>
    </row>
    <row r="496" spans="1:6">
      <c r="A496" s="69" t="s">
        <v>887</v>
      </c>
      <c r="B496" s="69" t="s">
        <v>876</v>
      </c>
      <c r="C496" s="69" t="s">
        <v>877</v>
      </c>
      <c r="D496" s="69" t="str">
        <f t="shared" si="7"/>
        <v>Mpeefu</v>
      </c>
      <c r="F496" s="69">
        <v>468</v>
      </c>
    </row>
    <row r="497" spans="1:6">
      <c r="A497" s="69" t="s">
        <v>888</v>
      </c>
      <c r="B497" s="69" t="s">
        <v>876</v>
      </c>
      <c r="C497" s="69" t="s">
        <v>877</v>
      </c>
      <c r="D497" s="69" t="str">
        <f t="shared" si="7"/>
        <v>Muhorro</v>
      </c>
      <c r="F497" s="69">
        <v>469</v>
      </c>
    </row>
    <row r="498" spans="1:6">
      <c r="A498" s="69" t="s">
        <v>889</v>
      </c>
      <c r="B498" s="69" t="s">
        <v>876</v>
      </c>
      <c r="C498" s="69" t="s">
        <v>877</v>
      </c>
      <c r="D498" s="69" t="str">
        <f t="shared" si="7"/>
        <v>Muhorro Town Council</v>
      </c>
      <c r="F498" s="69">
        <v>470</v>
      </c>
    </row>
    <row r="499" spans="1:6">
      <c r="A499" s="69" t="s">
        <v>890</v>
      </c>
      <c r="B499" s="69" t="s">
        <v>876</v>
      </c>
      <c r="C499" s="69" t="s">
        <v>877</v>
      </c>
      <c r="D499" s="69" t="str">
        <f t="shared" si="7"/>
        <v>Ndaiga</v>
      </c>
      <c r="F499" s="69">
        <v>471</v>
      </c>
    </row>
    <row r="500" spans="1:6">
      <c r="A500" s="69" t="s">
        <v>891</v>
      </c>
      <c r="B500" s="69" t="s">
        <v>876</v>
      </c>
      <c r="C500" s="69" t="s">
        <v>877</v>
      </c>
      <c r="D500" s="69" t="str">
        <f t="shared" si="7"/>
        <v>Paacwa</v>
      </c>
      <c r="F500" s="69">
        <v>472</v>
      </c>
    </row>
    <row r="501" spans="1:6">
      <c r="A501" s="69" t="s">
        <v>892</v>
      </c>
      <c r="B501" s="69" t="s">
        <v>876</v>
      </c>
      <c r="C501" s="69" t="s">
        <v>877</v>
      </c>
      <c r="D501" s="69" t="str">
        <f t="shared" si="7"/>
        <v>Rugashari</v>
      </c>
      <c r="F501" s="69">
        <v>473</v>
      </c>
    </row>
    <row r="502" spans="1:6">
      <c r="A502" s="69" t="s">
        <v>893</v>
      </c>
      <c r="B502" s="69" t="s">
        <v>876</v>
      </c>
      <c r="C502" s="69" t="s">
        <v>877</v>
      </c>
      <c r="D502" s="69" t="str">
        <f t="shared" si="7"/>
        <v>Ruteete-Kagadi</v>
      </c>
      <c r="F502" s="69">
        <v>474</v>
      </c>
    </row>
    <row r="503" spans="1:6">
      <c r="A503" s="69" t="s">
        <v>894</v>
      </c>
      <c r="B503" s="69" t="s">
        <v>895</v>
      </c>
      <c r="C503" s="69" t="s">
        <v>896</v>
      </c>
      <c r="D503" s="69" t="str">
        <f t="shared" si="7"/>
        <v>Birembo</v>
      </c>
      <c r="F503" s="69">
        <v>475</v>
      </c>
    </row>
    <row r="504" spans="1:6">
      <c r="A504" s="69" t="s">
        <v>897</v>
      </c>
      <c r="B504" s="69" t="s">
        <v>895</v>
      </c>
      <c r="C504" s="69" t="s">
        <v>896</v>
      </c>
      <c r="D504" s="69" t="str">
        <f t="shared" si="7"/>
        <v>Bwanswa</v>
      </c>
      <c r="F504" s="69">
        <v>476</v>
      </c>
    </row>
    <row r="505" spans="1:6">
      <c r="A505" s="69" t="s">
        <v>898</v>
      </c>
      <c r="B505" s="69" t="s">
        <v>895</v>
      </c>
      <c r="C505" s="69" t="s">
        <v>896</v>
      </c>
      <c r="D505" s="69" t="str">
        <f t="shared" si="7"/>
        <v>Kakindo</v>
      </c>
      <c r="F505" s="69">
        <v>477</v>
      </c>
    </row>
    <row r="506" spans="1:6">
      <c r="A506" s="69" t="s">
        <v>899</v>
      </c>
      <c r="B506" s="69" t="s">
        <v>895</v>
      </c>
      <c r="C506" s="69" t="s">
        <v>896</v>
      </c>
      <c r="D506" s="69" t="str">
        <f t="shared" si="7"/>
        <v>Kakumiro Town Council</v>
      </c>
      <c r="F506" s="69">
        <v>478</v>
      </c>
    </row>
    <row r="507" spans="1:6">
      <c r="A507" s="69" t="s">
        <v>900</v>
      </c>
      <c r="B507" s="69" t="s">
        <v>895</v>
      </c>
      <c r="C507" s="69" t="s">
        <v>896</v>
      </c>
      <c r="D507" s="69" t="str">
        <f t="shared" si="7"/>
        <v>Kasambya-Kakumiro</v>
      </c>
      <c r="F507" s="69">
        <v>479</v>
      </c>
    </row>
    <row r="508" spans="1:6">
      <c r="A508" s="69" t="s">
        <v>901</v>
      </c>
      <c r="B508" s="69" t="s">
        <v>895</v>
      </c>
      <c r="C508" s="69" t="s">
        <v>896</v>
      </c>
      <c r="D508" s="69" t="str">
        <f t="shared" si="7"/>
        <v>Kikwaya</v>
      </c>
      <c r="F508" s="69">
        <v>480</v>
      </c>
    </row>
    <row r="509" spans="1:6">
      <c r="A509" s="69" t="s">
        <v>902</v>
      </c>
      <c r="B509" s="69" t="s">
        <v>895</v>
      </c>
      <c r="C509" s="69" t="s">
        <v>896</v>
      </c>
      <c r="D509" s="69" t="str">
        <f t="shared" si="7"/>
        <v>Kisiita</v>
      </c>
      <c r="F509" s="69">
        <v>481</v>
      </c>
    </row>
    <row r="510" spans="1:6">
      <c r="A510" s="69" t="s">
        <v>903</v>
      </c>
      <c r="B510" s="69" t="s">
        <v>895</v>
      </c>
      <c r="C510" s="69" t="s">
        <v>896</v>
      </c>
      <c r="D510" s="69" t="str">
        <f t="shared" si="7"/>
        <v>Kitaihuka</v>
      </c>
      <c r="F510" s="69">
        <v>482</v>
      </c>
    </row>
    <row r="511" spans="1:6">
      <c r="A511" s="69" t="s">
        <v>904</v>
      </c>
      <c r="B511" s="69" t="s">
        <v>895</v>
      </c>
      <c r="C511" s="69" t="s">
        <v>896</v>
      </c>
      <c r="D511" s="69" t="str">
        <f t="shared" si="7"/>
        <v>Mpasaana</v>
      </c>
      <c r="F511" s="69">
        <v>483</v>
      </c>
    </row>
    <row r="512" spans="1:6">
      <c r="A512" s="69" t="s">
        <v>905</v>
      </c>
      <c r="B512" s="69" t="s">
        <v>895</v>
      </c>
      <c r="C512" s="69" t="s">
        <v>896</v>
      </c>
      <c r="D512" s="69" t="str">
        <f t="shared" si="7"/>
        <v>Nalweyo</v>
      </c>
      <c r="F512" s="69">
        <v>484</v>
      </c>
    </row>
    <row r="513" spans="1:6">
      <c r="A513" s="69" t="s">
        <v>906</v>
      </c>
      <c r="B513" s="69" t="s">
        <v>895</v>
      </c>
      <c r="C513" s="69" t="s">
        <v>896</v>
      </c>
      <c r="D513" s="69" t="str">
        <f t="shared" si="7"/>
        <v>Nkooko</v>
      </c>
      <c r="F513" s="69">
        <v>485</v>
      </c>
    </row>
    <row r="514" spans="1:6">
      <c r="A514" s="69" t="s">
        <v>907</v>
      </c>
      <c r="B514" s="69" t="s">
        <v>908</v>
      </c>
      <c r="C514" s="69" t="s">
        <v>909</v>
      </c>
      <c r="D514" s="69" t="str">
        <f t="shared" ref="D514:D577" si="8">A514</f>
        <v>Bubeke</v>
      </c>
      <c r="F514" s="69">
        <v>486</v>
      </c>
    </row>
    <row r="515" spans="1:6">
      <c r="A515" s="69" t="s">
        <v>910</v>
      </c>
      <c r="B515" s="69" t="s">
        <v>908</v>
      </c>
      <c r="C515" s="69" t="s">
        <v>909</v>
      </c>
      <c r="D515" s="69" t="str">
        <f t="shared" si="8"/>
        <v>Bufumira</v>
      </c>
      <c r="F515" s="69">
        <v>487</v>
      </c>
    </row>
    <row r="516" spans="1:6">
      <c r="A516" s="69" t="s">
        <v>911</v>
      </c>
      <c r="B516" s="69" t="s">
        <v>908</v>
      </c>
      <c r="C516" s="69" t="s">
        <v>911</v>
      </c>
      <c r="D516" s="69" t="str">
        <f t="shared" si="8"/>
        <v>Bujumba</v>
      </c>
      <c r="F516" s="69">
        <v>488</v>
      </c>
    </row>
    <row r="517" spans="1:6">
      <c r="A517" s="69" t="s">
        <v>912</v>
      </c>
      <c r="B517" s="69" t="s">
        <v>908</v>
      </c>
      <c r="C517" s="69" t="s">
        <v>911</v>
      </c>
      <c r="D517" s="69" t="str">
        <f t="shared" si="8"/>
        <v>Kalangala Town Council</v>
      </c>
      <c r="F517" s="69">
        <v>489</v>
      </c>
    </row>
    <row r="518" spans="1:6">
      <c r="A518" s="69" t="s">
        <v>909</v>
      </c>
      <c r="B518" s="69" t="s">
        <v>908</v>
      </c>
      <c r="C518" s="69" t="s">
        <v>909</v>
      </c>
      <c r="D518" s="69" t="str">
        <f t="shared" si="8"/>
        <v>Kyamuswa</v>
      </c>
      <c r="F518" s="69">
        <v>490</v>
      </c>
    </row>
    <row r="519" spans="1:6">
      <c r="A519" s="69" t="s">
        <v>913</v>
      </c>
      <c r="B519" s="69" t="s">
        <v>908</v>
      </c>
      <c r="C519" s="69" t="s">
        <v>909</v>
      </c>
      <c r="D519" s="69" t="str">
        <f t="shared" si="8"/>
        <v>Mazinga</v>
      </c>
      <c r="F519" s="69">
        <v>491</v>
      </c>
    </row>
    <row r="520" spans="1:6">
      <c r="A520" s="69" t="s">
        <v>914</v>
      </c>
      <c r="B520" s="69" t="s">
        <v>908</v>
      </c>
      <c r="C520" s="69" t="s">
        <v>911</v>
      </c>
      <c r="D520" s="69" t="str">
        <f t="shared" si="8"/>
        <v>Mugoye</v>
      </c>
      <c r="F520" s="69">
        <v>492</v>
      </c>
    </row>
    <row r="521" spans="1:6">
      <c r="A521" s="69" t="s">
        <v>915</v>
      </c>
      <c r="B521" s="69" t="s">
        <v>916</v>
      </c>
      <c r="C521" s="69" t="s">
        <v>758</v>
      </c>
      <c r="D521" s="69" t="str">
        <f t="shared" si="8"/>
        <v>Budomero</v>
      </c>
      <c r="F521" s="69">
        <v>493</v>
      </c>
    </row>
    <row r="522" spans="1:6">
      <c r="A522" s="69" t="s">
        <v>917</v>
      </c>
      <c r="B522" s="69" t="s">
        <v>916</v>
      </c>
      <c r="C522" s="69" t="s">
        <v>758</v>
      </c>
      <c r="D522" s="69" t="str">
        <f t="shared" si="8"/>
        <v>Bukamba</v>
      </c>
      <c r="F522" s="69">
        <v>494</v>
      </c>
    </row>
    <row r="523" spans="1:6">
      <c r="A523" s="69" t="s">
        <v>918</v>
      </c>
      <c r="B523" s="69" t="s">
        <v>916</v>
      </c>
      <c r="C523" s="69" t="s">
        <v>758</v>
      </c>
      <c r="D523" s="69" t="str">
        <f t="shared" si="8"/>
        <v>Bumanya</v>
      </c>
      <c r="F523" s="69">
        <v>495</v>
      </c>
    </row>
    <row r="524" spans="1:6">
      <c r="A524" s="69" t="s">
        <v>919</v>
      </c>
      <c r="B524" s="69" t="s">
        <v>916</v>
      </c>
      <c r="C524" s="69" t="s">
        <v>758</v>
      </c>
      <c r="D524" s="69" t="str">
        <f t="shared" si="8"/>
        <v>Buyinda</v>
      </c>
      <c r="F524" s="69">
        <v>496</v>
      </c>
    </row>
    <row r="525" spans="1:6">
      <c r="A525" s="69" t="s">
        <v>920</v>
      </c>
      <c r="B525" s="69" t="s">
        <v>916</v>
      </c>
      <c r="C525" s="69" t="s">
        <v>758</v>
      </c>
      <c r="D525" s="69" t="str">
        <f t="shared" si="8"/>
        <v>Gadumire</v>
      </c>
      <c r="F525" s="69">
        <v>497</v>
      </c>
    </row>
    <row r="526" spans="1:6">
      <c r="A526" s="69" t="s">
        <v>921</v>
      </c>
      <c r="B526" s="69" t="s">
        <v>916</v>
      </c>
      <c r="C526" s="69" t="s">
        <v>758</v>
      </c>
      <c r="D526" s="69" t="str">
        <f t="shared" si="8"/>
        <v>Kaliro Town Council</v>
      </c>
      <c r="F526" s="69">
        <v>498</v>
      </c>
    </row>
    <row r="527" spans="1:6">
      <c r="A527" s="69" t="s">
        <v>922</v>
      </c>
      <c r="B527" s="69" t="s">
        <v>916</v>
      </c>
      <c r="C527" s="69" t="s">
        <v>758</v>
      </c>
      <c r="D527" s="69" t="str">
        <f t="shared" si="8"/>
        <v>Kasokwe</v>
      </c>
      <c r="F527" s="69">
        <v>499</v>
      </c>
    </row>
    <row r="528" spans="1:6">
      <c r="A528" s="69" t="s">
        <v>923</v>
      </c>
      <c r="B528" s="69" t="s">
        <v>916</v>
      </c>
      <c r="C528" s="69" t="s">
        <v>758</v>
      </c>
      <c r="D528" s="69" t="str">
        <f t="shared" si="8"/>
        <v>Kisinda</v>
      </c>
      <c r="F528" s="69">
        <v>500</v>
      </c>
    </row>
    <row r="529" spans="1:6">
      <c r="A529" s="69" t="s">
        <v>924</v>
      </c>
      <c r="B529" s="69" t="s">
        <v>916</v>
      </c>
      <c r="C529" s="69" t="s">
        <v>758</v>
      </c>
      <c r="D529" s="69" t="str">
        <f t="shared" si="8"/>
        <v>Namugongo-Kaliro</v>
      </c>
      <c r="F529" s="69">
        <v>501</v>
      </c>
    </row>
    <row r="530" spans="1:6">
      <c r="A530" s="69" t="s">
        <v>925</v>
      </c>
      <c r="B530" s="69" t="s">
        <v>916</v>
      </c>
      <c r="C530" s="69" t="s">
        <v>758</v>
      </c>
      <c r="D530" s="69" t="str">
        <f t="shared" si="8"/>
        <v>Namwiwa</v>
      </c>
      <c r="F530" s="69">
        <v>502</v>
      </c>
    </row>
    <row r="531" spans="1:6">
      <c r="A531" s="69" t="s">
        <v>926</v>
      </c>
      <c r="B531" s="69" t="s">
        <v>916</v>
      </c>
      <c r="C531" s="69" t="s">
        <v>758</v>
      </c>
      <c r="D531" s="69" t="str">
        <f t="shared" si="8"/>
        <v>Nansololo</v>
      </c>
      <c r="F531" s="69">
        <v>503</v>
      </c>
    </row>
    <row r="532" spans="1:6">
      <c r="A532" s="69" t="s">
        <v>927</v>
      </c>
      <c r="B532" s="69" t="s">
        <v>916</v>
      </c>
      <c r="C532" s="69" t="s">
        <v>758</v>
      </c>
      <c r="D532" s="69" t="str">
        <f t="shared" si="8"/>
        <v>Nawaikoke</v>
      </c>
      <c r="F532" s="69">
        <v>504</v>
      </c>
    </row>
    <row r="533" spans="1:6">
      <c r="A533" s="69" t="s">
        <v>928</v>
      </c>
      <c r="B533" s="69" t="s">
        <v>929</v>
      </c>
      <c r="C533" s="69" t="s">
        <v>929</v>
      </c>
      <c r="D533" s="69" t="str">
        <f t="shared" si="8"/>
        <v>Bukulula</v>
      </c>
      <c r="F533" s="69">
        <v>505</v>
      </c>
    </row>
    <row r="534" spans="1:6">
      <c r="A534" s="69" t="s">
        <v>929</v>
      </c>
      <c r="B534" s="69" t="s">
        <v>929</v>
      </c>
      <c r="C534" s="69" t="s">
        <v>929</v>
      </c>
      <c r="D534" s="69" t="str">
        <f t="shared" si="8"/>
        <v>Kalungu</v>
      </c>
      <c r="F534" s="69">
        <v>506</v>
      </c>
    </row>
    <row r="535" spans="1:6">
      <c r="A535" s="69" t="s">
        <v>930</v>
      </c>
      <c r="B535" s="69" t="s">
        <v>929</v>
      </c>
      <c r="C535" s="69" t="s">
        <v>929</v>
      </c>
      <c r="D535" s="69" t="str">
        <f t="shared" si="8"/>
        <v>Kalungu Town Council</v>
      </c>
      <c r="F535" s="69">
        <v>507</v>
      </c>
    </row>
    <row r="536" spans="1:6">
      <c r="A536" s="69" t="s">
        <v>931</v>
      </c>
      <c r="B536" s="69" t="s">
        <v>929</v>
      </c>
      <c r="C536" s="69" t="s">
        <v>929</v>
      </c>
      <c r="D536" s="69" t="str">
        <f t="shared" si="8"/>
        <v>Kyamulibwa</v>
      </c>
      <c r="F536" s="69">
        <v>508</v>
      </c>
    </row>
    <row r="537" spans="1:6">
      <c r="A537" s="69" t="s">
        <v>932</v>
      </c>
      <c r="B537" s="69" t="s">
        <v>929</v>
      </c>
      <c r="C537" s="69" t="s">
        <v>929</v>
      </c>
      <c r="D537" s="69" t="str">
        <f t="shared" si="8"/>
        <v>Kyamulibwa Town Council</v>
      </c>
      <c r="F537" s="69">
        <v>509</v>
      </c>
    </row>
    <row r="538" spans="1:6">
      <c r="A538" s="69" t="s">
        <v>933</v>
      </c>
      <c r="B538" s="69" t="s">
        <v>929</v>
      </c>
      <c r="C538" s="69" t="s">
        <v>929</v>
      </c>
      <c r="D538" s="69" t="str">
        <f t="shared" si="8"/>
        <v>Lukaya Town Council</v>
      </c>
      <c r="F538" s="69">
        <v>510</v>
      </c>
    </row>
    <row r="539" spans="1:6">
      <c r="A539" s="69" t="s">
        <v>934</v>
      </c>
      <c r="B539" s="69" t="s">
        <v>929</v>
      </c>
      <c r="C539" s="69" t="s">
        <v>929</v>
      </c>
      <c r="D539" s="69" t="str">
        <f t="shared" si="8"/>
        <v>Lwabenge</v>
      </c>
      <c r="F539" s="69">
        <v>511</v>
      </c>
    </row>
    <row r="540" spans="1:6">
      <c r="A540" s="69" t="s">
        <v>935</v>
      </c>
      <c r="B540" s="69" t="s">
        <v>936</v>
      </c>
      <c r="C540" s="69" t="s">
        <v>937</v>
      </c>
      <c r="D540" s="69" t="str">
        <f t="shared" si="8"/>
        <v>Banda</v>
      </c>
      <c r="E540" s="69" t="str">
        <f t="shared" ref="E540:E616" si="9">A540</f>
        <v>Banda</v>
      </c>
      <c r="F540" s="69">
        <v>512</v>
      </c>
    </row>
    <row r="541" spans="1:6">
      <c r="A541" s="69" t="s">
        <v>938</v>
      </c>
      <c r="B541" s="69" t="s">
        <v>936</v>
      </c>
      <c r="C541" s="69" t="s">
        <v>937</v>
      </c>
      <c r="D541" s="69" t="str">
        <f t="shared" si="8"/>
        <v>Bugolobi</v>
      </c>
      <c r="E541" s="69" t="str">
        <f t="shared" si="9"/>
        <v>Bugolobi</v>
      </c>
      <c r="F541" s="69">
        <v>513</v>
      </c>
    </row>
    <row r="542" spans="1:6">
      <c r="A542" s="69" t="s">
        <v>939</v>
      </c>
      <c r="B542" s="69" t="s">
        <v>936</v>
      </c>
      <c r="C542" s="69" t="s">
        <v>937</v>
      </c>
      <c r="D542" s="69" t="str">
        <f t="shared" si="8"/>
        <v>Bukasa</v>
      </c>
      <c r="E542" s="69" t="str">
        <f t="shared" si="9"/>
        <v>Bukasa</v>
      </c>
      <c r="F542" s="69">
        <v>514</v>
      </c>
    </row>
    <row r="543" spans="1:6">
      <c r="A543" s="69" t="s">
        <v>940</v>
      </c>
      <c r="B543" s="69" t="s">
        <v>936</v>
      </c>
      <c r="C543" s="69" t="s">
        <v>937</v>
      </c>
      <c r="D543" s="69" t="str">
        <f t="shared" si="8"/>
        <v>Bukesa</v>
      </c>
      <c r="E543" s="69" t="str">
        <f t="shared" si="9"/>
        <v>Bukesa</v>
      </c>
      <c r="F543" s="69">
        <v>515</v>
      </c>
    </row>
    <row r="544" spans="1:6">
      <c r="A544" s="69" t="s">
        <v>23</v>
      </c>
      <c r="B544" s="69" t="s">
        <v>936</v>
      </c>
      <c r="C544" s="69" t="s">
        <v>937</v>
      </c>
      <c r="D544" s="69" t="str">
        <f t="shared" si="8"/>
        <v>Bukoto</v>
      </c>
      <c r="E544" s="69" t="str">
        <f t="shared" si="9"/>
        <v>Bukoto</v>
      </c>
      <c r="F544" s="69">
        <v>516</v>
      </c>
    </row>
    <row r="545" spans="1:6">
      <c r="A545" s="69" t="s">
        <v>941</v>
      </c>
      <c r="B545" s="69" t="s">
        <v>936</v>
      </c>
      <c r="C545" s="69" t="s">
        <v>937</v>
      </c>
      <c r="D545" s="69" t="str">
        <f t="shared" si="8"/>
        <v>Busega</v>
      </c>
      <c r="E545" s="69" t="str">
        <f t="shared" si="9"/>
        <v>Busega</v>
      </c>
      <c r="F545" s="69">
        <v>517</v>
      </c>
    </row>
    <row r="546" spans="1:6">
      <c r="A546" s="69" t="s">
        <v>942</v>
      </c>
      <c r="B546" s="69" t="s">
        <v>936</v>
      </c>
      <c r="C546" s="69" t="s">
        <v>937</v>
      </c>
      <c r="D546" s="69" t="str">
        <f t="shared" si="8"/>
        <v>Butabika</v>
      </c>
      <c r="E546" s="69" t="str">
        <f t="shared" si="9"/>
        <v>Butabika</v>
      </c>
      <c r="F546" s="69">
        <v>518</v>
      </c>
    </row>
    <row r="547" spans="1:6">
      <c r="A547" s="69" t="s">
        <v>943</v>
      </c>
      <c r="B547" s="69" t="s">
        <v>936</v>
      </c>
      <c r="C547" s="69" t="s">
        <v>937</v>
      </c>
      <c r="D547" s="69" t="str">
        <f t="shared" si="8"/>
        <v>Buziga</v>
      </c>
      <c r="E547" s="69" t="str">
        <f t="shared" si="9"/>
        <v>Buziga</v>
      </c>
      <c r="F547" s="69">
        <v>519</v>
      </c>
    </row>
    <row r="548" spans="1:6">
      <c r="A548" s="69" t="s">
        <v>944</v>
      </c>
      <c r="B548" s="69" t="s">
        <v>936</v>
      </c>
      <c r="C548" s="69" t="s">
        <v>937</v>
      </c>
      <c r="D548" s="69" t="str">
        <f t="shared" si="8"/>
        <v>Bwaise</v>
      </c>
      <c r="E548" s="69" t="str">
        <f t="shared" si="9"/>
        <v>Bwaise</v>
      </c>
      <c r="F548" s="69">
        <v>520</v>
      </c>
    </row>
    <row r="549" spans="1:6">
      <c r="A549" s="69" t="s">
        <v>945</v>
      </c>
      <c r="B549" s="69" t="s">
        <v>936</v>
      </c>
      <c r="C549" s="69" t="s">
        <v>937</v>
      </c>
      <c r="D549" s="69" t="str">
        <f t="shared" si="8"/>
        <v>Civic Centre</v>
      </c>
      <c r="E549" s="69" t="str">
        <f t="shared" si="9"/>
        <v>Civic Centre</v>
      </c>
      <c r="F549" s="69">
        <v>521</v>
      </c>
    </row>
    <row r="550" spans="1:6">
      <c r="A550" s="69" t="s">
        <v>946</v>
      </c>
      <c r="B550" s="69" t="s">
        <v>936</v>
      </c>
      <c r="C550" s="69" t="s">
        <v>937</v>
      </c>
      <c r="D550" s="69" t="str">
        <f t="shared" si="8"/>
        <v xml:space="preserve">Kampala </v>
      </c>
      <c r="E550" s="69" t="str">
        <f t="shared" si="9"/>
        <v xml:space="preserve">Kampala </v>
      </c>
      <c r="F550" s="69">
        <v>521</v>
      </c>
    </row>
    <row r="551" spans="1:6">
      <c r="A551" s="69" t="s">
        <v>947</v>
      </c>
      <c r="D551" s="69" t="str">
        <f t="shared" si="8"/>
        <v>City centre</v>
      </c>
      <c r="F551" s="69">
        <v>521</v>
      </c>
    </row>
    <row r="552" spans="1:6">
      <c r="A552" s="69" t="s">
        <v>948</v>
      </c>
      <c r="D552" s="69" t="str">
        <f t="shared" si="8"/>
        <v>Clock tower</v>
      </c>
      <c r="F552" s="69">
        <v>521</v>
      </c>
    </row>
    <row r="553" spans="1:6">
      <c r="A553" s="69" t="s">
        <v>949</v>
      </c>
      <c r="D553" s="69" t="str">
        <f t="shared" si="8"/>
        <v>Shoprite</v>
      </c>
      <c r="F553" s="69">
        <v>521</v>
      </c>
    </row>
    <row r="554" spans="1:6">
      <c r="A554" s="69" t="s">
        <v>950</v>
      </c>
      <c r="D554" s="69" t="str">
        <f t="shared" si="8"/>
        <v>Ben kiwanuka</v>
      </c>
      <c r="F554" s="69">
        <v>521</v>
      </c>
    </row>
    <row r="555" spans="1:6">
      <c r="A555" s="69" t="s">
        <v>951</v>
      </c>
      <c r="D555" s="69" t="str">
        <f t="shared" si="8"/>
        <v>Central</v>
      </c>
      <c r="F555" s="69">
        <v>521</v>
      </c>
    </row>
    <row r="556" spans="1:6">
      <c r="A556" s="69" t="s">
        <v>952</v>
      </c>
      <c r="D556" s="69" t="str">
        <f t="shared" si="8"/>
        <v>Zai plaza</v>
      </c>
      <c r="F556" s="69">
        <v>521</v>
      </c>
    </row>
    <row r="557" spans="1:6">
      <c r="A557" s="69" t="s">
        <v>953</v>
      </c>
      <c r="D557" s="69" t="str">
        <f t="shared" si="8"/>
        <v>Old taxi park</v>
      </c>
      <c r="F557" s="69">
        <v>521</v>
      </c>
    </row>
    <row r="558" spans="1:6">
      <c r="A558" s="69" t="s">
        <v>954</v>
      </c>
      <c r="D558" s="69" t="str">
        <f t="shared" si="8"/>
        <v>OLDPARK</v>
      </c>
      <c r="F558" s="69">
        <v>521</v>
      </c>
    </row>
    <row r="559" spans="1:6">
      <c r="A559" s="69" t="s">
        <v>955</v>
      </c>
      <c r="D559" s="69" t="str">
        <f t="shared" si="8"/>
        <v>Kikuubo</v>
      </c>
      <c r="F559" s="69">
        <v>521</v>
      </c>
    </row>
    <row r="560" spans="1:6">
      <c r="A560" s="69" t="s">
        <v>956</v>
      </c>
      <c r="D560" s="69" t="str">
        <f t="shared" si="8"/>
        <v>Commercial plaza</v>
      </c>
      <c r="F560" s="69">
        <v>521</v>
      </c>
    </row>
    <row r="561" spans="1:6">
      <c r="A561" s="69" t="s">
        <v>957</v>
      </c>
      <c r="D561" s="69" t="str">
        <f t="shared" si="8"/>
        <v>William street</v>
      </c>
      <c r="F561" s="69">
        <v>521</v>
      </c>
    </row>
    <row r="562" spans="1:6">
      <c r="A562" s="69" t="s">
        <v>958</v>
      </c>
      <c r="D562" s="69" t="str">
        <f t="shared" si="8"/>
        <v>Africana</v>
      </c>
      <c r="F562" s="69">
        <v>521</v>
      </c>
    </row>
    <row r="563" spans="1:6">
      <c r="A563" s="69" t="s">
        <v>959</v>
      </c>
      <c r="D563" s="69" t="str">
        <f t="shared" si="8"/>
        <v>City parents</v>
      </c>
      <c r="F563" s="69">
        <v>521</v>
      </c>
    </row>
    <row r="564" spans="1:6">
      <c r="A564" s="69" t="s">
        <v>960</v>
      </c>
      <c r="D564" s="69" t="str">
        <f t="shared" si="8"/>
        <v>Mega supermarket</v>
      </c>
      <c r="F564" s="69">
        <v>521</v>
      </c>
    </row>
    <row r="565" spans="1:6">
      <c r="A565" s="69" t="s">
        <v>961</v>
      </c>
      <c r="D565" s="69" t="str">
        <f t="shared" si="8"/>
        <v>Sir Apollo</v>
      </c>
      <c r="F565" s="69">
        <v>521</v>
      </c>
    </row>
    <row r="566" spans="1:6">
      <c r="A566" s="69" t="s">
        <v>962</v>
      </c>
      <c r="D566" s="69" t="str">
        <f t="shared" si="8"/>
        <v>City square</v>
      </c>
      <c r="F566" s="69">
        <v>521</v>
      </c>
    </row>
    <row r="567" spans="1:6">
      <c r="A567" s="69" t="s">
        <v>963</v>
      </c>
      <c r="D567" s="69" t="str">
        <f t="shared" si="8"/>
        <v>Bank of Baroda</v>
      </c>
      <c r="F567" s="69">
        <v>521</v>
      </c>
    </row>
    <row r="568" spans="1:6">
      <c r="A568" s="69" t="s">
        <v>964</v>
      </c>
      <c r="D568" s="69" t="str">
        <f t="shared" si="8"/>
        <v>Kafumbe road</v>
      </c>
      <c r="F568" s="69">
        <v>521</v>
      </c>
    </row>
    <row r="569" spans="1:6">
      <c r="A569" s="69" t="s">
        <v>965</v>
      </c>
      <c r="D569" s="69" t="str">
        <f t="shared" si="8"/>
        <v xml:space="preserve">Speke road </v>
      </c>
      <c r="F569" s="69">
        <v>521</v>
      </c>
    </row>
    <row r="570" spans="1:6">
      <c r="A570" s="69" t="s">
        <v>966</v>
      </c>
      <c r="D570" s="69" t="str">
        <f t="shared" si="8"/>
        <v>Nassa</v>
      </c>
      <c r="F570" s="69">
        <v>521</v>
      </c>
    </row>
    <row r="571" spans="1:6">
      <c r="A571" s="69" t="s">
        <v>967</v>
      </c>
      <c r="D571" s="69" t="str">
        <f t="shared" si="8"/>
        <v>Nasser</v>
      </c>
      <c r="F571" s="69">
        <v>521</v>
      </c>
    </row>
    <row r="572" spans="1:6">
      <c r="A572" s="69" t="s">
        <v>968</v>
      </c>
      <c r="D572" s="69" t="str">
        <f t="shared" si="8"/>
        <v>La bonita</v>
      </c>
      <c r="F572" s="69">
        <v>521</v>
      </c>
    </row>
    <row r="573" spans="1:6">
      <c r="A573" s="69" t="s">
        <v>969</v>
      </c>
      <c r="D573" s="69" t="str">
        <f t="shared" si="8"/>
        <v>Magistrate court</v>
      </c>
      <c r="F573" s="69">
        <v>521</v>
      </c>
    </row>
    <row r="574" spans="1:6">
      <c r="A574" s="69" t="s">
        <v>970</v>
      </c>
      <c r="D574" s="69" t="str">
        <f t="shared" si="8"/>
        <v>Jinja road</v>
      </c>
      <c r="F574" s="69">
        <v>521</v>
      </c>
    </row>
    <row r="575" spans="1:6">
      <c r="A575" s="69" t="s">
        <v>971</v>
      </c>
      <c r="D575" s="69" t="str">
        <f t="shared" si="8"/>
        <v>New taxi park</v>
      </c>
      <c r="F575" s="69">
        <v>521</v>
      </c>
    </row>
    <row r="576" spans="1:6">
      <c r="A576" s="69" t="s">
        <v>972</v>
      </c>
      <c r="D576" s="69" t="str">
        <f t="shared" si="8"/>
        <v>NEWTAXI PARK</v>
      </c>
      <c r="F576" s="69">
        <v>521</v>
      </c>
    </row>
    <row r="577" spans="1:6">
      <c r="A577" s="69" t="s">
        <v>973</v>
      </c>
      <c r="D577" s="69" t="str">
        <f t="shared" si="8"/>
        <v>Mini price</v>
      </c>
      <c r="F577" s="69">
        <v>521</v>
      </c>
    </row>
    <row r="578" spans="1:6">
      <c r="A578" s="69" t="s">
        <v>936</v>
      </c>
      <c r="D578" s="69" t="str">
        <f t="shared" ref="D578:D641" si="10">A578</f>
        <v>Kampala</v>
      </c>
      <c r="E578" s="69" t="str">
        <f>A578</f>
        <v>Kampala</v>
      </c>
      <c r="F578" s="69">
        <v>521</v>
      </c>
    </row>
    <row r="579" spans="1:6">
      <c r="A579" s="69" t="s">
        <v>974</v>
      </c>
      <c r="D579" s="69" t="str">
        <f t="shared" si="10"/>
        <v>Gaba</v>
      </c>
      <c r="E579" s="69" t="str">
        <f>A579</f>
        <v>Gaba</v>
      </c>
      <c r="F579" s="69">
        <v>521</v>
      </c>
    </row>
    <row r="580" spans="1:6">
      <c r="A580" s="69" t="s">
        <v>975</v>
      </c>
      <c r="D580" s="69" t="str">
        <f t="shared" si="10"/>
        <v>Munyonyo</v>
      </c>
      <c r="E580" s="69" t="str">
        <f>A580</f>
        <v>Munyonyo</v>
      </c>
      <c r="F580" s="69">
        <v>521</v>
      </c>
    </row>
    <row r="581" spans="1:6">
      <c r="A581" s="69" t="s">
        <v>976</v>
      </c>
      <c r="D581" s="69" t="str">
        <f t="shared" si="10"/>
        <v>Busaabala</v>
      </c>
      <c r="F581" s="69">
        <v>521</v>
      </c>
    </row>
    <row r="582" spans="1:6">
      <c r="A582" s="69" t="s">
        <v>977</v>
      </c>
      <c r="D582" s="69" t="str">
        <f t="shared" si="10"/>
        <v>Busabaala</v>
      </c>
      <c r="F582" s="69">
        <v>521</v>
      </c>
    </row>
    <row r="583" spans="1:6">
      <c r="A583" s="69" t="s">
        <v>978</v>
      </c>
      <c r="D583" s="69" t="str">
        <f t="shared" si="10"/>
        <v>BUSABALA</v>
      </c>
      <c r="F583" s="69">
        <v>521</v>
      </c>
    </row>
    <row r="584" spans="1:6">
      <c r="A584" s="69" t="s">
        <v>979</v>
      </c>
      <c r="D584" s="69" t="str">
        <f t="shared" si="10"/>
        <v>Kazi</v>
      </c>
      <c r="F584" s="69">
        <v>521</v>
      </c>
    </row>
    <row r="585" spans="1:6">
      <c r="A585" s="69" t="s">
        <v>980</v>
      </c>
      <c r="B585" s="69" t="s">
        <v>936</v>
      </c>
      <c r="C585" s="69" t="s">
        <v>937</v>
      </c>
      <c r="D585" s="69" t="str">
        <f t="shared" si="10"/>
        <v>Ggaba</v>
      </c>
      <c r="E585" s="69" t="str">
        <f t="shared" si="9"/>
        <v>Ggaba</v>
      </c>
      <c r="F585" s="69">
        <v>522</v>
      </c>
    </row>
    <row r="586" spans="1:6">
      <c r="A586" s="69" t="s">
        <v>981</v>
      </c>
      <c r="D586" s="69" t="str">
        <f t="shared" si="10"/>
        <v xml:space="preserve">Bunga  </v>
      </c>
      <c r="F586" s="69">
        <v>522</v>
      </c>
    </row>
    <row r="587" spans="1:6">
      <c r="A587" s="69" t="s">
        <v>982</v>
      </c>
      <c r="D587" s="69" t="str">
        <f t="shared" si="10"/>
        <v>BUNGA</v>
      </c>
      <c r="F587" s="69">
        <v>522</v>
      </c>
    </row>
    <row r="588" spans="1:6">
      <c r="A588" s="69" t="s">
        <v>983</v>
      </c>
      <c r="D588" s="69" t="str">
        <f t="shared" si="10"/>
        <v>Kiruddu</v>
      </c>
      <c r="F588" s="69">
        <v>522</v>
      </c>
    </row>
    <row r="589" spans="1:6">
      <c r="A589" s="69" t="s">
        <v>984</v>
      </c>
      <c r="D589" s="69" t="str">
        <f t="shared" si="10"/>
        <v>Kirundu</v>
      </c>
      <c r="F589" s="69">
        <v>522</v>
      </c>
    </row>
    <row r="590" spans="1:6">
      <c r="A590" s="69" t="s">
        <v>985</v>
      </c>
      <c r="D590" s="69" t="str">
        <f t="shared" si="10"/>
        <v>Kirudu</v>
      </c>
      <c r="F590" s="69">
        <v>522</v>
      </c>
    </row>
    <row r="591" spans="1:6">
      <c r="A591" s="69" t="s">
        <v>986</v>
      </c>
      <c r="B591" s="69" t="s">
        <v>936</v>
      </c>
      <c r="C591" s="69" t="s">
        <v>937</v>
      </c>
      <c r="D591" s="69" t="str">
        <f t="shared" si="10"/>
        <v>Industrial Area</v>
      </c>
      <c r="E591" s="69" t="str">
        <f t="shared" si="9"/>
        <v>Industrial Area</v>
      </c>
      <c r="F591" s="69">
        <v>523</v>
      </c>
    </row>
    <row r="592" spans="1:6">
      <c r="A592" s="69" t="s">
        <v>987</v>
      </c>
      <c r="B592" s="69" t="s">
        <v>936</v>
      </c>
      <c r="C592" s="69" t="s">
        <v>937</v>
      </c>
      <c r="D592" s="69" t="str">
        <f t="shared" si="10"/>
        <v>Itek</v>
      </c>
      <c r="E592" s="69" t="str">
        <f t="shared" si="9"/>
        <v>Itek</v>
      </c>
      <c r="F592" s="69">
        <v>524</v>
      </c>
    </row>
    <row r="593" spans="1:6">
      <c r="A593" s="69" t="s">
        <v>988</v>
      </c>
      <c r="B593" s="69" t="s">
        <v>936</v>
      </c>
      <c r="C593" s="69" t="s">
        <v>937</v>
      </c>
      <c r="D593" s="69" t="str">
        <f t="shared" si="10"/>
        <v>Kabalagala</v>
      </c>
      <c r="E593" s="69" t="str">
        <f t="shared" si="9"/>
        <v>Kabalagala</v>
      </c>
      <c r="F593" s="69">
        <v>525</v>
      </c>
    </row>
    <row r="594" spans="1:6">
      <c r="A594" s="69" t="s">
        <v>989</v>
      </c>
      <c r="D594" s="69" t="str">
        <f t="shared" si="10"/>
        <v>Muyenga</v>
      </c>
      <c r="F594" s="69">
        <v>525</v>
      </c>
    </row>
    <row r="595" spans="1:6">
      <c r="A595" s="69" t="s">
        <v>990</v>
      </c>
      <c r="B595" s="69" t="s">
        <v>936</v>
      </c>
      <c r="C595" s="69" t="s">
        <v>937</v>
      </c>
      <c r="D595" s="69" t="str">
        <f t="shared" si="10"/>
        <v>Kabowa</v>
      </c>
      <c r="E595" s="69" t="str">
        <f t="shared" si="9"/>
        <v>Kabowa</v>
      </c>
      <c r="F595" s="69">
        <v>526</v>
      </c>
    </row>
    <row r="596" spans="1:6">
      <c r="A596" s="69" t="s">
        <v>991</v>
      </c>
      <c r="D596" s="69" t="str">
        <f t="shared" si="10"/>
        <v>Wankulukuku</v>
      </c>
      <c r="E596" s="69" t="str">
        <f t="shared" si="9"/>
        <v>Wankulukuku</v>
      </c>
      <c r="F596" s="69">
        <v>526</v>
      </c>
    </row>
    <row r="597" spans="1:6">
      <c r="A597" s="69" t="s">
        <v>992</v>
      </c>
      <c r="B597" s="69" t="s">
        <v>936</v>
      </c>
      <c r="C597" s="69" t="s">
        <v>937</v>
      </c>
      <c r="D597" s="69" t="str">
        <f t="shared" si="10"/>
        <v>Kagugube</v>
      </c>
      <c r="E597" s="69" t="str">
        <f t="shared" si="9"/>
        <v>Kagugube</v>
      </c>
      <c r="F597" s="69">
        <v>527</v>
      </c>
    </row>
    <row r="598" spans="1:6">
      <c r="A598" s="69" t="s">
        <v>993</v>
      </c>
      <c r="B598" s="69" t="s">
        <v>936</v>
      </c>
      <c r="C598" s="69" t="s">
        <v>937</v>
      </c>
      <c r="D598" s="69" t="str">
        <f t="shared" si="10"/>
        <v>Kamwokya</v>
      </c>
      <c r="E598" s="69" t="str">
        <f t="shared" si="9"/>
        <v>Kamwokya</v>
      </c>
      <c r="F598" s="69">
        <v>528</v>
      </c>
    </row>
    <row r="599" spans="1:6">
      <c r="A599" s="69" t="s">
        <v>994</v>
      </c>
      <c r="B599" s="69" t="s">
        <v>936</v>
      </c>
      <c r="C599" s="69" t="s">
        <v>937</v>
      </c>
      <c r="D599" s="69" t="str">
        <f t="shared" si="10"/>
        <v>Kansanga</v>
      </c>
      <c r="E599" s="69" t="str">
        <f t="shared" si="9"/>
        <v>Kansanga</v>
      </c>
      <c r="F599" s="69">
        <v>529</v>
      </c>
    </row>
    <row r="600" spans="1:6">
      <c r="A600" s="69" t="s">
        <v>995</v>
      </c>
      <c r="B600" s="69" t="s">
        <v>936</v>
      </c>
      <c r="C600" s="69" t="s">
        <v>937</v>
      </c>
      <c r="D600" s="69" t="str">
        <f t="shared" si="10"/>
        <v>Kanyanya</v>
      </c>
      <c r="E600" s="69" t="str">
        <f t="shared" si="9"/>
        <v>Kanyanya</v>
      </c>
      <c r="F600" s="69">
        <v>530</v>
      </c>
    </row>
    <row r="601" spans="1:6">
      <c r="A601" s="69" t="s">
        <v>996</v>
      </c>
      <c r="B601" s="69" t="s">
        <v>936</v>
      </c>
      <c r="C601" s="69" t="s">
        <v>937</v>
      </c>
      <c r="D601" s="69" t="str">
        <f t="shared" si="10"/>
        <v>Kasubi</v>
      </c>
      <c r="E601" s="69" t="str">
        <f t="shared" si="9"/>
        <v>Kasubi</v>
      </c>
      <c r="F601" s="69">
        <v>531</v>
      </c>
    </row>
    <row r="602" spans="1:6">
      <c r="A602" s="69" t="s">
        <v>997</v>
      </c>
      <c r="B602" s="69" t="s">
        <v>936</v>
      </c>
      <c r="C602" s="69" t="s">
        <v>937</v>
      </c>
      <c r="D602" s="69" t="str">
        <f t="shared" si="10"/>
        <v>Katwe</v>
      </c>
      <c r="E602" s="69" t="str">
        <f t="shared" si="9"/>
        <v>Katwe</v>
      </c>
      <c r="F602" s="69">
        <v>532</v>
      </c>
    </row>
    <row r="603" spans="1:6">
      <c r="A603" s="69" t="s">
        <v>998</v>
      </c>
      <c r="D603" s="69" t="str">
        <f t="shared" si="10"/>
        <v>KABUSU</v>
      </c>
      <c r="F603" s="69">
        <v>532</v>
      </c>
    </row>
    <row r="604" spans="1:6">
      <c r="A604" s="69" t="s">
        <v>999</v>
      </c>
      <c r="B604" s="69" t="s">
        <v>936</v>
      </c>
      <c r="C604" s="69" t="s">
        <v>937</v>
      </c>
      <c r="D604" s="69" t="str">
        <f t="shared" si="10"/>
        <v>Kawempe</v>
      </c>
      <c r="E604" s="69" t="str">
        <f t="shared" si="9"/>
        <v>Kawempe</v>
      </c>
      <c r="F604" s="69">
        <v>533</v>
      </c>
    </row>
    <row r="605" spans="1:6">
      <c r="A605" s="69" t="s">
        <v>1000</v>
      </c>
      <c r="B605" s="69" t="s">
        <v>936</v>
      </c>
      <c r="C605" s="69" t="s">
        <v>937</v>
      </c>
      <c r="D605" s="69" t="str">
        <f t="shared" si="10"/>
        <v>Kazo Angola</v>
      </c>
      <c r="E605" s="69" t="str">
        <f t="shared" si="9"/>
        <v>Kazo Angola</v>
      </c>
      <c r="F605" s="69">
        <v>534</v>
      </c>
    </row>
    <row r="606" spans="1:6">
      <c r="A606" s="69" t="s">
        <v>1001</v>
      </c>
      <c r="B606" s="69" t="s">
        <v>936</v>
      </c>
      <c r="C606" s="69" t="s">
        <v>937</v>
      </c>
      <c r="D606" s="69" t="str">
        <f t="shared" si="10"/>
        <v>Kibuli</v>
      </c>
      <c r="E606" s="69" t="str">
        <f t="shared" si="9"/>
        <v>Kibuli</v>
      </c>
      <c r="F606" s="69">
        <v>535</v>
      </c>
    </row>
    <row r="607" spans="1:6">
      <c r="A607" s="69" t="s">
        <v>1002</v>
      </c>
      <c r="B607" s="69" t="s">
        <v>936</v>
      </c>
      <c r="C607" s="69" t="s">
        <v>937</v>
      </c>
      <c r="D607" s="69" t="str">
        <f t="shared" si="10"/>
        <v>Kibuye</v>
      </c>
      <c r="E607" s="69" t="str">
        <f t="shared" si="9"/>
        <v>Kibuye</v>
      </c>
      <c r="F607" s="69">
        <v>536</v>
      </c>
    </row>
    <row r="608" spans="1:6">
      <c r="A608" s="69" t="s">
        <v>1003</v>
      </c>
      <c r="D608" s="69" t="str">
        <f t="shared" si="10"/>
        <v>KOBIL</v>
      </c>
      <c r="F608" s="69">
        <v>536</v>
      </c>
    </row>
    <row r="609" spans="1:6">
      <c r="A609" s="69" t="s">
        <v>1004</v>
      </c>
      <c r="B609" s="69" t="s">
        <v>936</v>
      </c>
      <c r="C609" s="69" t="s">
        <v>937</v>
      </c>
      <c r="D609" s="69" t="str">
        <f t="shared" si="10"/>
        <v>Kikaaya</v>
      </c>
      <c r="E609" s="69" t="str">
        <f t="shared" si="9"/>
        <v>Kikaaya</v>
      </c>
      <c r="F609" s="69">
        <v>537</v>
      </c>
    </row>
    <row r="610" spans="1:6">
      <c r="A610" s="69" t="s">
        <v>1005</v>
      </c>
      <c r="B610" s="69" t="s">
        <v>936</v>
      </c>
      <c r="C610" s="69" t="s">
        <v>937</v>
      </c>
      <c r="D610" s="69" t="str">
        <f t="shared" si="10"/>
        <v xml:space="preserve">Kisenyi </v>
      </c>
      <c r="E610" s="69" t="str">
        <f t="shared" si="9"/>
        <v xml:space="preserve">Kisenyi </v>
      </c>
      <c r="F610" s="69">
        <v>538</v>
      </c>
    </row>
    <row r="611" spans="1:6">
      <c r="A611" s="69" t="s">
        <v>53</v>
      </c>
      <c r="D611" s="69" t="str">
        <f t="shared" si="10"/>
        <v>Kisenyi</v>
      </c>
      <c r="F611" s="69">
        <v>538</v>
      </c>
    </row>
    <row r="612" spans="1:6">
      <c r="A612" s="69" t="s">
        <v>1006</v>
      </c>
      <c r="B612" s="69" t="s">
        <v>936</v>
      </c>
      <c r="C612" s="69" t="s">
        <v>937</v>
      </c>
      <c r="D612" s="69" t="str">
        <f t="shared" si="10"/>
        <v>Kisugu</v>
      </c>
      <c r="E612" s="69" t="str">
        <f t="shared" si="9"/>
        <v>Kisugu</v>
      </c>
      <c r="F612" s="69">
        <v>539</v>
      </c>
    </row>
    <row r="613" spans="1:6">
      <c r="A613" s="69" t="s">
        <v>1007</v>
      </c>
      <c r="B613" s="69" t="s">
        <v>936</v>
      </c>
      <c r="C613" s="69" t="s">
        <v>937</v>
      </c>
      <c r="D613" s="69" t="str">
        <f t="shared" si="10"/>
        <v>Kiswa</v>
      </c>
      <c r="E613" s="69" t="str">
        <f t="shared" si="9"/>
        <v>Kiswa</v>
      </c>
      <c r="F613" s="69">
        <v>540</v>
      </c>
    </row>
    <row r="614" spans="1:6">
      <c r="A614" s="69" t="s">
        <v>1008</v>
      </c>
      <c r="B614" s="69" t="s">
        <v>936</v>
      </c>
      <c r="C614" s="69" t="s">
        <v>937</v>
      </c>
      <c r="D614" s="69" t="str">
        <f t="shared" si="10"/>
        <v>Kiwatule</v>
      </c>
      <c r="E614" s="69" t="str">
        <f t="shared" si="9"/>
        <v>Kiwatule</v>
      </c>
      <c r="F614" s="69">
        <v>541</v>
      </c>
    </row>
    <row r="615" spans="1:6">
      <c r="A615" s="69" t="s">
        <v>1009</v>
      </c>
      <c r="B615" s="69" t="s">
        <v>936</v>
      </c>
      <c r="C615" s="69" t="s">
        <v>937</v>
      </c>
      <c r="D615" s="69" t="str">
        <f t="shared" si="10"/>
        <v>Kololo</v>
      </c>
      <c r="E615" s="69" t="str">
        <f t="shared" si="9"/>
        <v>Kololo</v>
      </c>
      <c r="F615" s="69">
        <v>542</v>
      </c>
    </row>
    <row r="616" spans="1:6">
      <c r="A616" s="69" t="s">
        <v>1010</v>
      </c>
      <c r="B616" s="69" t="s">
        <v>936</v>
      </c>
      <c r="C616" s="69" t="s">
        <v>937</v>
      </c>
      <c r="D616" s="69" t="str">
        <f t="shared" si="10"/>
        <v>Komamboga</v>
      </c>
      <c r="E616" s="69" t="str">
        <f t="shared" si="9"/>
        <v>Komamboga</v>
      </c>
      <c r="F616" s="69">
        <v>543</v>
      </c>
    </row>
    <row r="617" spans="1:6">
      <c r="A617" s="69" t="s">
        <v>1011</v>
      </c>
      <c r="B617" s="69" t="s">
        <v>936</v>
      </c>
      <c r="C617" s="69" t="s">
        <v>937</v>
      </c>
      <c r="D617" s="69" t="str">
        <f t="shared" si="10"/>
        <v>Kyambogo</v>
      </c>
      <c r="E617" s="69" t="str">
        <f t="shared" ref="E617:E677" si="11">A617</f>
        <v>Kyambogo</v>
      </c>
      <c r="F617" s="69">
        <v>544</v>
      </c>
    </row>
    <row r="618" spans="1:6">
      <c r="A618" s="69" t="s">
        <v>1012</v>
      </c>
      <c r="B618" s="69" t="s">
        <v>936</v>
      </c>
      <c r="C618" s="69" t="s">
        <v>937</v>
      </c>
      <c r="D618" s="69" t="str">
        <f t="shared" si="10"/>
        <v>Kyanja</v>
      </c>
      <c r="E618" s="69" t="str">
        <f t="shared" si="11"/>
        <v>Kyanja</v>
      </c>
      <c r="F618" s="69">
        <v>545</v>
      </c>
    </row>
    <row r="619" spans="1:6">
      <c r="A619" s="69" t="s">
        <v>1013</v>
      </c>
      <c r="B619" s="69" t="s">
        <v>936</v>
      </c>
      <c r="C619" s="69" t="s">
        <v>937</v>
      </c>
      <c r="D619" s="69" t="str">
        <f t="shared" si="10"/>
        <v>Kyebando</v>
      </c>
      <c r="E619" s="69" t="str">
        <f t="shared" si="11"/>
        <v>Kyebando</v>
      </c>
      <c r="F619" s="69">
        <v>546</v>
      </c>
    </row>
    <row r="620" spans="1:6">
      <c r="A620" s="69" t="s">
        <v>1014</v>
      </c>
      <c r="D620" s="69" t="str">
        <f t="shared" si="10"/>
        <v>Kalerwe</v>
      </c>
      <c r="F620" s="69">
        <v>546</v>
      </c>
    </row>
    <row r="621" spans="1:6">
      <c r="A621" s="69" t="s">
        <v>1015</v>
      </c>
      <c r="B621" s="69" t="s">
        <v>936</v>
      </c>
      <c r="C621" s="69" t="s">
        <v>937</v>
      </c>
      <c r="D621" s="69" t="str">
        <f t="shared" si="10"/>
        <v>Lubaga</v>
      </c>
      <c r="E621" s="69" t="str">
        <f t="shared" si="11"/>
        <v>Lubaga</v>
      </c>
      <c r="F621" s="69">
        <v>547</v>
      </c>
    </row>
    <row r="622" spans="1:6">
      <c r="A622" s="69" t="s">
        <v>1016</v>
      </c>
      <c r="D622" s="69" t="str">
        <f t="shared" si="10"/>
        <v>Rubaga</v>
      </c>
      <c r="E622" s="69" t="str">
        <f t="shared" si="11"/>
        <v>Rubaga</v>
      </c>
      <c r="F622" s="69">
        <v>547</v>
      </c>
    </row>
    <row r="623" spans="1:6">
      <c r="A623" s="69" t="s">
        <v>696</v>
      </c>
      <c r="B623" s="69" t="s">
        <v>936</v>
      </c>
      <c r="C623" s="69" t="s">
        <v>937</v>
      </c>
      <c r="D623" s="69" t="str">
        <f t="shared" si="10"/>
        <v>Lubya</v>
      </c>
      <c r="E623" s="69" t="str">
        <f t="shared" si="11"/>
        <v>Lubya</v>
      </c>
      <c r="F623" s="69">
        <v>548</v>
      </c>
    </row>
    <row r="624" spans="1:6">
      <c r="A624" s="69" t="s">
        <v>1017</v>
      </c>
      <c r="B624" s="69" t="s">
        <v>936</v>
      </c>
      <c r="C624" s="69" t="s">
        <v>937</v>
      </c>
      <c r="D624" s="69" t="str">
        <f t="shared" si="10"/>
        <v>Lukuli</v>
      </c>
      <c r="E624" s="69" t="str">
        <f t="shared" si="11"/>
        <v>Lukuli</v>
      </c>
      <c r="F624" s="69">
        <v>549</v>
      </c>
    </row>
    <row r="625" spans="1:6">
      <c r="A625" s="69" t="s">
        <v>1018</v>
      </c>
      <c r="B625" s="69" t="s">
        <v>936</v>
      </c>
      <c r="C625" s="69" t="s">
        <v>937</v>
      </c>
      <c r="D625" s="69" t="str">
        <f t="shared" si="10"/>
        <v>Lungujja</v>
      </c>
      <c r="E625" s="69" t="str">
        <f t="shared" si="11"/>
        <v>Lungujja</v>
      </c>
      <c r="F625" s="69">
        <v>550</v>
      </c>
    </row>
    <row r="626" spans="1:6">
      <c r="A626" s="69" t="s">
        <v>1019</v>
      </c>
      <c r="B626" s="69" t="s">
        <v>936</v>
      </c>
      <c r="C626" s="69" t="s">
        <v>937</v>
      </c>
      <c r="D626" s="69" t="str">
        <f t="shared" si="10"/>
        <v>Luwafu</v>
      </c>
      <c r="E626" s="69" t="str">
        <f t="shared" si="11"/>
        <v>Luwafu</v>
      </c>
      <c r="F626" s="69">
        <v>551</v>
      </c>
    </row>
    <row r="627" spans="1:6">
      <c r="A627" s="69" t="s">
        <v>1020</v>
      </c>
      <c r="D627" s="69" t="str">
        <f t="shared" si="10"/>
        <v>Lyati stage</v>
      </c>
      <c r="F627" s="69">
        <v>551</v>
      </c>
    </row>
    <row r="628" spans="1:6">
      <c r="A628" s="69" t="s">
        <v>1021</v>
      </c>
      <c r="D628" s="69" t="str">
        <f t="shared" si="10"/>
        <v>Lwasa stage</v>
      </c>
      <c r="F628" s="69">
        <v>551</v>
      </c>
    </row>
    <row r="629" spans="1:6">
      <c r="A629" s="69" t="s">
        <v>1022</v>
      </c>
      <c r="D629" s="69" t="str">
        <f t="shared" si="10"/>
        <v>LUWASA</v>
      </c>
      <c r="F629" s="69">
        <v>551</v>
      </c>
    </row>
    <row r="630" spans="1:6">
      <c r="A630" s="69" t="s">
        <v>1023</v>
      </c>
      <c r="D630" s="69" t="str">
        <f t="shared" si="10"/>
        <v>Kulwasa</v>
      </c>
      <c r="F630" s="69">
        <v>551</v>
      </c>
    </row>
    <row r="631" spans="1:6">
      <c r="A631" s="69" t="s">
        <v>1024</v>
      </c>
      <c r="D631" s="69" t="str">
        <f t="shared" si="10"/>
        <v>Katuba stage</v>
      </c>
      <c r="F631" s="69">
        <v>551</v>
      </c>
    </row>
    <row r="632" spans="1:6">
      <c r="A632" s="69" t="s">
        <v>1025</v>
      </c>
      <c r="B632" s="69" t="s">
        <v>936</v>
      </c>
      <c r="C632" s="69" t="s">
        <v>937</v>
      </c>
      <c r="D632" s="69" t="str">
        <f t="shared" si="10"/>
        <v>Luzira</v>
      </c>
      <c r="E632" s="69" t="str">
        <f t="shared" si="11"/>
        <v>Luzira</v>
      </c>
      <c r="F632" s="69">
        <v>552</v>
      </c>
    </row>
    <row r="633" spans="1:6">
      <c r="A633" s="69" t="s">
        <v>1026</v>
      </c>
      <c r="B633" s="69" t="s">
        <v>936</v>
      </c>
      <c r="C633" s="69" t="s">
        <v>937</v>
      </c>
      <c r="D633" s="69" t="str">
        <f t="shared" si="10"/>
        <v>Luzira Prisons</v>
      </c>
      <c r="E633" s="69" t="str">
        <f t="shared" si="11"/>
        <v>Luzira Prisons</v>
      </c>
      <c r="F633" s="69">
        <v>553</v>
      </c>
    </row>
    <row r="634" spans="1:6">
      <c r="A634" s="69" t="s">
        <v>1027</v>
      </c>
      <c r="B634" s="69" t="s">
        <v>936</v>
      </c>
      <c r="C634" s="69" t="s">
        <v>937</v>
      </c>
      <c r="D634" s="69" t="str">
        <f t="shared" si="10"/>
        <v>Makerere</v>
      </c>
      <c r="E634" s="69" t="str">
        <f t="shared" si="11"/>
        <v>Makerere</v>
      </c>
      <c r="F634" s="69">
        <v>554</v>
      </c>
    </row>
    <row r="635" spans="1:6">
      <c r="A635" s="69" t="s">
        <v>1028</v>
      </c>
      <c r="B635" s="69" t="s">
        <v>936</v>
      </c>
      <c r="C635" s="69" t="s">
        <v>937</v>
      </c>
      <c r="D635" s="69" t="str">
        <f t="shared" si="10"/>
        <v>Makerere University</v>
      </c>
      <c r="E635" s="69" t="str">
        <f t="shared" si="11"/>
        <v>Makerere University</v>
      </c>
      <c r="F635" s="69">
        <v>555</v>
      </c>
    </row>
    <row r="636" spans="1:6">
      <c r="A636" s="69" t="s">
        <v>1029</v>
      </c>
      <c r="B636" s="69" t="s">
        <v>936</v>
      </c>
      <c r="C636" s="69" t="s">
        <v>937</v>
      </c>
      <c r="D636" s="69" t="str">
        <f t="shared" si="10"/>
        <v>Makindye</v>
      </c>
      <c r="E636" s="69" t="str">
        <f t="shared" si="11"/>
        <v>Makindye</v>
      </c>
      <c r="F636" s="69">
        <v>556</v>
      </c>
    </row>
    <row r="637" spans="1:6">
      <c r="A637" s="69" t="s">
        <v>1030</v>
      </c>
      <c r="B637" s="69" t="s">
        <v>936</v>
      </c>
      <c r="C637" s="69" t="s">
        <v>937</v>
      </c>
      <c r="D637" s="69" t="str">
        <f t="shared" si="10"/>
        <v>Mbuya</v>
      </c>
      <c r="E637" s="69" t="str">
        <f t="shared" si="11"/>
        <v>Mbuya</v>
      </c>
      <c r="F637" s="69">
        <v>557</v>
      </c>
    </row>
    <row r="638" spans="1:6">
      <c r="A638" s="69" t="s">
        <v>1031</v>
      </c>
      <c r="B638" s="69" t="s">
        <v>936</v>
      </c>
      <c r="C638" s="69" t="s">
        <v>937</v>
      </c>
      <c r="D638" s="69" t="str">
        <f t="shared" si="10"/>
        <v>Mengo</v>
      </c>
      <c r="E638" s="69" t="str">
        <f t="shared" si="11"/>
        <v>Mengo</v>
      </c>
      <c r="F638" s="69">
        <v>558</v>
      </c>
    </row>
    <row r="639" spans="1:6">
      <c r="A639" s="69" t="s">
        <v>1032</v>
      </c>
      <c r="B639" s="69" t="s">
        <v>936</v>
      </c>
      <c r="C639" s="69" t="s">
        <v>937</v>
      </c>
      <c r="D639" s="69" t="str">
        <f t="shared" si="10"/>
        <v>Mpererwe</v>
      </c>
      <c r="E639" s="69" t="str">
        <f t="shared" si="11"/>
        <v>Mpererwe</v>
      </c>
      <c r="F639" s="69">
        <v>559</v>
      </c>
    </row>
    <row r="640" spans="1:6">
      <c r="A640" s="69" t="s">
        <v>1033</v>
      </c>
      <c r="B640" s="69" t="s">
        <v>936</v>
      </c>
      <c r="C640" s="69" t="s">
        <v>937</v>
      </c>
      <c r="D640" s="69" t="str">
        <f t="shared" si="10"/>
        <v>Mulago</v>
      </c>
      <c r="E640" s="69" t="str">
        <f t="shared" si="11"/>
        <v>Mulago</v>
      </c>
      <c r="F640" s="69">
        <v>560</v>
      </c>
    </row>
    <row r="641" spans="1:6">
      <c r="A641" s="69" t="s">
        <v>1034</v>
      </c>
      <c r="B641" s="69" t="s">
        <v>936</v>
      </c>
      <c r="C641" s="69" t="s">
        <v>937</v>
      </c>
      <c r="D641" s="69" t="str">
        <f t="shared" si="10"/>
        <v>Mutundwe</v>
      </c>
      <c r="E641" s="69" t="str">
        <f t="shared" si="11"/>
        <v>Mutundwe</v>
      </c>
      <c r="F641" s="69">
        <v>561</v>
      </c>
    </row>
    <row r="642" spans="1:6">
      <c r="A642" s="69" t="s">
        <v>1035</v>
      </c>
      <c r="D642" s="69" t="str">
        <f t="shared" ref="D642:D705" si="12">A642</f>
        <v>Nyanama</v>
      </c>
      <c r="F642" s="69">
        <v>561</v>
      </c>
    </row>
    <row r="643" spans="1:6">
      <c r="A643" s="69" t="s">
        <v>1036</v>
      </c>
      <c r="B643" s="69" t="s">
        <v>936</v>
      </c>
      <c r="C643" s="69" t="s">
        <v>937</v>
      </c>
      <c r="D643" s="69" t="str">
        <f t="shared" si="12"/>
        <v>Mutungo</v>
      </c>
      <c r="E643" s="69" t="str">
        <f t="shared" si="11"/>
        <v>Mutungo</v>
      </c>
      <c r="F643" s="69">
        <v>562</v>
      </c>
    </row>
    <row r="644" spans="1:6">
      <c r="A644" s="69" t="s">
        <v>1037</v>
      </c>
      <c r="B644" s="69" t="s">
        <v>936</v>
      </c>
      <c r="C644" s="69" t="s">
        <v>937</v>
      </c>
      <c r="D644" s="69" t="str">
        <f t="shared" si="12"/>
        <v>Nabisunsa</v>
      </c>
      <c r="E644" s="69" t="str">
        <f t="shared" si="11"/>
        <v>Nabisunsa</v>
      </c>
      <c r="F644" s="69">
        <v>563</v>
      </c>
    </row>
    <row r="645" spans="1:6">
      <c r="A645" s="69" t="s">
        <v>1038</v>
      </c>
      <c r="B645" s="69" t="s">
        <v>936</v>
      </c>
      <c r="C645" s="69" t="s">
        <v>937</v>
      </c>
      <c r="D645" s="69" t="str">
        <f t="shared" si="12"/>
        <v>Naguru</v>
      </c>
      <c r="E645" s="69" t="str">
        <f t="shared" si="11"/>
        <v>Naguru</v>
      </c>
      <c r="F645" s="69">
        <v>564</v>
      </c>
    </row>
    <row r="646" spans="1:6">
      <c r="A646" s="69" t="s">
        <v>1039</v>
      </c>
      <c r="B646" s="69" t="s">
        <v>936</v>
      </c>
      <c r="C646" s="69" t="s">
        <v>937</v>
      </c>
      <c r="D646" s="69" t="str">
        <f t="shared" si="12"/>
        <v>Najjanankumbi</v>
      </c>
      <c r="E646" s="69" t="str">
        <f t="shared" si="11"/>
        <v>Najjanankumbi</v>
      </c>
      <c r="F646" s="69">
        <v>565</v>
      </c>
    </row>
    <row r="647" spans="1:6">
      <c r="A647" s="69" t="s">
        <v>1040</v>
      </c>
      <c r="D647" s="69" t="str">
        <f t="shared" si="12"/>
        <v>NAJJANAKUMBI</v>
      </c>
      <c r="F647" s="69">
        <v>565</v>
      </c>
    </row>
    <row r="648" spans="1:6">
      <c r="A648" s="69" t="s">
        <v>1041</v>
      </c>
      <c r="D648" s="69" t="str">
        <f t="shared" si="12"/>
        <v>SITELLA</v>
      </c>
      <c r="F648" s="69">
        <v>565</v>
      </c>
    </row>
    <row r="649" spans="1:6">
      <c r="A649" s="69" t="s">
        <v>1042</v>
      </c>
      <c r="D649" s="69" t="str">
        <f t="shared" si="12"/>
        <v>Freedom city</v>
      </c>
      <c r="F649" s="69">
        <v>565</v>
      </c>
    </row>
    <row r="650" spans="1:6">
      <c r="A650" s="69" t="s">
        <v>1043</v>
      </c>
      <c r="D650" s="69" t="str">
        <f t="shared" si="12"/>
        <v>Zana</v>
      </c>
      <c r="F650" s="69">
        <v>565</v>
      </c>
    </row>
    <row r="651" spans="1:6">
      <c r="A651" s="69" t="s">
        <v>1044</v>
      </c>
      <c r="B651" s="69" t="s">
        <v>936</v>
      </c>
      <c r="C651" s="69" t="s">
        <v>937</v>
      </c>
      <c r="D651" s="69" t="str">
        <f t="shared" si="12"/>
        <v>Nakasero</v>
      </c>
      <c r="E651" s="69" t="str">
        <f t="shared" si="11"/>
        <v>Nakasero</v>
      </c>
      <c r="F651" s="69">
        <v>566</v>
      </c>
    </row>
    <row r="652" spans="1:6">
      <c r="A652" s="69" t="s">
        <v>1045</v>
      </c>
      <c r="B652" s="69" t="s">
        <v>936</v>
      </c>
      <c r="C652" s="69" t="s">
        <v>937</v>
      </c>
      <c r="D652" s="69" t="str">
        <f t="shared" si="12"/>
        <v>Nakawa</v>
      </c>
      <c r="E652" s="69" t="str">
        <f t="shared" si="11"/>
        <v>Nakawa</v>
      </c>
      <c r="F652" s="69">
        <v>567</v>
      </c>
    </row>
    <row r="653" spans="1:6">
      <c r="A653" s="69" t="s">
        <v>1046</v>
      </c>
      <c r="B653" s="69" t="s">
        <v>936</v>
      </c>
      <c r="C653" s="69" t="s">
        <v>937</v>
      </c>
      <c r="D653" s="69" t="str">
        <f t="shared" si="12"/>
        <v>Nakawa Institute</v>
      </c>
      <c r="E653" s="69" t="str">
        <f t="shared" si="11"/>
        <v>Nakawa Institute</v>
      </c>
      <c r="F653" s="69">
        <v>568</v>
      </c>
    </row>
    <row r="654" spans="1:6">
      <c r="A654" s="69" t="s">
        <v>1047</v>
      </c>
      <c r="B654" s="69" t="s">
        <v>936</v>
      </c>
      <c r="C654" s="69" t="s">
        <v>937</v>
      </c>
      <c r="D654" s="69" t="str">
        <f t="shared" si="12"/>
        <v>Nakivubo Shauriyaako</v>
      </c>
      <c r="E654" s="69" t="str">
        <f t="shared" si="11"/>
        <v>Nakivubo Shauriyaako</v>
      </c>
      <c r="F654" s="69">
        <v>569</v>
      </c>
    </row>
    <row r="655" spans="1:6">
      <c r="A655" s="69" t="s">
        <v>1048</v>
      </c>
      <c r="B655" s="69" t="s">
        <v>936</v>
      </c>
      <c r="C655" s="69" t="s">
        <v>937</v>
      </c>
      <c r="D655" s="69" t="str">
        <f t="shared" si="12"/>
        <v>Namirembe</v>
      </c>
      <c r="E655" s="69" t="str">
        <f t="shared" si="11"/>
        <v>Namirembe</v>
      </c>
      <c r="F655" s="69">
        <v>570</v>
      </c>
    </row>
    <row r="656" spans="1:6">
      <c r="A656" s="69" t="s">
        <v>1049</v>
      </c>
      <c r="B656" s="69" t="s">
        <v>936</v>
      </c>
      <c r="C656" s="69" t="s">
        <v>937</v>
      </c>
      <c r="D656" s="69" t="str">
        <f t="shared" si="12"/>
        <v>Nankulabye</v>
      </c>
      <c r="E656" s="69" t="str">
        <f t="shared" si="11"/>
        <v>Nankulabye</v>
      </c>
      <c r="F656" s="69">
        <v>571</v>
      </c>
    </row>
    <row r="657" spans="1:6">
      <c r="A657" s="69" t="s">
        <v>1050</v>
      </c>
      <c r="B657" s="69" t="s">
        <v>936</v>
      </c>
      <c r="C657" s="69" t="s">
        <v>937</v>
      </c>
      <c r="D657" s="69" t="str">
        <f t="shared" si="12"/>
        <v>Nateete</v>
      </c>
      <c r="E657" s="69" t="str">
        <f t="shared" si="11"/>
        <v>Nateete</v>
      </c>
      <c r="F657" s="69">
        <v>572</v>
      </c>
    </row>
    <row r="658" spans="1:6">
      <c r="A658" s="69" t="s">
        <v>1051</v>
      </c>
      <c r="D658" s="69" t="str">
        <f t="shared" si="12"/>
        <v>Natete</v>
      </c>
      <c r="E658" s="69" t="str">
        <f t="shared" si="11"/>
        <v>Natete</v>
      </c>
      <c r="F658" s="69">
        <v>572</v>
      </c>
    </row>
    <row r="659" spans="1:6">
      <c r="A659" s="69" t="s">
        <v>1052</v>
      </c>
      <c r="B659" s="69" t="s">
        <v>936</v>
      </c>
      <c r="C659" s="69" t="s">
        <v>937</v>
      </c>
      <c r="D659" s="69" t="str">
        <f t="shared" si="12"/>
        <v>Ndeeba</v>
      </c>
      <c r="E659" s="69" t="str">
        <f t="shared" si="11"/>
        <v>Ndeeba</v>
      </c>
      <c r="F659" s="69">
        <v>573</v>
      </c>
    </row>
    <row r="660" spans="1:6">
      <c r="A660" s="69" t="s">
        <v>1053</v>
      </c>
      <c r="D660" s="69" t="str">
        <f t="shared" si="12"/>
        <v>Ndeba</v>
      </c>
      <c r="E660" s="69" t="str">
        <f t="shared" si="11"/>
        <v>Ndeba</v>
      </c>
      <c r="F660" s="69">
        <v>573</v>
      </c>
    </row>
    <row r="661" spans="1:6">
      <c r="A661" s="69" t="s">
        <v>1054</v>
      </c>
      <c r="B661" s="69" t="s">
        <v>936</v>
      </c>
      <c r="C661" s="69" t="s">
        <v>937</v>
      </c>
      <c r="D661" s="69" t="str">
        <f t="shared" si="12"/>
        <v>Nsambya</v>
      </c>
      <c r="E661" s="69" t="str">
        <f t="shared" si="11"/>
        <v>Nsambya</v>
      </c>
      <c r="F661" s="69">
        <v>574</v>
      </c>
    </row>
    <row r="662" spans="1:6">
      <c r="A662" s="69" t="s">
        <v>1055</v>
      </c>
      <c r="D662" s="69" t="str">
        <f t="shared" si="12"/>
        <v>Nsabya</v>
      </c>
      <c r="E662" s="69" t="str">
        <f t="shared" si="11"/>
        <v>Nsabya</v>
      </c>
      <c r="F662" s="69">
        <v>574</v>
      </c>
    </row>
    <row r="663" spans="1:6">
      <c r="A663" s="69" t="s">
        <v>1056</v>
      </c>
      <c r="B663" s="69" t="s">
        <v>936</v>
      </c>
      <c r="C663" s="69" t="s">
        <v>937</v>
      </c>
      <c r="D663" s="69" t="str">
        <f t="shared" si="12"/>
        <v>Nsambya Police Barracks</v>
      </c>
      <c r="E663" s="69" t="str">
        <f t="shared" si="11"/>
        <v>Nsambya Police Barracks</v>
      </c>
      <c r="F663" s="69">
        <v>575</v>
      </c>
    </row>
    <row r="664" spans="1:6">
      <c r="A664" s="69" t="s">
        <v>1057</v>
      </c>
      <c r="B664" s="69" t="s">
        <v>936</v>
      </c>
      <c r="C664" s="69" t="s">
        <v>937</v>
      </c>
      <c r="D664" s="69" t="str">
        <f t="shared" si="12"/>
        <v>Nsambya Railway</v>
      </c>
      <c r="E664" s="69" t="str">
        <f t="shared" si="11"/>
        <v>Nsambya Railway</v>
      </c>
      <c r="F664" s="69">
        <v>576</v>
      </c>
    </row>
    <row r="665" spans="1:6">
      <c r="A665" s="69" t="s">
        <v>1058</v>
      </c>
      <c r="B665" s="69" t="s">
        <v>936</v>
      </c>
      <c r="C665" s="69" t="s">
        <v>937</v>
      </c>
      <c r="D665" s="69" t="str">
        <f t="shared" si="12"/>
        <v>Ntinda</v>
      </c>
      <c r="E665" s="69" t="str">
        <f t="shared" si="11"/>
        <v>Ntinda</v>
      </c>
      <c r="F665" s="69">
        <v>577</v>
      </c>
    </row>
    <row r="666" spans="1:6">
      <c r="A666" s="69" t="s">
        <v>1059</v>
      </c>
      <c r="B666" s="69" t="s">
        <v>936</v>
      </c>
      <c r="C666" s="69" t="s">
        <v>937</v>
      </c>
      <c r="D666" s="69" t="str">
        <f t="shared" si="12"/>
        <v>Old Kampala</v>
      </c>
      <c r="E666" s="69" t="str">
        <f t="shared" si="11"/>
        <v>Old Kampala</v>
      </c>
      <c r="F666" s="69">
        <v>578</v>
      </c>
    </row>
    <row r="667" spans="1:6">
      <c r="A667" s="69" t="s">
        <v>1060</v>
      </c>
      <c r="B667" s="69" t="s">
        <v>936</v>
      </c>
      <c r="C667" s="69" t="s">
        <v>937</v>
      </c>
      <c r="D667" s="69" t="str">
        <f t="shared" si="12"/>
        <v>Salaama</v>
      </c>
      <c r="E667" s="69" t="str">
        <f t="shared" si="11"/>
        <v>Salaama</v>
      </c>
      <c r="F667" s="69">
        <v>579</v>
      </c>
    </row>
    <row r="668" spans="1:6">
      <c r="A668" s="69" t="s">
        <v>1061</v>
      </c>
      <c r="D668" s="69" t="str">
        <f t="shared" si="12"/>
        <v>Salama</v>
      </c>
      <c r="E668" s="69" t="str">
        <f t="shared" si="11"/>
        <v>Salama</v>
      </c>
      <c r="F668" s="69">
        <v>579</v>
      </c>
    </row>
    <row r="669" spans="1:6">
      <c r="A669" s="69" t="s">
        <v>1062</v>
      </c>
      <c r="D669" s="69" t="str">
        <f t="shared" si="12"/>
        <v>Mayanja</v>
      </c>
      <c r="E669" s="69" t="str">
        <f t="shared" si="11"/>
        <v>Mayanja</v>
      </c>
      <c r="F669" s="69">
        <v>579</v>
      </c>
    </row>
    <row r="670" spans="1:6">
      <c r="A670" s="69" t="s">
        <v>1063</v>
      </c>
      <c r="D670" s="69" t="str">
        <f t="shared" si="12"/>
        <v>Kyamula</v>
      </c>
      <c r="E670" s="69" t="str">
        <f t="shared" si="11"/>
        <v>Kyamula</v>
      </c>
      <c r="F670" s="69">
        <v>579</v>
      </c>
    </row>
    <row r="671" spans="1:6">
      <c r="A671" s="69" t="s">
        <v>1064</v>
      </c>
      <c r="D671" s="69" t="str">
        <f t="shared" si="12"/>
        <v>St Ponsiano</v>
      </c>
      <c r="E671" s="69" t="str">
        <f t="shared" si="11"/>
        <v>St Ponsiano</v>
      </c>
      <c r="F671" s="69">
        <v>579</v>
      </c>
    </row>
    <row r="672" spans="1:6">
      <c r="A672" s="69" t="s">
        <v>1065</v>
      </c>
      <c r="D672" s="69" t="str">
        <f t="shared" si="12"/>
        <v>Muswangali</v>
      </c>
      <c r="F672" s="69">
        <v>579</v>
      </c>
    </row>
    <row r="673" spans="1:6">
      <c r="A673" s="69" t="s">
        <v>1066</v>
      </c>
      <c r="D673" s="69" t="str">
        <f t="shared" si="12"/>
        <v>Kulekana</v>
      </c>
      <c r="F673" s="69">
        <v>579</v>
      </c>
    </row>
    <row r="674" spans="1:6">
      <c r="A674" s="69" t="s">
        <v>1067</v>
      </c>
      <c r="B674" s="69" t="s">
        <v>936</v>
      </c>
      <c r="C674" s="69" t="s">
        <v>937</v>
      </c>
      <c r="D674" s="69" t="str">
        <f t="shared" si="12"/>
        <v>Upk</v>
      </c>
      <c r="E674" s="69" t="str">
        <f t="shared" si="11"/>
        <v>Upk</v>
      </c>
      <c r="F674" s="69">
        <v>580</v>
      </c>
    </row>
    <row r="675" spans="1:6">
      <c r="A675" s="69" t="s">
        <v>1068</v>
      </c>
      <c r="B675" s="69" t="s">
        <v>936</v>
      </c>
      <c r="C675" s="69" t="s">
        <v>937</v>
      </c>
      <c r="D675" s="69" t="str">
        <f t="shared" si="12"/>
        <v>Upper Estate</v>
      </c>
      <c r="E675" s="69" t="str">
        <f t="shared" si="11"/>
        <v>Upper Estate</v>
      </c>
      <c r="F675" s="69">
        <v>581</v>
      </c>
    </row>
    <row r="676" spans="1:6">
      <c r="A676" s="69" t="s">
        <v>1069</v>
      </c>
      <c r="B676" s="69" t="s">
        <v>936</v>
      </c>
      <c r="C676" s="69" t="s">
        <v>937</v>
      </c>
      <c r="D676" s="69" t="str">
        <f t="shared" si="12"/>
        <v>Wabigalo</v>
      </c>
      <c r="E676" s="69" t="str">
        <f t="shared" si="11"/>
        <v>Wabigalo</v>
      </c>
      <c r="F676" s="69">
        <v>582</v>
      </c>
    </row>
    <row r="677" spans="1:6">
      <c r="A677" s="69" t="s">
        <v>1070</v>
      </c>
      <c r="B677" s="69" t="s">
        <v>936</v>
      </c>
      <c r="C677" s="69" t="s">
        <v>937</v>
      </c>
      <c r="D677" s="69" t="str">
        <f t="shared" si="12"/>
        <v>Wandegeya</v>
      </c>
      <c r="E677" s="69" t="str">
        <f t="shared" si="11"/>
        <v>Wandegeya</v>
      </c>
      <c r="F677" s="69">
        <v>583</v>
      </c>
    </row>
    <row r="678" spans="1:6">
      <c r="A678" s="69" t="s">
        <v>1071</v>
      </c>
      <c r="B678" s="69" t="s">
        <v>1072</v>
      </c>
      <c r="C678" s="69" t="s">
        <v>1073</v>
      </c>
      <c r="D678" s="69" t="str">
        <f t="shared" si="12"/>
        <v>Balawoli</v>
      </c>
      <c r="F678" s="69">
        <v>584</v>
      </c>
    </row>
    <row r="679" spans="1:6">
      <c r="A679" s="69" t="s">
        <v>1074</v>
      </c>
      <c r="B679" s="69" t="s">
        <v>1072</v>
      </c>
      <c r="C679" s="69" t="s">
        <v>1075</v>
      </c>
      <c r="D679" s="69" t="str">
        <f t="shared" si="12"/>
        <v>Bugulumbya</v>
      </c>
      <c r="F679" s="69">
        <v>585</v>
      </c>
    </row>
    <row r="680" spans="1:6">
      <c r="A680" s="69" t="s">
        <v>1076</v>
      </c>
      <c r="B680" s="69" t="s">
        <v>1072</v>
      </c>
      <c r="C680" s="69" t="s">
        <v>1073</v>
      </c>
      <c r="D680" s="69" t="str">
        <f t="shared" si="12"/>
        <v>Bulopa</v>
      </c>
      <c r="F680" s="69">
        <v>586</v>
      </c>
    </row>
    <row r="681" spans="1:6">
      <c r="A681" s="69" t="s">
        <v>1077</v>
      </c>
      <c r="B681" s="69" t="s">
        <v>1072</v>
      </c>
      <c r="C681" s="69" t="s">
        <v>1073</v>
      </c>
      <c r="D681" s="69" t="str">
        <f t="shared" si="12"/>
        <v>Butansi</v>
      </c>
      <c r="F681" s="69">
        <v>587</v>
      </c>
    </row>
    <row r="682" spans="1:6">
      <c r="A682" s="69" t="s">
        <v>1078</v>
      </c>
      <c r="B682" s="69" t="s">
        <v>1072</v>
      </c>
      <c r="C682" s="69" t="s">
        <v>1078</v>
      </c>
      <c r="D682" s="69" t="str">
        <f t="shared" si="12"/>
        <v>Kamuli Municipality</v>
      </c>
      <c r="F682" s="69">
        <v>588</v>
      </c>
    </row>
    <row r="683" spans="1:6">
      <c r="A683" s="69" t="s">
        <v>1079</v>
      </c>
      <c r="B683" s="69" t="s">
        <v>1072</v>
      </c>
      <c r="C683" s="69" t="s">
        <v>1075</v>
      </c>
      <c r="D683" s="69" t="str">
        <f t="shared" si="12"/>
        <v>Kisozi</v>
      </c>
      <c r="F683" s="69">
        <v>589</v>
      </c>
    </row>
    <row r="684" spans="1:6">
      <c r="A684" s="69" t="s">
        <v>1080</v>
      </c>
      <c r="B684" s="69" t="s">
        <v>1072</v>
      </c>
      <c r="C684" s="69" t="s">
        <v>1073</v>
      </c>
      <c r="D684" s="69" t="str">
        <f t="shared" si="12"/>
        <v>Kitayunjwa</v>
      </c>
      <c r="F684" s="69">
        <v>590</v>
      </c>
    </row>
    <row r="685" spans="1:6">
      <c r="A685" s="69" t="s">
        <v>1081</v>
      </c>
      <c r="B685" s="69" t="s">
        <v>1072</v>
      </c>
      <c r="C685" s="69" t="s">
        <v>1075</v>
      </c>
      <c r="D685" s="69" t="str">
        <f t="shared" si="12"/>
        <v>Mbulamuti</v>
      </c>
      <c r="F685" s="69">
        <v>591</v>
      </c>
    </row>
    <row r="686" spans="1:6">
      <c r="A686" s="69" t="s">
        <v>1082</v>
      </c>
      <c r="B686" s="69" t="s">
        <v>1072</v>
      </c>
      <c r="C686" s="69" t="s">
        <v>1073</v>
      </c>
      <c r="D686" s="69" t="str">
        <f t="shared" si="12"/>
        <v>Nabwigulu</v>
      </c>
      <c r="F686" s="69">
        <v>592</v>
      </c>
    </row>
    <row r="687" spans="1:6">
      <c r="A687" s="69" t="s">
        <v>1083</v>
      </c>
      <c r="B687" s="69" t="s">
        <v>1072</v>
      </c>
      <c r="C687" s="69" t="s">
        <v>1073</v>
      </c>
      <c r="D687" s="69" t="str">
        <f t="shared" si="12"/>
        <v>Namasagali</v>
      </c>
      <c r="F687" s="69">
        <v>593</v>
      </c>
    </row>
    <row r="688" spans="1:6">
      <c r="A688" s="69" t="s">
        <v>1084</v>
      </c>
      <c r="B688" s="69" t="s">
        <v>1072</v>
      </c>
      <c r="C688" s="69" t="s">
        <v>1073</v>
      </c>
      <c r="D688" s="69" t="str">
        <f t="shared" si="12"/>
        <v>Namwendwa</v>
      </c>
      <c r="F688" s="69">
        <v>594</v>
      </c>
    </row>
    <row r="689" spans="1:6">
      <c r="A689" s="69" t="s">
        <v>1085</v>
      </c>
      <c r="B689" s="69" t="s">
        <v>1072</v>
      </c>
      <c r="C689" s="69" t="s">
        <v>1075</v>
      </c>
      <c r="D689" s="69" t="str">
        <f t="shared" si="12"/>
        <v>Nawanyago</v>
      </c>
      <c r="F689" s="69">
        <v>595</v>
      </c>
    </row>
    <row r="690" spans="1:6">
      <c r="A690" s="69" t="s">
        <v>1086</v>
      </c>
      <c r="B690" s="69" t="s">
        <v>1072</v>
      </c>
      <c r="C690" s="69" t="s">
        <v>1075</v>
      </c>
      <c r="D690" s="69" t="str">
        <f t="shared" si="12"/>
        <v>Wankole</v>
      </c>
      <c r="F690" s="69">
        <v>596</v>
      </c>
    </row>
    <row r="691" spans="1:6">
      <c r="A691" s="69" t="s">
        <v>1087</v>
      </c>
      <c r="B691" s="69" t="s">
        <v>44</v>
      </c>
      <c r="C691" s="69" t="s">
        <v>686</v>
      </c>
      <c r="D691" s="69" t="str">
        <f t="shared" si="12"/>
        <v>Biguli</v>
      </c>
      <c r="F691" s="69">
        <v>597</v>
      </c>
    </row>
    <row r="692" spans="1:6">
      <c r="A692" s="69" t="s">
        <v>1088</v>
      </c>
      <c r="B692" s="69" t="s">
        <v>44</v>
      </c>
      <c r="C692" s="69" t="s">
        <v>686</v>
      </c>
      <c r="D692" s="69" t="str">
        <f t="shared" si="12"/>
        <v>Bihanga-Kamwenge</v>
      </c>
      <c r="F692" s="69">
        <v>598</v>
      </c>
    </row>
    <row r="693" spans="1:6">
      <c r="A693" s="69" t="s">
        <v>1089</v>
      </c>
      <c r="B693" s="69" t="s">
        <v>44</v>
      </c>
      <c r="C693" s="69" t="s">
        <v>1090</v>
      </c>
      <c r="D693" s="69" t="str">
        <f t="shared" si="12"/>
        <v>Buhanda</v>
      </c>
      <c r="F693" s="69">
        <v>599</v>
      </c>
    </row>
    <row r="694" spans="1:6">
      <c r="A694" s="69" t="s">
        <v>1091</v>
      </c>
      <c r="B694" s="69" t="s">
        <v>44</v>
      </c>
      <c r="C694" s="69" t="s">
        <v>686</v>
      </c>
      <c r="D694" s="69" t="str">
        <f t="shared" si="12"/>
        <v>Busiriba</v>
      </c>
      <c r="F694" s="69">
        <v>600</v>
      </c>
    </row>
    <row r="695" spans="1:6">
      <c r="A695" s="69" t="s">
        <v>1092</v>
      </c>
      <c r="B695" s="69" t="s">
        <v>44</v>
      </c>
      <c r="C695" s="69" t="s">
        <v>686</v>
      </c>
      <c r="D695" s="69" t="str">
        <f t="shared" si="12"/>
        <v>Bwizi</v>
      </c>
      <c r="F695" s="69">
        <v>601</v>
      </c>
    </row>
    <row r="696" spans="1:6">
      <c r="A696" s="69" t="s">
        <v>1093</v>
      </c>
      <c r="B696" s="69" t="s">
        <v>44</v>
      </c>
      <c r="C696" s="69" t="s">
        <v>686</v>
      </c>
      <c r="D696" s="69" t="str">
        <f t="shared" si="12"/>
        <v>Kabambiro</v>
      </c>
      <c r="F696" s="69">
        <v>602</v>
      </c>
    </row>
    <row r="697" spans="1:6">
      <c r="A697" s="69" t="s">
        <v>1094</v>
      </c>
      <c r="B697" s="69" t="s">
        <v>44</v>
      </c>
      <c r="C697" s="69" t="s">
        <v>686</v>
      </c>
      <c r="D697" s="69" t="str">
        <f t="shared" si="12"/>
        <v>Kahunge</v>
      </c>
      <c r="F697" s="69">
        <v>603</v>
      </c>
    </row>
    <row r="698" spans="1:6">
      <c r="A698" s="69" t="s">
        <v>44</v>
      </c>
      <c r="B698" s="69" t="s">
        <v>44</v>
      </c>
      <c r="C698" s="69" t="s">
        <v>686</v>
      </c>
      <c r="D698" s="69" t="str">
        <f t="shared" si="12"/>
        <v>Kamwenge</v>
      </c>
      <c r="F698" s="69">
        <v>604</v>
      </c>
    </row>
    <row r="699" spans="1:6">
      <c r="A699" s="69" t="s">
        <v>1095</v>
      </c>
      <c r="B699" s="69" t="s">
        <v>44</v>
      </c>
      <c r="C699" s="69" t="s">
        <v>686</v>
      </c>
      <c r="D699" s="69" t="str">
        <f t="shared" si="12"/>
        <v>Kamwenge Town Council</v>
      </c>
      <c r="F699" s="69">
        <v>605</v>
      </c>
    </row>
    <row r="700" spans="1:6">
      <c r="A700" s="69" t="s">
        <v>1096</v>
      </c>
      <c r="B700" s="69" t="s">
        <v>44</v>
      </c>
      <c r="C700" s="69" t="s">
        <v>1090</v>
      </c>
      <c r="D700" s="69" t="str">
        <f t="shared" si="12"/>
        <v>Kanara-Kamwenge</v>
      </c>
      <c r="F700" s="69">
        <v>606</v>
      </c>
    </row>
    <row r="701" spans="1:6">
      <c r="A701" s="69" t="s">
        <v>1097</v>
      </c>
      <c r="B701" s="69" t="s">
        <v>44</v>
      </c>
      <c r="C701" s="69" t="s">
        <v>1090</v>
      </c>
      <c r="D701" s="69" t="str">
        <f t="shared" si="12"/>
        <v>Kicheche</v>
      </c>
      <c r="F701" s="69">
        <v>607</v>
      </c>
    </row>
    <row r="702" spans="1:6">
      <c r="A702" s="69" t="s">
        <v>1098</v>
      </c>
      <c r="B702" s="69" t="s">
        <v>44</v>
      </c>
      <c r="C702" s="69" t="s">
        <v>1090</v>
      </c>
      <c r="D702" s="69" t="str">
        <f t="shared" si="12"/>
        <v>Mahyoro</v>
      </c>
      <c r="F702" s="69">
        <v>608</v>
      </c>
    </row>
    <row r="703" spans="1:6">
      <c r="A703" s="69" t="s">
        <v>1099</v>
      </c>
      <c r="B703" s="69" t="s">
        <v>44</v>
      </c>
      <c r="C703" s="69" t="s">
        <v>686</v>
      </c>
      <c r="D703" s="69" t="str">
        <f t="shared" si="12"/>
        <v>Nkoma</v>
      </c>
      <c r="F703" s="69">
        <v>609</v>
      </c>
    </row>
    <row r="704" spans="1:6">
      <c r="A704" s="69" t="s">
        <v>1100</v>
      </c>
      <c r="B704" s="69" t="s">
        <v>44</v>
      </c>
      <c r="C704" s="69" t="s">
        <v>1090</v>
      </c>
      <c r="D704" s="69" t="str">
        <f t="shared" si="12"/>
        <v>Ntara</v>
      </c>
      <c r="F704" s="69">
        <v>610</v>
      </c>
    </row>
    <row r="705" spans="1:6">
      <c r="A705" s="69" t="s">
        <v>1101</v>
      </c>
      <c r="B705" s="69" t="s">
        <v>44</v>
      </c>
      <c r="C705" s="69" t="s">
        <v>1090</v>
      </c>
      <c r="D705" s="69" t="str">
        <f t="shared" si="12"/>
        <v>Nyabbani</v>
      </c>
      <c r="F705" s="69">
        <v>611</v>
      </c>
    </row>
    <row r="706" spans="1:6">
      <c r="A706" s="69" t="s">
        <v>1102</v>
      </c>
      <c r="B706" s="69" t="s">
        <v>44</v>
      </c>
      <c r="C706" s="69" t="s">
        <v>686</v>
      </c>
      <c r="D706" s="69" t="str">
        <f t="shared" ref="D706:D769" si="13">A706</f>
        <v>Rwamwanja Refugee Camp</v>
      </c>
      <c r="F706" s="69">
        <v>612</v>
      </c>
    </row>
    <row r="707" spans="1:6">
      <c r="A707" s="69" t="s">
        <v>1103</v>
      </c>
      <c r="B707" s="69" t="s">
        <v>1104</v>
      </c>
      <c r="C707" s="69" t="s">
        <v>1105</v>
      </c>
      <c r="D707" s="69" t="str">
        <f t="shared" si="13"/>
        <v>Butogota Town Council</v>
      </c>
      <c r="F707" s="69">
        <v>613</v>
      </c>
    </row>
    <row r="708" spans="1:6">
      <c r="A708" s="69" t="s">
        <v>1106</v>
      </c>
      <c r="B708" s="69" t="s">
        <v>1104</v>
      </c>
      <c r="C708" s="69" t="s">
        <v>1105</v>
      </c>
      <c r="D708" s="69" t="str">
        <f t="shared" si="13"/>
        <v>Kambuga</v>
      </c>
      <c r="F708" s="69">
        <v>614</v>
      </c>
    </row>
    <row r="709" spans="1:6">
      <c r="A709" s="69" t="s">
        <v>1107</v>
      </c>
      <c r="B709" s="69" t="s">
        <v>1104</v>
      </c>
      <c r="C709" s="69" t="s">
        <v>1105</v>
      </c>
      <c r="D709" s="69" t="str">
        <f t="shared" si="13"/>
        <v>Kambuga Town Council</v>
      </c>
      <c r="F709" s="69">
        <v>615</v>
      </c>
    </row>
    <row r="710" spans="1:6">
      <c r="A710" s="69" t="s">
        <v>1108</v>
      </c>
      <c r="B710" s="69" t="s">
        <v>1104</v>
      </c>
      <c r="C710" s="69" t="s">
        <v>1105</v>
      </c>
      <c r="D710" s="69" t="str">
        <f t="shared" si="13"/>
        <v>Kanungu Town Council</v>
      </c>
      <c r="F710" s="69">
        <v>616</v>
      </c>
    </row>
    <row r="711" spans="1:6">
      <c r="A711" s="69" t="s">
        <v>1109</v>
      </c>
      <c r="B711" s="69" t="s">
        <v>1104</v>
      </c>
      <c r="C711" s="69" t="s">
        <v>1105</v>
      </c>
      <c r="D711" s="69" t="str">
        <f t="shared" si="13"/>
        <v>Kanyantorogo</v>
      </c>
      <c r="F711" s="69">
        <v>617</v>
      </c>
    </row>
    <row r="712" spans="1:6">
      <c r="A712" s="69" t="s">
        <v>1110</v>
      </c>
      <c r="B712" s="69" t="s">
        <v>1104</v>
      </c>
      <c r="C712" s="69" t="s">
        <v>1105</v>
      </c>
      <c r="D712" s="69" t="str">
        <f t="shared" si="13"/>
        <v>Katete</v>
      </c>
      <c r="F712" s="69">
        <v>618</v>
      </c>
    </row>
    <row r="713" spans="1:6">
      <c r="A713" s="69" t="s">
        <v>1111</v>
      </c>
      <c r="B713" s="69" t="s">
        <v>1104</v>
      </c>
      <c r="C713" s="69" t="s">
        <v>1105</v>
      </c>
      <c r="D713" s="69" t="str">
        <f t="shared" si="13"/>
        <v>Kayonza-Kanungu</v>
      </c>
      <c r="F713" s="69">
        <v>619</v>
      </c>
    </row>
    <row r="714" spans="1:6">
      <c r="A714" s="69" t="s">
        <v>1112</v>
      </c>
      <c r="B714" s="69" t="s">
        <v>1104</v>
      </c>
      <c r="C714" s="69" t="s">
        <v>1105</v>
      </c>
      <c r="D714" s="69" t="str">
        <f t="shared" si="13"/>
        <v>Kihihi</v>
      </c>
      <c r="F714" s="69">
        <v>620</v>
      </c>
    </row>
    <row r="715" spans="1:6">
      <c r="A715" s="69" t="s">
        <v>1113</v>
      </c>
      <c r="B715" s="69" t="s">
        <v>1104</v>
      </c>
      <c r="C715" s="69" t="s">
        <v>1105</v>
      </c>
      <c r="D715" s="69" t="str">
        <f t="shared" si="13"/>
        <v>Kihiihi Town Council</v>
      </c>
      <c r="F715" s="69">
        <v>621</v>
      </c>
    </row>
    <row r="716" spans="1:6">
      <c r="A716" s="69" t="s">
        <v>1114</v>
      </c>
      <c r="B716" s="69" t="s">
        <v>1104</v>
      </c>
      <c r="C716" s="69" t="s">
        <v>1105</v>
      </c>
      <c r="D716" s="69" t="str">
        <f t="shared" si="13"/>
        <v>Kinaaba</v>
      </c>
      <c r="F716" s="69">
        <v>622</v>
      </c>
    </row>
    <row r="717" spans="1:6">
      <c r="A717" s="69" t="s">
        <v>1115</v>
      </c>
      <c r="B717" s="69" t="s">
        <v>1104</v>
      </c>
      <c r="C717" s="69" t="s">
        <v>1105</v>
      </c>
      <c r="D717" s="69" t="str">
        <f t="shared" si="13"/>
        <v>Kirima</v>
      </c>
      <c r="F717" s="69">
        <v>623</v>
      </c>
    </row>
    <row r="718" spans="1:6">
      <c r="A718" s="69" t="s">
        <v>1116</v>
      </c>
      <c r="B718" s="69" t="s">
        <v>1104</v>
      </c>
      <c r="C718" s="69" t="s">
        <v>1105</v>
      </c>
      <c r="D718" s="69" t="str">
        <f t="shared" si="13"/>
        <v>Mpungu</v>
      </c>
      <c r="F718" s="69">
        <v>624</v>
      </c>
    </row>
    <row r="719" spans="1:6">
      <c r="A719" s="69" t="s">
        <v>1117</v>
      </c>
      <c r="B719" s="69" t="s">
        <v>1104</v>
      </c>
      <c r="C719" s="69" t="s">
        <v>1105</v>
      </c>
      <c r="D719" s="69" t="str">
        <f t="shared" si="13"/>
        <v>Nyakinoni</v>
      </c>
      <c r="F719" s="69">
        <v>625</v>
      </c>
    </row>
    <row r="720" spans="1:6">
      <c r="A720" s="69" t="s">
        <v>1118</v>
      </c>
      <c r="B720" s="69" t="s">
        <v>1104</v>
      </c>
      <c r="C720" s="69" t="s">
        <v>1105</v>
      </c>
      <c r="D720" s="69" t="str">
        <f t="shared" si="13"/>
        <v>Nyamirama</v>
      </c>
      <c r="F720" s="69">
        <v>626</v>
      </c>
    </row>
    <row r="721" spans="1:6">
      <c r="A721" s="69" t="s">
        <v>1119</v>
      </c>
      <c r="B721" s="69" t="s">
        <v>1104</v>
      </c>
      <c r="C721" s="69" t="s">
        <v>1105</v>
      </c>
      <c r="D721" s="69" t="str">
        <f t="shared" si="13"/>
        <v>Nyanga</v>
      </c>
      <c r="F721" s="69">
        <v>627</v>
      </c>
    </row>
    <row r="722" spans="1:6">
      <c r="A722" s="69" t="s">
        <v>1120</v>
      </c>
      <c r="B722" s="69" t="s">
        <v>1104</v>
      </c>
      <c r="C722" s="69" t="s">
        <v>1105</v>
      </c>
      <c r="D722" s="69" t="str">
        <f t="shared" si="13"/>
        <v>Rugyeyo</v>
      </c>
      <c r="F722" s="69">
        <v>628</v>
      </c>
    </row>
    <row r="723" spans="1:6">
      <c r="A723" s="69" t="s">
        <v>1121</v>
      </c>
      <c r="B723" s="69" t="s">
        <v>1104</v>
      </c>
      <c r="C723" s="69" t="s">
        <v>1105</v>
      </c>
      <c r="D723" s="69" t="str">
        <f t="shared" si="13"/>
        <v>Rutenga</v>
      </c>
      <c r="F723" s="69">
        <v>629</v>
      </c>
    </row>
    <row r="724" spans="1:6">
      <c r="A724" s="69" t="s">
        <v>1122</v>
      </c>
      <c r="B724" s="69" t="s">
        <v>1123</v>
      </c>
      <c r="C724" s="69" t="s">
        <v>1124</v>
      </c>
      <c r="D724" s="69" t="str">
        <f t="shared" si="13"/>
        <v>Amukol</v>
      </c>
      <c r="F724" s="69">
        <v>630</v>
      </c>
    </row>
    <row r="725" spans="1:6">
      <c r="A725" s="69" t="s">
        <v>1125</v>
      </c>
      <c r="B725" s="69" t="s">
        <v>1123</v>
      </c>
      <c r="C725" s="69" t="s">
        <v>1124</v>
      </c>
      <c r="D725" s="69" t="str">
        <f t="shared" si="13"/>
        <v>Chema</v>
      </c>
      <c r="F725" s="69">
        <v>631</v>
      </c>
    </row>
    <row r="726" spans="1:6">
      <c r="A726" s="69" t="s">
        <v>1126</v>
      </c>
      <c r="B726" s="69" t="s">
        <v>1123</v>
      </c>
      <c r="C726" s="69" t="s">
        <v>1124</v>
      </c>
      <c r="D726" s="69" t="str">
        <f t="shared" si="13"/>
        <v>Chepterech</v>
      </c>
      <c r="F726" s="69">
        <v>632</v>
      </c>
    </row>
    <row r="727" spans="1:6">
      <c r="A727" s="69" t="s">
        <v>1127</v>
      </c>
      <c r="B727" s="69" t="s">
        <v>1123</v>
      </c>
      <c r="C727" s="69" t="s">
        <v>1124</v>
      </c>
      <c r="D727" s="69" t="str">
        <f t="shared" si="13"/>
        <v>Gamogo</v>
      </c>
      <c r="F727" s="69">
        <v>633</v>
      </c>
    </row>
    <row r="728" spans="1:6">
      <c r="A728" s="69" t="s">
        <v>1128</v>
      </c>
      <c r="B728" s="69" t="s">
        <v>1123</v>
      </c>
      <c r="C728" s="69" t="s">
        <v>1124</v>
      </c>
      <c r="D728" s="69" t="str">
        <f t="shared" si="13"/>
        <v>Kabeywa</v>
      </c>
      <c r="F728" s="69">
        <v>634</v>
      </c>
    </row>
    <row r="729" spans="1:6">
      <c r="A729" s="69" t="s">
        <v>1129</v>
      </c>
      <c r="B729" s="69" t="s">
        <v>1123</v>
      </c>
      <c r="C729" s="69" t="s">
        <v>1129</v>
      </c>
      <c r="D729" s="69" t="str">
        <f t="shared" si="13"/>
        <v>Kapchorwa Municipality</v>
      </c>
      <c r="F729" s="69">
        <v>635</v>
      </c>
    </row>
    <row r="730" spans="1:6">
      <c r="A730" s="69" t="s">
        <v>1130</v>
      </c>
      <c r="B730" s="69" t="s">
        <v>1123</v>
      </c>
      <c r="C730" s="69" t="s">
        <v>1124</v>
      </c>
      <c r="D730" s="69" t="str">
        <f t="shared" si="13"/>
        <v>Kapsinda</v>
      </c>
      <c r="F730" s="69">
        <v>636</v>
      </c>
    </row>
    <row r="731" spans="1:6">
      <c r="A731" s="69" t="s">
        <v>1131</v>
      </c>
      <c r="B731" s="69" t="s">
        <v>1123</v>
      </c>
      <c r="C731" s="69" t="s">
        <v>1124</v>
      </c>
      <c r="D731" s="69" t="str">
        <f t="shared" si="13"/>
        <v>Kaptanya</v>
      </c>
      <c r="F731" s="69">
        <v>637</v>
      </c>
    </row>
    <row r="732" spans="1:6">
      <c r="A732" s="69" t="s">
        <v>1132</v>
      </c>
      <c r="B732" s="69" t="s">
        <v>1123</v>
      </c>
      <c r="C732" s="69" t="s">
        <v>1124</v>
      </c>
      <c r="D732" s="69" t="str">
        <f t="shared" si="13"/>
        <v>Kaserem</v>
      </c>
      <c r="F732" s="69">
        <v>638</v>
      </c>
    </row>
    <row r="733" spans="1:6">
      <c r="A733" s="69" t="s">
        <v>1133</v>
      </c>
      <c r="B733" s="69" t="s">
        <v>1123</v>
      </c>
      <c r="C733" s="69" t="s">
        <v>1124</v>
      </c>
      <c r="D733" s="69" t="str">
        <f t="shared" si="13"/>
        <v>Kawowo</v>
      </c>
      <c r="F733" s="69">
        <v>639</v>
      </c>
    </row>
    <row r="734" spans="1:6">
      <c r="A734" s="69" t="s">
        <v>1134</v>
      </c>
      <c r="B734" s="69" t="s">
        <v>1123</v>
      </c>
      <c r="C734" s="69" t="s">
        <v>1124</v>
      </c>
      <c r="D734" s="69" t="str">
        <f t="shared" si="13"/>
        <v>Munarya</v>
      </c>
      <c r="F734" s="69">
        <v>640</v>
      </c>
    </row>
    <row r="735" spans="1:6">
      <c r="A735" s="69" t="s">
        <v>1135</v>
      </c>
      <c r="B735" s="69" t="s">
        <v>1123</v>
      </c>
      <c r="C735" s="69" t="s">
        <v>1124</v>
      </c>
      <c r="D735" s="69" t="str">
        <f t="shared" si="13"/>
        <v>Sipi</v>
      </c>
      <c r="F735" s="69">
        <v>641</v>
      </c>
    </row>
    <row r="736" spans="1:6">
      <c r="A736" s="69" t="s">
        <v>1136</v>
      </c>
      <c r="B736" s="69" t="s">
        <v>36</v>
      </c>
      <c r="C736" s="69" t="s">
        <v>1137</v>
      </c>
      <c r="D736" s="69" t="str">
        <f t="shared" si="13"/>
        <v>Bugoye</v>
      </c>
      <c r="F736" s="69">
        <v>642</v>
      </c>
    </row>
    <row r="737" spans="1:6">
      <c r="A737" s="69" t="s">
        <v>1138</v>
      </c>
      <c r="B737" s="69" t="s">
        <v>36</v>
      </c>
      <c r="C737" s="69" t="s">
        <v>1137</v>
      </c>
      <c r="D737" s="69" t="str">
        <f t="shared" si="13"/>
        <v>Buhuhira</v>
      </c>
      <c r="F737" s="69">
        <v>643</v>
      </c>
    </row>
    <row r="738" spans="1:6">
      <c r="A738" s="69" t="s">
        <v>37</v>
      </c>
      <c r="B738" s="69" t="s">
        <v>36</v>
      </c>
      <c r="C738" s="69" t="s">
        <v>602</v>
      </c>
      <c r="D738" s="69" t="str">
        <f t="shared" si="13"/>
        <v>Bwera</v>
      </c>
      <c r="F738" s="69">
        <v>644</v>
      </c>
    </row>
    <row r="739" spans="1:6">
      <c r="A739" s="69" t="s">
        <v>1139</v>
      </c>
      <c r="B739" s="69" t="s">
        <v>36</v>
      </c>
      <c r="C739" s="69" t="s">
        <v>1137</v>
      </c>
      <c r="D739" s="69" t="str">
        <f t="shared" si="13"/>
        <v>Bwesumbu</v>
      </c>
      <c r="F739" s="69">
        <v>645</v>
      </c>
    </row>
    <row r="740" spans="1:6">
      <c r="A740" s="69" t="s">
        <v>1140</v>
      </c>
      <c r="B740" s="69" t="s">
        <v>36</v>
      </c>
      <c r="C740" s="69" t="s">
        <v>1137</v>
      </c>
      <c r="D740" s="69" t="str">
        <f t="shared" si="13"/>
        <v>Hima Town Council</v>
      </c>
      <c r="F740" s="69">
        <v>646</v>
      </c>
    </row>
    <row r="741" spans="1:6">
      <c r="A741" s="69" t="s">
        <v>1141</v>
      </c>
      <c r="B741" s="69" t="s">
        <v>36</v>
      </c>
      <c r="C741" s="69" t="s">
        <v>602</v>
      </c>
      <c r="D741" s="69" t="str">
        <f t="shared" si="13"/>
        <v>Ihandiro</v>
      </c>
      <c r="F741" s="69">
        <v>647</v>
      </c>
    </row>
    <row r="742" spans="1:6">
      <c r="A742" s="69" t="s">
        <v>1142</v>
      </c>
      <c r="B742" s="69" t="s">
        <v>36</v>
      </c>
      <c r="C742" s="69" t="s">
        <v>602</v>
      </c>
      <c r="D742" s="69" t="str">
        <f t="shared" si="13"/>
        <v>Isango</v>
      </c>
      <c r="F742" s="69">
        <v>648</v>
      </c>
    </row>
    <row r="743" spans="1:6">
      <c r="A743" s="69" t="s">
        <v>1143</v>
      </c>
      <c r="B743" s="69" t="s">
        <v>36</v>
      </c>
      <c r="C743" s="69" t="s">
        <v>602</v>
      </c>
      <c r="D743" s="69" t="str">
        <f t="shared" si="13"/>
        <v>Karambi-Kasese</v>
      </c>
      <c r="F743" s="69">
        <v>649</v>
      </c>
    </row>
    <row r="744" spans="1:6">
      <c r="A744" s="69" t="s">
        <v>1144</v>
      </c>
      <c r="B744" s="69" t="s">
        <v>36</v>
      </c>
      <c r="C744" s="69" t="s">
        <v>1137</v>
      </c>
      <c r="D744" s="69" t="str">
        <f t="shared" si="13"/>
        <v>Karusandara</v>
      </c>
      <c r="F744" s="69">
        <v>650</v>
      </c>
    </row>
    <row r="745" spans="1:6">
      <c r="A745" s="69" t="s">
        <v>1145</v>
      </c>
      <c r="B745" s="69" t="s">
        <v>36</v>
      </c>
      <c r="C745" s="69" t="s">
        <v>1145</v>
      </c>
      <c r="D745" s="69" t="str">
        <f t="shared" si="13"/>
        <v>Kasese Municipality</v>
      </c>
      <c r="F745" s="69">
        <v>651</v>
      </c>
    </row>
    <row r="746" spans="1:6">
      <c r="A746" s="69" t="s">
        <v>1146</v>
      </c>
      <c r="B746" s="69" t="s">
        <v>36</v>
      </c>
      <c r="C746" s="69" t="s">
        <v>1137</v>
      </c>
      <c r="D746" s="69" t="str">
        <f t="shared" si="13"/>
        <v>Katwe Kabatoro Town Council</v>
      </c>
      <c r="F746" s="69">
        <v>652</v>
      </c>
    </row>
    <row r="747" spans="1:6">
      <c r="A747" s="69" t="s">
        <v>1147</v>
      </c>
      <c r="B747" s="69" t="s">
        <v>36</v>
      </c>
      <c r="C747" s="69" t="s">
        <v>1137</v>
      </c>
      <c r="D747" s="69" t="str">
        <f t="shared" si="13"/>
        <v>Kilembe</v>
      </c>
      <c r="F747" s="69">
        <v>653</v>
      </c>
    </row>
    <row r="748" spans="1:6">
      <c r="A748" s="69" t="s">
        <v>1148</v>
      </c>
      <c r="B748" s="69" t="s">
        <v>36</v>
      </c>
      <c r="C748" s="69" t="s">
        <v>602</v>
      </c>
      <c r="D748" s="69" t="str">
        <f t="shared" si="13"/>
        <v>Kisinga</v>
      </c>
      <c r="F748" s="69">
        <v>654</v>
      </c>
    </row>
    <row r="749" spans="1:6">
      <c r="A749" s="69" t="s">
        <v>1149</v>
      </c>
      <c r="B749" s="69" t="s">
        <v>36</v>
      </c>
      <c r="C749" s="69" t="s">
        <v>602</v>
      </c>
      <c r="D749" s="69" t="str">
        <f t="shared" si="13"/>
        <v>Kisinga Town Council</v>
      </c>
      <c r="F749" s="69">
        <v>655</v>
      </c>
    </row>
    <row r="750" spans="1:6">
      <c r="A750" s="69" t="s">
        <v>1150</v>
      </c>
      <c r="B750" s="69" t="s">
        <v>36</v>
      </c>
      <c r="C750" s="69" t="s">
        <v>602</v>
      </c>
      <c r="D750" s="69" t="str">
        <f t="shared" si="13"/>
        <v>Kitholhu</v>
      </c>
      <c r="F750" s="69">
        <v>656</v>
      </c>
    </row>
    <row r="751" spans="1:6">
      <c r="A751" s="69" t="s">
        <v>1151</v>
      </c>
      <c r="B751" s="69" t="s">
        <v>36</v>
      </c>
      <c r="C751" s="69" t="s">
        <v>1137</v>
      </c>
      <c r="D751" s="69" t="str">
        <f t="shared" si="13"/>
        <v>Kitswamba</v>
      </c>
      <c r="F751" s="69">
        <v>657</v>
      </c>
    </row>
    <row r="752" spans="1:6">
      <c r="A752" s="69" t="s">
        <v>1152</v>
      </c>
      <c r="B752" s="69" t="s">
        <v>36</v>
      </c>
      <c r="C752" s="69" t="s">
        <v>1137</v>
      </c>
      <c r="D752" s="69" t="str">
        <f t="shared" si="13"/>
        <v>Kyabarungira</v>
      </c>
      <c r="F752" s="69">
        <v>658</v>
      </c>
    </row>
    <row r="753" spans="1:6">
      <c r="A753" s="69" t="s">
        <v>1153</v>
      </c>
      <c r="B753" s="69" t="s">
        <v>36</v>
      </c>
      <c r="C753" s="69" t="s">
        <v>602</v>
      </c>
      <c r="D753" s="69" t="str">
        <f t="shared" si="13"/>
        <v>Kyarumba</v>
      </c>
      <c r="F753" s="69">
        <v>659</v>
      </c>
    </row>
    <row r="754" spans="1:6">
      <c r="A754" s="69" t="s">
        <v>1154</v>
      </c>
      <c r="B754" s="69" t="s">
        <v>36</v>
      </c>
      <c r="C754" s="69" t="s">
        <v>602</v>
      </c>
      <c r="D754" s="69" t="str">
        <f t="shared" si="13"/>
        <v>Kyondo</v>
      </c>
      <c r="F754" s="69">
        <v>660</v>
      </c>
    </row>
    <row r="755" spans="1:6">
      <c r="A755" s="69" t="s">
        <v>1155</v>
      </c>
      <c r="B755" s="69" t="s">
        <v>36</v>
      </c>
      <c r="C755" s="69" t="s">
        <v>1137</v>
      </c>
      <c r="D755" s="69" t="str">
        <f t="shared" si="13"/>
        <v>Lake Katwe</v>
      </c>
      <c r="F755" s="69">
        <v>661</v>
      </c>
    </row>
    <row r="756" spans="1:6">
      <c r="A756" s="69" t="s">
        <v>1156</v>
      </c>
      <c r="B756" s="69" t="s">
        <v>36</v>
      </c>
      <c r="C756" s="69" t="s">
        <v>602</v>
      </c>
      <c r="D756" s="69" t="str">
        <f t="shared" si="13"/>
        <v>Mahango</v>
      </c>
      <c r="F756" s="69">
        <v>662</v>
      </c>
    </row>
    <row r="757" spans="1:6">
      <c r="A757" s="69" t="s">
        <v>1157</v>
      </c>
      <c r="B757" s="69" t="s">
        <v>36</v>
      </c>
      <c r="C757" s="69" t="s">
        <v>1137</v>
      </c>
      <c r="D757" s="69" t="str">
        <f t="shared" si="13"/>
        <v>Maliba</v>
      </c>
      <c r="F757" s="69">
        <v>663</v>
      </c>
    </row>
    <row r="758" spans="1:6">
      <c r="A758" s="69" t="s">
        <v>1158</v>
      </c>
      <c r="B758" s="69" t="s">
        <v>36</v>
      </c>
      <c r="C758" s="69" t="s">
        <v>602</v>
      </c>
      <c r="D758" s="69" t="str">
        <f t="shared" si="13"/>
        <v>Mpondwe-Lhubiriha</v>
      </c>
      <c r="F758" s="69">
        <v>664</v>
      </c>
    </row>
    <row r="759" spans="1:6">
      <c r="A759" s="69" t="s">
        <v>1159</v>
      </c>
      <c r="B759" s="69" t="s">
        <v>36</v>
      </c>
      <c r="C759" s="69" t="s">
        <v>1137</v>
      </c>
      <c r="D759" s="69" t="str">
        <f t="shared" si="13"/>
        <v>Muhokya</v>
      </c>
      <c r="F759" s="69">
        <v>665</v>
      </c>
    </row>
    <row r="760" spans="1:6">
      <c r="A760" s="69" t="s">
        <v>1160</v>
      </c>
      <c r="B760" s="69" t="s">
        <v>36</v>
      </c>
      <c r="C760" s="69" t="s">
        <v>602</v>
      </c>
      <c r="D760" s="69" t="str">
        <f t="shared" si="13"/>
        <v>Munkunyu</v>
      </c>
      <c r="F760" s="69">
        <v>666</v>
      </c>
    </row>
    <row r="761" spans="1:6">
      <c r="A761" s="69" t="s">
        <v>1161</v>
      </c>
      <c r="B761" s="69" t="s">
        <v>36</v>
      </c>
      <c r="C761" s="69" t="s">
        <v>602</v>
      </c>
      <c r="D761" s="69" t="str">
        <f t="shared" si="13"/>
        <v>Nyakatonzi</v>
      </c>
      <c r="F761" s="69">
        <v>667</v>
      </c>
    </row>
    <row r="762" spans="1:6">
      <c r="A762" s="69" t="s">
        <v>1162</v>
      </c>
      <c r="B762" s="69" t="s">
        <v>36</v>
      </c>
      <c r="C762" s="69" t="s">
        <v>602</v>
      </c>
      <c r="D762" s="69" t="str">
        <f t="shared" si="13"/>
        <v>Nyakiyumbu</v>
      </c>
      <c r="F762" s="69">
        <v>668</v>
      </c>
    </row>
    <row r="763" spans="1:6">
      <c r="A763" s="69" t="s">
        <v>1163</v>
      </c>
      <c r="B763" s="69" t="s">
        <v>36</v>
      </c>
      <c r="C763" s="69" t="s">
        <v>1137</v>
      </c>
      <c r="D763" s="69" t="str">
        <f t="shared" si="13"/>
        <v>Rukoki</v>
      </c>
      <c r="F763" s="69">
        <v>669</v>
      </c>
    </row>
    <row r="764" spans="1:6">
      <c r="A764" s="69" t="s">
        <v>1164</v>
      </c>
      <c r="B764" s="69" t="s">
        <v>1165</v>
      </c>
      <c r="C764" s="69" t="s">
        <v>1166</v>
      </c>
      <c r="D764" s="69" t="str">
        <f t="shared" si="13"/>
        <v>Kapujan</v>
      </c>
      <c r="F764" s="69">
        <v>670</v>
      </c>
    </row>
    <row r="765" spans="1:6">
      <c r="A765" s="69" t="s">
        <v>1165</v>
      </c>
      <c r="B765" s="69" t="s">
        <v>1165</v>
      </c>
      <c r="C765" s="69" t="s">
        <v>1167</v>
      </c>
      <c r="D765" s="69" t="str">
        <f t="shared" si="13"/>
        <v>Katakwi</v>
      </c>
      <c r="F765" s="69">
        <v>671</v>
      </c>
    </row>
    <row r="766" spans="1:6">
      <c r="A766" s="69" t="s">
        <v>1168</v>
      </c>
      <c r="B766" s="69" t="s">
        <v>1165</v>
      </c>
      <c r="C766" s="69" t="s">
        <v>1167</v>
      </c>
      <c r="D766" s="69" t="str">
        <f t="shared" si="13"/>
        <v>Katakwi Town Council</v>
      </c>
      <c r="F766" s="69">
        <v>672</v>
      </c>
    </row>
    <row r="767" spans="1:6">
      <c r="A767" s="69" t="s">
        <v>1169</v>
      </c>
      <c r="B767" s="69" t="s">
        <v>1165</v>
      </c>
      <c r="C767" s="69" t="s">
        <v>1166</v>
      </c>
      <c r="D767" s="69" t="str">
        <f t="shared" si="13"/>
        <v>Magoro</v>
      </c>
      <c r="F767" s="69">
        <v>673</v>
      </c>
    </row>
    <row r="768" spans="1:6">
      <c r="A768" s="69" t="s">
        <v>1170</v>
      </c>
      <c r="B768" s="69" t="s">
        <v>1165</v>
      </c>
      <c r="C768" s="69" t="s">
        <v>1167</v>
      </c>
      <c r="D768" s="69" t="str">
        <f t="shared" si="13"/>
        <v>Ngariam</v>
      </c>
      <c r="F768" s="69">
        <v>674</v>
      </c>
    </row>
    <row r="769" spans="1:6">
      <c r="A769" s="69" t="s">
        <v>1171</v>
      </c>
      <c r="B769" s="69" t="s">
        <v>1165</v>
      </c>
      <c r="C769" s="69" t="s">
        <v>1166</v>
      </c>
      <c r="D769" s="69" t="str">
        <f t="shared" si="13"/>
        <v>Omodoi</v>
      </c>
      <c r="F769" s="69">
        <v>675</v>
      </c>
    </row>
    <row r="770" spans="1:6">
      <c r="A770" s="69" t="s">
        <v>1172</v>
      </c>
      <c r="B770" s="69" t="s">
        <v>1165</v>
      </c>
      <c r="C770" s="69" t="s">
        <v>1167</v>
      </c>
      <c r="D770" s="69" t="str">
        <f t="shared" ref="D770:D833" si="14">A770</f>
        <v>Ongongoja</v>
      </c>
      <c r="F770" s="69">
        <v>676</v>
      </c>
    </row>
    <row r="771" spans="1:6">
      <c r="A771" s="69" t="s">
        <v>1173</v>
      </c>
      <c r="B771" s="69" t="s">
        <v>1165</v>
      </c>
      <c r="C771" s="69" t="s">
        <v>1167</v>
      </c>
      <c r="D771" s="69" t="str">
        <f t="shared" si="14"/>
        <v>Palam</v>
      </c>
      <c r="F771" s="69">
        <v>677</v>
      </c>
    </row>
    <row r="772" spans="1:6">
      <c r="A772" s="69" t="s">
        <v>1166</v>
      </c>
      <c r="B772" s="69" t="s">
        <v>1165</v>
      </c>
      <c r="C772" s="69" t="s">
        <v>1166</v>
      </c>
      <c r="D772" s="69" t="str">
        <f t="shared" si="14"/>
        <v>Toroma</v>
      </c>
      <c r="F772" s="69">
        <v>678</v>
      </c>
    </row>
    <row r="773" spans="1:6">
      <c r="A773" s="69" t="s">
        <v>1167</v>
      </c>
      <c r="B773" s="69" t="s">
        <v>1165</v>
      </c>
      <c r="C773" s="69" t="s">
        <v>1167</v>
      </c>
      <c r="D773" s="69" t="str">
        <f t="shared" si="14"/>
        <v>Usuk</v>
      </c>
      <c r="F773" s="69">
        <v>679</v>
      </c>
    </row>
    <row r="774" spans="1:6">
      <c r="A774" s="69" t="s">
        <v>1174</v>
      </c>
      <c r="B774" s="69" t="s">
        <v>1175</v>
      </c>
      <c r="C774" s="69" t="s">
        <v>1174</v>
      </c>
      <c r="D774" s="69" t="str">
        <f t="shared" si="14"/>
        <v>Bbaale</v>
      </c>
      <c r="F774" s="69">
        <v>680</v>
      </c>
    </row>
    <row r="775" spans="1:6">
      <c r="A775" s="69" t="s">
        <v>1176</v>
      </c>
      <c r="B775" s="69" t="s">
        <v>1175</v>
      </c>
      <c r="C775" s="69" t="s">
        <v>1177</v>
      </c>
      <c r="D775" s="69" t="str">
        <f t="shared" si="14"/>
        <v>Busaana</v>
      </c>
      <c r="F775" s="69">
        <v>681</v>
      </c>
    </row>
    <row r="776" spans="1:6">
      <c r="A776" s="69" t="s">
        <v>1178</v>
      </c>
      <c r="B776" s="69" t="s">
        <v>1175</v>
      </c>
      <c r="C776" s="69" t="s">
        <v>1174</v>
      </c>
      <c r="D776" s="69" t="str">
        <f t="shared" si="14"/>
        <v>Galiraya</v>
      </c>
      <c r="F776" s="69">
        <v>682</v>
      </c>
    </row>
    <row r="777" spans="1:6">
      <c r="A777" s="69" t="s">
        <v>1179</v>
      </c>
      <c r="B777" s="69" t="s">
        <v>1175</v>
      </c>
      <c r="C777" s="69" t="s">
        <v>1177</v>
      </c>
      <c r="D777" s="69" t="str">
        <f t="shared" si="14"/>
        <v>Kangulumira</v>
      </c>
      <c r="F777" s="69">
        <v>683</v>
      </c>
    </row>
    <row r="778" spans="1:6">
      <c r="A778" s="69" t="s">
        <v>1180</v>
      </c>
      <c r="B778" s="69" t="s">
        <v>1175</v>
      </c>
      <c r="C778" s="69" t="s">
        <v>1174</v>
      </c>
      <c r="D778" s="69" t="str">
        <f t="shared" si="14"/>
        <v>Kayonza-Kayunga</v>
      </c>
      <c r="F778" s="69">
        <v>684</v>
      </c>
    </row>
    <row r="779" spans="1:6">
      <c r="A779" s="69" t="s">
        <v>1175</v>
      </c>
      <c r="B779" s="69" t="s">
        <v>1175</v>
      </c>
      <c r="C779" s="69" t="s">
        <v>1177</v>
      </c>
      <c r="D779" s="69" t="str">
        <f t="shared" si="14"/>
        <v>Kayunga</v>
      </c>
      <c r="F779" s="69">
        <v>685</v>
      </c>
    </row>
    <row r="780" spans="1:6">
      <c r="A780" s="69" t="s">
        <v>1181</v>
      </c>
      <c r="B780" s="69" t="s">
        <v>1175</v>
      </c>
      <c r="C780" s="69" t="s">
        <v>1177</v>
      </c>
      <c r="D780" s="69" t="str">
        <f t="shared" si="14"/>
        <v>Kayunga Town Council</v>
      </c>
      <c r="F780" s="69">
        <v>686</v>
      </c>
    </row>
    <row r="781" spans="1:6">
      <c r="A781" s="69" t="s">
        <v>1182</v>
      </c>
      <c r="B781" s="69" t="s">
        <v>1175</v>
      </c>
      <c r="C781" s="69" t="s">
        <v>1174</v>
      </c>
      <c r="D781" s="69" t="str">
        <f t="shared" si="14"/>
        <v>Kitimbwa</v>
      </c>
      <c r="F781" s="69">
        <v>687</v>
      </c>
    </row>
    <row r="782" spans="1:6">
      <c r="A782" s="69" t="s">
        <v>1183</v>
      </c>
      <c r="B782" s="69" t="s">
        <v>1175</v>
      </c>
      <c r="C782" s="69" t="s">
        <v>1177</v>
      </c>
      <c r="D782" s="69" t="str">
        <f t="shared" si="14"/>
        <v>Nazigo</v>
      </c>
      <c r="F782" s="69">
        <v>688</v>
      </c>
    </row>
    <row r="783" spans="1:6">
      <c r="A783" s="69" t="s">
        <v>1184</v>
      </c>
      <c r="B783" s="69" t="s">
        <v>1185</v>
      </c>
      <c r="C783" s="69" t="s">
        <v>1186</v>
      </c>
      <c r="D783" s="69" t="str">
        <f t="shared" si="14"/>
        <v>Bubango</v>
      </c>
      <c r="F783" s="69">
        <v>689</v>
      </c>
    </row>
    <row r="784" spans="1:6">
      <c r="A784" s="69" t="s">
        <v>1187</v>
      </c>
      <c r="B784" s="69" t="s">
        <v>1185</v>
      </c>
      <c r="C784" s="69" t="s">
        <v>1186</v>
      </c>
      <c r="D784" s="69" t="str">
        <f t="shared" si="14"/>
        <v>Bwamiramira</v>
      </c>
      <c r="F784" s="69">
        <v>690</v>
      </c>
    </row>
    <row r="785" spans="1:6">
      <c r="A785" s="69" t="s">
        <v>1188</v>
      </c>
      <c r="B785" s="69" t="s">
        <v>1185</v>
      </c>
      <c r="C785" s="69" t="s">
        <v>1186</v>
      </c>
      <c r="D785" s="69" t="str">
        <f t="shared" si="14"/>
        <v>Kabasekende</v>
      </c>
      <c r="F785" s="69">
        <v>691</v>
      </c>
    </row>
    <row r="786" spans="1:6">
      <c r="A786" s="69" t="s">
        <v>1189</v>
      </c>
      <c r="B786" s="69" t="s">
        <v>1185</v>
      </c>
      <c r="C786" s="69" t="s">
        <v>1186</v>
      </c>
      <c r="D786" s="69" t="str">
        <f t="shared" si="14"/>
        <v>Kasimbi</v>
      </c>
      <c r="F786" s="69">
        <v>692</v>
      </c>
    </row>
    <row r="787" spans="1:6">
      <c r="A787" s="69" t="s">
        <v>1190</v>
      </c>
      <c r="B787" s="69" t="s">
        <v>1185</v>
      </c>
      <c r="C787" s="69" t="s">
        <v>1186</v>
      </c>
      <c r="D787" s="69" t="str">
        <f t="shared" si="14"/>
        <v>Kibaale Town Council</v>
      </c>
      <c r="F787" s="69">
        <v>693</v>
      </c>
    </row>
    <row r="788" spans="1:6">
      <c r="A788" s="69" t="s">
        <v>1013</v>
      </c>
      <c r="B788" s="69" t="s">
        <v>1185</v>
      </c>
      <c r="C788" s="69" t="s">
        <v>1186</v>
      </c>
      <c r="D788" s="69" t="str">
        <f t="shared" si="14"/>
        <v>Kyebando</v>
      </c>
      <c r="F788" s="69">
        <v>694</v>
      </c>
    </row>
    <row r="789" spans="1:6">
      <c r="A789" s="69" t="s">
        <v>1191</v>
      </c>
      <c r="B789" s="69" t="s">
        <v>1185</v>
      </c>
      <c r="C789" s="69" t="s">
        <v>1186</v>
      </c>
      <c r="D789" s="69" t="str">
        <f t="shared" si="14"/>
        <v>Matale</v>
      </c>
      <c r="F789" s="69">
        <v>695</v>
      </c>
    </row>
    <row r="790" spans="1:6">
      <c r="A790" s="69" t="s">
        <v>1192</v>
      </c>
      <c r="B790" s="69" t="s">
        <v>1185</v>
      </c>
      <c r="C790" s="69" t="s">
        <v>1186</v>
      </c>
      <c r="D790" s="69" t="str">
        <f t="shared" si="14"/>
        <v>Mugarama</v>
      </c>
      <c r="F790" s="69">
        <v>696</v>
      </c>
    </row>
    <row r="791" spans="1:6">
      <c r="A791" s="69" t="s">
        <v>1193</v>
      </c>
      <c r="B791" s="69" t="s">
        <v>1185</v>
      </c>
      <c r="C791" s="69" t="s">
        <v>1186</v>
      </c>
      <c r="D791" s="69" t="str">
        <f t="shared" si="14"/>
        <v>Nyamarunda</v>
      </c>
      <c r="F791" s="69">
        <v>697</v>
      </c>
    </row>
    <row r="792" spans="1:6">
      <c r="A792" s="69" t="s">
        <v>1194</v>
      </c>
      <c r="B792" s="69" t="s">
        <v>1185</v>
      </c>
      <c r="C792" s="69" t="s">
        <v>1186</v>
      </c>
      <c r="D792" s="69" t="str">
        <f t="shared" si="14"/>
        <v>Nyamarwa</v>
      </c>
      <c r="F792" s="69">
        <v>698</v>
      </c>
    </row>
    <row r="793" spans="1:6">
      <c r="A793" s="69" t="s">
        <v>1195</v>
      </c>
      <c r="B793" s="69" t="s">
        <v>1196</v>
      </c>
      <c r="C793" s="69" t="s">
        <v>1196</v>
      </c>
      <c r="D793" s="69" t="str">
        <f t="shared" si="14"/>
        <v>Bukomero</v>
      </c>
      <c r="F793" s="69">
        <v>699</v>
      </c>
    </row>
    <row r="794" spans="1:6">
      <c r="A794" s="69" t="s">
        <v>1197</v>
      </c>
      <c r="B794" s="69" t="s">
        <v>1196</v>
      </c>
      <c r="C794" s="69" t="s">
        <v>1196</v>
      </c>
      <c r="D794" s="69" t="str">
        <f t="shared" si="14"/>
        <v>Bukomero Town Council</v>
      </c>
      <c r="F794" s="69">
        <v>700</v>
      </c>
    </row>
    <row r="795" spans="1:6">
      <c r="A795" s="69" t="s">
        <v>1198</v>
      </c>
      <c r="B795" s="69" t="s">
        <v>1196</v>
      </c>
      <c r="C795" s="69" t="s">
        <v>1196</v>
      </c>
      <c r="D795" s="69" t="str">
        <f t="shared" si="14"/>
        <v>Ddwaniro-Kiboga</v>
      </c>
      <c r="F795" s="69">
        <v>701</v>
      </c>
    </row>
    <row r="796" spans="1:6">
      <c r="A796" s="69" t="s">
        <v>1199</v>
      </c>
      <c r="B796" s="69" t="s">
        <v>1196</v>
      </c>
      <c r="C796" s="69" t="s">
        <v>1196</v>
      </c>
      <c r="D796" s="69" t="str">
        <f t="shared" si="14"/>
        <v>Kapeke</v>
      </c>
      <c r="F796" s="69">
        <v>702</v>
      </c>
    </row>
    <row r="797" spans="1:6">
      <c r="A797" s="69" t="s">
        <v>1200</v>
      </c>
      <c r="B797" s="69" t="s">
        <v>1196</v>
      </c>
      <c r="C797" s="69" t="s">
        <v>1196</v>
      </c>
      <c r="D797" s="69" t="str">
        <f t="shared" si="14"/>
        <v>Kibiga</v>
      </c>
      <c r="F797" s="69">
        <v>703</v>
      </c>
    </row>
    <row r="798" spans="1:6">
      <c r="A798" s="69" t="s">
        <v>1201</v>
      </c>
      <c r="B798" s="69" t="s">
        <v>1196</v>
      </c>
      <c r="C798" s="69" t="s">
        <v>1196</v>
      </c>
      <c r="D798" s="69" t="str">
        <f t="shared" si="14"/>
        <v>Kiboga Town Council</v>
      </c>
      <c r="F798" s="69">
        <v>704</v>
      </c>
    </row>
    <row r="799" spans="1:6">
      <c r="A799" s="69" t="s">
        <v>1202</v>
      </c>
      <c r="B799" s="69" t="s">
        <v>1196</v>
      </c>
      <c r="C799" s="69" t="s">
        <v>1196</v>
      </c>
      <c r="D799" s="69" t="str">
        <f t="shared" si="14"/>
        <v>Lwamata</v>
      </c>
      <c r="F799" s="69">
        <v>705</v>
      </c>
    </row>
    <row r="800" spans="1:6">
      <c r="A800" s="69" t="s">
        <v>1203</v>
      </c>
      <c r="B800" s="69" t="s">
        <v>1196</v>
      </c>
      <c r="C800" s="69" t="s">
        <v>1196</v>
      </c>
      <c r="D800" s="69" t="str">
        <f t="shared" si="14"/>
        <v>Muwanga</v>
      </c>
      <c r="F800" s="69">
        <v>706</v>
      </c>
    </row>
    <row r="801" spans="1:6">
      <c r="A801" s="69" t="s">
        <v>1204</v>
      </c>
      <c r="B801" s="69" t="s">
        <v>1205</v>
      </c>
      <c r="C801" s="69" t="s">
        <v>1205</v>
      </c>
      <c r="D801" s="69" t="str">
        <f t="shared" si="14"/>
        <v>Bulangira</v>
      </c>
      <c r="F801" s="69">
        <v>707</v>
      </c>
    </row>
    <row r="802" spans="1:6">
      <c r="A802" s="69" t="s">
        <v>1206</v>
      </c>
      <c r="B802" s="69" t="s">
        <v>1205</v>
      </c>
      <c r="C802" s="69" t="s">
        <v>1205</v>
      </c>
      <c r="D802" s="69" t="str">
        <f t="shared" si="14"/>
        <v>Buseta</v>
      </c>
      <c r="F802" s="69">
        <v>708</v>
      </c>
    </row>
    <row r="803" spans="1:6">
      <c r="A803" s="69" t="s">
        <v>1207</v>
      </c>
      <c r="B803" s="69" t="s">
        <v>1205</v>
      </c>
      <c r="C803" s="69" t="s">
        <v>1205</v>
      </c>
      <c r="D803" s="69" t="str">
        <f t="shared" si="14"/>
        <v>Kabweri</v>
      </c>
      <c r="F803" s="69">
        <v>709</v>
      </c>
    </row>
    <row r="804" spans="1:6">
      <c r="A804" s="69" t="s">
        <v>1208</v>
      </c>
      <c r="B804" s="69" t="s">
        <v>1205</v>
      </c>
      <c r="C804" s="69" t="s">
        <v>1205</v>
      </c>
      <c r="D804" s="69" t="str">
        <f t="shared" si="14"/>
        <v>Kadama</v>
      </c>
      <c r="F804" s="69">
        <v>710</v>
      </c>
    </row>
    <row r="805" spans="1:6">
      <c r="A805" s="69" t="s">
        <v>1209</v>
      </c>
      <c r="B805" s="69" t="s">
        <v>1205</v>
      </c>
      <c r="C805" s="69" t="s">
        <v>1205</v>
      </c>
      <c r="D805" s="69" t="str">
        <f t="shared" si="14"/>
        <v>Kagumu</v>
      </c>
      <c r="F805" s="69">
        <v>711</v>
      </c>
    </row>
    <row r="806" spans="1:6">
      <c r="A806" s="69" t="s">
        <v>1210</v>
      </c>
      <c r="B806" s="69" t="s">
        <v>1205</v>
      </c>
      <c r="C806" s="69" t="s">
        <v>1205</v>
      </c>
      <c r="D806" s="69" t="str">
        <f t="shared" si="14"/>
        <v>Kasasira</v>
      </c>
      <c r="F806" s="69">
        <v>712</v>
      </c>
    </row>
    <row r="807" spans="1:6">
      <c r="A807" s="69" t="s">
        <v>1205</v>
      </c>
      <c r="B807" s="69" t="s">
        <v>1205</v>
      </c>
      <c r="C807" s="69" t="s">
        <v>1205</v>
      </c>
      <c r="D807" s="69" t="str">
        <f t="shared" si="14"/>
        <v>Kibuku</v>
      </c>
      <c r="F807" s="69">
        <v>713</v>
      </c>
    </row>
    <row r="808" spans="1:6">
      <c r="A808" s="69" t="s">
        <v>1211</v>
      </c>
      <c r="B808" s="69" t="s">
        <v>1205</v>
      </c>
      <c r="C808" s="69" t="s">
        <v>1205</v>
      </c>
      <c r="D808" s="69" t="str">
        <f t="shared" si="14"/>
        <v>Kibuku Town Council</v>
      </c>
      <c r="F808" s="69">
        <v>714</v>
      </c>
    </row>
    <row r="809" spans="1:6">
      <c r="A809" s="69" t="s">
        <v>1212</v>
      </c>
      <c r="B809" s="69" t="s">
        <v>1205</v>
      </c>
      <c r="C809" s="69" t="s">
        <v>1205</v>
      </c>
      <c r="D809" s="69" t="str">
        <f t="shared" si="14"/>
        <v>Kirika</v>
      </c>
      <c r="F809" s="69">
        <v>715</v>
      </c>
    </row>
    <row r="810" spans="1:6">
      <c r="A810" s="69" t="s">
        <v>1213</v>
      </c>
      <c r="B810" s="69" t="s">
        <v>1205</v>
      </c>
      <c r="C810" s="69" t="s">
        <v>1205</v>
      </c>
      <c r="D810" s="69" t="str">
        <f t="shared" si="14"/>
        <v>Tirinyi</v>
      </c>
      <c r="F810" s="69">
        <v>716</v>
      </c>
    </row>
    <row r="811" spans="1:6">
      <c r="A811" s="69" t="s">
        <v>1214</v>
      </c>
      <c r="B811" s="69" t="s">
        <v>1215</v>
      </c>
      <c r="C811" s="69" t="s">
        <v>1216</v>
      </c>
      <c r="D811" s="69" t="str">
        <f t="shared" si="14"/>
        <v>Buremba</v>
      </c>
      <c r="F811" s="69">
        <v>717</v>
      </c>
    </row>
    <row r="812" spans="1:6">
      <c r="A812" s="69" t="s">
        <v>1217</v>
      </c>
      <c r="B812" s="69" t="s">
        <v>1215</v>
      </c>
      <c r="C812" s="69" t="s">
        <v>1216</v>
      </c>
      <c r="D812" s="69" t="str">
        <f t="shared" si="14"/>
        <v>Burunga</v>
      </c>
      <c r="F812" s="69">
        <v>718</v>
      </c>
    </row>
    <row r="813" spans="1:6">
      <c r="A813" s="69" t="s">
        <v>1218</v>
      </c>
      <c r="B813" s="69" t="s">
        <v>1215</v>
      </c>
      <c r="C813" s="69" t="s">
        <v>1216</v>
      </c>
      <c r="D813" s="69" t="str">
        <f t="shared" si="14"/>
        <v>Engari</v>
      </c>
      <c r="F813" s="69">
        <v>719</v>
      </c>
    </row>
    <row r="814" spans="1:6">
      <c r="A814" s="69" t="s">
        <v>1219</v>
      </c>
      <c r="B814" s="69" t="s">
        <v>1215</v>
      </c>
      <c r="C814" s="69" t="s">
        <v>1216</v>
      </c>
      <c r="D814" s="69" t="str">
        <f t="shared" si="14"/>
        <v>Kanoni</v>
      </c>
      <c r="F814" s="69">
        <v>720</v>
      </c>
    </row>
    <row r="815" spans="1:6">
      <c r="A815" s="69" t="s">
        <v>1220</v>
      </c>
      <c r="B815" s="69" t="s">
        <v>1215</v>
      </c>
      <c r="C815" s="69" t="s">
        <v>1221</v>
      </c>
      <c r="D815" s="69" t="str">
        <f t="shared" si="14"/>
        <v>Kanyaryeru</v>
      </c>
      <c r="F815" s="69">
        <v>721</v>
      </c>
    </row>
    <row r="816" spans="1:6">
      <c r="A816" s="69" t="s">
        <v>1222</v>
      </c>
      <c r="B816" s="69" t="s">
        <v>1215</v>
      </c>
      <c r="C816" s="69" t="s">
        <v>1221</v>
      </c>
      <c r="D816" s="69" t="str">
        <f t="shared" si="14"/>
        <v>Kashongi</v>
      </c>
      <c r="F816" s="69">
        <v>722</v>
      </c>
    </row>
    <row r="817" spans="1:6">
      <c r="A817" s="69" t="s">
        <v>1216</v>
      </c>
      <c r="B817" s="69" t="s">
        <v>1215</v>
      </c>
      <c r="C817" s="69" t="s">
        <v>1216</v>
      </c>
      <c r="D817" s="69" t="str">
        <f t="shared" si="14"/>
        <v>Kazo</v>
      </c>
      <c r="F817" s="69">
        <v>723</v>
      </c>
    </row>
    <row r="818" spans="1:6">
      <c r="A818" s="69" t="s">
        <v>1223</v>
      </c>
      <c r="B818" s="69" t="s">
        <v>1215</v>
      </c>
      <c r="C818" s="69" t="s">
        <v>1216</v>
      </c>
      <c r="D818" s="69" t="str">
        <f t="shared" si="14"/>
        <v>Kazo Town Council</v>
      </c>
      <c r="F818" s="69">
        <v>724</v>
      </c>
    </row>
    <row r="819" spans="1:6">
      <c r="A819" s="69" t="s">
        <v>1224</v>
      </c>
      <c r="B819" s="69" t="s">
        <v>1215</v>
      </c>
      <c r="C819" s="69" t="s">
        <v>1221</v>
      </c>
      <c r="D819" s="69" t="str">
        <f t="shared" si="14"/>
        <v>Kenshunga</v>
      </c>
      <c r="F819" s="69">
        <v>725</v>
      </c>
    </row>
    <row r="820" spans="1:6">
      <c r="A820" s="69" t="s">
        <v>1225</v>
      </c>
      <c r="B820" s="69" t="s">
        <v>1215</v>
      </c>
      <c r="C820" s="69" t="s">
        <v>1221</v>
      </c>
      <c r="D820" s="69" t="str">
        <f t="shared" si="14"/>
        <v>Kikaatsi</v>
      </c>
      <c r="F820" s="69">
        <v>726</v>
      </c>
    </row>
    <row r="821" spans="1:6">
      <c r="A821" s="69" t="s">
        <v>1226</v>
      </c>
      <c r="B821" s="69" t="s">
        <v>1215</v>
      </c>
      <c r="C821" s="69" t="s">
        <v>1221</v>
      </c>
      <c r="D821" s="69" t="str">
        <f t="shared" si="14"/>
        <v>Kinoni-Kiruhura</v>
      </c>
      <c r="F821" s="69">
        <v>727</v>
      </c>
    </row>
    <row r="822" spans="1:6">
      <c r="A822" s="69" t="s">
        <v>1227</v>
      </c>
      <c r="B822" s="69" t="s">
        <v>1215</v>
      </c>
      <c r="C822" s="69" t="s">
        <v>1221</v>
      </c>
      <c r="D822" s="69" t="str">
        <f t="shared" si="14"/>
        <v>Kiruhura Town Council</v>
      </c>
      <c r="F822" s="69">
        <v>728</v>
      </c>
    </row>
    <row r="823" spans="1:6">
      <c r="A823" s="69" t="s">
        <v>1228</v>
      </c>
      <c r="B823" s="69" t="s">
        <v>1215</v>
      </c>
      <c r="C823" s="69" t="s">
        <v>1221</v>
      </c>
      <c r="D823" s="69" t="str">
        <f t="shared" si="14"/>
        <v>Kitura</v>
      </c>
      <c r="F823" s="69">
        <v>729</v>
      </c>
    </row>
    <row r="824" spans="1:6">
      <c r="A824" s="69" t="s">
        <v>1229</v>
      </c>
      <c r="B824" s="69" t="s">
        <v>1215</v>
      </c>
      <c r="C824" s="69" t="s">
        <v>1216</v>
      </c>
      <c r="D824" s="69" t="str">
        <f t="shared" si="14"/>
        <v>Nkungu</v>
      </c>
      <c r="F824" s="69">
        <v>730</v>
      </c>
    </row>
    <row r="825" spans="1:6">
      <c r="A825" s="69" t="s">
        <v>1230</v>
      </c>
      <c r="B825" s="69" t="s">
        <v>1215</v>
      </c>
      <c r="C825" s="69" t="s">
        <v>1221</v>
      </c>
      <c r="D825" s="69" t="str">
        <f t="shared" si="14"/>
        <v>Nyakashashara</v>
      </c>
      <c r="F825" s="69">
        <v>731</v>
      </c>
    </row>
    <row r="826" spans="1:6">
      <c r="A826" s="69" t="s">
        <v>1231</v>
      </c>
      <c r="B826" s="69" t="s">
        <v>1215</v>
      </c>
      <c r="C826" s="69" t="s">
        <v>1216</v>
      </c>
      <c r="D826" s="69" t="str">
        <f t="shared" si="14"/>
        <v>Rwemikoma</v>
      </c>
      <c r="F826" s="69">
        <v>732</v>
      </c>
    </row>
    <row r="827" spans="1:6">
      <c r="A827" s="69" t="s">
        <v>1232</v>
      </c>
      <c r="B827" s="69" t="s">
        <v>1215</v>
      </c>
      <c r="C827" s="69" t="s">
        <v>1221</v>
      </c>
      <c r="D827" s="69" t="str">
        <f t="shared" si="14"/>
        <v>Sanga</v>
      </c>
      <c r="F827" s="69">
        <v>733</v>
      </c>
    </row>
    <row r="828" spans="1:6">
      <c r="A828" s="69" t="s">
        <v>1233</v>
      </c>
      <c r="B828" s="69" t="s">
        <v>1215</v>
      </c>
      <c r="C828" s="69" t="s">
        <v>1221</v>
      </c>
      <c r="D828" s="69" t="str">
        <f t="shared" si="14"/>
        <v>Sanga Town Council</v>
      </c>
      <c r="F828" s="69">
        <v>734</v>
      </c>
    </row>
    <row r="829" spans="1:6">
      <c r="A829" s="69" t="s">
        <v>1234</v>
      </c>
      <c r="B829" s="69" t="s">
        <v>1235</v>
      </c>
      <c r="C829" s="69" t="s">
        <v>1236</v>
      </c>
      <c r="D829" s="69" t="str">
        <f t="shared" si="14"/>
        <v>Bweyale Town Council</v>
      </c>
      <c r="F829" s="69">
        <v>735</v>
      </c>
    </row>
    <row r="830" spans="1:6">
      <c r="A830" s="69" t="s">
        <v>1237</v>
      </c>
      <c r="B830" s="69" t="s">
        <v>1235</v>
      </c>
      <c r="C830" s="69" t="s">
        <v>1236</v>
      </c>
      <c r="D830" s="69" t="str">
        <f t="shared" si="14"/>
        <v>Kigumba</v>
      </c>
      <c r="F830" s="69">
        <v>736</v>
      </c>
    </row>
    <row r="831" spans="1:6">
      <c r="A831" s="69" t="s">
        <v>1238</v>
      </c>
      <c r="B831" s="69" t="s">
        <v>1235</v>
      </c>
      <c r="C831" s="69" t="s">
        <v>1236</v>
      </c>
      <c r="D831" s="69" t="str">
        <f t="shared" si="14"/>
        <v>Kigumba Town Council</v>
      </c>
      <c r="F831" s="69">
        <v>737</v>
      </c>
    </row>
    <row r="832" spans="1:6">
      <c r="A832" s="69" t="s">
        <v>1235</v>
      </c>
      <c r="B832" s="69" t="s">
        <v>1235</v>
      </c>
      <c r="C832" s="69" t="s">
        <v>1236</v>
      </c>
      <c r="D832" s="69" t="str">
        <f t="shared" si="14"/>
        <v>Kiryandongo</v>
      </c>
      <c r="F832" s="69">
        <v>738</v>
      </c>
    </row>
    <row r="833" spans="1:6">
      <c r="A833" s="69" t="s">
        <v>1239</v>
      </c>
      <c r="B833" s="69" t="s">
        <v>1235</v>
      </c>
      <c r="C833" s="69" t="s">
        <v>1236</v>
      </c>
      <c r="D833" s="69" t="str">
        <f t="shared" si="14"/>
        <v>Kiryandongo Refugee Camp</v>
      </c>
      <c r="F833" s="69">
        <v>739</v>
      </c>
    </row>
    <row r="834" spans="1:6">
      <c r="A834" s="69" t="s">
        <v>1240</v>
      </c>
      <c r="B834" s="69" t="s">
        <v>1235</v>
      </c>
      <c r="C834" s="69" t="s">
        <v>1236</v>
      </c>
      <c r="D834" s="69" t="str">
        <f t="shared" ref="D834:D897" si="15">A834</f>
        <v>Kiryandongo Town Council</v>
      </c>
      <c r="F834" s="69">
        <v>740</v>
      </c>
    </row>
    <row r="835" spans="1:6">
      <c r="A835" s="69" t="s">
        <v>1241</v>
      </c>
      <c r="B835" s="69" t="s">
        <v>1235</v>
      </c>
      <c r="C835" s="69" t="s">
        <v>1236</v>
      </c>
      <c r="D835" s="69" t="str">
        <f t="shared" si="15"/>
        <v>Masindi Port</v>
      </c>
      <c r="F835" s="69">
        <v>741</v>
      </c>
    </row>
    <row r="836" spans="1:6">
      <c r="A836" s="69" t="s">
        <v>1242</v>
      </c>
      <c r="B836" s="69" t="s">
        <v>1235</v>
      </c>
      <c r="C836" s="69" t="s">
        <v>1236</v>
      </c>
      <c r="D836" s="69" t="str">
        <f t="shared" si="15"/>
        <v>Mutunda</v>
      </c>
      <c r="F836" s="69">
        <v>742</v>
      </c>
    </row>
    <row r="837" spans="1:6">
      <c r="A837" s="69" t="s">
        <v>1243</v>
      </c>
      <c r="B837" s="69" t="s">
        <v>1244</v>
      </c>
      <c r="C837" s="69" t="s">
        <v>1245</v>
      </c>
      <c r="D837" s="69" t="str">
        <f t="shared" si="15"/>
        <v>Bukimbiri</v>
      </c>
      <c r="F837" s="69">
        <v>743</v>
      </c>
    </row>
    <row r="838" spans="1:6">
      <c r="A838" s="69" t="s">
        <v>1246</v>
      </c>
      <c r="B838" s="69" t="s">
        <v>1244</v>
      </c>
      <c r="C838" s="69" t="s">
        <v>1245</v>
      </c>
      <c r="D838" s="69" t="str">
        <f t="shared" si="15"/>
        <v>Busanza</v>
      </c>
      <c r="F838" s="69">
        <v>744</v>
      </c>
    </row>
    <row r="839" spans="1:6">
      <c r="A839" s="69" t="s">
        <v>1247</v>
      </c>
      <c r="B839" s="69" t="s">
        <v>1244</v>
      </c>
      <c r="C839" s="69" t="s">
        <v>1245</v>
      </c>
      <c r="D839" s="69" t="str">
        <f t="shared" si="15"/>
        <v>Chahi</v>
      </c>
      <c r="F839" s="69">
        <v>745</v>
      </c>
    </row>
    <row r="840" spans="1:6">
      <c r="A840" s="69" t="s">
        <v>1248</v>
      </c>
      <c r="B840" s="69" t="s">
        <v>1244</v>
      </c>
      <c r="C840" s="69" t="s">
        <v>1245</v>
      </c>
      <c r="D840" s="69" t="str">
        <f t="shared" si="15"/>
        <v>Kanaba</v>
      </c>
      <c r="F840" s="69">
        <v>746</v>
      </c>
    </row>
    <row r="841" spans="1:6">
      <c r="A841" s="69" t="s">
        <v>1249</v>
      </c>
      <c r="B841" s="69" t="s">
        <v>1244</v>
      </c>
      <c r="C841" s="69" t="s">
        <v>1245</v>
      </c>
      <c r="D841" s="69" t="str">
        <f t="shared" si="15"/>
        <v>Kirundo</v>
      </c>
      <c r="F841" s="69">
        <v>747</v>
      </c>
    </row>
    <row r="842" spans="1:6">
      <c r="A842" s="69" t="s">
        <v>1250</v>
      </c>
      <c r="B842" s="69" t="s">
        <v>1244</v>
      </c>
      <c r="C842" s="69" t="s">
        <v>1250</v>
      </c>
      <c r="D842" s="69" t="str">
        <f t="shared" si="15"/>
        <v>Kisoro Municipality</v>
      </c>
      <c r="F842" s="69">
        <v>748</v>
      </c>
    </row>
    <row r="843" spans="1:6">
      <c r="A843" s="69" t="s">
        <v>1251</v>
      </c>
      <c r="B843" s="69" t="s">
        <v>1244</v>
      </c>
      <c r="C843" s="69" t="s">
        <v>1245</v>
      </c>
      <c r="D843" s="69" t="str">
        <f t="shared" si="15"/>
        <v>Muramba</v>
      </c>
      <c r="F843" s="69">
        <v>749</v>
      </c>
    </row>
    <row r="844" spans="1:6">
      <c r="A844" s="69" t="s">
        <v>1252</v>
      </c>
      <c r="B844" s="69" t="s">
        <v>1244</v>
      </c>
      <c r="C844" s="69" t="s">
        <v>1245</v>
      </c>
      <c r="D844" s="69" t="str">
        <f t="shared" si="15"/>
        <v>Murora</v>
      </c>
      <c r="F844" s="69">
        <v>750</v>
      </c>
    </row>
    <row r="845" spans="1:6">
      <c r="A845" s="69" t="s">
        <v>1253</v>
      </c>
      <c r="B845" s="69" t="s">
        <v>1244</v>
      </c>
      <c r="C845" s="69" t="s">
        <v>1245</v>
      </c>
      <c r="D845" s="69" t="str">
        <f t="shared" si="15"/>
        <v>Nyabwishenya</v>
      </c>
      <c r="F845" s="69">
        <v>751</v>
      </c>
    </row>
    <row r="846" spans="1:6">
      <c r="A846" s="69" t="s">
        <v>1254</v>
      </c>
      <c r="B846" s="69" t="s">
        <v>1244</v>
      </c>
      <c r="C846" s="69" t="s">
        <v>1245</v>
      </c>
      <c r="D846" s="69" t="str">
        <f t="shared" si="15"/>
        <v>Nyakabande</v>
      </c>
      <c r="F846" s="69">
        <v>752</v>
      </c>
    </row>
    <row r="847" spans="1:6">
      <c r="A847" s="69" t="s">
        <v>1255</v>
      </c>
      <c r="B847" s="69" t="s">
        <v>1244</v>
      </c>
      <c r="C847" s="69" t="s">
        <v>1245</v>
      </c>
      <c r="D847" s="69" t="str">
        <f t="shared" si="15"/>
        <v>Nyakinama</v>
      </c>
      <c r="F847" s="69">
        <v>753</v>
      </c>
    </row>
    <row r="848" spans="1:6">
      <c r="A848" s="69" t="s">
        <v>1256</v>
      </c>
      <c r="B848" s="69" t="s">
        <v>1244</v>
      </c>
      <c r="C848" s="69" t="s">
        <v>1245</v>
      </c>
      <c r="D848" s="69" t="str">
        <f t="shared" si="15"/>
        <v>Nyarubuye</v>
      </c>
      <c r="F848" s="69">
        <v>754</v>
      </c>
    </row>
    <row r="849" spans="1:6">
      <c r="A849" s="69" t="s">
        <v>1257</v>
      </c>
      <c r="B849" s="69" t="s">
        <v>1244</v>
      </c>
      <c r="C849" s="69" t="s">
        <v>1245</v>
      </c>
      <c r="D849" s="69" t="str">
        <f t="shared" si="15"/>
        <v>Nyarusiza</v>
      </c>
      <c r="F849" s="69">
        <v>755</v>
      </c>
    </row>
    <row r="850" spans="1:6">
      <c r="A850" s="69" t="s">
        <v>1258</v>
      </c>
      <c r="B850" s="69" t="s">
        <v>1244</v>
      </c>
      <c r="C850" s="69" t="s">
        <v>1245</v>
      </c>
      <c r="D850" s="69" t="str">
        <f t="shared" si="15"/>
        <v>Nyundo</v>
      </c>
      <c r="F850" s="69">
        <v>756</v>
      </c>
    </row>
    <row r="851" spans="1:6">
      <c r="A851" s="69" t="s">
        <v>1259</v>
      </c>
      <c r="B851" s="69" t="s">
        <v>1244</v>
      </c>
      <c r="C851" s="69" t="s">
        <v>1245</v>
      </c>
      <c r="D851" s="69" t="str">
        <f t="shared" si="15"/>
        <v>Rubuguri Town Council</v>
      </c>
      <c r="F851" s="69">
        <v>757</v>
      </c>
    </row>
    <row r="852" spans="1:6">
      <c r="A852" s="69" t="s">
        <v>1260</v>
      </c>
      <c r="B852" s="69" t="s">
        <v>1261</v>
      </c>
      <c r="C852" s="69" t="s">
        <v>1262</v>
      </c>
      <c r="D852" s="69" t="str">
        <f t="shared" si="15"/>
        <v>Kitgum Matidi</v>
      </c>
      <c r="F852" s="69">
        <v>758</v>
      </c>
    </row>
    <row r="853" spans="1:6">
      <c r="A853" s="69" t="s">
        <v>1263</v>
      </c>
      <c r="B853" s="69" t="s">
        <v>1261</v>
      </c>
      <c r="C853" s="69" t="s">
        <v>1263</v>
      </c>
      <c r="D853" s="69" t="str">
        <f t="shared" si="15"/>
        <v>Kitgum Municipality</v>
      </c>
      <c r="F853" s="69">
        <v>759</v>
      </c>
    </row>
    <row r="854" spans="1:6">
      <c r="A854" s="69" t="s">
        <v>1264</v>
      </c>
      <c r="B854" s="69" t="s">
        <v>1261</v>
      </c>
      <c r="C854" s="69" t="s">
        <v>1262</v>
      </c>
      <c r="D854" s="69" t="str">
        <f t="shared" si="15"/>
        <v>Labongo Akwang</v>
      </c>
      <c r="F854" s="69">
        <v>760</v>
      </c>
    </row>
    <row r="855" spans="1:6">
      <c r="A855" s="69" t="s">
        <v>1265</v>
      </c>
      <c r="B855" s="69" t="s">
        <v>1261</v>
      </c>
      <c r="C855" s="69" t="s">
        <v>1262</v>
      </c>
      <c r="D855" s="69" t="str">
        <f t="shared" si="15"/>
        <v>Labongo Amida</v>
      </c>
      <c r="F855" s="69">
        <v>761</v>
      </c>
    </row>
    <row r="856" spans="1:6">
      <c r="A856" s="69" t="s">
        <v>1266</v>
      </c>
      <c r="B856" s="69" t="s">
        <v>1261</v>
      </c>
      <c r="C856" s="69" t="s">
        <v>1262</v>
      </c>
      <c r="D856" s="69" t="str">
        <f t="shared" si="15"/>
        <v>Labongo Layamo</v>
      </c>
      <c r="F856" s="69">
        <v>762</v>
      </c>
    </row>
    <row r="857" spans="1:6">
      <c r="A857" s="69" t="s">
        <v>1267</v>
      </c>
      <c r="B857" s="69" t="s">
        <v>1261</v>
      </c>
      <c r="C857" s="69" t="s">
        <v>1262</v>
      </c>
      <c r="D857" s="69" t="str">
        <f t="shared" si="15"/>
        <v>Lagoro</v>
      </c>
      <c r="F857" s="69">
        <v>763</v>
      </c>
    </row>
    <row r="858" spans="1:6">
      <c r="A858" s="69" t="s">
        <v>1268</v>
      </c>
      <c r="B858" s="69" t="s">
        <v>1261</v>
      </c>
      <c r="C858" s="69" t="s">
        <v>1262</v>
      </c>
      <c r="D858" s="69" t="str">
        <f t="shared" si="15"/>
        <v>Mucwini</v>
      </c>
      <c r="F858" s="69">
        <v>764</v>
      </c>
    </row>
    <row r="859" spans="1:6">
      <c r="A859" s="69" t="s">
        <v>1269</v>
      </c>
      <c r="B859" s="69" t="s">
        <v>1261</v>
      </c>
      <c r="C859" s="69" t="s">
        <v>1262</v>
      </c>
      <c r="D859" s="69" t="str">
        <f t="shared" si="15"/>
        <v>Namokora</v>
      </c>
      <c r="F859" s="69">
        <v>765</v>
      </c>
    </row>
    <row r="860" spans="1:6">
      <c r="A860" s="69" t="s">
        <v>1270</v>
      </c>
      <c r="B860" s="69" t="s">
        <v>1261</v>
      </c>
      <c r="C860" s="69" t="s">
        <v>1262</v>
      </c>
      <c r="D860" s="69" t="str">
        <f t="shared" si="15"/>
        <v>Omiya Anyima</v>
      </c>
      <c r="F860" s="69">
        <v>766</v>
      </c>
    </row>
    <row r="861" spans="1:6">
      <c r="A861" s="69" t="s">
        <v>1271</v>
      </c>
      <c r="B861" s="69" t="s">
        <v>1261</v>
      </c>
      <c r="C861" s="69" t="s">
        <v>1262</v>
      </c>
      <c r="D861" s="69" t="str">
        <f t="shared" si="15"/>
        <v>Orom</v>
      </c>
      <c r="F861" s="69">
        <v>767</v>
      </c>
    </row>
    <row r="862" spans="1:6">
      <c r="A862" s="69" t="s">
        <v>1272</v>
      </c>
      <c r="B862" s="69" t="s">
        <v>1273</v>
      </c>
      <c r="C862" s="69" t="s">
        <v>1273</v>
      </c>
      <c r="D862" s="69" t="str">
        <f t="shared" si="15"/>
        <v>Abuku</v>
      </c>
      <c r="F862" s="69">
        <v>768</v>
      </c>
    </row>
    <row r="863" spans="1:6">
      <c r="A863" s="69" t="s">
        <v>1274</v>
      </c>
      <c r="B863" s="69" t="s">
        <v>1273</v>
      </c>
      <c r="C863" s="69" t="s">
        <v>1273</v>
      </c>
      <c r="D863" s="69" t="str">
        <f t="shared" si="15"/>
        <v>Dranya</v>
      </c>
      <c r="F863" s="69">
        <v>769</v>
      </c>
    </row>
    <row r="864" spans="1:6">
      <c r="A864" s="69" t="s">
        <v>1275</v>
      </c>
      <c r="B864" s="69" t="s">
        <v>1273</v>
      </c>
      <c r="C864" s="69" t="s">
        <v>1275</v>
      </c>
      <c r="D864" s="69" t="str">
        <f t="shared" si="15"/>
        <v>Koboko Municipality</v>
      </c>
      <c r="F864" s="69">
        <v>770</v>
      </c>
    </row>
    <row r="865" spans="1:6">
      <c r="A865" s="69" t="s">
        <v>1276</v>
      </c>
      <c r="B865" s="69" t="s">
        <v>1273</v>
      </c>
      <c r="C865" s="69" t="s">
        <v>1273</v>
      </c>
      <c r="D865" s="69" t="str">
        <f t="shared" si="15"/>
        <v>Kuluba</v>
      </c>
      <c r="F865" s="69">
        <v>771</v>
      </c>
    </row>
    <row r="866" spans="1:6">
      <c r="A866" s="69" t="s">
        <v>1277</v>
      </c>
      <c r="B866" s="69" t="s">
        <v>1273</v>
      </c>
      <c r="C866" s="69" t="s">
        <v>1273</v>
      </c>
      <c r="D866" s="69" t="str">
        <f t="shared" si="15"/>
        <v>Lobule</v>
      </c>
      <c r="F866" s="69">
        <v>772</v>
      </c>
    </row>
    <row r="867" spans="1:6">
      <c r="A867" s="69" t="s">
        <v>1278</v>
      </c>
      <c r="B867" s="69" t="s">
        <v>1273</v>
      </c>
      <c r="C867" s="69" t="s">
        <v>1273</v>
      </c>
      <c r="D867" s="69" t="str">
        <f t="shared" si="15"/>
        <v>Ludara</v>
      </c>
      <c r="F867" s="69">
        <v>773</v>
      </c>
    </row>
    <row r="868" spans="1:6">
      <c r="A868" s="69" t="s">
        <v>1279</v>
      </c>
      <c r="B868" s="69" t="s">
        <v>1273</v>
      </c>
      <c r="C868" s="69" t="s">
        <v>1273</v>
      </c>
      <c r="D868" s="69" t="str">
        <f t="shared" si="15"/>
        <v>Midia</v>
      </c>
      <c r="F868" s="69">
        <v>774</v>
      </c>
    </row>
    <row r="869" spans="1:6">
      <c r="A869" s="69" t="s">
        <v>1280</v>
      </c>
      <c r="B869" s="69" t="s">
        <v>1281</v>
      </c>
      <c r="C869" s="69" t="s">
        <v>1281</v>
      </c>
      <c r="D869" s="69" t="str">
        <f t="shared" si="15"/>
        <v>Aboke</v>
      </c>
      <c r="F869" s="69">
        <v>775</v>
      </c>
    </row>
    <row r="870" spans="1:6">
      <c r="A870" s="69" t="s">
        <v>1282</v>
      </c>
      <c r="B870" s="69" t="s">
        <v>1281</v>
      </c>
      <c r="C870" s="69" t="s">
        <v>1281</v>
      </c>
      <c r="D870" s="69" t="str">
        <f t="shared" si="15"/>
        <v>Akalo</v>
      </c>
      <c r="F870" s="69">
        <v>776</v>
      </c>
    </row>
    <row r="871" spans="1:6">
      <c r="A871" s="69" t="s">
        <v>1283</v>
      </c>
      <c r="B871" s="69" t="s">
        <v>1281</v>
      </c>
      <c r="C871" s="69" t="s">
        <v>1281</v>
      </c>
      <c r="D871" s="69" t="str">
        <f t="shared" si="15"/>
        <v>Alito</v>
      </c>
      <c r="F871" s="69">
        <v>777</v>
      </c>
    </row>
    <row r="872" spans="1:6">
      <c r="A872" s="69" t="s">
        <v>1284</v>
      </c>
      <c r="B872" s="69" t="s">
        <v>1281</v>
      </c>
      <c r="C872" s="69" t="s">
        <v>1281</v>
      </c>
      <c r="D872" s="69" t="str">
        <f t="shared" si="15"/>
        <v>Ayer</v>
      </c>
      <c r="F872" s="69">
        <v>778</v>
      </c>
    </row>
    <row r="873" spans="1:6">
      <c r="A873" s="69" t="s">
        <v>1285</v>
      </c>
      <c r="B873" s="69" t="s">
        <v>1281</v>
      </c>
      <c r="C873" s="69" t="s">
        <v>1281</v>
      </c>
      <c r="D873" s="69" t="str">
        <f t="shared" si="15"/>
        <v>Bala</v>
      </c>
      <c r="F873" s="69">
        <v>779</v>
      </c>
    </row>
    <row r="874" spans="1:6">
      <c r="A874" s="69" t="s">
        <v>1286</v>
      </c>
      <c r="B874" s="69" t="s">
        <v>1281</v>
      </c>
      <c r="C874" s="69" t="s">
        <v>1281</v>
      </c>
      <c r="D874" s="69" t="str">
        <f t="shared" si="15"/>
        <v>Kole Town Council</v>
      </c>
      <c r="F874" s="69">
        <v>780</v>
      </c>
    </row>
    <row r="875" spans="1:6">
      <c r="A875" s="69" t="s">
        <v>1287</v>
      </c>
      <c r="B875" s="69" t="s">
        <v>1281</v>
      </c>
      <c r="C875" s="69" t="s">
        <v>1281</v>
      </c>
      <c r="D875" s="69" t="str">
        <f t="shared" si="15"/>
        <v>Okwerodot</v>
      </c>
      <c r="F875" s="69">
        <v>781</v>
      </c>
    </row>
    <row r="876" spans="1:6">
      <c r="A876" s="69" t="s">
        <v>1288</v>
      </c>
      <c r="B876" s="69" t="s">
        <v>1289</v>
      </c>
      <c r="C876" s="69" t="s">
        <v>1290</v>
      </c>
      <c r="D876" s="69" t="str">
        <f t="shared" si="15"/>
        <v>Kacheri</v>
      </c>
      <c r="F876" s="69">
        <v>782</v>
      </c>
    </row>
    <row r="877" spans="1:6">
      <c r="A877" s="69" t="s">
        <v>1289</v>
      </c>
      <c r="B877" s="69" t="s">
        <v>1289</v>
      </c>
      <c r="C877" s="69" t="s">
        <v>1290</v>
      </c>
      <c r="D877" s="69" t="str">
        <f t="shared" si="15"/>
        <v>Kotido</v>
      </c>
      <c r="F877" s="69">
        <v>783</v>
      </c>
    </row>
    <row r="878" spans="1:6">
      <c r="A878" s="69" t="s">
        <v>1291</v>
      </c>
      <c r="B878" s="69" t="s">
        <v>1289</v>
      </c>
      <c r="C878" s="69" t="s">
        <v>1291</v>
      </c>
      <c r="D878" s="69" t="str">
        <f t="shared" si="15"/>
        <v>Kotido Municipality</v>
      </c>
      <c r="F878" s="69">
        <v>784</v>
      </c>
    </row>
    <row r="879" spans="1:6">
      <c r="A879" s="69" t="s">
        <v>1292</v>
      </c>
      <c r="B879" s="69" t="s">
        <v>1289</v>
      </c>
      <c r="C879" s="69" t="s">
        <v>1291</v>
      </c>
      <c r="D879" s="69" t="str">
        <f t="shared" si="15"/>
        <v>Kotido town</v>
      </c>
      <c r="F879" s="69">
        <v>784</v>
      </c>
    </row>
    <row r="880" spans="1:6">
      <c r="A880" s="69" t="s">
        <v>1293</v>
      </c>
      <c r="B880" s="69" t="s">
        <v>1289</v>
      </c>
      <c r="C880" s="69" t="s">
        <v>1290</v>
      </c>
      <c r="D880" s="69" t="str">
        <f t="shared" si="15"/>
        <v>Nakapelimoru</v>
      </c>
      <c r="F880" s="69">
        <v>785</v>
      </c>
    </row>
    <row r="881" spans="1:6">
      <c r="A881" s="69" t="s">
        <v>1294</v>
      </c>
      <c r="B881" s="69" t="s">
        <v>1289</v>
      </c>
      <c r="C881" s="69" t="s">
        <v>1290</v>
      </c>
      <c r="D881" s="69" t="str">
        <f t="shared" si="15"/>
        <v>Panyangara</v>
      </c>
      <c r="F881" s="69">
        <v>786</v>
      </c>
    </row>
    <row r="882" spans="1:6">
      <c r="A882" s="69" t="s">
        <v>1295</v>
      </c>
      <c r="B882" s="69" t="s">
        <v>1289</v>
      </c>
      <c r="C882" s="69" t="s">
        <v>1290</v>
      </c>
      <c r="D882" s="69" t="str">
        <f t="shared" si="15"/>
        <v>Rengen</v>
      </c>
      <c r="F882" s="69">
        <v>787</v>
      </c>
    </row>
    <row r="883" spans="1:6">
      <c r="A883" s="69" t="s">
        <v>1296</v>
      </c>
      <c r="B883" s="69" t="s">
        <v>1297</v>
      </c>
      <c r="C883" s="69" t="s">
        <v>1297</v>
      </c>
      <c r="D883" s="69" t="str">
        <f t="shared" si="15"/>
        <v>Atutur</v>
      </c>
      <c r="F883" s="69">
        <v>788</v>
      </c>
    </row>
    <row r="884" spans="1:6">
      <c r="A884" s="69" t="s">
        <v>1298</v>
      </c>
      <c r="B884" s="69" t="s">
        <v>1297</v>
      </c>
      <c r="C884" s="69" t="s">
        <v>1297</v>
      </c>
      <c r="D884" s="69" t="str">
        <f t="shared" si="15"/>
        <v>Kanyum</v>
      </c>
      <c r="F884" s="69">
        <v>789</v>
      </c>
    </row>
    <row r="885" spans="1:6">
      <c r="A885" s="69" t="s">
        <v>1297</v>
      </c>
      <c r="B885" s="69" t="s">
        <v>1297</v>
      </c>
      <c r="C885" s="69" t="s">
        <v>1297</v>
      </c>
      <c r="D885" s="69" t="str">
        <f t="shared" si="15"/>
        <v>Kumi</v>
      </c>
      <c r="F885" s="69">
        <v>790</v>
      </c>
    </row>
    <row r="886" spans="1:6">
      <c r="A886" s="69" t="s">
        <v>1299</v>
      </c>
      <c r="B886" s="69" t="s">
        <v>1297</v>
      </c>
      <c r="C886" s="69" t="s">
        <v>1299</v>
      </c>
      <c r="D886" s="69" t="str">
        <f t="shared" si="15"/>
        <v>Kumi Municipality</v>
      </c>
      <c r="F886" s="69">
        <v>791</v>
      </c>
    </row>
    <row r="887" spans="1:6">
      <c r="A887" s="69" t="s">
        <v>1300</v>
      </c>
      <c r="B887" s="69" t="s">
        <v>1297</v>
      </c>
      <c r="C887" s="69" t="s">
        <v>1297</v>
      </c>
      <c r="D887" s="69" t="str">
        <f t="shared" si="15"/>
        <v>Mukongoro</v>
      </c>
      <c r="F887" s="69">
        <v>792</v>
      </c>
    </row>
    <row r="888" spans="1:6">
      <c r="A888" s="69" t="s">
        <v>1301</v>
      </c>
      <c r="B888" s="69" t="s">
        <v>1297</v>
      </c>
      <c r="C888" s="69" t="s">
        <v>1297</v>
      </c>
      <c r="D888" s="69" t="str">
        <f t="shared" si="15"/>
        <v>Nyero</v>
      </c>
      <c r="F888" s="69">
        <v>793</v>
      </c>
    </row>
    <row r="889" spans="1:6">
      <c r="A889" s="69" t="s">
        <v>1302</v>
      </c>
      <c r="B889" s="69" t="s">
        <v>1297</v>
      </c>
      <c r="C889" s="69" t="s">
        <v>1297</v>
      </c>
      <c r="D889" s="69" t="str">
        <f t="shared" si="15"/>
        <v>Ongino</v>
      </c>
      <c r="F889" s="69">
        <v>794</v>
      </c>
    </row>
    <row r="890" spans="1:6">
      <c r="A890" s="69" t="s">
        <v>1303</v>
      </c>
      <c r="B890" s="69" t="s">
        <v>1304</v>
      </c>
      <c r="C890" s="69" t="s">
        <v>1304</v>
      </c>
      <c r="D890" s="69" t="str">
        <f t="shared" si="15"/>
        <v>Benet</v>
      </c>
      <c r="F890" s="69">
        <v>795</v>
      </c>
    </row>
    <row r="891" spans="1:6">
      <c r="A891" s="69" t="s">
        <v>1305</v>
      </c>
      <c r="B891" s="69" t="s">
        <v>1304</v>
      </c>
      <c r="C891" s="69" t="s">
        <v>1304</v>
      </c>
      <c r="D891" s="69" t="str">
        <f t="shared" si="15"/>
        <v>Binyiny</v>
      </c>
      <c r="F891" s="69">
        <v>796</v>
      </c>
    </row>
    <row r="892" spans="1:6">
      <c r="A892" s="69" t="s">
        <v>1306</v>
      </c>
      <c r="B892" s="69" t="s">
        <v>1304</v>
      </c>
      <c r="C892" s="69" t="s">
        <v>1304</v>
      </c>
      <c r="D892" s="69" t="str">
        <f t="shared" si="15"/>
        <v>Binyiny Town Council</v>
      </c>
      <c r="F892" s="69">
        <v>797</v>
      </c>
    </row>
    <row r="893" spans="1:6">
      <c r="A893" s="69" t="s">
        <v>1307</v>
      </c>
      <c r="B893" s="69" t="s">
        <v>1304</v>
      </c>
      <c r="C893" s="69" t="s">
        <v>1304</v>
      </c>
      <c r="D893" s="69" t="str">
        <f t="shared" si="15"/>
        <v>Kaproron</v>
      </c>
      <c r="F893" s="69">
        <v>798</v>
      </c>
    </row>
    <row r="894" spans="1:6">
      <c r="A894" s="69" t="s">
        <v>1308</v>
      </c>
      <c r="B894" s="69" t="s">
        <v>1304</v>
      </c>
      <c r="C894" s="69" t="s">
        <v>1304</v>
      </c>
      <c r="D894" s="69" t="str">
        <f t="shared" si="15"/>
        <v>Kaptoyoy</v>
      </c>
      <c r="F894" s="69">
        <v>799</v>
      </c>
    </row>
    <row r="895" spans="1:6">
      <c r="A895" s="69" t="s">
        <v>1309</v>
      </c>
      <c r="B895" s="69" t="s">
        <v>1304</v>
      </c>
      <c r="C895" s="69" t="s">
        <v>1304</v>
      </c>
      <c r="D895" s="69" t="str">
        <f t="shared" si="15"/>
        <v>Kaptum</v>
      </c>
      <c r="F895" s="69">
        <v>800</v>
      </c>
    </row>
    <row r="896" spans="1:6">
      <c r="A896" s="69" t="s">
        <v>1310</v>
      </c>
      <c r="B896" s="69" t="s">
        <v>1304</v>
      </c>
      <c r="C896" s="69" t="s">
        <v>1304</v>
      </c>
      <c r="D896" s="69" t="str">
        <f t="shared" si="15"/>
        <v>Kiriki</v>
      </c>
      <c r="F896" s="69">
        <v>801</v>
      </c>
    </row>
    <row r="897" spans="1:6">
      <c r="A897" s="69" t="s">
        <v>1311</v>
      </c>
      <c r="B897" s="69" t="s">
        <v>1304</v>
      </c>
      <c r="C897" s="69" t="s">
        <v>1304</v>
      </c>
      <c r="D897" s="69" t="str">
        <f t="shared" si="15"/>
        <v>Kitawoi</v>
      </c>
      <c r="F897" s="69">
        <v>802</v>
      </c>
    </row>
    <row r="898" spans="1:6">
      <c r="A898" s="69" t="s">
        <v>1312</v>
      </c>
      <c r="B898" s="69" t="s">
        <v>1304</v>
      </c>
      <c r="C898" s="69" t="s">
        <v>1304</v>
      </c>
      <c r="D898" s="69" t="str">
        <f t="shared" ref="D898:D961" si="16">A898</f>
        <v>Kwanyiy</v>
      </c>
      <c r="F898" s="69">
        <v>803</v>
      </c>
    </row>
    <row r="899" spans="1:6">
      <c r="A899" s="69" t="s">
        <v>1313</v>
      </c>
      <c r="B899" s="69" t="s">
        <v>1304</v>
      </c>
      <c r="C899" s="69" t="s">
        <v>1304</v>
      </c>
      <c r="D899" s="69" t="str">
        <f t="shared" si="16"/>
        <v>Kwosir</v>
      </c>
      <c r="F899" s="69">
        <v>804</v>
      </c>
    </row>
    <row r="900" spans="1:6">
      <c r="A900" s="69" t="s">
        <v>1314</v>
      </c>
      <c r="B900" s="69" t="s">
        <v>1304</v>
      </c>
      <c r="C900" s="69" t="s">
        <v>1304</v>
      </c>
      <c r="D900" s="69" t="str">
        <f t="shared" si="16"/>
        <v>Moyok</v>
      </c>
      <c r="F900" s="69">
        <v>805</v>
      </c>
    </row>
    <row r="901" spans="1:6">
      <c r="A901" s="69" t="s">
        <v>1315</v>
      </c>
      <c r="B901" s="69" t="s">
        <v>1304</v>
      </c>
      <c r="C901" s="69" t="s">
        <v>1304</v>
      </c>
      <c r="D901" s="69" t="str">
        <f t="shared" si="16"/>
        <v>Ngenge</v>
      </c>
      <c r="F901" s="69">
        <v>806</v>
      </c>
    </row>
    <row r="902" spans="1:6">
      <c r="A902" s="69" t="s">
        <v>1316</v>
      </c>
      <c r="B902" s="69" t="s">
        <v>1317</v>
      </c>
      <c r="C902" s="69" t="s">
        <v>1196</v>
      </c>
      <c r="D902" s="69" t="str">
        <f t="shared" si="16"/>
        <v>Bananywa</v>
      </c>
      <c r="F902" s="69">
        <v>807</v>
      </c>
    </row>
    <row r="903" spans="1:6">
      <c r="A903" s="69" t="s">
        <v>1318</v>
      </c>
      <c r="B903" s="69" t="s">
        <v>1317</v>
      </c>
      <c r="C903" s="69" t="s">
        <v>1196</v>
      </c>
      <c r="D903" s="69" t="str">
        <f t="shared" si="16"/>
        <v>Butemba</v>
      </c>
      <c r="F903" s="69">
        <v>808</v>
      </c>
    </row>
    <row r="904" spans="1:6">
      <c r="A904" s="69" t="s">
        <v>1319</v>
      </c>
      <c r="B904" s="69" t="s">
        <v>1317</v>
      </c>
      <c r="C904" s="69" t="s">
        <v>1196</v>
      </c>
      <c r="D904" s="69" t="str">
        <f t="shared" si="16"/>
        <v>Butemba Town Council</v>
      </c>
      <c r="F904" s="69">
        <v>809</v>
      </c>
    </row>
    <row r="905" spans="1:6">
      <c r="A905" s="69" t="s">
        <v>1320</v>
      </c>
      <c r="B905" s="69" t="s">
        <v>1317</v>
      </c>
      <c r="C905" s="69" t="s">
        <v>1196</v>
      </c>
      <c r="D905" s="69" t="str">
        <f t="shared" si="16"/>
        <v>Byerima</v>
      </c>
      <c r="F905" s="69">
        <v>810</v>
      </c>
    </row>
    <row r="906" spans="1:6">
      <c r="A906" s="69" t="s">
        <v>1321</v>
      </c>
      <c r="B906" s="69" t="s">
        <v>1317</v>
      </c>
      <c r="C906" s="69" t="s">
        <v>1196</v>
      </c>
      <c r="D906" s="69" t="str">
        <f t="shared" si="16"/>
        <v>Gayaza</v>
      </c>
      <c r="F906" s="69">
        <v>811</v>
      </c>
    </row>
    <row r="907" spans="1:6">
      <c r="A907" s="69" t="s">
        <v>1317</v>
      </c>
      <c r="B907" s="69" t="s">
        <v>1317</v>
      </c>
      <c r="C907" s="69" t="s">
        <v>1196</v>
      </c>
      <c r="D907" s="69" t="str">
        <f t="shared" si="16"/>
        <v>Kyankwanzi</v>
      </c>
      <c r="F907" s="69">
        <v>812</v>
      </c>
    </row>
    <row r="908" spans="1:6">
      <c r="A908" s="69" t="s">
        <v>1322</v>
      </c>
      <c r="B908" s="69" t="s">
        <v>1317</v>
      </c>
      <c r="C908" s="69" t="s">
        <v>1196</v>
      </c>
      <c r="D908" s="69" t="str">
        <f t="shared" si="16"/>
        <v>Kyankwanzi Town Council</v>
      </c>
      <c r="F908" s="69">
        <v>813</v>
      </c>
    </row>
    <row r="909" spans="1:6">
      <c r="A909" s="69" t="s">
        <v>1323</v>
      </c>
      <c r="B909" s="69" t="s">
        <v>1317</v>
      </c>
      <c r="C909" s="69" t="s">
        <v>1196</v>
      </c>
      <c r="D909" s="69" t="str">
        <f t="shared" si="16"/>
        <v>Mulagi</v>
      </c>
      <c r="F909" s="69">
        <v>814</v>
      </c>
    </row>
    <row r="910" spans="1:6">
      <c r="A910" s="69" t="s">
        <v>1324</v>
      </c>
      <c r="B910" s="69" t="s">
        <v>1317</v>
      </c>
      <c r="C910" s="69" t="s">
        <v>1196</v>
      </c>
      <c r="D910" s="69" t="str">
        <f t="shared" si="16"/>
        <v>Nkandwa</v>
      </c>
      <c r="F910" s="69">
        <v>815</v>
      </c>
    </row>
    <row r="911" spans="1:6">
      <c r="A911" s="69" t="s">
        <v>1054</v>
      </c>
      <c r="B911" s="69" t="s">
        <v>1317</v>
      </c>
      <c r="C911" s="69" t="s">
        <v>1196</v>
      </c>
      <c r="D911" s="69" t="str">
        <f t="shared" si="16"/>
        <v>Nsambya</v>
      </c>
      <c r="F911" s="69">
        <v>816</v>
      </c>
    </row>
    <row r="912" spans="1:6">
      <c r="A912" s="69" t="s">
        <v>1325</v>
      </c>
      <c r="B912" s="69" t="s">
        <v>1317</v>
      </c>
      <c r="C912" s="69" t="s">
        <v>1196</v>
      </c>
      <c r="D912" s="69" t="str">
        <f t="shared" si="16"/>
        <v>Ntwetwe</v>
      </c>
      <c r="F912" s="69">
        <v>817</v>
      </c>
    </row>
    <row r="913" spans="1:6">
      <c r="A913" s="69" t="s">
        <v>1326</v>
      </c>
      <c r="B913" s="69" t="s">
        <v>1317</v>
      </c>
      <c r="C913" s="69" t="s">
        <v>1196</v>
      </c>
      <c r="D913" s="69" t="str">
        <f t="shared" si="16"/>
        <v>Ntwetwe Town Council</v>
      </c>
      <c r="F913" s="69">
        <v>818</v>
      </c>
    </row>
    <row r="914" spans="1:6">
      <c r="A914" s="69" t="s">
        <v>1327</v>
      </c>
      <c r="B914" s="69" t="s">
        <v>1317</v>
      </c>
      <c r="C914" s="69" t="s">
        <v>1196</v>
      </c>
      <c r="D914" s="69" t="str">
        <f t="shared" si="16"/>
        <v>Wattuba</v>
      </c>
      <c r="F914" s="69">
        <v>819</v>
      </c>
    </row>
    <row r="915" spans="1:6">
      <c r="A915" s="69" t="s">
        <v>1328</v>
      </c>
      <c r="B915" s="69" t="s">
        <v>1329</v>
      </c>
      <c r="C915" s="69" t="s">
        <v>1330</v>
      </c>
      <c r="D915" s="69" t="str">
        <f t="shared" si="16"/>
        <v>Hapuuyo</v>
      </c>
      <c r="F915" s="69">
        <v>820</v>
      </c>
    </row>
    <row r="916" spans="1:6">
      <c r="A916" s="69" t="s">
        <v>1331</v>
      </c>
      <c r="B916" s="69" t="s">
        <v>1329</v>
      </c>
      <c r="C916" s="69" t="s">
        <v>1330</v>
      </c>
      <c r="D916" s="69" t="str">
        <f t="shared" si="16"/>
        <v>Kabweza Kyegegwa</v>
      </c>
      <c r="F916" s="69">
        <v>821</v>
      </c>
    </row>
    <row r="917" spans="1:6">
      <c r="A917" s="69" t="s">
        <v>1332</v>
      </c>
      <c r="B917" s="69" t="s">
        <v>1329</v>
      </c>
      <c r="C917" s="69" t="s">
        <v>1330</v>
      </c>
      <c r="D917" s="69" t="str">
        <f t="shared" si="16"/>
        <v>Kakabara</v>
      </c>
      <c r="F917" s="69">
        <v>822</v>
      </c>
    </row>
    <row r="918" spans="1:6">
      <c r="A918" s="69" t="s">
        <v>1333</v>
      </c>
      <c r="B918" s="69" t="s">
        <v>1329</v>
      </c>
      <c r="C918" s="69" t="s">
        <v>1330</v>
      </c>
      <c r="D918" s="69" t="str">
        <f t="shared" si="16"/>
        <v>Kasule</v>
      </c>
      <c r="F918" s="69">
        <v>823</v>
      </c>
    </row>
    <row r="919" spans="1:6">
      <c r="A919" s="69" t="s">
        <v>1334</v>
      </c>
      <c r="B919" s="69" t="s">
        <v>1329</v>
      </c>
      <c r="C919" s="69" t="s">
        <v>1330</v>
      </c>
      <c r="D919" s="69" t="str">
        <f t="shared" si="16"/>
        <v>Kyaka Ii Refugee Camp</v>
      </c>
      <c r="F919" s="69">
        <v>824</v>
      </c>
    </row>
    <row r="920" spans="1:6">
      <c r="A920" s="69" t="s">
        <v>1335</v>
      </c>
      <c r="B920" s="69" t="s">
        <v>1329</v>
      </c>
      <c r="C920" s="69" t="s">
        <v>1330</v>
      </c>
      <c r="D920" s="69" t="str">
        <f t="shared" si="16"/>
        <v>Kyegegwa Town Council</v>
      </c>
      <c r="F920" s="69">
        <v>825</v>
      </c>
    </row>
    <row r="921" spans="1:6">
      <c r="A921" s="69" t="s">
        <v>1336</v>
      </c>
      <c r="B921" s="69" t="s">
        <v>1329</v>
      </c>
      <c r="C921" s="69" t="s">
        <v>1330</v>
      </c>
      <c r="D921" s="69" t="str">
        <f t="shared" si="16"/>
        <v>Mpara</v>
      </c>
      <c r="F921" s="69">
        <v>826</v>
      </c>
    </row>
    <row r="922" spans="1:6">
      <c r="A922" s="69" t="s">
        <v>1337</v>
      </c>
      <c r="B922" s="69" t="s">
        <v>1329</v>
      </c>
      <c r="C922" s="69" t="s">
        <v>1330</v>
      </c>
      <c r="D922" s="69" t="str">
        <f t="shared" si="16"/>
        <v>Ruyonza</v>
      </c>
      <c r="F922" s="69">
        <v>827</v>
      </c>
    </row>
    <row r="923" spans="1:6">
      <c r="A923" s="69" t="s">
        <v>1338</v>
      </c>
      <c r="B923" s="69" t="s">
        <v>1329</v>
      </c>
      <c r="C923" s="69" t="s">
        <v>1330</v>
      </c>
      <c r="D923" s="69" t="str">
        <f t="shared" si="16"/>
        <v>Rwentuha</v>
      </c>
      <c r="F923" s="69">
        <v>828</v>
      </c>
    </row>
    <row r="924" spans="1:6">
      <c r="A924" s="69" t="s">
        <v>1339</v>
      </c>
      <c r="B924" s="69" t="s">
        <v>1340</v>
      </c>
      <c r="C924" s="69" t="s">
        <v>1341</v>
      </c>
      <c r="D924" s="69" t="str">
        <f t="shared" si="16"/>
        <v>Bufunjo</v>
      </c>
      <c r="F924" s="69">
        <v>829</v>
      </c>
    </row>
    <row r="925" spans="1:6">
      <c r="A925" s="69" t="s">
        <v>1342</v>
      </c>
      <c r="B925" s="69" t="s">
        <v>1340</v>
      </c>
      <c r="C925" s="69" t="s">
        <v>1341</v>
      </c>
      <c r="D925" s="69" t="str">
        <f t="shared" si="16"/>
        <v>Bugaaki</v>
      </c>
      <c r="F925" s="69">
        <v>830</v>
      </c>
    </row>
    <row r="926" spans="1:6">
      <c r="A926" s="69" t="s">
        <v>1343</v>
      </c>
      <c r="B926" s="69" t="s">
        <v>1340</v>
      </c>
      <c r="C926" s="69" t="s">
        <v>1341</v>
      </c>
      <c r="D926" s="69" t="str">
        <f t="shared" si="16"/>
        <v>Butiiti</v>
      </c>
      <c r="F926" s="69">
        <v>831</v>
      </c>
    </row>
    <row r="927" spans="1:6">
      <c r="A927" s="69" t="s">
        <v>1344</v>
      </c>
      <c r="B927" s="69" t="s">
        <v>1340</v>
      </c>
      <c r="C927" s="69" t="s">
        <v>1341</v>
      </c>
      <c r="D927" s="69" t="str">
        <f t="shared" si="16"/>
        <v>Butunduzi</v>
      </c>
      <c r="F927" s="69">
        <v>832</v>
      </c>
    </row>
    <row r="928" spans="1:6">
      <c r="A928" s="69" t="s">
        <v>1345</v>
      </c>
      <c r="B928" s="69" t="s">
        <v>1340</v>
      </c>
      <c r="C928" s="69" t="s">
        <v>1341</v>
      </c>
      <c r="D928" s="69" t="str">
        <f t="shared" si="16"/>
        <v>Butunduzi Town Council</v>
      </c>
      <c r="F928" s="69">
        <v>833</v>
      </c>
    </row>
    <row r="929" spans="1:6">
      <c r="A929" s="69" t="s">
        <v>1346</v>
      </c>
      <c r="B929" s="69" t="s">
        <v>1340</v>
      </c>
      <c r="C929" s="69" t="s">
        <v>1341</v>
      </c>
      <c r="D929" s="69" t="str">
        <f t="shared" si="16"/>
        <v>Katooke</v>
      </c>
      <c r="F929" s="69">
        <v>834</v>
      </c>
    </row>
    <row r="930" spans="1:6">
      <c r="A930" s="69" t="s">
        <v>1347</v>
      </c>
      <c r="B930" s="69" t="s">
        <v>1340</v>
      </c>
      <c r="C930" s="69" t="s">
        <v>1341</v>
      </c>
      <c r="D930" s="69" t="str">
        <f t="shared" si="16"/>
        <v>Katooke Town Council</v>
      </c>
      <c r="F930" s="69">
        <v>835</v>
      </c>
    </row>
    <row r="931" spans="1:6">
      <c r="A931" s="69" t="s">
        <v>1348</v>
      </c>
      <c r="B931" s="69" t="s">
        <v>1340</v>
      </c>
      <c r="C931" s="69" t="s">
        <v>1341</v>
      </c>
      <c r="D931" s="69" t="str">
        <f t="shared" si="16"/>
        <v>Kigaraale</v>
      </c>
      <c r="F931" s="69">
        <v>836</v>
      </c>
    </row>
    <row r="932" spans="1:6">
      <c r="A932" s="69" t="s">
        <v>1349</v>
      </c>
      <c r="B932" s="69" t="s">
        <v>1340</v>
      </c>
      <c r="C932" s="69" t="s">
        <v>1341</v>
      </c>
      <c r="D932" s="69" t="str">
        <f t="shared" si="16"/>
        <v>Kihuura</v>
      </c>
      <c r="F932" s="69">
        <v>837</v>
      </c>
    </row>
    <row r="933" spans="1:6">
      <c r="A933" s="69" t="s">
        <v>1350</v>
      </c>
      <c r="B933" s="69" t="s">
        <v>1340</v>
      </c>
      <c r="C933" s="69" t="s">
        <v>1341</v>
      </c>
      <c r="D933" s="69" t="str">
        <f t="shared" si="16"/>
        <v>Kisojo</v>
      </c>
      <c r="F933" s="69">
        <v>838</v>
      </c>
    </row>
    <row r="934" spans="1:6">
      <c r="A934" s="69" t="s">
        <v>1351</v>
      </c>
      <c r="B934" s="69" t="s">
        <v>1340</v>
      </c>
      <c r="C934" s="69" t="s">
        <v>1341</v>
      </c>
      <c r="D934" s="69" t="str">
        <f t="shared" si="16"/>
        <v>Kyarusozi</v>
      </c>
      <c r="F934" s="69">
        <v>839</v>
      </c>
    </row>
    <row r="935" spans="1:6">
      <c r="A935" s="69" t="s">
        <v>1352</v>
      </c>
      <c r="B935" s="69" t="s">
        <v>1340</v>
      </c>
      <c r="C935" s="69" t="s">
        <v>1341</v>
      </c>
      <c r="D935" s="69" t="str">
        <f t="shared" si="16"/>
        <v>Kyarusozi Town Council</v>
      </c>
      <c r="F935" s="69">
        <v>840</v>
      </c>
    </row>
    <row r="936" spans="1:6">
      <c r="A936" s="69" t="s">
        <v>1353</v>
      </c>
      <c r="B936" s="69" t="s">
        <v>1340</v>
      </c>
      <c r="C936" s="69" t="s">
        <v>1341</v>
      </c>
      <c r="D936" s="69" t="str">
        <f t="shared" si="16"/>
        <v>Kyenjojo Town Council</v>
      </c>
      <c r="F936" s="69">
        <v>841</v>
      </c>
    </row>
    <row r="937" spans="1:6">
      <c r="A937" s="69" t="s">
        <v>1354</v>
      </c>
      <c r="B937" s="69" t="s">
        <v>1340</v>
      </c>
      <c r="C937" s="69" t="s">
        <v>1341</v>
      </c>
      <c r="D937" s="69" t="str">
        <f t="shared" si="16"/>
        <v>Nyabuharwa</v>
      </c>
      <c r="F937" s="69">
        <v>842</v>
      </c>
    </row>
    <row r="938" spans="1:6">
      <c r="A938" s="69" t="s">
        <v>1355</v>
      </c>
      <c r="B938" s="69" t="s">
        <v>1340</v>
      </c>
      <c r="C938" s="69" t="s">
        <v>1341</v>
      </c>
      <c r="D938" s="69" t="str">
        <f t="shared" si="16"/>
        <v>Nyankwanzi</v>
      </c>
      <c r="F938" s="69">
        <v>843</v>
      </c>
    </row>
    <row r="939" spans="1:6">
      <c r="A939" s="69" t="s">
        <v>1356</v>
      </c>
      <c r="B939" s="69" t="s">
        <v>1340</v>
      </c>
      <c r="C939" s="69" t="s">
        <v>1341</v>
      </c>
      <c r="D939" s="69" t="str">
        <f t="shared" si="16"/>
        <v>Nyantungo</v>
      </c>
      <c r="F939" s="69">
        <v>844</v>
      </c>
    </row>
    <row r="940" spans="1:6">
      <c r="A940" s="69" t="s">
        <v>1357</v>
      </c>
      <c r="B940" s="69" t="s">
        <v>1358</v>
      </c>
      <c r="C940" s="69" t="s">
        <v>1358</v>
      </c>
      <c r="D940" s="69" t="str">
        <f t="shared" si="16"/>
        <v>Kabira</v>
      </c>
      <c r="F940" s="69">
        <v>845</v>
      </c>
    </row>
    <row r="941" spans="1:6">
      <c r="A941" s="69" t="s">
        <v>1359</v>
      </c>
      <c r="B941" s="69" t="s">
        <v>1358</v>
      </c>
      <c r="C941" s="69" t="s">
        <v>1358</v>
      </c>
      <c r="D941" s="69" t="str">
        <f t="shared" si="16"/>
        <v>Kalisizo</v>
      </c>
      <c r="F941" s="69">
        <v>846</v>
      </c>
    </row>
    <row r="942" spans="1:6">
      <c r="A942" s="69" t="s">
        <v>1360</v>
      </c>
      <c r="B942" s="69" t="s">
        <v>1358</v>
      </c>
      <c r="C942" s="69" t="s">
        <v>1358</v>
      </c>
      <c r="D942" s="69" t="str">
        <f t="shared" si="16"/>
        <v>Kalisizo Town Council</v>
      </c>
      <c r="F942" s="69">
        <v>847</v>
      </c>
    </row>
    <row r="943" spans="1:6">
      <c r="A943" s="69" t="s">
        <v>1361</v>
      </c>
      <c r="B943" s="69" t="s">
        <v>1358</v>
      </c>
      <c r="C943" s="69" t="s">
        <v>1362</v>
      </c>
      <c r="D943" s="69" t="str">
        <f t="shared" si="16"/>
        <v>Kasasa</v>
      </c>
      <c r="F943" s="69">
        <v>848</v>
      </c>
    </row>
    <row r="944" spans="1:6">
      <c r="A944" s="69" t="s">
        <v>1236</v>
      </c>
      <c r="B944" s="69" t="s">
        <v>1358</v>
      </c>
      <c r="C944" s="69" t="s">
        <v>1362</v>
      </c>
      <c r="D944" s="69" t="str">
        <f t="shared" si="16"/>
        <v>Kibanda</v>
      </c>
      <c r="F944" s="69">
        <v>849</v>
      </c>
    </row>
    <row r="945" spans="1:6">
      <c r="A945" s="69" t="s">
        <v>1363</v>
      </c>
      <c r="B945" s="69" t="s">
        <v>1358</v>
      </c>
      <c r="C945" s="69" t="s">
        <v>1358</v>
      </c>
      <c r="D945" s="69" t="str">
        <f t="shared" si="16"/>
        <v>Kirumba</v>
      </c>
      <c r="F945" s="69">
        <v>850</v>
      </c>
    </row>
    <row r="946" spans="1:6">
      <c r="A946" s="69" t="s">
        <v>1364</v>
      </c>
      <c r="B946" s="69" t="s">
        <v>1358</v>
      </c>
      <c r="C946" s="69" t="s">
        <v>1362</v>
      </c>
      <c r="D946" s="69" t="str">
        <f t="shared" si="16"/>
        <v>Kyebe</v>
      </c>
      <c r="F946" s="69">
        <v>851</v>
      </c>
    </row>
    <row r="947" spans="1:6">
      <c r="A947" s="69" t="s">
        <v>1365</v>
      </c>
      <c r="B947" s="69" t="s">
        <v>1358</v>
      </c>
      <c r="C947" s="69" t="s">
        <v>1358</v>
      </c>
      <c r="D947" s="69" t="str">
        <f t="shared" si="16"/>
        <v>Kyotera Town Council</v>
      </c>
      <c r="F947" s="69">
        <v>852</v>
      </c>
    </row>
    <row r="948" spans="1:6">
      <c r="A948" s="69" t="s">
        <v>1366</v>
      </c>
      <c r="B948" s="69" t="s">
        <v>1358</v>
      </c>
      <c r="C948" s="69" t="s">
        <v>1358</v>
      </c>
      <c r="D948" s="69" t="str">
        <f t="shared" si="16"/>
        <v>Lwankoni</v>
      </c>
      <c r="F948" s="69">
        <v>853</v>
      </c>
    </row>
    <row r="949" spans="1:6">
      <c r="A949" s="69" t="s">
        <v>1367</v>
      </c>
      <c r="B949" s="69" t="s">
        <v>1358</v>
      </c>
      <c r="C949" s="69" t="s">
        <v>1358</v>
      </c>
      <c r="D949" s="69" t="str">
        <f t="shared" si="16"/>
        <v>Nabigasa</v>
      </c>
      <c r="F949" s="69">
        <v>854</v>
      </c>
    </row>
    <row r="950" spans="1:6">
      <c r="A950" s="69" t="s">
        <v>1368</v>
      </c>
      <c r="B950" s="69" t="s">
        <v>1369</v>
      </c>
      <c r="C950" s="69" t="s">
        <v>1369</v>
      </c>
      <c r="D950" s="69" t="str">
        <f t="shared" si="16"/>
        <v>Agoro</v>
      </c>
      <c r="F950" s="69">
        <v>855</v>
      </c>
    </row>
    <row r="951" spans="1:6">
      <c r="A951" s="69" t="s">
        <v>1370</v>
      </c>
      <c r="B951" s="69" t="s">
        <v>1369</v>
      </c>
      <c r="C951" s="69" t="s">
        <v>1369</v>
      </c>
      <c r="D951" s="69" t="str">
        <f t="shared" si="16"/>
        <v>Lamwo Town Council</v>
      </c>
      <c r="F951" s="69">
        <v>856</v>
      </c>
    </row>
    <row r="952" spans="1:6">
      <c r="A952" s="69" t="s">
        <v>1371</v>
      </c>
      <c r="B952" s="69" t="s">
        <v>1369</v>
      </c>
      <c r="C952" s="69" t="s">
        <v>1369</v>
      </c>
      <c r="D952" s="69" t="str">
        <f t="shared" si="16"/>
        <v>Lokung</v>
      </c>
      <c r="F952" s="69">
        <v>857</v>
      </c>
    </row>
    <row r="953" spans="1:6">
      <c r="A953" s="69" t="s">
        <v>1372</v>
      </c>
      <c r="B953" s="69" t="s">
        <v>1369</v>
      </c>
      <c r="C953" s="69" t="s">
        <v>1369</v>
      </c>
      <c r="D953" s="69" t="str">
        <f t="shared" si="16"/>
        <v>Madi Opei</v>
      </c>
      <c r="F953" s="69">
        <v>858</v>
      </c>
    </row>
    <row r="954" spans="1:6">
      <c r="A954" s="69" t="s">
        <v>1373</v>
      </c>
      <c r="B954" s="69" t="s">
        <v>1369</v>
      </c>
      <c r="C954" s="69" t="s">
        <v>1369</v>
      </c>
      <c r="D954" s="69" t="str">
        <f t="shared" si="16"/>
        <v>Padibe</v>
      </c>
      <c r="F954" s="69">
        <v>859</v>
      </c>
    </row>
    <row r="955" spans="1:6">
      <c r="A955" s="69" t="s">
        <v>1374</v>
      </c>
      <c r="B955" s="69" t="s">
        <v>1369</v>
      </c>
      <c r="C955" s="69" t="s">
        <v>1369</v>
      </c>
      <c r="D955" s="69" t="str">
        <f t="shared" si="16"/>
        <v>Palabek</v>
      </c>
      <c r="F955" s="69">
        <v>860</v>
      </c>
    </row>
    <row r="956" spans="1:6">
      <c r="A956" s="69" t="s">
        <v>1375</v>
      </c>
      <c r="B956" s="69" t="s">
        <v>1369</v>
      </c>
      <c r="C956" s="69" t="s">
        <v>1369</v>
      </c>
      <c r="D956" s="69" t="str">
        <f t="shared" si="16"/>
        <v>Paloga</v>
      </c>
      <c r="F956" s="69">
        <v>861</v>
      </c>
    </row>
    <row r="957" spans="1:6">
      <c r="A957" s="69" t="s">
        <v>1376</v>
      </c>
      <c r="B957" s="69" t="s">
        <v>1377</v>
      </c>
      <c r="C957" s="69" t="s">
        <v>1378</v>
      </c>
      <c r="D957" s="69" t="str">
        <f t="shared" si="16"/>
        <v>Adekokwok</v>
      </c>
      <c r="F957" s="69">
        <v>862</v>
      </c>
    </row>
    <row r="958" spans="1:6">
      <c r="A958" s="69" t="s">
        <v>1379</v>
      </c>
      <c r="B958" s="69" t="s">
        <v>1377</v>
      </c>
      <c r="C958" s="69" t="s">
        <v>1378</v>
      </c>
      <c r="D958" s="69" t="str">
        <f t="shared" si="16"/>
        <v>Agali</v>
      </c>
      <c r="F958" s="69">
        <v>863</v>
      </c>
    </row>
    <row r="959" spans="1:6">
      <c r="A959" s="69" t="s">
        <v>1380</v>
      </c>
      <c r="B959" s="69" t="s">
        <v>1377</v>
      </c>
      <c r="C959" s="69" t="s">
        <v>1378</v>
      </c>
      <c r="D959" s="69" t="str">
        <f t="shared" si="16"/>
        <v>Agweng</v>
      </c>
      <c r="F959" s="69">
        <v>864</v>
      </c>
    </row>
    <row r="960" spans="1:6">
      <c r="A960" s="69" t="s">
        <v>1381</v>
      </c>
      <c r="B960" s="69" t="s">
        <v>1377</v>
      </c>
      <c r="C960" s="69" t="s">
        <v>1378</v>
      </c>
      <c r="D960" s="69" t="str">
        <f t="shared" si="16"/>
        <v>Amach</v>
      </c>
      <c r="F960" s="69">
        <v>865</v>
      </c>
    </row>
    <row r="961" spans="1:6">
      <c r="A961" s="69" t="s">
        <v>1382</v>
      </c>
      <c r="B961" s="69" t="s">
        <v>1377</v>
      </c>
      <c r="C961" s="69" t="s">
        <v>1378</v>
      </c>
      <c r="D961" s="69" t="str">
        <f t="shared" si="16"/>
        <v>Aromo</v>
      </c>
      <c r="F961" s="69">
        <v>866</v>
      </c>
    </row>
    <row r="962" spans="1:6">
      <c r="A962" s="69" t="s">
        <v>1383</v>
      </c>
      <c r="B962" s="69" t="s">
        <v>1377</v>
      </c>
      <c r="C962" s="69" t="s">
        <v>1378</v>
      </c>
      <c r="D962" s="69" t="str">
        <f t="shared" ref="D962:D1025" si="17">A962</f>
        <v>Barr</v>
      </c>
      <c r="F962" s="69">
        <v>867</v>
      </c>
    </row>
    <row r="963" spans="1:6">
      <c r="A963" s="69" t="s">
        <v>1377</v>
      </c>
      <c r="B963" s="69" t="s">
        <v>1377</v>
      </c>
      <c r="C963" s="69" t="s">
        <v>1378</v>
      </c>
      <c r="D963" s="69" t="str">
        <f t="shared" si="17"/>
        <v>Lira</v>
      </c>
      <c r="F963" s="69">
        <v>868</v>
      </c>
    </row>
    <row r="964" spans="1:6">
      <c r="A964" s="69" t="s">
        <v>1384</v>
      </c>
      <c r="B964" s="69" t="s">
        <v>1377</v>
      </c>
      <c r="C964" s="69" t="s">
        <v>1384</v>
      </c>
      <c r="D964" s="69" t="str">
        <f t="shared" si="17"/>
        <v>Lira Municipality</v>
      </c>
      <c r="F964" s="69">
        <v>869</v>
      </c>
    </row>
    <row r="965" spans="1:6">
      <c r="A965" s="69" t="s">
        <v>1385</v>
      </c>
      <c r="B965" s="69" t="s">
        <v>1377</v>
      </c>
      <c r="C965" s="69" t="s">
        <v>1384</v>
      </c>
      <c r="D965" s="69" t="str">
        <f t="shared" si="17"/>
        <v>Obanga subcounty</v>
      </c>
      <c r="F965" s="69">
        <v>869</v>
      </c>
    </row>
    <row r="966" spans="1:6">
      <c r="A966" s="69" t="s">
        <v>1386</v>
      </c>
      <c r="B966" s="69" t="s">
        <v>1377</v>
      </c>
      <c r="C966" s="69" t="s">
        <v>1384</v>
      </c>
      <c r="D966" s="69" t="str">
        <f t="shared" si="17"/>
        <v xml:space="preserve">Lira town </v>
      </c>
      <c r="F966" s="69">
        <v>869</v>
      </c>
    </row>
    <row r="967" spans="1:6">
      <c r="A967" s="69" t="s">
        <v>1387</v>
      </c>
      <c r="B967" s="69" t="s">
        <v>1377</v>
      </c>
      <c r="C967" s="69" t="s">
        <v>1384</v>
      </c>
      <c r="D967" s="69" t="str">
        <f t="shared" si="17"/>
        <v>Lira town</v>
      </c>
      <c r="F967" s="69">
        <v>869</v>
      </c>
    </row>
    <row r="968" spans="1:6">
      <c r="A968" s="69" t="s">
        <v>1388</v>
      </c>
      <c r="B968" s="69" t="s">
        <v>1377</v>
      </c>
      <c r="C968" s="69" t="s">
        <v>1378</v>
      </c>
      <c r="D968" s="69" t="str">
        <f t="shared" si="17"/>
        <v>Ngetta</v>
      </c>
      <c r="F968" s="69">
        <v>870</v>
      </c>
    </row>
    <row r="969" spans="1:6">
      <c r="A969" s="69" t="s">
        <v>1389</v>
      </c>
      <c r="B969" s="69" t="s">
        <v>1377</v>
      </c>
      <c r="C969" s="69" t="s">
        <v>1378</v>
      </c>
      <c r="D969" s="69" t="str">
        <f t="shared" si="17"/>
        <v>Ogur</v>
      </c>
      <c r="F969" s="69">
        <v>871</v>
      </c>
    </row>
    <row r="970" spans="1:6">
      <c r="A970" s="69" t="s">
        <v>778</v>
      </c>
      <c r="B970" s="69" t="s">
        <v>1390</v>
      </c>
      <c r="C970" s="69" t="s">
        <v>1390</v>
      </c>
      <c r="D970" s="69" t="str">
        <f t="shared" si="17"/>
        <v>Bukanga</v>
      </c>
      <c r="F970" s="69">
        <v>872</v>
      </c>
    </row>
    <row r="971" spans="1:6">
      <c r="A971" s="69" t="s">
        <v>1391</v>
      </c>
      <c r="B971" s="69" t="s">
        <v>1390</v>
      </c>
      <c r="C971" s="69" t="s">
        <v>1390</v>
      </c>
      <c r="D971" s="69" t="str">
        <f t="shared" si="17"/>
        <v>Bukooma</v>
      </c>
      <c r="F971" s="69">
        <v>873</v>
      </c>
    </row>
    <row r="972" spans="1:6">
      <c r="A972" s="69" t="s">
        <v>1392</v>
      </c>
      <c r="B972" s="69" t="s">
        <v>1390</v>
      </c>
      <c r="C972" s="69" t="s">
        <v>1390</v>
      </c>
      <c r="D972" s="69" t="str">
        <f t="shared" si="17"/>
        <v>Bulongo</v>
      </c>
      <c r="F972" s="69">
        <v>874</v>
      </c>
    </row>
    <row r="973" spans="1:6">
      <c r="A973" s="69" t="s">
        <v>1393</v>
      </c>
      <c r="B973" s="69" t="s">
        <v>1390</v>
      </c>
      <c r="C973" s="69" t="s">
        <v>1390</v>
      </c>
      <c r="D973" s="69" t="str">
        <f t="shared" si="17"/>
        <v>Ikumbya</v>
      </c>
      <c r="F973" s="69">
        <v>875</v>
      </c>
    </row>
    <row r="974" spans="1:6">
      <c r="A974" s="69" t="s">
        <v>1394</v>
      </c>
      <c r="B974" s="69" t="s">
        <v>1390</v>
      </c>
      <c r="C974" s="69" t="s">
        <v>1390</v>
      </c>
      <c r="D974" s="69" t="str">
        <f t="shared" si="17"/>
        <v>Irongo</v>
      </c>
      <c r="F974" s="69">
        <v>876</v>
      </c>
    </row>
    <row r="975" spans="1:6">
      <c r="A975" s="69" t="s">
        <v>1395</v>
      </c>
      <c r="B975" s="69" t="s">
        <v>1390</v>
      </c>
      <c r="C975" s="69" t="s">
        <v>1390</v>
      </c>
      <c r="D975" s="69" t="str">
        <f t="shared" si="17"/>
        <v>Luuka Town Council</v>
      </c>
      <c r="F975" s="69">
        <v>877</v>
      </c>
    </row>
    <row r="976" spans="1:6">
      <c r="A976" s="69" t="s">
        <v>1396</v>
      </c>
      <c r="B976" s="69" t="s">
        <v>1390</v>
      </c>
      <c r="C976" s="69" t="s">
        <v>1390</v>
      </c>
      <c r="D976" s="69" t="str">
        <f t="shared" si="17"/>
        <v>Nawampiti</v>
      </c>
      <c r="F976" s="69">
        <v>878</v>
      </c>
    </row>
    <row r="977" spans="1:6">
      <c r="A977" s="69" t="s">
        <v>1397</v>
      </c>
      <c r="B977" s="69" t="s">
        <v>1390</v>
      </c>
      <c r="C977" s="69" t="s">
        <v>1390</v>
      </c>
      <c r="D977" s="69" t="str">
        <f t="shared" si="17"/>
        <v>Waibuga</v>
      </c>
      <c r="F977" s="69">
        <v>879</v>
      </c>
    </row>
    <row r="978" spans="1:6">
      <c r="A978" s="69" t="s">
        <v>1398</v>
      </c>
      <c r="B978" s="69" t="s">
        <v>1399</v>
      </c>
      <c r="C978" s="69" t="s">
        <v>1398</v>
      </c>
      <c r="D978" s="69" t="str">
        <f t="shared" si="17"/>
        <v>Bamunanika</v>
      </c>
      <c r="F978" s="69">
        <v>880</v>
      </c>
    </row>
    <row r="979" spans="1:6">
      <c r="A979" s="69" t="s">
        <v>1400</v>
      </c>
      <c r="B979" s="69" t="s">
        <v>1399</v>
      </c>
      <c r="C979" s="69" t="s">
        <v>1401</v>
      </c>
      <c r="D979" s="69" t="str">
        <f t="shared" si="17"/>
        <v>Bombo Town Council</v>
      </c>
      <c r="F979" s="69">
        <v>881</v>
      </c>
    </row>
    <row r="980" spans="1:6">
      <c r="A980" s="69" t="s">
        <v>1402</v>
      </c>
      <c r="B980" s="69" t="s">
        <v>1399</v>
      </c>
      <c r="C980" s="69" t="s">
        <v>1401</v>
      </c>
      <c r="D980" s="69" t="str">
        <f t="shared" si="17"/>
        <v>Butuntumula</v>
      </c>
      <c r="F980" s="69">
        <v>882</v>
      </c>
    </row>
    <row r="981" spans="1:6">
      <c r="A981" s="69" t="s">
        <v>1403</v>
      </c>
      <c r="B981" s="69" t="s">
        <v>1399</v>
      </c>
      <c r="C981" s="69" t="s">
        <v>1398</v>
      </c>
      <c r="D981" s="69" t="str">
        <f t="shared" si="17"/>
        <v>Kalagala</v>
      </c>
      <c r="F981" s="69">
        <v>883</v>
      </c>
    </row>
    <row r="982" spans="1:6">
      <c r="A982" s="69" t="s">
        <v>1404</v>
      </c>
      <c r="B982" s="69" t="s">
        <v>1399</v>
      </c>
      <c r="C982" s="69" t="s">
        <v>1398</v>
      </c>
      <c r="D982" s="69" t="str">
        <f t="shared" si="17"/>
        <v>Kamira</v>
      </c>
      <c r="F982" s="69">
        <v>884</v>
      </c>
    </row>
    <row r="983" spans="1:6">
      <c r="A983" s="69" t="s">
        <v>1401</v>
      </c>
      <c r="B983" s="69" t="s">
        <v>1399</v>
      </c>
      <c r="C983" s="69" t="s">
        <v>1401</v>
      </c>
      <c r="D983" s="69" t="str">
        <f t="shared" si="17"/>
        <v>Katikamu</v>
      </c>
      <c r="F983" s="69">
        <v>885</v>
      </c>
    </row>
    <row r="984" spans="1:6">
      <c r="A984" s="69" t="s">
        <v>1405</v>
      </c>
      <c r="B984" s="69" t="s">
        <v>1399</v>
      </c>
      <c r="C984" s="69" t="s">
        <v>1398</v>
      </c>
      <c r="D984" s="69" t="str">
        <f t="shared" si="17"/>
        <v>Kikyusa</v>
      </c>
      <c r="F984" s="69">
        <v>886</v>
      </c>
    </row>
    <row r="985" spans="1:6">
      <c r="A985" s="69" t="s">
        <v>1399</v>
      </c>
      <c r="B985" s="69" t="s">
        <v>1399</v>
      </c>
      <c r="C985" s="69" t="s">
        <v>1401</v>
      </c>
      <c r="D985" s="69" t="str">
        <f t="shared" si="17"/>
        <v>Luwero</v>
      </c>
      <c r="F985" s="69">
        <v>887</v>
      </c>
    </row>
    <row r="986" spans="1:6">
      <c r="A986" s="69" t="s">
        <v>1406</v>
      </c>
      <c r="B986" s="69" t="s">
        <v>1399</v>
      </c>
      <c r="C986" s="69" t="s">
        <v>1401</v>
      </c>
      <c r="D986" s="69" t="str">
        <f t="shared" si="17"/>
        <v>Luwero Town Council</v>
      </c>
      <c r="F986" s="69">
        <v>888</v>
      </c>
    </row>
    <row r="987" spans="1:6">
      <c r="A987" s="69" t="s">
        <v>1407</v>
      </c>
      <c r="B987" s="69" t="s">
        <v>1399</v>
      </c>
      <c r="C987" s="69" t="s">
        <v>1401</v>
      </c>
      <c r="D987" s="69" t="str">
        <f t="shared" si="17"/>
        <v>Makulubita</v>
      </c>
      <c r="F987" s="69">
        <v>889</v>
      </c>
    </row>
    <row r="988" spans="1:6">
      <c r="A988" s="69" t="s">
        <v>1408</v>
      </c>
      <c r="B988" s="69" t="s">
        <v>1399</v>
      </c>
      <c r="C988" s="69" t="s">
        <v>1401</v>
      </c>
      <c r="D988" s="69" t="str">
        <f t="shared" si="17"/>
        <v>Nyimbwa</v>
      </c>
      <c r="F988" s="69">
        <v>890</v>
      </c>
    </row>
    <row r="989" spans="1:6">
      <c r="A989" s="69" t="s">
        <v>1409</v>
      </c>
      <c r="B989" s="69" t="s">
        <v>1399</v>
      </c>
      <c r="C989" s="69" t="s">
        <v>1401</v>
      </c>
      <c r="D989" s="69" t="str">
        <f t="shared" si="17"/>
        <v>Wobulenzi Town Council</v>
      </c>
      <c r="F989" s="69">
        <v>891</v>
      </c>
    </row>
    <row r="990" spans="1:6">
      <c r="A990" s="69" t="s">
        <v>1410</v>
      </c>
      <c r="B990" s="69" t="s">
        <v>1399</v>
      </c>
      <c r="C990" s="69" t="s">
        <v>1398</v>
      </c>
      <c r="D990" s="69" t="str">
        <f t="shared" si="17"/>
        <v>Zirobwe</v>
      </c>
      <c r="F990" s="69">
        <v>892</v>
      </c>
    </row>
    <row r="991" spans="1:6">
      <c r="A991" s="69" t="s">
        <v>1411</v>
      </c>
      <c r="B991" s="69" t="s">
        <v>1412</v>
      </c>
      <c r="C991" s="69" t="s">
        <v>23</v>
      </c>
      <c r="D991" s="69" t="str">
        <f t="shared" si="17"/>
        <v>Kisekka</v>
      </c>
      <c r="F991" s="69">
        <v>893</v>
      </c>
    </row>
    <row r="992" spans="1:6">
      <c r="A992" s="69" t="s">
        <v>1413</v>
      </c>
      <c r="B992" s="69" t="s">
        <v>1412</v>
      </c>
      <c r="C992" s="69" t="s">
        <v>23</v>
      </c>
      <c r="D992" s="69" t="str">
        <f t="shared" si="17"/>
        <v>Kkingo</v>
      </c>
      <c r="F992" s="69">
        <v>894</v>
      </c>
    </row>
    <row r="993" spans="1:6">
      <c r="A993" s="69" t="s">
        <v>1414</v>
      </c>
      <c r="B993" s="69" t="s">
        <v>1412</v>
      </c>
      <c r="C993" s="69" t="s">
        <v>23</v>
      </c>
      <c r="D993" s="69" t="str">
        <f t="shared" si="17"/>
        <v>Kyazanga</v>
      </c>
      <c r="F993" s="69">
        <v>895</v>
      </c>
    </row>
    <row r="994" spans="1:6">
      <c r="A994" s="69" t="s">
        <v>1415</v>
      </c>
      <c r="B994" s="69" t="s">
        <v>1412</v>
      </c>
      <c r="C994" s="69" t="s">
        <v>23</v>
      </c>
      <c r="D994" s="69" t="str">
        <f t="shared" si="17"/>
        <v>Kyazanga Town Council</v>
      </c>
      <c r="F994" s="69">
        <v>896</v>
      </c>
    </row>
    <row r="995" spans="1:6">
      <c r="A995" s="69" t="s">
        <v>1412</v>
      </c>
      <c r="B995" s="69" t="s">
        <v>1412</v>
      </c>
      <c r="C995" s="69" t="s">
        <v>23</v>
      </c>
      <c r="D995" s="69" t="str">
        <f t="shared" si="17"/>
        <v>Lwengo</v>
      </c>
      <c r="F995" s="69">
        <v>897</v>
      </c>
    </row>
    <row r="996" spans="1:6">
      <c r="A996" s="69" t="s">
        <v>1416</v>
      </c>
      <c r="B996" s="69" t="s">
        <v>1412</v>
      </c>
      <c r="C996" s="69" t="s">
        <v>23</v>
      </c>
      <c r="D996" s="69" t="str">
        <f t="shared" si="17"/>
        <v>Lwengo Town Council</v>
      </c>
      <c r="F996" s="69">
        <v>898</v>
      </c>
    </row>
    <row r="997" spans="1:6">
      <c r="A997" s="69" t="s">
        <v>1417</v>
      </c>
      <c r="B997" s="69" t="s">
        <v>1412</v>
      </c>
      <c r="C997" s="69" t="s">
        <v>23</v>
      </c>
      <c r="D997" s="69" t="str">
        <f t="shared" si="17"/>
        <v>Malongo-Lwengo</v>
      </c>
      <c r="F997" s="69">
        <v>899</v>
      </c>
    </row>
    <row r="998" spans="1:6">
      <c r="A998" s="69" t="s">
        <v>1418</v>
      </c>
      <c r="B998" s="69" t="s">
        <v>1412</v>
      </c>
      <c r="C998" s="69" t="s">
        <v>23</v>
      </c>
      <c r="D998" s="69" t="str">
        <f t="shared" si="17"/>
        <v>Ndagwe</v>
      </c>
      <c r="F998" s="69">
        <v>900</v>
      </c>
    </row>
    <row r="999" spans="1:6">
      <c r="A999" s="69" t="s">
        <v>1419</v>
      </c>
      <c r="B999" s="69" t="s">
        <v>1420</v>
      </c>
      <c r="C999" s="69" t="s">
        <v>1421</v>
      </c>
      <c r="D999" s="69" t="str">
        <f t="shared" si="17"/>
        <v>Kaliiro</v>
      </c>
      <c r="F999" s="69">
        <v>901</v>
      </c>
    </row>
    <row r="1000" spans="1:6">
      <c r="A1000" s="69" t="s">
        <v>1422</v>
      </c>
      <c r="B1000" s="69" t="s">
        <v>1420</v>
      </c>
      <c r="C1000" s="69" t="s">
        <v>1421</v>
      </c>
      <c r="D1000" s="69" t="str">
        <f t="shared" si="17"/>
        <v>Kasagama</v>
      </c>
      <c r="F1000" s="69">
        <v>902</v>
      </c>
    </row>
    <row r="1001" spans="1:6">
      <c r="A1001" s="69" t="s">
        <v>1423</v>
      </c>
      <c r="B1001" s="69" t="s">
        <v>1420</v>
      </c>
      <c r="C1001" s="69" t="s">
        <v>1421</v>
      </c>
      <c r="D1001" s="69" t="str">
        <f t="shared" si="17"/>
        <v>Kinuuka</v>
      </c>
      <c r="F1001" s="69">
        <v>903</v>
      </c>
    </row>
    <row r="1002" spans="1:6">
      <c r="A1002" s="69" t="s">
        <v>1420</v>
      </c>
      <c r="B1002" s="69" t="s">
        <v>1420</v>
      </c>
      <c r="C1002" s="69" t="s">
        <v>1421</v>
      </c>
      <c r="D1002" s="69" t="str">
        <f t="shared" si="17"/>
        <v>Lyantonde</v>
      </c>
      <c r="F1002" s="69">
        <v>904</v>
      </c>
    </row>
    <row r="1003" spans="1:6">
      <c r="A1003" s="69" t="s">
        <v>1424</v>
      </c>
      <c r="B1003" s="69" t="s">
        <v>1420</v>
      </c>
      <c r="C1003" s="69" t="s">
        <v>1421</v>
      </c>
      <c r="D1003" s="69" t="str">
        <f t="shared" si="17"/>
        <v>Lyantonde Town Council</v>
      </c>
      <c r="F1003" s="69">
        <v>905</v>
      </c>
    </row>
    <row r="1004" spans="1:6">
      <c r="A1004" s="69" t="s">
        <v>1425</v>
      </c>
      <c r="B1004" s="69" t="s">
        <v>1420</v>
      </c>
      <c r="C1004" s="69" t="s">
        <v>1421</v>
      </c>
      <c r="D1004" s="69" t="str">
        <f t="shared" si="17"/>
        <v>Mpumudde-Lyantonde</v>
      </c>
      <c r="F1004" s="69">
        <v>906</v>
      </c>
    </row>
    <row r="1005" spans="1:6">
      <c r="A1005" s="69" t="s">
        <v>1426</v>
      </c>
      <c r="B1005" s="69" t="s">
        <v>1427</v>
      </c>
      <c r="C1005" s="69" t="s">
        <v>1428</v>
      </c>
      <c r="D1005" s="69" t="str">
        <f t="shared" si="17"/>
        <v>Bugobero</v>
      </c>
      <c r="F1005" s="69">
        <v>907</v>
      </c>
    </row>
    <row r="1006" spans="1:6">
      <c r="A1006" s="69" t="s">
        <v>1429</v>
      </c>
      <c r="B1006" s="69" t="s">
        <v>1427</v>
      </c>
      <c r="C1006" s="69" t="s">
        <v>1428</v>
      </c>
      <c r="D1006" s="69" t="str">
        <f t="shared" si="17"/>
        <v>Bukhofu</v>
      </c>
      <c r="F1006" s="69">
        <v>908</v>
      </c>
    </row>
    <row r="1007" spans="1:6">
      <c r="A1007" s="69" t="s">
        <v>1430</v>
      </c>
      <c r="B1007" s="69" t="s">
        <v>1427</v>
      </c>
      <c r="C1007" s="69" t="s">
        <v>1428</v>
      </c>
      <c r="D1007" s="69" t="str">
        <f t="shared" si="17"/>
        <v>Bukusu</v>
      </c>
      <c r="F1007" s="69">
        <v>909</v>
      </c>
    </row>
    <row r="1008" spans="1:6">
      <c r="A1008" s="69" t="s">
        <v>1431</v>
      </c>
      <c r="B1008" s="69" t="s">
        <v>1427</v>
      </c>
      <c r="C1008" s="69" t="s">
        <v>1428</v>
      </c>
      <c r="D1008" s="69" t="str">
        <f t="shared" si="17"/>
        <v>Bunabwana</v>
      </c>
      <c r="F1008" s="69">
        <v>910</v>
      </c>
    </row>
    <row r="1009" spans="1:6">
      <c r="A1009" s="69" t="s">
        <v>1432</v>
      </c>
      <c r="B1009" s="69" t="s">
        <v>1427</v>
      </c>
      <c r="C1009" s="69" t="s">
        <v>1428</v>
      </c>
      <c r="D1009" s="69" t="str">
        <f t="shared" si="17"/>
        <v>Bunyinza Town Council</v>
      </c>
      <c r="F1009" s="69">
        <v>911</v>
      </c>
    </row>
    <row r="1010" spans="1:6">
      <c r="A1010" s="69" t="s">
        <v>1433</v>
      </c>
      <c r="B1010" s="69" t="s">
        <v>1427</v>
      </c>
      <c r="C1010" s="69" t="s">
        <v>1428</v>
      </c>
      <c r="D1010" s="69" t="str">
        <f t="shared" si="17"/>
        <v>Busukuya</v>
      </c>
      <c r="F1010" s="69">
        <v>912</v>
      </c>
    </row>
    <row r="1011" spans="1:6">
      <c r="A1011" s="69" t="s">
        <v>1434</v>
      </c>
      <c r="B1011" s="69" t="s">
        <v>1427</v>
      </c>
      <c r="C1011" s="69" t="s">
        <v>1428</v>
      </c>
      <c r="D1011" s="69" t="str">
        <f t="shared" si="17"/>
        <v>Butiru</v>
      </c>
      <c r="F1011" s="69">
        <v>913</v>
      </c>
    </row>
    <row r="1012" spans="1:6">
      <c r="A1012" s="69" t="s">
        <v>1435</v>
      </c>
      <c r="B1012" s="69" t="s">
        <v>1427</v>
      </c>
      <c r="C1012" s="69" t="s">
        <v>1428</v>
      </c>
      <c r="D1012" s="69" t="str">
        <f t="shared" si="17"/>
        <v>Butta</v>
      </c>
      <c r="F1012" s="69">
        <v>914</v>
      </c>
    </row>
    <row r="1013" spans="1:6">
      <c r="A1013" s="69" t="s">
        <v>1436</v>
      </c>
      <c r="B1013" s="69" t="s">
        <v>1427</v>
      </c>
      <c r="C1013" s="69" t="s">
        <v>1428</v>
      </c>
      <c r="D1013" s="69" t="str">
        <f t="shared" si="17"/>
        <v>Buwagogo</v>
      </c>
      <c r="F1013" s="69">
        <v>915</v>
      </c>
    </row>
    <row r="1014" spans="1:6">
      <c r="A1014" s="69" t="s">
        <v>1437</v>
      </c>
      <c r="B1014" s="69" t="s">
        <v>1427</v>
      </c>
      <c r="C1014" s="69" t="s">
        <v>1428</v>
      </c>
      <c r="D1014" s="69" t="str">
        <f t="shared" si="17"/>
        <v>Buwangani Town Council</v>
      </c>
      <c r="F1014" s="69">
        <v>916</v>
      </c>
    </row>
    <row r="1015" spans="1:6">
      <c r="A1015" s="69" t="s">
        <v>1438</v>
      </c>
      <c r="B1015" s="69" t="s">
        <v>1427</v>
      </c>
      <c r="C1015" s="69" t="s">
        <v>1428</v>
      </c>
      <c r="D1015" s="69" t="str">
        <f t="shared" si="17"/>
        <v>Kaato</v>
      </c>
      <c r="F1015" s="69">
        <v>917</v>
      </c>
    </row>
    <row r="1016" spans="1:6">
      <c r="A1016" s="69" t="s">
        <v>1439</v>
      </c>
      <c r="B1016" s="69" t="s">
        <v>1427</v>
      </c>
      <c r="C1016" s="69" t="s">
        <v>1428</v>
      </c>
      <c r="D1016" s="69" t="str">
        <f t="shared" si="17"/>
        <v>Khabutoola</v>
      </c>
      <c r="F1016" s="69">
        <v>918</v>
      </c>
    </row>
    <row r="1017" spans="1:6">
      <c r="A1017" s="69" t="s">
        <v>1440</v>
      </c>
      <c r="B1017" s="69" t="s">
        <v>1427</v>
      </c>
      <c r="C1017" s="69" t="s">
        <v>1428</v>
      </c>
      <c r="D1017" s="69" t="str">
        <f t="shared" si="17"/>
        <v>Manafwa Town Council</v>
      </c>
      <c r="F1017" s="69">
        <v>919</v>
      </c>
    </row>
    <row r="1018" spans="1:6">
      <c r="A1018" s="69" t="s">
        <v>1441</v>
      </c>
      <c r="B1018" s="69" t="s">
        <v>1427</v>
      </c>
      <c r="C1018" s="69" t="s">
        <v>1428</v>
      </c>
      <c r="D1018" s="69" t="str">
        <f t="shared" si="17"/>
        <v>Nalondo</v>
      </c>
      <c r="F1018" s="69">
        <v>920</v>
      </c>
    </row>
    <row r="1019" spans="1:6">
      <c r="A1019" s="69" t="s">
        <v>1442</v>
      </c>
      <c r="B1019" s="69" t="s">
        <v>1427</v>
      </c>
      <c r="C1019" s="69" t="s">
        <v>1428</v>
      </c>
      <c r="D1019" s="69" t="str">
        <f t="shared" si="17"/>
        <v>Sibanga</v>
      </c>
      <c r="F1019" s="69">
        <v>921</v>
      </c>
    </row>
    <row r="1020" spans="1:6">
      <c r="A1020" s="69" t="s">
        <v>1443</v>
      </c>
      <c r="B1020" s="69" t="s">
        <v>1427</v>
      </c>
      <c r="C1020" s="69" t="s">
        <v>1428</v>
      </c>
      <c r="D1020" s="69" t="str">
        <f t="shared" si="17"/>
        <v>Sisuni</v>
      </c>
      <c r="F1020" s="69">
        <v>922</v>
      </c>
    </row>
    <row r="1021" spans="1:6">
      <c r="A1021" s="69" t="s">
        <v>1444</v>
      </c>
      <c r="B1021" s="69" t="s">
        <v>1427</v>
      </c>
      <c r="C1021" s="69" t="s">
        <v>1428</v>
      </c>
      <c r="D1021" s="69" t="str">
        <f t="shared" si="17"/>
        <v>Weswa</v>
      </c>
      <c r="F1021" s="69">
        <v>923</v>
      </c>
    </row>
    <row r="1022" spans="1:6">
      <c r="A1022" s="69" t="s">
        <v>1445</v>
      </c>
      <c r="B1022" s="69" t="s">
        <v>1446</v>
      </c>
      <c r="C1022" s="69" t="s">
        <v>1446</v>
      </c>
      <c r="D1022" s="69" t="str">
        <f t="shared" si="17"/>
        <v>Kijomoro</v>
      </c>
      <c r="F1022" s="69">
        <v>924</v>
      </c>
    </row>
    <row r="1023" spans="1:6">
      <c r="A1023" s="69" t="s">
        <v>1447</v>
      </c>
      <c r="B1023" s="69" t="s">
        <v>1446</v>
      </c>
      <c r="C1023" s="69" t="s">
        <v>1446</v>
      </c>
      <c r="D1023" s="69" t="str">
        <f t="shared" si="17"/>
        <v>Maracha Town Council</v>
      </c>
      <c r="F1023" s="69">
        <v>925</v>
      </c>
    </row>
    <row r="1024" spans="1:6">
      <c r="A1024" s="69" t="s">
        <v>1448</v>
      </c>
      <c r="B1024" s="69" t="s">
        <v>1446</v>
      </c>
      <c r="C1024" s="69" t="s">
        <v>1446</v>
      </c>
      <c r="D1024" s="69" t="str">
        <f t="shared" si="17"/>
        <v>Nyadri</v>
      </c>
      <c r="F1024" s="69">
        <v>926</v>
      </c>
    </row>
    <row r="1025" spans="1:6">
      <c r="A1025" s="69" t="s">
        <v>1449</v>
      </c>
      <c r="B1025" s="69" t="s">
        <v>1446</v>
      </c>
      <c r="C1025" s="69" t="s">
        <v>1446</v>
      </c>
      <c r="D1025" s="69" t="str">
        <f t="shared" si="17"/>
        <v>Oleba</v>
      </c>
      <c r="F1025" s="69">
        <v>927</v>
      </c>
    </row>
    <row r="1026" spans="1:6">
      <c r="A1026" s="69" t="s">
        <v>1450</v>
      </c>
      <c r="B1026" s="69" t="s">
        <v>1446</v>
      </c>
      <c r="C1026" s="69" t="s">
        <v>1446</v>
      </c>
      <c r="D1026" s="69" t="str">
        <f t="shared" ref="D1026:D1089" si="18">A1026</f>
        <v>Oluffe</v>
      </c>
      <c r="F1026" s="69">
        <v>928</v>
      </c>
    </row>
    <row r="1027" spans="1:6">
      <c r="A1027" s="69" t="s">
        <v>1451</v>
      </c>
      <c r="B1027" s="69" t="s">
        <v>1446</v>
      </c>
      <c r="C1027" s="69" t="s">
        <v>1446</v>
      </c>
      <c r="D1027" s="69" t="str">
        <f t="shared" si="18"/>
        <v>Oluvu</v>
      </c>
      <c r="F1027" s="69">
        <v>929</v>
      </c>
    </row>
    <row r="1028" spans="1:6">
      <c r="A1028" s="69" t="s">
        <v>1452</v>
      </c>
      <c r="B1028" s="69" t="s">
        <v>1446</v>
      </c>
      <c r="C1028" s="69" t="s">
        <v>1446</v>
      </c>
      <c r="D1028" s="69" t="str">
        <f t="shared" si="18"/>
        <v>Tara</v>
      </c>
      <c r="F1028" s="69">
        <v>930</v>
      </c>
    </row>
    <row r="1029" spans="1:6">
      <c r="A1029" s="69" t="s">
        <v>1453</v>
      </c>
      <c r="B1029" s="69" t="s">
        <v>1446</v>
      </c>
      <c r="C1029" s="69" t="s">
        <v>1446</v>
      </c>
      <c r="D1029" s="69" t="str">
        <f t="shared" si="18"/>
        <v>Yivu</v>
      </c>
      <c r="F1029" s="69">
        <v>931</v>
      </c>
    </row>
    <row r="1030" spans="1:6">
      <c r="A1030" s="69" t="s">
        <v>1454</v>
      </c>
      <c r="B1030" s="69" t="s">
        <v>39</v>
      </c>
      <c r="C1030" s="69" t="s">
        <v>23</v>
      </c>
      <c r="D1030" s="69" t="str">
        <f t="shared" si="18"/>
        <v>Bukakata</v>
      </c>
      <c r="F1030" s="69">
        <v>932</v>
      </c>
    </row>
    <row r="1031" spans="1:6">
      <c r="A1031" s="69" t="s">
        <v>1455</v>
      </c>
      <c r="B1031" s="69" t="s">
        <v>39</v>
      </c>
      <c r="C1031" s="69" t="s">
        <v>23</v>
      </c>
      <c r="D1031" s="69" t="str">
        <f t="shared" si="18"/>
        <v>Buwunga-Masaka</v>
      </c>
      <c r="F1031" s="69">
        <v>933</v>
      </c>
    </row>
    <row r="1032" spans="1:6">
      <c r="A1032" s="69" t="s">
        <v>1456</v>
      </c>
      <c r="B1032" s="69" t="s">
        <v>39</v>
      </c>
      <c r="C1032" s="69" t="s">
        <v>23</v>
      </c>
      <c r="D1032" s="69" t="str">
        <f t="shared" si="18"/>
        <v>Kabonera</v>
      </c>
      <c r="F1032" s="69">
        <v>934</v>
      </c>
    </row>
    <row r="1033" spans="1:6">
      <c r="A1033" s="69" t="s">
        <v>1457</v>
      </c>
      <c r="B1033" s="69" t="s">
        <v>39</v>
      </c>
      <c r="C1033" s="69" t="s">
        <v>23</v>
      </c>
      <c r="D1033" s="69" t="str">
        <f t="shared" si="18"/>
        <v>Kyanamukaaka</v>
      </c>
      <c r="F1033" s="69">
        <v>935</v>
      </c>
    </row>
    <row r="1034" spans="1:6">
      <c r="A1034" s="69" t="s">
        <v>1458</v>
      </c>
      <c r="B1034" s="69" t="s">
        <v>39</v>
      </c>
      <c r="C1034" s="69" t="s">
        <v>23</v>
      </c>
      <c r="D1034" s="69" t="str">
        <f t="shared" si="18"/>
        <v>Kyesiiga</v>
      </c>
      <c r="F1034" s="69">
        <v>936</v>
      </c>
    </row>
    <row r="1035" spans="1:6">
      <c r="A1035" s="69" t="s">
        <v>1459</v>
      </c>
      <c r="B1035" s="69" t="s">
        <v>39</v>
      </c>
      <c r="C1035" s="69" t="s">
        <v>1459</v>
      </c>
      <c r="D1035" s="69" t="str">
        <f t="shared" si="18"/>
        <v>Masaka Municipality</v>
      </c>
      <c r="F1035" s="69">
        <v>937</v>
      </c>
    </row>
    <row r="1036" spans="1:6">
      <c r="A1036" s="69" t="s">
        <v>1460</v>
      </c>
      <c r="B1036" s="69" t="s">
        <v>39</v>
      </c>
      <c r="C1036" s="69" t="s">
        <v>1459</v>
      </c>
      <c r="D1036" s="69" t="str">
        <f t="shared" si="18"/>
        <v>Masaka town</v>
      </c>
      <c r="F1036" s="69">
        <v>937</v>
      </c>
    </row>
    <row r="1037" spans="1:6">
      <c r="A1037" s="69" t="s">
        <v>39</v>
      </c>
      <c r="D1037" s="69" t="str">
        <f t="shared" si="18"/>
        <v>Masaka</v>
      </c>
      <c r="F1037" s="69">
        <v>937</v>
      </c>
    </row>
    <row r="1038" spans="1:6">
      <c r="A1038" s="69" t="s">
        <v>1461</v>
      </c>
      <c r="B1038" s="69" t="s">
        <v>39</v>
      </c>
      <c r="C1038" s="69" t="s">
        <v>23</v>
      </c>
      <c r="D1038" s="69" t="str">
        <f t="shared" si="18"/>
        <v>Mukungwe</v>
      </c>
      <c r="F1038" s="69">
        <v>938</v>
      </c>
    </row>
    <row r="1039" spans="1:6">
      <c r="A1039" s="69" t="s">
        <v>1462</v>
      </c>
      <c r="B1039" s="69" t="s">
        <v>1463</v>
      </c>
      <c r="C1039" s="69" t="s">
        <v>1464</v>
      </c>
      <c r="D1039" s="69" t="str">
        <f t="shared" si="18"/>
        <v>Budongo</v>
      </c>
      <c r="F1039" s="69">
        <v>939</v>
      </c>
    </row>
    <row r="1040" spans="1:6">
      <c r="A1040" s="69" t="s">
        <v>1465</v>
      </c>
      <c r="B1040" s="69" t="s">
        <v>1463</v>
      </c>
      <c r="C1040" s="69" t="s">
        <v>1464</v>
      </c>
      <c r="D1040" s="69" t="str">
        <f t="shared" si="18"/>
        <v>Bwijanga</v>
      </c>
      <c r="F1040" s="69">
        <v>940</v>
      </c>
    </row>
    <row r="1041" spans="1:6">
      <c r="A1041" s="69" t="s">
        <v>1466</v>
      </c>
      <c r="B1041" s="69" t="s">
        <v>1463</v>
      </c>
      <c r="C1041" s="69" t="s">
        <v>1467</v>
      </c>
      <c r="D1041" s="69" t="str">
        <f t="shared" si="18"/>
        <v>Kimengo</v>
      </c>
      <c r="F1041" s="69">
        <v>941</v>
      </c>
    </row>
    <row r="1042" spans="1:6">
      <c r="A1042" s="69" t="s">
        <v>1468</v>
      </c>
      <c r="B1042" s="69" t="s">
        <v>1463</v>
      </c>
      <c r="C1042" s="69" t="s">
        <v>1468</v>
      </c>
      <c r="D1042" s="69" t="str">
        <f t="shared" si="18"/>
        <v>Masindi Municipality</v>
      </c>
      <c r="F1042" s="69">
        <v>942</v>
      </c>
    </row>
    <row r="1043" spans="1:6">
      <c r="A1043" s="69" t="s">
        <v>1469</v>
      </c>
      <c r="B1043" s="69" t="s">
        <v>1463</v>
      </c>
      <c r="C1043" s="69" t="s">
        <v>1468</v>
      </c>
      <c r="D1043" s="69" t="str">
        <f t="shared" si="18"/>
        <v>Masindi town</v>
      </c>
      <c r="F1043" s="69">
        <v>942</v>
      </c>
    </row>
    <row r="1044" spans="1:6">
      <c r="A1044" s="69" t="s">
        <v>1470</v>
      </c>
      <c r="B1044" s="69" t="s">
        <v>1463</v>
      </c>
      <c r="C1044" s="69" t="s">
        <v>1467</v>
      </c>
      <c r="D1044" s="69" t="str">
        <f t="shared" si="18"/>
        <v>Miirya</v>
      </c>
      <c r="F1044" s="69">
        <v>943</v>
      </c>
    </row>
    <row r="1045" spans="1:6">
      <c r="A1045" s="69" t="s">
        <v>1471</v>
      </c>
      <c r="B1045" s="69" t="s">
        <v>1463</v>
      </c>
      <c r="C1045" s="69" t="s">
        <v>1467</v>
      </c>
      <c r="D1045" s="69" t="str">
        <f t="shared" si="18"/>
        <v>Pakanyi</v>
      </c>
      <c r="F1045" s="69">
        <v>944</v>
      </c>
    </row>
    <row r="1046" spans="1:6">
      <c r="A1046" s="69" t="s">
        <v>1472</v>
      </c>
      <c r="B1046" s="69" t="s">
        <v>1473</v>
      </c>
      <c r="C1046" s="69" t="s">
        <v>1474</v>
      </c>
      <c r="D1046" s="69" t="str">
        <f t="shared" si="18"/>
        <v>Baitambogwe</v>
      </c>
      <c r="F1046" s="69">
        <v>945</v>
      </c>
    </row>
    <row r="1047" spans="1:6">
      <c r="A1047" s="69" t="s">
        <v>1475</v>
      </c>
      <c r="B1047" s="69" t="s">
        <v>1473</v>
      </c>
      <c r="C1047" s="69" t="s">
        <v>1474</v>
      </c>
      <c r="D1047" s="69" t="str">
        <f t="shared" si="18"/>
        <v>Bukabooli</v>
      </c>
      <c r="F1047" s="69">
        <v>946</v>
      </c>
    </row>
    <row r="1048" spans="1:6">
      <c r="A1048" s="69" t="s">
        <v>1476</v>
      </c>
      <c r="B1048" s="69" t="s">
        <v>1473</v>
      </c>
      <c r="C1048" s="69" t="s">
        <v>1474</v>
      </c>
      <c r="D1048" s="69" t="str">
        <f t="shared" si="18"/>
        <v>Bukatube</v>
      </c>
      <c r="F1048" s="69">
        <v>947</v>
      </c>
    </row>
    <row r="1049" spans="1:6">
      <c r="A1049" s="69" t="s">
        <v>1477</v>
      </c>
      <c r="B1049" s="69" t="s">
        <v>1473</v>
      </c>
      <c r="C1049" s="69" t="s">
        <v>1474</v>
      </c>
      <c r="D1049" s="69" t="str">
        <f t="shared" si="18"/>
        <v>Busakira</v>
      </c>
      <c r="F1049" s="69">
        <v>948</v>
      </c>
    </row>
    <row r="1050" spans="1:6">
      <c r="A1050" s="69" t="s">
        <v>1478</v>
      </c>
      <c r="B1050" s="69" t="s">
        <v>1473</v>
      </c>
      <c r="C1050" s="69" t="s">
        <v>1474</v>
      </c>
      <c r="D1050" s="69" t="str">
        <f t="shared" si="18"/>
        <v>Buwaaya</v>
      </c>
      <c r="F1050" s="69">
        <v>949</v>
      </c>
    </row>
    <row r="1051" spans="1:6">
      <c r="A1051" s="69" t="s">
        <v>1479</v>
      </c>
      <c r="B1051" s="69" t="s">
        <v>1473</v>
      </c>
      <c r="C1051" s="69" t="s">
        <v>1474</v>
      </c>
      <c r="D1051" s="69" t="str">
        <f t="shared" si="18"/>
        <v>Imanyiro</v>
      </c>
      <c r="F1051" s="69">
        <v>950</v>
      </c>
    </row>
    <row r="1052" spans="1:6">
      <c r="A1052" s="69" t="s">
        <v>1480</v>
      </c>
      <c r="B1052" s="69" t="s">
        <v>1473</v>
      </c>
      <c r="C1052" s="69" t="s">
        <v>1474</v>
      </c>
      <c r="D1052" s="69" t="str">
        <f t="shared" si="18"/>
        <v>Jaguzi</v>
      </c>
      <c r="F1052" s="69">
        <v>951</v>
      </c>
    </row>
    <row r="1053" spans="1:6">
      <c r="A1053" s="69" t="s">
        <v>1481</v>
      </c>
      <c r="B1053" s="69" t="s">
        <v>1473</v>
      </c>
      <c r="C1053" s="69" t="s">
        <v>1474</v>
      </c>
      <c r="D1053" s="69" t="str">
        <f t="shared" si="18"/>
        <v>Kigandalo</v>
      </c>
      <c r="F1053" s="69">
        <v>952</v>
      </c>
    </row>
    <row r="1054" spans="1:6">
      <c r="A1054" s="69" t="s">
        <v>1482</v>
      </c>
      <c r="B1054" s="69" t="s">
        <v>1473</v>
      </c>
      <c r="C1054" s="69" t="s">
        <v>1474</v>
      </c>
      <c r="D1054" s="69" t="str">
        <f t="shared" si="18"/>
        <v>Kityerera</v>
      </c>
      <c r="F1054" s="69">
        <v>953</v>
      </c>
    </row>
    <row r="1055" spans="1:6">
      <c r="A1055" s="69" t="s">
        <v>1483</v>
      </c>
      <c r="B1055" s="69" t="s">
        <v>1473</v>
      </c>
      <c r="C1055" s="69" t="s">
        <v>1474</v>
      </c>
      <c r="D1055" s="69" t="str">
        <f t="shared" si="18"/>
        <v>Magamaga Town Council</v>
      </c>
      <c r="F1055" s="69">
        <v>954</v>
      </c>
    </row>
    <row r="1056" spans="1:6">
      <c r="A1056" s="69" t="s">
        <v>1484</v>
      </c>
      <c r="B1056" s="69" t="s">
        <v>1473</v>
      </c>
      <c r="C1056" s="69" t="s">
        <v>1474</v>
      </c>
      <c r="D1056" s="69" t="str">
        <f t="shared" si="18"/>
        <v>Malongo-Mayuge</v>
      </c>
      <c r="F1056" s="69">
        <v>955</v>
      </c>
    </row>
    <row r="1057" spans="1:6">
      <c r="A1057" s="69" t="s">
        <v>1485</v>
      </c>
      <c r="B1057" s="69" t="s">
        <v>1473</v>
      </c>
      <c r="C1057" s="69" t="s">
        <v>1474</v>
      </c>
      <c r="D1057" s="69" t="str">
        <f t="shared" si="18"/>
        <v>Mayuge Town Council</v>
      </c>
      <c r="F1057" s="69">
        <v>956</v>
      </c>
    </row>
    <row r="1058" spans="1:6">
      <c r="A1058" s="69" t="s">
        <v>1486</v>
      </c>
      <c r="B1058" s="69" t="s">
        <v>1473</v>
      </c>
      <c r="C1058" s="69" t="s">
        <v>1474</v>
      </c>
      <c r="D1058" s="69" t="str">
        <f t="shared" si="18"/>
        <v>Mpungwe</v>
      </c>
      <c r="F1058" s="69">
        <v>957</v>
      </c>
    </row>
    <row r="1059" spans="1:6">
      <c r="A1059" s="69" t="s">
        <v>1487</v>
      </c>
      <c r="B1059" s="69" t="s">
        <v>1473</v>
      </c>
      <c r="C1059" s="69" t="s">
        <v>1474</v>
      </c>
      <c r="D1059" s="69" t="str">
        <f t="shared" si="18"/>
        <v>Wairasa</v>
      </c>
      <c r="F1059" s="69">
        <v>958</v>
      </c>
    </row>
    <row r="1060" spans="1:6">
      <c r="A1060" s="69" t="s">
        <v>1488</v>
      </c>
      <c r="B1060" s="69" t="s">
        <v>1489</v>
      </c>
      <c r="C1060" s="69" t="s">
        <v>1490</v>
      </c>
      <c r="D1060" s="69" t="str">
        <f t="shared" si="18"/>
        <v>Bubyangu</v>
      </c>
      <c r="F1060" s="69">
        <v>959</v>
      </c>
    </row>
    <row r="1061" spans="1:6">
      <c r="A1061" s="69" t="s">
        <v>1491</v>
      </c>
      <c r="B1061" s="69" t="s">
        <v>1489</v>
      </c>
      <c r="C1061" s="69" t="s">
        <v>1490</v>
      </c>
      <c r="D1061" s="69" t="str">
        <f t="shared" si="18"/>
        <v>Budwale</v>
      </c>
      <c r="F1061" s="69">
        <v>960</v>
      </c>
    </row>
    <row r="1062" spans="1:6">
      <c r="A1062" s="69" t="s">
        <v>1492</v>
      </c>
      <c r="B1062" s="69" t="s">
        <v>1489</v>
      </c>
      <c r="C1062" s="69" t="s">
        <v>1490</v>
      </c>
      <c r="D1062" s="69" t="str">
        <f t="shared" si="18"/>
        <v>Bufumbo</v>
      </c>
      <c r="F1062" s="69">
        <v>961</v>
      </c>
    </row>
    <row r="1063" spans="1:6">
      <c r="A1063" s="69" t="s">
        <v>1493</v>
      </c>
      <c r="B1063" s="69" t="s">
        <v>1489</v>
      </c>
      <c r="C1063" s="69" t="s">
        <v>1490</v>
      </c>
      <c r="D1063" s="69" t="str">
        <f t="shared" si="18"/>
        <v>Bukasakya</v>
      </c>
      <c r="F1063" s="69">
        <v>962</v>
      </c>
    </row>
    <row r="1064" spans="1:6">
      <c r="A1064" s="69" t="s">
        <v>1494</v>
      </c>
      <c r="B1064" s="69" t="s">
        <v>1489</v>
      </c>
      <c r="C1064" s="69" t="s">
        <v>1490</v>
      </c>
      <c r="D1064" s="69" t="str">
        <f t="shared" si="18"/>
        <v>Bukiende</v>
      </c>
      <c r="F1064" s="69">
        <v>963</v>
      </c>
    </row>
    <row r="1065" spans="1:6">
      <c r="A1065" s="69" t="s">
        <v>1495</v>
      </c>
      <c r="B1065" s="69" t="s">
        <v>1489</v>
      </c>
      <c r="C1065" s="69" t="s">
        <v>1490</v>
      </c>
      <c r="D1065" s="69" t="str">
        <f t="shared" si="18"/>
        <v>Bukonde</v>
      </c>
      <c r="F1065" s="69">
        <v>964</v>
      </c>
    </row>
    <row r="1066" spans="1:6">
      <c r="A1066" s="69" t="s">
        <v>1496</v>
      </c>
      <c r="B1066" s="69" t="s">
        <v>1489</v>
      </c>
      <c r="C1066" s="69" t="s">
        <v>1490</v>
      </c>
      <c r="D1066" s="69" t="str">
        <f t="shared" si="18"/>
        <v>Bumasikye</v>
      </c>
      <c r="F1066" s="69">
        <v>965</v>
      </c>
    </row>
    <row r="1067" spans="1:6">
      <c r="A1067" s="69" t="s">
        <v>1497</v>
      </c>
      <c r="B1067" s="69" t="s">
        <v>1489</v>
      </c>
      <c r="C1067" s="69" t="s">
        <v>1490</v>
      </c>
      <c r="D1067" s="69" t="str">
        <f t="shared" si="18"/>
        <v>Bumbobi</v>
      </c>
      <c r="F1067" s="69">
        <v>966</v>
      </c>
    </row>
    <row r="1068" spans="1:6">
      <c r="A1068" s="69" t="s">
        <v>1490</v>
      </c>
      <c r="B1068" s="69" t="s">
        <v>1489</v>
      </c>
      <c r="C1068" s="69" t="s">
        <v>1490</v>
      </c>
      <c r="D1068" s="69" t="str">
        <f t="shared" si="18"/>
        <v>Bungokho</v>
      </c>
      <c r="F1068" s="69">
        <v>967</v>
      </c>
    </row>
    <row r="1069" spans="1:6">
      <c r="A1069" s="69" t="s">
        <v>1498</v>
      </c>
      <c r="B1069" s="69" t="s">
        <v>1489</v>
      </c>
      <c r="C1069" s="69" t="s">
        <v>1490</v>
      </c>
      <c r="D1069" s="69" t="str">
        <f t="shared" si="18"/>
        <v>Bungokho Mutoto</v>
      </c>
      <c r="F1069" s="69">
        <v>968</v>
      </c>
    </row>
    <row r="1070" spans="1:6">
      <c r="A1070" s="69" t="s">
        <v>1499</v>
      </c>
      <c r="B1070" s="69" t="s">
        <v>1489</v>
      </c>
      <c r="C1070" s="69" t="s">
        <v>1490</v>
      </c>
      <c r="D1070" s="69" t="str">
        <f t="shared" si="18"/>
        <v>Busano</v>
      </c>
      <c r="F1070" s="69">
        <v>969</v>
      </c>
    </row>
    <row r="1071" spans="1:6">
      <c r="A1071" s="69" t="s">
        <v>1500</v>
      </c>
      <c r="B1071" s="69" t="s">
        <v>1489</v>
      </c>
      <c r="C1071" s="69" t="s">
        <v>1490</v>
      </c>
      <c r="D1071" s="69" t="str">
        <f t="shared" si="18"/>
        <v>Busiu</v>
      </c>
      <c r="F1071" s="69">
        <v>970</v>
      </c>
    </row>
    <row r="1072" spans="1:6">
      <c r="A1072" s="69" t="s">
        <v>1501</v>
      </c>
      <c r="B1072" s="69" t="s">
        <v>1489</v>
      </c>
      <c r="C1072" s="69" t="s">
        <v>1490</v>
      </c>
      <c r="D1072" s="69" t="str">
        <f t="shared" si="18"/>
        <v>Busiu Town Council</v>
      </c>
      <c r="F1072" s="69">
        <v>971</v>
      </c>
    </row>
    <row r="1073" spans="1:6">
      <c r="A1073" s="69" t="s">
        <v>1502</v>
      </c>
      <c r="B1073" s="69" t="s">
        <v>1489</v>
      </c>
      <c r="C1073" s="69" t="s">
        <v>1490</v>
      </c>
      <c r="D1073" s="69" t="str">
        <f t="shared" si="18"/>
        <v>Busoba</v>
      </c>
      <c r="F1073" s="69">
        <v>972</v>
      </c>
    </row>
    <row r="1074" spans="1:6">
      <c r="A1074" s="69" t="s">
        <v>1503</v>
      </c>
      <c r="B1074" s="69" t="s">
        <v>1489</v>
      </c>
      <c r="C1074" s="69" t="s">
        <v>1490</v>
      </c>
      <c r="D1074" s="69" t="str">
        <f t="shared" si="18"/>
        <v>Lukhonge</v>
      </c>
      <c r="F1074" s="69">
        <v>973</v>
      </c>
    </row>
    <row r="1075" spans="1:6">
      <c r="A1075" s="69" t="s">
        <v>1504</v>
      </c>
      <c r="B1075" s="69" t="s">
        <v>1489</v>
      </c>
      <c r="C1075" s="69" t="s">
        <v>1490</v>
      </c>
      <c r="D1075" s="69" t="str">
        <f t="shared" si="18"/>
        <v>Lwasso</v>
      </c>
      <c r="F1075" s="69">
        <v>974</v>
      </c>
    </row>
    <row r="1076" spans="1:6">
      <c r="A1076" s="69" t="s">
        <v>1505</v>
      </c>
      <c r="B1076" s="69" t="s">
        <v>1489</v>
      </c>
      <c r="C1076" s="69" t="s">
        <v>1505</v>
      </c>
      <c r="D1076" s="69" t="str">
        <f t="shared" si="18"/>
        <v>Mbale Municipality</v>
      </c>
      <c r="F1076" s="69">
        <v>975</v>
      </c>
    </row>
    <row r="1077" spans="1:6">
      <c r="A1077" s="69" t="s">
        <v>1489</v>
      </c>
      <c r="B1077" s="69" t="s">
        <v>1489</v>
      </c>
      <c r="C1077" s="69" t="s">
        <v>1505</v>
      </c>
      <c r="D1077" s="69" t="str">
        <f t="shared" si="18"/>
        <v>Mbale</v>
      </c>
      <c r="F1077" s="69">
        <v>975</v>
      </c>
    </row>
    <row r="1078" spans="1:6">
      <c r="A1078" s="69" t="s">
        <v>1506</v>
      </c>
      <c r="B1078" s="69" t="s">
        <v>1489</v>
      </c>
      <c r="C1078" s="69" t="s">
        <v>1490</v>
      </c>
      <c r="D1078" s="69" t="str">
        <f t="shared" si="18"/>
        <v>Nabumali Town Council</v>
      </c>
      <c r="F1078" s="69">
        <v>976</v>
      </c>
    </row>
    <row r="1079" spans="1:6">
      <c r="A1079" s="69" t="s">
        <v>1507</v>
      </c>
      <c r="B1079" s="69" t="s">
        <v>1489</v>
      </c>
      <c r="C1079" s="69" t="s">
        <v>1490</v>
      </c>
      <c r="D1079" s="69" t="str">
        <f t="shared" si="18"/>
        <v>Nakaloke</v>
      </c>
      <c r="F1079" s="69">
        <v>977</v>
      </c>
    </row>
    <row r="1080" spans="1:6">
      <c r="A1080" s="69" t="s">
        <v>1508</v>
      </c>
      <c r="B1080" s="69" t="s">
        <v>1489</v>
      </c>
      <c r="C1080" s="69" t="s">
        <v>1490</v>
      </c>
      <c r="D1080" s="69" t="str">
        <f t="shared" si="18"/>
        <v>Nakaloke Town Council</v>
      </c>
      <c r="F1080" s="69">
        <v>978</v>
      </c>
    </row>
    <row r="1081" spans="1:6">
      <c r="A1081" s="69" t="s">
        <v>1509</v>
      </c>
      <c r="B1081" s="69" t="s">
        <v>1489</v>
      </c>
      <c r="C1081" s="69" t="s">
        <v>1490</v>
      </c>
      <c r="D1081" s="69" t="str">
        <f t="shared" si="18"/>
        <v>Namanyonyi</v>
      </c>
      <c r="F1081" s="69">
        <v>979</v>
      </c>
    </row>
    <row r="1082" spans="1:6">
      <c r="A1082" s="69" t="s">
        <v>1510</v>
      </c>
      <c r="B1082" s="69" t="s">
        <v>1489</v>
      </c>
      <c r="C1082" s="69" t="s">
        <v>1490</v>
      </c>
      <c r="D1082" s="69" t="str">
        <f t="shared" si="18"/>
        <v>Nyondo</v>
      </c>
      <c r="F1082" s="69">
        <v>980</v>
      </c>
    </row>
    <row r="1083" spans="1:6">
      <c r="A1083" s="69" t="s">
        <v>1511</v>
      </c>
      <c r="B1083" s="69" t="s">
        <v>1489</v>
      </c>
      <c r="C1083" s="69" t="s">
        <v>1490</v>
      </c>
      <c r="D1083" s="69" t="str">
        <f t="shared" si="18"/>
        <v>Wanale</v>
      </c>
      <c r="F1083" s="69">
        <v>981</v>
      </c>
    </row>
    <row r="1084" spans="1:6">
      <c r="A1084" s="69" t="s">
        <v>1512</v>
      </c>
      <c r="B1084" s="69" t="s">
        <v>1513</v>
      </c>
      <c r="C1084" s="69" t="s">
        <v>1514</v>
      </c>
      <c r="D1084" s="69" t="str">
        <f t="shared" si="18"/>
        <v>Bubaare-Mbarara</v>
      </c>
      <c r="F1084" s="69">
        <v>982</v>
      </c>
    </row>
    <row r="1085" spans="1:6">
      <c r="A1085" s="69" t="s">
        <v>1515</v>
      </c>
      <c r="B1085" s="69" t="s">
        <v>1513</v>
      </c>
      <c r="C1085" s="69" t="s">
        <v>1516</v>
      </c>
      <c r="D1085" s="69" t="str">
        <f t="shared" si="18"/>
        <v>Bugamba</v>
      </c>
      <c r="F1085" s="69">
        <v>983</v>
      </c>
    </row>
    <row r="1086" spans="1:6">
      <c r="A1086" s="69" t="s">
        <v>1517</v>
      </c>
      <c r="B1086" s="69" t="s">
        <v>1513</v>
      </c>
      <c r="C1086" s="69" t="s">
        <v>1514</v>
      </c>
      <c r="D1086" s="69" t="str">
        <f t="shared" si="18"/>
        <v>Bukiro</v>
      </c>
      <c r="F1086" s="69">
        <v>984</v>
      </c>
    </row>
    <row r="1087" spans="1:6">
      <c r="A1087" s="69" t="s">
        <v>1518</v>
      </c>
      <c r="B1087" s="69" t="s">
        <v>1513</v>
      </c>
      <c r="C1087" s="69" t="s">
        <v>1514</v>
      </c>
      <c r="D1087" s="69" t="str">
        <f t="shared" si="18"/>
        <v>Kagongi</v>
      </c>
      <c r="F1087" s="69">
        <v>985</v>
      </c>
    </row>
    <row r="1088" spans="1:6">
      <c r="A1088" s="69" t="s">
        <v>1519</v>
      </c>
      <c r="B1088" s="69" t="s">
        <v>1513</v>
      </c>
      <c r="C1088" s="69" t="s">
        <v>1514</v>
      </c>
      <c r="D1088" s="69" t="str">
        <f t="shared" si="18"/>
        <v>Kashare</v>
      </c>
      <c r="F1088" s="69">
        <v>986</v>
      </c>
    </row>
    <row r="1089" spans="1:6">
      <c r="A1089" s="69" t="s">
        <v>1520</v>
      </c>
      <c r="B1089" s="69" t="s">
        <v>1513</v>
      </c>
      <c r="C1089" s="69" t="s">
        <v>1520</v>
      </c>
      <c r="D1089" s="69" t="str">
        <f t="shared" si="18"/>
        <v>Mbarara Municipality</v>
      </c>
      <c r="F1089" s="69">
        <v>987</v>
      </c>
    </row>
    <row r="1090" spans="1:6">
      <c r="A1090" s="69" t="s">
        <v>1521</v>
      </c>
      <c r="B1090" s="69" t="s">
        <v>1513</v>
      </c>
      <c r="C1090" s="69" t="s">
        <v>1520</v>
      </c>
      <c r="D1090" s="69" t="str">
        <f t="shared" ref="D1090:D1153" si="19">A1090</f>
        <v xml:space="preserve">Mbarara </v>
      </c>
      <c r="F1090" s="69">
        <v>987</v>
      </c>
    </row>
    <row r="1091" spans="1:6">
      <c r="A1091" s="69" t="s">
        <v>1522</v>
      </c>
      <c r="D1091" s="69" t="str">
        <f t="shared" si="19"/>
        <v xml:space="preserve">Mbarara   </v>
      </c>
      <c r="F1091" s="69">
        <v>987</v>
      </c>
    </row>
    <row r="1092" spans="1:6">
      <c r="A1092" s="69" t="s">
        <v>1523</v>
      </c>
      <c r="B1092" s="69" t="s">
        <v>1513</v>
      </c>
      <c r="C1092" s="69" t="s">
        <v>1516</v>
      </c>
      <c r="D1092" s="69" t="str">
        <f t="shared" si="19"/>
        <v>Mwizi</v>
      </c>
      <c r="F1092" s="69">
        <v>988</v>
      </c>
    </row>
    <row r="1093" spans="1:6">
      <c r="A1093" s="69" t="s">
        <v>1524</v>
      </c>
      <c r="B1093" s="69" t="s">
        <v>1513</v>
      </c>
      <c r="C1093" s="69" t="s">
        <v>1516</v>
      </c>
      <c r="D1093" s="69" t="str">
        <f t="shared" si="19"/>
        <v>Ndeija</v>
      </c>
      <c r="F1093" s="69">
        <v>989</v>
      </c>
    </row>
    <row r="1094" spans="1:6">
      <c r="A1094" s="69" t="s">
        <v>1525</v>
      </c>
      <c r="B1094" s="69" t="s">
        <v>1513</v>
      </c>
      <c r="C1094" s="69" t="s">
        <v>1514</v>
      </c>
      <c r="D1094" s="69" t="str">
        <f t="shared" si="19"/>
        <v>Rubaya-Mbarara</v>
      </c>
      <c r="F1094" s="69">
        <v>990</v>
      </c>
    </row>
    <row r="1095" spans="1:6">
      <c r="A1095" s="69" t="s">
        <v>1526</v>
      </c>
      <c r="B1095" s="69" t="s">
        <v>1513</v>
      </c>
      <c r="C1095" s="69" t="s">
        <v>1514</v>
      </c>
      <c r="D1095" s="69" t="str">
        <f t="shared" si="19"/>
        <v>Rubindi</v>
      </c>
      <c r="F1095" s="69">
        <v>991</v>
      </c>
    </row>
    <row r="1096" spans="1:6">
      <c r="A1096" s="69" t="s">
        <v>1527</v>
      </c>
      <c r="B1096" s="69" t="s">
        <v>1513</v>
      </c>
      <c r="C1096" s="69" t="s">
        <v>1516</v>
      </c>
      <c r="D1096" s="69" t="str">
        <f t="shared" si="19"/>
        <v>Rugando</v>
      </c>
      <c r="F1096" s="69">
        <v>992</v>
      </c>
    </row>
    <row r="1097" spans="1:6">
      <c r="A1097" s="69" t="s">
        <v>1528</v>
      </c>
      <c r="B1097" s="69" t="s">
        <v>1513</v>
      </c>
      <c r="C1097" s="69" t="s">
        <v>1514</v>
      </c>
      <c r="D1097" s="69" t="str">
        <f t="shared" si="19"/>
        <v>Rwanyamahembe</v>
      </c>
      <c r="F1097" s="69">
        <v>993</v>
      </c>
    </row>
    <row r="1098" spans="1:6">
      <c r="A1098" s="69" t="s">
        <v>1529</v>
      </c>
      <c r="B1098" s="69" t="s">
        <v>45</v>
      </c>
      <c r="C1098" s="69" t="s">
        <v>1530</v>
      </c>
      <c r="D1098" s="69" t="str">
        <f t="shared" si="19"/>
        <v>Bitereko</v>
      </c>
      <c r="F1098" s="69">
        <v>994</v>
      </c>
    </row>
    <row r="1099" spans="1:6">
      <c r="A1099" s="69" t="s">
        <v>1357</v>
      </c>
      <c r="B1099" s="69" t="s">
        <v>45</v>
      </c>
      <c r="C1099" s="69" t="s">
        <v>1530</v>
      </c>
      <c r="D1099" s="69" t="str">
        <f t="shared" si="19"/>
        <v>Kabira</v>
      </c>
      <c r="F1099" s="69">
        <v>995</v>
      </c>
    </row>
    <row r="1100" spans="1:6">
      <c r="A1100" s="69" t="s">
        <v>1531</v>
      </c>
      <c r="B1100" s="69" t="s">
        <v>45</v>
      </c>
      <c r="C1100" s="69" t="s">
        <v>1530</v>
      </c>
      <c r="D1100" s="69" t="str">
        <f t="shared" si="19"/>
        <v>Kanyabwanga</v>
      </c>
      <c r="F1100" s="69">
        <v>996</v>
      </c>
    </row>
    <row r="1101" spans="1:6">
      <c r="A1101" s="69" t="s">
        <v>1532</v>
      </c>
      <c r="B1101" s="69" t="s">
        <v>45</v>
      </c>
      <c r="C1101" s="69" t="s">
        <v>1530</v>
      </c>
      <c r="D1101" s="69" t="str">
        <f t="shared" si="19"/>
        <v>Kashenshero</v>
      </c>
      <c r="F1101" s="69">
        <v>997</v>
      </c>
    </row>
    <row r="1102" spans="1:6">
      <c r="A1102" s="69" t="s">
        <v>1533</v>
      </c>
      <c r="B1102" s="69" t="s">
        <v>45</v>
      </c>
      <c r="C1102" s="69" t="s">
        <v>1530</v>
      </c>
      <c r="D1102" s="69" t="str">
        <f t="shared" si="19"/>
        <v>Kashenshero Town Council</v>
      </c>
      <c r="F1102" s="69">
        <v>998</v>
      </c>
    </row>
    <row r="1103" spans="1:6">
      <c r="A1103" s="69" t="s">
        <v>1534</v>
      </c>
      <c r="B1103" s="69" t="s">
        <v>45</v>
      </c>
      <c r="C1103" s="69" t="s">
        <v>1530</v>
      </c>
      <c r="D1103" s="69" t="str">
        <f t="shared" si="19"/>
        <v>Katenga</v>
      </c>
      <c r="F1103" s="69">
        <v>999</v>
      </c>
    </row>
    <row r="1104" spans="1:6">
      <c r="A1104" s="69" t="s">
        <v>1535</v>
      </c>
      <c r="B1104" s="69" t="s">
        <v>45</v>
      </c>
      <c r="C1104" s="69" t="s">
        <v>1530</v>
      </c>
      <c r="D1104" s="69" t="str">
        <f t="shared" si="19"/>
        <v>Kiyanga</v>
      </c>
      <c r="F1104" s="69">
        <v>1000</v>
      </c>
    </row>
    <row r="1105" spans="1:6">
      <c r="A1105" s="69" t="s">
        <v>1536</v>
      </c>
      <c r="B1105" s="69" t="s">
        <v>45</v>
      </c>
      <c r="C1105" s="69" t="s">
        <v>1530</v>
      </c>
      <c r="D1105" s="69" t="str">
        <f t="shared" si="19"/>
        <v>Mayanga</v>
      </c>
      <c r="F1105" s="69">
        <v>1001</v>
      </c>
    </row>
    <row r="1106" spans="1:6">
      <c r="A1106" s="69" t="s">
        <v>45</v>
      </c>
      <c r="B1106" s="69" t="s">
        <v>45</v>
      </c>
      <c r="C1106" s="69" t="s">
        <v>1530</v>
      </c>
      <c r="D1106" s="69" t="str">
        <f t="shared" si="19"/>
        <v>Mitooma</v>
      </c>
      <c r="F1106" s="69">
        <v>1002</v>
      </c>
    </row>
    <row r="1107" spans="1:6">
      <c r="A1107" s="69" t="s">
        <v>1537</v>
      </c>
      <c r="B1107" s="69" t="s">
        <v>45</v>
      </c>
      <c r="C1107" s="69" t="s">
        <v>1530</v>
      </c>
      <c r="D1107" s="69" t="str">
        <f t="shared" si="19"/>
        <v>Mitooma Town Council</v>
      </c>
      <c r="F1107" s="69">
        <v>1003</v>
      </c>
    </row>
    <row r="1108" spans="1:6">
      <c r="A1108" s="69" t="s">
        <v>1538</v>
      </c>
      <c r="B1108" s="69" t="s">
        <v>45</v>
      </c>
      <c r="C1108" s="69" t="s">
        <v>1530</v>
      </c>
      <c r="D1108" s="69" t="str">
        <f t="shared" si="19"/>
        <v>Mutara</v>
      </c>
      <c r="F1108" s="69">
        <v>1004</v>
      </c>
    </row>
    <row r="1109" spans="1:6">
      <c r="A1109" s="69" t="s">
        <v>1539</v>
      </c>
      <c r="B1109" s="69" t="s">
        <v>45</v>
      </c>
      <c r="C1109" s="69" t="s">
        <v>1530</v>
      </c>
      <c r="D1109" s="69" t="str">
        <f t="shared" si="19"/>
        <v>Rurehe</v>
      </c>
      <c r="F1109" s="69">
        <v>1005</v>
      </c>
    </row>
    <row r="1110" spans="1:6">
      <c r="A1110" s="69" t="s">
        <v>1540</v>
      </c>
      <c r="B1110" s="69" t="s">
        <v>1541</v>
      </c>
      <c r="C1110" s="69" t="s">
        <v>1542</v>
      </c>
      <c r="D1110" s="69" t="str">
        <f t="shared" si="19"/>
        <v>Bbanda</v>
      </c>
      <c r="F1110" s="69">
        <v>1006</v>
      </c>
    </row>
    <row r="1111" spans="1:6">
      <c r="A1111" s="69" t="s">
        <v>1543</v>
      </c>
      <c r="B1111" s="69" t="s">
        <v>1541</v>
      </c>
      <c r="C1111" s="69" t="s">
        <v>1541</v>
      </c>
      <c r="D1111" s="69" t="str">
        <f t="shared" si="19"/>
        <v>Bulera</v>
      </c>
      <c r="F1111" s="69">
        <v>1007</v>
      </c>
    </row>
    <row r="1112" spans="1:6">
      <c r="A1112" s="69" t="s">
        <v>1544</v>
      </c>
      <c r="B1112" s="69" t="s">
        <v>1541</v>
      </c>
      <c r="C1112" s="69" t="s">
        <v>1545</v>
      </c>
      <c r="D1112" s="69" t="str">
        <f t="shared" si="19"/>
        <v>Busimbi Division</v>
      </c>
      <c r="F1112" s="69">
        <v>1008</v>
      </c>
    </row>
    <row r="1113" spans="1:6">
      <c r="A1113" s="69" t="s">
        <v>1546</v>
      </c>
      <c r="B1113" s="69" t="s">
        <v>1541</v>
      </c>
      <c r="C1113" s="69" t="s">
        <v>1541</v>
      </c>
      <c r="D1113" s="69" t="str">
        <f t="shared" si="19"/>
        <v>Busunju Town Council</v>
      </c>
      <c r="F1113" s="69">
        <v>1009</v>
      </c>
    </row>
    <row r="1114" spans="1:6">
      <c r="A1114" s="69" t="s">
        <v>1547</v>
      </c>
      <c r="B1114" s="69" t="s">
        <v>1541</v>
      </c>
      <c r="C1114" s="69" t="s">
        <v>1542</v>
      </c>
      <c r="D1114" s="69" t="str">
        <f t="shared" si="19"/>
        <v>Butayunja</v>
      </c>
      <c r="F1114" s="69">
        <v>1010</v>
      </c>
    </row>
    <row r="1115" spans="1:6">
      <c r="A1115" s="69" t="s">
        <v>1548</v>
      </c>
      <c r="B1115" s="69" t="s">
        <v>1541</v>
      </c>
      <c r="C1115" s="69" t="s">
        <v>1542</v>
      </c>
      <c r="D1115" s="69" t="str">
        <f t="shared" si="19"/>
        <v>Kakindu</v>
      </c>
      <c r="F1115" s="69">
        <v>1011</v>
      </c>
    </row>
    <row r="1116" spans="1:6">
      <c r="A1116" s="69" t="s">
        <v>1549</v>
      </c>
      <c r="B1116" s="69" t="s">
        <v>1541</v>
      </c>
      <c r="C1116" s="69" t="s">
        <v>1541</v>
      </c>
      <c r="D1116" s="69" t="str">
        <f t="shared" si="19"/>
        <v>Kalangaalo</v>
      </c>
      <c r="F1116" s="69">
        <v>1012</v>
      </c>
    </row>
    <row r="1117" spans="1:6">
      <c r="A1117" s="69" t="s">
        <v>1550</v>
      </c>
      <c r="B1117" s="69" t="s">
        <v>1541</v>
      </c>
      <c r="C1117" s="69" t="s">
        <v>1541</v>
      </c>
      <c r="D1117" s="69" t="str">
        <f t="shared" si="19"/>
        <v>Kikandwa</v>
      </c>
      <c r="F1117" s="69">
        <v>1013</v>
      </c>
    </row>
    <row r="1118" spans="1:6">
      <c r="A1118" s="69" t="s">
        <v>1551</v>
      </c>
      <c r="B1118" s="69" t="s">
        <v>1541</v>
      </c>
      <c r="C1118" s="69" t="s">
        <v>1542</v>
      </c>
      <c r="D1118" s="69" t="str">
        <f t="shared" si="19"/>
        <v>Maanyi</v>
      </c>
      <c r="F1118" s="69">
        <v>1014</v>
      </c>
    </row>
    <row r="1119" spans="1:6">
      <c r="A1119" s="69" t="s">
        <v>1552</v>
      </c>
      <c r="B1119" s="69" t="s">
        <v>1541</v>
      </c>
      <c r="C1119" s="69" t="s">
        <v>1542</v>
      </c>
      <c r="D1119" s="69" t="str">
        <f t="shared" si="19"/>
        <v>Malangala</v>
      </c>
      <c r="F1119" s="69">
        <v>1015</v>
      </c>
    </row>
    <row r="1120" spans="1:6">
      <c r="A1120" s="69" t="s">
        <v>1545</v>
      </c>
      <c r="B1120" s="69" t="s">
        <v>1541</v>
      </c>
      <c r="C1120" s="69" t="s">
        <v>1545</v>
      </c>
      <c r="D1120" s="69" t="str">
        <f t="shared" si="19"/>
        <v>Mityana Municipality</v>
      </c>
      <c r="F1120" s="69">
        <v>1016</v>
      </c>
    </row>
    <row r="1121" spans="1:6">
      <c r="A1121" s="69" t="s">
        <v>1553</v>
      </c>
      <c r="D1121" s="69" t="str">
        <f t="shared" si="19"/>
        <v xml:space="preserve">Mityana  </v>
      </c>
      <c r="F1121" s="69">
        <v>1016</v>
      </c>
    </row>
    <row r="1122" spans="1:6">
      <c r="A1122" s="69" t="s">
        <v>1554</v>
      </c>
      <c r="B1122" s="69" t="s">
        <v>1541</v>
      </c>
      <c r="C1122" s="69" t="s">
        <v>1541</v>
      </c>
      <c r="D1122" s="69" t="str">
        <f t="shared" si="19"/>
        <v>Namungo</v>
      </c>
      <c r="F1122" s="69">
        <v>1017</v>
      </c>
    </row>
    <row r="1123" spans="1:6">
      <c r="A1123" s="69" t="s">
        <v>1555</v>
      </c>
      <c r="B1123" s="69" t="s">
        <v>1541</v>
      </c>
      <c r="C1123" s="69" t="s">
        <v>1541</v>
      </c>
      <c r="D1123" s="69" t="str">
        <f t="shared" si="19"/>
        <v>Ssekanyonyi</v>
      </c>
      <c r="F1123" s="69">
        <v>1018</v>
      </c>
    </row>
    <row r="1124" spans="1:6">
      <c r="A1124" s="69" t="s">
        <v>1556</v>
      </c>
      <c r="B1124" s="69" t="s">
        <v>152</v>
      </c>
      <c r="C1124" s="69" t="s">
        <v>1557</v>
      </c>
      <c r="D1124" s="69" t="str">
        <f t="shared" si="19"/>
        <v>Katikekile</v>
      </c>
      <c r="F1124" s="69">
        <v>1019</v>
      </c>
    </row>
    <row r="1125" spans="1:6">
      <c r="A1125" s="69" t="s">
        <v>1558</v>
      </c>
      <c r="B1125" s="69" t="s">
        <v>152</v>
      </c>
      <c r="C1125" s="69" t="s">
        <v>1558</v>
      </c>
      <c r="D1125" s="69" t="str">
        <f t="shared" si="19"/>
        <v>Moroto Municipality</v>
      </c>
      <c r="F1125" s="69">
        <v>1020</v>
      </c>
    </row>
    <row r="1126" spans="1:6">
      <c r="A1126" s="69" t="s">
        <v>162</v>
      </c>
      <c r="B1126" s="69" t="s">
        <v>152</v>
      </c>
      <c r="C1126" s="69" t="s">
        <v>1558</v>
      </c>
      <c r="D1126" s="69" t="str">
        <f t="shared" si="19"/>
        <v>KANGOLE</v>
      </c>
      <c r="F1126" s="69">
        <v>1020</v>
      </c>
    </row>
    <row r="1127" spans="1:6">
      <c r="A1127" s="69" t="s">
        <v>1559</v>
      </c>
      <c r="B1127" s="69" t="s">
        <v>152</v>
      </c>
      <c r="C1127" s="69" t="s">
        <v>1558</v>
      </c>
      <c r="D1127" s="69" t="str">
        <f t="shared" si="19"/>
        <v>Moroto town</v>
      </c>
      <c r="F1127" s="69">
        <v>1020</v>
      </c>
    </row>
    <row r="1128" spans="1:6">
      <c r="A1128" s="69" t="s">
        <v>159</v>
      </c>
      <c r="B1128" s="69" t="s">
        <v>152</v>
      </c>
      <c r="C1128" s="69" t="s">
        <v>1558</v>
      </c>
      <c r="D1128" s="69" t="str">
        <f t="shared" si="19"/>
        <v>MOROTO</v>
      </c>
      <c r="F1128" s="69">
        <v>1020</v>
      </c>
    </row>
    <row r="1129" spans="1:6">
      <c r="A1129" s="69" t="s">
        <v>300</v>
      </c>
      <c r="B1129" s="69" t="s">
        <v>152</v>
      </c>
      <c r="C1129" s="69" t="s">
        <v>1558</v>
      </c>
      <c r="D1129" s="69" t="str">
        <f t="shared" si="19"/>
        <v>LOKAMURI</v>
      </c>
      <c r="F1129" s="69">
        <v>1020</v>
      </c>
    </row>
    <row r="1130" spans="1:6">
      <c r="A1130" s="69" t="s">
        <v>1560</v>
      </c>
      <c r="B1130" s="69" t="s">
        <v>152</v>
      </c>
      <c r="C1130" s="69" t="s">
        <v>1557</v>
      </c>
      <c r="D1130" s="69" t="str">
        <f t="shared" si="19"/>
        <v>Nadunget</v>
      </c>
      <c r="F1130" s="69">
        <v>1021</v>
      </c>
    </row>
    <row r="1131" spans="1:6">
      <c r="A1131" s="69" t="s">
        <v>1561</v>
      </c>
      <c r="B1131" s="69" t="s">
        <v>152</v>
      </c>
      <c r="C1131" s="69" t="s">
        <v>1557</v>
      </c>
      <c r="D1131" s="69" t="str">
        <f t="shared" si="19"/>
        <v>Rupa</v>
      </c>
      <c r="F1131" s="69">
        <v>1022</v>
      </c>
    </row>
    <row r="1132" spans="1:6">
      <c r="A1132" s="69" t="s">
        <v>1562</v>
      </c>
      <c r="B1132" s="69" t="s">
        <v>152</v>
      </c>
      <c r="C1132" s="69" t="s">
        <v>1557</v>
      </c>
      <c r="D1132" s="69" t="str">
        <f t="shared" si="19"/>
        <v>Tapac</v>
      </c>
      <c r="F1132" s="69">
        <v>1023</v>
      </c>
    </row>
    <row r="1133" spans="1:6">
      <c r="A1133" s="69" t="s">
        <v>1563</v>
      </c>
      <c r="B1133" s="69" t="s">
        <v>1564</v>
      </c>
      <c r="C1133" s="69" t="s">
        <v>1565</v>
      </c>
      <c r="D1133" s="69" t="str">
        <f t="shared" si="19"/>
        <v>Aliba</v>
      </c>
      <c r="F1133" s="69">
        <v>1024</v>
      </c>
    </row>
    <row r="1134" spans="1:6">
      <c r="A1134" s="69" t="s">
        <v>1566</v>
      </c>
      <c r="B1134" s="69" t="s">
        <v>1564</v>
      </c>
      <c r="C1134" s="69" t="s">
        <v>1567</v>
      </c>
      <c r="D1134" s="69" t="str">
        <f t="shared" si="19"/>
        <v>Difule</v>
      </c>
      <c r="F1134" s="69">
        <v>1025</v>
      </c>
    </row>
    <row r="1135" spans="1:6">
      <c r="A1135" s="69" t="s">
        <v>1568</v>
      </c>
      <c r="B1135" s="69" t="s">
        <v>1564</v>
      </c>
      <c r="C1135" s="69" t="s">
        <v>1565</v>
      </c>
      <c r="D1135" s="69" t="str">
        <f t="shared" si="19"/>
        <v>Gimara</v>
      </c>
      <c r="F1135" s="69">
        <v>1026</v>
      </c>
    </row>
    <row r="1136" spans="1:6">
      <c r="A1136" s="69" t="s">
        <v>1569</v>
      </c>
      <c r="B1136" s="69" t="s">
        <v>1564</v>
      </c>
      <c r="C1136" s="69" t="s">
        <v>1565</v>
      </c>
      <c r="D1136" s="69" t="str">
        <f t="shared" si="19"/>
        <v>Itula</v>
      </c>
      <c r="F1136" s="69">
        <v>1027</v>
      </c>
    </row>
    <row r="1137" spans="1:6">
      <c r="A1137" s="69" t="s">
        <v>1570</v>
      </c>
      <c r="B1137" s="69" t="s">
        <v>1564</v>
      </c>
      <c r="C1137" s="69" t="s">
        <v>1567</v>
      </c>
      <c r="D1137" s="69" t="str">
        <f t="shared" si="19"/>
        <v>Laropi</v>
      </c>
      <c r="F1137" s="69">
        <v>1028</v>
      </c>
    </row>
    <row r="1138" spans="1:6">
      <c r="A1138" s="69" t="s">
        <v>1571</v>
      </c>
      <c r="B1138" s="69" t="s">
        <v>1564</v>
      </c>
      <c r="C1138" s="69" t="s">
        <v>1567</v>
      </c>
      <c r="D1138" s="69" t="str">
        <f t="shared" si="19"/>
        <v>Lefori</v>
      </c>
      <c r="F1138" s="69">
        <v>1029</v>
      </c>
    </row>
    <row r="1139" spans="1:6">
      <c r="A1139" s="69" t="s">
        <v>1572</v>
      </c>
      <c r="B1139" s="69" t="s">
        <v>1564</v>
      </c>
      <c r="C1139" s="69" t="s">
        <v>1567</v>
      </c>
      <c r="D1139" s="69" t="str">
        <f t="shared" si="19"/>
        <v>Metu</v>
      </c>
      <c r="F1139" s="69">
        <v>1030</v>
      </c>
    </row>
    <row r="1140" spans="1:6">
      <c r="A1140" s="69" t="s">
        <v>1564</v>
      </c>
      <c r="B1140" s="69" t="s">
        <v>1564</v>
      </c>
      <c r="C1140" s="69" t="s">
        <v>1567</v>
      </c>
      <c r="D1140" s="69" t="str">
        <f t="shared" si="19"/>
        <v>Moyo</v>
      </c>
      <c r="F1140" s="69">
        <v>1031</v>
      </c>
    </row>
    <row r="1141" spans="1:6">
      <c r="A1141" s="69" t="s">
        <v>1573</v>
      </c>
      <c r="B1141" s="69" t="s">
        <v>1564</v>
      </c>
      <c r="C1141" s="69" t="s">
        <v>1567</v>
      </c>
      <c r="D1141" s="69" t="str">
        <f t="shared" si="19"/>
        <v>Moyo Town Council</v>
      </c>
      <c r="F1141" s="69">
        <v>1032</v>
      </c>
    </row>
    <row r="1142" spans="1:6">
      <c r="A1142" s="69" t="s">
        <v>1574</v>
      </c>
      <c r="B1142" s="69" t="s">
        <v>1575</v>
      </c>
      <c r="C1142" s="69" t="s">
        <v>1576</v>
      </c>
      <c r="D1142" s="69" t="str">
        <f t="shared" si="19"/>
        <v>Buwama</v>
      </c>
      <c r="F1142" s="69">
        <v>1033</v>
      </c>
    </row>
    <row r="1143" spans="1:6">
      <c r="A1143" s="69" t="s">
        <v>1577</v>
      </c>
      <c r="B1143" s="69" t="s">
        <v>1575</v>
      </c>
      <c r="C1143" s="69" t="s">
        <v>1576</v>
      </c>
      <c r="D1143" s="69" t="str">
        <f t="shared" si="19"/>
        <v>Kammengo</v>
      </c>
      <c r="F1143" s="69">
        <v>1034</v>
      </c>
    </row>
    <row r="1144" spans="1:6">
      <c r="A1144" s="69" t="s">
        <v>1578</v>
      </c>
      <c r="B1144" s="69" t="s">
        <v>1575</v>
      </c>
      <c r="C1144" s="69" t="s">
        <v>1576</v>
      </c>
      <c r="D1144" s="69" t="str">
        <f t="shared" si="19"/>
        <v>Kiringente</v>
      </c>
      <c r="F1144" s="69">
        <v>1035</v>
      </c>
    </row>
    <row r="1145" spans="1:6">
      <c r="A1145" s="69" t="s">
        <v>1579</v>
      </c>
      <c r="B1145" s="69" t="s">
        <v>1575</v>
      </c>
      <c r="C1145" s="69" t="s">
        <v>1576</v>
      </c>
      <c r="D1145" s="69" t="str">
        <f t="shared" si="19"/>
        <v>Kituntu</v>
      </c>
      <c r="F1145" s="69">
        <v>1036</v>
      </c>
    </row>
    <row r="1146" spans="1:6">
      <c r="A1146" s="69" t="s">
        <v>1580</v>
      </c>
      <c r="B1146" s="69" t="s">
        <v>1575</v>
      </c>
      <c r="C1146" s="69" t="s">
        <v>1576</v>
      </c>
      <c r="D1146" s="69" t="str">
        <f t="shared" si="19"/>
        <v>Mpigi town</v>
      </c>
      <c r="F1146" s="69">
        <v>1036</v>
      </c>
    </row>
    <row r="1147" spans="1:6">
      <c r="A1147" s="69" t="s">
        <v>1581</v>
      </c>
      <c r="B1147" s="69" t="s">
        <v>1575</v>
      </c>
      <c r="C1147" s="69" t="s">
        <v>1576</v>
      </c>
      <c r="D1147" s="69" t="str">
        <f t="shared" si="19"/>
        <v>Mpigi Town Council</v>
      </c>
      <c r="F1147" s="69">
        <v>1037</v>
      </c>
    </row>
    <row r="1148" spans="1:6">
      <c r="A1148" s="69" t="s">
        <v>1582</v>
      </c>
      <c r="B1148" s="69" t="s">
        <v>1575</v>
      </c>
      <c r="C1148" s="69" t="s">
        <v>1576</v>
      </c>
      <c r="D1148" s="69" t="str">
        <f t="shared" si="19"/>
        <v>Muduuma</v>
      </c>
      <c r="F1148" s="69">
        <v>1038</v>
      </c>
    </row>
    <row r="1149" spans="1:6">
      <c r="A1149" s="69" t="s">
        <v>1583</v>
      </c>
      <c r="B1149" s="69" t="s">
        <v>1575</v>
      </c>
      <c r="C1149" s="69" t="s">
        <v>1576</v>
      </c>
      <c r="D1149" s="69" t="str">
        <f t="shared" si="19"/>
        <v>Nkozi</v>
      </c>
      <c r="F1149" s="69">
        <v>1039</v>
      </c>
    </row>
    <row r="1150" spans="1:6">
      <c r="A1150" s="69" t="s">
        <v>1584</v>
      </c>
      <c r="B1150" s="69" t="s">
        <v>1585</v>
      </c>
      <c r="C1150" s="69" t="s">
        <v>1586</v>
      </c>
      <c r="D1150" s="69" t="str">
        <f t="shared" si="19"/>
        <v>Bagezza</v>
      </c>
      <c r="F1150" s="69">
        <v>1040</v>
      </c>
    </row>
    <row r="1151" spans="1:6">
      <c r="A1151" s="69" t="s">
        <v>1587</v>
      </c>
      <c r="B1151" s="69" t="s">
        <v>1585</v>
      </c>
      <c r="C1151" s="69" t="s">
        <v>1588</v>
      </c>
      <c r="D1151" s="69" t="str">
        <f t="shared" si="19"/>
        <v>Bukuya</v>
      </c>
      <c r="F1151" s="69">
        <v>1041</v>
      </c>
    </row>
    <row r="1152" spans="1:6">
      <c r="A1152" s="69" t="s">
        <v>1589</v>
      </c>
      <c r="B1152" s="69" t="s">
        <v>1585</v>
      </c>
      <c r="C1152" s="69" t="s">
        <v>1590</v>
      </c>
      <c r="D1152" s="69" t="str">
        <f t="shared" si="19"/>
        <v>Butoloogo</v>
      </c>
      <c r="F1152" s="69">
        <v>1042</v>
      </c>
    </row>
    <row r="1153" spans="1:6">
      <c r="A1153" s="69" t="s">
        <v>1591</v>
      </c>
      <c r="B1153" s="69" t="s">
        <v>1585</v>
      </c>
      <c r="C1153" s="69" t="s">
        <v>1588</v>
      </c>
      <c r="D1153" s="69" t="str">
        <f t="shared" si="19"/>
        <v>Kalwana</v>
      </c>
      <c r="F1153" s="69">
        <v>1043</v>
      </c>
    </row>
    <row r="1154" spans="1:6">
      <c r="A1154" s="69" t="s">
        <v>1592</v>
      </c>
      <c r="B1154" s="69" t="s">
        <v>1585</v>
      </c>
      <c r="C1154" s="69" t="s">
        <v>1586</v>
      </c>
      <c r="D1154" s="69" t="str">
        <f t="shared" ref="D1154:D1217" si="20">A1154</f>
        <v>Kasambya-Mubende</v>
      </c>
      <c r="F1154" s="69">
        <v>1044</v>
      </c>
    </row>
    <row r="1155" spans="1:6">
      <c r="A1155" s="69" t="s">
        <v>1588</v>
      </c>
      <c r="B1155" s="69" t="s">
        <v>1585</v>
      </c>
      <c r="C1155" s="69" t="s">
        <v>1588</v>
      </c>
      <c r="D1155" s="69" t="str">
        <f t="shared" si="20"/>
        <v>Kassanda</v>
      </c>
      <c r="F1155" s="69">
        <v>1045</v>
      </c>
    </row>
    <row r="1156" spans="1:6">
      <c r="A1156" s="69" t="s">
        <v>1593</v>
      </c>
      <c r="B1156" s="69" t="s">
        <v>1585</v>
      </c>
      <c r="C1156" s="69" t="s">
        <v>1586</v>
      </c>
      <c r="D1156" s="69" t="str">
        <f t="shared" si="20"/>
        <v>Kibalinga</v>
      </c>
      <c r="F1156" s="69">
        <v>1046</v>
      </c>
    </row>
    <row r="1157" spans="1:6">
      <c r="A1157" s="69" t="s">
        <v>1594</v>
      </c>
      <c r="B1157" s="69" t="s">
        <v>1585</v>
      </c>
      <c r="C1157" s="69" t="s">
        <v>1588</v>
      </c>
      <c r="D1157" s="69" t="str">
        <f t="shared" si="20"/>
        <v>Kiganda</v>
      </c>
      <c r="F1157" s="69">
        <v>1047</v>
      </c>
    </row>
    <row r="1158" spans="1:6">
      <c r="A1158" s="69" t="s">
        <v>1595</v>
      </c>
      <c r="B1158" s="69" t="s">
        <v>1585</v>
      </c>
      <c r="C1158" s="69" t="s">
        <v>1586</v>
      </c>
      <c r="D1158" s="69" t="str">
        <f t="shared" si="20"/>
        <v>Kigando</v>
      </c>
      <c r="F1158" s="69">
        <v>1048</v>
      </c>
    </row>
    <row r="1159" spans="1:6">
      <c r="A1159" s="69" t="s">
        <v>1596</v>
      </c>
      <c r="B1159" s="69" t="s">
        <v>1585</v>
      </c>
      <c r="C1159" s="69" t="s">
        <v>1590</v>
      </c>
      <c r="D1159" s="69" t="str">
        <f t="shared" si="20"/>
        <v>Kitenga</v>
      </c>
      <c r="F1159" s="69">
        <v>1049</v>
      </c>
    </row>
    <row r="1160" spans="1:6">
      <c r="A1160" s="69" t="s">
        <v>1597</v>
      </c>
      <c r="B1160" s="69" t="s">
        <v>1585</v>
      </c>
      <c r="C1160" s="69" t="s">
        <v>1588</v>
      </c>
      <c r="D1160" s="69" t="str">
        <f t="shared" si="20"/>
        <v>Kitumbi</v>
      </c>
      <c r="F1160" s="69">
        <v>1050</v>
      </c>
    </row>
    <row r="1161" spans="1:6">
      <c r="A1161" s="69" t="s">
        <v>1598</v>
      </c>
      <c r="B1161" s="69" t="s">
        <v>1585</v>
      </c>
      <c r="C1161" s="69" t="s">
        <v>1590</v>
      </c>
      <c r="D1161" s="69" t="str">
        <f t="shared" si="20"/>
        <v>Kiyuni</v>
      </c>
      <c r="F1161" s="69">
        <v>1051</v>
      </c>
    </row>
    <row r="1162" spans="1:6">
      <c r="A1162" s="69" t="s">
        <v>1599</v>
      </c>
      <c r="B1162" s="69" t="s">
        <v>1585</v>
      </c>
      <c r="C1162" s="69" t="s">
        <v>1590</v>
      </c>
      <c r="D1162" s="69" t="str">
        <f t="shared" si="20"/>
        <v>Madudu</v>
      </c>
      <c r="F1162" s="69">
        <v>1052</v>
      </c>
    </row>
    <row r="1163" spans="1:6">
      <c r="A1163" s="69" t="s">
        <v>1600</v>
      </c>
      <c r="B1163" s="69" t="s">
        <v>1585</v>
      </c>
      <c r="C1163" s="69" t="s">
        <v>1588</v>
      </c>
      <c r="D1163" s="69" t="str">
        <f t="shared" si="20"/>
        <v>Makokoto</v>
      </c>
      <c r="F1163" s="69">
        <v>1053</v>
      </c>
    </row>
    <row r="1164" spans="1:6">
      <c r="A1164" s="69" t="s">
        <v>1601</v>
      </c>
      <c r="B1164" s="69" t="s">
        <v>1585</v>
      </c>
      <c r="C1164" s="69" t="s">
        <v>1588</v>
      </c>
      <c r="D1164" s="69" t="str">
        <f t="shared" si="20"/>
        <v>Manyogaseka</v>
      </c>
      <c r="F1164" s="69">
        <v>1054</v>
      </c>
    </row>
    <row r="1165" spans="1:6">
      <c r="A1165" s="69" t="s">
        <v>1602</v>
      </c>
      <c r="B1165" s="69" t="s">
        <v>1585</v>
      </c>
      <c r="C1165" s="69" t="s">
        <v>1602</v>
      </c>
      <c r="D1165" s="69" t="str">
        <f t="shared" si="20"/>
        <v>Mubende Municipality</v>
      </c>
      <c r="F1165" s="69">
        <v>1055</v>
      </c>
    </row>
    <row r="1166" spans="1:6">
      <c r="A1166" s="69" t="s">
        <v>1603</v>
      </c>
      <c r="D1166" s="69" t="str">
        <f t="shared" si="20"/>
        <v xml:space="preserve">Mubende  </v>
      </c>
    </row>
    <row r="1167" spans="1:6">
      <c r="A1167" s="69" t="s">
        <v>1604</v>
      </c>
      <c r="B1167" s="69" t="s">
        <v>1585</v>
      </c>
      <c r="C1167" s="69" t="s">
        <v>1588</v>
      </c>
      <c r="D1167" s="69" t="str">
        <f t="shared" si="20"/>
        <v>Myanzi</v>
      </c>
      <c r="F1167" s="69">
        <v>1056</v>
      </c>
    </row>
    <row r="1168" spans="1:6">
      <c r="A1168" s="69" t="s">
        <v>1605</v>
      </c>
      <c r="B1168" s="69" t="s">
        <v>1585</v>
      </c>
      <c r="C1168" s="69" t="s">
        <v>1586</v>
      </c>
      <c r="D1168" s="69" t="str">
        <f t="shared" si="20"/>
        <v>Nabingoola</v>
      </c>
      <c r="F1168" s="69">
        <v>1057</v>
      </c>
    </row>
    <row r="1169" spans="1:6">
      <c r="A1169" s="69" t="s">
        <v>1606</v>
      </c>
      <c r="B1169" s="69" t="s">
        <v>1607</v>
      </c>
      <c r="C1169" s="69" t="s">
        <v>1608</v>
      </c>
      <c r="D1169" s="69" t="str">
        <f t="shared" si="20"/>
        <v>Kasawo</v>
      </c>
      <c r="F1169" s="69">
        <v>1058</v>
      </c>
    </row>
    <row r="1170" spans="1:6">
      <c r="A1170" s="69" t="s">
        <v>1609</v>
      </c>
      <c r="B1170" s="69" t="s">
        <v>1607</v>
      </c>
      <c r="C1170" s="69" t="s">
        <v>1608</v>
      </c>
      <c r="D1170" s="69" t="str">
        <f t="shared" si="20"/>
        <v>Kimenyedde</v>
      </c>
      <c r="F1170" s="69">
        <v>1059</v>
      </c>
    </row>
    <row r="1171" spans="1:6">
      <c r="A1171" s="69" t="s">
        <v>1610</v>
      </c>
      <c r="B1171" s="69" t="s">
        <v>1607</v>
      </c>
      <c r="C1171" s="69" t="s">
        <v>1607</v>
      </c>
      <c r="D1171" s="69" t="str">
        <f t="shared" si="20"/>
        <v>Koome Island</v>
      </c>
      <c r="F1171" s="69">
        <v>1060</v>
      </c>
    </row>
    <row r="1172" spans="1:6">
      <c r="A1172" s="69" t="s">
        <v>1611</v>
      </c>
      <c r="B1172" s="69" t="s">
        <v>1607</v>
      </c>
      <c r="C1172" s="69" t="s">
        <v>1607</v>
      </c>
      <c r="D1172" s="69" t="str">
        <f t="shared" si="20"/>
        <v>Kyampisi</v>
      </c>
      <c r="F1172" s="69">
        <v>1061</v>
      </c>
    </row>
    <row r="1173" spans="1:6">
      <c r="A1173" s="69" t="s">
        <v>1612</v>
      </c>
      <c r="B1173" s="69" t="s">
        <v>1607</v>
      </c>
      <c r="C1173" s="69" t="s">
        <v>1607</v>
      </c>
      <c r="D1173" s="69" t="str">
        <f t="shared" si="20"/>
        <v>Mpatta</v>
      </c>
      <c r="F1173" s="69">
        <v>1062</v>
      </c>
    </row>
    <row r="1174" spans="1:6">
      <c r="A1174" s="69" t="s">
        <v>1613</v>
      </c>
      <c r="B1174" s="69" t="s">
        <v>1607</v>
      </c>
      <c r="C1174" s="69" t="s">
        <v>1607</v>
      </c>
      <c r="D1174" s="69" t="str">
        <f t="shared" si="20"/>
        <v>Mpunge</v>
      </c>
      <c r="F1174" s="69">
        <v>1063</v>
      </c>
    </row>
    <row r="1175" spans="1:6">
      <c r="A1175" s="69" t="s">
        <v>1614</v>
      </c>
      <c r="B1175" s="69" t="s">
        <v>1607</v>
      </c>
      <c r="C1175" s="69" t="s">
        <v>1614</v>
      </c>
      <c r="D1175" s="69" t="str">
        <f t="shared" si="20"/>
        <v>Mukono Municipality</v>
      </c>
      <c r="F1175" s="69">
        <v>1064</v>
      </c>
    </row>
    <row r="1176" spans="1:6">
      <c r="A1176" s="69" t="s">
        <v>1615</v>
      </c>
      <c r="D1176" s="69" t="str">
        <f t="shared" si="20"/>
        <v>MUKONO</v>
      </c>
      <c r="F1176" s="69">
        <v>1064</v>
      </c>
    </row>
    <row r="1177" spans="1:6">
      <c r="A1177" s="69" t="s">
        <v>1616</v>
      </c>
      <c r="D1177" s="69" t="str">
        <f t="shared" si="20"/>
        <v>MBALALA</v>
      </c>
      <c r="F1177" s="69">
        <v>1064</v>
      </c>
    </row>
    <row r="1178" spans="1:6">
      <c r="A1178" s="69" t="s">
        <v>1617</v>
      </c>
      <c r="B1178" s="69" t="s">
        <v>1607</v>
      </c>
      <c r="C1178" s="69" t="s">
        <v>1608</v>
      </c>
      <c r="D1178" s="69" t="str">
        <f t="shared" si="20"/>
        <v>Nabbaale</v>
      </c>
      <c r="F1178" s="69">
        <v>1065</v>
      </c>
    </row>
    <row r="1179" spans="1:6">
      <c r="A1179" s="69" t="s">
        <v>1618</v>
      </c>
      <c r="B1179" s="69" t="s">
        <v>1607</v>
      </c>
      <c r="C1179" s="69" t="s">
        <v>1608</v>
      </c>
      <c r="D1179" s="69" t="str">
        <f t="shared" si="20"/>
        <v>Nagojje</v>
      </c>
      <c r="F1179" s="69">
        <v>1066</v>
      </c>
    </row>
    <row r="1180" spans="1:6">
      <c r="A1180" s="69" t="s">
        <v>1619</v>
      </c>
      <c r="B1180" s="69" t="s">
        <v>1607</v>
      </c>
      <c r="C1180" s="69" t="s">
        <v>1607</v>
      </c>
      <c r="D1180" s="69" t="str">
        <f t="shared" si="20"/>
        <v>Nakisunga</v>
      </c>
      <c r="F1180" s="69">
        <v>1067</v>
      </c>
    </row>
    <row r="1181" spans="1:6">
      <c r="A1181" s="69" t="s">
        <v>1620</v>
      </c>
      <c r="B1181" s="69" t="s">
        <v>1607</v>
      </c>
      <c r="C1181" s="69" t="s">
        <v>1607</v>
      </c>
      <c r="D1181" s="69" t="str">
        <f t="shared" si="20"/>
        <v>Nama</v>
      </c>
      <c r="F1181" s="69">
        <v>1068</v>
      </c>
    </row>
    <row r="1182" spans="1:6">
      <c r="A1182" s="69" t="s">
        <v>1177</v>
      </c>
      <c r="B1182" s="69" t="s">
        <v>1607</v>
      </c>
      <c r="C1182" s="69" t="s">
        <v>1607</v>
      </c>
      <c r="D1182" s="69" t="str">
        <f t="shared" si="20"/>
        <v>Ntenjeru</v>
      </c>
      <c r="F1182" s="69">
        <v>1069</v>
      </c>
    </row>
    <row r="1183" spans="1:6">
      <c r="A1183" s="69" t="s">
        <v>1621</v>
      </c>
      <c r="B1183" s="69" t="s">
        <v>1607</v>
      </c>
      <c r="C1183" s="69" t="s">
        <v>1608</v>
      </c>
      <c r="D1183" s="69" t="str">
        <f t="shared" si="20"/>
        <v>Ntunda</v>
      </c>
      <c r="F1183" s="69">
        <v>1070</v>
      </c>
    </row>
    <row r="1184" spans="1:6">
      <c r="A1184" s="69" t="s">
        <v>1622</v>
      </c>
      <c r="B1184" s="69" t="s">
        <v>1607</v>
      </c>
      <c r="C1184" s="69" t="s">
        <v>1608</v>
      </c>
      <c r="D1184" s="69" t="str">
        <f t="shared" si="20"/>
        <v>Seeta Namuganga</v>
      </c>
      <c r="F1184" s="69">
        <v>1071</v>
      </c>
    </row>
    <row r="1185" spans="1:6">
      <c r="A1185" s="69" t="s">
        <v>1623</v>
      </c>
      <c r="B1185" s="69" t="s">
        <v>1624</v>
      </c>
      <c r="C1185" s="69" t="s">
        <v>1625</v>
      </c>
      <c r="D1185" s="69" t="str">
        <f t="shared" si="20"/>
        <v>Kakomongole</v>
      </c>
      <c r="F1185" s="69">
        <v>1072</v>
      </c>
    </row>
    <row r="1186" spans="1:6">
      <c r="A1186" s="69" t="s">
        <v>1626</v>
      </c>
      <c r="B1186" s="69" t="s">
        <v>1624</v>
      </c>
      <c r="C1186" s="69" t="s">
        <v>1627</v>
      </c>
      <c r="D1186" s="69" t="str">
        <f t="shared" si="20"/>
        <v>Lolachat</v>
      </c>
      <c r="F1186" s="69">
        <v>1073</v>
      </c>
    </row>
    <row r="1187" spans="1:6">
      <c r="A1187" s="69" t="s">
        <v>1628</v>
      </c>
      <c r="B1187" s="69" t="s">
        <v>1624</v>
      </c>
      <c r="C1187" s="69" t="s">
        <v>1625</v>
      </c>
      <c r="D1187" s="69" t="str">
        <f t="shared" si="20"/>
        <v>Loregae</v>
      </c>
      <c r="F1187" s="69">
        <v>1074</v>
      </c>
    </row>
    <row r="1188" spans="1:6">
      <c r="A1188" s="69" t="s">
        <v>1629</v>
      </c>
      <c r="B1188" s="69" t="s">
        <v>1624</v>
      </c>
      <c r="C1188" s="69" t="s">
        <v>1627</v>
      </c>
      <c r="D1188" s="69" t="str">
        <f t="shared" si="20"/>
        <v>Lorengedwat</v>
      </c>
      <c r="F1188" s="69">
        <v>1075</v>
      </c>
    </row>
    <row r="1189" spans="1:6">
      <c r="A1189" s="69" t="s">
        <v>1630</v>
      </c>
      <c r="B1189" s="69" t="s">
        <v>1624</v>
      </c>
      <c r="C1189" s="69" t="s">
        <v>1625</v>
      </c>
      <c r="D1189" s="69" t="str">
        <f t="shared" si="20"/>
        <v>Moruita</v>
      </c>
      <c r="F1189" s="69">
        <v>1076</v>
      </c>
    </row>
    <row r="1190" spans="1:6">
      <c r="A1190" s="69" t="s">
        <v>1631</v>
      </c>
      <c r="B1190" s="69" t="s">
        <v>1624</v>
      </c>
      <c r="C1190" s="69" t="s">
        <v>1627</v>
      </c>
      <c r="D1190" s="69" t="str">
        <f t="shared" si="20"/>
        <v>Nabilatuk</v>
      </c>
      <c r="F1190" s="69">
        <v>1077</v>
      </c>
    </row>
    <row r="1191" spans="1:6">
      <c r="A1191" s="69" t="s">
        <v>1632</v>
      </c>
      <c r="B1191" s="69" t="s">
        <v>1624</v>
      </c>
      <c r="C1191" s="69" t="s">
        <v>1625</v>
      </c>
      <c r="D1191" s="69" t="str">
        <f t="shared" si="20"/>
        <v>Nakapiripirit Town Council</v>
      </c>
      <c r="F1191" s="69">
        <v>1078</v>
      </c>
    </row>
    <row r="1192" spans="1:6">
      <c r="A1192" s="69" t="s">
        <v>1633</v>
      </c>
      <c r="B1192" s="69" t="s">
        <v>1624</v>
      </c>
      <c r="C1192" s="69" t="s">
        <v>1625</v>
      </c>
      <c r="D1192" s="69" t="str">
        <f t="shared" si="20"/>
        <v>Namalu</v>
      </c>
      <c r="F1192" s="69">
        <v>1079</v>
      </c>
    </row>
    <row r="1193" spans="1:6">
      <c r="A1193" s="69" t="s">
        <v>1634</v>
      </c>
      <c r="B1193" s="69" t="s">
        <v>1635</v>
      </c>
      <c r="C1193" s="69" t="s">
        <v>1635</v>
      </c>
      <c r="D1193" s="69" t="str">
        <f t="shared" si="20"/>
        <v>Butalangu Town Council</v>
      </c>
      <c r="F1193" s="69">
        <v>1080</v>
      </c>
    </row>
    <row r="1194" spans="1:6">
      <c r="A1194" s="69" t="s">
        <v>1636</v>
      </c>
      <c r="B1194" s="69" t="s">
        <v>1635</v>
      </c>
      <c r="C1194" s="69" t="s">
        <v>1635</v>
      </c>
      <c r="D1194" s="69" t="str">
        <f t="shared" si="20"/>
        <v>Kapeeka</v>
      </c>
      <c r="F1194" s="69">
        <v>1081</v>
      </c>
    </row>
    <row r="1195" spans="1:6">
      <c r="A1195" s="69" t="s">
        <v>1637</v>
      </c>
      <c r="B1195" s="69" t="s">
        <v>1635</v>
      </c>
      <c r="C1195" s="69" t="s">
        <v>1635</v>
      </c>
      <c r="D1195" s="69" t="str">
        <f t="shared" si="20"/>
        <v>Kasangombe</v>
      </c>
      <c r="F1195" s="69">
        <v>1082</v>
      </c>
    </row>
    <row r="1196" spans="1:6">
      <c r="A1196" s="69" t="s">
        <v>1638</v>
      </c>
      <c r="B1196" s="69" t="s">
        <v>1635</v>
      </c>
      <c r="C1196" s="69" t="s">
        <v>1635</v>
      </c>
      <c r="D1196" s="69" t="str">
        <f t="shared" si="20"/>
        <v>Kikamulo</v>
      </c>
      <c r="F1196" s="69">
        <v>1083</v>
      </c>
    </row>
    <row r="1197" spans="1:6">
      <c r="A1197" s="69" t="s">
        <v>1639</v>
      </c>
      <c r="B1197" s="69" t="s">
        <v>1635</v>
      </c>
      <c r="C1197" s="69" t="s">
        <v>1635</v>
      </c>
      <c r="D1197" s="69" t="str">
        <f t="shared" si="20"/>
        <v>Kinoni-Nakaseke</v>
      </c>
      <c r="F1197" s="69">
        <v>1084</v>
      </c>
    </row>
    <row r="1198" spans="1:6">
      <c r="A1198" s="69" t="s">
        <v>1640</v>
      </c>
      <c r="B1198" s="69" t="s">
        <v>1635</v>
      </c>
      <c r="C1198" s="69" t="s">
        <v>1635</v>
      </c>
      <c r="D1198" s="69" t="str">
        <f t="shared" si="20"/>
        <v>Kinyogoga</v>
      </c>
      <c r="F1198" s="69">
        <v>1085</v>
      </c>
    </row>
    <row r="1199" spans="1:6">
      <c r="A1199" s="69" t="s">
        <v>1641</v>
      </c>
      <c r="B1199" s="69" t="s">
        <v>1635</v>
      </c>
      <c r="C1199" s="69" t="s">
        <v>1635</v>
      </c>
      <c r="D1199" s="69" t="str">
        <f t="shared" si="20"/>
        <v>Kito</v>
      </c>
      <c r="F1199" s="69">
        <v>1086</v>
      </c>
    </row>
    <row r="1200" spans="1:6">
      <c r="A1200" s="69" t="s">
        <v>1642</v>
      </c>
      <c r="B1200" s="69" t="s">
        <v>1635</v>
      </c>
      <c r="C1200" s="69" t="s">
        <v>1635</v>
      </c>
      <c r="D1200" s="69" t="str">
        <f t="shared" si="20"/>
        <v>Kiwoko Town Council</v>
      </c>
      <c r="F1200" s="69">
        <v>1087</v>
      </c>
    </row>
    <row r="1201" spans="1:6">
      <c r="A1201" s="69" t="s">
        <v>1635</v>
      </c>
      <c r="B1201" s="69" t="s">
        <v>1635</v>
      </c>
      <c r="C1201" s="69" t="s">
        <v>1635</v>
      </c>
      <c r="D1201" s="69" t="str">
        <f t="shared" si="20"/>
        <v>Nakaseke</v>
      </c>
      <c r="F1201" s="69">
        <v>1088</v>
      </c>
    </row>
    <row r="1202" spans="1:6">
      <c r="A1202" s="69" t="s">
        <v>1643</v>
      </c>
      <c r="B1202" s="69" t="s">
        <v>1635</v>
      </c>
      <c r="C1202" s="69" t="s">
        <v>1635</v>
      </c>
      <c r="D1202" s="69" t="str">
        <f t="shared" si="20"/>
        <v>Nakaseke Town Council</v>
      </c>
      <c r="F1202" s="69">
        <v>1089</v>
      </c>
    </row>
    <row r="1203" spans="1:6">
      <c r="A1203" s="69" t="s">
        <v>1644</v>
      </c>
      <c r="B1203" s="69" t="s">
        <v>1635</v>
      </c>
      <c r="C1203" s="69" t="s">
        <v>1635</v>
      </c>
      <c r="D1203" s="69" t="str">
        <f t="shared" si="20"/>
        <v>Ngoma Town Council</v>
      </c>
      <c r="F1203" s="69">
        <v>1090</v>
      </c>
    </row>
    <row r="1204" spans="1:6">
      <c r="A1204" s="69" t="s">
        <v>1645</v>
      </c>
      <c r="B1204" s="69" t="s">
        <v>1635</v>
      </c>
      <c r="C1204" s="69" t="s">
        <v>1635</v>
      </c>
      <c r="D1204" s="69" t="str">
        <f t="shared" si="20"/>
        <v>Ngoma-Nakaseke</v>
      </c>
      <c r="F1204" s="69">
        <v>1091</v>
      </c>
    </row>
    <row r="1205" spans="1:6">
      <c r="A1205" s="69" t="s">
        <v>1646</v>
      </c>
      <c r="B1205" s="69" t="s">
        <v>1635</v>
      </c>
      <c r="C1205" s="69" t="s">
        <v>1635</v>
      </c>
      <c r="D1205" s="69" t="str">
        <f t="shared" si="20"/>
        <v>Semuto</v>
      </c>
      <c r="F1205" s="69">
        <v>1092</v>
      </c>
    </row>
    <row r="1206" spans="1:6">
      <c r="A1206" s="69" t="s">
        <v>1647</v>
      </c>
      <c r="D1206" s="69" t="str">
        <f t="shared" si="20"/>
        <v>Ssemuto</v>
      </c>
      <c r="F1206" s="69">
        <v>1092</v>
      </c>
    </row>
    <row r="1207" spans="1:6">
      <c r="A1207" s="69" t="s">
        <v>1648</v>
      </c>
      <c r="B1207" s="69" t="s">
        <v>1635</v>
      </c>
      <c r="C1207" s="69" t="s">
        <v>1635</v>
      </c>
      <c r="D1207" s="69" t="str">
        <f t="shared" si="20"/>
        <v>Semuto Town Council</v>
      </c>
      <c r="F1207" s="69">
        <v>1093</v>
      </c>
    </row>
    <row r="1208" spans="1:6">
      <c r="A1208" s="69" t="s">
        <v>1649</v>
      </c>
      <c r="B1208" s="69" t="s">
        <v>1635</v>
      </c>
      <c r="C1208" s="69" t="s">
        <v>1635</v>
      </c>
      <c r="D1208" s="69" t="str">
        <f t="shared" si="20"/>
        <v>Wakyato</v>
      </c>
      <c r="F1208" s="69">
        <v>1094</v>
      </c>
    </row>
    <row r="1209" spans="1:6">
      <c r="A1209" s="69" t="s">
        <v>1650</v>
      </c>
      <c r="B1209" s="69" t="s">
        <v>1651</v>
      </c>
      <c r="C1209" s="69" t="s">
        <v>1467</v>
      </c>
      <c r="D1209" s="69" t="str">
        <f t="shared" si="20"/>
        <v>Kakooge</v>
      </c>
      <c r="F1209" s="69">
        <v>1095</v>
      </c>
    </row>
    <row r="1210" spans="1:6">
      <c r="A1210" s="69" t="s">
        <v>1652</v>
      </c>
      <c r="B1210" s="69" t="s">
        <v>1651</v>
      </c>
      <c r="C1210" s="69" t="s">
        <v>1467</v>
      </c>
      <c r="D1210" s="69" t="str">
        <f t="shared" si="20"/>
        <v>Kakooge Town Council</v>
      </c>
      <c r="F1210" s="69">
        <v>1096</v>
      </c>
    </row>
    <row r="1211" spans="1:6">
      <c r="A1211" s="69" t="s">
        <v>1653</v>
      </c>
      <c r="B1211" s="69" t="s">
        <v>1651</v>
      </c>
      <c r="C1211" s="69" t="s">
        <v>1467</v>
      </c>
      <c r="D1211" s="69" t="str">
        <f t="shared" si="20"/>
        <v>Kalongo</v>
      </c>
      <c r="F1211" s="69">
        <v>1097</v>
      </c>
    </row>
    <row r="1212" spans="1:6">
      <c r="A1212" s="69" t="s">
        <v>1654</v>
      </c>
      <c r="B1212" s="69" t="s">
        <v>1651</v>
      </c>
      <c r="C1212" s="69" t="s">
        <v>1467</v>
      </c>
      <c r="D1212" s="69" t="str">
        <f t="shared" si="20"/>
        <v>Kalungi</v>
      </c>
      <c r="F1212" s="69">
        <v>1098</v>
      </c>
    </row>
    <row r="1213" spans="1:6">
      <c r="A1213" s="69" t="s">
        <v>1655</v>
      </c>
      <c r="B1213" s="69" t="s">
        <v>1651</v>
      </c>
      <c r="C1213" s="69" t="s">
        <v>1467</v>
      </c>
      <c r="D1213" s="69" t="str">
        <f t="shared" si="20"/>
        <v>Lwabiyata</v>
      </c>
      <c r="F1213" s="69">
        <v>1099</v>
      </c>
    </row>
    <row r="1214" spans="1:6">
      <c r="A1214" s="69" t="s">
        <v>1656</v>
      </c>
      <c r="B1214" s="69" t="s">
        <v>1651</v>
      </c>
      <c r="C1214" s="69" t="s">
        <v>1467</v>
      </c>
      <c r="D1214" s="69" t="str">
        <f t="shared" si="20"/>
        <v>Lwampanga</v>
      </c>
      <c r="F1214" s="69">
        <v>1100</v>
      </c>
    </row>
    <row r="1215" spans="1:6">
      <c r="A1215" s="69" t="s">
        <v>1657</v>
      </c>
      <c r="B1215" s="69" t="s">
        <v>1651</v>
      </c>
      <c r="C1215" s="69" t="s">
        <v>1467</v>
      </c>
      <c r="D1215" s="69" t="str">
        <f t="shared" si="20"/>
        <v>Migeera Town Council</v>
      </c>
      <c r="F1215" s="69">
        <v>1101</v>
      </c>
    </row>
    <row r="1216" spans="1:6">
      <c r="A1216" s="69" t="s">
        <v>1658</v>
      </c>
      <c r="B1216" s="69" t="s">
        <v>1651</v>
      </c>
      <c r="C1216" s="69" t="s">
        <v>1467</v>
      </c>
      <c r="D1216" s="69" t="str">
        <f t="shared" si="20"/>
        <v>Nabisweera</v>
      </c>
      <c r="F1216" s="69">
        <v>1102</v>
      </c>
    </row>
    <row r="1217" spans="1:6">
      <c r="A1217" s="69" t="s">
        <v>1659</v>
      </c>
      <c r="B1217" s="69" t="s">
        <v>1651</v>
      </c>
      <c r="C1217" s="69" t="s">
        <v>1467</v>
      </c>
      <c r="D1217" s="69" t="str">
        <f t="shared" si="20"/>
        <v>Nakasongola Town Council</v>
      </c>
      <c r="F1217" s="69">
        <v>1103</v>
      </c>
    </row>
    <row r="1218" spans="1:6">
      <c r="A1218" s="69" t="s">
        <v>1660</v>
      </c>
      <c r="B1218" s="69" t="s">
        <v>1651</v>
      </c>
      <c r="C1218" s="69" t="s">
        <v>1467</v>
      </c>
      <c r="D1218" s="69" t="str">
        <f t="shared" ref="D1218:D1281" si="21">A1218</f>
        <v>Nakitoma</v>
      </c>
      <c r="F1218" s="69">
        <v>1104</v>
      </c>
    </row>
    <row r="1219" spans="1:6">
      <c r="A1219" s="69" t="s">
        <v>1661</v>
      </c>
      <c r="B1219" s="69" t="s">
        <v>1651</v>
      </c>
      <c r="C1219" s="69" t="s">
        <v>1467</v>
      </c>
      <c r="D1219" s="69" t="str">
        <f t="shared" si="21"/>
        <v>Wabinyonyi</v>
      </c>
      <c r="F1219" s="69">
        <v>1105</v>
      </c>
    </row>
    <row r="1220" spans="1:6">
      <c r="A1220" s="69" t="s">
        <v>935</v>
      </c>
      <c r="B1220" s="69" t="s">
        <v>1662</v>
      </c>
      <c r="C1220" s="69" t="s">
        <v>1663</v>
      </c>
      <c r="D1220" s="69" t="str">
        <f t="shared" si="21"/>
        <v>Banda</v>
      </c>
      <c r="F1220" s="69">
        <v>1106</v>
      </c>
    </row>
    <row r="1221" spans="1:6">
      <c r="A1221" s="69" t="s">
        <v>1664</v>
      </c>
      <c r="B1221" s="69" t="s">
        <v>1662</v>
      </c>
      <c r="C1221" s="69" t="s">
        <v>1663</v>
      </c>
      <c r="D1221" s="69" t="str">
        <f t="shared" si="21"/>
        <v>Buhemba</v>
      </c>
      <c r="F1221" s="69">
        <v>1107</v>
      </c>
    </row>
    <row r="1222" spans="1:6">
      <c r="A1222" s="69" t="s">
        <v>1665</v>
      </c>
      <c r="B1222" s="69" t="s">
        <v>1662</v>
      </c>
      <c r="C1222" s="69" t="s">
        <v>1663</v>
      </c>
      <c r="D1222" s="69" t="str">
        <f t="shared" si="21"/>
        <v>Bukana</v>
      </c>
      <c r="F1222" s="69">
        <v>1108</v>
      </c>
    </row>
    <row r="1223" spans="1:6">
      <c r="A1223" s="69" t="s">
        <v>1666</v>
      </c>
      <c r="B1223" s="69" t="s">
        <v>1662</v>
      </c>
      <c r="C1223" s="69" t="s">
        <v>1663</v>
      </c>
      <c r="D1223" s="69" t="str">
        <f t="shared" si="21"/>
        <v>Buswale</v>
      </c>
      <c r="F1223" s="69">
        <v>1109</v>
      </c>
    </row>
    <row r="1224" spans="1:6">
      <c r="A1224" s="69" t="s">
        <v>1667</v>
      </c>
      <c r="B1224" s="69" t="s">
        <v>1662</v>
      </c>
      <c r="C1224" s="69" t="s">
        <v>1663</v>
      </c>
      <c r="D1224" s="69" t="str">
        <f t="shared" si="21"/>
        <v>Buyinja</v>
      </c>
      <c r="F1224" s="69">
        <v>1110</v>
      </c>
    </row>
    <row r="1225" spans="1:6">
      <c r="A1225" s="69" t="s">
        <v>1668</v>
      </c>
      <c r="B1225" s="69" t="s">
        <v>1662</v>
      </c>
      <c r="C1225" s="69" t="s">
        <v>1663</v>
      </c>
      <c r="D1225" s="69" t="str">
        <f t="shared" si="21"/>
        <v>Lolwe</v>
      </c>
      <c r="F1225" s="69">
        <v>1111</v>
      </c>
    </row>
    <row r="1226" spans="1:6">
      <c r="A1226" s="69" t="s">
        <v>1669</v>
      </c>
      <c r="B1226" s="69" t="s">
        <v>1662</v>
      </c>
      <c r="C1226" s="69" t="s">
        <v>1663</v>
      </c>
      <c r="D1226" s="69" t="str">
        <f t="shared" si="21"/>
        <v>Mutumba</v>
      </c>
      <c r="F1226" s="69">
        <v>1112</v>
      </c>
    </row>
    <row r="1227" spans="1:6">
      <c r="A1227" s="69" t="s">
        <v>1670</v>
      </c>
      <c r="B1227" s="69" t="s">
        <v>1662</v>
      </c>
      <c r="C1227" s="69" t="s">
        <v>1663</v>
      </c>
      <c r="D1227" s="69" t="str">
        <f t="shared" si="21"/>
        <v>Namayingo Town Council</v>
      </c>
      <c r="F1227" s="69">
        <v>1113</v>
      </c>
    </row>
    <row r="1228" spans="1:6">
      <c r="A1228" s="69" t="s">
        <v>1671</v>
      </c>
      <c r="B1228" s="69" t="s">
        <v>1662</v>
      </c>
      <c r="C1228" s="69" t="s">
        <v>1663</v>
      </c>
      <c r="D1228" s="69" t="str">
        <f t="shared" si="21"/>
        <v>Sigulu Island</v>
      </c>
      <c r="F1228" s="69">
        <v>1114</v>
      </c>
    </row>
    <row r="1229" spans="1:6">
      <c r="A1229" s="69" t="s">
        <v>1672</v>
      </c>
      <c r="B1229" s="69" t="s">
        <v>1673</v>
      </c>
      <c r="C1229" s="69" t="s">
        <v>1673</v>
      </c>
      <c r="D1229" s="69" t="str">
        <f t="shared" si="21"/>
        <v>Bubutu</v>
      </c>
      <c r="F1229" s="69">
        <v>1115</v>
      </c>
    </row>
    <row r="1230" spans="1:6">
      <c r="A1230" s="69" t="s">
        <v>1674</v>
      </c>
      <c r="B1230" s="69" t="s">
        <v>1673</v>
      </c>
      <c r="C1230" s="69" t="s">
        <v>1673</v>
      </c>
      <c r="D1230" s="69" t="str">
        <f t="shared" si="21"/>
        <v>Bukhabusi</v>
      </c>
      <c r="F1230" s="69">
        <v>1116</v>
      </c>
    </row>
    <row r="1231" spans="1:6">
      <c r="A1231" s="69" t="s">
        <v>1675</v>
      </c>
      <c r="B1231" s="69" t="s">
        <v>1673</v>
      </c>
      <c r="C1231" s="69" t="s">
        <v>1673</v>
      </c>
      <c r="D1231" s="69" t="str">
        <f t="shared" si="21"/>
        <v>Bukhaweka</v>
      </c>
      <c r="F1231" s="69">
        <v>1117</v>
      </c>
    </row>
    <row r="1232" spans="1:6">
      <c r="A1232" s="69" t="s">
        <v>1676</v>
      </c>
      <c r="B1232" s="69" t="s">
        <v>1673</v>
      </c>
      <c r="C1232" s="69" t="s">
        <v>1673</v>
      </c>
      <c r="D1232" s="69" t="str">
        <f t="shared" si="21"/>
        <v>Bukiabi</v>
      </c>
      <c r="F1232" s="69">
        <v>1118</v>
      </c>
    </row>
    <row r="1233" spans="1:6">
      <c r="A1233" s="69" t="s">
        <v>1677</v>
      </c>
      <c r="B1233" s="69" t="s">
        <v>1673</v>
      </c>
      <c r="C1233" s="69" t="s">
        <v>1673</v>
      </c>
      <c r="D1233" s="69" t="str">
        <f t="shared" si="21"/>
        <v>Bukokho</v>
      </c>
      <c r="F1233" s="69">
        <v>1119</v>
      </c>
    </row>
    <row r="1234" spans="1:6">
      <c r="A1234" s="69" t="s">
        <v>1678</v>
      </c>
      <c r="B1234" s="69" t="s">
        <v>1673</v>
      </c>
      <c r="C1234" s="69" t="s">
        <v>1673</v>
      </c>
      <c r="D1234" s="69" t="str">
        <f t="shared" si="21"/>
        <v>Bumbo</v>
      </c>
      <c r="F1234" s="69">
        <v>1120</v>
      </c>
    </row>
    <row r="1235" spans="1:6">
      <c r="A1235" s="69" t="s">
        <v>1679</v>
      </c>
      <c r="B1235" s="69" t="s">
        <v>1673</v>
      </c>
      <c r="C1235" s="69" t="s">
        <v>1673</v>
      </c>
      <c r="D1235" s="69" t="str">
        <f t="shared" si="21"/>
        <v>Bumwoni</v>
      </c>
      <c r="F1235" s="69">
        <v>1121</v>
      </c>
    </row>
    <row r="1236" spans="1:6">
      <c r="A1236" s="69" t="s">
        <v>1680</v>
      </c>
      <c r="B1236" s="69" t="s">
        <v>1673</v>
      </c>
      <c r="C1236" s="69" t="s">
        <v>1673</v>
      </c>
      <c r="D1236" s="69" t="str">
        <f t="shared" si="21"/>
        <v>Bupoto</v>
      </c>
      <c r="F1236" s="69">
        <v>1122</v>
      </c>
    </row>
    <row r="1237" spans="1:6">
      <c r="A1237" s="69" t="s">
        <v>1681</v>
      </c>
      <c r="B1237" s="69" t="s">
        <v>1673</v>
      </c>
      <c r="C1237" s="69" t="s">
        <v>1673</v>
      </c>
      <c r="D1237" s="69" t="str">
        <f t="shared" si="21"/>
        <v>Buwabwala</v>
      </c>
      <c r="F1237" s="69">
        <v>1123</v>
      </c>
    </row>
    <row r="1238" spans="1:6">
      <c r="A1238" s="69" t="s">
        <v>1682</v>
      </c>
      <c r="B1238" s="69" t="s">
        <v>1673</v>
      </c>
      <c r="C1238" s="69" t="s">
        <v>1673</v>
      </c>
      <c r="D1238" s="69" t="str">
        <f t="shared" si="21"/>
        <v>Lwakhakha Town Council</v>
      </c>
      <c r="F1238" s="69">
        <v>1124</v>
      </c>
    </row>
    <row r="1239" spans="1:6">
      <c r="A1239" s="69" t="s">
        <v>1683</v>
      </c>
      <c r="B1239" s="69" t="s">
        <v>1673</v>
      </c>
      <c r="C1239" s="69" t="s">
        <v>1673</v>
      </c>
      <c r="D1239" s="69" t="str">
        <f t="shared" si="21"/>
        <v>Magale</v>
      </c>
      <c r="F1239" s="69">
        <v>1125</v>
      </c>
    </row>
    <row r="1240" spans="1:6">
      <c r="A1240" s="69" t="s">
        <v>1684</v>
      </c>
      <c r="B1240" s="69" t="s">
        <v>1673</v>
      </c>
      <c r="C1240" s="69" t="s">
        <v>1673</v>
      </c>
      <c r="D1240" s="69" t="str">
        <f t="shared" si="21"/>
        <v>Magale Town Council</v>
      </c>
      <c r="F1240" s="69">
        <v>1126</v>
      </c>
    </row>
    <row r="1241" spans="1:6">
      <c r="A1241" s="69" t="s">
        <v>1685</v>
      </c>
      <c r="B1241" s="69" t="s">
        <v>1673</v>
      </c>
      <c r="C1241" s="69" t="s">
        <v>1673</v>
      </c>
      <c r="D1241" s="69" t="str">
        <f t="shared" si="21"/>
        <v>Mukoto</v>
      </c>
      <c r="F1241" s="69">
        <v>1127</v>
      </c>
    </row>
    <row r="1242" spans="1:6">
      <c r="A1242" s="69" t="s">
        <v>1686</v>
      </c>
      <c r="B1242" s="69" t="s">
        <v>1673</v>
      </c>
      <c r="C1242" s="69" t="s">
        <v>1673</v>
      </c>
      <c r="D1242" s="69" t="str">
        <f t="shared" si="21"/>
        <v>Namabya</v>
      </c>
      <c r="F1242" s="69">
        <v>1128</v>
      </c>
    </row>
    <row r="1243" spans="1:6">
      <c r="A1243" s="69" t="s">
        <v>1687</v>
      </c>
      <c r="B1243" s="69" t="s">
        <v>1673</v>
      </c>
      <c r="C1243" s="69" t="s">
        <v>1673</v>
      </c>
      <c r="D1243" s="69" t="str">
        <f t="shared" si="21"/>
        <v>Namboko</v>
      </c>
      <c r="F1243" s="69">
        <v>1129</v>
      </c>
    </row>
    <row r="1244" spans="1:6">
      <c r="A1244" s="69" t="s">
        <v>1688</v>
      </c>
      <c r="B1244" s="69" t="s">
        <v>1673</v>
      </c>
      <c r="C1244" s="69" t="s">
        <v>1673</v>
      </c>
      <c r="D1244" s="69" t="str">
        <f t="shared" si="21"/>
        <v>Namisindwa Town Council</v>
      </c>
      <c r="F1244" s="69">
        <v>1130</v>
      </c>
    </row>
    <row r="1245" spans="1:6">
      <c r="A1245" s="69" t="s">
        <v>1689</v>
      </c>
      <c r="B1245" s="69" t="s">
        <v>1673</v>
      </c>
      <c r="C1245" s="69" t="s">
        <v>1673</v>
      </c>
      <c r="D1245" s="69" t="str">
        <f t="shared" si="21"/>
        <v>Tsekululu</v>
      </c>
      <c r="F1245" s="69">
        <v>1131</v>
      </c>
    </row>
    <row r="1246" spans="1:6">
      <c r="A1246" s="69" t="s">
        <v>1690</v>
      </c>
      <c r="B1246" s="69" t="s">
        <v>1691</v>
      </c>
      <c r="C1246" s="69" t="s">
        <v>1692</v>
      </c>
      <c r="D1246" s="69" t="str">
        <f t="shared" si="21"/>
        <v>Bulange</v>
      </c>
      <c r="F1246" s="69">
        <v>1132</v>
      </c>
    </row>
    <row r="1247" spans="1:6">
      <c r="A1247" s="69" t="s">
        <v>1693</v>
      </c>
      <c r="B1247" s="69" t="s">
        <v>1691</v>
      </c>
      <c r="C1247" s="69" t="s">
        <v>1692</v>
      </c>
      <c r="D1247" s="69" t="str">
        <f t="shared" si="21"/>
        <v>Ivukula</v>
      </c>
      <c r="F1247" s="69">
        <v>1133</v>
      </c>
    </row>
    <row r="1248" spans="1:6">
      <c r="A1248" s="69" t="s">
        <v>1185</v>
      </c>
      <c r="B1248" s="69" t="s">
        <v>1691</v>
      </c>
      <c r="C1248" s="69" t="s">
        <v>1692</v>
      </c>
      <c r="D1248" s="69" t="str">
        <f t="shared" si="21"/>
        <v>Kibaale</v>
      </c>
      <c r="F1248" s="69">
        <v>1134</v>
      </c>
    </row>
    <row r="1249" spans="1:6">
      <c r="A1249" s="69" t="s">
        <v>1694</v>
      </c>
      <c r="B1249" s="69" t="s">
        <v>1691</v>
      </c>
      <c r="C1249" s="69" t="s">
        <v>1692</v>
      </c>
      <c r="D1249" s="69" t="str">
        <f t="shared" si="21"/>
        <v>Magada</v>
      </c>
      <c r="F1249" s="69">
        <v>1135</v>
      </c>
    </row>
    <row r="1250" spans="1:6">
      <c r="A1250" s="69" t="s">
        <v>1695</v>
      </c>
      <c r="B1250" s="69" t="s">
        <v>1691</v>
      </c>
      <c r="C1250" s="69" t="s">
        <v>1692</v>
      </c>
      <c r="D1250" s="69" t="str">
        <f t="shared" si="21"/>
        <v>Nabweyo</v>
      </c>
      <c r="F1250" s="69">
        <v>1136</v>
      </c>
    </row>
    <row r="1251" spans="1:6">
      <c r="A1251" s="69" t="s">
        <v>1691</v>
      </c>
      <c r="B1251" s="69" t="s">
        <v>1691</v>
      </c>
      <c r="C1251" s="69" t="s">
        <v>1692</v>
      </c>
      <c r="D1251" s="69" t="str">
        <f t="shared" si="21"/>
        <v>Namutumba</v>
      </c>
      <c r="F1251" s="69">
        <v>1137</v>
      </c>
    </row>
    <row r="1252" spans="1:6">
      <c r="A1252" s="69" t="s">
        <v>1696</v>
      </c>
      <c r="B1252" s="69" t="s">
        <v>1691</v>
      </c>
      <c r="C1252" s="69" t="s">
        <v>1692</v>
      </c>
      <c r="D1252" s="69" t="str">
        <f t="shared" si="21"/>
        <v>Namutumba Town Council</v>
      </c>
      <c r="F1252" s="69">
        <v>1138</v>
      </c>
    </row>
    <row r="1253" spans="1:6">
      <c r="A1253" s="69" t="s">
        <v>1697</v>
      </c>
      <c r="B1253" s="69" t="s">
        <v>1691</v>
      </c>
      <c r="C1253" s="69" t="s">
        <v>1692</v>
      </c>
      <c r="D1253" s="69" t="str">
        <f t="shared" si="21"/>
        <v>Nangonde</v>
      </c>
      <c r="F1253" s="69">
        <v>1139</v>
      </c>
    </row>
    <row r="1254" spans="1:6">
      <c r="A1254" s="69" t="s">
        <v>1698</v>
      </c>
      <c r="B1254" s="69" t="s">
        <v>1691</v>
      </c>
      <c r="C1254" s="69" t="s">
        <v>1692</v>
      </c>
      <c r="D1254" s="69" t="str">
        <f t="shared" si="21"/>
        <v>Nsinze</v>
      </c>
      <c r="F1254" s="69">
        <v>1140</v>
      </c>
    </row>
    <row r="1255" spans="1:6">
      <c r="A1255" s="69" t="s">
        <v>1699</v>
      </c>
      <c r="B1255" s="69" t="s">
        <v>1700</v>
      </c>
      <c r="C1255" s="69" t="s">
        <v>1701</v>
      </c>
      <c r="D1255" s="69" t="str">
        <f t="shared" si="21"/>
        <v>Iriiri</v>
      </c>
      <c r="F1255" s="69">
        <v>1141</v>
      </c>
    </row>
    <row r="1256" spans="1:6">
      <c r="A1256" s="69" t="s">
        <v>1702</v>
      </c>
      <c r="B1256" s="69" t="s">
        <v>1700</v>
      </c>
      <c r="C1256" s="69" t="s">
        <v>1701</v>
      </c>
      <c r="D1256" s="69" t="str">
        <f t="shared" si="21"/>
        <v>Lokopo</v>
      </c>
      <c r="F1256" s="69">
        <v>1142</v>
      </c>
    </row>
    <row r="1257" spans="1:6">
      <c r="A1257" s="69" t="s">
        <v>1703</v>
      </c>
      <c r="B1257" s="69" t="s">
        <v>1700</v>
      </c>
      <c r="C1257" s="69" t="s">
        <v>1701</v>
      </c>
      <c r="D1257" s="69" t="str">
        <f t="shared" si="21"/>
        <v>Lopeei</v>
      </c>
      <c r="F1257" s="69">
        <v>1143</v>
      </c>
    </row>
    <row r="1258" spans="1:6">
      <c r="A1258" s="69" t="s">
        <v>1704</v>
      </c>
      <c r="B1258" s="69" t="s">
        <v>1700</v>
      </c>
      <c r="C1258" s="69" t="s">
        <v>1701</v>
      </c>
      <c r="D1258" s="69" t="str">
        <f t="shared" si="21"/>
        <v>Lorengecora</v>
      </c>
      <c r="F1258" s="69">
        <v>1144</v>
      </c>
    </row>
    <row r="1259" spans="1:6">
      <c r="A1259" s="69" t="s">
        <v>1705</v>
      </c>
      <c r="B1259" s="69" t="s">
        <v>1700</v>
      </c>
      <c r="C1259" s="69" t="s">
        <v>1701</v>
      </c>
      <c r="D1259" s="69" t="str">
        <f t="shared" si="21"/>
        <v>Lotome</v>
      </c>
      <c r="F1259" s="69">
        <v>1145</v>
      </c>
    </row>
    <row r="1260" spans="1:6">
      <c r="A1260" s="69" t="s">
        <v>1706</v>
      </c>
      <c r="B1260" s="69" t="s">
        <v>1700</v>
      </c>
      <c r="C1260" s="69" t="s">
        <v>1701</v>
      </c>
      <c r="D1260" s="69" t="str">
        <f t="shared" si="21"/>
        <v>Matany</v>
      </c>
      <c r="F1260" s="69">
        <v>1146</v>
      </c>
    </row>
    <row r="1261" spans="1:6">
      <c r="A1261" s="69" t="s">
        <v>1707</v>
      </c>
      <c r="B1261" s="69" t="s">
        <v>1700</v>
      </c>
      <c r="C1261" s="69" t="s">
        <v>1701</v>
      </c>
      <c r="D1261" s="69" t="str">
        <f t="shared" si="21"/>
        <v>Napak Town Council</v>
      </c>
      <c r="F1261" s="69">
        <v>1147</v>
      </c>
    </row>
    <row r="1262" spans="1:6">
      <c r="A1262" s="69" t="s">
        <v>166</v>
      </c>
      <c r="B1262" s="69" t="s">
        <v>1700</v>
      </c>
      <c r="C1262" s="69" t="s">
        <v>1701</v>
      </c>
      <c r="D1262" s="69" t="str">
        <f t="shared" si="21"/>
        <v>NAPAK</v>
      </c>
      <c r="F1262" s="69">
        <v>1147</v>
      </c>
    </row>
    <row r="1263" spans="1:6">
      <c r="A1263" s="69" t="s">
        <v>2050</v>
      </c>
      <c r="B1263" s="69" t="s">
        <v>1700</v>
      </c>
      <c r="C1263" s="69" t="s">
        <v>1701</v>
      </c>
      <c r="D1263" s="69" t="str">
        <f t="shared" si="21"/>
        <v>IRIRI</v>
      </c>
      <c r="F1263" s="69">
        <v>1147</v>
      </c>
    </row>
    <row r="1264" spans="1:6">
      <c r="A1264" s="69" t="s">
        <v>2051</v>
      </c>
      <c r="B1264" s="69" t="s">
        <v>1700</v>
      </c>
      <c r="C1264" s="69" t="s">
        <v>1701</v>
      </c>
      <c r="D1264" s="69" t="str">
        <f t="shared" si="21"/>
        <v>LORENGECHORA</v>
      </c>
      <c r="F1264" s="69">
        <v>1147</v>
      </c>
    </row>
    <row r="1265" spans="1:6">
      <c r="A1265" s="69" t="s">
        <v>1708</v>
      </c>
      <c r="B1265" s="69" t="s">
        <v>1700</v>
      </c>
      <c r="C1265" s="69" t="s">
        <v>1701</v>
      </c>
      <c r="D1265" s="69" t="str">
        <f t="shared" si="21"/>
        <v>Ngoleriet</v>
      </c>
      <c r="F1265" s="69">
        <v>1148</v>
      </c>
    </row>
    <row r="1266" spans="1:6">
      <c r="A1266" s="69" t="s">
        <v>1709</v>
      </c>
      <c r="B1266" s="69" t="s">
        <v>1710</v>
      </c>
      <c r="C1266" s="69" t="s">
        <v>1711</v>
      </c>
      <c r="D1266" s="69" t="str">
        <f t="shared" si="21"/>
        <v>Akworo</v>
      </c>
      <c r="F1266" s="69">
        <v>1149</v>
      </c>
    </row>
    <row r="1267" spans="1:6">
      <c r="A1267" s="69" t="s">
        <v>1712</v>
      </c>
      <c r="B1267" s="69" t="s">
        <v>1710</v>
      </c>
      <c r="C1267" s="69" t="s">
        <v>1711</v>
      </c>
      <c r="D1267" s="69" t="str">
        <f t="shared" si="21"/>
        <v>Atego</v>
      </c>
      <c r="F1267" s="69">
        <v>1150</v>
      </c>
    </row>
    <row r="1268" spans="1:6">
      <c r="A1268" s="69" t="s">
        <v>1713</v>
      </c>
      <c r="B1268" s="69" t="s">
        <v>1710</v>
      </c>
      <c r="C1268" s="69" t="s">
        <v>1711</v>
      </c>
      <c r="D1268" s="69" t="str">
        <f t="shared" si="21"/>
        <v>Erussi</v>
      </c>
      <c r="F1268" s="69">
        <v>1151</v>
      </c>
    </row>
    <row r="1269" spans="1:6">
      <c r="A1269" s="69" t="s">
        <v>1714</v>
      </c>
      <c r="B1269" s="69" t="s">
        <v>1710</v>
      </c>
      <c r="C1269" s="69" t="s">
        <v>1711</v>
      </c>
      <c r="D1269" s="69" t="str">
        <f t="shared" si="21"/>
        <v>Kucwiny</v>
      </c>
      <c r="F1269" s="69">
        <v>1152</v>
      </c>
    </row>
    <row r="1270" spans="1:6">
      <c r="A1270" s="69" t="s">
        <v>1715</v>
      </c>
      <c r="B1270" s="69" t="s">
        <v>1710</v>
      </c>
      <c r="C1270" s="69" t="s">
        <v>1711</v>
      </c>
      <c r="D1270" s="69" t="str">
        <f t="shared" si="21"/>
        <v>Ndhew</v>
      </c>
      <c r="F1270" s="69">
        <v>1153</v>
      </c>
    </row>
    <row r="1271" spans="1:6">
      <c r="A1271" s="69" t="s">
        <v>1710</v>
      </c>
      <c r="B1271" s="69" t="s">
        <v>1710</v>
      </c>
      <c r="C1271" s="69" t="s">
        <v>1711</v>
      </c>
      <c r="D1271" s="69" t="str">
        <f t="shared" si="21"/>
        <v>Nebbi</v>
      </c>
      <c r="F1271" s="69">
        <v>1154</v>
      </c>
    </row>
    <row r="1272" spans="1:6">
      <c r="A1272" s="69" t="s">
        <v>1716</v>
      </c>
      <c r="B1272" s="69" t="s">
        <v>1710</v>
      </c>
      <c r="C1272" s="69" t="s">
        <v>1716</v>
      </c>
      <c r="D1272" s="69" t="str">
        <f t="shared" si="21"/>
        <v>Nebbi Municipality</v>
      </c>
      <c r="F1272" s="69">
        <v>1155</v>
      </c>
    </row>
    <row r="1273" spans="1:6">
      <c r="A1273" s="69" t="s">
        <v>1717</v>
      </c>
      <c r="B1273" s="69" t="s">
        <v>1710</v>
      </c>
      <c r="C1273" s="69" t="s">
        <v>1711</v>
      </c>
      <c r="D1273" s="69" t="str">
        <f t="shared" si="21"/>
        <v>Nyaravur</v>
      </c>
      <c r="F1273" s="69">
        <v>1156</v>
      </c>
    </row>
    <row r="1274" spans="1:6">
      <c r="A1274" s="69" t="s">
        <v>1718</v>
      </c>
      <c r="B1274" s="69" t="s">
        <v>1710</v>
      </c>
      <c r="C1274" s="69" t="s">
        <v>1711</v>
      </c>
      <c r="D1274" s="69" t="str">
        <f t="shared" si="21"/>
        <v>Parombo</v>
      </c>
      <c r="F1274" s="69">
        <v>1157</v>
      </c>
    </row>
    <row r="1275" spans="1:6">
      <c r="A1275" s="69" t="s">
        <v>1719</v>
      </c>
      <c r="B1275" s="69" t="s">
        <v>1720</v>
      </c>
      <c r="C1275" s="69" t="s">
        <v>1720</v>
      </c>
      <c r="D1275" s="69" t="str">
        <f t="shared" si="21"/>
        <v>Kapir</v>
      </c>
      <c r="F1275" s="69">
        <v>1158</v>
      </c>
    </row>
    <row r="1276" spans="1:6">
      <c r="A1276" s="69" t="s">
        <v>1721</v>
      </c>
      <c r="B1276" s="69" t="s">
        <v>1720</v>
      </c>
      <c r="C1276" s="69" t="s">
        <v>1720</v>
      </c>
      <c r="D1276" s="69" t="str">
        <f t="shared" si="21"/>
        <v>Kobwin</v>
      </c>
      <c r="F1276" s="69">
        <v>1159</v>
      </c>
    </row>
    <row r="1277" spans="1:6">
      <c r="A1277" s="69" t="s">
        <v>1722</v>
      </c>
      <c r="B1277" s="69" t="s">
        <v>1720</v>
      </c>
      <c r="C1277" s="69" t="s">
        <v>1720</v>
      </c>
      <c r="D1277" s="69" t="str">
        <f t="shared" si="21"/>
        <v>Mukura</v>
      </c>
      <c r="F1277" s="69">
        <v>1160</v>
      </c>
    </row>
    <row r="1278" spans="1:6">
      <c r="A1278" s="69" t="s">
        <v>1720</v>
      </c>
      <c r="B1278" s="69" t="s">
        <v>1720</v>
      </c>
      <c r="C1278" s="69" t="s">
        <v>1720</v>
      </c>
      <c r="D1278" s="69" t="str">
        <f t="shared" si="21"/>
        <v>Ngora</v>
      </c>
      <c r="F1278" s="69">
        <v>1161</v>
      </c>
    </row>
    <row r="1279" spans="1:6">
      <c r="A1279" s="69" t="s">
        <v>1723</v>
      </c>
      <c r="B1279" s="69" t="s">
        <v>1720</v>
      </c>
      <c r="C1279" s="69" t="s">
        <v>1720</v>
      </c>
      <c r="D1279" s="69" t="str">
        <f t="shared" si="21"/>
        <v>Ngora Town Council</v>
      </c>
      <c r="F1279" s="69">
        <v>1162</v>
      </c>
    </row>
    <row r="1280" spans="1:6">
      <c r="A1280" s="69" t="s">
        <v>1724</v>
      </c>
      <c r="B1280" s="69" t="s">
        <v>1725</v>
      </c>
      <c r="C1280" s="69" t="s">
        <v>1725</v>
      </c>
      <c r="D1280" s="69" t="str">
        <f t="shared" si="21"/>
        <v>Butungama</v>
      </c>
      <c r="F1280" s="69">
        <v>1163</v>
      </c>
    </row>
    <row r="1281" spans="1:6">
      <c r="A1281" s="69" t="s">
        <v>1726</v>
      </c>
      <c r="B1281" s="69" t="s">
        <v>1725</v>
      </c>
      <c r="C1281" s="69" t="s">
        <v>1725</v>
      </c>
      <c r="D1281" s="69" t="str">
        <f t="shared" si="21"/>
        <v>Bweramule</v>
      </c>
      <c r="F1281" s="69">
        <v>1164</v>
      </c>
    </row>
    <row r="1282" spans="1:6">
      <c r="A1282" s="69" t="s">
        <v>1727</v>
      </c>
      <c r="B1282" s="69" t="s">
        <v>1725</v>
      </c>
      <c r="C1282" s="69" t="s">
        <v>1725</v>
      </c>
      <c r="D1282" s="69" t="str">
        <f t="shared" ref="D1282:D1345" si="22">A1282</f>
        <v>Kanara Town Council</v>
      </c>
      <c r="F1282" s="69">
        <v>1165</v>
      </c>
    </row>
    <row r="1283" spans="1:6">
      <c r="A1283" s="69" t="s">
        <v>1728</v>
      </c>
      <c r="B1283" s="69" t="s">
        <v>1725</v>
      </c>
      <c r="C1283" s="69" t="s">
        <v>1725</v>
      </c>
      <c r="D1283" s="69" t="str">
        <f t="shared" si="22"/>
        <v>Kanara-Ntoroko</v>
      </c>
      <c r="F1283" s="69">
        <v>1166</v>
      </c>
    </row>
    <row r="1284" spans="1:6">
      <c r="A1284" s="69" t="s">
        <v>1729</v>
      </c>
      <c r="B1284" s="69" t="s">
        <v>1725</v>
      </c>
      <c r="C1284" s="69" t="s">
        <v>1725</v>
      </c>
      <c r="D1284" s="69" t="str">
        <f t="shared" si="22"/>
        <v>Karugutu</v>
      </c>
      <c r="F1284" s="69">
        <v>1167</v>
      </c>
    </row>
    <row r="1285" spans="1:6">
      <c r="A1285" s="69" t="s">
        <v>1730</v>
      </c>
      <c r="B1285" s="69" t="s">
        <v>1725</v>
      </c>
      <c r="C1285" s="69" t="s">
        <v>1725</v>
      </c>
      <c r="D1285" s="69" t="str">
        <f t="shared" si="22"/>
        <v>Karugutu Town Council</v>
      </c>
      <c r="F1285" s="69">
        <v>1168</v>
      </c>
    </row>
    <row r="1286" spans="1:6">
      <c r="A1286" s="69" t="s">
        <v>1731</v>
      </c>
      <c r="B1286" s="69" t="s">
        <v>1725</v>
      </c>
      <c r="C1286" s="69" t="s">
        <v>1725</v>
      </c>
      <c r="D1286" s="69" t="str">
        <f t="shared" si="22"/>
        <v>Kibuuku Town Council</v>
      </c>
      <c r="F1286" s="69">
        <v>1169</v>
      </c>
    </row>
    <row r="1287" spans="1:6">
      <c r="A1287" s="69" t="s">
        <v>1732</v>
      </c>
      <c r="B1287" s="69" t="s">
        <v>1725</v>
      </c>
      <c r="C1287" s="69" t="s">
        <v>1725</v>
      </c>
      <c r="D1287" s="69" t="str">
        <f t="shared" si="22"/>
        <v>Nombe</v>
      </c>
      <c r="F1287" s="69">
        <v>1170</v>
      </c>
    </row>
    <row r="1288" spans="1:6">
      <c r="A1288" s="69" t="s">
        <v>1733</v>
      </c>
      <c r="B1288" s="69" t="s">
        <v>1725</v>
      </c>
      <c r="C1288" s="69" t="s">
        <v>1725</v>
      </c>
      <c r="D1288" s="69" t="str">
        <f t="shared" si="22"/>
        <v>Rwebisengo</v>
      </c>
      <c r="F1288" s="69">
        <v>1171</v>
      </c>
    </row>
    <row r="1289" spans="1:6">
      <c r="A1289" s="69" t="s">
        <v>1734</v>
      </c>
      <c r="B1289" s="69" t="s">
        <v>1725</v>
      </c>
      <c r="C1289" s="69" t="s">
        <v>1725</v>
      </c>
      <c r="D1289" s="69" t="str">
        <f t="shared" si="22"/>
        <v>Rwebisengo Town Council</v>
      </c>
      <c r="F1289" s="69">
        <v>1172</v>
      </c>
    </row>
    <row r="1290" spans="1:6">
      <c r="A1290" s="69" t="s">
        <v>1735</v>
      </c>
      <c r="B1290" s="69" t="s">
        <v>46</v>
      </c>
      <c r="C1290" s="69" t="s">
        <v>1736</v>
      </c>
      <c r="D1290" s="69" t="str">
        <f t="shared" si="22"/>
        <v>Bwongyera</v>
      </c>
      <c r="F1290" s="69">
        <v>1173</v>
      </c>
    </row>
    <row r="1291" spans="1:6">
      <c r="A1291" s="69" t="s">
        <v>1737</v>
      </c>
      <c r="B1291" s="69" t="s">
        <v>46</v>
      </c>
      <c r="C1291" s="69" t="s">
        <v>1736</v>
      </c>
      <c r="D1291" s="69" t="str">
        <f t="shared" si="22"/>
        <v>Ihunga</v>
      </c>
      <c r="F1291" s="69">
        <v>1174</v>
      </c>
    </row>
    <row r="1292" spans="1:6">
      <c r="A1292" s="69" t="s">
        <v>1738</v>
      </c>
      <c r="B1292" s="69" t="s">
        <v>46</v>
      </c>
      <c r="C1292" s="69" t="s">
        <v>1739</v>
      </c>
      <c r="D1292" s="69" t="str">
        <f t="shared" si="22"/>
        <v>Itojo</v>
      </c>
      <c r="F1292" s="69">
        <v>1175</v>
      </c>
    </row>
    <row r="1293" spans="1:6">
      <c r="A1293" s="69" t="s">
        <v>1740</v>
      </c>
      <c r="B1293" s="69" t="s">
        <v>46</v>
      </c>
      <c r="C1293" s="69" t="s">
        <v>1736</v>
      </c>
      <c r="D1293" s="69" t="str">
        <f t="shared" si="22"/>
        <v>Kagarama Town Council</v>
      </c>
      <c r="F1293" s="69">
        <v>1176</v>
      </c>
    </row>
    <row r="1294" spans="1:6">
      <c r="A1294" s="69" t="s">
        <v>1741</v>
      </c>
      <c r="B1294" s="69" t="s">
        <v>46</v>
      </c>
      <c r="C1294" s="69" t="s">
        <v>1742</v>
      </c>
      <c r="D1294" s="69" t="str">
        <f t="shared" si="22"/>
        <v>Kayonza-Ntungamo</v>
      </c>
      <c r="F1294" s="69">
        <v>1177</v>
      </c>
    </row>
    <row r="1295" spans="1:6">
      <c r="A1295" s="69" t="s">
        <v>1743</v>
      </c>
      <c r="B1295" s="69" t="s">
        <v>46</v>
      </c>
      <c r="C1295" s="69" t="s">
        <v>1736</v>
      </c>
      <c r="D1295" s="69" t="str">
        <f t="shared" si="22"/>
        <v>Kibatsi</v>
      </c>
      <c r="F1295" s="69">
        <v>1178</v>
      </c>
    </row>
    <row r="1296" spans="1:6">
      <c r="A1296" s="69" t="s">
        <v>1744</v>
      </c>
      <c r="B1296" s="69" t="s">
        <v>46</v>
      </c>
      <c r="C1296" s="69" t="s">
        <v>1739</v>
      </c>
      <c r="D1296" s="69" t="str">
        <f t="shared" si="22"/>
        <v>Kitwe Town Council</v>
      </c>
      <c r="F1296" s="69">
        <v>1179</v>
      </c>
    </row>
    <row r="1297" spans="1:6">
      <c r="A1297" s="69" t="s">
        <v>1745</v>
      </c>
      <c r="B1297" s="69" t="s">
        <v>46</v>
      </c>
      <c r="C1297" s="69" t="s">
        <v>1742</v>
      </c>
      <c r="D1297" s="69" t="str">
        <f t="shared" si="22"/>
        <v>Ngoma-Ntungamo</v>
      </c>
      <c r="F1297" s="69">
        <v>1180</v>
      </c>
    </row>
    <row r="1298" spans="1:6">
      <c r="A1298" s="69" t="s">
        <v>46</v>
      </c>
      <c r="B1298" s="69" t="s">
        <v>46</v>
      </c>
      <c r="C1298" s="69" t="s">
        <v>1739</v>
      </c>
      <c r="D1298" s="69" t="str">
        <f t="shared" si="22"/>
        <v>Ntungamo</v>
      </c>
      <c r="F1298" s="69">
        <v>1181</v>
      </c>
    </row>
    <row r="1299" spans="1:6">
      <c r="A1299" s="69" t="s">
        <v>1746</v>
      </c>
      <c r="B1299" s="69" t="s">
        <v>46</v>
      </c>
      <c r="C1299" s="69" t="s">
        <v>1746</v>
      </c>
      <c r="D1299" s="69" t="str">
        <f t="shared" si="22"/>
        <v>Ntungamo Municipality</v>
      </c>
      <c r="F1299" s="69">
        <v>1182</v>
      </c>
    </row>
    <row r="1300" spans="1:6">
      <c r="A1300" s="69" t="s">
        <v>1747</v>
      </c>
      <c r="B1300" s="69" t="s">
        <v>46</v>
      </c>
      <c r="C1300" s="69" t="s">
        <v>1736</v>
      </c>
      <c r="D1300" s="69" t="str">
        <f t="shared" si="22"/>
        <v>Nyabihoko</v>
      </c>
      <c r="F1300" s="69">
        <v>1183</v>
      </c>
    </row>
    <row r="1301" spans="1:6">
      <c r="A1301" s="69" t="s">
        <v>1748</v>
      </c>
      <c r="B1301" s="69" t="s">
        <v>46</v>
      </c>
      <c r="C1301" s="69" t="s">
        <v>1739</v>
      </c>
      <c r="D1301" s="69" t="str">
        <f t="shared" si="22"/>
        <v>Nyakyera</v>
      </c>
      <c r="F1301" s="69">
        <v>1184</v>
      </c>
    </row>
    <row r="1302" spans="1:6">
      <c r="A1302" s="69" t="s">
        <v>56</v>
      </c>
      <c r="B1302" s="69" t="s">
        <v>46</v>
      </c>
      <c r="C1302" s="69" t="s">
        <v>1742</v>
      </c>
      <c r="D1302" s="69" t="str">
        <f t="shared" si="22"/>
        <v>Rubaare</v>
      </c>
      <c r="F1302" s="69">
        <v>1185</v>
      </c>
    </row>
    <row r="1303" spans="1:6">
      <c r="A1303" s="69" t="s">
        <v>1749</v>
      </c>
      <c r="B1303" s="69" t="s">
        <v>46</v>
      </c>
      <c r="C1303" s="69" t="s">
        <v>1742</v>
      </c>
      <c r="D1303" s="69" t="str">
        <f t="shared" si="22"/>
        <v>Rubaare Town Council</v>
      </c>
      <c r="F1303" s="69">
        <v>1186</v>
      </c>
    </row>
    <row r="1304" spans="1:6">
      <c r="A1304" s="69" t="s">
        <v>1750</v>
      </c>
      <c r="B1304" s="69" t="s">
        <v>46</v>
      </c>
      <c r="C1304" s="69" t="s">
        <v>1742</v>
      </c>
      <c r="D1304" s="69" t="str">
        <f t="shared" si="22"/>
        <v>Rugarama-Ntungamo</v>
      </c>
      <c r="F1304" s="69">
        <v>1187</v>
      </c>
    </row>
    <row r="1305" spans="1:6">
      <c r="A1305" s="69" t="s">
        <v>1739</v>
      </c>
      <c r="B1305" s="69" t="s">
        <v>46</v>
      </c>
      <c r="C1305" s="69" t="s">
        <v>1739</v>
      </c>
      <c r="D1305" s="69" t="str">
        <f t="shared" si="22"/>
        <v>Ruhaama</v>
      </c>
      <c r="F1305" s="69">
        <v>1188</v>
      </c>
    </row>
    <row r="1306" spans="1:6">
      <c r="A1306" s="69" t="s">
        <v>1751</v>
      </c>
      <c r="B1306" s="69" t="s">
        <v>46</v>
      </c>
      <c r="C1306" s="69" t="s">
        <v>1739</v>
      </c>
      <c r="D1306" s="69" t="str">
        <f t="shared" si="22"/>
        <v>Rukoni East</v>
      </c>
      <c r="F1306" s="69">
        <v>1189</v>
      </c>
    </row>
    <row r="1307" spans="1:6">
      <c r="A1307" s="69" t="s">
        <v>1752</v>
      </c>
      <c r="B1307" s="69" t="s">
        <v>46</v>
      </c>
      <c r="C1307" s="69" t="s">
        <v>1739</v>
      </c>
      <c r="D1307" s="69" t="str">
        <f t="shared" si="22"/>
        <v>Rukoni West</v>
      </c>
      <c r="F1307" s="69">
        <v>1190</v>
      </c>
    </row>
    <row r="1308" spans="1:6">
      <c r="A1308" s="69" t="s">
        <v>1753</v>
      </c>
      <c r="B1308" s="69" t="s">
        <v>46</v>
      </c>
      <c r="C1308" s="69" t="s">
        <v>1736</v>
      </c>
      <c r="D1308" s="69" t="str">
        <f t="shared" si="22"/>
        <v>Rwashamaire Town Council</v>
      </c>
      <c r="F1308" s="69">
        <v>1191</v>
      </c>
    </row>
    <row r="1309" spans="1:6">
      <c r="A1309" s="69" t="s">
        <v>1754</v>
      </c>
      <c r="B1309" s="69" t="s">
        <v>46</v>
      </c>
      <c r="C1309" s="69" t="s">
        <v>1739</v>
      </c>
      <c r="D1309" s="69" t="str">
        <f t="shared" si="22"/>
        <v>Rweikiniro</v>
      </c>
      <c r="F1309" s="69">
        <v>1192</v>
      </c>
    </row>
    <row r="1310" spans="1:6">
      <c r="A1310" s="69" t="s">
        <v>1755</v>
      </c>
      <c r="B1310" s="69" t="s">
        <v>1756</v>
      </c>
      <c r="C1310" s="69" t="s">
        <v>1756</v>
      </c>
      <c r="D1310" s="69" t="str">
        <f t="shared" si="22"/>
        <v>Alero</v>
      </c>
      <c r="F1310" s="69">
        <v>1193</v>
      </c>
    </row>
    <row r="1311" spans="1:6">
      <c r="A1311" s="69" t="s">
        <v>1757</v>
      </c>
      <c r="B1311" s="69" t="s">
        <v>1756</v>
      </c>
      <c r="C1311" s="69" t="s">
        <v>1756</v>
      </c>
      <c r="D1311" s="69" t="str">
        <f t="shared" si="22"/>
        <v>Anaka Payira</v>
      </c>
      <c r="F1311" s="69">
        <v>1194</v>
      </c>
    </row>
    <row r="1312" spans="1:6">
      <c r="A1312" s="69" t="s">
        <v>1758</v>
      </c>
      <c r="B1312" s="69" t="s">
        <v>1756</v>
      </c>
      <c r="C1312" s="69" t="s">
        <v>1756</v>
      </c>
      <c r="D1312" s="69" t="str">
        <f t="shared" si="22"/>
        <v>Anaka Town Council</v>
      </c>
      <c r="F1312" s="69">
        <v>1195</v>
      </c>
    </row>
    <row r="1313" spans="1:6">
      <c r="A1313" s="69" t="s">
        <v>1759</v>
      </c>
      <c r="B1313" s="69" t="s">
        <v>1756</v>
      </c>
      <c r="C1313" s="69" t="s">
        <v>1756</v>
      </c>
      <c r="D1313" s="69" t="str">
        <f t="shared" si="22"/>
        <v>Koch-Goma</v>
      </c>
      <c r="F1313" s="69">
        <v>1196</v>
      </c>
    </row>
    <row r="1314" spans="1:6">
      <c r="A1314" s="69" t="s">
        <v>1760</v>
      </c>
      <c r="B1314" s="69" t="s">
        <v>1756</v>
      </c>
      <c r="C1314" s="69" t="s">
        <v>1756</v>
      </c>
      <c r="D1314" s="69" t="str">
        <f t="shared" si="22"/>
        <v>Purongo</v>
      </c>
      <c r="F1314" s="69">
        <v>1197</v>
      </c>
    </row>
    <row r="1315" spans="1:6">
      <c r="A1315" s="69" t="s">
        <v>1761</v>
      </c>
      <c r="B1315" s="69" t="s">
        <v>399</v>
      </c>
      <c r="C1315" s="69" t="s">
        <v>399</v>
      </c>
      <c r="D1315" s="69" t="str">
        <f t="shared" si="22"/>
        <v>Bobi</v>
      </c>
      <c r="F1315" s="69">
        <v>1198</v>
      </c>
    </row>
    <row r="1316" spans="1:6">
      <c r="A1316" s="69" t="s">
        <v>1762</v>
      </c>
      <c r="B1316" s="69" t="s">
        <v>399</v>
      </c>
      <c r="C1316" s="69" t="s">
        <v>399</v>
      </c>
      <c r="D1316" s="69" t="str">
        <f t="shared" si="22"/>
        <v>Koro</v>
      </c>
      <c r="F1316" s="69">
        <v>1199</v>
      </c>
    </row>
    <row r="1317" spans="1:6">
      <c r="A1317" s="69" t="s">
        <v>1763</v>
      </c>
      <c r="B1317" s="69" t="s">
        <v>399</v>
      </c>
      <c r="C1317" s="69" t="s">
        <v>399</v>
      </c>
      <c r="D1317" s="69" t="str">
        <f t="shared" si="22"/>
        <v>Lakwana</v>
      </c>
      <c r="F1317" s="69">
        <v>1200</v>
      </c>
    </row>
    <row r="1318" spans="1:6">
      <c r="A1318" s="69" t="s">
        <v>1764</v>
      </c>
      <c r="B1318" s="69" t="s">
        <v>399</v>
      </c>
      <c r="C1318" s="69" t="s">
        <v>399</v>
      </c>
      <c r="D1318" s="69" t="str">
        <f t="shared" si="22"/>
        <v>Lalogi</v>
      </c>
      <c r="F1318" s="69">
        <v>1201</v>
      </c>
    </row>
    <row r="1319" spans="1:6">
      <c r="A1319" s="69" t="s">
        <v>1765</v>
      </c>
      <c r="B1319" s="69" t="s">
        <v>399</v>
      </c>
      <c r="C1319" s="69" t="s">
        <v>399</v>
      </c>
      <c r="D1319" s="69" t="str">
        <f t="shared" si="22"/>
        <v>Odek</v>
      </c>
      <c r="F1319" s="69">
        <v>1202</v>
      </c>
    </row>
    <row r="1320" spans="1:6">
      <c r="A1320" s="69" t="s">
        <v>1766</v>
      </c>
      <c r="B1320" s="69" t="s">
        <v>399</v>
      </c>
      <c r="C1320" s="69" t="s">
        <v>399</v>
      </c>
      <c r="D1320" s="69" t="str">
        <f t="shared" si="22"/>
        <v>Omoro Town Council</v>
      </c>
      <c r="F1320" s="69">
        <v>1203</v>
      </c>
    </row>
    <row r="1321" spans="1:6">
      <c r="A1321" s="69" t="s">
        <v>1767</v>
      </c>
      <c r="B1321" s="69" t="s">
        <v>399</v>
      </c>
      <c r="C1321" s="69" t="s">
        <v>399</v>
      </c>
      <c r="D1321" s="69" t="str">
        <f t="shared" si="22"/>
        <v>Ongako</v>
      </c>
      <c r="F1321" s="69">
        <v>1204</v>
      </c>
    </row>
    <row r="1322" spans="1:6">
      <c r="A1322" s="69" t="s">
        <v>1768</v>
      </c>
      <c r="B1322" s="69" t="s">
        <v>1769</v>
      </c>
      <c r="C1322" s="69" t="s">
        <v>1769</v>
      </c>
      <c r="D1322" s="69" t="str">
        <f t="shared" si="22"/>
        <v>Adwari</v>
      </c>
      <c r="F1322" s="69">
        <v>1205</v>
      </c>
    </row>
    <row r="1323" spans="1:6">
      <c r="A1323" s="69" t="s">
        <v>1769</v>
      </c>
      <c r="B1323" s="69" t="s">
        <v>1769</v>
      </c>
      <c r="C1323" s="69" t="s">
        <v>1769</v>
      </c>
      <c r="D1323" s="69" t="str">
        <f t="shared" si="22"/>
        <v>Otuke</v>
      </c>
      <c r="F1323" s="69">
        <v>1205</v>
      </c>
    </row>
    <row r="1324" spans="1:6">
      <c r="A1324" s="69" t="s">
        <v>1770</v>
      </c>
      <c r="B1324" s="69" t="s">
        <v>1769</v>
      </c>
      <c r="C1324" s="69" t="s">
        <v>1769</v>
      </c>
      <c r="D1324" s="69" t="str">
        <f t="shared" si="22"/>
        <v>Alango</v>
      </c>
      <c r="F1324" s="69">
        <v>1206</v>
      </c>
    </row>
    <row r="1325" spans="1:6">
      <c r="A1325" s="69" t="s">
        <v>1771</v>
      </c>
      <c r="B1325" s="69" t="s">
        <v>1769</v>
      </c>
      <c r="C1325" s="69" t="s">
        <v>1769</v>
      </c>
      <c r="D1325" s="69" t="str">
        <f t="shared" si="22"/>
        <v>Ogor</v>
      </c>
      <c r="F1325" s="69">
        <v>1207</v>
      </c>
    </row>
    <row r="1326" spans="1:6">
      <c r="A1326" s="69" t="s">
        <v>1772</v>
      </c>
      <c r="B1326" s="69" t="s">
        <v>1769</v>
      </c>
      <c r="C1326" s="69" t="s">
        <v>1769</v>
      </c>
      <c r="D1326" s="69" t="str">
        <f t="shared" si="22"/>
        <v>Ogwette</v>
      </c>
      <c r="F1326" s="69">
        <v>1208</v>
      </c>
    </row>
    <row r="1327" spans="1:6">
      <c r="A1327" s="69" t="s">
        <v>1773</v>
      </c>
      <c r="B1327" s="69" t="s">
        <v>1769</v>
      </c>
      <c r="C1327" s="69" t="s">
        <v>1769</v>
      </c>
      <c r="D1327" s="69" t="str">
        <f t="shared" si="22"/>
        <v>Okwang</v>
      </c>
      <c r="F1327" s="69">
        <v>1209</v>
      </c>
    </row>
    <row r="1328" spans="1:6">
      <c r="A1328" s="69" t="s">
        <v>1774</v>
      </c>
      <c r="B1328" s="69" t="s">
        <v>1769</v>
      </c>
      <c r="C1328" s="69" t="s">
        <v>1769</v>
      </c>
      <c r="D1328" s="69" t="str">
        <f t="shared" si="22"/>
        <v>Olilim</v>
      </c>
      <c r="F1328" s="69">
        <v>1210</v>
      </c>
    </row>
    <row r="1329" spans="1:6">
      <c r="A1329" s="69" t="s">
        <v>1775</v>
      </c>
      <c r="B1329" s="69" t="s">
        <v>1769</v>
      </c>
      <c r="C1329" s="69" t="s">
        <v>1769</v>
      </c>
      <c r="D1329" s="69" t="str">
        <f t="shared" si="22"/>
        <v>Orum</v>
      </c>
      <c r="F1329" s="69">
        <v>1211</v>
      </c>
    </row>
    <row r="1330" spans="1:6">
      <c r="A1330" s="69" t="s">
        <v>1776</v>
      </c>
      <c r="B1330" s="69" t="s">
        <v>1769</v>
      </c>
      <c r="C1330" s="69" t="s">
        <v>1769</v>
      </c>
      <c r="D1330" s="69" t="str">
        <f t="shared" si="22"/>
        <v>Otuke Town Council</v>
      </c>
      <c r="F1330" s="69">
        <v>1212</v>
      </c>
    </row>
    <row r="1331" spans="1:6">
      <c r="A1331" s="69" t="s">
        <v>1777</v>
      </c>
      <c r="B1331" s="69" t="s">
        <v>1778</v>
      </c>
      <c r="C1331" s="69" t="s">
        <v>1778</v>
      </c>
      <c r="D1331" s="69" t="str">
        <f t="shared" si="22"/>
        <v>Aber</v>
      </c>
      <c r="F1331" s="69">
        <v>1213</v>
      </c>
    </row>
    <row r="1332" spans="1:6">
      <c r="A1332" s="69" t="s">
        <v>1779</v>
      </c>
      <c r="B1332" s="69" t="s">
        <v>1778</v>
      </c>
      <c r="C1332" s="69" t="s">
        <v>1778</v>
      </c>
      <c r="D1332" s="69" t="str">
        <f t="shared" si="22"/>
        <v>Abok</v>
      </c>
      <c r="F1332" s="69">
        <v>1214</v>
      </c>
    </row>
    <row r="1333" spans="1:6">
      <c r="A1333" s="69" t="s">
        <v>1780</v>
      </c>
      <c r="B1333" s="69" t="s">
        <v>1778</v>
      </c>
      <c r="C1333" s="69" t="s">
        <v>1778</v>
      </c>
      <c r="D1333" s="69" t="str">
        <f t="shared" si="22"/>
        <v>Acaba</v>
      </c>
      <c r="F1333" s="69">
        <v>1215</v>
      </c>
    </row>
    <row r="1334" spans="1:6">
      <c r="A1334" s="69" t="s">
        <v>1781</v>
      </c>
      <c r="B1334" s="69" t="s">
        <v>1778</v>
      </c>
      <c r="C1334" s="69" t="s">
        <v>1778</v>
      </c>
      <c r="D1334" s="69" t="str">
        <f t="shared" si="22"/>
        <v>Aleka</v>
      </c>
      <c r="F1334" s="69">
        <v>1216</v>
      </c>
    </row>
    <row r="1335" spans="1:6">
      <c r="A1335" s="69" t="s">
        <v>1782</v>
      </c>
      <c r="B1335" s="69" t="s">
        <v>1778</v>
      </c>
      <c r="C1335" s="69" t="s">
        <v>1778</v>
      </c>
      <c r="D1335" s="69" t="str">
        <f t="shared" si="22"/>
        <v>Iceme</v>
      </c>
      <c r="F1335" s="69">
        <v>1217</v>
      </c>
    </row>
    <row r="1336" spans="1:6">
      <c r="A1336" s="69" t="s">
        <v>1783</v>
      </c>
      <c r="B1336" s="69" t="s">
        <v>1778</v>
      </c>
      <c r="C1336" s="69" t="s">
        <v>1778</v>
      </c>
      <c r="D1336" s="69" t="str">
        <f t="shared" si="22"/>
        <v>Kamdini</v>
      </c>
      <c r="F1336" s="69">
        <v>1218</v>
      </c>
    </row>
    <row r="1337" spans="1:6">
      <c r="A1337" s="69" t="s">
        <v>1784</v>
      </c>
      <c r="B1337" s="69" t="s">
        <v>1778</v>
      </c>
      <c r="C1337" s="69" t="s">
        <v>1778</v>
      </c>
      <c r="D1337" s="69" t="str">
        <f t="shared" si="22"/>
        <v>Loro</v>
      </c>
      <c r="F1337" s="69">
        <v>1219</v>
      </c>
    </row>
    <row r="1338" spans="1:6">
      <c r="A1338" s="69" t="s">
        <v>1785</v>
      </c>
      <c r="B1338" s="69" t="s">
        <v>1778</v>
      </c>
      <c r="C1338" s="69" t="s">
        <v>1778</v>
      </c>
      <c r="D1338" s="69" t="str">
        <f t="shared" si="22"/>
        <v>Minakulu</v>
      </c>
      <c r="F1338" s="69">
        <v>1220</v>
      </c>
    </row>
    <row r="1339" spans="1:6">
      <c r="A1339" s="69" t="s">
        <v>1786</v>
      </c>
      <c r="B1339" s="69" t="s">
        <v>1778</v>
      </c>
      <c r="C1339" s="69" t="s">
        <v>1778</v>
      </c>
      <c r="D1339" s="69" t="str">
        <f t="shared" si="22"/>
        <v>Myene</v>
      </c>
      <c r="F1339" s="69">
        <v>1221</v>
      </c>
    </row>
    <row r="1340" spans="1:6">
      <c r="A1340" s="69" t="s">
        <v>1787</v>
      </c>
      <c r="B1340" s="69" t="s">
        <v>1778</v>
      </c>
      <c r="C1340" s="69" t="s">
        <v>1778</v>
      </c>
      <c r="D1340" s="69" t="str">
        <f t="shared" si="22"/>
        <v>Ngai</v>
      </c>
      <c r="F1340" s="69">
        <v>1222</v>
      </c>
    </row>
    <row r="1341" spans="1:6">
      <c r="A1341" s="69" t="s">
        <v>1788</v>
      </c>
      <c r="B1341" s="69" t="s">
        <v>1778</v>
      </c>
      <c r="C1341" s="69" t="s">
        <v>1778</v>
      </c>
      <c r="D1341" s="69" t="str">
        <f t="shared" si="22"/>
        <v>Otwal</v>
      </c>
      <c r="F1341" s="69">
        <v>1223</v>
      </c>
    </row>
    <row r="1342" spans="1:6">
      <c r="A1342" s="69" t="s">
        <v>1789</v>
      </c>
      <c r="B1342" s="69" t="s">
        <v>1778</v>
      </c>
      <c r="C1342" s="69" t="s">
        <v>1778</v>
      </c>
      <c r="D1342" s="69" t="str">
        <f t="shared" si="22"/>
        <v>Oyam Town Council</v>
      </c>
      <c r="F1342" s="69">
        <v>1224</v>
      </c>
    </row>
    <row r="1343" spans="1:6">
      <c r="A1343" s="69" t="s">
        <v>1790</v>
      </c>
      <c r="B1343" s="69" t="s">
        <v>1791</v>
      </c>
      <c r="C1343" s="69" t="s">
        <v>1792</v>
      </c>
      <c r="D1343" s="69" t="str">
        <f t="shared" si="22"/>
        <v>Acholibur</v>
      </c>
      <c r="F1343" s="69">
        <v>1225</v>
      </c>
    </row>
    <row r="1344" spans="1:6">
      <c r="A1344" s="69" t="s">
        <v>1793</v>
      </c>
      <c r="B1344" s="69" t="s">
        <v>1791</v>
      </c>
      <c r="C1344" s="69" t="s">
        <v>1792</v>
      </c>
      <c r="D1344" s="69" t="str">
        <f t="shared" si="22"/>
        <v>Angagura</v>
      </c>
      <c r="F1344" s="69">
        <v>1226</v>
      </c>
    </row>
    <row r="1345" spans="1:6">
      <c r="A1345" s="69" t="s">
        <v>1794</v>
      </c>
      <c r="B1345" s="69" t="s">
        <v>1791</v>
      </c>
      <c r="C1345" s="69" t="s">
        <v>1792</v>
      </c>
      <c r="D1345" s="69" t="str">
        <f t="shared" si="22"/>
        <v>Atanga</v>
      </c>
      <c r="F1345" s="69">
        <v>1227</v>
      </c>
    </row>
    <row r="1346" spans="1:6">
      <c r="A1346" s="69" t="s">
        <v>1795</v>
      </c>
      <c r="B1346" s="69" t="s">
        <v>1791</v>
      </c>
      <c r="C1346" s="69" t="s">
        <v>1792</v>
      </c>
      <c r="D1346" s="69" t="str">
        <f t="shared" ref="D1346:D1409" si="23">A1346</f>
        <v>Awere</v>
      </c>
      <c r="F1346" s="69">
        <v>1228</v>
      </c>
    </row>
    <row r="1347" spans="1:6">
      <c r="A1347" s="69" t="s">
        <v>1796</v>
      </c>
      <c r="B1347" s="69" t="s">
        <v>1791</v>
      </c>
      <c r="C1347" s="69" t="s">
        <v>1792</v>
      </c>
      <c r="D1347" s="69" t="str">
        <f t="shared" si="23"/>
        <v>Laguti</v>
      </c>
      <c r="F1347" s="69">
        <v>1229</v>
      </c>
    </row>
    <row r="1348" spans="1:6">
      <c r="A1348" s="69" t="s">
        <v>1797</v>
      </c>
      <c r="B1348" s="69" t="s">
        <v>1791</v>
      </c>
      <c r="C1348" s="69" t="s">
        <v>1792</v>
      </c>
      <c r="D1348" s="69" t="str">
        <f t="shared" si="23"/>
        <v>Lapul</v>
      </c>
      <c r="F1348" s="69">
        <v>1230</v>
      </c>
    </row>
    <row r="1349" spans="1:6">
      <c r="A1349" s="69" t="s">
        <v>1798</v>
      </c>
      <c r="B1349" s="69" t="s">
        <v>1791</v>
      </c>
      <c r="C1349" s="69" t="s">
        <v>1792</v>
      </c>
      <c r="D1349" s="69" t="str">
        <f t="shared" si="23"/>
        <v>Latanya</v>
      </c>
      <c r="F1349" s="69">
        <v>1231</v>
      </c>
    </row>
    <row r="1350" spans="1:6">
      <c r="A1350" s="69" t="s">
        <v>1799</v>
      </c>
      <c r="B1350" s="69" t="s">
        <v>1791</v>
      </c>
      <c r="C1350" s="69" t="s">
        <v>1792</v>
      </c>
      <c r="D1350" s="69" t="str">
        <f t="shared" si="23"/>
        <v>Ogom</v>
      </c>
      <c r="F1350" s="69">
        <v>1232</v>
      </c>
    </row>
    <row r="1351" spans="1:6">
      <c r="A1351" s="69" t="s">
        <v>1791</v>
      </c>
      <c r="B1351" s="69" t="s">
        <v>1791</v>
      </c>
      <c r="C1351" s="69" t="s">
        <v>1792</v>
      </c>
      <c r="D1351" s="69" t="str">
        <f t="shared" si="23"/>
        <v>Pader</v>
      </c>
      <c r="F1351" s="69">
        <v>1233</v>
      </c>
    </row>
    <row r="1352" spans="1:6">
      <c r="A1352" s="69" t="s">
        <v>1800</v>
      </c>
      <c r="B1352" s="69" t="s">
        <v>1791</v>
      </c>
      <c r="C1352" s="69" t="s">
        <v>1792</v>
      </c>
      <c r="D1352" s="69" t="str">
        <f t="shared" si="23"/>
        <v>Pader Town Council</v>
      </c>
      <c r="F1352" s="69">
        <v>1234</v>
      </c>
    </row>
    <row r="1353" spans="1:6">
      <c r="A1353" s="69" t="s">
        <v>1801</v>
      </c>
      <c r="B1353" s="69" t="s">
        <v>1791</v>
      </c>
      <c r="C1353" s="69" t="s">
        <v>1792</v>
      </c>
      <c r="D1353" s="69" t="str">
        <f t="shared" si="23"/>
        <v>Pader town</v>
      </c>
      <c r="F1353" s="69">
        <v>1234</v>
      </c>
    </row>
    <row r="1354" spans="1:6">
      <c r="A1354" s="69" t="s">
        <v>1802</v>
      </c>
      <c r="B1354" s="69" t="s">
        <v>1791</v>
      </c>
      <c r="C1354" s="69" t="s">
        <v>1792</v>
      </c>
      <c r="D1354" s="69" t="str">
        <f t="shared" si="23"/>
        <v>Pajule</v>
      </c>
      <c r="F1354" s="69">
        <v>1235</v>
      </c>
    </row>
    <row r="1355" spans="1:6">
      <c r="A1355" s="69" t="s">
        <v>1803</v>
      </c>
      <c r="B1355" s="69" t="s">
        <v>1791</v>
      </c>
      <c r="C1355" s="69" t="s">
        <v>1792</v>
      </c>
      <c r="D1355" s="69" t="str">
        <f t="shared" si="23"/>
        <v>Puranga</v>
      </c>
      <c r="F1355" s="69">
        <v>1236</v>
      </c>
    </row>
    <row r="1356" spans="1:6">
      <c r="A1356" s="69" t="s">
        <v>1804</v>
      </c>
      <c r="B1356" s="69" t="s">
        <v>1805</v>
      </c>
      <c r="C1356" s="69" t="s">
        <v>1806</v>
      </c>
      <c r="D1356" s="69" t="str">
        <f t="shared" si="23"/>
        <v>Alwi</v>
      </c>
      <c r="F1356" s="69">
        <v>1237</v>
      </c>
    </row>
    <row r="1357" spans="1:6">
      <c r="A1357" s="69" t="s">
        <v>1805</v>
      </c>
      <c r="B1357" s="69" t="s">
        <v>1805</v>
      </c>
      <c r="C1357" s="69" t="s">
        <v>1806</v>
      </c>
      <c r="D1357" s="69" t="str">
        <f t="shared" si="23"/>
        <v>Pakwach</v>
      </c>
      <c r="F1357" s="69">
        <v>1238</v>
      </c>
    </row>
    <row r="1358" spans="1:6">
      <c r="A1358" s="69" t="s">
        <v>1807</v>
      </c>
      <c r="B1358" s="69" t="s">
        <v>1805</v>
      </c>
      <c r="C1358" s="69" t="s">
        <v>1806</v>
      </c>
      <c r="D1358" s="69" t="str">
        <f t="shared" si="23"/>
        <v>Pakwach Town Council</v>
      </c>
      <c r="F1358" s="69">
        <v>1239</v>
      </c>
    </row>
    <row r="1359" spans="1:6">
      <c r="A1359" s="69" t="s">
        <v>1808</v>
      </c>
      <c r="B1359" s="69" t="s">
        <v>1805</v>
      </c>
      <c r="C1359" s="69" t="s">
        <v>1806</v>
      </c>
      <c r="D1359" s="69" t="str">
        <f t="shared" si="23"/>
        <v>Panyango</v>
      </c>
      <c r="F1359" s="69">
        <v>1240</v>
      </c>
    </row>
    <row r="1360" spans="1:6">
      <c r="A1360" s="69" t="s">
        <v>1809</v>
      </c>
      <c r="B1360" s="69" t="s">
        <v>1805</v>
      </c>
      <c r="C1360" s="69" t="s">
        <v>1806</v>
      </c>
      <c r="D1360" s="69" t="str">
        <f t="shared" si="23"/>
        <v>Panyimur</v>
      </c>
      <c r="F1360" s="69">
        <v>1241</v>
      </c>
    </row>
    <row r="1361" spans="1:6">
      <c r="A1361" s="69" t="s">
        <v>1810</v>
      </c>
      <c r="B1361" s="69" t="s">
        <v>1805</v>
      </c>
      <c r="C1361" s="69" t="s">
        <v>1806</v>
      </c>
      <c r="D1361" s="69" t="str">
        <f t="shared" si="23"/>
        <v>Wadelai</v>
      </c>
      <c r="F1361" s="69">
        <v>1242</v>
      </c>
    </row>
    <row r="1362" spans="1:6">
      <c r="A1362" s="69" t="s">
        <v>1811</v>
      </c>
      <c r="B1362" s="69" t="s">
        <v>1812</v>
      </c>
      <c r="C1362" s="69" t="s">
        <v>1811</v>
      </c>
      <c r="D1362" s="69" t="str">
        <f t="shared" si="23"/>
        <v>Agule</v>
      </c>
      <c r="F1362" s="69">
        <v>1243</v>
      </c>
    </row>
    <row r="1363" spans="1:6">
      <c r="A1363" s="69" t="s">
        <v>1813</v>
      </c>
      <c r="B1363" s="69" t="s">
        <v>1812</v>
      </c>
      <c r="C1363" s="69" t="s">
        <v>1811</v>
      </c>
      <c r="D1363" s="69" t="str">
        <f t="shared" si="23"/>
        <v>Akisim</v>
      </c>
      <c r="F1363" s="69">
        <v>1244</v>
      </c>
    </row>
    <row r="1364" spans="1:6">
      <c r="A1364" s="69" t="s">
        <v>1814</v>
      </c>
      <c r="B1364" s="69" t="s">
        <v>1812</v>
      </c>
      <c r="C1364" s="69" t="s">
        <v>1811</v>
      </c>
      <c r="D1364" s="69" t="str">
        <f t="shared" si="23"/>
        <v>Apopong</v>
      </c>
      <c r="F1364" s="69">
        <v>1245</v>
      </c>
    </row>
    <row r="1365" spans="1:6">
      <c r="A1365" s="69" t="s">
        <v>1815</v>
      </c>
      <c r="B1365" s="69" t="s">
        <v>1812</v>
      </c>
      <c r="C1365" s="69" t="s">
        <v>1811</v>
      </c>
      <c r="D1365" s="69" t="str">
        <f t="shared" si="23"/>
        <v>Chelekura</v>
      </c>
      <c r="F1365" s="69">
        <v>1246</v>
      </c>
    </row>
    <row r="1366" spans="1:6">
      <c r="A1366" s="69" t="s">
        <v>1816</v>
      </c>
      <c r="B1366" s="69" t="s">
        <v>1812</v>
      </c>
      <c r="C1366" s="69" t="s">
        <v>1811</v>
      </c>
      <c r="D1366" s="69" t="str">
        <f t="shared" si="23"/>
        <v>Gogonyo</v>
      </c>
      <c r="F1366" s="69">
        <v>1247</v>
      </c>
    </row>
    <row r="1367" spans="1:6">
      <c r="A1367" s="69" t="s">
        <v>1817</v>
      </c>
      <c r="B1367" s="69" t="s">
        <v>1812</v>
      </c>
      <c r="C1367" s="69" t="s">
        <v>1811</v>
      </c>
      <c r="D1367" s="69" t="str">
        <f t="shared" si="23"/>
        <v>Kameke</v>
      </c>
      <c r="F1367" s="69">
        <v>1248</v>
      </c>
    </row>
    <row r="1368" spans="1:6">
      <c r="A1368" s="69" t="s">
        <v>1818</v>
      </c>
      <c r="B1368" s="69" t="s">
        <v>1812</v>
      </c>
      <c r="C1368" s="69" t="s">
        <v>1812</v>
      </c>
      <c r="D1368" s="69" t="str">
        <f t="shared" si="23"/>
        <v>Kamuge</v>
      </c>
      <c r="F1368" s="69">
        <v>1249</v>
      </c>
    </row>
    <row r="1369" spans="1:6">
      <c r="A1369" s="69" t="s">
        <v>1819</v>
      </c>
      <c r="B1369" s="69" t="s">
        <v>1812</v>
      </c>
      <c r="C1369" s="69" t="s">
        <v>1812</v>
      </c>
      <c r="D1369" s="69" t="str">
        <f t="shared" si="23"/>
        <v>Kasodo</v>
      </c>
      <c r="F1369" s="69">
        <v>1250</v>
      </c>
    </row>
    <row r="1370" spans="1:6">
      <c r="A1370" s="69" t="s">
        <v>1820</v>
      </c>
      <c r="B1370" s="69" t="s">
        <v>1812</v>
      </c>
      <c r="C1370" s="69" t="s">
        <v>1812</v>
      </c>
      <c r="D1370" s="69" t="str">
        <f t="shared" si="23"/>
        <v>Olok</v>
      </c>
      <c r="F1370" s="69">
        <v>1251</v>
      </c>
    </row>
    <row r="1371" spans="1:6">
      <c r="A1371" s="69" t="s">
        <v>1812</v>
      </c>
      <c r="B1371" s="69" t="s">
        <v>1812</v>
      </c>
      <c r="C1371" s="69" t="s">
        <v>1812</v>
      </c>
      <c r="D1371" s="69" t="str">
        <f t="shared" si="23"/>
        <v>Pallisa</v>
      </c>
      <c r="F1371" s="69">
        <v>1252</v>
      </c>
    </row>
    <row r="1372" spans="1:6">
      <c r="A1372" s="69" t="s">
        <v>1821</v>
      </c>
      <c r="B1372" s="69" t="s">
        <v>1812</v>
      </c>
      <c r="C1372" s="69" t="s">
        <v>1812</v>
      </c>
      <c r="D1372" s="69" t="str">
        <f t="shared" si="23"/>
        <v>Pallisa Town Council</v>
      </c>
      <c r="F1372" s="69">
        <v>1253</v>
      </c>
    </row>
    <row r="1373" spans="1:6">
      <c r="A1373" s="69" t="s">
        <v>1822</v>
      </c>
      <c r="B1373" s="69" t="s">
        <v>1812</v>
      </c>
      <c r="C1373" s="69" t="s">
        <v>1812</v>
      </c>
      <c r="D1373" s="69" t="str">
        <f t="shared" si="23"/>
        <v>Puti-Puti</v>
      </c>
      <c r="F1373" s="69">
        <v>1254</v>
      </c>
    </row>
    <row r="1374" spans="1:6">
      <c r="A1374" s="69" t="s">
        <v>1823</v>
      </c>
      <c r="B1374" s="69" t="s">
        <v>1824</v>
      </c>
      <c r="C1374" s="69" t="s">
        <v>1362</v>
      </c>
      <c r="D1374" s="69" t="str">
        <f t="shared" si="23"/>
        <v>Byakabanda</v>
      </c>
      <c r="F1374" s="69">
        <v>1255</v>
      </c>
    </row>
    <row r="1375" spans="1:6">
      <c r="A1375" s="69" t="s">
        <v>1825</v>
      </c>
      <c r="B1375" s="69" t="s">
        <v>1824</v>
      </c>
      <c r="C1375" s="69" t="s">
        <v>1362</v>
      </c>
      <c r="D1375" s="69" t="str">
        <f t="shared" si="23"/>
        <v>Ddwaniro-Rakai</v>
      </c>
      <c r="F1375" s="69">
        <v>1256</v>
      </c>
    </row>
    <row r="1376" spans="1:6">
      <c r="A1376" s="69" t="s">
        <v>1826</v>
      </c>
      <c r="B1376" s="69" t="s">
        <v>1824</v>
      </c>
      <c r="C1376" s="69" t="s">
        <v>1362</v>
      </c>
      <c r="D1376" s="69" t="str">
        <f t="shared" si="23"/>
        <v>Kacheera</v>
      </c>
      <c r="F1376" s="69">
        <v>1257</v>
      </c>
    </row>
    <row r="1377" spans="1:6">
      <c r="A1377" s="69" t="s">
        <v>1827</v>
      </c>
      <c r="B1377" s="69" t="s">
        <v>1824</v>
      </c>
      <c r="C1377" s="69" t="s">
        <v>1362</v>
      </c>
      <c r="D1377" s="69" t="str">
        <f t="shared" si="23"/>
        <v>Kagamba</v>
      </c>
      <c r="F1377" s="69">
        <v>1258</v>
      </c>
    </row>
    <row r="1378" spans="1:6">
      <c r="A1378" s="69" t="s">
        <v>1828</v>
      </c>
      <c r="B1378" s="69" t="s">
        <v>1824</v>
      </c>
      <c r="C1378" s="69" t="s">
        <v>1828</v>
      </c>
      <c r="D1378" s="69" t="str">
        <f t="shared" si="23"/>
        <v>Kakuuto</v>
      </c>
      <c r="F1378" s="69">
        <v>1259</v>
      </c>
    </row>
    <row r="1379" spans="1:6">
      <c r="A1379" s="69" t="s">
        <v>1829</v>
      </c>
      <c r="B1379" s="69" t="s">
        <v>1824</v>
      </c>
      <c r="C1379" s="69" t="s">
        <v>1828</v>
      </c>
      <c r="D1379" s="69" t="str">
        <f t="shared" si="23"/>
        <v>Kifamba</v>
      </c>
      <c r="F1379" s="69">
        <v>1260</v>
      </c>
    </row>
    <row r="1380" spans="1:6">
      <c r="A1380" s="69" t="s">
        <v>1830</v>
      </c>
      <c r="B1380" s="69" t="s">
        <v>1824</v>
      </c>
      <c r="C1380" s="69" t="s">
        <v>1362</v>
      </c>
      <c r="D1380" s="69" t="str">
        <f t="shared" si="23"/>
        <v>Kiziba</v>
      </c>
      <c r="F1380" s="69">
        <v>1261</v>
      </c>
    </row>
    <row r="1381" spans="1:6">
      <c r="A1381" s="69" t="s">
        <v>1831</v>
      </c>
      <c r="B1381" s="69" t="s">
        <v>1824</v>
      </c>
      <c r="C1381" s="69" t="s">
        <v>1362</v>
      </c>
      <c r="D1381" s="69" t="str">
        <f t="shared" si="23"/>
        <v>Kyalulangira</v>
      </c>
      <c r="F1381" s="69">
        <v>1262</v>
      </c>
    </row>
    <row r="1382" spans="1:6">
      <c r="A1382" s="69" t="s">
        <v>1832</v>
      </c>
      <c r="B1382" s="69" t="s">
        <v>1824</v>
      </c>
      <c r="C1382" s="69" t="s">
        <v>1362</v>
      </c>
      <c r="D1382" s="69" t="str">
        <f t="shared" si="23"/>
        <v>Lwamaggwa</v>
      </c>
      <c r="F1382" s="69">
        <v>1263</v>
      </c>
    </row>
    <row r="1383" spans="1:6">
      <c r="A1383" s="69" t="s">
        <v>1833</v>
      </c>
      <c r="B1383" s="69" t="s">
        <v>1824</v>
      </c>
      <c r="C1383" s="69" t="s">
        <v>1362</v>
      </c>
      <c r="D1383" s="69" t="str">
        <f t="shared" si="23"/>
        <v>Lwanda</v>
      </c>
      <c r="F1383" s="69">
        <v>1264</v>
      </c>
    </row>
    <row r="1384" spans="1:6">
      <c r="A1384" s="69" t="s">
        <v>1834</v>
      </c>
      <c r="B1384" s="69" t="s">
        <v>1824</v>
      </c>
      <c r="C1384" s="69" t="s">
        <v>1362</v>
      </c>
      <c r="D1384" s="69" t="str">
        <f t="shared" si="23"/>
        <v>Rakai Town Council</v>
      </c>
      <c r="F1384" s="69">
        <v>1265</v>
      </c>
    </row>
    <row r="1385" spans="1:6">
      <c r="A1385" s="69" t="s">
        <v>1835</v>
      </c>
      <c r="B1385" s="69" t="s">
        <v>1836</v>
      </c>
      <c r="C1385" s="69" t="s">
        <v>1836</v>
      </c>
      <c r="D1385" s="69" t="str">
        <f t="shared" si="23"/>
        <v>Bubaare-Rubanda</v>
      </c>
      <c r="F1385" s="69">
        <v>1266</v>
      </c>
    </row>
    <row r="1386" spans="1:6">
      <c r="A1386" s="69" t="s">
        <v>1837</v>
      </c>
      <c r="B1386" s="69" t="s">
        <v>1836</v>
      </c>
      <c r="C1386" s="69" t="s">
        <v>1836</v>
      </c>
      <c r="D1386" s="69" t="str">
        <f t="shared" si="23"/>
        <v>Bufundi</v>
      </c>
      <c r="F1386" s="69">
        <v>1267</v>
      </c>
    </row>
    <row r="1387" spans="1:6">
      <c r="A1387" s="69" t="s">
        <v>1838</v>
      </c>
      <c r="B1387" s="69" t="s">
        <v>1836</v>
      </c>
      <c r="C1387" s="69" t="s">
        <v>1836</v>
      </c>
      <c r="D1387" s="69" t="str">
        <f t="shared" si="23"/>
        <v>Hamurwa</v>
      </c>
      <c r="F1387" s="69">
        <v>1268</v>
      </c>
    </row>
    <row r="1388" spans="1:6">
      <c r="A1388" s="69" t="s">
        <v>1839</v>
      </c>
      <c r="B1388" s="69" t="s">
        <v>1836</v>
      </c>
      <c r="C1388" s="69" t="s">
        <v>1836</v>
      </c>
      <c r="D1388" s="69" t="str">
        <f t="shared" si="23"/>
        <v>Hamurwa Town Council</v>
      </c>
      <c r="F1388" s="69">
        <v>1269</v>
      </c>
    </row>
    <row r="1389" spans="1:6">
      <c r="A1389" s="69" t="s">
        <v>1840</v>
      </c>
      <c r="B1389" s="69" t="s">
        <v>1836</v>
      </c>
      <c r="C1389" s="69" t="s">
        <v>1836</v>
      </c>
      <c r="D1389" s="69" t="str">
        <f t="shared" si="23"/>
        <v>Ikumba</v>
      </c>
      <c r="F1389" s="69">
        <v>1270</v>
      </c>
    </row>
    <row r="1390" spans="1:6">
      <c r="A1390" s="69" t="s">
        <v>1841</v>
      </c>
      <c r="B1390" s="69" t="s">
        <v>1836</v>
      </c>
      <c r="C1390" s="69" t="s">
        <v>1836</v>
      </c>
      <c r="D1390" s="69" t="str">
        <f t="shared" si="23"/>
        <v>Muko</v>
      </c>
      <c r="F1390" s="69">
        <v>1271</v>
      </c>
    </row>
    <row r="1391" spans="1:6">
      <c r="A1391" s="69" t="s">
        <v>1842</v>
      </c>
      <c r="B1391" s="69" t="s">
        <v>1836</v>
      </c>
      <c r="C1391" s="69" t="s">
        <v>1836</v>
      </c>
      <c r="D1391" s="69" t="str">
        <f t="shared" si="23"/>
        <v>Nyamweru</v>
      </c>
      <c r="F1391" s="69">
        <v>1272</v>
      </c>
    </row>
    <row r="1392" spans="1:6">
      <c r="A1392" s="69" t="s">
        <v>1843</v>
      </c>
      <c r="B1392" s="69" t="s">
        <v>1836</v>
      </c>
      <c r="C1392" s="69" t="s">
        <v>1836</v>
      </c>
      <c r="D1392" s="69" t="str">
        <f t="shared" si="23"/>
        <v>Rubanda Town Council</v>
      </c>
      <c r="F1392" s="69">
        <v>1273</v>
      </c>
    </row>
    <row r="1393" spans="1:6">
      <c r="A1393" s="69" t="s">
        <v>1844</v>
      </c>
      <c r="B1393" s="69" t="s">
        <v>1836</v>
      </c>
      <c r="C1393" s="69" t="s">
        <v>1836</v>
      </c>
      <c r="D1393" s="69" t="str">
        <f t="shared" si="23"/>
        <v>Ruhija</v>
      </c>
      <c r="F1393" s="69">
        <v>1274</v>
      </c>
    </row>
    <row r="1394" spans="1:6">
      <c r="A1394" s="69" t="s">
        <v>1845</v>
      </c>
      <c r="B1394" s="69" t="s">
        <v>1846</v>
      </c>
      <c r="C1394" s="69" t="s">
        <v>1847</v>
      </c>
      <c r="D1394" s="69" t="str">
        <f t="shared" si="23"/>
        <v>Katanda</v>
      </c>
      <c r="F1394" s="69">
        <v>1275</v>
      </c>
    </row>
    <row r="1395" spans="1:6">
      <c r="A1395" s="69" t="s">
        <v>1847</v>
      </c>
      <c r="B1395" s="69" t="s">
        <v>1846</v>
      </c>
      <c r="C1395" s="69" t="s">
        <v>1847</v>
      </c>
      <c r="D1395" s="69" t="str">
        <f t="shared" si="23"/>
        <v>Katerera</v>
      </c>
      <c r="F1395" s="69">
        <v>1276</v>
      </c>
    </row>
    <row r="1396" spans="1:6">
      <c r="A1396" s="69" t="s">
        <v>1848</v>
      </c>
      <c r="B1396" s="69" t="s">
        <v>1846</v>
      </c>
      <c r="C1396" s="69" t="s">
        <v>1847</v>
      </c>
      <c r="D1396" s="69" t="str">
        <f t="shared" si="23"/>
        <v>Katerera Town Council</v>
      </c>
      <c r="F1396" s="69">
        <v>1277</v>
      </c>
    </row>
    <row r="1397" spans="1:6">
      <c r="A1397" s="69" t="s">
        <v>1849</v>
      </c>
      <c r="B1397" s="69" t="s">
        <v>1846</v>
      </c>
      <c r="C1397" s="69" t="s">
        <v>48</v>
      </c>
      <c r="D1397" s="69" t="str">
        <f t="shared" si="23"/>
        <v>Katunguru</v>
      </c>
      <c r="F1397" s="69">
        <v>1278</v>
      </c>
    </row>
    <row r="1398" spans="1:6">
      <c r="A1398" s="69" t="s">
        <v>51</v>
      </c>
      <c r="B1398" s="69" t="s">
        <v>1846</v>
      </c>
      <c r="C1398" s="69" t="s">
        <v>48</v>
      </c>
      <c r="D1398" s="69" t="str">
        <f t="shared" si="23"/>
        <v>Kichwamba</v>
      </c>
      <c r="F1398" s="69">
        <v>1279</v>
      </c>
    </row>
    <row r="1399" spans="1:6">
      <c r="A1399" s="69" t="s">
        <v>1850</v>
      </c>
      <c r="B1399" s="69" t="s">
        <v>1846</v>
      </c>
      <c r="C1399" s="69" t="s">
        <v>1847</v>
      </c>
      <c r="D1399" s="69" t="str">
        <f t="shared" si="23"/>
        <v>Kirugu</v>
      </c>
      <c r="F1399" s="69">
        <v>1280</v>
      </c>
    </row>
    <row r="1400" spans="1:6">
      <c r="A1400" s="69" t="s">
        <v>1851</v>
      </c>
      <c r="B1400" s="69" t="s">
        <v>1846</v>
      </c>
      <c r="C1400" s="69" t="s">
        <v>1847</v>
      </c>
      <c r="D1400" s="69" t="str">
        <f t="shared" si="23"/>
        <v>Kyabakara</v>
      </c>
      <c r="F1400" s="69">
        <v>1281</v>
      </c>
    </row>
    <row r="1401" spans="1:6">
      <c r="A1401" s="69" t="s">
        <v>1852</v>
      </c>
      <c r="B1401" s="69" t="s">
        <v>1846</v>
      </c>
      <c r="C1401" s="69" t="s">
        <v>48</v>
      </c>
      <c r="D1401" s="69" t="str">
        <f t="shared" si="23"/>
        <v>Magambo</v>
      </c>
      <c r="F1401" s="69">
        <v>1282</v>
      </c>
    </row>
    <row r="1402" spans="1:6">
      <c r="A1402" s="69" t="s">
        <v>1853</v>
      </c>
      <c r="B1402" s="69" t="s">
        <v>1846</v>
      </c>
      <c r="C1402" s="69" t="s">
        <v>48</v>
      </c>
      <c r="D1402" s="69" t="str">
        <f t="shared" si="23"/>
        <v>Rubiriziri Town Council</v>
      </c>
      <c r="F1402" s="69">
        <v>1283</v>
      </c>
    </row>
    <row r="1403" spans="1:6">
      <c r="A1403" s="69" t="s">
        <v>1854</v>
      </c>
      <c r="B1403" s="69" t="s">
        <v>1846</v>
      </c>
      <c r="C1403" s="69" t="s">
        <v>48</v>
      </c>
      <c r="D1403" s="69" t="str">
        <f t="shared" si="23"/>
        <v>Rutoto</v>
      </c>
      <c r="F1403" s="69">
        <v>1284</v>
      </c>
    </row>
    <row r="1404" spans="1:6">
      <c r="A1404" s="69" t="s">
        <v>1855</v>
      </c>
      <c r="B1404" s="69" t="s">
        <v>1846</v>
      </c>
      <c r="C1404" s="69" t="s">
        <v>48</v>
      </c>
      <c r="D1404" s="69" t="str">
        <f t="shared" si="23"/>
        <v>Ryeru</v>
      </c>
      <c r="F1404" s="69">
        <v>1285</v>
      </c>
    </row>
    <row r="1405" spans="1:6">
      <c r="A1405" s="69" t="s">
        <v>1856</v>
      </c>
      <c r="B1405" s="69" t="s">
        <v>1857</v>
      </c>
      <c r="C1405" s="69" t="s">
        <v>1857</v>
      </c>
      <c r="D1405" s="69" t="str">
        <f t="shared" si="23"/>
        <v>Bukinda</v>
      </c>
      <c r="F1405" s="69">
        <v>1286</v>
      </c>
    </row>
    <row r="1406" spans="1:6">
      <c r="A1406" s="69" t="s">
        <v>1858</v>
      </c>
      <c r="B1406" s="69" t="s">
        <v>1857</v>
      </c>
      <c r="C1406" s="69" t="s">
        <v>1857</v>
      </c>
      <c r="D1406" s="69" t="str">
        <f t="shared" si="23"/>
        <v>Kamwezi</v>
      </c>
      <c r="F1406" s="69">
        <v>1287</v>
      </c>
    </row>
    <row r="1407" spans="1:6">
      <c r="A1407" s="69" t="s">
        <v>1859</v>
      </c>
      <c r="B1407" s="69" t="s">
        <v>1857</v>
      </c>
      <c r="C1407" s="69" t="s">
        <v>1857</v>
      </c>
      <c r="D1407" s="69" t="str">
        <f t="shared" si="23"/>
        <v>Kashambya</v>
      </c>
      <c r="F1407" s="69">
        <v>1288</v>
      </c>
    </row>
    <row r="1408" spans="1:6">
      <c r="A1408" s="69" t="s">
        <v>1860</v>
      </c>
      <c r="B1408" s="69" t="s">
        <v>1857</v>
      </c>
      <c r="C1408" s="69" t="s">
        <v>1857</v>
      </c>
      <c r="D1408" s="69" t="str">
        <f t="shared" si="23"/>
        <v>Mparo Town Council</v>
      </c>
      <c r="F1408" s="69">
        <v>1289</v>
      </c>
    </row>
    <row r="1409" spans="1:6">
      <c r="A1409" s="69" t="s">
        <v>1861</v>
      </c>
      <c r="B1409" s="69" t="s">
        <v>1857</v>
      </c>
      <c r="C1409" s="69" t="s">
        <v>1857</v>
      </c>
      <c r="D1409" s="69" t="str">
        <f t="shared" si="23"/>
        <v>Muhanga Town Council</v>
      </c>
      <c r="F1409" s="69">
        <v>1290</v>
      </c>
    </row>
    <row r="1410" spans="1:6">
      <c r="A1410" s="69" t="s">
        <v>1862</v>
      </c>
      <c r="B1410" s="69" t="s">
        <v>1857</v>
      </c>
      <c r="C1410" s="69" t="s">
        <v>1857</v>
      </c>
      <c r="D1410" s="69" t="str">
        <f t="shared" ref="D1410:D1473" si="24">A1410</f>
        <v>Rwamucucu</v>
      </c>
      <c r="F1410" s="69">
        <v>1291</v>
      </c>
    </row>
    <row r="1411" spans="1:6">
      <c r="A1411" s="69" t="s">
        <v>1863</v>
      </c>
      <c r="B1411" s="69" t="s">
        <v>40</v>
      </c>
      <c r="C1411" s="69" t="s">
        <v>1864</v>
      </c>
      <c r="D1411" s="69" t="str">
        <f t="shared" si="24"/>
        <v>Bugangari</v>
      </c>
      <c r="F1411" s="69">
        <v>1292</v>
      </c>
    </row>
    <row r="1412" spans="1:6">
      <c r="A1412" s="69" t="s">
        <v>1865</v>
      </c>
      <c r="B1412" s="69" t="s">
        <v>40</v>
      </c>
      <c r="C1412" s="69" t="s">
        <v>1864</v>
      </c>
      <c r="D1412" s="69" t="str">
        <f t="shared" si="24"/>
        <v>Buhunga</v>
      </c>
      <c r="F1412" s="69">
        <v>1293</v>
      </c>
    </row>
    <row r="1413" spans="1:6">
      <c r="A1413" s="69" t="s">
        <v>1186</v>
      </c>
      <c r="B1413" s="69" t="s">
        <v>40</v>
      </c>
      <c r="C1413" s="69" t="s">
        <v>1866</v>
      </c>
      <c r="D1413" s="69" t="str">
        <f t="shared" si="24"/>
        <v>Buyanja</v>
      </c>
      <c r="F1413" s="69">
        <v>1294</v>
      </c>
    </row>
    <row r="1414" spans="1:6">
      <c r="A1414" s="69" t="s">
        <v>1867</v>
      </c>
      <c r="B1414" s="69" t="s">
        <v>40</v>
      </c>
      <c r="C1414" s="69" t="s">
        <v>1866</v>
      </c>
      <c r="D1414" s="69" t="str">
        <f t="shared" si="24"/>
        <v>Buyanja Town Council</v>
      </c>
      <c r="F1414" s="69">
        <v>1295</v>
      </c>
    </row>
    <row r="1415" spans="1:6">
      <c r="A1415" s="69" t="s">
        <v>1868</v>
      </c>
      <c r="B1415" s="69" t="s">
        <v>40</v>
      </c>
      <c r="C1415" s="69" t="s">
        <v>1864</v>
      </c>
      <c r="D1415" s="69" t="str">
        <f t="shared" si="24"/>
        <v>Bwambara</v>
      </c>
      <c r="F1415" s="69">
        <v>1296</v>
      </c>
    </row>
    <row r="1416" spans="1:6">
      <c r="A1416" s="69" t="s">
        <v>1869</v>
      </c>
      <c r="B1416" s="69" t="s">
        <v>40</v>
      </c>
      <c r="C1416" s="69" t="s">
        <v>1866</v>
      </c>
      <c r="D1416" s="69" t="str">
        <f t="shared" si="24"/>
        <v>Kebisoni</v>
      </c>
      <c r="F1416" s="69">
        <v>1297</v>
      </c>
    </row>
    <row r="1417" spans="1:6">
      <c r="A1417" s="69" t="s">
        <v>1870</v>
      </c>
      <c r="B1417" s="69" t="s">
        <v>40</v>
      </c>
      <c r="C1417" s="69" t="s">
        <v>1866</v>
      </c>
      <c r="D1417" s="69" t="str">
        <f t="shared" si="24"/>
        <v>Kebisoni Town Council</v>
      </c>
      <c r="F1417" s="69">
        <v>1298</v>
      </c>
    </row>
    <row r="1418" spans="1:6">
      <c r="A1418" s="69" t="s">
        <v>1871</v>
      </c>
      <c r="B1418" s="69" t="s">
        <v>40</v>
      </c>
      <c r="C1418" s="69" t="s">
        <v>1864</v>
      </c>
      <c r="D1418" s="69" t="str">
        <f t="shared" si="24"/>
        <v>Nyakagyeme</v>
      </c>
      <c r="F1418" s="69">
        <v>1299</v>
      </c>
    </row>
    <row r="1419" spans="1:6">
      <c r="A1419" s="69" t="s">
        <v>1872</v>
      </c>
      <c r="B1419" s="69" t="s">
        <v>40</v>
      </c>
      <c r="C1419" s="69" t="s">
        <v>1866</v>
      </c>
      <c r="D1419" s="69" t="str">
        <f t="shared" si="24"/>
        <v>Nyakishenyi</v>
      </c>
      <c r="F1419" s="69">
        <v>1300</v>
      </c>
    </row>
    <row r="1420" spans="1:6">
      <c r="A1420" s="69" t="s">
        <v>1873</v>
      </c>
      <c r="B1420" s="69" t="s">
        <v>40</v>
      </c>
      <c r="C1420" s="69" t="s">
        <v>1866</v>
      </c>
      <c r="D1420" s="69" t="str">
        <f t="shared" si="24"/>
        <v>Nyarushanje</v>
      </c>
      <c r="F1420" s="69">
        <v>1301</v>
      </c>
    </row>
    <row r="1421" spans="1:6">
      <c r="A1421" s="69" t="s">
        <v>1530</v>
      </c>
      <c r="B1421" s="69" t="s">
        <v>40</v>
      </c>
      <c r="C1421" s="69" t="s">
        <v>1864</v>
      </c>
      <c r="D1421" s="69" t="str">
        <f t="shared" si="24"/>
        <v>Ruhinda</v>
      </c>
      <c r="F1421" s="69">
        <v>1302</v>
      </c>
    </row>
    <row r="1422" spans="1:6">
      <c r="A1422" s="69" t="s">
        <v>1874</v>
      </c>
      <c r="B1422" s="69" t="s">
        <v>40</v>
      </c>
      <c r="C1422" s="69" t="s">
        <v>1874</v>
      </c>
      <c r="D1422" s="69" t="str">
        <f t="shared" si="24"/>
        <v>Rukungiri Municipality</v>
      </c>
      <c r="F1422" s="69">
        <v>1303</v>
      </c>
    </row>
    <row r="1423" spans="1:6">
      <c r="A1423" s="69" t="s">
        <v>1875</v>
      </c>
      <c r="B1423" s="69" t="s">
        <v>1876</v>
      </c>
      <c r="C1423" s="69" t="s">
        <v>1876</v>
      </c>
      <c r="D1423" s="69" t="str">
        <f t="shared" si="24"/>
        <v>Atiira</v>
      </c>
      <c r="F1423" s="69">
        <v>1304</v>
      </c>
    </row>
    <row r="1424" spans="1:6">
      <c r="A1424" s="69" t="s">
        <v>1877</v>
      </c>
      <c r="B1424" s="69" t="s">
        <v>1876</v>
      </c>
      <c r="C1424" s="69" t="s">
        <v>1878</v>
      </c>
      <c r="D1424" s="69" t="str">
        <f t="shared" si="24"/>
        <v>Bugondo</v>
      </c>
      <c r="F1424" s="69">
        <v>1305</v>
      </c>
    </row>
    <row r="1425" spans="1:6">
      <c r="A1425" s="69" t="s">
        <v>1879</v>
      </c>
      <c r="B1425" s="69" t="s">
        <v>1876</v>
      </c>
      <c r="C1425" s="69" t="s">
        <v>1878</v>
      </c>
      <c r="D1425" s="69" t="str">
        <f t="shared" si="24"/>
        <v>Kadungulu</v>
      </c>
      <c r="F1425" s="69">
        <v>1306</v>
      </c>
    </row>
    <row r="1426" spans="1:6">
      <c r="A1426" s="69" t="s">
        <v>1880</v>
      </c>
      <c r="B1426" s="69" t="s">
        <v>1876</v>
      </c>
      <c r="C1426" s="69" t="s">
        <v>1878</v>
      </c>
      <c r="D1426" s="69" t="str">
        <f t="shared" si="24"/>
        <v>Kasilo Town Council</v>
      </c>
      <c r="F1426" s="69">
        <v>1307</v>
      </c>
    </row>
    <row r="1427" spans="1:6">
      <c r="A1427" s="69" t="s">
        <v>1881</v>
      </c>
      <c r="B1427" s="69" t="s">
        <v>1876</v>
      </c>
      <c r="C1427" s="69" t="s">
        <v>1876</v>
      </c>
      <c r="D1427" s="69" t="str">
        <f t="shared" si="24"/>
        <v>Kateta</v>
      </c>
      <c r="F1427" s="69">
        <v>1308</v>
      </c>
    </row>
    <row r="1428" spans="1:6">
      <c r="A1428" s="69" t="s">
        <v>1882</v>
      </c>
      <c r="B1428" s="69" t="s">
        <v>1876</v>
      </c>
      <c r="C1428" s="69" t="s">
        <v>1876</v>
      </c>
      <c r="D1428" s="69" t="str">
        <f t="shared" si="24"/>
        <v>Kyere</v>
      </c>
      <c r="F1428" s="69">
        <v>1309</v>
      </c>
    </row>
    <row r="1429" spans="1:6">
      <c r="A1429" s="69" t="s">
        <v>1883</v>
      </c>
      <c r="B1429" s="69" t="s">
        <v>1876</v>
      </c>
      <c r="C1429" s="69" t="s">
        <v>1878</v>
      </c>
      <c r="D1429" s="69" t="str">
        <f t="shared" si="24"/>
        <v>Labori</v>
      </c>
      <c r="F1429" s="69">
        <v>1310</v>
      </c>
    </row>
    <row r="1430" spans="1:6">
      <c r="A1430" s="69" t="s">
        <v>1884</v>
      </c>
      <c r="B1430" s="69" t="s">
        <v>1876</v>
      </c>
      <c r="C1430" s="69" t="s">
        <v>1876</v>
      </c>
      <c r="D1430" s="69" t="str">
        <f t="shared" si="24"/>
        <v>Olio</v>
      </c>
      <c r="F1430" s="69">
        <v>1311</v>
      </c>
    </row>
    <row r="1431" spans="1:6">
      <c r="A1431" s="69" t="s">
        <v>1885</v>
      </c>
      <c r="B1431" s="69" t="s">
        <v>1876</v>
      </c>
      <c r="C1431" s="69" t="s">
        <v>1878</v>
      </c>
      <c r="D1431" s="69" t="str">
        <f t="shared" si="24"/>
        <v>Pingire</v>
      </c>
      <c r="F1431" s="69">
        <v>1312</v>
      </c>
    </row>
    <row r="1432" spans="1:6">
      <c r="A1432" s="69" t="s">
        <v>1886</v>
      </c>
      <c r="B1432" s="69" t="s">
        <v>1876</v>
      </c>
      <c r="C1432" s="69" t="s">
        <v>1876</v>
      </c>
      <c r="D1432" s="69" t="str">
        <f t="shared" si="24"/>
        <v>Serere Town Council</v>
      </c>
      <c r="F1432" s="69">
        <v>1313</v>
      </c>
    </row>
    <row r="1433" spans="1:6">
      <c r="A1433" s="69" t="s">
        <v>1887</v>
      </c>
      <c r="B1433" s="69" t="s">
        <v>41</v>
      </c>
      <c r="C1433" s="69" t="s">
        <v>41</v>
      </c>
      <c r="D1433" s="69" t="str">
        <f t="shared" si="24"/>
        <v>Bugongi Town Council</v>
      </c>
      <c r="F1433" s="69">
        <v>1314</v>
      </c>
    </row>
    <row r="1434" spans="1:6">
      <c r="A1434" s="69" t="s">
        <v>1888</v>
      </c>
      <c r="B1434" s="69" t="s">
        <v>41</v>
      </c>
      <c r="C1434" s="69" t="s">
        <v>1889</v>
      </c>
      <c r="D1434" s="69" t="str">
        <f t="shared" si="24"/>
        <v>Kagango Division-Sheema</v>
      </c>
      <c r="F1434" s="69">
        <v>1315</v>
      </c>
    </row>
    <row r="1435" spans="1:6">
      <c r="A1435" s="69" t="s">
        <v>1890</v>
      </c>
      <c r="B1435" s="69" t="s">
        <v>41</v>
      </c>
      <c r="C1435" s="69" t="s">
        <v>41</v>
      </c>
      <c r="D1435" s="69" t="str">
        <f t="shared" si="24"/>
        <v>Kakindo Town Council</v>
      </c>
      <c r="F1435" s="69">
        <v>1316</v>
      </c>
    </row>
    <row r="1436" spans="1:6">
      <c r="A1436" s="69" t="s">
        <v>1891</v>
      </c>
      <c r="B1436" s="69" t="s">
        <v>41</v>
      </c>
      <c r="C1436" s="69" t="s">
        <v>41</v>
      </c>
      <c r="D1436" s="69" t="str">
        <f t="shared" si="24"/>
        <v>Kasaana</v>
      </c>
      <c r="F1436" s="69">
        <v>1317</v>
      </c>
    </row>
    <row r="1437" spans="1:6">
      <c r="A1437" s="69" t="s">
        <v>1892</v>
      </c>
      <c r="B1437" s="69" t="s">
        <v>41</v>
      </c>
      <c r="C1437" s="69" t="s">
        <v>41</v>
      </c>
      <c r="D1437" s="69" t="str">
        <f t="shared" si="24"/>
        <v>Kigarama</v>
      </c>
      <c r="F1437" s="69">
        <v>1318</v>
      </c>
    </row>
    <row r="1438" spans="1:6">
      <c r="A1438" s="69" t="s">
        <v>1893</v>
      </c>
      <c r="B1438" s="69" t="s">
        <v>41</v>
      </c>
      <c r="C1438" s="69" t="s">
        <v>41</v>
      </c>
      <c r="D1438" s="69" t="str">
        <f t="shared" si="24"/>
        <v>Kitagata</v>
      </c>
      <c r="F1438" s="69">
        <v>1319</v>
      </c>
    </row>
    <row r="1439" spans="1:6">
      <c r="A1439" s="69" t="s">
        <v>1894</v>
      </c>
      <c r="B1439" s="69" t="s">
        <v>41</v>
      </c>
      <c r="C1439" s="69" t="s">
        <v>41</v>
      </c>
      <c r="D1439" s="69" t="str">
        <f t="shared" si="24"/>
        <v>Kyangyenyi</v>
      </c>
      <c r="F1439" s="69">
        <v>1320</v>
      </c>
    </row>
    <row r="1440" spans="1:6">
      <c r="A1440" s="69" t="s">
        <v>1895</v>
      </c>
      <c r="B1440" s="69" t="s">
        <v>41</v>
      </c>
      <c r="C1440" s="69" t="s">
        <v>41</v>
      </c>
      <c r="D1440" s="69" t="str">
        <f t="shared" si="24"/>
        <v>Masheruka</v>
      </c>
      <c r="F1440" s="69">
        <v>1321</v>
      </c>
    </row>
    <row r="1441" spans="1:6">
      <c r="A1441" s="69" t="s">
        <v>1896</v>
      </c>
      <c r="B1441" s="69" t="s">
        <v>41</v>
      </c>
      <c r="C1441" s="69" t="s">
        <v>41</v>
      </c>
      <c r="D1441" s="69" t="str">
        <f t="shared" si="24"/>
        <v>Rugarama-Sheema</v>
      </c>
      <c r="F1441" s="69">
        <v>1322</v>
      </c>
    </row>
    <row r="1442" spans="1:6">
      <c r="A1442" s="69" t="s">
        <v>1889</v>
      </c>
      <c r="B1442" s="69" t="s">
        <v>41</v>
      </c>
      <c r="C1442" s="69" t="s">
        <v>1889</v>
      </c>
      <c r="D1442" s="69" t="str">
        <f t="shared" si="24"/>
        <v>Sheema Municipality</v>
      </c>
      <c r="F1442" s="69">
        <v>1323</v>
      </c>
    </row>
    <row r="1443" spans="1:6">
      <c r="A1443" s="69" t="s">
        <v>1897</v>
      </c>
      <c r="B1443" s="69" t="s">
        <v>41</v>
      </c>
      <c r="C1443" s="69" t="s">
        <v>41</v>
      </c>
      <c r="D1443" s="69" t="str">
        <f t="shared" si="24"/>
        <v>Shuuku</v>
      </c>
      <c r="F1443" s="69">
        <v>1324</v>
      </c>
    </row>
    <row r="1444" spans="1:6">
      <c r="A1444" s="69" t="s">
        <v>1898</v>
      </c>
      <c r="B1444" s="69" t="s">
        <v>41</v>
      </c>
      <c r="C1444" s="69" t="s">
        <v>41</v>
      </c>
      <c r="D1444" s="69" t="str">
        <f t="shared" si="24"/>
        <v>Shuuku Town Council</v>
      </c>
      <c r="F1444" s="69">
        <v>1325</v>
      </c>
    </row>
    <row r="1445" spans="1:6">
      <c r="A1445" s="69" t="s">
        <v>1899</v>
      </c>
      <c r="B1445" s="69" t="s">
        <v>1900</v>
      </c>
      <c r="C1445" s="69" t="s">
        <v>1901</v>
      </c>
      <c r="D1445" s="69" t="str">
        <f t="shared" si="24"/>
        <v>Budadiri Town Council</v>
      </c>
      <c r="F1445" s="69">
        <v>1326</v>
      </c>
    </row>
    <row r="1446" spans="1:6">
      <c r="A1446" s="69" t="s">
        <v>1902</v>
      </c>
      <c r="B1446" s="69" t="s">
        <v>1900</v>
      </c>
      <c r="C1446" s="69" t="s">
        <v>1901</v>
      </c>
      <c r="D1446" s="69" t="str">
        <f t="shared" si="24"/>
        <v>Bugitimwa</v>
      </c>
      <c r="F1446" s="69">
        <v>1327</v>
      </c>
    </row>
    <row r="1447" spans="1:6">
      <c r="A1447" s="69" t="s">
        <v>1903</v>
      </c>
      <c r="B1447" s="69" t="s">
        <v>1900</v>
      </c>
      <c r="C1447" s="69" t="s">
        <v>1901</v>
      </c>
      <c r="D1447" s="69" t="str">
        <f t="shared" si="24"/>
        <v>Buhugu</v>
      </c>
      <c r="F1447" s="69">
        <v>1328</v>
      </c>
    </row>
    <row r="1448" spans="1:6">
      <c r="A1448" s="69" t="s">
        <v>1904</v>
      </c>
      <c r="B1448" s="69" t="s">
        <v>1900</v>
      </c>
      <c r="C1448" s="69" t="s">
        <v>1901</v>
      </c>
      <c r="D1448" s="69" t="str">
        <f t="shared" si="24"/>
        <v>Bukhulo</v>
      </c>
      <c r="F1448" s="69">
        <v>1329</v>
      </c>
    </row>
    <row r="1449" spans="1:6">
      <c r="A1449" s="69" t="s">
        <v>1905</v>
      </c>
      <c r="B1449" s="69" t="s">
        <v>1900</v>
      </c>
      <c r="C1449" s="69" t="s">
        <v>1901</v>
      </c>
      <c r="D1449" s="69" t="str">
        <f t="shared" si="24"/>
        <v>Bukiise</v>
      </c>
      <c r="F1449" s="69">
        <v>1330</v>
      </c>
    </row>
    <row r="1450" spans="1:6">
      <c r="A1450" s="69" t="s">
        <v>1906</v>
      </c>
      <c r="B1450" s="69" t="s">
        <v>1900</v>
      </c>
      <c r="C1450" s="69" t="s">
        <v>1901</v>
      </c>
      <c r="D1450" s="69" t="str">
        <f t="shared" si="24"/>
        <v>Bukiyi</v>
      </c>
      <c r="F1450" s="69">
        <v>1331</v>
      </c>
    </row>
    <row r="1451" spans="1:6">
      <c r="A1451" s="69" t="s">
        <v>1907</v>
      </c>
      <c r="B1451" s="69" t="s">
        <v>1900</v>
      </c>
      <c r="C1451" s="69" t="s">
        <v>1901</v>
      </c>
      <c r="D1451" s="69" t="str">
        <f t="shared" si="24"/>
        <v>Bukyabo</v>
      </c>
      <c r="F1451" s="69">
        <v>1332</v>
      </c>
    </row>
    <row r="1452" spans="1:6">
      <c r="A1452" s="69" t="s">
        <v>1908</v>
      </c>
      <c r="B1452" s="69" t="s">
        <v>1900</v>
      </c>
      <c r="C1452" s="69" t="s">
        <v>1901</v>
      </c>
      <c r="D1452" s="69" t="str">
        <f t="shared" si="24"/>
        <v>Bukyambi</v>
      </c>
      <c r="F1452" s="69">
        <v>1333</v>
      </c>
    </row>
    <row r="1453" spans="1:6">
      <c r="A1453" s="69" t="s">
        <v>1909</v>
      </c>
      <c r="B1453" s="69" t="s">
        <v>1900</v>
      </c>
      <c r="C1453" s="69" t="s">
        <v>1901</v>
      </c>
      <c r="D1453" s="69" t="str">
        <f t="shared" si="24"/>
        <v>Bumalimba</v>
      </c>
      <c r="F1453" s="69">
        <v>1334</v>
      </c>
    </row>
    <row r="1454" spans="1:6">
      <c r="A1454" s="69" t="s">
        <v>1910</v>
      </c>
      <c r="B1454" s="69" t="s">
        <v>1900</v>
      </c>
      <c r="C1454" s="69" t="s">
        <v>1901</v>
      </c>
      <c r="D1454" s="69" t="str">
        <f t="shared" si="24"/>
        <v>Bumasifwa</v>
      </c>
      <c r="F1454" s="69">
        <v>1335</v>
      </c>
    </row>
    <row r="1455" spans="1:6">
      <c r="A1455" s="69" t="s">
        <v>1911</v>
      </c>
      <c r="B1455" s="69" t="s">
        <v>1900</v>
      </c>
      <c r="C1455" s="69" t="s">
        <v>1901</v>
      </c>
      <c r="D1455" s="69" t="str">
        <f t="shared" si="24"/>
        <v>Bunyafa</v>
      </c>
      <c r="F1455" s="69">
        <v>1336</v>
      </c>
    </row>
    <row r="1456" spans="1:6">
      <c r="A1456" s="69" t="s">
        <v>1912</v>
      </c>
      <c r="B1456" s="69" t="s">
        <v>1900</v>
      </c>
      <c r="C1456" s="69" t="s">
        <v>1901</v>
      </c>
      <c r="D1456" s="69" t="str">
        <f t="shared" si="24"/>
        <v>Busulani</v>
      </c>
      <c r="F1456" s="69">
        <v>1337</v>
      </c>
    </row>
    <row r="1457" spans="1:6">
      <c r="A1457" s="69" t="s">
        <v>1913</v>
      </c>
      <c r="B1457" s="69" t="s">
        <v>1900</v>
      </c>
      <c r="C1457" s="69" t="s">
        <v>1901</v>
      </c>
      <c r="D1457" s="69" t="str">
        <f t="shared" si="24"/>
        <v>Butandiga</v>
      </c>
      <c r="F1457" s="69">
        <v>1338</v>
      </c>
    </row>
    <row r="1458" spans="1:6">
      <c r="A1458" s="69" t="s">
        <v>1914</v>
      </c>
      <c r="B1458" s="69" t="s">
        <v>1900</v>
      </c>
      <c r="C1458" s="69" t="s">
        <v>1901</v>
      </c>
      <c r="D1458" s="69" t="str">
        <f t="shared" si="24"/>
        <v>Buteza</v>
      </c>
      <c r="F1458" s="69">
        <v>1339</v>
      </c>
    </row>
    <row r="1459" spans="1:6">
      <c r="A1459" s="69" t="s">
        <v>1915</v>
      </c>
      <c r="B1459" s="69" t="s">
        <v>1900</v>
      </c>
      <c r="C1459" s="69" t="s">
        <v>1901</v>
      </c>
      <c r="D1459" s="69" t="str">
        <f t="shared" si="24"/>
        <v>Buwalasi</v>
      </c>
      <c r="F1459" s="69">
        <v>1340</v>
      </c>
    </row>
    <row r="1460" spans="1:6">
      <c r="A1460" s="69" t="s">
        <v>1916</v>
      </c>
      <c r="B1460" s="69" t="s">
        <v>1900</v>
      </c>
      <c r="C1460" s="69" t="s">
        <v>1901</v>
      </c>
      <c r="D1460" s="69" t="str">
        <f t="shared" si="24"/>
        <v>Buwasa</v>
      </c>
      <c r="F1460" s="69">
        <v>1341</v>
      </c>
    </row>
    <row r="1461" spans="1:6">
      <c r="A1461" s="69" t="s">
        <v>1917</v>
      </c>
      <c r="B1461" s="69" t="s">
        <v>1900</v>
      </c>
      <c r="C1461" s="69" t="s">
        <v>1901</v>
      </c>
      <c r="D1461" s="69" t="str">
        <f t="shared" si="24"/>
        <v>Buyobo</v>
      </c>
      <c r="F1461" s="69">
        <v>1342</v>
      </c>
    </row>
    <row r="1462" spans="1:6">
      <c r="A1462" s="69" t="s">
        <v>1918</v>
      </c>
      <c r="B1462" s="69" t="s">
        <v>1900</v>
      </c>
      <c r="C1462" s="69" t="s">
        <v>1901</v>
      </c>
      <c r="D1462" s="69" t="str">
        <f t="shared" si="24"/>
        <v>Masaba-Sironko</v>
      </c>
      <c r="F1462" s="69">
        <v>1343</v>
      </c>
    </row>
    <row r="1463" spans="1:6">
      <c r="A1463" s="69" t="s">
        <v>1919</v>
      </c>
      <c r="B1463" s="69" t="s">
        <v>1900</v>
      </c>
      <c r="C1463" s="69" t="s">
        <v>1901</v>
      </c>
      <c r="D1463" s="69" t="str">
        <f t="shared" si="24"/>
        <v>Nalusala</v>
      </c>
      <c r="F1463" s="69">
        <v>1344</v>
      </c>
    </row>
    <row r="1464" spans="1:6">
      <c r="A1464" s="69" t="s">
        <v>1920</v>
      </c>
      <c r="B1464" s="69" t="s">
        <v>1900</v>
      </c>
      <c r="C1464" s="69" t="s">
        <v>1901</v>
      </c>
      <c r="D1464" s="69" t="str">
        <f t="shared" si="24"/>
        <v>Sironko Town Council</v>
      </c>
      <c r="F1464" s="69">
        <v>1345</v>
      </c>
    </row>
    <row r="1465" spans="1:6">
      <c r="A1465" s="69" t="s">
        <v>1921</v>
      </c>
      <c r="B1465" s="69" t="s">
        <v>1900</v>
      </c>
      <c r="C1465" s="69" t="s">
        <v>1901</v>
      </c>
      <c r="D1465" s="69" t="str">
        <f t="shared" si="24"/>
        <v>Zesui</v>
      </c>
      <c r="F1465" s="69">
        <v>1346</v>
      </c>
    </row>
    <row r="1466" spans="1:6">
      <c r="A1466" s="69" t="s">
        <v>1922</v>
      </c>
      <c r="B1466" s="69" t="s">
        <v>151</v>
      </c>
      <c r="C1466" s="69" t="s">
        <v>151</v>
      </c>
      <c r="D1466" s="69" t="str">
        <f t="shared" si="24"/>
        <v>Arapai</v>
      </c>
      <c r="F1466" s="69">
        <v>1347</v>
      </c>
    </row>
    <row r="1467" spans="1:6">
      <c r="A1467" s="69" t="s">
        <v>1923</v>
      </c>
      <c r="B1467" s="69" t="s">
        <v>151</v>
      </c>
      <c r="C1467" s="69" t="s">
        <v>151</v>
      </c>
      <c r="D1467" s="69" t="str">
        <f t="shared" si="24"/>
        <v>Asuret</v>
      </c>
      <c r="F1467" s="69">
        <v>1348</v>
      </c>
    </row>
    <row r="1468" spans="1:6">
      <c r="A1468" s="69" t="s">
        <v>1924</v>
      </c>
      <c r="B1468" s="69" t="s">
        <v>151</v>
      </c>
      <c r="C1468" s="69" t="s">
        <v>151</v>
      </c>
      <c r="D1468" s="69" t="str">
        <f t="shared" si="24"/>
        <v>Gweri</v>
      </c>
      <c r="F1468" s="69">
        <v>1349</v>
      </c>
    </row>
    <row r="1469" spans="1:6">
      <c r="A1469" s="69" t="s">
        <v>1925</v>
      </c>
      <c r="B1469" s="69" t="s">
        <v>151</v>
      </c>
      <c r="C1469" s="69" t="s">
        <v>151</v>
      </c>
      <c r="D1469" s="69" t="str">
        <f t="shared" si="24"/>
        <v>Kamuda</v>
      </c>
      <c r="F1469" s="69">
        <v>1350</v>
      </c>
    </row>
    <row r="1470" spans="1:6">
      <c r="A1470" s="69" t="s">
        <v>1926</v>
      </c>
      <c r="B1470" s="69" t="s">
        <v>151</v>
      </c>
      <c r="C1470" s="69" t="s">
        <v>151</v>
      </c>
      <c r="D1470" s="69" t="str">
        <f t="shared" si="24"/>
        <v>Katine</v>
      </c>
      <c r="F1470" s="69">
        <v>1351</v>
      </c>
    </row>
    <row r="1471" spans="1:6">
      <c r="A1471" s="69" t="s">
        <v>210</v>
      </c>
      <c r="B1471" s="69" t="s">
        <v>151</v>
      </c>
      <c r="C1471" s="69" t="s">
        <v>151</v>
      </c>
      <c r="D1471" s="69" t="str">
        <f t="shared" si="24"/>
        <v>MATENG</v>
      </c>
      <c r="F1471" s="69">
        <v>1352</v>
      </c>
    </row>
    <row r="1472" spans="1:6">
      <c r="A1472" s="69" t="s">
        <v>151</v>
      </c>
      <c r="B1472" s="69" t="s">
        <v>151</v>
      </c>
      <c r="C1472" s="69" t="s">
        <v>151</v>
      </c>
      <c r="D1472" s="69" t="str">
        <f t="shared" si="24"/>
        <v>Soroti</v>
      </c>
      <c r="F1472" s="69">
        <v>1352</v>
      </c>
    </row>
    <row r="1473" spans="1:6">
      <c r="A1473" s="69" t="s">
        <v>1927</v>
      </c>
      <c r="B1473" s="69" t="s">
        <v>151</v>
      </c>
      <c r="C1473" s="69" t="s">
        <v>1927</v>
      </c>
      <c r="D1473" s="69" t="str">
        <f t="shared" si="24"/>
        <v>Soroti Municipality</v>
      </c>
      <c r="F1473" s="69">
        <v>1353</v>
      </c>
    </row>
    <row r="1474" spans="1:6">
      <c r="A1474" s="69" t="s">
        <v>1928</v>
      </c>
      <c r="B1474" s="69" t="s">
        <v>151</v>
      </c>
      <c r="C1474" s="69" t="s">
        <v>1927</v>
      </c>
      <c r="D1474" s="69" t="str">
        <f t="shared" ref="D1474:D1537" si="25">A1474</f>
        <v>Obanga</v>
      </c>
      <c r="F1474" s="69">
        <v>1353</v>
      </c>
    </row>
    <row r="1475" spans="1:6">
      <c r="A1475" s="69" t="s">
        <v>1929</v>
      </c>
      <c r="B1475" s="69" t="s">
        <v>151</v>
      </c>
      <c r="C1475" s="69" t="s">
        <v>1927</v>
      </c>
      <c r="D1475" s="69" t="str">
        <f t="shared" si="25"/>
        <v>Soroti town</v>
      </c>
      <c r="F1475" s="69">
        <v>1353</v>
      </c>
    </row>
    <row r="1476" spans="1:6">
      <c r="A1476" s="69" t="s">
        <v>1930</v>
      </c>
      <c r="B1476" s="69" t="s">
        <v>151</v>
      </c>
      <c r="C1476" s="69" t="s">
        <v>151</v>
      </c>
      <c r="D1476" s="69" t="str">
        <f t="shared" si="25"/>
        <v>Tubur</v>
      </c>
      <c r="F1476" s="69">
        <v>1354</v>
      </c>
    </row>
    <row r="1477" spans="1:6">
      <c r="A1477" s="69" t="s">
        <v>1931</v>
      </c>
      <c r="B1477" s="69" t="s">
        <v>1932</v>
      </c>
      <c r="C1477" s="69" t="s">
        <v>1933</v>
      </c>
      <c r="D1477" s="69" t="str">
        <f t="shared" si="25"/>
        <v>Lugusulu</v>
      </c>
      <c r="F1477" s="69">
        <v>1355</v>
      </c>
    </row>
    <row r="1478" spans="1:6">
      <c r="A1478" s="69" t="s">
        <v>1934</v>
      </c>
      <c r="B1478" s="69" t="s">
        <v>1932</v>
      </c>
      <c r="C1478" s="69" t="s">
        <v>1933</v>
      </c>
      <c r="D1478" s="69" t="str">
        <f t="shared" si="25"/>
        <v>Lwebitakuli</v>
      </c>
      <c r="F1478" s="69">
        <v>1356</v>
      </c>
    </row>
    <row r="1479" spans="1:6">
      <c r="A1479" s="69" t="s">
        <v>1935</v>
      </c>
      <c r="B1479" s="69" t="s">
        <v>1932</v>
      </c>
      <c r="C1479" s="69" t="s">
        <v>1935</v>
      </c>
      <c r="D1479" s="69" t="str">
        <f t="shared" si="25"/>
        <v>Lwemiyaga</v>
      </c>
      <c r="F1479" s="69">
        <v>1357</v>
      </c>
    </row>
    <row r="1480" spans="1:6">
      <c r="A1480" s="69" t="s">
        <v>1936</v>
      </c>
      <c r="B1480" s="69" t="s">
        <v>1932</v>
      </c>
      <c r="C1480" s="69" t="s">
        <v>1933</v>
      </c>
      <c r="D1480" s="69" t="str">
        <f t="shared" si="25"/>
        <v>Mateete</v>
      </c>
      <c r="F1480" s="69">
        <v>1358</v>
      </c>
    </row>
    <row r="1481" spans="1:6">
      <c r="A1481" s="69" t="s">
        <v>1937</v>
      </c>
      <c r="B1481" s="69" t="s">
        <v>1932</v>
      </c>
      <c r="C1481" s="69" t="s">
        <v>1933</v>
      </c>
      <c r="D1481" s="69" t="str">
        <f t="shared" si="25"/>
        <v>Mateete Town Council</v>
      </c>
      <c r="F1481" s="69">
        <v>1359</v>
      </c>
    </row>
    <row r="1482" spans="1:6">
      <c r="A1482" s="69" t="s">
        <v>1938</v>
      </c>
      <c r="B1482" s="69" t="s">
        <v>1932</v>
      </c>
      <c r="C1482" s="69" t="s">
        <v>1933</v>
      </c>
      <c r="D1482" s="69" t="str">
        <f t="shared" si="25"/>
        <v>Mijwala</v>
      </c>
      <c r="F1482" s="69">
        <v>1360</v>
      </c>
    </row>
    <row r="1483" spans="1:6">
      <c r="A1483" s="69" t="s">
        <v>1939</v>
      </c>
      <c r="B1483" s="69" t="s">
        <v>1932</v>
      </c>
      <c r="C1483" s="69" t="s">
        <v>1935</v>
      </c>
      <c r="D1483" s="69" t="str">
        <f t="shared" si="25"/>
        <v>Ntuusi</v>
      </c>
      <c r="F1483" s="69">
        <v>1361</v>
      </c>
    </row>
    <row r="1484" spans="1:6">
      <c r="A1484" s="69" t="s">
        <v>1940</v>
      </c>
      <c r="B1484" s="69" t="s">
        <v>1932</v>
      </c>
      <c r="C1484" s="69" t="s">
        <v>1933</v>
      </c>
      <c r="D1484" s="69" t="str">
        <f t="shared" si="25"/>
        <v>Sembabule Town Council</v>
      </c>
      <c r="F1484" s="69">
        <v>1362</v>
      </c>
    </row>
    <row r="1485" spans="1:6">
      <c r="A1485" s="69" t="s">
        <v>1941</v>
      </c>
      <c r="B1485" s="69" t="s">
        <v>1942</v>
      </c>
      <c r="C1485" s="69" t="s">
        <v>1943</v>
      </c>
      <c r="D1485" s="69" t="str">
        <f t="shared" si="25"/>
        <v>Iyolwa</v>
      </c>
      <c r="F1485" s="69">
        <v>1363</v>
      </c>
    </row>
    <row r="1486" spans="1:6">
      <c r="A1486" s="69" t="s">
        <v>1944</v>
      </c>
      <c r="B1486" s="69" t="s">
        <v>1942</v>
      </c>
      <c r="C1486" s="69" t="s">
        <v>1943</v>
      </c>
      <c r="D1486" s="69" t="str">
        <f t="shared" si="25"/>
        <v>Kirewa</v>
      </c>
      <c r="F1486" s="69">
        <v>1364</v>
      </c>
    </row>
    <row r="1487" spans="1:6">
      <c r="A1487" s="69" t="s">
        <v>1945</v>
      </c>
      <c r="B1487" s="69" t="s">
        <v>1942</v>
      </c>
      <c r="C1487" s="69" t="s">
        <v>1943</v>
      </c>
      <c r="D1487" s="69" t="str">
        <f t="shared" si="25"/>
        <v>Kisoko</v>
      </c>
      <c r="F1487" s="69">
        <v>1365</v>
      </c>
    </row>
    <row r="1488" spans="1:6">
      <c r="A1488" s="69" t="s">
        <v>1946</v>
      </c>
      <c r="B1488" s="69" t="s">
        <v>1942</v>
      </c>
      <c r="C1488" s="69" t="s">
        <v>1942</v>
      </c>
      <c r="D1488" s="69" t="str">
        <f t="shared" si="25"/>
        <v>Kwapa</v>
      </c>
      <c r="F1488" s="69">
        <v>1366</v>
      </c>
    </row>
    <row r="1489" spans="1:6">
      <c r="A1489" s="69" t="s">
        <v>1947</v>
      </c>
      <c r="B1489" s="69" t="s">
        <v>1942</v>
      </c>
      <c r="C1489" s="69" t="s">
        <v>1943</v>
      </c>
      <c r="D1489" s="69" t="str">
        <f t="shared" si="25"/>
        <v>Magola</v>
      </c>
      <c r="F1489" s="69">
        <v>1367</v>
      </c>
    </row>
    <row r="1490" spans="1:6">
      <c r="A1490" s="69" t="s">
        <v>1948</v>
      </c>
      <c r="B1490" s="69" t="s">
        <v>1942</v>
      </c>
      <c r="C1490" s="69" t="s">
        <v>1942</v>
      </c>
      <c r="D1490" s="69" t="str">
        <f t="shared" si="25"/>
        <v>Malaba Town Council</v>
      </c>
      <c r="F1490" s="69">
        <v>1368</v>
      </c>
    </row>
    <row r="1491" spans="1:6">
      <c r="A1491" s="69" t="s">
        <v>1949</v>
      </c>
      <c r="D1491" s="69" t="str">
        <f t="shared" si="25"/>
        <v>Lubowa</v>
      </c>
      <c r="F1491" s="69">
        <v>1368</v>
      </c>
    </row>
    <row r="1492" spans="1:6">
      <c r="A1492" s="69" t="s">
        <v>1950</v>
      </c>
      <c r="D1492" s="69" t="str">
        <f t="shared" si="25"/>
        <v>Bunamwaya</v>
      </c>
      <c r="F1492" s="69">
        <v>1368</v>
      </c>
    </row>
    <row r="1493" spans="1:6">
      <c r="A1493" s="69" t="s">
        <v>1951</v>
      </c>
      <c r="B1493" s="69" t="s">
        <v>1942</v>
      </c>
      <c r="C1493" s="69" t="s">
        <v>1942</v>
      </c>
      <c r="D1493" s="69" t="str">
        <f t="shared" si="25"/>
        <v>Mella</v>
      </c>
      <c r="F1493" s="69">
        <v>1369</v>
      </c>
    </row>
    <row r="1494" spans="1:6">
      <c r="A1494" s="69" t="s">
        <v>1952</v>
      </c>
      <c r="B1494" s="69" t="s">
        <v>1942</v>
      </c>
      <c r="C1494" s="69" t="s">
        <v>1942</v>
      </c>
      <c r="D1494" s="69" t="str">
        <f t="shared" si="25"/>
        <v>Merikit</v>
      </c>
      <c r="F1494" s="69">
        <v>1370</v>
      </c>
    </row>
    <row r="1495" spans="1:6">
      <c r="A1495" s="69" t="s">
        <v>1953</v>
      </c>
      <c r="B1495" s="69" t="s">
        <v>1942</v>
      </c>
      <c r="C1495" s="69" t="s">
        <v>1942</v>
      </c>
      <c r="D1495" s="69" t="str">
        <f t="shared" si="25"/>
        <v>Molo</v>
      </c>
      <c r="F1495" s="69">
        <v>1371</v>
      </c>
    </row>
    <row r="1496" spans="1:6">
      <c r="A1496" s="69" t="s">
        <v>1954</v>
      </c>
      <c r="B1496" s="69" t="s">
        <v>1942</v>
      </c>
      <c r="C1496" s="69" t="s">
        <v>1942</v>
      </c>
      <c r="D1496" s="69" t="str">
        <f t="shared" si="25"/>
        <v>Mukuju</v>
      </c>
      <c r="F1496" s="69">
        <v>1372</v>
      </c>
    </row>
    <row r="1497" spans="1:6">
      <c r="A1497" s="69" t="s">
        <v>1955</v>
      </c>
      <c r="B1497" s="69" t="s">
        <v>1942</v>
      </c>
      <c r="C1497" s="69" t="s">
        <v>1943</v>
      </c>
      <c r="D1497" s="69" t="str">
        <f t="shared" si="25"/>
        <v>Mulanda</v>
      </c>
      <c r="F1497" s="69">
        <v>1373</v>
      </c>
    </row>
    <row r="1498" spans="1:6">
      <c r="A1498" s="69" t="s">
        <v>1956</v>
      </c>
      <c r="B1498" s="69" t="s">
        <v>1942</v>
      </c>
      <c r="C1498" s="69" t="s">
        <v>1943</v>
      </c>
      <c r="D1498" s="69" t="str">
        <f t="shared" si="25"/>
        <v>Nabuyoga</v>
      </c>
      <c r="F1498" s="69">
        <v>1374</v>
      </c>
    </row>
    <row r="1499" spans="1:6">
      <c r="A1499" s="69" t="s">
        <v>1957</v>
      </c>
      <c r="B1499" s="69" t="s">
        <v>1942</v>
      </c>
      <c r="C1499" s="69" t="s">
        <v>1943</v>
      </c>
      <c r="D1499" s="69" t="str">
        <f t="shared" si="25"/>
        <v>Nagongera</v>
      </c>
      <c r="F1499" s="69">
        <v>1375</v>
      </c>
    </row>
    <row r="1500" spans="1:6">
      <c r="A1500" s="69" t="s">
        <v>1958</v>
      </c>
      <c r="B1500" s="69" t="s">
        <v>1942</v>
      </c>
      <c r="C1500" s="69" t="s">
        <v>1943</v>
      </c>
      <c r="D1500" s="69" t="str">
        <f t="shared" si="25"/>
        <v>Nagongera Town Council</v>
      </c>
      <c r="F1500" s="69">
        <v>1376</v>
      </c>
    </row>
    <row r="1501" spans="1:6">
      <c r="A1501" s="69" t="s">
        <v>1959</v>
      </c>
      <c r="B1501" s="69" t="s">
        <v>1942</v>
      </c>
      <c r="C1501" s="69" t="s">
        <v>1942</v>
      </c>
      <c r="D1501" s="69" t="str">
        <f t="shared" si="25"/>
        <v>Osukuru</v>
      </c>
      <c r="F1501" s="69">
        <v>1377</v>
      </c>
    </row>
    <row r="1502" spans="1:6">
      <c r="A1502" s="69" t="s">
        <v>1960</v>
      </c>
      <c r="B1502" s="69" t="s">
        <v>1942</v>
      </c>
      <c r="C1502" s="69" t="s">
        <v>1943</v>
      </c>
      <c r="D1502" s="69" t="str">
        <f t="shared" si="25"/>
        <v>Paya</v>
      </c>
      <c r="F1502" s="69">
        <v>1378</v>
      </c>
    </row>
    <row r="1503" spans="1:6">
      <c r="A1503" s="69" t="s">
        <v>1961</v>
      </c>
      <c r="B1503" s="69" t="s">
        <v>1942</v>
      </c>
      <c r="C1503" s="69" t="s">
        <v>1943</v>
      </c>
      <c r="D1503" s="69" t="str">
        <f t="shared" si="25"/>
        <v>Petta</v>
      </c>
      <c r="F1503" s="69">
        <v>1379</v>
      </c>
    </row>
    <row r="1504" spans="1:6">
      <c r="A1504" s="69" t="s">
        <v>1962</v>
      </c>
      <c r="B1504" s="69" t="s">
        <v>1942</v>
      </c>
      <c r="C1504" s="69" t="s">
        <v>1943</v>
      </c>
      <c r="D1504" s="69" t="str">
        <f t="shared" si="25"/>
        <v>Rubongi</v>
      </c>
      <c r="F1504" s="69">
        <v>1380</v>
      </c>
    </row>
    <row r="1505" spans="1:6">
      <c r="A1505" s="69" t="s">
        <v>1963</v>
      </c>
      <c r="B1505" s="69" t="s">
        <v>1942</v>
      </c>
      <c r="C1505" s="69" t="s">
        <v>1943</v>
      </c>
      <c r="D1505" s="69" t="str">
        <f t="shared" si="25"/>
        <v>Sop-Sop</v>
      </c>
      <c r="F1505" s="69">
        <v>1381</v>
      </c>
    </row>
    <row r="1506" spans="1:6">
      <c r="A1506" s="69" t="s">
        <v>1964</v>
      </c>
      <c r="B1506" s="69" t="s">
        <v>1942</v>
      </c>
      <c r="C1506" s="69" t="s">
        <v>1964</v>
      </c>
      <c r="D1506" s="69" t="str">
        <f t="shared" si="25"/>
        <v>Tororo Municipality</v>
      </c>
      <c r="F1506" s="69">
        <v>1382</v>
      </c>
    </row>
    <row r="1507" spans="1:6">
      <c r="A1507" s="69" t="s">
        <v>1942</v>
      </c>
      <c r="B1507" s="69" t="s">
        <v>1942</v>
      </c>
      <c r="C1507" s="69" t="s">
        <v>1964</v>
      </c>
      <c r="D1507" s="69" t="str">
        <f t="shared" si="25"/>
        <v>Tororo</v>
      </c>
      <c r="F1507" s="69">
        <v>1382</v>
      </c>
    </row>
    <row r="1508" spans="1:6">
      <c r="A1508" s="69" t="s">
        <v>1950</v>
      </c>
      <c r="B1508" s="69" t="s">
        <v>1965</v>
      </c>
      <c r="C1508" s="69" t="s">
        <v>1966</v>
      </c>
      <c r="D1508" s="69" t="str">
        <f t="shared" si="25"/>
        <v>Bunamwaya</v>
      </c>
      <c r="F1508" s="69">
        <v>1383</v>
      </c>
    </row>
    <row r="1509" spans="1:6">
      <c r="A1509" s="69" t="s">
        <v>1967</v>
      </c>
      <c r="D1509" s="69" t="str">
        <f t="shared" si="25"/>
        <v>Namasuba</v>
      </c>
      <c r="F1509" s="69">
        <v>1383</v>
      </c>
    </row>
    <row r="1510" spans="1:6">
      <c r="A1510" s="69" t="s">
        <v>1968</v>
      </c>
      <c r="B1510" s="69" t="s">
        <v>1965</v>
      </c>
      <c r="C1510" s="69" t="s">
        <v>1969</v>
      </c>
      <c r="D1510" s="69" t="str">
        <f t="shared" si="25"/>
        <v>Bussi</v>
      </c>
      <c r="F1510" s="69">
        <v>1384</v>
      </c>
    </row>
    <row r="1511" spans="1:6">
      <c r="A1511" s="69" t="s">
        <v>1970</v>
      </c>
      <c r="B1511" s="69" t="s">
        <v>1965</v>
      </c>
      <c r="C1511" s="69" t="s">
        <v>1971</v>
      </c>
      <c r="D1511" s="69" t="str">
        <f t="shared" si="25"/>
        <v>Busukuma</v>
      </c>
      <c r="F1511" s="69">
        <v>1385</v>
      </c>
    </row>
    <row r="1512" spans="1:6">
      <c r="A1512" s="69" t="s">
        <v>28</v>
      </c>
      <c r="B1512" s="69" t="s">
        <v>1965</v>
      </c>
      <c r="C1512" s="69" t="s">
        <v>1972</v>
      </c>
      <c r="D1512" s="69" t="str">
        <f t="shared" si="25"/>
        <v>Bweyogerere</v>
      </c>
      <c r="F1512" s="69">
        <v>1386</v>
      </c>
    </row>
    <row r="1513" spans="1:6">
      <c r="A1513" s="69" t="s">
        <v>1973</v>
      </c>
      <c r="B1513" s="69" t="s">
        <v>1965</v>
      </c>
      <c r="C1513" s="69" t="s">
        <v>1974</v>
      </c>
      <c r="D1513" s="69" t="str">
        <f t="shared" si="25"/>
        <v>Entebbe Airport</v>
      </c>
      <c r="F1513" s="69">
        <v>1387</v>
      </c>
    </row>
    <row r="1514" spans="1:6">
      <c r="A1514" s="69" t="s">
        <v>1974</v>
      </c>
      <c r="B1514" s="69" t="s">
        <v>1965</v>
      </c>
      <c r="C1514" s="69" t="s">
        <v>1974</v>
      </c>
      <c r="D1514" s="69" t="str">
        <f t="shared" si="25"/>
        <v>Entebbe Municipality</v>
      </c>
      <c r="F1514" s="69">
        <v>1388</v>
      </c>
    </row>
    <row r="1515" spans="1:6">
      <c r="A1515" s="69" t="s">
        <v>30</v>
      </c>
      <c r="D1515" s="69" t="str">
        <f t="shared" si="25"/>
        <v>Entebbe</v>
      </c>
      <c r="F1515" s="69">
        <v>1388</v>
      </c>
    </row>
    <row r="1516" spans="1:6">
      <c r="A1516" s="69" t="s">
        <v>1975</v>
      </c>
      <c r="B1516" s="69" t="s">
        <v>1965</v>
      </c>
      <c r="C1516" s="69" t="s">
        <v>1971</v>
      </c>
      <c r="D1516" s="69" t="str">
        <f t="shared" si="25"/>
        <v>Gombe</v>
      </c>
      <c r="F1516" s="69">
        <v>1389</v>
      </c>
    </row>
    <row r="1517" spans="1:6">
      <c r="A1517" s="69" t="s">
        <v>1976</v>
      </c>
      <c r="D1517" s="69" t="str">
        <f t="shared" si="25"/>
        <v>Katende</v>
      </c>
      <c r="F1517" s="69">
        <v>1389</v>
      </c>
    </row>
    <row r="1518" spans="1:6">
      <c r="A1518" s="69" t="s">
        <v>1977</v>
      </c>
      <c r="B1518" s="69" t="s">
        <v>1965</v>
      </c>
      <c r="C1518" s="69" t="s">
        <v>1969</v>
      </c>
      <c r="D1518" s="69" t="str">
        <f t="shared" si="25"/>
        <v>Kajjansi Town Council</v>
      </c>
      <c r="F1518" s="69">
        <v>1390</v>
      </c>
    </row>
    <row r="1519" spans="1:6">
      <c r="A1519" s="69" t="s">
        <v>1978</v>
      </c>
      <c r="D1519" s="69" t="str">
        <f t="shared" si="25"/>
        <v>Kajjansi</v>
      </c>
      <c r="F1519" s="69">
        <v>1390</v>
      </c>
    </row>
    <row r="1520" spans="1:6">
      <c r="A1520" s="69" t="s">
        <v>1979</v>
      </c>
      <c r="D1520" s="69" t="str">
        <f t="shared" si="25"/>
        <v>Seguku</v>
      </c>
      <c r="F1520" s="69">
        <v>1390</v>
      </c>
    </row>
    <row r="1521" spans="1:6">
      <c r="A1521" s="69" t="s">
        <v>1980</v>
      </c>
      <c r="D1521" s="69" t="str">
        <f t="shared" si="25"/>
        <v>Katale</v>
      </c>
      <c r="F1521" s="69">
        <v>1390</v>
      </c>
    </row>
    <row r="1522" spans="1:6">
      <c r="A1522" s="69" t="s">
        <v>1981</v>
      </c>
      <c r="B1522" s="69" t="s">
        <v>1965</v>
      </c>
      <c r="C1522" s="69" t="s">
        <v>1969</v>
      </c>
      <c r="D1522" s="69" t="str">
        <f t="shared" si="25"/>
        <v>Kakiri</v>
      </c>
      <c r="F1522" s="69">
        <v>1391</v>
      </c>
    </row>
    <row r="1523" spans="1:6">
      <c r="A1523" s="69" t="s">
        <v>1982</v>
      </c>
      <c r="B1523" s="69" t="s">
        <v>1965</v>
      </c>
      <c r="C1523" s="69" t="s">
        <v>1969</v>
      </c>
      <c r="D1523" s="69" t="str">
        <f t="shared" si="25"/>
        <v>Kakiri Town Council</v>
      </c>
      <c r="F1523" s="69">
        <v>1392</v>
      </c>
    </row>
    <row r="1524" spans="1:6">
      <c r="A1524" s="69" t="s">
        <v>1983</v>
      </c>
      <c r="B1524" s="69" t="s">
        <v>1965</v>
      </c>
      <c r="C1524" s="69" t="s">
        <v>1984</v>
      </c>
      <c r="D1524" s="69" t="str">
        <f t="shared" si="25"/>
        <v>Kasangati Town Council</v>
      </c>
      <c r="F1524" s="69">
        <v>1393</v>
      </c>
    </row>
    <row r="1525" spans="1:6">
      <c r="A1525" s="69" t="s">
        <v>1985</v>
      </c>
      <c r="D1525" s="69" t="str">
        <f t="shared" si="25"/>
        <v>Kasangati</v>
      </c>
      <c r="F1525" s="69">
        <v>1393</v>
      </c>
    </row>
    <row r="1526" spans="1:6">
      <c r="A1526" s="69" t="s">
        <v>1986</v>
      </c>
      <c r="B1526" s="69" t="s">
        <v>1965</v>
      </c>
      <c r="C1526" s="69" t="s">
        <v>1969</v>
      </c>
      <c r="D1526" s="69" t="str">
        <f t="shared" si="25"/>
        <v>Kasanje</v>
      </c>
      <c r="F1526" s="69">
        <v>1394</v>
      </c>
    </row>
    <row r="1527" spans="1:6">
      <c r="A1527" s="69" t="s">
        <v>1987</v>
      </c>
      <c r="B1527" s="69" t="s">
        <v>1965</v>
      </c>
      <c r="C1527" s="69" t="s">
        <v>1969</v>
      </c>
      <c r="D1527" s="69" t="str">
        <f t="shared" si="25"/>
        <v>Katabi Town Council</v>
      </c>
      <c r="F1527" s="69">
        <v>1395</v>
      </c>
    </row>
    <row r="1528" spans="1:6">
      <c r="A1528" s="69" t="s">
        <v>1988</v>
      </c>
      <c r="B1528" s="69" t="s">
        <v>1965</v>
      </c>
      <c r="C1528" s="69" t="s">
        <v>1972</v>
      </c>
      <c r="D1528" s="69" t="str">
        <f t="shared" si="25"/>
        <v>Kira</v>
      </c>
      <c r="F1528" s="69">
        <v>1396</v>
      </c>
    </row>
    <row r="1529" spans="1:6">
      <c r="A1529" s="69" t="s">
        <v>1989</v>
      </c>
      <c r="D1529" s="69" t="str">
        <f t="shared" si="25"/>
        <v>Kireka</v>
      </c>
      <c r="F1529" s="69">
        <v>1396</v>
      </c>
    </row>
    <row r="1530" spans="1:6">
      <c r="A1530" s="69" t="s">
        <v>1990</v>
      </c>
      <c r="B1530" s="69" t="s">
        <v>1965</v>
      </c>
      <c r="C1530" s="69" t="s">
        <v>1969</v>
      </c>
      <c r="D1530" s="69" t="str">
        <f t="shared" si="25"/>
        <v>Kyengera Town Council</v>
      </c>
      <c r="F1530" s="69">
        <v>1397</v>
      </c>
    </row>
    <row r="1531" spans="1:6">
      <c r="A1531" s="69" t="s">
        <v>1991</v>
      </c>
      <c r="D1531" s="69" t="str">
        <f t="shared" si="25"/>
        <v xml:space="preserve">Kyengera   </v>
      </c>
      <c r="F1531" s="69">
        <v>1397</v>
      </c>
    </row>
    <row r="1532" spans="1:6">
      <c r="A1532" s="69" t="s">
        <v>1992</v>
      </c>
      <c r="B1532" s="69" t="s">
        <v>1965</v>
      </c>
      <c r="C1532" s="69" t="s">
        <v>1966</v>
      </c>
      <c r="D1532" s="69" t="str">
        <f t="shared" si="25"/>
        <v>Masajja</v>
      </c>
      <c r="F1532" s="69">
        <v>1398</v>
      </c>
    </row>
    <row r="1533" spans="1:6">
      <c r="A1533" s="69" t="s">
        <v>1993</v>
      </c>
      <c r="B1533" s="69" t="s">
        <v>1965</v>
      </c>
      <c r="C1533" s="69" t="s">
        <v>1969</v>
      </c>
      <c r="D1533" s="69" t="str">
        <f t="shared" si="25"/>
        <v>Masuliita</v>
      </c>
      <c r="F1533" s="69">
        <v>1399</v>
      </c>
    </row>
    <row r="1534" spans="1:6">
      <c r="A1534" s="69" t="s">
        <v>1994</v>
      </c>
      <c r="B1534" s="69" t="s">
        <v>1965</v>
      </c>
      <c r="C1534" s="69" t="s">
        <v>1969</v>
      </c>
      <c r="D1534" s="69" t="str">
        <f t="shared" si="25"/>
        <v>Masulita Town Council</v>
      </c>
      <c r="F1534" s="69">
        <v>1400</v>
      </c>
    </row>
    <row r="1535" spans="1:6">
      <c r="A1535" s="69" t="s">
        <v>1995</v>
      </c>
      <c r="B1535" s="69" t="s">
        <v>1965</v>
      </c>
      <c r="C1535" s="69" t="s">
        <v>1969</v>
      </c>
      <c r="D1535" s="69" t="str">
        <f t="shared" si="25"/>
        <v>Mende</v>
      </c>
      <c r="F1535" s="69">
        <v>1401</v>
      </c>
    </row>
    <row r="1536" spans="1:6">
      <c r="A1536" s="69" t="s">
        <v>1996</v>
      </c>
      <c r="B1536" s="69" t="s">
        <v>1965</v>
      </c>
      <c r="C1536" s="69" t="s">
        <v>1971</v>
      </c>
      <c r="D1536" s="69" t="str">
        <f t="shared" si="25"/>
        <v>Nabweru</v>
      </c>
      <c r="F1536" s="69">
        <v>1402</v>
      </c>
    </row>
    <row r="1537" spans="1:6">
      <c r="A1537" s="69" t="s">
        <v>1997</v>
      </c>
      <c r="B1537" s="69" t="s">
        <v>1965</v>
      </c>
      <c r="C1537" s="69" t="s">
        <v>1969</v>
      </c>
      <c r="D1537" s="69" t="str">
        <f t="shared" si="25"/>
        <v>Namayumba</v>
      </c>
      <c r="F1537" s="69">
        <v>1403</v>
      </c>
    </row>
    <row r="1538" spans="1:6">
      <c r="A1538" s="69" t="s">
        <v>1998</v>
      </c>
      <c r="B1538" s="69" t="s">
        <v>1965</v>
      </c>
      <c r="C1538" s="69" t="s">
        <v>1969</v>
      </c>
      <c r="D1538" s="69" t="str">
        <f t="shared" ref="D1538:D1587" si="26">A1538</f>
        <v>Namayumba Town Council</v>
      </c>
      <c r="F1538" s="69">
        <v>1404</v>
      </c>
    </row>
    <row r="1539" spans="1:6">
      <c r="A1539" s="69" t="s">
        <v>1999</v>
      </c>
      <c r="B1539" s="69" t="s">
        <v>1965</v>
      </c>
      <c r="C1539" s="69" t="s">
        <v>1972</v>
      </c>
      <c r="D1539" s="69" t="str">
        <f t="shared" si="26"/>
        <v>Namugongo</v>
      </c>
      <c r="F1539" s="69">
        <v>1405</v>
      </c>
    </row>
    <row r="1540" spans="1:6">
      <c r="A1540" s="69" t="s">
        <v>2000</v>
      </c>
      <c r="B1540" s="69" t="s">
        <v>1965</v>
      </c>
      <c r="C1540" s="69" t="s">
        <v>1971</v>
      </c>
      <c r="D1540" s="69" t="str">
        <f t="shared" si="26"/>
        <v>Nansana</v>
      </c>
      <c r="F1540" s="69">
        <v>1406</v>
      </c>
    </row>
    <row r="1541" spans="1:6">
      <c r="A1541" s="69" t="s">
        <v>2001</v>
      </c>
      <c r="B1541" s="69" t="s">
        <v>1965</v>
      </c>
      <c r="C1541" s="69" t="s">
        <v>1966</v>
      </c>
      <c r="D1541" s="69" t="str">
        <f t="shared" si="26"/>
        <v>Ndejje</v>
      </c>
      <c r="F1541" s="69">
        <v>1407</v>
      </c>
    </row>
    <row r="1542" spans="1:6">
      <c r="A1542" s="69" t="s">
        <v>1965</v>
      </c>
      <c r="B1542" s="69" t="s">
        <v>1965</v>
      </c>
      <c r="C1542" s="69" t="s">
        <v>1969</v>
      </c>
      <c r="D1542" s="69" t="str">
        <f t="shared" si="26"/>
        <v>Wakiso</v>
      </c>
      <c r="F1542" s="69">
        <v>1408</v>
      </c>
    </row>
    <row r="1543" spans="1:6">
      <c r="A1543" s="69" t="s">
        <v>2002</v>
      </c>
      <c r="D1543" s="69" t="str">
        <f t="shared" si="26"/>
        <v>waakiso</v>
      </c>
      <c r="F1543" s="69">
        <v>1408</v>
      </c>
    </row>
    <row r="1544" spans="1:6">
      <c r="A1544" s="69" t="s">
        <v>2003</v>
      </c>
      <c r="B1544" s="69" t="s">
        <v>1965</v>
      </c>
      <c r="C1544" s="69" t="s">
        <v>1969</v>
      </c>
      <c r="D1544" s="69" t="str">
        <f t="shared" si="26"/>
        <v>Bulenga</v>
      </c>
      <c r="F1544" s="69">
        <v>1408</v>
      </c>
    </row>
    <row r="1545" spans="1:6">
      <c r="A1545" s="69" t="s">
        <v>2004</v>
      </c>
      <c r="B1545" s="69" t="s">
        <v>1965</v>
      </c>
      <c r="C1545" s="69" t="s">
        <v>1969</v>
      </c>
      <c r="D1545" s="69" t="str">
        <f t="shared" si="26"/>
        <v>Buloba</v>
      </c>
      <c r="F1545" s="69">
        <v>1408</v>
      </c>
    </row>
    <row r="1546" spans="1:6">
      <c r="A1546" s="69" t="s">
        <v>2005</v>
      </c>
      <c r="B1546" s="69" t="s">
        <v>1965</v>
      </c>
      <c r="C1546" s="69" t="s">
        <v>1969</v>
      </c>
      <c r="D1546" s="69" t="str">
        <f t="shared" si="26"/>
        <v>Wakiso Town Council</v>
      </c>
      <c r="F1546" s="69">
        <v>1409</v>
      </c>
    </row>
    <row r="1547" spans="1:6">
      <c r="A1547" s="69" t="s">
        <v>2006</v>
      </c>
      <c r="B1547" s="69" t="s">
        <v>2007</v>
      </c>
      <c r="C1547" s="69" t="s">
        <v>2008</v>
      </c>
      <c r="D1547" s="69" t="str">
        <f t="shared" si="26"/>
        <v>Apo</v>
      </c>
      <c r="F1547" s="69">
        <v>1410</v>
      </c>
    </row>
    <row r="1548" spans="1:6">
      <c r="A1548" s="69" t="s">
        <v>2009</v>
      </c>
      <c r="B1548" s="69" t="s">
        <v>2007</v>
      </c>
      <c r="C1548" s="69" t="s">
        <v>2008</v>
      </c>
      <c r="D1548" s="69" t="str">
        <f t="shared" si="26"/>
        <v>Ariwa</v>
      </c>
      <c r="F1548" s="69">
        <v>1411</v>
      </c>
    </row>
    <row r="1549" spans="1:6">
      <c r="A1549" s="69" t="s">
        <v>2010</v>
      </c>
      <c r="B1549" s="69" t="s">
        <v>2007</v>
      </c>
      <c r="C1549" s="69" t="s">
        <v>2008</v>
      </c>
      <c r="D1549" s="69" t="str">
        <f t="shared" si="26"/>
        <v>Drajini</v>
      </c>
      <c r="F1549" s="69">
        <v>1412</v>
      </c>
    </row>
    <row r="1550" spans="1:6">
      <c r="A1550" s="69" t="s">
        <v>2011</v>
      </c>
      <c r="B1550" s="69" t="s">
        <v>2007</v>
      </c>
      <c r="C1550" s="69" t="s">
        <v>2008</v>
      </c>
      <c r="D1550" s="69" t="str">
        <f t="shared" si="26"/>
        <v>Kei</v>
      </c>
      <c r="F1550" s="69">
        <v>1413</v>
      </c>
    </row>
    <row r="1551" spans="1:6">
      <c r="A1551" s="69" t="s">
        <v>2012</v>
      </c>
      <c r="B1551" s="69" t="s">
        <v>2007</v>
      </c>
      <c r="C1551" s="69" t="s">
        <v>2008</v>
      </c>
      <c r="D1551" s="69" t="str">
        <f t="shared" si="26"/>
        <v>Kerwa</v>
      </c>
      <c r="F1551" s="69">
        <v>1414</v>
      </c>
    </row>
    <row r="1552" spans="1:6">
      <c r="A1552" s="69" t="s">
        <v>2013</v>
      </c>
      <c r="B1552" s="69" t="s">
        <v>2007</v>
      </c>
      <c r="C1552" s="69" t="s">
        <v>2008</v>
      </c>
      <c r="D1552" s="69" t="str">
        <f t="shared" si="26"/>
        <v>Kochi</v>
      </c>
      <c r="F1552" s="69">
        <v>1415</v>
      </c>
    </row>
    <row r="1553" spans="1:6">
      <c r="A1553" s="69" t="s">
        <v>2014</v>
      </c>
      <c r="B1553" s="69" t="s">
        <v>2007</v>
      </c>
      <c r="C1553" s="69" t="s">
        <v>2008</v>
      </c>
      <c r="D1553" s="69" t="str">
        <f t="shared" si="26"/>
        <v>Kululu</v>
      </c>
      <c r="F1553" s="69">
        <v>1416</v>
      </c>
    </row>
    <row r="1554" spans="1:6">
      <c r="A1554" s="69" t="s">
        <v>2015</v>
      </c>
      <c r="B1554" s="69" t="s">
        <v>2007</v>
      </c>
      <c r="C1554" s="69" t="s">
        <v>2008</v>
      </c>
      <c r="D1554" s="69" t="str">
        <f t="shared" si="26"/>
        <v>Kuru</v>
      </c>
      <c r="F1554" s="69">
        <v>1417</v>
      </c>
    </row>
    <row r="1555" spans="1:6">
      <c r="A1555" s="69" t="s">
        <v>2016</v>
      </c>
      <c r="B1555" s="69" t="s">
        <v>2007</v>
      </c>
      <c r="C1555" s="69" t="s">
        <v>2008</v>
      </c>
      <c r="D1555" s="69" t="str">
        <f t="shared" si="26"/>
        <v>Lodonga</v>
      </c>
      <c r="F1555" s="69">
        <v>1418</v>
      </c>
    </row>
    <row r="1556" spans="1:6">
      <c r="A1556" s="69" t="s">
        <v>2017</v>
      </c>
      <c r="B1556" s="69" t="s">
        <v>2007</v>
      </c>
      <c r="C1556" s="69" t="s">
        <v>2008</v>
      </c>
      <c r="D1556" s="69" t="str">
        <f t="shared" si="26"/>
        <v>Midigo</v>
      </c>
      <c r="F1556" s="69">
        <v>1419</v>
      </c>
    </row>
    <row r="1557" spans="1:6">
      <c r="A1557" s="69" t="s">
        <v>2018</v>
      </c>
      <c r="B1557" s="69" t="s">
        <v>2007</v>
      </c>
      <c r="C1557" s="69" t="s">
        <v>2008</v>
      </c>
      <c r="D1557" s="69" t="str">
        <f t="shared" si="26"/>
        <v>Odravu</v>
      </c>
      <c r="F1557" s="69">
        <v>1420</v>
      </c>
    </row>
    <row r="1558" spans="1:6">
      <c r="A1558" s="69" t="s">
        <v>2019</v>
      </c>
      <c r="B1558" s="69" t="s">
        <v>2007</v>
      </c>
      <c r="C1558" s="69" t="s">
        <v>2008</v>
      </c>
      <c r="D1558" s="69" t="str">
        <f t="shared" si="26"/>
        <v>Romogi</v>
      </c>
      <c r="F1558" s="69">
        <v>1421</v>
      </c>
    </row>
    <row r="1559" spans="1:6">
      <c r="A1559" s="69" t="s">
        <v>2020</v>
      </c>
      <c r="B1559" s="69" t="s">
        <v>2007</v>
      </c>
      <c r="C1559" s="69" t="s">
        <v>2008</v>
      </c>
      <c r="D1559" s="69" t="str">
        <f t="shared" si="26"/>
        <v>Yumbe Town Council</v>
      </c>
      <c r="F1559" s="69">
        <v>1422</v>
      </c>
    </row>
    <row r="1560" spans="1:6">
      <c r="A1560" s="69" t="s">
        <v>2021</v>
      </c>
      <c r="B1560" s="69" t="s">
        <v>2022</v>
      </c>
      <c r="C1560" s="69" t="s">
        <v>2023</v>
      </c>
      <c r="D1560" s="69" t="str">
        <f t="shared" si="26"/>
        <v>Abanga</v>
      </c>
      <c r="F1560" s="69">
        <v>1423</v>
      </c>
    </row>
    <row r="1561" spans="1:6">
      <c r="A1561" s="69" t="s">
        <v>2024</v>
      </c>
      <c r="B1561" s="69" t="s">
        <v>2022</v>
      </c>
      <c r="C1561" s="69" t="s">
        <v>2023</v>
      </c>
      <c r="D1561" s="69" t="str">
        <f t="shared" si="26"/>
        <v>Atyak</v>
      </c>
      <c r="F1561" s="69">
        <v>1424</v>
      </c>
    </row>
    <row r="1562" spans="1:6">
      <c r="A1562" s="69" t="s">
        <v>2025</v>
      </c>
      <c r="B1562" s="69" t="s">
        <v>2022</v>
      </c>
      <c r="C1562" s="69" t="s">
        <v>2023</v>
      </c>
      <c r="D1562" s="69" t="str">
        <f t="shared" si="26"/>
        <v>Jangokoro</v>
      </c>
      <c r="F1562" s="69">
        <v>1425</v>
      </c>
    </row>
    <row r="1563" spans="1:6">
      <c r="A1563" s="69" t="s">
        <v>2026</v>
      </c>
      <c r="B1563" s="69" t="s">
        <v>2022</v>
      </c>
      <c r="C1563" s="69" t="s">
        <v>2023</v>
      </c>
      <c r="D1563" s="69" t="str">
        <f t="shared" si="26"/>
        <v>Kango</v>
      </c>
      <c r="F1563" s="69">
        <v>1426</v>
      </c>
    </row>
    <row r="1564" spans="1:6">
      <c r="A1564" s="69" t="s">
        <v>2027</v>
      </c>
      <c r="B1564" s="69" t="s">
        <v>2022</v>
      </c>
      <c r="C1564" s="69" t="s">
        <v>2023</v>
      </c>
      <c r="D1564" s="69" t="str">
        <f t="shared" si="26"/>
        <v>Nyapea</v>
      </c>
      <c r="F1564" s="69">
        <v>1427</v>
      </c>
    </row>
    <row r="1565" spans="1:6">
      <c r="A1565" s="69" t="s">
        <v>2028</v>
      </c>
      <c r="B1565" s="69" t="s">
        <v>2022</v>
      </c>
      <c r="C1565" s="69" t="s">
        <v>2023</v>
      </c>
      <c r="D1565" s="69" t="str">
        <f t="shared" si="26"/>
        <v>Paidha</v>
      </c>
      <c r="F1565" s="69">
        <v>1428</v>
      </c>
    </row>
    <row r="1566" spans="1:6">
      <c r="A1566" s="69" t="s">
        <v>2029</v>
      </c>
      <c r="B1566" s="69" t="s">
        <v>2022</v>
      </c>
      <c r="C1566" s="69" t="s">
        <v>2023</v>
      </c>
      <c r="D1566" s="69" t="str">
        <f t="shared" si="26"/>
        <v>Paidha Town Council</v>
      </c>
      <c r="F1566" s="69">
        <v>1429</v>
      </c>
    </row>
    <row r="1567" spans="1:6">
      <c r="A1567" s="69" t="s">
        <v>2030</v>
      </c>
      <c r="B1567" s="69" t="s">
        <v>2022</v>
      </c>
      <c r="C1567" s="69" t="s">
        <v>2023</v>
      </c>
      <c r="D1567" s="69" t="str">
        <f t="shared" si="26"/>
        <v>Warr</v>
      </c>
      <c r="F1567" s="69">
        <v>1430</v>
      </c>
    </row>
    <row r="1568" spans="1:6">
      <c r="A1568" s="69" t="s">
        <v>2031</v>
      </c>
      <c r="B1568" s="69" t="s">
        <v>2022</v>
      </c>
      <c r="C1568" s="69" t="s">
        <v>2023</v>
      </c>
      <c r="D1568" s="69" t="str">
        <f t="shared" si="26"/>
        <v>Zeu</v>
      </c>
      <c r="F1568" s="69">
        <v>1431</v>
      </c>
    </row>
    <row r="1569" spans="1:6">
      <c r="A1569" s="69" t="s">
        <v>2032</v>
      </c>
      <c r="B1569" s="69" t="s">
        <v>2022</v>
      </c>
      <c r="C1569" s="69" t="s">
        <v>2023</v>
      </c>
      <c r="D1569" s="69" t="str">
        <f t="shared" si="26"/>
        <v>Zombo Town Council</v>
      </c>
      <c r="F1569" s="69">
        <v>1432</v>
      </c>
    </row>
    <row r="1570" spans="1:6" s="72" customFormat="1">
      <c r="A1570" s="73" t="s">
        <v>2033</v>
      </c>
      <c r="B1570" s="74"/>
      <c r="C1570" s="74"/>
      <c r="D1570" s="73"/>
      <c r="E1570" s="74"/>
      <c r="F1570" s="74"/>
    </row>
    <row r="1571" spans="1:6">
      <c r="A1571" s="69" t="s">
        <v>2034</v>
      </c>
      <c r="B1571" s="69" t="s">
        <v>1942</v>
      </c>
      <c r="C1571" s="69" t="s">
        <v>49</v>
      </c>
      <c r="D1571" s="69" t="str">
        <f t="shared" si="26"/>
        <v xml:space="preserve">Malaba </v>
      </c>
      <c r="F1571" s="69">
        <v>1433</v>
      </c>
    </row>
    <row r="1572" spans="1:6">
      <c r="A1572" s="69" t="s">
        <v>645</v>
      </c>
      <c r="B1572" s="69" t="s">
        <v>645</v>
      </c>
      <c r="C1572" s="69" t="s">
        <v>49</v>
      </c>
      <c r="D1572" s="69" t="str">
        <f t="shared" si="26"/>
        <v>Busia</v>
      </c>
      <c r="F1572" s="69">
        <v>1434</v>
      </c>
    </row>
    <row r="1573" spans="1:6">
      <c r="A1573" s="69" t="s">
        <v>2035</v>
      </c>
      <c r="B1573" s="69" t="s">
        <v>1358</v>
      </c>
      <c r="C1573" s="69" t="s">
        <v>52</v>
      </c>
      <c r="D1573" s="69" t="str">
        <f t="shared" si="26"/>
        <v>Mutukula</v>
      </c>
      <c r="F1573" s="69">
        <v>1435</v>
      </c>
    </row>
    <row r="1574" spans="1:6">
      <c r="A1574" s="69" t="s">
        <v>2036</v>
      </c>
      <c r="B1574" s="69" t="s">
        <v>833</v>
      </c>
      <c r="C1574" s="69" t="s">
        <v>42</v>
      </c>
      <c r="D1574" s="69" t="str">
        <f t="shared" si="26"/>
        <v>Katuna</v>
      </c>
      <c r="F1574" s="69">
        <v>1436</v>
      </c>
    </row>
    <row r="1575" spans="1:6">
      <c r="A1575" s="69" t="s">
        <v>2037</v>
      </c>
      <c r="B1575" s="69" t="s">
        <v>1244</v>
      </c>
      <c r="C1575" s="69" t="s">
        <v>42</v>
      </c>
      <c r="D1575" s="69" t="str">
        <f t="shared" si="26"/>
        <v>Cyanika</v>
      </c>
      <c r="F1575" s="69">
        <v>1437</v>
      </c>
    </row>
    <row r="1576" spans="1:6">
      <c r="A1576" s="69" t="s">
        <v>2038</v>
      </c>
      <c r="D1576" s="69" t="str">
        <f t="shared" si="26"/>
        <v>Kiyumba</v>
      </c>
      <c r="F1576" s="69">
        <v>1437</v>
      </c>
    </row>
    <row r="1577" spans="1:6">
      <c r="A1577" s="69" t="s">
        <v>2039</v>
      </c>
      <c r="B1577" s="69" t="s">
        <v>1244</v>
      </c>
      <c r="C1577" s="69" t="s">
        <v>54</v>
      </c>
      <c r="D1577" s="69" t="str">
        <f t="shared" si="26"/>
        <v>Bunagana</v>
      </c>
      <c r="F1577" s="69">
        <v>1438</v>
      </c>
    </row>
    <row r="1578" spans="1:6">
      <c r="A1578" s="69" t="s">
        <v>55</v>
      </c>
      <c r="B1578" s="69" t="s">
        <v>1104</v>
      </c>
      <c r="C1578" s="69" t="s">
        <v>54</v>
      </c>
      <c r="D1578" s="69" t="str">
        <f t="shared" si="26"/>
        <v>Ishasha</v>
      </c>
      <c r="F1578" s="69">
        <v>1439</v>
      </c>
    </row>
    <row r="1579" spans="1:6">
      <c r="A1579" s="69" t="s">
        <v>2040</v>
      </c>
      <c r="B1579" s="69" t="s">
        <v>36</v>
      </c>
      <c r="C1579" s="69" t="s">
        <v>54</v>
      </c>
      <c r="D1579" s="69" t="str">
        <f t="shared" si="26"/>
        <v>Mpondwe</v>
      </c>
      <c r="F1579" s="69">
        <v>1440</v>
      </c>
    </row>
    <row r="1580" spans="1:6">
      <c r="A1580" s="69" t="s">
        <v>2041</v>
      </c>
      <c r="B1580" s="69" t="s">
        <v>1710</v>
      </c>
      <c r="C1580" s="69" t="s">
        <v>54</v>
      </c>
      <c r="D1580" s="69" t="str">
        <f t="shared" si="26"/>
        <v>Goli</v>
      </c>
      <c r="F1580" s="69">
        <v>1441</v>
      </c>
    </row>
    <row r="1581" spans="1:6">
      <c r="A1581" s="69" t="s">
        <v>569</v>
      </c>
      <c r="B1581" s="69" t="s">
        <v>558</v>
      </c>
      <c r="C1581" s="69" t="s">
        <v>49</v>
      </c>
      <c r="D1581" s="69" t="str">
        <f t="shared" si="26"/>
        <v>Suam</v>
      </c>
      <c r="F1581" s="69">
        <v>1442</v>
      </c>
    </row>
    <row r="1582" spans="1:6">
      <c r="A1582" s="69" t="s">
        <v>2042</v>
      </c>
      <c r="B1582" s="69" t="s">
        <v>435</v>
      </c>
      <c r="C1582" s="69" t="s">
        <v>2043</v>
      </c>
      <c r="D1582" s="69" t="str">
        <f t="shared" si="26"/>
        <v>Elegu</v>
      </c>
      <c r="F1582" s="69">
        <v>1443</v>
      </c>
    </row>
    <row r="1583" spans="1:6">
      <c r="A1583" s="69" t="s">
        <v>2044</v>
      </c>
      <c r="B1583" s="69" t="s">
        <v>435</v>
      </c>
      <c r="C1583" s="69" t="s">
        <v>2043</v>
      </c>
      <c r="D1583" s="69" t="str">
        <f t="shared" si="26"/>
        <v>Nimule</v>
      </c>
      <c r="F1583" s="69">
        <v>1443</v>
      </c>
    </row>
    <row r="1584" spans="1:6">
      <c r="A1584" s="69" t="s">
        <v>2045</v>
      </c>
      <c r="B1584" s="69" t="s">
        <v>46</v>
      </c>
      <c r="C1584" s="69" t="s">
        <v>42</v>
      </c>
      <c r="D1584" s="69" t="str">
        <f t="shared" si="26"/>
        <v>Mirama Hills</v>
      </c>
      <c r="F1584" s="69">
        <v>1444</v>
      </c>
    </row>
    <row r="1585" spans="1:6">
      <c r="A1585" s="69" t="s">
        <v>2046</v>
      </c>
      <c r="B1585" s="69" t="s">
        <v>1273</v>
      </c>
      <c r="C1585" s="69" t="s">
        <v>2043</v>
      </c>
      <c r="D1585" s="69" t="str">
        <f t="shared" si="26"/>
        <v>Oraba</v>
      </c>
      <c r="F1585" s="69">
        <v>1445</v>
      </c>
    </row>
    <row r="1586" spans="1:6">
      <c r="A1586" s="69" t="s">
        <v>2047</v>
      </c>
      <c r="B1586" s="69" t="s">
        <v>2022</v>
      </c>
      <c r="C1586" s="69" t="s">
        <v>54</v>
      </c>
      <c r="D1586" s="69" t="str">
        <f t="shared" si="26"/>
        <v>Padea</v>
      </c>
      <c r="F1586" s="69">
        <v>1446</v>
      </c>
    </row>
    <row r="1587" spans="1:6">
      <c r="A1587" s="69" t="s">
        <v>461</v>
      </c>
      <c r="B1587" s="69" t="s">
        <v>456</v>
      </c>
      <c r="C1587" s="69" t="s">
        <v>54</v>
      </c>
      <c r="D1587" s="69" t="str">
        <f t="shared" si="26"/>
        <v>Vurra</v>
      </c>
      <c r="F1587" s="69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45"/>
  <sheetViews>
    <sheetView topLeftCell="A16" zoomScale="75" zoomScaleNormal="75" zoomScaleSheetLayoutView="80" workbookViewId="0">
      <selection activeCell="B42" sqref="B4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9" t="s">
        <v>131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"/>
      <c r="AD1" s="6"/>
      <c r="AE1" s="6"/>
      <c r="AF1" s="6"/>
      <c r="AG1" s="6"/>
      <c r="AH1" s="6"/>
      <c r="AI1" s="6"/>
    </row>
    <row r="2" spans="2:35" ht="15">
      <c r="B2" s="119" t="s">
        <v>1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7"/>
      <c r="AD2" s="7"/>
      <c r="AE2" s="7"/>
      <c r="AF2" s="7"/>
      <c r="AG2" s="7"/>
      <c r="AH2" s="7"/>
      <c r="AI2" s="7"/>
    </row>
    <row r="3" spans="2:35" ht="15.75" customHeight="1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8" t="s">
        <v>149</v>
      </c>
      <c r="E4" s="1" t="s">
        <v>66</v>
      </c>
      <c r="F4" s="120" t="s">
        <v>150</v>
      </c>
      <c r="G4" s="121"/>
      <c r="I4" s="27" t="s">
        <v>67</v>
      </c>
      <c r="J4" s="5"/>
      <c r="K4" s="5"/>
      <c r="L4" s="59" t="s">
        <v>151</v>
      </c>
      <c r="M4" s="2"/>
      <c r="N4" s="1" t="s">
        <v>69</v>
      </c>
      <c r="O4" s="122" t="s">
        <v>153</v>
      </c>
      <c r="P4" s="122"/>
      <c r="Q4" s="122"/>
      <c r="R4" s="122"/>
      <c r="S4" s="122"/>
      <c r="T4" s="122"/>
      <c r="V4" s="1" t="s">
        <v>71</v>
      </c>
      <c r="W4" s="60" t="s">
        <v>154</v>
      </c>
      <c r="Y4" s="27" t="s">
        <v>6</v>
      </c>
      <c r="Z4" s="61" t="s">
        <v>155</v>
      </c>
      <c r="AA4" s="31" t="s">
        <v>7</v>
      </c>
      <c r="AB4" s="61" t="s">
        <v>72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47" t="s">
        <v>152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3" t="s">
        <v>34</v>
      </c>
      <c r="C7" s="111" t="s">
        <v>57</v>
      </c>
      <c r="D7" s="113" t="s">
        <v>9</v>
      </c>
      <c r="E7" s="111" t="s">
        <v>35</v>
      </c>
      <c r="F7" s="126" t="s">
        <v>12</v>
      </c>
      <c r="G7" s="127"/>
      <c r="H7" s="128"/>
      <c r="I7" s="113" t="s">
        <v>60</v>
      </c>
      <c r="J7" s="111" t="s">
        <v>15</v>
      </c>
      <c r="K7" s="111" t="s">
        <v>132</v>
      </c>
      <c r="L7" s="126" t="s">
        <v>17</v>
      </c>
      <c r="M7" s="127"/>
      <c r="N7" s="128"/>
      <c r="O7" s="113" t="s">
        <v>61</v>
      </c>
      <c r="P7" s="111" t="s">
        <v>18</v>
      </c>
      <c r="Q7" s="111" t="s">
        <v>133</v>
      </c>
      <c r="R7" s="111" t="s">
        <v>134</v>
      </c>
      <c r="S7" s="111" t="s">
        <v>136</v>
      </c>
      <c r="T7" s="111" t="s">
        <v>135</v>
      </c>
      <c r="U7" s="111" t="s">
        <v>62</v>
      </c>
      <c r="V7" s="116" t="s">
        <v>65</v>
      </c>
      <c r="W7" s="117"/>
      <c r="X7" s="118"/>
      <c r="Y7" s="111" t="s">
        <v>64</v>
      </c>
      <c r="Z7" s="111" t="s">
        <v>139</v>
      </c>
      <c r="AA7" s="113" t="s">
        <v>20</v>
      </c>
      <c r="AB7" s="129" t="s">
        <v>21</v>
      </c>
      <c r="AD7" s="19"/>
    </row>
    <row r="8" spans="2:35" ht="38.25" customHeight="1">
      <c r="B8" s="124"/>
      <c r="C8" s="112"/>
      <c r="D8" s="114"/>
      <c r="E8" s="125"/>
      <c r="F8" s="23" t="s">
        <v>73</v>
      </c>
      <c r="G8" s="23" t="s">
        <v>58</v>
      </c>
      <c r="H8" s="24" t="s">
        <v>59</v>
      </c>
      <c r="I8" s="114"/>
      <c r="J8" s="112"/>
      <c r="K8" s="112"/>
      <c r="L8" s="23" t="s">
        <v>73</v>
      </c>
      <c r="M8" s="23" t="s">
        <v>58</v>
      </c>
      <c r="N8" s="23" t="s">
        <v>59</v>
      </c>
      <c r="O8" s="114"/>
      <c r="P8" s="112"/>
      <c r="Q8" s="112"/>
      <c r="R8" s="112"/>
      <c r="S8" s="112"/>
      <c r="T8" s="112"/>
      <c r="U8" s="112"/>
      <c r="V8" s="29" t="s">
        <v>63</v>
      </c>
      <c r="W8" s="30" t="s">
        <v>137</v>
      </c>
      <c r="X8" s="30" t="s">
        <v>138</v>
      </c>
      <c r="Y8" s="112"/>
      <c r="Z8" s="112"/>
      <c r="AA8" s="114"/>
      <c r="AB8" s="130"/>
    </row>
    <row r="9" spans="2:35" s="19" customFormat="1">
      <c r="B9" s="37">
        <v>0.56666666666666665</v>
      </c>
      <c r="C9" s="37" t="s">
        <v>156</v>
      </c>
      <c r="D9" s="38">
        <v>1</v>
      </c>
      <c r="E9" s="39">
        <v>3</v>
      </c>
      <c r="F9" s="39" t="s">
        <v>157</v>
      </c>
      <c r="G9" s="40" t="s">
        <v>157</v>
      </c>
      <c r="H9" s="39" t="s">
        <v>158</v>
      </c>
      <c r="I9" s="40">
        <v>1</v>
      </c>
      <c r="J9" s="40">
        <v>2</v>
      </c>
      <c r="K9" s="25" t="str">
        <f>VLOOKUP(J9,Key!$E$2:$F$9,2,FALSE)</f>
        <v>Work</v>
      </c>
      <c r="L9" s="39" t="s">
        <v>159</v>
      </c>
      <c r="M9" s="40" t="s">
        <v>159</v>
      </c>
      <c r="N9" s="39" t="s">
        <v>158</v>
      </c>
      <c r="O9" s="40">
        <v>10</v>
      </c>
      <c r="P9" s="40">
        <v>2</v>
      </c>
      <c r="Q9" s="25" t="str">
        <f>VLOOKUP(P9,Key!$E$2:$F$9,2,FALSE)</f>
        <v>Work</v>
      </c>
      <c r="R9" s="25" t="str">
        <f>K9&amp;"-"&amp;Q9</f>
        <v>Work-Work</v>
      </c>
      <c r="S9" s="44">
        <v>12</v>
      </c>
      <c r="T9" s="44">
        <v>0.3</v>
      </c>
      <c r="U9" s="40">
        <v>2</v>
      </c>
      <c r="V9" s="40"/>
      <c r="W9" s="44"/>
      <c r="X9" s="44"/>
      <c r="Y9" s="45"/>
      <c r="Z9" s="46"/>
      <c r="AA9" s="25"/>
      <c r="AB9" s="25"/>
    </row>
    <row r="10" spans="2:35">
      <c r="B10" s="37">
        <v>0.56944444444444442</v>
      </c>
      <c r="C10" s="37" t="s">
        <v>161</v>
      </c>
      <c r="D10" s="38">
        <v>1</v>
      </c>
      <c r="E10" s="39">
        <v>1</v>
      </c>
      <c r="F10" s="39" t="s">
        <v>162</v>
      </c>
      <c r="G10" s="40" t="s">
        <v>159</v>
      </c>
      <c r="H10" s="39" t="s">
        <v>158</v>
      </c>
      <c r="I10" s="40">
        <v>1</v>
      </c>
      <c r="J10" s="40">
        <v>1</v>
      </c>
      <c r="K10" s="25" t="str">
        <f>VLOOKUP(J10,Key!$E$2:$F$9,2,FALSE)</f>
        <v>Home</v>
      </c>
      <c r="L10" s="39" t="s">
        <v>163</v>
      </c>
      <c r="M10" s="40" t="s">
        <v>159</v>
      </c>
      <c r="N10" s="39" t="s">
        <v>158</v>
      </c>
      <c r="O10" s="40">
        <v>1</v>
      </c>
      <c r="P10" s="40">
        <v>1</v>
      </c>
      <c r="Q10" s="25" t="str">
        <f>VLOOKUP(P10,Key!$E$2:$F$9,2,FALSE)</f>
        <v>Home</v>
      </c>
      <c r="R10" s="25" t="str">
        <f t="shared" ref="R10:R37" si="0">K10&amp;"-"&amp;Q10</f>
        <v>Home-Home</v>
      </c>
      <c r="S10" s="44">
        <v>6</v>
      </c>
      <c r="T10" s="44"/>
      <c r="U10" s="40">
        <v>2</v>
      </c>
      <c r="V10" s="40"/>
      <c r="W10" s="44"/>
      <c r="X10" s="44"/>
      <c r="Y10" s="45"/>
      <c r="Z10" s="46"/>
      <c r="AA10" s="25"/>
      <c r="AB10" s="25"/>
    </row>
    <row r="11" spans="2:35">
      <c r="B11" s="37">
        <v>0.57638888888888895</v>
      </c>
      <c r="C11" s="37" t="s">
        <v>164</v>
      </c>
      <c r="D11" s="38">
        <v>2</v>
      </c>
      <c r="E11" s="39">
        <v>2</v>
      </c>
      <c r="F11" s="39" t="s">
        <v>157</v>
      </c>
      <c r="G11" s="40" t="s">
        <v>157</v>
      </c>
      <c r="H11" s="39" t="s">
        <v>158</v>
      </c>
      <c r="I11" s="40">
        <v>16</v>
      </c>
      <c r="J11" s="40">
        <v>8</v>
      </c>
      <c r="K11" s="25" t="str">
        <f>VLOOKUP(J11,Key!$E$2:$F$9,2,FALSE)</f>
        <v>Others</v>
      </c>
      <c r="L11" s="39" t="s">
        <v>159</v>
      </c>
      <c r="M11" s="40" t="s">
        <v>159</v>
      </c>
      <c r="N11" s="39" t="s">
        <v>158</v>
      </c>
      <c r="O11" s="40">
        <v>16</v>
      </c>
      <c r="P11" s="40">
        <v>8</v>
      </c>
      <c r="Q11" s="25" t="str">
        <f>VLOOKUP(P11,Key!$E$2:$F$9,2,FALSE)</f>
        <v>Others</v>
      </c>
      <c r="R11" s="25" t="str">
        <f t="shared" si="0"/>
        <v>Others-Others</v>
      </c>
      <c r="S11" s="44">
        <v>13</v>
      </c>
      <c r="T11" s="44">
        <v>0.3</v>
      </c>
      <c r="U11" s="40">
        <v>2</v>
      </c>
      <c r="V11" s="40"/>
      <c r="W11" s="44"/>
      <c r="X11" s="44"/>
      <c r="Y11" s="45"/>
      <c r="Z11" s="46"/>
      <c r="AA11" s="25"/>
      <c r="AB11" s="25"/>
    </row>
    <row r="12" spans="2:35">
      <c r="B12" s="37">
        <v>0.56944444444444442</v>
      </c>
      <c r="C12" s="37" t="s">
        <v>165</v>
      </c>
      <c r="D12" s="38">
        <v>3</v>
      </c>
      <c r="E12" s="39">
        <v>2</v>
      </c>
      <c r="F12" s="39" t="s">
        <v>162</v>
      </c>
      <c r="G12" s="40" t="s">
        <v>166</v>
      </c>
      <c r="H12" s="39" t="s">
        <v>158</v>
      </c>
      <c r="I12" s="40">
        <v>1</v>
      </c>
      <c r="J12" s="40">
        <v>1</v>
      </c>
      <c r="K12" s="25" t="str">
        <f>VLOOKUP(J12,Key!$E$2:$F$9,2,FALSE)</f>
        <v>Home</v>
      </c>
      <c r="L12" s="39" t="s">
        <v>159</v>
      </c>
      <c r="M12" s="40" t="s">
        <v>159</v>
      </c>
      <c r="N12" s="39" t="s">
        <v>158</v>
      </c>
      <c r="O12" s="40">
        <v>1</v>
      </c>
      <c r="P12" s="40">
        <v>1</v>
      </c>
      <c r="Q12" s="25" t="str">
        <f>VLOOKUP(P12,Key!$E$2:$F$9,2,FALSE)</f>
        <v>Home</v>
      </c>
      <c r="R12" s="25" t="str">
        <f t="shared" si="0"/>
        <v>Home-Home</v>
      </c>
      <c r="S12" s="44">
        <v>12</v>
      </c>
      <c r="T12" s="44">
        <v>0.2</v>
      </c>
      <c r="U12" s="40">
        <v>2</v>
      </c>
      <c r="V12" s="40"/>
      <c r="W12" s="44"/>
      <c r="X12" s="44"/>
      <c r="Y12" s="45" t="s">
        <v>160</v>
      </c>
      <c r="Z12" s="46">
        <v>0</v>
      </c>
      <c r="AA12" s="25"/>
      <c r="AB12" s="25"/>
    </row>
    <row r="13" spans="2:35">
      <c r="B13" s="37">
        <v>0.6791666666666667</v>
      </c>
      <c r="C13" s="37" t="s">
        <v>167</v>
      </c>
      <c r="D13" s="38">
        <v>2</v>
      </c>
      <c r="E13" s="39">
        <v>3</v>
      </c>
      <c r="F13" s="39" t="s">
        <v>168</v>
      </c>
      <c r="G13" s="40" t="s">
        <v>166</v>
      </c>
      <c r="H13" s="39" t="s">
        <v>158</v>
      </c>
      <c r="I13" s="40">
        <v>1</v>
      </c>
      <c r="J13" s="40">
        <v>1</v>
      </c>
      <c r="K13" s="25" t="str">
        <f>VLOOKUP(J13,Key!$E$2:$F$9,2,FALSE)</f>
        <v>Home</v>
      </c>
      <c r="L13" s="39" t="s">
        <v>159</v>
      </c>
      <c r="M13" s="40" t="s">
        <v>159</v>
      </c>
      <c r="N13" s="39" t="s">
        <v>158</v>
      </c>
      <c r="O13" s="40">
        <v>16</v>
      </c>
      <c r="P13" s="40">
        <v>8</v>
      </c>
      <c r="Q13" s="25" t="str">
        <f>VLOOKUP(P13,Key!$E$2:$F$9,2,FALSE)</f>
        <v>Others</v>
      </c>
      <c r="R13" s="25" t="str">
        <f t="shared" si="0"/>
        <v>Home-Others</v>
      </c>
      <c r="S13" s="44">
        <v>15</v>
      </c>
      <c r="T13" s="44"/>
      <c r="U13" s="40">
        <v>2</v>
      </c>
      <c r="V13" s="40"/>
      <c r="W13" s="44"/>
      <c r="X13" s="44"/>
      <c r="Y13" s="45" t="s">
        <v>160</v>
      </c>
      <c r="Z13" s="46">
        <v>5000</v>
      </c>
      <c r="AA13" s="25"/>
      <c r="AB13" s="25"/>
    </row>
    <row r="14" spans="2:35">
      <c r="B14" s="37">
        <v>0.68611111111111101</v>
      </c>
      <c r="C14" s="37" t="s">
        <v>169</v>
      </c>
      <c r="D14" s="38">
        <v>2</v>
      </c>
      <c r="E14" s="39">
        <v>1</v>
      </c>
      <c r="F14" s="39" t="s">
        <v>170</v>
      </c>
      <c r="G14" s="40" t="s">
        <v>159</v>
      </c>
      <c r="H14" s="39" t="s">
        <v>158</v>
      </c>
      <c r="I14" s="40">
        <v>1</v>
      </c>
      <c r="J14" s="40">
        <v>1</v>
      </c>
      <c r="K14" s="25" t="str">
        <f>VLOOKUP(J14,Key!$E$2:$F$9,2,FALSE)</f>
        <v>Home</v>
      </c>
      <c r="L14" s="39" t="s">
        <v>159</v>
      </c>
      <c r="M14" s="40" t="s">
        <v>159</v>
      </c>
      <c r="N14" s="39" t="s">
        <v>158</v>
      </c>
      <c r="O14" s="40">
        <v>2</v>
      </c>
      <c r="P14" s="40">
        <v>2</v>
      </c>
      <c r="Q14" s="25" t="str">
        <f>VLOOKUP(P14,Key!$E$2:$F$9,2,FALSE)</f>
        <v>Work</v>
      </c>
      <c r="R14" s="25" t="str">
        <f t="shared" si="0"/>
        <v>Home-Work</v>
      </c>
      <c r="S14" s="44">
        <v>12</v>
      </c>
      <c r="T14" s="44">
        <v>0.2</v>
      </c>
      <c r="U14" s="40">
        <v>1</v>
      </c>
      <c r="V14" s="40"/>
      <c r="W14" s="44"/>
      <c r="X14" s="44"/>
      <c r="Y14" s="45" t="s">
        <v>171</v>
      </c>
      <c r="Z14" s="46">
        <v>0</v>
      </c>
      <c r="AA14" s="25"/>
      <c r="AB14" s="25"/>
    </row>
    <row r="15" spans="2:35">
      <c r="B15" s="37">
        <v>0.68888888888888899</v>
      </c>
      <c r="C15" s="37" t="s">
        <v>172</v>
      </c>
      <c r="D15" s="38">
        <v>2</v>
      </c>
      <c r="E15" s="39">
        <v>6</v>
      </c>
      <c r="F15" s="39" t="s">
        <v>157</v>
      </c>
      <c r="G15" s="40" t="s">
        <v>157</v>
      </c>
      <c r="H15" s="39" t="s">
        <v>158</v>
      </c>
      <c r="I15" s="40">
        <v>1</v>
      </c>
      <c r="J15" s="40">
        <v>1</v>
      </c>
      <c r="K15" s="25" t="str">
        <f>VLOOKUP(J15,Key!$E$2:$F$9,2,FALSE)</f>
        <v>Home</v>
      </c>
      <c r="L15" s="39" t="s">
        <v>159</v>
      </c>
      <c r="M15" s="40" t="s">
        <v>159</v>
      </c>
      <c r="N15" s="39" t="s">
        <v>158</v>
      </c>
      <c r="O15" s="40">
        <v>2</v>
      </c>
      <c r="P15" s="40">
        <v>2</v>
      </c>
      <c r="Q15" s="25" t="str">
        <f>VLOOKUP(P15,Key!$E$2:$F$9,2,FALSE)</f>
        <v>Work</v>
      </c>
      <c r="R15" s="25" t="str">
        <f t="shared" si="0"/>
        <v>Home-Work</v>
      </c>
      <c r="S15" s="44">
        <v>12</v>
      </c>
      <c r="T15" s="44">
        <v>0.1</v>
      </c>
      <c r="U15" s="40"/>
      <c r="V15" s="40"/>
      <c r="W15" s="44"/>
      <c r="X15" s="44"/>
      <c r="Y15" s="45" t="s">
        <v>171</v>
      </c>
      <c r="Z15" s="46">
        <v>0</v>
      </c>
      <c r="AA15" s="25"/>
      <c r="AB15" s="25"/>
    </row>
    <row r="16" spans="2:35">
      <c r="B16" s="37">
        <v>0.70138888888888884</v>
      </c>
      <c r="C16" s="37" t="s">
        <v>174</v>
      </c>
      <c r="D16" s="38">
        <v>8</v>
      </c>
      <c r="E16" s="39">
        <v>2</v>
      </c>
      <c r="F16" s="39" t="s">
        <v>157</v>
      </c>
      <c r="G16" s="40" t="s">
        <v>157</v>
      </c>
      <c r="H16" s="39" t="s">
        <v>158</v>
      </c>
      <c r="I16" s="40">
        <v>3</v>
      </c>
      <c r="J16" s="40">
        <v>2</v>
      </c>
      <c r="K16" s="25" t="str">
        <f>VLOOKUP(J16,Key!$E$2:$F$9,2,FALSE)</f>
        <v>Work</v>
      </c>
      <c r="L16" s="39" t="s">
        <v>159</v>
      </c>
      <c r="M16" s="40" t="s">
        <v>159</v>
      </c>
      <c r="N16" s="39" t="s">
        <v>158</v>
      </c>
      <c r="O16" s="40">
        <v>3</v>
      </c>
      <c r="P16" s="40">
        <v>2</v>
      </c>
      <c r="Q16" s="25" t="str">
        <f>VLOOKUP(P16,Key!$E$2:$F$9,2,FALSE)</f>
        <v>Work</v>
      </c>
      <c r="R16" s="25" t="str">
        <f t="shared" si="0"/>
        <v>Work-Work</v>
      </c>
      <c r="S16" s="44">
        <v>10</v>
      </c>
      <c r="T16" s="44">
        <v>0.1</v>
      </c>
      <c r="U16" s="40">
        <v>1</v>
      </c>
      <c r="V16" s="40"/>
      <c r="W16" s="44"/>
      <c r="X16" s="44"/>
      <c r="Y16" s="45"/>
      <c r="Z16" s="46"/>
      <c r="AA16" s="25"/>
      <c r="AB16" s="25"/>
    </row>
    <row r="17" spans="2:28">
      <c r="B17" s="37">
        <v>0.69166666666666676</v>
      </c>
      <c r="C17" s="37" t="s">
        <v>175</v>
      </c>
      <c r="D17" s="38">
        <v>6</v>
      </c>
      <c r="E17" s="39">
        <v>27</v>
      </c>
      <c r="F17" s="39" t="s">
        <v>170</v>
      </c>
      <c r="G17" s="40" t="s">
        <v>170</v>
      </c>
      <c r="H17" s="39" t="s">
        <v>158</v>
      </c>
      <c r="I17" s="40">
        <v>6</v>
      </c>
      <c r="J17" s="40">
        <v>2</v>
      </c>
      <c r="K17" s="25" t="str">
        <f>VLOOKUP(J17,Key!$E$2:$F$9,2,FALSE)</f>
        <v>Work</v>
      </c>
      <c r="L17" s="39" t="s">
        <v>159</v>
      </c>
      <c r="M17" s="40" t="s">
        <v>159</v>
      </c>
      <c r="N17" s="39" t="s">
        <v>158</v>
      </c>
      <c r="O17" s="40">
        <v>6</v>
      </c>
      <c r="P17" s="40">
        <v>2</v>
      </c>
      <c r="Q17" s="25" t="str">
        <f>VLOOKUP(P17,Key!$E$2:$F$9,2,FALSE)</f>
        <v>Work</v>
      </c>
      <c r="R17" s="25" t="str">
        <f t="shared" si="0"/>
        <v>Work-Work</v>
      </c>
      <c r="S17" s="44"/>
      <c r="T17" s="44"/>
      <c r="U17" s="40"/>
      <c r="V17" s="40"/>
      <c r="W17" s="44"/>
      <c r="X17" s="44"/>
      <c r="Y17" s="45" t="s">
        <v>160</v>
      </c>
      <c r="Z17" s="46">
        <v>10000</v>
      </c>
      <c r="AA17" s="25"/>
      <c r="AB17" s="25"/>
    </row>
    <row r="18" spans="2:28">
      <c r="B18" s="37">
        <v>0.40416666666666662</v>
      </c>
      <c r="C18" s="37" t="s">
        <v>176</v>
      </c>
      <c r="D18" s="38">
        <v>11</v>
      </c>
      <c r="E18" s="39">
        <v>2</v>
      </c>
      <c r="F18" s="39" t="s">
        <v>159</v>
      </c>
      <c r="G18" s="40" t="s">
        <v>159</v>
      </c>
      <c r="H18" s="39" t="s">
        <v>158</v>
      </c>
      <c r="I18" s="40">
        <v>8</v>
      </c>
      <c r="J18" s="40">
        <v>2</v>
      </c>
      <c r="K18" s="25" t="str">
        <f>VLOOKUP(J18,Key!$E$2:$F$9,2,FALSE)</f>
        <v>Work</v>
      </c>
      <c r="L18" s="39" t="s">
        <v>162</v>
      </c>
      <c r="M18" s="40" t="s">
        <v>166</v>
      </c>
      <c r="N18" s="39" t="s">
        <v>158</v>
      </c>
      <c r="O18" s="40">
        <v>8</v>
      </c>
      <c r="P18" s="40">
        <v>2</v>
      </c>
      <c r="Q18" s="25" t="str">
        <f>VLOOKUP(P18,Key!$E$2:$F$9,2,FALSE)</f>
        <v>Work</v>
      </c>
      <c r="R18" s="25" t="str">
        <f t="shared" si="0"/>
        <v>Work-Work</v>
      </c>
      <c r="S18" s="44">
        <v>15</v>
      </c>
      <c r="T18" s="44">
        <v>0.3</v>
      </c>
      <c r="U18" s="40">
        <v>2</v>
      </c>
      <c r="V18" s="40"/>
      <c r="W18" s="44"/>
      <c r="X18" s="44"/>
      <c r="Y18" s="45" t="s">
        <v>171</v>
      </c>
      <c r="Z18" s="46">
        <v>0</v>
      </c>
      <c r="AA18" s="25"/>
      <c r="AB18" s="25"/>
    </row>
    <row r="19" spans="2:28">
      <c r="B19" s="37">
        <v>0.41111111111111115</v>
      </c>
      <c r="C19" s="37" t="s">
        <v>177</v>
      </c>
      <c r="D19" s="38">
        <v>2</v>
      </c>
      <c r="E19" s="39">
        <v>1</v>
      </c>
      <c r="F19" s="39" t="s">
        <v>159</v>
      </c>
      <c r="G19" s="40" t="s">
        <v>159</v>
      </c>
      <c r="H19" s="39" t="s">
        <v>158</v>
      </c>
      <c r="I19" s="40"/>
      <c r="J19" s="40">
        <v>2</v>
      </c>
      <c r="K19" s="25" t="str">
        <f>VLOOKUP(J19,Key!$E$2:$F$9,2,FALSE)</f>
        <v>Work</v>
      </c>
      <c r="L19" s="39" t="s">
        <v>162</v>
      </c>
      <c r="M19" s="40" t="s">
        <v>166</v>
      </c>
      <c r="N19" s="39" t="s">
        <v>158</v>
      </c>
      <c r="O19" s="40">
        <v>2</v>
      </c>
      <c r="P19" s="40">
        <v>2</v>
      </c>
      <c r="Q19" s="25" t="str">
        <f>VLOOKUP(P19,Key!$E$2:$F$9,2,FALSE)</f>
        <v>Work</v>
      </c>
      <c r="R19" s="25" t="str">
        <f t="shared" si="0"/>
        <v>Work-Work</v>
      </c>
      <c r="S19" s="44">
        <v>16</v>
      </c>
      <c r="T19" s="44">
        <v>0.3</v>
      </c>
      <c r="U19" s="40">
        <v>2</v>
      </c>
      <c r="V19" s="40"/>
      <c r="W19" s="44"/>
      <c r="X19" s="44"/>
      <c r="Y19" s="45"/>
      <c r="Z19" s="46"/>
      <c r="AA19" s="25"/>
      <c r="AB19" s="25"/>
    </row>
    <row r="20" spans="2:28">
      <c r="B20" s="37">
        <v>0.46388888888888885</v>
      </c>
      <c r="C20" s="37" t="s">
        <v>178</v>
      </c>
      <c r="D20" s="38">
        <v>4</v>
      </c>
      <c r="E20" s="39">
        <v>10</v>
      </c>
      <c r="F20" s="39" t="s">
        <v>157</v>
      </c>
      <c r="G20" s="40" t="s">
        <v>157</v>
      </c>
      <c r="H20" s="39" t="s">
        <v>158</v>
      </c>
      <c r="I20" s="40">
        <v>6</v>
      </c>
      <c r="J20" s="40">
        <v>2</v>
      </c>
      <c r="K20" s="25" t="str">
        <f>VLOOKUP(J20,Key!$E$2:$F$9,2,FALSE)</f>
        <v>Work</v>
      </c>
      <c r="L20" s="39" t="s">
        <v>159</v>
      </c>
      <c r="M20" s="40" t="s">
        <v>159</v>
      </c>
      <c r="N20" s="39" t="s">
        <v>158</v>
      </c>
      <c r="O20" s="40">
        <v>6</v>
      </c>
      <c r="P20" s="40">
        <v>2</v>
      </c>
      <c r="Q20" s="25" t="str">
        <f>VLOOKUP(P20,Key!$E$2:$F$9,2,FALSE)</f>
        <v>Work</v>
      </c>
      <c r="R20" s="25" t="str">
        <f t="shared" si="0"/>
        <v>Work-Work</v>
      </c>
      <c r="S20" s="44"/>
      <c r="T20" s="44">
        <v>3</v>
      </c>
      <c r="U20" s="40">
        <v>2</v>
      </c>
      <c r="V20" s="40"/>
      <c r="W20" s="44"/>
      <c r="X20" s="44"/>
      <c r="Y20" s="45" t="s">
        <v>160</v>
      </c>
      <c r="Z20" s="46">
        <v>500</v>
      </c>
      <c r="AA20" s="25"/>
      <c r="AB20" s="25"/>
    </row>
    <row r="21" spans="2:28">
      <c r="B21" s="37">
        <v>0.46597222222222223</v>
      </c>
      <c r="C21" s="37" t="s">
        <v>179</v>
      </c>
      <c r="D21" s="38">
        <v>1</v>
      </c>
      <c r="E21" s="39">
        <v>2</v>
      </c>
      <c r="F21" s="39" t="s">
        <v>157</v>
      </c>
      <c r="G21" s="40" t="s">
        <v>157</v>
      </c>
      <c r="H21" s="39" t="s">
        <v>158</v>
      </c>
      <c r="I21" s="40">
        <v>1</v>
      </c>
      <c r="J21" s="40">
        <v>1</v>
      </c>
      <c r="K21" s="25" t="str">
        <f>VLOOKUP(J21,Key!$E$2:$F$9,2,FALSE)</f>
        <v>Home</v>
      </c>
      <c r="L21" s="39" t="s">
        <v>159</v>
      </c>
      <c r="M21" s="40" t="s">
        <v>159</v>
      </c>
      <c r="N21" s="39" t="s">
        <v>158</v>
      </c>
      <c r="O21" s="40">
        <v>4</v>
      </c>
      <c r="P21" s="40">
        <v>3</v>
      </c>
      <c r="Q21" s="25" t="str">
        <f>VLOOKUP(P21,Key!$E$2:$F$9,2,FALSE)</f>
        <v>Study</v>
      </c>
      <c r="R21" s="25" t="str">
        <f t="shared" si="0"/>
        <v>Home-Study</v>
      </c>
      <c r="S21" s="44"/>
      <c r="T21" s="44">
        <v>0.5</v>
      </c>
      <c r="U21" s="40">
        <v>2</v>
      </c>
      <c r="V21" s="40"/>
      <c r="W21" s="44"/>
      <c r="X21" s="44"/>
      <c r="Y21" s="45" t="s">
        <v>160</v>
      </c>
      <c r="Z21" s="46">
        <v>0</v>
      </c>
      <c r="AA21" s="25"/>
      <c r="AB21" s="25"/>
    </row>
    <row r="22" spans="2:28">
      <c r="B22" s="37">
        <v>0.55208333333333337</v>
      </c>
      <c r="C22" s="37" t="s">
        <v>180</v>
      </c>
      <c r="D22" s="38">
        <v>1</v>
      </c>
      <c r="E22" s="39">
        <v>2</v>
      </c>
      <c r="F22" s="39" t="s">
        <v>157</v>
      </c>
      <c r="G22" s="40" t="s">
        <v>157</v>
      </c>
      <c r="H22" s="39" t="s">
        <v>158</v>
      </c>
      <c r="I22" s="40">
        <v>2</v>
      </c>
      <c r="J22" s="40">
        <v>2</v>
      </c>
      <c r="K22" s="25" t="str">
        <f>VLOOKUP(J22,Key!$E$2:$F$9,2,FALSE)</f>
        <v>Work</v>
      </c>
      <c r="L22" s="39" t="s">
        <v>159</v>
      </c>
      <c r="M22" s="40" t="s">
        <v>159</v>
      </c>
      <c r="N22" s="39" t="s">
        <v>158</v>
      </c>
      <c r="O22" s="40">
        <v>2</v>
      </c>
      <c r="P22" s="40">
        <v>2</v>
      </c>
      <c r="Q22" s="25" t="str">
        <f>VLOOKUP(P22,Key!$E$2:$F$9,2,FALSE)</f>
        <v>Work</v>
      </c>
      <c r="R22" s="25" t="str">
        <f t="shared" si="0"/>
        <v>Work-Work</v>
      </c>
      <c r="S22" s="44">
        <v>15</v>
      </c>
      <c r="T22" s="44">
        <v>0.2</v>
      </c>
      <c r="U22" s="40">
        <v>2</v>
      </c>
      <c r="V22" s="40"/>
      <c r="W22" s="44"/>
      <c r="X22" s="44"/>
      <c r="Y22" s="45" t="s">
        <v>171</v>
      </c>
      <c r="Z22" s="46">
        <v>0</v>
      </c>
      <c r="AA22" s="25"/>
      <c r="AB22" s="25"/>
    </row>
    <row r="23" spans="2:28">
      <c r="B23" s="37">
        <v>0.67708333333333337</v>
      </c>
      <c r="C23" s="37" t="s">
        <v>181</v>
      </c>
      <c r="D23" s="38">
        <v>2</v>
      </c>
      <c r="E23" s="39">
        <v>2</v>
      </c>
      <c r="F23" s="39" t="s">
        <v>162</v>
      </c>
      <c r="G23" s="40" t="s">
        <v>159</v>
      </c>
      <c r="H23" s="39" t="s">
        <v>158</v>
      </c>
      <c r="I23" s="40">
        <v>10</v>
      </c>
      <c r="J23" s="40">
        <v>2</v>
      </c>
      <c r="K23" s="25" t="str">
        <f>VLOOKUP(J23,Key!$E$2:$F$9,2,FALSE)</f>
        <v>Work</v>
      </c>
      <c r="L23" s="39" t="s">
        <v>159</v>
      </c>
      <c r="M23" s="40" t="s">
        <v>159</v>
      </c>
      <c r="N23" s="39" t="s">
        <v>158</v>
      </c>
      <c r="O23" s="40">
        <v>10</v>
      </c>
      <c r="P23" s="40">
        <v>2</v>
      </c>
      <c r="Q23" s="25" t="str">
        <f>VLOOKUP(P23,Key!$E$2:$F$9,2,FALSE)</f>
        <v>Work</v>
      </c>
      <c r="R23" s="25" t="str">
        <f t="shared" si="0"/>
        <v>Work-Work</v>
      </c>
      <c r="S23" s="44">
        <v>10</v>
      </c>
      <c r="T23" s="44">
        <v>0.1</v>
      </c>
      <c r="U23" s="40">
        <v>2</v>
      </c>
      <c r="V23" s="40"/>
      <c r="W23" s="44"/>
      <c r="X23" s="44"/>
      <c r="Y23" s="45"/>
      <c r="Z23" s="46"/>
      <c r="AA23" s="25"/>
      <c r="AB23" s="25"/>
    </row>
    <row r="24" spans="2:28">
      <c r="B24" s="37">
        <v>0.49027777777777781</v>
      </c>
      <c r="C24" s="37" t="s">
        <v>182</v>
      </c>
      <c r="D24" s="38">
        <v>9</v>
      </c>
      <c r="E24" s="39">
        <v>2</v>
      </c>
      <c r="F24" s="39" t="s">
        <v>183</v>
      </c>
      <c r="G24" s="40" t="s">
        <v>183</v>
      </c>
      <c r="H24" s="39" t="s">
        <v>158</v>
      </c>
      <c r="I24" s="40">
        <v>3</v>
      </c>
      <c r="J24" s="40">
        <v>2</v>
      </c>
      <c r="K24" s="25" t="str">
        <f>VLOOKUP(J24,Key!$E$2:$F$9,2,FALSE)</f>
        <v>Work</v>
      </c>
      <c r="L24" s="39" t="s">
        <v>184</v>
      </c>
      <c r="M24" s="40" t="s">
        <v>159</v>
      </c>
      <c r="N24" s="39" t="s">
        <v>158</v>
      </c>
      <c r="O24" s="40">
        <v>10</v>
      </c>
      <c r="P24" s="40">
        <v>2</v>
      </c>
      <c r="Q24" s="25" t="str">
        <f>VLOOKUP(P24,Key!$E$2:$F$9,2,FALSE)</f>
        <v>Work</v>
      </c>
      <c r="R24" s="25" t="str">
        <f t="shared" si="0"/>
        <v>Work-Work</v>
      </c>
      <c r="S24" s="44">
        <v>30</v>
      </c>
      <c r="T24" s="44">
        <v>1</v>
      </c>
      <c r="U24" s="40">
        <v>2</v>
      </c>
      <c r="V24" s="40"/>
      <c r="W24" s="44"/>
      <c r="X24" s="44"/>
      <c r="Y24" s="45"/>
      <c r="Z24" s="46"/>
      <c r="AA24" s="25"/>
      <c r="AB24" s="25"/>
    </row>
    <row r="25" spans="2:28">
      <c r="B25" s="37">
        <v>0.49305555555555558</v>
      </c>
      <c r="C25" s="37" t="s">
        <v>185</v>
      </c>
      <c r="D25" s="38">
        <v>7</v>
      </c>
      <c r="E25" s="39">
        <v>6</v>
      </c>
      <c r="F25" s="39" t="s">
        <v>162</v>
      </c>
      <c r="G25" s="40" t="s">
        <v>166</v>
      </c>
      <c r="H25" s="39" t="s">
        <v>158</v>
      </c>
      <c r="I25" s="40">
        <v>10</v>
      </c>
      <c r="J25" s="40">
        <v>2</v>
      </c>
      <c r="K25" s="25" t="str">
        <f>VLOOKUP(J25,Key!$E$2:$F$9,2,FALSE)</f>
        <v>Work</v>
      </c>
      <c r="L25" s="39" t="s">
        <v>186</v>
      </c>
      <c r="M25" s="40" t="s">
        <v>159</v>
      </c>
      <c r="N25" s="39" t="s">
        <v>158</v>
      </c>
      <c r="O25" s="40">
        <v>2</v>
      </c>
      <c r="P25" s="40">
        <v>2</v>
      </c>
      <c r="Q25" s="25" t="str">
        <f>VLOOKUP(P25,Key!$E$2:$F$9,2,FALSE)</f>
        <v>Work</v>
      </c>
      <c r="R25" s="25" t="str">
        <f t="shared" si="0"/>
        <v>Work-Work</v>
      </c>
      <c r="S25" s="44">
        <v>15</v>
      </c>
      <c r="T25" s="44">
        <v>0.3</v>
      </c>
      <c r="U25" s="40">
        <v>1</v>
      </c>
      <c r="V25" s="40"/>
      <c r="W25" s="44"/>
      <c r="X25" s="44"/>
      <c r="Y25" s="45" t="s">
        <v>160</v>
      </c>
      <c r="Z25" s="46">
        <v>10000</v>
      </c>
      <c r="AA25" s="25"/>
      <c r="AB25" s="25"/>
    </row>
    <row r="26" spans="2:28">
      <c r="B26" s="37">
        <v>0.52500000000000002</v>
      </c>
      <c r="C26" s="37" t="s">
        <v>187</v>
      </c>
      <c r="D26" s="38">
        <v>1</v>
      </c>
      <c r="E26" s="39"/>
      <c r="F26" s="39" t="s">
        <v>166</v>
      </c>
      <c r="G26" s="40" t="s">
        <v>166</v>
      </c>
      <c r="H26" s="39" t="s">
        <v>158</v>
      </c>
      <c r="I26" s="40">
        <v>1</v>
      </c>
      <c r="J26" s="40">
        <v>2</v>
      </c>
      <c r="K26" s="25" t="str">
        <f>VLOOKUP(J26,Key!$E$2:$F$9,2,FALSE)</f>
        <v>Work</v>
      </c>
      <c r="L26" s="39" t="s">
        <v>159</v>
      </c>
      <c r="M26" s="40" t="s">
        <v>159</v>
      </c>
      <c r="N26" s="39" t="s">
        <v>158</v>
      </c>
      <c r="O26" s="40">
        <v>10</v>
      </c>
      <c r="P26" s="40">
        <v>2</v>
      </c>
      <c r="Q26" s="25" t="str">
        <f>VLOOKUP(P26,Key!$E$2:$F$9,2,FALSE)</f>
        <v>Work</v>
      </c>
      <c r="R26" s="25" t="str">
        <f t="shared" si="0"/>
        <v>Work-Work</v>
      </c>
      <c r="S26" s="44"/>
      <c r="T26" s="44"/>
      <c r="U26" s="40">
        <v>2</v>
      </c>
      <c r="V26" s="40"/>
      <c r="W26" s="44"/>
      <c r="X26" s="44"/>
      <c r="Y26" s="45" t="s">
        <v>160</v>
      </c>
      <c r="Z26" s="46">
        <v>6000</v>
      </c>
      <c r="AA26" s="25"/>
      <c r="AB26" s="25"/>
    </row>
    <row r="27" spans="2:28">
      <c r="B27" s="37">
        <v>0.51736111111111105</v>
      </c>
      <c r="C27" s="37" t="s">
        <v>188</v>
      </c>
      <c r="D27" s="38">
        <v>3</v>
      </c>
      <c r="E27" s="39">
        <v>6</v>
      </c>
      <c r="F27" s="39" t="s">
        <v>162</v>
      </c>
      <c r="G27" s="40" t="s">
        <v>166</v>
      </c>
      <c r="H27" s="39" t="s">
        <v>158</v>
      </c>
      <c r="I27" s="40">
        <v>1</v>
      </c>
      <c r="J27" s="40">
        <v>1</v>
      </c>
      <c r="K27" s="25" t="str">
        <f>VLOOKUP(J27,Key!$E$2:$F$9,2,FALSE)</f>
        <v>Home</v>
      </c>
      <c r="L27" s="39" t="s">
        <v>159</v>
      </c>
      <c r="M27" s="40" t="s">
        <v>159</v>
      </c>
      <c r="N27" s="39" t="s">
        <v>158</v>
      </c>
      <c r="O27" s="40">
        <v>1</v>
      </c>
      <c r="P27" s="40">
        <v>1</v>
      </c>
      <c r="Q27" s="25" t="str">
        <f>VLOOKUP(P27,Key!$E$2:$F$9,2,FALSE)</f>
        <v>Home</v>
      </c>
      <c r="R27" s="25" t="str">
        <f t="shared" si="0"/>
        <v>Home-Home</v>
      </c>
      <c r="S27" s="44">
        <v>13</v>
      </c>
      <c r="T27" s="44">
        <v>0.3</v>
      </c>
      <c r="U27" s="40">
        <v>2</v>
      </c>
      <c r="V27" s="40"/>
      <c r="W27" s="44"/>
      <c r="X27" s="44"/>
      <c r="Y27" s="45" t="s">
        <v>171</v>
      </c>
      <c r="Z27" s="46">
        <v>0</v>
      </c>
      <c r="AA27" s="25"/>
      <c r="AB27" s="25"/>
    </row>
    <row r="28" spans="2:28">
      <c r="B28" s="37">
        <v>0.50347222222222221</v>
      </c>
      <c r="C28" s="37" t="s">
        <v>189</v>
      </c>
      <c r="D28" s="38">
        <v>11</v>
      </c>
      <c r="E28" s="39">
        <v>3</v>
      </c>
      <c r="F28" s="39" t="s">
        <v>162</v>
      </c>
      <c r="G28" s="40" t="s">
        <v>166</v>
      </c>
      <c r="H28" s="39" t="s">
        <v>158</v>
      </c>
      <c r="I28" s="40">
        <v>8</v>
      </c>
      <c r="J28" s="40">
        <v>2</v>
      </c>
      <c r="K28" s="25" t="str">
        <f>VLOOKUP(J28,Key!$E$2:$F$9,2,FALSE)</f>
        <v>Work</v>
      </c>
      <c r="L28" s="39" t="s">
        <v>159</v>
      </c>
      <c r="M28" s="40" t="s">
        <v>159</v>
      </c>
      <c r="N28" s="39" t="s">
        <v>158</v>
      </c>
      <c r="O28" s="40">
        <v>8</v>
      </c>
      <c r="P28" s="40">
        <v>2</v>
      </c>
      <c r="Q28" s="25" t="str">
        <f>VLOOKUP(P28,Key!$E$2:$F$9,2,FALSE)</f>
        <v>Work</v>
      </c>
      <c r="R28" s="25" t="str">
        <f t="shared" si="0"/>
        <v>Work-Work</v>
      </c>
      <c r="S28" s="44">
        <v>12</v>
      </c>
      <c r="T28" s="44">
        <v>0.3</v>
      </c>
      <c r="U28" s="40">
        <v>2</v>
      </c>
      <c r="V28" s="40"/>
      <c r="W28" s="44"/>
      <c r="X28" s="44"/>
      <c r="Y28" s="45" t="s">
        <v>160</v>
      </c>
      <c r="Z28" s="46">
        <v>1000</v>
      </c>
      <c r="AA28" s="25"/>
      <c r="AB28" s="25"/>
    </row>
    <row r="29" spans="2:28">
      <c r="B29" s="37">
        <v>0.42638888888888887</v>
      </c>
      <c r="C29" s="37" t="s">
        <v>200</v>
      </c>
      <c r="D29" s="38">
        <v>4</v>
      </c>
      <c r="E29" s="39">
        <v>14</v>
      </c>
      <c r="F29" s="39" t="s">
        <v>157</v>
      </c>
      <c r="G29" s="40" t="s">
        <v>157</v>
      </c>
      <c r="H29" s="39" t="s">
        <v>158</v>
      </c>
      <c r="I29" s="40">
        <v>6</v>
      </c>
      <c r="J29" s="40">
        <v>2</v>
      </c>
      <c r="K29" s="25" t="str">
        <f>VLOOKUP(J29,Key!$E$2:$F$9,2,FALSE)</f>
        <v>Work</v>
      </c>
      <c r="L29" s="39" t="s">
        <v>159</v>
      </c>
      <c r="M29" s="40" t="s">
        <v>159</v>
      </c>
      <c r="N29" s="39" t="s">
        <v>158</v>
      </c>
      <c r="O29" s="40">
        <v>6</v>
      </c>
      <c r="P29" s="40">
        <v>2</v>
      </c>
      <c r="Q29" s="25" t="str">
        <f>VLOOKUP(P29,Key!$E$2:$F$9,2,FALSE)</f>
        <v>Work</v>
      </c>
      <c r="R29" s="25" t="str">
        <f t="shared" si="0"/>
        <v>Work-Work</v>
      </c>
      <c r="S29" s="44">
        <v>160</v>
      </c>
      <c r="T29" s="44">
        <v>2.5</v>
      </c>
      <c r="U29" s="40">
        <v>2</v>
      </c>
      <c r="V29" s="40"/>
      <c r="W29" s="44"/>
      <c r="X29" s="44"/>
      <c r="Y29" s="45" t="s">
        <v>160</v>
      </c>
      <c r="Z29" s="46"/>
      <c r="AA29" s="25"/>
      <c r="AB29" s="25"/>
    </row>
    <row r="30" spans="2:28">
      <c r="B30" s="37">
        <v>0.54861111111111105</v>
      </c>
      <c r="C30" s="37" t="s">
        <v>201</v>
      </c>
      <c r="D30" s="38">
        <v>1</v>
      </c>
      <c r="E30" s="39">
        <v>2</v>
      </c>
      <c r="F30" s="39" t="s">
        <v>157</v>
      </c>
      <c r="G30" s="40" t="s">
        <v>157</v>
      </c>
      <c r="H30" s="39" t="s">
        <v>158</v>
      </c>
      <c r="I30" s="40">
        <v>11</v>
      </c>
      <c r="J30" s="40">
        <v>2</v>
      </c>
      <c r="K30" s="25" t="str">
        <f>VLOOKUP(J30,Key!$E$2:$F$9,2,FALSE)</f>
        <v>Work</v>
      </c>
      <c r="L30" s="39" t="s">
        <v>159</v>
      </c>
      <c r="M30" s="40" t="s">
        <v>159</v>
      </c>
      <c r="N30" s="39" t="s">
        <v>158</v>
      </c>
      <c r="O30" s="40">
        <v>10</v>
      </c>
      <c r="P30" s="40">
        <v>2</v>
      </c>
      <c r="Q30" s="25" t="str">
        <f>VLOOKUP(P30,Key!$E$2:$F$9,2,FALSE)</f>
        <v>Work</v>
      </c>
      <c r="R30" s="25" t="str">
        <f t="shared" si="0"/>
        <v>Work-Work</v>
      </c>
      <c r="S30" s="44">
        <v>10</v>
      </c>
      <c r="T30" s="44">
        <v>0.5</v>
      </c>
      <c r="U30" s="40">
        <v>2</v>
      </c>
      <c r="V30" s="40"/>
      <c r="W30" s="44"/>
      <c r="X30" s="44"/>
      <c r="Y30" s="45"/>
      <c r="Z30" s="46"/>
      <c r="AA30" s="25"/>
      <c r="AB30" s="25"/>
    </row>
    <row r="31" spans="2:28">
      <c r="B31" s="37">
        <v>0.50069444444444444</v>
      </c>
      <c r="C31" s="37" t="s">
        <v>202</v>
      </c>
      <c r="D31" s="38">
        <v>1</v>
      </c>
      <c r="E31" s="39">
        <v>3</v>
      </c>
      <c r="F31" s="39" t="s">
        <v>166</v>
      </c>
      <c r="G31" s="40" t="s">
        <v>166</v>
      </c>
      <c r="H31" s="39" t="s">
        <v>158</v>
      </c>
      <c r="I31" s="40">
        <v>1</v>
      </c>
      <c r="J31" s="40">
        <v>2</v>
      </c>
      <c r="K31" s="25" t="str">
        <f>VLOOKUP(J31,Key!$E$2:$F$9,2,FALSE)</f>
        <v>Work</v>
      </c>
      <c r="L31" s="39" t="s">
        <v>159</v>
      </c>
      <c r="M31" s="40" t="s">
        <v>159</v>
      </c>
      <c r="N31" s="39" t="s">
        <v>158</v>
      </c>
      <c r="O31" s="40">
        <v>2</v>
      </c>
      <c r="P31" s="40">
        <v>2</v>
      </c>
      <c r="Q31" s="25" t="str">
        <f>VLOOKUP(P31,Key!$E$2:$F$9,2,FALSE)</f>
        <v>Work</v>
      </c>
      <c r="R31" s="25" t="str">
        <f t="shared" si="0"/>
        <v>Work-Work</v>
      </c>
      <c r="S31" s="44">
        <v>11</v>
      </c>
      <c r="T31" s="44">
        <v>1.3</v>
      </c>
      <c r="U31" s="40">
        <v>2</v>
      </c>
      <c r="V31" s="40"/>
      <c r="W31" s="44"/>
      <c r="X31" s="44"/>
      <c r="Y31" s="45" t="s">
        <v>160</v>
      </c>
      <c r="Z31" s="46"/>
      <c r="AA31" s="25"/>
      <c r="AB31" s="25"/>
    </row>
    <row r="32" spans="2:28">
      <c r="B32" s="37">
        <v>0.46875</v>
      </c>
      <c r="C32" s="37" t="s">
        <v>203</v>
      </c>
      <c r="D32" s="38">
        <v>4</v>
      </c>
      <c r="E32" s="39">
        <v>6</v>
      </c>
      <c r="F32" s="39" t="s">
        <v>168</v>
      </c>
      <c r="G32" s="40" t="s">
        <v>166</v>
      </c>
      <c r="H32" s="39" t="s">
        <v>158</v>
      </c>
      <c r="I32" s="40">
        <v>6</v>
      </c>
      <c r="J32" s="40">
        <v>1</v>
      </c>
      <c r="K32" s="25" t="str">
        <f>VLOOKUP(J32,Key!$E$2:$F$9,2,FALSE)</f>
        <v>Home</v>
      </c>
      <c r="L32" s="39" t="s">
        <v>159</v>
      </c>
      <c r="M32" s="40" t="s">
        <v>159</v>
      </c>
      <c r="N32" s="39" t="s">
        <v>158</v>
      </c>
      <c r="O32" s="40"/>
      <c r="P32" s="40">
        <v>1</v>
      </c>
      <c r="Q32" s="25" t="str">
        <f>VLOOKUP(P32,Key!$E$2:$F$9,2,FALSE)</f>
        <v>Home</v>
      </c>
      <c r="R32" s="25" t="str">
        <f t="shared" si="0"/>
        <v>Home-Home</v>
      </c>
      <c r="S32" s="44">
        <v>12</v>
      </c>
      <c r="T32" s="44">
        <v>0.3</v>
      </c>
      <c r="U32" s="40">
        <v>2</v>
      </c>
      <c r="V32" s="40"/>
      <c r="W32" s="44"/>
      <c r="X32" s="44"/>
      <c r="Y32" s="45"/>
      <c r="Z32" s="46"/>
      <c r="AA32" s="25"/>
      <c r="AB32" s="25"/>
    </row>
    <row r="33" spans="2:28">
      <c r="B33" s="37">
        <v>0.47013888888888888</v>
      </c>
      <c r="C33" s="37" t="s">
        <v>204</v>
      </c>
      <c r="D33" s="38">
        <v>2</v>
      </c>
      <c r="E33" s="39">
        <v>4</v>
      </c>
      <c r="F33" s="39" t="s">
        <v>157</v>
      </c>
      <c r="G33" s="40" t="s">
        <v>157</v>
      </c>
      <c r="H33" s="39" t="s">
        <v>158</v>
      </c>
      <c r="I33" s="40">
        <v>1</v>
      </c>
      <c r="J33" s="40">
        <v>2</v>
      </c>
      <c r="K33" s="25" t="str">
        <f>VLOOKUP(J33,Key!$E$2:$F$9,2,FALSE)</f>
        <v>Work</v>
      </c>
      <c r="L33" s="39" t="s">
        <v>159</v>
      </c>
      <c r="M33" s="40" t="s">
        <v>159</v>
      </c>
      <c r="N33" s="39" t="s">
        <v>158</v>
      </c>
      <c r="O33" s="40">
        <v>2</v>
      </c>
      <c r="P33" s="40">
        <v>2</v>
      </c>
      <c r="Q33" s="25" t="str">
        <f>VLOOKUP(P33,Key!$E$2:$F$9,2,FALSE)</f>
        <v>Work</v>
      </c>
      <c r="R33" s="25" t="str">
        <f t="shared" si="0"/>
        <v>Work-Work</v>
      </c>
      <c r="S33" s="44"/>
      <c r="T33" s="44">
        <v>4</v>
      </c>
      <c r="U33" s="40">
        <v>2</v>
      </c>
      <c r="V33" s="40"/>
      <c r="W33" s="44"/>
      <c r="X33" s="44"/>
      <c r="Y33" s="45" t="s">
        <v>160</v>
      </c>
      <c r="Z33" s="46"/>
      <c r="AA33" s="25"/>
      <c r="AB33" s="25"/>
    </row>
    <row r="34" spans="2:28">
      <c r="B34" s="37">
        <v>0.4680555555555555</v>
      </c>
      <c r="C34" s="37" t="s">
        <v>205</v>
      </c>
      <c r="D34" s="38">
        <v>2</v>
      </c>
      <c r="E34" s="39">
        <v>2</v>
      </c>
      <c r="F34" s="39" t="s">
        <v>168</v>
      </c>
      <c r="G34" s="40" t="s">
        <v>166</v>
      </c>
      <c r="H34" s="39" t="s">
        <v>158</v>
      </c>
      <c r="I34" s="40">
        <v>1</v>
      </c>
      <c r="J34" s="40">
        <v>1</v>
      </c>
      <c r="K34" s="25" t="str">
        <f>VLOOKUP(J34,Key!$E$2:$F$9,2,FALSE)</f>
        <v>Home</v>
      </c>
      <c r="L34" s="39" t="s">
        <v>159</v>
      </c>
      <c r="M34" s="40" t="s">
        <v>159</v>
      </c>
      <c r="N34" s="39" t="s">
        <v>158</v>
      </c>
      <c r="O34" s="40">
        <v>10</v>
      </c>
      <c r="P34" s="40">
        <v>2</v>
      </c>
      <c r="Q34" s="25" t="str">
        <f>VLOOKUP(P34,Key!$E$2:$F$9,2,FALSE)</f>
        <v>Work</v>
      </c>
      <c r="R34" s="25" t="str">
        <f t="shared" si="0"/>
        <v>Home-Work</v>
      </c>
      <c r="S34" s="44"/>
      <c r="T34" s="44">
        <v>0.5</v>
      </c>
      <c r="U34" s="40">
        <v>3</v>
      </c>
      <c r="V34" s="40"/>
      <c r="W34" s="44"/>
      <c r="X34" s="44"/>
      <c r="Y34" s="45" t="s">
        <v>160</v>
      </c>
      <c r="Z34" s="46">
        <v>2000</v>
      </c>
      <c r="AA34" s="25"/>
      <c r="AB34" s="25"/>
    </row>
    <row r="35" spans="2:28">
      <c r="B35" s="37">
        <v>0.58819444444444446</v>
      </c>
      <c r="C35" s="37" t="s">
        <v>206</v>
      </c>
      <c r="D35" s="38">
        <v>2</v>
      </c>
      <c r="E35" s="39">
        <v>3</v>
      </c>
      <c r="F35" s="39" t="s">
        <v>157</v>
      </c>
      <c r="G35" s="40" t="s">
        <v>157</v>
      </c>
      <c r="H35" s="39" t="s">
        <v>158</v>
      </c>
      <c r="I35" s="40">
        <v>2</v>
      </c>
      <c r="J35" s="40">
        <v>2</v>
      </c>
      <c r="K35" s="25" t="str">
        <f>VLOOKUP(J35,Key!$E$2:$F$9,2,FALSE)</f>
        <v>Work</v>
      </c>
      <c r="L35" s="39" t="s">
        <v>159</v>
      </c>
      <c r="M35" s="40" t="s">
        <v>159</v>
      </c>
      <c r="N35" s="39" t="s">
        <v>158</v>
      </c>
      <c r="O35" s="40">
        <v>2</v>
      </c>
      <c r="P35" s="40">
        <v>2</v>
      </c>
      <c r="Q35" s="25" t="str">
        <f>VLOOKUP(P35,Key!$E$2:$F$9,2,FALSE)</f>
        <v>Work</v>
      </c>
      <c r="R35" s="25" t="str">
        <f t="shared" si="0"/>
        <v>Work-Work</v>
      </c>
      <c r="S35" s="44">
        <v>170</v>
      </c>
      <c r="T35" s="44">
        <v>2.7</v>
      </c>
      <c r="U35" s="40">
        <v>3</v>
      </c>
      <c r="V35" s="40"/>
      <c r="W35" s="44"/>
      <c r="X35" s="44"/>
      <c r="Y35" s="45" t="s">
        <v>160</v>
      </c>
      <c r="Z35" s="46">
        <v>1000</v>
      </c>
      <c r="AA35" s="25"/>
      <c r="AB35" s="25"/>
    </row>
    <row r="36" spans="2:28">
      <c r="B36" s="37">
        <v>0.57847222222222217</v>
      </c>
      <c r="C36" s="37" t="s">
        <v>207</v>
      </c>
      <c r="D36" s="38">
        <v>4</v>
      </c>
      <c r="E36" s="39">
        <v>8</v>
      </c>
      <c r="F36" s="39" t="s">
        <v>157</v>
      </c>
      <c r="G36" s="40" t="s">
        <v>157</v>
      </c>
      <c r="H36" s="39" t="s">
        <v>158</v>
      </c>
      <c r="I36" s="40">
        <v>6</v>
      </c>
      <c r="J36" s="40">
        <v>2</v>
      </c>
      <c r="K36" s="25" t="str">
        <f>VLOOKUP(J36,Key!$E$2:$F$9,2,FALSE)</f>
        <v>Work</v>
      </c>
      <c r="L36" s="39" t="s">
        <v>159</v>
      </c>
      <c r="M36" s="40" t="s">
        <v>159</v>
      </c>
      <c r="N36" s="39" t="s">
        <v>158</v>
      </c>
      <c r="O36" s="40">
        <v>6</v>
      </c>
      <c r="P36" s="40">
        <v>2</v>
      </c>
      <c r="Q36" s="25" t="str">
        <f>VLOOKUP(P36,Key!$E$2:$F$9,2,FALSE)</f>
        <v>Work</v>
      </c>
      <c r="R36" s="25" t="str">
        <f t="shared" si="0"/>
        <v>Work-Work</v>
      </c>
      <c r="S36" s="44">
        <v>156</v>
      </c>
      <c r="T36" s="44">
        <v>4</v>
      </c>
      <c r="U36" s="40">
        <v>2</v>
      </c>
      <c r="V36" s="40"/>
      <c r="W36" s="44"/>
      <c r="X36" s="44"/>
      <c r="Y36" s="45" t="s">
        <v>160</v>
      </c>
      <c r="Z36" s="46"/>
      <c r="AA36" s="25"/>
      <c r="AB36" s="25"/>
    </row>
    <row r="37" spans="2:28">
      <c r="B37" s="37">
        <v>0.44097222222222227</v>
      </c>
      <c r="C37" s="37" t="s">
        <v>208</v>
      </c>
      <c r="D37" s="38">
        <v>2</v>
      </c>
      <c r="E37" s="39">
        <v>5</v>
      </c>
      <c r="F37" s="39" t="s">
        <v>157</v>
      </c>
      <c r="G37" s="40" t="s">
        <v>157</v>
      </c>
      <c r="H37" s="39" t="s">
        <v>158</v>
      </c>
      <c r="I37" s="40">
        <v>1</v>
      </c>
      <c r="J37" s="40">
        <v>1</v>
      </c>
      <c r="K37" s="25" t="str">
        <f>VLOOKUP(J37,Key!$E$2:$F$9,2,FALSE)</f>
        <v>Home</v>
      </c>
      <c r="L37" s="39" t="s">
        <v>159</v>
      </c>
      <c r="M37" s="40" t="s">
        <v>159</v>
      </c>
      <c r="N37" s="39" t="s">
        <v>158</v>
      </c>
      <c r="O37" s="40">
        <v>3</v>
      </c>
      <c r="P37" s="40">
        <v>2</v>
      </c>
      <c r="Q37" s="25" t="str">
        <f>VLOOKUP(P37,Key!$E$2:$F$9,2,FALSE)</f>
        <v>Work</v>
      </c>
      <c r="R37" s="25" t="str">
        <f t="shared" si="0"/>
        <v>Home-Work</v>
      </c>
      <c r="S37" s="44">
        <v>13</v>
      </c>
      <c r="T37" s="44"/>
      <c r="U37" s="40">
        <v>2</v>
      </c>
      <c r="V37" s="40"/>
      <c r="W37" s="44"/>
      <c r="X37" s="44"/>
      <c r="Y37" s="45" t="s">
        <v>171</v>
      </c>
      <c r="Z37" s="46">
        <v>5000</v>
      </c>
      <c r="AA37" s="25"/>
      <c r="AB37" s="25"/>
    </row>
    <row r="38" spans="2:28">
      <c r="B38" s="37">
        <v>0.44930555555555557</v>
      </c>
      <c r="C38" s="37" t="s">
        <v>209</v>
      </c>
      <c r="D38" s="38">
        <v>4</v>
      </c>
      <c r="E38" s="39">
        <v>1</v>
      </c>
      <c r="F38" s="39" t="s">
        <v>210</v>
      </c>
      <c r="G38" s="40"/>
      <c r="H38" s="39" t="s">
        <v>158</v>
      </c>
      <c r="I38" s="40">
        <v>1</v>
      </c>
      <c r="J38" s="40">
        <v>1</v>
      </c>
      <c r="K38" s="25" t="str">
        <f>VLOOKUP(J38,Key!$E$2:$F$9,2,FALSE)</f>
        <v>Home</v>
      </c>
      <c r="L38" s="39" t="s">
        <v>159</v>
      </c>
      <c r="M38" s="40" t="s">
        <v>159</v>
      </c>
      <c r="N38" s="39" t="s">
        <v>158</v>
      </c>
      <c r="O38" s="40">
        <v>4</v>
      </c>
      <c r="P38" s="40">
        <v>3</v>
      </c>
      <c r="Q38" s="25" t="str">
        <f>VLOOKUP(P38,Key!$E$2:$F$9,2,FALSE)</f>
        <v>Study</v>
      </c>
      <c r="R38" s="25" t="str">
        <f t="shared" ref="R38:R41" si="1">K38&amp;"-"&amp;Q38</f>
        <v>Home-Study</v>
      </c>
      <c r="S38" s="44">
        <v>33</v>
      </c>
      <c r="T38" s="44">
        <v>1</v>
      </c>
      <c r="U38" s="40">
        <v>2</v>
      </c>
      <c r="V38" s="40"/>
      <c r="W38" s="44"/>
      <c r="X38" s="44"/>
      <c r="Y38" s="45" t="s">
        <v>160</v>
      </c>
      <c r="Z38" s="46">
        <v>5000</v>
      </c>
      <c r="AA38" s="25"/>
      <c r="AB38" s="25"/>
    </row>
    <row r="39" spans="2:28">
      <c r="B39" s="37">
        <v>0.3888888888888889</v>
      </c>
      <c r="C39" s="37" t="s">
        <v>211</v>
      </c>
      <c r="D39" s="38">
        <v>2</v>
      </c>
      <c r="E39" s="39">
        <v>2</v>
      </c>
      <c r="F39" s="39" t="s">
        <v>212</v>
      </c>
      <c r="G39" s="40" t="s">
        <v>212</v>
      </c>
      <c r="H39" s="39" t="s">
        <v>158</v>
      </c>
      <c r="I39" s="40">
        <v>1</v>
      </c>
      <c r="J39" s="40">
        <v>1</v>
      </c>
      <c r="K39" s="25" t="str">
        <f>VLOOKUP(J39,Key!$E$2:$F$9,2,FALSE)</f>
        <v>Home</v>
      </c>
      <c r="L39" s="39" t="s">
        <v>159</v>
      </c>
      <c r="M39" s="40" t="s">
        <v>159</v>
      </c>
      <c r="N39" s="39" t="s">
        <v>158</v>
      </c>
      <c r="O39" s="40">
        <v>3</v>
      </c>
      <c r="P39" s="40">
        <v>2</v>
      </c>
      <c r="Q39" s="25" t="str">
        <f>VLOOKUP(P39,Key!$E$2:$F$9,2,FALSE)</f>
        <v>Work</v>
      </c>
      <c r="R39" s="25" t="str">
        <f t="shared" si="1"/>
        <v>Home-Work</v>
      </c>
      <c r="S39" s="44">
        <v>12</v>
      </c>
      <c r="T39" s="44">
        <v>0.5</v>
      </c>
      <c r="U39" s="40">
        <v>6</v>
      </c>
      <c r="V39" s="40"/>
      <c r="W39" s="44"/>
      <c r="X39" s="44"/>
      <c r="Y39" s="45" t="s">
        <v>160</v>
      </c>
      <c r="Z39" s="46"/>
      <c r="AA39" s="25"/>
      <c r="AB39" s="25"/>
    </row>
    <row r="40" spans="2:28">
      <c r="B40" s="37">
        <v>0.40833333333333338</v>
      </c>
      <c r="C40" s="37" t="s">
        <v>217</v>
      </c>
      <c r="D40" s="38">
        <v>11</v>
      </c>
      <c r="E40" s="39">
        <v>2</v>
      </c>
      <c r="F40" s="39" t="s">
        <v>157</v>
      </c>
      <c r="G40" s="40" t="s">
        <v>157</v>
      </c>
      <c r="H40" s="39" t="s">
        <v>158</v>
      </c>
      <c r="I40" s="40">
        <v>8</v>
      </c>
      <c r="J40" s="40">
        <v>2</v>
      </c>
      <c r="K40" s="25" t="str">
        <f>VLOOKUP(J40,Key!$E$2:$F$9,2,FALSE)</f>
        <v>Work</v>
      </c>
      <c r="L40" s="39" t="s">
        <v>159</v>
      </c>
      <c r="M40" s="40" t="s">
        <v>159</v>
      </c>
      <c r="N40" s="39" t="s">
        <v>158</v>
      </c>
      <c r="O40" s="40">
        <v>8</v>
      </c>
      <c r="P40" s="40">
        <v>2</v>
      </c>
      <c r="Q40" s="25" t="str">
        <f>VLOOKUP(P40,Key!$E$2:$F$9,2,FALSE)</f>
        <v>Work</v>
      </c>
      <c r="R40" s="25" t="str">
        <f t="shared" si="1"/>
        <v>Work-Work</v>
      </c>
      <c r="S40" s="44">
        <v>16</v>
      </c>
      <c r="T40" s="44">
        <v>0.7</v>
      </c>
      <c r="U40" s="40">
        <v>2</v>
      </c>
      <c r="V40" s="40"/>
      <c r="W40" s="44"/>
      <c r="X40" s="44"/>
      <c r="Y40" s="45" t="s">
        <v>160</v>
      </c>
      <c r="Z40" s="46"/>
      <c r="AA40" s="25"/>
      <c r="AB40" s="25"/>
    </row>
    <row r="41" spans="2:28">
      <c r="B41" s="37">
        <v>0.41180555555555554</v>
      </c>
      <c r="C41" s="37" t="s">
        <v>222</v>
      </c>
      <c r="D41" s="38">
        <v>1</v>
      </c>
      <c r="E41" s="39">
        <v>1</v>
      </c>
      <c r="F41" s="39" t="s">
        <v>183</v>
      </c>
      <c r="G41" s="40" t="s">
        <v>183</v>
      </c>
      <c r="H41" s="39" t="s">
        <v>158</v>
      </c>
      <c r="I41" s="40"/>
      <c r="J41" s="40">
        <v>2</v>
      </c>
      <c r="K41" s="25" t="str">
        <f>VLOOKUP(J41,Key!$E$2:$F$9,2,FALSE)</f>
        <v>Work</v>
      </c>
      <c r="L41" s="39" t="s">
        <v>159</v>
      </c>
      <c r="M41" s="40" t="s">
        <v>159</v>
      </c>
      <c r="N41" s="39" t="s">
        <v>158</v>
      </c>
      <c r="O41" s="40">
        <v>2</v>
      </c>
      <c r="P41" s="40">
        <v>2</v>
      </c>
      <c r="Q41" s="25" t="str">
        <f>VLOOKUP(P41,Key!$E$2:$F$9,2,FALSE)</f>
        <v>Work</v>
      </c>
      <c r="R41" s="25" t="str">
        <f t="shared" si="1"/>
        <v>Work-Work</v>
      </c>
      <c r="S41" s="44">
        <v>600</v>
      </c>
      <c r="T41" s="44">
        <v>8</v>
      </c>
      <c r="U41" s="40">
        <v>2</v>
      </c>
      <c r="V41" s="40"/>
      <c r="W41" s="44"/>
      <c r="X41" s="44"/>
      <c r="Y41" s="45" t="s">
        <v>171</v>
      </c>
      <c r="Z41" s="46"/>
      <c r="AA41" s="25"/>
      <c r="AB41" s="25"/>
    </row>
    <row r="105" ht="12" customHeight="1"/>
    <row r="143" spans="1:1">
      <c r="A143" s="14"/>
    </row>
    <row r="144" spans="1:1">
      <c r="A144" s="14"/>
    </row>
    <row r="145" spans="1:1">
      <c r="A145" s="14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19" t="s">
        <v>0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19" t="s">
        <v>1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23" t="s">
        <v>8</v>
      </c>
      <c r="C7" s="113" t="s">
        <v>9</v>
      </c>
      <c r="D7" s="113" t="s">
        <v>10</v>
      </c>
      <c r="E7" s="113" t="s">
        <v>11</v>
      </c>
      <c r="F7" s="113" t="s">
        <v>12</v>
      </c>
      <c r="G7" s="113"/>
      <c r="H7" s="113" t="s">
        <v>15</v>
      </c>
      <c r="I7" s="113" t="s">
        <v>16</v>
      </c>
      <c r="J7" s="113" t="s">
        <v>17</v>
      </c>
      <c r="K7" s="113"/>
      <c r="L7" s="113" t="s">
        <v>18</v>
      </c>
      <c r="M7" s="113" t="s">
        <v>19</v>
      </c>
      <c r="N7" s="113" t="s">
        <v>20</v>
      </c>
      <c r="O7" s="129" t="s">
        <v>21</v>
      </c>
      <c r="P7" s="131" t="s">
        <v>27</v>
      </c>
      <c r="Q7" s="132"/>
    </row>
    <row r="8" spans="2:25" ht="24.75" customHeight="1" thickBot="1">
      <c r="B8" s="135"/>
      <c r="C8" s="136"/>
      <c r="D8" s="136"/>
      <c r="E8" s="136"/>
      <c r="F8" s="18" t="s">
        <v>13</v>
      </c>
      <c r="G8" s="18" t="s">
        <v>14</v>
      </c>
      <c r="H8" s="136"/>
      <c r="I8" s="136"/>
      <c r="J8" s="18" t="s">
        <v>13</v>
      </c>
      <c r="K8" s="18" t="s">
        <v>14</v>
      </c>
      <c r="L8" s="136"/>
      <c r="M8" s="136"/>
      <c r="N8" s="136"/>
      <c r="O8" s="137"/>
      <c r="P8" s="133"/>
      <c r="Q8" s="134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45"/>
  <sheetViews>
    <sheetView topLeftCell="A19" zoomScale="75" zoomScaleNormal="75" zoomScaleSheetLayoutView="80" workbookViewId="0">
      <selection activeCell="B9" sqref="B9:AB4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9" t="s">
        <v>131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"/>
      <c r="AD1" s="6"/>
      <c r="AE1" s="6"/>
      <c r="AF1" s="6"/>
      <c r="AG1" s="6"/>
      <c r="AH1" s="6"/>
      <c r="AI1" s="6"/>
    </row>
    <row r="2" spans="2:35" ht="15">
      <c r="B2" s="119" t="s">
        <v>1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2" t="str">
        <f>'08.08 Soroti-Moroto'!C4</f>
        <v>08.08.19</v>
      </c>
      <c r="E4" s="1" t="s">
        <v>66</v>
      </c>
      <c r="F4" s="138" t="str">
        <f>'08.08 Soroti-Moroto'!F4:G4</f>
        <v>Moroto Soroti road</v>
      </c>
      <c r="G4" s="139"/>
      <c r="I4" s="27" t="s">
        <v>67</v>
      </c>
      <c r="J4" s="5"/>
      <c r="K4" s="5"/>
      <c r="L4" s="59" t="s">
        <v>152</v>
      </c>
      <c r="M4" s="2"/>
      <c r="N4" s="1" t="s">
        <v>69</v>
      </c>
      <c r="O4" s="122" t="s">
        <v>70</v>
      </c>
      <c r="P4" s="122"/>
      <c r="Q4" s="122"/>
      <c r="R4" s="122"/>
      <c r="S4" s="122"/>
      <c r="T4" s="122"/>
      <c r="V4" s="1" t="s">
        <v>71</v>
      </c>
      <c r="W4" s="63" t="str">
        <f>'08.08 Soroti-Moroto'!W4</f>
        <v>Patrick</v>
      </c>
      <c r="Y4" s="27" t="s">
        <v>6</v>
      </c>
      <c r="Z4" s="64" t="str">
        <f>'08.08 Soroti-Moroto'!Z4</f>
        <v>Genevivie Ankunda</v>
      </c>
      <c r="AA4" s="31" t="s">
        <v>7</v>
      </c>
      <c r="AB4" s="64" t="str">
        <f>'08.08 Soroti-Moroto'!AB4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47" t="s">
        <v>151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3" t="s">
        <v>34</v>
      </c>
      <c r="C7" s="111" t="s">
        <v>57</v>
      </c>
      <c r="D7" s="113" t="s">
        <v>9</v>
      </c>
      <c r="E7" s="111" t="s">
        <v>35</v>
      </c>
      <c r="F7" s="126" t="s">
        <v>12</v>
      </c>
      <c r="G7" s="127"/>
      <c r="H7" s="128"/>
      <c r="I7" s="113" t="s">
        <v>60</v>
      </c>
      <c r="J7" s="111" t="s">
        <v>15</v>
      </c>
      <c r="K7" s="111" t="s">
        <v>132</v>
      </c>
      <c r="L7" s="126" t="s">
        <v>17</v>
      </c>
      <c r="M7" s="127"/>
      <c r="N7" s="128"/>
      <c r="O7" s="113" t="s">
        <v>61</v>
      </c>
      <c r="P7" s="111" t="s">
        <v>18</v>
      </c>
      <c r="Q7" s="111" t="s">
        <v>133</v>
      </c>
      <c r="R7" s="111" t="s">
        <v>134</v>
      </c>
      <c r="S7" s="111" t="s">
        <v>136</v>
      </c>
      <c r="T7" s="111" t="s">
        <v>135</v>
      </c>
      <c r="U7" s="111" t="s">
        <v>62</v>
      </c>
      <c r="V7" s="116" t="s">
        <v>65</v>
      </c>
      <c r="W7" s="117"/>
      <c r="X7" s="118"/>
      <c r="Y7" s="111" t="s">
        <v>64</v>
      </c>
      <c r="Z7" s="111" t="s">
        <v>139</v>
      </c>
      <c r="AA7" s="113" t="s">
        <v>20</v>
      </c>
      <c r="AB7" s="129" t="s">
        <v>21</v>
      </c>
      <c r="AD7" s="19"/>
    </row>
    <row r="8" spans="2:35" ht="38.25" customHeight="1">
      <c r="B8" s="124"/>
      <c r="C8" s="112"/>
      <c r="D8" s="114"/>
      <c r="E8" s="125"/>
      <c r="F8" s="23" t="s">
        <v>73</v>
      </c>
      <c r="G8" s="23" t="s">
        <v>58</v>
      </c>
      <c r="H8" s="24" t="s">
        <v>59</v>
      </c>
      <c r="I8" s="114"/>
      <c r="J8" s="112"/>
      <c r="K8" s="112"/>
      <c r="L8" s="23" t="s">
        <v>73</v>
      </c>
      <c r="M8" s="23" t="s">
        <v>58</v>
      </c>
      <c r="N8" s="23" t="s">
        <v>59</v>
      </c>
      <c r="O8" s="114"/>
      <c r="P8" s="112"/>
      <c r="Q8" s="112"/>
      <c r="R8" s="112"/>
      <c r="S8" s="112"/>
      <c r="T8" s="112"/>
      <c r="U8" s="112"/>
      <c r="V8" s="29" t="s">
        <v>63</v>
      </c>
      <c r="W8" s="30" t="s">
        <v>137</v>
      </c>
      <c r="X8" s="30" t="s">
        <v>138</v>
      </c>
      <c r="Y8" s="112"/>
      <c r="Z8" s="112"/>
      <c r="AA8" s="114"/>
      <c r="AB8" s="130"/>
    </row>
    <row r="9" spans="2:35" s="19" customFormat="1">
      <c r="B9" s="37">
        <v>0.72777777777777775</v>
      </c>
      <c r="C9" s="37" t="s">
        <v>173</v>
      </c>
      <c r="D9" s="38">
        <v>9</v>
      </c>
      <c r="E9" s="39">
        <v>2</v>
      </c>
      <c r="F9" s="39" t="s">
        <v>159</v>
      </c>
      <c r="G9" s="40" t="s">
        <v>159</v>
      </c>
      <c r="H9" s="39" t="s">
        <v>158</v>
      </c>
      <c r="I9" s="40">
        <v>10</v>
      </c>
      <c r="J9" s="40">
        <v>2</v>
      </c>
      <c r="K9" s="25" t="str">
        <f>VLOOKUP(J9,Key!$E$2:$F$9,2,FALSE)</f>
        <v>Work</v>
      </c>
      <c r="L9" s="39" t="s">
        <v>157</v>
      </c>
      <c r="M9" s="40" t="s">
        <v>157</v>
      </c>
      <c r="N9" s="39" t="s">
        <v>158</v>
      </c>
      <c r="O9" s="40">
        <v>11</v>
      </c>
      <c r="P9" s="40">
        <v>2</v>
      </c>
      <c r="Q9" s="25" t="str">
        <f>VLOOKUP(P9,Key!$E$2:$F$9,2,FALSE)</f>
        <v>Work</v>
      </c>
      <c r="R9" s="25" t="str">
        <f>K9&amp;"-"&amp;Q9</f>
        <v>Work-Work</v>
      </c>
      <c r="S9" s="44">
        <v>160</v>
      </c>
      <c r="T9" s="44">
        <v>2.2000000000000002</v>
      </c>
      <c r="U9" s="40">
        <v>2</v>
      </c>
      <c r="V9" s="40"/>
      <c r="W9" s="44"/>
      <c r="X9" s="44"/>
      <c r="Y9" s="45" t="s">
        <v>160</v>
      </c>
      <c r="Z9" s="46">
        <v>3000</v>
      </c>
      <c r="AA9" s="25"/>
      <c r="AB9" s="25"/>
    </row>
    <row r="10" spans="2:35">
      <c r="B10" s="37">
        <v>0.51388888888888895</v>
      </c>
      <c r="C10" s="37" t="s">
        <v>190</v>
      </c>
      <c r="D10" s="38">
        <v>1</v>
      </c>
      <c r="E10" s="39">
        <v>2</v>
      </c>
      <c r="F10" s="39" t="s">
        <v>159</v>
      </c>
      <c r="G10" s="40" t="s">
        <v>159</v>
      </c>
      <c r="H10" s="39" t="s">
        <v>158</v>
      </c>
      <c r="I10" s="40">
        <v>2</v>
      </c>
      <c r="J10" s="40">
        <v>1</v>
      </c>
      <c r="K10" s="25" t="str">
        <f>VLOOKUP(J10,Key!$E$2:$F$9,2,FALSE)</f>
        <v>Home</v>
      </c>
      <c r="L10" s="39" t="s">
        <v>157</v>
      </c>
      <c r="M10" s="40" t="s">
        <v>157</v>
      </c>
      <c r="N10" s="39" t="s">
        <v>158</v>
      </c>
      <c r="O10" s="40">
        <v>1</v>
      </c>
      <c r="P10" s="40">
        <v>1</v>
      </c>
      <c r="Q10" s="25" t="str">
        <f>VLOOKUP(P10,Key!$E$2:$F$9,2,FALSE)</f>
        <v>Home</v>
      </c>
      <c r="R10" s="25" t="str">
        <f t="shared" ref="R10:R37" si="0">K10&amp;"-"&amp;Q10</f>
        <v>Home-Home</v>
      </c>
      <c r="S10" s="44">
        <v>50</v>
      </c>
      <c r="T10" s="44">
        <v>1</v>
      </c>
      <c r="U10" s="40"/>
      <c r="V10" s="40"/>
      <c r="W10" s="44"/>
      <c r="X10" s="44"/>
      <c r="Y10" s="45" t="s">
        <v>160</v>
      </c>
      <c r="Z10" s="46">
        <v>3000</v>
      </c>
      <c r="AA10" s="25"/>
      <c r="AB10" s="25"/>
    </row>
    <row r="11" spans="2:35">
      <c r="B11" s="37">
        <v>0.38472222222222219</v>
      </c>
      <c r="C11" s="37" t="s">
        <v>191</v>
      </c>
      <c r="D11" s="38">
        <v>11</v>
      </c>
      <c r="E11" s="39">
        <v>3</v>
      </c>
      <c r="F11" s="39" t="s">
        <v>159</v>
      </c>
      <c r="G11" s="40" t="s">
        <v>159</v>
      </c>
      <c r="H11" s="39" t="s">
        <v>158</v>
      </c>
      <c r="I11" s="40">
        <v>1</v>
      </c>
      <c r="J11" s="40">
        <v>1</v>
      </c>
      <c r="K11" s="25" t="str">
        <f>VLOOKUP(J11,Key!$E$2:$F$9,2,FALSE)</f>
        <v>Home</v>
      </c>
      <c r="L11" s="39" t="s">
        <v>166</v>
      </c>
      <c r="M11" s="40" t="s">
        <v>166</v>
      </c>
      <c r="N11" s="39" t="s">
        <v>158</v>
      </c>
      <c r="O11" s="40">
        <v>8</v>
      </c>
      <c r="P11" s="40">
        <v>2</v>
      </c>
      <c r="Q11" s="25" t="str">
        <f>VLOOKUP(P11,Key!$E$2:$F$9,2,FALSE)</f>
        <v>Work</v>
      </c>
      <c r="R11" s="25" t="str">
        <f t="shared" si="0"/>
        <v>Home-Work</v>
      </c>
      <c r="S11" s="44">
        <v>18</v>
      </c>
      <c r="T11" s="44">
        <v>0.3</v>
      </c>
      <c r="U11" s="40">
        <v>2</v>
      </c>
      <c r="V11" s="40"/>
      <c r="W11" s="44"/>
      <c r="X11" s="44"/>
      <c r="Y11" s="45" t="s">
        <v>160</v>
      </c>
      <c r="Z11" s="46">
        <v>0</v>
      </c>
      <c r="AA11" s="25"/>
      <c r="AB11" s="25"/>
    </row>
    <row r="12" spans="2:35">
      <c r="B12" s="37">
        <v>0.38680555555555557</v>
      </c>
      <c r="C12" s="37" t="s">
        <v>192</v>
      </c>
      <c r="D12" s="38">
        <v>2</v>
      </c>
      <c r="E12" s="39">
        <v>1</v>
      </c>
      <c r="F12" s="39" t="s">
        <v>159</v>
      </c>
      <c r="G12" s="40" t="s">
        <v>159</v>
      </c>
      <c r="H12" s="39" t="s">
        <v>158</v>
      </c>
      <c r="I12" s="40">
        <v>1</v>
      </c>
      <c r="J12" s="40">
        <v>1</v>
      </c>
      <c r="K12" s="25" t="str">
        <f>VLOOKUP(J12,Key!$E$2:$F$9,2,FALSE)</f>
        <v>Home</v>
      </c>
      <c r="L12" s="39" t="s">
        <v>166</v>
      </c>
      <c r="M12" s="40" t="s">
        <v>166</v>
      </c>
      <c r="N12" s="39" t="s">
        <v>158</v>
      </c>
      <c r="O12" s="40">
        <v>2</v>
      </c>
      <c r="P12" s="40">
        <v>2</v>
      </c>
      <c r="Q12" s="25" t="str">
        <f>VLOOKUP(P12,Key!$E$2:$F$9,2,FALSE)</f>
        <v>Work</v>
      </c>
      <c r="R12" s="25" t="str">
        <f t="shared" si="0"/>
        <v>Home-Work</v>
      </c>
      <c r="S12" s="44"/>
      <c r="T12" s="44">
        <v>0.3</v>
      </c>
      <c r="U12" s="40">
        <v>6</v>
      </c>
      <c r="V12" s="40"/>
      <c r="W12" s="44"/>
      <c r="X12" s="44"/>
      <c r="Y12" s="45" t="s">
        <v>160</v>
      </c>
      <c r="Z12" s="46">
        <v>0</v>
      </c>
      <c r="AA12" s="25"/>
      <c r="AB12" s="25"/>
    </row>
    <row r="13" spans="2:35">
      <c r="B13" s="37">
        <v>0.39027777777777778</v>
      </c>
      <c r="C13" s="37" t="s">
        <v>193</v>
      </c>
      <c r="D13" s="38">
        <v>1</v>
      </c>
      <c r="E13" s="39">
        <v>4</v>
      </c>
      <c r="F13" s="39" t="s">
        <v>159</v>
      </c>
      <c r="G13" s="40" t="s">
        <v>159</v>
      </c>
      <c r="H13" s="39" t="s">
        <v>158</v>
      </c>
      <c r="I13" s="40">
        <v>1</v>
      </c>
      <c r="J13" s="40">
        <v>1</v>
      </c>
      <c r="K13" s="25" t="str">
        <f>VLOOKUP(J13,Key!$E$2:$F$9,2,FALSE)</f>
        <v>Home</v>
      </c>
      <c r="L13" s="39" t="s">
        <v>166</v>
      </c>
      <c r="M13" s="40" t="s">
        <v>166</v>
      </c>
      <c r="N13" s="39" t="s">
        <v>158</v>
      </c>
      <c r="O13" s="40">
        <v>4</v>
      </c>
      <c r="P13" s="40">
        <v>3</v>
      </c>
      <c r="Q13" s="25" t="str">
        <f>VLOOKUP(P13,Key!$E$2:$F$9,2,FALSE)</f>
        <v>Study</v>
      </c>
      <c r="R13" s="25" t="str">
        <f t="shared" si="0"/>
        <v>Home-Study</v>
      </c>
      <c r="S13" s="44">
        <v>42</v>
      </c>
      <c r="T13" s="44">
        <v>0.3</v>
      </c>
      <c r="U13" s="40">
        <v>2</v>
      </c>
      <c r="V13" s="40"/>
      <c r="W13" s="44"/>
      <c r="X13" s="44"/>
      <c r="Y13" s="45" t="s">
        <v>160</v>
      </c>
      <c r="Z13" s="46">
        <v>0</v>
      </c>
      <c r="AA13" s="25"/>
      <c r="AB13" s="25"/>
    </row>
    <row r="14" spans="2:35">
      <c r="B14" s="37">
        <v>0.39652777777777781</v>
      </c>
      <c r="C14" s="37" t="s">
        <v>194</v>
      </c>
      <c r="D14" s="38">
        <v>9</v>
      </c>
      <c r="E14" s="39">
        <v>4</v>
      </c>
      <c r="F14" s="39" t="s">
        <v>159</v>
      </c>
      <c r="G14" s="40" t="s">
        <v>159</v>
      </c>
      <c r="H14" s="39" t="s">
        <v>158</v>
      </c>
      <c r="I14" s="40">
        <v>1</v>
      </c>
      <c r="J14" s="40">
        <v>1</v>
      </c>
      <c r="K14" s="25" t="str">
        <f>VLOOKUP(J14,Key!$E$2:$F$9,2,FALSE)</f>
        <v>Home</v>
      </c>
      <c r="L14" s="39" t="s">
        <v>195</v>
      </c>
      <c r="M14" s="40" t="s">
        <v>195</v>
      </c>
      <c r="N14" s="39" t="s">
        <v>158</v>
      </c>
      <c r="O14" s="40">
        <v>9</v>
      </c>
      <c r="P14" s="40">
        <v>2</v>
      </c>
      <c r="Q14" s="25" t="str">
        <f>VLOOKUP(P14,Key!$E$2:$F$9,2,FALSE)</f>
        <v>Work</v>
      </c>
      <c r="R14" s="25" t="str">
        <f t="shared" si="0"/>
        <v>Home-Work</v>
      </c>
      <c r="S14" s="44">
        <v>322</v>
      </c>
      <c r="T14" s="44">
        <v>7</v>
      </c>
      <c r="U14" s="40">
        <v>2</v>
      </c>
      <c r="V14" s="40">
        <v>7</v>
      </c>
      <c r="W14" s="44">
        <v>26</v>
      </c>
      <c r="X14" s="44"/>
      <c r="Y14" s="45" t="s">
        <v>160</v>
      </c>
      <c r="Z14" s="46">
        <v>0</v>
      </c>
      <c r="AA14" s="25"/>
      <c r="AB14" s="25"/>
    </row>
    <row r="15" spans="2:35">
      <c r="B15" s="37">
        <v>0.40486111111111112</v>
      </c>
      <c r="C15" s="37" t="s">
        <v>196</v>
      </c>
      <c r="D15" s="38">
        <v>3</v>
      </c>
      <c r="E15" s="39">
        <v>8</v>
      </c>
      <c r="F15" s="39" t="s">
        <v>159</v>
      </c>
      <c r="G15" s="40" t="s">
        <v>159</v>
      </c>
      <c r="H15" s="39" t="s">
        <v>158</v>
      </c>
      <c r="I15" s="40">
        <v>1</v>
      </c>
      <c r="J15" s="40">
        <v>1</v>
      </c>
      <c r="K15" s="25" t="str">
        <f>VLOOKUP(J15,Key!$E$2:$F$9,2,FALSE)</f>
        <v>Home</v>
      </c>
      <c r="L15" s="39" t="s">
        <v>166</v>
      </c>
      <c r="M15" s="40" t="s">
        <v>166</v>
      </c>
      <c r="N15" s="39" t="s">
        <v>158</v>
      </c>
      <c r="O15" s="40">
        <v>3</v>
      </c>
      <c r="P15" s="40">
        <v>2</v>
      </c>
      <c r="Q15" s="25" t="str">
        <f>VLOOKUP(P15,Key!$E$2:$F$9,2,FALSE)</f>
        <v>Work</v>
      </c>
      <c r="R15" s="25" t="str">
        <f t="shared" si="0"/>
        <v>Home-Work</v>
      </c>
      <c r="S15" s="44">
        <v>42</v>
      </c>
      <c r="T15" s="44">
        <v>0.2</v>
      </c>
      <c r="U15" s="40">
        <v>2</v>
      </c>
      <c r="V15" s="40"/>
      <c r="W15" s="44"/>
      <c r="X15" s="44"/>
      <c r="Y15" s="45" t="s">
        <v>160</v>
      </c>
      <c r="Z15" s="46">
        <v>0</v>
      </c>
      <c r="AA15" s="25"/>
      <c r="AB15" s="25"/>
    </row>
    <row r="16" spans="2:35">
      <c r="B16" s="37">
        <v>0.40416666666666662</v>
      </c>
      <c r="C16" s="37" t="s">
        <v>197</v>
      </c>
      <c r="D16" s="38">
        <v>3</v>
      </c>
      <c r="E16" s="39">
        <v>2</v>
      </c>
      <c r="F16" s="39" t="s">
        <v>159</v>
      </c>
      <c r="G16" s="40" t="s">
        <v>159</v>
      </c>
      <c r="H16" s="39" t="s">
        <v>158</v>
      </c>
      <c r="I16" s="40">
        <v>1</v>
      </c>
      <c r="J16" s="40">
        <v>1</v>
      </c>
      <c r="K16" s="25" t="str">
        <f>VLOOKUP(J16,Key!$E$2:$F$9,2,FALSE)</f>
        <v>Home</v>
      </c>
      <c r="L16" s="39" t="s">
        <v>166</v>
      </c>
      <c r="M16" s="40" t="s">
        <v>166</v>
      </c>
      <c r="N16" s="39" t="s">
        <v>158</v>
      </c>
      <c r="O16" s="40">
        <v>2</v>
      </c>
      <c r="P16" s="40">
        <v>2</v>
      </c>
      <c r="Q16" s="25" t="str">
        <f>VLOOKUP(P16,Key!$E$2:$F$9,2,FALSE)</f>
        <v>Work</v>
      </c>
      <c r="R16" s="25" t="str">
        <f t="shared" si="0"/>
        <v>Home-Work</v>
      </c>
      <c r="S16" s="44">
        <v>42</v>
      </c>
      <c r="T16" s="44"/>
      <c r="U16" s="40">
        <v>2</v>
      </c>
      <c r="V16" s="40"/>
      <c r="W16" s="44"/>
      <c r="X16" s="44"/>
      <c r="Y16" s="45" t="s">
        <v>160</v>
      </c>
      <c r="Z16" s="46">
        <v>0</v>
      </c>
      <c r="AA16" s="25"/>
      <c r="AB16" s="25"/>
    </row>
    <row r="17" spans="2:28">
      <c r="B17" s="37">
        <v>0.41666666666666669</v>
      </c>
      <c r="C17" s="37" t="s">
        <v>198</v>
      </c>
      <c r="D17" s="38">
        <v>11</v>
      </c>
      <c r="E17" s="39">
        <v>1</v>
      </c>
      <c r="F17" s="39" t="s">
        <v>159</v>
      </c>
      <c r="G17" s="40" t="s">
        <v>159</v>
      </c>
      <c r="H17" s="39" t="s">
        <v>158</v>
      </c>
      <c r="I17" s="40">
        <v>8</v>
      </c>
      <c r="J17" s="40">
        <v>2</v>
      </c>
      <c r="K17" s="25" t="str">
        <f>VLOOKUP(J17,Key!$E$2:$F$9,2,FALSE)</f>
        <v>Work</v>
      </c>
      <c r="L17" s="39" t="s">
        <v>162</v>
      </c>
      <c r="M17" s="40" t="s">
        <v>166</v>
      </c>
      <c r="N17" s="39" t="s">
        <v>158</v>
      </c>
      <c r="O17" s="40">
        <v>8</v>
      </c>
      <c r="P17" s="40">
        <v>2</v>
      </c>
      <c r="Q17" s="25" t="str">
        <f>VLOOKUP(P17,Key!$E$2:$F$9,2,FALSE)</f>
        <v>Work</v>
      </c>
      <c r="R17" s="25" t="str">
        <f t="shared" si="0"/>
        <v>Work-Work</v>
      </c>
      <c r="S17" s="44">
        <v>18</v>
      </c>
      <c r="T17" s="44">
        <v>0.7</v>
      </c>
      <c r="U17" s="40">
        <v>2</v>
      </c>
      <c r="V17" s="40"/>
      <c r="W17" s="44"/>
      <c r="X17" s="44"/>
      <c r="Y17" s="45" t="s">
        <v>171</v>
      </c>
      <c r="Z17" s="46">
        <v>0</v>
      </c>
      <c r="AA17" s="25"/>
      <c r="AB17" s="25"/>
    </row>
    <row r="18" spans="2:28">
      <c r="B18" s="37">
        <v>0.4152777777777778</v>
      </c>
      <c r="C18" s="37" t="s">
        <v>199</v>
      </c>
      <c r="D18" s="38">
        <v>2</v>
      </c>
      <c r="E18" s="39">
        <v>2</v>
      </c>
      <c r="F18" s="39" t="s">
        <v>162</v>
      </c>
      <c r="G18" s="40" t="s">
        <v>166</v>
      </c>
      <c r="H18" s="39" t="s">
        <v>158</v>
      </c>
      <c r="I18" s="40">
        <v>2</v>
      </c>
      <c r="J18" s="40">
        <v>2</v>
      </c>
      <c r="K18" s="25" t="str">
        <f>VLOOKUP(J18,Key!$E$2:$F$9,2,FALSE)</f>
        <v>Work</v>
      </c>
      <c r="L18" s="39" t="s">
        <v>159</v>
      </c>
      <c r="M18" s="40" t="s">
        <v>159</v>
      </c>
      <c r="N18" s="39" t="s">
        <v>158</v>
      </c>
      <c r="O18" s="40">
        <v>8</v>
      </c>
      <c r="P18" s="40">
        <v>2</v>
      </c>
      <c r="Q18" s="25" t="str">
        <f>VLOOKUP(P18,Key!$E$2:$F$9,2,FALSE)</f>
        <v>Work</v>
      </c>
      <c r="R18" s="25" t="str">
        <f t="shared" si="0"/>
        <v>Work-Work</v>
      </c>
      <c r="S18" s="44">
        <v>50</v>
      </c>
      <c r="T18" s="44">
        <v>2</v>
      </c>
      <c r="U18" s="40">
        <v>2</v>
      </c>
      <c r="V18" s="40"/>
      <c r="W18" s="44"/>
      <c r="X18" s="44"/>
      <c r="Y18" s="45" t="s">
        <v>171</v>
      </c>
      <c r="Z18" s="46">
        <v>0</v>
      </c>
      <c r="AA18" s="25"/>
      <c r="AB18" s="25"/>
    </row>
    <row r="19" spans="2:28">
      <c r="B19" s="37">
        <v>0.38819444444444445</v>
      </c>
      <c r="C19" s="37" t="s">
        <v>213</v>
      </c>
      <c r="D19" s="38">
        <v>3</v>
      </c>
      <c r="E19" s="39">
        <v>8</v>
      </c>
      <c r="F19" s="39" t="s">
        <v>159</v>
      </c>
      <c r="G19" s="40" t="s">
        <v>159</v>
      </c>
      <c r="H19" s="39" t="s">
        <v>158</v>
      </c>
      <c r="I19" s="40">
        <v>1</v>
      </c>
      <c r="J19" s="40">
        <v>1</v>
      </c>
      <c r="K19" s="25" t="str">
        <f>VLOOKUP(J19,Key!$E$2:$F$9,2,FALSE)</f>
        <v>Home</v>
      </c>
      <c r="L19" s="39" t="s">
        <v>166</v>
      </c>
      <c r="M19" s="40" t="s">
        <v>166</v>
      </c>
      <c r="N19" s="39" t="s">
        <v>158</v>
      </c>
      <c r="O19" s="40">
        <v>2</v>
      </c>
      <c r="P19" s="40">
        <v>2</v>
      </c>
      <c r="Q19" s="25" t="str">
        <f>VLOOKUP(P19,Key!$E$2:$F$9,2,FALSE)</f>
        <v>Work</v>
      </c>
      <c r="R19" s="25" t="str">
        <f t="shared" si="0"/>
        <v>Home-Work</v>
      </c>
      <c r="S19" s="44">
        <v>42</v>
      </c>
      <c r="T19" s="44">
        <v>0.3</v>
      </c>
      <c r="U19" s="40">
        <v>2</v>
      </c>
      <c r="V19" s="40"/>
      <c r="W19" s="44"/>
      <c r="X19" s="44"/>
      <c r="Y19" s="45" t="s">
        <v>160</v>
      </c>
      <c r="Z19" s="46">
        <v>0</v>
      </c>
      <c r="AA19" s="25"/>
      <c r="AB19" s="25"/>
    </row>
    <row r="20" spans="2:28">
      <c r="B20" s="37">
        <v>0.40416666666666662</v>
      </c>
      <c r="C20" s="37" t="s">
        <v>214</v>
      </c>
      <c r="D20" s="38">
        <v>1</v>
      </c>
      <c r="E20" s="39">
        <v>2</v>
      </c>
      <c r="F20" s="39" t="s">
        <v>159</v>
      </c>
      <c r="G20" s="40" t="s">
        <v>159</v>
      </c>
      <c r="H20" s="39" t="s">
        <v>158</v>
      </c>
      <c r="I20" s="40">
        <v>1</v>
      </c>
      <c r="J20" s="40">
        <v>1</v>
      </c>
      <c r="K20" s="25" t="str">
        <f>VLOOKUP(J20,Key!$E$2:$F$9,2,FALSE)</f>
        <v>Home</v>
      </c>
      <c r="L20" s="39" t="s">
        <v>162</v>
      </c>
      <c r="M20" s="40" t="s">
        <v>166</v>
      </c>
      <c r="N20" s="39" t="s">
        <v>158</v>
      </c>
      <c r="O20" s="40">
        <v>10</v>
      </c>
      <c r="P20" s="40">
        <v>2</v>
      </c>
      <c r="Q20" s="25" t="str">
        <f>VLOOKUP(P20,Key!$E$2:$F$9,2,FALSE)</f>
        <v>Work</v>
      </c>
      <c r="R20" s="25" t="str">
        <f t="shared" si="0"/>
        <v>Home-Work</v>
      </c>
      <c r="S20" s="44">
        <v>32</v>
      </c>
      <c r="T20" s="44">
        <v>2</v>
      </c>
      <c r="U20" s="40">
        <v>2</v>
      </c>
      <c r="V20" s="40"/>
      <c r="W20" s="44"/>
      <c r="X20" s="44"/>
      <c r="Y20" s="45" t="s">
        <v>160</v>
      </c>
      <c r="Z20" s="46">
        <v>0</v>
      </c>
      <c r="AA20" s="25"/>
      <c r="AB20" s="25"/>
    </row>
    <row r="21" spans="2:28">
      <c r="B21" s="37">
        <v>0.40902777777777777</v>
      </c>
      <c r="C21" s="37" t="s">
        <v>215</v>
      </c>
      <c r="D21" s="38">
        <v>5</v>
      </c>
      <c r="E21" s="39">
        <v>27</v>
      </c>
      <c r="F21" s="39" t="s">
        <v>159</v>
      </c>
      <c r="G21" s="40" t="s">
        <v>159</v>
      </c>
      <c r="H21" s="39" t="s">
        <v>158</v>
      </c>
      <c r="I21" s="40">
        <v>6</v>
      </c>
      <c r="J21" s="40">
        <v>2</v>
      </c>
      <c r="K21" s="25" t="str">
        <f>VLOOKUP(J21,Key!$E$2:$F$9,2,FALSE)</f>
        <v>Work</v>
      </c>
      <c r="L21" s="39" t="s">
        <v>170</v>
      </c>
      <c r="M21" s="40" t="s">
        <v>170</v>
      </c>
      <c r="N21" s="39" t="s">
        <v>158</v>
      </c>
      <c r="O21" s="40">
        <v>6</v>
      </c>
      <c r="P21" s="40">
        <v>2</v>
      </c>
      <c r="Q21" s="25" t="str">
        <f>VLOOKUP(P21,Key!$E$2:$F$9,2,FALSE)</f>
        <v>Work</v>
      </c>
      <c r="R21" s="25" t="str">
        <f t="shared" si="0"/>
        <v>Work-Work</v>
      </c>
      <c r="S21" s="44">
        <v>600</v>
      </c>
      <c r="T21" s="44">
        <v>10</v>
      </c>
      <c r="U21" s="40">
        <v>2</v>
      </c>
      <c r="V21" s="40"/>
      <c r="W21" s="44"/>
      <c r="X21" s="44"/>
      <c r="Y21" s="45" t="s">
        <v>160</v>
      </c>
      <c r="Z21" s="46">
        <v>0</v>
      </c>
      <c r="AA21" s="25"/>
      <c r="AB21" s="25"/>
    </row>
    <row r="22" spans="2:28">
      <c r="B22" s="37">
        <v>0.45416666666666666</v>
      </c>
      <c r="C22" s="37" t="s">
        <v>216</v>
      </c>
      <c r="D22" s="38">
        <v>4</v>
      </c>
      <c r="E22" s="39">
        <v>12</v>
      </c>
      <c r="F22" s="39" t="s">
        <v>159</v>
      </c>
      <c r="G22" s="40" t="s">
        <v>159</v>
      </c>
      <c r="H22" s="39" t="s">
        <v>158</v>
      </c>
      <c r="I22" s="40"/>
      <c r="J22" s="40">
        <v>2</v>
      </c>
      <c r="K22" s="25" t="str">
        <f>VLOOKUP(J22,Key!$E$2:$F$9,2,FALSE)</f>
        <v>Work</v>
      </c>
      <c r="L22" s="39" t="s">
        <v>157</v>
      </c>
      <c r="M22" s="40" t="s">
        <v>157</v>
      </c>
      <c r="N22" s="39" t="s">
        <v>158</v>
      </c>
      <c r="O22" s="40">
        <v>2</v>
      </c>
      <c r="P22" s="40">
        <v>2</v>
      </c>
      <c r="Q22" s="25" t="str">
        <f>VLOOKUP(P22,Key!$E$2:$F$9,2,FALSE)</f>
        <v>Work</v>
      </c>
      <c r="R22" s="25" t="str">
        <f t="shared" si="0"/>
        <v>Work-Work</v>
      </c>
      <c r="S22" s="44">
        <v>172</v>
      </c>
      <c r="T22" s="44">
        <v>3</v>
      </c>
      <c r="U22" s="40">
        <v>2</v>
      </c>
      <c r="V22" s="40"/>
      <c r="W22" s="44"/>
      <c r="X22" s="44"/>
      <c r="Y22" s="45" t="s">
        <v>160</v>
      </c>
      <c r="Z22" s="46">
        <v>2000</v>
      </c>
      <c r="AA22" s="25"/>
      <c r="AB22" s="25"/>
    </row>
    <row r="23" spans="2:28">
      <c r="B23" s="37">
        <v>0.40625</v>
      </c>
      <c r="C23" s="37" t="s">
        <v>218</v>
      </c>
      <c r="D23" s="38">
        <v>11</v>
      </c>
      <c r="E23" s="39">
        <v>2</v>
      </c>
      <c r="F23" s="39" t="s">
        <v>159</v>
      </c>
      <c r="G23" s="40" t="s">
        <v>159</v>
      </c>
      <c r="H23" s="39" t="s">
        <v>158</v>
      </c>
      <c r="I23" s="40">
        <v>8</v>
      </c>
      <c r="J23" s="40">
        <v>2</v>
      </c>
      <c r="K23" s="25" t="str">
        <f>VLOOKUP(J23,Key!$E$2:$F$9,2,FALSE)</f>
        <v>Work</v>
      </c>
      <c r="L23" s="39" t="s">
        <v>162</v>
      </c>
      <c r="M23" s="40" t="s">
        <v>166</v>
      </c>
      <c r="N23" s="39" t="s">
        <v>158</v>
      </c>
      <c r="O23" s="40">
        <v>8</v>
      </c>
      <c r="P23" s="40">
        <v>2</v>
      </c>
      <c r="Q23" s="25" t="str">
        <f>VLOOKUP(P23,Key!$E$2:$F$9,2,FALSE)</f>
        <v>Work</v>
      </c>
      <c r="R23" s="25" t="str">
        <f t="shared" si="0"/>
        <v>Work-Work</v>
      </c>
      <c r="S23" s="44">
        <v>25</v>
      </c>
      <c r="T23" s="44">
        <v>0.5</v>
      </c>
      <c r="U23" s="40">
        <v>2</v>
      </c>
      <c r="V23" s="40"/>
      <c r="W23" s="44"/>
      <c r="X23" s="44"/>
      <c r="Y23" s="45" t="s">
        <v>171</v>
      </c>
      <c r="Z23" s="46">
        <v>0</v>
      </c>
      <c r="AA23" s="25"/>
      <c r="AB23" s="25"/>
    </row>
    <row r="24" spans="2:28">
      <c r="B24" s="37">
        <v>0.40972222222222227</v>
      </c>
      <c r="C24" s="37" t="s">
        <v>219</v>
      </c>
      <c r="D24" s="38">
        <v>2</v>
      </c>
      <c r="E24" s="39">
        <v>3</v>
      </c>
      <c r="F24" s="39" t="s">
        <v>159</v>
      </c>
      <c r="G24" s="40" t="s">
        <v>159</v>
      </c>
      <c r="H24" s="39" t="s">
        <v>158</v>
      </c>
      <c r="I24" s="40">
        <v>16</v>
      </c>
      <c r="J24" s="40">
        <v>8</v>
      </c>
      <c r="K24" s="25" t="str">
        <f>VLOOKUP(J24,Key!$E$2:$F$9,2,FALSE)</f>
        <v>Others</v>
      </c>
      <c r="L24" s="39" t="s">
        <v>220</v>
      </c>
      <c r="M24" s="40" t="s">
        <v>166</v>
      </c>
      <c r="N24" s="39" t="s">
        <v>158</v>
      </c>
      <c r="O24" s="40">
        <v>16</v>
      </c>
      <c r="P24" s="40">
        <v>8</v>
      </c>
      <c r="Q24" s="25" t="str">
        <f>VLOOKUP(P24,Key!$E$2:$F$9,2,FALSE)</f>
        <v>Others</v>
      </c>
      <c r="R24" s="25" t="str">
        <f t="shared" si="0"/>
        <v>Others-Others</v>
      </c>
      <c r="S24" s="44">
        <v>44</v>
      </c>
      <c r="T24" s="44">
        <v>1</v>
      </c>
      <c r="U24" s="40">
        <v>2</v>
      </c>
      <c r="V24" s="40">
        <v>12</v>
      </c>
      <c r="W24" s="44">
        <v>5</v>
      </c>
      <c r="X24" s="44"/>
      <c r="Y24" s="45" t="s">
        <v>171</v>
      </c>
      <c r="Z24" s="46">
        <v>0</v>
      </c>
      <c r="AA24" s="25"/>
      <c r="AB24" s="25"/>
    </row>
    <row r="25" spans="2:28">
      <c r="B25" s="37">
        <v>0.4055555555555555</v>
      </c>
      <c r="C25" s="37" t="s">
        <v>221</v>
      </c>
      <c r="D25" s="38">
        <v>3</v>
      </c>
      <c r="E25" s="39">
        <v>2</v>
      </c>
      <c r="F25" s="39" t="s">
        <v>159</v>
      </c>
      <c r="G25" s="40" t="s">
        <v>159</v>
      </c>
      <c r="H25" s="39" t="s">
        <v>158</v>
      </c>
      <c r="I25" s="40">
        <v>1</v>
      </c>
      <c r="J25" s="40">
        <v>1</v>
      </c>
      <c r="K25" s="25" t="str">
        <f>VLOOKUP(J25,Key!$E$2:$F$9,2,FALSE)</f>
        <v>Home</v>
      </c>
      <c r="L25" s="39" t="s">
        <v>162</v>
      </c>
      <c r="M25" s="40" t="s">
        <v>166</v>
      </c>
      <c r="N25" s="39" t="s">
        <v>158</v>
      </c>
      <c r="O25" s="40">
        <v>11</v>
      </c>
      <c r="P25" s="40">
        <v>2</v>
      </c>
      <c r="Q25" s="25" t="str">
        <f>VLOOKUP(P25,Key!$E$2:$F$9,2,FALSE)</f>
        <v>Work</v>
      </c>
      <c r="R25" s="25" t="str">
        <f t="shared" si="0"/>
        <v>Home-Work</v>
      </c>
      <c r="S25" s="44">
        <v>4</v>
      </c>
      <c r="T25" s="44">
        <v>0.5</v>
      </c>
      <c r="U25" s="40">
        <v>2</v>
      </c>
      <c r="V25" s="40"/>
      <c r="W25" s="44"/>
      <c r="X25" s="44"/>
      <c r="Y25" s="45" t="s">
        <v>160</v>
      </c>
      <c r="Z25" s="46">
        <v>0</v>
      </c>
      <c r="AA25" s="25"/>
      <c r="AB25" s="25"/>
    </row>
    <row r="26" spans="2:28">
      <c r="B26" s="37">
        <v>0.40763888888888888</v>
      </c>
      <c r="C26" s="37" t="s">
        <v>223</v>
      </c>
      <c r="D26" s="38">
        <v>1</v>
      </c>
      <c r="E26" s="39">
        <v>1</v>
      </c>
      <c r="F26" s="39" t="s">
        <v>159</v>
      </c>
      <c r="G26" s="40" t="s">
        <v>159</v>
      </c>
      <c r="H26" s="39" t="s">
        <v>158</v>
      </c>
      <c r="I26" s="40">
        <v>1</v>
      </c>
      <c r="J26" s="40">
        <v>1</v>
      </c>
      <c r="K26" s="25" t="str">
        <f>VLOOKUP(J26,Key!$E$2:$F$9,2,FALSE)</f>
        <v>Home</v>
      </c>
      <c r="L26" s="39" t="s">
        <v>224</v>
      </c>
      <c r="M26" s="40" t="s">
        <v>224</v>
      </c>
      <c r="N26" s="39" t="s">
        <v>158</v>
      </c>
      <c r="O26" s="40">
        <v>1</v>
      </c>
      <c r="P26" s="40">
        <v>1</v>
      </c>
      <c r="Q26" s="25" t="str">
        <f>VLOOKUP(P26,Key!$E$2:$F$9,2,FALSE)</f>
        <v>Home</v>
      </c>
      <c r="R26" s="25" t="str">
        <f t="shared" si="0"/>
        <v>Home-Home</v>
      </c>
      <c r="S26" s="44">
        <v>145</v>
      </c>
      <c r="T26" s="44">
        <v>5</v>
      </c>
      <c r="U26" s="40">
        <v>2</v>
      </c>
      <c r="V26" s="40"/>
      <c r="W26" s="44"/>
      <c r="X26" s="44"/>
      <c r="Y26" s="45" t="s">
        <v>171</v>
      </c>
      <c r="Z26" s="46">
        <v>0</v>
      </c>
      <c r="AA26" s="25"/>
      <c r="AB26" s="25"/>
    </row>
    <row r="27" spans="2:28">
      <c r="B27" s="37">
        <v>0.42222222222222222</v>
      </c>
      <c r="C27" s="37" t="s">
        <v>225</v>
      </c>
      <c r="D27" s="38">
        <v>8</v>
      </c>
      <c r="E27" s="39">
        <v>3</v>
      </c>
      <c r="F27" s="39" t="s">
        <v>159</v>
      </c>
      <c r="G27" s="40" t="s">
        <v>159</v>
      </c>
      <c r="H27" s="39" t="s">
        <v>158</v>
      </c>
      <c r="I27" s="40">
        <v>16</v>
      </c>
      <c r="J27" s="40">
        <v>8</v>
      </c>
      <c r="K27" s="25" t="str">
        <f>VLOOKUP(J27,Key!$E$2:$F$9,2,FALSE)</f>
        <v>Others</v>
      </c>
      <c r="L27" s="39" t="s">
        <v>162</v>
      </c>
      <c r="M27" s="40" t="s">
        <v>166</v>
      </c>
      <c r="N27" s="39" t="s">
        <v>158</v>
      </c>
      <c r="O27" s="40">
        <v>1</v>
      </c>
      <c r="P27" s="40">
        <v>8</v>
      </c>
      <c r="Q27" s="25" t="str">
        <f>VLOOKUP(P27,Key!$E$2:$F$9,2,FALSE)</f>
        <v>Others</v>
      </c>
      <c r="R27" s="25" t="str">
        <f t="shared" si="0"/>
        <v>Others-Others</v>
      </c>
      <c r="S27" s="44">
        <v>21</v>
      </c>
      <c r="T27" s="44">
        <v>5</v>
      </c>
      <c r="U27" s="40">
        <v>2</v>
      </c>
      <c r="V27" s="40"/>
      <c r="W27" s="44"/>
      <c r="X27" s="44"/>
      <c r="Y27" s="45" t="s">
        <v>160</v>
      </c>
      <c r="Z27" s="46">
        <v>0</v>
      </c>
      <c r="AA27" s="25"/>
      <c r="AB27" s="25"/>
    </row>
    <row r="28" spans="2:28">
      <c r="B28" s="37">
        <v>0.41180555555555554</v>
      </c>
      <c r="C28" s="37" t="s">
        <v>226</v>
      </c>
      <c r="D28" s="38">
        <v>4</v>
      </c>
      <c r="E28" s="39">
        <v>2</v>
      </c>
      <c r="F28" s="39" t="s">
        <v>159</v>
      </c>
      <c r="G28" s="40" t="s">
        <v>159</v>
      </c>
      <c r="H28" s="39" t="s">
        <v>158</v>
      </c>
      <c r="I28" s="40">
        <v>2</v>
      </c>
      <c r="J28" s="40">
        <v>2</v>
      </c>
      <c r="K28" s="25" t="str">
        <f>VLOOKUP(J28,Key!$E$2:$F$9,2,FALSE)</f>
        <v>Work</v>
      </c>
      <c r="L28" s="39" t="s">
        <v>227</v>
      </c>
      <c r="M28" s="40" t="s">
        <v>157</v>
      </c>
      <c r="N28" s="39" t="s">
        <v>158</v>
      </c>
      <c r="O28" s="40">
        <v>4</v>
      </c>
      <c r="P28" s="40">
        <v>3</v>
      </c>
      <c r="Q28" s="25" t="str">
        <f>VLOOKUP(P28,Key!$E$2:$F$9,2,FALSE)</f>
        <v>Study</v>
      </c>
      <c r="R28" s="25" t="str">
        <f t="shared" si="0"/>
        <v>Work-Study</v>
      </c>
      <c r="S28" s="44">
        <v>160</v>
      </c>
      <c r="T28" s="44">
        <v>2</v>
      </c>
      <c r="U28" s="40">
        <v>2</v>
      </c>
      <c r="V28" s="40"/>
      <c r="W28" s="44"/>
      <c r="X28" s="44"/>
      <c r="Y28" s="45" t="s">
        <v>160</v>
      </c>
      <c r="Z28" s="46">
        <v>1000</v>
      </c>
      <c r="AA28" s="25"/>
      <c r="AB28" s="25"/>
    </row>
    <row r="29" spans="2:28">
      <c r="B29" s="37">
        <v>0.43402777777777773</v>
      </c>
      <c r="C29" s="37" t="s">
        <v>228</v>
      </c>
      <c r="D29" s="38">
        <v>1</v>
      </c>
      <c r="E29" s="39">
        <v>3</v>
      </c>
      <c r="F29" s="39" t="s">
        <v>159</v>
      </c>
      <c r="G29" s="40" t="s">
        <v>159</v>
      </c>
      <c r="H29" s="39" t="s">
        <v>158</v>
      </c>
      <c r="I29" s="40">
        <v>1</v>
      </c>
      <c r="J29" s="40">
        <v>2</v>
      </c>
      <c r="K29" s="25" t="str">
        <f>VLOOKUP(J29,Key!$E$2:$F$9,2,FALSE)</f>
        <v>Work</v>
      </c>
      <c r="L29" s="39" t="s">
        <v>220</v>
      </c>
      <c r="M29" s="40" t="s">
        <v>166</v>
      </c>
      <c r="N29" s="39" t="s">
        <v>158</v>
      </c>
      <c r="O29" s="40">
        <v>10</v>
      </c>
      <c r="P29" s="40">
        <v>2</v>
      </c>
      <c r="Q29" s="25" t="str">
        <f>VLOOKUP(P29,Key!$E$2:$F$9,2,FALSE)</f>
        <v>Work</v>
      </c>
      <c r="R29" s="25" t="str">
        <f t="shared" si="0"/>
        <v>Work-Work</v>
      </c>
      <c r="S29" s="44">
        <v>25</v>
      </c>
      <c r="T29" s="44">
        <v>1</v>
      </c>
      <c r="U29" s="40"/>
      <c r="V29" s="40"/>
      <c r="W29" s="44"/>
      <c r="X29" s="44"/>
      <c r="Y29" s="45" t="s">
        <v>160</v>
      </c>
      <c r="Z29" s="46">
        <v>4000</v>
      </c>
      <c r="AA29" s="25"/>
      <c r="AB29" s="25"/>
    </row>
    <row r="30" spans="2:28">
      <c r="B30" s="37">
        <v>0.4291666666666667</v>
      </c>
      <c r="C30" s="37" t="s">
        <v>229</v>
      </c>
      <c r="D30" s="38">
        <v>1</v>
      </c>
      <c r="E30" s="39">
        <v>3</v>
      </c>
      <c r="F30" s="39" t="s">
        <v>159</v>
      </c>
      <c r="G30" s="40" t="s">
        <v>159</v>
      </c>
      <c r="H30" s="39" t="s">
        <v>158</v>
      </c>
      <c r="I30" s="40">
        <v>10</v>
      </c>
      <c r="J30" s="40">
        <v>2</v>
      </c>
      <c r="K30" s="25" t="str">
        <f>VLOOKUP(J30,Key!$E$2:$F$9,2,FALSE)</f>
        <v>Work</v>
      </c>
      <c r="L30" s="39" t="s">
        <v>220</v>
      </c>
      <c r="M30" s="40" t="s">
        <v>166</v>
      </c>
      <c r="N30" s="39" t="s">
        <v>158</v>
      </c>
      <c r="O30" s="40">
        <v>8</v>
      </c>
      <c r="P30" s="40">
        <v>2</v>
      </c>
      <c r="Q30" s="25" t="str">
        <f>VLOOKUP(P30,Key!$E$2:$F$9,2,FALSE)</f>
        <v>Work</v>
      </c>
      <c r="R30" s="25" t="str">
        <f t="shared" si="0"/>
        <v>Work-Work</v>
      </c>
      <c r="S30" s="44">
        <v>18</v>
      </c>
      <c r="T30" s="44">
        <v>0.5</v>
      </c>
      <c r="U30" s="40">
        <v>2</v>
      </c>
      <c r="V30" s="40"/>
      <c r="W30" s="44"/>
      <c r="X30" s="44"/>
      <c r="Y30" s="45" t="s">
        <v>160</v>
      </c>
      <c r="Z30" s="46">
        <v>0</v>
      </c>
      <c r="AA30" s="25"/>
      <c r="AB30" s="25"/>
    </row>
    <row r="31" spans="2:28">
      <c r="B31" s="37">
        <v>0.4458333333333333</v>
      </c>
      <c r="C31" s="37" t="s">
        <v>230</v>
      </c>
      <c r="D31" s="38">
        <v>7</v>
      </c>
      <c r="E31" s="39">
        <v>4</v>
      </c>
      <c r="F31" s="39" t="s">
        <v>159</v>
      </c>
      <c r="G31" s="40" t="s">
        <v>159</v>
      </c>
      <c r="H31" s="39" t="s">
        <v>158</v>
      </c>
      <c r="I31" s="40">
        <v>2</v>
      </c>
      <c r="J31" s="40">
        <v>1</v>
      </c>
      <c r="K31" s="25" t="str">
        <f>VLOOKUP(J31,Key!$E$2:$F$9,2,FALSE)</f>
        <v>Home</v>
      </c>
      <c r="L31" s="39" t="s">
        <v>170</v>
      </c>
      <c r="M31" s="40" t="s">
        <v>170</v>
      </c>
      <c r="N31" s="39" t="s">
        <v>158</v>
      </c>
      <c r="O31" s="40"/>
      <c r="P31" s="40">
        <v>1</v>
      </c>
      <c r="Q31" s="25" t="str">
        <f>VLOOKUP(P31,Key!$E$2:$F$9,2,FALSE)</f>
        <v>Home</v>
      </c>
      <c r="R31" s="25" t="str">
        <f t="shared" si="0"/>
        <v>Home-Home</v>
      </c>
      <c r="S31" s="44">
        <v>560</v>
      </c>
      <c r="T31" s="44">
        <v>8</v>
      </c>
      <c r="U31" s="40">
        <v>2</v>
      </c>
      <c r="V31" s="40">
        <v>11</v>
      </c>
      <c r="W31" s="44"/>
      <c r="X31" s="44"/>
      <c r="Y31" s="45" t="s">
        <v>171</v>
      </c>
      <c r="Z31" s="46">
        <v>0</v>
      </c>
      <c r="AA31" s="25"/>
      <c r="AB31" s="25"/>
    </row>
    <row r="32" spans="2:28">
      <c r="B32" s="37">
        <v>0.40208333333333335</v>
      </c>
      <c r="C32" s="37" t="s">
        <v>231</v>
      </c>
      <c r="D32" s="38">
        <v>2</v>
      </c>
      <c r="E32" s="39">
        <v>3</v>
      </c>
      <c r="F32" s="39" t="s">
        <v>159</v>
      </c>
      <c r="G32" s="40" t="s">
        <v>159</v>
      </c>
      <c r="H32" s="39" t="s">
        <v>158</v>
      </c>
      <c r="I32" s="40">
        <v>8</v>
      </c>
      <c r="J32" s="40">
        <v>2</v>
      </c>
      <c r="K32" s="25" t="str">
        <f>VLOOKUP(J32,Key!$E$2:$F$9,2,FALSE)</f>
        <v>Work</v>
      </c>
      <c r="L32" s="39" t="s">
        <v>162</v>
      </c>
      <c r="M32" s="40" t="s">
        <v>166</v>
      </c>
      <c r="N32" s="39" t="s">
        <v>158</v>
      </c>
      <c r="O32" s="40">
        <v>1</v>
      </c>
      <c r="P32" s="40">
        <v>1</v>
      </c>
      <c r="Q32" s="25" t="str">
        <f>VLOOKUP(P32,Key!$E$2:$F$9,2,FALSE)</f>
        <v>Home</v>
      </c>
      <c r="R32" s="25" t="str">
        <f t="shared" si="0"/>
        <v>Work-Home</v>
      </c>
      <c r="S32" s="44">
        <v>10</v>
      </c>
      <c r="T32" s="44">
        <v>0.7</v>
      </c>
      <c r="U32" s="40">
        <v>2</v>
      </c>
      <c r="V32" s="40"/>
      <c r="W32" s="44"/>
      <c r="X32" s="44"/>
      <c r="Y32" s="45" t="s">
        <v>171</v>
      </c>
      <c r="Z32" s="46">
        <v>0</v>
      </c>
      <c r="AA32" s="25"/>
      <c r="AB32" s="25"/>
    </row>
    <row r="33" spans="2:28">
      <c r="B33" s="37">
        <v>0.40277777777777773</v>
      </c>
      <c r="C33" s="37" t="s">
        <v>232</v>
      </c>
      <c r="D33" s="38">
        <v>1</v>
      </c>
      <c r="E33" s="39">
        <v>2</v>
      </c>
      <c r="F33" s="39" t="s">
        <v>159</v>
      </c>
      <c r="G33" s="40" t="s">
        <v>159</v>
      </c>
      <c r="H33" s="39" t="s">
        <v>158</v>
      </c>
      <c r="I33" s="40">
        <v>2</v>
      </c>
      <c r="J33" s="40">
        <v>2</v>
      </c>
      <c r="K33" s="25" t="str">
        <f>VLOOKUP(J33,Key!$E$2:$F$9,2,FALSE)</f>
        <v>Work</v>
      </c>
      <c r="L33" s="39" t="s">
        <v>166</v>
      </c>
      <c r="M33" s="40" t="s">
        <v>166</v>
      </c>
      <c r="N33" s="39" t="s">
        <v>158</v>
      </c>
      <c r="O33" s="40">
        <v>2</v>
      </c>
      <c r="P33" s="40">
        <v>2</v>
      </c>
      <c r="Q33" s="25" t="str">
        <f>VLOOKUP(P33,Key!$E$2:$F$9,2,FALSE)</f>
        <v>Work</v>
      </c>
      <c r="R33" s="25" t="str">
        <f t="shared" si="0"/>
        <v>Work-Work</v>
      </c>
      <c r="S33" s="44">
        <v>18</v>
      </c>
      <c r="T33" s="44">
        <v>0.5</v>
      </c>
      <c r="U33" s="40">
        <v>2</v>
      </c>
      <c r="V33" s="40"/>
      <c r="W33" s="44"/>
      <c r="X33" s="44"/>
      <c r="Y33" s="45" t="s">
        <v>171</v>
      </c>
      <c r="Z33" s="46">
        <v>0</v>
      </c>
      <c r="AA33" s="25"/>
      <c r="AB33" s="25"/>
    </row>
    <row r="34" spans="2:28">
      <c r="B34" s="37">
        <v>0.4291666666666667</v>
      </c>
      <c r="C34" s="37" t="s">
        <v>206</v>
      </c>
      <c r="D34" s="38">
        <v>8</v>
      </c>
      <c r="E34" s="39">
        <v>1</v>
      </c>
      <c r="F34" s="39" t="s">
        <v>159</v>
      </c>
      <c r="G34" s="40" t="s">
        <v>159</v>
      </c>
      <c r="H34" s="39" t="s">
        <v>158</v>
      </c>
      <c r="I34" s="40">
        <v>1</v>
      </c>
      <c r="J34" s="40">
        <v>1</v>
      </c>
      <c r="K34" s="25" t="str">
        <f>VLOOKUP(J34,Key!$E$2:$F$9,2,FALSE)</f>
        <v>Home</v>
      </c>
      <c r="L34" s="39" t="s">
        <v>233</v>
      </c>
      <c r="M34" s="40"/>
      <c r="N34" s="39" t="s">
        <v>158</v>
      </c>
      <c r="O34" s="40">
        <v>10</v>
      </c>
      <c r="P34" s="40">
        <v>2</v>
      </c>
      <c r="Q34" s="25" t="str">
        <f>VLOOKUP(P34,Key!$E$2:$F$9,2,FALSE)</f>
        <v>Work</v>
      </c>
      <c r="R34" s="25" t="str">
        <f t="shared" si="0"/>
        <v>Home-Work</v>
      </c>
      <c r="S34" s="44">
        <v>80</v>
      </c>
      <c r="T34" s="44">
        <v>1.3</v>
      </c>
      <c r="U34" s="40">
        <v>2</v>
      </c>
      <c r="V34" s="40"/>
      <c r="W34" s="44"/>
      <c r="X34" s="44"/>
      <c r="Y34" s="45" t="s">
        <v>171</v>
      </c>
      <c r="Z34" s="46">
        <v>0</v>
      </c>
      <c r="AA34" s="25"/>
      <c r="AB34" s="25"/>
    </row>
    <row r="35" spans="2:28">
      <c r="B35" s="37">
        <v>0.42430555555555555</v>
      </c>
      <c r="C35" s="37" t="s">
        <v>234</v>
      </c>
      <c r="D35" s="38">
        <v>1</v>
      </c>
      <c r="E35" s="39">
        <v>2</v>
      </c>
      <c r="F35" s="39" t="s">
        <v>159</v>
      </c>
      <c r="G35" s="40" t="s">
        <v>159</v>
      </c>
      <c r="H35" s="39" t="s">
        <v>158</v>
      </c>
      <c r="I35" s="40">
        <v>1</v>
      </c>
      <c r="J35" s="40">
        <v>1</v>
      </c>
      <c r="K35" s="25" t="str">
        <f>VLOOKUP(J35,Key!$E$2:$F$9,2,FALSE)</f>
        <v>Home</v>
      </c>
      <c r="L35" s="39" t="s">
        <v>166</v>
      </c>
      <c r="M35" s="40" t="s">
        <v>166</v>
      </c>
      <c r="N35" s="39" t="s">
        <v>158</v>
      </c>
      <c r="O35" s="40">
        <v>2</v>
      </c>
      <c r="P35" s="40">
        <v>2</v>
      </c>
      <c r="Q35" s="25" t="str">
        <f>VLOOKUP(P35,Key!$E$2:$F$9,2,FALSE)</f>
        <v>Work</v>
      </c>
      <c r="R35" s="25" t="str">
        <f t="shared" si="0"/>
        <v>Home-Work</v>
      </c>
      <c r="S35" s="44">
        <v>42</v>
      </c>
      <c r="T35" s="44">
        <v>3</v>
      </c>
      <c r="U35" s="40">
        <v>2</v>
      </c>
      <c r="V35" s="40"/>
      <c r="W35" s="44"/>
      <c r="X35" s="44"/>
      <c r="Y35" s="45" t="s">
        <v>160</v>
      </c>
      <c r="Z35" s="46">
        <v>0</v>
      </c>
      <c r="AA35" s="25"/>
      <c r="AB35" s="25"/>
    </row>
    <row r="36" spans="2:28">
      <c r="B36" s="37">
        <v>0.54027777777777775</v>
      </c>
      <c r="C36" s="37" t="s">
        <v>235</v>
      </c>
      <c r="D36" s="38">
        <v>7</v>
      </c>
      <c r="E36" s="39">
        <v>2</v>
      </c>
      <c r="F36" s="39" t="s">
        <v>159</v>
      </c>
      <c r="G36" s="40" t="s">
        <v>159</v>
      </c>
      <c r="H36" s="39" t="s">
        <v>158</v>
      </c>
      <c r="I36" s="40">
        <v>10</v>
      </c>
      <c r="J36" s="40">
        <v>2</v>
      </c>
      <c r="K36" s="25" t="str">
        <f>VLOOKUP(J36,Key!$E$2:$F$9,2,FALSE)</f>
        <v>Work</v>
      </c>
      <c r="L36" s="39" t="s">
        <v>162</v>
      </c>
      <c r="M36" s="40" t="s">
        <v>166</v>
      </c>
      <c r="N36" s="39" t="s">
        <v>158</v>
      </c>
      <c r="O36" s="40">
        <v>10</v>
      </c>
      <c r="P36" s="40">
        <v>2</v>
      </c>
      <c r="Q36" s="25" t="str">
        <f>VLOOKUP(P36,Key!$E$2:$F$9,2,FALSE)</f>
        <v>Work</v>
      </c>
      <c r="R36" s="25" t="str">
        <f t="shared" si="0"/>
        <v>Work-Work</v>
      </c>
      <c r="S36" s="44">
        <v>5</v>
      </c>
      <c r="T36" s="44">
        <v>0.2</v>
      </c>
      <c r="U36" s="40">
        <v>2</v>
      </c>
      <c r="V36" s="40"/>
      <c r="W36" s="44"/>
      <c r="X36" s="44"/>
      <c r="Y36" s="45" t="s">
        <v>160</v>
      </c>
      <c r="Z36" s="46">
        <v>0</v>
      </c>
      <c r="AA36" s="25"/>
      <c r="AB36" s="25"/>
    </row>
    <row r="37" spans="2:28">
      <c r="B37" s="37">
        <v>0.44375000000000003</v>
      </c>
      <c r="C37" s="37" t="s">
        <v>236</v>
      </c>
      <c r="D37" s="38">
        <v>2</v>
      </c>
      <c r="E37" s="39">
        <v>5</v>
      </c>
      <c r="F37" s="39" t="s">
        <v>159</v>
      </c>
      <c r="G37" s="40" t="s">
        <v>159</v>
      </c>
      <c r="H37" s="39" t="s">
        <v>158</v>
      </c>
      <c r="I37" s="40">
        <v>2</v>
      </c>
      <c r="J37" s="40">
        <v>2</v>
      </c>
      <c r="K37" s="25" t="str">
        <f>VLOOKUP(J37,Key!$E$2:$F$9,2,FALSE)</f>
        <v>Work</v>
      </c>
      <c r="L37" s="39" t="s">
        <v>166</v>
      </c>
      <c r="M37" s="40" t="s">
        <v>166</v>
      </c>
      <c r="N37" s="39" t="s">
        <v>158</v>
      </c>
      <c r="O37" s="40">
        <v>2</v>
      </c>
      <c r="P37" s="40">
        <v>2</v>
      </c>
      <c r="Q37" s="25" t="str">
        <f>VLOOKUP(P37,Key!$E$2:$F$9,2,FALSE)</f>
        <v>Work</v>
      </c>
      <c r="R37" s="25" t="str">
        <f t="shared" si="0"/>
        <v>Work-Work</v>
      </c>
      <c r="S37" s="44"/>
      <c r="T37" s="44">
        <v>2.2000000000000002</v>
      </c>
      <c r="U37" s="40">
        <v>2</v>
      </c>
      <c r="V37" s="40"/>
      <c r="W37" s="44"/>
      <c r="X37" s="44"/>
      <c r="Y37" s="45" t="s">
        <v>171</v>
      </c>
      <c r="Z37" s="46">
        <v>0</v>
      </c>
      <c r="AA37" s="25"/>
      <c r="AB37" s="25"/>
    </row>
    <row r="38" spans="2:28">
      <c r="B38" s="37">
        <v>0.38541666666666669</v>
      </c>
      <c r="C38" s="37" t="s">
        <v>237</v>
      </c>
      <c r="D38" s="41">
        <v>3</v>
      </c>
      <c r="E38" s="39">
        <v>1</v>
      </c>
      <c r="F38" s="39" t="s">
        <v>159</v>
      </c>
      <c r="G38" s="40" t="s">
        <v>159</v>
      </c>
      <c r="H38" s="39" t="s">
        <v>158</v>
      </c>
      <c r="I38" s="40">
        <v>2</v>
      </c>
      <c r="J38" s="40">
        <v>2</v>
      </c>
      <c r="K38" s="25" t="str">
        <f>VLOOKUP(J38,Key!$E$2:$F$9,2,FALSE)</f>
        <v>Work</v>
      </c>
      <c r="L38" s="39" t="s">
        <v>162</v>
      </c>
      <c r="M38" s="40" t="s">
        <v>166</v>
      </c>
      <c r="N38" s="39" t="s">
        <v>158</v>
      </c>
      <c r="O38" s="43">
        <v>2</v>
      </c>
      <c r="P38" s="43">
        <v>2</v>
      </c>
      <c r="Q38" s="25" t="str">
        <f>VLOOKUP(P38,Key!$E$2:$F$9,2,FALSE)</f>
        <v>Work</v>
      </c>
      <c r="R38" s="25" t="str">
        <f t="shared" ref="R38:R43" si="1">K38&amp;"-"&amp;Q38</f>
        <v>Work-Work</v>
      </c>
      <c r="S38" s="43">
        <v>20</v>
      </c>
      <c r="T38" s="43">
        <v>0.5</v>
      </c>
      <c r="U38" s="43">
        <v>1</v>
      </c>
      <c r="V38" s="43"/>
      <c r="W38" s="43"/>
      <c r="X38" s="43"/>
      <c r="Y38" s="45" t="s">
        <v>160</v>
      </c>
      <c r="Z38" s="46">
        <v>0</v>
      </c>
      <c r="AA38" s="25"/>
      <c r="AB38" s="25"/>
    </row>
    <row r="39" spans="2:28">
      <c r="B39" s="37">
        <v>0.3972222222222222</v>
      </c>
      <c r="C39" s="37" t="s">
        <v>238</v>
      </c>
      <c r="D39" s="42">
        <v>7</v>
      </c>
      <c r="E39" s="39">
        <v>3</v>
      </c>
      <c r="F39" s="39" t="s">
        <v>159</v>
      </c>
      <c r="G39" s="40" t="s">
        <v>159</v>
      </c>
      <c r="H39" s="39" t="s">
        <v>158</v>
      </c>
      <c r="I39" s="40">
        <v>11</v>
      </c>
      <c r="J39" s="40">
        <v>4</v>
      </c>
      <c r="K39" s="25" t="str">
        <f>VLOOKUP(J39,Key!$E$2:$F$9,2,FALSE)</f>
        <v>Commercial</v>
      </c>
      <c r="L39" s="39" t="s">
        <v>239</v>
      </c>
      <c r="M39" s="40"/>
      <c r="N39" s="39" t="s">
        <v>158</v>
      </c>
      <c r="O39" s="43">
        <v>3</v>
      </c>
      <c r="P39" s="43">
        <v>2</v>
      </c>
      <c r="Q39" s="25" t="str">
        <f>VLOOKUP(P39,Key!$E$2:$F$9,2,FALSE)</f>
        <v>Work</v>
      </c>
      <c r="R39" s="25" t="str">
        <f t="shared" si="1"/>
        <v>Commercial-Work</v>
      </c>
      <c r="S39" s="43">
        <v>20</v>
      </c>
      <c r="T39" s="43">
        <v>0.3</v>
      </c>
      <c r="U39" s="43">
        <v>4</v>
      </c>
      <c r="V39" s="43">
        <v>11</v>
      </c>
      <c r="W39" s="43"/>
      <c r="X39" s="43"/>
      <c r="Y39" s="45" t="s">
        <v>160</v>
      </c>
      <c r="Z39" s="66">
        <v>10000</v>
      </c>
      <c r="AA39" s="25"/>
      <c r="AB39" s="25"/>
    </row>
    <row r="40" spans="2:28">
      <c r="B40" s="37">
        <v>0.42708333333333331</v>
      </c>
      <c r="C40" s="37" t="s">
        <v>331</v>
      </c>
      <c r="D40" s="42">
        <v>7</v>
      </c>
      <c r="E40" s="39">
        <v>1</v>
      </c>
      <c r="F40" s="39" t="s">
        <v>159</v>
      </c>
      <c r="G40" s="40" t="s">
        <v>159</v>
      </c>
      <c r="H40" s="39" t="s">
        <v>158</v>
      </c>
      <c r="I40" s="40">
        <v>10</v>
      </c>
      <c r="J40" s="40">
        <v>2</v>
      </c>
      <c r="K40" s="25" t="str">
        <f>VLOOKUP(J40,Key!$E$2:$F$9,2,FALSE)</f>
        <v>Work</v>
      </c>
      <c r="L40" s="39" t="s">
        <v>162</v>
      </c>
      <c r="M40" s="40" t="s">
        <v>166</v>
      </c>
      <c r="N40" s="39" t="s">
        <v>158</v>
      </c>
      <c r="O40" s="43">
        <v>15</v>
      </c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43">
        <v>20</v>
      </c>
      <c r="T40" s="43">
        <v>0.5</v>
      </c>
      <c r="U40" s="43">
        <v>3</v>
      </c>
      <c r="V40" s="43">
        <v>11</v>
      </c>
      <c r="W40" s="43"/>
      <c r="X40" s="43"/>
      <c r="Y40" s="45" t="s">
        <v>160</v>
      </c>
      <c r="Z40" s="46">
        <v>0</v>
      </c>
      <c r="AA40" s="25"/>
      <c r="AB40" s="25"/>
    </row>
    <row r="41" spans="2:28">
      <c r="B41" s="37">
        <v>0.4458333333333333</v>
      </c>
      <c r="C41" s="37" t="s">
        <v>240</v>
      </c>
      <c r="D41" s="41">
        <v>1</v>
      </c>
      <c r="E41" s="42">
        <v>3</v>
      </c>
      <c r="F41" s="39" t="s">
        <v>159</v>
      </c>
      <c r="G41" s="40" t="s">
        <v>159</v>
      </c>
      <c r="H41" s="39" t="s">
        <v>158</v>
      </c>
      <c r="I41" s="40">
        <v>16</v>
      </c>
      <c r="J41" s="40">
        <v>5</v>
      </c>
      <c r="K41" s="25" t="str">
        <f>VLOOKUP(J41,Key!$E$2:$F$9,2,FALSE)</f>
        <v>Tourism</v>
      </c>
      <c r="L41" s="39" t="s">
        <v>157</v>
      </c>
      <c r="M41" s="40" t="s">
        <v>157</v>
      </c>
      <c r="N41" s="39" t="s">
        <v>158</v>
      </c>
      <c r="O41" s="43">
        <v>16</v>
      </c>
      <c r="P41" s="43">
        <v>6</v>
      </c>
      <c r="Q41" s="25" t="str">
        <f>VLOOKUP(P41,Key!$E$2:$F$9,2,FALSE)</f>
        <v>Leisure/Social</v>
      </c>
      <c r="R41" s="25" t="str">
        <f t="shared" si="1"/>
        <v>Tourism-Leisure/Social</v>
      </c>
      <c r="S41" s="43">
        <v>168</v>
      </c>
      <c r="T41" s="43">
        <v>3</v>
      </c>
      <c r="U41" s="43">
        <v>6</v>
      </c>
      <c r="V41" s="43"/>
      <c r="W41" s="43"/>
      <c r="X41" s="43"/>
      <c r="Y41" s="45" t="s">
        <v>160</v>
      </c>
      <c r="Z41" s="46">
        <v>0</v>
      </c>
      <c r="AA41" s="25"/>
      <c r="AB41" s="25"/>
    </row>
    <row r="42" spans="2:28" ht="14.25">
      <c r="B42" s="37">
        <v>0.47222222222222227</v>
      </c>
      <c r="C42" s="57" t="s">
        <v>241</v>
      </c>
      <c r="D42" s="41">
        <v>10</v>
      </c>
      <c r="E42" s="42">
        <v>1</v>
      </c>
      <c r="F42" s="39" t="s">
        <v>159</v>
      </c>
      <c r="G42" s="40" t="s">
        <v>159</v>
      </c>
      <c r="H42" s="39" t="s">
        <v>158</v>
      </c>
      <c r="I42" s="40">
        <v>16</v>
      </c>
      <c r="J42" s="40">
        <v>2</v>
      </c>
      <c r="K42" s="25" t="str">
        <f>VLOOKUP(J42,Key!$E$2:$F$9,2,FALSE)</f>
        <v>Work</v>
      </c>
      <c r="L42" s="39" t="s">
        <v>157</v>
      </c>
      <c r="M42" s="40" t="s">
        <v>157</v>
      </c>
      <c r="N42" s="39" t="s">
        <v>158</v>
      </c>
      <c r="O42" s="43">
        <v>16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43">
        <v>165</v>
      </c>
      <c r="T42" s="43">
        <v>3</v>
      </c>
      <c r="U42" s="43">
        <v>4</v>
      </c>
      <c r="V42" s="43">
        <v>7</v>
      </c>
      <c r="W42" s="43"/>
      <c r="X42" s="43"/>
      <c r="Y42" s="45" t="s">
        <v>160</v>
      </c>
      <c r="Z42" s="46">
        <v>0</v>
      </c>
      <c r="AA42" s="25"/>
      <c r="AB42" s="25"/>
    </row>
    <row r="43" spans="2:28" s="52" customFormat="1">
      <c r="B43" s="37">
        <v>0.38541666666666669</v>
      </c>
      <c r="C43" s="37" t="s">
        <v>237</v>
      </c>
      <c r="D43" s="39">
        <v>3</v>
      </c>
      <c r="E43" s="39">
        <v>1</v>
      </c>
      <c r="F43" s="39" t="s">
        <v>159</v>
      </c>
      <c r="G43" s="40" t="s">
        <v>159</v>
      </c>
      <c r="H43" s="39" t="s">
        <v>158</v>
      </c>
      <c r="I43" s="40">
        <v>2</v>
      </c>
      <c r="J43" s="40">
        <v>2</v>
      </c>
      <c r="K43" s="25" t="str">
        <f>VLOOKUP(J43,Key!$E$2:$F$9,2,FALSE)</f>
        <v>Work</v>
      </c>
      <c r="L43" s="39" t="s">
        <v>162</v>
      </c>
      <c r="M43" s="40" t="s">
        <v>166</v>
      </c>
      <c r="N43" s="39" t="s">
        <v>158</v>
      </c>
      <c r="O43" s="66">
        <v>2</v>
      </c>
      <c r="P43" s="66">
        <v>2</v>
      </c>
      <c r="Q43" s="25" t="str">
        <f>VLOOKUP(P43,Key!$E$2:$F$9,2,FALSE)</f>
        <v>Work</v>
      </c>
      <c r="R43" s="25" t="str">
        <f t="shared" si="1"/>
        <v>Work-Work</v>
      </c>
      <c r="S43" s="66">
        <v>20</v>
      </c>
      <c r="T43" s="66">
        <v>0.5</v>
      </c>
      <c r="U43" s="66">
        <v>1</v>
      </c>
      <c r="V43" s="66"/>
      <c r="W43" s="66"/>
      <c r="X43" s="66"/>
      <c r="Y43" s="45" t="s">
        <v>160</v>
      </c>
      <c r="Z43" s="46">
        <v>0</v>
      </c>
      <c r="AA43" s="25"/>
      <c r="AB43" s="25"/>
    </row>
    <row r="44" spans="2:28" s="52" customFormat="1"/>
    <row r="45" spans="2:28" s="52" customFormat="1"/>
    <row r="46" spans="2:28" s="52" customFormat="1"/>
    <row r="47" spans="2:28" s="52" customFormat="1"/>
    <row r="105" ht="12" customHeight="1"/>
    <row r="143" spans="1:1">
      <c r="A143" s="14"/>
    </row>
    <row r="144" spans="1:1">
      <c r="A144" s="14"/>
    </row>
    <row r="145" spans="1:1">
      <c r="A145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361"/>
  <sheetViews>
    <sheetView zoomScale="75" zoomScaleNormal="75" zoomScaleSheetLayoutView="80" workbookViewId="0">
      <selection activeCell="B9" sqref="B9:AB2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9" t="s">
        <v>131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"/>
      <c r="AD1" s="6"/>
      <c r="AE1" s="6"/>
      <c r="AF1" s="6"/>
      <c r="AG1" s="6"/>
      <c r="AH1" s="6"/>
      <c r="AI1" s="6"/>
    </row>
    <row r="2" spans="2:35" ht="15">
      <c r="B2" s="119" t="s">
        <v>1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5" t="s">
        <v>242</v>
      </c>
      <c r="E4" s="1" t="s">
        <v>66</v>
      </c>
      <c r="F4" s="138" t="str">
        <f>'08.08 Soroti-Moroto'!F4:G4</f>
        <v>Moroto Soroti road</v>
      </c>
      <c r="G4" s="139"/>
      <c r="I4" s="27" t="s">
        <v>67</v>
      </c>
      <c r="J4" s="5"/>
      <c r="K4" s="5"/>
      <c r="L4" s="59" t="s">
        <v>151</v>
      </c>
      <c r="M4" s="2"/>
      <c r="N4" s="1" t="s">
        <v>69</v>
      </c>
      <c r="O4" s="122" t="s">
        <v>243</v>
      </c>
      <c r="P4" s="122"/>
      <c r="Q4" s="122"/>
      <c r="R4" s="122"/>
      <c r="S4" s="122"/>
      <c r="T4" s="122"/>
      <c r="V4" s="1" t="s">
        <v>71</v>
      </c>
      <c r="W4" s="63" t="str">
        <f>'08.08 Soroti-Moroto'!W4</f>
        <v>Patrick</v>
      </c>
      <c r="Y4" s="27" t="s">
        <v>6</v>
      </c>
      <c r="Z4" s="64" t="str">
        <f>'08.08 Soroti-Moroto'!Z4</f>
        <v>Genevivie Ankunda</v>
      </c>
      <c r="AA4" s="31" t="s">
        <v>7</v>
      </c>
      <c r="AB4" s="64" t="str">
        <f>'08.08 Soroti-Moroto'!AB4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47" t="s">
        <v>152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3" t="s">
        <v>34</v>
      </c>
      <c r="C7" s="111" t="s">
        <v>57</v>
      </c>
      <c r="D7" s="113" t="s">
        <v>9</v>
      </c>
      <c r="E7" s="111" t="s">
        <v>35</v>
      </c>
      <c r="F7" s="126" t="s">
        <v>12</v>
      </c>
      <c r="G7" s="127"/>
      <c r="H7" s="128"/>
      <c r="I7" s="113" t="s">
        <v>60</v>
      </c>
      <c r="J7" s="111" t="s">
        <v>15</v>
      </c>
      <c r="K7" s="111" t="s">
        <v>132</v>
      </c>
      <c r="L7" s="126" t="s">
        <v>17</v>
      </c>
      <c r="M7" s="127"/>
      <c r="N7" s="128"/>
      <c r="O7" s="113" t="s">
        <v>61</v>
      </c>
      <c r="P7" s="111" t="s">
        <v>18</v>
      </c>
      <c r="Q7" s="111" t="s">
        <v>133</v>
      </c>
      <c r="R7" s="111" t="s">
        <v>134</v>
      </c>
      <c r="S7" s="111" t="s">
        <v>136</v>
      </c>
      <c r="T7" s="111" t="s">
        <v>135</v>
      </c>
      <c r="U7" s="111" t="s">
        <v>62</v>
      </c>
      <c r="V7" s="116" t="s">
        <v>65</v>
      </c>
      <c r="W7" s="117"/>
      <c r="X7" s="118"/>
      <c r="Y7" s="111" t="s">
        <v>64</v>
      </c>
      <c r="Z7" s="111" t="s">
        <v>139</v>
      </c>
      <c r="AA7" s="113" t="s">
        <v>20</v>
      </c>
      <c r="AB7" s="129" t="s">
        <v>21</v>
      </c>
      <c r="AD7" s="19"/>
    </row>
    <row r="8" spans="2:35" ht="38.25" customHeight="1">
      <c r="B8" s="124"/>
      <c r="C8" s="112"/>
      <c r="D8" s="114"/>
      <c r="E8" s="125"/>
      <c r="F8" s="23" t="s">
        <v>73</v>
      </c>
      <c r="G8" s="23" t="s">
        <v>58</v>
      </c>
      <c r="H8" s="24" t="s">
        <v>59</v>
      </c>
      <c r="I8" s="114"/>
      <c r="J8" s="112"/>
      <c r="K8" s="112"/>
      <c r="L8" s="23" t="s">
        <v>73</v>
      </c>
      <c r="M8" s="23" t="s">
        <v>58</v>
      </c>
      <c r="N8" s="23" t="s">
        <v>59</v>
      </c>
      <c r="O8" s="114"/>
      <c r="P8" s="112"/>
      <c r="Q8" s="112"/>
      <c r="R8" s="112"/>
      <c r="S8" s="112"/>
      <c r="T8" s="112"/>
      <c r="U8" s="112"/>
      <c r="V8" s="29" t="s">
        <v>63</v>
      </c>
      <c r="W8" s="30" t="s">
        <v>137</v>
      </c>
      <c r="X8" s="30" t="s">
        <v>138</v>
      </c>
      <c r="Y8" s="112"/>
      <c r="Z8" s="112"/>
      <c r="AA8" s="114"/>
      <c r="AB8" s="130"/>
    </row>
    <row r="9" spans="2:35" s="19" customFormat="1">
      <c r="B9" s="37">
        <v>0.30069444444444443</v>
      </c>
      <c r="C9" s="37" t="s">
        <v>244</v>
      </c>
      <c r="D9" s="38">
        <v>3</v>
      </c>
      <c r="E9" s="39">
        <v>6</v>
      </c>
      <c r="F9" s="39" t="s">
        <v>157</v>
      </c>
      <c r="G9" s="40" t="s">
        <v>157</v>
      </c>
      <c r="H9" s="39" t="s">
        <v>158</v>
      </c>
      <c r="I9" s="40">
        <v>1</v>
      </c>
      <c r="J9" s="40">
        <v>1</v>
      </c>
      <c r="K9" s="25" t="str">
        <f>VLOOKUP(J9,Key!$E$2:$F$9,2,FALSE)</f>
        <v>Home</v>
      </c>
      <c r="L9" s="39" t="s">
        <v>159</v>
      </c>
      <c r="M9" s="40" t="s">
        <v>159</v>
      </c>
      <c r="N9" s="39" t="s">
        <v>158</v>
      </c>
      <c r="O9" s="40">
        <v>6</v>
      </c>
      <c r="P9" s="40">
        <v>2</v>
      </c>
      <c r="Q9" s="25" t="str">
        <f>VLOOKUP(P9,Key!$E$2:$F$9,2,FALSE)</f>
        <v>Work</v>
      </c>
      <c r="R9" s="25" t="str">
        <f>K9&amp;"-"&amp;Q9</f>
        <v>Home-Work</v>
      </c>
      <c r="S9" s="44">
        <v>160</v>
      </c>
      <c r="T9" s="44">
        <v>2.7</v>
      </c>
      <c r="U9" s="40">
        <v>2</v>
      </c>
      <c r="V9" s="40"/>
      <c r="W9" s="44"/>
      <c r="X9" s="44"/>
      <c r="Y9" s="45" t="s">
        <v>160</v>
      </c>
      <c r="Z9" s="46">
        <v>0</v>
      </c>
      <c r="AA9" s="25"/>
      <c r="AB9" s="25"/>
    </row>
    <row r="10" spans="2:35">
      <c r="B10" s="37">
        <v>0.31666666666666665</v>
      </c>
      <c r="C10" s="37" t="s">
        <v>245</v>
      </c>
      <c r="D10" s="38">
        <v>2</v>
      </c>
      <c r="E10" s="39">
        <v>2</v>
      </c>
      <c r="F10" s="39" t="s">
        <v>157</v>
      </c>
      <c r="G10" s="40" t="s">
        <v>157</v>
      </c>
      <c r="H10" s="39" t="s">
        <v>158</v>
      </c>
      <c r="I10" s="40">
        <v>2</v>
      </c>
      <c r="J10" s="40">
        <v>2</v>
      </c>
      <c r="K10" s="25" t="str">
        <f>VLOOKUP(J10,Key!$E$2:$F$9,2,FALSE)</f>
        <v>Work</v>
      </c>
      <c r="L10" s="39" t="s">
        <v>159</v>
      </c>
      <c r="M10" s="40" t="s">
        <v>159</v>
      </c>
      <c r="N10" s="39" t="s">
        <v>158</v>
      </c>
      <c r="O10" s="40">
        <v>2</v>
      </c>
      <c r="P10" s="40">
        <v>2</v>
      </c>
      <c r="Q10" s="25" t="str">
        <f>VLOOKUP(P10,Key!$E$2:$F$9,2,FALSE)</f>
        <v>Work</v>
      </c>
      <c r="R10" s="25" t="str">
        <f t="shared" ref="R10:R26" si="0">K10&amp;"-"&amp;Q10</f>
        <v>Work-Work</v>
      </c>
      <c r="S10" s="44">
        <v>168</v>
      </c>
      <c r="T10" s="44">
        <v>3</v>
      </c>
      <c r="U10" s="40">
        <v>3</v>
      </c>
      <c r="V10" s="40"/>
      <c r="W10" s="44"/>
      <c r="X10" s="44"/>
      <c r="Y10" s="45" t="s">
        <v>160</v>
      </c>
      <c r="Z10" s="46">
        <v>2000</v>
      </c>
      <c r="AA10" s="25"/>
      <c r="AB10" s="25"/>
    </row>
    <row r="11" spans="2:35">
      <c r="B11" s="37">
        <v>0.32777777777777778</v>
      </c>
      <c r="C11" s="37" t="s">
        <v>246</v>
      </c>
      <c r="D11" s="38">
        <v>2</v>
      </c>
      <c r="E11" s="39">
        <v>4</v>
      </c>
      <c r="F11" s="39" t="s">
        <v>166</v>
      </c>
      <c r="G11" s="40" t="s">
        <v>166</v>
      </c>
      <c r="H11" s="39" t="s">
        <v>158</v>
      </c>
      <c r="I11" s="40">
        <v>2</v>
      </c>
      <c r="J11" s="40">
        <v>2</v>
      </c>
      <c r="K11" s="25" t="str">
        <f>VLOOKUP(J11,Key!$E$2:$F$9,2,FALSE)</f>
        <v>Work</v>
      </c>
      <c r="L11" s="39" t="s">
        <v>159</v>
      </c>
      <c r="M11" s="40" t="s">
        <v>159</v>
      </c>
      <c r="N11" s="39" t="s">
        <v>158</v>
      </c>
      <c r="O11" s="40">
        <v>2</v>
      </c>
      <c r="P11" s="40">
        <v>2</v>
      </c>
      <c r="Q11" s="25" t="str">
        <f>VLOOKUP(P11,Key!$E$2:$F$9,2,FALSE)</f>
        <v>Work</v>
      </c>
      <c r="R11" s="25" t="str">
        <f t="shared" si="0"/>
        <v>Work-Work</v>
      </c>
      <c r="S11" s="44"/>
      <c r="T11" s="44">
        <v>0.5</v>
      </c>
      <c r="U11" s="40">
        <v>2</v>
      </c>
      <c r="V11" s="40"/>
      <c r="W11" s="44"/>
      <c r="X11" s="44"/>
      <c r="Y11" s="45" t="s">
        <v>160</v>
      </c>
      <c r="Z11" s="46">
        <v>0</v>
      </c>
      <c r="AA11" s="25"/>
      <c r="AB11" s="25"/>
    </row>
    <row r="12" spans="2:35">
      <c r="B12" s="37">
        <v>0.33888888888888885</v>
      </c>
      <c r="C12" s="37" t="s">
        <v>247</v>
      </c>
      <c r="D12" s="38">
        <v>7</v>
      </c>
      <c r="E12" s="39">
        <v>3</v>
      </c>
      <c r="F12" s="39" t="s">
        <v>162</v>
      </c>
      <c r="G12" s="40" t="s">
        <v>166</v>
      </c>
      <c r="H12" s="39" t="s">
        <v>158</v>
      </c>
      <c r="I12" s="40">
        <v>1</v>
      </c>
      <c r="J12" s="40">
        <v>1</v>
      </c>
      <c r="K12" s="25" t="str">
        <f>VLOOKUP(J12,Key!$E$2:$F$9,2,FALSE)</f>
        <v>Home</v>
      </c>
      <c r="L12" s="39" t="s">
        <v>159</v>
      </c>
      <c r="M12" s="40" t="s">
        <v>159</v>
      </c>
      <c r="N12" s="39" t="s">
        <v>158</v>
      </c>
      <c r="O12" s="40">
        <v>7</v>
      </c>
      <c r="P12" s="40">
        <v>4</v>
      </c>
      <c r="Q12" s="25" t="str">
        <f>VLOOKUP(P12,Key!$E$2:$F$9,2,FALSE)</f>
        <v>Commercial</v>
      </c>
      <c r="R12" s="25" t="str">
        <f t="shared" si="0"/>
        <v>Home-Commercial</v>
      </c>
      <c r="S12" s="44">
        <v>42</v>
      </c>
      <c r="T12" s="44">
        <v>1</v>
      </c>
      <c r="U12" s="40">
        <v>3</v>
      </c>
      <c r="V12" s="40">
        <v>10</v>
      </c>
      <c r="W12" s="44">
        <v>2.5</v>
      </c>
      <c r="X12" s="44"/>
      <c r="Y12" s="45" t="s">
        <v>160</v>
      </c>
      <c r="Z12" s="46">
        <v>0</v>
      </c>
      <c r="AA12" s="25"/>
      <c r="AB12" s="25"/>
    </row>
    <row r="13" spans="2:35">
      <c r="B13" s="37">
        <v>0.36458333333333331</v>
      </c>
      <c r="C13" s="37" t="s">
        <v>332</v>
      </c>
      <c r="D13" s="38">
        <v>8</v>
      </c>
      <c r="E13" s="39">
        <v>2</v>
      </c>
      <c r="F13" s="39" t="s">
        <v>239</v>
      </c>
      <c r="G13" s="40"/>
      <c r="H13" s="39" t="s">
        <v>158</v>
      </c>
      <c r="I13" s="40">
        <v>3</v>
      </c>
      <c r="J13" s="40">
        <v>4</v>
      </c>
      <c r="K13" s="25" t="str">
        <f>VLOOKUP(J13,Key!$E$2:$F$9,2,FALSE)</f>
        <v>Commercial</v>
      </c>
      <c r="L13" s="39" t="s">
        <v>159</v>
      </c>
      <c r="M13" s="40" t="s">
        <v>159</v>
      </c>
      <c r="N13" s="39" t="s">
        <v>158</v>
      </c>
      <c r="O13" s="40">
        <v>11</v>
      </c>
      <c r="P13" s="40">
        <v>2</v>
      </c>
      <c r="Q13" s="25" t="str">
        <f>VLOOKUP(P13,Key!$E$2:$F$9,2,FALSE)</f>
        <v>Work</v>
      </c>
      <c r="R13" s="25" t="str">
        <f t="shared" si="0"/>
        <v>Commercial-Work</v>
      </c>
      <c r="S13" s="44">
        <v>36</v>
      </c>
      <c r="T13" s="44">
        <v>0.8</v>
      </c>
      <c r="U13" s="40">
        <v>4</v>
      </c>
      <c r="V13" s="40">
        <v>4</v>
      </c>
      <c r="W13" s="44"/>
      <c r="X13" s="44"/>
      <c r="Y13" s="45" t="s">
        <v>160</v>
      </c>
      <c r="Z13" s="46">
        <v>1000</v>
      </c>
      <c r="AA13" s="25"/>
      <c r="AB13" s="25"/>
    </row>
    <row r="14" spans="2:35">
      <c r="B14" s="37">
        <v>0.38750000000000001</v>
      </c>
      <c r="C14" s="37" t="s">
        <v>248</v>
      </c>
      <c r="D14" s="38">
        <v>3</v>
      </c>
      <c r="E14" s="39">
        <v>1</v>
      </c>
      <c r="F14" s="39" t="s">
        <v>157</v>
      </c>
      <c r="G14" s="40" t="s">
        <v>157</v>
      </c>
      <c r="H14" s="39" t="s">
        <v>158</v>
      </c>
      <c r="I14" s="40">
        <v>2</v>
      </c>
      <c r="J14" s="40">
        <v>2</v>
      </c>
      <c r="K14" s="25" t="str">
        <f>VLOOKUP(J14,Key!$E$2:$F$9,2,FALSE)</f>
        <v>Work</v>
      </c>
      <c r="L14" s="39" t="s">
        <v>159</v>
      </c>
      <c r="M14" s="40" t="s">
        <v>159</v>
      </c>
      <c r="N14" s="39" t="s">
        <v>158</v>
      </c>
      <c r="O14" s="40">
        <v>10</v>
      </c>
      <c r="P14" s="40">
        <v>2</v>
      </c>
      <c r="Q14" s="25" t="str">
        <f>VLOOKUP(P14,Key!$E$2:$F$9,2,FALSE)</f>
        <v>Work</v>
      </c>
      <c r="R14" s="25" t="str">
        <f t="shared" si="0"/>
        <v>Work-Work</v>
      </c>
      <c r="S14" s="44">
        <v>160</v>
      </c>
      <c r="T14" s="44">
        <v>3</v>
      </c>
      <c r="U14" s="40">
        <v>5</v>
      </c>
      <c r="V14" s="40"/>
      <c r="W14" s="44"/>
      <c r="X14" s="44"/>
      <c r="Y14" s="45" t="s">
        <v>160</v>
      </c>
      <c r="Z14" s="46">
        <v>0</v>
      </c>
      <c r="AA14" s="25"/>
      <c r="AB14" s="25"/>
    </row>
    <row r="15" spans="2:35">
      <c r="B15" s="37">
        <v>0.40277777777777773</v>
      </c>
      <c r="C15" s="37" t="s">
        <v>249</v>
      </c>
      <c r="D15" s="38">
        <v>6</v>
      </c>
      <c r="E15" s="39">
        <v>56</v>
      </c>
      <c r="F15" s="39" t="s">
        <v>170</v>
      </c>
      <c r="G15" s="40" t="s">
        <v>170</v>
      </c>
      <c r="H15" s="39" t="s">
        <v>158</v>
      </c>
      <c r="I15" s="40">
        <v>6</v>
      </c>
      <c r="J15" s="40">
        <v>2</v>
      </c>
      <c r="K15" s="25" t="str">
        <f>VLOOKUP(J15,Key!$E$2:$F$9,2,FALSE)</f>
        <v>Work</v>
      </c>
      <c r="L15" s="39" t="s">
        <v>159</v>
      </c>
      <c r="M15" s="40" t="s">
        <v>159</v>
      </c>
      <c r="N15" s="39" t="s">
        <v>158</v>
      </c>
      <c r="O15" s="40">
        <v>6</v>
      </c>
      <c r="P15" s="40">
        <v>2</v>
      </c>
      <c r="Q15" s="25" t="str">
        <f>VLOOKUP(P15,Key!$E$2:$F$9,2,FALSE)</f>
        <v>Work</v>
      </c>
      <c r="R15" s="25" t="str">
        <f t="shared" si="0"/>
        <v>Work-Work</v>
      </c>
      <c r="S15" s="44">
        <v>650</v>
      </c>
      <c r="T15" s="44">
        <v>10</v>
      </c>
      <c r="U15" s="40">
        <v>2</v>
      </c>
      <c r="V15" s="40"/>
      <c r="W15" s="44"/>
      <c r="X15" s="44"/>
      <c r="Y15" s="45" t="s">
        <v>160</v>
      </c>
      <c r="Z15" s="46">
        <v>0</v>
      </c>
      <c r="AA15" s="25"/>
      <c r="AB15" s="25"/>
    </row>
    <row r="16" spans="2:35">
      <c r="B16" s="37">
        <v>0.40625</v>
      </c>
      <c r="C16" s="37" t="s">
        <v>250</v>
      </c>
      <c r="D16" s="38">
        <v>4</v>
      </c>
      <c r="E16" s="39">
        <v>11</v>
      </c>
      <c r="F16" s="39" t="s">
        <v>157</v>
      </c>
      <c r="G16" s="40" t="s">
        <v>157</v>
      </c>
      <c r="H16" s="39" t="s">
        <v>158</v>
      </c>
      <c r="I16" s="40">
        <v>6</v>
      </c>
      <c r="J16" s="40">
        <v>2</v>
      </c>
      <c r="K16" s="25" t="str">
        <f>VLOOKUP(J16,Key!$E$2:$F$9,2,FALSE)</f>
        <v>Work</v>
      </c>
      <c r="L16" s="39" t="s">
        <v>159</v>
      </c>
      <c r="M16" s="40" t="s">
        <v>159</v>
      </c>
      <c r="N16" s="39" t="s">
        <v>158</v>
      </c>
      <c r="O16" s="40">
        <v>6</v>
      </c>
      <c r="P16" s="40">
        <v>2</v>
      </c>
      <c r="Q16" s="25" t="str">
        <f>VLOOKUP(P16,Key!$E$2:$F$9,2,FALSE)</f>
        <v>Work</v>
      </c>
      <c r="R16" s="25" t="str">
        <f t="shared" si="0"/>
        <v>Work-Work</v>
      </c>
      <c r="S16" s="44">
        <v>160</v>
      </c>
      <c r="T16" s="44">
        <v>2.2000000000000002</v>
      </c>
      <c r="U16" s="40">
        <v>2</v>
      </c>
      <c r="V16" s="40"/>
      <c r="W16" s="44"/>
      <c r="X16" s="44"/>
      <c r="Y16" s="45" t="s">
        <v>160</v>
      </c>
      <c r="Z16" s="46">
        <v>1000</v>
      </c>
      <c r="AA16" s="25"/>
      <c r="AB16" s="25"/>
    </row>
    <row r="17" spans="2:28">
      <c r="B17" s="37">
        <v>0.42152777777777778</v>
      </c>
      <c r="C17" s="37" t="s">
        <v>251</v>
      </c>
      <c r="D17" s="38">
        <v>3</v>
      </c>
      <c r="E17" s="39">
        <v>3</v>
      </c>
      <c r="F17" s="39" t="s">
        <v>166</v>
      </c>
      <c r="G17" s="40" t="s">
        <v>166</v>
      </c>
      <c r="H17" s="39" t="s">
        <v>158</v>
      </c>
      <c r="I17" s="40">
        <v>1</v>
      </c>
      <c r="J17" s="40">
        <v>1</v>
      </c>
      <c r="K17" s="25" t="str">
        <f>VLOOKUP(J17,Key!$E$2:$F$9,2,FALSE)</f>
        <v>Home</v>
      </c>
      <c r="L17" s="39" t="s">
        <v>159</v>
      </c>
      <c r="M17" s="40" t="s">
        <v>159</v>
      </c>
      <c r="N17" s="39" t="s">
        <v>158</v>
      </c>
      <c r="O17" s="40">
        <v>2</v>
      </c>
      <c r="P17" s="40">
        <v>2</v>
      </c>
      <c r="Q17" s="25" t="str">
        <f>VLOOKUP(P17,Key!$E$2:$F$9,2,FALSE)</f>
        <v>Work</v>
      </c>
      <c r="R17" s="25" t="str">
        <f t="shared" si="0"/>
        <v>Home-Work</v>
      </c>
      <c r="S17" s="44">
        <v>16</v>
      </c>
      <c r="T17" s="44">
        <v>0.2</v>
      </c>
      <c r="U17" s="40">
        <v>1</v>
      </c>
      <c r="V17" s="40"/>
      <c r="W17" s="44"/>
      <c r="X17" s="44"/>
      <c r="Y17" s="45" t="s">
        <v>160</v>
      </c>
      <c r="Z17" s="46">
        <v>10000</v>
      </c>
      <c r="AA17" s="25"/>
      <c r="AB17" s="25"/>
    </row>
    <row r="18" spans="2:28">
      <c r="B18" s="37">
        <v>0.42708333333333331</v>
      </c>
      <c r="C18" s="37" t="s">
        <v>252</v>
      </c>
      <c r="D18" s="38">
        <v>1</v>
      </c>
      <c r="E18" s="39">
        <v>4</v>
      </c>
      <c r="F18" s="39" t="s">
        <v>253</v>
      </c>
      <c r="G18" s="40"/>
      <c r="H18" s="39" t="s">
        <v>158</v>
      </c>
      <c r="I18" s="40">
        <v>1</v>
      </c>
      <c r="J18" s="40">
        <v>1</v>
      </c>
      <c r="K18" s="25" t="str">
        <f>VLOOKUP(J18,Key!$E$2:$F$9,2,FALSE)</f>
        <v>Home</v>
      </c>
      <c r="L18" s="39" t="s">
        <v>159</v>
      </c>
      <c r="M18" s="40" t="s">
        <v>159</v>
      </c>
      <c r="N18" s="39" t="s">
        <v>158</v>
      </c>
      <c r="O18" s="40">
        <v>5</v>
      </c>
      <c r="P18" s="40">
        <v>7</v>
      </c>
      <c r="Q18" s="25" t="str">
        <f>VLOOKUP(P18,Key!$E$2:$F$9,2,FALSE)</f>
        <v>Hospital</v>
      </c>
      <c r="R18" s="25" t="str">
        <f t="shared" si="0"/>
        <v>Home-Hospital</v>
      </c>
      <c r="S18" s="44"/>
      <c r="T18" s="44"/>
      <c r="U18" s="40">
        <v>5</v>
      </c>
      <c r="V18" s="40"/>
      <c r="W18" s="44"/>
      <c r="X18" s="44"/>
      <c r="Y18" s="45" t="s">
        <v>160</v>
      </c>
      <c r="Z18" s="46">
        <v>0</v>
      </c>
      <c r="AA18" s="25"/>
      <c r="AB18" s="25"/>
    </row>
    <row r="19" spans="2:28">
      <c r="B19" s="37">
        <v>0.4458333333333333</v>
      </c>
      <c r="C19" s="37" t="s">
        <v>254</v>
      </c>
      <c r="D19" s="38">
        <v>9</v>
      </c>
      <c r="E19" s="39">
        <v>8</v>
      </c>
      <c r="F19" s="39" t="s">
        <v>195</v>
      </c>
      <c r="G19" s="40" t="s">
        <v>195</v>
      </c>
      <c r="H19" s="39" t="s">
        <v>158</v>
      </c>
      <c r="I19" s="40">
        <v>7</v>
      </c>
      <c r="J19" s="40">
        <v>4</v>
      </c>
      <c r="K19" s="25" t="str">
        <f>VLOOKUP(J19,Key!$E$2:$F$9,2,FALSE)</f>
        <v>Commercial</v>
      </c>
      <c r="L19" s="39" t="s">
        <v>159</v>
      </c>
      <c r="M19" s="40" t="s">
        <v>159</v>
      </c>
      <c r="N19" s="39" t="s">
        <v>158</v>
      </c>
      <c r="O19" s="40">
        <v>11</v>
      </c>
      <c r="P19" s="40">
        <v>4</v>
      </c>
      <c r="Q19" s="25" t="str">
        <f>VLOOKUP(P19,Key!$E$2:$F$9,2,FALSE)</f>
        <v>Commercial</v>
      </c>
      <c r="R19" s="25" t="str">
        <f t="shared" si="0"/>
        <v>Commercial-Commercial</v>
      </c>
      <c r="S19" s="44">
        <v>300</v>
      </c>
      <c r="T19" s="44">
        <v>8</v>
      </c>
      <c r="U19" s="40">
        <v>6</v>
      </c>
      <c r="V19" s="40">
        <v>1</v>
      </c>
      <c r="W19" s="44">
        <v>6</v>
      </c>
      <c r="X19" s="44"/>
      <c r="Y19" s="45" t="s">
        <v>160</v>
      </c>
      <c r="Z19" s="46">
        <v>0</v>
      </c>
      <c r="AA19" s="25"/>
      <c r="AB19" s="25"/>
    </row>
    <row r="20" spans="2:28">
      <c r="B20" s="37">
        <v>0.46666666666666662</v>
      </c>
      <c r="C20" s="37" t="s">
        <v>255</v>
      </c>
      <c r="D20" s="38">
        <v>4</v>
      </c>
      <c r="E20" s="39">
        <v>7</v>
      </c>
      <c r="F20" s="39" t="s">
        <v>157</v>
      </c>
      <c r="G20" s="40" t="s">
        <v>157</v>
      </c>
      <c r="H20" s="39" t="s">
        <v>158</v>
      </c>
      <c r="I20" s="40">
        <v>6</v>
      </c>
      <c r="J20" s="40">
        <v>2</v>
      </c>
      <c r="K20" s="25" t="str">
        <f>VLOOKUP(J20,Key!$E$2:$F$9,2,FALSE)</f>
        <v>Work</v>
      </c>
      <c r="L20" s="39" t="s">
        <v>159</v>
      </c>
      <c r="M20" s="40" t="s">
        <v>159</v>
      </c>
      <c r="N20" s="39" t="s">
        <v>158</v>
      </c>
      <c r="O20" s="40">
        <v>6</v>
      </c>
      <c r="P20" s="40">
        <v>2</v>
      </c>
      <c r="Q20" s="25" t="str">
        <f>VLOOKUP(P20,Key!$E$2:$F$9,2,FALSE)</f>
        <v>Work</v>
      </c>
      <c r="R20" s="25" t="str">
        <f t="shared" si="0"/>
        <v>Work-Work</v>
      </c>
      <c r="S20" s="44"/>
      <c r="T20" s="44">
        <v>3.1</v>
      </c>
      <c r="U20" s="40">
        <v>3</v>
      </c>
      <c r="V20" s="40"/>
      <c r="W20" s="44"/>
      <c r="X20" s="44"/>
      <c r="Y20" s="45" t="s">
        <v>171</v>
      </c>
      <c r="Z20" s="46">
        <v>0</v>
      </c>
      <c r="AA20" s="25"/>
      <c r="AB20" s="25"/>
    </row>
    <row r="21" spans="2:28">
      <c r="B21" s="37">
        <v>0.50277777777777777</v>
      </c>
      <c r="C21" s="37" t="s">
        <v>256</v>
      </c>
      <c r="D21" s="38">
        <v>2</v>
      </c>
      <c r="E21" s="39">
        <v>2</v>
      </c>
      <c r="F21" s="39" t="s">
        <v>195</v>
      </c>
      <c r="G21" s="40" t="s">
        <v>195</v>
      </c>
      <c r="H21" s="39" t="s">
        <v>158</v>
      </c>
      <c r="I21" s="40">
        <v>2</v>
      </c>
      <c r="J21" s="40">
        <v>2</v>
      </c>
      <c r="K21" s="25" t="str">
        <f>VLOOKUP(J21,Key!$E$2:$F$9,2,FALSE)</f>
        <v>Work</v>
      </c>
      <c r="L21" s="39" t="s">
        <v>159</v>
      </c>
      <c r="M21" s="40" t="s">
        <v>159</v>
      </c>
      <c r="N21" s="39" t="s">
        <v>158</v>
      </c>
      <c r="O21" s="40">
        <v>1</v>
      </c>
      <c r="P21" s="40">
        <v>1</v>
      </c>
      <c r="Q21" s="25" t="str">
        <f>VLOOKUP(P21,Key!$E$2:$F$9,2,FALSE)</f>
        <v>Home</v>
      </c>
      <c r="R21" s="25" t="str">
        <f t="shared" si="0"/>
        <v>Work-Home</v>
      </c>
      <c r="S21" s="44">
        <v>300</v>
      </c>
      <c r="T21" s="44">
        <v>6</v>
      </c>
      <c r="U21" s="40">
        <v>5</v>
      </c>
      <c r="V21" s="40"/>
      <c r="W21" s="44"/>
      <c r="X21" s="44"/>
      <c r="Y21" s="45" t="s">
        <v>160</v>
      </c>
      <c r="Z21" s="46">
        <v>5000</v>
      </c>
      <c r="AA21" s="25"/>
      <c r="AB21" s="25"/>
    </row>
    <row r="22" spans="2:28">
      <c r="B22" s="37">
        <v>0.54791666666666672</v>
      </c>
      <c r="C22" s="37" t="s">
        <v>257</v>
      </c>
      <c r="D22" s="38">
        <v>10</v>
      </c>
      <c r="E22" s="39">
        <v>2</v>
      </c>
      <c r="F22" s="39" t="s">
        <v>166</v>
      </c>
      <c r="G22" s="40" t="s">
        <v>166</v>
      </c>
      <c r="H22" s="39" t="s">
        <v>158</v>
      </c>
      <c r="I22" s="40">
        <v>12</v>
      </c>
      <c r="J22" s="40">
        <v>2</v>
      </c>
      <c r="K22" s="25" t="str">
        <f>VLOOKUP(J22,Key!$E$2:$F$9,2,FALSE)</f>
        <v>Work</v>
      </c>
      <c r="L22" s="39" t="s">
        <v>159</v>
      </c>
      <c r="M22" s="40" t="s">
        <v>159</v>
      </c>
      <c r="N22" s="39" t="s">
        <v>158</v>
      </c>
      <c r="O22" s="40">
        <v>10</v>
      </c>
      <c r="P22" s="40">
        <v>2</v>
      </c>
      <c r="Q22" s="25" t="str">
        <f>VLOOKUP(P22,Key!$E$2:$F$9,2,FALSE)</f>
        <v>Work</v>
      </c>
      <c r="R22" s="25" t="str">
        <f t="shared" si="0"/>
        <v>Work-Work</v>
      </c>
      <c r="S22" s="44">
        <v>30</v>
      </c>
      <c r="T22" s="44">
        <v>1</v>
      </c>
      <c r="U22" s="40">
        <v>6</v>
      </c>
      <c r="V22" s="40">
        <v>4</v>
      </c>
      <c r="W22" s="44"/>
      <c r="X22" s="44"/>
      <c r="Y22" s="45" t="s">
        <v>160</v>
      </c>
      <c r="Z22" s="46">
        <v>0</v>
      </c>
      <c r="AA22" s="25"/>
      <c r="AB22" s="25"/>
    </row>
    <row r="23" spans="2:28">
      <c r="B23" s="37">
        <v>0.60972222222222217</v>
      </c>
      <c r="C23" s="37" t="s">
        <v>333</v>
      </c>
      <c r="D23" s="38">
        <v>4</v>
      </c>
      <c r="E23" s="39">
        <v>11</v>
      </c>
      <c r="F23" s="39" t="s">
        <v>157</v>
      </c>
      <c r="G23" s="40" t="s">
        <v>157</v>
      </c>
      <c r="H23" s="39" t="s">
        <v>158</v>
      </c>
      <c r="I23" s="40">
        <v>6</v>
      </c>
      <c r="J23" s="40">
        <v>2</v>
      </c>
      <c r="K23" s="25" t="str">
        <f>VLOOKUP(J23,Key!$E$2:$F$9,2,FALSE)</f>
        <v>Work</v>
      </c>
      <c r="L23" s="39" t="s">
        <v>159</v>
      </c>
      <c r="M23" s="40" t="s">
        <v>159</v>
      </c>
      <c r="N23" s="39" t="s">
        <v>158</v>
      </c>
      <c r="O23" s="40">
        <v>6</v>
      </c>
      <c r="P23" s="40">
        <v>2</v>
      </c>
      <c r="Q23" s="25" t="str">
        <f>VLOOKUP(P23,Key!$E$2:$F$9,2,FALSE)</f>
        <v>Work</v>
      </c>
      <c r="R23" s="25" t="str">
        <f t="shared" si="0"/>
        <v>Work-Work</v>
      </c>
      <c r="S23" s="44">
        <v>166</v>
      </c>
      <c r="T23" s="44">
        <v>3.5</v>
      </c>
      <c r="U23" s="40">
        <v>2</v>
      </c>
      <c r="V23" s="40"/>
      <c r="W23" s="44"/>
      <c r="X23" s="44"/>
      <c r="Y23" s="45" t="s">
        <v>160</v>
      </c>
      <c r="Z23" s="46">
        <v>10000</v>
      </c>
      <c r="AA23" s="25"/>
      <c r="AB23" s="25"/>
    </row>
    <row r="24" spans="2:28">
      <c r="B24" s="37">
        <v>0.65277777777777779</v>
      </c>
      <c r="C24" s="37" t="s">
        <v>258</v>
      </c>
      <c r="D24" s="38">
        <v>8</v>
      </c>
      <c r="E24" s="39">
        <v>4</v>
      </c>
      <c r="F24" s="39" t="s">
        <v>259</v>
      </c>
      <c r="G24" s="40"/>
      <c r="H24" s="39" t="s">
        <v>158</v>
      </c>
      <c r="I24" s="40">
        <v>10</v>
      </c>
      <c r="J24" s="40">
        <v>2</v>
      </c>
      <c r="K24" s="25" t="str">
        <f>VLOOKUP(J24,Key!$E$2:$F$9,2,FALSE)</f>
        <v>Work</v>
      </c>
      <c r="L24" s="39" t="s">
        <v>159</v>
      </c>
      <c r="M24" s="40" t="s">
        <v>159</v>
      </c>
      <c r="N24" s="39" t="s">
        <v>158</v>
      </c>
      <c r="O24" s="40">
        <v>3</v>
      </c>
      <c r="P24" s="40">
        <v>2</v>
      </c>
      <c r="Q24" s="25" t="str">
        <f>VLOOKUP(P24,Key!$E$2:$F$9,2,FALSE)</f>
        <v>Work</v>
      </c>
      <c r="R24" s="25" t="str">
        <f t="shared" si="0"/>
        <v>Work-Work</v>
      </c>
      <c r="S24" s="44">
        <v>20</v>
      </c>
      <c r="T24" s="44">
        <v>0.8</v>
      </c>
      <c r="U24" s="40">
        <v>2</v>
      </c>
      <c r="V24" s="40"/>
      <c r="W24" s="44"/>
      <c r="X24" s="44"/>
      <c r="Y24" s="45" t="s">
        <v>160</v>
      </c>
      <c r="Z24" s="46">
        <v>1000</v>
      </c>
      <c r="AA24" s="25"/>
      <c r="AB24" s="25"/>
    </row>
    <row r="25" spans="2:28">
      <c r="B25" s="37">
        <v>0.6791666666666667</v>
      </c>
      <c r="C25" s="37" t="s">
        <v>260</v>
      </c>
      <c r="D25" s="38">
        <v>1</v>
      </c>
      <c r="E25" s="39">
        <v>6</v>
      </c>
      <c r="F25" s="39" t="s">
        <v>162</v>
      </c>
      <c r="G25" s="40" t="s">
        <v>166</v>
      </c>
      <c r="H25" s="39" t="s">
        <v>158</v>
      </c>
      <c r="I25" s="40">
        <v>7</v>
      </c>
      <c r="J25" s="40">
        <v>4</v>
      </c>
      <c r="K25" s="25" t="str">
        <f>VLOOKUP(J25,Key!$E$2:$F$9,2,FALSE)</f>
        <v>Commercial</v>
      </c>
      <c r="L25" s="39" t="s">
        <v>159</v>
      </c>
      <c r="M25" s="40" t="s">
        <v>159</v>
      </c>
      <c r="N25" s="39" t="s">
        <v>158</v>
      </c>
      <c r="O25" s="40">
        <v>11</v>
      </c>
      <c r="P25" s="40">
        <v>4</v>
      </c>
      <c r="Q25" s="25" t="str">
        <f>VLOOKUP(P25,Key!$E$2:$F$9,2,FALSE)</f>
        <v>Commercial</v>
      </c>
      <c r="R25" s="25" t="str">
        <f t="shared" si="0"/>
        <v>Commercial-Commercial</v>
      </c>
      <c r="S25" s="44">
        <v>20</v>
      </c>
      <c r="T25" s="44">
        <v>0.8</v>
      </c>
      <c r="U25" s="40">
        <v>4</v>
      </c>
      <c r="V25" s="40"/>
      <c r="W25" s="44"/>
      <c r="X25" s="44"/>
      <c r="Y25" s="45" t="s">
        <v>171</v>
      </c>
      <c r="Z25" s="46">
        <v>0</v>
      </c>
      <c r="AA25" s="25"/>
      <c r="AB25" s="25"/>
    </row>
    <row r="26" spans="2:28">
      <c r="B26" s="37">
        <v>0.72777777777777775</v>
      </c>
      <c r="C26" s="37" t="s">
        <v>261</v>
      </c>
      <c r="D26" s="38">
        <v>11</v>
      </c>
      <c r="E26" s="39">
        <v>3</v>
      </c>
      <c r="F26" s="39" t="s">
        <v>259</v>
      </c>
      <c r="G26" s="40"/>
      <c r="H26" s="39" t="s">
        <v>158</v>
      </c>
      <c r="I26" s="40">
        <v>8</v>
      </c>
      <c r="J26" s="40">
        <v>2</v>
      </c>
      <c r="K26" s="25" t="str">
        <f>VLOOKUP(J26,Key!$E$2:$F$9,2,FALSE)</f>
        <v>Work</v>
      </c>
      <c r="L26" s="39" t="s">
        <v>159</v>
      </c>
      <c r="M26" s="40" t="s">
        <v>159</v>
      </c>
      <c r="N26" s="39" t="s">
        <v>158</v>
      </c>
      <c r="O26" s="40">
        <v>16</v>
      </c>
      <c r="P26" s="40">
        <v>6</v>
      </c>
      <c r="Q26" s="25" t="str">
        <f>VLOOKUP(P26,Key!$E$2:$F$9,2,FALSE)</f>
        <v>Leisure/Social</v>
      </c>
      <c r="R26" s="25" t="str">
        <f t="shared" si="0"/>
        <v>Work-Leisure/Social</v>
      </c>
      <c r="S26" s="44">
        <v>25</v>
      </c>
      <c r="T26" s="44">
        <v>1</v>
      </c>
      <c r="U26" s="40">
        <v>6</v>
      </c>
      <c r="V26" s="40"/>
      <c r="W26" s="44"/>
      <c r="X26" s="44"/>
      <c r="Y26" s="45" t="s">
        <v>160</v>
      </c>
      <c r="Z26" s="46">
        <v>0</v>
      </c>
      <c r="AA26" s="25"/>
      <c r="AB26" s="25"/>
    </row>
    <row r="105" ht="12" customHeight="1"/>
    <row r="143" spans="1:1">
      <c r="A143" s="14"/>
    </row>
    <row r="144" spans="1:1">
      <c r="A144" s="14"/>
    </row>
    <row r="145" spans="1:1">
      <c r="A145" s="14"/>
    </row>
    <row r="227" spans="28:28">
      <c r="AB227" s="25"/>
    </row>
    <row r="228" spans="28:28">
      <c r="AB228" s="25"/>
    </row>
    <row r="229" spans="28:28">
      <c r="AB229" s="25"/>
    </row>
    <row r="230" spans="28:28">
      <c r="AB230" s="25"/>
    </row>
    <row r="231" spans="28:28">
      <c r="AB231" s="25"/>
    </row>
    <row r="232" spans="28:28">
      <c r="AB232" s="25"/>
    </row>
    <row r="233" spans="28:28">
      <c r="AB233" s="25"/>
    </row>
    <row r="234" spans="28:28">
      <c r="AB234" s="25"/>
    </row>
    <row r="235" spans="28:28">
      <c r="AB235" s="25"/>
    </row>
    <row r="236" spans="28:28">
      <c r="AB236" s="25"/>
    </row>
    <row r="237" spans="28:28">
      <c r="AB237" s="25"/>
    </row>
    <row r="238" spans="28:28">
      <c r="AB238" s="25"/>
    </row>
    <row r="239" spans="28:28">
      <c r="AB239" s="25"/>
    </row>
    <row r="240" spans="28:28">
      <c r="AB240" s="25"/>
    </row>
    <row r="241" spans="28:28">
      <c r="AB241" s="25"/>
    </row>
    <row r="242" spans="28:28">
      <c r="AB242" s="25"/>
    </row>
    <row r="243" spans="28:28">
      <c r="AB243" s="25"/>
    </row>
    <row r="244" spans="28:28">
      <c r="AB244" s="25"/>
    </row>
    <row r="245" spans="28:28">
      <c r="AB245" s="25"/>
    </row>
    <row r="246" spans="28:28">
      <c r="AB246" s="25"/>
    </row>
    <row r="247" spans="28:28">
      <c r="AB247" s="25"/>
    </row>
    <row r="248" spans="28:28">
      <c r="AB248" s="25"/>
    </row>
    <row r="249" spans="28:28">
      <c r="AB249" s="25"/>
    </row>
    <row r="250" spans="28:28">
      <c r="AB250" s="25"/>
    </row>
    <row r="251" spans="28:28">
      <c r="AB251" s="25"/>
    </row>
    <row r="252" spans="28:28">
      <c r="AB252" s="25"/>
    </row>
    <row r="253" spans="28:28">
      <c r="AB253" s="25"/>
    </row>
    <row r="254" spans="28:28">
      <c r="AB254" s="25"/>
    </row>
    <row r="255" spans="28:28">
      <c r="AB255" s="25"/>
    </row>
    <row r="256" spans="28:28">
      <c r="AB256" s="25"/>
    </row>
    <row r="257" spans="28:28">
      <c r="AB257" s="25"/>
    </row>
    <row r="258" spans="28:28">
      <c r="AB258" s="25"/>
    </row>
    <row r="259" spans="28:28">
      <c r="AB259" s="25"/>
    </row>
    <row r="260" spans="28:28">
      <c r="AB260" s="25"/>
    </row>
    <row r="261" spans="28:28">
      <c r="AB261" s="25"/>
    </row>
    <row r="262" spans="28:28">
      <c r="AB262" s="25"/>
    </row>
    <row r="263" spans="28:28">
      <c r="AB263" s="25"/>
    </row>
    <row r="264" spans="28:28">
      <c r="AB264" s="25"/>
    </row>
    <row r="265" spans="28:28">
      <c r="AB265" s="25"/>
    </row>
    <row r="266" spans="28:28">
      <c r="AB266" s="25"/>
    </row>
    <row r="267" spans="28:28">
      <c r="AB267" s="25"/>
    </row>
    <row r="268" spans="28:28">
      <c r="AB268" s="25"/>
    </row>
    <row r="269" spans="28:28">
      <c r="AB269" s="25"/>
    </row>
    <row r="270" spans="28:28">
      <c r="AB270" s="25"/>
    </row>
    <row r="271" spans="28:28">
      <c r="AB271" s="25"/>
    </row>
    <row r="272" spans="28:28">
      <c r="AB272" s="25"/>
    </row>
    <row r="273" spans="28:28">
      <c r="AB273" s="25"/>
    </row>
    <row r="274" spans="28:28">
      <c r="AB274" s="25"/>
    </row>
    <row r="275" spans="28:28">
      <c r="AB275" s="25"/>
    </row>
    <row r="276" spans="28:28">
      <c r="AB276" s="25"/>
    </row>
    <row r="277" spans="28:28">
      <c r="AB277" s="25"/>
    </row>
    <row r="278" spans="28:28">
      <c r="AB278" s="25"/>
    </row>
    <row r="279" spans="28:28">
      <c r="AB279" s="25"/>
    </row>
    <row r="280" spans="28:28">
      <c r="AB280" s="25"/>
    </row>
    <row r="281" spans="28:28">
      <c r="AB281" s="25"/>
    </row>
    <row r="282" spans="28:28">
      <c r="AB282" s="25"/>
    </row>
    <row r="283" spans="28:28">
      <c r="AB283" s="25"/>
    </row>
    <row r="284" spans="28:28">
      <c r="AB284" s="25"/>
    </row>
    <row r="285" spans="28:28">
      <c r="AB285" s="25"/>
    </row>
    <row r="286" spans="28:28">
      <c r="AB286" s="25"/>
    </row>
    <row r="287" spans="28:28">
      <c r="AB287" s="25"/>
    </row>
    <row r="288" spans="28:28">
      <c r="AB288" s="25"/>
    </row>
    <row r="289" spans="28:28">
      <c r="AB289" s="25"/>
    </row>
    <row r="290" spans="28:28">
      <c r="AB290" s="25"/>
    </row>
    <row r="291" spans="28:28">
      <c r="AB291" s="25"/>
    </row>
    <row r="292" spans="28:28">
      <c r="AB292" s="25"/>
    </row>
    <row r="293" spans="28:28">
      <c r="AB293" s="25"/>
    </row>
    <row r="294" spans="28:28">
      <c r="AB294" s="25"/>
    </row>
    <row r="295" spans="28:28">
      <c r="AB295" s="25"/>
    </row>
    <row r="296" spans="28:28">
      <c r="AB296" s="25"/>
    </row>
    <row r="297" spans="28:28">
      <c r="AB297" s="25"/>
    </row>
    <row r="298" spans="28:28">
      <c r="AB298" s="25"/>
    </row>
    <row r="299" spans="28:28">
      <c r="AB299" s="25"/>
    </row>
    <row r="300" spans="28:28">
      <c r="AB300" s="25"/>
    </row>
    <row r="301" spans="28:28">
      <c r="AB301" s="25"/>
    </row>
    <row r="302" spans="28:28">
      <c r="AB302" s="25"/>
    </row>
    <row r="303" spans="28:28">
      <c r="AB303" s="25"/>
    </row>
    <row r="304" spans="28:28">
      <c r="AB304" s="25"/>
    </row>
    <row r="305" spans="28:28">
      <c r="AB305" s="25"/>
    </row>
    <row r="306" spans="28:28">
      <c r="AB306" s="25"/>
    </row>
    <row r="307" spans="28:28">
      <c r="AB307" s="25"/>
    </row>
    <row r="308" spans="28:28">
      <c r="AB308" s="25"/>
    </row>
    <row r="309" spans="28:28">
      <c r="AB309" s="25"/>
    </row>
    <row r="310" spans="28:28">
      <c r="AB310" s="25"/>
    </row>
    <row r="311" spans="28:28">
      <c r="AB311" s="25"/>
    </row>
    <row r="312" spans="28:28">
      <c r="AB312" s="25"/>
    </row>
    <row r="313" spans="28:28">
      <c r="AB313" s="25"/>
    </row>
    <row r="314" spans="28:28">
      <c r="AB314" s="25"/>
    </row>
    <row r="315" spans="28:28">
      <c r="AB315" s="25"/>
    </row>
    <row r="316" spans="28:28">
      <c r="AB316" s="25"/>
    </row>
    <row r="317" spans="28:28">
      <c r="AB317" s="25"/>
    </row>
    <row r="318" spans="28:28">
      <c r="AB318" s="25"/>
    </row>
    <row r="319" spans="28:28">
      <c r="AB319" s="25"/>
    </row>
    <row r="320" spans="28:28">
      <c r="AB320" s="25"/>
    </row>
    <row r="321" spans="28:28">
      <c r="AB321" s="25"/>
    </row>
    <row r="322" spans="28:28">
      <c r="AB322" s="25"/>
    </row>
    <row r="323" spans="28:28">
      <c r="AB323" s="25"/>
    </row>
    <row r="324" spans="28:28">
      <c r="AB324" s="25"/>
    </row>
    <row r="325" spans="28:28">
      <c r="AB325" s="25"/>
    </row>
    <row r="326" spans="28:28">
      <c r="AB326" s="25"/>
    </row>
    <row r="327" spans="28:28">
      <c r="AB327" s="25"/>
    </row>
    <row r="328" spans="28:28">
      <c r="AB328" s="25"/>
    </row>
    <row r="329" spans="28:28">
      <c r="AB329" s="25"/>
    </row>
    <row r="330" spans="28:28">
      <c r="AB330" s="25"/>
    </row>
    <row r="331" spans="28:28">
      <c r="AB331" s="25"/>
    </row>
    <row r="332" spans="28:28">
      <c r="AB332" s="25"/>
    </row>
    <row r="333" spans="28:28">
      <c r="AB333" s="25"/>
    </row>
    <row r="334" spans="28:28">
      <c r="AB334" s="25"/>
    </row>
    <row r="335" spans="28:28">
      <c r="AB335" s="25"/>
    </row>
    <row r="336" spans="28:28">
      <c r="AB336" s="25"/>
    </row>
    <row r="337" spans="28:28">
      <c r="AB337" s="25"/>
    </row>
    <row r="338" spans="28:28">
      <c r="AB338" s="25"/>
    </row>
    <row r="339" spans="28:28">
      <c r="AB339" s="25"/>
    </row>
    <row r="340" spans="28:28">
      <c r="AB340" s="25"/>
    </row>
    <row r="341" spans="28:28">
      <c r="AB341" s="25"/>
    </row>
    <row r="342" spans="28:28">
      <c r="AB342" s="25"/>
    </row>
    <row r="343" spans="28:28">
      <c r="AB343" s="25"/>
    </row>
    <row r="344" spans="28:28">
      <c r="AB344" s="25"/>
    </row>
    <row r="345" spans="28:28">
      <c r="AB345" s="25"/>
    </row>
    <row r="346" spans="28:28">
      <c r="AB346" s="25"/>
    </row>
    <row r="347" spans="28:28">
      <c r="AB347" s="25"/>
    </row>
    <row r="348" spans="28:28">
      <c r="AB348" s="25"/>
    </row>
    <row r="349" spans="28:28">
      <c r="AB349" s="25"/>
    </row>
    <row r="350" spans="28:28">
      <c r="AB350" s="25"/>
    </row>
    <row r="351" spans="28:28">
      <c r="AB351" s="25"/>
    </row>
    <row r="352" spans="28:28">
      <c r="AB352" s="25"/>
    </row>
    <row r="353" spans="28:28">
      <c r="AB353" s="25"/>
    </row>
    <row r="354" spans="28:28">
      <c r="AB354" s="25"/>
    </row>
    <row r="355" spans="28:28">
      <c r="AB355" s="25"/>
    </row>
    <row r="356" spans="28:28">
      <c r="AB356" s="25"/>
    </row>
    <row r="357" spans="28:28">
      <c r="AB357" s="25"/>
    </row>
    <row r="358" spans="28:28">
      <c r="AB358" s="25"/>
    </row>
    <row r="359" spans="28:28">
      <c r="AB359" s="25"/>
    </row>
    <row r="360" spans="28:28">
      <c r="AB360" s="25"/>
    </row>
    <row r="361" spans="28:28">
      <c r="AB361" s="25"/>
    </row>
    <row r="362" spans="28:28">
      <c r="AB362" s="25"/>
    </row>
    <row r="363" spans="28:28">
      <c r="AB363" s="25"/>
    </row>
    <row r="364" spans="28:28">
      <c r="AB364" s="25"/>
    </row>
    <row r="365" spans="28:28">
      <c r="AB365" s="25"/>
    </row>
    <row r="366" spans="28:28">
      <c r="AB366" s="25"/>
    </row>
    <row r="367" spans="28:28">
      <c r="AB367" s="25"/>
    </row>
    <row r="368" spans="28:28">
      <c r="AB368" s="25"/>
    </row>
    <row r="369" spans="28:28">
      <c r="AB369" s="25"/>
    </row>
    <row r="370" spans="28:28">
      <c r="AB370" s="25"/>
    </row>
    <row r="371" spans="28:28">
      <c r="AB371" s="25"/>
    </row>
    <row r="372" spans="28:28">
      <c r="AB372" s="25"/>
    </row>
    <row r="373" spans="28:28">
      <c r="AB373" s="25"/>
    </row>
    <row r="374" spans="28:28">
      <c r="AB374" s="25"/>
    </row>
    <row r="375" spans="28:28">
      <c r="AB375" s="25"/>
    </row>
    <row r="376" spans="28:28">
      <c r="AB376" s="25"/>
    </row>
    <row r="377" spans="28:28">
      <c r="AB377" s="25"/>
    </row>
    <row r="378" spans="28:28">
      <c r="AB378" s="25"/>
    </row>
    <row r="379" spans="28:28">
      <c r="AB379" s="25"/>
    </row>
    <row r="380" spans="28:28">
      <c r="AB380" s="25"/>
    </row>
    <row r="381" spans="28:28">
      <c r="AB381" s="25"/>
    </row>
    <row r="382" spans="28:28">
      <c r="AB382" s="25"/>
    </row>
    <row r="383" spans="28:28">
      <c r="AB383" s="25"/>
    </row>
    <row r="384" spans="28:28">
      <c r="AB384" s="25"/>
    </row>
    <row r="385" spans="28:28">
      <c r="AB385" s="25"/>
    </row>
    <row r="386" spans="28:28">
      <c r="AB386" s="25"/>
    </row>
    <row r="387" spans="28:28">
      <c r="AB387" s="25"/>
    </row>
    <row r="388" spans="28:28">
      <c r="AB388" s="25"/>
    </row>
    <row r="389" spans="28:28">
      <c r="AB389" s="25"/>
    </row>
    <row r="390" spans="28:28">
      <c r="AB390" s="25"/>
    </row>
    <row r="391" spans="28:28">
      <c r="AB391" s="25"/>
    </row>
    <row r="392" spans="28:28">
      <c r="AB392" s="25"/>
    </row>
    <row r="393" spans="28:28">
      <c r="AB393" s="25"/>
    </row>
    <row r="394" spans="28:28">
      <c r="AB394" s="25"/>
    </row>
    <row r="395" spans="28:28">
      <c r="AB395" s="25"/>
    </row>
    <row r="396" spans="28:28">
      <c r="AB396" s="25"/>
    </row>
    <row r="397" spans="28:28">
      <c r="AB397" s="25"/>
    </row>
    <row r="398" spans="28:28">
      <c r="AB398" s="25"/>
    </row>
    <row r="399" spans="28:28">
      <c r="AB399" s="25"/>
    </row>
    <row r="400" spans="28:28">
      <c r="AB400" s="25"/>
    </row>
    <row r="401" spans="28:28">
      <c r="AB401" s="25"/>
    </row>
    <row r="402" spans="28:28">
      <c r="AB402" s="25"/>
    </row>
    <row r="403" spans="28:28">
      <c r="AB403" s="25"/>
    </row>
    <row r="404" spans="28:28">
      <c r="AB404" s="25"/>
    </row>
    <row r="405" spans="28:28">
      <c r="AB405" s="25"/>
    </row>
    <row r="406" spans="28:28">
      <c r="AB406" s="25"/>
    </row>
    <row r="407" spans="28:28">
      <c r="AB407" s="25"/>
    </row>
    <row r="408" spans="28:28">
      <c r="AB408" s="25"/>
    </row>
    <row r="409" spans="28:28">
      <c r="AB409" s="25"/>
    </row>
    <row r="410" spans="28:28">
      <c r="AB410" s="25"/>
    </row>
    <row r="411" spans="28:28">
      <c r="AB411" s="25"/>
    </row>
    <row r="412" spans="28:28">
      <c r="AB412" s="25"/>
    </row>
    <row r="413" spans="28:28">
      <c r="AB413" s="25"/>
    </row>
    <row r="414" spans="28:28">
      <c r="AB414" s="25"/>
    </row>
    <row r="415" spans="28:28">
      <c r="AB415" s="25"/>
    </row>
    <row r="416" spans="28:28">
      <c r="AB416" s="25"/>
    </row>
    <row r="417" spans="28:28">
      <c r="AB417" s="25"/>
    </row>
    <row r="418" spans="28:28">
      <c r="AB418" s="25"/>
    </row>
    <row r="419" spans="28:28">
      <c r="AB419" s="25"/>
    </row>
    <row r="420" spans="28:28">
      <c r="AB420" s="25"/>
    </row>
    <row r="421" spans="28:28">
      <c r="AB421" s="25"/>
    </row>
    <row r="422" spans="28:28">
      <c r="AB422" s="25"/>
    </row>
    <row r="423" spans="28:28">
      <c r="AB423" s="25"/>
    </row>
    <row r="424" spans="28:28">
      <c r="AB424" s="25"/>
    </row>
    <row r="425" spans="28:28">
      <c r="AB425" s="25"/>
    </row>
    <row r="426" spans="28:28">
      <c r="AB426" s="25"/>
    </row>
    <row r="427" spans="28:28">
      <c r="AB427" s="25"/>
    </row>
    <row r="428" spans="28:28">
      <c r="AB428" s="25"/>
    </row>
    <row r="429" spans="28:28">
      <c r="AB429" s="25"/>
    </row>
    <row r="430" spans="28:28">
      <c r="AB430" s="25"/>
    </row>
    <row r="431" spans="28:28">
      <c r="AB431" s="25"/>
    </row>
    <row r="432" spans="28:28">
      <c r="AB432" s="25"/>
    </row>
    <row r="433" spans="28:28">
      <c r="AB433" s="25"/>
    </row>
    <row r="434" spans="28:28">
      <c r="AB434" s="25"/>
    </row>
    <row r="435" spans="28:28">
      <c r="AB435" s="25"/>
    </row>
    <row r="436" spans="28:28">
      <c r="AB436" s="25"/>
    </row>
    <row r="437" spans="28:28">
      <c r="AB437" s="25"/>
    </row>
    <row r="438" spans="28:28">
      <c r="AB438" s="25"/>
    </row>
    <row r="439" spans="28:28">
      <c r="AB439" s="25"/>
    </row>
    <row r="440" spans="28:28">
      <c r="AB440" s="25"/>
    </row>
    <row r="441" spans="28:28">
      <c r="AB441" s="25"/>
    </row>
    <row r="442" spans="28:28">
      <c r="AB442" s="25"/>
    </row>
    <row r="443" spans="28:28">
      <c r="AB443" s="25"/>
    </row>
    <row r="444" spans="28:28">
      <c r="AB444" s="25"/>
    </row>
    <row r="445" spans="28:28">
      <c r="AB445" s="25"/>
    </row>
    <row r="446" spans="28:28">
      <c r="AB446" s="25"/>
    </row>
    <row r="447" spans="28:28">
      <c r="AB447" s="25"/>
    </row>
    <row r="448" spans="28:28">
      <c r="AB448" s="25"/>
    </row>
    <row r="449" spans="28:28">
      <c r="AB449" s="25"/>
    </row>
    <row r="450" spans="28:28">
      <c r="AB450" s="25"/>
    </row>
    <row r="451" spans="28:28">
      <c r="AB451" s="25"/>
    </row>
    <row r="452" spans="28:28">
      <c r="AB452" s="25"/>
    </row>
    <row r="453" spans="28:28">
      <c r="AB453" s="25"/>
    </row>
    <row r="454" spans="28:28">
      <c r="AB454" s="25"/>
    </row>
    <row r="455" spans="28:28">
      <c r="AB455" s="25"/>
    </row>
    <row r="456" spans="28:28">
      <c r="AB456" s="25"/>
    </row>
    <row r="457" spans="28:28">
      <c r="AB457" s="25"/>
    </row>
    <row r="458" spans="28:28">
      <c r="AB458" s="25"/>
    </row>
    <row r="459" spans="28:28">
      <c r="AB459" s="25"/>
    </row>
    <row r="460" spans="28:28">
      <c r="AB460" s="25"/>
    </row>
    <row r="461" spans="28:28">
      <c r="AB461" s="25"/>
    </row>
    <row r="462" spans="28:28">
      <c r="AB462" s="25"/>
    </row>
    <row r="463" spans="28:28">
      <c r="AB463" s="25"/>
    </row>
    <row r="464" spans="28:28">
      <c r="AB464" s="25"/>
    </row>
    <row r="465" spans="28:28">
      <c r="AB465" s="25"/>
    </row>
    <row r="466" spans="28:28">
      <c r="AB466" s="25"/>
    </row>
    <row r="467" spans="28:28">
      <c r="AB467" s="25"/>
    </row>
    <row r="468" spans="28:28">
      <c r="AB468" s="25"/>
    </row>
    <row r="469" spans="28:28">
      <c r="AB469" s="25"/>
    </row>
    <row r="470" spans="28:28">
      <c r="AB470" s="25"/>
    </row>
    <row r="471" spans="28:28">
      <c r="AB471" s="25"/>
    </row>
    <row r="472" spans="28:28">
      <c r="AB472" s="25"/>
    </row>
    <row r="473" spans="28:28">
      <c r="AB473" s="25"/>
    </row>
    <row r="474" spans="28:28">
      <c r="AB474" s="25"/>
    </row>
    <row r="475" spans="28:28">
      <c r="AB475" s="25"/>
    </row>
    <row r="476" spans="28:28">
      <c r="AB476" s="25"/>
    </row>
    <row r="477" spans="28:28">
      <c r="AB477" s="25"/>
    </row>
    <row r="478" spans="28:28">
      <c r="AB478" s="25"/>
    </row>
    <row r="479" spans="28:28">
      <c r="AB479" s="25"/>
    </row>
    <row r="480" spans="28:28">
      <c r="AB480" s="25"/>
    </row>
    <row r="481" spans="28:28">
      <c r="AB481" s="25"/>
    </row>
    <row r="482" spans="28:28">
      <c r="AB482" s="25"/>
    </row>
    <row r="483" spans="28:28">
      <c r="AB483" s="25"/>
    </row>
    <row r="484" spans="28:28">
      <c r="AB484" s="25"/>
    </row>
    <row r="485" spans="28:28">
      <c r="AB485" s="25"/>
    </row>
    <row r="486" spans="28:28">
      <c r="AB486" s="25"/>
    </row>
    <row r="487" spans="28:28">
      <c r="AB487" s="25"/>
    </row>
    <row r="488" spans="28:28">
      <c r="AB488" s="25"/>
    </row>
    <row r="489" spans="28:28">
      <c r="AB489" s="25"/>
    </row>
    <row r="490" spans="28:28">
      <c r="AB490" s="25"/>
    </row>
    <row r="491" spans="28:28">
      <c r="AB491" s="25"/>
    </row>
    <row r="492" spans="28:28">
      <c r="AB492" s="25"/>
    </row>
    <row r="493" spans="28:28">
      <c r="AB493" s="25"/>
    </row>
    <row r="494" spans="28:28">
      <c r="AB494" s="25"/>
    </row>
    <row r="495" spans="28:28">
      <c r="AB495" s="25"/>
    </row>
    <row r="496" spans="28:28">
      <c r="AB496" s="25"/>
    </row>
    <row r="497" spans="28:28">
      <c r="AB497" s="25"/>
    </row>
    <row r="498" spans="28:28">
      <c r="AB498" s="25"/>
    </row>
    <row r="499" spans="28:28">
      <c r="AB499" s="25"/>
    </row>
    <row r="500" spans="28:28">
      <c r="AB500" s="25"/>
    </row>
    <row r="501" spans="28:28">
      <c r="AB501" s="25"/>
    </row>
    <row r="502" spans="28:28">
      <c r="AB502" s="25"/>
    </row>
    <row r="503" spans="28:28">
      <c r="AB503" s="25"/>
    </row>
    <row r="504" spans="28:28">
      <c r="AB504" s="25"/>
    </row>
    <row r="505" spans="28:28">
      <c r="AB505" s="25"/>
    </row>
    <row r="506" spans="28:28">
      <c r="AB506" s="25"/>
    </row>
    <row r="507" spans="28:28">
      <c r="AB507" s="25"/>
    </row>
    <row r="508" spans="28:28">
      <c r="AB508" s="25"/>
    </row>
    <row r="509" spans="28:28">
      <c r="AB509" s="25"/>
    </row>
    <row r="510" spans="28:28">
      <c r="AB510" s="25"/>
    </row>
    <row r="511" spans="28:28">
      <c r="AB511" s="25"/>
    </row>
    <row r="512" spans="28:28">
      <c r="AB512" s="25"/>
    </row>
    <row r="513" spans="28:28">
      <c r="AB513" s="25"/>
    </row>
    <row r="514" spans="28:28">
      <c r="AB514" s="25"/>
    </row>
    <row r="515" spans="28:28">
      <c r="AB515" s="25"/>
    </row>
    <row r="516" spans="28:28">
      <c r="AB516" s="25"/>
    </row>
    <row r="517" spans="28:28">
      <c r="AB517" s="25"/>
    </row>
    <row r="518" spans="28:28">
      <c r="AB518" s="25"/>
    </row>
    <row r="519" spans="28:28">
      <c r="AB519" s="25"/>
    </row>
    <row r="520" spans="28:28">
      <c r="AB520" s="25"/>
    </row>
    <row r="521" spans="28:28">
      <c r="AB521" s="25"/>
    </row>
    <row r="522" spans="28:28">
      <c r="AB522" s="25"/>
    </row>
    <row r="523" spans="28:28">
      <c r="AB523" s="25"/>
    </row>
    <row r="524" spans="28:28">
      <c r="AB524" s="25"/>
    </row>
    <row r="525" spans="28:28">
      <c r="AB525" s="25"/>
    </row>
    <row r="526" spans="28:28">
      <c r="AB526" s="25"/>
    </row>
    <row r="527" spans="28:28">
      <c r="AB527" s="25"/>
    </row>
    <row r="528" spans="28:28">
      <c r="AB528" s="25"/>
    </row>
    <row r="529" spans="28:28">
      <c r="AB529" s="25"/>
    </row>
    <row r="530" spans="28:28">
      <c r="AB530" s="25"/>
    </row>
    <row r="531" spans="28:28">
      <c r="AB531" s="25"/>
    </row>
    <row r="532" spans="28:28">
      <c r="AB532" s="25"/>
    </row>
    <row r="533" spans="28:28">
      <c r="AB533" s="25"/>
    </row>
    <row r="534" spans="28:28">
      <c r="AB534" s="25"/>
    </row>
    <row r="535" spans="28:28">
      <c r="AB535" s="25"/>
    </row>
    <row r="536" spans="28:28">
      <c r="AB536" s="25"/>
    </row>
    <row r="537" spans="28:28">
      <c r="AB537" s="25"/>
    </row>
    <row r="538" spans="28:28">
      <c r="AB538" s="25"/>
    </row>
    <row r="539" spans="28:28">
      <c r="AB539" s="25"/>
    </row>
    <row r="540" spans="28:28">
      <c r="AB540" s="25"/>
    </row>
    <row r="541" spans="28:28">
      <c r="AB541" s="25"/>
    </row>
    <row r="542" spans="28:28">
      <c r="AB542" s="25"/>
    </row>
    <row r="543" spans="28:28">
      <c r="AB543" s="25"/>
    </row>
    <row r="544" spans="28:28">
      <c r="AB544" s="25"/>
    </row>
    <row r="545" spans="28:28">
      <c r="AB545" s="25"/>
    </row>
    <row r="546" spans="28:28">
      <c r="AB546" s="25"/>
    </row>
    <row r="547" spans="28:28">
      <c r="AB547" s="25"/>
    </row>
    <row r="548" spans="28:28">
      <c r="AB548" s="25"/>
    </row>
    <row r="549" spans="28:28">
      <c r="AB549" s="25"/>
    </row>
    <row r="550" spans="28:28">
      <c r="AB550" s="25"/>
    </row>
    <row r="551" spans="28:28">
      <c r="AB551" s="25"/>
    </row>
    <row r="552" spans="28:28">
      <c r="AB552" s="25"/>
    </row>
    <row r="553" spans="28:28">
      <c r="AB553" s="25"/>
    </row>
    <row r="554" spans="28:28">
      <c r="AB554" s="25"/>
    </row>
    <row r="555" spans="28:28">
      <c r="AB555" s="25"/>
    </row>
    <row r="556" spans="28:28">
      <c r="AB556" s="25"/>
    </row>
    <row r="557" spans="28:28">
      <c r="AB557" s="25"/>
    </row>
    <row r="558" spans="28:28">
      <c r="AB558" s="25"/>
    </row>
    <row r="559" spans="28:28">
      <c r="AB559" s="25"/>
    </row>
    <row r="560" spans="28:28">
      <c r="AB560" s="25"/>
    </row>
    <row r="561" spans="28:28">
      <c r="AB561" s="25"/>
    </row>
    <row r="562" spans="28:28">
      <c r="AB562" s="25"/>
    </row>
    <row r="563" spans="28:28">
      <c r="AB563" s="25"/>
    </row>
    <row r="564" spans="28:28">
      <c r="AB564" s="25"/>
    </row>
    <row r="565" spans="28:28">
      <c r="AB565" s="25"/>
    </row>
    <row r="566" spans="28:28">
      <c r="AB566" s="25"/>
    </row>
    <row r="567" spans="28:28">
      <c r="AB567" s="25"/>
    </row>
    <row r="568" spans="28:28">
      <c r="AB568" s="25"/>
    </row>
    <row r="569" spans="28:28">
      <c r="AB569" s="25"/>
    </row>
    <row r="570" spans="28:28">
      <c r="AB570" s="25"/>
    </row>
    <row r="571" spans="28:28">
      <c r="AB571" s="25"/>
    </row>
    <row r="572" spans="28:28">
      <c r="AB572" s="25"/>
    </row>
    <row r="573" spans="28:28">
      <c r="AB573" s="25"/>
    </row>
    <row r="574" spans="28:28">
      <c r="AB574" s="25"/>
    </row>
    <row r="575" spans="28:28">
      <c r="AB575" s="25"/>
    </row>
    <row r="576" spans="28:28">
      <c r="AB576" s="25"/>
    </row>
    <row r="577" spans="28:28">
      <c r="AB577" s="25"/>
    </row>
    <row r="578" spans="28:28">
      <c r="AB578" s="25"/>
    </row>
    <row r="579" spans="28:28">
      <c r="AB579" s="25"/>
    </row>
    <row r="580" spans="28:28">
      <c r="AB580" s="25"/>
    </row>
    <row r="581" spans="28:28">
      <c r="AB581" s="25"/>
    </row>
    <row r="582" spans="28:28">
      <c r="AB582" s="25"/>
    </row>
    <row r="583" spans="28:28">
      <c r="AB583" s="25"/>
    </row>
    <row r="584" spans="28:28">
      <c r="AB584" s="25"/>
    </row>
    <row r="585" spans="28:28">
      <c r="AB585" s="25"/>
    </row>
    <row r="586" spans="28:28">
      <c r="AB586" s="25"/>
    </row>
    <row r="587" spans="28:28">
      <c r="AB587" s="25"/>
    </row>
    <row r="588" spans="28:28">
      <c r="AB588" s="25"/>
    </row>
    <row r="589" spans="28:28">
      <c r="AB589" s="25"/>
    </row>
    <row r="590" spans="28:28">
      <c r="AB590" s="25"/>
    </row>
    <row r="591" spans="28:28">
      <c r="AB591" s="25"/>
    </row>
    <row r="592" spans="28:28">
      <c r="AB592" s="25"/>
    </row>
    <row r="593" spans="28:28">
      <c r="AB593" s="25"/>
    </row>
    <row r="594" spans="28:28">
      <c r="AB594" s="25"/>
    </row>
    <row r="595" spans="28:28">
      <c r="AB595" s="25"/>
    </row>
    <row r="596" spans="28:28">
      <c r="AB596" s="25"/>
    </row>
    <row r="597" spans="28:28">
      <c r="AB597" s="25"/>
    </row>
    <row r="598" spans="28:28">
      <c r="AB598" s="25"/>
    </row>
    <row r="599" spans="28:28">
      <c r="AB599" s="25"/>
    </row>
    <row r="600" spans="28:28">
      <c r="AB600" s="25"/>
    </row>
    <row r="601" spans="28:28">
      <c r="AB601" s="25"/>
    </row>
    <row r="602" spans="28:28">
      <c r="AB602" s="25"/>
    </row>
    <row r="603" spans="28:28">
      <c r="AB603" s="25"/>
    </row>
    <row r="604" spans="28:28">
      <c r="AB604" s="25"/>
    </row>
    <row r="605" spans="28:28">
      <c r="AB605" s="25"/>
    </row>
    <row r="606" spans="28:28">
      <c r="AB606" s="25"/>
    </row>
    <row r="607" spans="28:28">
      <c r="AB607" s="25"/>
    </row>
    <row r="608" spans="28:28">
      <c r="AB608" s="25"/>
    </row>
    <row r="609" spans="28:28">
      <c r="AB609" s="25"/>
    </row>
    <row r="610" spans="28:28">
      <c r="AB610" s="25"/>
    </row>
    <row r="611" spans="28:28">
      <c r="AB611" s="25"/>
    </row>
    <row r="612" spans="28:28">
      <c r="AB612" s="25"/>
    </row>
    <row r="613" spans="28:28">
      <c r="AB613" s="25"/>
    </row>
    <row r="614" spans="28:28">
      <c r="AB614" s="25"/>
    </row>
    <row r="615" spans="28:28">
      <c r="AB615" s="25"/>
    </row>
    <row r="616" spans="28:28">
      <c r="AB616" s="25"/>
    </row>
    <row r="617" spans="28:28">
      <c r="AB617" s="25"/>
    </row>
    <row r="618" spans="28:28">
      <c r="AB618" s="25"/>
    </row>
    <row r="619" spans="28:28">
      <c r="AB619" s="25"/>
    </row>
    <row r="620" spans="28:28">
      <c r="AB620" s="25"/>
    </row>
    <row r="621" spans="28:28">
      <c r="AB621" s="25"/>
    </row>
    <row r="622" spans="28:28">
      <c r="AB622" s="25"/>
    </row>
    <row r="623" spans="28:28">
      <c r="AB623" s="25"/>
    </row>
    <row r="624" spans="28:28">
      <c r="AB624" s="25"/>
    </row>
    <row r="625" spans="28:28">
      <c r="AB625" s="25"/>
    </row>
    <row r="626" spans="28:28">
      <c r="AB626" s="25"/>
    </row>
    <row r="627" spans="28:28">
      <c r="AB627" s="25"/>
    </row>
    <row r="628" spans="28:28">
      <c r="AB628" s="25"/>
    </row>
    <row r="629" spans="28:28">
      <c r="AB629" s="25"/>
    </row>
    <row r="630" spans="28:28">
      <c r="AB630" s="25"/>
    </row>
    <row r="631" spans="28:28">
      <c r="AB631" s="25"/>
    </row>
    <row r="632" spans="28:28">
      <c r="AB632" s="25"/>
    </row>
    <row r="633" spans="28:28">
      <c r="AB633" s="25"/>
    </row>
    <row r="634" spans="28:28">
      <c r="AB634" s="25"/>
    </row>
    <row r="635" spans="28:28">
      <c r="AB635" s="25"/>
    </row>
    <row r="636" spans="28:28">
      <c r="AB636" s="25"/>
    </row>
    <row r="637" spans="28:28">
      <c r="AB637" s="25"/>
    </row>
    <row r="638" spans="28:28">
      <c r="AB638" s="25"/>
    </row>
    <row r="639" spans="28:28">
      <c r="AB639" s="25"/>
    </row>
    <row r="640" spans="28:28">
      <c r="AB640" s="25"/>
    </row>
    <row r="641" spans="28:28">
      <c r="AB641" s="25"/>
    </row>
    <row r="642" spans="28:28">
      <c r="AB642" s="25"/>
    </row>
    <row r="643" spans="28:28">
      <c r="AB643" s="25"/>
    </row>
    <row r="644" spans="28:28">
      <c r="AB644" s="25"/>
    </row>
    <row r="645" spans="28:28">
      <c r="AB645" s="25"/>
    </row>
    <row r="646" spans="28:28">
      <c r="AB646" s="25"/>
    </row>
    <row r="647" spans="28:28">
      <c r="AB647" s="25"/>
    </row>
    <row r="648" spans="28:28">
      <c r="AB648" s="25"/>
    </row>
    <row r="649" spans="28:28">
      <c r="AB649" s="25"/>
    </row>
    <row r="650" spans="28:28">
      <c r="AB650" s="25"/>
    </row>
    <row r="651" spans="28:28">
      <c r="AB651" s="25"/>
    </row>
    <row r="652" spans="28:28">
      <c r="AB652" s="25"/>
    </row>
    <row r="653" spans="28:28">
      <c r="AB653" s="25"/>
    </row>
    <row r="654" spans="28:28">
      <c r="AB654" s="25"/>
    </row>
    <row r="655" spans="28:28">
      <c r="AB655" s="25"/>
    </row>
    <row r="656" spans="28:28">
      <c r="AB656" s="25"/>
    </row>
    <row r="657" spans="28:28">
      <c r="AB657" s="25"/>
    </row>
    <row r="658" spans="28:28">
      <c r="AB658" s="25"/>
    </row>
    <row r="659" spans="28:28">
      <c r="AB659" s="25"/>
    </row>
    <row r="660" spans="28:28">
      <c r="AB660" s="25"/>
    </row>
    <row r="661" spans="28:28">
      <c r="AB661" s="25"/>
    </row>
    <row r="662" spans="28:28">
      <c r="AB662" s="25"/>
    </row>
    <row r="663" spans="28:28">
      <c r="AB663" s="25"/>
    </row>
    <row r="664" spans="28:28">
      <c r="AB664" s="25"/>
    </row>
    <row r="665" spans="28:28">
      <c r="AB665" s="25"/>
    </row>
    <row r="666" spans="28:28">
      <c r="AB666" s="25"/>
    </row>
    <row r="667" spans="28:28">
      <c r="AB667" s="25"/>
    </row>
    <row r="668" spans="28:28">
      <c r="AB668" s="25"/>
    </row>
    <row r="669" spans="28:28">
      <c r="AB669" s="25"/>
    </row>
    <row r="670" spans="28:28">
      <c r="AB670" s="25"/>
    </row>
    <row r="671" spans="28:28">
      <c r="AB671" s="25"/>
    </row>
    <row r="672" spans="28:28">
      <c r="AB672" s="25"/>
    </row>
    <row r="673" spans="28:28">
      <c r="AB673" s="25"/>
    </row>
    <row r="674" spans="28:28">
      <c r="AB674" s="25"/>
    </row>
    <row r="675" spans="28:28">
      <c r="AB675" s="25"/>
    </row>
    <row r="676" spans="28:28">
      <c r="AB676" s="25"/>
    </row>
    <row r="677" spans="28:28">
      <c r="AB677" s="25"/>
    </row>
    <row r="678" spans="28:28">
      <c r="AB678" s="25"/>
    </row>
    <row r="679" spans="28:28">
      <c r="AB679" s="25"/>
    </row>
    <row r="680" spans="28:28">
      <c r="AB680" s="25"/>
    </row>
    <row r="681" spans="28:28">
      <c r="AB681" s="25"/>
    </row>
    <row r="682" spans="28:28">
      <c r="AB682" s="25"/>
    </row>
    <row r="683" spans="28:28">
      <c r="AB683" s="25"/>
    </row>
    <row r="684" spans="28:28">
      <c r="AB684" s="25"/>
    </row>
    <row r="685" spans="28:28">
      <c r="AB685" s="25"/>
    </row>
    <row r="686" spans="28:28">
      <c r="AB686" s="25"/>
    </row>
    <row r="687" spans="28:28">
      <c r="AB687" s="25"/>
    </row>
    <row r="688" spans="28:28">
      <c r="AB688" s="25"/>
    </row>
    <row r="689" spans="28:28">
      <c r="AB689" s="25"/>
    </row>
    <row r="690" spans="28:28">
      <c r="AB690" s="25"/>
    </row>
    <row r="691" spans="28:28">
      <c r="AB691" s="25"/>
    </row>
    <row r="692" spans="28:28">
      <c r="AB692" s="25"/>
    </row>
    <row r="693" spans="28:28">
      <c r="AB693" s="25"/>
    </row>
    <row r="694" spans="28:28">
      <c r="AB694" s="25"/>
    </row>
    <row r="695" spans="28:28">
      <c r="AB695" s="25"/>
    </row>
    <row r="696" spans="28:28">
      <c r="AB696" s="25"/>
    </row>
    <row r="697" spans="28:28">
      <c r="AB697" s="25"/>
    </row>
    <row r="698" spans="28:28">
      <c r="AB698" s="25"/>
    </row>
    <row r="699" spans="28:28">
      <c r="AB699" s="25"/>
    </row>
    <row r="700" spans="28:28">
      <c r="AB700" s="25"/>
    </row>
    <row r="701" spans="28:28">
      <c r="AB701" s="25"/>
    </row>
    <row r="702" spans="28:28">
      <c r="AB702" s="25"/>
    </row>
    <row r="703" spans="28:28">
      <c r="AB703" s="25"/>
    </row>
    <row r="704" spans="28:28">
      <c r="AB704" s="25"/>
    </row>
    <row r="705" spans="28:28">
      <c r="AB705" s="25"/>
    </row>
    <row r="706" spans="28:28">
      <c r="AB706" s="25"/>
    </row>
    <row r="707" spans="28:28">
      <c r="AB707" s="25"/>
    </row>
    <row r="708" spans="28:28">
      <c r="AB708" s="25"/>
    </row>
    <row r="709" spans="28:28">
      <c r="AB709" s="25"/>
    </row>
    <row r="710" spans="28:28">
      <c r="AB710" s="25"/>
    </row>
    <row r="711" spans="28:28">
      <c r="AB711" s="25"/>
    </row>
    <row r="712" spans="28:28">
      <c r="AB712" s="25"/>
    </row>
    <row r="713" spans="28:28">
      <c r="AB713" s="25"/>
    </row>
    <row r="714" spans="28:28">
      <c r="AB714" s="25"/>
    </row>
    <row r="715" spans="28:28">
      <c r="AB715" s="25"/>
    </row>
    <row r="716" spans="28:28">
      <c r="AB716" s="25"/>
    </row>
    <row r="717" spans="28:28">
      <c r="AB717" s="25"/>
    </row>
    <row r="718" spans="28:28">
      <c r="AB718" s="25"/>
    </row>
    <row r="719" spans="28:28">
      <c r="AB719" s="25"/>
    </row>
    <row r="720" spans="28:28">
      <c r="AB720" s="25"/>
    </row>
    <row r="721" spans="28:28">
      <c r="AB721" s="25"/>
    </row>
    <row r="722" spans="28:28">
      <c r="AB722" s="25"/>
    </row>
    <row r="723" spans="28:28">
      <c r="AB723" s="25"/>
    </row>
    <row r="724" spans="28:28">
      <c r="AB724" s="25"/>
    </row>
    <row r="725" spans="28:28">
      <c r="AB725" s="25"/>
    </row>
    <row r="726" spans="28:28">
      <c r="AB726" s="25"/>
    </row>
    <row r="727" spans="28:28">
      <c r="AB727" s="25"/>
    </row>
    <row r="728" spans="28:28">
      <c r="AB728" s="25"/>
    </row>
    <row r="729" spans="28:28">
      <c r="AB729" s="25"/>
    </row>
    <row r="730" spans="28:28">
      <c r="AB730" s="25"/>
    </row>
    <row r="731" spans="28:28">
      <c r="AB731" s="25"/>
    </row>
    <row r="732" spans="28:28">
      <c r="AB732" s="25"/>
    </row>
    <row r="733" spans="28:28">
      <c r="AB733" s="25"/>
    </row>
    <row r="734" spans="28:28">
      <c r="AB734" s="25"/>
    </row>
    <row r="735" spans="28:28">
      <c r="AB735" s="25"/>
    </row>
    <row r="736" spans="28:28">
      <c r="AB736" s="25"/>
    </row>
    <row r="737" spans="28:28">
      <c r="AB737" s="25"/>
    </row>
    <row r="738" spans="28:28">
      <c r="AB738" s="25"/>
    </row>
    <row r="739" spans="28:28">
      <c r="AB739" s="25"/>
    </row>
    <row r="740" spans="28:28">
      <c r="AB740" s="25"/>
    </row>
    <row r="741" spans="28:28">
      <c r="AB741" s="25"/>
    </row>
    <row r="742" spans="28:28">
      <c r="AB742" s="25"/>
    </row>
    <row r="743" spans="28:28">
      <c r="AB743" s="25"/>
    </row>
    <row r="744" spans="28:28">
      <c r="AB744" s="25"/>
    </row>
    <row r="745" spans="28:28">
      <c r="AB745" s="25"/>
    </row>
    <row r="746" spans="28:28">
      <c r="AB746" s="25"/>
    </row>
    <row r="747" spans="28:28">
      <c r="AB747" s="25"/>
    </row>
    <row r="748" spans="28:28">
      <c r="AB748" s="25"/>
    </row>
    <row r="749" spans="28:28">
      <c r="AB749" s="25"/>
    </row>
    <row r="750" spans="28:28">
      <c r="AB750" s="25"/>
    </row>
    <row r="751" spans="28:28">
      <c r="AB751" s="25"/>
    </row>
    <row r="752" spans="28:28">
      <c r="AB752" s="25"/>
    </row>
    <row r="753" spans="28:28">
      <c r="AB753" s="25"/>
    </row>
    <row r="754" spans="28:28">
      <c r="AB754" s="25"/>
    </row>
    <row r="755" spans="28:28">
      <c r="AB755" s="25"/>
    </row>
    <row r="756" spans="28:28">
      <c r="AB756" s="25"/>
    </row>
    <row r="757" spans="28:28">
      <c r="AB757" s="25"/>
    </row>
    <row r="758" spans="28:28">
      <c r="AB758" s="25"/>
    </row>
    <row r="759" spans="28:28">
      <c r="AB759" s="25"/>
    </row>
    <row r="760" spans="28:28">
      <c r="AB760" s="25"/>
    </row>
    <row r="761" spans="28:28">
      <c r="AB761" s="25"/>
    </row>
    <row r="762" spans="28:28">
      <c r="AB762" s="25"/>
    </row>
    <row r="763" spans="28:28">
      <c r="AB763" s="25"/>
    </row>
    <row r="764" spans="28:28">
      <c r="AB764" s="25"/>
    </row>
    <row r="765" spans="28:28">
      <c r="AB765" s="25"/>
    </row>
    <row r="766" spans="28:28">
      <c r="AB766" s="25"/>
    </row>
    <row r="767" spans="28:28">
      <c r="AB767" s="25"/>
    </row>
    <row r="768" spans="28:28">
      <c r="AB768" s="25"/>
    </row>
    <row r="769" spans="28:28">
      <c r="AB769" s="25"/>
    </row>
    <row r="770" spans="28:28">
      <c r="AB770" s="25"/>
    </row>
    <row r="771" spans="28:28">
      <c r="AB771" s="25"/>
    </row>
    <row r="772" spans="28:28">
      <c r="AB772" s="25"/>
    </row>
    <row r="773" spans="28:28">
      <c r="AB773" s="25"/>
    </row>
    <row r="774" spans="28:28">
      <c r="AB774" s="25"/>
    </row>
    <row r="775" spans="28:28">
      <c r="AB775" s="25"/>
    </row>
    <row r="776" spans="28:28">
      <c r="AB776" s="25"/>
    </row>
    <row r="777" spans="28:28">
      <c r="AB777" s="25"/>
    </row>
    <row r="778" spans="28:28">
      <c r="AB778" s="25"/>
    </row>
    <row r="779" spans="28:28">
      <c r="AB779" s="25"/>
    </row>
    <row r="780" spans="28:28">
      <c r="AB780" s="25"/>
    </row>
    <row r="781" spans="28:28">
      <c r="AB781" s="25"/>
    </row>
    <row r="782" spans="28:28">
      <c r="AB782" s="25"/>
    </row>
    <row r="783" spans="28:28">
      <c r="AB783" s="25"/>
    </row>
    <row r="784" spans="28:28">
      <c r="AB784" s="25"/>
    </row>
    <row r="785" spans="28:28">
      <c r="AB785" s="25"/>
    </row>
    <row r="786" spans="28:28">
      <c r="AB786" s="25"/>
    </row>
    <row r="787" spans="28:28">
      <c r="AB787" s="25"/>
    </row>
    <row r="788" spans="28:28">
      <c r="AB788" s="25"/>
    </row>
    <row r="789" spans="28:28">
      <c r="AB789" s="25"/>
    </row>
    <row r="790" spans="28:28">
      <c r="AB790" s="25"/>
    </row>
    <row r="791" spans="28:28">
      <c r="AB791" s="25"/>
    </row>
    <row r="792" spans="28:28">
      <c r="AB792" s="25"/>
    </row>
    <row r="793" spans="28:28">
      <c r="AB793" s="25"/>
    </row>
    <row r="794" spans="28:28">
      <c r="AB794" s="25"/>
    </row>
    <row r="795" spans="28:28">
      <c r="AB795" s="25"/>
    </row>
    <row r="796" spans="28:28">
      <c r="AB796" s="25"/>
    </row>
    <row r="797" spans="28:28">
      <c r="AB797" s="25"/>
    </row>
    <row r="798" spans="28:28">
      <c r="AB798" s="25"/>
    </row>
    <row r="799" spans="28:28">
      <c r="AB799" s="25"/>
    </row>
    <row r="800" spans="28:28">
      <c r="AB800" s="25"/>
    </row>
    <row r="801" spans="28:28">
      <c r="AB801" s="25"/>
    </row>
    <row r="802" spans="28:28">
      <c r="AB802" s="25"/>
    </row>
    <row r="803" spans="28:28">
      <c r="AB803" s="25"/>
    </row>
    <row r="804" spans="28:28">
      <c r="AB804" s="25"/>
    </row>
    <row r="805" spans="28:28">
      <c r="AB805" s="25"/>
    </row>
    <row r="806" spans="28:28">
      <c r="AB806" s="25"/>
    </row>
    <row r="807" spans="28:28">
      <c r="AB807" s="25"/>
    </row>
    <row r="808" spans="28:28">
      <c r="AB808" s="25"/>
    </row>
    <row r="809" spans="28:28">
      <c r="AB809" s="25"/>
    </row>
    <row r="810" spans="28:28">
      <c r="AB810" s="25"/>
    </row>
    <row r="811" spans="28:28">
      <c r="AB811" s="25"/>
    </row>
    <row r="812" spans="28:28">
      <c r="AB812" s="25"/>
    </row>
    <row r="813" spans="28:28">
      <c r="AB813" s="25"/>
    </row>
    <row r="814" spans="28:28">
      <c r="AB814" s="25"/>
    </row>
    <row r="815" spans="28:28">
      <c r="AB815" s="25"/>
    </row>
    <row r="816" spans="28:28">
      <c r="AB816" s="25"/>
    </row>
    <row r="817" spans="28:28">
      <c r="AB817" s="25"/>
    </row>
    <row r="818" spans="28:28">
      <c r="AB818" s="25"/>
    </row>
    <row r="819" spans="28:28">
      <c r="AB819" s="25"/>
    </row>
    <row r="820" spans="28:28">
      <c r="AB820" s="25"/>
    </row>
    <row r="821" spans="28:28">
      <c r="AB821" s="25"/>
    </row>
    <row r="822" spans="28:28">
      <c r="AB822" s="25"/>
    </row>
    <row r="823" spans="28:28">
      <c r="AB823" s="25"/>
    </row>
    <row r="824" spans="28:28">
      <c r="AB824" s="25"/>
    </row>
    <row r="825" spans="28:28">
      <c r="AB825" s="25"/>
    </row>
    <row r="826" spans="28:28">
      <c r="AB826" s="25"/>
    </row>
    <row r="827" spans="28:28">
      <c r="AB827" s="25"/>
    </row>
    <row r="828" spans="28:28">
      <c r="AB828" s="25"/>
    </row>
    <row r="829" spans="28:28">
      <c r="AB829" s="25"/>
    </row>
    <row r="830" spans="28:28">
      <c r="AB830" s="25"/>
    </row>
    <row r="831" spans="28:28">
      <c r="AB831" s="25"/>
    </row>
    <row r="832" spans="28:28">
      <c r="AB832" s="25"/>
    </row>
    <row r="833" spans="28:28">
      <c r="AB833" s="25"/>
    </row>
    <row r="834" spans="28:28">
      <c r="AB834" s="25"/>
    </row>
    <row r="835" spans="28:28">
      <c r="AB835" s="25"/>
    </row>
    <row r="836" spans="28:28">
      <c r="AB836" s="25"/>
    </row>
    <row r="837" spans="28:28">
      <c r="AB837" s="25"/>
    </row>
    <row r="838" spans="28:28">
      <c r="AB838" s="25"/>
    </row>
    <row r="839" spans="28:28">
      <c r="AB839" s="25"/>
    </row>
    <row r="840" spans="28:28">
      <c r="AB840" s="25"/>
    </row>
    <row r="841" spans="28:28">
      <c r="AB841" s="25"/>
    </row>
    <row r="842" spans="28:28">
      <c r="AB842" s="25"/>
    </row>
    <row r="843" spans="28:28">
      <c r="AB843" s="25"/>
    </row>
    <row r="844" spans="28:28">
      <c r="AB844" s="25"/>
    </row>
    <row r="845" spans="28:28">
      <c r="AB845" s="25"/>
    </row>
    <row r="846" spans="28:28">
      <c r="AB846" s="25"/>
    </row>
    <row r="847" spans="28:28">
      <c r="AB847" s="25"/>
    </row>
    <row r="848" spans="28:28">
      <c r="AB848" s="25"/>
    </row>
    <row r="849" spans="28:28">
      <c r="AB849" s="25"/>
    </row>
    <row r="850" spans="28:28">
      <c r="AB850" s="25"/>
    </row>
    <row r="851" spans="28:28">
      <c r="AB851" s="25"/>
    </row>
    <row r="852" spans="28:28">
      <c r="AB852" s="25"/>
    </row>
    <row r="853" spans="28:28">
      <c r="AB853" s="25"/>
    </row>
    <row r="854" spans="28:28">
      <c r="AB854" s="25"/>
    </row>
    <row r="855" spans="28:28">
      <c r="AB855" s="25"/>
    </row>
    <row r="856" spans="28:28">
      <c r="AB856" s="25"/>
    </row>
    <row r="857" spans="28:28">
      <c r="AB857" s="25"/>
    </row>
    <row r="858" spans="28:28">
      <c r="AB858" s="25"/>
    </row>
    <row r="859" spans="28:28">
      <c r="AB859" s="25"/>
    </row>
    <row r="860" spans="28:28">
      <c r="AB860" s="25"/>
    </row>
    <row r="861" spans="28:28">
      <c r="AB861" s="25"/>
    </row>
    <row r="862" spans="28:28">
      <c r="AB862" s="25"/>
    </row>
    <row r="863" spans="28:28">
      <c r="AB863" s="25"/>
    </row>
    <row r="864" spans="28:28">
      <c r="AB864" s="25"/>
    </row>
    <row r="865" spans="28:28">
      <c r="AB865" s="25"/>
    </row>
    <row r="866" spans="28:28">
      <c r="AB866" s="25"/>
    </row>
    <row r="867" spans="28:28">
      <c r="AB867" s="25"/>
    </row>
    <row r="868" spans="28:28">
      <c r="AB868" s="25"/>
    </row>
    <row r="869" spans="28:28">
      <c r="AB869" s="25"/>
    </row>
    <row r="870" spans="28:28">
      <c r="AB870" s="25"/>
    </row>
    <row r="871" spans="28:28">
      <c r="AB871" s="25"/>
    </row>
    <row r="872" spans="28:28">
      <c r="AB872" s="25"/>
    </row>
    <row r="873" spans="28:28">
      <c r="AB873" s="25"/>
    </row>
    <row r="874" spans="28:28">
      <c r="AB874" s="25"/>
    </row>
    <row r="875" spans="28:28">
      <c r="AB875" s="25"/>
    </row>
    <row r="876" spans="28:28">
      <c r="AB876" s="25"/>
    </row>
    <row r="877" spans="28:28">
      <c r="AB877" s="25"/>
    </row>
    <row r="878" spans="28:28">
      <c r="AB878" s="25"/>
    </row>
    <row r="879" spans="28:28">
      <c r="AB879" s="25"/>
    </row>
    <row r="880" spans="28:28">
      <c r="AB880" s="25"/>
    </row>
    <row r="881" spans="28:28">
      <c r="AB881" s="25"/>
    </row>
    <row r="882" spans="28:28">
      <c r="AB882" s="25"/>
    </row>
    <row r="883" spans="28:28">
      <c r="AB883" s="25"/>
    </row>
    <row r="884" spans="28:28">
      <c r="AB884" s="25"/>
    </row>
    <row r="885" spans="28:28">
      <c r="AB885" s="25"/>
    </row>
    <row r="886" spans="28:28">
      <c r="AB886" s="25"/>
    </row>
    <row r="887" spans="28:28">
      <c r="AB887" s="25"/>
    </row>
    <row r="888" spans="28:28">
      <c r="AB888" s="25"/>
    </row>
    <row r="889" spans="28:28">
      <c r="AB889" s="25"/>
    </row>
    <row r="890" spans="28:28">
      <c r="AB890" s="25"/>
    </row>
    <row r="891" spans="28:28">
      <c r="AB891" s="25"/>
    </row>
    <row r="892" spans="28:28">
      <c r="AB892" s="25"/>
    </row>
    <row r="893" spans="28:28">
      <c r="AB893" s="25"/>
    </row>
    <row r="894" spans="28:28">
      <c r="AB894" s="25"/>
    </row>
    <row r="895" spans="28:28">
      <c r="AB895" s="25"/>
    </row>
    <row r="896" spans="28:28">
      <c r="AB896" s="25"/>
    </row>
    <row r="897" spans="28:28">
      <c r="AB897" s="25"/>
    </row>
    <row r="898" spans="28:28">
      <c r="AB898" s="25"/>
    </row>
    <row r="899" spans="28:28">
      <c r="AB899" s="25"/>
    </row>
    <row r="900" spans="28:28">
      <c r="AB900" s="25"/>
    </row>
    <row r="901" spans="28:28">
      <c r="AB901" s="25"/>
    </row>
    <row r="902" spans="28:28">
      <c r="AB902" s="25"/>
    </row>
    <row r="903" spans="28:28">
      <c r="AB903" s="25"/>
    </row>
    <row r="904" spans="28:28">
      <c r="AB904" s="25"/>
    </row>
    <row r="905" spans="28:28">
      <c r="AB905" s="25"/>
    </row>
    <row r="906" spans="28:28">
      <c r="AB906" s="25"/>
    </row>
    <row r="907" spans="28:28">
      <c r="AB907" s="25"/>
    </row>
    <row r="908" spans="28:28">
      <c r="AB908" s="25"/>
    </row>
    <row r="909" spans="28:28">
      <c r="AB909" s="25"/>
    </row>
    <row r="910" spans="28:28">
      <c r="AB910" s="25"/>
    </row>
    <row r="911" spans="28:28">
      <c r="AB911" s="25"/>
    </row>
    <row r="912" spans="28:28">
      <c r="AB912" s="25"/>
    </row>
    <row r="913" spans="28:28">
      <c r="AB913" s="25"/>
    </row>
    <row r="914" spans="28:28">
      <c r="AB914" s="25"/>
    </row>
    <row r="915" spans="28:28">
      <c r="AB915" s="25"/>
    </row>
    <row r="916" spans="28:28">
      <c r="AB916" s="25"/>
    </row>
    <row r="917" spans="28:28">
      <c r="AB917" s="25"/>
    </row>
    <row r="918" spans="28:28">
      <c r="AB918" s="25"/>
    </row>
    <row r="919" spans="28:28">
      <c r="AB919" s="25"/>
    </row>
    <row r="920" spans="28:28">
      <c r="AB920" s="25"/>
    </row>
    <row r="921" spans="28:28">
      <c r="AB921" s="25"/>
    </row>
    <row r="922" spans="28:28">
      <c r="AB922" s="25"/>
    </row>
    <row r="923" spans="28:28">
      <c r="AB923" s="25"/>
    </row>
    <row r="924" spans="28:28">
      <c r="AB924" s="25"/>
    </row>
    <row r="925" spans="28:28">
      <c r="AB925" s="25"/>
    </row>
    <row r="926" spans="28:28">
      <c r="AB926" s="25"/>
    </row>
    <row r="927" spans="28:28">
      <c r="AB927" s="25"/>
    </row>
    <row r="928" spans="28:28">
      <c r="AB928" s="25"/>
    </row>
    <row r="929" spans="28:28">
      <c r="AB929" s="25"/>
    </row>
    <row r="930" spans="28:28">
      <c r="AB930" s="25"/>
    </row>
    <row r="931" spans="28:28">
      <c r="AB931" s="25"/>
    </row>
    <row r="932" spans="28:28">
      <c r="AB932" s="25"/>
    </row>
    <row r="933" spans="28:28">
      <c r="AB933" s="25"/>
    </row>
    <row r="934" spans="28:28">
      <c r="AB934" s="25"/>
    </row>
    <row r="935" spans="28:28">
      <c r="AB935" s="25"/>
    </row>
    <row r="936" spans="28:28">
      <c r="AB936" s="25"/>
    </row>
    <row r="937" spans="28:28">
      <c r="AB937" s="25"/>
    </row>
    <row r="938" spans="28:28">
      <c r="AB938" s="25"/>
    </row>
    <row r="939" spans="28:28">
      <c r="AB939" s="25"/>
    </row>
    <row r="940" spans="28:28">
      <c r="AB940" s="25"/>
    </row>
    <row r="941" spans="28:28">
      <c r="AB941" s="25"/>
    </row>
    <row r="942" spans="28:28">
      <c r="AB942" s="25"/>
    </row>
    <row r="943" spans="28:28">
      <c r="AB943" s="25"/>
    </row>
    <row r="944" spans="28:28">
      <c r="AB944" s="25"/>
    </row>
    <row r="945" spans="28:28">
      <c r="AB945" s="25"/>
    </row>
    <row r="946" spans="28:28">
      <c r="AB946" s="25"/>
    </row>
    <row r="947" spans="28:28">
      <c r="AB947" s="25"/>
    </row>
    <row r="948" spans="28:28">
      <c r="AB948" s="25"/>
    </row>
    <row r="949" spans="28:28">
      <c r="AB949" s="25"/>
    </row>
    <row r="950" spans="28:28">
      <c r="AB950" s="25"/>
    </row>
    <row r="951" spans="28:28">
      <c r="AB951" s="25"/>
    </row>
    <row r="952" spans="28:28">
      <c r="AB952" s="25"/>
    </row>
    <row r="953" spans="28:28">
      <c r="AB953" s="25"/>
    </row>
    <row r="954" spans="28:28">
      <c r="AB954" s="25"/>
    </row>
    <row r="955" spans="28:28">
      <c r="AB955" s="25"/>
    </row>
    <row r="956" spans="28:28">
      <c r="AB956" s="25"/>
    </row>
    <row r="957" spans="28:28">
      <c r="AB957" s="25"/>
    </row>
    <row r="958" spans="28:28">
      <c r="AB958" s="25"/>
    </row>
    <row r="959" spans="28:28">
      <c r="AB959" s="25"/>
    </row>
    <row r="960" spans="28:28">
      <c r="AB960" s="25"/>
    </row>
    <row r="961" spans="28:28">
      <c r="AB961" s="25"/>
    </row>
    <row r="962" spans="28:28">
      <c r="AB962" s="25"/>
    </row>
    <row r="963" spans="28:28">
      <c r="AB963" s="25"/>
    </row>
    <row r="964" spans="28:28">
      <c r="AB964" s="25"/>
    </row>
    <row r="965" spans="28:28">
      <c r="AB965" s="25"/>
    </row>
    <row r="966" spans="28:28">
      <c r="AB966" s="25"/>
    </row>
    <row r="967" spans="28:28">
      <c r="AB967" s="25"/>
    </row>
    <row r="968" spans="28:28">
      <c r="AB968" s="25"/>
    </row>
    <row r="969" spans="28:28">
      <c r="AB969" s="25"/>
    </row>
    <row r="970" spans="28:28">
      <c r="AB970" s="25"/>
    </row>
    <row r="971" spans="28:28">
      <c r="AB971" s="25"/>
    </row>
    <row r="972" spans="28:28">
      <c r="AB972" s="25"/>
    </row>
    <row r="973" spans="28:28">
      <c r="AB973" s="25"/>
    </row>
    <row r="974" spans="28:28">
      <c r="AB974" s="25"/>
    </row>
    <row r="975" spans="28:28">
      <c r="AB975" s="25"/>
    </row>
    <row r="976" spans="28:28">
      <c r="AB976" s="25"/>
    </row>
    <row r="977" spans="28:28">
      <c r="AB977" s="25"/>
    </row>
    <row r="978" spans="28:28">
      <c r="AB978" s="25"/>
    </row>
    <row r="979" spans="28:28">
      <c r="AB979" s="25"/>
    </row>
    <row r="980" spans="28:28">
      <c r="AB980" s="25"/>
    </row>
    <row r="981" spans="28:28">
      <c r="AB981" s="25"/>
    </row>
    <row r="982" spans="28:28">
      <c r="AB982" s="25"/>
    </row>
    <row r="983" spans="28:28">
      <c r="AB983" s="25"/>
    </row>
    <row r="984" spans="28:28">
      <c r="AB984" s="25"/>
    </row>
    <row r="985" spans="28:28">
      <c r="AB985" s="25"/>
    </row>
    <row r="986" spans="28:28">
      <c r="AB986" s="25"/>
    </row>
    <row r="987" spans="28:28">
      <c r="AB987" s="25"/>
    </row>
    <row r="988" spans="28:28">
      <c r="AB988" s="25"/>
    </row>
    <row r="989" spans="28:28">
      <c r="AB989" s="25"/>
    </row>
    <row r="990" spans="28:28">
      <c r="AB990" s="25"/>
    </row>
    <row r="991" spans="28:28">
      <c r="AB991" s="25"/>
    </row>
    <row r="992" spans="28:28">
      <c r="AB992" s="25"/>
    </row>
    <row r="993" spans="28:28">
      <c r="AB993" s="25"/>
    </row>
    <row r="994" spans="28:28">
      <c r="AB994" s="25"/>
    </row>
    <row r="995" spans="28:28">
      <c r="AB995" s="25"/>
    </row>
    <row r="996" spans="28:28">
      <c r="AB996" s="25"/>
    </row>
    <row r="997" spans="28:28">
      <c r="AB997" s="25"/>
    </row>
    <row r="998" spans="28:28">
      <c r="AB998" s="25"/>
    </row>
    <row r="999" spans="28:28">
      <c r="AB999" s="25"/>
    </row>
    <row r="1000" spans="28:28">
      <c r="AB1000" s="25"/>
    </row>
    <row r="1001" spans="28:28">
      <c r="AB1001" s="25"/>
    </row>
    <row r="1002" spans="28:28">
      <c r="AB1002" s="25"/>
    </row>
    <row r="1003" spans="28:28">
      <c r="AB1003" s="25"/>
    </row>
    <row r="1004" spans="28:28">
      <c r="AB1004" s="25"/>
    </row>
    <row r="1005" spans="28:28">
      <c r="AB1005" s="25"/>
    </row>
    <row r="1006" spans="28:28">
      <c r="AB1006" s="25"/>
    </row>
    <row r="1007" spans="28:28">
      <c r="AB1007" s="25"/>
    </row>
    <row r="1008" spans="28:28">
      <c r="AB1008" s="25"/>
    </row>
    <row r="1009" spans="28:28">
      <c r="AB1009" s="25"/>
    </row>
    <row r="1010" spans="28:28">
      <c r="AB1010" s="25"/>
    </row>
    <row r="1011" spans="28:28">
      <c r="AB1011" s="25"/>
    </row>
    <row r="1012" spans="28:28">
      <c r="AB1012" s="25"/>
    </row>
    <row r="1013" spans="28:28">
      <c r="AB1013" s="25"/>
    </row>
    <row r="1014" spans="28:28">
      <c r="AB1014" s="25"/>
    </row>
    <row r="1015" spans="28:28">
      <c r="AB1015" s="25"/>
    </row>
    <row r="1016" spans="28:28">
      <c r="AB1016" s="25"/>
    </row>
    <row r="1017" spans="28:28">
      <c r="AB1017" s="25"/>
    </row>
    <row r="1018" spans="28:28">
      <c r="AB1018" s="25"/>
    </row>
    <row r="1019" spans="28:28">
      <c r="AB1019" s="25"/>
    </row>
    <row r="1020" spans="28:28">
      <c r="AB1020" s="25"/>
    </row>
    <row r="1021" spans="28:28">
      <c r="AB1021" s="25"/>
    </row>
    <row r="1022" spans="28:28">
      <c r="AB1022" s="25"/>
    </row>
    <row r="1023" spans="28:28">
      <c r="AB1023" s="25"/>
    </row>
    <row r="1024" spans="28:28">
      <c r="AB1024" s="25"/>
    </row>
    <row r="1025" spans="28:28">
      <c r="AB1025" s="25"/>
    </row>
    <row r="1026" spans="28:28">
      <c r="AB1026" s="25"/>
    </row>
    <row r="1027" spans="28:28">
      <c r="AB1027" s="25"/>
    </row>
    <row r="1028" spans="28:28">
      <c r="AB1028" s="25"/>
    </row>
    <row r="1029" spans="28:28">
      <c r="AB1029" s="25"/>
    </row>
    <row r="1030" spans="28:28">
      <c r="AB1030" s="25"/>
    </row>
    <row r="1031" spans="28:28">
      <c r="AB1031" s="25"/>
    </row>
    <row r="1032" spans="28:28">
      <c r="AB1032" s="25"/>
    </row>
    <row r="1033" spans="28:28">
      <c r="AB1033" s="25"/>
    </row>
    <row r="1034" spans="28:28">
      <c r="AB1034" s="25"/>
    </row>
    <row r="1035" spans="28:28">
      <c r="AB1035" s="25"/>
    </row>
    <row r="1036" spans="28:28">
      <c r="AB1036" s="25"/>
    </row>
    <row r="1037" spans="28:28">
      <c r="AB1037" s="25"/>
    </row>
    <row r="1038" spans="28:28">
      <c r="AB1038" s="25"/>
    </row>
    <row r="1039" spans="28:28">
      <c r="AB1039" s="25"/>
    </row>
    <row r="1040" spans="28:28">
      <c r="AB1040" s="25"/>
    </row>
    <row r="1041" spans="28:28">
      <c r="AB1041" s="25"/>
    </row>
    <row r="1042" spans="28:28">
      <c r="AB1042" s="25"/>
    </row>
    <row r="1043" spans="28:28">
      <c r="AB1043" s="25"/>
    </row>
    <row r="1044" spans="28:28">
      <c r="AB1044" s="25"/>
    </row>
    <row r="1045" spans="28:28">
      <c r="AB1045" s="25"/>
    </row>
    <row r="1046" spans="28:28">
      <c r="AB1046" s="25"/>
    </row>
    <row r="1047" spans="28:28">
      <c r="AB1047" s="25"/>
    </row>
    <row r="1048" spans="28:28">
      <c r="AB1048" s="25"/>
    </row>
    <row r="1049" spans="28:28">
      <c r="AB1049" s="25"/>
    </row>
    <row r="1050" spans="28:28">
      <c r="AB1050" s="25"/>
    </row>
    <row r="1051" spans="28:28">
      <c r="AB1051" s="25"/>
    </row>
    <row r="1052" spans="28:28">
      <c r="AB1052" s="25"/>
    </row>
    <row r="1053" spans="28:28">
      <c r="AB1053" s="25"/>
    </row>
    <row r="1054" spans="28:28">
      <c r="AB1054" s="25"/>
    </row>
    <row r="1055" spans="28:28">
      <c r="AB1055" s="25"/>
    </row>
    <row r="1056" spans="28:28">
      <c r="AB1056" s="25"/>
    </row>
    <row r="1057" spans="28:28">
      <c r="AB1057" s="25"/>
    </row>
    <row r="1058" spans="28:28">
      <c r="AB1058" s="25"/>
    </row>
    <row r="1059" spans="28:28">
      <c r="AB1059" s="25"/>
    </row>
    <row r="1060" spans="28:28">
      <c r="AB1060" s="25"/>
    </row>
    <row r="1061" spans="28:28">
      <c r="AB1061" s="25"/>
    </row>
    <row r="1062" spans="28:28">
      <c r="AB1062" s="25"/>
    </row>
    <row r="1063" spans="28:28">
      <c r="AB1063" s="25"/>
    </row>
    <row r="1064" spans="28:28">
      <c r="AB1064" s="25"/>
    </row>
    <row r="1065" spans="28:28">
      <c r="AB1065" s="25"/>
    </row>
    <row r="1066" spans="28:28">
      <c r="AB1066" s="25"/>
    </row>
    <row r="1067" spans="28:28">
      <c r="AB1067" s="25"/>
    </row>
    <row r="1068" spans="28:28">
      <c r="AB1068" s="25"/>
    </row>
    <row r="1069" spans="28:28">
      <c r="AB1069" s="25"/>
    </row>
    <row r="1070" spans="28:28">
      <c r="AB1070" s="25"/>
    </row>
    <row r="1071" spans="28:28">
      <c r="AB1071" s="25"/>
    </row>
    <row r="1072" spans="28:28">
      <c r="AB1072" s="25"/>
    </row>
    <row r="1073" spans="28:28">
      <c r="AB1073" s="25"/>
    </row>
    <row r="1074" spans="28:28">
      <c r="AB1074" s="25"/>
    </row>
    <row r="1075" spans="28:28">
      <c r="AB1075" s="25"/>
    </row>
    <row r="1076" spans="28:28">
      <c r="AB1076" s="25"/>
    </row>
    <row r="1077" spans="28:28">
      <c r="AB1077" s="25"/>
    </row>
    <row r="1078" spans="28:28">
      <c r="AB1078" s="25"/>
    </row>
    <row r="1079" spans="28:28">
      <c r="AB1079" s="25"/>
    </row>
    <row r="1080" spans="28:28">
      <c r="AB1080" s="25"/>
    </row>
    <row r="1081" spans="28:28">
      <c r="AB1081" s="25"/>
    </row>
    <row r="1082" spans="28:28">
      <c r="AB1082" s="25"/>
    </row>
    <row r="1083" spans="28:28">
      <c r="AB1083" s="25"/>
    </row>
    <row r="1084" spans="28:28">
      <c r="AB1084" s="25"/>
    </row>
    <row r="1085" spans="28:28">
      <c r="AB1085" s="25"/>
    </row>
    <row r="1086" spans="28:28">
      <c r="AB1086" s="25"/>
    </row>
    <row r="1087" spans="28:28">
      <c r="AB1087" s="25"/>
    </row>
    <row r="1088" spans="28:28">
      <c r="AB1088" s="25"/>
    </row>
    <row r="1089" spans="28:28">
      <c r="AB1089" s="25"/>
    </row>
    <row r="1090" spans="28:28">
      <c r="AB1090" s="25"/>
    </row>
    <row r="1091" spans="28:28">
      <c r="AB1091" s="25"/>
    </row>
    <row r="1092" spans="28:28">
      <c r="AB1092" s="25"/>
    </row>
    <row r="1093" spans="28:28">
      <c r="AB1093" s="25"/>
    </row>
    <row r="1094" spans="28:28">
      <c r="AB1094" s="25"/>
    </row>
    <row r="1095" spans="28:28">
      <c r="AB1095" s="25"/>
    </row>
    <row r="1096" spans="28:28">
      <c r="AB1096" s="25"/>
    </row>
    <row r="1097" spans="28:28">
      <c r="AB1097" s="25"/>
    </row>
    <row r="1098" spans="28:28">
      <c r="AB1098" s="25"/>
    </row>
    <row r="1099" spans="28:28">
      <c r="AB1099" s="25"/>
    </row>
    <row r="1100" spans="28:28">
      <c r="AB1100" s="25"/>
    </row>
    <row r="1101" spans="28:28">
      <c r="AB1101" s="25"/>
    </row>
    <row r="1102" spans="28:28">
      <c r="AB1102" s="25"/>
    </row>
    <row r="1103" spans="28:28">
      <c r="AB1103" s="25"/>
    </row>
    <row r="1104" spans="28:28">
      <c r="AB1104" s="25"/>
    </row>
    <row r="1105" spans="28:28">
      <c r="AB1105" s="25"/>
    </row>
    <row r="1106" spans="28:28">
      <c r="AB1106" s="25"/>
    </row>
    <row r="1107" spans="28:28">
      <c r="AB1107" s="25"/>
    </row>
    <row r="1108" spans="28:28">
      <c r="AB1108" s="25"/>
    </row>
    <row r="1109" spans="28:28">
      <c r="AB1109" s="25"/>
    </row>
    <row r="1110" spans="28:28">
      <c r="AB1110" s="25"/>
    </row>
    <row r="1111" spans="28:28">
      <c r="AB1111" s="25"/>
    </row>
    <row r="1112" spans="28:28">
      <c r="AB1112" s="25"/>
    </row>
    <row r="1113" spans="28:28">
      <c r="AB1113" s="25"/>
    </row>
    <row r="1114" spans="28:28">
      <c r="AB1114" s="25"/>
    </row>
    <row r="1115" spans="28:28">
      <c r="AB1115" s="25"/>
    </row>
    <row r="1116" spans="28:28">
      <c r="AB1116" s="25"/>
    </row>
    <row r="1117" spans="28:28">
      <c r="AB1117" s="25"/>
    </row>
    <row r="1118" spans="28:28">
      <c r="AB1118" s="25"/>
    </row>
    <row r="1119" spans="28:28">
      <c r="AB1119" s="25"/>
    </row>
    <row r="1120" spans="28:28">
      <c r="AB1120" s="25"/>
    </row>
    <row r="1121" spans="28:28">
      <c r="AB1121" s="25"/>
    </row>
    <row r="1122" spans="28:28">
      <c r="AB1122" s="25"/>
    </row>
    <row r="1123" spans="28:28">
      <c r="AB1123" s="25"/>
    </row>
    <row r="1124" spans="28:28">
      <c r="AB1124" s="25"/>
    </row>
    <row r="1125" spans="28:28">
      <c r="AB1125" s="25"/>
    </row>
    <row r="1126" spans="28:28">
      <c r="AB1126" s="25"/>
    </row>
    <row r="1127" spans="28:28">
      <c r="AB1127" s="25"/>
    </row>
    <row r="1128" spans="28:28">
      <c r="AB1128" s="25"/>
    </row>
    <row r="1129" spans="28:28">
      <c r="AB1129" s="25"/>
    </row>
    <row r="1130" spans="28:28">
      <c r="AB1130" s="25"/>
    </row>
    <row r="1131" spans="28:28">
      <c r="AB1131" s="25"/>
    </row>
    <row r="1132" spans="28:28">
      <c r="AB1132" s="25"/>
    </row>
    <row r="1133" spans="28:28">
      <c r="AB1133" s="25"/>
    </row>
    <row r="1134" spans="28:28">
      <c r="AB1134" s="25"/>
    </row>
    <row r="1135" spans="28:28">
      <c r="AB1135" s="25"/>
    </row>
    <row r="1136" spans="28:28">
      <c r="AB1136" s="25"/>
    </row>
    <row r="1137" spans="28:28">
      <c r="AB1137" s="25"/>
    </row>
    <row r="1138" spans="28:28">
      <c r="AB1138" s="25"/>
    </row>
    <row r="1139" spans="28:28">
      <c r="AB1139" s="25"/>
    </row>
    <row r="1140" spans="28:28">
      <c r="AB1140" s="25"/>
    </row>
    <row r="1141" spans="28:28">
      <c r="AB1141" s="25"/>
    </row>
    <row r="1142" spans="28:28">
      <c r="AB1142" s="25"/>
    </row>
    <row r="1143" spans="28:28">
      <c r="AB1143" s="25"/>
    </row>
    <row r="1144" spans="28:28">
      <c r="AB1144" s="25"/>
    </row>
    <row r="1145" spans="28:28">
      <c r="AB1145" s="25"/>
    </row>
    <row r="1146" spans="28:28">
      <c r="AB1146" s="25"/>
    </row>
    <row r="1147" spans="28:28">
      <c r="AB1147" s="25"/>
    </row>
    <row r="1148" spans="28:28">
      <c r="AB1148" s="25"/>
    </row>
    <row r="1149" spans="28:28">
      <c r="AB1149" s="25"/>
    </row>
    <row r="1150" spans="28:28">
      <c r="AB1150" s="25"/>
    </row>
    <row r="1151" spans="28:28">
      <c r="AB1151" s="25"/>
    </row>
    <row r="1152" spans="28:28">
      <c r="AB1152" s="25"/>
    </row>
    <row r="1153" spans="28:28">
      <c r="AB1153" s="25"/>
    </row>
    <row r="1154" spans="28:28">
      <c r="AB1154" s="25"/>
    </row>
    <row r="1155" spans="28:28">
      <c r="AB1155" s="25"/>
    </row>
    <row r="1156" spans="28:28">
      <c r="AB1156" s="25"/>
    </row>
    <row r="1157" spans="28:28">
      <c r="AB1157" s="25"/>
    </row>
    <row r="1158" spans="28:28">
      <c r="AB1158" s="25"/>
    </row>
    <row r="1159" spans="28:28">
      <c r="AB1159" s="25"/>
    </row>
    <row r="1160" spans="28:28">
      <c r="AB1160" s="25"/>
    </row>
    <row r="1161" spans="28:28">
      <c r="AB1161" s="25"/>
    </row>
    <row r="1162" spans="28:28">
      <c r="AB1162" s="25"/>
    </row>
    <row r="1163" spans="28:28">
      <c r="AB1163" s="25"/>
    </row>
    <row r="1164" spans="28:28">
      <c r="AB1164" s="25"/>
    </row>
    <row r="1165" spans="28:28">
      <c r="AB1165" s="25"/>
    </row>
    <row r="1166" spans="28:28">
      <c r="AB1166" s="25"/>
    </row>
    <row r="1167" spans="28:28">
      <c r="AB1167" s="25"/>
    </row>
    <row r="1168" spans="28:28">
      <c r="AB1168" s="25"/>
    </row>
    <row r="1169" spans="28:28">
      <c r="AB1169" s="25"/>
    </row>
    <row r="1170" spans="28:28">
      <c r="AB1170" s="25"/>
    </row>
    <row r="1171" spans="28:28">
      <c r="AB1171" s="25"/>
    </row>
    <row r="1172" spans="28:28">
      <c r="AB1172" s="25"/>
    </row>
    <row r="1173" spans="28:28">
      <c r="AB1173" s="25"/>
    </row>
    <row r="1174" spans="28:28">
      <c r="AB1174" s="25"/>
    </row>
    <row r="1175" spans="28:28">
      <c r="AB1175" s="25"/>
    </row>
    <row r="1176" spans="28:28">
      <c r="AB1176" s="25"/>
    </row>
    <row r="1177" spans="28:28">
      <c r="AB1177" s="25"/>
    </row>
    <row r="1178" spans="28:28">
      <c r="AB1178" s="25"/>
    </row>
    <row r="1179" spans="28:28">
      <c r="AB1179" s="25"/>
    </row>
    <row r="1180" spans="28:28">
      <c r="AB1180" s="25"/>
    </row>
    <row r="1181" spans="28:28">
      <c r="AB1181" s="25"/>
    </row>
    <row r="1182" spans="28:28">
      <c r="AB1182" s="25"/>
    </row>
    <row r="1183" spans="28:28">
      <c r="AB1183" s="25"/>
    </row>
    <row r="1184" spans="28:28">
      <c r="AB1184" s="25"/>
    </row>
    <row r="1185" spans="28:28">
      <c r="AB1185" s="25"/>
    </row>
    <row r="1186" spans="28:28">
      <c r="AB1186" s="25"/>
    </row>
    <row r="1187" spans="28:28">
      <c r="AB1187" s="25"/>
    </row>
    <row r="1188" spans="28:28">
      <c r="AB1188" s="25"/>
    </row>
    <row r="1189" spans="28:28">
      <c r="AB1189" s="25"/>
    </row>
    <row r="1190" spans="28:28">
      <c r="AB1190" s="25"/>
    </row>
    <row r="1191" spans="28:28">
      <c r="AB1191" s="25"/>
    </row>
    <row r="1192" spans="28:28">
      <c r="AB1192" s="25"/>
    </row>
    <row r="1193" spans="28:28">
      <c r="AB1193" s="25"/>
    </row>
    <row r="1194" spans="28:28">
      <c r="AB1194" s="25"/>
    </row>
    <row r="1195" spans="28:28">
      <c r="AB1195" s="25"/>
    </row>
    <row r="1196" spans="28:28">
      <c r="AB1196" s="25"/>
    </row>
    <row r="1197" spans="28:28">
      <c r="AB1197" s="25"/>
    </row>
    <row r="1198" spans="28:28">
      <c r="AB1198" s="25"/>
    </row>
    <row r="1199" spans="28:28">
      <c r="AB1199" s="25"/>
    </row>
    <row r="1200" spans="28:28">
      <c r="AB1200" s="25"/>
    </row>
    <row r="1201" spans="28:28">
      <c r="AB1201" s="25"/>
    </row>
    <row r="1202" spans="28:28">
      <c r="AB1202" s="25"/>
    </row>
    <row r="1203" spans="28:28">
      <c r="AB1203" s="25"/>
    </row>
    <row r="1204" spans="28:28">
      <c r="AB1204" s="25"/>
    </row>
    <row r="1205" spans="28:28">
      <c r="AB1205" s="25"/>
    </row>
    <row r="1206" spans="28:28">
      <c r="AB1206" s="25"/>
    </row>
    <row r="1207" spans="28:28">
      <c r="AB1207" s="25"/>
    </row>
    <row r="1208" spans="28:28">
      <c r="AB1208" s="25"/>
    </row>
    <row r="1209" spans="28:28">
      <c r="AB1209" s="25"/>
    </row>
    <row r="1210" spans="28:28">
      <c r="AB1210" s="25"/>
    </row>
    <row r="1211" spans="28:28">
      <c r="AB1211" s="25"/>
    </row>
    <row r="1212" spans="28:28">
      <c r="AB1212" s="25"/>
    </row>
    <row r="1213" spans="28:28">
      <c r="AB1213" s="25"/>
    </row>
    <row r="1214" spans="28:28">
      <c r="AB1214" s="25"/>
    </row>
    <row r="1215" spans="28:28">
      <c r="AB1215" s="25"/>
    </row>
    <row r="1216" spans="28:28">
      <c r="AB1216" s="25"/>
    </row>
    <row r="1217" spans="28:28">
      <c r="AB1217" s="25"/>
    </row>
    <row r="1218" spans="28:28">
      <c r="AB1218" s="25"/>
    </row>
    <row r="1219" spans="28:28">
      <c r="AB1219" s="25"/>
    </row>
    <row r="1220" spans="28:28">
      <c r="AB1220" s="25"/>
    </row>
    <row r="1221" spans="28:28">
      <c r="AB1221" s="25"/>
    </row>
    <row r="1222" spans="28:28">
      <c r="AB1222" s="25"/>
    </row>
    <row r="1223" spans="28:28">
      <c r="AB1223" s="25"/>
    </row>
    <row r="1224" spans="28:28">
      <c r="AB1224" s="25"/>
    </row>
    <row r="1225" spans="28:28">
      <c r="AB1225" s="25"/>
    </row>
    <row r="1226" spans="28:28">
      <c r="AB1226" s="25"/>
    </row>
    <row r="1227" spans="28:28">
      <c r="AB1227" s="25"/>
    </row>
    <row r="1228" spans="28:28">
      <c r="AB1228" s="25"/>
    </row>
    <row r="1229" spans="28:28">
      <c r="AB1229" s="25"/>
    </row>
    <row r="1230" spans="28:28">
      <c r="AB1230" s="25"/>
    </row>
    <row r="1231" spans="28:28">
      <c r="AB1231" s="25"/>
    </row>
    <row r="1232" spans="28:28">
      <c r="AB1232" s="25"/>
    </row>
    <row r="1233" spans="28:28">
      <c r="AB1233" s="25"/>
    </row>
    <row r="1234" spans="28:28">
      <c r="AB1234" s="25"/>
    </row>
    <row r="1235" spans="28:28">
      <c r="AB1235" s="25"/>
    </row>
    <row r="1236" spans="28:28">
      <c r="AB1236" s="25"/>
    </row>
    <row r="1237" spans="28:28">
      <c r="AB1237" s="25"/>
    </row>
    <row r="1238" spans="28:28">
      <c r="AB1238" s="25"/>
    </row>
    <row r="1239" spans="28:28">
      <c r="AB1239" s="25"/>
    </row>
    <row r="1240" spans="28:28">
      <c r="AB1240" s="25"/>
    </row>
    <row r="1241" spans="28:28">
      <c r="AB1241" s="25"/>
    </row>
    <row r="1242" spans="28:28">
      <c r="AB1242" s="25"/>
    </row>
    <row r="1243" spans="28:28">
      <c r="AB1243" s="25"/>
    </row>
    <row r="1244" spans="28:28">
      <c r="AB1244" s="25"/>
    </row>
    <row r="1245" spans="28:28">
      <c r="AB1245" s="25"/>
    </row>
    <row r="1246" spans="28:28">
      <c r="AB1246" s="25"/>
    </row>
    <row r="1247" spans="28:28">
      <c r="AB1247" s="25"/>
    </row>
    <row r="1248" spans="28:28">
      <c r="AB1248" s="25"/>
    </row>
    <row r="1249" spans="28:28">
      <c r="AB1249" s="25"/>
    </row>
    <row r="1250" spans="28:28">
      <c r="AB1250" s="25"/>
    </row>
    <row r="1251" spans="28:28">
      <c r="AB1251" s="25"/>
    </row>
    <row r="1252" spans="28:28">
      <c r="AB1252" s="25"/>
    </row>
    <row r="1253" spans="28:28">
      <c r="AB1253" s="25"/>
    </row>
    <row r="1254" spans="28:28">
      <c r="AB1254" s="25"/>
    </row>
    <row r="1255" spans="28:28">
      <c r="AB1255" s="25"/>
    </row>
    <row r="1256" spans="28:28">
      <c r="AB1256" s="25"/>
    </row>
    <row r="1257" spans="28:28">
      <c r="AB1257" s="25"/>
    </row>
    <row r="1258" spans="28:28">
      <c r="AB1258" s="25"/>
    </row>
    <row r="1259" spans="28:28">
      <c r="AB1259" s="25"/>
    </row>
    <row r="1260" spans="28:28">
      <c r="AB1260" s="25"/>
    </row>
    <row r="1261" spans="28:28">
      <c r="AB1261" s="25"/>
    </row>
    <row r="1262" spans="28:28">
      <c r="AB1262" s="25"/>
    </row>
    <row r="1263" spans="28:28">
      <c r="AB1263" s="25"/>
    </row>
    <row r="1264" spans="28:28">
      <c r="AB1264" s="25"/>
    </row>
    <row r="1265" spans="28:28">
      <c r="AB1265" s="25"/>
    </row>
    <row r="1266" spans="28:28">
      <c r="AB1266" s="25"/>
    </row>
    <row r="1267" spans="28:28">
      <c r="AB1267" s="25"/>
    </row>
    <row r="1268" spans="28:28">
      <c r="AB1268" s="25"/>
    </row>
    <row r="1269" spans="28:28">
      <c r="AB1269" s="25"/>
    </row>
    <row r="1270" spans="28:28">
      <c r="AB1270" s="25"/>
    </row>
    <row r="1271" spans="28:28">
      <c r="AB1271" s="25"/>
    </row>
    <row r="1272" spans="28:28">
      <c r="AB1272" s="25"/>
    </row>
    <row r="1273" spans="28:28">
      <c r="AB1273" s="25"/>
    </row>
    <row r="1274" spans="28:28">
      <c r="AB1274" s="25"/>
    </row>
    <row r="1275" spans="28:28">
      <c r="AB1275" s="25"/>
    </row>
    <row r="1276" spans="28:28">
      <c r="AB1276" s="25"/>
    </row>
    <row r="1277" spans="28:28">
      <c r="AB1277" s="25"/>
    </row>
    <row r="1278" spans="28:28">
      <c r="AB1278" s="25"/>
    </row>
    <row r="1279" spans="28:28">
      <c r="AB1279" s="25"/>
    </row>
    <row r="1280" spans="28:28">
      <c r="AB1280" s="25"/>
    </row>
    <row r="1281" spans="28:28">
      <c r="AB1281" s="25"/>
    </row>
    <row r="1282" spans="28:28">
      <c r="AB1282" s="25"/>
    </row>
    <row r="1283" spans="28:28">
      <c r="AB1283" s="25"/>
    </row>
    <row r="1284" spans="28:28">
      <c r="AB1284" s="25"/>
    </row>
    <row r="1285" spans="28:28">
      <c r="AB1285" s="25"/>
    </row>
    <row r="1286" spans="28:28">
      <c r="AB1286" s="25"/>
    </row>
    <row r="1287" spans="28:28">
      <c r="AB1287" s="25"/>
    </row>
    <row r="1288" spans="28:28">
      <c r="AB1288" s="25"/>
    </row>
    <row r="1289" spans="28:28">
      <c r="AB1289" s="25"/>
    </row>
    <row r="1290" spans="28:28">
      <c r="AB1290" s="25"/>
    </row>
    <row r="1291" spans="28:28">
      <c r="AB1291" s="25"/>
    </row>
    <row r="1292" spans="28:28">
      <c r="AB1292" s="25"/>
    </row>
    <row r="1293" spans="28:28">
      <c r="AB1293" s="25"/>
    </row>
    <row r="1294" spans="28:28">
      <c r="AB1294" s="25"/>
    </row>
    <row r="1295" spans="28:28">
      <c r="AB1295" s="25"/>
    </row>
    <row r="1296" spans="28:28">
      <c r="AB1296" s="25"/>
    </row>
    <row r="1297" spans="28:28">
      <c r="AB1297" s="25"/>
    </row>
    <row r="1298" spans="28:28">
      <c r="AB1298" s="25"/>
    </row>
    <row r="1299" spans="28:28">
      <c r="AB1299" s="25"/>
    </row>
    <row r="1300" spans="28:28">
      <c r="AB1300" s="25"/>
    </row>
    <row r="1301" spans="28:28">
      <c r="AB1301" s="25"/>
    </row>
    <row r="1302" spans="28:28">
      <c r="AB1302" s="25"/>
    </row>
    <row r="1303" spans="28:28">
      <c r="AB1303" s="25"/>
    </row>
    <row r="1304" spans="28:28">
      <c r="AB1304" s="25"/>
    </row>
    <row r="1305" spans="28:28">
      <c r="AB1305" s="25"/>
    </row>
    <row r="1306" spans="28:28">
      <c r="AB1306" s="25"/>
    </row>
    <row r="1307" spans="28:28">
      <c r="AB1307" s="25"/>
    </row>
    <row r="1308" spans="28:28">
      <c r="AB1308" s="25"/>
    </row>
    <row r="1309" spans="28:28">
      <c r="AB1309" s="25"/>
    </row>
    <row r="1310" spans="28:28">
      <c r="AB1310" s="25"/>
    </row>
    <row r="1311" spans="28:28">
      <c r="AB1311" s="25"/>
    </row>
    <row r="1312" spans="28:28">
      <c r="AB1312" s="25"/>
    </row>
    <row r="1313" spans="28:28">
      <c r="AB1313" s="25"/>
    </row>
    <row r="1314" spans="28:28">
      <c r="AB1314" s="25"/>
    </row>
    <row r="1315" spans="28:28">
      <c r="AB1315" s="25"/>
    </row>
    <row r="1316" spans="28:28">
      <c r="AB1316" s="25"/>
    </row>
    <row r="1317" spans="28:28">
      <c r="AB1317" s="25"/>
    </row>
    <row r="1318" spans="28:28">
      <c r="AB1318" s="25"/>
    </row>
    <row r="1319" spans="28:28">
      <c r="AB1319" s="25"/>
    </row>
    <row r="1320" spans="28:28">
      <c r="AB1320" s="25"/>
    </row>
    <row r="1321" spans="28:28">
      <c r="AB1321" s="25"/>
    </row>
    <row r="1322" spans="28:28">
      <c r="AB1322" s="25"/>
    </row>
    <row r="1323" spans="28:28">
      <c r="AB1323" s="25"/>
    </row>
    <row r="1324" spans="28:28">
      <c r="AB1324" s="25"/>
    </row>
    <row r="1325" spans="28:28">
      <c r="AB1325" s="25"/>
    </row>
    <row r="1326" spans="28:28">
      <c r="AB1326" s="25"/>
    </row>
    <row r="1327" spans="28:28">
      <c r="AB1327" s="25"/>
    </row>
    <row r="1328" spans="28:28">
      <c r="AB1328" s="25"/>
    </row>
    <row r="1329" spans="28:28">
      <c r="AB1329" s="25"/>
    </row>
    <row r="1330" spans="28:28">
      <c r="AB1330" s="25"/>
    </row>
    <row r="1331" spans="28:28">
      <c r="AB1331" s="25"/>
    </row>
    <row r="1332" spans="28:28">
      <c r="AB1332" s="25"/>
    </row>
    <row r="1333" spans="28:28">
      <c r="AB1333" s="25"/>
    </row>
    <row r="1334" spans="28:28">
      <c r="AB1334" s="25"/>
    </row>
    <row r="1335" spans="28:28">
      <c r="AB1335" s="25"/>
    </row>
    <row r="1336" spans="28:28">
      <c r="AB1336" s="25"/>
    </row>
    <row r="1337" spans="28:28">
      <c r="AB1337" s="25"/>
    </row>
    <row r="1338" spans="28:28">
      <c r="AB1338" s="25"/>
    </row>
    <row r="1339" spans="28:28">
      <c r="AB1339" s="25"/>
    </row>
    <row r="1340" spans="28:28">
      <c r="AB1340" s="25"/>
    </row>
    <row r="1341" spans="28:28">
      <c r="AB1341" s="25"/>
    </row>
    <row r="1342" spans="28:28">
      <c r="AB1342" s="25"/>
    </row>
    <row r="1343" spans="28:28">
      <c r="AB1343" s="25"/>
    </row>
    <row r="1344" spans="28:28">
      <c r="AB1344" s="25"/>
    </row>
    <row r="1345" spans="28:28">
      <c r="AB1345" s="25"/>
    </row>
    <row r="1346" spans="28:28">
      <c r="AB1346" s="25"/>
    </row>
    <row r="1347" spans="28:28">
      <c r="AB1347" s="25"/>
    </row>
    <row r="1348" spans="28:28">
      <c r="AB1348" s="25"/>
    </row>
    <row r="1349" spans="28:28">
      <c r="AB1349" s="25"/>
    </row>
    <row r="1350" spans="28:28">
      <c r="AB1350" s="25"/>
    </row>
    <row r="1351" spans="28:28">
      <c r="AB1351" s="25"/>
    </row>
    <row r="1352" spans="28:28">
      <c r="AB1352" s="25"/>
    </row>
    <row r="1353" spans="28:28">
      <c r="AB1353" s="25"/>
    </row>
    <row r="1354" spans="28:28">
      <c r="AB1354" s="25"/>
    </row>
    <row r="1355" spans="28:28">
      <c r="AB1355" s="25"/>
    </row>
    <row r="1356" spans="28:28">
      <c r="AB1356" s="25"/>
    </row>
    <row r="1357" spans="28:28">
      <c r="AB1357" s="25"/>
    </row>
    <row r="1358" spans="28:28">
      <c r="AB1358" s="25"/>
    </row>
    <row r="1359" spans="28:28">
      <c r="AB1359" s="25"/>
    </row>
    <row r="1360" spans="28:28">
      <c r="AB1360" s="25"/>
    </row>
    <row r="1361" spans="28:28"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45"/>
  <sheetViews>
    <sheetView zoomScale="75" zoomScaleNormal="75" zoomScaleSheetLayoutView="80" workbookViewId="0">
      <selection activeCell="B9" sqref="B9:AB1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9" t="s">
        <v>131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"/>
      <c r="AD1" s="6"/>
      <c r="AE1" s="6"/>
      <c r="AF1" s="6"/>
      <c r="AG1" s="6"/>
      <c r="AH1" s="6"/>
      <c r="AI1" s="6"/>
    </row>
    <row r="2" spans="2:35" ht="15">
      <c r="B2" s="119" t="s">
        <v>1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2" t="str">
        <f>'09.08 Soroti-Moroto'!C4</f>
        <v>09.08.2019</v>
      </c>
      <c r="E4" s="1" t="s">
        <v>66</v>
      </c>
      <c r="F4" s="138" t="str">
        <f>'09.08 Soroti-Moroto'!F4:G4</f>
        <v>Moroto Soroti road</v>
      </c>
      <c r="G4" s="139"/>
      <c r="I4" s="27" t="s">
        <v>67</v>
      </c>
      <c r="J4" s="5"/>
      <c r="K4" s="5"/>
      <c r="L4" s="59" t="s">
        <v>152</v>
      </c>
      <c r="M4" s="2"/>
      <c r="N4" s="1" t="s">
        <v>69</v>
      </c>
      <c r="O4" s="122" t="s">
        <v>269</v>
      </c>
      <c r="P4" s="122"/>
      <c r="Q4" s="122"/>
      <c r="R4" s="122"/>
      <c r="S4" s="122"/>
      <c r="T4" s="122"/>
      <c r="V4" s="1" t="s">
        <v>71</v>
      </c>
      <c r="W4" s="63" t="str">
        <f>'09.08 Soroti-Moroto'!W4</f>
        <v>Patrick</v>
      </c>
      <c r="Y4" s="27" t="s">
        <v>6</v>
      </c>
      <c r="Z4" s="64" t="str">
        <f>'09.08 Soroti-Moroto'!Z4</f>
        <v>Genevivie Ankunda</v>
      </c>
      <c r="AA4" s="31" t="s">
        <v>7</v>
      </c>
      <c r="AB4" s="64" t="str">
        <f>'09.08 Soroti-Moroto'!AB4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47" t="s">
        <v>151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3" t="s">
        <v>34</v>
      </c>
      <c r="C7" s="111" t="s">
        <v>57</v>
      </c>
      <c r="D7" s="113" t="s">
        <v>9</v>
      </c>
      <c r="E7" s="111" t="s">
        <v>35</v>
      </c>
      <c r="F7" s="126" t="s">
        <v>12</v>
      </c>
      <c r="G7" s="127"/>
      <c r="H7" s="128"/>
      <c r="I7" s="113" t="s">
        <v>60</v>
      </c>
      <c r="J7" s="111" t="s">
        <v>15</v>
      </c>
      <c r="K7" s="111" t="s">
        <v>132</v>
      </c>
      <c r="L7" s="126" t="s">
        <v>17</v>
      </c>
      <c r="M7" s="127"/>
      <c r="N7" s="128"/>
      <c r="O7" s="113" t="s">
        <v>61</v>
      </c>
      <c r="P7" s="111" t="s">
        <v>18</v>
      </c>
      <c r="Q7" s="111" t="s">
        <v>133</v>
      </c>
      <c r="R7" s="111" t="s">
        <v>134</v>
      </c>
      <c r="S7" s="111" t="s">
        <v>136</v>
      </c>
      <c r="T7" s="111" t="s">
        <v>135</v>
      </c>
      <c r="U7" s="111" t="s">
        <v>62</v>
      </c>
      <c r="V7" s="116" t="s">
        <v>65</v>
      </c>
      <c r="W7" s="117"/>
      <c r="X7" s="118"/>
      <c r="Y7" s="111" t="s">
        <v>64</v>
      </c>
      <c r="Z7" s="111" t="s">
        <v>139</v>
      </c>
      <c r="AA7" s="113" t="s">
        <v>20</v>
      </c>
      <c r="AB7" s="129" t="s">
        <v>21</v>
      </c>
      <c r="AD7" s="19"/>
    </row>
    <row r="8" spans="2:35" ht="38.25" customHeight="1">
      <c r="B8" s="124"/>
      <c r="C8" s="112"/>
      <c r="D8" s="114"/>
      <c r="E8" s="125"/>
      <c r="F8" s="23" t="s">
        <v>73</v>
      </c>
      <c r="G8" s="23" t="s">
        <v>58</v>
      </c>
      <c r="H8" s="24" t="s">
        <v>59</v>
      </c>
      <c r="I8" s="114"/>
      <c r="J8" s="112"/>
      <c r="K8" s="112"/>
      <c r="L8" s="23" t="s">
        <v>73</v>
      </c>
      <c r="M8" s="23" t="s">
        <v>58</v>
      </c>
      <c r="N8" s="23" t="s">
        <v>59</v>
      </c>
      <c r="O8" s="114"/>
      <c r="P8" s="112"/>
      <c r="Q8" s="112"/>
      <c r="R8" s="112"/>
      <c r="S8" s="112"/>
      <c r="T8" s="112"/>
      <c r="U8" s="112"/>
      <c r="V8" s="29" t="s">
        <v>63</v>
      </c>
      <c r="W8" s="30" t="s">
        <v>137</v>
      </c>
      <c r="X8" s="30" t="s">
        <v>138</v>
      </c>
      <c r="Y8" s="112"/>
      <c r="Z8" s="112"/>
      <c r="AA8" s="114"/>
      <c r="AB8" s="130"/>
    </row>
    <row r="9" spans="2:35" s="19" customFormat="1">
      <c r="B9" s="37">
        <v>0.33680555555555558</v>
      </c>
      <c r="C9" s="37" t="s">
        <v>262</v>
      </c>
      <c r="D9" s="38">
        <v>4</v>
      </c>
      <c r="E9" s="39">
        <v>14</v>
      </c>
      <c r="F9" s="39" t="s">
        <v>159</v>
      </c>
      <c r="G9" s="40" t="s">
        <v>159</v>
      </c>
      <c r="H9" s="39" t="s">
        <v>158</v>
      </c>
      <c r="I9" s="40">
        <v>6</v>
      </c>
      <c r="J9" s="40">
        <v>2</v>
      </c>
      <c r="K9" s="25" t="str">
        <f>VLOOKUP(J9,Key!$E$2:$F$9,2,FALSE)</f>
        <v>Work</v>
      </c>
      <c r="L9" s="39" t="s">
        <v>157</v>
      </c>
      <c r="M9" s="40" t="s">
        <v>157</v>
      </c>
      <c r="N9" s="39" t="s">
        <v>158</v>
      </c>
      <c r="O9" s="40">
        <v>6</v>
      </c>
      <c r="P9" s="40">
        <v>2</v>
      </c>
      <c r="Q9" s="25" t="str">
        <f>VLOOKUP(P9,Key!$E$2:$F$9,2,FALSE)</f>
        <v>Work</v>
      </c>
      <c r="R9" s="25" t="str">
        <f>K9&amp;"-"&amp;Q9</f>
        <v>Work-Work</v>
      </c>
      <c r="S9" s="44">
        <v>160</v>
      </c>
      <c r="T9" s="44">
        <v>3</v>
      </c>
      <c r="U9" s="40">
        <v>2</v>
      </c>
      <c r="V9" s="40"/>
      <c r="W9" s="44"/>
      <c r="X9" s="44"/>
      <c r="Y9" s="45" t="s">
        <v>160</v>
      </c>
      <c r="Z9" s="46">
        <v>0</v>
      </c>
      <c r="AA9" s="25"/>
      <c r="AB9" s="25"/>
    </row>
    <row r="10" spans="2:35">
      <c r="B10" s="37">
        <v>0.34722222222222227</v>
      </c>
      <c r="C10" s="37" t="s">
        <v>329</v>
      </c>
      <c r="D10" s="38">
        <v>9</v>
      </c>
      <c r="E10" s="39">
        <v>2</v>
      </c>
      <c r="F10" s="39" t="s">
        <v>159</v>
      </c>
      <c r="G10" s="40" t="s">
        <v>159</v>
      </c>
      <c r="H10" s="39" t="s">
        <v>158</v>
      </c>
      <c r="I10" s="40">
        <v>15</v>
      </c>
      <c r="J10" s="40">
        <v>2</v>
      </c>
      <c r="K10" s="25" t="str">
        <f>VLOOKUP(J10,Key!$E$2:$F$9,2,FALSE)</f>
        <v>Work</v>
      </c>
      <c r="L10" s="39" t="s">
        <v>157</v>
      </c>
      <c r="M10" s="40" t="s">
        <v>157</v>
      </c>
      <c r="N10" s="39" t="s">
        <v>158</v>
      </c>
      <c r="O10" s="40">
        <v>10</v>
      </c>
      <c r="P10" s="40">
        <v>2</v>
      </c>
      <c r="Q10" s="25" t="str">
        <f>VLOOKUP(P10,Key!$E$2:$F$9,2,FALSE)</f>
        <v>Work</v>
      </c>
      <c r="R10" s="25" t="str">
        <f t="shared" ref="R10:R17" si="0">K10&amp;"-"&amp;Q10</f>
        <v>Work-Work</v>
      </c>
      <c r="S10" s="44">
        <v>160</v>
      </c>
      <c r="T10" s="44">
        <v>3</v>
      </c>
      <c r="U10" s="40">
        <v>4</v>
      </c>
      <c r="V10" s="40"/>
      <c r="W10" s="44"/>
      <c r="X10" s="44"/>
      <c r="Y10" s="45" t="s">
        <v>160</v>
      </c>
      <c r="Z10" s="46">
        <v>0</v>
      </c>
      <c r="AA10" s="25"/>
      <c r="AB10" s="25"/>
    </row>
    <row r="11" spans="2:35">
      <c r="B11" s="37">
        <v>0.29930555555555555</v>
      </c>
      <c r="C11" s="37" t="s">
        <v>328</v>
      </c>
      <c r="D11" s="38">
        <v>3</v>
      </c>
      <c r="E11" s="39">
        <v>1</v>
      </c>
      <c r="F11" s="39" t="s">
        <v>159</v>
      </c>
      <c r="G11" s="40" t="s">
        <v>159</v>
      </c>
      <c r="H11" s="39" t="s">
        <v>158</v>
      </c>
      <c r="I11" s="40">
        <v>2</v>
      </c>
      <c r="J11" s="40">
        <v>2</v>
      </c>
      <c r="K11" s="25" t="str">
        <f>VLOOKUP(J11,Key!$E$2:$F$9,2,FALSE)</f>
        <v>Work</v>
      </c>
      <c r="L11" s="39" t="s">
        <v>263</v>
      </c>
      <c r="M11" s="40" t="s">
        <v>263</v>
      </c>
      <c r="N11" s="39" t="s">
        <v>158</v>
      </c>
      <c r="O11" s="40">
        <v>2</v>
      </c>
      <c r="P11" s="40">
        <v>2</v>
      </c>
      <c r="Q11" s="25" t="str">
        <f>VLOOKUP(P11,Key!$E$2:$F$9,2,FALSE)</f>
        <v>Work</v>
      </c>
      <c r="R11" s="25" t="str">
        <f t="shared" si="0"/>
        <v>Work-Work</v>
      </c>
      <c r="S11" s="44"/>
      <c r="T11" s="44"/>
      <c r="U11" s="40">
        <v>6</v>
      </c>
      <c r="V11" s="40"/>
      <c r="W11" s="44"/>
      <c r="X11" s="44"/>
      <c r="Y11" s="45" t="s">
        <v>160</v>
      </c>
      <c r="Z11" s="46">
        <v>0</v>
      </c>
      <c r="AA11" s="25"/>
      <c r="AB11" s="25"/>
    </row>
    <row r="12" spans="2:35">
      <c r="B12" s="37">
        <v>0.32500000000000001</v>
      </c>
      <c r="C12" s="37" t="s">
        <v>264</v>
      </c>
      <c r="D12" s="38">
        <v>2</v>
      </c>
      <c r="E12" s="39">
        <v>1</v>
      </c>
      <c r="F12" s="39" t="s">
        <v>159</v>
      </c>
      <c r="G12" s="40" t="s">
        <v>159</v>
      </c>
      <c r="H12" s="39" t="s">
        <v>158</v>
      </c>
      <c r="I12" s="40">
        <v>1</v>
      </c>
      <c r="J12" s="40">
        <v>1</v>
      </c>
      <c r="K12" s="25" t="str">
        <f>VLOOKUP(J12,Key!$E$2:$F$9,2,FALSE)</f>
        <v>Home</v>
      </c>
      <c r="L12" s="39" t="s">
        <v>170</v>
      </c>
      <c r="M12" s="40" t="s">
        <v>170</v>
      </c>
      <c r="N12" s="39" t="s">
        <v>158</v>
      </c>
      <c r="O12" s="40">
        <v>16</v>
      </c>
      <c r="P12" s="40">
        <v>8</v>
      </c>
      <c r="Q12" s="25" t="str">
        <f>VLOOKUP(P12,Key!$E$2:$F$9,2,FALSE)</f>
        <v>Others</v>
      </c>
      <c r="R12" s="25" t="str">
        <f t="shared" si="0"/>
        <v>Home-Others</v>
      </c>
      <c r="S12" s="44">
        <v>600</v>
      </c>
      <c r="T12" s="44">
        <v>12</v>
      </c>
      <c r="U12" s="40">
        <v>3</v>
      </c>
      <c r="V12" s="40"/>
      <c r="W12" s="44"/>
      <c r="X12" s="44"/>
      <c r="Y12" s="45" t="s">
        <v>160</v>
      </c>
      <c r="Z12" s="46">
        <v>1000</v>
      </c>
      <c r="AA12" s="25"/>
      <c r="AB12" s="25"/>
    </row>
    <row r="13" spans="2:35">
      <c r="B13" s="37">
        <v>0.36388888888888887</v>
      </c>
      <c r="C13" s="37" t="s">
        <v>265</v>
      </c>
      <c r="D13" s="38">
        <v>3</v>
      </c>
      <c r="E13" s="39">
        <v>1</v>
      </c>
      <c r="F13" s="39" t="s">
        <v>159</v>
      </c>
      <c r="G13" s="40" t="s">
        <v>159</v>
      </c>
      <c r="H13" s="39" t="s">
        <v>158</v>
      </c>
      <c r="I13" s="40">
        <v>2</v>
      </c>
      <c r="J13" s="40">
        <v>2</v>
      </c>
      <c r="K13" s="25" t="str">
        <f>VLOOKUP(J13,Key!$E$2:$F$9,2,FALSE)</f>
        <v>Work</v>
      </c>
      <c r="L13" s="39" t="s">
        <v>166</v>
      </c>
      <c r="M13" s="40" t="s">
        <v>166</v>
      </c>
      <c r="N13" s="39" t="s">
        <v>158</v>
      </c>
      <c r="O13" s="40">
        <v>2</v>
      </c>
      <c r="P13" s="40">
        <v>2</v>
      </c>
      <c r="Q13" s="25" t="str">
        <f>VLOOKUP(P13,Key!$E$2:$F$9,2,FALSE)</f>
        <v>Work</v>
      </c>
      <c r="R13" s="25" t="str">
        <f t="shared" si="0"/>
        <v>Work-Work</v>
      </c>
      <c r="S13" s="44">
        <v>20</v>
      </c>
      <c r="T13" s="44">
        <v>0.55000000000000004</v>
      </c>
      <c r="U13" s="40">
        <v>2</v>
      </c>
      <c r="V13" s="40"/>
      <c r="W13" s="44"/>
      <c r="X13" s="44"/>
      <c r="Y13" s="45" t="s">
        <v>160</v>
      </c>
      <c r="Z13" s="46">
        <v>0</v>
      </c>
      <c r="AA13" s="25"/>
      <c r="AB13" s="25"/>
    </row>
    <row r="14" spans="2:35">
      <c r="B14" s="37">
        <v>0.37638888888888888</v>
      </c>
      <c r="C14" s="37" t="s">
        <v>266</v>
      </c>
      <c r="D14" s="38">
        <v>4</v>
      </c>
      <c r="E14" s="39">
        <v>14</v>
      </c>
      <c r="F14" s="39" t="s">
        <v>159</v>
      </c>
      <c r="G14" s="40" t="s">
        <v>159</v>
      </c>
      <c r="H14" s="39" t="s">
        <v>158</v>
      </c>
      <c r="I14" s="40">
        <v>6</v>
      </c>
      <c r="J14" s="40">
        <v>2</v>
      </c>
      <c r="K14" s="25" t="str">
        <f>VLOOKUP(J14,Key!$E$2:$F$9,2,FALSE)</f>
        <v>Work</v>
      </c>
      <c r="L14" s="39" t="s">
        <v>157</v>
      </c>
      <c r="M14" s="40" t="s">
        <v>157</v>
      </c>
      <c r="N14" s="39" t="s">
        <v>158</v>
      </c>
      <c r="O14" s="40">
        <v>6</v>
      </c>
      <c r="P14" s="40">
        <v>2</v>
      </c>
      <c r="Q14" s="25" t="str">
        <f>VLOOKUP(P14,Key!$E$2:$F$9,2,FALSE)</f>
        <v>Work</v>
      </c>
      <c r="R14" s="25" t="str">
        <f t="shared" si="0"/>
        <v>Work-Work</v>
      </c>
      <c r="S14" s="44">
        <v>168</v>
      </c>
      <c r="T14" s="44">
        <v>2.8</v>
      </c>
      <c r="U14" s="40">
        <v>2</v>
      </c>
      <c r="V14" s="40"/>
      <c r="W14" s="44"/>
      <c r="X14" s="44"/>
      <c r="Y14" s="45" t="s">
        <v>171</v>
      </c>
      <c r="Z14" s="46">
        <v>0</v>
      </c>
      <c r="AA14" s="25"/>
      <c r="AB14" s="25"/>
    </row>
    <row r="15" spans="2:35">
      <c r="B15" s="37">
        <v>0.51944444444444449</v>
      </c>
      <c r="C15" s="37" t="s">
        <v>330</v>
      </c>
      <c r="D15" s="38">
        <v>3</v>
      </c>
      <c r="E15" s="39">
        <v>4</v>
      </c>
      <c r="F15" s="39" t="s">
        <v>159</v>
      </c>
      <c r="G15" s="40" t="s">
        <v>159</v>
      </c>
      <c r="H15" s="39" t="s">
        <v>158</v>
      </c>
      <c r="I15" s="40">
        <v>2</v>
      </c>
      <c r="J15" s="40">
        <v>2</v>
      </c>
      <c r="K15" s="25" t="str">
        <f>VLOOKUP(J15,Key!$E$2:$F$9,2,FALSE)</f>
        <v>Work</v>
      </c>
      <c r="L15" s="39" t="s">
        <v>195</v>
      </c>
      <c r="M15" s="40" t="s">
        <v>195</v>
      </c>
      <c r="N15" s="39" t="s">
        <v>158</v>
      </c>
      <c r="O15" s="40">
        <v>4</v>
      </c>
      <c r="P15" s="40">
        <v>2</v>
      </c>
      <c r="Q15" s="25" t="str">
        <f>VLOOKUP(P15,Key!$E$2:$F$9,2,FALSE)</f>
        <v>Work</v>
      </c>
      <c r="R15" s="25" t="str">
        <f t="shared" si="0"/>
        <v>Work-Work</v>
      </c>
      <c r="S15" s="44">
        <v>320</v>
      </c>
      <c r="T15" s="44">
        <v>7</v>
      </c>
      <c r="U15" s="40">
        <v>6</v>
      </c>
      <c r="V15" s="40"/>
      <c r="W15" s="44"/>
      <c r="X15" s="44"/>
      <c r="Y15" s="45" t="s">
        <v>160</v>
      </c>
      <c r="Z15" s="46">
        <v>0</v>
      </c>
      <c r="AA15" s="25"/>
      <c r="AB15" s="25"/>
    </row>
    <row r="16" spans="2:35">
      <c r="B16" s="37">
        <v>0.64444444444444449</v>
      </c>
      <c r="C16" s="37" t="s">
        <v>267</v>
      </c>
      <c r="D16" s="38">
        <v>1</v>
      </c>
      <c r="E16" s="39">
        <v>2</v>
      </c>
      <c r="F16" s="39" t="s">
        <v>159</v>
      </c>
      <c r="G16" s="40" t="s">
        <v>159</v>
      </c>
      <c r="H16" s="39" t="s">
        <v>158</v>
      </c>
      <c r="I16" s="40">
        <v>7</v>
      </c>
      <c r="J16" s="40">
        <v>4</v>
      </c>
      <c r="K16" s="25" t="str">
        <f>VLOOKUP(J16,Key!$E$2:$F$9,2,FALSE)</f>
        <v>Commercial</v>
      </c>
      <c r="L16" s="39" t="s">
        <v>259</v>
      </c>
      <c r="M16" s="40"/>
      <c r="N16" s="39" t="s">
        <v>158</v>
      </c>
      <c r="O16" s="40">
        <v>11</v>
      </c>
      <c r="P16" s="40">
        <v>4</v>
      </c>
      <c r="Q16" s="25" t="str">
        <f>VLOOKUP(P16,Key!$E$2:$F$9,2,FALSE)</f>
        <v>Commercial</v>
      </c>
      <c r="R16" s="25" t="str">
        <f t="shared" si="0"/>
        <v>Commercial-Commercial</v>
      </c>
      <c r="S16" s="44">
        <v>30</v>
      </c>
      <c r="T16" s="44">
        <v>0.5</v>
      </c>
      <c r="U16" s="40">
        <v>5</v>
      </c>
      <c r="V16" s="40">
        <v>10</v>
      </c>
      <c r="W16" s="44"/>
      <c r="X16" s="44">
        <v>0.5</v>
      </c>
      <c r="Y16" s="45" t="s">
        <v>160</v>
      </c>
      <c r="Z16" s="46">
        <v>1000</v>
      </c>
      <c r="AA16" s="25"/>
      <c r="AB16" s="25"/>
    </row>
    <row r="17" spans="2:28">
      <c r="B17" s="37">
        <v>0.64583333333333337</v>
      </c>
      <c r="C17" s="37" t="s">
        <v>268</v>
      </c>
      <c r="D17" s="38">
        <v>2</v>
      </c>
      <c r="E17" s="39">
        <v>1</v>
      </c>
      <c r="F17" s="39" t="s">
        <v>159</v>
      </c>
      <c r="G17" s="40" t="s">
        <v>159</v>
      </c>
      <c r="H17" s="39" t="s">
        <v>158</v>
      </c>
      <c r="I17" s="40">
        <v>2</v>
      </c>
      <c r="J17" s="40">
        <v>2</v>
      </c>
      <c r="K17" s="25" t="str">
        <f>VLOOKUP(J17,Key!$E$2:$F$9,2,FALSE)</f>
        <v>Work</v>
      </c>
      <c r="L17" s="39" t="s">
        <v>166</v>
      </c>
      <c r="M17" s="40" t="s">
        <v>166</v>
      </c>
      <c r="N17" s="39" t="s">
        <v>158</v>
      </c>
      <c r="O17" s="40">
        <v>1</v>
      </c>
      <c r="P17" s="40">
        <v>1</v>
      </c>
      <c r="Q17" s="25" t="str">
        <f>VLOOKUP(P17,Key!$E$2:$F$9,2,FALSE)</f>
        <v>Home</v>
      </c>
      <c r="R17" s="25" t="str">
        <f t="shared" si="0"/>
        <v>Work-Home</v>
      </c>
      <c r="S17" s="44"/>
      <c r="T17" s="44">
        <v>0.3</v>
      </c>
      <c r="U17" s="40">
        <v>5</v>
      </c>
      <c r="V17" s="40"/>
      <c r="W17" s="44"/>
      <c r="X17" s="44"/>
      <c r="Y17" s="45" t="s">
        <v>160</v>
      </c>
      <c r="Z17" s="46">
        <v>5000</v>
      </c>
      <c r="AA17" s="25"/>
      <c r="AB17" s="25"/>
    </row>
    <row r="105" ht="12" customHeight="1"/>
    <row r="143" spans="1:1">
      <c r="A143" s="14"/>
    </row>
    <row r="144" spans="1:1">
      <c r="A144" s="14"/>
    </row>
    <row r="145" spans="1:1">
      <c r="A145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45"/>
  <sheetViews>
    <sheetView topLeftCell="A3" zoomScale="75" zoomScaleNormal="75" zoomScaleSheetLayoutView="80" workbookViewId="0">
      <selection activeCell="B9" sqref="B9:AB3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9" t="s">
        <v>131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"/>
      <c r="AD1" s="6"/>
      <c r="AE1" s="6"/>
      <c r="AF1" s="6"/>
      <c r="AG1" s="6"/>
      <c r="AH1" s="6"/>
      <c r="AI1" s="6"/>
    </row>
    <row r="2" spans="2:35" ht="15">
      <c r="B2" s="119" t="s">
        <v>1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7"/>
      <c r="AD2" s="7"/>
      <c r="AE2" s="7"/>
      <c r="AF2" s="7"/>
      <c r="AG2" s="7"/>
      <c r="AH2" s="7"/>
      <c r="AI2" s="7"/>
    </row>
    <row r="3" spans="2:35" ht="15"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</row>
    <row r="4" spans="2:35" ht="15" customHeight="1">
      <c r="B4" s="26" t="s">
        <v>2</v>
      </c>
      <c r="C4" s="53" t="s">
        <v>270</v>
      </c>
      <c r="E4" s="1" t="s">
        <v>66</v>
      </c>
      <c r="F4" s="140" t="str">
        <f>'09.08 Soroti-Moroto'!F4:G4</f>
        <v>Moroto Soroti road</v>
      </c>
      <c r="G4" s="141"/>
      <c r="I4" s="27" t="s">
        <v>67</v>
      </c>
      <c r="J4" s="5"/>
      <c r="K4" s="5"/>
      <c r="L4" s="54" t="s">
        <v>151</v>
      </c>
      <c r="M4" s="51"/>
      <c r="N4" s="1" t="s">
        <v>69</v>
      </c>
      <c r="O4" s="122" t="s">
        <v>271</v>
      </c>
      <c r="P4" s="122"/>
      <c r="Q4" s="122"/>
      <c r="R4" s="122"/>
      <c r="S4" s="122"/>
      <c r="T4" s="122"/>
      <c r="V4" s="1" t="s">
        <v>71</v>
      </c>
      <c r="W4" s="55" t="str">
        <f>'09.08 Soroti-Moroto'!W4</f>
        <v>Patrick</v>
      </c>
      <c r="Y4" s="27" t="s">
        <v>6</v>
      </c>
      <c r="Z4" s="56" t="str">
        <f>'09.08 Soroti-Moroto'!Z4</f>
        <v>Genevivie Ankunda</v>
      </c>
      <c r="AA4" s="31" t="s">
        <v>7</v>
      </c>
      <c r="AB4" s="56" t="str">
        <f>'09.08 Soroti-Moroto'!AB4</f>
        <v>Isaac M.</v>
      </c>
      <c r="AE4" s="10"/>
      <c r="AF4" s="5"/>
    </row>
    <row r="5" spans="2:35" ht="15" customHeight="1">
      <c r="B5" s="51"/>
      <c r="C5" s="51"/>
      <c r="D5" s="51"/>
      <c r="E5" s="22"/>
      <c r="F5" s="51"/>
      <c r="G5" s="51"/>
      <c r="I5" s="28" t="s">
        <v>68</v>
      </c>
      <c r="J5" s="51"/>
      <c r="K5" s="51"/>
      <c r="L5" s="54" t="s">
        <v>152</v>
      </c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</row>
    <row r="6" spans="2:35" ht="13.5" thickBot="1"/>
    <row r="7" spans="2:35" ht="30.75" customHeight="1">
      <c r="B7" s="123" t="s">
        <v>34</v>
      </c>
      <c r="C7" s="111" t="s">
        <v>57</v>
      </c>
      <c r="D7" s="113" t="s">
        <v>9</v>
      </c>
      <c r="E7" s="111" t="s">
        <v>35</v>
      </c>
      <c r="F7" s="126" t="s">
        <v>12</v>
      </c>
      <c r="G7" s="127"/>
      <c r="H7" s="128"/>
      <c r="I7" s="113" t="s">
        <v>60</v>
      </c>
      <c r="J7" s="111" t="s">
        <v>15</v>
      </c>
      <c r="K7" s="111" t="s">
        <v>132</v>
      </c>
      <c r="L7" s="126" t="s">
        <v>17</v>
      </c>
      <c r="M7" s="127"/>
      <c r="N7" s="128"/>
      <c r="O7" s="113" t="s">
        <v>61</v>
      </c>
      <c r="P7" s="111" t="s">
        <v>18</v>
      </c>
      <c r="Q7" s="111" t="s">
        <v>133</v>
      </c>
      <c r="R7" s="111" t="s">
        <v>134</v>
      </c>
      <c r="S7" s="111" t="s">
        <v>136</v>
      </c>
      <c r="T7" s="111" t="s">
        <v>135</v>
      </c>
      <c r="U7" s="111" t="s">
        <v>62</v>
      </c>
      <c r="V7" s="116" t="s">
        <v>65</v>
      </c>
      <c r="W7" s="117"/>
      <c r="X7" s="118"/>
      <c r="Y7" s="111" t="s">
        <v>64</v>
      </c>
      <c r="Z7" s="111" t="s">
        <v>139</v>
      </c>
      <c r="AA7" s="113" t="s">
        <v>20</v>
      </c>
      <c r="AB7" s="129" t="s">
        <v>21</v>
      </c>
      <c r="AD7" s="19"/>
    </row>
    <row r="8" spans="2:35" ht="38.25" customHeight="1">
      <c r="B8" s="124"/>
      <c r="C8" s="112"/>
      <c r="D8" s="114"/>
      <c r="E8" s="125"/>
      <c r="F8" s="50" t="s">
        <v>73</v>
      </c>
      <c r="G8" s="50" t="s">
        <v>58</v>
      </c>
      <c r="H8" s="24" t="s">
        <v>59</v>
      </c>
      <c r="I8" s="114"/>
      <c r="J8" s="112"/>
      <c r="K8" s="112"/>
      <c r="L8" s="50" t="s">
        <v>73</v>
      </c>
      <c r="M8" s="50" t="s">
        <v>58</v>
      </c>
      <c r="N8" s="50" t="s">
        <v>59</v>
      </c>
      <c r="O8" s="114"/>
      <c r="P8" s="112"/>
      <c r="Q8" s="112"/>
      <c r="R8" s="112"/>
      <c r="S8" s="112"/>
      <c r="T8" s="112"/>
      <c r="U8" s="112"/>
      <c r="V8" s="29" t="s">
        <v>63</v>
      </c>
      <c r="W8" s="30" t="s">
        <v>137</v>
      </c>
      <c r="X8" s="30" t="s">
        <v>138</v>
      </c>
      <c r="Y8" s="112"/>
      <c r="Z8" s="112"/>
      <c r="AA8" s="114"/>
      <c r="AB8" s="130"/>
    </row>
    <row r="9" spans="2:35" s="19" customFormat="1">
      <c r="B9" s="37">
        <v>0.38541666666666669</v>
      </c>
      <c r="C9" s="37" t="s">
        <v>272</v>
      </c>
      <c r="D9" s="38">
        <v>11</v>
      </c>
      <c r="E9" s="39">
        <v>2</v>
      </c>
      <c r="F9" s="39" t="s">
        <v>166</v>
      </c>
      <c r="G9" s="40" t="s">
        <v>166</v>
      </c>
      <c r="H9" s="39" t="s">
        <v>158</v>
      </c>
      <c r="I9" s="40">
        <v>8</v>
      </c>
      <c r="J9" s="40">
        <v>2</v>
      </c>
      <c r="K9" s="25" t="str">
        <f>VLOOKUP(J9,Key!$E$2:$F$9,2,FALSE)</f>
        <v>Work</v>
      </c>
      <c r="L9" s="39" t="s">
        <v>159</v>
      </c>
      <c r="M9" s="40" t="s">
        <v>159</v>
      </c>
      <c r="N9" s="39" t="s">
        <v>158</v>
      </c>
      <c r="O9" s="40">
        <v>1</v>
      </c>
      <c r="P9" s="40">
        <v>1</v>
      </c>
      <c r="Q9" s="25" t="str">
        <f>VLOOKUP(P9,Key!$E$2:$F$9,2,FALSE)</f>
        <v>Home</v>
      </c>
      <c r="R9" s="25" t="str">
        <f>K9&amp;"-"&amp;Q9</f>
        <v>Work-Home</v>
      </c>
      <c r="S9" s="44">
        <v>46</v>
      </c>
      <c r="T9" s="44">
        <v>4</v>
      </c>
      <c r="U9" s="40">
        <v>3</v>
      </c>
      <c r="V9" s="40"/>
      <c r="W9" s="44"/>
      <c r="X9" s="44"/>
      <c r="Y9" s="45" t="s">
        <v>160</v>
      </c>
      <c r="Z9" s="46">
        <v>0</v>
      </c>
      <c r="AA9" s="25"/>
      <c r="AB9" s="25"/>
    </row>
    <row r="10" spans="2:35">
      <c r="B10" s="37">
        <v>0.40208333333333335</v>
      </c>
      <c r="C10" s="37" t="s">
        <v>274</v>
      </c>
      <c r="D10" s="38">
        <v>11</v>
      </c>
      <c r="E10" s="39">
        <v>2</v>
      </c>
      <c r="F10" s="39" t="s">
        <v>157</v>
      </c>
      <c r="G10" s="40" t="s">
        <v>157</v>
      </c>
      <c r="H10" s="39" t="s">
        <v>158</v>
      </c>
      <c r="I10" s="40">
        <v>8</v>
      </c>
      <c r="J10" s="40">
        <v>2</v>
      </c>
      <c r="K10" s="25" t="str">
        <f>VLOOKUP(J10,Key!$E$2:$F$9,2,FALSE)</f>
        <v>Work</v>
      </c>
      <c r="L10" s="39" t="s">
        <v>159</v>
      </c>
      <c r="M10" s="40" t="s">
        <v>159</v>
      </c>
      <c r="N10" s="39" t="s">
        <v>158</v>
      </c>
      <c r="O10" s="40">
        <v>1</v>
      </c>
      <c r="P10" s="40">
        <v>1</v>
      </c>
      <c r="Q10" s="25" t="str">
        <f>VLOOKUP(P10,Key!$E$2:$F$9,2,FALSE)</f>
        <v>Home</v>
      </c>
      <c r="R10" s="25" t="str">
        <f t="shared" ref="R10:R36" si="0">K10&amp;"-"&amp;Q10</f>
        <v>Work-Home</v>
      </c>
      <c r="S10" s="44">
        <v>30</v>
      </c>
      <c r="T10" s="44">
        <v>1.5</v>
      </c>
      <c r="U10" s="40">
        <v>3</v>
      </c>
      <c r="V10" s="40"/>
      <c r="W10" s="44"/>
      <c r="X10" s="44"/>
      <c r="Y10" s="45" t="s">
        <v>160</v>
      </c>
      <c r="Z10" s="46">
        <v>0</v>
      </c>
      <c r="AA10" s="25"/>
      <c r="AB10" s="25"/>
    </row>
    <row r="11" spans="2:35">
      <c r="B11" s="37">
        <v>0.48749999999999999</v>
      </c>
      <c r="C11" s="37" t="s">
        <v>277</v>
      </c>
      <c r="D11" s="38">
        <v>4</v>
      </c>
      <c r="E11" s="39">
        <v>15</v>
      </c>
      <c r="F11" s="39" t="s">
        <v>157</v>
      </c>
      <c r="G11" s="40" t="s">
        <v>157</v>
      </c>
      <c r="H11" s="39" t="s">
        <v>158</v>
      </c>
      <c r="I11" s="40">
        <v>2</v>
      </c>
      <c r="J11" s="40">
        <v>2</v>
      </c>
      <c r="K11" s="25" t="str">
        <f>VLOOKUP(J11,Key!$E$2:$F$9,2,FALSE)</f>
        <v>Work</v>
      </c>
      <c r="L11" s="39" t="s">
        <v>159</v>
      </c>
      <c r="M11" s="40" t="s">
        <v>159</v>
      </c>
      <c r="N11" s="39" t="s">
        <v>158</v>
      </c>
      <c r="O11" s="40">
        <v>1</v>
      </c>
      <c r="P11" s="40">
        <v>1</v>
      </c>
      <c r="Q11" s="25" t="str">
        <f>VLOOKUP(P11,Key!$E$2:$F$9,2,FALSE)</f>
        <v>Home</v>
      </c>
      <c r="R11" s="25" t="str">
        <f t="shared" si="0"/>
        <v>Work-Home</v>
      </c>
      <c r="S11" s="44">
        <v>45</v>
      </c>
      <c r="T11" s="44">
        <v>3</v>
      </c>
      <c r="U11" s="40">
        <v>3</v>
      </c>
      <c r="V11" s="40"/>
      <c r="W11" s="44"/>
      <c r="X11" s="44"/>
      <c r="Y11" s="45" t="s">
        <v>160</v>
      </c>
      <c r="Z11" s="46">
        <v>0</v>
      </c>
      <c r="AA11" s="25"/>
      <c r="AB11" s="25"/>
    </row>
    <row r="12" spans="2:35">
      <c r="B12" s="37">
        <v>0.82291666666666663</v>
      </c>
      <c r="C12" s="37" t="s">
        <v>279</v>
      </c>
      <c r="D12" s="38">
        <v>1</v>
      </c>
      <c r="E12" s="39">
        <v>3</v>
      </c>
      <c r="F12" s="39" t="s">
        <v>157</v>
      </c>
      <c r="G12" s="40" t="s">
        <v>157</v>
      </c>
      <c r="H12" s="39" t="s">
        <v>158</v>
      </c>
      <c r="I12" s="40">
        <v>1</v>
      </c>
      <c r="J12" s="40">
        <v>1</v>
      </c>
      <c r="K12" s="25" t="str">
        <f>VLOOKUP(J12,Key!$E$2:$F$9,2,FALSE)</f>
        <v>Home</v>
      </c>
      <c r="L12" s="39" t="s">
        <v>159</v>
      </c>
      <c r="M12" s="40" t="s">
        <v>159</v>
      </c>
      <c r="N12" s="39" t="s">
        <v>158</v>
      </c>
      <c r="O12" s="40">
        <v>5</v>
      </c>
      <c r="P12" s="40">
        <v>7</v>
      </c>
      <c r="Q12" s="25" t="str">
        <f>VLOOKUP(P12,Key!$E$2:$F$9,2,FALSE)</f>
        <v>Hospital</v>
      </c>
      <c r="R12" s="25" t="str">
        <f t="shared" si="0"/>
        <v>Home-Hospital</v>
      </c>
      <c r="S12" s="44">
        <v>3</v>
      </c>
      <c r="T12" s="44">
        <v>1</v>
      </c>
      <c r="U12" s="40">
        <v>6</v>
      </c>
      <c r="V12" s="40"/>
      <c r="W12" s="44"/>
      <c r="X12" s="44"/>
      <c r="Y12" s="45" t="s">
        <v>160</v>
      </c>
      <c r="Z12" s="46">
        <v>0</v>
      </c>
      <c r="AA12" s="25"/>
      <c r="AB12" s="25"/>
    </row>
    <row r="13" spans="2:35">
      <c r="B13" s="37">
        <v>0.83263888888888893</v>
      </c>
      <c r="C13" s="37" t="s">
        <v>280</v>
      </c>
      <c r="D13" s="38">
        <v>4</v>
      </c>
      <c r="E13" s="39">
        <v>12</v>
      </c>
      <c r="F13" s="39" t="s">
        <v>157</v>
      </c>
      <c r="G13" s="40" t="s">
        <v>157</v>
      </c>
      <c r="H13" s="39" t="s">
        <v>158</v>
      </c>
      <c r="I13" s="40">
        <v>6</v>
      </c>
      <c r="J13" s="40">
        <v>2</v>
      </c>
      <c r="K13" s="25" t="str">
        <f>VLOOKUP(J13,Key!$E$2:$F$9,2,FALSE)</f>
        <v>Work</v>
      </c>
      <c r="L13" s="39" t="s">
        <v>159</v>
      </c>
      <c r="M13" s="40" t="s">
        <v>159</v>
      </c>
      <c r="N13" s="39" t="s">
        <v>158</v>
      </c>
      <c r="O13" s="40">
        <v>6</v>
      </c>
      <c r="P13" s="40">
        <v>2</v>
      </c>
      <c r="Q13" s="25" t="str">
        <f>VLOOKUP(P13,Key!$E$2:$F$9,2,FALSE)</f>
        <v>Work</v>
      </c>
      <c r="R13" s="25" t="str">
        <f t="shared" si="0"/>
        <v>Work-Work</v>
      </c>
      <c r="S13" s="44"/>
      <c r="T13" s="44">
        <v>2</v>
      </c>
      <c r="U13" s="40">
        <v>3</v>
      </c>
      <c r="V13" s="40"/>
      <c r="W13" s="44"/>
      <c r="X13" s="44"/>
      <c r="Y13" s="45" t="s">
        <v>160</v>
      </c>
      <c r="Z13" s="46">
        <v>0</v>
      </c>
      <c r="AA13" s="25"/>
      <c r="AB13" s="25"/>
    </row>
    <row r="14" spans="2:35">
      <c r="B14" s="37">
        <v>0.35972222222222222</v>
      </c>
      <c r="C14" s="37" t="s">
        <v>281</v>
      </c>
      <c r="D14" s="38">
        <v>4</v>
      </c>
      <c r="E14" s="39">
        <v>14</v>
      </c>
      <c r="F14" s="39" t="s">
        <v>210</v>
      </c>
      <c r="G14" s="40"/>
      <c r="H14" s="39" t="s">
        <v>158</v>
      </c>
      <c r="I14" s="40">
        <v>1</v>
      </c>
      <c r="J14" s="40">
        <v>1</v>
      </c>
      <c r="K14" s="25" t="str">
        <f>VLOOKUP(J14,Key!$E$2:$F$9,2,FALSE)</f>
        <v>Home</v>
      </c>
      <c r="L14" s="39" t="s">
        <v>159</v>
      </c>
      <c r="M14" s="40" t="s">
        <v>159</v>
      </c>
      <c r="N14" s="39" t="s">
        <v>158</v>
      </c>
      <c r="O14" s="40">
        <v>2</v>
      </c>
      <c r="P14" s="40">
        <v>2</v>
      </c>
      <c r="Q14" s="25" t="str">
        <f>VLOOKUP(P14,Key!$E$2:$F$9,2,FALSE)</f>
        <v>Work</v>
      </c>
      <c r="R14" s="25" t="str">
        <f t="shared" si="0"/>
        <v>Home-Work</v>
      </c>
      <c r="S14" s="44">
        <v>33</v>
      </c>
      <c r="T14" s="44">
        <v>3</v>
      </c>
      <c r="U14" s="40">
        <v>4</v>
      </c>
      <c r="V14" s="40"/>
      <c r="W14" s="44"/>
      <c r="X14" s="44"/>
      <c r="Y14" s="45" t="s">
        <v>160</v>
      </c>
      <c r="Z14" s="46">
        <v>0</v>
      </c>
      <c r="AA14" s="25"/>
      <c r="AB14" s="25"/>
    </row>
    <row r="15" spans="2:35">
      <c r="B15" s="37">
        <v>0.35416666666666669</v>
      </c>
      <c r="C15" s="37" t="s">
        <v>282</v>
      </c>
      <c r="D15" s="38">
        <v>1</v>
      </c>
      <c r="E15" s="39">
        <v>4</v>
      </c>
      <c r="F15" s="39" t="s">
        <v>157</v>
      </c>
      <c r="G15" s="40" t="s">
        <v>157</v>
      </c>
      <c r="H15" s="39" t="s">
        <v>158</v>
      </c>
      <c r="I15" s="40">
        <v>2</v>
      </c>
      <c r="J15" s="40">
        <v>2</v>
      </c>
      <c r="K15" s="25" t="str">
        <f>VLOOKUP(J15,Key!$E$2:$F$9,2,FALSE)</f>
        <v>Work</v>
      </c>
      <c r="L15" s="39" t="s">
        <v>159</v>
      </c>
      <c r="M15" s="40" t="s">
        <v>159</v>
      </c>
      <c r="N15" s="39" t="s">
        <v>158</v>
      </c>
      <c r="O15" s="40">
        <v>1</v>
      </c>
      <c r="P15" s="40">
        <v>1</v>
      </c>
      <c r="Q15" s="25" t="str">
        <f>VLOOKUP(P15,Key!$E$2:$F$9,2,FALSE)</f>
        <v>Home</v>
      </c>
      <c r="R15" s="25" t="str">
        <f t="shared" si="0"/>
        <v>Work-Home</v>
      </c>
      <c r="S15" s="44">
        <v>30</v>
      </c>
      <c r="T15" s="44">
        <v>2</v>
      </c>
      <c r="U15" s="40">
        <v>2</v>
      </c>
      <c r="V15" s="40"/>
      <c r="W15" s="44"/>
      <c r="X15" s="44"/>
      <c r="Y15" s="45" t="s">
        <v>160</v>
      </c>
      <c r="Z15" s="46">
        <v>0</v>
      </c>
      <c r="AA15" s="25"/>
      <c r="AB15" s="25"/>
    </row>
    <row r="16" spans="2:35">
      <c r="B16" s="37">
        <v>0.52500000000000002</v>
      </c>
      <c r="C16" s="37" t="s">
        <v>283</v>
      </c>
      <c r="D16" s="38">
        <v>11</v>
      </c>
      <c r="E16" s="39">
        <v>1</v>
      </c>
      <c r="F16" s="39" t="s">
        <v>162</v>
      </c>
      <c r="G16" s="40" t="s">
        <v>166</v>
      </c>
      <c r="H16" s="39" t="s">
        <v>158</v>
      </c>
      <c r="I16" s="40">
        <v>1</v>
      </c>
      <c r="J16" s="40">
        <v>1</v>
      </c>
      <c r="K16" s="25" t="str">
        <f>VLOOKUP(J16,Key!$E$2:$F$9,2,FALSE)</f>
        <v>Home</v>
      </c>
      <c r="L16" s="39" t="s">
        <v>159</v>
      </c>
      <c r="M16" s="40" t="s">
        <v>159</v>
      </c>
      <c r="N16" s="39" t="s">
        <v>158</v>
      </c>
      <c r="O16" s="40">
        <v>8</v>
      </c>
      <c r="P16" s="40">
        <v>2</v>
      </c>
      <c r="Q16" s="25" t="str">
        <f>VLOOKUP(P16,Key!$E$2:$F$9,2,FALSE)</f>
        <v>Work</v>
      </c>
      <c r="R16" s="25" t="str">
        <f t="shared" si="0"/>
        <v>Home-Work</v>
      </c>
      <c r="S16" s="44">
        <v>10</v>
      </c>
      <c r="T16" s="44">
        <v>0.2</v>
      </c>
      <c r="U16" s="40">
        <v>2</v>
      </c>
      <c r="V16" s="40"/>
      <c r="W16" s="44"/>
      <c r="X16" s="44"/>
      <c r="Y16" s="45" t="s">
        <v>160</v>
      </c>
      <c r="Z16" s="46">
        <v>0</v>
      </c>
      <c r="AA16" s="25"/>
      <c r="AB16" s="25"/>
    </row>
    <row r="17" spans="2:28">
      <c r="B17" s="37">
        <v>0.59444444444444444</v>
      </c>
      <c r="C17" s="37" t="s">
        <v>284</v>
      </c>
      <c r="D17" s="38">
        <v>11</v>
      </c>
      <c r="E17" s="39">
        <v>2</v>
      </c>
      <c r="F17" s="39" t="s">
        <v>285</v>
      </c>
      <c r="G17" s="40" t="s">
        <v>157</v>
      </c>
      <c r="H17" s="39" t="s">
        <v>158</v>
      </c>
      <c r="I17" s="40">
        <v>8</v>
      </c>
      <c r="J17" s="40">
        <v>2</v>
      </c>
      <c r="K17" s="25" t="str">
        <f>VLOOKUP(J17,Key!$E$2:$F$9,2,FALSE)</f>
        <v>Work</v>
      </c>
      <c r="L17" s="39" t="s">
        <v>159</v>
      </c>
      <c r="M17" s="40" t="s">
        <v>159</v>
      </c>
      <c r="N17" s="39" t="s">
        <v>158</v>
      </c>
      <c r="O17" s="40">
        <v>8</v>
      </c>
      <c r="P17" s="40">
        <v>2</v>
      </c>
      <c r="Q17" s="25" t="str">
        <f>VLOOKUP(P17,Key!$E$2:$F$9,2,FALSE)</f>
        <v>Work</v>
      </c>
      <c r="R17" s="25" t="str">
        <f t="shared" si="0"/>
        <v>Work-Work</v>
      </c>
      <c r="S17" s="44">
        <v>10</v>
      </c>
      <c r="T17" s="44">
        <v>0.2</v>
      </c>
      <c r="U17" s="40"/>
      <c r="V17" s="40"/>
      <c r="W17" s="44"/>
      <c r="X17" s="44"/>
      <c r="Y17" s="45"/>
      <c r="Z17" s="46">
        <v>0</v>
      </c>
      <c r="AA17" s="25"/>
      <c r="AB17" s="25"/>
    </row>
    <row r="18" spans="2:28">
      <c r="B18" s="37">
        <v>0.58472222222222225</v>
      </c>
      <c r="C18" s="37" t="s">
        <v>286</v>
      </c>
      <c r="D18" s="38">
        <v>4</v>
      </c>
      <c r="E18" s="39">
        <v>16</v>
      </c>
      <c r="F18" s="39" t="s">
        <v>162</v>
      </c>
      <c r="G18" s="40" t="s">
        <v>166</v>
      </c>
      <c r="H18" s="39" t="s">
        <v>158</v>
      </c>
      <c r="I18" s="40">
        <v>6</v>
      </c>
      <c r="J18" s="40">
        <v>2</v>
      </c>
      <c r="K18" s="25" t="str">
        <f>VLOOKUP(J18,Key!$E$2:$F$9,2,FALSE)</f>
        <v>Work</v>
      </c>
      <c r="L18" s="39" t="s">
        <v>159</v>
      </c>
      <c r="M18" s="40" t="s">
        <v>159</v>
      </c>
      <c r="N18" s="39" t="s">
        <v>158</v>
      </c>
      <c r="O18" s="40">
        <v>6</v>
      </c>
      <c r="P18" s="40">
        <v>2</v>
      </c>
      <c r="Q18" s="25" t="str">
        <f>VLOOKUP(P18,Key!$E$2:$F$9,2,FALSE)</f>
        <v>Work</v>
      </c>
      <c r="R18" s="25" t="str">
        <f t="shared" si="0"/>
        <v>Work-Work</v>
      </c>
      <c r="S18" s="44">
        <v>11</v>
      </c>
      <c r="T18" s="44">
        <v>0.2</v>
      </c>
      <c r="U18" s="40">
        <v>2</v>
      </c>
      <c r="V18" s="40"/>
      <c r="W18" s="44"/>
      <c r="X18" s="44"/>
      <c r="Y18" s="45" t="s">
        <v>160</v>
      </c>
      <c r="Z18" s="46">
        <v>5000</v>
      </c>
      <c r="AA18" s="25"/>
      <c r="AB18" s="25"/>
    </row>
    <row r="19" spans="2:28">
      <c r="B19" s="37">
        <v>0.48125000000000001</v>
      </c>
      <c r="C19" s="37" t="s">
        <v>287</v>
      </c>
      <c r="D19" s="38">
        <v>9</v>
      </c>
      <c r="E19" s="39">
        <v>1</v>
      </c>
      <c r="F19" s="39" t="s">
        <v>170</v>
      </c>
      <c r="G19" s="40" t="s">
        <v>170</v>
      </c>
      <c r="H19" s="39" t="s">
        <v>158</v>
      </c>
      <c r="I19" s="40">
        <v>16</v>
      </c>
      <c r="J19" s="40">
        <v>8</v>
      </c>
      <c r="K19" s="25" t="str">
        <f>VLOOKUP(J19,Key!$E$2:$F$9,2,FALSE)</f>
        <v>Others</v>
      </c>
      <c r="L19" s="39" t="s">
        <v>159</v>
      </c>
      <c r="M19" s="40" t="s">
        <v>159</v>
      </c>
      <c r="N19" s="39" t="s">
        <v>158</v>
      </c>
      <c r="O19" s="40">
        <v>16</v>
      </c>
      <c r="P19" s="40">
        <v>8</v>
      </c>
      <c r="Q19" s="25" t="str">
        <f>VLOOKUP(P19,Key!$E$2:$F$9,2,FALSE)</f>
        <v>Others</v>
      </c>
      <c r="R19" s="25" t="str">
        <f t="shared" si="0"/>
        <v>Others-Others</v>
      </c>
      <c r="S19" s="44"/>
      <c r="T19" s="44"/>
      <c r="U19" s="40">
        <v>2</v>
      </c>
      <c r="V19" s="40"/>
      <c r="W19" s="44"/>
      <c r="X19" s="44"/>
      <c r="Y19" s="45" t="s">
        <v>160</v>
      </c>
      <c r="Z19" s="46">
        <v>0</v>
      </c>
      <c r="AA19" s="25"/>
      <c r="AB19" s="25"/>
    </row>
    <row r="20" spans="2:28">
      <c r="B20" s="37">
        <v>0.49305555555555558</v>
      </c>
      <c r="C20" s="37" t="s">
        <v>178</v>
      </c>
      <c r="D20" s="38">
        <v>2</v>
      </c>
      <c r="E20" s="39">
        <v>15</v>
      </c>
      <c r="F20" s="39" t="s">
        <v>157</v>
      </c>
      <c r="G20" s="40" t="s">
        <v>157</v>
      </c>
      <c r="H20" s="39" t="s">
        <v>158</v>
      </c>
      <c r="I20" s="40">
        <v>6</v>
      </c>
      <c r="J20" s="40">
        <v>2</v>
      </c>
      <c r="K20" s="25" t="str">
        <f>VLOOKUP(J20,Key!$E$2:$F$9,2,FALSE)</f>
        <v>Work</v>
      </c>
      <c r="L20" s="39" t="s">
        <v>159</v>
      </c>
      <c r="M20" s="40" t="s">
        <v>159</v>
      </c>
      <c r="N20" s="39" t="s">
        <v>158</v>
      </c>
      <c r="O20" s="40">
        <v>16</v>
      </c>
      <c r="P20" s="40">
        <v>8</v>
      </c>
      <c r="Q20" s="25" t="str">
        <f>VLOOKUP(P20,Key!$E$2:$F$9,2,FALSE)</f>
        <v>Others</v>
      </c>
      <c r="R20" s="25" t="str">
        <f t="shared" si="0"/>
        <v>Work-Others</v>
      </c>
      <c r="S20" s="44"/>
      <c r="T20" s="44"/>
      <c r="U20" s="40"/>
      <c r="V20" s="40"/>
      <c r="W20" s="44"/>
      <c r="X20" s="44"/>
      <c r="Y20" s="45" t="s">
        <v>160</v>
      </c>
      <c r="Z20" s="46">
        <v>5000</v>
      </c>
      <c r="AA20" s="25"/>
      <c r="AB20" s="25"/>
    </row>
    <row r="21" spans="2:28">
      <c r="B21" s="37">
        <v>0.4861111111111111</v>
      </c>
      <c r="C21" s="37" t="s">
        <v>288</v>
      </c>
      <c r="D21" s="38">
        <v>9</v>
      </c>
      <c r="E21" s="39">
        <v>2</v>
      </c>
      <c r="F21" s="39" t="s">
        <v>212</v>
      </c>
      <c r="G21" s="40" t="s">
        <v>212</v>
      </c>
      <c r="H21" s="39" t="s">
        <v>158</v>
      </c>
      <c r="I21" s="40">
        <v>3</v>
      </c>
      <c r="J21" s="40">
        <v>1</v>
      </c>
      <c r="K21" s="25" t="str">
        <f>VLOOKUP(J21,Key!$E$2:$F$9,2,FALSE)</f>
        <v>Home</v>
      </c>
      <c r="L21" s="39" t="s">
        <v>263</v>
      </c>
      <c r="M21" s="40" t="s">
        <v>263</v>
      </c>
      <c r="N21" s="39" t="s">
        <v>158</v>
      </c>
      <c r="O21" s="40">
        <v>10</v>
      </c>
      <c r="P21" s="40">
        <v>2</v>
      </c>
      <c r="Q21" s="25" t="str">
        <f>VLOOKUP(P21,Key!$E$2:$F$9,2,FALSE)</f>
        <v>Work</v>
      </c>
      <c r="R21" s="25" t="str">
        <f t="shared" si="0"/>
        <v>Home-Work</v>
      </c>
      <c r="S21" s="44">
        <v>42</v>
      </c>
      <c r="T21" s="44">
        <v>0.5</v>
      </c>
      <c r="U21" s="40">
        <v>2</v>
      </c>
      <c r="V21" s="40"/>
      <c r="W21" s="44"/>
      <c r="X21" s="44"/>
      <c r="Y21" s="45" t="s">
        <v>171</v>
      </c>
      <c r="Z21" s="46">
        <v>0</v>
      </c>
      <c r="AA21" s="25"/>
      <c r="AB21" s="25"/>
    </row>
    <row r="22" spans="2:28">
      <c r="B22" s="37">
        <v>0.45277777777777778</v>
      </c>
      <c r="C22" s="37" t="s">
        <v>289</v>
      </c>
      <c r="D22" s="38">
        <v>3</v>
      </c>
      <c r="E22" s="39">
        <v>1</v>
      </c>
      <c r="F22" s="39" t="s">
        <v>166</v>
      </c>
      <c r="G22" s="40" t="s">
        <v>166</v>
      </c>
      <c r="H22" s="39" t="s">
        <v>158</v>
      </c>
      <c r="I22" s="40">
        <v>2</v>
      </c>
      <c r="J22" s="40">
        <v>2</v>
      </c>
      <c r="K22" s="25" t="str">
        <f>VLOOKUP(J22,Key!$E$2:$F$9,2,FALSE)</f>
        <v>Work</v>
      </c>
      <c r="L22" s="39" t="s">
        <v>159</v>
      </c>
      <c r="M22" s="40" t="s">
        <v>159</v>
      </c>
      <c r="N22" s="39" t="s">
        <v>158</v>
      </c>
      <c r="O22" s="40">
        <v>2</v>
      </c>
      <c r="P22" s="40">
        <v>2</v>
      </c>
      <c r="Q22" s="25" t="str">
        <f>VLOOKUP(P22,Key!$E$2:$F$9,2,FALSE)</f>
        <v>Work</v>
      </c>
      <c r="R22" s="25" t="str">
        <f t="shared" si="0"/>
        <v>Work-Work</v>
      </c>
      <c r="S22" s="44">
        <v>10</v>
      </c>
      <c r="T22" s="44">
        <v>0.2</v>
      </c>
      <c r="U22" s="40">
        <v>2</v>
      </c>
      <c r="V22" s="40"/>
      <c r="W22" s="44"/>
      <c r="X22" s="44"/>
      <c r="Y22" s="45"/>
      <c r="Z22" s="46">
        <v>0</v>
      </c>
      <c r="AA22" s="25"/>
      <c r="AB22" s="25"/>
    </row>
    <row r="23" spans="2:28">
      <c r="B23" s="37">
        <v>0.4597222222222222</v>
      </c>
      <c r="C23" s="37" t="s">
        <v>291</v>
      </c>
      <c r="D23" s="38">
        <v>7</v>
      </c>
      <c r="E23" s="39">
        <v>2</v>
      </c>
      <c r="F23" s="39" t="s">
        <v>166</v>
      </c>
      <c r="G23" s="40" t="s">
        <v>166</v>
      </c>
      <c r="H23" s="39" t="s">
        <v>158</v>
      </c>
      <c r="I23" s="40">
        <v>1</v>
      </c>
      <c r="J23" s="40">
        <v>1</v>
      </c>
      <c r="K23" s="25" t="str">
        <f>VLOOKUP(J23,Key!$E$2:$F$9,2,FALSE)</f>
        <v>Home</v>
      </c>
      <c r="L23" s="39" t="s">
        <v>159</v>
      </c>
      <c r="M23" s="40" t="s">
        <v>159</v>
      </c>
      <c r="N23" s="39" t="s">
        <v>158</v>
      </c>
      <c r="O23" s="40">
        <v>2</v>
      </c>
      <c r="P23" s="40">
        <v>2</v>
      </c>
      <c r="Q23" s="25" t="str">
        <f>VLOOKUP(P23,Key!$E$2:$F$9,2,FALSE)</f>
        <v>Work</v>
      </c>
      <c r="R23" s="25" t="str">
        <f t="shared" si="0"/>
        <v>Home-Work</v>
      </c>
      <c r="S23" s="44"/>
      <c r="T23" s="44">
        <v>0.5</v>
      </c>
      <c r="U23" s="40">
        <v>2</v>
      </c>
      <c r="V23" s="40"/>
      <c r="W23" s="44"/>
      <c r="X23" s="44"/>
      <c r="Y23" s="45" t="s">
        <v>160</v>
      </c>
      <c r="Z23" s="46">
        <v>0</v>
      </c>
      <c r="AA23" s="25"/>
      <c r="AB23" s="25"/>
    </row>
    <row r="24" spans="2:28">
      <c r="B24" s="37">
        <v>0.4826388888888889</v>
      </c>
      <c r="C24" s="37" t="s">
        <v>292</v>
      </c>
      <c r="D24" s="38">
        <v>2</v>
      </c>
      <c r="E24" s="39">
        <v>2</v>
      </c>
      <c r="F24" s="39" t="s">
        <v>162</v>
      </c>
      <c r="G24" s="40" t="s">
        <v>166</v>
      </c>
      <c r="H24" s="39" t="s">
        <v>158</v>
      </c>
      <c r="I24" s="40">
        <v>1</v>
      </c>
      <c r="J24" s="40">
        <v>1</v>
      </c>
      <c r="K24" s="25" t="str">
        <f>VLOOKUP(J24,Key!$E$2:$F$9,2,FALSE)</f>
        <v>Home</v>
      </c>
      <c r="L24" s="39" t="s">
        <v>159</v>
      </c>
      <c r="M24" s="40" t="s">
        <v>159</v>
      </c>
      <c r="N24" s="39" t="s">
        <v>158</v>
      </c>
      <c r="O24" s="40">
        <v>2</v>
      </c>
      <c r="P24" s="40">
        <v>2</v>
      </c>
      <c r="Q24" s="25" t="str">
        <f>VLOOKUP(P24,Key!$E$2:$F$9,2,FALSE)</f>
        <v>Work</v>
      </c>
      <c r="R24" s="25" t="str">
        <f t="shared" si="0"/>
        <v>Home-Work</v>
      </c>
      <c r="S24" s="44"/>
      <c r="T24" s="44"/>
      <c r="U24" s="40">
        <v>2</v>
      </c>
      <c r="V24" s="40"/>
      <c r="W24" s="44"/>
      <c r="X24" s="44"/>
      <c r="Y24" s="45" t="s">
        <v>160</v>
      </c>
      <c r="Z24" s="46">
        <v>0</v>
      </c>
      <c r="AA24" s="25"/>
      <c r="AB24" s="25"/>
    </row>
    <row r="25" spans="2:28">
      <c r="B25" s="37">
        <v>0.4513888888888889</v>
      </c>
      <c r="C25" s="37" t="s">
        <v>293</v>
      </c>
      <c r="D25" s="38">
        <v>11</v>
      </c>
      <c r="E25" s="39">
        <v>3</v>
      </c>
      <c r="F25" s="39" t="s">
        <v>166</v>
      </c>
      <c r="G25" s="40" t="s">
        <v>166</v>
      </c>
      <c r="H25" s="39" t="s">
        <v>158</v>
      </c>
      <c r="I25" s="40">
        <v>8</v>
      </c>
      <c r="J25" s="40">
        <v>2</v>
      </c>
      <c r="K25" s="25" t="str">
        <f>VLOOKUP(J25,Key!$E$2:$F$9,2,FALSE)</f>
        <v>Work</v>
      </c>
      <c r="L25" s="39" t="s">
        <v>159</v>
      </c>
      <c r="M25" s="40" t="s">
        <v>159</v>
      </c>
      <c r="N25" s="39" t="s">
        <v>158</v>
      </c>
      <c r="O25" s="40">
        <v>8</v>
      </c>
      <c r="P25" s="40">
        <v>2</v>
      </c>
      <c r="Q25" s="25" t="str">
        <f>VLOOKUP(P25,Key!$E$2:$F$9,2,FALSE)</f>
        <v>Work</v>
      </c>
      <c r="R25" s="25" t="str">
        <f t="shared" si="0"/>
        <v>Work-Work</v>
      </c>
      <c r="S25" s="44"/>
      <c r="T25" s="44"/>
      <c r="U25" s="40">
        <v>2</v>
      </c>
      <c r="V25" s="40"/>
      <c r="W25" s="44"/>
      <c r="X25" s="44"/>
      <c r="Y25" s="45"/>
      <c r="Z25" s="46">
        <v>0</v>
      </c>
      <c r="AA25" s="25"/>
      <c r="AB25" s="25"/>
    </row>
    <row r="26" spans="2:28">
      <c r="B26" s="37">
        <v>0.45208333333333334</v>
      </c>
      <c r="C26" s="37" t="s">
        <v>294</v>
      </c>
      <c r="D26" s="38">
        <v>11</v>
      </c>
      <c r="E26" s="39">
        <v>3</v>
      </c>
      <c r="F26" s="39" t="s">
        <v>162</v>
      </c>
      <c r="G26" s="40" t="s">
        <v>166</v>
      </c>
      <c r="H26" s="39" t="s">
        <v>158</v>
      </c>
      <c r="I26" s="40">
        <v>8</v>
      </c>
      <c r="J26" s="40">
        <v>2</v>
      </c>
      <c r="K26" s="25" t="str">
        <f>VLOOKUP(J26,Key!$E$2:$F$9,2,FALSE)</f>
        <v>Work</v>
      </c>
      <c r="L26" s="39" t="s">
        <v>159</v>
      </c>
      <c r="M26" s="40" t="s">
        <v>159</v>
      </c>
      <c r="N26" s="39" t="s">
        <v>158</v>
      </c>
      <c r="O26" s="40">
        <v>8</v>
      </c>
      <c r="P26" s="40">
        <v>2</v>
      </c>
      <c r="Q26" s="25" t="str">
        <f>VLOOKUP(P26,Key!$E$2:$F$9,2,FALSE)</f>
        <v>Work</v>
      </c>
      <c r="R26" s="25" t="str">
        <f t="shared" si="0"/>
        <v>Work-Work</v>
      </c>
      <c r="S26" s="44"/>
      <c r="T26" s="44"/>
      <c r="U26" s="40">
        <v>2</v>
      </c>
      <c r="V26" s="40"/>
      <c r="W26" s="44"/>
      <c r="X26" s="44"/>
      <c r="Y26" s="45"/>
      <c r="Z26" s="46">
        <v>0</v>
      </c>
      <c r="AA26" s="25"/>
      <c r="AB26" s="25"/>
    </row>
    <row r="27" spans="2:28">
      <c r="B27" s="37">
        <v>0.60555555555555551</v>
      </c>
      <c r="C27" s="37" t="s">
        <v>295</v>
      </c>
      <c r="D27" s="38">
        <v>2</v>
      </c>
      <c r="E27" s="39">
        <v>6</v>
      </c>
      <c r="F27" s="39" t="s">
        <v>157</v>
      </c>
      <c r="G27" s="40" t="s">
        <v>157</v>
      </c>
      <c r="H27" s="39" t="s">
        <v>158</v>
      </c>
      <c r="I27" s="40">
        <v>1</v>
      </c>
      <c r="J27" s="40">
        <v>1</v>
      </c>
      <c r="K27" s="25" t="str">
        <f>VLOOKUP(J27,Key!$E$2:$F$9,2,FALSE)</f>
        <v>Home</v>
      </c>
      <c r="L27" s="39" t="s">
        <v>159</v>
      </c>
      <c r="M27" s="40" t="s">
        <v>159</v>
      </c>
      <c r="N27" s="39" t="s">
        <v>158</v>
      </c>
      <c r="O27" s="40">
        <v>1</v>
      </c>
      <c r="P27" s="40">
        <v>1</v>
      </c>
      <c r="Q27" s="25" t="str">
        <f>VLOOKUP(P27,Key!$E$2:$F$9,2,FALSE)</f>
        <v>Home</v>
      </c>
      <c r="R27" s="25" t="str">
        <f t="shared" si="0"/>
        <v>Home-Home</v>
      </c>
      <c r="S27" s="44">
        <v>10</v>
      </c>
      <c r="T27" s="44">
        <v>0.2</v>
      </c>
      <c r="U27" s="40">
        <v>2</v>
      </c>
      <c r="V27" s="40"/>
      <c r="W27" s="44"/>
      <c r="X27" s="44"/>
      <c r="Y27" s="45" t="s">
        <v>160</v>
      </c>
      <c r="Z27" s="46">
        <v>4000</v>
      </c>
      <c r="AA27" s="25"/>
      <c r="AB27" s="25"/>
    </row>
    <row r="28" spans="2:28">
      <c r="B28" s="37">
        <v>0.62916666666666665</v>
      </c>
      <c r="C28" s="37" t="s">
        <v>296</v>
      </c>
      <c r="D28" s="38">
        <v>2</v>
      </c>
      <c r="E28" s="39">
        <v>5</v>
      </c>
      <c r="F28" s="39" t="s">
        <v>157</v>
      </c>
      <c r="G28" s="40" t="s">
        <v>157</v>
      </c>
      <c r="H28" s="39" t="s">
        <v>158</v>
      </c>
      <c r="I28" s="40">
        <v>1</v>
      </c>
      <c r="J28" s="40">
        <v>1</v>
      </c>
      <c r="K28" s="25" t="str">
        <f>VLOOKUP(J28,Key!$E$2:$F$9,2,FALSE)</f>
        <v>Home</v>
      </c>
      <c r="L28" s="39" t="s">
        <v>159</v>
      </c>
      <c r="M28" s="40" t="s">
        <v>159</v>
      </c>
      <c r="N28" s="39" t="s">
        <v>158</v>
      </c>
      <c r="O28" s="40">
        <v>16</v>
      </c>
      <c r="P28" s="40">
        <v>8</v>
      </c>
      <c r="Q28" s="25" t="str">
        <f>VLOOKUP(P28,Key!$E$2:$F$9,2,FALSE)</f>
        <v>Others</v>
      </c>
      <c r="R28" s="25" t="str">
        <f t="shared" si="0"/>
        <v>Home-Others</v>
      </c>
      <c r="S28" s="44"/>
      <c r="T28" s="44"/>
      <c r="U28" s="40"/>
      <c r="V28" s="40"/>
      <c r="W28" s="44"/>
      <c r="X28" s="44"/>
      <c r="Y28" s="45" t="s">
        <v>160</v>
      </c>
      <c r="Z28" s="46">
        <v>0</v>
      </c>
      <c r="AA28" s="25"/>
      <c r="AB28" s="25"/>
    </row>
    <row r="29" spans="2:28">
      <c r="B29" s="37">
        <v>0.52083333333333337</v>
      </c>
      <c r="C29" s="37" t="s">
        <v>297</v>
      </c>
      <c r="D29" s="38">
        <v>11</v>
      </c>
      <c r="E29" s="39">
        <v>3</v>
      </c>
      <c r="F29" s="39" t="s">
        <v>162</v>
      </c>
      <c r="G29" s="40" t="s">
        <v>166</v>
      </c>
      <c r="H29" s="39" t="s">
        <v>158</v>
      </c>
      <c r="I29" s="40">
        <v>1</v>
      </c>
      <c r="J29" s="40">
        <v>1</v>
      </c>
      <c r="K29" s="25" t="str">
        <f>VLOOKUP(J29,Key!$E$2:$F$9,2,FALSE)</f>
        <v>Home</v>
      </c>
      <c r="L29" s="39" t="s">
        <v>159</v>
      </c>
      <c r="M29" s="40" t="s">
        <v>159</v>
      </c>
      <c r="N29" s="39" t="s">
        <v>158</v>
      </c>
      <c r="O29" s="40">
        <v>16</v>
      </c>
      <c r="P29" s="40">
        <v>8</v>
      </c>
      <c r="Q29" s="25" t="str">
        <f>VLOOKUP(P29,Key!$E$2:$F$9,2,FALSE)</f>
        <v>Others</v>
      </c>
      <c r="R29" s="25" t="str">
        <f t="shared" si="0"/>
        <v>Home-Others</v>
      </c>
      <c r="S29" s="44">
        <v>10</v>
      </c>
      <c r="T29" s="44">
        <v>0.1</v>
      </c>
      <c r="U29" s="40">
        <v>2</v>
      </c>
      <c r="V29" s="40"/>
      <c r="W29" s="44"/>
      <c r="X29" s="44"/>
      <c r="Y29" s="45"/>
      <c r="Z29" s="46">
        <v>0</v>
      </c>
      <c r="AA29" s="25"/>
      <c r="AB29" s="25"/>
    </row>
    <row r="30" spans="2:28">
      <c r="B30" s="37">
        <v>0.58680555555555558</v>
      </c>
      <c r="C30" s="37" t="s">
        <v>298</v>
      </c>
      <c r="D30" s="38">
        <v>11</v>
      </c>
      <c r="E30" s="39">
        <v>2</v>
      </c>
      <c r="F30" s="39" t="s">
        <v>162</v>
      </c>
      <c r="G30" s="40" t="s">
        <v>166</v>
      </c>
      <c r="H30" s="39" t="s">
        <v>158</v>
      </c>
      <c r="I30" s="40">
        <v>8</v>
      </c>
      <c r="J30" s="40">
        <v>2</v>
      </c>
      <c r="K30" s="25" t="str">
        <f>VLOOKUP(J30,Key!$E$2:$F$9,2,FALSE)</f>
        <v>Work</v>
      </c>
      <c r="L30" s="39" t="s">
        <v>159</v>
      </c>
      <c r="M30" s="40" t="s">
        <v>159</v>
      </c>
      <c r="N30" s="39" t="s">
        <v>158</v>
      </c>
      <c r="O30" s="40">
        <v>8</v>
      </c>
      <c r="P30" s="40">
        <v>2</v>
      </c>
      <c r="Q30" s="25" t="str">
        <f>VLOOKUP(P30,Key!$E$2:$F$9,2,FALSE)</f>
        <v>Work</v>
      </c>
      <c r="R30" s="25" t="str">
        <f t="shared" si="0"/>
        <v>Work-Work</v>
      </c>
      <c r="S30" s="44">
        <v>13</v>
      </c>
      <c r="T30" s="44"/>
      <c r="U30" s="40">
        <v>2</v>
      </c>
      <c r="V30" s="40"/>
      <c r="W30" s="44"/>
      <c r="X30" s="44"/>
      <c r="Y30" s="45" t="s">
        <v>160</v>
      </c>
      <c r="Z30" s="46">
        <v>500</v>
      </c>
      <c r="AA30" s="25"/>
      <c r="AB30" s="25"/>
    </row>
    <row r="31" spans="2:28">
      <c r="B31" s="37">
        <v>0.53472222222222221</v>
      </c>
      <c r="C31" s="37" t="s">
        <v>299</v>
      </c>
      <c r="D31" s="38">
        <v>7</v>
      </c>
      <c r="E31" s="39">
        <v>2</v>
      </c>
      <c r="F31" s="39" t="s">
        <v>157</v>
      </c>
      <c r="G31" s="40" t="s">
        <v>157</v>
      </c>
      <c r="H31" s="39" t="s">
        <v>158</v>
      </c>
      <c r="I31" s="40">
        <v>1</v>
      </c>
      <c r="J31" s="40">
        <v>2</v>
      </c>
      <c r="K31" s="25" t="str">
        <f>VLOOKUP(J31,Key!$E$2:$F$9,2,FALSE)</f>
        <v>Work</v>
      </c>
      <c r="L31" s="39" t="s">
        <v>159</v>
      </c>
      <c r="M31" s="40" t="s">
        <v>159</v>
      </c>
      <c r="N31" s="39" t="s">
        <v>158</v>
      </c>
      <c r="O31" s="40">
        <v>2</v>
      </c>
      <c r="P31" s="40">
        <v>2</v>
      </c>
      <c r="Q31" s="25" t="str">
        <f>VLOOKUP(P31,Key!$E$2:$F$9,2,FALSE)</f>
        <v>Work</v>
      </c>
      <c r="R31" s="25" t="str">
        <f t="shared" si="0"/>
        <v>Work-Work</v>
      </c>
      <c r="S31" s="44">
        <v>10</v>
      </c>
      <c r="T31" s="44"/>
      <c r="U31" s="40">
        <v>2</v>
      </c>
      <c r="V31" s="40"/>
      <c r="W31" s="44"/>
      <c r="X31" s="44"/>
      <c r="Y31" s="45" t="s">
        <v>171</v>
      </c>
      <c r="Z31" s="46">
        <v>0</v>
      </c>
      <c r="AA31" s="25"/>
      <c r="AB31" s="25"/>
    </row>
    <row r="32" spans="2:28">
      <c r="B32" s="37">
        <v>0.65277777777777779</v>
      </c>
      <c r="C32" s="37" t="s">
        <v>327</v>
      </c>
      <c r="D32" s="38">
        <v>7</v>
      </c>
      <c r="E32" s="39">
        <v>2</v>
      </c>
      <c r="F32" s="39" t="s">
        <v>166</v>
      </c>
      <c r="G32" s="40" t="s">
        <v>166</v>
      </c>
      <c r="H32" s="39" t="s">
        <v>158</v>
      </c>
      <c r="I32" s="40">
        <v>1</v>
      </c>
      <c r="J32" s="40">
        <v>3</v>
      </c>
      <c r="K32" s="25" t="str">
        <f>VLOOKUP(J32,Key!$E$2:$F$9,2,FALSE)</f>
        <v>Study</v>
      </c>
      <c r="L32" s="39" t="s">
        <v>300</v>
      </c>
      <c r="M32" s="40" t="s">
        <v>159</v>
      </c>
      <c r="N32" s="39" t="s">
        <v>158</v>
      </c>
      <c r="O32" s="40">
        <v>2</v>
      </c>
      <c r="P32" s="40">
        <v>2</v>
      </c>
      <c r="Q32" s="25" t="str">
        <f>VLOOKUP(P32,Key!$E$2:$F$9,2,FALSE)</f>
        <v>Work</v>
      </c>
      <c r="R32" s="25" t="str">
        <f t="shared" si="0"/>
        <v>Study-Work</v>
      </c>
      <c r="S32" s="44"/>
      <c r="T32" s="44"/>
      <c r="U32" s="40">
        <v>2</v>
      </c>
      <c r="V32" s="40"/>
      <c r="W32" s="44"/>
      <c r="X32" s="44"/>
      <c r="Y32" s="45"/>
      <c r="Z32" s="46">
        <v>0</v>
      </c>
      <c r="AA32" s="25"/>
      <c r="AB32" s="25"/>
    </row>
    <row r="33" spans="2:28">
      <c r="B33" s="37">
        <v>0.4152777777777778</v>
      </c>
      <c r="C33" s="37" t="s">
        <v>301</v>
      </c>
      <c r="D33" s="38">
        <v>2</v>
      </c>
      <c r="E33" s="39">
        <v>1</v>
      </c>
      <c r="F33" s="39" t="s">
        <v>166</v>
      </c>
      <c r="G33" s="40" t="s">
        <v>166</v>
      </c>
      <c r="H33" s="39" t="s">
        <v>158</v>
      </c>
      <c r="I33" s="40">
        <v>1</v>
      </c>
      <c r="J33" s="40">
        <v>1</v>
      </c>
      <c r="K33" s="25" t="str">
        <f>VLOOKUP(J33,Key!$E$2:$F$9,2,FALSE)</f>
        <v>Home</v>
      </c>
      <c r="L33" s="39" t="s">
        <v>159</v>
      </c>
      <c r="M33" s="40" t="s">
        <v>159</v>
      </c>
      <c r="N33" s="39" t="s">
        <v>158</v>
      </c>
      <c r="O33" s="40">
        <v>16</v>
      </c>
      <c r="P33" s="40">
        <v>8</v>
      </c>
      <c r="Q33" s="25" t="str">
        <f>VLOOKUP(P33,Key!$E$2:$F$9,2,FALSE)</f>
        <v>Others</v>
      </c>
      <c r="R33" s="25" t="str">
        <f t="shared" si="0"/>
        <v>Home-Others</v>
      </c>
      <c r="S33" s="44"/>
      <c r="T33" s="44">
        <v>0.5</v>
      </c>
      <c r="U33" s="40">
        <v>2</v>
      </c>
      <c r="V33" s="40"/>
      <c r="W33" s="44"/>
      <c r="X33" s="44"/>
      <c r="Y33" s="45" t="s">
        <v>160</v>
      </c>
      <c r="Z33" s="46">
        <v>0</v>
      </c>
      <c r="AA33" s="25"/>
      <c r="AB33" s="25"/>
    </row>
    <row r="34" spans="2:28">
      <c r="B34" s="37">
        <v>0.40138888888888885</v>
      </c>
      <c r="C34" s="37" t="s">
        <v>302</v>
      </c>
      <c r="D34" s="38">
        <v>2</v>
      </c>
      <c r="E34" s="39">
        <v>2</v>
      </c>
      <c r="F34" s="39" t="s">
        <v>166</v>
      </c>
      <c r="G34" s="40" t="s">
        <v>166</v>
      </c>
      <c r="H34" s="39" t="s">
        <v>158</v>
      </c>
      <c r="I34" s="40">
        <v>2</v>
      </c>
      <c r="J34" s="40">
        <v>2</v>
      </c>
      <c r="K34" s="25" t="str">
        <f>VLOOKUP(J34,Key!$E$2:$F$9,2,FALSE)</f>
        <v>Work</v>
      </c>
      <c r="L34" s="39" t="s">
        <v>159</v>
      </c>
      <c r="M34" s="40" t="s">
        <v>159</v>
      </c>
      <c r="N34" s="39" t="s">
        <v>158</v>
      </c>
      <c r="O34" s="40">
        <v>2</v>
      </c>
      <c r="P34" s="40">
        <v>2</v>
      </c>
      <c r="Q34" s="25" t="str">
        <f>VLOOKUP(P34,Key!$E$2:$F$9,2,FALSE)</f>
        <v>Work</v>
      </c>
      <c r="R34" s="25" t="str">
        <f t="shared" si="0"/>
        <v>Work-Work</v>
      </c>
      <c r="S34" s="44"/>
      <c r="T34" s="44">
        <v>0.5</v>
      </c>
      <c r="U34" s="40">
        <v>2</v>
      </c>
      <c r="V34" s="40"/>
      <c r="W34" s="44"/>
      <c r="X34" s="44"/>
      <c r="Y34" s="45" t="s">
        <v>160</v>
      </c>
      <c r="Z34" s="46">
        <v>0</v>
      </c>
      <c r="AA34" s="25"/>
      <c r="AB34" s="25"/>
    </row>
    <row r="35" spans="2:28">
      <c r="B35" s="37">
        <v>0.64583333333333337</v>
      </c>
      <c r="C35" s="37" t="s">
        <v>303</v>
      </c>
      <c r="D35" s="38">
        <v>3</v>
      </c>
      <c r="E35" s="39">
        <v>4</v>
      </c>
      <c r="F35" s="39" t="s">
        <v>162</v>
      </c>
      <c r="G35" s="40" t="s">
        <v>166</v>
      </c>
      <c r="H35" s="39" t="s">
        <v>158</v>
      </c>
      <c r="I35" s="40">
        <v>2</v>
      </c>
      <c r="J35" s="40">
        <v>2</v>
      </c>
      <c r="K35" s="25" t="str">
        <f>VLOOKUP(J35,Key!$E$2:$F$9,2,FALSE)</f>
        <v>Work</v>
      </c>
      <c r="L35" s="39" t="s">
        <v>159</v>
      </c>
      <c r="M35" s="40" t="s">
        <v>159</v>
      </c>
      <c r="N35" s="39" t="s">
        <v>158</v>
      </c>
      <c r="O35" s="40">
        <v>2</v>
      </c>
      <c r="P35" s="40">
        <v>2</v>
      </c>
      <c r="Q35" s="25" t="str">
        <f>VLOOKUP(P35,Key!$E$2:$F$9,2,FALSE)</f>
        <v>Work</v>
      </c>
      <c r="R35" s="25" t="str">
        <f t="shared" si="0"/>
        <v>Work-Work</v>
      </c>
      <c r="S35" s="44"/>
      <c r="T35" s="44"/>
      <c r="U35" s="40"/>
      <c r="V35" s="40"/>
      <c r="W35" s="44"/>
      <c r="X35" s="44"/>
      <c r="Y35" s="45" t="s">
        <v>160</v>
      </c>
      <c r="Z35" s="46">
        <v>0</v>
      </c>
      <c r="AA35" s="25"/>
      <c r="AB35" s="25"/>
    </row>
    <row r="36" spans="2:28">
      <c r="B36" s="37">
        <v>0.66527777777777775</v>
      </c>
      <c r="C36" s="37" t="s">
        <v>304</v>
      </c>
      <c r="D36" s="38">
        <v>2</v>
      </c>
      <c r="E36" s="39">
        <v>3</v>
      </c>
      <c r="F36" s="39" t="s">
        <v>305</v>
      </c>
      <c r="G36" s="40" t="s">
        <v>157</v>
      </c>
      <c r="H36" s="39" t="s">
        <v>158</v>
      </c>
      <c r="I36" s="40">
        <v>1</v>
      </c>
      <c r="J36" s="40">
        <v>1</v>
      </c>
      <c r="K36" s="25" t="str">
        <f>VLOOKUP(J36,Key!$E$2:$F$9,2,FALSE)</f>
        <v>Home</v>
      </c>
      <c r="L36" s="39" t="s">
        <v>159</v>
      </c>
      <c r="M36" s="40" t="s">
        <v>159</v>
      </c>
      <c r="N36" s="39" t="s">
        <v>158</v>
      </c>
      <c r="O36" s="40">
        <v>1</v>
      </c>
      <c r="P36" s="40">
        <v>2</v>
      </c>
      <c r="Q36" s="25" t="str">
        <f>VLOOKUP(P36,Key!$E$2:$F$9,2,FALSE)</f>
        <v>Work</v>
      </c>
      <c r="R36" s="25" t="str">
        <f t="shared" si="0"/>
        <v>Home-Work</v>
      </c>
      <c r="S36" s="44">
        <v>10</v>
      </c>
      <c r="T36" s="44">
        <v>0.2</v>
      </c>
      <c r="U36" s="40"/>
      <c r="V36" s="40"/>
      <c r="W36" s="44"/>
      <c r="X36" s="44"/>
      <c r="Y36" s="45" t="s">
        <v>160</v>
      </c>
      <c r="Z36" s="46">
        <v>10000</v>
      </c>
      <c r="AA36" s="25"/>
      <c r="AB36" s="25"/>
    </row>
    <row r="105" ht="12" customHeight="1"/>
    <row r="143" spans="1:1">
      <c r="A143" s="14"/>
    </row>
    <row r="144" spans="1:1">
      <c r="A144" s="14"/>
    </row>
    <row r="145" spans="1:1">
      <c r="A145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361"/>
  <sheetViews>
    <sheetView topLeftCell="A8" zoomScale="75" zoomScaleNormal="75" zoomScaleSheetLayoutView="80" workbookViewId="0">
      <selection activeCell="B9" sqref="B9:AB3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9" t="s">
        <v>131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"/>
      <c r="AD1" s="6"/>
      <c r="AE1" s="6"/>
      <c r="AF1" s="6"/>
      <c r="AG1" s="6"/>
      <c r="AH1" s="6"/>
      <c r="AI1" s="6"/>
    </row>
    <row r="2" spans="2:35" ht="15">
      <c r="B2" s="119" t="s">
        <v>1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7"/>
      <c r="AD2" s="7"/>
      <c r="AE2" s="7"/>
      <c r="AF2" s="7"/>
      <c r="AG2" s="7"/>
      <c r="AH2" s="7"/>
      <c r="AI2" s="7"/>
    </row>
    <row r="3" spans="2:35" ht="15"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</row>
    <row r="4" spans="2:35" ht="15" customHeight="1">
      <c r="B4" s="26" t="s">
        <v>2</v>
      </c>
      <c r="C4" s="62" t="s">
        <v>270</v>
      </c>
      <c r="E4" s="1" t="s">
        <v>66</v>
      </c>
      <c r="F4" s="138" t="str">
        <f>'09.08 Soroti-Moroto'!F4:G4</f>
        <v>Moroto Soroti road</v>
      </c>
      <c r="G4" s="139"/>
      <c r="I4" s="27" t="s">
        <v>67</v>
      </c>
      <c r="J4" s="5"/>
      <c r="K4" s="5"/>
      <c r="L4" s="59" t="s">
        <v>152</v>
      </c>
      <c r="M4" s="51"/>
      <c r="N4" s="1" t="s">
        <v>69</v>
      </c>
      <c r="O4" s="122" t="s">
        <v>306</v>
      </c>
      <c r="P4" s="122"/>
      <c r="Q4" s="122"/>
      <c r="R4" s="122"/>
      <c r="S4" s="122"/>
      <c r="T4" s="122"/>
      <c r="V4" s="1" t="s">
        <v>71</v>
      </c>
      <c r="W4" s="63" t="str">
        <f>'09.08 Soroti-Moroto'!W4</f>
        <v>Patrick</v>
      </c>
      <c r="Y4" s="27" t="s">
        <v>6</v>
      </c>
      <c r="Z4" s="64" t="str">
        <f>'09.08 Soroti-Moroto'!Z4</f>
        <v>Genevivie Ankunda</v>
      </c>
      <c r="AA4" s="31" t="s">
        <v>7</v>
      </c>
      <c r="AB4" s="64" t="str">
        <f>'09.08 Soroti-Moroto'!AB4</f>
        <v>Isaac M.</v>
      </c>
      <c r="AE4" s="10"/>
      <c r="AF4" s="5"/>
    </row>
    <row r="5" spans="2:35" ht="15" customHeight="1">
      <c r="B5" s="51"/>
      <c r="C5" s="51"/>
      <c r="D5" s="51"/>
      <c r="E5" s="22"/>
      <c r="F5" s="51"/>
      <c r="G5" s="51"/>
      <c r="I5" s="28" t="s">
        <v>68</v>
      </c>
      <c r="J5" s="51"/>
      <c r="K5" s="51"/>
      <c r="L5" s="47" t="s">
        <v>151</v>
      </c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</row>
    <row r="6" spans="2:35" ht="13.5" thickBot="1"/>
    <row r="7" spans="2:35" ht="30.75" customHeight="1">
      <c r="B7" s="123" t="s">
        <v>34</v>
      </c>
      <c r="C7" s="111" t="s">
        <v>57</v>
      </c>
      <c r="D7" s="113" t="s">
        <v>9</v>
      </c>
      <c r="E7" s="111" t="s">
        <v>35</v>
      </c>
      <c r="F7" s="126" t="s">
        <v>12</v>
      </c>
      <c r="G7" s="127"/>
      <c r="H7" s="128"/>
      <c r="I7" s="113" t="s">
        <v>60</v>
      </c>
      <c r="J7" s="111" t="s">
        <v>15</v>
      </c>
      <c r="K7" s="111" t="s">
        <v>132</v>
      </c>
      <c r="L7" s="126" t="s">
        <v>17</v>
      </c>
      <c r="M7" s="127"/>
      <c r="N7" s="128"/>
      <c r="O7" s="113" t="s">
        <v>61</v>
      </c>
      <c r="P7" s="111" t="s">
        <v>18</v>
      </c>
      <c r="Q7" s="111" t="s">
        <v>133</v>
      </c>
      <c r="R7" s="111" t="s">
        <v>134</v>
      </c>
      <c r="S7" s="111" t="s">
        <v>136</v>
      </c>
      <c r="T7" s="111" t="s">
        <v>135</v>
      </c>
      <c r="U7" s="111" t="s">
        <v>62</v>
      </c>
      <c r="V7" s="116" t="s">
        <v>65</v>
      </c>
      <c r="W7" s="117"/>
      <c r="X7" s="118"/>
      <c r="Y7" s="111" t="s">
        <v>64</v>
      </c>
      <c r="Z7" s="111" t="s">
        <v>139</v>
      </c>
      <c r="AA7" s="113" t="s">
        <v>20</v>
      </c>
      <c r="AB7" s="129" t="s">
        <v>21</v>
      </c>
      <c r="AD7" s="19"/>
    </row>
    <row r="8" spans="2:35" ht="38.25" customHeight="1">
      <c r="B8" s="124"/>
      <c r="C8" s="112"/>
      <c r="D8" s="114"/>
      <c r="E8" s="125"/>
      <c r="F8" s="50" t="s">
        <v>73</v>
      </c>
      <c r="G8" s="50" t="s">
        <v>58</v>
      </c>
      <c r="H8" s="24" t="s">
        <v>59</v>
      </c>
      <c r="I8" s="114"/>
      <c r="J8" s="112"/>
      <c r="K8" s="112"/>
      <c r="L8" s="50" t="s">
        <v>73</v>
      </c>
      <c r="M8" s="50" t="s">
        <v>58</v>
      </c>
      <c r="N8" s="50" t="s">
        <v>59</v>
      </c>
      <c r="O8" s="114"/>
      <c r="P8" s="112"/>
      <c r="Q8" s="112"/>
      <c r="R8" s="112"/>
      <c r="S8" s="112"/>
      <c r="T8" s="112"/>
      <c r="U8" s="112"/>
      <c r="V8" s="29" t="s">
        <v>63</v>
      </c>
      <c r="W8" s="30" t="s">
        <v>137</v>
      </c>
      <c r="X8" s="30" t="s">
        <v>138</v>
      </c>
      <c r="Y8" s="112"/>
      <c r="Z8" s="112"/>
      <c r="AA8" s="114"/>
      <c r="AB8" s="130"/>
    </row>
    <row r="9" spans="2:35" s="19" customFormat="1">
      <c r="B9" s="37">
        <v>0.3923611111111111</v>
      </c>
      <c r="C9" s="37" t="s">
        <v>273</v>
      </c>
      <c r="D9" s="38">
        <v>11</v>
      </c>
      <c r="E9" s="39">
        <v>2</v>
      </c>
      <c r="F9" s="39" t="s">
        <v>159</v>
      </c>
      <c r="G9" s="40" t="s">
        <v>159</v>
      </c>
      <c r="H9" s="39" t="s">
        <v>158</v>
      </c>
      <c r="I9" s="40">
        <v>8</v>
      </c>
      <c r="J9" s="40">
        <v>2</v>
      </c>
      <c r="K9" s="25" t="str">
        <f>VLOOKUP(J9,Key!$E$2:$F$9,2,FALSE)</f>
        <v>Work</v>
      </c>
      <c r="L9" s="39" t="s">
        <v>166</v>
      </c>
      <c r="M9" s="40" t="s">
        <v>166</v>
      </c>
      <c r="N9" s="39" t="s">
        <v>158</v>
      </c>
      <c r="O9" s="40">
        <v>1</v>
      </c>
      <c r="P9" s="40">
        <v>1</v>
      </c>
      <c r="Q9" s="25" t="str">
        <f>VLOOKUP(P9,Key!$E$2:$F$9,2,FALSE)</f>
        <v>Home</v>
      </c>
      <c r="R9" s="25" t="str">
        <f>K9&amp;"-"&amp;Q9</f>
        <v>Work-Home</v>
      </c>
      <c r="S9" s="44">
        <v>40</v>
      </c>
      <c r="T9" s="44">
        <v>5</v>
      </c>
      <c r="U9" s="40">
        <v>3</v>
      </c>
      <c r="V9" s="40"/>
      <c r="W9" s="44"/>
      <c r="X9" s="44"/>
      <c r="Y9" s="45" t="s">
        <v>160</v>
      </c>
      <c r="Z9" s="46">
        <v>0</v>
      </c>
      <c r="AA9" s="25"/>
      <c r="AB9" s="25"/>
    </row>
    <row r="10" spans="2:35">
      <c r="B10" s="37">
        <v>0.42777777777777781</v>
      </c>
      <c r="C10" s="37" t="s">
        <v>275</v>
      </c>
      <c r="D10" s="38">
        <v>11</v>
      </c>
      <c r="E10" s="39">
        <v>2</v>
      </c>
      <c r="F10" s="39" t="s">
        <v>276</v>
      </c>
      <c r="G10" s="40" t="s">
        <v>159</v>
      </c>
      <c r="H10" s="39" t="s">
        <v>158</v>
      </c>
      <c r="I10" s="40">
        <v>8</v>
      </c>
      <c r="J10" s="40">
        <v>2</v>
      </c>
      <c r="K10" s="25" t="str">
        <f>VLOOKUP(J10,Key!$E$2:$F$9,2,FALSE)</f>
        <v>Work</v>
      </c>
      <c r="L10" s="39" t="s">
        <v>157</v>
      </c>
      <c r="M10" s="40" t="s">
        <v>157</v>
      </c>
      <c r="N10" s="39" t="s">
        <v>158</v>
      </c>
      <c r="O10" s="40">
        <v>8</v>
      </c>
      <c r="P10" s="40">
        <v>2</v>
      </c>
      <c r="Q10" s="25" t="str">
        <f>VLOOKUP(P10,Key!$E$2:$F$9,2,FALSE)</f>
        <v>Work</v>
      </c>
      <c r="R10" s="25" t="str">
        <f t="shared" ref="R10:R31" si="0">K10&amp;"-"&amp;Q10</f>
        <v>Work-Work</v>
      </c>
      <c r="S10" s="44">
        <v>20</v>
      </c>
      <c r="T10" s="44">
        <v>2</v>
      </c>
      <c r="U10" s="40">
        <v>3</v>
      </c>
      <c r="V10" s="40"/>
      <c r="W10" s="44"/>
      <c r="X10" s="44"/>
      <c r="Y10" s="45" t="s">
        <v>160</v>
      </c>
      <c r="Z10" s="46">
        <v>0</v>
      </c>
      <c r="AA10" s="25"/>
      <c r="AB10" s="25"/>
    </row>
    <row r="11" spans="2:35">
      <c r="B11" s="37">
        <v>0.45277777777777778</v>
      </c>
      <c r="C11" s="37" t="s">
        <v>278</v>
      </c>
      <c r="D11" s="38">
        <v>1</v>
      </c>
      <c r="E11" s="39">
        <v>2</v>
      </c>
      <c r="F11" s="39" t="s">
        <v>159</v>
      </c>
      <c r="G11" s="40" t="s">
        <v>159</v>
      </c>
      <c r="H11" s="39" t="s">
        <v>158</v>
      </c>
      <c r="I11" s="40">
        <v>1</v>
      </c>
      <c r="J11" s="40">
        <v>1</v>
      </c>
      <c r="K11" s="25" t="str">
        <f>VLOOKUP(J11,Key!$E$2:$F$9,2,FALSE)</f>
        <v>Home</v>
      </c>
      <c r="L11" s="39" t="s">
        <v>157</v>
      </c>
      <c r="M11" s="40" t="s">
        <v>157</v>
      </c>
      <c r="N11" s="39" t="s">
        <v>158</v>
      </c>
      <c r="O11" s="40">
        <v>5</v>
      </c>
      <c r="P11" s="40">
        <v>7</v>
      </c>
      <c r="Q11" s="25" t="str">
        <f>VLOOKUP(P11,Key!$E$2:$F$9,2,FALSE)</f>
        <v>Hospital</v>
      </c>
      <c r="R11" s="25" t="str">
        <f t="shared" si="0"/>
        <v>Home-Hospital</v>
      </c>
      <c r="S11" s="44">
        <v>40</v>
      </c>
      <c r="T11" s="44">
        <v>2</v>
      </c>
      <c r="U11" s="40">
        <v>6</v>
      </c>
      <c r="V11" s="40"/>
      <c r="W11" s="44"/>
      <c r="X11" s="44"/>
      <c r="Y11" s="45" t="s">
        <v>160</v>
      </c>
      <c r="Z11" s="46">
        <v>0</v>
      </c>
      <c r="AA11" s="25"/>
      <c r="AB11" s="25"/>
    </row>
    <row r="12" spans="2:35">
      <c r="B12" s="37">
        <v>0.47986111111111113</v>
      </c>
      <c r="C12" s="37" t="s">
        <v>290</v>
      </c>
      <c r="D12" s="38">
        <v>11</v>
      </c>
      <c r="E12" s="39">
        <v>1</v>
      </c>
      <c r="F12" s="39" t="s">
        <v>159</v>
      </c>
      <c r="G12" s="40" t="s">
        <v>159</v>
      </c>
      <c r="H12" s="39" t="s">
        <v>158</v>
      </c>
      <c r="I12" s="40">
        <v>8</v>
      </c>
      <c r="J12" s="40">
        <v>2</v>
      </c>
      <c r="K12" s="25" t="str">
        <f>VLOOKUP(J12,Key!$E$2:$F$9,2,FALSE)</f>
        <v>Work</v>
      </c>
      <c r="L12" s="39" t="s">
        <v>162</v>
      </c>
      <c r="M12" s="40" t="s">
        <v>166</v>
      </c>
      <c r="N12" s="39" t="s">
        <v>158</v>
      </c>
      <c r="O12" s="40">
        <v>8</v>
      </c>
      <c r="P12" s="40">
        <v>2</v>
      </c>
      <c r="Q12" s="25" t="str">
        <f>VLOOKUP(P12,Key!$E$2:$F$9,2,FALSE)</f>
        <v>Work</v>
      </c>
      <c r="R12" s="25" t="str">
        <f t="shared" si="0"/>
        <v>Work-Work</v>
      </c>
      <c r="S12" s="44"/>
      <c r="T12" s="44">
        <v>0.3</v>
      </c>
      <c r="U12" s="40">
        <v>2</v>
      </c>
      <c r="V12" s="40"/>
      <c r="W12" s="44"/>
      <c r="X12" s="44"/>
      <c r="Y12" s="45" t="s">
        <v>171</v>
      </c>
      <c r="Z12" s="46">
        <v>0</v>
      </c>
      <c r="AA12" s="25"/>
      <c r="AB12" s="25"/>
    </row>
    <row r="13" spans="2:35">
      <c r="B13" s="37">
        <v>0.36527777777777781</v>
      </c>
      <c r="C13" s="37" t="s">
        <v>307</v>
      </c>
      <c r="D13" s="38">
        <v>8</v>
      </c>
      <c r="E13" s="39">
        <v>3</v>
      </c>
      <c r="F13" s="39" t="s">
        <v>159</v>
      </c>
      <c r="G13" s="40" t="s">
        <v>159</v>
      </c>
      <c r="H13" s="39" t="s">
        <v>158</v>
      </c>
      <c r="I13" s="40">
        <v>10</v>
      </c>
      <c r="J13" s="40">
        <v>2</v>
      </c>
      <c r="K13" s="25" t="str">
        <f>VLOOKUP(J13,Key!$E$2:$F$9,2,FALSE)</f>
        <v>Work</v>
      </c>
      <c r="L13" s="39" t="s">
        <v>157</v>
      </c>
      <c r="M13" s="40" t="s">
        <v>157</v>
      </c>
      <c r="N13" s="39" t="s">
        <v>158</v>
      </c>
      <c r="O13" s="40">
        <v>10</v>
      </c>
      <c r="P13" s="40">
        <v>2</v>
      </c>
      <c r="Q13" s="25" t="str">
        <f>VLOOKUP(P13,Key!$E$2:$F$9,2,FALSE)</f>
        <v>Work</v>
      </c>
      <c r="R13" s="25" t="str">
        <f t="shared" si="0"/>
        <v>Work-Work</v>
      </c>
      <c r="S13" s="44">
        <v>41</v>
      </c>
      <c r="T13" s="44">
        <v>3.5</v>
      </c>
      <c r="U13" s="40">
        <v>2</v>
      </c>
      <c r="V13" s="40"/>
      <c r="W13" s="44"/>
      <c r="X13" s="44"/>
      <c r="Y13" s="45" t="s">
        <v>160</v>
      </c>
      <c r="Z13" s="46">
        <v>0</v>
      </c>
      <c r="AA13" s="25"/>
      <c r="AB13" s="25"/>
    </row>
    <row r="14" spans="2:35">
      <c r="B14" s="37">
        <v>0.36944444444444446</v>
      </c>
      <c r="C14" s="37" t="s">
        <v>308</v>
      </c>
      <c r="D14" s="38">
        <v>9</v>
      </c>
      <c r="E14" s="39">
        <v>2</v>
      </c>
      <c r="F14" s="39" t="s">
        <v>159</v>
      </c>
      <c r="G14" s="40" t="s">
        <v>159</v>
      </c>
      <c r="H14" s="39" t="s">
        <v>158</v>
      </c>
      <c r="I14" s="40">
        <v>10</v>
      </c>
      <c r="J14" s="40">
        <v>2</v>
      </c>
      <c r="K14" s="25" t="str">
        <f>VLOOKUP(J14,Key!$E$2:$F$9,2,FALSE)</f>
        <v>Work</v>
      </c>
      <c r="L14" s="39" t="s">
        <v>157</v>
      </c>
      <c r="M14" s="40" t="s">
        <v>157</v>
      </c>
      <c r="N14" s="39" t="s">
        <v>158</v>
      </c>
      <c r="O14" s="40">
        <v>1</v>
      </c>
      <c r="P14" s="40">
        <v>1</v>
      </c>
      <c r="Q14" s="25" t="str">
        <f>VLOOKUP(P14,Key!$E$2:$F$9,2,FALSE)</f>
        <v>Home</v>
      </c>
      <c r="R14" s="25" t="str">
        <f t="shared" si="0"/>
        <v>Work-Home</v>
      </c>
      <c r="S14" s="44">
        <v>40</v>
      </c>
      <c r="T14" s="44">
        <v>3</v>
      </c>
      <c r="U14" s="40">
        <v>2</v>
      </c>
      <c r="V14" s="40"/>
      <c r="W14" s="44"/>
      <c r="X14" s="44"/>
      <c r="Y14" s="45" t="s">
        <v>160</v>
      </c>
      <c r="Z14" s="46">
        <v>0</v>
      </c>
      <c r="AA14" s="25"/>
      <c r="AB14" s="25"/>
    </row>
    <row r="15" spans="2:35">
      <c r="B15" s="37">
        <v>0.69305555555555554</v>
      </c>
      <c r="C15" s="37" t="s">
        <v>309</v>
      </c>
      <c r="D15" s="38">
        <v>6</v>
      </c>
      <c r="E15" s="39">
        <v>50</v>
      </c>
      <c r="F15" s="39" t="s">
        <v>159</v>
      </c>
      <c r="G15" s="40" t="s">
        <v>159</v>
      </c>
      <c r="H15" s="39" t="s">
        <v>158</v>
      </c>
      <c r="I15" s="40">
        <v>6</v>
      </c>
      <c r="J15" s="40">
        <v>2</v>
      </c>
      <c r="K15" s="25" t="str">
        <f>VLOOKUP(J15,Key!$E$2:$F$9,2,FALSE)</f>
        <v>Work</v>
      </c>
      <c r="L15" s="39" t="s">
        <v>170</v>
      </c>
      <c r="M15" s="40" t="s">
        <v>170</v>
      </c>
      <c r="N15" s="39" t="s">
        <v>158</v>
      </c>
      <c r="O15" s="40">
        <v>6</v>
      </c>
      <c r="P15" s="40">
        <v>2</v>
      </c>
      <c r="Q15" s="25" t="str">
        <f>VLOOKUP(P15,Key!$E$2:$F$9,2,FALSE)</f>
        <v>Work</v>
      </c>
      <c r="R15" s="25" t="str">
        <f t="shared" si="0"/>
        <v>Work-Work</v>
      </c>
      <c r="S15" s="44"/>
      <c r="T15" s="44">
        <v>13</v>
      </c>
      <c r="U15" s="40">
        <v>3</v>
      </c>
      <c r="V15" s="40"/>
      <c r="W15" s="44"/>
      <c r="X15" s="44"/>
      <c r="Y15" s="45" t="s">
        <v>160</v>
      </c>
      <c r="Z15" s="46">
        <v>0</v>
      </c>
      <c r="AA15" s="25"/>
      <c r="AB15" s="25"/>
    </row>
    <row r="16" spans="2:35">
      <c r="B16" s="37">
        <v>0.65347222222222223</v>
      </c>
      <c r="C16" s="37" t="s">
        <v>310</v>
      </c>
      <c r="D16" s="38">
        <v>1</v>
      </c>
      <c r="E16" s="39">
        <v>1</v>
      </c>
      <c r="F16" s="39" t="s">
        <v>159</v>
      </c>
      <c r="G16" s="40" t="s">
        <v>159</v>
      </c>
      <c r="H16" s="39" t="s">
        <v>158</v>
      </c>
      <c r="I16" s="40">
        <v>1</v>
      </c>
      <c r="J16" s="40">
        <v>6</v>
      </c>
      <c r="K16" s="25" t="str">
        <f>VLOOKUP(J16,Key!$E$2:$F$9,2,FALSE)</f>
        <v>Leisure/Social</v>
      </c>
      <c r="L16" s="39" t="s">
        <v>157</v>
      </c>
      <c r="M16" s="40" t="s">
        <v>157</v>
      </c>
      <c r="N16" s="39" t="s">
        <v>158</v>
      </c>
      <c r="O16" s="40">
        <v>1</v>
      </c>
      <c r="P16" s="40">
        <v>6</v>
      </c>
      <c r="Q16" s="25" t="str">
        <f>VLOOKUP(P16,Key!$E$2:$F$9,2,FALSE)</f>
        <v>Leisure/Social</v>
      </c>
      <c r="R16" s="25" t="str">
        <f t="shared" si="0"/>
        <v>Leisure/Social-Leisure/Social</v>
      </c>
      <c r="S16" s="44">
        <v>160</v>
      </c>
      <c r="T16" s="44">
        <v>2.5</v>
      </c>
      <c r="U16" s="40"/>
      <c r="V16" s="40"/>
      <c r="W16" s="44"/>
      <c r="X16" s="44"/>
      <c r="Y16" s="45" t="s">
        <v>160</v>
      </c>
      <c r="Z16" s="46">
        <v>0</v>
      </c>
      <c r="AA16" s="25"/>
      <c r="AB16" s="25"/>
    </row>
    <row r="17" spans="2:28">
      <c r="B17" s="37">
        <v>0.37986111111111115</v>
      </c>
      <c r="C17" s="37" t="s">
        <v>311</v>
      </c>
      <c r="D17" s="38">
        <v>2</v>
      </c>
      <c r="E17" s="39">
        <v>4</v>
      </c>
      <c r="F17" s="39" t="s">
        <v>159</v>
      </c>
      <c r="G17" s="40" t="s">
        <v>159</v>
      </c>
      <c r="H17" s="39" t="s">
        <v>158</v>
      </c>
      <c r="I17" s="40">
        <v>1</v>
      </c>
      <c r="J17" s="40">
        <v>6</v>
      </c>
      <c r="K17" s="25" t="str">
        <f>VLOOKUP(J17,Key!$E$2:$F$9,2,FALSE)</f>
        <v>Leisure/Social</v>
      </c>
      <c r="L17" s="39" t="s">
        <v>170</v>
      </c>
      <c r="M17" s="40" t="s">
        <v>170</v>
      </c>
      <c r="N17" s="39" t="s">
        <v>158</v>
      </c>
      <c r="O17" s="40">
        <v>1</v>
      </c>
      <c r="P17" s="40">
        <v>6</v>
      </c>
      <c r="Q17" s="25" t="str">
        <f>VLOOKUP(P17,Key!$E$2:$F$9,2,FALSE)</f>
        <v>Leisure/Social</v>
      </c>
      <c r="R17" s="25" t="str">
        <f t="shared" si="0"/>
        <v>Leisure/Social-Leisure/Social</v>
      </c>
      <c r="S17" s="44">
        <v>620</v>
      </c>
      <c r="T17" s="44">
        <v>14</v>
      </c>
      <c r="U17" s="40">
        <v>6</v>
      </c>
      <c r="V17" s="40"/>
      <c r="W17" s="44"/>
      <c r="X17" s="44"/>
      <c r="Y17" s="45" t="s">
        <v>160</v>
      </c>
      <c r="Z17" s="46">
        <v>0</v>
      </c>
      <c r="AA17" s="25"/>
      <c r="AB17" s="25"/>
    </row>
    <row r="18" spans="2:28">
      <c r="B18" s="37">
        <v>0.36944444444444446</v>
      </c>
      <c r="C18" s="37" t="s">
        <v>312</v>
      </c>
      <c r="D18" s="38">
        <v>3</v>
      </c>
      <c r="E18" s="39">
        <v>3</v>
      </c>
      <c r="F18" s="39" t="s">
        <v>159</v>
      </c>
      <c r="G18" s="40" t="s">
        <v>159</v>
      </c>
      <c r="H18" s="39" t="s">
        <v>158</v>
      </c>
      <c r="I18" s="40">
        <v>2</v>
      </c>
      <c r="J18" s="40">
        <v>2</v>
      </c>
      <c r="K18" s="25" t="str">
        <f>VLOOKUP(J18,Key!$E$2:$F$9,2,FALSE)</f>
        <v>Work</v>
      </c>
      <c r="L18" s="39" t="s">
        <v>166</v>
      </c>
      <c r="M18" s="40" t="s">
        <v>166</v>
      </c>
      <c r="N18" s="39" t="s">
        <v>158</v>
      </c>
      <c r="O18" s="40">
        <v>2</v>
      </c>
      <c r="P18" s="40">
        <v>2</v>
      </c>
      <c r="Q18" s="25" t="str">
        <f>VLOOKUP(P18,Key!$E$2:$F$9,2,FALSE)</f>
        <v>Work</v>
      </c>
      <c r="R18" s="25" t="str">
        <f t="shared" si="0"/>
        <v>Work-Work</v>
      </c>
      <c r="S18" s="44">
        <v>20</v>
      </c>
      <c r="T18" s="44">
        <v>0.5</v>
      </c>
      <c r="U18" s="40">
        <v>2</v>
      </c>
      <c r="V18" s="40"/>
      <c r="W18" s="44"/>
      <c r="X18" s="44"/>
      <c r="Y18" s="45" t="s">
        <v>160</v>
      </c>
      <c r="Z18" s="46">
        <v>1000</v>
      </c>
      <c r="AA18" s="25"/>
      <c r="AB18" s="25"/>
    </row>
    <row r="19" spans="2:28">
      <c r="B19" s="37">
        <v>0.61111111111111105</v>
      </c>
      <c r="C19" s="37" t="s">
        <v>313</v>
      </c>
      <c r="D19" s="38">
        <v>1</v>
      </c>
      <c r="E19" s="39">
        <v>1</v>
      </c>
      <c r="F19" s="39" t="s">
        <v>159</v>
      </c>
      <c r="G19" s="40" t="s">
        <v>159</v>
      </c>
      <c r="H19" s="39" t="s">
        <v>158</v>
      </c>
      <c r="I19" s="40">
        <v>2</v>
      </c>
      <c r="J19" s="40">
        <v>2</v>
      </c>
      <c r="K19" s="25" t="str">
        <f>VLOOKUP(J19,Key!$E$2:$F$9,2,FALSE)</f>
        <v>Work</v>
      </c>
      <c r="L19" s="39" t="s">
        <v>166</v>
      </c>
      <c r="M19" s="40" t="s">
        <v>166</v>
      </c>
      <c r="N19" s="39" t="s">
        <v>158</v>
      </c>
      <c r="O19" s="40">
        <v>9</v>
      </c>
      <c r="P19" s="40">
        <v>8</v>
      </c>
      <c r="Q19" s="25" t="str">
        <f>VLOOKUP(P19,Key!$E$2:$F$9,2,FALSE)</f>
        <v>Others</v>
      </c>
      <c r="R19" s="25" t="str">
        <f t="shared" si="0"/>
        <v>Work-Others</v>
      </c>
      <c r="S19" s="44"/>
      <c r="T19" s="44"/>
      <c r="U19" s="40">
        <v>6</v>
      </c>
      <c r="V19" s="40"/>
      <c r="W19" s="44"/>
      <c r="X19" s="44"/>
      <c r="Y19" s="45" t="s">
        <v>171</v>
      </c>
      <c r="Z19" s="46">
        <v>0</v>
      </c>
      <c r="AA19" s="25"/>
      <c r="AB19" s="25"/>
    </row>
    <row r="20" spans="2:28">
      <c r="B20" s="37">
        <v>0.55208333333333337</v>
      </c>
      <c r="C20" s="37" t="s">
        <v>326</v>
      </c>
      <c r="D20" s="38">
        <v>1</v>
      </c>
      <c r="E20" s="39">
        <v>2</v>
      </c>
      <c r="F20" s="39" t="s">
        <v>159</v>
      </c>
      <c r="G20" s="40" t="s">
        <v>159</v>
      </c>
      <c r="H20" s="39" t="s">
        <v>158</v>
      </c>
      <c r="I20" s="40">
        <v>16</v>
      </c>
      <c r="J20" s="40">
        <v>5</v>
      </c>
      <c r="K20" s="25" t="str">
        <f>VLOOKUP(J20,Key!$E$2:$F$9,2,FALSE)</f>
        <v>Tourism</v>
      </c>
      <c r="L20" s="39" t="s">
        <v>157</v>
      </c>
      <c r="M20" s="40" t="s">
        <v>157</v>
      </c>
      <c r="N20" s="39" t="s">
        <v>158</v>
      </c>
      <c r="O20" s="40">
        <v>16</v>
      </c>
      <c r="P20" s="40">
        <v>5</v>
      </c>
      <c r="Q20" s="25" t="str">
        <f>VLOOKUP(P20,Key!$E$2:$F$9,2,FALSE)</f>
        <v>Tourism</v>
      </c>
      <c r="R20" s="25" t="str">
        <f t="shared" si="0"/>
        <v>Tourism-Tourism</v>
      </c>
      <c r="S20" s="44"/>
      <c r="T20" s="44"/>
      <c r="U20" s="40">
        <v>6</v>
      </c>
      <c r="V20" s="40"/>
      <c r="W20" s="44"/>
      <c r="X20" s="44"/>
      <c r="Y20" s="45" t="s">
        <v>160</v>
      </c>
      <c r="Z20" s="46">
        <v>0</v>
      </c>
      <c r="AA20" s="25"/>
      <c r="AB20" s="25"/>
    </row>
    <row r="21" spans="2:28">
      <c r="B21" s="37">
        <v>0.54722222222222217</v>
      </c>
      <c r="C21" s="37" t="s">
        <v>314</v>
      </c>
      <c r="D21" s="38">
        <v>2</v>
      </c>
      <c r="E21" s="39">
        <v>2</v>
      </c>
      <c r="F21" s="39" t="s">
        <v>276</v>
      </c>
      <c r="G21" s="40" t="s">
        <v>159</v>
      </c>
      <c r="H21" s="39" t="s">
        <v>158</v>
      </c>
      <c r="I21" s="40">
        <v>1</v>
      </c>
      <c r="J21" s="40">
        <v>1</v>
      </c>
      <c r="K21" s="25" t="str">
        <f>VLOOKUP(J21,Key!$E$2:$F$9,2,FALSE)</f>
        <v>Home</v>
      </c>
      <c r="L21" s="39" t="s">
        <v>157</v>
      </c>
      <c r="M21" s="40" t="s">
        <v>157</v>
      </c>
      <c r="N21" s="39" t="s">
        <v>158</v>
      </c>
      <c r="O21" s="40">
        <v>10</v>
      </c>
      <c r="P21" s="40">
        <v>2</v>
      </c>
      <c r="Q21" s="25" t="str">
        <f>VLOOKUP(P21,Key!$E$2:$F$9,2,FALSE)</f>
        <v>Work</v>
      </c>
      <c r="R21" s="25" t="str">
        <f t="shared" si="0"/>
        <v>Home-Work</v>
      </c>
      <c r="S21" s="44">
        <v>47</v>
      </c>
      <c r="T21" s="44">
        <v>4</v>
      </c>
      <c r="U21" s="40">
        <v>3</v>
      </c>
      <c r="V21" s="40"/>
      <c r="W21" s="44"/>
      <c r="X21" s="44"/>
      <c r="Y21" s="45" t="s">
        <v>160</v>
      </c>
      <c r="Z21" s="46">
        <v>0</v>
      </c>
      <c r="AA21" s="25"/>
      <c r="AB21" s="25"/>
    </row>
    <row r="22" spans="2:28">
      <c r="B22" s="37">
        <v>0.50277777777777777</v>
      </c>
      <c r="C22" s="37" t="s">
        <v>315</v>
      </c>
      <c r="D22" s="38">
        <v>3</v>
      </c>
      <c r="E22" s="39">
        <v>2</v>
      </c>
      <c r="F22" s="39" t="s">
        <v>159</v>
      </c>
      <c r="G22" s="40" t="s">
        <v>159</v>
      </c>
      <c r="H22" s="39" t="s">
        <v>158</v>
      </c>
      <c r="I22" s="40">
        <v>1</v>
      </c>
      <c r="J22" s="40">
        <v>1</v>
      </c>
      <c r="K22" s="25" t="str">
        <f>VLOOKUP(J22,Key!$E$2:$F$9,2,FALSE)</f>
        <v>Home</v>
      </c>
      <c r="L22" s="39" t="s">
        <v>166</v>
      </c>
      <c r="M22" s="40" t="s">
        <v>166</v>
      </c>
      <c r="N22" s="39" t="s">
        <v>158</v>
      </c>
      <c r="O22" s="40">
        <v>9</v>
      </c>
      <c r="P22" s="40">
        <v>2</v>
      </c>
      <c r="Q22" s="25" t="str">
        <f>VLOOKUP(P22,Key!$E$2:$F$9,2,FALSE)</f>
        <v>Work</v>
      </c>
      <c r="R22" s="25" t="str">
        <f t="shared" si="0"/>
        <v>Home-Work</v>
      </c>
      <c r="S22" s="44">
        <v>42</v>
      </c>
      <c r="T22" s="44">
        <v>3</v>
      </c>
      <c r="U22" s="40">
        <v>3</v>
      </c>
      <c r="V22" s="40"/>
      <c r="W22" s="44"/>
      <c r="X22" s="44"/>
      <c r="Y22" s="45" t="s">
        <v>160</v>
      </c>
      <c r="Z22" s="46">
        <v>0</v>
      </c>
      <c r="AA22" s="25"/>
      <c r="AB22" s="25"/>
    </row>
    <row r="23" spans="2:28">
      <c r="B23" s="37">
        <v>0.70138888888888884</v>
      </c>
      <c r="C23" s="37" t="s">
        <v>325</v>
      </c>
      <c r="D23" s="38">
        <v>8</v>
      </c>
      <c r="E23" s="39">
        <v>3</v>
      </c>
      <c r="F23" s="39" t="s">
        <v>159</v>
      </c>
      <c r="G23" s="40" t="s">
        <v>159</v>
      </c>
      <c r="H23" s="39" t="s">
        <v>158</v>
      </c>
      <c r="I23" s="40">
        <v>11</v>
      </c>
      <c r="J23" s="40">
        <v>4</v>
      </c>
      <c r="K23" s="25" t="str">
        <f>VLOOKUP(J23,Key!$E$2:$F$9,2,FALSE)</f>
        <v>Commercial</v>
      </c>
      <c r="L23" s="39" t="s">
        <v>157</v>
      </c>
      <c r="M23" s="40" t="s">
        <v>157</v>
      </c>
      <c r="N23" s="39" t="s">
        <v>158</v>
      </c>
      <c r="O23" s="40">
        <v>7</v>
      </c>
      <c r="P23" s="40">
        <v>4</v>
      </c>
      <c r="Q23" s="25" t="str">
        <f>VLOOKUP(P23,Key!$E$2:$F$9,2,FALSE)</f>
        <v>Commercial</v>
      </c>
      <c r="R23" s="25" t="str">
        <f t="shared" si="0"/>
        <v>Commercial-Commercial</v>
      </c>
      <c r="S23" s="44">
        <v>165</v>
      </c>
      <c r="T23" s="44">
        <v>4</v>
      </c>
      <c r="U23" s="40">
        <v>4</v>
      </c>
      <c r="V23" s="40"/>
      <c r="W23" s="44"/>
      <c r="X23" s="44"/>
      <c r="Y23" s="45" t="s">
        <v>160</v>
      </c>
      <c r="Z23" s="46">
        <v>0</v>
      </c>
      <c r="AA23" s="25"/>
      <c r="AB23" s="25"/>
    </row>
    <row r="24" spans="2:28">
      <c r="B24" s="37">
        <v>0.71319444444444446</v>
      </c>
      <c r="C24" s="37" t="s">
        <v>316</v>
      </c>
      <c r="D24" s="38">
        <v>3</v>
      </c>
      <c r="E24" s="39">
        <v>1</v>
      </c>
      <c r="F24" s="39" t="s">
        <v>159</v>
      </c>
      <c r="G24" s="40" t="s">
        <v>159</v>
      </c>
      <c r="H24" s="39" t="s">
        <v>158</v>
      </c>
      <c r="I24" s="40">
        <v>12</v>
      </c>
      <c r="J24" s="40">
        <v>2</v>
      </c>
      <c r="K24" s="25" t="str">
        <f>VLOOKUP(J24,Key!$E$2:$F$9,2,FALSE)</f>
        <v>Work</v>
      </c>
      <c r="L24" s="39" t="s">
        <v>224</v>
      </c>
      <c r="M24" s="40" t="s">
        <v>224</v>
      </c>
      <c r="N24" s="39" t="s">
        <v>158</v>
      </c>
      <c r="O24" s="40">
        <v>2</v>
      </c>
      <c r="P24" s="40">
        <v>2</v>
      </c>
      <c r="Q24" s="25" t="str">
        <f>VLOOKUP(P24,Key!$E$2:$F$9,2,FALSE)</f>
        <v>Work</v>
      </c>
      <c r="R24" s="25" t="str">
        <f t="shared" si="0"/>
        <v>Work-Work</v>
      </c>
      <c r="S24" s="44"/>
      <c r="T24" s="44"/>
      <c r="U24" s="40">
        <v>5</v>
      </c>
      <c r="V24" s="40"/>
      <c r="W24" s="44"/>
      <c r="X24" s="44"/>
      <c r="Y24" s="45" t="s">
        <v>160</v>
      </c>
      <c r="Z24" s="46">
        <v>10000</v>
      </c>
      <c r="AA24" s="25"/>
      <c r="AB24" s="25"/>
    </row>
    <row r="25" spans="2:28">
      <c r="B25" s="37">
        <v>0.39027777777777778</v>
      </c>
      <c r="C25" s="37" t="s">
        <v>317</v>
      </c>
      <c r="D25" s="38">
        <v>9</v>
      </c>
      <c r="E25" s="39">
        <v>3</v>
      </c>
      <c r="F25" s="39" t="s">
        <v>159</v>
      </c>
      <c r="G25" s="40" t="s">
        <v>159</v>
      </c>
      <c r="H25" s="39" t="s">
        <v>158</v>
      </c>
      <c r="I25" s="40">
        <v>7</v>
      </c>
      <c r="J25" s="40">
        <v>4</v>
      </c>
      <c r="K25" s="25" t="str">
        <f>VLOOKUP(J25,Key!$E$2:$F$9,2,FALSE)</f>
        <v>Commercial</v>
      </c>
      <c r="L25" s="39" t="s">
        <v>239</v>
      </c>
      <c r="M25" s="40"/>
      <c r="N25" s="39" t="s">
        <v>158</v>
      </c>
      <c r="O25" s="40">
        <v>11</v>
      </c>
      <c r="P25" s="40">
        <v>4</v>
      </c>
      <c r="Q25" s="25" t="str">
        <f>VLOOKUP(P25,Key!$E$2:$F$9,2,FALSE)</f>
        <v>Commercial</v>
      </c>
      <c r="R25" s="25" t="str">
        <f t="shared" si="0"/>
        <v>Commercial-Commercial</v>
      </c>
      <c r="S25" s="44">
        <v>30</v>
      </c>
      <c r="T25" s="44">
        <v>0.3</v>
      </c>
      <c r="U25" s="40">
        <v>5</v>
      </c>
      <c r="V25" s="40"/>
      <c r="W25" s="44"/>
      <c r="X25" s="44"/>
      <c r="Y25" s="45" t="s">
        <v>171</v>
      </c>
      <c r="Z25" s="46">
        <v>0</v>
      </c>
      <c r="AA25" s="25"/>
      <c r="AB25" s="25"/>
    </row>
    <row r="26" spans="2:28">
      <c r="B26" s="37">
        <v>0.41319444444444442</v>
      </c>
      <c r="C26" s="37" t="s">
        <v>318</v>
      </c>
      <c r="D26" s="38">
        <v>4</v>
      </c>
      <c r="E26" s="39">
        <v>16</v>
      </c>
      <c r="F26" s="39" t="s">
        <v>159</v>
      </c>
      <c r="G26" s="40" t="s">
        <v>159</v>
      </c>
      <c r="H26" s="39" t="s">
        <v>158</v>
      </c>
      <c r="I26" s="40">
        <v>6</v>
      </c>
      <c r="J26" s="40">
        <v>2</v>
      </c>
      <c r="K26" s="25" t="str">
        <f>VLOOKUP(J26,Key!$E$2:$F$9,2,FALSE)</f>
        <v>Work</v>
      </c>
      <c r="L26" s="39" t="s">
        <v>157</v>
      </c>
      <c r="M26" s="40" t="s">
        <v>157</v>
      </c>
      <c r="N26" s="39" t="s">
        <v>158</v>
      </c>
      <c r="O26" s="40">
        <v>6</v>
      </c>
      <c r="P26" s="40">
        <v>2</v>
      </c>
      <c r="Q26" s="25" t="str">
        <f>VLOOKUP(P26,Key!$E$2:$F$9,2,FALSE)</f>
        <v>Work</v>
      </c>
      <c r="R26" s="25" t="str">
        <f t="shared" si="0"/>
        <v>Work-Work</v>
      </c>
      <c r="S26" s="44">
        <v>160</v>
      </c>
      <c r="T26" s="44">
        <v>2.7</v>
      </c>
      <c r="U26" s="40">
        <v>2</v>
      </c>
      <c r="V26" s="40"/>
      <c r="W26" s="44"/>
      <c r="X26" s="44"/>
      <c r="Y26" s="45" t="s">
        <v>160</v>
      </c>
      <c r="Z26" s="46">
        <v>0</v>
      </c>
      <c r="AA26" s="25"/>
      <c r="AB26" s="25"/>
    </row>
    <row r="27" spans="2:28">
      <c r="B27" s="37">
        <v>0.42708333333333331</v>
      </c>
      <c r="C27" s="37" t="s">
        <v>319</v>
      </c>
      <c r="D27" s="38">
        <v>10</v>
      </c>
      <c r="E27" s="39">
        <v>1</v>
      </c>
      <c r="F27" s="39" t="s">
        <v>159</v>
      </c>
      <c r="G27" s="40" t="s">
        <v>159</v>
      </c>
      <c r="H27" s="39" t="s">
        <v>158</v>
      </c>
      <c r="I27" s="40">
        <v>10</v>
      </c>
      <c r="J27" s="40">
        <v>2</v>
      </c>
      <c r="K27" s="25" t="str">
        <f>VLOOKUP(J27,Key!$E$2:$F$9,2,FALSE)</f>
        <v>Work</v>
      </c>
      <c r="L27" s="39" t="s">
        <v>195</v>
      </c>
      <c r="M27" s="40" t="s">
        <v>195</v>
      </c>
      <c r="N27" s="39" t="s">
        <v>158</v>
      </c>
      <c r="O27" s="40">
        <v>3</v>
      </c>
      <c r="P27" s="40">
        <v>2</v>
      </c>
      <c r="Q27" s="25" t="str">
        <f>VLOOKUP(P27,Key!$E$2:$F$9,2,FALSE)</f>
        <v>Work</v>
      </c>
      <c r="R27" s="25" t="str">
        <f t="shared" si="0"/>
        <v>Work-Work</v>
      </c>
      <c r="S27" s="44">
        <v>300</v>
      </c>
      <c r="T27" s="44">
        <v>8</v>
      </c>
      <c r="U27" s="40">
        <v>5</v>
      </c>
      <c r="V27" s="40"/>
      <c r="W27" s="44"/>
      <c r="X27" s="44"/>
      <c r="Y27" s="45" t="s">
        <v>160</v>
      </c>
      <c r="Z27" s="46">
        <v>0</v>
      </c>
      <c r="AA27" s="25"/>
      <c r="AB27" s="25"/>
    </row>
    <row r="28" spans="2:28">
      <c r="B28" s="37">
        <v>0.48055555555555557</v>
      </c>
      <c r="C28" s="37" t="s">
        <v>320</v>
      </c>
      <c r="D28" s="38">
        <v>10</v>
      </c>
      <c r="E28" s="39">
        <v>8</v>
      </c>
      <c r="F28" s="39" t="s">
        <v>159</v>
      </c>
      <c r="G28" s="40" t="s">
        <v>159</v>
      </c>
      <c r="H28" s="39" t="s">
        <v>158</v>
      </c>
      <c r="I28" s="40">
        <v>1</v>
      </c>
      <c r="J28" s="40">
        <v>2</v>
      </c>
      <c r="K28" s="25" t="str">
        <f>VLOOKUP(J28,Key!$E$2:$F$9,2,FALSE)</f>
        <v>Work</v>
      </c>
      <c r="L28" s="39" t="s">
        <v>157</v>
      </c>
      <c r="M28" s="40" t="s">
        <v>157</v>
      </c>
      <c r="N28" s="39" t="s">
        <v>158</v>
      </c>
      <c r="O28" s="40">
        <v>11</v>
      </c>
      <c r="P28" s="40">
        <v>2</v>
      </c>
      <c r="Q28" s="25" t="str">
        <f>VLOOKUP(P28,Key!$E$2:$F$9,2,FALSE)</f>
        <v>Work</v>
      </c>
      <c r="R28" s="25" t="str">
        <f t="shared" si="0"/>
        <v>Work-Work</v>
      </c>
      <c r="S28" s="44">
        <v>160</v>
      </c>
      <c r="T28" s="44">
        <v>3</v>
      </c>
      <c r="U28" s="40">
        <v>6</v>
      </c>
      <c r="V28" s="40">
        <v>11</v>
      </c>
      <c r="W28" s="44"/>
      <c r="X28" s="44"/>
      <c r="Y28" s="45" t="s">
        <v>160</v>
      </c>
      <c r="Z28" s="46">
        <v>0</v>
      </c>
      <c r="AA28" s="25"/>
      <c r="AB28" s="25"/>
    </row>
    <row r="29" spans="2:28">
      <c r="B29" s="37">
        <v>0.4861111111111111</v>
      </c>
      <c r="C29" s="37" t="s">
        <v>321</v>
      </c>
      <c r="D29" s="38">
        <v>11</v>
      </c>
      <c r="E29" s="39">
        <v>2</v>
      </c>
      <c r="F29" s="39" t="s">
        <v>159</v>
      </c>
      <c r="G29" s="40" t="s">
        <v>159</v>
      </c>
      <c r="H29" s="39" t="s">
        <v>158</v>
      </c>
      <c r="I29" s="40">
        <v>1</v>
      </c>
      <c r="J29" s="40">
        <v>1</v>
      </c>
      <c r="K29" s="25" t="str">
        <f>VLOOKUP(J29,Key!$E$2:$F$9,2,FALSE)</f>
        <v>Home</v>
      </c>
      <c r="L29" s="39" t="s">
        <v>322</v>
      </c>
      <c r="M29" s="40" t="s">
        <v>166</v>
      </c>
      <c r="N29" s="39" t="s">
        <v>158</v>
      </c>
      <c r="O29" s="40">
        <v>3</v>
      </c>
      <c r="P29" s="40">
        <v>2</v>
      </c>
      <c r="Q29" s="25" t="str">
        <f>VLOOKUP(P29,Key!$E$2:$F$9,2,FALSE)</f>
        <v>Work</v>
      </c>
      <c r="R29" s="25" t="str">
        <f t="shared" si="0"/>
        <v>Home-Work</v>
      </c>
      <c r="S29" s="44"/>
      <c r="T29" s="44">
        <v>0.3</v>
      </c>
      <c r="U29" s="40">
        <v>3</v>
      </c>
      <c r="V29" s="40"/>
      <c r="W29" s="44"/>
      <c r="X29" s="44"/>
      <c r="Y29" s="45" t="s">
        <v>160</v>
      </c>
      <c r="Z29" s="46">
        <v>0</v>
      </c>
      <c r="AA29" s="25"/>
      <c r="AB29" s="25"/>
    </row>
    <row r="30" spans="2:28">
      <c r="B30" s="37">
        <v>0.49236111111111108</v>
      </c>
      <c r="C30" s="37" t="s">
        <v>323</v>
      </c>
      <c r="D30" s="38">
        <v>4</v>
      </c>
      <c r="E30" s="39">
        <v>13</v>
      </c>
      <c r="F30" s="39" t="s">
        <v>159</v>
      </c>
      <c r="G30" s="40" t="s">
        <v>159</v>
      </c>
      <c r="H30" s="39" t="s">
        <v>158</v>
      </c>
      <c r="I30" s="40">
        <v>6</v>
      </c>
      <c r="J30" s="40">
        <v>2</v>
      </c>
      <c r="K30" s="25" t="str">
        <f>VLOOKUP(J30,Key!$E$2:$F$9,2,FALSE)</f>
        <v>Work</v>
      </c>
      <c r="L30" s="39" t="s">
        <v>157</v>
      </c>
      <c r="M30" s="40" t="s">
        <v>157</v>
      </c>
      <c r="N30" s="39" t="s">
        <v>158</v>
      </c>
      <c r="O30" s="40">
        <v>6</v>
      </c>
      <c r="P30" s="40">
        <v>2</v>
      </c>
      <c r="Q30" s="25" t="str">
        <f>VLOOKUP(P30,Key!$E$2:$F$9,2,FALSE)</f>
        <v>Work</v>
      </c>
      <c r="R30" s="25" t="str">
        <f t="shared" si="0"/>
        <v>Work-Work</v>
      </c>
      <c r="S30" s="44">
        <v>167</v>
      </c>
      <c r="T30" s="44">
        <v>3</v>
      </c>
      <c r="U30" s="40">
        <v>3</v>
      </c>
      <c r="V30" s="40"/>
      <c r="W30" s="44"/>
      <c r="X30" s="44"/>
      <c r="Y30" s="45" t="s">
        <v>160</v>
      </c>
      <c r="Z30" s="46">
        <v>0</v>
      </c>
      <c r="AA30" s="25"/>
      <c r="AB30" s="25"/>
    </row>
    <row r="31" spans="2:28">
      <c r="B31" s="37">
        <v>0.36736111111111108</v>
      </c>
      <c r="C31" s="37" t="s">
        <v>324</v>
      </c>
      <c r="D31" s="38">
        <v>3</v>
      </c>
      <c r="E31" s="39">
        <v>3</v>
      </c>
      <c r="F31" s="39" t="s">
        <v>159</v>
      </c>
      <c r="G31" s="40" t="s">
        <v>159</v>
      </c>
      <c r="H31" s="39" t="s">
        <v>158</v>
      </c>
      <c r="I31" s="40">
        <v>2</v>
      </c>
      <c r="J31" s="40">
        <v>2</v>
      </c>
      <c r="K31" s="25" t="str">
        <f>VLOOKUP(J31,Key!$E$2:$F$9,2,FALSE)</f>
        <v>Work</v>
      </c>
      <c r="L31" s="39" t="s">
        <v>166</v>
      </c>
      <c r="M31" s="40" t="s">
        <v>166</v>
      </c>
      <c r="N31" s="39" t="s">
        <v>158</v>
      </c>
      <c r="O31" s="40">
        <v>10</v>
      </c>
      <c r="P31" s="40">
        <v>2</v>
      </c>
      <c r="Q31" s="25" t="str">
        <f>VLOOKUP(P31,Key!$E$2:$F$9,2,FALSE)</f>
        <v>Work</v>
      </c>
      <c r="R31" s="25" t="str">
        <f t="shared" si="0"/>
        <v>Work-Work</v>
      </c>
      <c r="S31" s="44"/>
      <c r="T31" s="44">
        <v>2</v>
      </c>
      <c r="U31" s="40">
        <v>6</v>
      </c>
      <c r="V31" s="40"/>
      <c r="W31" s="44"/>
      <c r="X31" s="44"/>
      <c r="Y31" s="45" t="s">
        <v>160</v>
      </c>
      <c r="Z31" s="46">
        <v>10000</v>
      </c>
      <c r="AA31" s="25"/>
      <c r="AB31" s="25"/>
    </row>
    <row r="78" spans="27:28">
      <c r="AA78" s="25"/>
      <c r="AB78" s="25"/>
    </row>
    <row r="79" spans="27:28">
      <c r="AA79" s="25"/>
      <c r="AB79" s="25"/>
    </row>
    <row r="80" spans="27:28">
      <c r="AA80" s="25"/>
      <c r="AB80" s="25"/>
    </row>
    <row r="81" spans="27:28">
      <c r="AA81" s="25"/>
      <c r="AB81" s="25"/>
    </row>
    <row r="82" spans="27:28">
      <c r="AA82" s="25"/>
      <c r="AB82" s="25"/>
    </row>
    <row r="83" spans="27:28">
      <c r="AA83" s="25"/>
      <c r="AB83" s="25"/>
    </row>
    <row r="84" spans="27:28">
      <c r="AA84" s="25"/>
      <c r="AB84" s="25"/>
    </row>
    <row r="85" spans="27:28">
      <c r="AA85" s="25"/>
      <c r="AB85" s="25"/>
    </row>
    <row r="86" spans="27:28">
      <c r="AA86" s="25"/>
      <c r="AB86" s="25"/>
    </row>
    <row r="87" spans="27:28">
      <c r="AA87" s="25"/>
      <c r="AB87" s="25"/>
    </row>
    <row r="88" spans="27:28">
      <c r="AA88" s="25"/>
      <c r="AB88" s="25"/>
    </row>
    <row r="89" spans="27:28">
      <c r="AA89" s="25"/>
      <c r="AB89" s="25"/>
    </row>
    <row r="90" spans="27:28">
      <c r="AA90" s="25"/>
      <c r="AB90" s="25"/>
    </row>
    <row r="91" spans="27:28">
      <c r="AA91" s="25"/>
      <c r="AB91" s="25"/>
    </row>
    <row r="92" spans="27:28">
      <c r="AA92" s="25"/>
      <c r="AB92" s="25"/>
    </row>
    <row r="93" spans="27:28">
      <c r="AA93" s="25"/>
      <c r="AB93" s="25"/>
    </row>
    <row r="94" spans="27:28">
      <c r="AA94" s="25"/>
      <c r="AB94" s="25"/>
    </row>
    <row r="95" spans="27:28">
      <c r="AA95" s="25"/>
      <c r="AB95" s="25"/>
    </row>
    <row r="96" spans="27:28">
      <c r="AA96" s="25"/>
      <c r="AB96" s="25"/>
    </row>
    <row r="97" spans="27:28">
      <c r="AA97" s="25"/>
      <c r="AB97" s="25"/>
    </row>
    <row r="98" spans="27:28">
      <c r="AA98" s="25"/>
      <c r="AB98" s="25"/>
    </row>
    <row r="99" spans="27:28">
      <c r="AA99" s="25"/>
      <c r="AB99" s="25"/>
    </row>
    <row r="100" spans="27:28">
      <c r="AA100" s="25"/>
      <c r="AB100" s="25"/>
    </row>
    <row r="101" spans="27:28">
      <c r="AA101" s="25"/>
      <c r="AB101" s="25"/>
    </row>
    <row r="102" spans="27:28">
      <c r="AA102" s="25"/>
      <c r="AB102" s="25"/>
    </row>
    <row r="103" spans="27:28">
      <c r="AA103" s="25"/>
      <c r="AB103" s="25"/>
    </row>
    <row r="104" spans="27:28">
      <c r="AA104" s="25"/>
      <c r="AB104" s="25"/>
    </row>
    <row r="105" spans="27:28" ht="12" customHeight="1">
      <c r="AA105" s="25"/>
      <c r="AB105" s="25"/>
    </row>
    <row r="106" spans="27:28">
      <c r="AA106" s="25"/>
      <c r="AB106" s="25"/>
    </row>
    <row r="107" spans="27:28">
      <c r="AA107" s="25"/>
      <c r="AB107" s="25"/>
    </row>
    <row r="108" spans="27:28">
      <c r="AA108" s="25"/>
      <c r="AB108" s="25"/>
    </row>
    <row r="109" spans="27:28">
      <c r="AA109" s="25"/>
      <c r="AB109" s="25"/>
    </row>
    <row r="110" spans="27:28">
      <c r="AA110" s="25"/>
      <c r="AB110" s="25"/>
    </row>
    <row r="111" spans="27:28">
      <c r="AA111" s="25"/>
      <c r="AB111" s="25"/>
    </row>
    <row r="112" spans="27:28">
      <c r="AA112" s="25"/>
      <c r="AB112" s="25"/>
    </row>
    <row r="113" spans="27:28">
      <c r="AA113" s="25"/>
      <c r="AB113" s="25"/>
    </row>
    <row r="114" spans="27:28">
      <c r="AA114" s="25"/>
      <c r="AB114" s="25"/>
    </row>
    <row r="115" spans="27:28">
      <c r="AA115" s="25"/>
      <c r="AB115" s="25"/>
    </row>
    <row r="116" spans="27:28">
      <c r="AA116" s="25"/>
      <c r="AB116" s="25"/>
    </row>
    <row r="117" spans="27:28">
      <c r="AA117" s="25"/>
      <c r="AB117" s="25"/>
    </row>
    <row r="118" spans="27:28">
      <c r="AA118" s="25"/>
      <c r="AB118" s="25"/>
    </row>
    <row r="119" spans="27:28">
      <c r="AA119" s="25"/>
      <c r="AB119" s="25"/>
    </row>
    <row r="120" spans="27:28">
      <c r="AA120" s="25"/>
      <c r="AB120" s="25"/>
    </row>
    <row r="121" spans="27:28">
      <c r="AA121" s="25"/>
      <c r="AB121" s="25"/>
    </row>
    <row r="122" spans="27:28">
      <c r="AA122" s="25"/>
      <c r="AB122" s="25"/>
    </row>
    <row r="123" spans="27:28">
      <c r="AA123" s="25"/>
      <c r="AB123" s="25"/>
    </row>
    <row r="124" spans="27:28">
      <c r="AA124" s="25"/>
      <c r="AB124" s="25"/>
    </row>
    <row r="125" spans="27:28">
      <c r="AA125" s="25"/>
      <c r="AB125" s="25"/>
    </row>
    <row r="126" spans="27:28">
      <c r="AA126" s="25"/>
      <c r="AB126" s="25"/>
    </row>
    <row r="127" spans="27:28">
      <c r="AA127" s="25"/>
      <c r="AB127" s="25"/>
    </row>
    <row r="128" spans="27:28">
      <c r="AA128" s="25"/>
      <c r="AB128" s="25"/>
    </row>
    <row r="129" spans="1:28">
      <c r="AA129" s="25"/>
      <c r="AB129" s="25"/>
    </row>
    <row r="130" spans="1:28">
      <c r="AA130" s="25"/>
      <c r="AB130" s="25"/>
    </row>
    <row r="131" spans="1:28">
      <c r="AA131" s="25"/>
      <c r="AB131" s="25"/>
    </row>
    <row r="132" spans="1:28">
      <c r="AA132" s="25"/>
      <c r="AB132" s="25"/>
    </row>
    <row r="133" spans="1:28">
      <c r="AA133" s="25"/>
      <c r="AB133" s="25"/>
    </row>
    <row r="134" spans="1:28">
      <c r="AA134" s="25"/>
      <c r="AB134" s="25"/>
    </row>
    <row r="135" spans="1:28">
      <c r="AA135" s="25"/>
      <c r="AB135" s="25"/>
    </row>
    <row r="136" spans="1:28">
      <c r="AA136" s="25"/>
      <c r="AB136" s="25"/>
    </row>
    <row r="137" spans="1:28">
      <c r="AA137" s="25"/>
      <c r="AB137" s="25"/>
    </row>
    <row r="138" spans="1:28">
      <c r="AA138" s="25"/>
      <c r="AB138" s="25"/>
    </row>
    <row r="139" spans="1:28">
      <c r="AA139" s="25"/>
      <c r="AB139" s="25"/>
    </row>
    <row r="140" spans="1:28">
      <c r="AA140" s="25"/>
      <c r="AB140" s="25"/>
    </row>
    <row r="141" spans="1:28">
      <c r="AA141" s="25"/>
      <c r="AB141" s="25"/>
    </row>
    <row r="142" spans="1:28">
      <c r="AA142" s="25"/>
      <c r="AB142" s="25"/>
    </row>
    <row r="143" spans="1:28">
      <c r="A143" s="14"/>
      <c r="AA143" s="25"/>
      <c r="AB143" s="25"/>
    </row>
    <row r="144" spans="1:28">
      <c r="A144" s="14"/>
      <c r="AA144" s="25"/>
      <c r="AB144" s="25"/>
    </row>
    <row r="145" spans="1:28">
      <c r="A145" s="14"/>
      <c r="AA145" s="25"/>
      <c r="AB145" s="25"/>
    </row>
    <row r="146" spans="1:28">
      <c r="AA146" s="25"/>
      <c r="AB146" s="25"/>
    </row>
    <row r="147" spans="1:28">
      <c r="AA147" s="25"/>
      <c r="AB147" s="25"/>
    </row>
    <row r="148" spans="1:28">
      <c r="AA148" s="25"/>
      <c r="AB148" s="25"/>
    </row>
    <row r="149" spans="1:28">
      <c r="AA149" s="25"/>
      <c r="AB149" s="25"/>
    </row>
    <row r="150" spans="1:28">
      <c r="AA150" s="25"/>
      <c r="AB150" s="25"/>
    </row>
    <row r="151" spans="1:28">
      <c r="AA151" s="25"/>
      <c r="AB151" s="25"/>
    </row>
    <row r="152" spans="1:28">
      <c r="AA152" s="25"/>
      <c r="AB152" s="25"/>
    </row>
    <row r="153" spans="1:28">
      <c r="AA153" s="25"/>
      <c r="AB153" s="25"/>
    </row>
    <row r="154" spans="1:28">
      <c r="AA154" s="25"/>
      <c r="AB154" s="25"/>
    </row>
    <row r="155" spans="1:28">
      <c r="AA155" s="25"/>
      <c r="AB155" s="25"/>
    </row>
    <row r="156" spans="1:28">
      <c r="AA156" s="25"/>
      <c r="AB156" s="25"/>
    </row>
    <row r="157" spans="1:28">
      <c r="AA157" s="25"/>
      <c r="AB157" s="25"/>
    </row>
    <row r="158" spans="1:28">
      <c r="AA158" s="25"/>
      <c r="AB158" s="25"/>
    </row>
    <row r="159" spans="1:28">
      <c r="AA159" s="25"/>
      <c r="AB159" s="25"/>
    </row>
    <row r="160" spans="1:28">
      <c r="AA160" s="25"/>
      <c r="AB160" s="25"/>
    </row>
    <row r="161" spans="27:28">
      <c r="AA161" s="25"/>
      <c r="AB161" s="25"/>
    </row>
    <row r="162" spans="27:28">
      <c r="AA162" s="25"/>
      <c r="AB162" s="25"/>
    </row>
    <row r="163" spans="27:28">
      <c r="AA163" s="25"/>
      <c r="AB163" s="25"/>
    </row>
    <row r="164" spans="27:28">
      <c r="AA164" s="25"/>
      <c r="AB164" s="25"/>
    </row>
    <row r="165" spans="27:28">
      <c r="AA165" s="25"/>
      <c r="AB165" s="25"/>
    </row>
    <row r="166" spans="27:28">
      <c r="AA166" s="25"/>
      <c r="AB166" s="25"/>
    </row>
    <row r="167" spans="27:28">
      <c r="AA167" s="25"/>
      <c r="AB167" s="25"/>
    </row>
    <row r="168" spans="27:28">
      <c r="AA168" s="25"/>
      <c r="AB168" s="25"/>
    </row>
    <row r="169" spans="27:28">
      <c r="AA169" s="25"/>
      <c r="AB169" s="25"/>
    </row>
    <row r="170" spans="27:28">
      <c r="AA170" s="25"/>
      <c r="AB170" s="25"/>
    </row>
    <row r="171" spans="27:28">
      <c r="AA171" s="25"/>
      <c r="AB171" s="25"/>
    </row>
    <row r="172" spans="27:28">
      <c r="AA172" s="25"/>
      <c r="AB172" s="25"/>
    </row>
    <row r="173" spans="27:28">
      <c r="AA173" s="25"/>
      <c r="AB173" s="25"/>
    </row>
    <row r="174" spans="27:28">
      <c r="AA174" s="25"/>
      <c r="AB174" s="25"/>
    </row>
    <row r="175" spans="27:28">
      <c r="AA175" s="25"/>
      <c r="AB175" s="25"/>
    </row>
    <row r="176" spans="27:28">
      <c r="AA176" s="25"/>
      <c r="AB176" s="25"/>
    </row>
    <row r="177" spans="27:28">
      <c r="AA177" s="25"/>
      <c r="AB177" s="25"/>
    </row>
    <row r="178" spans="27:28">
      <c r="AA178" s="25"/>
      <c r="AB178" s="25"/>
    </row>
    <row r="179" spans="27:28">
      <c r="AA179" s="25"/>
      <c r="AB179" s="25"/>
    </row>
    <row r="180" spans="27:28">
      <c r="AA180" s="25"/>
      <c r="AB180" s="25"/>
    </row>
    <row r="181" spans="27:28">
      <c r="AA181" s="25"/>
      <c r="AB181" s="25"/>
    </row>
    <row r="182" spans="27:28">
      <c r="AA182" s="25"/>
      <c r="AB182" s="25"/>
    </row>
    <row r="183" spans="27:28">
      <c r="AA183" s="25"/>
      <c r="AB183" s="25"/>
    </row>
    <row r="184" spans="27:28">
      <c r="AA184" s="25"/>
      <c r="AB184" s="25"/>
    </row>
    <row r="185" spans="27:28">
      <c r="AA185" s="25"/>
      <c r="AB185" s="25"/>
    </row>
    <row r="186" spans="27:28">
      <c r="AA186" s="25"/>
      <c r="AB186" s="25"/>
    </row>
    <row r="187" spans="27:28">
      <c r="AA187" s="25"/>
      <c r="AB187" s="25"/>
    </row>
    <row r="188" spans="27:28">
      <c r="AA188" s="25"/>
      <c r="AB188" s="25"/>
    </row>
    <row r="189" spans="27:28">
      <c r="AA189" s="25"/>
      <c r="AB189" s="25"/>
    </row>
    <row r="190" spans="27:28">
      <c r="AA190" s="25"/>
      <c r="AB190" s="25"/>
    </row>
    <row r="191" spans="27:28">
      <c r="AA191" s="25"/>
      <c r="AB191" s="25"/>
    </row>
    <row r="192" spans="27:28">
      <c r="AA192" s="25"/>
      <c r="AB192" s="25"/>
    </row>
    <row r="193" spans="27:28">
      <c r="AA193" s="25"/>
      <c r="AB193" s="25"/>
    </row>
    <row r="194" spans="27:28">
      <c r="AA194" s="25"/>
      <c r="AB194" s="25"/>
    </row>
    <row r="195" spans="27:28">
      <c r="AA195" s="25"/>
      <c r="AB195" s="25"/>
    </row>
    <row r="196" spans="27:28">
      <c r="AA196" s="25"/>
      <c r="AB196" s="25"/>
    </row>
    <row r="197" spans="27:28">
      <c r="AA197" s="25"/>
      <c r="AB197" s="25"/>
    </row>
    <row r="198" spans="27:28">
      <c r="AA198" s="25"/>
      <c r="AB198" s="25"/>
    </row>
    <row r="199" spans="27:28">
      <c r="AA199" s="25"/>
      <c r="AB199" s="25"/>
    </row>
    <row r="200" spans="27:28">
      <c r="AA200" s="25"/>
      <c r="AB200" s="25"/>
    </row>
    <row r="201" spans="27:28">
      <c r="AA201" s="25"/>
      <c r="AB201" s="25"/>
    </row>
    <row r="202" spans="27:28">
      <c r="AA202" s="25"/>
      <c r="AB202" s="25"/>
    </row>
    <row r="203" spans="27:28">
      <c r="AA203" s="25"/>
      <c r="AB203" s="25"/>
    </row>
    <row r="204" spans="27:28">
      <c r="AA204" s="25"/>
      <c r="AB204" s="25"/>
    </row>
    <row r="205" spans="27:28">
      <c r="AA205" s="25"/>
      <c r="AB205" s="25"/>
    </row>
    <row r="206" spans="27:28">
      <c r="AA206" s="25"/>
      <c r="AB206" s="25"/>
    </row>
    <row r="207" spans="27:28">
      <c r="AA207" s="25"/>
      <c r="AB207" s="25"/>
    </row>
    <row r="208" spans="27:28">
      <c r="AA208" s="25"/>
      <c r="AB208" s="25"/>
    </row>
    <row r="209" spans="27:28">
      <c r="AA209" s="25"/>
      <c r="AB209" s="25"/>
    </row>
    <row r="210" spans="27:28">
      <c r="AA210" s="25"/>
      <c r="AB210" s="25"/>
    </row>
    <row r="211" spans="27:28">
      <c r="AA211" s="25"/>
      <c r="AB211" s="25"/>
    </row>
    <row r="212" spans="27:28">
      <c r="AA212" s="25"/>
      <c r="AB212" s="25"/>
    </row>
    <row r="213" spans="27:28">
      <c r="AA213" s="25"/>
      <c r="AB213" s="25"/>
    </row>
    <row r="214" spans="27:28">
      <c r="AA214" s="25"/>
      <c r="AB214" s="25"/>
    </row>
    <row r="215" spans="27:28">
      <c r="AA215" s="25"/>
      <c r="AB215" s="25"/>
    </row>
    <row r="216" spans="27:28">
      <c r="AA216" s="25"/>
      <c r="AB216" s="25"/>
    </row>
    <row r="217" spans="27:28">
      <c r="AA217" s="25"/>
      <c r="AB217" s="25"/>
    </row>
    <row r="218" spans="27:28">
      <c r="AA218" s="25"/>
      <c r="AB218" s="25"/>
    </row>
    <row r="219" spans="27:28">
      <c r="AA219" s="25"/>
      <c r="AB219" s="25"/>
    </row>
    <row r="220" spans="27:28">
      <c r="AA220" s="25"/>
      <c r="AB220" s="25"/>
    </row>
    <row r="221" spans="27:28">
      <c r="AA221" s="25"/>
      <c r="AB221" s="25"/>
    </row>
    <row r="222" spans="27:28">
      <c r="AA222" s="25"/>
      <c r="AB222" s="25"/>
    </row>
    <row r="223" spans="27:28">
      <c r="AA223" s="25"/>
      <c r="AB223" s="25"/>
    </row>
    <row r="224" spans="27:28">
      <c r="AA224" s="25"/>
      <c r="AB224" s="25"/>
    </row>
    <row r="225" spans="27:28">
      <c r="AA225" s="25"/>
      <c r="AB225" s="25"/>
    </row>
    <row r="226" spans="27:28">
      <c r="AA226" s="25"/>
      <c r="AB226" s="25"/>
    </row>
    <row r="227" spans="27:28">
      <c r="AA227" s="25"/>
      <c r="AB227" s="25"/>
    </row>
    <row r="228" spans="27:28">
      <c r="AA228" s="25"/>
      <c r="AB228" s="25"/>
    </row>
    <row r="229" spans="27:28">
      <c r="AA229" s="25"/>
      <c r="AB229" s="25"/>
    </row>
    <row r="230" spans="27:28">
      <c r="AA230" s="25"/>
      <c r="AB230" s="25"/>
    </row>
    <row r="231" spans="27:28">
      <c r="AA231" s="25"/>
      <c r="AB231" s="25"/>
    </row>
    <row r="232" spans="27:28">
      <c r="AA232" s="25"/>
      <c r="AB232" s="25"/>
    </row>
    <row r="233" spans="27:28">
      <c r="AA233" s="25"/>
      <c r="AB233" s="25"/>
    </row>
    <row r="234" spans="27:28">
      <c r="AA234" s="25"/>
      <c r="AB234" s="25"/>
    </row>
    <row r="235" spans="27:28">
      <c r="AA235" s="25"/>
      <c r="AB235" s="25"/>
    </row>
    <row r="236" spans="27:28">
      <c r="AA236" s="25"/>
      <c r="AB236" s="25"/>
    </row>
    <row r="237" spans="27:28">
      <c r="AA237" s="25"/>
      <c r="AB237" s="25"/>
    </row>
    <row r="238" spans="27:28">
      <c r="AA238" s="25"/>
      <c r="AB238" s="25"/>
    </row>
    <row r="239" spans="27:28">
      <c r="AA239" s="25"/>
      <c r="AB239" s="25"/>
    </row>
    <row r="240" spans="27:28">
      <c r="AA240" s="25"/>
      <c r="AB240" s="25"/>
    </row>
    <row r="241" spans="27:28">
      <c r="AA241" s="25"/>
      <c r="AB241" s="25"/>
    </row>
    <row r="242" spans="27:28">
      <c r="AA242" s="25"/>
      <c r="AB242" s="25"/>
    </row>
    <row r="243" spans="27:28">
      <c r="AA243" s="25"/>
      <c r="AB243" s="25"/>
    </row>
    <row r="244" spans="27:28">
      <c r="AA244" s="25"/>
      <c r="AB244" s="25"/>
    </row>
    <row r="245" spans="27:28">
      <c r="AA245" s="25"/>
      <c r="AB245" s="25"/>
    </row>
    <row r="246" spans="27:28">
      <c r="AA246" s="25"/>
      <c r="AB246" s="25"/>
    </row>
    <row r="247" spans="27:28">
      <c r="AA247" s="25"/>
      <c r="AB247" s="25"/>
    </row>
    <row r="248" spans="27:28">
      <c r="AA248" s="25"/>
      <c r="AB248" s="25"/>
    </row>
    <row r="249" spans="27:28">
      <c r="AA249" s="25"/>
      <c r="AB249" s="25"/>
    </row>
    <row r="250" spans="27:28">
      <c r="AA250" s="25"/>
      <c r="AB250" s="25"/>
    </row>
    <row r="251" spans="27:28">
      <c r="AA251" s="25"/>
      <c r="AB251" s="25"/>
    </row>
    <row r="252" spans="27:28">
      <c r="AA252" s="25"/>
      <c r="AB252" s="25"/>
    </row>
    <row r="253" spans="27:28">
      <c r="AA253" s="25"/>
      <c r="AB253" s="25"/>
    </row>
    <row r="254" spans="27:28">
      <c r="AA254" s="25"/>
      <c r="AB254" s="25"/>
    </row>
    <row r="255" spans="27:28">
      <c r="AA255" s="25"/>
      <c r="AB255" s="25"/>
    </row>
    <row r="256" spans="27:28">
      <c r="AA256" s="25"/>
      <c r="AB256" s="25"/>
    </row>
    <row r="257" spans="27:28">
      <c r="AA257" s="25"/>
      <c r="AB257" s="25"/>
    </row>
    <row r="258" spans="27:28">
      <c r="AA258" s="25"/>
      <c r="AB258" s="25"/>
    </row>
    <row r="259" spans="27:28">
      <c r="AA259" s="25"/>
      <c r="AB259" s="25"/>
    </row>
    <row r="260" spans="27:28">
      <c r="AA260" s="25"/>
      <c r="AB260" s="25"/>
    </row>
    <row r="261" spans="27:28">
      <c r="AA261" s="25"/>
      <c r="AB261" s="25"/>
    </row>
    <row r="262" spans="27:28">
      <c r="AA262" s="25"/>
      <c r="AB262" s="25"/>
    </row>
    <row r="263" spans="27:28">
      <c r="AA263" s="25"/>
      <c r="AB263" s="25"/>
    </row>
    <row r="264" spans="27:28">
      <c r="AA264" s="25"/>
      <c r="AB264" s="25"/>
    </row>
    <row r="265" spans="27:28">
      <c r="AA265" s="25"/>
      <c r="AB265" s="25"/>
    </row>
    <row r="266" spans="27:28">
      <c r="AA266" s="25"/>
      <c r="AB266" s="25"/>
    </row>
    <row r="267" spans="27:28">
      <c r="AA267" s="25"/>
      <c r="AB267" s="25"/>
    </row>
    <row r="268" spans="27:28">
      <c r="AA268" s="25"/>
      <c r="AB268" s="25"/>
    </row>
    <row r="269" spans="27:28">
      <c r="AA269" s="25"/>
      <c r="AB269" s="25"/>
    </row>
    <row r="270" spans="27:28">
      <c r="AA270" s="25"/>
      <c r="AB270" s="25"/>
    </row>
    <row r="271" spans="27:28">
      <c r="AA271" s="25"/>
      <c r="AB271" s="25"/>
    </row>
    <row r="272" spans="27:28">
      <c r="AA272" s="25"/>
      <c r="AB272" s="25"/>
    </row>
    <row r="273" spans="27:28">
      <c r="AA273" s="25"/>
      <c r="AB273" s="25"/>
    </row>
    <row r="274" spans="27:28">
      <c r="AA274" s="25"/>
      <c r="AB274" s="25"/>
    </row>
    <row r="275" spans="27:28">
      <c r="AA275" s="25"/>
      <c r="AB275" s="25"/>
    </row>
    <row r="276" spans="27:28">
      <c r="AA276" s="25"/>
      <c r="AB276" s="25"/>
    </row>
    <row r="277" spans="27:28">
      <c r="AA277" s="25"/>
      <c r="AB277" s="25"/>
    </row>
    <row r="278" spans="27:28">
      <c r="AA278" s="25"/>
      <c r="AB278" s="25"/>
    </row>
    <row r="279" spans="27:28">
      <c r="AA279" s="25"/>
      <c r="AB279" s="25"/>
    </row>
    <row r="280" spans="27:28">
      <c r="AA280" s="25"/>
      <c r="AB280" s="25"/>
    </row>
    <row r="281" spans="27:28">
      <c r="AA281" s="25"/>
      <c r="AB281" s="25"/>
    </row>
    <row r="282" spans="27:28">
      <c r="AA282" s="25"/>
      <c r="AB282" s="25"/>
    </row>
    <row r="283" spans="27:28">
      <c r="AA283" s="25"/>
      <c r="AB283" s="25"/>
    </row>
    <row r="284" spans="27:28">
      <c r="AA284" s="25"/>
      <c r="AB284" s="25"/>
    </row>
    <row r="285" spans="27:28">
      <c r="AA285" s="25"/>
      <c r="AB285" s="25"/>
    </row>
    <row r="286" spans="27:28">
      <c r="AA286" s="25"/>
      <c r="AB286" s="25"/>
    </row>
    <row r="287" spans="27:28">
      <c r="AA287" s="25"/>
      <c r="AB287" s="25"/>
    </row>
    <row r="288" spans="27:28">
      <c r="AA288" s="25"/>
      <c r="AB288" s="25"/>
    </row>
    <row r="289" spans="27:28">
      <c r="AA289" s="25"/>
      <c r="AB289" s="25"/>
    </row>
    <row r="290" spans="27:28">
      <c r="AA290" s="25"/>
      <c r="AB290" s="25"/>
    </row>
    <row r="291" spans="27:28">
      <c r="AA291" s="25"/>
      <c r="AB291" s="25"/>
    </row>
    <row r="292" spans="27:28">
      <c r="AA292" s="25"/>
      <c r="AB292" s="25"/>
    </row>
    <row r="293" spans="27:28">
      <c r="AA293" s="25"/>
      <c r="AB293" s="25"/>
    </row>
    <row r="294" spans="27:28">
      <c r="AA294" s="25"/>
      <c r="AB294" s="25"/>
    </row>
    <row r="295" spans="27:28">
      <c r="AA295" s="25"/>
      <c r="AB295" s="25"/>
    </row>
    <row r="296" spans="27:28">
      <c r="AA296" s="25"/>
      <c r="AB296" s="25"/>
    </row>
    <row r="297" spans="27:28">
      <c r="AA297" s="25"/>
      <c r="AB297" s="25"/>
    </row>
    <row r="298" spans="27:28">
      <c r="AA298" s="25"/>
      <c r="AB298" s="25"/>
    </row>
    <row r="299" spans="27:28">
      <c r="AA299" s="25"/>
      <c r="AB299" s="25"/>
    </row>
    <row r="300" spans="27:28">
      <c r="AA300" s="25"/>
      <c r="AB300" s="25"/>
    </row>
    <row r="301" spans="27:28">
      <c r="AA301" s="25"/>
      <c r="AB301" s="25"/>
    </row>
    <row r="302" spans="27:28">
      <c r="AA302" s="25"/>
      <c r="AB302" s="25"/>
    </row>
    <row r="303" spans="27:28">
      <c r="AA303" s="25"/>
      <c r="AB303" s="25"/>
    </row>
    <row r="304" spans="27:28">
      <c r="AA304" s="25"/>
      <c r="AB304" s="25"/>
    </row>
    <row r="305" spans="27:28">
      <c r="AA305" s="25"/>
      <c r="AB305" s="25"/>
    </row>
    <row r="306" spans="27:28">
      <c r="AA306" s="25"/>
      <c r="AB306" s="25"/>
    </row>
    <row r="307" spans="27:28">
      <c r="AA307" s="25"/>
      <c r="AB307" s="25"/>
    </row>
    <row r="308" spans="27:28">
      <c r="AA308" s="25"/>
      <c r="AB308" s="25"/>
    </row>
    <row r="309" spans="27:28">
      <c r="AA309" s="25"/>
      <c r="AB309" s="25"/>
    </row>
    <row r="310" spans="27:28">
      <c r="AA310" s="25"/>
      <c r="AB310" s="25"/>
    </row>
    <row r="311" spans="27:28">
      <c r="AA311" s="25"/>
      <c r="AB311" s="25"/>
    </row>
    <row r="312" spans="27:28">
      <c r="AA312" s="25"/>
      <c r="AB312" s="25"/>
    </row>
    <row r="313" spans="27:28">
      <c r="AA313" s="25"/>
      <c r="AB313" s="25"/>
    </row>
    <row r="314" spans="27:28">
      <c r="AA314" s="25"/>
      <c r="AB314" s="25"/>
    </row>
    <row r="315" spans="27:28">
      <c r="AA315" s="25"/>
      <c r="AB315" s="25"/>
    </row>
    <row r="316" spans="27:28">
      <c r="AA316" s="25"/>
      <c r="AB316" s="25"/>
    </row>
    <row r="317" spans="27:28">
      <c r="AA317" s="25"/>
      <c r="AB317" s="25"/>
    </row>
    <row r="318" spans="27:28">
      <c r="AA318" s="25"/>
      <c r="AB318" s="25"/>
    </row>
    <row r="319" spans="27:28">
      <c r="AA319" s="25"/>
      <c r="AB319" s="25"/>
    </row>
    <row r="320" spans="27:28">
      <c r="AA320" s="25"/>
      <c r="AB320" s="25"/>
    </row>
    <row r="321" spans="27:28">
      <c r="AA321" s="25"/>
      <c r="AB321" s="25"/>
    </row>
    <row r="322" spans="27:28">
      <c r="AA322" s="25"/>
      <c r="AB322" s="25"/>
    </row>
    <row r="323" spans="27:28">
      <c r="AA323" s="25"/>
      <c r="AB323" s="25"/>
    </row>
    <row r="324" spans="27:28">
      <c r="AA324" s="25"/>
      <c r="AB324" s="25"/>
    </row>
    <row r="325" spans="27:28">
      <c r="AA325" s="25"/>
      <c r="AB325" s="25"/>
    </row>
    <row r="326" spans="27:28">
      <c r="AA326" s="25"/>
      <c r="AB326" s="25"/>
    </row>
    <row r="327" spans="27:28">
      <c r="AA327" s="25"/>
      <c r="AB327" s="25"/>
    </row>
    <row r="328" spans="27:28">
      <c r="AA328" s="25"/>
      <c r="AB328" s="25"/>
    </row>
    <row r="329" spans="27:28">
      <c r="AA329" s="25"/>
      <c r="AB329" s="25"/>
    </row>
    <row r="330" spans="27:28">
      <c r="AA330" s="25"/>
      <c r="AB330" s="25"/>
    </row>
    <row r="331" spans="27:28">
      <c r="AA331" s="25"/>
      <c r="AB331" s="25"/>
    </row>
    <row r="332" spans="27:28">
      <c r="AA332" s="25"/>
      <c r="AB332" s="25"/>
    </row>
    <row r="333" spans="27:28">
      <c r="AA333" s="25"/>
      <c r="AB333" s="25"/>
    </row>
    <row r="334" spans="27:28">
      <c r="AA334" s="25"/>
      <c r="AB334" s="25"/>
    </row>
    <row r="335" spans="27:28">
      <c r="AA335" s="25"/>
      <c r="AB335" s="25"/>
    </row>
    <row r="336" spans="27:28">
      <c r="AA336" s="25"/>
      <c r="AB336" s="25"/>
    </row>
    <row r="337" spans="27:28">
      <c r="AA337" s="25"/>
      <c r="AB337" s="25"/>
    </row>
    <row r="338" spans="27:28">
      <c r="AA338" s="25"/>
      <c r="AB338" s="25"/>
    </row>
    <row r="339" spans="27:28">
      <c r="AA339" s="25"/>
      <c r="AB339" s="25"/>
    </row>
    <row r="340" spans="27:28">
      <c r="AA340" s="25"/>
      <c r="AB340" s="25"/>
    </row>
    <row r="341" spans="27:28">
      <c r="AA341" s="25"/>
      <c r="AB341" s="25"/>
    </row>
    <row r="342" spans="27:28">
      <c r="AA342" s="25"/>
      <c r="AB342" s="25"/>
    </row>
    <row r="343" spans="27:28">
      <c r="AA343" s="25"/>
      <c r="AB343" s="25"/>
    </row>
    <row r="344" spans="27:28">
      <c r="AA344" s="25"/>
      <c r="AB344" s="25"/>
    </row>
    <row r="345" spans="27:28">
      <c r="AA345" s="25"/>
      <c r="AB345" s="25"/>
    </row>
    <row r="346" spans="27:28">
      <c r="AA346" s="25"/>
      <c r="AB346" s="25"/>
    </row>
    <row r="347" spans="27:28">
      <c r="AA347" s="25"/>
      <c r="AB347" s="25"/>
    </row>
    <row r="348" spans="27:28">
      <c r="AA348" s="25"/>
      <c r="AB348" s="25"/>
    </row>
    <row r="349" spans="27:28">
      <c r="AA349" s="25"/>
      <c r="AB349" s="25"/>
    </row>
    <row r="350" spans="27:28">
      <c r="AA350" s="25"/>
      <c r="AB350" s="25"/>
    </row>
    <row r="351" spans="27:28">
      <c r="AA351" s="25"/>
      <c r="AB351" s="25"/>
    </row>
    <row r="352" spans="27:28">
      <c r="AA352" s="25"/>
      <c r="AB352" s="25"/>
    </row>
    <row r="353" spans="27:28">
      <c r="AA353" s="25"/>
      <c r="AB353" s="25"/>
    </row>
    <row r="354" spans="27:28">
      <c r="AA354" s="25"/>
      <c r="AB354" s="25"/>
    </row>
    <row r="355" spans="27:28">
      <c r="AA355" s="25"/>
      <c r="AB355" s="25"/>
    </row>
    <row r="356" spans="27:28">
      <c r="AA356" s="25"/>
      <c r="AB356" s="25"/>
    </row>
    <row r="357" spans="27:28">
      <c r="AA357" s="25"/>
      <c r="AB357" s="25"/>
    </row>
    <row r="358" spans="27:28">
      <c r="AA358" s="25"/>
      <c r="AB358" s="25"/>
    </row>
    <row r="359" spans="27:28">
      <c r="AA359" s="25"/>
      <c r="AB359" s="25"/>
    </row>
    <row r="360" spans="27:28">
      <c r="AA360" s="25"/>
      <c r="AB360" s="25"/>
    </row>
    <row r="361" spans="27:28">
      <c r="AA361" s="25"/>
      <c r="AB361" s="25"/>
    </row>
    <row r="362" spans="27:28">
      <c r="AA362" s="25"/>
      <c r="AB362" s="25"/>
    </row>
    <row r="363" spans="27:28">
      <c r="AA363" s="25"/>
      <c r="AB363" s="25"/>
    </row>
    <row r="364" spans="27:28">
      <c r="AA364" s="25"/>
      <c r="AB364" s="25"/>
    </row>
    <row r="365" spans="27:28">
      <c r="AA365" s="25"/>
      <c r="AB365" s="25"/>
    </row>
    <row r="366" spans="27:28">
      <c r="AA366" s="25"/>
      <c r="AB366" s="25"/>
    </row>
    <row r="367" spans="27:28">
      <c r="AA367" s="25"/>
      <c r="AB367" s="25"/>
    </row>
    <row r="368" spans="27:28">
      <c r="AA368" s="25"/>
      <c r="AB368" s="25"/>
    </row>
    <row r="369" spans="27:28">
      <c r="AA369" s="25"/>
      <c r="AB369" s="25"/>
    </row>
    <row r="370" spans="27:28">
      <c r="AA370" s="25"/>
      <c r="AB370" s="25"/>
    </row>
    <row r="371" spans="27:28">
      <c r="AA371" s="25"/>
      <c r="AB371" s="25"/>
    </row>
    <row r="372" spans="27:28">
      <c r="AA372" s="25"/>
      <c r="AB372" s="25"/>
    </row>
    <row r="373" spans="27:28">
      <c r="AA373" s="25"/>
      <c r="AB373" s="25"/>
    </row>
    <row r="374" spans="27:28">
      <c r="AA374" s="25"/>
      <c r="AB374" s="25"/>
    </row>
    <row r="375" spans="27:28">
      <c r="AA375" s="25"/>
      <c r="AB375" s="25"/>
    </row>
    <row r="376" spans="27:28">
      <c r="AA376" s="25"/>
      <c r="AB376" s="25"/>
    </row>
    <row r="377" spans="27:28">
      <c r="AA377" s="25"/>
      <c r="AB377" s="25"/>
    </row>
    <row r="378" spans="27:28">
      <c r="AA378" s="25"/>
      <c r="AB378" s="25"/>
    </row>
    <row r="379" spans="27:28">
      <c r="AA379" s="25"/>
      <c r="AB379" s="25"/>
    </row>
    <row r="380" spans="27:28">
      <c r="AA380" s="25"/>
      <c r="AB380" s="25"/>
    </row>
    <row r="381" spans="27:28">
      <c r="AA381" s="25"/>
      <c r="AB381" s="25"/>
    </row>
    <row r="382" spans="27:28">
      <c r="AA382" s="25"/>
      <c r="AB382" s="25"/>
    </row>
    <row r="383" spans="27:28">
      <c r="AA383" s="25"/>
      <c r="AB383" s="25"/>
    </row>
    <row r="384" spans="27:28">
      <c r="AA384" s="25"/>
      <c r="AB384" s="25"/>
    </row>
    <row r="385" spans="27:28">
      <c r="AA385" s="25"/>
      <c r="AB385" s="25"/>
    </row>
    <row r="386" spans="27:28">
      <c r="AA386" s="25"/>
      <c r="AB386" s="25"/>
    </row>
    <row r="387" spans="27:28">
      <c r="AA387" s="25"/>
      <c r="AB387" s="25"/>
    </row>
    <row r="388" spans="27:28">
      <c r="AA388" s="25"/>
      <c r="AB388" s="25"/>
    </row>
    <row r="389" spans="27:28">
      <c r="AA389" s="25"/>
      <c r="AB389" s="25"/>
    </row>
    <row r="390" spans="27:28">
      <c r="AA390" s="25"/>
      <c r="AB390" s="25"/>
    </row>
    <row r="391" spans="27:28">
      <c r="AA391" s="25"/>
      <c r="AB391" s="25"/>
    </row>
    <row r="392" spans="27:28">
      <c r="AA392" s="25"/>
      <c r="AB392" s="25"/>
    </row>
    <row r="393" spans="27:28">
      <c r="AA393" s="25"/>
      <c r="AB393" s="25"/>
    </row>
    <row r="394" spans="27:28">
      <c r="AA394" s="25"/>
      <c r="AB394" s="25"/>
    </row>
    <row r="395" spans="27:28">
      <c r="AA395" s="25"/>
      <c r="AB395" s="25"/>
    </row>
    <row r="396" spans="27:28">
      <c r="AA396" s="25"/>
      <c r="AB396" s="25"/>
    </row>
    <row r="397" spans="27:28">
      <c r="AA397" s="25"/>
      <c r="AB397" s="25"/>
    </row>
    <row r="398" spans="27:28">
      <c r="AA398" s="25"/>
      <c r="AB398" s="25"/>
    </row>
    <row r="399" spans="27:28">
      <c r="AA399" s="25"/>
      <c r="AB399" s="25"/>
    </row>
    <row r="400" spans="27:28">
      <c r="AA400" s="25"/>
      <c r="AB400" s="25"/>
    </row>
    <row r="401" spans="27:28">
      <c r="AA401" s="25"/>
      <c r="AB401" s="25"/>
    </row>
    <row r="402" spans="27:28">
      <c r="AA402" s="25"/>
      <c r="AB402" s="25"/>
    </row>
    <row r="403" spans="27:28">
      <c r="AA403" s="25"/>
      <c r="AB403" s="25"/>
    </row>
    <row r="404" spans="27:28">
      <c r="AA404" s="25"/>
      <c r="AB404" s="25"/>
    </row>
    <row r="405" spans="27:28">
      <c r="AA405" s="25"/>
      <c r="AB405" s="25"/>
    </row>
    <row r="406" spans="27:28">
      <c r="AA406" s="25"/>
      <c r="AB406" s="25"/>
    </row>
    <row r="407" spans="27:28">
      <c r="AA407" s="25"/>
      <c r="AB407" s="25"/>
    </row>
    <row r="408" spans="27:28">
      <c r="AA408" s="25"/>
      <c r="AB408" s="25"/>
    </row>
    <row r="409" spans="27:28">
      <c r="AA409" s="25"/>
      <c r="AB409" s="25"/>
    </row>
    <row r="410" spans="27:28">
      <c r="AA410" s="25"/>
      <c r="AB410" s="25"/>
    </row>
    <row r="411" spans="27:28">
      <c r="AA411" s="25"/>
      <c r="AB411" s="25"/>
    </row>
    <row r="412" spans="27:28">
      <c r="AA412" s="25"/>
      <c r="AB412" s="25"/>
    </row>
    <row r="413" spans="27:28">
      <c r="AA413" s="25"/>
      <c r="AB413" s="25"/>
    </row>
    <row r="414" spans="27:28">
      <c r="AA414" s="25"/>
      <c r="AB414" s="25"/>
    </row>
    <row r="415" spans="27:28">
      <c r="AA415" s="25"/>
      <c r="AB415" s="25"/>
    </row>
    <row r="416" spans="27:28">
      <c r="AA416" s="25"/>
      <c r="AB416" s="25"/>
    </row>
    <row r="417" spans="27:28">
      <c r="AA417" s="25"/>
      <c r="AB417" s="25"/>
    </row>
    <row r="418" spans="27:28">
      <c r="AA418" s="25"/>
      <c r="AB418" s="25"/>
    </row>
    <row r="419" spans="27:28">
      <c r="AA419" s="25"/>
      <c r="AB419" s="25"/>
    </row>
    <row r="420" spans="27:28">
      <c r="AA420" s="25"/>
      <c r="AB420" s="25"/>
    </row>
    <row r="421" spans="27:28">
      <c r="AA421" s="25"/>
      <c r="AB421" s="25"/>
    </row>
    <row r="422" spans="27:28">
      <c r="AA422" s="25"/>
      <c r="AB422" s="25"/>
    </row>
    <row r="423" spans="27:28">
      <c r="AA423" s="25"/>
      <c r="AB423" s="25"/>
    </row>
    <row r="424" spans="27:28">
      <c r="AA424" s="25"/>
      <c r="AB424" s="25"/>
    </row>
    <row r="425" spans="27:28">
      <c r="AA425" s="25"/>
      <c r="AB425" s="25"/>
    </row>
    <row r="426" spans="27:28">
      <c r="AA426" s="25"/>
      <c r="AB426" s="25"/>
    </row>
    <row r="427" spans="27:28">
      <c r="AA427" s="25"/>
      <c r="AB427" s="25"/>
    </row>
    <row r="428" spans="27:28">
      <c r="AA428" s="25"/>
      <c r="AB428" s="25"/>
    </row>
    <row r="429" spans="27:28">
      <c r="AA429" s="25"/>
      <c r="AB429" s="25"/>
    </row>
    <row r="430" spans="27:28">
      <c r="AA430" s="25"/>
      <c r="AB430" s="25"/>
    </row>
    <row r="431" spans="27:28">
      <c r="AA431" s="25"/>
      <c r="AB431" s="25"/>
    </row>
    <row r="432" spans="27:28">
      <c r="AA432" s="25"/>
      <c r="AB432" s="25"/>
    </row>
    <row r="433" spans="27:28">
      <c r="AA433" s="25"/>
      <c r="AB433" s="25"/>
    </row>
    <row r="434" spans="27:28">
      <c r="AA434" s="25"/>
      <c r="AB434" s="25"/>
    </row>
    <row r="435" spans="27:28">
      <c r="AA435" s="25"/>
      <c r="AB435" s="25"/>
    </row>
    <row r="436" spans="27:28">
      <c r="AA436" s="25"/>
      <c r="AB436" s="25"/>
    </row>
    <row r="437" spans="27:28">
      <c r="AA437" s="25"/>
      <c r="AB437" s="25"/>
    </row>
    <row r="438" spans="27:28">
      <c r="AA438" s="25"/>
      <c r="AB438" s="25"/>
    </row>
    <row r="439" spans="27:28">
      <c r="AA439" s="25"/>
      <c r="AB439" s="25"/>
    </row>
    <row r="440" spans="27:28">
      <c r="AA440" s="25"/>
      <c r="AB440" s="25"/>
    </row>
    <row r="441" spans="27:28">
      <c r="AA441" s="25"/>
      <c r="AB441" s="25"/>
    </row>
    <row r="442" spans="27:28">
      <c r="AA442" s="25"/>
      <c r="AB442" s="25"/>
    </row>
    <row r="443" spans="27:28">
      <c r="AA443" s="25"/>
      <c r="AB443" s="25"/>
    </row>
    <row r="444" spans="27:28">
      <c r="AA444" s="25"/>
      <c r="AB444" s="25"/>
    </row>
    <row r="445" spans="27:28">
      <c r="AA445" s="25"/>
      <c r="AB445" s="25"/>
    </row>
    <row r="446" spans="27:28">
      <c r="AA446" s="25"/>
      <c r="AB446" s="25"/>
    </row>
    <row r="447" spans="27:28">
      <c r="AA447" s="25"/>
      <c r="AB447" s="25"/>
    </row>
    <row r="448" spans="27:28">
      <c r="AA448" s="25"/>
      <c r="AB448" s="25"/>
    </row>
    <row r="449" spans="27:28">
      <c r="AA449" s="25"/>
      <c r="AB449" s="25"/>
    </row>
    <row r="450" spans="27:28">
      <c r="AA450" s="25"/>
      <c r="AB450" s="25"/>
    </row>
    <row r="451" spans="27:28">
      <c r="AA451" s="25"/>
      <c r="AB451" s="25"/>
    </row>
    <row r="452" spans="27:28">
      <c r="AA452" s="25"/>
      <c r="AB452" s="25"/>
    </row>
    <row r="453" spans="27:28">
      <c r="AA453" s="25"/>
      <c r="AB453" s="25"/>
    </row>
    <row r="454" spans="27:28">
      <c r="AA454" s="25"/>
      <c r="AB454" s="25"/>
    </row>
    <row r="455" spans="27:28">
      <c r="AA455" s="25"/>
      <c r="AB455" s="25"/>
    </row>
    <row r="456" spans="27:28">
      <c r="AA456" s="25"/>
      <c r="AB456" s="25"/>
    </row>
    <row r="457" spans="27:28">
      <c r="AA457" s="25"/>
      <c r="AB457" s="25"/>
    </row>
    <row r="458" spans="27:28">
      <c r="AA458" s="25"/>
      <c r="AB458" s="25"/>
    </row>
    <row r="459" spans="27:28">
      <c r="AA459" s="25"/>
      <c r="AB459" s="25"/>
    </row>
    <row r="460" spans="27:28">
      <c r="AA460" s="25"/>
      <c r="AB460" s="25"/>
    </row>
    <row r="461" spans="27:28">
      <c r="AA461" s="25"/>
      <c r="AB461" s="25"/>
    </row>
    <row r="462" spans="27:28">
      <c r="AA462" s="25"/>
      <c r="AB462" s="25"/>
    </row>
    <row r="463" spans="27:28">
      <c r="AA463" s="25"/>
      <c r="AB463" s="25"/>
    </row>
    <row r="464" spans="27:28">
      <c r="AA464" s="25"/>
      <c r="AB464" s="25"/>
    </row>
    <row r="465" spans="27:28">
      <c r="AA465" s="25"/>
      <c r="AB465" s="25"/>
    </row>
    <row r="466" spans="27:28">
      <c r="AA466" s="25"/>
      <c r="AB466" s="25"/>
    </row>
    <row r="467" spans="27:28">
      <c r="AA467" s="25"/>
      <c r="AB467" s="25"/>
    </row>
    <row r="468" spans="27:28">
      <c r="AA468" s="25"/>
      <c r="AB468" s="25"/>
    </row>
    <row r="469" spans="27:28">
      <c r="AA469" s="25"/>
      <c r="AB469" s="25"/>
    </row>
    <row r="470" spans="27:28">
      <c r="AA470" s="25"/>
      <c r="AB470" s="25"/>
    </row>
    <row r="471" spans="27:28">
      <c r="AA471" s="25"/>
      <c r="AB471" s="25"/>
    </row>
    <row r="472" spans="27:28">
      <c r="AA472" s="25"/>
      <c r="AB472" s="25"/>
    </row>
    <row r="473" spans="27:28">
      <c r="AA473" s="25"/>
      <c r="AB473" s="25"/>
    </row>
    <row r="474" spans="27:28">
      <c r="AA474" s="25"/>
      <c r="AB474" s="25"/>
    </row>
    <row r="475" spans="27:28">
      <c r="AA475" s="25"/>
      <c r="AB475" s="25"/>
    </row>
    <row r="476" spans="27:28">
      <c r="AA476" s="25"/>
      <c r="AB476" s="25"/>
    </row>
    <row r="477" spans="27:28">
      <c r="AA477" s="25"/>
      <c r="AB477" s="25"/>
    </row>
    <row r="478" spans="27:28">
      <c r="AA478" s="25"/>
      <c r="AB478" s="25"/>
    </row>
    <row r="479" spans="27:28">
      <c r="AA479" s="25"/>
      <c r="AB479" s="25"/>
    </row>
    <row r="480" spans="27:28">
      <c r="AA480" s="25"/>
      <c r="AB480" s="25"/>
    </row>
    <row r="481" spans="27:28">
      <c r="AA481" s="25"/>
      <c r="AB481" s="25"/>
    </row>
    <row r="482" spans="27:28">
      <c r="AA482" s="25"/>
      <c r="AB482" s="25"/>
    </row>
    <row r="483" spans="27:28">
      <c r="AA483" s="25"/>
      <c r="AB483" s="25"/>
    </row>
    <row r="484" spans="27:28">
      <c r="AA484" s="25"/>
      <c r="AB484" s="25"/>
    </row>
    <row r="485" spans="27:28">
      <c r="AA485" s="25"/>
      <c r="AB485" s="25"/>
    </row>
    <row r="486" spans="27:28">
      <c r="AA486" s="25"/>
      <c r="AB486" s="25"/>
    </row>
    <row r="487" spans="27:28">
      <c r="AA487" s="25"/>
      <c r="AB487" s="25"/>
    </row>
    <row r="488" spans="27:28">
      <c r="AA488" s="25"/>
      <c r="AB488" s="25"/>
    </row>
    <row r="489" spans="27:28">
      <c r="AA489" s="25"/>
      <c r="AB489" s="25"/>
    </row>
    <row r="490" spans="27:28">
      <c r="AA490" s="25"/>
      <c r="AB490" s="25"/>
    </row>
    <row r="491" spans="27:28">
      <c r="AA491" s="25"/>
      <c r="AB491" s="25"/>
    </row>
    <row r="492" spans="27:28">
      <c r="AA492" s="25"/>
      <c r="AB492" s="25"/>
    </row>
    <row r="493" spans="27:28">
      <c r="AA493" s="25"/>
      <c r="AB493" s="25"/>
    </row>
    <row r="494" spans="27:28">
      <c r="AA494" s="25"/>
      <c r="AB494" s="25"/>
    </row>
    <row r="495" spans="27:28">
      <c r="AA495" s="25"/>
      <c r="AB495" s="25"/>
    </row>
    <row r="496" spans="27:28">
      <c r="AA496" s="25"/>
      <c r="AB496" s="25"/>
    </row>
    <row r="497" spans="27:28">
      <c r="AA497" s="25"/>
      <c r="AB497" s="25"/>
    </row>
    <row r="498" spans="27:28">
      <c r="AA498" s="25"/>
      <c r="AB498" s="25"/>
    </row>
    <row r="499" spans="27:28">
      <c r="AA499" s="25"/>
      <c r="AB499" s="25"/>
    </row>
    <row r="500" spans="27:28">
      <c r="AA500" s="25"/>
      <c r="AB500" s="25"/>
    </row>
    <row r="501" spans="27:28">
      <c r="AA501" s="25"/>
      <c r="AB501" s="25"/>
    </row>
    <row r="502" spans="27:28">
      <c r="AA502" s="25"/>
      <c r="AB502" s="25"/>
    </row>
    <row r="503" spans="27:28">
      <c r="AA503" s="25"/>
      <c r="AB503" s="25"/>
    </row>
    <row r="504" spans="27:28">
      <c r="AA504" s="25"/>
      <c r="AB504" s="25"/>
    </row>
    <row r="505" spans="27:28">
      <c r="AA505" s="25"/>
      <c r="AB505" s="25"/>
    </row>
    <row r="506" spans="27:28">
      <c r="AA506" s="25"/>
      <c r="AB506" s="25"/>
    </row>
    <row r="507" spans="27:28">
      <c r="AA507" s="25"/>
      <c r="AB507" s="25"/>
    </row>
    <row r="508" spans="27:28">
      <c r="AA508" s="25"/>
      <c r="AB508" s="25"/>
    </row>
    <row r="509" spans="27:28">
      <c r="AA509" s="25"/>
      <c r="AB509" s="25"/>
    </row>
    <row r="510" spans="27:28">
      <c r="AA510" s="25"/>
      <c r="AB510" s="25"/>
    </row>
    <row r="511" spans="27:28">
      <c r="AA511" s="25"/>
      <c r="AB511" s="25"/>
    </row>
    <row r="512" spans="27:28">
      <c r="AA512" s="25"/>
      <c r="AB512" s="25"/>
    </row>
    <row r="513" spans="27:28">
      <c r="AA513" s="25"/>
      <c r="AB513" s="25"/>
    </row>
    <row r="514" spans="27:28">
      <c r="AA514" s="25"/>
      <c r="AB514" s="25"/>
    </row>
    <row r="515" spans="27:28">
      <c r="AA515" s="25"/>
      <c r="AB515" s="25"/>
    </row>
    <row r="516" spans="27:28">
      <c r="AA516" s="25"/>
      <c r="AB516" s="25"/>
    </row>
    <row r="517" spans="27:28">
      <c r="AA517" s="25"/>
      <c r="AB517" s="25"/>
    </row>
    <row r="518" spans="27:28">
      <c r="AA518" s="25"/>
      <c r="AB518" s="25"/>
    </row>
    <row r="519" spans="27:28">
      <c r="AA519" s="25"/>
      <c r="AB519" s="25"/>
    </row>
    <row r="520" spans="27:28">
      <c r="AA520" s="25"/>
      <c r="AB520" s="25"/>
    </row>
    <row r="521" spans="27:28">
      <c r="AA521" s="25"/>
      <c r="AB521" s="25"/>
    </row>
    <row r="522" spans="27:28">
      <c r="AA522" s="25"/>
      <c r="AB522" s="25"/>
    </row>
    <row r="523" spans="27:28">
      <c r="AA523" s="25"/>
      <c r="AB523" s="25"/>
    </row>
    <row r="524" spans="27:28">
      <c r="AA524" s="25"/>
      <c r="AB524" s="25"/>
    </row>
    <row r="525" spans="27:28">
      <c r="AA525" s="25"/>
      <c r="AB525" s="25"/>
    </row>
    <row r="526" spans="27:28">
      <c r="AA526" s="25"/>
      <c r="AB526" s="25"/>
    </row>
    <row r="527" spans="27:28">
      <c r="AA527" s="25"/>
      <c r="AB527" s="25"/>
    </row>
    <row r="528" spans="27:28">
      <c r="AA528" s="25"/>
      <c r="AB528" s="25"/>
    </row>
    <row r="529" spans="27:28">
      <c r="AA529" s="25"/>
      <c r="AB529" s="25"/>
    </row>
    <row r="530" spans="27:28">
      <c r="AA530" s="25"/>
      <c r="AB530" s="25"/>
    </row>
    <row r="531" spans="27:28">
      <c r="AA531" s="25"/>
      <c r="AB531" s="25"/>
    </row>
    <row r="532" spans="27:28">
      <c r="AA532" s="25"/>
      <c r="AB532" s="25"/>
    </row>
    <row r="533" spans="27:28">
      <c r="AA533" s="25"/>
      <c r="AB533" s="25"/>
    </row>
    <row r="534" spans="27:28">
      <c r="AA534" s="25"/>
      <c r="AB534" s="25"/>
    </row>
    <row r="535" spans="27:28">
      <c r="AA535" s="25"/>
      <c r="AB535" s="25"/>
    </row>
    <row r="536" spans="27:28">
      <c r="AA536" s="25"/>
      <c r="AB536" s="25"/>
    </row>
    <row r="537" spans="27:28">
      <c r="AA537" s="25"/>
      <c r="AB537" s="25"/>
    </row>
    <row r="538" spans="27:28">
      <c r="AA538" s="25"/>
      <c r="AB538" s="25"/>
    </row>
    <row r="539" spans="27:28">
      <c r="AA539" s="25"/>
      <c r="AB539" s="25"/>
    </row>
    <row r="540" spans="27:28">
      <c r="AA540" s="25"/>
      <c r="AB540" s="25"/>
    </row>
    <row r="541" spans="27:28">
      <c r="AA541" s="25"/>
      <c r="AB541" s="25"/>
    </row>
    <row r="542" spans="27:28">
      <c r="AA542" s="25"/>
      <c r="AB542" s="25"/>
    </row>
    <row r="543" spans="27:28">
      <c r="AA543" s="25"/>
      <c r="AB543" s="25"/>
    </row>
    <row r="544" spans="27:28">
      <c r="AA544" s="25"/>
      <c r="AB544" s="25"/>
    </row>
    <row r="545" spans="27:28">
      <c r="AA545" s="25"/>
      <c r="AB545" s="25"/>
    </row>
    <row r="546" spans="27:28">
      <c r="AA546" s="25"/>
      <c r="AB546" s="25"/>
    </row>
    <row r="547" spans="27:28">
      <c r="AA547" s="25"/>
      <c r="AB547" s="25"/>
    </row>
    <row r="548" spans="27:28">
      <c r="AA548" s="25"/>
      <c r="AB548" s="25"/>
    </row>
    <row r="549" spans="27:28">
      <c r="AA549" s="25"/>
      <c r="AB549" s="25"/>
    </row>
    <row r="550" spans="27:28">
      <c r="AA550" s="25"/>
      <c r="AB550" s="25"/>
    </row>
    <row r="551" spans="27:28">
      <c r="AA551" s="25"/>
      <c r="AB551" s="25"/>
    </row>
    <row r="552" spans="27:28">
      <c r="AA552" s="25"/>
      <c r="AB552" s="25"/>
    </row>
    <row r="553" spans="27:28">
      <c r="AA553" s="25"/>
      <c r="AB553" s="25"/>
    </row>
    <row r="554" spans="27:28">
      <c r="AA554" s="25"/>
      <c r="AB554" s="25"/>
    </row>
    <row r="555" spans="27:28">
      <c r="AA555" s="25"/>
      <c r="AB555" s="25"/>
    </row>
    <row r="556" spans="27:28">
      <c r="AA556" s="25"/>
      <c r="AB556" s="25"/>
    </row>
    <row r="557" spans="27:28">
      <c r="AA557" s="25"/>
      <c r="AB557" s="25"/>
    </row>
    <row r="558" spans="27:28">
      <c r="AA558" s="25"/>
      <c r="AB558" s="25"/>
    </row>
    <row r="559" spans="27:28">
      <c r="AA559" s="25"/>
      <c r="AB559" s="25"/>
    </row>
    <row r="560" spans="27:28">
      <c r="AA560" s="25"/>
      <c r="AB560" s="25"/>
    </row>
    <row r="561" spans="27:28">
      <c r="AA561" s="25"/>
      <c r="AB561" s="25"/>
    </row>
    <row r="562" spans="27:28">
      <c r="AA562" s="25"/>
      <c r="AB562" s="25"/>
    </row>
    <row r="563" spans="27:28">
      <c r="AA563" s="25"/>
      <c r="AB563" s="25"/>
    </row>
    <row r="564" spans="27:28">
      <c r="AA564" s="25"/>
      <c r="AB564" s="25"/>
    </row>
    <row r="565" spans="27:28">
      <c r="AA565" s="25"/>
      <c r="AB565" s="25"/>
    </row>
    <row r="566" spans="27:28">
      <c r="AA566" s="25"/>
      <c r="AB566" s="25"/>
    </row>
    <row r="567" spans="27:28">
      <c r="AA567" s="25"/>
      <c r="AB567" s="25"/>
    </row>
    <row r="568" spans="27:28">
      <c r="AA568" s="25"/>
      <c r="AB568" s="25"/>
    </row>
    <row r="569" spans="27:28">
      <c r="AA569" s="25"/>
      <c r="AB569" s="25"/>
    </row>
    <row r="570" spans="27:28">
      <c r="AA570" s="25"/>
      <c r="AB570" s="25"/>
    </row>
    <row r="571" spans="27:28">
      <c r="AA571" s="25"/>
      <c r="AB571" s="25"/>
    </row>
    <row r="572" spans="27:28">
      <c r="AA572" s="25"/>
      <c r="AB572" s="25"/>
    </row>
    <row r="573" spans="27:28">
      <c r="AA573" s="25"/>
      <c r="AB573" s="25"/>
    </row>
    <row r="574" spans="27:28">
      <c r="AA574" s="25"/>
      <c r="AB574" s="25"/>
    </row>
    <row r="575" spans="27:28">
      <c r="AA575" s="25"/>
      <c r="AB575" s="25"/>
    </row>
    <row r="576" spans="27:28">
      <c r="AA576" s="25"/>
      <c r="AB576" s="25"/>
    </row>
    <row r="577" spans="27:28">
      <c r="AA577" s="25"/>
      <c r="AB577" s="25"/>
    </row>
    <row r="578" spans="27:28">
      <c r="AA578" s="25"/>
      <c r="AB578" s="25"/>
    </row>
    <row r="579" spans="27:28">
      <c r="AA579" s="25"/>
      <c r="AB579" s="25"/>
    </row>
    <row r="580" spans="27:28">
      <c r="AA580" s="25"/>
      <c r="AB580" s="25"/>
    </row>
    <row r="581" spans="27:28">
      <c r="AA581" s="25"/>
      <c r="AB581" s="25"/>
    </row>
    <row r="582" spans="27:28">
      <c r="AA582" s="25"/>
      <c r="AB582" s="25"/>
    </row>
    <row r="583" spans="27:28">
      <c r="AA583" s="25"/>
      <c r="AB583" s="25"/>
    </row>
    <row r="584" spans="27:28">
      <c r="AA584" s="25"/>
      <c r="AB584" s="25"/>
    </row>
    <row r="585" spans="27:28">
      <c r="AA585" s="25"/>
      <c r="AB585" s="25"/>
    </row>
    <row r="586" spans="27:28">
      <c r="AA586" s="25"/>
      <c r="AB586" s="25"/>
    </row>
    <row r="587" spans="27:28">
      <c r="AA587" s="25"/>
      <c r="AB587" s="25"/>
    </row>
    <row r="588" spans="27:28">
      <c r="AA588" s="25"/>
      <c r="AB588" s="25"/>
    </row>
    <row r="589" spans="27:28">
      <c r="AA589" s="25"/>
      <c r="AB589" s="25"/>
    </row>
    <row r="590" spans="27:28">
      <c r="AA590" s="25"/>
      <c r="AB590" s="25"/>
    </row>
    <row r="591" spans="27:28">
      <c r="AA591" s="25"/>
      <c r="AB591" s="25"/>
    </row>
    <row r="592" spans="27:28">
      <c r="AA592" s="25"/>
      <c r="AB592" s="25"/>
    </row>
    <row r="593" spans="27:28">
      <c r="AA593" s="25"/>
      <c r="AB593" s="25"/>
    </row>
    <row r="594" spans="27:28">
      <c r="AA594" s="25"/>
      <c r="AB594" s="25"/>
    </row>
    <row r="595" spans="27:28">
      <c r="AA595" s="25"/>
      <c r="AB595" s="25"/>
    </row>
    <row r="596" spans="27:28">
      <c r="AA596" s="25"/>
      <c r="AB596" s="25"/>
    </row>
    <row r="597" spans="27:28">
      <c r="AA597" s="25"/>
      <c r="AB597" s="25"/>
    </row>
    <row r="598" spans="27:28">
      <c r="AA598" s="25"/>
      <c r="AB598" s="25"/>
    </row>
    <row r="599" spans="27:28">
      <c r="AA599" s="25"/>
      <c r="AB599" s="25"/>
    </row>
    <row r="600" spans="27:28">
      <c r="AA600" s="25"/>
      <c r="AB600" s="25"/>
    </row>
    <row r="601" spans="27:28">
      <c r="AA601" s="25"/>
      <c r="AB601" s="25"/>
    </row>
    <row r="602" spans="27:28">
      <c r="AA602" s="25"/>
      <c r="AB602" s="25"/>
    </row>
    <row r="603" spans="27:28">
      <c r="AA603" s="25"/>
      <c r="AB603" s="25"/>
    </row>
    <row r="604" spans="27:28">
      <c r="AA604" s="25"/>
      <c r="AB604" s="25"/>
    </row>
    <row r="605" spans="27:28">
      <c r="AA605" s="25"/>
      <c r="AB605" s="25"/>
    </row>
    <row r="606" spans="27:28">
      <c r="AA606" s="25"/>
      <c r="AB606" s="25"/>
    </row>
    <row r="607" spans="27:28">
      <c r="AA607" s="25"/>
      <c r="AB607" s="25"/>
    </row>
    <row r="608" spans="27:28">
      <c r="AA608" s="25"/>
      <c r="AB608" s="25"/>
    </row>
    <row r="609" spans="27:28">
      <c r="AA609" s="25"/>
      <c r="AB609" s="25"/>
    </row>
    <row r="610" spans="27:28">
      <c r="AA610" s="25"/>
      <c r="AB610" s="25"/>
    </row>
    <row r="611" spans="27:28">
      <c r="AA611" s="25"/>
      <c r="AB611" s="25"/>
    </row>
    <row r="612" spans="27:28">
      <c r="AA612" s="25"/>
      <c r="AB612" s="25"/>
    </row>
    <row r="613" spans="27:28">
      <c r="AA613" s="25"/>
      <c r="AB613" s="25"/>
    </row>
    <row r="614" spans="27:28">
      <c r="AA614" s="25"/>
      <c r="AB614" s="25"/>
    </row>
    <row r="615" spans="27:28">
      <c r="AA615" s="25"/>
      <c r="AB615" s="25"/>
    </row>
    <row r="616" spans="27:28">
      <c r="AA616" s="25"/>
      <c r="AB616" s="25"/>
    </row>
    <row r="617" spans="27:28">
      <c r="AA617" s="25"/>
      <c r="AB617" s="25"/>
    </row>
    <row r="618" spans="27:28">
      <c r="AA618" s="25"/>
      <c r="AB618" s="25"/>
    </row>
    <row r="619" spans="27:28">
      <c r="AA619" s="25"/>
      <c r="AB619" s="25"/>
    </row>
    <row r="620" spans="27:28">
      <c r="AA620" s="25"/>
      <c r="AB620" s="25"/>
    </row>
    <row r="621" spans="27:28">
      <c r="AA621" s="25"/>
      <c r="AB621" s="25"/>
    </row>
    <row r="622" spans="27:28">
      <c r="AA622" s="25"/>
      <c r="AB622" s="25"/>
    </row>
    <row r="623" spans="27:28">
      <c r="AA623" s="25"/>
      <c r="AB623" s="25"/>
    </row>
    <row r="624" spans="27:28">
      <c r="AA624" s="25"/>
      <c r="AB624" s="25"/>
    </row>
    <row r="625" spans="27:28">
      <c r="AA625" s="25"/>
      <c r="AB625" s="25"/>
    </row>
    <row r="626" spans="27:28">
      <c r="AA626" s="25"/>
      <c r="AB626" s="25"/>
    </row>
    <row r="627" spans="27:28">
      <c r="AA627" s="25"/>
      <c r="AB627" s="25"/>
    </row>
    <row r="628" spans="27:28">
      <c r="AA628" s="25"/>
      <c r="AB628" s="25"/>
    </row>
    <row r="629" spans="27:28">
      <c r="AA629" s="25"/>
      <c r="AB629" s="25"/>
    </row>
    <row r="630" spans="27:28">
      <c r="AA630" s="25"/>
      <c r="AB630" s="25"/>
    </row>
    <row r="631" spans="27:28">
      <c r="AA631" s="25"/>
      <c r="AB631" s="25"/>
    </row>
    <row r="632" spans="27:28">
      <c r="AA632" s="25"/>
      <c r="AB632" s="25"/>
    </row>
    <row r="633" spans="27:28">
      <c r="AA633" s="25"/>
      <c r="AB633" s="25"/>
    </row>
    <row r="634" spans="27:28">
      <c r="AA634" s="25"/>
      <c r="AB634" s="25"/>
    </row>
    <row r="635" spans="27:28">
      <c r="AA635" s="25"/>
      <c r="AB635" s="25"/>
    </row>
    <row r="636" spans="27:28">
      <c r="AA636" s="25"/>
      <c r="AB636" s="25"/>
    </row>
    <row r="637" spans="27:28">
      <c r="AA637" s="25"/>
      <c r="AB637" s="25"/>
    </row>
    <row r="638" spans="27:28">
      <c r="AA638" s="25"/>
      <c r="AB638" s="25"/>
    </row>
    <row r="639" spans="27:28">
      <c r="AA639" s="25"/>
      <c r="AB639" s="25"/>
    </row>
    <row r="640" spans="27:28">
      <c r="AA640" s="25"/>
      <c r="AB640" s="25"/>
    </row>
    <row r="641" spans="27:28">
      <c r="AA641" s="25"/>
      <c r="AB641" s="25"/>
    </row>
    <row r="642" spans="27:28">
      <c r="AA642" s="25"/>
      <c r="AB642" s="25"/>
    </row>
    <row r="643" spans="27:28">
      <c r="AA643" s="25"/>
      <c r="AB643" s="25"/>
    </row>
    <row r="644" spans="27:28">
      <c r="AA644" s="25"/>
      <c r="AB644" s="25"/>
    </row>
    <row r="645" spans="27:28">
      <c r="AA645" s="25"/>
      <c r="AB645" s="25"/>
    </row>
    <row r="646" spans="27:28">
      <c r="AA646" s="25"/>
      <c r="AB646" s="25"/>
    </row>
    <row r="647" spans="27:28">
      <c r="AA647" s="25"/>
      <c r="AB647" s="25"/>
    </row>
    <row r="648" spans="27:28">
      <c r="AA648" s="25"/>
      <c r="AB648" s="25"/>
    </row>
    <row r="649" spans="27:28">
      <c r="AA649" s="25"/>
      <c r="AB649" s="25"/>
    </row>
    <row r="650" spans="27:28">
      <c r="AA650" s="25"/>
      <c r="AB650" s="25"/>
    </row>
    <row r="651" spans="27:28">
      <c r="AA651" s="25"/>
      <c r="AB651" s="25"/>
    </row>
    <row r="652" spans="27:28">
      <c r="AA652" s="25"/>
      <c r="AB652" s="25"/>
    </row>
    <row r="653" spans="27:28">
      <c r="AA653" s="25"/>
      <c r="AB653" s="25"/>
    </row>
    <row r="654" spans="27:28">
      <c r="AA654" s="25"/>
      <c r="AB654" s="25"/>
    </row>
    <row r="655" spans="27:28">
      <c r="AA655" s="25"/>
      <c r="AB655" s="25"/>
    </row>
    <row r="656" spans="27:28">
      <c r="AA656" s="25"/>
      <c r="AB656" s="25"/>
    </row>
    <row r="657" spans="27:28">
      <c r="AA657" s="25"/>
      <c r="AB657" s="25"/>
    </row>
    <row r="658" spans="27:28">
      <c r="AA658" s="25"/>
      <c r="AB658" s="25"/>
    </row>
    <row r="659" spans="27:28">
      <c r="AA659" s="25"/>
      <c r="AB659" s="25"/>
    </row>
    <row r="660" spans="27:28">
      <c r="AA660" s="25"/>
      <c r="AB660" s="25"/>
    </row>
    <row r="661" spans="27:28">
      <c r="AA661" s="25"/>
      <c r="AB661" s="25"/>
    </row>
    <row r="662" spans="27:28">
      <c r="AA662" s="25"/>
      <c r="AB662" s="25"/>
    </row>
    <row r="663" spans="27:28">
      <c r="AA663" s="25"/>
      <c r="AB663" s="25"/>
    </row>
    <row r="664" spans="27:28">
      <c r="AA664" s="25"/>
      <c r="AB664" s="25"/>
    </row>
    <row r="665" spans="27:28">
      <c r="AA665" s="25"/>
      <c r="AB665" s="25"/>
    </row>
    <row r="666" spans="27:28">
      <c r="AA666" s="25"/>
      <c r="AB666" s="25"/>
    </row>
    <row r="667" spans="27:28">
      <c r="AA667" s="25"/>
      <c r="AB667" s="25"/>
    </row>
    <row r="668" spans="27:28">
      <c r="AA668" s="25"/>
      <c r="AB668" s="25"/>
    </row>
    <row r="669" spans="27:28">
      <c r="AA669" s="25"/>
      <c r="AB669" s="25"/>
    </row>
    <row r="670" spans="27:28">
      <c r="AA670" s="25"/>
      <c r="AB670" s="25"/>
    </row>
    <row r="671" spans="27:28">
      <c r="AA671" s="25"/>
      <c r="AB671" s="25"/>
    </row>
    <row r="672" spans="27:28">
      <c r="AA672" s="25"/>
      <c r="AB672" s="25"/>
    </row>
    <row r="673" spans="27:28">
      <c r="AA673" s="25"/>
      <c r="AB673" s="25"/>
    </row>
    <row r="674" spans="27:28">
      <c r="AA674" s="25"/>
      <c r="AB674" s="25"/>
    </row>
    <row r="675" spans="27:28">
      <c r="AA675" s="25"/>
      <c r="AB675" s="25"/>
    </row>
    <row r="676" spans="27:28">
      <c r="AA676" s="25"/>
      <c r="AB676" s="25"/>
    </row>
    <row r="677" spans="27:28">
      <c r="AA677" s="25"/>
      <c r="AB677" s="25"/>
    </row>
    <row r="678" spans="27:28">
      <c r="AA678" s="25"/>
      <c r="AB678" s="25"/>
    </row>
    <row r="679" spans="27:28">
      <c r="AA679" s="25"/>
      <c r="AB679" s="25"/>
    </row>
    <row r="680" spans="27:28">
      <c r="AA680" s="25"/>
      <c r="AB680" s="25"/>
    </row>
    <row r="681" spans="27:28">
      <c r="AA681" s="25"/>
      <c r="AB681" s="25"/>
    </row>
    <row r="682" spans="27:28">
      <c r="AA682" s="25"/>
      <c r="AB682" s="25"/>
    </row>
    <row r="683" spans="27:28">
      <c r="AA683" s="25"/>
      <c r="AB683" s="25"/>
    </row>
    <row r="684" spans="27:28">
      <c r="AA684" s="25"/>
      <c r="AB684" s="25"/>
    </row>
    <row r="685" spans="27:28">
      <c r="AA685" s="25"/>
      <c r="AB685" s="25"/>
    </row>
    <row r="686" spans="27:28">
      <c r="AA686" s="25"/>
      <c r="AB686" s="25"/>
    </row>
    <row r="687" spans="27:28">
      <c r="AA687" s="25"/>
      <c r="AB687" s="25"/>
    </row>
    <row r="688" spans="27:28">
      <c r="AA688" s="25"/>
      <c r="AB688" s="25"/>
    </row>
    <row r="689" spans="27:28">
      <c r="AA689" s="25"/>
      <c r="AB689" s="25"/>
    </row>
    <row r="690" spans="27:28">
      <c r="AA690" s="25"/>
      <c r="AB690" s="25"/>
    </row>
    <row r="691" spans="27:28">
      <c r="AA691" s="25"/>
      <c r="AB691" s="25"/>
    </row>
    <row r="692" spans="27:28">
      <c r="AA692" s="25"/>
      <c r="AB692" s="25"/>
    </row>
    <row r="693" spans="27:28">
      <c r="AA693" s="25"/>
      <c r="AB693" s="25"/>
    </row>
    <row r="694" spans="27:28">
      <c r="AA694" s="25"/>
      <c r="AB694" s="25"/>
    </row>
    <row r="695" spans="27:28">
      <c r="AA695" s="25"/>
      <c r="AB695" s="25"/>
    </row>
    <row r="696" spans="27:28">
      <c r="AA696" s="25"/>
      <c r="AB696" s="25"/>
    </row>
    <row r="697" spans="27:28">
      <c r="AA697" s="25"/>
      <c r="AB697" s="25"/>
    </row>
    <row r="698" spans="27:28">
      <c r="AA698" s="25"/>
      <c r="AB698" s="25"/>
    </row>
    <row r="699" spans="27:28">
      <c r="AA699" s="25"/>
      <c r="AB699" s="25"/>
    </row>
    <row r="700" spans="27:28">
      <c r="AA700" s="25"/>
      <c r="AB700" s="25"/>
    </row>
    <row r="701" spans="27:28">
      <c r="AA701" s="25"/>
      <c r="AB701" s="25"/>
    </row>
    <row r="702" spans="27:28">
      <c r="AA702" s="25"/>
      <c r="AB702" s="25"/>
    </row>
    <row r="703" spans="27:28">
      <c r="AA703" s="25"/>
      <c r="AB703" s="25"/>
    </row>
    <row r="704" spans="27:28">
      <c r="AA704" s="25"/>
      <c r="AB704" s="25"/>
    </row>
    <row r="705" spans="27:28">
      <c r="AA705" s="25"/>
      <c r="AB705" s="25"/>
    </row>
    <row r="706" spans="27:28">
      <c r="AA706" s="25"/>
      <c r="AB706" s="25"/>
    </row>
    <row r="707" spans="27:28">
      <c r="AA707" s="25"/>
      <c r="AB707" s="25"/>
    </row>
    <row r="708" spans="27:28">
      <c r="AA708" s="25"/>
      <c r="AB708" s="25"/>
    </row>
    <row r="709" spans="27:28">
      <c r="AA709" s="25"/>
      <c r="AB709" s="25"/>
    </row>
    <row r="710" spans="27:28">
      <c r="AA710" s="25"/>
      <c r="AB710" s="25"/>
    </row>
    <row r="711" spans="27:28">
      <c r="AA711" s="25"/>
      <c r="AB711" s="25"/>
    </row>
    <row r="712" spans="27:28">
      <c r="AA712" s="25"/>
      <c r="AB712" s="25"/>
    </row>
    <row r="713" spans="27:28">
      <c r="AA713" s="25"/>
      <c r="AB713" s="25"/>
    </row>
    <row r="714" spans="27:28">
      <c r="AA714" s="25"/>
      <c r="AB714" s="25"/>
    </row>
    <row r="715" spans="27:28">
      <c r="AA715" s="25"/>
      <c r="AB715" s="25"/>
    </row>
    <row r="716" spans="27:28">
      <c r="AA716" s="25"/>
      <c r="AB716" s="25"/>
    </row>
    <row r="717" spans="27:28">
      <c r="AA717" s="25"/>
      <c r="AB717" s="25"/>
    </row>
    <row r="718" spans="27:28">
      <c r="AA718" s="25"/>
      <c r="AB718" s="25"/>
    </row>
    <row r="719" spans="27:28">
      <c r="AA719" s="25"/>
      <c r="AB719" s="25"/>
    </row>
    <row r="720" spans="27:28">
      <c r="AA720" s="25"/>
      <c r="AB720" s="25"/>
    </row>
    <row r="721" spans="27:28">
      <c r="AA721" s="25"/>
      <c r="AB721" s="25"/>
    </row>
    <row r="722" spans="27:28">
      <c r="AA722" s="25"/>
      <c r="AB722" s="25"/>
    </row>
    <row r="723" spans="27:28">
      <c r="AA723" s="25"/>
      <c r="AB723" s="25"/>
    </row>
    <row r="724" spans="27:28">
      <c r="AA724" s="25"/>
      <c r="AB724" s="25"/>
    </row>
    <row r="725" spans="27:28">
      <c r="AA725" s="25"/>
      <c r="AB725" s="25"/>
    </row>
    <row r="726" spans="27:28">
      <c r="AA726" s="25"/>
      <c r="AB726" s="25"/>
    </row>
    <row r="727" spans="27:28">
      <c r="AA727" s="25"/>
      <c r="AB727" s="25"/>
    </row>
    <row r="728" spans="27:28">
      <c r="AA728" s="25"/>
      <c r="AB728" s="25"/>
    </row>
    <row r="729" spans="27:28">
      <c r="AA729" s="25"/>
      <c r="AB729" s="25"/>
    </row>
    <row r="730" spans="27:28">
      <c r="AA730" s="25"/>
      <c r="AB730" s="25"/>
    </row>
    <row r="731" spans="27:28">
      <c r="AA731" s="25"/>
      <c r="AB731" s="25"/>
    </row>
    <row r="732" spans="27:28">
      <c r="AA732" s="25"/>
      <c r="AB732" s="25"/>
    </row>
    <row r="733" spans="27:28">
      <c r="AA733" s="25"/>
      <c r="AB733" s="25"/>
    </row>
    <row r="734" spans="27:28">
      <c r="AA734" s="25"/>
      <c r="AB734" s="25"/>
    </row>
    <row r="735" spans="27:28">
      <c r="AA735" s="25"/>
      <c r="AB735" s="25"/>
    </row>
    <row r="736" spans="27:28">
      <c r="AA736" s="25"/>
      <c r="AB736" s="25"/>
    </row>
    <row r="737" spans="27:28">
      <c r="AA737" s="25"/>
      <c r="AB737" s="25"/>
    </row>
    <row r="738" spans="27:28">
      <c r="AA738" s="25"/>
      <c r="AB738" s="25"/>
    </row>
    <row r="739" spans="27:28">
      <c r="AA739" s="25"/>
      <c r="AB739" s="25"/>
    </row>
    <row r="740" spans="27:28">
      <c r="AA740" s="25"/>
      <c r="AB740" s="25"/>
    </row>
    <row r="741" spans="27:28">
      <c r="AA741" s="25"/>
      <c r="AB741" s="25"/>
    </row>
    <row r="742" spans="27:28">
      <c r="AA742" s="25"/>
      <c r="AB742" s="25"/>
    </row>
    <row r="743" spans="27:28">
      <c r="AA743" s="25"/>
      <c r="AB743" s="25"/>
    </row>
    <row r="744" spans="27:28">
      <c r="AA744" s="25"/>
      <c r="AB744" s="25"/>
    </row>
    <row r="745" spans="27:28">
      <c r="AA745" s="25"/>
      <c r="AB745" s="25"/>
    </row>
    <row r="746" spans="27:28">
      <c r="AA746" s="25"/>
      <c r="AB746" s="25"/>
    </row>
    <row r="747" spans="27:28">
      <c r="AA747" s="25"/>
      <c r="AB747" s="25"/>
    </row>
    <row r="748" spans="27:28">
      <c r="AA748" s="25"/>
      <c r="AB748" s="25"/>
    </row>
    <row r="749" spans="27:28">
      <c r="AA749" s="25"/>
      <c r="AB749" s="25"/>
    </row>
    <row r="750" spans="27:28">
      <c r="AA750" s="25"/>
      <c r="AB750" s="25"/>
    </row>
    <row r="751" spans="27:28">
      <c r="AA751" s="25"/>
      <c r="AB751" s="25"/>
    </row>
    <row r="752" spans="27:28">
      <c r="AA752" s="25"/>
      <c r="AB752" s="25"/>
    </row>
    <row r="753" spans="27:28">
      <c r="AA753" s="25"/>
      <c r="AB753" s="25"/>
    </row>
    <row r="754" spans="27:28">
      <c r="AA754" s="25"/>
      <c r="AB754" s="25"/>
    </row>
    <row r="755" spans="27:28">
      <c r="AA755" s="25"/>
      <c r="AB755" s="25"/>
    </row>
    <row r="756" spans="27:28">
      <c r="AA756" s="25"/>
      <c r="AB756" s="25"/>
    </row>
    <row r="757" spans="27:28">
      <c r="AA757" s="25"/>
      <c r="AB757" s="25"/>
    </row>
    <row r="758" spans="27:28">
      <c r="AA758" s="25"/>
      <c r="AB758" s="25"/>
    </row>
    <row r="759" spans="27:28">
      <c r="AA759" s="25"/>
      <c r="AB759" s="25"/>
    </row>
    <row r="760" spans="27:28">
      <c r="AA760" s="25"/>
      <c r="AB760" s="25"/>
    </row>
    <row r="761" spans="27:28">
      <c r="AA761" s="25"/>
      <c r="AB761" s="25"/>
    </row>
    <row r="762" spans="27:28">
      <c r="AA762" s="25"/>
      <c r="AB762" s="25"/>
    </row>
    <row r="763" spans="27:28">
      <c r="AA763" s="25"/>
      <c r="AB763" s="25"/>
    </row>
    <row r="764" spans="27:28">
      <c r="AA764" s="25"/>
      <c r="AB764" s="25"/>
    </row>
    <row r="765" spans="27:28">
      <c r="AA765" s="25"/>
      <c r="AB765" s="25"/>
    </row>
    <row r="766" spans="27:28">
      <c r="AA766" s="25"/>
      <c r="AB766" s="25"/>
    </row>
    <row r="767" spans="27:28">
      <c r="AA767" s="25"/>
      <c r="AB767" s="25"/>
    </row>
    <row r="768" spans="27:28">
      <c r="AA768" s="25"/>
      <c r="AB768" s="25"/>
    </row>
    <row r="769" spans="27:28">
      <c r="AA769" s="25"/>
      <c r="AB769" s="25"/>
    </row>
    <row r="770" spans="27:28">
      <c r="AA770" s="25"/>
      <c r="AB770" s="25"/>
    </row>
    <row r="771" spans="27:28">
      <c r="AA771" s="25"/>
      <c r="AB771" s="25"/>
    </row>
    <row r="772" spans="27:28">
      <c r="AA772" s="25"/>
      <c r="AB772" s="25"/>
    </row>
    <row r="773" spans="27:28">
      <c r="AA773" s="25"/>
      <c r="AB773" s="25"/>
    </row>
    <row r="774" spans="27:28">
      <c r="AA774" s="25"/>
      <c r="AB774" s="25"/>
    </row>
    <row r="775" spans="27:28">
      <c r="AA775" s="25"/>
      <c r="AB775" s="25"/>
    </row>
    <row r="776" spans="27:28">
      <c r="AA776" s="25"/>
      <c r="AB776" s="25"/>
    </row>
    <row r="777" spans="27:28">
      <c r="AA777" s="25"/>
      <c r="AB777" s="25"/>
    </row>
    <row r="778" spans="27:28">
      <c r="AA778" s="25"/>
      <c r="AB778" s="25"/>
    </row>
    <row r="779" spans="27:28">
      <c r="AA779" s="25"/>
      <c r="AB779" s="25"/>
    </row>
    <row r="780" spans="27:28">
      <c r="AA780" s="25"/>
      <c r="AB780" s="25"/>
    </row>
    <row r="781" spans="27:28">
      <c r="AA781" s="25"/>
      <c r="AB781" s="25"/>
    </row>
    <row r="782" spans="27:28">
      <c r="AA782" s="25"/>
      <c r="AB782" s="25"/>
    </row>
    <row r="783" spans="27:28">
      <c r="AA783" s="25"/>
      <c r="AB783" s="25"/>
    </row>
    <row r="784" spans="27:28">
      <c r="AA784" s="25"/>
      <c r="AB784" s="25"/>
    </row>
    <row r="785" spans="27:28">
      <c r="AA785" s="25"/>
      <c r="AB785" s="25"/>
    </row>
    <row r="786" spans="27:28">
      <c r="AA786" s="25"/>
      <c r="AB786" s="25"/>
    </row>
    <row r="787" spans="27:28">
      <c r="AA787" s="25"/>
      <c r="AB787" s="25"/>
    </row>
    <row r="788" spans="27:28">
      <c r="AA788" s="25"/>
      <c r="AB788" s="25"/>
    </row>
    <row r="789" spans="27:28">
      <c r="AA789" s="25"/>
      <c r="AB789" s="25"/>
    </row>
    <row r="790" spans="27:28">
      <c r="AA790" s="25"/>
      <c r="AB790" s="25"/>
    </row>
    <row r="791" spans="27:28">
      <c r="AA791" s="25"/>
      <c r="AB791" s="25"/>
    </row>
    <row r="792" spans="27:28">
      <c r="AA792" s="25"/>
      <c r="AB792" s="25"/>
    </row>
    <row r="793" spans="27:28">
      <c r="AA793" s="25"/>
      <c r="AB793" s="25"/>
    </row>
    <row r="794" spans="27:28">
      <c r="AA794" s="25"/>
      <c r="AB794" s="25"/>
    </row>
    <row r="795" spans="27:28">
      <c r="AA795" s="25"/>
      <c r="AB795" s="25"/>
    </row>
    <row r="796" spans="27:28">
      <c r="AA796" s="25"/>
      <c r="AB796" s="25"/>
    </row>
    <row r="797" spans="27:28">
      <c r="AA797" s="25"/>
      <c r="AB797" s="25"/>
    </row>
    <row r="798" spans="27:28">
      <c r="AA798" s="25"/>
      <c r="AB798" s="25"/>
    </row>
    <row r="799" spans="27:28">
      <c r="AA799" s="25"/>
      <c r="AB799" s="25"/>
    </row>
    <row r="800" spans="27:28">
      <c r="AA800" s="25"/>
      <c r="AB800" s="25"/>
    </row>
    <row r="801" spans="27:28">
      <c r="AA801" s="25"/>
      <c r="AB801" s="25"/>
    </row>
    <row r="802" spans="27:28">
      <c r="AA802" s="25"/>
      <c r="AB802" s="25"/>
    </row>
    <row r="803" spans="27:28">
      <c r="AA803" s="25"/>
      <c r="AB803" s="25"/>
    </row>
    <row r="804" spans="27:28">
      <c r="AA804" s="25"/>
      <c r="AB804" s="25"/>
    </row>
    <row r="805" spans="27:28">
      <c r="AA805" s="25"/>
      <c r="AB805" s="25"/>
    </row>
    <row r="806" spans="27:28">
      <c r="AA806" s="25"/>
      <c r="AB806" s="25"/>
    </row>
    <row r="807" spans="27:28">
      <c r="AA807" s="25"/>
      <c r="AB807" s="25"/>
    </row>
    <row r="808" spans="27:28">
      <c r="AA808" s="25"/>
      <c r="AB808" s="25"/>
    </row>
    <row r="809" spans="27:28">
      <c r="AA809" s="25"/>
      <c r="AB809" s="25"/>
    </row>
    <row r="810" spans="27:28">
      <c r="AA810" s="25"/>
      <c r="AB810" s="25"/>
    </row>
    <row r="811" spans="27:28">
      <c r="AA811" s="25"/>
      <c r="AB811" s="25"/>
    </row>
    <row r="812" spans="27:28">
      <c r="AA812" s="25"/>
      <c r="AB812" s="25"/>
    </row>
    <row r="813" spans="27:28">
      <c r="AA813" s="25"/>
      <c r="AB813" s="25"/>
    </row>
    <row r="814" spans="27:28">
      <c r="AA814" s="25"/>
      <c r="AB814" s="25"/>
    </row>
    <row r="815" spans="27:28">
      <c r="AA815" s="25"/>
      <c r="AB815" s="25"/>
    </row>
    <row r="816" spans="27:28">
      <c r="AA816" s="25"/>
      <c r="AB816" s="25"/>
    </row>
    <row r="817" spans="27:28">
      <c r="AA817" s="25"/>
      <c r="AB817" s="25"/>
    </row>
    <row r="818" spans="27:28">
      <c r="AA818" s="25"/>
      <c r="AB818" s="25"/>
    </row>
    <row r="819" spans="27:28">
      <c r="AA819" s="25"/>
      <c r="AB819" s="25"/>
    </row>
    <row r="820" spans="27:28">
      <c r="AA820" s="25"/>
      <c r="AB820" s="25"/>
    </row>
    <row r="821" spans="27:28">
      <c r="AA821" s="25"/>
      <c r="AB821" s="25"/>
    </row>
    <row r="822" spans="27:28">
      <c r="AA822" s="25"/>
      <c r="AB822" s="25"/>
    </row>
    <row r="823" spans="27:28">
      <c r="AA823" s="25"/>
      <c r="AB823" s="25"/>
    </row>
    <row r="824" spans="27:28">
      <c r="AA824" s="25"/>
      <c r="AB824" s="25"/>
    </row>
    <row r="825" spans="27:28">
      <c r="AA825" s="25"/>
      <c r="AB825" s="25"/>
    </row>
    <row r="826" spans="27:28">
      <c r="AA826" s="25"/>
      <c r="AB826" s="25"/>
    </row>
    <row r="827" spans="27:28">
      <c r="AA827" s="25"/>
      <c r="AB827" s="25"/>
    </row>
    <row r="828" spans="27:28">
      <c r="AA828" s="25"/>
      <c r="AB828" s="25"/>
    </row>
    <row r="829" spans="27:28">
      <c r="AA829" s="25"/>
      <c r="AB829" s="25"/>
    </row>
    <row r="830" spans="27:28">
      <c r="AA830" s="25"/>
      <c r="AB830" s="25"/>
    </row>
    <row r="831" spans="27:28">
      <c r="AA831" s="25"/>
      <c r="AB831" s="25"/>
    </row>
    <row r="832" spans="27:28">
      <c r="AA832" s="25"/>
      <c r="AB832" s="25"/>
    </row>
    <row r="833" spans="27:28">
      <c r="AA833" s="25"/>
      <c r="AB833" s="25"/>
    </row>
    <row r="834" spans="27:28">
      <c r="AA834" s="25"/>
      <c r="AB834" s="25"/>
    </row>
    <row r="835" spans="27:28">
      <c r="AA835" s="25"/>
      <c r="AB835" s="25"/>
    </row>
    <row r="836" spans="27:28">
      <c r="AA836" s="25"/>
      <c r="AB836" s="25"/>
    </row>
    <row r="837" spans="27:28">
      <c r="AA837" s="25"/>
      <c r="AB837" s="25"/>
    </row>
    <row r="838" spans="27:28">
      <c r="AA838" s="25"/>
      <c r="AB838" s="25"/>
    </row>
    <row r="839" spans="27:28">
      <c r="AA839" s="25"/>
      <c r="AB839" s="25"/>
    </row>
    <row r="840" spans="27:28">
      <c r="AA840" s="25"/>
      <c r="AB840" s="25"/>
    </row>
    <row r="841" spans="27:28">
      <c r="AA841" s="25"/>
      <c r="AB841" s="25"/>
    </row>
    <row r="842" spans="27:28">
      <c r="AA842" s="25"/>
      <c r="AB842" s="25"/>
    </row>
    <row r="843" spans="27:28">
      <c r="AA843" s="25"/>
      <c r="AB843" s="25"/>
    </row>
    <row r="844" spans="27:28">
      <c r="AA844" s="25"/>
      <c r="AB844" s="25"/>
    </row>
    <row r="845" spans="27:28">
      <c r="AA845" s="25"/>
      <c r="AB845" s="25"/>
    </row>
    <row r="846" spans="27:28">
      <c r="AA846" s="25"/>
      <c r="AB846" s="25"/>
    </row>
    <row r="847" spans="27:28">
      <c r="AA847" s="25"/>
      <c r="AB847" s="25"/>
    </row>
    <row r="848" spans="27:28">
      <c r="AA848" s="25"/>
      <c r="AB848" s="25"/>
    </row>
    <row r="849" spans="27:28">
      <c r="AA849" s="25"/>
      <c r="AB849" s="25"/>
    </row>
    <row r="850" spans="27:28">
      <c r="AA850" s="25"/>
      <c r="AB850" s="25"/>
    </row>
    <row r="851" spans="27:28">
      <c r="AA851" s="25"/>
      <c r="AB851" s="25"/>
    </row>
    <row r="852" spans="27:28">
      <c r="AA852" s="25"/>
      <c r="AB852" s="25"/>
    </row>
    <row r="853" spans="27:28">
      <c r="AA853" s="25"/>
      <c r="AB853" s="25"/>
    </row>
    <row r="854" spans="27:28">
      <c r="AA854" s="25"/>
      <c r="AB854" s="25"/>
    </row>
    <row r="855" spans="27:28">
      <c r="AA855" s="25"/>
      <c r="AB855" s="25"/>
    </row>
    <row r="856" spans="27:28">
      <c r="AA856" s="25"/>
      <c r="AB856" s="25"/>
    </row>
    <row r="857" spans="27:28">
      <c r="AA857" s="25"/>
      <c r="AB857" s="25"/>
    </row>
    <row r="858" spans="27:28">
      <c r="AA858" s="25"/>
      <c r="AB858" s="25"/>
    </row>
    <row r="859" spans="27:28">
      <c r="AA859" s="25"/>
      <c r="AB859" s="25"/>
    </row>
    <row r="860" spans="27:28">
      <c r="AA860" s="25"/>
      <c r="AB860" s="25"/>
    </row>
    <row r="861" spans="27:28">
      <c r="AA861" s="25"/>
      <c r="AB861" s="25"/>
    </row>
    <row r="862" spans="27:28">
      <c r="AA862" s="25"/>
      <c r="AB862" s="25"/>
    </row>
    <row r="863" spans="27:28">
      <c r="AA863" s="25"/>
      <c r="AB863" s="25"/>
    </row>
    <row r="864" spans="27:28">
      <c r="AA864" s="25"/>
      <c r="AB864" s="25"/>
    </row>
    <row r="865" spans="27:28">
      <c r="AA865" s="25"/>
      <c r="AB865" s="25"/>
    </row>
    <row r="866" spans="27:28">
      <c r="AA866" s="25"/>
      <c r="AB866" s="25"/>
    </row>
    <row r="867" spans="27:28">
      <c r="AA867" s="25"/>
      <c r="AB867" s="25"/>
    </row>
    <row r="868" spans="27:28">
      <c r="AA868" s="25"/>
      <c r="AB868" s="25"/>
    </row>
    <row r="869" spans="27:28">
      <c r="AA869" s="25"/>
      <c r="AB869" s="25"/>
    </row>
    <row r="870" spans="27:28">
      <c r="AA870" s="25"/>
      <c r="AB870" s="25"/>
    </row>
    <row r="871" spans="27:28">
      <c r="AA871" s="25"/>
      <c r="AB871" s="25"/>
    </row>
    <row r="872" spans="27:28">
      <c r="AA872" s="25"/>
      <c r="AB872" s="25"/>
    </row>
    <row r="873" spans="27:28">
      <c r="AA873" s="25"/>
      <c r="AB873" s="25"/>
    </row>
    <row r="874" spans="27:28">
      <c r="AA874" s="25"/>
      <c r="AB874" s="25"/>
    </row>
    <row r="875" spans="27:28">
      <c r="AA875" s="25"/>
      <c r="AB875" s="25"/>
    </row>
    <row r="876" spans="27:28">
      <c r="AA876" s="25"/>
      <c r="AB876" s="25"/>
    </row>
    <row r="877" spans="27:28">
      <c r="AA877" s="25"/>
      <c r="AB877" s="25"/>
    </row>
    <row r="878" spans="27:28">
      <c r="AA878" s="25"/>
      <c r="AB878" s="25"/>
    </row>
    <row r="879" spans="27:28">
      <c r="AA879" s="25"/>
      <c r="AB879" s="25"/>
    </row>
    <row r="880" spans="27:28">
      <c r="AA880" s="25"/>
      <c r="AB880" s="25"/>
    </row>
    <row r="881" spans="27:28">
      <c r="AA881" s="25"/>
      <c r="AB881" s="25"/>
    </row>
    <row r="882" spans="27:28">
      <c r="AA882" s="25"/>
      <c r="AB882" s="25"/>
    </row>
    <row r="883" spans="27:28">
      <c r="AA883" s="25"/>
      <c r="AB883" s="25"/>
    </row>
    <row r="884" spans="27:28">
      <c r="AA884" s="25"/>
      <c r="AB884" s="25"/>
    </row>
    <row r="885" spans="27:28">
      <c r="AA885" s="25"/>
      <c r="AB885" s="25"/>
    </row>
    <row r="886" spans="27:28">
      <c r="AA886" s="25"/>
      <c r="AB886" s="25"/>
    </row>
    <row r="887" spans="27:28">
      <c r="AA887" s="25"/>
      <c r="AB887" s="25"/>
    </row>
    <row r="888" spans="27:28">
      <c r="AA888" s="25"/>
      <c r="AB888" s="25"/>
    </row>
    <row r="889" spans="27:28">
      <c r="AA889" s="25"/>
      <c r="AB889" s="25"/>
    </row>
    <row r="890" spans="27:28">
      <c r="AA890" s="25"/>
      <c r="AB890" s="25"/>
    </row>
    <row r="891" spans="27:28">
      <c r="AA891" s="25"/>
      <c r="AB891" s="25"/>
    </row>
    <row r="892" spans="27:28">
      <c r="AA892" s="25"/>
      <c r="AB892" s="25"/>
    </row>
    <row r="893" spans="27:28">
      <c r="AA893" s="25"/>
      <c r="AB893" s="25"/>
    </row>
    <row r="894" spans="27:28">
      <c r="AA894" s="25"/>
      <c r="AB894" s="25"/>
    </row>
    <row r="895" spans="27:28">
      <c r="AA895" s="25"/>
      <c r="AB895" s="25"/>
    </row>
    <row r="896" spans="27:28">
      <c r="AA896" s="25"/>
      <c r="AB896" s="25"/>
    </row>
    <row r="897" spans="27:28">
      <c r="AA897" s="25"/>
      <c r="AB897" s="25"/>
    </row>
    <row r="898" spans="27:28">
      <c r="AA898" s="25"/>
      <c r="AB898" s="25"/>
    </row>
    <row r="899" spans="27:28">
      <c r="AA899" s="25"/>
      <c r="AB899" s="25"/>
    </row>
    <row r="900" spans="27:28">
      <c r="AA900" s="25"/>
      <c r="AB900" s="25"/>
    </row>
    <row r="901" spans="27:28">
      <c r="AA901" s="25"/>
      <c r="AB901" s="25"/>
    </row>
    <row r="902" spans="27:28">
      <c r="AA902" s="25"/>
      <c r="AB902" s="25"/>
    </row>
    <row r="903" spans="27:28">
      <c r="AA903" s="25"/>
      <c r="AB903" s="25"/>
    </row>
    <row r="904" spans="27:28">
      <c r="AA904" s="25"/>
      <c r="AB904" s="25"/>
    </row>
    <row r="905" spans="27:28">
      <c r="AA905" s="25"/>
      <c r="AB905" s="25"/>
    </row>
    <row r="906" spans="27:28">
      <c r="AA906" s="25"/>
      <c r="AB906" s="25"/>
    </row>
    <row r="907" spans="27:28">
      <c r="AA907" s="25"/>
      <c r="AB907" s="25"/>
    </row>
    <row r="908" spans="27:28">
      <c r="AA908" s="25"/>
      <c r="AB908" s="25"/>
    </row>
    <row r="909" spans="27:28">
      <c r="AA909" s="25"/>
      <c r="AB909" s="25"/>
    </row>
    <row r="910" spans="27:28">
      <c r="AA910" s="25"/>
      <c r="AB910" s="25"/>
    </row>
    <row r="911" spans="27:28">
      <c r="AA911" s="25"/>
      <c r="AB911" s="25"/>
    </row>
    <row r="912" spans="27:28">
      <c r="AA912" s="25"/>
      <c r="AB912" s="25"/>
    </row>
    <row r="913" spans="27:28">
      <c r="AA913" s="25"/>
      <c r="AB913" s="25"/>
    </row>
    <row r="914" spans="27:28">
      <c r="AA914" s="25"/>
      <c r="AB914" s="25"/>
    </row>
    <row r="915" spans="27:28">
      <c r="AA915" s="25"/>
      <c r="AB915" s="25"/>
    </row>
    <row r="916" spans="27:28">
      <c r="AA916" s="25"/>
      <c r="AB916" s="25"/>
    </row>
    <row r="917" spans="27:28">
      <c r="AA917" s="25"/>
      <c r="AB917" s="25"/>
    </row>
    <row r="918" spans="27:28">
      <c r="AA918" s="25"/>
      <c r="AB918" s="25"/>
    </row>
    <row r="919" spans="27:28">
      <c r="AA919" s="25"/>
      <c r="AB919" s="25"/>
    </row>
    <row r="920" spans="27:28">
      <c r="AA920" s="25"/>
      <c r="AB920" s="25"/>
    </row>
    <row r="921" spans="27:28">
      <c r="AA921" s="25"/>
      <c r="AB921" s="25"/>
    </row>
    <row r="922" spans="27:28">
      <c r="AA922" s="25"/>
      <c r="AB922" s="25"/>
    </row>
    <row r="923" spans="27:28">
      <c r="AA923" s="25"/>
      <c r="AB923" s="25"/>
    </row>
    <row r="924" spans="27:28">
      <c r="AA924" s="25"/>
      <c r="AB924" s="25"/>
    </row>
    <row r="925" spans="27:28">
      <c r="AA925" s="25"/>
      <c r="AB925" s="25"/>
    </row>
    <row r="926" spans="27:28">
      <c r="AA926" s="25"/>
      <c r="AB926" s="25"/>
    </row>
    <row r="927" spans="27:28">
      <c r="AA927" s="25"/>
      <c r="AB927" s="25"/>
    </row>
    <row r="928" spans="27:28">
      <c r="AA928" s="25"/>
      <c r="AB928" s="25"/>
    </row>
    <row r="929" spans="27:28">
      <c r="AA929" s="25"/>
      <c r="AB929" s="25"/>
    </row>
    <row r="930" spans="27:28">
      <c r="AA930" s="25"/>
      <c r="AB930" s="25"/>
    </row>
    <row r="931" spans="27:28">
      <c r="AA931" s="25"/>
      <c r="AB931" s="25"/>
    </row>
    <row r="932" spans="27:28">
      <c r="AA932" s="25"/>
      <c r="AB932" s="25"/>
    </row>
    <row r="933" spans="27:28">
      <c r="AA933" s="25"/>
      <c r="AB933" s="25"/>
    </row>
    <row r="934" spans="27:28">
      <c r="AA934" s="25"/>
      <c r="AB934" s="25"/>
    </row>
    <row r="935" spans="27:28">
      <c r="AA935" s="25"/>
      <c r="AB935" s="25"/>
    </row>
    <row r="936" spans="27:28">
      <c r="AA936" s="25"/>
      <c r="AB936" s="25"/>
    </row>
    <row r="937" spans="27:28">
      <c r="AA937" s="25"/>
      <c r="AB937" s="25"/>
    </row>
    <row r="938" spans="27:28">
      <c r="AA938" s="25"/>
      <c r="AB938" s="25"/>
    </row>
    <row r="939" spans="27:28">
      <c r="AA939" s="25"/>
      <c r="AB939" s="25"/>
    </row>
    <row r="940" spans="27:28">
      <c r="AA940" s="25"/>
      <c r="AB940" s="25"/>
    </row>
    <row r="941" spans="27:28">
      <c r="AA941" s="25"/>
      <c r="AB941" s="25"/>
    </row>
    <row r="942" spans="27:28">
      <c r="AA942" s="25"/>
      <c r="AB942" s="25"/>
    </row>
    <row r="943" spans="27:28">
      <c r="AA943" s="25"/>
      <c r="AB943" s="25"/>
    </row>
    <row r="944" spans="27:28">
      <c r="AA944" s="25"/>
      <c r="AB944" s="25"/>
    </row>
    <row r="945" spans="27:28">
      <c r="AA945" s="25"/>
      <c r="AB945" s="25"/>
    </row>
    <row r="946" spans="27:28">
      <c r="AA946" s="25"/>
      <c r="AB946" s="25"/>
    </row>
    <row r="947" spans="27:28">
      <c r="AA947" s="25"/>
      <c r="AB947" s="25"/>
    </row>
    <row r="948" spans="27:28">
      <c r="AA948" s="25"/>
      <c r="AB948" s="25"/>
    </row>
    <row r="949" spans="27:28">
      <c r="AA949" s="25"/>
      <c r="AB949" s="25"/>
    </row>
    <row r="950" spans="27:28">
      <c r="AA950" s="25"/>
      <c r="AB950" s="25"/>
    </row>
    <row r="951" spans="27:28">
      <c r="AA951" s="25"/>
      <c r="AB951" s="25"/>
    </row>
    <row r="952" spans="27:28">
      <c r="AA952" s="25"/>
      <c r="AB952" s="25"/>
    </row>
    <row r="953" spans="27:28">
      <c r="AA953" s="25"/>
      <c r="AB953" s="25"/>
    </row>
    <row r="954" spans="27:28">
      <c r="AA954" s="25"/>
      <c r="AB954" s="25"/>
    </row>
    <row r="955" spans="27:28">
      <c r="AA955" s="25"/>
      <c r="AB955" s="25"/>
    </row>
    <row r="956" spans="27:28">
      <c r="AA956" s="25"/>
      <c r="AB956" s="25"/>
    </row>
    <row r="957" spans="27:28">
      <c r="AA957" s="25"/>
      <c r="AB957" s="25"/>
    </row>
    <row r="958" spans="27:28">
      <c r="AA958" s="25"/>
      <c r="AB958" s="25"/>
    </row>
    <row r="959" spans="27:28">
      <c r="AA959" s="25"/>
      <c r="AB959" s="25"/>
    </row>
    <row r="960" spans="27:28">
      <c r="AA960" s="25"/>
      <c r="AB960" s="25"/>
    </row>
    <row r="961" spans="27:28">
      <c r="AA961" s="25"/>
      <c r="AB961" s="25"/>
    </row>
    <row r="962" spans="27:28">
      <c r="AA962" s="25"/>
      <c r="AB962" s="25"/>
    </row>
    <row r="963" spans="27:28">
      <c r="AA963" s="25"/>
      <c r="AB963" s="25"/>
    </row>
    <row r="964" spans="27:28">
      <c r="AA964" s="25"/>
      <c r="AB964" s="25"/>
    </row>
    <row r="965" spans="27:28">
      <c r="AA965" s="25"/>
      <c r="AB965" s="25"/>
    </row>
    <row r="966" spans="27:28">
      <c r="AA966" s="25"/>
      <c r="AB966" s="25"/>
    </row>
    <row r="967" spans="27:28">
      <c r="AA967" s="25"/>
      <c r="AB967" s="25"/>
    </row>
    <row r="968" spans="27:28">
      <c r="AA968" s="25"/>
      <c r="AB968" s="25"/>
    </row>
    <row r="969" spans="27:28">
      <c r="AA969" s="25"/>
      <c r="AB969" s="25"/>
    </row>
    <row r="970" spans="27:28">
      <c r="AA970" s="25"/>
      <c r="AB970" s="25"/>
    </row>
    <row r="971" spans="27:28">
      <c r="AA971" s="25"/>
      <c r="AB971" s="25"/>
    </row>
    <row r="972" spans="27:28">
      <c r="AA972" s="25"/>
      <c r="AB972" s="25"/>
    </row>
    <row r="973" spans="27:28">
      <c r="AA973" s="25"/>
      <c r="AB973" s="25"/>
    </row>
    <row r="974" spans="27:28">
      <c r="AA974" s="25"/>
      <c r="AB974" s="25"/>
    </row>
    <row r="975" spans="27:28">
      <c r="AA975" s="25"/>
      <c r="AB975" s="25"/>
    </row>
    <row r="976" spans="27:28">
      <c r="AA976" s="25"/>
      <c r="AB976" s="25"/>
    </row>
    <row r="977" spans="27:28">
      <c r="AA977" s="25"/>
      <c r="AB977" s="25"/>
    </row>
    <row r="978" spans="27:28">
      <c r="AA978" s="25"/>
      <c r="AB978" s="25"/>
    </row>
    <row r="979" spans="27:28">
      <c r="AA979" s="25"/>
      <c r="AB979" s="25"/>
    </row>
    <row r="980" spans="27:28">
      <c r="AA980" s="25"/>
      <c r="AB980" s="25"/>
    </row>
    <row r="981" spans="27:28">
      <c r="AA981" s="25"/>
      <c r="AB981" s="25"/>
    </row>
    <row r="982" spans="27:28">
      <c r="AA982" s="25"/>
      <c r="AB982" s="25"/>
    </row>
    <row r="983" spans="27:28">
      <c r="AA983" s="25"/>
      <c r="AB983" s="25"/>
    </row>
    <row r="984" spans="27:28">
      <c r="AA984" s="25"/>
      <c r="AB984" s="25"/>
    </row>
    <row r="985" spans="27:28">
      <c r="AA985" s="25"/>
      <c r="AB985" s="25"/>
    </row>
    <row r="986" spans="27:28">
      <c r="AA986" s="25"/>
      <c r="AB986" s="25"/>
    </row>
    <row r="987" spans="27:28">
      <c r="AA987" s="25"/>
      <c r="AB987" s="25"/>
    </row>
    <row r="988" spans="27:28">
      <c r="AA988" s="25"/>
      <c r="AB988" s="25"/>
    </row>
    <row r="989" spans="27:28">
      <c r="AA989" s="25"/>
      <c r="AB989" s="25"/>
    </row>
    <row r="990" spans="27:28">
      <c r="AA990" s="25"/>
      <c r="AB990" s="25"/>
    </row>
    <row r="991" spans="27:28">
      <c r="AA991" s="25"/>
      <c r="AB991" s="25"/>
    </row>
    <row r="992" spans="27:28">
      <c r="AA992" s="25"/>
      <c r="AB992" s="25"/>
    </row>
    <row r="993" spans="27:28">
      <c r="AA993" s="25"/>
      <c r="AB993" s="25"/>
    </row>
    <row r="994" spans="27:28">
      <c r="AA994" s="25"/>
      <c r="AB994" s="25"/>
    </row>
    <row r="995" spans="27:28">
      <c r="AA995" s="25"/>
      <c r="AB995" s="25"/>
    </row>
    <row r="996" spans="27:28">
      <c r="AA996" s="25"/>
      <c r="AB996" s="25"/>
    </row>
    <row r="997" spans="27:28">
      <c r="AA997" s="25"/>
      <c r="AB997" s="25"/>
    </row>
    <row r="998" spans="27:28">
      <c r="AA998" s="25"/>
      <c r="AB998" s="25"/>
    </row>
    <row r="999" spans="27:28">
      <c r="AA999" s="25"/>
      <c r="AB999" s="25"/>
    </row>
    <row r="1000" spans="27:28">
      <c r="AA1000" s="25"/>
      <c r="AB1000" s="25"/>
    </row>
    <row r="1001" spans="27:28">
      <c r="AA1001" s="25"/>
      <c r="AB1001" s="25"/>
    </row>
    <row r="1002" spans="27:28">
      <c r="AA1002" s="25"/>
      <c r="AB1002" s="25"/>
    </row>
    <row r="1003" spans="27:28">
      <c r="AA1003" s="25"/>
      <c r="AB1003" s="25"/>
    </row>
    <row r="1004" spans="27:28">
      <c r="AA1004" s="25"/>
      <c r="AB1004" s="25"/>
    </row>
    <row r="1005" spans="27:28">
      <c r="AA1005" s="25"/>
      <c r="AB1005" s="25"/>
    </row>
    <row r="1006" spans="27:28">
      <c r="AA1006" s="25"/>
      <c r="AB1006" s="25"/>
    </row>
    <row r="1007" spans="27:28">
      <c r="AA1007" s="25"/>
      <c r="AB1007" s="25"/>
    </row>
    <row r="1008" spans="27:28">
      <c r="AA1008" s="25"/>
      <c r="AB1008" s="25"/>
    </row>
    <row r="1009" spans="27:28">
      <c r="AA1009" s="25"/>
      <c r="AB1009" s="25"/>
    </row>
    <row r="1010" spans="27:28">
      <c r="AA1010" s="25"/>
      <c r="AB1010" s="25"/>
    </row>
    <row r="1011" spans="27:28">
      <c r="AA1011" s="25"/>
      <c r="AB1011" s="25"/>
    </row>
    <row r="1012" spans="27:28">
      <c r="AA1012" s="25"/>
      <c r="AB1012" s="25"/>
    </row>
    <row r="1013" spans="27:28">
      <c r="AA1013" s="25"/>
      <c r="AB1013" s="25"/>
    </row>
    <row r="1014" spans="27:28">
      <c r="AA1014" s="25"/>
      <c r="AB1014" s="25"/>
    </row>
    <row r="1015" spans="27:28">
      <c r="AA1015" s="25"/>
      <c r="AB1015" s="25"/>
    </row>
    <row r="1016" spans="27:28">
      <c r="AA1016" s="25"/>
      <c r="AB1016" s="25"/>
    </row>
    <row r="1017" spans="27:28">
      <c r="AA1017" s="25"/>
      <c r="AB1017" s="25"/>
    </row>
    <row r="1018" spans="27:28">
      <c r="AA1018" s="25"/>
      <c r="AB1018" s="25"/>
    </row>
    <row r="1019" spans="27:28">
      <c r="AA1019" s="25"/>
      <c r="AB1019" s="25"/>
    </row>
    <row r="1020" spans="27:28">
      <c r="AA1020" s="25"/>
      <c r="AB1020" s="25"/>
    </row>
    <row r="1021" spans="27:28">
      <c r="AA1021" s="25"/>
      <c r="AB1021" s="25"/>
    </row>
    <row r="1022" spans="27:28">
      <c r="AA1022" s="25"/>
      <c r="AB1022" s="25"/>
    </row>
    <row r="1023" spans="27:28">
      <c r="AA1023" s="25"/>
      <c r="AB1023" s="25"/>
    </row>
    <row r="1024" spans="27:28">
      <c r="AA1024" s="25"/>
      <c r="AB1024" s="25"/>
    </row>
    <row r="1025" spans="27:28">
      <c r="AA1025" s="25"/>
      <c r="AB1025" s="25"/>
    </row>
    <row r="1026" spans="27:28">
      <c r="AA1026" s="25"/>
      <c r="AB1026" s="25"/>
    </row>
    <row r="1027" spans="27:28">
      <c r="AA1027" s="25"/>
      <c r="AB1027" s="25"/>
    </row>
    <row r="1028" spans="27:28">
      <c r="AA1028" s="25"/>
      <c r="AB1028" s="25"/>
    </row>
    <row r="1029" spans="27:28">
      <c r="AA1029" s="25"/>
      <c r="AB1029" s="25"/>
    </row>
    <row r="1030" spans="27:28">
      <c r="AA1030" s="25"/>
      <c r="AB1030" s="25"/>
    </row>
    <row r="1031" spans="27:28">
      <c r="AA1031" s="25"/>
      <c r="AB1031" s="25"/>
    </row>
    <row r="1032" spans="27:28">
      <c r="AA1032" s="25"/>
      <c r="AB1032" s="25"/>
    </row>
    <row r="1033" spans="27:28">
      <c r="AA1033" s="25"/>
      <c r="AB1033" s="25"/>
    </row>
    <row r="1034" spans="27:28">
      <c r="AA1034" s="25"/>
      <c r="AB1034" s="25"/>
    </row>
    <row r="1035" spans="27:28">
      <c r="AA1035" s="25"/>
      <c r="AB1035" s="25"/>
    </row>
    <row r="1036" spans="27:28">
      <c r="AA1036" s="25"/>
      <c r="AB1036" s="25"/>
    </row>
    <row r="1037" spans="27:28">
      <c r="AA1037" s="25"/>
      <c r="AB1037" s="25"/>
    </row>
    <row r="1038" spans="27:28">
      <c r="AA1038" s="25"/>
      <c r="AB1038" s="25"/>
    </row>
    <row r="1039" spans="27:28">
      <c r="AA1039" s="25"/>
      <c r="AB1039" s="25"/>
    </row>
    <row r="1040" spans="27:28">
      <c r="AA1040" s="25"/>
      <c r="AB1040" s="25"/>
    </row>
    <row r="1041" spans="27:28">
      <c r="AA1041" s="25"/>
      <c r="AB1041" s="25"/>
    </row>
    <row r="1042" spans="27:28">
      <c r="AA1042" s="25"/>
      <c r="AB1042" s="25"/>
    </row>
    <row r="1043" spans="27:28">
      <c r="AA1043" s="25"/>
      <c r="AB1043" s="25"/>
    </row>
    <row r="1044" spans="27:28">
      <c r="AA1044" s="25"/>
      <c r="AB1044" s="25"/>
    </row>
    <row r="1045" spans="27:28">
      <c r="AA1045" s="25"/>
      <c r="AB1045" s="25"/>
    </row>
    <row r="1046" spans="27:28">
      <c r="AA1046" s="25"/>
      <c r="AB1046" s="25"/>
    </row>
    <row r="1047" spans="27:28">
      <c r="AA1047" s="25"/>
      <c r="AB1047" s="25"/>
    </row>
    <row r="1048" spans="27:28">
      <c r="AA1048" s="25"/>
      <c r="AB1048" s="25"/>
    </row>
    <row r="1049" spans="27:28">
      <c r="AA1049" s="25"/>
      <c r="AB1049" s="25"/>
    </row>
    <row r="1050" spans="27:28">
      <c r="AA1050" s="25"/>
      <c r="AB1050" s="25"/>
    </row>
    <row r="1051" spans="27:28">
      <c r="AA1051" s="25"/>
      <c r="AB1051" s="25"/>
    </row>
    <row r="1052" spans="27:28">
      <c r="AA1052" s="25"/>
      <c r="AB1052" s="25"/>
    </row>
    <row r="1053" spans="27:28">
      <c r="AA1053" s="25"/>
      <c r="AB1053" s="25"/>
    </row>
    <row r="1054" spans="27:28">
      <c r="AA1054" s="25"/>
      <c r="AB1054" s="25"/>
    </row>
    <row r="1055" spans="27:28">
      <c r="AA1055" s="25"/>
      <c r="AB1055" s="25"/>
    </row>
    <row r="1056" spans="27:28">
      <c r="AA1056" s="25"/>
      <c r="AB1056" s="25"/>
    </row>
    <row r="1057" spans="27:28">
      <c r="AA1057" s="25"/>
      <c r="AB1057" s="25"/>
    </row>
    <row r="1058" spans="27:28">
      <c r="AA1058" s="25"/>
      <c r="AB1058" s="25"/>
    </row>
    <row r="1059" spans="27:28">
      <c r="AA1059" s="25"/>
      <c r="AB1059" s="25"/>
    </row>
    <row r="1060" spans="27:28">
      <c r="AA1060" s="25"/>
      <c r="AB1060" s="25"/>
    </row>
    <row r="1061" spans="27:28">
      <c r="AA1061" s="25"/>
      <c r="AB1061" s="25"/>
    </row>
    <row r="1062" spans="27:28">
      <c r="AA1062" s="25"/>
      <c r="AB1062" s="25"/>
    </row>
    <row r="1063" spans="27:28">
      <c r="AA1063" s="25"/>
      <c r="AB1063" s="25"/>
    </row>
    <row r="1064" spans="27:28">
      <c r="AA1064" s="25"/>
      <c r="AB1064" s="25"/>
    </row>
    <row r="1065" spans="27:28">
      <c r="AA1065" s="25"/>
      <c r="AB1065" s="25"/>
    </row>
    <row r="1066" spans="27:28">
      <c r="AA1066" s="25"/>
      <c r="AB1066" s="25"/>
    </row>
    <row r="1067" spans="27:28">
      <c r="AA1067" s="25"/>
      <c r="AB1067" s="25"/>
    </row>
    <row r="1068" spans="27:28">
      <c r="AA1068" s="25"/>
      <c r="AB1068" s="25"/>
    </row>
    <row r="1069" spans="27:28">
      <c r="AA1069" s="25"/>
      <c r="AB1069" s="25"/>
    </row>
    <row r="1070" spans="27:28">
      <c r="AA1070" s="25"/>
      <c r="AB1070" s="25"/>
    </row>
    <row r="1071" spans="27:28">
      <c r="AA1071" s="25"/>
      <c r="AB1071" s="25"/>
    </row>
    <row r="1072" spans="27:28">
      <c r="AA1072" s="25"/>
      <c r="AB1072" s="25"/>
    </row>
    <row r="1073" spans="27:28">
      <c r="AA1073" s="25"/>
      <c r="AB1073" s="25"/>
    </row>
    <row r="1074" spans="27:28">
      <c r="AA1074" s="25"/>
      <c r="AB1074" s="25"/>
    </row>
    <row r="1075" spans="27:28">
      <c r="AA1075" s="25"/>
      <c r="AB1075" s="25"/>
    </row>
    <row r="1076" spans="27:28">
      <c r="AA1076" s="25"/>
      <c r="AB1076" s="25"/>
    </row>
    <row r="1077" spans="27:28">
      <c r="AA1077" s="25"/>
      <c r="AB1077" s="25"/>
    </row>
    <row r="1078" spans="27:28">
      <c r="AA1078" s="25"/>
      <c r="AB1078" s="25"/>
    </row>
    <row r="1079" spans="27:28">
      <c r="AA1079" s="25"/>
      <c r="AB1079" s="25"/>
    </row>
    <row r="1080" spans="27:28">
      <c r="AA1080" s="25"/>
      <c r="AB1080" s="25"/>
    </row>
    <row r="1081" spans="27:28">
      <c r="AA1081" s="25"/>
      <c r="AB1081" s="25"/>
    </row>
    <row r="1082" spans="27:28">
      <c r="AA1082" s="25"/>
      <c r="AB1082" s="25"/>
    </row>
    <row r="1083" spans="27:28">
      <c r="AA1083" s="25"/>
      <c r="AB1083" s="25"/>
    </row>
    <row r="1084" spans="27:28">
      <c r="AA1084" s="25"/>
      <c r="AB1084" s="25"/>
    </row>
    <row r="1085" spans="27:28">
      <c r="AA1085" s="25"/>
      <c r="AB1085" s="25"/>
    </row>
    <row r="1086" spans="27:28">
      <c r="AA1086" s="25"/>
      <c r="AB1086" s="25"/>
    </row>
    <row r="1087" spans="27:28">
      <c r="AA1087" s="25"/>
      <c r="AB1087" s="25"/>
    </row>
    <row r="1088" spans="27:28">
      <c r="AA1088" s="25"/>
      <c r="AB1088" s="25"/>
    </row>
    <row r="1089" spans="27:28">
      <c r="AA1089" s="25"/>
      <c r="AB1089" s="25"/>
    </row>
    <row r="1090" spans="27:28">
      <c r="AA1090" s="25"/>
      <c r="AB1090" s="25"/>
    </row>
    <row r="1091" spans="27:28">
      <c r="AA1091" s="25"/>
      <c r="AB1091" s="25"/>
    </row>
    <row r="1092" spans="27:28">
      <c r="AA1092" s="25"/>
      <c r="AB1092" s="25"/>
    </row>
    <row r="1093" spans="27:28">
      <c r="AA1093" s="25"/>
      <c r="AB1093" s="25"/>
    </row>
    <row r="1094" spans="27:28">
      <c r="AA1094" s="25"/>
      <c r="AB1094" s="25"/>
    </row>
    <row r="1095" spans="27:28">
      <c r="AA1095" s="25"/>
      <c r="AB1095" s="25"/>
    </row>
    <row r="1096" spans="27:28">
      <c r="AA1096" s="25"/>
      <c r="AB1096" s="25"/>
    </row>
    <row r="1097" spans="27:28">
      <c r="AA1097" s="25"/>
      <c r="AB1097" s="25"/>
    </row>
    <row r="1098" spans="27:28">
      <c r="AA1098" s="25"/>
      <c r="AB1098" s="25"/>
    </row>
    <row r="1099" spans="27:28">
      <c r="AA1099" s="25"/>
      <c r="AB1099" s="25"/>
    </row>
    <row r="1100" spans="27:28">
      <c r="AA1100" s="25"/>
      <c r="AB1100" s="25"/>
    </row>
    <row r="1101" spans="27:28">
      <c r="AA1101" s="25"/>
      <c r="AB1101" s="25"/>
    </row>
    <row r="1102" spans="27:28">
      <c r="AA1102" s="25"/>
      <c r="AB1102" s="25"/>
    </row>
    <row r="1103" spans="27:28">
      <c r="AA1103" s="25"/>
      <c r="AB1103" s="25"/>
    </row>
    <row r="1104" spans="27:28">
      <c r="AA1104" s="25"/>
      <c r="AB1104" s="25"/>
    </row>
    <row r="1105" spans="27:28">
      <c r="AA1105" s="25"/>
      <c r="AB1105" s="25"/>
    </row>
    <row r="1106" spans="27:28">
      <c r="AA1106" s="25"/>
      <c r="AB1106" s="25"/>
    </row>
    <row r="1107" spans="27:28">
      <c r="AA1107" s="25"/>
      <c r="AB1107" s="25"/>
    </row>
    <row r="1108" spans="27:28">
      <c r="AA1108" s="25"/>
      <c r="AB1108" s="25"/>
    </row>
    <row r="1109" spans="27:28">
      <c r="AA1109" s="25"/>
      <c r="AB1109" s="25"/>
    </row>
    <row r="1110" spans="27:28">
      <c r="AA1110" s="25"/>
      <c r="AB1110" s="25"/>
    </row>
    <row r="1111" spans="27:28">
      <c r="AA1111" s="25"/>
      <c r="AB1111" s="25"/>
    </row>
    <row r="1112" spans="27:28">
      <c r="AA1112" s="25"/>
      <c r="AB1112" s="25"/>
    </row>
    <row r="1113" spans="27:28">
      <c r="AA1113" s="25"/>
      <c r="AB1113" s="25"/>
    </row>
    <row r="1114" spans="27:28">
      <c r="AA1114" s="25"/>
      <c r="AB1114" s="25"/>
    </row>
    <row r="1115" spans="27:28">
      <c r="AA1115" s="25"/>
      <c r="AB1115" s="25"/>
    </row>
    <row r="1116" spans="27:28">
      <c r="AA1116" s="25"/>
      <c r="AB1116" s="25"/>
    </row>
    <row r="1117" spans="27:28">
      <c r="AA1117" s="25"/>
      <c r="AB1117" s="25"/>
    </row>
    <row r="1118" spans="27:28">
      <c r="AA1118" s="25"/>
      <c r="AB1118" s="25"/>
    </row>
    <row r="1119" spans="27:28">
      <c r="AA1119" s="25"/>
      <c r="AB1119" s="25"/>
    </row>
    <row r="1120" spans="27:28">
      <c r="AA1120" s="25"/>
      <c r="AB1120" s="25"/>
    </row>
    <row r="1121" spans="27:28">
      <c r="AA1121" s="25"/>
      <c r="AB1121" s="25"/>
    </row>
    <row r="1122" spans="27:28">
      <c r="AA1122" s="25"/>
      <c r="AB1122" s="25"/>
    </row>
    <row r="1123" spans="27:28">
      <c r="AA1123" s="25"/>
      <c r="AB1123" s="25"/>
    </row>
    <row r="1124" spans="27:28">
      <c r="AA1124" s="25"/>
      <c r="AB1124" s="25"/>
    </row>
    <row r="1125" spans="27:28">
      <c r="AA1125" s="25"/>
      <c r="AB1125" s="25"/>
    </row>
    <row r="1126" spans="27:28">
      <c r="AA1126" s="25"/>
      <c r="AB1126" s="25"/>
    </row>
    <row r="1127" spans="27:28">
      <c r="AA1127" s="25"/>
      <c r="AB1127" s="25"/>
    </row>
    <row r="1128" spans="27:28">
      <c r="AA1128" s="25"/>
      <c r="AB1128" s="25"/>
    </row>
    <row r="1129" spans="27:28">
      <c r="AA1129" s="25"/>
      <c r="AB1129" s="25"/>
    </row>
    <row r="1130" spans="27:28">
      <c r="AA1130" s="25"/>
      <c r="AB1130" s="25"/>
    </row>
    <row r="1131" spans="27:28">
      <c r="AA1131" s="25"/>
      <c r="AB1131" s="25"/>
    </row>
    <row r="1132" spans="27:28">
      <c r="AA1132" s="25"/>
      <c r="AB1132" s="25"/>
    </row>
    <row r="1133" spans="27:28">
      <c r="AA1133" s="25"/>
      <c r="AB1133" s="25"/>
    </row>
    <row r="1134" spans="27:28">
      <c r="AA1134" s="25"/>
      <c r="AB1134" s="25"/>
    </row>
    <row r="1135" spans="27:28">
      <c r="AA1135" s="25"/>
      <c r="AB1135" s="25"/>
    </row>
    <row r="1136" spans="27:28">
      <c r="AA1136" s="25"/>
      <c r="AB1136" s="25"/>
    </row>
    <row r="1137" spans="27:28">
      <c r="AA1137" s="25"/>
      <c r="AB1137" s="25"/>
    </row>
    <row r="1138" spans="27:28">
      <c r="AA1138" s="25"/>
      <c r="AB1138" s="25"/>
    </row>
    <row r="1139" spans="27:28">
      <c r="AA1139" s="25"/>
      <c r="AB1139" s="25"/>
    </row>
    <row r="1140" spans="27:28">
      <c r="AA1140" s="25"/>
      <c r="AB1140" s="25"/>
    </row>
    <row r="1141" spans="27:28">
      <c r="AA1141" s="25"/>
      <c r="AB1141" s="25"/>
    </row>
    <row r="1142" spans="27:28">
      <c r="AA1142" s="25"/>
      <c r="AB1142" s="25"/>
    </row>
    <row r="1143" spans="27:28">
      <c r="AA1143" s="25"/>
      <c r="AB1143" s="25"/>
    </row>
    <row r="1144" spans="27:28">
      <c r="AA1144" s="25"/>
      <c r="AB1144" s="25"/>
    </row>
    <row r="1145" spans="27:28">
      <c r="AA1145" s="25"/>
      <c r="AB1145" s="25"/>
    </row>
    <row r="1146" spans="27:28">
      <c r="AA1146" s="25"/>
      <c r="AB1146" s="25"/>
    </row>
    <row r="1147" spans="27:28">
      <c r="AA1147" s="25"/>
      <c r="AB1147" s="25"/>
    </row>
    <row r="1148" spans="27:28">
      <c r="AA1148" s="25"/>
      <c r="AB1148" s="25"/>
    </row>
    <row r="1149" spans="27:28">
      <c r="AA1149" s="25"/>
      <c r="AB1149" s="25"/>
    </row>
    <row r="1150" spans="27:28">
      <c r="AA1150" s="25"/>
      <c r="AB1150" s="25"/>
    </row>
    <row r="1151" spans="27:28">
      <c r="AA1151" s="25"/>
      <c r="AB1151" s="25"/>
    </row>
    <row r="1152" spans="27:28">
      <c r="AA1152" s="25"/>
      <c r="AB1152" s="25"/>
    </row>
    <row r="1153" spans="27:28">
      <c r="AA1153" s="25"/>
      <c r="AB1153" s="25"/>
    </row>
    <row r="1154" spans="27:28">
      <c r="AA1154" s="25"/>
      <c r="AB1154" s="25"/>
    </row>
    <row r="1155" spans="27:28">
      <c r="AA1155" s="25"/>
      <c r="AB1155" s="25"/>
    </row>
    <row r="1156" spans="27:28">
      <c r="AA1156" s="25"/>
      <c r="AB1156" s="25"/>
    </row>
    <row r="1157" spans="27:28">
      <c r="AA1157" s="25"/>
      <c r="AB1157" s="25"/>
    </row>
    <row r="1158" spans="27:28">
      <c r="AA1158" s="25"/>
      <c r="AB1158" s="25"/>
    </row>
    <row r="1159" spans="27:28">
      <c r="AA1159" s="25"/>
      <c r="AB1159" s="25"/>
    </row>
    <row r="1160" spans="27:28">
      <c r="AA1160" s="25"/>
      <c r="AB1160" s="25"/>
    </row>
    <row r="1161" spans="27:28">
      <c r="AA1161" s="25"/>
      <c r="AB1161" s="25"/>
    </row>
    <row r="1162" spans="27:28">
      <c r="AA1162" s="25"/>
      <c r="AB1162" s="25"/>
    </row>
    <row r="1163" spans="27:28">
      <c r="AA1163" s="25"/>
      <c r="AB1163" s="25"/>
    </row>
    <row r="1164" spans="27:28">
      <c r="AA1164" s="25"/>
      <c r="AB1164" s="25"/>
    </row>
    <row r="1165" spans="27:28">
      <c r="AA1165" s="25"/>
      <c r="AB1165" s="25"/>
    </row>
    <row r="1166" spans="27:28">
      <c r="AA1166" s="25"/>
      <c r="AB1166" s="25"/>
    </row>
    <row r="1167" spans="27:28">
      <c r="AA1167" s="25"/>
      <c r="AB1167" s="25"/>
    </row>
    <row r="1168" spans="27:28">
      <c r="AA1168" s="25"/>
      <c r="AB1168" s="25"/>
    </row>
    <row r="1169" spans="27:28">
      <c r="AA1169" s="25"/>
      <c r="AB1169" s="25"/>
    </row>
    <row r="1170" spans="27:28">
      <c r="AA1170" s="25"/>
      <c r="AB1170" s="25"/>
    </row>
    <row r="1171" spans="27:28">
      <c r="AA1171" s="25"/>
      <c r="AB1171" s="25"/>
    </row>
    <row r="1172" spans="27:28">
      <c r="AA1172" s="25"/>
      <c r="AB1172" s="25"/>
    </row>
    <row r="1173" spans="27:28">
      <c r="AA1173" s="25"/>
      <c r="AB1173" s="25"/>
    </row>
    <row r="1174" spans="27:28">
      <c r="AA1174" s="25"/>
      <c r="AB1174" s="25"/>
    </row>
    <row r="1175" spans="27:28">
      <c r="AA1175" s="25"/>
      <c r="AB1175" s="25"/>
    </row>
    <row r="1176" spans="27:28">
      <c r="AA1176" s="25"/>
      <c r="AB1176" s="25"/>
    </row>
    <row r="1177" spans="27:28">
      <c r="AA1177" s="25"/>
      <c r="AB1177" s="25"/>
    </row>
    <row r="1178" spans="27:28">
      <c r="AA1178" s="25"/>
      <c r="AB1178" s="25"/>
    </row>
    <row r="1179" spans="27:28">
      <c r="AA1179" s="25"/>
      <c r="AB1179" s="25"/>
    </row>
    <row r="1180" spans="27:28">
      <c r="AA1180" s="25"/>
      <c r="AB1180" s="25"/>
    </row>
    <row r="1181" spans="27:28">
      <c r="AA1181" s="25"/>
      <c r="AB1181" s="25"/>
    </row>
    <row r="1182" spans="27:28">
      <c r="AA1182" s="25"/>
      <c r="AB1182" s="25"/>
    </row>
    <row r="1183" spans="27:28">
      <c r="AA1183" s="25"/>
      <c r="AB1183" s="25"/>
    </row>
    <row r="1184" spans="27:28">
      <c r="AA1184" s="25"/>
      <c r="AB1184" s="25"/>
    </row>
    <row r="1185" spans="27:28">
      <c r="AA1185" s="25"/>
      <c r="AB1185" s="25"/>
    </row>
    <row r="1186" spans="27:28">
      <c r="AA1186" s="25"/>
      <c r="AB1186" s="25"/>
    </row>
    <row r="1187" spans="27:28">
      <c r="AA1187" s="25"/>
      <c r="AB1187" s="25"/>
    </row>
    <row r="1188" spans="27:28">
      <c r="AA1188" s="25"/>
      <c r="AB1188" s="25"/>
    </row>
    <row r="1189" spans="27:28">
      <c r="AA1189" s="25"/>
      <c r="AB1189" s="25"/>
    </row>
    <row r="1190" spans="27:28">
      <c r="AA1190" s="25"/>
      <c r="AB1190" s="25"/>
    </row>
    <row r="1191" spans="27:28">
      <c r="AA1191" s="25"/>
      <c r="AB1191" s="25"/>
    </row>
    <row r="1192" spans="27:28">
      <c r="AA1192" s="25"/>
      <c r="AB1192" s="25"/>
    </row>
    <row r="1193" spans="27:28">
      <c r="AA1193" s="25"/>
      <c r="AB1193" s="25"/>
    </row>
    <row r="1194" spans="27:28">
      <c r="AA1194" s="25"/>
      <c r="AB1194" s="25"/>
    </row>
    <row r="1195" spans="27:28">
      <c r="AA1195" s="25"/>
      <c r="AB1195" s="25"/>
    </row>
    <row r="1196" spans="27:28">
      <c r="AA1196" s="25"/>
      <c r="AB1196" s="25"/>
    </row>
    <row r="1197" spans="27:28">
      <c r="AA1197" s="25"/>
      <c r="AB1197" s="25"/>
    </row>
    <row r="1198" spans="27:28">
      <c r="AA1198" s="25"/>
      <c r="AB1198" s="25"/>
    </row>
    <row r="1199" spans="27:28">
      <c r="AA1199" s="25"/>
      <c r="AB1199" s="25"/>
    </row>
    <row r="1200" spans="27:28">
      <c r="AA1200" s="25"/>
      <c r="AB1200" s="25"/>
    </row>
    <row r="1201" spans="27:28">
      <c r="AA1201" s="25"/>
      <c r="AB1201" s="25"/>
    </row>
    <row r="1202" spans="27:28">
      <c r="AA1202" s="25"/>
      <c r="AB1202" s="25"/>
    </row>
    <row r="1203" spans="27:28">
      <c r="AA1203" s="25"/>
      <c r="AB1203" s="25"/>
    </row>
    <row r="1204" spans="27:28">
      <c r="AA1204" s="25"/>
      <c r="AB1204" s="25"/>
    </row>
    <row r="1205" spans="27:28">
      <c r="AA1205" s="25"/>
      <c r="AB1205" s="25"/>
    </row>
    <row r="1206" spans="27:28">
      <c r="AA1206" s="25"/>
      <c r="AB1206" s="25"/>
    </row>
    <row r="1207" spans="27:28">
      <c r="AA1207" s="25"/>
      <c r="AB1207" s="25"/>
    </row>
    <row r="1208" spans="27:28">
      <c r="AA1208" s="25"/>
      <c r="AB1208" s="25"/>
    </row>
    <row r="1209" spans="27:28">
      <c r="AA1209" s="25"/>
      <c r="AB1209" s="25"/>
    </row>
    <row r="1210" spans="27:28">
      <c r="AA1210" s="25"/>
      <c r="AB1210" s="25"/>
    </row>
    <row r="1211" spans="27:28">
      <c r="AA1211" s="25"/>
      <c r="AB1211" s="25"/>
    </row>
    <row r="1212" spans="27:28">
      <c r="AA1212" s="25"/>
      <c r="AB1212" s="25"/>
    </row>
    <row r="1213" spans="27:28">
      <c r="AA1213" s="25"/>
      <c r="AB1213" s="25"/>
    </row>
    <row r="1214" spans="27:28">
      <c r="AA1214" s="25"/>
      <c r="AB1214" s="25"/>
    </row>
    <row r="1215" spans="27:28">
      <c r="AA1215" s="25"/>
      <c r="AB1215" s="25"/>
    </row>
    <row r="1216" spans="27:28">
      <c r="AA1216" s="25"/>
      <c r="AB1216" s="25"/>
    </row>
    <row r="1217" spans="27:28">
      <c r="AA1217" s="25"/>
      <c r="AB1217" s="25"/>
    </row>
    <row r="1218" spans="27:28">
      <c r="AA1218" s="25"/>
      <c r="AB1218" s="25"/>
    </row>
    <row r="1219" spans="27:28">
      <c r="AA1219" s="25"/>
      <c r="AB1219" s="25"/>
    </row>
    <row r="1220" spans="27:28">
      <c r="AA1220" s="25"/>
      <c r="AB1220" s="25"/>
    </row>
    <row r="1221" spans="27:28">
      <c r="AA1221" s="25"/>
      <c r="AB1221" s="25"/>
    </row>
    <row r="1222" spans="27:28">
      <c r="AA1222" s="25"/>
      <c r="AB1222" s="25"/>
    </row>
    <row r="1223" spans="27:28">
      <c r="AA1223" s="25"/>
      <c r="AB1223" s="25"/>
    </row>
    <row r="1224" spans="27:28">
      <c r="AA1224" s="25"/>
      <c r="AB1224" s="25"/>
    </row>
    <row r="1225" spans="27:28">
      <c r="AA1225" s="25"/>
      <c r="AB1225" s="25"/>
    </row>
    <row r="1226" spans="27:28">
      <c r="AA1226" s="25"/>
      <c r="AB1226" s="25"/>
    </row>
    <row r="1227" spans="27:28">
      <c r="AA1227" s="25"/>
      <c r="AB1227" s="25"/>
    </row>
    <row r="1228" spans="27:28">
      <c r="AA1228" s="25"/>
      <c r="AB1228" s="25"/>
    </row>
    <row r="1229" spans="27:28">
      <c r="AA1229" s="25"/>
      <c r="AB1229" s="25"/>
    </row>
    <row r="1230" spans="27:28">
      <c r="AA1230" s="25"/>
      <c r="AB1230" s="25"/>
    </row>
    <row r="1231" spans="27:28">
      <c r="AA1231" s="25"/>
      <c r="AB1231" s="25"/>
    </row>
    <row r="1232" spans="27:28">
      <c r="AA1232" s="25"/>
      <c r="AB1232" s="25"/>
    </row>
    <row r="1233" spans="27:28">
      <c r="AA1233" s="25"/>
      <c r="AB1233" s="25"/>
    </row>
    <row r="1234" spans="27:28">
      <c r="AA1234" s="25"/>
      <c r="AB1234" s="25"/>
    </row>
    <row r="1235" spans="27:28">
      <c r="AA1235" s="25"/>
      <c r="AB1235" s="25"/>
    </row>
    <row r="1236" spans="27:28">
      <c r="AA1236" s="25"/>
      <c r="AB1236" s="25"/>
    </row>
    <row r="1237" spans="27:28">
      <c r="AA1237" s="25"/>
      <c r="AB1237" s="25"/>
    </row>
    <row r="1238" spans="27:28">
      <c r="AA1238" s="25"/>
      <c r="AB1238" s="25"/>
    </row>
    <row r="1239" spans="27:28">
      <c r="AA1239" s="25"/>
      <c r="AB1239" s="25"/>
    </row>
    <row r="1240" spans="27:28">
      <c r="AA1240" s="25"/>
      <c r="AB1240" s="25"/>
    </row>
    <row r="1241" spans="27:28">
      <c r="AA1241" s="25"/>
      <c r="AB1241" s="25"/>
    </row>
    <row r="1242" spans="27:28">
      <c r="AA1242" s="25"/>
      <c r="AB1242" s="25"/>
    </row>
    <row r="1243" spans="27:28">
      <c r="AA1243" s="25"/>
      <c r="AB1243" s="25"/>
    </row>
    <row r="1244" spans="27:28">
      <c r="AA1244" s="25"/>
      <c r="AB1244" s="25"/>
    </row>
    <row r="1245" spans="27:28">
      <c r="AA1245" s="25"/>
      <c r="AB1245" s="25"/>
    </row>
    <row r="1246" spans="27:28">
      <c r="AA1246" s="25"/>
      <c r="AB1246" s="25"/>
    </row>
    <row r="1247" spans="27:28">
      <c r="AA1247" s="25"/>
      <c r="AB1247" s="25"/>
    </row>
    <row r="1248" spans="27:28">
      <c r="AA1248" s="25"/>
      <c r="AB1248" s="25"/>
    </row>
    <row r="1249" spans="27:28">
      <c r="AA1249" s="25"/>
      <c r="AB1249" s="25"/>
    </row>
    <row r="1250" spans="27:28">
      <c r="AA1250" s="25"/>
      <c r="AB1250" s="25"/>
    </row>
    <row r="1251" spans="27:28">
      <c r="AA1251" s="25"/>
      <c r="AB1251" s="25"/>
    </row>
    <row r="1252" spans="27:28">
      <c r="AA1252" s="25"/>
      <c r="AB1252" s="25"/>
    </row>
    <row r="1253" spans="27:28">
      <c r="AA1253" s="25"/>
      <c r="AB1253" s="25"/>
    </row>
    <row r="1254" spans="27:28">
      <c r="AA1254" s="25"/>
      <c r="AB1254" s="25"/>
    </row>
    <row r="1255" spans="27:28">
      <c r="AA1255" s="25"/>
      <c r="AB1255" s="25"/>
    </row>
    <row r="1256" spans="27:28">
      <c r="AA1256" s="25"/>
      <c r="AB1256" s="25"/>
    </row>
    <row r="1257" spans="27:28">
      <c r="AA1257" s="25"/>
      <c r="AB1257" s="25"/>
    </row>
    <row r="1258" spans="27:28">
      <c r="AA1258" s="25"/>
      <c r="AB1258" s="25"/>
    </row>
    <row r="1259" spans="27:28">
      <c r="AA1259" s="25"/>
      <c r="AB1259" s="25"/>
    </row>
    <row r="1260" spans="27:28">
      <c r="AA1260" s="25"/>
      <c r="AB1260" s="25"/>
    </row>
    <row r="1261" spans="27:28">
      <c r="AA1261" s="25"/>
      <c r="AB1261" s="25"/>
    </row>
    <row r="1262" spans="27:28">
      <c r="AA1262" s="25"/>
      <c r="AB1262" s="25"/>
    </row>
    <row r="1263" spans="27:28">
      <c r="AA1263" s="25"/>
      <c r="AB1263" s="25"/>
    </row>
    <row r="1264" spans="27:28">
      <c r="AA1264" s="25"/>
      <c r="AB1264" s="25"/>
    </row>
    <row r="1265" spans="27:28">
      <c r="AA1265" s="25"/>
      <c r="AB1265" s="25"/>
    </row>
    <row r="1266" spans="27:28">
      <c r="AA1266" s="25"/>
      <c r="AB1266" s="25"/>
    </row>
    <row r="1267" spans="27:28">
      <c r="AA1267" s="25"/>
      <c r="AB1267" s="25"/>
    </row>
    <row r="1268" spans="27:28">
      <c r="AA1268" s="25"/>
      <c r="AB1268" s="25"/>
    </row>
    <row r="1269" spans="27:28">
      <c r="AA1269" s="25"/>
      <c r="AB1269" s="25"/>
    </row>
    <row r="1270" spans="27:28">
      <c r="AA1270" s="25"/>
      <c r="AB1270" s="25"/>
    </row>
    <row r="1271" spans="27:28">
      <c r="AA1271" s="25"/>
      <c r="AB1271" s="25"/>
    </row>
    <row r="1272" spans="27:28">
      <c r="AA1272" s="25"/>
      <c r="AB1272" s="25"/>
    </row>
    <row r="1273" spans="27:28">
      <c r="AA1273" s="25"/>
      <c r="AB1273" s="25"/>
    </row>
    <row r="1274" spans="27:28">
      <c r="AA1274" s="25"/>
      <c r="AB1274" s="25"/>
    </row>
    <row r="1275" spans="27:28">
      <c r="AA1275" s="25"/>
      <c r="AB1275" s="25"/>
    </row>
    <row r="1276" spans="27:28">
      <c r="AA1276" s="25"/>
      <c r="AB1276" s="25"/>
    </row>
    <row r="1277" spans="27:28">
      <c r="AA1277" s="25"/>
      <c r="AB1277" s="25"/>
    </row>
    <row r="1278" spans="27:28">
      <c r="AA1278" s="25"/>
      <c r="AB1278" s="25"/>
    </row>
    <row r="1279" spans="27:28">
      <c r="AA1279" s="25"/>
      <c r="AB1279" s="25"/>
    </row>
    <row r="1280" spans="27:28">
      <c r="AA1280" s="25"/>
      <c r="AB1280" s="25"/>
    </row>
    <row r="1281" spans="27:28">
      <c r="AA1281" s="25"/>
      <c r="AB1281" s="25"/>
    </row>
    <row r="1282" spans="27:28">
      <c r="AA1282" s="25"/>
      <c r="AB1282" s="25"/>
    </row>
    <row r="1283" spans="27:28">
      <c r="AA1283" s="25"/>
      <c r="AB1283" s="25"/>
    </row>
    <row r="1284" spans="27:28">
      <c r="AA1284" s="25"/>
      <c r="AB1284" s="25"/>
    </row>
    <row r="1285" spans="27:28">
      <c r="AA1285" s="25"/>
      <c r="AB1285" s="25"/>
    </row>
    <row r="1286" spans="27:28">
      <c r="AA1286" s="25"/>
      <c r="AB1286" s="25"/>
    </row>
    <row r="1287" spans="27:28">
      <c r="AA1287" s="25"/>
      <c r="AB1287" s="25"/>
    </row>
    <row r="1288" spans="27:28">
      <c r="AA1288" s="25"/>
      <c r="AB1288" s="25"/>
    </row>
    <row r="1289" spans="27:28">
      <c r="AA1289" s="25"/>
      <c r="AB1289" s="25"/>
    </row>
    <row r="1290" spans="27:28">
      <c r="AA1290" s="25"/>
      <c r="AB1290" s="25"/>
    </row>
    <row r="1291" spans="27:28">
      <c r="AA1291" s="25"/>
      <c r="AB1291" s="25"/>
    </row>
    <row r="1292" spans="27:28">
      <c r="AA1292" s="25"/>
      <c r="AB1292" s="25"/>
    </row>
    <row r="1293" spans="27:28">
      <c r="AA1293" s="25"/>
      <c r="AB1293" s="25"/>
    </row>
    <row r="1294" spans="27:28">
      <c r="AA1294" s="25"/>
      <c r="AB1294" s="25"/>
    </row>
    <row r="1295" spans="27:28">
      <c r="AA1295" s="25"/>
      <c r="AB1295" s="25"/>
    </row>
    <row r="1296" spans="27:28">
      <c r="AA1296" s="25"/>
      <c r="AB1296" s="25"/>
    </row>
    <row r="1297" spans="27:28">
      <c r="AA1297" s="25"/>
      <c r="AB1297" s="25"/>
    </row>
    <row r="1298" spans="27:28">
      <c r="AA1298" s="25"/>
      <c r="AB1298" s="25"/>
    </row>
    <row r="1299" spans="27:28">
      <c r="AA1299" s="25"/>
      <c r="AB1299" s="25"/>
    </row>
    <row r="1300" spans="27:28">
      <c r="AA1300" s="25"/>
      <c r="AB1300" s="25"/>
    </row>
    <row r="1301" spans="27:28">
      <c r="AA1301" s="25"/>
      <c r="AB1301" s="25"/>
    </row>
    <row r="1302" spans="27:28">
      <c r="AA1302" s="25"/>
      <c r="AB1302" s="25"/>
    </row>
    <row r="1303" spans="27:28">
      <c r="AA1303" s="25"/>
      <c r="AB1303" s="25"/>
    </row>
    <row r="1304" spans="27:28">
      <c r="AA1304" s="25"/>
      <c r="AB1304" s="25"/>
    </row>
    <row r="1305" spans="27:28">
      <c r="AA1305" s="25"/>
      <c r="AB1305" s="25"/>
    </row>
    <row r="1306" spans="27:28">
      <c r="AA1306" s="25"/>
      <c r="AB1306" s="25"/>
    </row>
    <row r="1307" spans="27:28">
      <c r="AA1307" s="25"/>
      <c r="AB1307" s="25"/>
    </row>
    <row r="1308" spans="27:28">
      <c r="AA1308" s="25"/>
      <c r="AB1308" s="25"/>
    </row>
    <row r="1309" spans="27:28">
      <c r="AA1309" s="25"/>
      <c r="AB1309" s="25"/>
    </row>
    <row r="1310" spans="27:28">
      <c r="AA1310" s="25"/>
      <c r="AB1310" s="25"/>
    </row>
    <row r="1311" spans="27:28">
      <c r="AA1311" s="25"/>
      <c r="AB1311" s="25"/>
    </row>
    <row r="1312" spans="27:28">
      <c r="AA1312" s="25"/>
      <c r="AB1312" s="25"/>
    </row>
    <row r="1313" spans="27:28">
      <c r="AA1313" s="25"/>
      <c r="AB1313" s="25"/>
    </row>
    <row r="1314" spans="27:28">
      <c r="AA1314" s="25"/>
      <c r="AB1314" s="25"/>
    </row>
    <row r="1315" spans="27:28">
      <c r="AA1315" s="25"/>
      <c r="AB1315" s="25"/>
    </row>
    <row r="1316" spans="27:28">
      <c r="AA1316" s="25"/>
      <c r="AB1316" s="25"/>
    </row>
    <row r="1317" spans="27:28">
      <c r="AA1317" s="25"/>
      <c r="AB1317" s="25"/>
    </row>
    <row r="1318" spans="27:28">
      <c r="AA1318" s="25"/>
      <c r="AB1318" s="25"/>
    </row>
    <row r="1319" spans="27:28">
      <c r="AA1319" s="25"/>
      <c r="AB1319" s="25"/>
    </row>
    <row r="1320" spans="27:28">
      <c r="AA1320" s="25"/>
      <c r="AB1320" s="25"/>
    </row>
    <row r="1321" spans="27:28">
      <c r="AA1321" s="25"/>
      <c r="AB1321" s="25"/>
    </row>
    <row r="1322" spans="27:28">
      <c r="AA1322" s="25"/>
      <c r="AB1322" s="25"/>
    </row>
    <row r="1323" spans="27:28">
      <c r="AA1323" s="25"/>
      <c r="AB1323" s="25"/>
    </row>
    <row r="1324" spans="27:28">
      <c r="AA1324" s="25"/>
      <c r="AB1324" s="25"/>
    </row>
    <row r="1325" spans="27:28">
      <c r="AA1325" s="25"/>
      <c r="AB1325" s="25"/>
    </row>
    <row r="1326" spans="27:28">
      <c r="AA1326" s="25"/>
      <c r="AB1326" s="25"/>
    </row>
    <row r="1327" spans="27:28">
      <c r="AA1327" s="25"/>
      <c r="AB1327" s="25"/>
    </row>
    <row r="1328" spans="27:28">
      <c r="AA1328" s="25"/>
      <c r="AB1328" s="25"/>
    </row>
    <row r="1329" spans="27:28">
      <c r="AA1329" s="25"/>
      <c r="AB1329" s="25"/>
    </row>
    <row r="1330" spans="27:28">
      <c r="AA1330" s="25"/>
      <c r="AB1330" s="25"/>
    </row>
    <row r="1331" spans="27:28">
      <c r="AA1331" s="25"/>
      <c r="AB1331" s="25"/>
    </row>
    <row r="1332" spans="27:28">
      <c r="AA1332" s="25"/>
      <c r="AB1332" s="25"/>
    </row>
    <row r="1333" spans="27:28">
      <c r="AA1333" s="25"/>
      <c r="AB1333" s="25"/>
    </row>
    <row r="1334" spans="27:28">
      <c r="AA1334" s="25"/>
      <c r="AB1334" s="25"/>
    </row>
    <row r="1335" spans="27:28">
      <c r="AA1335" s="25"/>
      <c r="AB1335" s="25"/>
    </row>
    <row r="1336" spans="27:28">
      <c r="AA1336" s="25"/>
      <c r="AB1336" s="25"/>
    </row>
    <row r="1337" spans="27:28">
      <c r="AA1337" s="25"/>
      <c r="AB1337" s="25"/>
    </row>
    <row r="1338" spans="27:28">
      <c r="AA1338" s="25"/>
      <c r="AB1338" s="25"/>
    </row>
    <row r="1339" spans="27:28">
      <c r="AA1339" s="25"/>
      <c r="AB1339" s="25"/>
    </row>
    <row r="1340" spans="27:28">
      <c r="AA1340" s="25"/>
      <c r="AB1340" s="25"/>
    </row>
    <row r="1341" spans="27:28">
      <c r="AA1341" s="25"/>
      <c r="AB1341" s="25"/>
    </row>
    <row r="1342" spans="27:28">
      <c r="AA1342" s="25"/>
      <c r="AB1342" s="25"/>
    </row>
    <row r="1343" spans="27:28">
      <c r="AA1343" s="25"/>
      <c r="AB1343" s="25"/>
    </row>
    <row r="1344" spans="27:28">
      <c r="AA1344" s="25"/>
      <c r="AB1344" s="25"/>
    </row>
    <row r="1345" spans="27:28">
      <c r="AA1345" s="25"/>
      <c r="AB1345" s="25"/>
    </row>
    <row r="1346" spans="27:28">
      <c r="AA1346" s="25"/>
      <c r="AB1346" s="25"/>
    </row>
    <row r="1347" spans="27:28">
      <c r="AA1347" s="25"/>
      <c r="AB1347" s="25"/>
    </row>
    <row r="1348" spans="27:28">
      <c r="AA1348" s="25"/>
      <c r="AB1348" s="25"/>
    </row>
    <row r="1349" spans="27:28">
      <c r="AA1349" s="25"/>
      <c r="AB1349" s="25"/>
    </row>
    <row r="1350" spans="27:28">
      <c r="AA1350" s="25"/>
      <c r="AB1350" s="25"/>
    </row>
    <row r="1351" spans="27:28">
      <c r="AA1351" s="25"/>
      <c r="AB1351" s="25"/>
    </row>
    <row r="1352" spans="27:28">
      <c r="AA1352" s="25"/>
      <c r="AB1352" s="25"/>
    </row>
    <row r="1353" spans="27:28">
      <c r="AA1353" s="25"/>
      <c r="AB1353" s="25"/>
    </row>
    <row r="1354" spans="27:28">
      <c r="AA1354" s="25"/>
      <c r="AB1354" s="25"/>
    </row>
    <row r="1355" spans="27:28">
      <c r="AA1355" s="25"/>
      <c r="AB1355" s="25"/>
    </row>
    <row r="1356" spans="27:28">
      <c r="AA1356" s="25"/>
      <c r="AB1356" s="25"/>
    </row>
    <row r="1357" spans="27:28">
      <c r="AA1357" s="25"/>
      <c r="AB1357" s="25"/>
    </row>
    <row r="1358" spans="27:28">
      <c r="AA1358" s="25"/>
      <c r="AB1358" s="25"/>
    </row>
    <row r="1359" spans="27:28">
      <c r="AA1359" s="25"/>
      <c r="AB1359" s="25"/>
    </row>
    <row r="1360" spans="27:28">
      <c r="AA1360" s="25"/>
      <c r="AB1360" s="25"/>
    </row>
    <row r="1361" spans="27:28"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86</v>
      </c>
      <c r="E1" s="33"/>
      <c r="F1" s="34" t="s">
        <v>103</v>
      </c>
      <c r="G1" s="35"/>
      <c r="H1" s="35" t="s">
        <v>111</v>
      </c>
      <c r="I1" s="35"/>
      <c r="J1" s="35" t="s">
        <v>118</v>
      </c>
      <c r="K1" s="35"/>
      <c r="L1" s="35"/>
      <c r="M1" s="35"/>
      <c r="N1" s="35"/>
      <c r="O1" s="35"/>
    </row>
    <row r="2" spans="1:15">
      <c r="A2">
        <v>1</v>
      </c>
      <c r="B2" s="32" t="s">
        <v>74</v>
      </c>
      <c r="C2" s="10">
        <v>1</v>
      </c>
      <c r="D2" s="32" t="s">
        <v>87</v>
      </c>
      <c r="E2" s="10">
        <v>1</v>
      </c>
      <c r="F2" t="s">
        <v>104</v>
      </c>
      <c r="G2">
        <v>1</v>
      </c>
      <c r="H2" s="19" t="s">
        <v>112</v>
      </c>
      <c r="I2">
        <v>1</v>
      </c>
      <c r="J2" s="19" t="s">
        <v>119</v>
      </c>
    </row>
    <row r="3" spans="1:15">
      <c r="A3">
        <v>2</v>
      </c>
      <c r="B3" s="32" t="s">
        <v>75</v>
      </c>
      <c r="C3" s="10">
        <v>2</v>
      </c>
      <c r="D3" s="32" t="s">
        <v>88</v>
      </c>
      <c r="E3" s="10">
        <v>2</v>
      </c>
      <c r="F3" t="s">
        <v>105</v>
      </c>
      <c r="G3">
        <v>2</v>
      </c>
      <c r="H3" s="19" t="s">
        <v>113</v>
      </c>
      <c r="I3">
        <v>2</v>
      </c>
      <c r="J3" s="19" t="s">
        <v>120</v>
      </c>
    </row>
    <row r="4" spans="1:15">
      <c r="A4">
        <v>3</v>
      </c>
      <c r="B4" s="32" t="s">
        <v>76</v>
      </c>
      <c r="C4" s="10">
        <v>3</v>
      </c>
      <c r="D4" s="32" t="s">
        <v>89</v>
      </c>
      <c r="E4" s="10">
        <v>3</v>
      </c>
      <c r="F4" t="s">
        <v>106</v>
      </c>
      <c r="G4">
        <v>3</v>
      </c>
      <c r="H4" s="19" t="s">
        <v>114</v>
      </c>
      <c r="I4">
        <v>3</v>
      </c>
      <c r="J4" s="19" t="s">
        <v>121</v>
      </c>
    </row>
    <row r="5" spans="1:15">
      <c r="A5">
        <v>4</v>
      </c>
      <c r="B5" s="32" t="s">
        <v>77</v>
      </c>
      <c r="C5" s="10">
        <v>4</v>
      </c>
      <c r="D5" s="32" t="s">
        <v>90</v>
      </c>
      <c r="E5" s="10">
        <v>4</v>
      </c>
      <c r="F5" t="s">
        <v>107</v>
      </c>
      <c r="G5">
        <v>4</v>
      </c>
      <c r="H5" s="19" t="s">
        <v>115</v>
      </c>
      <c r="I5">
        <v>4</v>
      </c>
      <c r="J5" s="36" t="s">
        <v>122</v>
      </c>
    </row>
    <row r="6" spans="1:15">
      <c r="A6">
        <v>5</v>
      </c>
      <c r="B6" s="32" t="s">
        <v>78</v>
      </c>
      <c r="C6" s="10">
        <v>5</v>
      </c>
      <c r="D6" s="32" t="s">
        <v>91</v>
      </c>
      <c r="E6" s="10">
        <v>5</v>
      </c>
      <c r="F6" t="s">
        <v>108</v>
      </c>
      <c r="G6">
        <v>5</v>
      </c>
      <c r="H6" s="19" t="s">
        <v>116</v>
      </c>
      <c r="I6">
        <v>5</v>
      </c>
      <c r="J6" s="19" t="s">
        <v>123</v>
      </c>
    </row>
    <row r="7" spans="1:15">
      <c r="A7">
        <v>6</v>
      </c>
      <c r="B7" s="32" t="s">
        <v>79</v>
      </c>
      <c r="C7" s="10">
        <v>6</v>
      </c>
      <c r="D7" s="32" t="s">
        <v>92</v>
      </c>
      <c r="E7" s="10">
        <v>6</v>
      </c>
      <c r="F7" t="s">
        <v>109</v>
      </c>
      <c r="G7">
        <v>6</v>
      </c>
      <c r="H7" s="19" t="s">
        <v>117</v>
      </c>
      <c r="I7">
        <v>6</v>
      </c>
      <c r="J7" s="19" t="s">
        <v>124</v>
      </c>
    </row>
    <row r="8" spans="1:15">
      <c r="A8">
        <v>7</v>
      </c>
      <c r="B8" s="32" t="s">
        <v>80</v>
      </c>
      <c r="C8" s="10">
        <v>7</v>
      </c>
      <c r="D8" s="32" t="s">
        <v>93</v>
      </c>
      <c r="E8" s="10">
        <v>7</v>
      </c>
      <c r="F8" t="s">
        <v>91</v>
      </c>
      <c r="I8">
        <v>7</v>
      </c>
      <c r="J8" s="19" t="s">
        <v>125</v>
      </c>
    </row>
    <row r="9" spans="1:15">
      <c r="A9">
        <v>8</v>
      </c>
      <c r="B9" s="32" t="s">
        <v>81</v>
      </c>
      <c r="C9" s="10">
        <v>8</v>
      </c>
      <c r="D9" s="32" t="s">
        <v>94</v>
      </c>
      <c r="E9" s="10">
        <v>8</v>
      </c>
      <c r="F9" t="s">
        <v>110</v>
      </c>
      <c r="I9">
        <v>8</v>
      </c>
      <c r="J9" s="19" t="s">
        <v>126</v>
      </c>
    </row>
    <row r="10" spans="1:15">
      <c r="A10">
        <v>9</v>
      </c>
      <c r="B10" s="32" t="s">
        <v>82</v>
      </c>
      <c r="C10" s="10">
        <v>9</v>
      </c>
      <c r="D10" s="32" t="s">
        <v>95</v>
      </c>
      <c r="E10" s="10"/>
      <c r="I10">
        <v>9</v>
      </c>
      <c r="J10" s="19" t="s">
        <v>127</v>
      </c>
    </row>
    <row r="11" spans="1:15">
      <c r="A11">
        <v>10</v>
      </c>
      <c r="B11" s="32" t="s">
        <v>83</v>
      </c>
      <c r="C11" s="10">
        <v>10</v>
      </c>
      <c r="D11" s="32" t="s">
        <v>96</v>
      </c>
      <c r="E11" s="10"/>
      <c r="I11">
        <v>10</v>
      </c>
      <c r="J11" s="36" t="s">
        <v>128</v>
      </c>
    </row>
    <row r="12" spans="1:15">
      <c r="A12">
        <v>11</v>
      </c>
      <c r="B12" s="32" t="s">
        <v>85</v>
      </c>
      <c r="C12" s="10">
        <v>11</v>
      </c>
      <c r="D12" s="32" t="s">
        <v>97</v>
      </c>
      <c r="E12" s="10"/>
      <c r="I12">
        <v>11</v>
      </c>
      <c r="J12" s="19" t="s">
        <v>129</v>
      </c>
    </row>
    <row r="13" spans="1:15">
      <c r="A13">
        <v>12</v>
      </c>
      <c r="B13" s="32" t="s">
        <v>84</v>
      </c>
      <c r="C13" s="10">
        <v>12</v>
      </c>
      <c r="D13" s="32" t="s">
        <v>98</v>
      </c>
      <c r="E13" s="10"/>
      <c r="I13">
        <v>12</v>
      </c>
      <c r="J13" s="19" t="s">
        <v>130</v>
      </c>
    </row>
    <row r="14" spans="1:15">
      <c r="C14" s="10">
        <v>13</v>
      </c>
      <c r="D14" s="19" t="s">
        <v>99</v>
      </c>
    </row>
    <row r="15" spans="1:15">
      <c r="B15" s="1"/>
      <c r="C15" s="10">
        <v>14</v>
      </c>
      <c r="D15" s="19" t="s">
        <v>100</v>
      </c>
    </row>
    <row r="16" spans="1:15">
      <c r="C16" s="10">
        <v>15</v>
      </c>
      <c r="D16" s="19" t="s">
        <v>101</v>
      </c>
    </row>
    <row r="17" spans="3:4">
      <c r="C17" s="10">
        <v>16</v>
      </c>
      <c r="D17" s="19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Analysis</vt:lpstr>
      <vt:lpstr>ALL DATA</vt:lpstr>
      <vt:lpstr>Zones</vt:lpstr>
      <vt:lpstr>08.08 Soroti-Moroto</vt:lpstr>
      <vt:lpstr>RSI FORM</vt:lpstr>
      <vt:lpstr>08.08 Moroto-Soroti</vt:lpstr>
      <vt:lpstr>09.08 Soroti-Moroto</vt:lpstr>
      <vt:lpstr>09.08 Moroto-Soroti</vt:lpstr>
      <vt:lpstr>10.08 Soroti-Moroto </vt:lpstr>
      <vt:lpstr>10.08 Moroto-Soroti</vt:lpstr>
      <vt:lpstr>Key</vt:lpstr>
      <vt:lpstr>Dist</vt:lpstr>
      <vt:lpstr>Jtime</vt:lpstr>
      <vt:lpstr>Pay</vt:lpstr>
      <vt:lpstr>Tripfreq</vt:lpstr>
      <vt:lpstr>Veh</vt:lpstr>
      <vt:lpstr>'08.08 Moroto-Soroti'!Veh_Type</vt:lpstr>
      <vt:lpstr>'09.08 Moroto-Soroti'!Veh_Type</vt:lpstr>
      <vt:lpstr>'10.08 Moroto-Soroti'!Veh_Type</vt:lpstr>
      <vt:lpstr>'10.08 Soroti-Moroto 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2020-04-10T01:01:28Z</dcterms:modified>
</cp:coreProperties>
</file>