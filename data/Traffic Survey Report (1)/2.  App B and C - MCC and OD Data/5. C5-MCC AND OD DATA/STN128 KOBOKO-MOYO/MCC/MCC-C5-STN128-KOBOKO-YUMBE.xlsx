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9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DMP Data Analysis\C-5 Analysis Complete-Ivan\STN128 KOBOKO-MOYO\MCC\"/>
    </mc:Choice>
  </mc:AlternateContent>
  <xr:revisionPtr revIDLastSave="0" documentId="13_ncr:1_{6B281E20-1CD8-4DB2-B390-6B5E0456C233}" xr6:coauthVersionLast="45" xr6:coauthVersionMax="45" xr10:uidLastSave="{00000000-0000-0000-0000-000000000000}"/>
  <bookViews>
    <workbookView xWindow="-120" yWindow="-120" windowWidth="20730" windowHeight="11160" tabRatio="922" firstSheet="11" activeTab="16" xr2:uid="{00000000-000D-0000-FFFF-FFFF00000000}"/>
  </bookViews>
  <sheets>
    <sheet name="31.07 Koboko-Yumbe" sheetId="93" r:id="rId1"/>
    <sheet name="31.07 Yumbe-Koboko" sheetId="94" r:id="rId2"/>
    <sheet name="01.08 Koboko-Yumbe " sheetId="95" r:id="rId3"/>
    <sheet name="01.08 Yumbe-Koboko" sheetId="96" r:id="rId4"/>
    <sheet name="02.08 Koboko-Yumbe-24h" sheetId="101" r:id="rId5"/>
    <sheet name="02.08 Yumbe-Koboko-24h" sheetId="109" r:id="rId6"/>
    <sheet name="03.08 Koboko-Yumbe-24h" sheetId="105" r:id="rId7"/>
    <sheet name="03.08 Yumbe-Koboko-24h" sheetId="110" r:id="rId8"/>
    <sheet name="04.08 Koboko-Yumbe " sheetId="97" r:id="rId9"/>
    <sheet name="04.08 Yumbe-Koboko" sheetId="98" r:id="rId10"/>
    <sheet name="05.08 Koboko-Yumbe" sheetId="99" r:id="rId11"/>
    <sheet name="05.08 Yumbe-Koboko" sheetId="100" r:id="rId12"/>
    <sheet name="06.08 Koboko-Yumbe" sheetId="103" r:id="rId13"/>
    <sheet name="06.08 Yumbe-Koboko" sheetId="104" r:id="rId14"/>
    <sheet name="Avg Week Koboko-Yumbe" sheetId="107" r:id="rId15"/>
    <sheet name="Avg Week Yumbe-Koboko" sheetId="108" r:id="rId16"/>
    <sheet name="Avg Week Koboko-Yumbe-2Dir" sheetId="111" r:id="rId17"/>
  </sheets>
  <definedNames>
    <definedName name="_xlnm.Print_Area" localSheetId="2">'01.08 Koboko-Yumbe '!$A$1:$AF$60</definedName>
    <definedName name="_xlnm.Print_Area" localSheetId="3">'01.08 Yumbe-Koboko'!$A$1:$AF$60</definedName>
    <definedName name="_xlnm.Print_Area" localSheetId="4">'02.08 Koboko-Yumbe-24h'!$A$1:$AF$108</definedName>
    <definedName name="_xlnm.Print_Area" localSheetId="5">'02.08 Yumbe-Koboko-24h'!$A$1:$AF$108</definedName>
    <definedName name="_xlnm.Print_Area" localSheetId="6">'03.08 Koboko-Yumbe-24h'!$A$1:$AF$108</definedName>
    <definedName name="_xlnm.Print_Area" localSheetId="7">'03.08 Yumbe-Koboko-24h'!$A$1:$AF$108</definedName>
    <definedName name="_xlnm.Print_Area" localSheetId="8">'04.08 Koboko-Yumbe '!$A$1:$AF$60</definedName>
    <definedName name="_xlnm.Print_Area" localSheetId="9">'04.08 Yumbe-Koboko'!$A$1:$AF$60</definedName>
    <definedName name="_xlnm.Print_Area" localSheetId="10">'05.08 Koboko-Yumbe'!$A$1:$AF$60</definedName>
    <definedName name="_xlnm.Print_Area" localSheetId="11">'05.08 Yumbe-Koboko'!$A$1:$AF$60</definedName>
    <definedName name="_xlnm.Print_Area" localSheetId="12">'06.08 Koboko-Yumbe'!$A$1:$AF$60</definedName>
    <definedName name="_xlnm.Print_Area" localSheetId="13">'06.08 Yumbe-Koboko'!$A$1:$AF$60</definedName>
    <definedName name="_xlnm.Print_Area" localSheetId="0">'31.07 Koboko-Yumbe'!$A$1:$AF$60</definedName>
    <definedName name="_xlnm.Print_Area" localSheetId="1">'31.07 Yumbe-Koboko'!$A$1:$AF$60</definedName>
    <definedName name="_xlnm.Print_Area" localSheetId="14">'Avg Week Koboko-Yumbe'!$A$1:$AF$108</definedName>
    <definedName name="_xlnm.Print_Area" localSheetId="16">'Avg Week Koboko-Yumbe-2Dir'!$A$1:$AF$108</definedName>
    <definedName name="_xlnm.Print_Area" localSheetId="15">'Avg Week Yumbe-Koboko'!$A$1:$AF$108</definedName>
    <definedName name="_xlnm.Print_Titles" localSheetId="2">'01.08 Koboko-Yumbe '!$1:$8</definedName>
    <definedName name="_xlnm.Print_Titles" localSheetId="3">'01.08 Yumbe-Koboko'!$1:$8</definedName>
    <definedName name="_xlnm.Print_Titles" localSheetId="4">'02.08 Koboko-Yumbe-24h'!$1:$8</definedName>
    <definedName name="_xlnm.Print_Titles" localSheetId="5">'02.08 Yumbe-Koboko-24h'!$1:$8</definedName>
    <definedName name="_xlnm.Print_Titles" localSheetId="6">'03.08 Koboko-Yumbe-24h'!$1:$8</definedName>
    <definedName name="_xlnm.Print_Titles" localSheetId="7">'03.08 Yumbe-Koboko-24h'!$1:$8</definedName>
    <definedName name="_xlnm.Print_Titles" localSheetId="8">'04.08 Koboko-Yumbe '!$1:$8</definedName>
    <definedName name="_xlnm.Print_Titles" localSheetId="9">'04.08 Yumbe-Koboko'!$1:$8</definedName>
    <definedName name="_xlnm.Print_Titles" localSheetId="10">'05.08 Koboko-Yumbe'!$1:$8</definedName>
    <definedName name="_xlnm.Print_Titles" localSheetId="11">'05.08 Yumbe-Koboko'!$1:$8</definedName>
    <definedName name="_xlnm.Print_Titles" localSheetId="12">'06.08 Koboko-Yumbe'!$1:$8</definedName>
    <definedName name="_xlnm.Print_Titles" localSheetId="13">'06.08 Yumbe-Koboko'!$1:$8</definedName>
    <definedName name="_xlnm.Print_Titles" localSheetId="0">'31.07 Koboko-Yumbe'!$1:$8</definedName>
    <definedName name="_xlnm.Print_Titles" localSheetId="1">'31.07 Yumbe-Koboko'!$1:$8</definedName>
    <definedName name="_xlnm.Print_Titles" localSheetId="14">'Avg Week Koboko-Yumbe'!$1:$8</definedName>
    <definedName name="_xlnm.Print_Titles" localSheetId="16">'Avg Week Koboko-Yumbe-2Dir'!$1:$8</definedName>
    <definedName name="_xlnm.Print_Titles" localSheetId="15">'Avg Week Yumbe-Koboko'!$1:$8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60" i="111" l="1"/>
  <c r="F60" i="111"/>
  <c r="N61" i="111"/>
  <c r="M63" i="111"/>
  <c r="AC23" i="111" s="1"/>
  <c r="I65" i="111"/>
  <c r="J65" i="111"/>
  <c r="F67" i="111"/>
  <c r="E69" i="111"/>
  <c r="M70" i="111"/>
  <c r="N70" i="111"/>
  <c r="AD25" i="111" s="1"/>
  <c r="J72" i="111"/>
  <c r="I74" i="111"/>
  <c r="Y26" i="111" s="1"/>
  <c r="E76" i="111"/>
  <c r="F76" i="111"/>
  <c r="N77" i="111"/>
  <c r="J79" i="111"/>
  <c r="N80" i="111"/>
  <c r="C81" i="111"/>
  <c r="F82" i="111"/>
  <c r="J83" i="111"/>
  <c r="K83" i="111"/>
  <c r="N84" i="111"/>
  <c r="F86" i="111"/>
  <c r="V29" i="111" s="1"/>
  <c r="G86" i="111"/>
  <c r="W29" i="111" s="1"/>
  <c r="J87" i="111"/>
  <c r="I88" i="111"/>
  <c r="Y29" i="111" s="1"/>
  <c r="E89" i="111"/>
  <c r="M89" i="111"/>
  <c r="AC29" i="111" s="1"/>
  <c r="I90" i="111"/>
  <c r="E91" i="111"/>
  <c r="M91" i="111"/>
  <c r="I92" i="111"/>
  <c r="M93" i="111"/>
  <c r="E95" i="111"/>
  <c r="U31" i="111" s="1"/>
  <c r="I96" i="111"/>
  <c r="M97" i="111"/>
  <c r="E99" i="111"/>
  <c r="I100" i="111"/>
  <c r="M101" i="111"/>
  <c r="E103" i="111"/>
  <c r="I104" i="111"/>
  <c r="M105" i="111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P60" i="108" s="1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X23" i="108" s="1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AB24" i="108" s="1"/>
  <c r="M66" i="108"/>
  <c r="N66" i="108"/>
  <c r="C67" i="108"/>
  <c r="D67" i="108"/>
  <c r="E67" i="108"/>
  <c r="F67" i="108"/>
  <c r="G67" i="108"/>
  <c r="H67" i="108"/>
  <c r="H67" i="111" s="1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T25" i="108" s="1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X26" i="108" s="1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O76" i="108" s="1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X27" i="108" s="1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T30" i="108" s="1"/>
  <c r="E90" i="108"/>
  <c r="F90" i="108"/>
  <c r="G90" i="108"/>
  <c r="H90" i="108"/>
  <c r="X30" i="108" s="1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P92" i="108" s="1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T31" i="108" s="1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U22" i="108" s="1"/>
  <c r="F58" i="108"/>
  <c r="G58" i="108"/>
  <c r="W22" i="108" s="1"/>
  <c r="H58" i="108"/>
  <c r="I58" i="108"/>
  <c r="J58" i="108"/>
  <c r="K58" i="108"/>
  <c r="AA22" i="108" s="1"/>
  <c r="L58" i="108"/>
  <c r="M58" i="108"/>
  <c r="N58" i="108"/>
  <c r="C58" i="108"/>
  <c r="P60" i="107"/>
  <c r="P76" i="107"/>
  <c r="O76" i="107"/>
  <c r="O92" i="107"/>
  <c r="C59" i="107"/>
  <c r="C59" i="111" s="1"/>
  <c r="D59" i="107"/>
  <c r="E59" i="107"/>
  <c r="E59" i="111" s="1"/>
  <c r="F59" i="107"/>
  <c r="G59" i="107"/>
  <c r="G59" i="111" s="1"/>
  <c r="H59" i="107"/>
  <c r="I59" i="107"/>
  <c r="J59" i="107"/>
  <c r="K59" i="107"/>
  <c r="K59" i="111" s="1"/>
  <c r="L59" i="107"/>
  <c r="M59" i="107"/>
  <c r="N59" i="107"/>
  <c r="C60" i="107"/>
  <c r="C60" i="111" s="1"/>
  <c r="D60" i="107"/>
  <c r="E60" i="107"/>
  <c r="F60" i="107"/>
  <c r="G60" i="107"/>
  <c r="G60" i="111" s="1"/>
  <c r="H60" i="107"/>
  <c r="I60" i="107"/>
  <c r="I60" i="111" s="1"/>
  <c r="J60" i="107"/>
  <c r="J60" i="111" s="1"/>
  <c r="K60" i="107"/>
  <c r="K60" i="111" s="1"/>
  <c r="L60" i="107"/>
  <c r="M60" i="107"/>
  <c r="M60" i="111" s="1"/>
  <c r="N60" i="107"/>
  <c r="N60" i="111" s="1"/>
  <c r="C61" i="107"/>
  <c r="D61" i="107"/>
  <c r="E61" i="107"/>
  <c r="E61" i="111" s="1"/>
  <c r="F61" i="107"/>
  <c r="F61" i="111" s="1"/>
  <c r="G61" i="107"/>
  <c r="G61" i="111" s="1"/>
  <c r="H61" i="107"/>
  <c r="I61" i="107"/>
  <c r="I61" i="111" s="1"/>
  <c r="J61" i="107"/>
  <c r="J61" i="111" s="1"/>
  <c r="K61" i="107"/>
  <c r="K61" i="111" s="1"/>
  <c r="L61" i="107"/>
  <c r="M61" i="107"/>
  <c r="M61" i="111" s="1"/>
  <c r="N61" i="107"/>
  <c r="C62" i="107"/>
  <c r="D62" i="107"/>
  <c r="E62" i="107"/>
  <c r="E62" i="111" s="1"/>
  <c r="F62" i="107"/>
  <c r="G62" i="107"/>
  <c r="H62" i="107"/>
  <c r="I62" i="107"/>
  <c r="I62" i="111" s="1"/>
  <c r="J62" i="107"/>
  <c r="K62" i="107"/>
  <c r="K62" i="111" s="1"/>
  <c r="AA23" i="111" s="1"/>
  <c r="L62" i="107"/>
  <c r="M62" i="107"/>
  <c r="M62" i="111" s="1"/>
  <c r="N62" i="107"/>
  <c r="C63" i="107"/>
  <c r="D63" i="107"/>
  <c r="E63" i="107"/>
  <c r="E63" i="111" s="1"/>
  <c r="F63" i="107"/>
  <c r="F63" i="111" s="1"/>
  <c r="G63" i="107"/>
  <c r="G63" i="111" s="1"/>
  <c r="H63" i="107"/>
  <c r="I63" i="107"/>
  <c r="I63" i="111" s="1"/>
  <c r="J63" i="107"/>
  <c r="J63" i="111" s="1"/>
  <c r="K63" i="107"/>
  <c r="K63" i="111" s="1"/>
  <c r="L63" i="107"/>
  <c r="M63" i="107"/>
  <c r="N63" i="107"/>
  <c r="N63" i="111" s="1"/>
  <c r="C64" i="107"/>
  <c r="D64" i="107"/>
  <c r="E64" i="107"/>
  <c r="E64" i="111" s="1"/>
  <c r="F64" i="107"/>
  <c r="F64" i="111" s="1"/>
  <c r="G64" i="107"/>
  <c r="G64" i="111" s="1"/>
  <c r="H64" i="107"/>
  <c r="I64" i="107"/>
  <c r="I64" i="111" s="1"/>
  <c r="J64" i="107"/>
  <c r="J64" i="111" s="1"/>
  <c r="K64" i="107"/>
  <c r="K64" i="111" s="1"/>
  <c r="L64" i="107"/>
  <c r="M64" i="107"/>
  <c r="M64" i="111" s="1"/>
  <c r="N64" i="107"/>
  <c r="N64" i="111" s="1"/>
  <c r="C65" i="107"/>
  <c r="D65" i="107"/>
  <c r="E65" i="107"/>
  <c r="E65" i="111" s="1"/>
  <c r="F65" i="107"/>
  <c r="F65" i="111" s="1"/>
  <c r="G65" i="107"/>
  <c r="G65" i="111" s="1"/>
  <c r="H65" i="107"/>
  <c r="I65" i="107"/>
  <c r="J65" i="107"/>
  <c r="K65" i="107"/>
  <c r="K65" i="111" s="1"/>
  <c r="L65" i="107"/>
  <c r="M65" i="107"/>
  <c r="M65" i="111" s="1"/>
  <c r="N65" i="107"/>
  <c r="N65" i="111" s="1"/>
  <c r="C66" i="107"/>
  <c r="D66" i="107"/>
  <c r="E66" i="107"/>
  <c r="F66" i="107"/>
  <c r="G66" i="107"/>
  <c r="H66" i="107"/>
  <c r="I66" i="107"/>
  <c r="I66" i="111" s="1"/>
  <c r="Y24" i="111" s="1"/>
  <c r="J66" i="107"/>
  <c r="K66" i="107"/>
  <c r="K66" i="111" s="1"/>
  <c r="L66" i="107"/>
  <c r="M66" i="107"/>
  <c r="N66" i="107"/>
  <c r="C67" i="107"/>
  <c r="C67" i="111" s="1"/>
  <c r="D67" i="107"/>
  <c r="E67" i="107"/>
  <c r="E67" i="111" s="1"/>
  <c r="F67" i="107"/>
  <c r="G67" i="107"/>
  <c r="G67" i="111" s="1"/>
  <c r="H67" i="107"/>
  <c r="I67" i="107"/>
  <c r="I67" i="111" s="1"/>
  <c r="J67" i="107"/>
  <c r="J67" i="111" s="1"/>
  <c r="K67" i="107"/>
  <c r="K67" i="111" s="1"/>
  <c r="L67" i="107"/>
  <c r="M67" i="107"/>
  <c r="M67" i="111" s="1"/>
  <c r="N67" i="107"/>
  <c r="N67" i="111" s="1"/>
  <c r="C68" i="107"/>
  <c r="C68" i="111" s="1"/>
  <c r="D68" i="107"/>
  <c r="E68" i="107"/>
  <c r="E68" i="111" s="1"/>
  <c r="F68" i="107"/>
  <c r="F68" i="111" s="1"/>
  <c r="G68" i="107"/>
  <c r="G68" i="111" s="1"/>
  <c r="H68" i="107"/>
  <c r="I68" i="107"/>
  <c r="I68" i="111" s="1"/>
  <c r="J68" i="107"/>
  <c r="J68" i="111" s="1"/>
  <c r="K68" i="107"/>
  <c r="K68" i="111" s="1"/>
  <c r="L68" i="107"/>
  <c r="M68" i="107"/>
  <c r="M68" i="111" s="1"/>
  <c r="N68" i="107"/>
  <c r="N68" i="111" s="1"/>
  <c r="C69" i="107"/>
  <c r="D69" i="107"/>
  <c r="E69" i="107"/>
  <c r="F69" i="107"/>
  <c r="F69" i="111" s="1"/>
  <c r="G69" i="107"/>
  <c r="G69" i="111" s="1"/>
  <c r="H69" i="107"/>
  <c r="I69" i="107"/>
  <c r="I69" i="111" s="1"/>
  <c r="J69" i="107"/>
  <c r="J69" i="111" s="1"/>
  <c r="K69" i="107"/>
  <c r="K69" i="111" s="1"/>
  <c r="L69" i="107"/>
  <c r="M69" i="107"/>
  <c r="M69" i="111" s="1"/>
  <c r="N69" i="107"/>
  <c r="N69" i="111" s="1"/>
  <c r="C70" i="107"/>
  <c r="D70" i="107"/>
  <c r="E70" i="107"/>
  <c r="E70" i="111" s="1"/>
  <c r="F70" i="107"/>
  <c r="G70" i="107"/>
  <c r="H70" i="107"/>
  <c r="I70" i="107"/>
  <c r="I70" i="111" s="1"/>
  <c r="J70" i="107"/>
  <c r="K70" i="107"/>
  <c r="K70" i="111" s="1"/>
  <c r="L70" i="107"/>
  <c r="M70" i="107"/>
  <c r="N70" i="107"/>
  <c r="C71" i="107"/>
  <c r="D71" i="107"/>
  <c r="E71" i="107"/>
  <c r="E71" i="111" s="1"/>
  <c r="F71" i="107"/>
  <c r="F71" i="111" s="1"/>
  <c r="G71" i="107"/>
  <c r="G71" i="111" s="1"/>
  <c r="H71" i="107"/>
  <c r="I71" i="107"/>
  <c r="I71" i="111" s="1"/>
  <c r="J71" i="107"/>
  <c r="J71" i="111" s="1"/>
  <c r="K71" i="107"/>
  <c r="K71" i="111" s="1"/>
  <c r="L71" i="107"/>
  <c r="M71" i="107"/>
  <c r="M71" i="111" s="1"/>
  <c r="N71" i="107"/>
  <c r="N71" i="111" s="1"/>
  <c r="C72" i="107"/>
  <c r="D72" i="107"/>
  <c r="E72" i="107"/>
  <c r="E72" i="111" s="1"/>
  <c r="F72" i="107"/>
  <c r="F72" i="111" s="1"/>
  <c r="G72" i="107"/>
  <c r="G72" i="111" s="1"/>
  <c r="H72" i="107"/>
  <c r="I72" i="107"/>
  <c r="I72" i="111" s="1"/>
  <c r="J72" i="107"/>
  <c r="K72" i="107"/>
  <c r="K72" i="111" s="1"/>
  <c r="L72" i="107"/>
  <c r="M72" i="107"/>
  <c r="M72" i="111" s="1"/>
  <c r="N72" i="107"/>
  <c r="N72" i="111" s="1"/>
  <c r="C73" i="107"/>
  <c r="D73" i="107"/>
  <c r="E73" i="107"/>
  <c r="E73" i="111" s="1"/>
  <c r="F73" i="107"/>
  <c r="F73" i="111" s="1"/>
  <c r="G73" i="107"/>
  <c r="G73" i="111" s="1"/>
  <c r="H73" i="107"/>
  <c r="I73" i="107"/>
  <c r="I73" i="111" s="1"/>
  <c r="J73" i="107"/>
  <c r="J73" i="111" s="1"/>
  <c r="K73" i="107"/>
  <c r="K73" i="111" s="1"/>
  <c r="L73" i="107"/>
  <c r="M73" i="107"/>
  <c r="M73" i="111" s="1"/>
  <c r="N73" i="107"/>
  <c r="N73" i="111" s="1"/>
  <c r="C74" i="107"/>
  <c r="D74" i="107"/>
  <c r="E74" i="107"/>
  <c r="F74" i="107"/>
  <c r="G74" i="107"/>
  <c r="H74" i="107"/>
  <c r="I74" i="107"/>
  <c r="J74" i="107"/>
  <c r="K74" i="107"/>
  <c r="K74" i="111" s="1"/>
  <c r="AA26" i="111" s="1"/>
  <c r="L74" i="107"/>
  <c r="M74" i="107"/>
  <c r="N74" i="107"/>
  <c r="C75" i="107"/>
  <c r="C75" i="111" s="1"/>
  <c r="D75" i="107"/>
  <c r="E75" i="107"/>
  <c r="E75" i="111" s="1"/>
  <c r="F75" i="107"/>
  <c r="F75" i="111" s="1"/>
  <c r="G75" i="107"/>
  <c r="G75" i="111" s="1"/>
  <c r="H75" i="107"/>
  <c r="I75" i="107"/>
  <c r="I75" i="111" s="1"/>
  <c r="J75" i="107"/>
  <c r="J75" i="111" s="1"/>
  <c r="K75" i="107"/>
  <c r="K75" i="111" s="1"/>
  <c r="L75" i="107"/>
  <c r="M75" i="107"/>
  <c r="M75" i="111" s="1"/>
  <c r="N75" i="107"/>
  <c r="N75" i="111" s="1"/>
  <c r="C76" i="107"/>
  <c r="C76" i="111" s="1"/>
  <c r="D76" i="107"/>
  <c r="E76" i="107"/>
  <c r="F76" i="107"/>
  <c r="G76" i="107"/>
  <c r="G76" i="111" s="1"/>
  <c r="H76" i="107"/>
  <c r="I76" i="107"/>
  <c r="I76" i="111" s="1"/>
  <c r="J76" i="107"/>
  <c r="J76" i="111" s="1"/>
  <c r="K76" i="107"/>
  <c r="K76" i="111" s="1"/>
  <c r="L76" i="107"/>
  <c r="M76" i="107"/>
  <c r="M76" i="111" s="1"/>
  <c r="N76" i="107"/>
  <c r="N76" i="111" s="1"/>
  <c r="C77" i="107"/>
  <c r="D77" i="107"/>
  <c r="E77" i="107"/>
  <c r="E77" i="111" s="1"/>
  <c r="F77" i="107"/>
  <c r="F77" i="111" s="1"/>
  <c r="G77" i="107"/>
  <c r="G77" i="111" s="1"/>
  <c r="H77" i="107"/>
  <c r="I77" i="107"/>
  <c r="I77" i="111" s="1"/>
  <c r="J77" i="107"/>
  <c r="J77" i="111" s="1"/>
  <c r="K77" i="107"/>
  <c r="K77" i="111" s="1"/>
  <c r="L77" i="107"/>
  <c r="M77" i="107"/>
  <c r="M77" i="111" s="1"/>
  <c r="N77" i="107"/>
  <c r="C78" i="107"/>
  <c r="D78" i="107"/>
  <c r="D78" i="111" s="1"/>
  <c r="E78" i="107"/>
  <c r="E78" i="111" s="1"/>
  <c r="F78" i="107"/>
  <c r="G78" i="107"/>
  <c r="G78" i="111" s="1"/>
  <c r="W27" i="111" s="1"/>
  <c r="H78" i="107"/>
  <c r="I78" i="107"/>
  <c r="I78" i="111" s="1"/>
  <c r="J78" i="107"/>
  <c r="K78" i="107"/>
  <c r="K78" i="111" s="1"/>
  <c r="L78" i="107"/>
  <c r="M78" i="107"/>
  <c r="M78" i="111" s="1"/>
  <c r="N78" i="107"/>
  <c r="C79" i="107"/>
  <c r="D79" i="107"/>
  <c r="E79" i="107"/>
  <c r="E79" i="111" s="1"/>
  <c r="F79" i="107"/>
  <c r="F79" i="111" s="1"/>
  <c r="G79" i="107"/>
  <c r="G79" i="111" s="1"/>
  <c r="H79" i="107"/>
  <c r="I79" i="107"/>
  <c r="I79" i="111" s="1"/>
  <c r="J79" i="107"/>
  <c r="K79" i="107"/>
  <c r="K79" i="111" s="1"/>
  <c r="AA27" i="111" s="1"/>
  <c r="L79" i="107"/>
  <c r="M79" i="107"/>
  <c r="M79" i="111" s="1"/>
  <c r="N79" i="107"/>
  <c r="N79" i="111" s="1"/>
  <c r="C80" i="107"/>
  <c r="D80" i="107"/>
  <c r="E80" i="107"/>
  <c r="E80" i="111" s="1"/>
  <c r="F80" i="107"/>
  <c r="F80" i="111" s="1"/>
  <c r="G80" i="107"/>
  <c r="G80" i="111" s="1"/>
  <c r="H80" i="107"/>
  <c r="I80" i="107"/>
  <c r="I80" i="111" s="1"/>
  <c r="J80" i="107"/>
  <c r="J80" i="111" s="1"/>
  <c r="K80" i="107"/>
  <c r="K80" i="111" s="1"/>
  <c r="L80" i="107"/>
  <c r="M80" i="107"/>
  <c r="M80" i="111" s="1"/>
  <c r="N80" i="107"/>
  <c r="C81" i="107"/>
  <c r="D81" i="107"/>
  <c r="E81" i="107"/>
  <c r="E81" i="111" s="1"/>
  <c r="F81" i="107"/>
  <c r="F81" i="111" s="1"/>
  <c r="G81" i="107"/>
  <c r="G81" i="111" s="1"/>
  <c r="H81" i="107"/>
  <c r="I81" i="107"/>
  <c r="I81" i="111" s="1"/>
  <c r="J81" i="107"/>
  <c r="J81" i="111" s="1"/>
  <c r="K81" i="107"/>
  <c r="K81" i="111" s="1"/>
  <c r="L81" i="107"/>
  <c r="M81" i="107"/>
  <c r="M81" i="111" s="1"/>
  <c r="N81" i="107"/>
  <c r="N81" i="111" s="1"/>
  <c r="C82" i="107"/>
  <c r="D82" i="107"/>
  <c r="E82" i="107"/>
  <c r="F82" i="107"/>
  <c r="G82" i="107"/>
  <c r="G82" i="111" s="1"/>
  <c r="W28" i="111" s="1"/>
  <c r="H82" i="107"/>
  <c r="I82" i="107"/>
  <c r="J82" i="107"/>
  <c r="K82" i="107"/>
  <c r="K82" i="111" s="1"/>
  <c r="L82" i="107"/>
  <c r="M82" i="107"/>
  <c r="N82" i="107"/>
  <c r="C83" i="107"/>
  <c r="C83" i="111" s="1"/>
  <c r="D83" i="107"/>
  <c r="E83" i="107"/>
  <c r="E83" i="111" s="1"/>
  <c r="F83" i="107"/>
  <c r="F83" i="111" s="1"/>
  <c r="G83" i="107"/>
  <c r="G83" i="111" s="1"/>
  <c r="H83" i="107"/>
  <c r="I83" i="107"/>
  <c r="I83" i="111" s="1"/>
  <c r="J83" i="107"/>
  <c r="K83" i="107"/>
  <c r="L83" i="107"/>
  <c r="M83" i="107"/>
  <c r="M83" i="111" s="1"/>
  <c r="N83" i="107"/>
  <c r="N83" i="111" s="1"/>
  <c r="C84" i="107"/>
  <c r="C84" i="111" s="1"/>
  <c r="D84" i="107"/>
  <c r="E84" i="107"/>
  <c r="E84" i="111" s="1"/>
  <c r="F84" i="107"/>
  <c r="F84" i="111" s="1"/>
  <c r="G84" i="107"/>
  <c r="G84" i="111" s="1"/>
  <c r="H84" i="107"/>
  <c r="I84" i="107"/>
  <c r="I84" i="111" s="1"/>
  <c r="J84" i="107"/>
  <c r="J84" i="111" s="1"/>
  <c r="K84" i="107"/>
  <c r="K84" i="111" s="1"/>
  <c r="L84" i="107"/>
  <c r="M84" i="107"/>
  <c r="M84" i="111" s="1"/>
  <c r="N84" i="107"/>
  <c r="C85" i="107"/>
  <c r="D85" i="107"/>
  <c r="E85" i="107"/>
  <c r="E85" i="111" s="1"/>
  <c r="F85" i="107"/>
  <c r="F85" i="111" s="1"/>
  <c r="G85" i="107"/>
  <c r="G85" i="111" s="1"/>
  <c r="H85" i="107"/>
  <c r="I85" i="107"/>
  <c r="I85" i="111" s="1"/>
  <c r="J85" i="107"/>
  <c r="J85" i="111" s="1"/>
  <c r="K85" i="107"/>
  <c r="K85" i="111" s="1"/>
  <c r="L85" i="107"/>
  <c r="M85" i="107"/>
  <c r="M85" i="111" s="1"/>
  <c r="N85" i="107"/>
  <c r="N85" i="111" s="1"/>
  <c r="C86" i="107"/>
  <c r="D86" i="107"/>
  <c r="E86" i="107"/>
  <c r="E86" i="111" s="1"/>
  <c r="F86" i="107"/>
  <c r="G86" i="107"/>
  <c r="W29" i="107" s="1"/>
  <c r="H86" i="107"/>
  <c r="I86" i="107"/>
  <c r="I86" i="111" s="1"/>
  <c r="J86" i="107"/>
  <c r="K86" i="107"/>
  <c r="K86" i="111" s="1"/>
  <c r="L86" i="107"/>
  <c r="M86" i="107"/>
  <c r="M86" i="111" s="1"/>
  <c r="N86" i="107"/>
  <c r="C87" i="107"/>
  <c r="D87" i="107"/>
  <c r="E87" i="107"/>
  <c r="E87" i="111" s="1"/>
  <c r="F87" i="107"/>
  <c r="F87" i="111" s="1"/>
  <c r="G87" i="107"/>
  <c r="G87" i="111" s="1"/>
  <c r="H87" i="107"/>
  <c r="I87" i="107"/>
  <c r="I87" i="111" s="1"/>
  <c r="J87" i="107"/>
  <c r="K87" i="107"/>
  <c r="K87" i="111" s="1"/>
  <c r="L87" i="107"/>
  <c r="M87" i="107"/>
  <c r="M87" i="111" s="1"/>
  <c r="N87" i="107"/>
  <c r="N87" i="111" s="1"/>
  <c r="C88" i="107"/>
  <c r="D88" i="107"/>
  <c r="E88" i="107"/>
  <c r="E88" i="111" s="1"/>
  <c r="F88" i="107"/>
  <c r="F88" i="111" s="1"/>
  <c r="G88" i="107"/>
  <c r="G88" i="111" s="1"/>
  <c r="H88" i="107"/>
  <c r="I88" i="107"/>
  <c r="J88" i="107"/>
  <c r="J88" i="111" s="1"/>
  <c r="K88" i="107"/>
  <c r="K88" i="111" s="1"/>
  <c r="L88" i="107"/>
  <c r="M88" i="107"/>
  <c r="M88" i="111" s="1"/>
  <c r="N88" i="107"/>
  <c r="N88" i="111" s="1"/>
  <c r="C89" i="107"/>
  <c r="D89" i="107"/>
  <c r="E89" i="107"/>
  <c r="F89" i="107"/>
  <c r="F89" i="111" s="1"/>
  <c r="G89" i="107"/>
  <c r="G89" i="111" s="1"/>
  <c r="H89" i="107"/>
  <c r="I89" i="107"/>
  <c r="I89" i="111" s="1"/>
  <c r="J89" i="107"/>
  <c r="J89" i="111" s="1"/>
  <c r="K89" i="107"/>
  <c r="K89" i="111" s="1"/>
  <c r="L89" i="107"/>
  <c r="M89" i="107"/>
  <c r="N89" i="107"/>
  <c r="N89" i="111" s="1"/>
  <c r="C90" i="107"/>
  <c r="D90" i="107"/>
  <c r="E90" i="107"/>
  <c r="E90" i="111" s="1"/>
  <c r="F90" i="107"/>
  <c r="G90" i="107"/>
  <c r="G90" i="111" s="1"/>
  <c r="W30" i="111" s="1"/>
  <c r="H90" i="107"/>
  <c r="I90" i="107"/>
  <c r="J90" i="107"/>
  <c r="K90" i="107"/>
  <c r="K90" i="111" s="1"/>
  <c r="L90" i="107"/>
  <c r="M90" i="107"/>
  <c r="M90" i="111" s="1"/>
  <c r="N90" i="107"/>
  <c r="C91" i="107"/>
  <c r="C91" i="111" s="1"/>
  <c r="D91" i="107"/>
  <c r="E91" i="107"/>
  <c r="F91" i="107"/>
  <c r="F91" i="111" s="1"/>
  <c r="G91" i="107"/>
  <c r="G91" i="111" s="1"/>
  <c r="H91" i="107"/>
  <c r="I91" i="107"/>
  <c r="I91" i="111" s="1"/>
  <c r="J91" i="107"/>
  <c r="J91" i="111" s="1"/>
  <c r="K91" i="107"/>
  <c r="K91" i="111" s="1"/>
  <c r="L91" i="107"/>
  <c r="M91" i="107"/>
  <c r="N91" i="107"/>
  <c r="N91" i="111" s="1"/>
  <c r="C92" i="107"/>
  <c r="C92" i="111" s="1"/>
  <c r="D92" i="107"/>
  <c r="E92" i="107"/>
  <c r="E92" i="111" s="1"/>
  <c r="F92" i="107"/>
  <c r="F92" i="111" s="1"/>
  <c r="G92" i="107"/>
  <c r="G92" i="111" s="1"/>
  <c r="H92" i="107"/>
  <c r="I92" i="107"/>
  <c r="J92" i="107"/>
  <c r="J92" i="111" s="1"/>
  <c r="K92" i="107"/>
  <c r="K92" i="111" s="1"/>
  <c r="L92" i="107"/>
  <c r="M92" i="107"/>
  <c r="M92" i="111" s="1"/>
  <c r="N92" i="107"/>
  <c r="N92" i="111" s="1"/>
  <c r="C93" i="107"/>
  <c r="D93" i="107"/>
  <c r="E93" i="107"/>
  <c r="E93" i="111" s="1"/>
  <c r="F93" i="107"/>
  <c r="F93" i="111" s="1"/>
  <c r="G93" i="107"/>
  <c r="G93" i="111" s="1"/>
  <c r="H93" i="107"/>
  <c r="I93" i="107"/>
  <c r="I93" i="111" s="1"/>
  <c r="J93" i="107"/>
  <c r="J93" i="111" s="1"/>
  <c r="K93" i="107"/>
  <c r="K93" i="111" s="1"/>
  <c r="L93" i="107"/>
  <c r="M93" i="107"/>
  <c r="N93" i="107"/>
  <c r="N93" i="111" s="1"/>
  <c r="C94" i="107"/>
  <c r="D94" i="107"/>
  <c r="E94" i="107"/>
  <c r="E94" i="111" s="1"/>
  <c r="F94" i="107"/>
  <c r="G94" i="107"/>
  <c r="G94" i="111" s="1"/>
  <c r="H94" i="107"/>
  <c r="I94" i="107"/>
  <c r="I94" i="111" s="1"/>
  <c r="Y31" i="111" s="1"/>
  <c r="J94" i="107"/>
  <c r="K94" i="107"/>
  <c r="K94" i="111" s="1"/>
  <c r="AA31" i="111" s="1"/>
  <c r="L94" i="107"/>
  <c r="M94" i="107"/>
  <c r="N94" i="107"/>
  <c r="C95" i="107"/>
  <c r="D95" i="107"/>
  <c r="E95" i="107"/>
  <c r="F95" i="107"/>
  <c r="F95" i="111" s="1"/>
  <c r="G95" i="107"/>
  <c r="G95" i="111" s="1"/>
  <c r="H95" i="107"/>
  <c r="I95" i="107"/>
  <c r="I95" i="111" s="1"/>
  <c r="J95" i="107"/>
  <c r="J95" i="111" s="1"/>
  <c r="K95" i="107"/>
  <c r="K95" i="111" s="1"/>
  <c r="L95" i="107"/>
  <c r="M95" i="107"/>
  <c r="M95" i="111" s="1"/>
  <c r="N95" i="107"/>
  <c r="N95" i="111" s="1"/>
  <c r="C96" i="107"/>
  <c r="D96" i="107"/>
  <c r="E96" i="107"/>
  <c r="E96" i="111" s="1"/>
  <c r="F96" i="107"/>
  <c r="F96" i="111" s="1"/>
  <c r="G96" i="107"/>
  <c r="G96" i="111" s="1"/>
  <c r="H96" i="107"/>
  <c r="I96" i="107"/>
  <c r="J96" i="107"/>
  <c r="J96" i="111" s="1"/>
  <c r="K96" i="107"/>
  <c r="K96" i="111" s="1"/>
  <c r="L96" i="107"/>
  <c r="M96" i="107"/>
  <c r="M96" i="111" s="1"/>
  <c r="N96" i="107"/>
  <c r="N96" i="111" s="1"/>
  <c r="C97" i="107"/>
  <c r="D97" i="107"/>
  <c r="E97" i="107"/>
  <c r="E97" i="111" s="1"/>
  <c r="F97" i="107"/>
  <c r="F97" i="111" s="1"/>
  <c r="G97" i="107"/>
  <c r="G97" i="111" s="1"/>
  <c r="H97" i="107"/>
  <c r="I97" i="107"/>
  <c r="I97" i="111" s="1"/>
  <c r="J97" i="107"/>
  <c r="J97" i="111" s="1"/>
  <c r="K97" i="107"/>
  <c r="K97" i="111" s="1"/>
  <c r="L97" i="107"/>
  <c r="M97" i="107"/>
  <c r="N97" i="107"/>
  <c r="N97" i="111" s="1"/>
  <c r="C98" i="107"/>
  <c r="D98" i="107"/>
  <c r="E98" i="107"/>
  <c r="F98" i="107"/>
  <c r="G98" i="107"/>
  <c r="G98" i="111" s="1"/>
  <c r="H98" i="107"/>
  <c r="I98" i="107"/>
  <c r="I98" i="111" s="1"/>
  <c r="J98" i="107"/>
  <c r="K98" i="107"/>
  <c r="K98" i="111" s="1"/>
  <c r="L98" i="107"/>
  <c r="M98" i="107"/>
  <c r="N98" i="107"/>
  <c r="C99" i="107"/>
  <c r="C99" i="111" s="1"/>
  <c r="D99" i="107"/>
  <c r="E99" i="107"/>
  <c r="F99" i="107"/>
  <c r="F99" i="111" s="1"/>
  <c r="G99" i="107"/>
  <c r="G99" i="111" s="1"/>
  <c r="H99" i="107"/>
  <c r="I99" i="107"/>
  <c r="I99" i="111" s="1"/>
  <c r="J99" i="107"/>
  <c r="J99" i="111" s="1"/>
  <c r="K99" i="107"/>
  <c r="K99" i="111" s="1"/>
  <c r="L99" i="107"/>
  <c r="M99" i="107"/>
  <c r="M99" i="111" s="1"/>
  <c r="N99" i="107"/>
  <c r="N99" i="111" s="1"/>
  <c r="C100" i="107"/>
  <c r="C100" i="111" s="1"/>
  <c r="D100" i="107"/>
  <c r="E100" i="107"/>
  <c r="E100" i="111" s="1"/>
  <c r="F100" i="107"/>
  <c r="F100" i="111" s="1"/>
  <c r="G100" i="107"/>
  <c r="G100" i="111" s="1"/>
  <c r="H100" i="107"/>
  <c r="I100" i="107"/>
  <c r="J100" i="107"/>
  <c r="J100" i="111" s="1"/>
  <c r="K100" i="107"/>
  <c r="K100" i="111" s="1"/>
  <c r="L100" i="107"/>
  <c r="M100" i="107"/>
  <c r="M100" i="111" s="1"/>
  <c r="N100" i="107"/>
  <c r="N100" i="111" s="1"/>
  <c r="C101" i="107"/>
  <c r="D101" i="107"/>
  <c r="E101" i="107"/>
  <c r="E101" i="111" s="1"/>
  <c r="F101" i="107"/>
  <c r="F101" i="111" s="1"/>
  <c r="G101" i="107"/>
  <c r="G101" i="111" s="1"/>
  <c r="H101" i="107"/>
  <c r="I101" i="107"/>
  <c r="I101" i="111" s="1"/>
  <c r="J101" i="107"/>
  <c r="J101" i="111" s="1"/>
  <c r="K101" i="107"/>
  <c r="K101" i="111" s="1"/>
  <c r="L101" i="107"/>
  <c r="M101" i="107"/>
  <c r="N101" i="107"/>
  <c r="N101" i="111" s="1"/>
  <c r="C102" i="107"/>
  <c r="D102" i="107"/>
  <c r="E102" i="107"/>
  <c r="E102" i="111" s="1"/>
  <c r="F102" i="107"/>
  <c r="G102" i="107"/>
  <c r="G102" i="111" s="1"/>
  <c r="W33" i="111" s="1"/>
  <c r="H102" i="107"/>
  <c r="I102" i="107"/>
  <c r="I102" i="111" s="1"/>
  <c r="Y33" i="111" s="1"/>
  <c r="J102" i="107"/>
  <c r="K102" i="107"/>
  <c r="K102" i="111" s="1"/>
  <c r="L102" i="107"/>
  <c r="M102" i="107"/>
  <c r="M102" i="111" s="1"/>
  <c r="N102" i="107"/>
  <c r="C103" i="107"/>
  <c r="D103" i="107"/>
  <c r="E103" i="107"/>
  <c r="F103" i="107"/>
  <c r="F103" i="111" s="1"/>
  <c r="G103" i="107"/>
  <c r="G103" i="111" s="1"/>
  <c r="H103" i="107"/>
  <c r="I103" i="107"/>
  <c r="I103" i="111" s="1"/>
  <c r="J103" i="107"/>
  <c r="J103" i="111" s="1"/>
  <c r="K103" i="107"/>
  <c r="K103" i="111" s="1"/>
  <c r="L103" i="107"/>
  <c r="M103" i="107"/>
  <c r="M103" i="111" s="1"/>
  <c r="N103" i="107"/>
  <c r="N103" i="111" s="1"/>
  <c r="C104" i="107"/>
  <c r="D104" i="107"/>
  <c r="E104" i="107"/>
  <c r="E104" i="111" s="1"/>
  <c r="F104" i="107"/>
  <c r="F104" i="111" s="1"/>
  <c r="G104" i="107"/>
  <c r="G104" i="111" s="1"/>
  <c r="H104" i="107"/>
  <c r="I104" i="107"/>
  <c r="J104" i="107"/>
  <c r="J104" i="111" s="1"/>
  <c r="K104" i="107"/>
  <c r="K104" i="111" s="1"/>
  <c r="L104" i="107"/>
  <c r="M104" i="107"/>
  <c r="M104" i="111" s="1"/>
  <c r="N104" i="107"/>
  <c r="N104" i="111" s="1"/>
  <c r="C105" i="107"/>
  <c r="D105" i="107"/>
  <c r="E105" i="107"/>
  <c r="E105" i="111" s="1"/>
  <c r="F105" i="107"/>
  <c r="F105" i="111" s="1"/>
  <c r="G105" i="107"/>
  <c r="G105" i="111" s="1"/>
  <c r="H105" i="107"/>
  <c r="I105" i="107"/>
  <c r="I105" i="111" s="1"/>
  <c r="J105" i="107"/>
  <c r="J105" i="111" s="1"/>
  <c r="K105" i="107"/>
  <c r="K105" i="111" s="1"/>
  <c r="L105" i="107"/>
  <c r="M105" i="107"/>
  <c r="N105" i="107"/>
  <c r="N105" i="111" s="1"/>
  <c r="D58" i="107"/>
  <c r="D58" i="111" s="1"/>
  <c r="E58" i="107"/>
  <c r="F58" i="107"/>
  <c r="F58" i="111" s="1"/>
  <c r="G58" i="107"/>
  <c r="H58" i="107"/>
  <c r="H58" i="111" s="1"/>
  <c r="I58" i="107"/>
  <c r="J58" i="107"/>
  <c r="J58" i="111" s="1"/>
  <c r="K58" i="107"/>
  <c r="L58" i="107"/>
  <c r="L58" i="111" s="1"/>
  <c r="M58" i="107"/>
  <c r="N58" i="107"/>
  <c r="N58" i="111" s="1"/>
  <c r="C58" i="107"/>
  <c r="Q106" i="108"/>
  <c r="AA33" i="107"/>
  <c r="U33" i="107"/>
  <c r="S33" i="107"/>
  <c r="W32" i="107"/>
  <c r="AA31" i="107"/>
  <c r="Y31" i="107"/>
  <c r="W30" i="107"/>
  <c r="T30" i="107"/>
  <c r="AC29" i="107"/>
  <c r="AA29" i="107"/>
  <c r="U29" i="107"/>
  <c r="S29" i="107"/>
  <c r="W28" i="107"/>
  <c r="T28" i="107"/>
  <c r="AC27" i="107"/>
  <c r="AA27" i="107"/>
  <c r="Y27" i="107"/>
  <c r="U27" i="107"/>
  <c r="T26" i="107"/>
  <c r="AC25" i="107"/>
  <c r="AA25" i="107"/>
  <c r="Y25" i="107"/>
  <c r="U25" i="107"/>
  <c r="S25" i="107"/>
  <c r="T24" i="107"/>
  <c r="AC23" i="107"/>
  <c r="AA23" i="107"/>
  <c r="Y23" i="107"/>
  <c r="U23" i="107"/>
  <c r="S23" i="107"/>
  <c r="T22" i="107"/>
  <c r="AC33" i="108"/>
  <c r="AA33" i="108"/>
  <c r="Y33" i="108"/>
  <c r="W33" i="108"/>
  <c r="U33" i="108"/>
  <c r="S33" i="108"/>
  <c r="AD32" i="108"/>
  <c r="AA32" i="108"/>
  <c r="W32" i="108"/>
  <c r="V32" i="108"/>
  <c r="S32" i="108"/>
  <c r="AC31" i="108"/>
  <c r="AA31" i="108"/>
  <c r="Y31" i="108"/>
  <c r="W31" i="108"/>
  <c r="U31" i="108"/>
  <c r="S31" i="108"/>
  <c r="AD30" i="108"/>
  <c r="AA30" i="108"/>
  <c r="Z30" i="108"/>
  <c r="W30" i="108"/>
  <c r="V30" i="108"/>
  <c r="S30" i="108"/>
  <c r="AC29" i="108"/>
  <c r="AA29" i="108"/>
  <c r="Y29" i="108"/>
  <c r="W29" i="108"/>
  <c r="U29" i="108"/>
  <c r="S29" i="108"/>
  <c r="AD28" i="108"/>
  <c r="AA28" i="108"/>
  <c r="Z28" i="108"/>
  <c r="W28" i="108"/>
  <c r="V28" i="108"/>
  <c r="S28" i="108"/>
  <c r="AC27" i="108"/>
  <c r="AA27" i="108"/>
  <c r="Y27" i="108"/>
  <c r="W27" i="108"/>
  <c r="U27" i="108"/>
  <c r="S27" i="108"/>
  <c r="AD26" i="108"/>
  <c r="AA26" i="108"/>
  <c r="Z26" i="108"/>
  <c r="W26" i="108"/>
  <c r="V26" i="108"/>
  <c r="S26" i="108"/>
  <c r="AC25" i="108"/>
  <c r="AA25" i="108"/>
  <c r="Y25" i="108"/>
  <c r="W25" i="108"/>
  <c r="U25" i="108"/>
  <c r="S25" i="108"/>
  <c r="AD24" i="108"/>
  <c r="AA24" i="108"/>
  <c r="Z24" i="108"/>
  <c r="W24" i="108"/>
  <c r="V24" i="108"/>
  <c r="S24" i="108"/>
  <c r="AC23" i="108"/>
  <c r="AA23" i="108"/>
  <c r="Y23" i="108"/>
  <c r="W23" i="108"/>
  <c r="U23" i="108"/>
  <c r="S23" i="108"/>
  <c r="AD22" i="108"/>
  <c r="Y22" i="108"/>
  <c r="S22" i="108"/>
  <c r="AA33" i="111"/>
  <c r="AA32" i="111"/>
  <c r="W32" i="111"/>
  <c r="W31" i="111"/>
  <c r="AA30" i="111"/>
  <c r="AA29" i="111"/>
  <c r="U29" i="111"/>
  <c r="V28" i="111"/>
  <c r="AC27" i="111"/>
  <c r="Y27" i="111"/>
  <c r="U27" i="111"/>
  <c r="AC25" i="111"/>
  <c r="AA25" i="111"/>
  <c r="Y25" i="111"/>
  <c r="U25" i="111"/>
  <c r="AA24" i="111"/>
  <c r="Y23" i="111"/>
  <c r="U23" i="111"/>
  <c r="AB33" i="108" l="1"/>
  <c r="T33" i="108"/>
  <c r="P100" i="108"/>
  <c r="O100" i="108"/>
  <c r="AB32" i="108"/>
  <c r="T32" i="108"/>
  <c r="P96" i="108"/>
  <c r="O96" i="108"/>
  <c r="P95" i="108"/>
  <c r="O95" i="108"/>
  <c r="P91" i="108"/>
  <c r="O91" i="108"/>
  <c r="AB30" i="108"/>
  <c r="P88" i="108"/>
  <c r="O88" i="108"/>
  <c r="P87" i="108"/>
  <c r="O87" i="108"/>
  <c r="X29" i="108"/>
  <c r="AB28" i="108"/>
  <c r="T28" i="108"/>
  <c r="P79" i="108"/>
  <c r="O79" i="108"/>
  <c r="T27" i="108"/>
  <c r="P75" i="108"/>
  <c r="O75" i="108"/>
  <c r="T26" i="108"/>
  <c r="P71" i="108"/>
  <c r="O71" i="108"/>
  <c r="X25" i="108"/>
  <c r="P67" i="108"/>
  <c r="O67" i="108"/>
  <c r="X24" i="108"/>
  <c r="AB23" i="108"/>
  <c r="T23" i="108"/>
  <c r="X22" i="108"/>
  <c r="O60" i="108"/>
  <c r="Y32" i="111"/>
  <c r="I58" i="111"/>
  <c r="E58" i="111"/>
  <c r="U22" i="111" s="1"/>
  <c r="U22" i="107"/>
  <c r="D105" i="111"/>
  <c r="H104" i="111"/>
  <c r="L103" i="111"/>
  <c r="D103" i="111"/>
  <c r="H102" i="111"/>
  <c r="X33" i="107"/>
  <c r="D102" i="111"/>
  <c r="T33" i="111" s="1"/>
  <c r="T33" i="107"/>
  <c r="H101" i="111"/>
  <c r="H100" i="111"/>
  <c r="D100" i="111"/>
  <c r="P100" i="111" s="1"/>
  <c r="H99" i="111"/>
  <c r="L98" i="111"/>
  <c r="AB32" i="107"/>
  <c r="D98" i="111"/>
  <c r="H97" i="111"/>
  <c r="L96" i="111"/>
  <c r="D96" i="111"/>
  <c r="H95" i="111"/>
  <c r="L94" i="111"/>
  <c r="AB31" i="107"/>
  <c r="L93" i="111"/>
  <c r="H93" i="111"/>
  <c r="L92" i="111"/>
  <c r="D92" i="111"/>
  <c r="H91" i="111"/>
  <c r="L90" i="111"/>
  <c r="AB30" i="107"/>
  <c r="D90" i="111"/>
  <c r="H89" i="111"/>
  <c r="L88" i="111"/>
  <c r="D88" i="111"/>
  <c r="H87" i="111"/>
  <c r="L86" i="111"/>
  <c r="AB29" i="107"/>
  <c r="L85" i="111"/>
  <c r="H85" i="111"/>
  <c r="L84" i="111"/>
  <c r="D84" i="111"/>
  <c r="P84" i="111" s="1"/>
  <c r="H83" i="111"/>
  <c r="H82" i="111"/>
  <c r="X28" i="107"/>
  <c r="L81" i="111"/>
  <c r="H81" i="111"/>
  <c r="L80" i="111"/>
  <c r="L79" i="111"/>
  <c r="D79" i="111"/>
  <c r="T27" i="111" s="1"/>
  <c r="H78" i="111"/>
  <c r="X27" i="107"/>
  <c r="L77" i="111"/>
  <c r="D77" i="111"/>
  <c r="H76" i="111"/>
  <c r="L75" i="111"/>
  <c r="D75" i="111"/>
  <c r="P75" i="111" s="1"/>
  <c r="X26" i="107"/>
  <c r="H74" i="111"/>
  <c r="L73" i="111"/>
  <c r="D73" i="111"/>
  <c r="H72" i="111"/>
  <c r="L71" i="111"/>
  <c r="D71" i="111"/>
  <c r="H70" i="111"/>
  <c r="X25" i="107"/>
  <c r="L69" i="111"/>
  <c r="H69" i="111"/>
  <c r="D69" i="111"/>
  <c r="H68" i="111"/>
  <c r="P68" i="111" s="1"/>
  <c r="D68" i="111"/>
  <c r="L67" i="111"/>
  <c r="D67" i="111"/>
  <c r="L66" i="111"/>
  <c r="AB24" i="111" s="1"/>
  <c r="AB24" i="107"/>
  <c r="H66" i="111"/>
  <c r="X24" i="107"/>
  <c r="D66" i="111"/>
  <c r="T24" i="111" s="1"/>
  <c r="L65" i="111"/>
  <c r="H65" i="111"/>
  <c r="D65" i="111"/>
  <c r="L64" i="111"/>
  <c r="H64" i="111"/>
  <c r="D64" i="111"/>
  <c r="L63" i="111"/>
  <c r="H63" i="111"/>
  <c r="D63" i="111"/>
  <c r="L62" i="111"/>
  <c r="AB23" i="107"/>
  <c r="H62" i="111"/>
  <c r="X23" i="111" s="1"/>
  <c r="X23" i="107"/>
  <c r="D62" i="111"/>
  <c r="T23" i="107"/>
  <c r="L61" i="111"/>
  <c r="H61" i="111"/>
  <c r="D61" i="111"/>
  <c r="L60" i="111"/>
  <c r="H60" i="111"/>
  <c r="P60" i="111" s="1"/>
  <c r="D60" i="111"/>
  <c r="L59" i="111"/>
  <c r="H59" i="111"/>
  <c r="X22" i="107"/>
  <c r="D59" i="111"/>
  <c r="P59" i="107"/>
  <c r="O59" i="107"/>
  <c r="O60" i="107"/>
  <c r="O92" i="108"/>
  <c r="P76" i="108"/>
  <c r="U33" i="111"/>
  <c r="P104" i="108"/>
  <c r="O104" i="108"/>
  <c r="P103" i="108"/>
  <c r="O103" i="108"/>
  <c r="X33" i="108"/>
  <c r="P99" i="108"/>
  <c r="O99" i="108"/>
  <c r="X32" i="108"/>
  <c r="AB31" i="108"/>
  <c r="X31" i="108"/>
  <c r="AB29" i="108"/>
  <c r="T29" i="108"/>
  <c r="P84" i="108"/>
  <c r="O84" i="108"/>
  <c r="P83" i="108"/>
  <c r="O83" i="108"/>
  <c r="X28" i="108"/>
  <c r="P80" i="108"/>
  <c r="O80" i="108"/>
  <c r="AB27" i="108"/>
  <c r="AB26" i="108"/>
  <c r="P72" i="108"/>
  <c r="O72" i="108"/>
  <c r="AB25" i="108"/>
  <c r="P68" i="108"/>
  <c r="O68" i="108"/>
  <c r="T24" i="108"/>
  <c r="P64" i="108"/>
  <c r="O64" i="108"/>
  <c r="P63" i="108"/>
  <c r="O63" i="108"/>
  <c r="AB22" i="108"/>
  <c r="P59" i="108"/>
  <c r="O59" i="108"/>
  <c r="T22" i="108"/>
  <c r="AC33" i="111"/>
  <c r="M58" i="111"/>
  <c r="L105" i="111"/>
  <c r="H105" i="111"/>
  <c r="L104" i="111"/>
  <c r="D104" i="111"/>
  <c r="H103" i="111"/>
  <c r="L102" i="111"/>
  <c r="AB33" i="111" s="1"/>
  <c r="AB33" i="107"/>
  <c r="L101" i="111"/>
  <c r="D101" i="111"/>
  <c r="L100" i="111"/>
  <c r="L99" i="111"/>
  <c r="D99" i="111"/>
  <c r="X32" i="107"/>
  <c r="H98" i="111"/>
  <c r="X32" i="111" s="1"/>
  <c r="L97" i="111"/>
  <c r="D97" i="111"/>
  <c r="H96" i="111"/>
  <c r="L95" i="111"/>
  <c r="D95" i="111"/>
  <c r="X31" i="107"/>
  <c r="H94" i="111"/>
  <c r="D94" i="111"/>
  <c r="T31" i="111" s="1"/>
  <c r="T31" i="107"/>
  <c r="D93" i="111"/>
  <c r="H92" i="111"/>
  <c r="O92" i="111" s="1"/>
  <c r="L91" i="111"/>
  <c r="P91" i="111" s="1"/>
  <c r="D91" i="111"/>
  <c r="X30" i="107"/>
  <c r="H90" i="111"/>
  <c r="L89" i="111"/>
  <c r="D89" i="111"/>
  <c r="H88" i="111"/>
  <c r="L87" i="111"/>
  <c r="D87" i="111"/>
  <c r="H86" i="111"/>
  <c r="X29" i="107"/>
  <c r="D86" i="111"/>
  <c r="T29" i="107"/>
  <c r="D85" i="111"/>
  <c r="H84" i="111"/>
  <c r="L83" i="111"/>
  <c r="D83" i="111"/>
  <c r="P83" i="111" s="1"/>
  <c r="L82" i="111"/>
  <c r="AB28" i="107"/>
  <c r="D82" i="111"/>
  <c r="D81" i="111"/>
  <c r="P81" i="111" s="1"/>
  <c r="H80" i="111"/>
  <c r="D80" i="111"/>
  <c r="H79" i="111"/>
  <c r="L78" i="111"/>
  <c r="AB27" i="111" s="1"/>
  <c r="AB27" i="107"/>
  <c r="H77" i="111"/>
  <c r="L76" i="111"/>
  <c r="D76" i="111"/>
  <c r="P76" i="111" s="1"/>
  <c r="H75" i="111"/>
  <c r="L74" i="111"/>
  <c r="AB26" i="107"/>
  <c r="D74" i="111"/>
  <c r="T26" i="111" s="1"/>
  <c r="H73" i="111"/>
  <c r="L72" i="111"/>
  <c r="D72" i="111"/>
  <c r="H71" i="111"/>
  <c r="L70" i="111"/>
  <c r="AB25" i="107"/>
  <c r="D70" i="111"/>
  <c r="T25" i="111" s="1"/>
  <c r="T25" i="107"/>
  <c r="L68" i="111"/>
  <c r="T27" i="107"/>
  <c r="T32" i="107"/>
  <c r="AB22" i="111"/>
  <c r="T22" i="111"/>
  <c r="AA28" i="111"/>
  <c r="P92" i="107"/>
  <c r="C104" i="111"/>
  <c r="P104" i="107"/>
  <c r="O104" i="107"/>
  <c r="C102" i="111"/>
  <c r="P102" i="107"/>
  <c r="AF33" i="107" s="1"/>
  <c r="O102" i="107"/>
  <c r="C98" i="111"/>
  <c r="P98" i="107"/>
  <c r="O98" i="107"/>
  <c r="C96" i="111"/>
  <c r="P96" i="107"/>
  <c r="O96" i="107"/>
  <c r="C95" i="111"/>
  <c r="P95" i="107"/>
  <c r="O95" i="107"/>
  <c r="P93" i="107"/>
  <c r="AF30" i="107" s="1"/>
  <c r="O93" i="107"/>
  <c r="C93" i="111"/>
  <c r="O91" i="111"/>
  <c r="C88" i="111"/>
  <c r="P88" i="107"/>
  <c r="O88" i="107"/>
  <c r="P87" i="107"/>
  <c r="O87" i="107"/>
  <c r="C87" i="111"/>
  <c r="P85" i="107"/>
  <c r="O85" i="107"/>
  <c r="C80" i="111"/>
  <c r="P80" i="107"/>
  <c r="O80" i="107"/>
  <c r="C78" i="111"/>
  <c r="P78" i="107"/>
  <c r="O78" i="107"/>
  <c r="S27" i="107"/>
  <c r="C77" i="111"/>
  <c r="P77" i="107"/>
  <c r="O77" i="107"/>
  <c r="O76" i="111"/>
  <c r="C74" i="111"/>
  <c r="P74" i="107"/>
  <c r="O74" i="107"/>
  <c r="C72" i="111"/>
  <c r="P72" i="107"/>
  <c r="O72" i="107"/>
  <c r="C70" i="111"/>
  <c r="P70" i="107"/>
  <c r="O70" i="107"/>
  <c r="C69" i="111"/>
  <c r="P69" i="107"/>
  <c r="O69" i="107"/>
  <c r="P67" i="111"/>
  <c r="O67" i="111"/>
  <c r="C66" i="111"/>
  <c r="P66" i="107"/>
  <c r="O66" i="107"/>
  <c r="C64" i="111"/>
  <c r="P64" i="107"/>
  <c r="O64" i="107"/>
  <c r="C62" i="111"/>
  <c r="P62" i="107"/>
  <c r="O62" i="107"/>
  <c r="C61" i="111"/>
  <c r="P61" i="107"/>
  <c r="AF22" i="107" s="1"/>
  <c r="O61" i="107"/>
  <c r="O91" i="107"/>
  <c r="O75" i="107"/>
  <c r="P91" i="107"/>
  <c r="P75" i="107"/>
  <c r="P105" i="108"/>
  <c r="P102" i="108"/>
  <c r="P101" i="108"/>
  <c r="P98" i="108"/>
  <c r="P97" i="108"/>
  <c r="P94" i="108"/>
  <c r="P93" i="108"/>
  <c r="P90" i="108"/>
  <c r="P89" i="108"/>
  <c r="P86" i="108"/>
  <c r="P85" i="108"/>
  <c r="P82" i="108"/>
  <c r="P81" i="108"/>
  <c r="P78" i="108"/>
  <c r="P77" i="108"/>
  <c r="P74" i="108"/>
  <c r="P73" i="108"/>
  <c r="P70" i="108"/>
  <c r="P69" i="108"/>
  <c r="P66" i="108"/>
  <c r="AF24" i="108" s="1"/>
  <c r="P65" i="108"/>
  <c r="P62" i="108"/>
  <c r="P61" i="108"/>
  <c r="Z22" i="107"/>
  <c r="AA24" i="107"/>
  <c r="AA26" i="107"/>
  <c r="W27" i="107"/>
  <c r="AA28" i="107"/>
  <c r="AA30" i="107"/>
  <c r="U31" i="107"/>
  <c r="AA32" i="107"/>
  <c r="W33" i="107"/>
  <c r="AC33" i="107"/>
  <c r="O100" i="107"/>
  <c r="O84" i="107"/>
  <c r="O68" i="107"/>
  <c r="P100" i="107"/>
  <c r="P84" i="107"/>
  <c r="P68" i="107"/>
  <c r="Y30" i="111"/>
  <c r="C85" i="111"/>
  <c r="P105" i="107"/>
  <c r="O105" i="107"/>
  <c r="C105" i="111"/>
  <c r="C103" i="111"/>
  <c r="P103" i="107"/>
  <c r="O103" i="107"/>
  <c r="P101" i="107"/>
  <c r="O101" i="107"/>
  <c r="C101" i="111"/>
  <c r="P99" i="111"/>
  <c r="P97" i="107"/>
  <c r="O97" i="107"/>
  <c r="C97" i="111"/>
  <c r="C94" i="111"/>
  <c r="P94" i="107"/>
  <c r="O94" i="107"/>
  <c r="S31" i="107"/>
  <c r="P92" i="111"/>
  <c r="C90" i="111"/>
  <c r="P90" i="107"/>
  <c r="O90" i="107"/>
  <c r="AE30" i="107" s="1"/>
  <c r="P89" i="107"/>
  <c r="O89" i="107"/>
  <c r="C89" i="111"/>
  <c r="C86" i="111"/>
  <c r="P86" i="107"/>
  <c r="O86" i="107"/>
  <c r="O84" i="111"/>
  <c r="C82" i="111"/>
  <c r="P82" i="107"/>
  <c r="O82" i="107"/>
  <c r="P81" i="107"/>
  <c r="AF27" i="107" s="1"/>
  <c r="O81" i="107"/>
  <c r="AE27" i="107" s="1"/>
  <c r="C79" i="111"/>
  <c r="P79" i="107"/>
  <c r="O79" i="107"/>
  <c r="G74" i="111"/>
  <c r="W26" i="111" s="1"/>
  <c r="W26" i="107"/>
  <c r="C73" i="111"/>
  <c r="P73" i="107"/>
  <c r="O73" i="107"/>
  <c r="C71" i="111"/>
  <c r="P71" i="107"/>
  <c r="O71" i="107"/>
  <c r="G70" i="111"/>
  <c r="W25" i="111" s="1"/>
  <c r="W25" i="107"/>
  <c r="G66" i="111"/>
  <c r="W24" i="111" s="1"/>
  <c r="W24" i="107"/>
  <c r="C65" i="111"/>
  <c r="P65" i="107"/>
  <c r="O65" i="107"/>
  <c r="AE23" i="107" s="1"/>
  <c r="C63" i="111"/>
  <c r="P63" i="107"/>
  <c r="O63" i="107"/>
  <c r="G62" i="111"/>
  <c r="W23" i="111" s="1"/>
  <c r="W23" i="107"/>
  <c r="S22" i="107"/>
  <c r="AB22" i="107"/>
  <c r="S24" i="107"/>
  <c r="S26" i="107"/>
  <c r="S28" i="107"/>
  <c r="S30" i="107"/>
  <c r="W31" i="107"/>
  <c r="S32" i="107"/>
  <c r="Y33" i="107"/>
  <c r="AC32" i="107"/>
  <c r="M98" i="111"/>
  <c r="AC32" i="111" s="1"/>
  <c r="Y32" i="107"/>
  <c r="U32" i="107"/>
  <c r="E98" i="111"/>
  <c r="U32" i="111" s="1"/>
  <c r="M94" i="111"/>
  <c r="AC31" i="111" s="1"/>
  <c r="AC31" i="107"/>
  <c r="AC30" i="111"/>
  <c r="U30" i="111"/>
  <c r="O99" i="107"/>
  <c r="O83" i="107"/>
  <c r="O67" i="107"/>
  <c r="P99" i="107"/>
  <c r="P83" i="107"/>
  <c r="P67" i="107"/>
  <c r="O99" i="111"/>
  <c r="Y29" i="107"/>
  <c r="C58" i="111"/>
  <c r="P58" i="107"/>
  <c r="O58" i="107"/>
  <c r="K58" i="111"/>
  <c r="AA22" i="111" s="1"/>
  <c r="G58" i="111"/>
  <c r="W22" i="111" s="1"/>
  <c r="AD33" i="107"/>
  <c r="N102" i="111"/>
  <c r="AD33" i="111" s="1"/>
  <c r="Z33" i="107"/>
  <c r="J102" i="111"/>
  <c r="Z33" i="111" s="1"/>
  <c r="V33" i="107"/>
  <c r="F102" i="111"/>
  <c r="V33" i="111" s="1"/>
  <c r="AD32" i="107"/>
  <c r="N98" i="111"/>
  <c r="AD32" i="111" s="1"/>
  <c r="Z32" i="107"/>
  <c r="J98" i="111"/>
  <c r="Z32" i="111" s="1"/>
  <c r="V32" i="107"/>
  <c r="F98" i="111"/>
  <c r="V32" i="111" s="1"/>
  <c r="AD31" i="107"/>
  <c r="N94" i="111"/>
  <c r="AD31" i="111" s="1"/>
  <c r="Z31" i="107"/>
  <c r="J94" i="111"/>
  <c r="Z31" i="111" s="1"/>
  <c r="V31" i="107"/>
  <c r="F94" i="111"/>
  <c r="V31" i="111" s="1"/>
  <c r="AD30" i="107"/>
  <c r="N90" i="111"/>
  <c r="AD30" i="111" s="1"/>
  <c r="Z30" i="107"/>
  <c r="J90" i="111"/>
  <c r="Z30" i="111" s="1"/>
  <c r="V30" i="107"/>
  <c r="F90" i="111"/>
  <c r="V30" i="111" s="1"/>
  <c r="AD29" i="107"/>
  <c r="Z29" i="107"/>
  <c r="J86" i="111"/>
  <c r="Z29" i="111" s="1"/>
  <c r="V29" i="107"/>
  <c r="AD28" i="107"/>
  <c r="Z28" i="107"/>
  <c r="J82" i="111"/>
  <c r="Z28" i="111" s="1"/>
  <c r="V28" i="107"/>
  <c r="AD27" i="107"/>
  <c r="Z27" i="107"/>
  <c r="J78" i="111"/>
  <c r="Z27" i="111" s="1"/>
  <c r="V27" i="107"/>
  <c r="F78" i="111"/>
  <c r="V27" i="111" s="1"/>
  <c r="AD26" i="107"/>
  <c r="N74" i="111"/>
  <c r="AD26" i="111" s="1"/>
  <c r="Z26" i="107"/>
  <c r="J74" i="111"/>
  <c r="Z26" i="111" s="1"/>
  <c r="V26" i="107"/>
  <c r="F74" i="111"/>
  <c r="V26" i="111" s="1"/>
  <c r="AD25" i="107"/>
  <c r="Z25" i="107"/>
  <c r="J70" i="111"/>
  <c r="Z25" i="111" s="1"/>
  <c r="V25" i="107"/>
  <c r="F70" i="111"/>
  <c r="V25" i="111" s="1"/>
  <c r="AD24" i="107"/>
  <c r="N66" i="111"/>
  <c r="AD24" i="111" s="1"/>
  <c r="Z24" i="107"/>
  <c r="J66" i="111"/>
  <c r="Z24" i="111" s="1"/>
  <c r="V24" i="107"/>
  <c r="F66" i="111"/>
  <c r="V24" i="111" s="1"/>
  <c r="AD23" i="107"/>
  <c r="Z23" i="107"/>
  <c r="J62" i="111"/>
  <c r="Z23" i="111" s="1"/>
  <c r="V23" i="107"/>
  <c r="F62" i="111"/>
  <c r="V23" i="111" s="1"/>
  <c r="AD22" i="107"/>
  <c r="N59" i="111"/>
  <c r="J59" i="111"/>
  <c r="V22" i="107"/>
  <c r="P58" i="108"/>
  <c r="N78" i="111"/>
  <c r="AD27" i="111" s="1"/>
  <c r="N62" i="111"/>
  <c r="AD23" i="111" s="1"/>
  <c r="AC30" i="107"/>
  <c r="Y30" i="107"/>
  <c r="U30" i="107"/>
  <c r="AC28" i="107"/>
  <c r="M82" i="111"/>
  <c r="AC28" i="111" s="1"/>
  <c r="Y28" i="107"/>
  <c r="I82" i="111"/>
  <c r="Y28" i="111" s="1"/>
  <c r="U28" i="107"/>
  <c r="E82" i="111"/>
  <c r="U28" i="111" s="1"/>
  <c r="AC26" i="107"/>
  <c r="M74" i="111"/>
  <c r="AC26" i="111" s="1"/>
  <c r="Y26" i="107"/>
  <c r="U26" i="107"/>
  <c r="E74" i="111"/>
  <c r="U26" i="111" s="1"/>
  <c r="AC24" i="107"/>
  <c r="M66" i="111"/>
  <c r="AC24" i="111" s="1"/>
  <c r="Y24" i="107"/>
  <c r="U24" i="107"/>
  <c r="E66" i="111"/>
  <c r="U24" i="111" s="1"/>
  <c r="M59" i="111"/>
  <c r="AC22" i="111" s="1"/>
  <c r="Y22" i="107"/>
  <c r="I59" i="111"/>
  <c r="AC32" i="108"/>
  <c r="Y32" i="108"/>
  <c r="U32" i="108"/>
  <c r="AC30" i="108"/>
  <c r="Y30" i="108"/>
  <c r="U30" i="108"/>
  <c r="AC28" i="108"/>
  <c r="Y28" i="108"/>
  <c r="U28" i="108"/>
  <c r="AC26" i="108"/>
  <c r="Y26" i="108"/>
  <c r="U26" i="108"/>
  <c r="AC24" i="108"/>
  <c r="Y24" i="108"/>
  <c r="U24" i="108"/>
  <c r="AC22" i="108"/>
  <c r="N86" i="111"/>
  <c r="AD29" i="111" s="1"/>
  <c r="N82" i="111"/>
  <c r="AD28" i="111" s="1"/>
  <c r="F59" i="111"/>
  <c r="O102" i="108"/>
  <c r="O98" i="108"/>
  <c r="O94" i="108"/>
  <c r="O90" i="108"/>
  <c r="O86" i="108"/>
  <c r="O82" i="108"/>
  <c r="O78" i="108"/>
  <c r="O74" i="108"/>
  <c r="O70" i="108"/>
  <c r="O66" i="108"/>
  <c r="O62" i="108"/>
  <c r="O58" i="108"/>
  <c r="AD33" i="108"/>
  <c r="Z33" i="108"/>
  <c r="V33" i="108"/>
  <c r="AD31" i="108"/>
  <c r="Z31" i="108"/>
  <c r="V31" i="108"/>
  <c r="AD29" i="108"/>
  <c r="Z29" i="108"/>
  <c r="V29" i="108"/>
  <c r="AD27" i="108"/>
  <c r="Z27" i="108"/>
  <c r="V27" i="108"/>
  <c r="AD25" i="108"/>
  <c r="Z25" i="108"/>
  <c r="V25" i="108"/>
  <c r="AD23" i="108"/>
  <c r="Z23" i="108"/>
  <c r="V23" i="108"/>
  <c r="Z22" i="108"/>
  <c r="O105" i="108"/>
  <c r="AE33" i="108" s="1"/>
  <c r="O101" i="108"/>
  <c r="O97" i="108"/>
  <c r="O93" i="108"/>
  <c r="O89" i="108"/>
  <c r="O85" i="108"/>
  <c r="AE28" i="108" s="1"/>
  <c r="O81" i="108"/>
  <c r="O77" i="108"/>
  <c r="O73" i="108"/>
  <c r="O69" i="108"/>
  <c r="AE24" i="108" s="1"/>
  <c r="O65" i="108"/>
  <c r="O61" i="108"/>
  <c r="Z22" i="111"/>
  <c r="V22" i="108"/>
  <c r="Z32" i="108"/>
  <c r="AC22" i="107"/>
  <c r="W22" i="107"/>
  <c r="AA22" i="107"/>
  <c r="O12" i="109"/>
  <c r="O10" i="109"/>
  <c r="P10" i="109"/>
  <c r="S10" i="109"/>
  <c r="T10" i="109"/>
  <c r="U10" i="109"/>
  <c r="V10" i="109"/>
  <c r="W10" i="109"/>
  <c r="X10" i="109"/>
  <c r="Y10" i="109"/>
  <c r="Z10" i="109"/>
  <c r="AA10" i="109"/>
  <c r="AB10" i="109"/>
  <c r="AC10" i="109"/>
  <c r="AD10" i="109"/>
  <c r="O11" i="109"/>
  <c r="P11" i="109"/>
  <c r="S11" i="109"/>
  <c r="T11" i="109"/>
  <c r="U11" i="109"/>
  <c r="V11" i="109"/>
  <c r="W11" i="109"/>
  <c r="X11" i="109"/>
  <c r="Y11" i="109"/>
  <c r="Z11" i="109"/>
  <c r="AA11" i="109"/>
  <c r="AB11" i="109"/>
  <c r="AC11" i="109"/>
  <c r="AD11" i="109"/>
  <c r="P12" i="109"/>
  <c r="S12" i="109"/>
  <c r="T12" i="109"/>
  <c r="U12" i="109"/>
  <c r="V12" i="109"/>
  <c r="W12" i="109"/>
  <c r="X12" i="109"/>
  <c r="Y12" i="109"/>
  <c r="Z12" i="109"/>
  <c r="AA12" i="109"/>
  <c r="AB12" i="109"/>
  <c r="AC12" i="109"/>
  <c r="AD12" i="109"/>
  <c r="O13" i="109"/>
  <c r="P13" i="109"/>
  <c r="S13" i="109"/>
  <c r="T13" i="109"/>
  <c r="U13" i="109"/>
  <c r="V13" i="109"/>
  <c r="W13" i="109"/>
  <c r="X13" i="109"/>
  <c r="Y13" i="109"/>
  <c r="Z13" i="109"/>
  <c r="AA13" i="109"/>
  <c r="AB13" i="109"/>
  <c r="AC13" i="109"/>
  <c r="AD13" i="109"/>
  <c r="P58" i="111" l="1"/>
  <c r="O58" i="111"/>
  <c r="S22" i="111"/>
  <c r="P71" i="111"/>
  <c r="O71" i="111"/>
  <c r="P79" i="111"/>
  <c r="O79" i="111"/>
  <c r="P86" i="111"/>
  <c r="O86" i="111"/>
  <c r="S29" i="111"/>
  <c r="P77" i="111"/>
  <c r="O77" i="111"/>
  <c r="P78" i="111"/>
  <c r="AF27" i="111" s="1"/>
  <c r="O78" i="111"/>
  <c r="S27" i="111"/>
  <c r="O104" i="111"/>
  <c r="P104" i="111"/>
  <c r="O81" i="111"/>
  <c r="AE27" i="111" s="1"/>
  <c r="AB30" i="111"/>
  <c r="T32" i="111"/>
  <c r="AD22" i="111"/>
  <c r="AE25" i="107"/>
  <c r="P82" i="111"/>
  <c r="O82" i="111"/>
  <c r="S28" i="111"/>
  <c r="O89" i="111"/>
  <c r="P89" i="111"/>
  <c r="O97" i="111"/>
  <c r="P97" i="111"/>
  <c r="O101" i="111"/>
  <c r="AE32" i="111" s="1"/>
  <c r="P101" i="111"/>
  <c r="AF26" i="108"/>
  <c r="AF28" i="108"/>
  <c r="AF30" i="108"/>
  <c r="P59" i="111"/>
  <c r="P74" i="111"/>
  <c r="O74" i="111"/>
  <c r="AE26" i="111" s="1"/>
  <c r="S26" i="111"/>
  <c r="P98" i="111"/>
  <c r="O98" i="111"/>
  <c r="S32" i="111"/>
  <c r="P102" i="111"/>
  <c r="O102" i="111"/>
  <c r="S33" i="111"/>
  <c r="T28" i="111"/>
  <c r="T29" i="111"/>
  <c r="X30" i="111"/>
  <c r="X31" i="111"/>
  <c r="X22" i="111"/>
  <c r="X25" i="111"/>
  <c r="AB29" i="111"/>
  <c r="Y22" i="111"/>
  <c r="V22" i="111"/>
  <c r="AE22" i="108"/>
  <c r="AE26" i="108"/>
  <c r="AE30" i="108"/>
  <c r="AE32" i="108"/>
  <c r="AE22" i="107"/>
  <c r="AF23" i="107"/>
  <c r="O68" i="111"/>
  <c r="AF25" i="107"/>
  <c r="O83" i="111"/>
  <c r="AE29" i="107"/>
  <c r="P90" i="111"/>
  <c r="O90" i="111"/>
  <c r="AE30" i="111" s="1"/>
  <c r="S30" i="111"/>
  <c r="AE31" i="107"/>
  <c r="AE32" i="107"/>
  <c r="P103" i="111"/>
  <c r="O103" i="111"/>
  <c r="O100" i="111"/>
  <c r="AF29" i="108"/>
  <c r="AF31" i="108"/>
  <c r="AF33" i="108"/>
  <c r="O60" i="111"/>
  <c r="P61" i="111"/>
  <c r="AF22" i="111" s="1"/>
  <c r="O61" i="111"/>
  <c r="AF24" i="107"/>
  <c r="AE24" i="107"/>
  <c r="P72" i="111"/>
  <c r="O72" i="111"/>
  <c r="O75" i="111"/>
  <c r="AE26" i="107"/>
  <c r="P87" i="111"/>
  <c r="O87" i="111"/>
  <c r="P93" i="111"/>
  <c r="O93" i="111"/>
  <c r="O96" i="111"/>
  <c r="P96" i="111"/>
  <c r="AB26" i="111"/>
  <c r="T23" i="111"/>
  <c r="AB23" i="111"/>
  <c r="X24" i="111"/>
  <c r="X28" i="111"/>
  <c r="T30" i="111"/>
  <c r="AB32" i="111"/>
  <c r="X33" i="111"/>
  <c r="P63" i="111"/>
  <c r="O63" i="111"/>
  <c r="P94" i="111"/>
  <c r="O94" i="111"/>
  <c r="S31" i="111"/>
  <c r="AE33" i="107"/>
  <c r="O59" i="111"/>
  <c r="P64" i="111"/>
  <c r="O64" i="111"/>
  <c r="P69" i="111"/>
  <c r="AF24" i="111" s="1"/>
  <c r="O69" i="111"/>
  <c r="AE24" i="111" s="1"/>
  <c r="AE28" i="107"/>
  <c r="AF22" i="108"/>
  <c r="AF32" i="108"/>
  <c r="P62" i="111"/>
  <c r="O62" i="111"/>
  <c r="S23" i="111"/>
  <c r="AF28" i="107"/>
  <c r="AE23" i="108"/>
  <c r="AE27" i="108"/>
  <c r="AE31" i="108"/>
  <c r="AE25" i="108"/>
  <c r="AE29" i="108"/>
  <c r="P65" i="111"/>
  <c r="AF23" i="111" s="1"/>
  <c r="O65" i="111"/>
  <c r="AE23" i="111" s="1"/>
  <c r="P73" i="111"/>
  <c r="O73" i="111"/>
  <c r="AF29" i="107"/>
  <c r="AF31" i="107"/>
  <c r="AF32" i="107"/>
  <c r="O105" i="111"/>
  <c r="AE33" i="111" s="1"/>
  <c r="P105" i="111"/>
  <c r="P85" i="111"/>
  <c r="O85" i="111"/>
  <c r="AE28" i="111" s="1"/>
  <c r="AF23" i="108"/>
  <c r="AF25" i="108"/>
  <c r="AF27" i="108"/>
  <c r="P66" i="111"/>
  <c r="O66" i="111"/>
  <c r="S24" i="111"/>
  <c r="P70" i="111"/>
  <c r="O70" i="111"/>
  <c r="S25" i="111"/>
  <c r="AF26" i="107"/>
  <c r="P80" i="111"/>
  <c r="O80" i="111"/>
  <c r="O88" i="111"/>
  <c r="P88" i="111"/>
  <c r="P95" i="111"/>
  <c r="O95" i="111"/>
  <c r="AB25" i="111"/>
  <c r="AB28" i="111"/>
  <c r="X29" i="111"/>
  <c r="X26" i="111"/>
  <c r="X27" i="111"/>
  <c r="AB31" i="111"/>
  <c r="AE10" i="109"/>
  <c r="AF10" i="109"/>
  <c r="AE29" i="111" l="1"/>
  <c r="AF33" i="111"/>
  <c r="AF31" i="111"/>
  <c r="AE25" i="111"/>
  <c r="AF26" i="111"/>
  <c r="AE31" i="111"/>
  <c r="AE22" i="111"/>
  <c r="AF25" i="111"/>
  <c r="AF30" i="111"/>
  <c r="AF32" i="111"/>
  <c r="AF29" i="111"/>
  <c r="AF28" i="111"/>
  <c r="C3" i="94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7" l="1"/>
  <c r="K6" i="104"/>
  <c r="K6" i="108" s="1"/>
  <c r="K6" i="111" s="1"/>
  <c r="K5" i="104"/>
  <c r="K5" i="108" s="1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AA39" i="101" l="1"/>
  <c r="AD38" i="101"/>
  <c r="Y39" i="109"/>
  <c r="AA27" i="99"/>
  <c r="X39" i="105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U38" i="110" s="1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Z13" i="108" s="1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W12" i="108" s="1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Y16" i="108" s="1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U17" i="108" s="1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Y18" i="108" s="1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U19" i="108" s="1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4" i="108" s="1"/>
  <c r="AA15" i="94"/>
  <c r="K30" i="108"/>
  <c r="AA16" i="94"/>
  <c r="K34" i="108"/>
  <c r="AA16" i="108" s="1"/>
  <c r="AA18" i="94"/>
  <c r="K42" i="108"/>
  <c r="M54" i="108"/>
  <c r="M50" i="108"/>
  <c r="AC20" i="108" s="1"/>
  <c r="M46" i="108"/>
  <c r="C42" i="108"/>
  <c r="C34" i="108"/>
  <c r="C26" i="108"/>
  <c r="S14" i="108" s="1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U20" i="108" s="1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V12" i="108" s="1"/>
  <c r="J19" i="108"/>
  <c r="N20" i="108"/>
  <c r="J23" i="108"/>
  <c r="N24" i="108"/>
  <c r="F24" i="108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U13" i="108" s="1"/>
  <c r="G22" i="108"/>
  <c r="I22" i="108"/>
  <c r="K22" i="108"/>
  <c r="M22" i="108"/>
  <c r="AC13" i="108" s="1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S21" i="108" s="1"/>
  <c r="K50" i="108"/>
  <c r="G50" i="108"/>
  <c r="C50" i="108"/>
  <c r="K46" i="108"/>
  <c r="AA19" i="108" s="1"/>
  <c r="G46" i="108"/>
  <c r="G38" i="108"/>
  <c r="G30" i="108"/>
  <c r="G26" i="108"/>
  <c r="W14" i="108" s="1"/>
  <c r="F22" i="108"/>
  <c r="H12" i="108"/>
  <c r="L12" i="108"/>
  <c r="D13" i="108"/>
  <c r="H13" i="108"/>
  <c r="L13" i="108"/>
  <c r="D14" i="108"/>
  <c r="H14" i="108"/>
  <c r="X11" i="108" s="1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X12" i="108" s="1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X13" i="108" s="1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P14" i="110"/>
  <c r="U11" i="110"/>
  <c r="Y11" i="110"/>
  <c r="AA11" i="110"/>
  <c r="AC11" i="110"/>
  <c r="X16" i="97"/>
  <c r="X26" i="97" s="1"/>
  <c r="W23" i="105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5" i="109"/>
  <c r="AD15" i="109"/>
  <c r="C10" i="108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P20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8" i="109"/>
  <c r="P22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P14" i="109"/>
  <c r="S14" i="109"/>
  <c r="P15" i="109"/>
  <c r="S15" i="109"/>
  <c r="P16" i="109"/>
  <c r="S16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W10" i="107" l="1"/>
  <c r="G106" i="107"/>
  <c r="V21" i="107"/>
  <c r="V20" i="107"/>
  <c r="V19" i="107"/>
  <c r="V18" i="107"/>
  <c r="AD17" i="107"/>
  <c r="V16" i="107"/>
  <c r="V15" i="107"/>
  <c r="V14" i="107"/>
  <c r="V13" i="107"/>
  <c r="AD12" i="107"/>
  <c r="Z11" i="107"/>
  <c r="W11" i="108"/>
  <c r="AD10" i="107"/>
  <c r="N106" i="107"/>
  <c r="AC21" i="107"/>
  <c r="AC20" i="107"/>
  <c r="U19" i="107"/>
  <c r="Y18" i="107"/>
  <c r="U18" i="107"/>
  <c r="AC17" i="107"/>
  <c r="U17" i="107"/>
  <c r="AC16" i="107"/>
  <c r="U16" i="107"/>
  <c r="AC15" i="107"/>
  <c r="U15" i="107"/>
  <c r="AC14" i="107"/>
  <c r="U12" i="107"/>
  <c r="U11" i="107"/>
  <c r="C106" i="108"/>
  <c r="S10" i="108"/>
  <c r="H106" i="108"/>
  <c r="X10" i="108"/>
  <c r="V19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W15" i="108"/>
  <c r="S20" i="108"/>
  <c r="W21" i="108"/>
  <c r="AA13" i="108"/>
  <c r="S13" i="108"/>
  <c r="S15" i="108"/>
  <c r="U21" i="108"/>
  <c r="AD10" i="108"/>
  <c r="N106" i="108"/>
  <c r="S16" i="108"/>
  <c r="AC21" i="108"/>
  <c r="W18" i="108"/>
  <c r="AC17" i="108"/>
  <c r="S38" i="110"/>
  <c r="W16" i="108"/>
  <c r="AC15" i="108"/>
  <c r="AC12" i="108"/>
  <c r="U12" i="108"/>
  <c r="AC11" i="108"/>
  <c r="U11" i="108"/>
  <c r="I106" i="108"/>
  <c r="Y10" i="108"/>
  <c r="AB21" i="108"/>
  <c r="T21" i="108"/>
  <c r="AB20" i="108"/>
  <c r="T20" i="108"/>
  <c r="AB19" i="108"/>
  <c r="AD11" i="108"/>
  <c r="AA10" i="107"/>
  <c r="K106" i="107"/>
  <c r="AD21" i="107"/>
  <c r="AD20" i="107"/>
  <c r="Z19" i="107"/>
  <c r="Z18" i="107"/>
  <c r="Z17" i="107"/>
  <c r="Z16" i="107"/>
  <c r="Z15" i="107"/>
  <c r="Z14" i="107"/>
  <c r="Z13" i="107"/>
  <c r="Z12" i="107"/>
  <c r="AD11" i="107"/>
  <c r="T10" i="108"/>
  <c r="D106" i="108"/>
  <c r="X18" i="108"/>
  <c r="X17" i="108"/>
  <c r="X16" i="108"/>
  <c r="X14" i="108"/>
  <c r="X38" i="108" s="1"/>
  <c r="AC36" i="108"/>
  <c r="U39" i="108"/>
  <c r="V21" i="108"/>
  <c r="V20" i="108"/>
  <c r="AD19" i="108"/>
  <c r="V10" i="107"/>
  <c r="F106" i="107"/>
  <c r="Y21" i="107"/>
  <c r="U20" i="107"/>
  <c r="U36" i="107" s="1"/>
  <c r="Y19" i="107"/>
  <c r="Y14" i="107"/>
  <c r="U14" i="107"/>
  <c r="AC13" i="107"/>
  <c r="AC35" i="107" s="1"/>
  <c r="Y13" i="107"/>
  <c r="U13" i="107"/>
  <c r="AC12" i="107"/>
  <c r="Y12" i="107"/>
  <c r="AC11" i="107"/>
  <c r="Y11" i="107"/>
  <c r="AD26" i="97"/>
  <c r="AC10" i="107"/>
  <c r="M106" i="107"/>
  <c r="Y10" i="107"/>
  <c r="I106" i="107"/>
  <c r="E106" i="107"/>
  <c r="U10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AF32" i="101"/>
  <c r="AF33" i="101"/>
  <c r="AB10" i="108"/>
  <c r="L106" i="108"/>
  <c r="T19" i="108"/>
  <c r="AB18" i="108"/>
  <c r="T18" i="108"/>
  <c r="AB17" i="108"/>
  <c r="T17" i="108"/>
  <c r="AB16" i="108"/>
  <c r="T16" i="108"/>
  <c r="AB15" i="108"/>
  <c r="T15" i="108"/>
  <c r="AB14" i="108"/>
  <c r="T14" i="108"/>
  <c r="W17" i="108"/>
  <c r="W20" i="108"/>
  <c r="Y13" i="108"/>
  <c r="Y35" i="108" s="1"/>
  <c r="Y20" i="108"/>
  <c r="AA21" i="108"/>
  <c r="S17" i="108"/>
  <c r="Z10" i="108"/>
  <c r="J106" i="108"/>
  <c r="S18" i="108"/>
  <c r="AA18" i="108"/>
  <c r="AA15" i="108"/>
  <c r="U18" i="108"/>
  <c r="AA17" i="108"/>
  <c r="U16" i="108"/>
  <c r="Y15" i="108"/>
  <c r="AC14" i="108"/>
  <c r="AC35" i="108" s="1"/>
  <c r="AA12" i="108"/>
  <c r="S12" i="108"/>
  <c r="AA11" i="108"/>
  <c r="AA37" i="108" s="1"/>
  <c r="S11" i="108"/>
  <c r="W10" i="108"/>
  <c r="G106" i="108"/>
  <c r="Z21" i="108"/>
  <c r="Z20" i="108"/>
  <c r="Z19" i="108"/>
  <c r="AD12" i="108"/>
  <c r="Z11" i="108"/>
  <c r="S10" i="107"/>
  <c r="C106" i="107"/>
  <c r="Z21" i="107"/>
  <c r="Z20" i="107"/>
  <c r="AD19" i="107"/>
  <c r="AD18" i="107"/>
  <c r="V17" i="107"/>
  <c r="AD16" i="107"/>
  <c r="AD15" i="107"/>
  <c r="AD14" i="107"/>
  <c r="AD13" i="107"/>
  <c r="V12" i="107"/>
  <c r="V11" i="107"/>
  <c r="X15" i="108"/>
  <c r="U36" i="108"/>
  <c r="U14" i="108"/>
  <c r="AA10" i="108"/>
  <c r="K106" i="108"/>
  <c r="AD21" i="108"/>
  <c r="AD20" i="108"/>
  <c r="Z10" i="107"/>
  <c r="J106" i="107"/>
  <c r="U21" i="107"/>
  <c r="Y20" i="107"/>
  <c r="Y36" i="107" s="1"/>
  <c r="AC19" i="107"/>
  <c r="AC18" i="107"/>
  <c r="Y17" i="107"/>
  <c r="Y16" i="107"/>
  <c r="Y15" i="107"/>
  <c r="L106" i="107"/>
  <c r="AB10" i="107"/>
  <c r="X10" i="107"/>
  <c r="H106" i="107"/>
  <c r="D106" i="107"/>
  <c r="T10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S37" i="107" s="1"/>
  <c r="Z26" i="95"/>
  <c r="Z18" i="108"/>
  <c r="Z17" i="108"/>
  <c r="Z16" i="108"/>
  <c r="Z35" i="108" s="1"/>
  <c r="Z15" i="108"/>
  <c r="Z14" i="108"/>
  <c r="Z38" i="108" s="1"/>
  <c r="AB13" i="108"/>
  <c r="AB12" i="108"/>
  <c r="AB11" i="108"/>
  <c r="V13" i="108"/>
  <c r="W19" i="108"/>
  <c r="AA20" i="108"/>
  <c r="AA39" i="108" s="1"/>
  <c r="W13" i="108"/>
  <c r="Y21" i="108"/>
  <c r="V11" i="108"/>
  <c r="S19" i="108"/>
  <c r="V10" i="108"/>
  <c r="F106" i="108"/>
  <c r="AC19" i="108"/>
  <c r="AC39" i="108" s="1"/>
  <c r="Y19" i="108"/>
  <c r="Y39" i="108" s="1"/>
  <c r="AC18" i="108"/>
  <c r="Y17" i="108"/>
  <c r="AC16" i="108"/>
  <c r="U15" i="108"/>
  <c r="Y14" i="108"/>
  <c r="Y12" i="108"/>
  <c r="Y11" i="108"/>
  <c r="AC10" i="108"/>
  <c r="M106" i="108"/>
  <c r="E106" i="108"/>
  <c r="U10" i="108"/>
  <c r="X21" i="108"/>
  <c r="X20" i="108"/>
  <c r="X19" i="108"/>
  <c r="AD13" i="108"/>
  <c r="Z12" i="108"/>
  <c r="U38" i="109"/>
  <c r="AF25" i="101"/>
  <c r="AF28" i="101"/>
  <c r="S38" i="105"/>
  <c r="AE13" i="109"/>
  <c r="AE12" i="109"/>
  <c r="AE11" i="109"/>
  <c r="AF12" i="109"/>
  <c r="AF11" i="109"/>
  <c r="AF13" i="109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Y21" i="111" s="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U20" i="111" s="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Y18" i="111" s="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AA17" i="111" s="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AD11" i="111" s="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W15" i="111" s="1"/>
  <c r="M29" i="111"/>
  <c r="I29" i="111"/>
  <c r="E29" i="111"/>
  <c r="M28" i="111"/>
  <c r="I28" i="111"/>
  <c r="E28" i="111"/>
  <c r="M27" i="111"/>
  <c r="I27" i="111"/>
  <c r="E27" i="111"/>
  <c r="M26" i="111"/>
  <c r="K26" i="111"/>
  <c r="AA14" i="111" s="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AA13" i="111" s="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AA12" i="111" s="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AA11" i="111" s="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T11" i="111" s="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AC21" i="111" s="1"/>
  <c r="E54" i="111"/>
  <c r="U21" i="111" s="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Y20" i="111" s="1"/>
  <c r="Y36" i="111" s="1"/>
  <c r="G50" i="111"/>
  <c r="W20" i="111" s="1"/>
  <c r="G49" i="111"/>
  <c r="E49" i="111"/>
  <c r="K48" i="111"/>
  <c r="E48" i="111"/>
  <c r="C48" i="111"/>
  <c r="M47" i="111"/>
  <c r="I47" i="111"/>
  <c r="G47" i="111"/>
  <c r="M46" i="111"/>
  <c r="K46" i="111"/>
  <c r="I46" i="111"/>
  <c r="Y19" i="111" s="1"/>
  <c r="Y39" i="111" s="1"/>
  <c r="C46" i="111"/>
  <c r="S19" i="111" s="1"/>
  <c r="M45" i="111"/>
  <c r="I45" i="111"/>
  <c r="E45" i="111"/>
  <c r="M44" i="111"/>
  <c r="I44" i="111"/>
  <c r="E44" i="111"/>
  <c r="M43" i="111"/>
  <c r="I43" i="111"/>
  <c r="E43" i="111"/>
  <c r="M42" i="111"/>
  <c r="G42" i="111"/>
  <c r="W18" i="111" s="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AC16" i="111" s="1"/>
  <c r="G34" i="111"/>
  <c r="W16" i="111" s="1"/>
  <c r="C34" i="111"/>
  <c r="M33" i="111"/>
  <c r="I33" i="111"/>
  <c r="E33" i="111"/>
  <c r="M32" i="111"/>
  <c r="I32" i="111"/>
  <c r="E32" i="111"/>
  <c r="M31" i="111"/>
  <c r="I31" i="111"/>
  <c r="E31" i="111"/>
  <c r="M30" i="111"/>
  <c r="AC15" i="111" s="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Y13" i="111" s="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Y12" i="111" s="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Y11" i="111" s="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AF11" i="108" s="1"/>
  <c r="O41" i="108"/>
  <c r="O33" i="108"/>
  <c r="O25" i="108"/>
  <c r="O23" i="108"/>
  <c r="O19" i="108"/>
  <c r="O15" i="108"/>
  <c r="P50" i="108"/>
  <c r="AF20" i="108" s="1"/>
  <c r="P42" i="108"/>
  <c r="AF18" i="108" s="1"/>
  <c r="P34" i="108"/>
  <c r="AF16" i="108" s="1"/>
  <c r="O54" i="108"/>
  <c r="O42" i="108"/>
  <c r="O34" i="108"/>
  <c r="AE16" i="108" s="1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AF12" i="107" s="1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AE21" i="107" s="1"/>
  <c r="P53" i="107"/>
  <c r="O53" i="107"/>
  <c r="O52" i="107"/>
  <c r="P52" i="107"/>
  <c r="O51" i="107"/>
  <c r="P51" i="107"/>
  <c r="O50" i="107"/>
  <c r="P50" i="107"/>
  <c r="AF20" i="107" s="1"/>
  <c r="P49" i="107"/>
  <c r="O49" i="107"/>
  <c r="P48" i="107"/>
  <c r="O48" i="107"/>
  <c r="P47" i="107"/>
  <c r="O47" i="107"/>
  <c r="O46" i="107"/>
  <c r="P46" i="107"/>
  <c r="AF19" i="107" s="1"/>
  <c r="P45" i="107"/>
  <c r="O45" i="107"/>
  <c r="O44" i="107"/>
  <c r="P44" i="107"/>
  <c r="O43" i="107"/>
  <c r="P43" i="107"/>
  <c r="O42" i="107"/>
  <c r="P42" i="107"/>
  <c r="AF18" i="107" s="1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AE14" i="107" s="1"/>
  <c r="O23" i="107"/>
  <c r="O21" i="107"/>
  <c r="O18" i="107"/>
  <c r="AE12" i="107" s="1"/>
  <c r="O16" i="107"/>
  <c r="O14" i="107"/>
  <c r="O12" i="107"/>
  <c r="P26" i="107"/>
  <c r="AF14" i="107" s="1"/>
  <c r="P38" i="107"/>
  <c r="P30" i="107"/>
  <c r="P34" i="107"/>
  <c r="O30" i="107"/>
  <c r="AE15" i="107" s="1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K106" i="111" l="1"/>
  <c r="AA10" i="111"/>
  <c r="H106" i="111"/>
  <c r="X10" i="111"/>
  <c r="W19" i="111"/>
  <c r="Z10" i="111"/>
  <c r="J106" i="111"/>
  <c r="AC34" i="108"/>
  <c r="AC40" i="108"/>
  <c r="AC41" i="108"/>
  <c r="AC42" i="108" s="1"/>
  <c r="AC37" i="108"/>
  <c r="S36" i="108"/>
  <c r="S39" i="108"/>
  <c r="AA35" i="107"/>
  <c r="AA38" i="107"/>
  <c r="U38" i="108"/>
  <c r="Z34" i="108"/>
  <c r="Z40" i="108"/>
  <c r="Z37" i="108"/>
  <c r="Z41" i="108"/>
  <c r="AC34" i="107"/>
  <c r="AC40" i="107"/>
  <c r="AC37" i="107"/>
  <c r="AC41" i="107"/>
  <c r="AD39" i="108"/>
  <c r="AD36" i="108"/>
  <c r="Z39" i="107"/>
  <c r="Z36" i="107"/>
  <c r="AA40" i="107"/>
  <c r="AA41" i="107"/>
  <c r="AA42" i="107" s="1"/>
  <c r="AA34" i="107"/>
  <c r="S38" i="108"/>
  <c r="S35" i="108"/>
  <c r="AA36" i="108"/>
  <c r="AF10" i="107"/>
  <c r="P106" i="107"/>
  <c r="AF16" i="107"/>
  <c r="AE18" i="107"/>
  <c r="AE19" i="107"/>
  <c r="AE20" i="107"/>
  <c r="AF21" i="107"/>
  <c r="AF11" i="107"/>
  <c r="AE18" i="108"/>
  <c r="AF15" i="108"/>
  <c r="AE20" i="108"/>
  <c r="AE14" i="108"/>
  <c r="AF10" i="108"/>
  <c r="P106" i="108"/>
  <c r="S42" i="110"/>
  <c r="AC11" i="111"/>
  <c r="AC12" i="111"/>
  <c r="AC13" i="111"/>
  <c r="Y17" i="111"/>
  <c r="AC18" i="111"/>
  <c r="AA19" i="111"/>
  <c r="AD10" i="111"/>
  <c r="N106" i="111"/>
  <c r="Z11" i="111"/>
  <c r="V12" i="111"/>
  <c r="V13" i="111"/>
  <c r="V14" i="111"/>
  <c r="V15" i="111"/>
  <c r="V16" i="111"/>
  <c r="V17" i="111"/>
  <c r="V18" i="111"/>
  <c r="V19" i="111"/>
  <c r="V20" i="111"/>
  <c r="V21" i="111"/>
  <c r="AC14" i="111"/>
  <c r="AA15" i="111"/>
  <c r="AA16" i="111"/>
  <c r="T14" i="111"/>
  <c r="T15" i="111"/>
  <c r="T16" i="111"/>
  <c r="T17" i="111"/>
  <c r="T18" i="111"/>
  <c r="T19" i="111"/>
  <c r="T20" i="111"/>
  <c r="T21" i="111"/>
  <c r="U10" i="111"/>
  <c r="E106" i="111"/>
  <c r="AA18" i="111"/>
  <c r="AA20" i="111"/>
  <c r="AA21" i="111"/>
  <c r="L106" i="111"/>
  <c r="AB10" i="111"/>
  <c r="AD35" i="108"/>
  <c r="AD38" i="108"/>
  <c r="U40" i="108"/>
  <c r="U37" i="108"/>
  <c r="U41" i="108"/>
  <c r="U34" i="108"/>
  <c r="W39" i="108"/>
  <c r="W36" i="108"/>
  <c r="AB38" i="108"/>
  <c r="AB35" i="108"/>
  <c r="W39" i="107"/>
  <c r="W36" i="107"/>
  <c r="T40" i="107"/>
  <c r="T34" i="107"/>
  <c r="T41" i="107"/>
  <c r="T42" i="107" s="1"/>
  <c r="T37" i="107"/>
  <c r="AB40" i="107"/>
  <c r="AB37" i="107"/>
  <c r="AB34" i="107"/>
  <c r="AB41" i="107"/>
  <c r="AB42" i="107" s="1"/>
  <c r="AD35" i="107"/>
  <c r="AD38" i="107"/>
  <c r="T36" i="108"/>
  <c r="T39" i="108"/>
  <c r="X38" i="107"/>
  <c r="X35" i="107"/>
  <c r="U38" i="107"/>
  <c r="AD41" i="108"/>
  <c r="AD40" i="108"/>
  <c r="AD37" i="108"/>
  <c r="AD34" i="108"/>
  <c r="AA35" i="108"/>
  <c r="AA38" i="108"/>
  <c r="S40" i="108"/>
  <c r="S37" i="108"/>
  <c r="S34" i="108"/>
  <c r="AC38" i="107"/>
  <c r="W37" i="108"/>
  <c r="X35" i="108"/>
  <c r="V35" i="107"/>
  <c r="V38" i="107"/>
  <c r="AF36" i="107"/>
  <c r="AF39" i="107"/>
  <c r="T38" i="111"/>
  <c r="T35" i="111"/>
  <c r="AA35" i="111"/>
  <c r="AA38" i="111"/>
  <c r="Y15" i="111"/>
  <c r="Y38" i="111" s="1"/>
  <c r="S10" i="111"/>
  <c r="C106" i="111"/>
  <c r="X40" i="107"/>
  <c r="X37" i="107"/>
  <c r="X41" i="107"/>
  <c r="X34" i="107"/>
  <c r="T38" i="107"/>
  <c r="T35" i="107"/>
  <c r="AB36" i="107"/>
  <c r="AB39" i="107"/>
  <c r="AF15" i="107"/>
  <c r="AE11" i="107"/>
  <c r="AE13" i="107"/>
  <c r="AE21" i="108"/>
  <c r="AF21" i="108"/>
  <c r="AF14" i="108"/>
  <c r="AE11" i="108"/>
  <c r="AE15" i="108"/>
  <c r="AE17" i="108"/>
  <c r="AF13" i="108"/>
  <c r="S15" i="111"/>
  <c r="S16" i="111"/>
  <c r="AC17" i="111"/>
  <c r="AC19" i="111"/>
  <c r="AB11" i="111"/>
  <c r="AB12" i="111"/>
  <c r="Z13" i="111"/>
  <c r="Z14" i="111"/>
  <c r="Z15" i="111"/>
  <c r="Z16" i="111"/>
  <c r="Z17" i="111"/>
  <c r="Z18" i="111"/>
  <c r="Z19" i="11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Y10" i="111"/>
  <c r="I106" i="111"/>
  <c r="S17" i="111"/>
  <c r="S18" i="111"/>
  <c r="AC20" i="111"/>
  <c r="AC36" i="111" s="1"/>
  <c r="X36" i="108"/>
  <c r="X39" i="108"/>
  <c r="V35" i="108"/>
  <c r="V38" i="108"/>
  <c r="AA37" i="107"/>
  <c r="S38" i="107"/>
  <c r="S35" i="107"/>
  <c r="AA36" i="107"/>
  <c r="AA39" i="107"/>
  <c r="Z39" i="108"/>
  <c r="Z36" i="108"/>
  <c r="W40" i="108"/>
  <c r="W41" i="108"/>
  <c r="W34" i="108"/>
  <c r="AB38" i="107"/>
  <c r="AB35" i="107"/>
  <c r="T36" i="107"/>
  <c r="T39" i="107"/>
  <c r="Y40" i="107"/>
  <c r="Y41" i="107"/>
  <c r="Y42" i="107" s="1"/>
  <c r="Y34" i="107"/>
  <c r="Y37" i="107"/>
  <c r="U35" i="107"/>
  <c r="Y38" i="107"/>
  <c r="Z35" i="107"/>
  <c r="Z38" i="107"/>
  <c r="AB36" i="108"/>
  <c r="AB39" i="108"/>
  <c r="V39" i="108"/>
  <c r="V36" i="108"/>
  <c r="U39" i="107"/>
  <c r="AD40" i="107"/>
  <c r="AD37" i="107"/>
  <c r="AD41" i="107"/>
  <c r="AD34" i="107"/>
  <c r="U35" i="108"/>
  <c r="AE10" i="107"/>
  <c r="O106" i="107"/>
  <c r="AE13" i="108"/>
  <c r="AF17" i="108"/>
  <c r="Y35" i="111"/>
  <c r="Y16" i="111"/>
  <c r="S36" i="107"/>
  <c r="S39" i="107"/>
  <c r="AF17" i="107"/>
  <c r="AE16" i="107"/>
  <c r="AE17" i="107"/>
  <c r="AF13" i="107"/>
  <c r="AF12" i="108"/>
  <c r="AE19" i="108"/>
  <c r="AE12" i="108"/>
  <c r="AF19" i="108"/>
  <c r="O106" i="108"/>
  <c r="AE10" i="108"/>
  <c r="W10" i="111"/>
  <c r="G106" i="111"/>
  <c r="U11" i="111"/>
  <c r="U12" i="111"/>
  <c r="U13" i="111"/>
  <c r="W14" i="111"/>
  <c r="U15" i="111"/>
  <c r="S21" i="111"/>
  <c r="V10" i="111"/>
  <c r="F106" i="111"/>
  <c r="AB13" i="111"/>
  <c r="AD14" i="111"/>
  <c r="AD15" i="111"/>
  <c r="AD16" i="111"/>
  <c r="AD17" i="111"/>
  <c r="AD18" i="111"/>
  <c r="AD19" i="111"/>
  <c r="AD20" i="111"/>
  <c r="AD21" i="111"/>
  <c r="W11" i="111"/>
  <c r="W37" i="111" s="1"/>
  <c r="W12" i="111"/>
  <c r="W13" i="111"/>
  <c r="U14" i="111"/>
  <c r="U16" i="111"/>
  <c r="X11" i="111"/>
  <c r="Z12" i="111"/>
  <c r="AD13" i="111"/>
  <c r="AB14" i="111"/>
  <c r="AB15" i="111"/>
  <c r="AB16" i="111"/>
  <c r="AB17" i="111"/>
  <c r="AB18" i="111"/>
  <c r="AB19" i="111"/>
  <c r="AB20" i="111"/>
  <c r="AB21" i="111"/>
  <c r="AC10" i="111"/>
  <c r="M106" i="111"/>
  <c r="U17" i="111"/>
  <c r="U18" i="111"/>
  <c r="U19" i="111"/>
  <c r="U39" i="111" s="1"/>
  <c r="S20" i="111"/>
  <c r="S36" i="111" s="1"/>
  <c r="W21" i="111"/>
  <c r="T10" i="111"/>
  <c r="D106" i="111"/>
  <c r="Y38" i="108"/>
  <c r="V34" i="108"/>
  <c r="V40" i="108"/>
  <c r="V37" i="108"/>
  <c r="V41" i="108"/>
  <c r="V42" i="108" s="1"/>
  <c r="W38" i="108"/>
  <c r="W35" i="108"/>
  <c r="W38" i="107"/>
  <c r="W35" i="107"/>
  <c r="AC39" i="107"/>
  <c r="Z41" i="107"/>
  <c r="Z37" i="107"/>
  <c r="Z34" i="107"/>
  <c r="Z40" i="107"/>
  <c r="AA40" i="108"/>
  <c r="AA34" i="108"/>
  <c r="AA41" i="108"/>
  <c r="AA42" i="108" s="1"/>
  <c r="AD39" i="107"/>
  <c r="AD36" i="107"/>
  <c r="S40" i="107"/>
  <c r="S41" i="107"/>
  <c r="S34" i="107"/>
  <c r="S41" i="108"/>
  <c r="S42" i="108" s="1"/>
  <c r="AC38" i="108"/>
  <c r="Y36" i="108"/>
  <c r="AB40" i="108"/>
  <c r="AB34" i="108"/>
  <c r="AB41" i="108"/>
  <c r="AB42" i="108" s="1"/>
  <c r="AB37" i="108"/>
  <c r="X36" i="107"/>
  <c r="X39" i="107"/>
  <c r="U41" i="107"/>
  <c r="U37" i="107"/>
  <c r="U34" i="107"/>
  <c r="U40" i="107"/>
  <c r="Y35" i="107"/>
  <c r="Y39" i="107"/>
  <c r="V37" i="107"/>
  <c r="V41" i="107"/>
  <c r="V42" i="107" s="1"/>
  <c r="V34" i="107"/>
  <c r="V40" i="107"/>
  <c r="T40" i="108"/>
  <c r="T41" i="108"/>
  <c r="T42" i="108" s="1"/>
  <c r="T34" i="108"/>
  <c r="T37" i="108"/>
  <c r="Y34" i="108"/>
  <c r="Y37" i="108"/>
  <c r="Y41" i="108"/>
  <c r="Y40" i="108"/>
  <c r="T38" i="108"/>
  <c r="T35" i="108"/>
  <c r="X40" i="108"/>
  <c r="X37" i="108"/>
  <c r="X41" i="108"/>
  <c r="X34" i="108"/>
  <c r="AC36" i="107"/>
  <c r="V39" i="107"/>
  <c r="V36" i="107"/>
  <c r="W40" i="107"/>
  <c r="W37" i="107"/>
  <c r="W34" i="107"/>
  <c r="W41" i="107"/>
  <c r="X42" i="109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AE21" i="111" s="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AF16" i="111" s="1"/>
  <c r="P35" i="111"/>
  <c r="O36" i="111"/>
  <c r="P37" i="111"/>
  <c r="O38" i="111"/>
  <c r="AE17" i="111" s="1"/>
  <c r="O41" i="111"/>
  <c r="P42" i="111"/>
  <c r="P45" i="111"/>
  <c r="O46" i="111"/>
  <c r="AE19" i="111" s="1"/>
  <c r="O48" i="111"/>
  <c r="O50" i="111"/>
  <c r="O51" i="111"/>
  <c r="O53" i="111"/>
  <c r="P55" i="111"/>
  <c r="O56" i="111"/>
  <c r="P57" i="111"/>
  <c r="P14" i="111"/>
  <c r="AF11" i="111" s="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AF12" i="111" s="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E18" i="111" l="1"/>
  <c r="AF10" i="111"/>
  <c r="P106" i="111"/>
  <c r="Y42" i="108"/>
  <c r="S42" i="107"/>
  <c r="AB36" i="111"/>
  <c r="AB39" i="111"/>
  <c r="AD39" i="111"/>
  <c r="AD36" i="111"/>
  <c r="V34" i="111"/>
  <c r="V40" i="111"/>
  <c r="V42" i="111" s="1"/>
  <c r="V41" i="111"/>
  <c r="V37" i="111"/>
  <c r="AE40" i="107"/>
  <c r="AE37" i="107"/>
  <c r="AE34" i="107"/>
  <c r="AE41" i="107"/>
  <c r="W42" i="108"/>
  <c r="X36" i="111"/>
  <c r="X39" i="111"/>
  <c r="S41" i="111"/>
  <c r="AC39" i="111"/>
  <c r="AF38" i="108"/>
  <c r="AF35" i="108"/>
  <c r="AB40" i="111"/>
  <c r="AB37" i="111"/>
  <c r="AB34" i="111"/>
  <c r="AB41" i="111"/>
  <c r="V39" i="111"/>
  <c r="V36" i="111"/>
  <c r="Z37" i="111"/>
  <c r="Z34" i="111"/>
  <c r="Z40" i="111"/>
  <c r="Z41" i="111"/>
  <c r="Z42" i="111" s="1"/>
  <c r="AF13" i="111"/>
  <c r="AF20" i="111"/>
  <c r="AF15" i="111"/>
  <c r="AE11" i="111"/>
  <c r="AE16" i="111"/>
  <c r="AF19" i="111"/>
  <c r="AC41" i="111"/>
  <c r="AC34" i="111"/>
  <c r="AC40" i="111"/>
  <c r="AC37" i="111"/>
  <c r="AF36" i="108"/>
  <c r="AF39" i="108"/>
  <c r="AF38" i="107"/>
  <c r="AF35" i="107"/>
  <c r="Y41" i="111"/>
  <c r="Y42" i="111" s="1"/>
  <c r="Y37" i="111"/>
  <c r="Y34" i="111"/>
  <c r="Y40" i="111"/>
  <c r="Z35" i="111"/>
  <c r="Z38" i="111"/>
  <c r="T36" i="111"/>
  <c r="T39" i="111"/>
  <c r="AC38" i="111"/>
  <c r="U36" i="111"/>
  <c r="AE20" i="111"/>
  <c r="AE36" i="111" s="1"/>
  <c r="AF18" i="111"/>
  <c r="AE15" i="111"/>
  <c r="AF17" i="111"/>
  <c r="AF14" i="111"/>
  <c r="U42" i="107"/>
  <c r="T40" i="111"/>
  <c r="T41" i="111"/>
  <c r="T42" i="111" s="1"/>
  <c r="T37" i="111"/>
  <c r="T34" i="111"/>
  <c r="AD35" i="111"/>
  <c r="AD38" i="111"/>
  <c r="U38" i="111"/>
  <c r="AB38" i="111"/>
  <c r="AB35" i="111"/>
  <c r="S39" i="111"/>
  <c r="U35" i="111"/>
  <c r="W40" i="111"/>
  <c r="W41" i="111"/>
  <c r="W42" i="111" s="1"/>
  <c r="W34" i="111"/>
  <c r="AE38" i="108"/>
  <c r="AE35" i="108"/>
  <c r="X38" i="111"/>
  <c r="X35" i="111"/>
  <c r="S35" i="111"/>
  <c r="S38" i="111"/>
  <c r="U34" i="111"/>
  <c r="U37" i="111"/>
  <c r="U40" i="111"/>
  <c r="U41" i="111"/>
  <c r="U42" i="111" s="1"/>
  <c r="V35" i="111"/>
  <c r="V38" i="111"/>
  <c r="AD41" i="111"/>
  <c r="AD37" i="111"/>
  <c r="AD40" i="111"/>
  <c r="AD42" i="111" s="1"/>
  <c r="AD34" i="111"/>
  <c r="AC35" i="111"/>
  <c r="AC42" i="107"/>
  <c r="Z42" i="108"/>
  <c r="W36" i="111"/>
  <c r="W39" i="111"/>
  <c r="AA40" i="111"/>
  <c r="AA34" i="111"/>
  <c r="AA41" i="111"/>
  <c r="AA42" i="111" s="1"/>
  <c r="AA37" i="111"/>
  <c r="AE10" i="111"/>
  <c r="O106" i="111"/>
  <c r="AF21" i="111"/>
  <c r="AE14" i="111"/>
  <c r="AE13" i="111"/>
  <c r="W42" i="107"/>
  <c r="X42" i="108"/>
  <c r="Z42" i="107"/>
  <c r="W38" i="111"/>
  <c r="W35" i="111"/>
  <c r="AE40" i="108"/>
  <c r="AE34" i="108"/>
  <c r="AE37" i="108"/>
  <c r="AE41" i="108"/>
  <c r="AE36" i="108"/>
  <c r="AE39" i="108"/>
  <c r="AD42" i="107"/>
  <c r="Z39" i="111"/>
  <c r="Z36" i="111"/>
  <c r="AE38" i="107"/>
  <c r="AE35" i="107"/>
  <c r="X42" i="107"/>
  <c r="S40" i="111"/>
  <c r="S37" i="111"/>
  <c r="S34" i="111"/>
  <c r="AD42" i="108"/>
  <c r="U42" i="108"/>
  <c r="AA39" i="111"/>
  <c r="AA36" i="111"/>
  <c r="AF40" i="108"/>
  <c r="AF41" i="108"/>
  <c r="AF42" i="108" s="1"/>
  <c r="AF34" i="108"/>
  <c r="AF37" i="108"/>
  <c r="AE36" i="107"/>
  <c r="AE39" i="107"/>
  <c r="AF40" i="107"/>
  <c r="AF41" i="107"/>
  <c r="AF42" i="107" s="1"/>
  <c r="AF34" i="107"/>
  <c r="AF37" i="107"/>
  <c r="X40" i="111"/>
  <c r="X41" i="111"/>
  <c r="X42" i="111" s="1"/>
  <c r="X37" i="111"/>
  <c r="X34" i="111"/>
  <c r="K108" i="111"/>
  <c r="N107" i="111"/>
  <c r="K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2" i="108" l="1"/>
  <c r="S42" i="111"/>
  <c r="AE42" i="107"/>
  <c r="AF40" i="111"/>
  <c r="AF37" i="111"/>
  <c r="AF34" i="111"/>
  <c r="AF41" i="111"/>
  <c r="AE38" i="111"/>
  <c r="AE35" i="111"/>
  <c r="AE40" i="111"/>
  <c r="AE34" i="111"/>
  <c r="AE37" i="111"/>
  <c r="AE41" i="111"/>
  <c r="AE42" i="111" s="1"/>
  <c r="AF36" i="111"/>
  <c r="AF39" i="111"/>
  <c r="AB42" i="111"/>
  <c r="AE39" i="111"/>
  <c r="AC42" i="111"/>
  <c r="AF38" i="111"/>
  <c r="AF35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F42" i="111" l="1"/>
</calcChain>
</file>

<file path=xl/sharedStrings.xml><?xml version="1.0" encoding="utf-8"?>
<sst xmlns="http://schemas.openxmlformats.org/spreadsheetml/2006/main" count="2324" uniqueCount="176">
  <si>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</si>
  <si>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</si>
  <si>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</si>
  <si>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</si>
  <si>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</si>
  <si>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</si>
  <si>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</si>
  <si>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</si>
  <si>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</si>
  <si>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</si>
  <si>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</si>
  <si>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</si>
  <si>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</si>
  <si>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</si>
  <si>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</si>
  <si>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</si>
  <si>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</si>
  <si>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</si>
  <si>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</si>
  <si>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</si>
  <si>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</si>
  <si>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</si>
  <si>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</si>
  <si>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</si>
  <si>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</si>
  <si>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</si>
  <si>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</si>
  <si>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</si>
  <si>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</si>
  <si>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</si>
  <si>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</si>
  <si>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</si>
  <si>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</si>
  <si>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</si>
  <si>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</si>
  <si>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</si>
  <si>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</si>
  <si>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</si>
  <si>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</si>
  <si>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</si>
  <si>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</si>
  <si>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</si>
  <si>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</si>
  <si>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</si>
  <si>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</si>
  <si>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</si>
  <si>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</si>
  <si>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</si>
  <si>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</si>
  <si>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</si>
  <si>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</si>
  <si>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</si>
  <si>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</si>
  <si>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</si>
  <si>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</si>
  <si>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</si>
  <si>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</si>
  <si>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</si>
  <si>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</si>
  <si>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</si>
  <si>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</si>
  <si>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</si>
  <si>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</si>
  <si>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</si>
  <si>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</si>
  <si>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</si>
  <si>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</si>
  <si>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</si>
  <si>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</si>
  <si>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</si>
  <si>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</si>
  <si>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</si>
  <si>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</si>
  <si>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</si>
  <si>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</si>
  <si>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</si>
  <si>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</si>
  <si>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</si>
  <si>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</si>
  <si>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</si>
  <si>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</si>
  <si>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</si>
  <si>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</si>
  <si>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</si>
  <si>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</si>
  <si>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</si>
  <si>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</si>
  <si>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</si>
  <si>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</si>
  <si>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</si>
  <si>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</si>
  <si>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</si>
  <si>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</si>
  <si>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</si>
  <si>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</si>
  <si>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</si>
  <si>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</si>
  <si>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</si>
  <si>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</si>
  <si>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</si>
  <si>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</si>
  <si>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</si>
  <si>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</si>
  <si>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</si>
  <si>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</si>
  <si>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</si>
  <si>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</si>
  <si>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</si>
  <si>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</si>
  <si>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</si>
  <si>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</si>
  <si>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</si>
  <si>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</si>
  <si>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</si>
  <si>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</si>
  <si>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</si>
  <si>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</si>
  <si>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</si>
  <si>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</si>
  <si>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</si>
  <si>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</si>
  <si>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</si>
  <si>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</si>
  <si>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</si>
  <si>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</si>
  <si>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</si>
  <si>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</si>
  <si>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</si>
  <si>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</si>
  <si>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</si>
  <si>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</si>
  <si>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</si>
  <si>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</si>
  <si>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</si>
  <si>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</si>
  <si>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</si>
  <si>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</si>
  <si>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</si>
  <si>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</si>
  <si>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</si>
  <si>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</si>
  <si>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</si>
  <si>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</si>
  <si>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</si>
  <si>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</si>
  <si>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</si>
  <si>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</si>
  <si>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</si>
  <si>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</si>
  <si>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</si>
  <si>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</si>
  <si>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</si>
  <si>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</si>
  <si>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</si>
  <si>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</si>
  <si>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</si>
  <si>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</si>
  <si>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</si>
  <si>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</si>
  <si>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</si>
  <si>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</si>
  <si>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</si>
  <si>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</si>
  <si>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</si>
  <si>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MCC - C5 - STN128 - KOBOKO-YUMBE</t>
  </si>
  <si>
    <t>31.07.19</t>
  </si>
  <si>
    <t>Koboko</t>
  </si>
  <si>
    <t>Yumbe</t>
  </si>
  <si>
    <t>Umbachi</t>
  </si>
  <si>
    <t>01.08.19</t>
  </si>
  <si>
    <t>02.08.19</t>
  </si>
  <si>
    <t>03.08.19</t>
  </si>
  <si>
    <t>04.08.19</t>
  </si>
  <si>
    <t>05.08.19</t>
  </si>
  <si>
    <t>06.08.19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</si>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</sst>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1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" fontId="1" fillId="0" borderId="0" xfId="0" applyNumberFormat="1" applyFont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Koboko-Yumbe'!$AE$9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Koboko-Yumbe'!$R$10:$R$21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Koboko-Yumbe'!$AE$10:$AE$21</c:f>
              <c:numCache>
                <c:formatCode>0</c:formatCode>
                <c:ptCount val="12"/>
                <c:pt idx="0">
                  <c:v>15</c:v>
                </c:pt>
                <c:pt idx="1">
                  <c:v>20</c:v>
                </c:pt>
                <c:pt idx="2">
                  <c:v>30</c:v>
                </c:pt>
                <c:pt idx="3">
                  <c:v>38</c:v>
                </c:pt>
                <c:pt idx="4">
                  <c:v>24</c:v>
                </c:pt>
                <c:pt idx="5">
                  <c:v>23</c:v>
                </c:pt>
                <c:pt idx="6">
                  <c:v>19</c:v>
                </c:pt>
                <c:pt idx="7">
                  <c:v>17</c:v>
                </c:pt>
                <c:pt idx="8">
                  <c:v>27</c:v>
                </c:pt>
                <c:pt idx="9">
                  <c:v>20</c:v>
                </c:pt>
                <c:pt idx="10">
                  <c:v>14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'31.07 Koboko-Yumbe'!$AF$9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Koboko-Yumbe'!$R$10:$R$21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Koboko-Yumbe'!$AF$10:$AF$21</c:f>
              <c:numCache>
                <c:formatCode>0</c:formatCode>
                <c:ptCount val="12"/>
                <c:pt idx="0">
                  <c:v>124</c:v>
                </c:pt>
                <c:pt idx="1">
                  <c:v>172</c:v>
                </c:pt>
                <c:pt idx="2">
                  <c:v>179</c:v>
                </c:pt>
                <c:pt idx="3">
                  <c:v>167</c:v>
                </c:pt>
                <c:pt idx="4">
                  <c:v>177</c:v>
                </c:pt>
                <c:pt idx="5">
                  <c:v>225</c:v>
                </c:pt>
                <c:pt idx="6">
                  <c:v>142</c:v>
                </c:pt>
                <c:pt idx="7">
                  <c:v>124</c:v>
                </c:pt>
                <c:pt idx="8">
                  <c:v>188</c:v>
                </c:pt>
                <c:pt idx="9">
                  <c:v>178</c:v>
                </c:pt>
                <c:pt idx="10">
                  <c:v>181</c:v>
                </c:pt>
                <c:pt idx="11">
                  <c:v>243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8283504"/>
        <c:axId val="244712664"/>
      </c:lineChart>
      <c:catAx>
        <c:axId val="3882835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4712664"/>
        <c:crosses val="autoZero"/>
        <c:auto val="1"/>
        <c:lblAlgn val="ctr"/>
        <c:lblOffset val="100"/>
        <c:noMultiLvlLbl val="0"/>
      </c:catAx>
      <c:valAx>
        <c:axId val="2447126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8828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Koboko-Yumbe'!$C$9:$N$9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Koboko-Yumbe'!$C$59:$N$59</c:f>
              <c:numCache>
                <c:formatCode>0.0%</c:formatCode>
                <c:ptCount val="12"/>
                <c:pt idx="0">
                  <c:v>7.0000000000000007E-2</c:v>
                </c:pt>
                <c:pt idx="1">
                  <c:v>5.2380952380952379E-3</c:v>
                </c:pt>
                <c:pt idx="2">
                  <c:v>3.0952380952380953E-2</c:v>
                </c:pt>
                <c:pt idx="3">
                  <c:v>4.7619047619047623E-3</c:v>
                </c:pt>
                <c:pt idx="4">
                  <c:v>2.3809523809523812E-3</c:v>
                </c:pt>
                <c:pt idx="5">
                  <c:v>9.5238095238095238E-4</c:v>
                </c:pt>
                <c:pt idx="6">
                  <c:v>1.0952380952380953E-2</c:v>
                </c:pt>
                <c:pt idx="7">
                  <c:v>3.8095238095238095E-3</c:v>
                </c:pt>
                <c:pt idx="8">
                  <c:v>9.5238095238095238E-4</c:v>
                </c:pt>
                <c:pt idx="9">
                  <c:v>2.8571428571428571E-3</c:v>
                </c:pt>
                <c:pt idx="10">
                  <c:v>0.86619047619047618</c:v>
                </c:pt>
                <c:pt idx="11">
                  <c:v>9.5238095238095238E-4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Koboko-Yumbe'!$C$9:$N$9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Koboko-Yumbe'!$C$60:$N$60</c:f>
              <c:numCache>
                <c:formatCode>0.00%</c:formatCode>
                <c:ptCount val="12"/>
                <c:pt idx="0">
                  <c:v>0.52313167259786475</c:v>
                </c:pt>
                <c:pt idx="1">
                  <c:v>3.9145907473309607E-2</c:v>
                </c:pt>
                <c:pt idx="2">
                  <c:v>0.23131672597864769</c:v>
                </c:pt>
                <c:pt idx="3">
                  <c:v>3.5587188612099648E-2</c:v>
                </c:pt>
                <c:pt idx="4">
                  <c:v>1.7793594306049824E-2</c:v>
                </c:pt>
                <c:pt idx="5">
                  <c:v>7.1174377224199285E-3</c:v>
                </c:pt>
                <c:pt idx="6">
                  <c:v>8.1850533807829182E-2</c:v>
                </c:pt>
                <c:pt idx="7">
                  <c:v>2.8469750889679714E-2</c:v>
                </c:pt>
                <c:pt idx="8">
                  <c:v>7.1174377224199285E-3</c:v>
                </c:pt>
                <c:pt idx="9">
                  <c:v>2.1352313167259787E-2</c:v>
                </c:pt>
                <c:pt idx="11">
                  <c:v>7.1174377224199285E-3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Yumbe-Koboko'!$AE$9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Yumbe-Koboko'!$AE$10:$AE$21</c:f>
              <c:numCache>
                <c:formatCode>0</c:formatCode>
                <c:ptCount val="12"/>
                <c:pt idx="0">
                  <c:v>21</c:v>
                </c:pt>
                <c:pt idx="1">
                  <c:v>24</c:v>
                </c:pt>
                <c:pt idx="2">
                  <c:v>20</c:v>
                </c:pt>
                <c:pt idx="3">
                  <c:v>33</c:v>
                </c:pt>
                <c:pt idx="4">
                  <c:v>18</c:v>
                </c:pt>
                <c:pt idx="5">
                  <c:v>25</c:v>
                </c:pt>
                <c:pt idx="6">
                  <c:v>20</c:v>
                </c:pt>
                <c:pt idx="7">
                  <c:v>23</c:v>
                </c:pt>
                <c:pt idx="8">
                  <c:v>25</c:v>
                </c:pt>
                <c:pt idx="9">
                  <c:v>34</c:v>
                </c:pt>
                <c:pt idx="10">
                  <c:v>28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'31.07 Yumbe-Koboko'!$AF$9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Yumbe-Koboko'!$AF$10:$AF$21</c:f>
              <c:numCache>
                <c:formatCode>0</c:formatCode>
                <c:ptCount val="12"/>
                <c:pt idx="0">
                  <c:v>138</c:v>
                </c:pt>
                <c:pt idx="1">
                  <c:v>186</c:v>
                </c:pt>
                <c:pt idx="2">
                  <c:v>208</c:v>
                </c:pt>
                <c:pt idx="3">
                  <c:v>202</c:v>
                </c:pt>
                <c:pt idx="4">
                  <c:v>165</c:v>
                </c:pt>
                <c:pt idx="5">
                  <c:v>174</c:v>
                </c:pt>
                <c:pt idx="6">
                  <c:v>132</c:v>
                </c:pt>
                <c:pt idx="7">
                  <c:v>122</c:v>
                </c:pt>
                <c:pt idx="8">
                  <c:v>171</c:v>
                </c:pt>
                <c:pt idx="9">
                  <c:v>129</c:v>
                </c:pt>
                <c:pt idx="10">
                  <c:v>177</c:v>
                </c:pt>
                <c:pt idx="11">
                  <c:v>205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4711880"/>
        <c:axId val="244714624"/>
      </c:lineChart>
      <c:catAx>
        <c:axId val="244711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4714624"/>
        <c:crosses val="autoZero"/>
        <c:auto val="1"/>
        <c:lblAlgn val="ctr"/>
        <c:lblOffset val="100"/>
        <c:noMultiLvlLbl val="0"/>
      </c:catAx>
      <c:valAx>
        <c:axId val="2447146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44711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Yumbe-Koboko'!$C$59:$N$59</c:f>
              <c:numCache>
                <c:formatCode>0.0%</c:formatCode>
                <c:ptCount val="12"/>
                <c:pt idx="0">
                  <c:v>8.1134892981582871E-2</c:v>
                </c:pt>
                <c:pt idx="1">
                  <c:v>1.9910403185664509E-3</c:v>
                </c:pt>
                <c:pt idx="2">
                  <c:v>3.6834245893479341E-2</c:v>
                </c:pt>
                <c:pt idx="3">
                  <c:v>6.9686411149825784E-3</c:v>
                </c:pt>
                <c:pt idx="4">
                  <c:v>2.9865604778496766E-3</c:v>
                </c:pt>
                <c:pt idx="5">
                  <c:v>2.4888003982080635E-3</c:v>
                </c:pt>
                <c:pt idx="6">
                  <c:v>1.1946241911398706E-2</c:v>
                </c:pt>
                <c:pt idx="7">
                  <c:v>2.4888003982080635E-3</c:v>
                </c:pt>
                <c:pt idx="8">
                  <c:v>4.9776007964161273E-4</c:v>
                </c:pt>
                <c:pt idx="9">
                  <c:v>9.9552015928322545E-4</c:v>
                </c:pt>
                <c:pt idx="10">
                  <c:v>0.85067197610751621</c:v>
                </c:pt>
                <c:pt idx="11">
                  <c:v>9.9552015928322545E-4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Yumbe-Koboko'!$S$9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Yumbe-Koboko'!$S$10:$S$21</c:f>
              <c:numCache>
                <c:formatCode>0</c:formatCode>
                <c:ptCount val="12"/>
                <c:pt idx="0">
                  <c:v>13</c:v>
                </c:pt>
                <c:pt idx="1">
                  <c:v>13</c:v>
                </c:pt>
                <c:pt idx="2">
                  <c:v>11</c:v>
                </c:pt>
                <c:pt idx="3">
                  <c:v>19</c:v>
                </c:pt>
                <c:pt idx="4">
                  <c:v>8</c:v>
                </c:pt>
                <c:pt idx="5">
                  <c:v>11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16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'31.07 Yumbe-Koboko'!$T$9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Yumbe-Koboko'!$T$10:$T$21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'31.07 Yumbe-Koboko'!$U$9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Yumbe-Koboko'!$U$10:$U$21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9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6</c:v>
                </c:pt>
                <c:pt idx="9">
                  <c:v>8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'31.07 Yumbe-Koboko'!$V$9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Yumbe-Koboko'!$V$10:$V$21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6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'31.07 Yumbe-Koboko'!$W$9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Yumbe-Koboko'!$W$10:$W$21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'31.07 Yumbe-Koboko'!$X$9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Yumbe-Koboko'!$X$10:$X$21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'31.07 Yumbe-Koboko'!$Y$9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Yumbe-Koboko'!$Y$10:$Y$21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'31.07 Yumbe-Koboko'!$Z$9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Yumbe-Koboko'!$Z$10:$Z$21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'31.07 Yumbe-Koboko'!$AA$9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Yumbe-Koboko'!$AA$10:$AA$21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'31.07 Yumbe-Koboko'!$AB$9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Yumbe-Koboko'!$AB$10:$AB$21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'31.07 Yumbe-Koboko'!$AC$9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Yumbe-Koboko'!$AC$10:$AC$21</c:f>
              <c:numCache>
                <c:formatCode>0</c:formatCode>
                <c:ptCount val="12"/>
                <c:pt idx="0">
                  <c:v>117</c:v>
                </c:pt>
                <c:pt idx="1">
                  <c:v>162</c:v>
                </c:pt>
                <c:pt idx="2">
                  <c:v>188</c:v>
                </c:pt>
                <c:pt idx="3">
                  <c:v>169</c:v>
                </c:pt>
                <c:pt idx="4">
                  <c:v>147</c:v>
                </c:pt>
                <c:pt idx="5">
                  <c:v>149</c:v>
                </c:pt>
                <c:pt idx="6">
                  <c:v>112</c:v>
                </c:pt>
                <c:pt idx="7">
                  <c:v>99</c:v>
                </c:pt>
                <c:pt idx="8">
                  <c:v>146</c:v>
                </c:pt>
                <c:pt idx="9">
                  <c:v>95</c:v>
                </c:pt>
                <c:pt idx="10">
                  <c:v>149</c:v>
                </c:pt>
                <c:pt idx="11">
                  <c:v>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'31.07 Yumbe-Koboko'!$AD$9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Yumbe-Koboko'!$AD$10:$AD$21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5940176"/>
        <c:axId val="255940960"/>
      </c:lineChart>
      <c:catAx>
        <c:axId val="255940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55940960"/>
        <c:crosses val="autoZero"/>
        <c:auto val="1"/>
        <c:lblAlgn val="ctr"/>
        <c:lblOffset val="100"/>
        <c:noMultiLvlLbl val="0"/>
      </c:catAx>
      <c:valAx>
        <c:axId val="25594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5594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Yumbe-Koboko'!$C$60:$N$60</c:f>
              <c:numCache>
                <c:formatCode>0.00%</c:formatCode>
                <c:ptCount val="12"/>
                <c:pt idx="0">
                  <c:v>0.54333333333333333</c:v>
                </c:pt>
                <c:pt idx="1">
                  <c:v>1.3333333333333334E-2</c:v>
                </c:pt>
                <c:pt idx="2">
                  <c:v>0.24666666666666667</c:v>
                </c:pt>
                <c:pt idx="3">
                  <c:v>4.6666666666666669E-2</c:v>
                </c:pt>
                <c:pt idx="4">
                  <c:v>0.02</c:v>
                </c:pt>
                <c:pt idx="5">
                  <c:v>1.6666666666666666E-2</c:v>
                </c:pt>
                <c:pt idx="6">
                  <c:v>0.08</c:v>
                </c:pt>
                <c:pt idx="7">
                  <c:v>1.6666666666666666E-2</c:v>
                </c:pt>
                <c:pt idx="8">
                  <c:v>3.3333333333333335E-3</c:v>
                </c:pt>
                <c:pt idx="9">
                  <c:v>6.6666666666666671E-3</c:v>
                </c:pt>
                <c:pt idx="11">
                  <c:v>6.6666666666666671E-3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Koboko-Yumbe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Koboko-Yumbe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Koboko-Yumbe '!$AE$10:$AE$21</c:f>
              <c:numCache>
                <c:formatCode>0</c:formatCode>
                <c:ptCount val="12"/>
                <c:pt idx="0">
                  <c:v>11</c:v>
                </c:pt>
                <c:pt idx="1">
                  <c:v>59</c:v>
                </c:pt>
                <c:pt idx="2">
                  <c:v>39</c:v>
                </c:pt>
                <c:pt idx="3">
                  <c:v>25</c:v>
                </c:pt>
                <c:pt idx="4">
                  <c:v>10</c:v>
                </c:pt>
                <c:pt idx="5">
                  <c:v>26</c:v>
                </c:pt>
                <c:pt idx="6">
                  <c:v>17</c:v>
                </c:pt>
                <c:pt idx="7">
                  <c:v>11</c:v>
                </c:pt>
                <c:pt idx="8">
                  <c:v>14</c:v>
                </c:pt>
                <c:pt idx="9">
                  <c:v>17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'01.08 Koboko-Yumbe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Koboko-Yumbe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Koboko-Yumbe '!$AF$10:$AF$21</c:f>
              <c:numCache>
                <c:formatCode>0</c:formatCode>
                <c:ptCount val="12"/>
                <c:pt idx="0">
                  <c:v>29</c:v>
                </c:pt>
                <c:pt idx="1">
                  <c:v>85</c:v>
                </c:pt>
                <c:pt idx="2">
                  <c:v>70</c:v>
                </c:pt>
                <c:pt idx="3">
                  <c:v>40</c:v>
                </c:pt>
                <c:pt idx="4">
                  <c:v>34</c:v>
                </c:pt>
                <c:pt idx="5">
                  <c:v>40</c:v>
                </c:pt>
                <c:pt idx="6">
                  <c:v>31</c:v>
                </c:pt>
                <c:pt idx="7">
                  <c:v>28</c:v>
                </c:pt>
                <c:pt idx="8">
                  <c:v>22</c:v>
                </c:pt>
                <c:pt idx="9">
                  <c:v>28</c:v>
                </c:pt>
                <c:pt idx="10">
                  <c:v>31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9645728"/>
        <c:axId val="299635144"/>
      </c:lineChart>
      <c:catAx>
        <c:axId val="299645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9635144"/>
        <c:crosses val="autoZero"/>
        <c:auto val="1"/>
        <c:lblAlgn val="ctr"/>
        <c:lblOffset val="100"/>
        <c:noMultiLvlLbl val="0"/>
      </c:catAx>
      <c:valAx>
        <c:axId val="2996351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96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Koboko-Yumbe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Koboko-Yumbe '!$C$59:$N$59</c:f>
              <c:numCache>
                <c:formatCode>0.0%</c:formatCode>
                <c:ptCount val="12"/>
                <c:pt idx="0">
                  <c:v>0.20960698689956331</c:v>
                </c:pt>
                <c:pt idx="1">
                  <c:v>9.606986899563319E-2</c:v>
                </c:pt>
                <c:pt idx="2">
                  <c:v>0.14628820960698691</c:v>
                </c:pt>
                <c:pt idx="3">
                  <c:v>1.7467248908296942E-2</c:v>
                </c:pt>
                <c:pt idx="4">
                  <c:v>8.7336244541484712E-3</c:v>
                </c:pt>
                <c:pt idx="5">
                  <c:v>4.3668122270742356E-3</c:v>
                </c:pt>
                <c:pt idx="6">
                  <c:v>3.4934497816593885E-2</c:v>
                </c:pt>
                <c:pt idx="7">
                  <c:v>3.0567685589519649E-2</c:v>
                </c:pt>
                <c:pt idx="8">
                  <c:v>0</c:v>
                </c:pt>
                <c:pt idx="9">
                  <c:v>1.0917030567685589E-2</c:v>
                </c:pt>
                <c:pt idx="10">
                  <c:v>0.44104803493449779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Koboko-Yumbe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Koboko-Yumbe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Koboko-Yumbe '!$S$10:$S$21</c:f>
              <c:numCache>
                <c:formatCode>0</c:formatCode>
                <c:ptCount val="12"/>
                <c:pt idx="0">
                  <c:v>3</c:v>
                </c:pt>
                <c:pt idx="1">
                  <c:v>18</c:v>
                </c:pt>
                <c:pt idx="2">
                  <c:v>16</c:v>
                </c:pt>
                <c:pt idx="3">
                  <c:v>11</c:v>
                </c:pt>
                <c:pt idx="4">
                  <c:v>3</c:v>
                </c:pt>
                <c:pt idx="5">
                  <c:v>9</c:v>
                </c:pt>
                <c:pt idx="6">
                  <c:v>4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8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'01.08 Koboko-Yumbe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Koboko-Yumbe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Koboko-Yumbe '!$T$10:$T$21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8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'01.08 Koboko-Yumbe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Koboko-Yumbe '!$U$10:$U$21</c:f>
              <c:numCache>
                <c:formatCode>0</c:formatCode>
                <c:ptCount val="12"/>
                <c:pt idx="0">
                  <c:v>4</c:v>
                </c:pt>
                <c:pt idx="1">
                  <c:v>11</c:v>
                </c:pt>
                <c:pt idx="2">
                  <c:v>11</c:v>
                </c:pt>
                <c:pt idx="3">
                  <c:v>5</c:v>
                </c:pt>
                <c:pt idx="4">
                  <c:v>3</c:v>
                </c:pt>
                <c:pt idx="5">
                  <c:v>8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5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'01.08 Koboko-Yumbe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Koboko-Yumbe 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'01.08 Koboko-Yumbe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Koboko-Yumbe '!$W$10:$W$21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'01.08 Koboko-Yumbe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Koboko-Yumbe 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'01.08 Koboko-Yumbe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Koboko-Yumbe '!$Y$10:$Y$21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'01.08 Koboko-Yumbe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Koboko-Yumbe '!$Z$10:$Z$21</c:f>
              <c:numCache>
                <c:formatCode>0</c:formatCode>
                <c:ptCount val="12"/>
                <c:pt idx="0">
                  <c:v>1</c:v>
                </c:pt>
                <c:pt idx="1">
                  <c:v>10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'01.08 Koboko-Yumbe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Koboko-Yumbe 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'01.08 Koboko-Yumbe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Koboko-Yumbe 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'01.08 Koboko-Yumbe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Koboko-Yumbe '!$AC$10:$AC$21</c:f>
              <c:numCache>
                <c:formatCode>0</c:formatCode>
                <c:ptCount val="12"/>
                <c:pt idx="0">
                  <c:v>18</c:v>
                </c:pt>
                <c:pt idx="1">
                  <c:v>26</c:v>
                </c:pt>
                <c:pt idx="2">
                  <c:v>31</c:v>
                </c:pt>
                <c:pt idx="3">
                  <c:v>15</c:v>
                </c:pt>
                <c:pt idx="4">
                  <c:v>24</c:v>
                </c:pt>
                <c:pt idx="5">
                  <c:v>14</c:v>
                </c:pt>
                <c:pt idx="6">
                  <c:v>14</c:v>
                </c:pt>
                <c:pt idx="7">
                  <c:v>17</c:v>
                </c:pt>
                <c:pt idx="8">
                  <c:v>8</c:v>
                </c:pt>
                <c:pt idx="9">
                  <c:v>11</c:v>
                </c:pt>
                <c:pt idx="10">
                  <c:v>17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'01.08 Koboko-Yumbe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Koboko-Yumbe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9638280"/>
        <c:axId val="299638672"/>
      </c:lineChart>
      <c:catAx>
        <c:axId val="299638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9638672"/>
        <c:crosses val="autoZero"/>
        <c:auto val="1"/>
        <c:lblAlgn val="ctr"/>
        <c:lblOffset val="100"/>
        <c:noMultiLvlLbl val="0"/>
      </c:catAx>
      <c:valAx>
        <c:axId val="29963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9638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Koboko-Yumbe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Koboko-Yumbe '!$C$60:$N$60</c:f>
              <c:numCache>
                <c:formatCode>0.00%</c:formatCode>
                <c:ptCount val="12"/>
                <c:pt idx="0">
                  <c:v>0.375</c:v>
                </c:pt>
                <c:pt idx="1">
                  <c:v>0.171875</c:v>
                </c:pt>
                <c:pt idx="2">
                  <c:v>0.26171875</c:v>
                </c:pt>
                <c:pt idx="3">
                  <c:v>3.125E-2</c:v>
                </c:pt>
                <c:pt idx="4">
                  <c:v>1.5625E-2</c:v>
                </c:pt>
                <c:pt idx="5">
                  <c:v>7.8125E-3</c:v>
                </c:pt>
                <c:pt idx="6">
                  <c:v>6.25E-2</c:v>
                </c:pt>
                <c:pt idx="7">
                  <c:v>5.46875E-2</c:v>
                </c:pt>
                <c:pt idx="8">
                  <c:v>0</c:v>
                </c:pt>
                <c:pt idx="9">
                  <c:v>1.953125E-2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Yumbe-Koboko'!$AE$9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Yumbe-Koboko'!$AE$10:$AE$21</c:f>
              <c:numCache>
                <c:formatCode>0</c:formatCode>
                <c:ptCount val="12"/>
                <c:pt idx="0">
                  <c:v>9</c:v>
                </c:pt>
                <c:pt idx="1">
                  <c:v>4</c:v>
                </c:pt>
                <c:pt idx="2">
                  <c:v>11</c:v>
                </c:pt>
                <c:pt idx="3">
                  <c:v>9</c:v>
                </c:pt>
                <c:pt idx="4">
                  <c:v>14</c:v>
                </c:pt>
                <c:pt idx="5">
                  <c:v>13</c:v>
                </c:pt>
                <c:pt idx="6">
                  <c:v>26</c:v>
                </c:pt>
                <c:pt idx="7">
                  <c:v>16</c:v>
                </c:pt>
                <c:pt idx="8">
                  <c:v>13</c:v>
                </c:pt>
                <c:pt idx="9">
                  <c:v>24</c:v>
                </c:pt>
                <c:pt idx="10">
                  <c:v>21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'01.08 Yumbe-Koboko'!$AF$9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Yumbe-Koboko'!$AF$10:$AF$21</c:f>
              <c:numCache>
                <c:formatCode>0</c:formatCode>
                <c:ptCount val="12"/>
                <c:pt idx="0">
                  <c:v>30</c:v>
                </c:pt>
                <c:pt idx="1">
                  <c:v>22</c:v>
                </c:pt>
                <c:pt idx="2">
                  <c:v>24</c:v>
                </c:pt>
                <c:pt idx="3">
                  <c:v>31</c:v>
                </c:pt>
                <c:pt idx="4">
                  <c:v>32</c:v>
                </c:pt>
                <c:pt idx="5">
                  <c:v>25</c:v>
                </c:pt>
                <c:pt idx="6">
                  <c:v>41</c:v>
                </c:pt>
                <c:pt idx="7">
                  <c:v>28</c:v>
                </c:pt>
                <c:pt idx="8">
                  <c:v>37</c:v>
                </c:pt>
                <c:pt idx="9">
                  <c:v>42</c:v>
                </c:pt>
                <c:pt idx="10">
                  <c:v>47</c:v>
                </c:pt>
                <c:pt idx="11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942136"/>
        <c:axId val="255938608"/>
      </c:lineChart>
      <c:catAx>
        <c:axId val="2559421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55938608"/>
        <c:crosses val="autoZero"/>
        <c:auto val="1"/>
        <c:lblAlgn val="ctr"/>
        <c:lblOffset val="100"/>
        <c:noMultiLvlLbl val="0"/>
      </c:catAx>
      <c:valAx>
        <c:axId val="2559386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55942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Yumbe-Koboko'!$C$59:$N$59</c:f>
              <c:numCache>
                <c:formatCode>0.0%</c:formatCode>
                <c:ptCount val="12"/>
                <c:pt idx="0">
                  <c:v>0.18095238095238095</c:v>
                </c:pt>
                <c:pt idx="1">
                  <c:v>1.4285714285714285E-2</c:v>
                </c:pt>
                <c:pt idx="2">
                  <c:v>0.15</c:v>
                </c:pt>
                <c:pt idx="3">
                  <c:v>2.8571428571428571E-2</c:v>
                </c:pt>
                <c:pt idx="4">
                  <c:v>2.3809523809523812E-3</c:v>
                </c:pt>
                <c:pt idx="5">
                  <c:v>1.4285714285714285E-2</c:v>
                </c:pt>
                <c:pt idx="6">
                  <c:v>1.6666666666666666E-2</c:v>
                </c:pt>
                <c:pt idx="7">
                  <c:v>4.7619047619047623E-3</c:v>
                </c:pt>
                <c:pt idx="8">
                  <c:v>7.1428571428571426E-3</c:v>
                </c:pt>
                <c:pt idx="9">
                  <c:v>1.6666666666666666E-2</c:v>
                </c:pt>
                <c:pt idx="10">
                  <c:v>0.55476190476190479</c:v>
                </c:pt>
                <c:pt idx="11">
                  <c:v>9.5238095238095247E-3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Yumbe-Koboko'!$S$9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Yumbe-Koboko'!$S$10:$S$21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4</c:v>
                </c:pt>
                <c:pt idx="6">
                  <c:v>10</c:v>
                </c:pt>
                <c:pt idx="7">
                  <c:v>7</c:v>
                </c:pt>
                <c:pt idx="8">
                  <c:v>7</c:v>
                </c:pt>
                <c:pt idx="9">
                  <c:v>13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'01.08 Yumbe-Koboko'!$T$9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Yumbe-Koboko'!$T$10:$T$21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'01.08 Yumbe-Koboko'!$U$9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Yumbe-Koboko'!$U$10:$U$21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2</c:v>
                </c:pt>
                <c:pt idx="9">
                  <c:v>9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'01.08 Yumbe-Koboko'!$V$9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Yumbe-Koboko'!$V$10:$V$21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'01.08 Yumbe-Koboko'!$W$9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Yumbe-Koboko'!$W$10:$W$21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'01.08 Yumbe-Koboko'!$X$9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Yumbe-Koboko'!$X$10:$X$21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'01.08 Yumbe-Koboko'!$Y$9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Yumbe-Koboko'!$Y$10:$Y$21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'01.08 Yumbe-Koboko'!$Z$9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Yumbe-Koboko'!$Z$10:$Z$21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'01.08 Yumbe-Koboko'!$AA$9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Yumbe-Koboko'!$AA$10:$AA$21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'01.08 Yumbe-Koboko'!$AB$9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Yumbe-Koboko'!$AB$10:$AB$21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'01.08 Yumbe-Koboko'!$AC$9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Yumbe-Koboko'!$AC$10:$AC$21</c:f>
              <c:numCache>
                <c:formatCode>0</c:formatCode>
                <c:ptCount val="12"/>
                <c:pt idx="0">
                  <c:v>21</c:v>
                </c:pt>
                <c:pt idx="1">
                  <c:v>18</c:v>
                </c:pt>
                <c:pt idx="2">
                  <c:v>13</c:v>
                </c:pt>
                <c:pt idx="3">
                  <c:v>22</c:v>
                </c:pt>
                <c:pt idx="4">
                  <c:v>18</c:v>
                </c:pt>
                <c:pt idx="5">
                  <c:v>12</c:v>
                </c:pt>
                <c:pt idx="6">
                  <c:v>15</c:v>
                </c:pt>
                <c:pt idx="7">
                  <c:v>12</c:v>
                </c:pt>
                <c:pt idx="8">
                  <c:v>24</c:v>
                </c:pt>
                <c:pt idx="9">
                  <c:v>18</c:v>
                </c:pt>
                <c:pt idx="10">
                  <c:v>26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'01.08 Yumbe-Koboko'!$AD$9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Yumbe-Koboko'!$AD$10:$AD$21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3549768"/>
        <c:axId val="263550160"/>
      </c:lineChart>
      <c:catAx>
        <c:axId val="263549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3550160"/>
        <c:crosses val="autoZero"/>
        <c:auto val="1"/>
        <c:lblAlgn val="ctr"/>
        <c:lblOffset val="100"/>
        <c:noMultiLvlLbl val="0"/>
      </c:catAx>
      <c:valAx>
        <c:axId val="26355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3549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Yumbe-Koboko'!$C$60:$N$60</c:f>
              <c:numCache>
                <c:formatCode>0.00%</c:formatCode>
                <c:ptCount val="12"/>
                <c:pt idx="0">
                  <c:v>0.40641711229946526</c:v>
                </c:pt>
                <c:pt idx="1">
                  <c:v>3.2085561497326207E-2</c:v>
                </c:pt>
                <c:pt idx="2">
                  <c:v>0.33689839572192515</c:v>
                </c:pt>
                <c:pt idx="3">
                  <c:v>6.4171122994652413E-2</c:v>
                </c:pt>
                <c:pt idx="4">
                  <c:v>5.3475935828877002E-3</c:v>
                </c:pt>
                <c:pt idx="5">
                  <c:v>3.2085561497326207E-2</c:v>
                </c:pt>
                <c:pt idx="6">
                  <c:v>3.7433155080213901E-2</c:v>
                </c:pt>
                <c:pt idx="7">
                  <c:v>1.06951871657754E-2</c:v>
                </c:pt>
                <c:pt idx="8">
                  <c:v>1.6042780748663103E-2</c:v>
                </c:pt>
                <c:pt idx="9">
                  <c:v>3.7433155080213901E-2</c:v>
                </c:pt>
                <c:pt idx="11">
                  <c:v>2.1390374331550801E-2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Koboko-Yumbe-24h'!$AE$9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Koboko-Yumbe-24h'!$R$10:$R$33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Koboko-Yumbe-24h'!$AE$10:$AE$33</c:f>
              <c:numCache>
                <c:formatCode>0</c:formatCode>
                <c:ptCount val="24"/>
                <c:pt idx="0">
                  <c:v>9</c:v>
                </c:pt>
                <c:pt idx="1">
                  <c:v>12</c:v>
                </c:pt>
                <c:pt idx="2">
                  <c:v>21</c:v>
                </c:pt>
                <c:pt idx="3">
                  <c:v>21</c:v>
                </c:pt>
                <c:pt idx="4">
                  <c:v>18</c:v>
                </c:pt>
                <c:pt idx="5">
                  <c:v>9</c:v>
                </c:pt>
                <c:pt idx="6">
                  <c:v>8</c:v>
                </c:pt>
                <c:pt idx="7">
                  <c:v>10</c:v>
                </c:pt>
                <c:pt idx="8">
                  <c:v>14</c:v>
                </c:pt>
                <c:pt idx="9">
                  <c:v>13</c:v>
                </c:pt>
                <c:pt idx="10">
                  <c:v>22</c:v>
                </c:pt>
                <c:pt idx="11">
                  <c:v>11</c:v>
                </c:pt>
                <c:pt idx="12">
                  <c:v>23</c:v>
                </c:pt>
                <c:pt idx="13">
                  <c:v>6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5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'02.08 Koboko-Yumbe-24h'!$AF$9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Koboko-Yumbe-24h'!$R$10:$R$33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Koboko-Yumbe-24h'!$AF$10:$AF$33</c:f>
              <c:numCache>
                <c:formatCode>0</c:formatCode>
                <c:ptCount val="24"/>
                <c:pt idx="0">
                  <c:v>27</c:v>
                </c:pt>
                <c:pt idx="1">
                  <c:v>28</c:v>
                </c:pt>
                <c:pt idx="2">
                  <c:v>39</c:v>
                </c:pt>
                <c:pt idx="3">
                  <c:v>41</c:v>
                </c:pt>
                <c:pt idx="4">
                  <c:v>36</c:v>
                </c:pt>
                <c:pt idx="5">
                  <c:v>24</c:v>
                </c:pt>
                <c:pt idx="6">
                  <c:v>21</c:v>
                </c:pt>
                <c:pt idx="7">
                  <c:v>25</c:v>
                </c:pt>
                <c:pt idx="8">
                  <c:v>29</c:v>
                </c:pt>
                <c:pt idx="9">
                  <c:v>28</c:v>
                </c:pt>
                <c:pt idx="10">
                  <c:v>43</c:v>
                </c:pt>
                <c:pt idx="11">
                  <c:v>35</c:v>
                </c:pt>
                <c:pt idx="12">
                  <c:v>51</c:v>
                </c:pt>
                <c:pt idx="13">
                  <c:v>21</c:v>
                </c:pt>
                <c:pt idx="14">
                  <c:v>6</c:v>
                </c:pt>
                <c:pt idx="15">
                  <c:v>2</c:v>
                </c:pt>
                <c:pt idx="16">
                  <c:v>1</c:v>
                </c:pt>
                <c:pt idx="17">
                  <c:v>5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11</c:v>
                </c:pt>
                <c:pt idx="23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029000"/>
        <c:axId val="443029392"/>
      </c:lineChart>
      <c:catAx>
        <c:axId val="443029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43029392"/>
        <c:crosses val="autoZero"/>
        <c:auto val="1"/>
        <c:lblAlgn val="ctr"/>
        <c:lblOffset val="100"/>
        <c:noMultiLvlLbl val="0"/>
      </c:catAx>
      <c:valAx>
        <c:axId val="443029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43029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Koboko-Yumbe-24h'!$C$9:$N$9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Koboko-Yumbe-24h'!$C$107:$N$107</c:f>
              <c:numCache>
                <c:formatCode>0.0%</c:formatCode>
                <c:ptCount val="12"/>
                <c:pt idx="0">
                  <c:v>0.17622950819672131</c:v>
                </c:pt>
                <c:pt idx="1">
                  <c:v>3.8934426229508198E-2</c:v>
                </c:pt>
                <c:pt idx="2">
                  <c:v>0.10655737704918032</c:v>
                </c:pt>
                <c:pt idx="3">
                  <c:v>4.5081967213114756E-2</c:v>
                </c:pt>
                <c:pt idx="4">
                  <c:v>6.1475409836065573E-3</c:v>
                </c:pt>
                <c:pt idx="5">
                  <c:v>1.4344262295081968E-2</c:v>
                </c:pt>
                <c:pt idx="6">
                  <c:v>3.8934426229508198E-2</c:v>
                </c:pt>
                <c:pt idx="7">
                  <c:v>1.0245901639344262E-2</c:v>
                </c:pt>
                <c:pt idx="8">
                  <c:v>2.0491803278688526E-3</c:v>
                </c:pt>
                <c:pt idx="9">
                  <c:v>6.1475409836065573E-3</c:v>
                </c:pt>
                <c:pt idx="10">
                  <c:v>0.55122950819672134</c:v>
                </c:pt>
                <c:pt idx="11">
                  <c:v>4.0983606557377051E-3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Koboko-Yumbe-24h'!$C$9:$N$9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Koboko-Yumbe-24h'!$C$108:$N$108</c:f>
              <c:numCache>
                <c:formatCode>0.00%</c:formatCode>
                <c:ptCount val="12"/>
                <c:pt idx="0">
                  <c:v>0.39269406392694062</c:v>
                </c:pt>
                <c:pt idx="1">
                  <c:v>8.6757990867579904E-2</c:v>
                </c:pt>
                <c:pt idx="2">
                  <c:v>0.23744292237442921</c:v>
                </c:pt>
                <c:pt idx="3">
                  <c:v>0.1004566210045662</c:v>
                </c:pt>
                <c:pt idx="4">
                  <c:v>1.3698630136986301E-2</c:v>
                </c:pt>
                <c:pt idx="5">
                  <c:v>3.1963470319634701E-2</c:v>
                </c:pt>
                <c:pt idx="6">
                  <c:v>8.6757990867579904E-2</c:v>
                </c:pt>
                <c:pt idx="7">
                  <c:v>2.2831050228310501E-2</c:v>
                </c:pt>
                <c:pt idx="8">
                  <c:v>4.5662100456621002E-3</c:v>
                </c:pt>
                <c:pt idx="9">
                  <c:v>1.3698630136986301E-2</c:v>
                </c:pt>
                <c:pt idx="11">
                  <c:v>9.1324200913242004E-3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Yumbe-Koboko-24h'!$AE$9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Yumbe-Koboko-24h'!$R$10:$R$33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Yumbe-Koboko-24h'!$AE$10:$AE$33</c:f>
              <c:numCache>
                <c:formatCode>0</c:formatCode>
                <c:ptCount val="24"/>
                <c:pt idx="0">
                  <c:v>2</c:v>
                </c:pt>
                <c:pt idx="1">
                  <c:v>12</c:v>
                </c:pt>
                <c:pt idx="2">
                  <c:v>8</c:v>
                </c:pt>
                <c:pt idx="3">
                  <c:v>10</c:v>
                </c:pt>
                <c:pt idx="4">
                  <c:v>0</c:v>
                </c:pt>
                <c:pt idx="5">
                  <c:v>7</c:v>
                </c:pt>
                <c:pt idx="6">
                  <c:v>19</c:v>
                </c:pt>
                <c:pt idx="7">
                  <c:v>9</c:v>
                </c:pt>
                <c:pt idx="8">
                  <c:v>15</c:v>
                </c:pt>
                <c:pt idx="9">
                  <c:v>16</c:v>
                </c:pt>
                <c:pt idx="10">
                  <c:v>23</c:v>
                </c:pt>
                <c:pt idx="11">
                  <c:v>28</c:v>
                </c:pt>
                <c:pt idx="12">
                  <c:v>30</c:v>
                </c:pt>
                <c:pt idx="13">
                  <c:v>20</c:v>
                </c:pt>
                <c:pt idx="14">
                  <c:v>4</c:v>
                </c:pt>
                <c:pt idx="15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5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'02.08 Yumbe-Koboko-24h'!$AF$9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Yumbe-Koboko-24h'!$R$10:$R$33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Yumbe-Koboko-24h'!$AF$10:$AF$33</c:f>
              <c:numCache>
                <c:formatCode>0</c:formatCode>
                <c:ptCount val="24"/>
                <c:pt idx="0">
                  <c:v>43</c:v>
                </c:pt>
                <c:pt idx="1">
                  <c:v>28</c:v>
                </c:pt>
                <c:pt idx="2">
                  <c:v>24</c:v>
                </c:pt>
                <c:pt idx="3">
                  <c:v>24</c:v>
                </c:pt>
                <c:pt idx="4">
                  <c:v>8</c:v>
                </c:pt>
                <c:pt idx="5">
                  <c:v>19</c:v>
                </c:pt>
                <c:pt idx="6">
                  <c:v>37</c:v>
                </c:pt>
                <c:pt idx="7">
                  <c:v>20</c:v>
                </c:pt>
                <c:pt idx="8">
                  <c:v>28</c:v>
                </c:pt>
                <c:pt idx="9">
                  <c:v>32</c:v>
                </c:pt>
                <c:pt idx="10">
                  <c:v>36</c:v>
                </c:pt>
                <c:pt idx="11">
                  <c:v>44</c:v>
                </c:pt>
                <c:pt idx="12">
                  <c:v>58</c:v>
                </c:pt>
                <c:pt idx="13">
                  <c:v>29</c:v>
                </c:pt>
                <c:pt idx="14">
                  <c:v>11</c:v>
                </c:pt>
                <c:pt idx="15">
                  <c:v>5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547808"/>
        <c:axId val="263548200"/>
      </c:lineChart>
      <c:catAx>
        <c:axId val="263547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3548200"/>
        <c:crosses val="autoZero"/>
        <c:auto val="1"/>
        <c:lblAlgn val="ctr"/>
        <c:lblOffset val="100"/>
        <c:noMultiLvlLbl val="0"/>
      </c:catAx>
      <c:valAx>
        <c:axId val="263548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354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Yumbe-Koboko-24h'!$C$9:$N$9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Yumbe-Koboko-24h'!$C$107:$N$107</c:f>
              <c:numCache>
                <c:formatCode>0.0%</c:formatCode>
                <c:ptCount val="12"/>
                <c:pt idx="0">
                  <c:v>0.18064516129032257</c:v>
                </c:pt>
                <c:pt idx="1">
                  <c:v>1.0752688172043012E-2</c:v>
                </c:pt>
                <c:pt idx="2">
                  <c:v>0.14408602150537633</c:v>
                </c:pt>
                <c:pt idx="3">
                  <c:v>5.3763440860215055E-2</c:v>
                </c:pt>
                <c:pt idx="4">
                  <c:v>6.4516129032258064E-3</c:v>
                </c:pt>
                <c:pt idx="5">
                  <c:v>1.2903225806451613E-2</c:v>
                </c:pt>
                <c:pt idx="6">
                  <c:v>3.6559139784946237E-2</c:v>
                </c:pt>
                <c:pt idx="7">
                  <c:v>6.4516129032258064E-3</c:v>
                </c:pt>
                <c:pt idx="8">
                  <c:v>0</c:v>
                </c:pt>
                <c:pt idx="9">
                  <c:v>8.6021505376344086E-3</c:v>
                </c:pt>
                <c:pt idx="10">
                  <c:v>0.53548387096774197</c:v>
                </c:pt>
                <c:pt idx="11">
                  <c:v>4.3010752688172043E-3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Yumbe-Koboko-24h'!$C$9:$N$9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Yumbe-Koboko-24h'!$C$108:$N$108</c:f>
              <c:numCache>
                <c:formatCode>0.00%</c:formatCode>
                <c:ptCount val="12"/>
                <c:pt idx="0">
                  <c:v>0.3888888888888889</c:v>
                </c:pt>
                <c:pt idx="1">
                  <c:v>2.3148148148148147E-2</c:v>
                </c:pt>
                <c:pt idx="2">
                  <c:v>0.31018518518518517</c:v>
                </c:pt>
                <c:pt idx="3">
                  <c:v>0.11574074074074074</c:v>
                </c:pt>
                <c:pt idx="4">
                  <c:v>1.3888888888888888E-2</c:v>
                </c:pt>
                <c:pt idx="5">
                  <c:v>2.7777777777777776E-2</c:v>
                </c:pt>
                <c:pt idx="6">
                  <c:v>7.8703703703703706E-2</c:v>
                </c:pt>
                <c:pt idx="7">
                  <c:v>1.3888888888888888E-2</c:v>
                </c:pt>
                <c:pt idx="8">
                  <c:v>0</c:v>
                </c:pt>
                <c:pt idx="9">
                  <c:v>1.8518518518518517E-2</c:v>
                </c:pt>
                <c:pt idx="11">
                  <c:v>9.2592592592592587E-3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Koboko-Yumbe-24h'!$AE$9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Koboko-Yumbe-24h'!$R$10:$R$33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Koboko-Yumbe-24h'!$AE$10:$AE$33</c:f>
              <c:numCache>
                <c:formatCode>0</c:formatCode>
                <c:ptCount val="24"/>
                <c:pt idx="0">
                  <c:v>8</c:v>
                </c:pt>
                <c:pt idx="1">
                  <c:v>19</c:v>
                </c:pt>
                <c:pt idx="2">
                  <c:v>15</c:v>
                </c:pt>
                <c:pt idx="3">
                  <c:v>16</c:v>
                </c:pt>
                <c:pt idx="4">
                  <c:v>19</c:v>
                </c:pt>
                <c:pt idx="5">
                  <c:v>14</c:v>
                </c:pt>
                <c:pt idx="6">
                  <c:v>13</c:v>
                </c:pt>
                <c:pt idx="7">
                  <c:v>14</c:v>
                </c:pt>
                <c:pt idx="8">
                  <c:v>12</c:v>
                </c:pt>
                <c:pt idx="9">
                  <c:v>15</c:v>
                </c:pt>
                <c:pt idx="10">
                  <c:v>10</c:v>
                </c:pt>
                <c:pt idx="11">
                  <c:v>14</c:v>
                </c:pt>
                <c:pt idx="12">
                  <c:v>21</c:v>
                </c:pt>
                <c:pt idx="13">
                  <c:v>6</c:v>
                </c:pt>
                <c:pt idx="14">
                  <c:v>6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7</c:v>
                </c:pt>
                <c:pt idx="23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Koboko-Yumbe-24h'!$AF$9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Koboko-Yumbe-24h'!$R$10:$R$33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Koboko-Yumbe-24h'!$AF$10:$AF$33</c:f>
              <c:numCache>
                <c:formatCode>0</c:formatCode>
                <c:ptCount val="24"/>
                <c:pt idx="0">
                  <c:v>22</c:v>
                </c:pt>
                <c:pt idx="1">
                  <c:v>38</c:v>
                </c:pt>
                <c:pt idx="2">
                  <c:v>25</c:v>
                </c:pt>
                <c:pt idx="3">
                  <c:v>37</c:v>
                </c:pt>
                <c:pt idx="4">
                  <c:v>42</c:v>
                </c:pt>
                <c:pt idx="5">
                  <c:v>34</c:v>
                </c:pt>
                <c:pt idx="6">
                  <c:v>31</c:v>
                </c:pt>
                <c:pt idx="7">
                  <c:v>25</c:v>
                </c:pt>
                <c:pt idx="8">
                  <c:v>35</c:v>
                </c:pt>
                <c:pt idx="9">
                  <c:v>33</c:v>
                </c:pt>
                <c:pt idx="10">
                  <c:v>34</c:v>
                </c:pt>
                <c:pt idx="11">
                  <c:v>36</c:v>
                </c:pt>
                <c:pt idx="12">
                  <c:v>37</c:v>
                </c:pt>
                <c:pt idx="13">
                  <c:v>17</c:v>
                </c:pt>
                <c:pt idx="14">
                  <c:v>9</c:v>
                </c:pt>
                <c:pt idx="15">
                  <c:v>4</c:v>
                </c:pt>
                <c:pt idx="16">
                  <c:v>4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7</c:v>
                </c:pt>
                <c:pt idx="23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972936"/>
        <c:axId val="590972544"/>
      </c:lineChart>
      <c:catAx>
        <c:axId val="5909729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90972544"/>
        <c:crosses val="autoZero"/>
        <c:auto val="1"/>
        <c:lblAlgn val="ctr"/>
        <c:lblOffset val="100"/>
        <c:noMultiLvlLbl val="0"/>
      </c:catAx>
      <c:valAx>
        <c:axId val="590972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90972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Koboko-Yumbe-24h'!$C$9:$N$9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Koboko-Yumbe-24h'!$C$107:$N$107</c:f>
              <c:numCache>
                <c:formatCode>0.0%</c:formatCode>
                <c:ptCount val="12"/>
                <c:pt idx="0">
                  <c:v>0.24897959183673468</c:v>
                </c:pt>
                <c:pt idx="1">
                  <c:v>2.0408163265306124E-3</c:v>
                </c:pt>
                <c:pt idx="2">
                  <c:v>8.7755102040816324E-2</c:v>
                </c:pt>
                <c:pt idx="3">
                  <c:v>6.7346938775510207E-2</c:v>
                </c:pt>
                <c:pt idx="4">
                  <c:v>6.1224489795918364E-3</c:v>
                </c:pt>
                <c:pt idx="5">
                  <c:v>1.020408163265306E-2</c:v>
                </c:pt>
                <c:pt idx="6">
                  <c:v>1.8367346938775512E-2</c:v>
                </c:pt>
                <c:pt idx="7">
                  <c:v>1.020408163265306E-2</c:v>
                </c:pt>
                <c:pt idx="8">
                  <c:v>4.0816326530612249E-3</c:v>
                </c:pt>
                <c:pt idx="9">
                  <c:v>6.1224489795918364E-3</c:v>
                </c:pt>
                <c:pt idx="10">
                  <c:v>0.53673469387755102</c:v>
                </c:pt>
                <c:pt idx="11">
                  <c:v>2.0408163265306124E-3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Koboko-Yumbe-24h'!$C$9:$N$9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Koboko-Yumbe-24h'!$C$108:$N$108</c:f>
              <c:numCache>
                <c:formatCode>0.00%</c:formatCode>
                <c:ptCount val="12"/>
                <c:pt idx="0">
                  <c:v>0.5374449339207048</c:v>
                </c:pt>
                <c:pt idx="1">
                  <c:v>4.4052863436123352E-3</c:v>
                </c:pt>
                <c:pt idx="2">
                  <c:v>0.1894273127753304</c:v>
                </c:pt>
                <c:pt idx="3">
                  <c:v>0.14537444933920704</c:v>
                </c:pt>
                <c:pt idx="4">
                  <c:v>1.3215859030837005E-2</c:v>
                </c:pt>
                <c:pt idx="5">
                  <c:v>2.2026431718061675E-2</c:v>
                </c:pt>
                <c:pt idx="6">
                  <c:v>3.9647577092511016E-2</c:v>
                </c:pt>
                <c:pt idx="7">
                  <c:v>2.2026431718061675E-2</c:v>
                </c:pt>
                <c:pt idx="8">
                  <c:v>8.8105726872246704E-3</c:v>
                </c:pt>
                <c:pt idx="9">
                  <c:v>1.3215859030837005E-2</c:v>
                </c:pt>
                <c:pt idx="11">
                  <c:v>4.4052863436123352E-3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Yumbe-Koboko-24h'!$AE$9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Yumbe-Koboko-24h'!$R$10:$R$33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Yumbe-Koboko-24h'!$AE$10:$AE$33</c:f>
              <c:numCache>
                <c:formatCode>0</c:formatCode>
                <c:ptCount val="24"/>
                <c:pt idx="0">
                  <c:v>5</c:v>
                </c:pt>
                <c:pt idx="1">
                  <c:v>1</c:v>
                </c:pt>
                <c:pt idx="2">
                  <c:v>17</c:v>
                </c:pt>
                <c:pt idx="3">
                  <c:v>11</c:v>
                </c:pt>
                <c:pt idx="4">
                  <c:v>14</c:v>
                </c:pt>
                <c:pt idx="5">
                  <c:v>13</c:v>
                </c:pt>
                <c:pt idx="6">
                  <c:v>18</c:v>
                </c:pt>
                <c:pt idx="7">
                  <c:v>7</c:v>
                </c:pt>
                <c:pt idx="8">
                  <c:v>10</c:v>
                </c:pt>
                <c:pt idx="9">
                  <c:v>9</c:v>
                </c:pt>
                <c:pt idx="10">
                  <c:v>14</c:v>
                </c:pt>
                <c:pt idx="11">
                  <c:v>15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Yumbe-Koboko-24h'!$AF$9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Yumbe-Koboko-24h'!$R$10:$R$33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Yumbe-Koboko-24h'!$AF$10:$AF$33</c:f>
              <c:numCache>
                <c:formatCode>0</c:formatCode>
                <c:ptCount val="24"/>
                <c:pt idx="0">
                  <c:v>16</c:v>
                </c:pt>
                <c:pt idx="1">
                  <c:v>11</c:v>
                </c:pt>
                <c:pt idx="2">
                  <c:v>28</c:v>
                </c:pt>
                <c:pt idx="3">
                  <c:v>31</c:v>
                </c:pt>
                <c:pt idx="4">
                  <c:v>35</c:v>
                </c:pt>
                <c:pt idx="5">
                  <c:v>23</c:v>
                </c:pt>
                <c:pt idx="6">
                  <c:v>36</c:v>
                </c:pt>
                <c:pt idx="7">
                  <c:v>13</c:v>
                </c:pt>
                <c:pt idx="8">
                  <c:v>11</c:v>
                </c:pt>
                <c:pt idx="9">
                  <c:v>28</c:v>
                </c:pt>
                <c:pt idx="10">
                  <c:v>29</c:v>
                </c:pt>
                <c:pt idx="11">
                  <c:v>25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4300056"/>
        <c:axId val="594298096"/>
      </c:lineChart>
      <c:catAx>
        <c:axId val="5943000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94298096"/>
        <c:crosses val="autoZero"/>
        <c:auto val="1"/>
        <c:lblAlgn val="ctr"/>
        <c:lblOffset val="100"/>
        <c:noMultiLvlLbl val="0"/>
      </c:catAx>
      <c:valAx>
        <c:axId val="594298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94300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Yumbe-Koboko-24h'!$C$9:$N$9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Yumbe-Koboko-24h'!$C$107:$N$107</c:f>
              <c:numCache>
                <c:formatCode>0.0%</c:formatCode>
                <c:ptCount val="12"/>
                <c:pt idx="0">
                  <c:v>0.23426573426573427</c:v>
                </c:pt>
                <c:pt idx="1">
                  <c:v>2.4475524475524476E-2</c:v>
                </c:pt>
                <c:pt idx="2">
                  <c:v>8.7412587412587409E-2</c:v>
                </c:pt>
                <c:pt idx="3">
                  <c:v>4.5454545454545456E-2</c:v>
                </c:pt>
                <c:pt idx="4">
                  <c:v>0</c:v>
                </c:pt>
                <c:pt idx="5">
                  <c:v>1.3986013986013986E-2</c:v>
                </c:pt>
                <c:pt idx="6">
                  <c:v>2.097902097902098E-2</c:v>
                </c:pt>
                <c:pt idx="7">
                  <c:v>1.048951048951049E-2</c:v>
                </c:pt>
                <c:pt idx="8">
                  <c:v>0</c:v>
                </c:pt>
                <c:pt idx="9">
                  <c:v>2.097902097902098E-2</c:v>
                </c:pt>
                <c:pt idx="10">
                  <c:v>0.53146853146853146</c:v>
                </c:pt>
                <c:pt idx="11">
                  <c:v>1.048951048951049E-2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Yumbe-Koboko-24h'!$C$9:$N$9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Yumbe-Koboko-24h'!$C$108:$N$108</c:f>
              <c:numCache>
                <c:formatCode>0.00%</c:formatCode>
                <c:ptCount val="12"/>
                <c:pt idx="0">
                  <c:v>0.5</c:v>
                </c:pt>
                <c:pt idx="1">
                  <c:v>5.2238805970149252E-2</c:v>
                </c:pt>
                <c:pt idx="2">
                  <c:v>0.18656716417910449</c:v>
                </c:pt>
                <c:pt idx="3">
                  <c:v>9.7014925373134331E-2</c:v>
                </c:pt>
                <c:pt idx="4">
                  <c:v>0</c:v>
                </c:pt>
                <c:pt idx="5">
                  <c:v>2.9850746268656716E-2</c:v>
                </c:pt>
                <c:pt idx="6">
                  <c:v>4.4776119402985072E-2</c:v>
                </c:pt>
                <c:pt idx="7">
                  <c:v>2.2388059701492536E-2</c:v>
                </c:pt>
                <c:pt idx="8">
                  <c:v>0</c:v>
                </c:pt>
                <c:pt idx="9">
                  <c:v>4.4776119402985072E-2</c:v>
                </c:pt>
                <c:pt idx="11">
                  <c:v>2.2388059701492536E-2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Koboko-Yumbe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Koboko-Yumbe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Koboko-Yumbe '!$AE$10:$AE$21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7</c:v>
                </c:pt>
                <c:pt idx="3">
                  <c:v>13</c:v>
                </c:pt>
                <c:pt idx="4">
                  <c:v>11</c:v>
                </c:pt>
                <c:pt idx="5">
                  <c:v>12</c:v>
                </c:pt>
                <c:pt idx="6">
                  <c:v>10</c:v>
                </c:pt>
                <c:pt idx="7">
                  <c:v>13</c:v>
                </c:pt>
                <c:pt idx="8">
                  <c:v>13</c:v>
                </c:pt>
                <c:pt idx="9">
                  <c:v>14</c:v>
                </c:pt>
                <c:pt idx="10">
                  <c:v>25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'04.08 Koboko-Yumbe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Koboko-Yumbe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Koboko-Yumbe '!$AF$10:$AF$21</c:f>
              <c:numCache>
                <c:formatCode>0</c:formatCode>
                <c:ptCount val="12"/>
                <c:pt idx="0">
                  <c:v>20</c:v>
                </c:pt>
                <c:pt idx="1">
                  <c:v>17</c:v>
                </c:pt>
                <c:pt idx="2">
                  <c:v>20</c:v>
                </c:pt>
                <c:pt idx="3">
                  <c:v>33</c:v>
                </c:pt>
                <c:pt idx="4">
                  <c:v>36</c:v>
                </c:pt>
                <c:pt idx="5">
                  <c:v>34</c:v>
                </c:pt>
                <c:pt idx="6">
                  <c:v>30</c:v>
                </c:pt>
                <c:pt idx="7">
                  <c:v>27</c:v>
                </c:pt>
                <c:pt idx="8">
                  <c:v>30</c:v>
                </c:pt>
                <c:pt idx="9">
                  <c:v>26</c:v>
                </c:pt>
                <c:pt idx="10">
                  <c:v>50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302312"/>
        <c:axId val="31302704"/>
      </c:lineChart>
      <c:catAx>
        <c:axId val="313023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1302704"/>
        <c:crosses val="autoZero"/>
        <c:auto val="1"/>
        <c:lblAlgn val="ctr"/>
        <c:lblOffset val="100"/>
        <c:noMultiLvlLbl val="0"/>
      </c:catAx>
      <c:valAx>
        <c:axId val="313027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1302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Koboko-Yumbe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Koboko-Yumbe '!$C$59:$N$59</c:f>
              <c:numCache>
                <c:formatCode>0.0%</c:formatCode>
                <c:ptCount val="12"/>
                <c:pt idx="0">
                  <c:v>0.23495702005730659</c:v>
                </c:pt>
                <c:pt idx="1">
                  <c:v>1.4326647564469915E-2</c:v>
                </c:pt>
                <c:pt idx="2">
                  <c:v>8.882521489971347E-2</c:v>
                </c:pt>
                <c:pt idx="3">
                  <c:v>3.4383954154727794E-2</c:v>
                </c:pt>
                <c:pt idx="4">
                  <c:v>2.8653295128939827E-3</c:v>
                </c:pt>
                <c:pt idx="5">
                  <c:v>8.5959885386819486E-3</c:v>
                </c:pt>
                <c:pt idx="6">
                  <c:v>3.151862464183381E-2</c:v>
                </c:pt>
                <c:pt idx="7">
                  <c:v>2.8653295128939827E-3</c:v>
                </c:pt>
                <c:pt idx="8">
                  <c:v>8.5959885386819486E-3</c:v>
                </c:pt>
                <c:pt idx="9">
                  <c:v>2.8653295128939827E-3</c:v>
                </c:pt>
                <c:pt idx="10">
                  <c:v>0.57020057306590255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Koboko-Yumbe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Koboko-Yumbe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Koboko-Yumbe '!$S$10:$S$21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4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7</c:v>
                </c:pt>
                <c:pt idx="7">
                  <c:v>9</c:v>
                </c:pt>
                <c:pt idx="8">
                  <c:v>8</c:v>
                </c:pt>
                <c:pt idx="9">
                  <c:v>5</c:v>
                </c:pt>
                <c:pt idx="10">
                  <c:v>12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'04.08 Koboko-Yumbe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Koboko-Yumbe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Koboko-Yumbe 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'04.08 Koboko-Yumbe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Koboko-Yumbe 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'04.08 Koboko-Yumbe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Koboko-Yumbe '!$V$10:$V$21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'04.08 Koboko-Yumbe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Koboko-Yumbe 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'04.08 Koboko-Yumbe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Koboko-Yumbe 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'04.08 Koboko-Yumbe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Koboko-Yumbe '!$Y$10:$Y$21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'04.08 Koboko-Yumbe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Koboko-Yumbe 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'04.08 Koboko-Yumbe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Koboko-Yumbe 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'04.08 Koboko-Yumbe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Koboko-Yumbe 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'04.08 Koboko-Yumbe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Koboko-Yumbe '!$AC$10:$AC$21</c:f>
              <c:numCache>
                <c:formatCode>0</c:formatCode>
                <c:ptCount val="12"/>
                <c:pt idx="0">
                  <c:v>10</c:v>
                </c:pt>
                <c:pt idx="1">
                  <c:v>11</c:v>
                </c:pt>
                <c:pt idx="2">
                  <c:v>13</c:v>
                </c:pt>
                <c:pt idx="3">
                  <c:v>20</c:v>
                </c:pt>
                <c:pt idx="4">
                  <c:v>25</c:v>
                </c:pt>
                <c:pt idx="5">
                  <c:v>22</c:v>
                </c:pt>
                <c:pt idx="6">
                  <c:v>20</c:v>
                </c:pt>
                <c:pt idx="7">
                  <c:v>14</c:v>
                </c:pt>
                <c:pt idx="8">
                  <c:v>17</c:v>
                </c:pt>
                <c:pt idx="9">
                  <c:v>12</c:v>
                </c:pt>
                <c:pt idx="10">
                  <c:v>25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'04.08 Koboko-Yumbe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Koboko-Yumbe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295024"/>
        <c:axId val="222296200"/>
      </c:lineChart>
      <c:catAx>
        <c:axId val="222295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296200"/>
        <c:crosses val="autoZero"/>
        <c:auto val="1"/>
        <c:lblAlgn val="ctr"/>
        <c:lblOffset val="100"/>
        <c:noMultiLvlLbl val="0"/>
      </c:catAx>
      <c:valAx>
        <c:axId val="222296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29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Koboko-Yumbe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Koboko-Yumbe '!$C$60:$N$60</c:f>
              <c:numCache>
                <c:formatCode>0.00%</c:formatCode>
                <c:ptCount val="12"/>
                <c:pt idx="0">
                  <c:v>0.54666666666666663</c:v>
                </c:pt>
                <c:pt idx="1">
                  <c:v>3.3333333333333333E-2</c:v>
                </c:pt>
                <c:pt idx="2">
                  <c:v>0.20666666666666667</c:v>
                </c:pt>
                <c:pt idx="3">
                  <c:v>0.08</c:v>
                </c:pt>
                <c:pt idx="4">
                  <c:v>6.6666666666666671E-3</c:v>
                </c:pt>
                <c:pt idx="5">
                  <c:v>0.02</c:v>
                </c:pt>
                <c:pt idx="6">
                  <c:v>7.3333333333333334E-2</c:v>
                </c:pt>
                <c:pt idx="7">
                  <c:v>6.6666666666666671E-3</c:v>
                </c:pt>
                <c:pt idx="8">
                  <c:v>0.02</c:v>
                </c:pt>
                <c:pt idx="9">
                  <c:v>6.6666666666666671E-3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Yumbe-Koboko'!$AE$9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Yumbe-Koboko'!$AE$10:$AE$21</c:f>
              <c:numCache>
                <c:formatCode>0</c:formatCode>
                <c:ptCount val="12"/>
                <c:pt idx="0">
                  <c:v>22</c:v>
                </c:pt>
                <c:pt idx="1">
                  <c:v>17</c:v>
                </c:pt>
                <c:pt idx="2">
                  <c:v>24</c:v>
                </c:pt>
                <c:pt idx="3">
                  <c:v>13</c:v>
                </c:pt>
                <c:pt idx="4">
                  <c:v>7</c:v>
                </c:pt>
                <c:pt idx="5">
                  <c:v>5</c:v>
                </c:pt>
                <c:pt idx="6">
                  <c:v>2</c:v>
                </c:pt>
                <c:pt idx="7">
                  <c:v>9</c:v>
                </c:pt>
                <c:pt idx="8">
                  <c:v>13</c:v>
                </c:pt>
                <c:pt idx="9">
                  <c:v>21</c:v>
                </c:pt>
                <c:pt idx="10">
                  <c:v>13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'04.08 Yumbe-Koboko'!$AF$9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Yumbe-Koboko'!$AF$10:$AF$21</c:f>
              <c:numCache>
                <c:formatCode>0</c:formatCode>
                <c:ptCount val="12"/>
                <c:pt idx="0">
                  <c:v>33</c:v>
                </c:pt>
                <c:pt idx="1">
                  <c:v>35</c:v>
                </c:pt>
                <c:pt idx="2">
                  <c:v>36</c:v>
                </c:pt>
                <c:pt idx="3">
                  <c:v>15</c:v>
                </c:pt>
                <c:pt idx="4">
                  <c:v>9</c:v>
                </c:pt>
                <c:pt idx="5">
                  <c:v>9</c:v>
                </c:pt>
                <c:pt idx="6">
                  <c:v>14</c:v>
                </c:pt>
                <c:pt idx="7">
                  <c:v>17</c:v>
                </c:pt>
                <c:pt idx="8">
                  <c:v>20</c:v>
                </c:pt>
                <c:pt idx="9">
                  <c:v>41</c:v>
                </c:pt>
                <c:pt idx="10">
                  <c:v>24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276408"/>
        <c:axId val="492810560"/>
      </c:lineChart>
      <c:catAx>
        <c:axId val="5342764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2810560"/>
        <c:crosses val="autoZero"/>
        <c:auto val="1"/>
        <c:lblAlgn val="ctr"/>
        <c:lblOffset val="100"/>
        <c:noMultiLvlLbl val="0"/>
      </c:catAx>
      <c:valAx>
        <c:axId val="4928105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4276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Yumbe-Koboko'!$C$59:$N$59</c:f>
              <c:numCache>
                <c:formatCode>0.0%</c:formatCode>
                <c:ptCount val="12"/>
                <c:pt idx="0">
                  <c:v>0.3458904109589041</c:v>
                </c:pt>
                <c:pt idx="1">
                  <c:v>2.3972602739726026E-2</c:v>
                </c:pt>
                <c:pt idx="2">
                  <c:v>8.9041095890410954E-2</c:v>
                </c:pt>
                <c:pt idx="3">
                  <c:v>4.7945205479452052E-2</c:v>
                </c:pt>
                <c:pt idx="4">
                  <c:v>6.8493150684931503E-3</c:v>
                </c:pt>
                <c:pt idx="5">
                  <c:v>1.3698630136986301E-2</c:v>
                </c:pt>
                <c:pt idx="6">
                  <c:v>3.7671232876712327E-2</c:v>
                </c:pt>
                <c:pt idx="7">
                  <c:v>6.8493150684931503E-3</c:v>
                </c:pt>
                <c:pt idx="8">
                  <c:v>3.4246575342465752E-3</c:v>
                </c:pt>
                <c:pt idx="9">
                  <c:v>0</c:v>
                </c:pt>
                <c:pt idx="10">
                  <c:v>0.42465753424657532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Yumbe-Koboko'!$C$60:$N$60</c:f>
              <c:numCache>
                <c:formatCode>0.00%</c:formatCode>
                <c:ptCount val="12"/>
                <c:pt idx="0">
                  <c:v>0.60119047619047616</c:v>
                </c:pt>
                <c:pt idx="1">
                  <c:v>4.1666666666666664E-2</c:v>
                </c:pt>
                <c:pt idx="2">
                  <c:v>0.15476190476190477</c:v>
                </c:pt>
                <c:pt idx="3">
                  <c:v>8.3333333333333329E-2</c:v>
                </c:pt>
                <c:pt idx="4">
                  <c:v>1.1904761904761904E-2</c:v>
                </c:pt>
                <c:pt idx="5">
                  <c:v>2.3809523809523808E-2</c:v>
                </c:pt>
                <c:pt idx="6">
                  <c:v>6.5476190476190479E-2</c:v>
                </c:pt>
                <c:pt idx="7">
                  <c:v>1.1904761904761904E-2</c:v>
                </c:pt>
                <c:pt idx="8">
                  <c:v>5.9523809523809521E-3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Koboko-Yumbe'!$AE$9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Koboko-Yumbe'!$R$10:$R$21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Koboko-Yumbe'!$AE$10:$AE$21</c:f>
              <c:numCache>
                <c:formatCode>0</c:formatCode>
                <c:ptCount val="12"/>
                <c:pt idx="0">
                  <c:v>15</c:v>
                </c:pt>
                <c:pt idx="1">
                  <c:v>25</c:v>
                </c:pt>
                <c:pt idx="2">
                  <c:v>35</c:v>
                </c:pt>
                <c:pt idx="3">
                  <c:v>31</c:v>
                </c:pt>
                <c:pt idx="4">
                  <c:v>27</c:v>
                </c:pt>
                <c:pt idx="5">
                  <c:v>19</c:v>
                </c:pt>
                <c:pt idx="6">
                  <c:v>11</c:v>
                </c:pt>
                <c:pt idx="7">
                  <c:v>23</c:v>
                </c:pt>
                <c:pt idx="8">
                  <c:v>17</c:v>
                </c:pt>
                <c:pt idx="9">
                  <c:v>15</c:v>
                </c:pt>
                <c:pt idx="10">
                  <c:v>15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'05.08 Koboko-Yumbe'!$AF$9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Koboko-Yumbe'!$R$10:$R$21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Koboko-Yumbe'!$AF$10:$AF$21</c:f>
              <c:numCache>
                <c:formatCode>0</c:formatCode>
                <c:ptCount val="12"/>
                <c:pt idx="0">
                  <c:v>29</c:v>
                </c:pt>
                <c:pt idx="1">
                  <c:v>55</c:v>
                </c:pt>
                <c:pt idx="2">
                  <c:v>54</c:v>
                </c:pt>
                <c:pt idx="3">
                  <c:v>60</c:v>
                </c:pt>
                <c:pt idx="4">
                  <c:v>51</c:v>
                </c:pt>
                <c:pt idx="5">
                  <c:v>37</c:v>
                </c:pt>
                <c:pt idx="6">
                  <c:v>21</c:v>
                </c:pt>
                <c:pt idx="7">
                  <c:v>45</c:v>
                </c:pt>
                <c:pt idx="8">
                  <c:v>34</c:v>
                </c:pt>
                <c:pt idx="9">
                  <c:v>30</c:v>
                </c:pt>
                <c:pt idx="10">
                  <c:v>25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308584"/>
        <c:axId val="376826616"/>
      </c:lineChart>
      <c:catAx>
        <c:axId val="313085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6826616"/>
        <c:crosses val="autoZero"/>
        <c:auto val="1"/>
        <c:lblAlgn val="ctr"/>
        <c:lblOffset val="100"/>
        <c:noMultiLvlLbl val="0"/>
      </c:catAx>
      <c:valAx>
        <c:axId val="376826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1308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Koboko-Yumbe'!$C$9:$N$9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Koboko-Yumbe'!$C$59:$N$59</c:f>
              <c:numCache>
                <c:formatCode>0.0%</c:formatCode>
                <c:ptCount val="12"/>
                <c:pt idx="0">
                  <c:v>0.2074688796680498</c:v>
                </c:pt>
                <c:pt idx="1">
                  <c:v>1.2448132780082987E-2</c:v>
                </c:pt>
                <c:pt idx="2">
                  <c:v>0.17842323651452283</c:v>
                </c:pt>
                <c:pt idx="3">
                  <c:v>1.6597510373443983E-2</c:v>
                </c:pt>
                <c:pt idx="4">
                  <c:v>2.0746887966804979E-3</c:v>
                </c:pt>
                <c:pt idx="5">
                  <c:v>8.2987551867219917E-3</c:v>
                </c:pt>
                <c:pt idx="6">
                  <c:v>5.3941908713692949E-2</c:v>
                </c:pt>
                <c:pt idx="7">
                  <c:v>1.6597510373443983E-2</c:v>
                </c:pt>
                <c:pt idx="8">
                  <c:v>8.2987551867219917E-3</c:v>
                </c:pt>
                <c:pt idx="9">
                  <c:v>2.2821576763485476E-2</c:v>
                </c:pt>
                <c:pt idx="10">
                  <c:v>0.47302904564315351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Koboko-Yumbe'!$S$9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Koboko-Yumbe'!$R$10:$R$21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Koboko-Yumbe'!$S$10:$S$21</c:f>
              <c:numCache>
                <c:formatCode>0</c:formatCode>
                <c:ptCount val="12"/>
                <c:pt idx="0">
                  <c:v>6</c:v>
                </c:pt>
                <c:pt idx="1">
                  <c:v>11</c:v>
                </c:pt>
                <c:pt idx="2">
                  <c:v>12</c:v>
                </c:pt>
                <c:pt idx="3">
                  <c:v>9</c:v>
                </c:pt>
                <c:pt idx="4">
                  <c:v>11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'05.08 Koboko-Yumbe'!$T$9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Koboko-Yumbe'!$R$10:$R$21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Koboko-Yumbe'!$T$10:$T$21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'05.08 Koboko-Yumbe'!$U$9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Koboko-Yumbe'!$U$10:$U$21</c:f>
              <c:numCache>
                <c:formatCode>0</c:formatCode>
                <c:ptCount val="12"/>
                <c:pt idx="0">
                  <c:v>5</c:v>
                </c:pt>
                <c:pt idx="1">
                  <c:v>12</c:v>
                </c:pt>
                <c:pt idx="2">
                  <c:v>8</c:v>
                </c:pt>
                <c:pt idx="3">
                  <c:v>12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5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'05.08 Koboko-Yumbe'!$V$9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Koboko-Yumbe'!$V$10:$V$21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'05.08 Koboko-Yumbe'!$W$9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Koboko-Yumbe'!$W$10:$W$21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'05.08 Koboko-Yumbe'!$X$9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Koboko-Yumbe'!$X$10:$X$21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'05.08 Koboko-Yumbe'!$Y$9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Koboko-Yumbe'!$Y$10:$Y$21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6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'05.08 Koboko-Yumbe'!$Z$9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Koboko-Yumbe'!$Z$10:$Z$21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'05.08 Koboko-Yumbe'!$AA$9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Koboko-Yumbe'!$AA$10:$AA$21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'05.08 Koboko-Yumbe'!$AB$9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Koboko-Yumbe'!$AB$10:$AB$21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'05.08 Koboko-Yumbe'!$AC$9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Koboko-Yumbe'!$AC$10:$AC$21</c:f>
              <c:numCache>
                <c:formatCode>0</c:formatCode>
                <c:ptCount val="12"/>
                <c:pt idx="0">
                  <c:v>14</c:v>
                </c:pt>
                <c:pt idx="1">
                  <c:v>30</c:v>
                </c:pt>
                <c:pt idx="2">
                  <c:v>19</c:v>
                </c:pt>
                <c:pt idx="3">
                  <c:v>29</c:v>
                </c:pt>
                <c:pt idx="4">
                  <c:v>24</c:v>
                </c:pt>
                <c:pt idx="5">
                  <c:v>18</c:v>
                </c:pt>
                <c:pt idx="6">
                  <c:v>10</c:v>
                </c:pt>
                <c:pt idx="7">
                  <c:v>22</c:v>
                </c:pt>
                <c:pt idx="8">
                  <c:v>17</c:v>
                </c:pt>
                <c:pt idx="9">
                  <c:v>15</c:v>
                </c:pt>
                <c:pt idx="10">
                  <c:v>10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'05.08 Koboko-Yumbe'!$AD$9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Koboko-Yumbe'!$AD$10:$AD$21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6825832"/>
        <c:axId val="376830144"/>
      </c:lineChart>
      <c:catAx>
        <c:axId val="376825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6830144"/>
        <c:crosses val="autoZero"/>
        <c:auto val="1"/>
        <c:lblAlgn val="ctr"/>
        <c:lblOffset val="100"/>
        <c:noMultiLvlLbl val="0"/>
      </c:catAx>
      <c:valAx>
        <c:axId val="37683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6825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Koboko-Yumbe'!$C$9:$N$9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Koboko-Yumbe'!$C$60:$N$60</c:f>
              <c:numCache>
                <c:formatCode>0.00%</c:formatCode>
                <c:ptCount val="12"/>
                <c:pt idx="0">
                  <c:v>0.39370078740157483</c:v>
                </c:pt>
                <c:pt idx="1">
                  <c:v>2.3622047244094488E-2</c:v>
                </c:pt>
                <c:pt idx="2">
                  <c:v>0.33858267716535434</c:v>
                </c:pt>
                <c:pt idx="3">
                  <c:v>3.1496062992125984E-2</c:v>
                </c:pt>
                <c:pt idx="4">
                  <c:v>3.937007874015748E-3</c:v>
                </c:pt>
                <c:pt idx="5">
                  <c:v>1.5748031496062992E-2</c:v>
                </c:pt>
                <c:pt idx="6">
                  <c:v>0.10236220472440945</c:v>
                </c:pt>
                <c:pt idx="7">
                  <c:v>3.1496062992125984E-2</c:v>
                </c:pt>
                <c:pt idx="8">
                  <c:v>1.5748031496062992E-2</c:v>
                </c:pt>
                <c:pt idx="9">
                  <c:v>4.3307086614173228E-2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Yumbe-Koboko'!$AE$9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Yumbe-Koboko'!$AE$10:$AE$21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15</c:v>
                </c:pt>
                <c:pt idx="3">
                  <c:v>13</c:v>
                </c:pt>
                <c:pt idx="4">
                  <c:v>12</c:v>
                </c:pt>
                <c:pt idx="5">
                  <c:v>12</c:v>
                </c:pt>
                <c:pt idx="6">
                  <c:v>22</c:v>
                </c:pt>
                <c:pt idx="7">
                  <c:v>17</c:v>
                </c:pt>
                <c:pt idx="8">
                  <c:v>15</c:v>
                </c:pt>
                <c:pt idx="9">
                  <c:v>17</c:v>
                </c:pt>
                <c:pt idx="10">
                  <c:v>41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'05.08 Yumbe-Koboko'!$AF$9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Yumbe-Koboko'!$AF$10:$AF$21</c:f>
              <c:numCache>
                <c:formatCode>0</c:formatCode>
                <c:ptCount val="12"/>
                <c:pt idx="0">
                  <c:v>13</c:v>
                </c:pt>
                <c:pt idx="1">
                  <c:v>24</c:v>
                </c:pt>
                <c:pt idx="2">
                  <c:v>38</c:v>
                </c:pt>
                <c:pt idx="3">
                  <c:v>34</c:v>
                </c:pt>
                <c:pt idx="4">
                  <c:v>27</c:v>
                </c:pt>
                <c:pt idx="5">
                  <c:v>29</c:v>
                </c:pt>
                <c:pt idx="6">
                  <c:v>34</c:v>
                </c:pt>
                <c:pt idx="7">
                  <c:v>37</c:v>
                </c:pt>
                <c:pt idx="8">
                  <c:v>34</c:v>
                </c:pt>
                <c:pt idx="9">
                  <c:v>23</c:v>
                </c:pt>
                <c:pt idx="10">
                  <c:v>62</c:v>
                </c:pt>
                <c:pt idx="11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4298880"/>
        <c:axId val="594299664"/>
      </c:lineChart>
      <c:catAx>
        <c:axId val="594298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94299664"/>
        <c:crosses val="autoZero"/>
        <c:auto val="1"/>
        <c:lblAlgn val="ctr"/>
        <c:lblOffset val="100"/>
        <c:noMultiLvlLbl val="0"/>
      </c:catAx>
      <c:valAx>
        <c:axId val="5942996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9429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Yumbe-Koboko'!$C$59:$N$59</c:f>
              <c:numCache>
                <c:formatCode>0.0%</c:formatCode>
                <c:ptCount val="12"/>
                <c:pt idx="0">
                  <c:v>0.23703703703703705</c:v>
                </c:pt>
                <c:pt idx="1">
                  <c:v>1.9753086419753086E-2</c:v>
                </c:pt>
                <c:pt idx="2">
                  <c:v>0.13333333333333333</c:v>
                </c:pt>
                <c:pt idx="3">
                  <c:v>3.2098765432098768E-2</c:v>
                </c:pt>
                <c:pt idx="4">
                  <c:v>2.4691358024691358E-3</c:v>
                </c:pt>
                <c:pt idx="5">
                  <c:v>1.7283950617283949E-2</c:v>
                </c:pt>
                <c:pt idx="6">
                  <c:v>3.7037037037037035E-2</c:v>
                </c:pt>
                <c:pt idx="7">
                  <c:v>4.9382716049382715E-3</c:v>
                </c:pt>
                <c:pt idx="8">
                  <c:v>4.9382716049382715E-3</c:v>
                </c:pt>
                <c:pt idx="9">
                  <c:v>7.4074074074074077E-3</c:v>
                </c:pt>
                <c:pt idx="10">
                  <c:v>0.50123456790123455</c:v>
                </c:pt>
                <c:pt idx="11">
                  <c:v>2.4691358024691358E-3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Yumbe-Koboko'!$S$9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Yumbe-Koboko'!$S$10:$S$21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6</c:v>
                </c:pt>
                <c:pt idx="6">
                  <c:v>7</c:v>
                </c:pt>
                <c:pt idx="7">
                  <c:v>10</c:v>
                </c:pt>
                <c:pt idx="8">
                  <c:v>9</c:v>
                </c:pt>
                <c:pt idx="9">
                  <c:v>8</c:v>
                </c:pt>
                <c:pt idx="10">
                  <c:v>20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'05.08 Yumbe-Koboko'!$T$9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Yumbe-Koboko'!$T$10:$T$21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'05.08 Yumbe-Koboko'!$U$9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Yumbe-Koboko'!$U$10:$U$21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1</c:v>
                </c:pt>
                <c:pt idx="5">
                  <c:v>4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'05.08 Yumbe-Koboko'!$V$9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Yumbe-Koboko'!$V$10:$V$21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'05.08 Yumbe-Koboko'!$W$9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Yumbe-Koboko'!$W$10:$W$21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'05.08 Yumbe-Koboko'!$X$9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Yumbe-Koboko'!$X$10:$X$21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'05.08 Yumbe-Koboko'!$Y$9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Yumbe-Koboko'!$Y$10:$Y$21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'05.08 Yumbe-Koboko'!$Z$9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Yumbe-Koboko'!$Z$10:$Z$21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'05.08 Yumbe-Koboko'!$AA$9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Yumbe-Koboko'!$AA$10:$AA$21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'05.08 Yumbe-Koboko'!$AB$9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Yumbe-Koboko'!$AB$10:$AB$21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'05.08 Yumbe-Koboko'!$AC$9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Yumbe-Koboko'!$AC$10:$AC$21</c:f>
              <c:numCache>
                <c:formatCode>0</c:formatCode>
                <c:ptCount val="12"/>
                <c:pt idx="0">
                  <c:v>8</c:v>
                </c:pt>
                <c:pt idx="1">
                  <c:v>17</c:v>
                </c:pt>
                <c:pt idx="2">
                  <c:v>23</c:v>
                </c:pt>
                <c:pt idx="3">
                  <c:v>21</c:v>
                </c:pt>
                <c:pt idx="4">
                  <c:v>15</c:v>
                </c:pt>
                <c:pt idx="5">
                  <c:v>17</c:v>
                </c:pt>
                <c:pt idx="6">
                  <c:v>12</c:v>
                </c:pt>
                <c:pt idx="7">
                  <c:v>20</c:v>
                </c:pt>
                <c:pt idx="8">
                  <c:v>19</c:v>
                </c:pt>
                <c:pt idx="9">
                  <c:v>6</c:v>
                </c:pt>
                <c:pt idx="10">
                  <c:v>21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'05.08 Yumbe-Koboko'!$AD$9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Yumbe-Koboko'!$AD$10:$AD$21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970976"/>
        <c:axId val="274199192"/>
      </c:lineChart>
      <c:catAx>
        <c:axId val="590970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74199192"/>
        <c:crosses val="autoZero"/>
        <c:auto val="1"/>
        <c:lblAlgn val="ctr"/>
        <c:lblOffset val="100"/>
        <c:noMultiLvlLbl val="0"/>
      </c:catAx>
      <c:valAx>
        <c:axId val="274199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9097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Yumbe-Koboko'!$C$60:$N$60</c:f>
              <c:numCache>
                <c:formatCode>0.00%</c:formatCode>
                <c:ptCount val="12"/>
                <c:pt idx="0">
                  <c:v>0.47524752475247523</c:v>
                </c:pt>
                <c:pt idx="1">
                  <c:v>3.9603960396039604E-2</c:v>
                </c:pt>
                <c:pt idx="2">
                  <c:v>0.26732673267326734</c:v>
                </c:pt>
                <c:pt idx="3">
                  <c:v>6.4356435643564358E-2</c:v>
                </c:pt>
                <c:pt idx="4">
                  <c:v>4.9504950495049506E-3</c:v>
                </c:pt>
                <c:pt idx="5">
                  <c:v>3.4653465346534656E-2</c:v>
                </c:pt>
                <c:pt idx="6">
                  <c:v>7.4257425742574254E-2</c:v>
                </c:pt>
                <c:pt idx="7">
                  <c:v>9.9009900990099011E-3</c:v>
                </c:pt>
                <c:pt idx="8">
                  <c:v>9.9009900990099011E-3</c:v>
                </c:pt>
                <c:pt idx="9">
                  <c:v>1.4851485148514851E-2</c:v>
                </c:pt>
                <c:pt idx="11">
                  <c:v>4.9504950495049506E-3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Koboko-Yumbe'!$AE$9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Koboko-Yumbe'!$R$10:$R$21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Koboko-Yumbe'!$AE$10:$AE$21</c:f>
              <c:numCache>
                <c:formatCode>0</c:formatCode>
                <c:ptCount val="12"/>
                <c:pt idx="0">
                  <c:v>10</c:v>
                </c:pt>
                <c:pt idx="1">
                  <c:v>26</c:v>
                </c:pt>
                <c:pt idx="2">
                  <c:v>24</c:v>
                </c:pt>
                <c:pt idx="3">
                  <c:v>26</c:v>
                </c:pt>
                <c:pt idx="4">
                  <c:v>23</c:v>
                </c:pt>
                <c:pt idx="5">
                  <c:v>21</c:v>
                </c:pt>
                <c:pt idx="6">
                  <c:v>18</c:v>
                </c:pt>
                <c:pt idx="7">
                  <c:v>17</c:v>
                </c:pt>
                <c:pt idx="8">
                  <c:v>18</c:v>
                </c:pt>
                <c:pt idx="9">
                  <c:v>18</c:v>
                </c:pt>
                <c:pt idx="10">
                  <c:v>21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'06.08 Koboko-Yumbe'!$AF$9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Koboko-Yumbe'!$R$10:$R$21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Koboko-Yumbe'!$AF$10:$AF$21</c:f>
              <c:numCache>
                <c:formatCode>0</c:formatCode>
                <c:ptCount val="12"/>
                <c:pt idx="0">
                  <c:v>34</c:v>
                </c:pt>
                <c:pt idx="1">
                  <c:v>50</c:v>
                </c:pt>
                <c:pt idx="2">
                  <c:v>43</c:v>
                </c:pt>
                <c:pt idx="3">
                  <c:v>48</c:v>
                </c:pt>
                <c:pt idx="4">
                  <c:v>46</c:v>
                </c:pt>
                <c:pt idx="5">
                  <c:v>38</c:v>
                </c:pt>
                <c:pt idx="6">
                  <c:v>39</c:v>
                </c:pt>
                <c:pt idx="7">
                  <c:v>36</c:v>
                </c:pt>
                <c:pt idx="8">
                  <c:v>36</c:v>
                </c:pt>
                <c:pt idx="9">
                  <c:v>39</c:v>
                </c:pt>
                <c:pt idx="10">
                  <c:v>39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6831320"/>
        <c:axId val="376825440"/>
      </c:lineChart>
      <c:catAx>
        <c:axId val="376831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6825440"/>
        <c:crosses val="autoZero"/>
        <c:auto val="1"/>
        <c:lblAlgn val="ctr"/>
        <c:lblOffset val="100"/>
        <c:noMultiLvlLbl val="0"/>
      </c:catAx>
      <c:valAx>
        <c:axId val="3768254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6831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Koboko-Yumbe'!$C$9:$N$9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Koboko-Yumbe'!$C$59:$N$59</c:f>
              <c:numCache>
                <c:formatCode>0.0%</c:formatCode>
                <c:ptCount val="12"/>
                <c:pt idx="0">
                  <c:v>0.19411764705882353</c:v>
                </c:pt>
                <c:pt idx="1">
                  <c:v>7.8431372549019607E-2</c:v>
                </c:pt>
                <c:pt idx="2">
                  <c:v>0.11764705882352941</c:v>
                </c:pt>
                <c:pt idx="3">
                  <c:v>2.1568627450980392E-2</c:v>
                </c:pt>
                <c:pt idx="4">
                  <c:v>7.8431372549019607E-3</c:v>
                </c:pt>
                <c:pt idx="5">
                  <c:v>1.7647058823529412E-2</c:v>
                </c:pt>
                <c:pt idx="6">
                  <c:v>5.6862745098039215E-2</c:v>
                </c:pt>
                <c:pt idx="7">
                  <c:v>1.3725490196078431E-2</c:v>
                </c:pt>
                <c:pt idx="8">
                  <c:v>1.9607843137254902E-3</c:v>
                </c:pt>
                <c:pt idx="9">
                  <c:v>5.8823529411764705E-3</c:v>
                </c:pt>
                <c:pt idx="10">
                  <c:v>0.48431372549019608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Koboko-Yumbe'!$S$9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Koboko-Yumbe'!$R$10:$R$21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Koboko-Yumbe'!$S$10:$S$21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10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8</c:v>
                </c:pt>
                <c:pt idx="9">
                  <c:v>7</c:v>
                </c:pt>
                <c:pt idx="10">
                  <c:v>9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'06.08 Koboko-Yumbe'!$T$9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Koboko-Yumbe'!$R$10:$R$21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Koboko-Yumbe'!$T$10:$T$21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'06.08 Koboko-Yumbe'!$U$9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Koboko-Yumbe'!$U$10:$U$21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5</c:v>
                </c:pt>
                <c:pt idx="3">
                  <c:v>8</c:v>
                </c:pt>
                <c:pt idx="4">
                  <c:v>5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'06.08 Koboko-Yumbe'!$V$9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Koboko-Yumbe'!$V$10:$V$21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'06.08 Koboko-Yumbe'!$W$9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Koboko-Yumbe'!$W$10:$W$21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'06.08 Koboko-Yumbe'!$X$9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Koboko-Yumbe'!$X$10:$X$21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'06.08 Koboko-Yumbe'!$Y$9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Koboko-Yumbe'!$Y$10:$Y$21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1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'06.08 Koboko-Yumbe'!$Z$9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Koboko-Yumbe'!$Z$10:$Z$21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'06.08 Koboko-Yumbe'!$AA$9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Koboko-Yumbe'!$AA$10:$AA$21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'06.08 Koboko-Yumbe'!$AB$9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Koboko-Yumbe'!$AB$10:$AB$21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'06.08 Koboko-Yumbe'!$AC$9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Koboko-Yumbe'!$AC$10:$AC$21</c:f>
              <c:numCache>
                <c:formatCode>0</c:formatCode>
                <c:ptCount val="12"/>
                <c:pt idx="0">
                  <c:v>24</c:v>
                </c:pt>
                <c:pt idx="1">
                  <c:v>24</c:v>
                </c:pt>
                <c:pt idx="2">
                  <c:v>19</c:v>
                </c:pt>
                <c:pt idx="3">
                  <c:v>22</c:v>
                </c:pt>
                <c:pt idx="4">
                  <c:v>23</c:v>
                </c:pt>
                <c:pt idx="5">
                  <c:v>17</c:v>
                </c:pt>
                <c:pt idx="6">
                  <c:v>21</c:v>
                </c:pt>
                <c:pt idx="7">
                  <c:v>19</c:v>
                </c:pt>
                <c:pt idx="8">
                  <c:v>18</c:v>
                </c:pt>
                <c:pt idx="9">
                  <c:v>21</c:v>
                </c:pt>
                <c:pt idx="10">
                  <c:v>18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'06.08 Koboko-Yumbe'!$AD$9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Koboko-Yumbe'!$AD$10:$AD$21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6830928"/>
        <c:axId val="376828184"/>
      </c:lineChart>
      <c:catAx>
        <c:axId val="376830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6828184"/>
        <c:crosses val="autoZero"/>
        <c:auto val="1"/>
        <c:lblAlgn val="ctr"/>
        <c:lblOffset val="100"/>
        <c:noMultiLvlLbl val="0"/>
      </c:catAx>
      <c:valAx>
        <c:axId val="376828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683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Koboko-Yumbe'!$C$9:$N$9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Koboko-Yumbe'!$C$60:$N$60</c:f>
              <c:numCache>
                <c:formatCode>0.00%</c:formatCode>
                <c:ptCount val="12"/>
                <c:pt idx="0">
                  <c:v>0.37642585551330798</c:v>
                </c:pt>
                <c:pt idx="1">
                  <c:v>0.15209125475285171</c:v>
                </c:pt>
                <c:pt idx="2">
                  <c:v>0.22813688212927757</c:v>
                </c:pt>
                <c:pt idx="3">
                  <c:v>4.1825095057034217E-2</c:v>
                </c:pt>
                <c:pt idx="4">
                  <c:v>1.5209125475285171E-2</c:v>
                </c:pt>
                <c:pt idx="5">
                  <c:v>3.4220532319391636E-2</c:v>
                </c:pt>
                <c:pt idx="6">
                  <c:v>0.11026615969581749</c:v>
                </c:pt>
                <c:pt idx="7">
                  <c:v>2.6615969581749048E-2</c:v>
                </c:pt>
                <c:pt idx="8">
                  <c:v>3.8022813688212928E-3</c:v>
                </c:pt>
                <c:pt idx="9">
                  <c:v>1.1406844106463879E-2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Yumbe-Koboko'!$AE$9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Yumbe-Koboko'!$AE$10:$AE$21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14</c:v>
                </c:pt>
                <c:pt idx="3">
                  <c:v>14</c:v>
                </c:pt>
                <c:pt idx="4">
                  <c:v>19</c:v>
                </c:pt>
                <c:pt idx="5">
                  <c:v>23</c:v>
                </c:pt>
                <c:pt idx="6">
                  <c:v>21</c:v>
                </c:pt>
                <c:pt idx="7">
                  <c:v>16</c:v>
                </c:pt>
                <c:pt idx="8">
                  <c:v>22</c:v>
                </c:pt>
                <c:pt idx="9">
                  <c:v>31</c:v>
                </c:pt>
                <c:pt idx="10">
                  <c:v>22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'06.08 Yumbe-Koboko'!$AF$9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Yumbe-Koboko'!$AF$10:$AF$21</c:f>
              <c:numCache>
                <c:formatCode>0</c:formatCode>
                <c:ptCount val="12"/>
                <c:pt idx="0">
                  <c:v>20</c:v>
                </c:pt>
                <c:pt idx="1">
                  <c:v>35</c:v>
                </c:pt>
                <c:pt idx="2">
                  <c:v>30</c:v>
                </c:pt>
                <c:pt idx="3">
                  <c:v>33</c:v>
                </c:pt>
                <c:pt idx="4">
                  <c:v>49</c:v>
                </c:pt>
                <c:pt idx="5">
                  <c:v>39</c:v>
                </c:pt>
                <c:pt idx="6">
                  <c:v>35</c:v>
                </c:pt>
                <c:pt idx="7">
                  <c:v>31</c:v>
                </c:pt>
                <c:pt idx="8">
                  <c:v>46</c:v>
                </c:pt>
                <c:pt idx="9">
                  <c:v>49</c:v>
                </c:pt>
                <c:pt idx="10">
                  <c:v>46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4196840"/>
        <c:axId val="274198016"/>
      </c:lineChart>
      <c:catAx>
        <c:axId val="2741968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74198016"/>
        <c:crosses val="autoZero"/>
        <c:auto val="1"/>
        <c:lblAlgn val="ctr"/>
        <c:lblOffset val="100"/>
        <c:noMultiLvlLbl val="0"/>
      </c:catAx>
      <c:valAx>
        <c:axId val="274198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74196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Yumbe-Koboko'!$C$59:$N$59</c:f>
              <c:numCache>
                <c:formatCode>0.0%</c:formatCode>
                <c:ptCount val="12"/>
                <c:pt idx="0">
                  <c:v>0.23348017621145375</c:v>
                </c:pt>
                <c:pt idx="1">
                  <c:v>2.2026431718061675E-2</c:v>
                </c:pt>
                <c:pt idx="2">
                  <c:v>0.13215859030837004</c:v>
                </c:pt>
                <c:pt idx="3">
                  <c:v>2.2026431718061675E-2</c:v>
                </c:pt>
                <c:pt idx="4">
                  <c:v>4.4052863436123352E-3</c:v>
                </c:pt>
                <c:pt idx="5">
                  <c:v>1.7621145374449341E-2</c:v>
                </c:pt>
                <c:pt idx="6">
                  <c:v>4.8458149779735685E-2</c:v>
                </c:pt>
                <c:pt idx="7">
                  <c:v>6.6079295154185024E-3</c:v>
                </c:pt>
                <c:pt idx="8">
                  <c:v>4.4052863436123352E-3</c:v>
                </c:pt>
                <c:pt idx="9">
                  <c:v>2.2026431718061676E-3</c:v>
                </c:pt>
                <c:pt idx="10">
                  <c:v>0.50660792951541855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Yumbe-Koboko'!$S$9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Yumbe-Koboko'!$S$10:$S$21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6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9</c:v>
                </c:pt>
                <c:pt idx="7">
                  <c:v>8</c:v>
                </c:pt>
                <c:pt idx="8">
                  <c:v>11</c:v>
                </c:pt>
                <c:pt idx="9">
                  <c:v>14</c:v>
                </c:pt>
                <c:pt idx="10">
                  <c:v>10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'06.08 Yumbe-Koboko'!$T$9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Yumbe-Koboko'!$R$10:$R$21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Yumbe-Koboko'!$T$10:$T$21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'06.08 Yumbe-Koboko'!$U$9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Yumbe-Koboko'!$U$10:$U$21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8</c:v>
                </c:pt>
                <c:pt idx="5">
                  <c:v>5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'06.08 Yumbe-Koboko'!$V$9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Yumbe-Koboko'!$V$10:$V$21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'06.08 Yumbe-Koboko'!$W$9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Yumbe-Koboko'!$W$10:$W$21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'06.08 Yumbe-Koboko'!$X$9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Yumbe-Koboko'!$X$10:$X$21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'06.08 Yumbe-Koboko'!$Y$9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Yumbe-Koboko'!$Y$10:$Y$21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6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'06.08 Yumbe-Koboko'!$Z$9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Yumbe-Koboko'!$Z$10:$Z$21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'06.08 Yumbe-Koboko'!$AA$9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Yumbe-Koboko'!$AA$10:$AA$21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'06.08 Yumbe-Koboko'!$AB$9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Yumbe-Koboko'!$AB$10:$AB$21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'06.08 Yumbe-Koboko'!$AC$9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Yumbe-Koboko'!$AC$10:$AC$21</c:f>
              <c:numCache>
                <c:formatCode>0</c:formatCode>
                <c:ptCount val="12"/>
                <c:pt idx="0">
                  <c:v>12</c:v>
                </c:pt>
                <c:pt idx="1">
                  <c:v>28</c:v>
                </c:pt>
                <c:pt idx="2">
                  <c:v>16</c:v>
                </c:pt>
                <c:pt idx="3">
                  <c:v>19</c:v>
                </c:pt>
                <c:pt idx="4">
                  <c:v>30</c:v>
                </c:pt>
                <c:pt idx="5">
                  <c:v>16</c:v>
                </c:pt>
                <c:pt idx="6">
                  <c:v>14</c:v>
                </c:pt>
                <c:pt idx="7">
                  <c:v>15</c:v>
                </c:pt>
                <c:pt idx="8">
                  <c:v>24</c:v>
                </c:pt>
                <c:pt idx="9">
                  <c:v>18</c:v>
                </c:pt>
                <c:pt idx="10">
                  <c:v>24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'06.08 Yumbe-Koboko'!$AD$9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Yumbe-Koboko'!$AD$10:$AD$21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4195272"/>
        <c:axId val="274200368"/>
      </c:lineChart>
      <c:catAx>
        <c:axId val="274195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74200368"/>
        <c:crosses val="autoZero"/>
        <c:auto val="1"/>
        <c:lblAlgn val="ctr"/>
        <c:lblOffset val="100"/>
        <c:noMultiLvlLbl val="0"/>
      </c:catAx>
      <c:valAx>
        <c:axId val="27420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74195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Yumbe-Koboko'!$C$60:$N$60</c:f>
              <c:numCache>
                <c:formatCode>0.00%</c:formatCode>
                <c:ptCount val="12"/>
                <c:pt idx="0">
                  <c:v>0.4732142857142857</c:v>
                </c:pt>
                <c:pt idx="1">
                  <c:v>4.4642857142857144E-2</c:v>
                </c:pt>
                <c:pt idx="2">
                  <c:v>0.26785714285714285</c:v>
                </c:pt>
                <c:pt idx="3">
                  <c:v>4.4642857142857144E-2</c:v>
                </c:pt>
                <c:pt idx="4">
                  <c:v>8.9285714285714281E-3</c:v>
                </c:pt>
                <c:pt idx="5">
                  <c:v>3.5714285714285712E-2</c:v>
                </c:pt>
                <c:pt idx="6">
                  <c:v>9.8214285714285712E-2</c:v>
                </c:pt>
                <c:pt idx="7">
                  <c:v>1.3392857142857142E-2</c:v>
                </c:pt>
                <c:pt idx="8">
                  <c:v>8.9285714285714281E-3</c:v>
                </c:pt>
                <c:pt idx="9">
                  <c:v>4.464285714285714E-3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Koboko-Yumbe'!$AE$9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Koboko-Yumbe'!$R$10:$R$33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Koboko-Yumbe'!$AE$10:$AE$33</c:f>
              <c:numCache>
                <c:formatCode>0</c:formatCode>
                <c:ptCount val="24"/>
                <c:pt idx="0">
                  <c:v>11.142857142857142</c:v>
                </c:pt>
                <c:pt idx="1">
                  <c:v>23.857142857142861</c:v>
                </c:pt>
                <c:pt idx="2">
                  <c:v>24.428571428571431</c:v>
                </c:pt>
                <c:pt idx="3">
                  <c:v>24.285714285714285</c:v>
                </c:pt>
                <c:pt idx="4">
                  <c:v>18.857142857142858</c:v>
                </c:pt>
                <c:pt idx="5">
                  <c:v>17.714285714285712</c:v>
                </c:pt>
                <c:pt idx="6">
                  <c:v>13.714285714285714</c:v>
                </c:pt>
                <c:pt idx="7">
                  <c:v>14.999999999999998</c:v>
                </c:pt>
                <c:pt idx="8">
                  <c:v>16.428571428571431</c:v>
                </c:pt>
                <c:pt idx="9">
                  <c:v>16</c:v>
                </c:pt>
                <c:pt idx="10">
                  <c:v>17.285714285714285</c:v>
                </c:pt>
                <c:pt idx="11">
                  <c:v>21.428571428571431</c:v>
                </c:pt>
                <c:pt idx="12">
                  <c:v>22</c:v>
                </c:pt>
                <c:pt idx="13">
                  <c:v>6</c:v>
                </c:pt>
                <c:pt idx="14">
                  <c:v>3.5</c:v>
                </c:pt>
                <c:pt idx="15">
                  <c:v>1.5</c:v>
                </c:pt>
                <c:pt idx="16">
                  <c:v>0.5</c:v>
                </c:pt>
                <c:pt idx="17">
                  <c:v>1.5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6</c:v>
                </c:pt>
                <c:pt idx="23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Koboko-Yumbe'!$AF$9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Koboko-Yumbe'!$R$10:$R$33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Koboko-Yumbe'!$AF$10:$AF$33</c:f>
              <c:numCache>
                <c:formatCode>0</c:formatCode>
                <c:ptCount val="24"/>
                <c:pt idx="0">
                  <c:v>40.714285714285715</c:v>
                </c:pt>
                <c:pt idx="1">
                  <c:v>63.571428571428569</c:v>
                </c:pt>
                <c:pt idx="2">
                  <c:v>61.428571428571431</c:v>
                </c:pt>
                <c:pt idx="3">
                  <c:v>60.857142857142861</c:v>
                </c:pt>
                <c:pt idx="4">
                  <c:v>60.285714285714292</c:v>
                </c:pt>
                <c:pt idx="5">
                  <c:v>61.714285714285708</c:v>
                </c:pt>
                <c:pt idx="6">
                  <c:v>45</c:v>
                </c:pt>
                <c:pt idx="7">
                  <c:v>44.285714285714278</c:v>
                </c:pt>
                <c:pt idx="8">
                  <c:v>53.428571428571431</c:v>
                </c:pt>
                <c:pt idx="9">
                  <c:v>51.714285714285708</c:v>
                </c:pt>
                <c:pt idx="10">
                  <c:v>57.571428571428569</c:v>
                </c:pt>
                <c:pt idx="11">
                  <c:v>66.142857142857153</c:v>
                </c:pt>
                <c:pt idx="12">
                  <c:v>44</c:v>
                </c:pt>
                <c:pt idx="13">
                  <c:v>19</c:v>
                </c:pt>
                <c:pt idx="14">
                  <c:v>7.5</c:v>
                </c:pt>
                <c:pt idx="15">
                  <c:v>3</c:v>
                </c:pt>
                <c:pt idx="16">
                  <c:v>2.5</c:v>
                </c:pt>
                <c:pt idx="17">
                  <c:v>2.5</c:v>
                </c:pt>
                <c:pt idx="18">
                  <c:v>0.5</c:v>
                </c:pt>
                <c:pt idx="19">
                  <c:v>0.5</c:v>
                </c:pt>
                <c:pt idx="20">
                  <c:v>1</c:v>
                </c:pt>
                <c:pt idx="21">
                  <c:v>0.5</c:v>
                </c:pt>
                <c:pt idx="22">
                  <c:v>9</c:v>
                </c:pt>
                <c:pt idx="23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6823872"/>
        <c:axId val="376824656"/>
      </c:lineChart>
      <c:catAx>
        <c:axId val="376823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6824656"/>
        <c:crosses val="autoZero"/>
        <c:auto val="1"/>
        <c:lblAlgn val="ctr"/>
        <c:lblOffset val="100"/>
        <c:noMultiLvlLbl val="0"/>
      </c:catAx>
      <c:valAx>
        <c:axId val="3768246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7682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Koboko-Yumbe'!$C$9:$N$9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Koboko-Yumbe'!$C$107:$N$107</c:f>
              <c:numCache>
                <c:formatCode>0.0%</c:formatCode>
                <c:ptCount val="12"/>
                <c:pt idx="0">
                  <c:v>0.15771936319881519</c:v>
                </c:pt>
                <c:pt idx="1">
                  <c:v>2.5175860792299148E-2</c:v>
                </c:pt>
                <c:pt idx="2">
                  <c:v>8.5894113291373586E-2</c:v>
                </c:pt>
                <c:pt idx="3">
                  <c:v>2.3880044427989633E-2</c:v>
                </c:pt>
                <c:pt idx="4">
                  <c:v>5.2758237689744534E-3</c:v>
                </c:pt>
                <c:pt idx="5">
                  <c:v>9.163272861902997E-3</c:v>
                </c:pt>
                <c:pt idx="6">
                  <c:v>2.7397260273972594E-2</c:v>
                </c:pt>
                <c:pt idx="7">
                  <c:v>9.8111810440577579E-3</c:v>
                </c:pt>
                <c:pt idx="8">
                  <c:v>3.3320992225101807E-3</c:v>
                </c:pt>
                <c:pt idx="9">
                  <c:v>6.3865235098111801E-3</c:v>
                </c:pt>
                <c:pt idx="10">
                  <c:v>0.64411329137356532</c:v>
                </c:pt>
                <c:pt idx="11">
                  <c:v>1.8511662347278784E-3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Koboko-Yumbe'!$C$9:$N$9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Koboko-Yumbe'!$C$108:$N$108</c:f>
              <c:numCache>
                <c:formatCode>0.00%</c:formatCode>
                <c:ptCount val="12"/>
                <c:pt idx="0">
                  <c:v>0.44317295188556544</c:v>
                </c:pt>
                <c:pt idx="1">
                  <c:v>7.0741222366710002E-2</c:v>
                </c:pt>
                <c:pt idx="2">
                  <c:v>0.24135240572171651</c:v>
                </c:pt>
                <c:pt idx="3">
                  <c:v>6.7100130039011691E-2</c:v>
                </c:pt>
                <c:pt idx="4">
                  <c:v>1.4824447334200255E-2</c:v>
                </c:pt>
                <c:pt idx="5">
                  <c:v>2.5747724317295176E-2</c:v>
                </c:pt>
                <c:pt idx="6">
                  <c:v>7.6983094928478504E-2</c:v>
                </c:pt>
                <c:pt idx="7">
                  <c:v>2.7568270481144345E-2</c:v>
                </c:pt>
                <c:pt idx="8">
                  <c:v>9.3628088426527915E-3</c:v>
                </c:pt>
                <c:pt idx="9">
                  <c:v>1.7945383615084517E-2</c:v>
                </c:pt>
                <c:pt idx="11">
                  <c:v>5.2015604681404405E-3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Yumbe-Koboko'!$AE$9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Yumbe-Koboko'!$R$10:$R$33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Yumbe-Koboko'!$AE$10:$AE$33</c:f>
              <c:numCache>
                <c:formatCode>0</c:formatCode>
                <c:ptCount val="24"/>
                <c:pt idx="0">
                  <c:v>10.285714285714285</c:v>
                </c:pt>
                <c:pt idx="1">
                  <c:v>10.285714285714285</c:v>
                </c:pt>
                <c:pt idx="2">
                  <c:v>15.571428571428571</c:v>
                </c:pt>
                <c:pt idx="3">
                  <c:v>14.714285714285712</c:v>
                </c:pt>
                <c:pt idx="4">
                  <c:v>11.999999999999998</c:v>
                </c:pt>
                <c:pt idx="5">
                  <c:v>13.999999999999998</c:v>
                </c:pt>
                <c:pt idx="6">
                  <c:v>18.285714285714288</c:v>
                </c:pt>
                <c:pt idx="7">
                  <c:v>13.857142857142856</c:v>
                </c:pt>
                <c:pt idx="8">
                  <c:v>16.142857142857142</c:v>
                </c:pt>
                <c:pt idx="9">
                  <c:v>21.714285714285715</c:v>
                </c:pt>
                <c:pt idx="10">
                  <c:v>23.142857142857146</c:v>
                </c:pt>
                <c:pt idx="11">
                  <c:v>24.952380952380953</c:v>
                </c:pt>
                <c:pt idx="12">
                  <c:v>15</c:v>
                </c:pt>
                <c:pt idx="13">
                  <c:v>10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1.5</c:v>
                </c:pt>
                <c:pt idx="18">
                  <c:v>2.5</c:v>
                </c:pt>
                <c:pt idx="19">
                  <c:v>0</c:v>
                </c:pt>
                <c:pt idx="20">
                  <c:v>0.5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Yumbe-Koboko'!$AF$9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Yumbe-Koboko'!$R$10:$R$33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Yumbe-Koboko'!$AF$10:$AF$33</c:f>
              <c:numCache>
                <c:formatCode>0</c:formatCode>
                <c:ptCount val="24"/>
                <c:pt idx="0">
                  <c:v>41.857142857142861</c:v>
                </c:pt>
                <c:pt idx="1">
                  <c:v>48.714285714285715</c:v>
                </c:pt>
                <c:pt idx="2">
                  <c:v>55.428571428571431</c:v>
                </c:pt>
                <c:pt idx="3">
                  <c:v>52.857142857142861</c:v>
                </c:pt>
                <c:pt idx="4">
                  <c:v>46.428571428571431</c:v>
                </c:pt>
                <c:pt idx="5">
                  <c:v>45.428571428571431</c:v>
                </c:pt>
                <c:pt idx="6">
                  <c:v>47</c:v>
                </c:pt>
                <c:pt idx="7">
                  <c:v>38.285714285714285</c:v>
                </c:pt>
                <c:pt idx="8">
                  <c:v>49.571428571428569</c:v>
                </c:pt>
                <c:pt idx="9">
                  <c:v>49.142857142857146</c:v>
                </c:pt>
                <c:pt idx="10">
                  <c:v>60.142857142857139</c:v>
                </c:pt>
                <c:pt idx="11">
                  <c:v>66.523809523809518</c:v>
                </c:pt>
                <c:pt idx="12">
                  <c:v>29</c:v>
                </c:pt>
                <c:pt idx="13">
                  <c:v>14.5</c:v>
                </c:pt>
                <c:pt idx="14">
                  <c:v>5.5</c:v>
                </c:pt>
                <c:pt idx="15">
                  <c:v>2.5</c:v>
                </c:pt>
                <c:pt idx="16">
                  <c:v>1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0.5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3674192"/>
        <c:axId val="403674584"/>
      </c:lineChart>
      <c:catAx>
        <c:axId val="4036741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03674584"/>
        <c:crosses val="autoZero"/>
        <c:auto val="1"/>
        <c:lblAlgn val="ctr"/>
        <c:lblOffset val="100"/>
        <c:noMultiLvlLbl val="0"/>
      </c:catAx>
      <c:valAx>
        <c:axId val="403674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0367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Yumbe-Koboko'!$C$107:$N$107</c:f>
              <c:numCache>
                <c:formatCode>0.0%</c:formatCode>
                <c:ptCount val="12"/>
                <c:pt idx="0">
                  <c:v>0.16024442846872755</c:v>
                </c:pt>
                <c:pt idx="1">
                  <c:v>1.1214953271028037E-2</c:v>
                </c:pt>
                <c:pt idx="2">
                  <c:v>9.0366642703091318E-2</c:v>
                </c:pt>
                <c:pt idx="3">
                  <c:v>2.7857656362329265E-2</c:v>
                </c:pt>
                <c:pt idx="4">
                  <c:v>4.3134435657800133E-3</c:v>
                </c:pt>
                <c:pt idx="5">
                  <c:v>8.6268871315600282E-3</c:v>
                </c:pt>
                <c:pt idx="6">
                  <c:v>2.631200575125809E-2</c:v>
                </c:pt>
                <c:pt idx="7">
                  <c:v>5.3918044572250166E-3</c:v>
                </c:pt>
                <c:pt idx="8">
                  <c:v>1.9410496046010058E-3</c:v>
                </c:pt>
                <c:pt idx="9">
                  <c:v>6.0388209920920182E-3</c:v>
                </c:pt>
                <c:pt idx="10">
                  <c:v>0.65510424155283953</c:v>
                </c:pt>
                <c:pt idx="11">
                  <c:v>2.5880661394680083E-3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Yumbe-Koboko'!$C$9:$N$9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Yumbe-Koboko'!$C$108:$N$108</c:f>
              <c:numCache>
                <c:formatCode>0.00%</c:formatCode>
                <c:ptCount val="12"/>
                <c:pt idx="0">
                  <c:v>0.464616988014591</c:v>
                </c:pt>
                <c:pt idx="1">
                  <c:v>3.251693590411673E-2</c:v>
                </c:pt>
                <c:pt idx="2">
                  <c:v>0.26201146430432526</c:v>
                </c:pt>
                <c:pt idx="3">
                  <c:v>8.0771235018238685E-2</c:v>
                </c:pt>
                <c:pt idx="4">
                  <c:v>1.2506513809275664E-2</c:v>
                </c:pt>
                <c:pt idx="5">
                  <c:v>2.5013027618551332E-2</c:v>
                </c:pt>
                <c:pt idx="6">
                  <c:v>7.6289734236581572E-2</c:v>
                </c:pt>
                <c:pt idx="7">
                  <c:v>1.5633142261594579E-2</c:v>
                </c:pt>
                <c:pt idx="8">
                  <c:v>5.6279312141740475E-3</c:v>
                </c:pt>
                <c:pt idx="9">
                  <c:v>1.7509119332985927E-2</c:v>
                </c:pt>
                <c:pt idx="11">
                  <c:v>7.5039082855653987E-3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Koboko-Yumbe-2Dir'!$C$9:$N$9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Koboko-Yumbe-2Dir'!$C$107:$N$107</c:f>
              <c:numCache>
                <c:formatCode>0.0%</c:formatCode>
                <c:ptCount val="12"/>
                <c:pt idx="0">
                  <c:v>0.15888564218355689</c:v>
                </c:pt>
                <c:pt idx="1">
                  <c:v>1.872758666489573E-2</c:v>
                </c:pt>
                <c:pt idx="2">
                  <c:v>8.7959888431398611E-2</c:v>
                </c:pt>
                <c:pt idx="3">
                  <c:v>2.5717226723336432E-2</c:v>
                </c:pt>
                <c:pt idx="4">
                  <c:v>4.8313189002523564E-3</c:v>
                </c:pt>
                <c:pt idx="5">
                  <c:v>8.9155266303626007E-3</c:v>
                </c:pt>
                <c:pt idx="6">
                  <c:v>2.6896002125116215E-2</c:v>
                </c:pt>
                <c:pt idx="7">
                  <c:v>7.7699561694780208E-3</c:v>
                </c:pt>
                <c:pt idx="8">
                  <c:v>2.689600212511621E-3</c:v>
                </c:pt>
                <c:pt idx="9">
                  <c:v>6.2259264178509775E-3</c:v>
                </c:pt>
                <c:pt idx="10">
                  <c:v>0.64918979944215693</c:v>
                </c:pt>
                <c:pt idx="11">
                  <c:v>2.1915260990835435E-3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Koboko-Yumbe-2Dir'!$C$9:$N$9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Koboko-Yumbe-2Dir'!$C$108:$N$108</c:f>
              <c:numCache>
                <c:formatCode>0.00%</c:formatCode>
                <c:ptCount val="12"/>
                <c:pt idx="0">
                  <c:v>0.45291055371509681</c:v>
                </c:pt>
                <c:pt idx="1">
                  <c:v>5.3383814481779424E-2</c:v>
                </c:pt>
                <c:pt idx="2">
                  <c:v>0.25073355418835774</c:v>
                </c:pt>
                <c:pt idx="3">
                  <c:v>7.3308092759110252E-2</c:v>
                </c:pt>
                <c:pt idx="4">
                  <c:v>1.3771888310459056E-2</c:v>
                </c:pt>
                <c:pt idx="5">
                  <c:v>2.5414103170847135E-2</c:v>
                </c:pt>
                <c:pt idx="6">
                  <c:v>7.666824420255558E-2</c:v>
                </c:pt>
                <c:pt idx="7">
                  <c:v>2.2148603880738287E-2</c:v>
                </c:pt>
                <c:pt idx="8">
                  <c:v>7.666824420255557E-3</c:v>
                </c:pt>
                <c:pt idx="9">
                  <c:v>1.7747278750591573E-2</c:v>
                </c:pt>
                <c:pt idx="11">
                  <c:v>6.2470421202082318E-3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Koboko-Yumbe-2Dir'!$AE$9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Koboko-Yumbe-2Dir'!$R$10:$R$33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Koboko-Yumbe-2Dir'!$AE$10:$AE$33</c:f>
              <c:numCache>
                <c:formatCode>0</c:formatCode>
                <c:ptCount val="24"/>
                <c:pt idx="0">
                  <c:v>21.428571428571431</c:v>
                </c:pt>
                <c:pt idx="1">
                  <c:v>34.142857142857153</c:v>
                </c:pt>
                <c:pt idx="2">
                  <c:v>39.999999999999993</c:v>
                </c:pt>
                <c:pt idx="3">
                  <c:v>38.999999999999993</c:v>
                </c:pt>
                <c:pt idx="4">
                  <c:v>30.857142857142861</c:v>
                </c:pt>
                <c:pt idx="5">
                  <c:v>31.714285714285715</c:v>
                </c:pt>
                <c:pt idx="6">
                  <c:v>32</c:v>
                </c:pt>
                <c:pt idx="7">
                  <c:v>28.857142857142861</c:v>
                </c:pt>
                <c:pt idx="8">
                  <c:v>32.571428571428569</c:v>
                </c:pt>
                <c:pt idx="9">
                  <c:v>37.714285714285715</c:v>
                </c:pt>
                <c:pt idx="10">
                  <c:v>40.428571428571423</c:v>
                </c:pt>
                <c:pt idx="11">
                  <c:v>46.38095238095238</c:v>
                </c:pt>
                <c:pt idx="12">
                  <c:v>37</c:v>
                </c:pt>
                <c:pt idx="13">
                  <c:v>16</c:v>
                </c:pt>
                <c:pt idx="14">
                  <c:v>5.5</c:v>
                </c:pt>
                <c:pt idx="15">
                  <c:v>2.5</c:v>
                </c:pt>
                <c:pt idx="16">
                  <c:v>1.5</c:v>
                </c:pt>
                <c:pt idx="17">
                  <c:v>3</c:v>
                </c:pt>
                <c:pt idx="18">
                  <c:v>3</c:v>
                </c:pt>
                <c:pt idx="19">
                  <c:v>0.5</c:v>
                </c:pt>
                <c:pt idx="20">
                  <c:v>1</c:v>
                </c:pt>
                <c:pt idx="21">
                  <c:v>0.5</c:v>
                </c:pt>
                <c:pt idx="22">
                  <c:v>6</c:v>
                </c:pt>
                <c:pt idx="23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E7-4756-915A-39FEC1030411}"/>
            </c:ext>
          </c:extLst>
        </c:ser>
        <c:ser>
          <c:idx val="1"/>
          <c:order val="1"/>
          <c:tx>
            <c:strRef>
              <c:f>'Avg Week Koboko-Yumbe-2Dir'!$AF$9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Koboko-Yumbe-2Dir'!$R$10:$R$33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Koboko-Yumbe-2Dir'!$AF$10:$AF$33</c:f>
              <c:numCache>
                <c:formatCode>0</c:formatCode>
                <c:ptCount val="24"/>
                <c:pt idx="0">
                  <c:v>82.571428571428569</c:v>
                </c:pt>
                <c:pt idx="1">
                  <c:v>112.28571428571431</c:v>
                </c:pt>
                <c:pt idx="2">
                  <c:v>116.85714285714285</c:v>
                </c:pt>
                <c:pt idx="3">
                  <c:v>113.71428571428571</c:v>
                </c:pt>
                <c:pt idx="4">
                  <c:v>106.71428571428572</c:v>
                </c:pt>
                <c:pt idx="5">
                  <c:v>107.14285714285714</c:v>
                </c:pt>
                <c:pt idx="6">
                  <c:v>92</c:v>
                </c:pt>
                <c:pt idx="7">
                  <c:v>82.571428571428569</c:v>
                </c:pt>
                <c:pt idx="8">
                  <c:v>102.99999999999999</c:v>
                </c:pt>
                <c:pt idx="9">
                  <c:v>100.85714285714286</c:v>
                </c:pt>
                <c:pt idx="10">
                  <c:v>117.71428571428572</c:v>
                </c:pt>
                <c:pt idx="11">
                  <c:v>132.66666666666666</c:v>
                </c:pt>
                <c:pt idx="12">
                  <c:v>73</c:v>
                </c:pt>
                <c:pt idx="13">
                  <c:v>33.5</c:v>
                </c:pt>
                <c:pt idx="14">
                  <c:v>13</c:v>
                </c:pt>
                <c:pt idx="15">
                  <c:v>5.5</c:v>
                </c:pt>
                <c:pt idx="16">
                  <c:v>3.5</c:v>
                </c:pt>
                <c:pt idx="17">
                  <c:v>4.5</c:v>
                </c:pt>
                <c:pt idx="18">
                  <c:v>3.5</c:v>
                </c:pt>
                <c:pt idx="19">
                  <c:v>0.5</c:v>
                </c:pt>
                <c:pt idx="20">
                  <c:v>1.5</c:v>
                </c:pt>
                <c:pt idx="21">
                  <c:v>0.5</c:v>
                </c:pt>
                <c:pt idx="22">
                  <c:v>9</c:v>
                </c:pt>
                <c:pt idx="23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CE7-4756-915A-39FEC1030411}"/>
            </c:ext>
          </c:extLst>
        </c:ser>
        <c:ser>
          <c:idx val="5"/>
          <c:order val="2"/>
          <c:tx>
            <c:strRef>
              <c:f>'Avg Week Koboko-Yumbe-2Dir'!$AC$9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Koboko-Yumbe-2Dir'!$R$10:$R$33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Koboko-Yumbe-2Dir'!$AC$10:$AC$33</c:f>
              <c:numCache>
                <c:formatCode>0</c:formatCode>
                <c:ptCount val="24"/>
                <c:pt idx="0">
                  <c:v>61.142857142857139</c:v>
                </c:pt>
                <c:pt idx="1">
                  <c:v>78.142857142857139</c:v>
                </c:pt>
                <c:pt idx="2">
                  <c:v>76.857142857142861</c:v>
                </c:pt>
                <c:pt idx="3">
                  <c:v>74.714285714285722</c:v>
                </c:pt>
                <c:pt idx="4">
                  <c:v>75.857142857142861</c:v>
                </c:pt>
                <c:pt idx="5">
                  <c:v>75.428571428571431</c:v>
                </c:pt>
                <c:pt idx="6">
                  <c:v>60</c:v>
                </c:pt>
                <c:pt idx="7">
                  <c:v>53.714285714285708</c:v>
                </c:pt>
                <c:pt idx="8">
                  <c:v>70.428571428571416</c:v>
                </c:pt>
                <c:pt idx="9">
                  <c:v>63.142857142857146</c:v>
                </c:pt>
                <c:pt idx="10">
                  <c:v>77.285714285714292</c:v>
                </c:pt>
                <c:pt idx="11">
                  <c:v>86.285714285714278</c:v>
                </c:pt>
                <c:pt idx="12">
                  <c:v>36</c:v>
                </c:pt>
                <c:pt idx="13">
                  <c:v>17.5</c:v>
                </c:pt>
                <c:pt idx="14">
                  <c:v>7.5</c:v>
                </c:pt>
                <c:pt idx="15">
                  <c:v>3</c:v>
                </c:pt>
                <c:pt idx="16">
                  <c:v>2</c:v>
                </c:pt>
                <c:pt idx="17">
                  <c:v>1.5</c:v>
                </c:pt>
                <c:pt idx="18">
                  <c:v>0.5</c:v>
                </c:pt>
                <c:pt idx="19">
                  <c:v>0</c:v>
                </c:pt>
                <c:pt idx="20">
                  <c:v>0.5</c:v>
                </c:pt>
                <c:pt idx="21">
                  <c:v>0</c:v>
                </c:pt>
                <c:pt idx="22">
                  <c:v>3</c:v>
                </c:pt>
                <c:pt idx="23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E7-4756-915A-39FEC1030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Koboko-Yumbe-2Dir'!$S$9:$AF$9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Koboko-Yumbe-2Dir'!$S$41:$AF$41</c:f>
              <c:numCache>
                <c:formatCode>0</c:formatCode>
                <c:ptCount val="14"/>
                <c:pt idx="0">
                  <c:v>227.85714285714286</c:v>
                </c:pt>
                <c:pt idx="1">
                  <c:v>26.857142857142854</c:v>
                </c:pt>
                <c:pt idx="2">
                  <c:v>126.14285714285714</c:v>
                </c:pt>
                <c:pt idx="3">
                  <c:v>36.88095238095238</c:v>
                </c:pt>
                <c:pt idx="4">
                  <c:v>6.9285714285714279</c:v>
                </c:pt>
                <c:pt idx="5">
                  <c:v>12.785714285714285</c:v>
                </c:pt>
                <c:pt idx="6">
                  <c:v>38.571428571428569</c:v>
                </c:pt>
                <c:pt idx="7">
                  <c:v>11.142857142857142</c:v>
                </c:pt>
                <c:pt idx="8">
                  <c:v>3.8571428571428568</c:v>
                </c:pt>
                <c:pt idx="9">
                  <c:v>8.9285714285714288</c:v>
                </c:pt>
                <c:pt idx="10">
                  <c:v>931</c:v>
                </c:pt>
                <c:pt idx="11">
                  <c:v>3.1428571428571428</c:v>
                </c:pt>
                <c:pt idx="12">
                  <c:v>503.09523809523807</c:v>
                </c:pt>
                <c:pt idx="13">
                  <c:v>1434.0952380952381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CF-4F28-BF0D-D2B5F5E81E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Koboko-Yumbe-2Dir'!$S$9:$AF$9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Koboko-Yumbe-2Dir'!$S$42:$AF$42</c:f>
              <c:numCache>
                <c:formatCode>0.000</c:formatCode>
                <c:ptCount val="14"/>
                <c:pt idx="0">
                  <c:v>1.1753868828297716</c:v>
                </c:pt>
                <c:pt idx="1">
                  <c:v>1.125748502994012</c:v>
                </c:pt>
                <c:pt idx="2">
                  <c:v>1.2112482853223594</c:v>
                </c:pt>
                <c:pt idx="3">
                  <c:v>1.3980144404332131</c:v>
                </c:pt>
                <c:pt idx="4">
                  <c:v>1.5645161290322582</c:v>
                </c:pt>
                <c:pt idx="5">
                  <c:v>1.3769230769230769</c:v>
                </c:pt>
                <c:pt idx="6">
                  <c:v>1.2217194570135745</c:v>
                </c:pt>
                <c:pt idx="7">
                  <c:v>1.21875</c:v>
                </c:pt>
                <c:pt idx="8">
                  <c:v>1.35</c:v>
                </c:pt>
                <c:pt idx="9">
                  <c:v>1.2019230769230769</c:v>
                </c:pt>
                <c:pt idx="10">
                  <c:v>1.0914419695193436</c:v>
                </c:pt>
                <c:pt idx="11">
                  <c:v>1.4666666666666668</c:v>
                </c:pt>
                <c:pt idx="12">
                  <c:v>1.2119995411265343</c:v>
                </c:pt>
                <c:pt idx="13">
                  <c:v>1.1309049943672549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1A-4107-BE44-A8CA1A2A230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6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1.xml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95250</xdr:colOff>
      <xdr:row>36</xdr:row>
      <xdr:rowOff>142875</xdr:rowOff>
    </xdr:from>
    <xdr:to>
      <xdr:col>28</xdr:col>
      <xdr:colOff>269874</xdr:colOff>
      <xdr:row>50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22224</xdr:rowOff>
    </xdr:from>
    <xdr:to>
      <xdr:col>28</xdr:col>
      <xdr:colOff>15875</xdr:colOff>
      <xdr:row>58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57</xdr:row>
      <xdr:rowOff>263525</xdr:rowOff>
    </xdr:from>
    <xdr:to>
      <xdr:col>24</xdr:col>
      <xdr:colOff>0</xdr:colOff>
      <xdr:row>72</xdr:row>
      <xdr:rowOff>63500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57</xdr:row>
      <xdr:rowOff>269875</xdr:rowOff>
    </xdr:from>
    <xdr:to>
      <xdr:col>31</xdr:col>
      <xdr:colOff>0</xdr:colOff>
      <xdr:row>72</xdr:row>
      <xdr:rowOff>69850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22224</xdr:rowOff>
    </xdr:from>
    <xdr:to>
      <xdr:col>27</xdr:col>
      <xdr:colOff>714374</xdr:colOff>
      <xdr:row>59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247650</xdr:rowOff>
    </xdr:from>
    <xdr:to>
      <xdr:col>23</xdr:col>
      <xdr:colOff>698500</xdr:colOff>
      <xdr:row>73</xdr:row>
      <xdr:rowOff>47625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698501</xdr:colOff>
      <xdr:row>58</xdr:row>
      <xdr:rowOff>254000</xdr:rowOff>
    </xdr:from>
    <xdr:to>
      <xdr:col>31</xdr:col>
      <xdr:colOff>1</xdr:colOff>
      <xdr:row>73</xdr:row>
      <xdr:rowOff>53975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231775</xdr:rowOff>
    </xdr:from>
    <xdr:to>
      <xdr:col>23</xdr:col>
      <xdr:colOff>650874</xdr:colOff>
      <xdr:row>74</xdr:row>
      <xdr:rowOff>254000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74</xdr:row>
      <xdr:rowOff>206376</xdr:rowOff>
    </xdr:from>
    <xdr:to>
      <xdr:col>23</xdr:col>
      <xdr:colOff>666750</xdr:colOff>
      <xdr:row>91</xdr:row>
      <xdr:rowOff>15876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186414</xdr:colOff>
      <xdr:row>58</xdr:row>
      <xdr:rowOff>215903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38720FB-2F52-4B91-9ECB-032DB3E0AA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666750</xdr:colOff>
      <xdr:row>58</xdr:row>
      <xdr:rowOff>222250</xdr:rowOff>
    </xdr:from>
    <xdr:to>
      <xdr:col>31</xdr:col>
      <xdr:colOff>0</xdr:colOff>
      <xdr:row>74</xdr:row>
      <xdr:rowOff>220663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1A1C943-CB0F-471A-969B-8F7A2182A7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666750</xdr:colOff>
      <xdr:row>74</xdr:row>
      <xdr:rowOff>238125</xdr:rowOff>
    </xdr:from>
    <xdr:to>
      <xdr:col>30</xdr:col>
      <xdr:colOff>698500</xdr:colOff>
      <xdr:row>91</xdr:row>
      <xdr:rowOff>15875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FFEC22D-9054-4C64-9E2A-2637E3FC98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33" zoomScale="60" workbookViewId="0">
      <selection activeCell="E58" sqref="E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1" t="s">
        <v>96</v>
      </c>
      <c r="C3" s="61" t="s">
        <v>164</v>
      </c>
      <c r="D3" s="61"/>
      <c r="E3" s="61"/>
      <c r="F3" s="61"/>
      <c r="G3" s="6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56" t="s">
        <v>168</v>
      </c>
      <c r="H5" s="57"/>
      <c r="I5" s="14"/>
      <c r="J5" s="2" t="s">
        <v>5</v>
      </c>
      <c r="K5" s="56" t="s">
        <v>162</v>
      </c>
      <c r="L5" s="57"/>
      <c r="M5" s="10"/>
      <c r="N5" s="10"/>
      <c r="O5" s="3"/>
      <c r="P5" s="3"/>
    </row>
    <row r="6" spans="2:32" ht="23.25" customHeight="1" x14ac:dyDescent="0.25">
      <c r="C6" s="2" t="s">
        <v>4</v>
      </c>
      <c r="D6" s="56" t="s">
        <v>166</v>
      </c>
      <c r="E6" s="57"/>
      <c r="F6" s="2" t="s">
        <v>2</v>
      </c>
      <c r="G6" s="56" t="s">
        <v>167</v>
      </c>
      <c r="H6" s="57"/>
      <c r="J6" s="2" t="s">
        <v>21</v>
      </c>
      <c r="K6" s="56" t="s">
        <v>162</v>
      </c>
      <c r="L6" s="5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1">
        <v>2</v>
      </c>
      <c r="D10" s="50">
        <v>0</v>
      </c>
      <c r="E10" s="51">
        <v>0</v>
      </c>
      <c r="F10" s="51">
        <v>0</v>
      </c>
      <c r="G10" s="51">
        <v>1</v>
      </c>
      <c r="H10" s="51">
        <v>0</v>
      </c>
      <c r="I10" s="51">
        <v>0</v>
      </c>
      <c r="J10" s="51">
        <v>0</v>
      </c>
      <c r="K10" s="51">
        <v>0</v>
      </c>
      <c r="L10" s="50">
        <v>0</v>
      </c>
      <c r="M10" s="51">
        <v>16</v>
      </c>
      <c r="N10" s="51">
        <v>0</v>
      </c>
      <c r="O10" s="15">
        <f t="shared" ref="O10:O57" si="0">SUM(C10:L10,N10)</f>
        <v>3</v>
      </c>
      <c r="P10" s="15">
        <f t="shared" ref="P10:P57" si="1">SUM(C10:N10)</f>
        <v>19</v>
      </c>
      <c r="R10" s="1" t="s">
        <v>6</v>
      </c>
      <c r="S10" s="17">
        <f t="shared" ref="S10:AF10" si="2">SUM(C10:C13)</f>
        <v>7</v>
      </c>
      <c r="T10" s="17">
        <f t="shared" si="2"/>
        <v>0</v>
      </c>
      <c r="U10" s="17">
        <f t="shared" si="2"/>
        <v>3</v>
      </c>
      <c r="V10" s="17">
        <f t="shared" si="2"/>
        <v>0</v>
      </c>
      <c r="W10" s="17">
        <f t="shared" si="2"/>
        <v>1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109</v>
      </c>
      <c r="AD10" s="17">
        <f t="shared" si="2"/>
        <v>0</v>
      </c>
      <c r="AE10" s="31">
        <f t="shared" si="2"/>
        <v>15</v>
      </c>
      <c r="AF10" s="31">
        <f t="shared" si="2"/>
        <v>124</v>
      </c>
    </row>
    <row r="11" spans="2:32" s="6" customFormat="1" ht="23.1" customHeight="1" x14ac:dyDescent="0.25">
      <c r="B11" s="23" t="s">
        <v>38</v>
      </c>
      <c r="C11" s="51">
        <v>2</v>
      </c>
      <c r="D11" s="50">
        <v>0</v>
      </c>
      <c r="E11" s="51">
        <v>0</v>
      </c>
      <c r="F11" s="51">
        <v>0</v>
      </c>
      <c r="G11" s="51">
        <v>0</v>
      </c>
      <c r="H11" s="51">
        <v>0</v>
      </c>
      <c r="I11" s="51">
        <v>0</v>
      </c>
      <c r="J11" s="51">
        <v>0</v>
      </c>
      <c r="K11" s="51">
        <v>0</v>
      </c>
      <c r="L11" s="50">
        <v>1</v>
      </c>
      <c r="M11" s="51">
        <v>22</v>
      </c>
      <c r="N11" s="51">
        <v>0</v>
      </c>
      <c r="O11" s="15">
        <f t="shared" si="0"/>
        <v>3</v>
      </c>
      <c r="P11" s="15">
        <f t="shared" si="1"/>
        <v>25</v>
      </c>
      <c r="R11" s="1" t="s">
        <v>7</v>
      </c>
      <c r="S11" s="17">
        <f t="shared" ref="S11:AF11" si="3">SUM(C14:C17)</f>
        <v>13</v>
      </c>
      <c r="T11" s="17">
        <f t="shared" si="3"/>
        <v>1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152</v>
      </c>
      <c r="AD11" s="17">
        <f t="shared" si="3"/>
        <v>0</v>
      </c>
      <c r="AE11" s="31">
        <f t="shared" si="3"/>
        <v>20</v>
      </c>
      <c r="AF11" s="31">
        <f t="shared" si="3"/>
        <v>172</v>
      </c>
    </row>
    <row r="12" spans="2:32" ht="23.1" customHeight="1" x14ac:dyDescent="0.25">
      <c r="B12" s="23" t="s">
        <v>39</v>
      </c>
      <c r="C12" s="51">
        <v>2</v>
      </c>
      <c r="D12" s="50">
        <v>0</v>
      </c>
      <c r="E12" s="51">
        <v>1</v>
      </c>
      <c r="F12" s="51">
        <v>0</v>
      </c>
      <c r="G12" s="51">
        <v>0</v>
      </c>
      <c r="H12" s="51">
        <v>0</v>
      </c>
      <c r="I12" s="51">
        <v>0</v>
      </c>
      <c r="J12" s="51">
        <v>0</v>
      </c>
      <c r="K12" s="51">
        <v>0</v>
      </c>
      <c r="L12" s="50">
        <v>0</v>
      </c>
      <c r="M12" s="51">
        <v>33</v>
      </c>
      <c r="N12" s="51">
        <v>0</v>
      </c>
      <c r="O12" s="15">
        <f t="shared" si="0"/>
        <v>3</v>
      </c>
      <c r="P12" s="15">
        <f t="shared" si="1"/>
        <v>36</v>
      </c>
      <c r="R12" s="1" t="s">
        <v>8</v>
      </c>
      <c r="S12" s="17">
        <f t="shared" ref="S12:AF12" si="4">SUM(C18:C21)</f>
        <v>13</v>
      </c>
      <c r="T12" s="17">
        <f t="shared" si="4"/>
        <v>1</v>
      </c>
      <c r="U12" s="17">
        <f t="shared" si="4"/>
        <v>8</v>
      </c>
      <c r="V12" s="17">
        <f t="shared" si="4"/>
        <v>2</v>
      </c>
      <c r="W12" s="17">
        <f t="shared" si="4"/>
        <v>0</v>
      </c>
      <c r="X12" s="17">
        <f t="shared" si="4"/>
        <v>1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149</v>
      </c>
      <c r="AD12" s="17">
        <f t="shared" si="4"/>
        <v>0</v>
      </c>
      <c r="AE12" s="31">
        <f t="shared" si="4"/>
        <v>30</v>
      </c>
      <c r="AF12" s="31">
        <f t="shared" si="4"/>
        <v>179</v>
      </c>
    </row>
    <row r="13" spans="2:32" ht="23.1" customHeight="1" x14ac:dyDescent="0.25">
      <c r="B13" s="23" t="s">
        <v>40</v>
      </c>
      <c r="C13" s="51">
        <v>1</v>
      </c>
      <c r="D13" s="50">
        <v>0</v>
      </c>
      <c r="E13" s="51">
        <v>2</v>
      </c>
      <c r="F13" s="51">
        <v>0</v>
      </c>
      <c r="G13" s="51">
        <v>0</v>
      </c>
      <c r="H13" s="51">
        <v>0</v>
      </c>
      <c r="I13" s="51">
        <v>2</v>
      </c>
      <c r="J13" s="51">
        <v>1</v>
      </c>
      <c r="K13" s="51">
        <v>0</v>
      </c>
      <c r="L13" s="50">
        <v>0</v>
      </c>
      <c r="M13" s="51">
        <v>38</v>
      </c>
      <c r="N13" s="51">
        <v>0</v>
      </c>
      <c r="O13" s="15">
        <f t="shared" si="0"/>
        <v>6</v>
      </c>
      <c r="P13" s="15">
        <f t="shared" si="1"/>
        <v>44</v>
      </c>
      <c r="R13" s="1" t="s">
        <v>9</v>
      </c>
      <c r="S13" s="17">
        <f t="shared" ref="S13:AF13" si="5">SUM(C22:C25)</f>
        <v>20</v>
      </c>
      <c r="T13" s="17">
        <f t="shared" si="5"/>
        <v>2</v>
      </c>
      <c r="U13" s="17">
        <f t="shared" si="5"/>
        <v>6</v>
      </c>
      <c r="V13" s="17">
        <f t="shared" si="5"/>
        <v>2</v>
      </c>
      <c r="W13" s="17">
        <f t="shared" si="5"/>
        <v>1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129</v>
      </c>
      <c r="AD13" s="17">
        <f t="shared" si="5"/>
        <v>0</v>
      </c>
      <c r="AE13" s="31">
        <f t="shared" si="5"/>
        <v>38</v>
      </c>
      <c r="AF13" s="31">
        <f t="shared" si="5"/>
        <v>167</v>
      </c>
    </row>
    <row r="14" spans="2:32" ht="23.1" customHeight="1" x14ac:dyDescent="0.25">
      <c r="B14" s="23" t="s">
        <v>41</v>
      </c>
      <c r="C14" s="51">
        <v>4</v>
      </c>
      <c r="D14" s="50">
        <v>0</v>
      </c>
      <c r="E14" s="51">
        <v>1</v>
      </c>
      <c r="F14" s="51">
        <v>0</v>
      </c>
      <c r="G14" s="51">
        <v>0</v>
      </c>
      <c r="H14" s="51">
        <v>0</v>
      </c>
      <c r="I14" s="51">
        <v>1</v>
      </c>
      <c r="J14" s="51">
        <v>0</v>
      </c>
      <c r="K14" s="51">
        <v>0</v>
      </c>
      <c r="L14" s="50">
        <v>0</v>
      </c>
      <c r="M14" s="51">
        <v>34</v>
      </c>
      <c r="N14" s="51">
        <v>0</v>
      </c>
      <c r="O14" s="15">
        <f t="shared" si="0"/>
        <v>6</v>
      </c>
      <c r="P14" s="15">
        <f t="shared" si="1"/>
        <v>40</v>
      </c>
      <c r="R14" s="1" t="s">
        <v>10</v>
      </c>
      <c r="S14" s="17">
        <f t="shared" ref="S14:AF14" si="6">SUM(C26:C29)</f>
        <v>11</v>
      </c>
      <c r="T14" s="17">
        <f t="shared" si="6"/>
        <v>2</v>
      </c>
      <c r="U14" s="17">
        <f t="shared" si="6"/>
        <v>5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153</v>
      </c>
      <c r="AD14" s="17">
        <f t="shared" si="6"/>
        <v>1</v>
      </c>
      <c r="AE14" s="31">
        <f t="shared" si="6"/>
        <v>24</v>
      </c>
      <c r="AF14" s="31">
        <f t="shared" si="6"/>
        <v>177</v>
      </c>
    </row>
    <row r="15" spans="2:32" ht="23.1" customHeight="1" x14ac:dyDescent="0.25">
      <c r="B15" s="23" t="s">
        <v>42</v>
      </c>
      <c r="C15" s="51">
        <v>3</v>
      </c>
      <c r="D15" s="50">
        <v>0</v>
      </c>
      <c r="E15" s="51">
        <v>0</v>
      </c>
      <c r="F15" s="51">
        <v>0</v>
      </c>
      <c r="G15" s="51">
        <v>0</v>
      </c>
      <c r="H15" s="51">
        <v>0</v>
      </c>
      <c r="I15" s="51">
        <v>1</v>
      </c>
      <c r="J15" s="51">
        <v>1</v>
      </c>
      <c r="K15" s="51">
        <v>0</v>
      </c>
      <c r="L15" s="50">
        <v>0</v>
      </c>
      <c r="M15" s="51">
        <v>45</v>
      </c>
      <c r="N15" s="51">
        <v>0</v>
      </c>
      <c r="O15" s="15">
        <f t="shared" si="0"/>
        <v>5</v>
      </c>
      <c r="P15" s="15">
        <f t="shared" si="1"/>
        <v>50</v>
      </c>
      <c r="R15" s="1" t="s">
        <v>11</v>
      </c>
      <c r="S15" s="17">
        <f t="shared" ref="S15:AF15" si="7">SUM(C30:C33)</f>
        <v>9</v>
      </c>
      <c r="T15" s="17">
        <f t="shared" si="7"/>
        <v>1</v>
      </c>
      <c r="U15" s="17">
        <f t="shared" si="7"/>
        <v>5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202</v>
      </c>
      <c r="AD15" s="17">
        <f t="shared" si="7"/>
        <v>0</v>
      </c>
      <c r="AE15" s="31">
        <f t="shared" si="7"/>
        <v>23</v>
      </c>
      <c r="AF15" s="31">
        <f t="shared" si="7"/>
        <v>225</v>
      </c>
    </row>
    <row r="16" spans="2:32" ht="23.1" customHeight="1" x14ac:dyDescent="0.25">
      <c r="B16" s="23" t="s">
        <v>43</v>
      </c>
      <c r="C16" s="51">
        <v>2</v>
      </c>
      <c r="D16" s="50">
        <v>1</v>
      </c>
      <c r="E16" s="51">
        <v>2</v>
      </c>
      <c r="F16" s="51">
        <v>0</v>
      </c>
      <c r="G16" s="51">
        <v>0</v>
      </c>
      <c r="H16" s="51">
        <v>0</v>
      </c>
      <c r="I16" s="51">
        <v>0</v>
      </c>
      <c r="J16" s="51">
        <v>0</v>
      </c>
      <c r="K16" s="51">
        <v>0</v>
      </c>
      <c r="L16" s="50">
        <v>0</v>
      </c>
      <c r="M16" s="51">
        <v>38</v>
      </c>
      <c r="N16" s="51">
        <v>0</v>
      </c>
      <c r="O16" s="15">
        <f t="shared" si="0"/>
        <v>5</v>
      </c>
      <c r="P16" s="15">
        <f t="shared" si="1"/>
        <v>43</v>
      </c>
      <c r="R16" s="1" t="s">
        <v>12</v>
      </c>
      <c r="S16" s="17">
        <f t="shared" ref="S16:AF16" si="8">SUM(C34:C37)</f>
        <v>8</v>
      </c>
      <c r="T16" s="17">
        <f t="shared" si="8"/>
        <v>2</v>
      </c>
      <c r="U16" s="17">
        <f t="shared" si="8"/>
        <v>7</v>
      </c>
      <c r="V16" s="17">
        <f t="shared" si="8"/>
        <v>0</v>
      </c>
      <c r="W16" s="17">
        <f t="shared" si="8"/>
        <v>1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123</v>
      </c>
      <c r="AD16" s="17">
        <f t="shared" si="8"/>
        <v>1</v>
      </c>
      <c r="AE16" s="31">
        <f t="shared" si="8"/>
        <v>19</v>
      </c>
      <c r="AF16" s="31">
        <f t="shared" si="8"/>
        <v>142</v>
      </c>
    </row>
    <row r="17" spans="2:32" ht="23.1" customHeight="1" x14ac:dyDescent="0.25">
      <c r="B17" s="23" t="s">
        <v>44</v>
      </c>
      <c r="C17" s="51">
        <v>4</v>
      </c>
      <c r="D17" s="50">
        <v>0</v>
      </c>
      <c r="E17" s="51">
        <v>0</v>
      </c>
      <c r="F17" s="51">
        <v>0</v>
      </c>
      <c r="G17" s="51">
        <v>0</v>
      </c>
      <c r="H17" s="51">
        <v>0</v>
      </c>
      <c r="I17" s="51">
        <v>0</v>
      </c>
      <c r="J17" s="51">
        <v>0</v>
      </c>
      <c r="K17" s="51">
        <v>0</v>
      </c>
      <c r="L17" s="50">
        <v>0</v>
      </c>
      <c r="M17" s="51">
        <v>35</v>
      </c>
      <c r="N17" s="51">
        <v>0</v>
      </c>
      <c r="O17" s="15">
        <f t="shared" si="0"/>
        <v>4</v>
      </c>
      <c r="P17" s="15">
        <f t="shared" si="1"/>
        <v>39</v>
      </c>
      <c r="R17" s="1" t="s">
        <v>13</v>
      </c>
      <c r="S17" s="17">
        <f t="shared" ref="S17:AF17" si="9">SUM(C38:C41)</f>
        <v>11</v>
      </c>
      <c r="T17" s="17">
        <f t="shared" si="9"/>
        <v>0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107</v>
      </c>
      <c r="AD17" s="17">
        <f t="shared" si="9"/>
        <v>0</v>
      </c>
      <c r="AE17" s="31">
        <f t="shared" si="9"/>
        <v>17</v>
      </c>
      <c r="AF17" s="31">
        <f t="shared" si="9"/>
        <v>124</v>
      </c>
    </row>
    <row r="18" spans="2:32" ht="23.1" customHeight="1" x14ac:dyDescent="0.25">
      <c r="B18" s="23" t="s">
        <v>45</v>
      </c>
      <c r="C18" s="51">
        <v>4</v>
      </c>
      <c r="D18" s="50">
        <v>1</v>
      </c>
      <c r="E18" s="51">
        <v>2</v>
      </c>
      <c r="F18" s="51">
        <v>0</v>
      </c>
      <c r="G18" s="51">
        <v>0</v>
      </c>
      <c r="H18" s="51">
        <v>0</v>
      </c>
      <c r="I18" s="51">
        <v>2</v>
      </c>
      <c r="J18" s="51">
        <v>0</v>
      </c>
      <c r="K18" s="51">
        <v>0</v>
      </c>
      <c r="L18" s="50">
        <v>0</v>
      </c>
      <c r="M18" s="51">
        <v>44</v>
      </c>
      <c r="N18" s="51">
        <v>0</v>
      </c>
      <c r="O18" s="15">
        <f t="shared" si="0"/>
        <v>9</v>
      </c>
      <c r="P18" s="15">
        <f t="shared" si="1"/>
        <v>53</v>
      </c>
      <c r="R18" s="1" t="s">
        <v>14</v>
      </c>
      <c r="S18" s="17">
        <f t="shared" ref="S18:AF18" si="10">SUM(C42:C45)</f>
        <v>13</v>
      </c>
      <c r="T18" s="17">
        <f t="shared" si="10"/>
        <v>1</v>
      </c>
      <c r="U18" s="17">
        <f t="shared" si="10"/>
        <v>7</v>
      </c>
      <c r="V18" s="17">
        <f t="shared" si="10"/>
        <v>1</v>
      </c>
      <c r="W18" s="17">
        <f t="shared" si="10"/>
        <v>1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1</v>
      </c>
      <c r="AB18" s="17">
        <f t="shared" si="10"/>
        <v>1</v>
      </c>
      <c r="AC18" s="17">
        <f t="shared" si="10"/>
        <v>161</v>
      </c>
      <c r="AD18" s="17">
        <f t="shared" si="10"/>
        <v>0</v>
      </c>
      <c r="AE18" s="31">
        <f t="shared" si="10"/>
        <v>27</v>
      </c>
      <c r="AF18" s="31">
        <f t="shared" si="10"/>
        <v>188</v>
      </c>
    </row>
    <row r="19" spans="2:32" ht="23.1" customHeight="1" x14ac:dyDescent="0.25">
      <c r="B19" s="23" t="s">
        <v>46</v>
      </c>
      <c r="C19" s="51">
        <v>2</v>
      </c>
      <c r="D19" s="50">
        <v>0</v>
      </c>
      <c r="E19" s="51">
        <v>2</v>
      </c>
      <c r="F19" s="51">
        <v>1</v>
      </c>
      <c r="G19" s="51">
        <v>0</v>
      </c>
      <c r="H19" s="51">
        <v>1</v>
      </c>
      <c r="I19" s="51">
        <v>2</v>
      </c>
      <c r="J19" s="51">
        <v>0</v>
      </c>
      <c r="K19" s="51">
        <v>0</v>
      </c>
      <c r="L19" s="50">
        <v>1</v>
      </c>
      <c r="M19" s="51">
        <v>37</v>
      </c>
      <c r="N19" s="51">
        <v>0</v>
      </c>
      <c r="O19" s="15">
        <f t="shared" si="0"/>
        <v>9</v>
      </c>
      <c r="P19" s="15">
        <f t="shared" si="1"/>
        <v>46</v>
      </c>
      <c r="R19" s="1" t="s">
        <v>15</v>
      </c>
      <c r="S19" s="17">
        <f t="shared" ref="S19:AF19" si="11">SUM(C46:C49)</f>
        <v>11</v>
      </c>
      <c r="T19" s="17">
        <f t="shared" si="11"/>
        <v>1</v>
      </c>
      <c r="U19" s="17">
        <f t="shared" si="11"/>
        <v>7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158</v>
      </c>
      <c r="AD19" s="17">
        <f t="shared" si="11"/>
        <v>0</v>
      </c>
      <c r="AE19" s="31">
        <f t="shared" si="11"/>
        <v>20</v>
      </c>
      <c r="AF19" s="31">
        <f t="shared" si="11"/>
        <v>178</v>
      </c>
    </row>
    <row r="20" spans="2:32" ht="23.1" customHeight="1" x14ac:dyDescent="0.25">
      <c r="B20" s="23" t="s">
        <v>47</v>
      </c>
      <c r="C20" s="51">
        <v>5</v>
      </c>
      <c r="D20" s="50">
        <v>0</v>
      </c>
      <c r="E20" s="51">
        <v>2</v>
      </c>
      <c r="F20" s="51">
        <v>1</v>
      </c>
      <c r="G20" s="51">
        <v>0</v>
      </c>
      <c r="H20" s="51">
        <v>0</v>
      </c>
      <c r="I20" s="51">
        <v>0</v>
      </c>
      <c r="J20" s="51">
        <v>0</v>
      </c>
      <c r="K20" s="51">
        <v>0</v>
      </c>
      <c r="L20" s="50">
        <v>0</v>
      </c>
      <c r="M20" s="51">
        <v>30</v>
      </c>
      <c r="N20" s="51">
        <v>0</v>
      </c>
      <c r="O20" s="15">
        <f t="shared" si="0"/>
        <v>8</v>
      </c>
      <c r="P20" s="15">
        <f t="shared" si="1"/>
        <v>38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3</v>
      </c>
      <c r="V20" s="17">
        <f t="shared" si="12"/>
        <v>0</v>
      </c>
      <c r="W20" s="17">
        <f t="shared" si="12"/>
        <v>0</v>
      </c>
      <c r="X20" s="17">
        <f t="shared" si="12"/>
        <v>1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1</v>
      </c>
      <c r="AC20" s="17">
        <f t="shared" si="12"/>
        <v>167</v>
      </c>
      <c r="AD20" s="17">
        <f t="shared" si="12"/>
        <v>0</v>
      </c>
      <c r="AE20" s="31">
        <f t="shared" si="12"/>
        <v>14</v>
      </c>
      <c r="AF20" s="31">
        <f t="shared" si="12"/>
        <v>181</v>
      </c>
    </row>
    <row r="21" spans="2:32" ht="23.1" customHeight="1" x14ac:dyDescent="0.25">
      <c r="B21" s="23" t="s">
        <v>48</v>
      </c>
      <c r="C21" s="51">
        <v>2</v>
      </c>
      <c r="D21" s="50">
        <v>0</v>
      </c>
      <c r="E21" s="51">
        <v>2</v>
      </c>
      <c r="F21" s="51">
        <v>0</v>
      </c>
      <c r="G21" s="51">
        <v>0</v>
      </c>
      <c r="H21" s="51">
        <v>0</v>
      </c>
      <c r="I21" s="51">
        <v>0</v>
      </c>
      <c r="J21" s="51">
        <v>0</v>
      </c>
      <c r="K21" s="51">
        <v>0</v>
      </c>
      <c r="L21" s="50">
        <v>0</v>
      </c>
      <c r="M21" s="51">
        <v>38</v>
      </c>
      <c r="N21" s="51">
        <v>0</v>
      </c>
      <c r="O21" s="15">
        <f t="shared" si="0"/>
        <v>4</v>
      </c>
      <c r="P21" s="15">
        <f t="shared" si="1"/>
        <v>42</v>
      </c>
      <c r="R21" s="36" t="s">
        <v>20</v>
      </c>
      <c r="S21" s="34">
        <f t="shared" ref="S21:AF21" si="13">SUM(C54:C57)</f>
        <v>23</v>
      </c>
      <c r="T21" s="17">
        <f t="shared" si="13"/>
        <v>0</v>
      </c>
      <c r="U21" s="17">
        <f t="shared" si="13"/>
        <v>6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2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209</v>
      </c>
      <c r="AD21" s="17">
        <f t="shared" si="13"/>
        <v>0</v>
      </c>
      <c r="AE21" s="31">
        <f t="shared" si="13"/>
        <v>34</v>
      </c>
      <c r="AF21" s="31">
        <f t="shared" si="13"/>
        <v>243</v>
      </c>
    </row>
    <row r="22" spans="2:32" ht="23.1" customHeight="1" x14ac:dyDescent="0.25">
      <c r="B22" s="23" t="s">
        <v>49</v>
      </c>
      <c r="C22" s="51">
        <v>7</v>
      </c>
      <c r="D22" s="50">
        <v>1</v>
      </c>
      <c r="E22" s="51">
        <v>2</v>
      </c>
      <c r="F22" s="51">
        <v>1</v>
      </c>
      <c r="G22" s="51">
        <v>0</v>
      </c>
      <c r="H22" s="51">
        <v>0</v>
      </c>
      <c r="I22" s="51">
        <v>1</v>
      </c>
      <c r="J22" s="51">
        <v>0</v>
      </c>
      <c r="K22" s="51">
        <v>1</v>
      </c>
      <c r="L22" s="50">
        <v>0</v>
      </c>
      <c r="M22" s="51">
        <v>30</v>
      </c>
      <c r="N22" s="51">
        <v>0</v>
      </c>
      <c r="O22" s="15">
        <f t="shared" si="0"/>
        <v>13</v>
      </c>
      <c r="P22" s="15">
        <f t="shared" si="1"/>
        <v>43</v>
      </c>
      <c r="R22" s="38" t="s">
        <v>90</v>
      </c>
      <c r="S22" s="39">
        <f>MAX(S10:S12)</f>
        <v>13</v>
      </c>
      <c r="T22" s="39">
        <f t="shared" ref="T22:AF22" si="14">MAX(T10:T12)</f>
        <v>1</v>
      </c>
      <c r="U22" s="39">
        <f t="shared" si="14"/>
        <v>8</v>
      </c>
      <c r="V22" s="39">
        <f t="shared" si="14"/>
        <v>2</v>
      </c>
      <c r="W22" s="39">
        <f t="shared" si="14"/>
        <v>1</v>
      </c>
      <c r="X22" s="39">
        <f t="shared" si="14"/>
        <v>1</v>
      </c>
      <c r="Y22" s="39">
        <f t="shared" si="14"/>
        <v>4</v>
      </c>
      <c r="Z22" s="39">
        <f t="shared" si="14"/>
        <v>1</v>
      </c>
      <c r="AA22" s="39">
        <f t="shared" si="14"/>
        <v>0</v>
      </c>
      <c r="AB22" s="39">
        <f t="shared" si="14"/>
        <v>1</v>
      </c>
      <c r="AC22" s="39">
        <f t="shared" si="14"/>
        <v>152</v>
      </c>
      <c r="AD22" s="39">
        <f t="shared" si="14"/>
        <v>0</v>
      </c>
      <c r="AE22" s="40">
        <f t="shared" si="14"/>
        <v>30</v>
      </c>
      <c r="AF22" s="40">
        <f t="shared" si="14"/>
        <v>179</v>
      </c>
    </row>
    <row r="23" spans="2:32" ht="23.1" customHeight="1" x14ac:dyDescent="0.25">
      <c r="B23" s="23" t="s">
        <v>50</v>
      </c>
      <c r="C23" s="51">
        <v>6</v>
      </c>
      <c r="D23" s="50">
        <v>1</v>
      </c>
      <c r="E23" s="51">
        <v>2</v>
      </c>
      <c r="F23" s="51">
        <v>1</v>
      </c>
      <c r="G23" s="51">
        <v>1</v>
      </c>
      <c r="H23" s="51">
        <v>0</v>
      </c>
      <c r="I23" s="51">
        <v>1</v>
      </c>
      <c r="J23" s="51">
        <v>1</v>
      </c>
      <c r="K23" s="51">
        <v>0</v>
      </c>
      <c r="L23" s="50">
        <v>0</v>
      </c>
      <c r="M23" s="51">
        <v>35</v>
      </c>
      <c r="N23" s="51">
        <v>0</v>
      </c>
      <c r="O23" s="15">
        <f t="shared" si="0"/>
        <v>13</v>
      </c>
      <c r="P23" s="15">
        <f t="shared" si="1"/>
        <v>48</v>
      </c>
      <c r="R23" s="38" t="s">
        <v>91</v>
      </c>
      <c r="S23" s="39">
        <f>MAX(S13:S18)</f>
        <v>20</v>
      </c>
      <c r="T23" s="39">
        <f t="shared" ref="T23:AF23" si="15">MAX(T13:T18)</f>
        <v>2</v>
      </c>
      <c r="U23" s="39">
        <f t="shared" si="15"/>
        <v>7</v>
      </c>
      <c r="V23" s="39">
        <f t="shared" si="15"/>
        <v>3</v>
      </c>
      <c r="W23" s="39">
        <f t="shared" si="15"/>
        <v>1</v>
      </c>
      <c r="X23" s="39">
        <f t="shared" si="15"/>
        <v>0</v>
      </c>
      <c r="Y23" s="39">
        <f t="shared" si="15"/>
        <v>5</v>
      </c>
      <c r="Z23" s="39">
        <f t="shared" si="15"/>
        <v>1</v>
      </c>
      <c r="AA23" s="39">
        <f t="shared" si="15"/>
        <v>1</v>
      </c>
      <c r="AB23" s="39">
        <f t="shared" si="15"/>
        <v>2</v>
      </c>
      <c r="AC23" s="39">
        <f t="shared" si="15"/>
        <v>202</v>
      </c>
      <c r="AD23" s="39">
        <f t="shared" si="15"/>
        <v>1</v>
      </c>
      <c r="AE23" s="40">
        <f t="shared" si="15"/>
        <v>38</v>
      </c>
      <c r="AF23" s="40">
        <f t="shared" si="15"/>
        <v>225</v>
      </c>
    </row>
    <row r="24" spans="2:32" ht="23.1" customHeight="1" x14ac:dyDescent="0.25">
      <c r="B24" s="23" t="s">
        <v>51</v>
      </c>
      <c r="C24" s="51">
        <v>2</v>
      </c>
      <c r="D24" s="50">
        <v>0</v>
      </c>
      <c r="E24" s="51">
        <v>0</v>
      </c>
      <c r="F24" s="51">
        <v>0</v>
      </c>
      <c r="G24" s="51">
        <v>0</v>
      </c>
      <c r="H24" s="51">
        <v>0</v>
      </c>
      <c r="I24" s="51">
        <v>3</v>
      </c>
      <c r="J24" s="51">
        <v>0</v>
      </c>
      <c r="K24" s="51">
        <v>0</v>
      </c>
      <c r="L24" s="50">
        <v>0</v>
      </c>
      <c r="M24" s="51">
        <v>32</v>
      </c>
      <c r="N24" s="51">
        <v>0</v>
      </c>
      <c r="O24" s="15">
        <f t="shared" si="0"/>
        <v>5</v>
      </c>
      <c r="P24" s="15">
        <f t="shared" si="1"/>
        <v>37</v>
      </c>
      <c r="R24" s="38" t="s">
        <v>92</v>
      </c>
      <c r="S24" s="39">
        <f>MAX(S19:S21)</f>
        <v>23</v>
      </c>
      <c r="T24" s="39">
        <f t="shared" ref="T24:AF24" si="16">MAX(T19:T21)</f>
        <v>1</v>
      </c>
      <c r="U24" s="39">
        <f t="shared" si="16"/>
        <v>7</v>
      </c>
      <c r="V24" s="39">
        <f t="shared" si="16"/>
        <v>1</v>
      </c>
      <c r="W24" s="39">
        <f t="shared" si="16"/>
        <v>1</v>
      </c>
      <c r="X24" s="39">
        <f t="shared" si="16"/>
        <v>1</v>
      </c>
      <c r="Y24" s="39">
        <f t="shared" si="16"/>
        <v>2</v>
      </c>
      <c r="Z24" s="39">
        <f t="shared" si="16"/>
        <v>2</v>
      </c>
      <c r="AA24" s="39">
        <f t="shared" si="16"/>
        <v>0</v>
      </c>
      <c r="AB24" s="39">
        <f t="shared" si="16"/>
        <v>1</v>
      </c>
      <c r="AC24" s="39">
        <f t="shared" si="16"/>
        <v>209</v>
      </c>
      <c r="AD24" s="39">
        <f t="shared" si="16"/>
        <v>0</v>
      </c>
      <c r="AE24" s="40">
        <f t="shared" si="16"/>
        <v>34</v>
      </c>
      <c r="AF24" s="40">
        <f t="shared" si="16"/>
        <v>243</v>
      </c>
    </row>
    <row r="25" spans="2:32" ht="23.1" customHeight="1" x14ac:dyDescent="0.25">
      <c r="B25" s="23" t="s">
        <v>52</v>
      </c>
      <c r="C25" s="51">
        <v>5</v>
      </c>
      <c r="D25" s="50">
        <v>0</v>
      </c>
      <c r="E25" s="51">
        <v>2</v>
      </c>
      <c r="F25" s="51">
        <v>0</v>
      </c>
      <c r="G25" s="51">
        <v>0</v>
      </c>
      <c r="H25" s="51">
        <v>0</v>
      </c>
      <c r="I25" s="51">
        <v>0</v>
      </c>
      <c r="J25" s="51">
        <v>0</v>
      </c>
      <c r="K25" s="51">
        <v>0</v>
      </c>
      <c r="L25" s="50">
        <v>0</v>
      </c>
      <c r="M25" s="51">
        <v>32</v>
      </c>
      <c r="N25" s="51">
        <v>0</v>
      </c>
      <c r="O25" s="15">
        <f t="shared" si="0"/>
        <v>7</v>
      </c>
      <c r="P25" s="15">
        <f t="shared" si="1"/>
        <v>39</v>
      </c>
      <c r="R25" s="37" t="s">
        <v>85</v>
      </c>
      <c r="S25" s="35">
        <f t="shared" ref="S25:AF25" si="17">SUM(S10:S12)</f>
        <v>33</v>
      </c>
      <c r="T25" s="16">
        <f t="shared" si="17"/>
        <v>2</v>
      </c>
      <c r="U25" s="16">
        <f t="shared" si="17"/>
        <v>14</v>
      </c>
      <c r="V25" s="16">
        <f t="shared" si="17"/>
        <v>2</v>
      </c>
      <c r="W25" s="16">
        <f t="shared" si="17"/>
        <v>1</v>
      </c>
      <c r="X25" s="16">
        <f t="shared" si="17"/>
        <v>1</v>
      </c>
      <c r="Y25" s="16">
        <f t="shared" si="17"/>
        <v>8</v>
      </c>
      <c r="Z25" s="16">
        <f t="shared" si="17"/>
        <v>2</v>
      </c>
      <c r="AA25" s="16">
        <f t="shared" si="17"/>
        <v>0</v>
      </c>
      <c r="AB25" s="16">
        <f t="shared" si="17"/>
        <v>2</v>
      </c>
      <c r="AC25" s="16">
        <f t="shared" si="17"/>
        <v>410</v>
      </c>
      <c r="AD25" s="16">
        <f t="shared" si="17"/>
        <v>0</v>
      </c>
      <c r="AE25" s="32">
        <f t="shared" si="17"/>
        <v>65</v>
      </c>
      <c r="AF25" s="32">
        <f t="shared" si="17"/>
        <v>475</v>
      </c>
    </row>
    <row r="26" spans="2:32" ht="23.1" customHeight="1" x14ac:dyDescent="0.25">
      <c r="B26" s="23" t="s">
        <v>53</v>
      </c>
      <c r="C26" s="51">
        <v>4</v>
      </c>
      <c r="D26" s="50">
        <v>0</v>
      </c>
      <c r="E26" s="51">
        <v>0</v>
      </c>
      <c r="F26" s="51">
        <v>1</v>
      </c>
      <c r="G26" s="51">
        <v>0</v>
      </c>
      <c r="H26" s="51">
        <v>0</v>
      </c>
      <c r="I26" s="51">
        <v>2</v>
      </c>
      <c r="J26" s="51">
        <v>0</v>
      </c>
      <c r="K26" s="51">
        <v>0</v>
      </c>
      <c r="L26" s="50">
        <v>0</v>
      </c>
      <c r="M26" s="51">
        <v>42</v>
      </c>
      <c r="N26" s="51">
        <v>0</v>
      </c>
      <c r="O26" s="15">
        <f t="shared" si="0"/>
        <v>7</v>
      </c>
      <c r="P26" s="15">
        <f t="shared" si="1"/>
        <v>49</v>
      </c>
      <c r="R26" s="28" t="s">
        <v>86</v>
      </c>
      <c r="S26" s="16">
        <f t="shared" ref="S26:AF26" si="18">SUM(S13:S18)</f>
        <v>72</v>
      </c>
      <c r="T26" s="16">
        <f t="shared" si="18"/>
        <v>8</v>
      </c>
      <c r="U26" s="16">
        <f t="shared" si="18"/>
        <v>35</v>
      </c>
      <c r="V26" s="16">
        <f t="shared" si="18"/>
        <v>7</v>
      </c>
      <c r="W26" s="16">
        <f t="shared" si="18"/>
        <v>3</v>
      </c>
      <c r="X26" s="16">
        <f t="shared" si="18"/>
        <v>0</v>
      </c>
      <c r="Y26" s="16">
        <f t="shared" si="18"/>
        <v>13</v>
      </c>
      <c r="Z26" s="16">
        <f t="shared" si="18"/>
        <v>3</v>
      </c>
      <c r="AA26" s="16">
        <f t="shared" si="18"/>
        <v>2</v>
      </c>
      <c r="AB26" s="16">
        <f t="shared" si="18"/>
        <v>3</v>
      </c>
      <c r="AC26" s="16">
        <f t="shared" si="18"/>
        <v>875</v>
      </c>
      <c r="AD26" s="16">
        <f t="shared" si="18"/>
        <v>2</v>
      </c>
      <c r="AE26" s="32">
        <f t="shared" si="18"/>
        <v>148</v>
      </c>
      <c r="AF26" s="32">
        <f t="shared" si="18"/>
        <v>1023</v>
      </c>
    </row>
    <row r="27" spans="2:32" ht="23.1" customHeight="1" x14ac:dyDescent="0.25">
      <c r="B27" s="23" t="s">
        <v>54</v>
      </c>
      <c r="C27" s="51">
        <v>2</v>
      </c>
      <c r="D27" s="50">
        <v>0</v>
      </c>
      <c r="E27" s="51">
        <v>0</v>
      </c>
      <c r="F27" s="51">
        <v>0</v>
      </c>
      <c r="G27" s="51">
        <v>0</v>
      </c>
      <c r="H27" s="51">
        <v>0</v>
      </c>
      <c r="I27" s="51">
        <v>1</v>
      </c>
      <c r="J27" s="51">
        <v>0</v>
      </c>
      <c r="K27" s="51">
        <v>0</v>
      </c>
      <c r="L27" s="50">
        <v>0</v>
      </c>
      <c r="M27" s="51">
        <v>30</v>
      </c>
      <c r="N27" s="51">
        <v>0</v>
      </c>
      <c r="O27" s="15">
        <f t="shared" si="0"/>
        <v>3</v>
      </c>
      <c r="P27" s="15">
        <f t="shared" si="1"/>
        <v>33</v>
      </c>
      <c r="R27" s="29" t="s">
        <v>87</v>
      </c>
      <c r="S27" s="16">
        <f t="shared" ref="S27:AF27" si="19">SUM(S19:S21)</f>
        <v>42</v>
      </c>
      <c r="T27" s="16">
        <f t="shared" si="19"/>
        <v>1</v>
      </c>
      <c r="U27" s="16">
        <f t="shared" si="19"/>
        <v>16</v>
      </c>
      <c r="V27" s="16">
        <f t="shared" si="19"/>
        <v>1</v>
      </c>
      <c r="W27" s="16">
        <f t="shared" si="19"/>
        <v>1</v>
      </c>
      <c r="X27" s="16">
        <f t="shared" si="19"/>
        <v>1</v>
      </c>
      <c r="Y27" s="16">
        <f t="shared" si="19"/>
        <v>2</v>
      </c>
      <c r="Z27" s="16">
        <f t="shared" si="19"/>
        <v>3</v>
      </c>
      <c r="AA27" s="16">
        <f t="shared" si="19"/>
        <v>0</v>
      </c>
      <c r="AB27" s="16">
        <f t="shared" si="19"/>
        <v>1</v>
      </c>
      <c r="AC27" s="16">
        <f t="shared" si="19"/>
        <v>534</v>
      </c>
      <c r="AD27" s="16">
        <f t="shared" si="19"/>
        <v>0</v>
      </c>
      <c r="AE27" s="32">
        <f t="shared" si="19"/>
        <v>68</v>
      </c>
      <c r="AF27" s="32">
        <f t="shared" si="19"/>
        <v>602</v>
      </c>
    </row>
    <row r="28" spans="2:32" ht="23.1" customHeight="1" x14ac:dyDescent="0.25">
      <c r="B28" s="23" t="s">
        <v>55</v>
      </c>
      <c r="C28" s="51">
        <v>3</v>
      </c>
      <c r="D28" s="50">
        <v>1</v>
      </c>
      <c r="E28" s="51">
        <v>2</v>
      </c>
      <c r="F28" s="51">
        <v>0</v>
      </c>
      <c r="G28" s="51">
        <v>0</v>
      </c>
      <c r="H28" s="51">
        <v>0</v>
      </c>
      <c r="I28" s="51">
        <v>0</v>
      </c>
      <c r="J28" s="51">
        <v>0</v>
      </c>
      <c r="K28" s="51">
        <v>0</v>
      </c>
      <c r="L28" s="50">
        <v>0</v>
      </c>
      <c r="M28" s="51">
        <v>41</v>
      </c>
      <c r="N28" s="51">
        <v>1</v>
      </c>
      <c r="O28" s="15">
        <f t="shared" si="0"/>
        <v>7</v>
      </c>
      <c r="P28" s="15">
        <f t="shared" si="1"/>
        <v>48</v>
      </c>
      <c r="R28" s="5" t="s">
        <v>17</v>
      </c>
      <c r="S28" s="16">
        <f t="shared" ref="S28:AF28" si="20">SUM(S10:S21)</f>
        <v>147</v>
      </c>
      <c r="T28" s="16">
        <f t="shared" si="20"/>
        <v>11</v>
      </c>
      <c r="U28" s="16">
        <f t="shared" si="20"/>
        <v>65</v>
      </c>
      <c r="V28" s="16">
        <f t="shared" si="20"/>
        <v>10</v>
      </c>
      <c r="W28" s="16">
        <f t="shared" si="20"/>
        <v>5</v>
      </c>
      <c r="X28" s="16">
        <f t="shared" si="20"/>
        <v>2</v>
      </c>
      <c r="Y28" s="16">
        <f t="shared" si="20"/>
        <v>23</v>
      </c>
      <c r="Z28" s="16">
        <f t="shared" si="20"/>
        <v>8</v>
      </c>
      <c r="AA28" s="16">
        <f t="shared" si="20"/>
        <v>2</v>
      </c>
      <c r="AB28" s="16">
        <f t="shared" si="20"/>
        <v>6</v>
      </c>
      <c r="AC28" s="16">
        <f t="shared" si="20"/>
        <v>1819</v>
      </c>
      <c r="AD28" s="16">
        <f t="shared" si="20"/>
        <v>2</v>
      </c>
      <c r="AE28" s="32">
        <f t="shared" si="20"/>
        <v>281</v>
      </c>
      <c r="AF28" s="32">
        <f t="shared" si="20"/>
        <v>2100</v>
      </c>
    </row>
    <row r="29" spans="2:32" ht="23.1" customHeight="1" x14ac:dyDescent="0.25">
      <c r="B29" s="23" t="s">
        <v>56</v>
      </c>
      <c r="C29" s="51">
        <v>2</v>
      </c>
      <c r="D29" s="50">
        <v>1</v>
      </c>
      <c r="E29" s="51">
        <v>3</v>
      </c>
      <c r="F29" s="51">
        <v>0</v>
      </c>
      <c r="G29" s="51">
        <v>0</v>
      </c>
      <c r="H29" s="51">
        <v>0</v>
      </c>
      <c r="I29" s="51">
        <v>0</v>
      </c>
      <c r="J29" s="51">
        <v>1</v>
      </c>
      <c r="K29" s="51">
        <v>0</v>
      </c>
      <c r="L29" s="50">
        <v>0</v>
      </c>
      <c r="M29" s="51">
        <v>40</v>
      </c>
      <c r="N29" s="51">
        <v>0</v>
      </c>
      <c r="O29" s="15">
        <f t="shared" si="0"/>
        <v>7</v>
      </c>
      <c r="P29" s="15">
        <f t="shared" si="1"/>
        <v>47</v>
      </c>
      <c r="R29"/>
      <c r="S29" s="20"/>
      <c r="T29" s="19"/>
    </row>
    <row r="30" spans="2:32" ht="23.1" customHeight="1" x14ac:dyDescent="0.25">
      <c r="B30" s="23" t="s">
        <v>57</v>
      </c>
      <c r="C30" s="51">
        <v>1</v>
      </c>
      <c r="D30" s="50">
        <v>0</v>
      </c>
      <c r="E30" s="51">
        <v>0</v>
      </c>
      <c r="F30" s="51">
        <v>1</v>
      </c>
      <c r="G30" s="51">
        <v>0</v>
      </c>
      <c r="H30" s="51">
        <v>0</v>
      </c>
      <c r="I30" s="51">
        <v>0</v>
      </c>
      <c r="J30" s="51">
        <v>0</v>
      </c>
      <c r="K30" s="51">
        <v>0</v>
      </c>
      <c r="L30" s="50">
        <v>2</v>
      </c>
      <c r="M30" s="51">
        <v>53</v>
      </c>
      <c r="N30" s="51">
        <v>0</v>
      </c>
      <c r="O30" s="15">
        <f t="shared" si="0"/>
        <v>4</v>
      </c>
      <c r="P30" s="15">
        <f t="shared" si="1"/>
        <v>57</v>
      </c>
    </row>
    <row r="31" spans="2:32" ht="23.1" customHeight="1" x14ac:dyDescent="0.25">
      <c r="B31" s="24" t="s">
        <v>58</v>
      </c>
      <c r="C31" s="51">
        <v>1</v>
      </c>
      <c r="D31" s="50">
        <v>0</v>
      </c>
      <c r="E31" s="51">
        <v>2</v>
      </c>
      <c r="F31" s="51">
        <v>0</v>
      </c>
      <c r="G31" s="51">
        <v>0</v>
      </c>
      <c r="H31" s="51">
        <v>0</v>
      </c>
      <c r="I31" s="51">
        <v>3</v>
      </c>
      <c r="J31" s="51">
        <v>0</v>
      </c>
      <c r="K31" s="51">
        <v>0</v>
      </c>
      <c r="L31" s="50">
        <v>0</v>
      </c>
      <c r="M31" s="51">
        <v>55</v>
      </c>
      <c r="N31" s="51">
        <v>0</v>
      </c>
      <c r="O31" s="15">
        <f t="shared" si="0"/>
        <v>6</v>
      </c>
      <c r="P31" s="15">
        <f t="shared" si="1"/>
        <v>61</v>
      </c>
    </row>
    <row r="32" spans="2:32" ht="23.1" customHeight="1" x14ac:dyDescent="0.25">
      <c r="B32" s="24" t="s">
        <v>59</v>
      </c>
      <c r="C32" s="51">
        <v>5</v>
      </c>
      <c r="D32" s="50">
        <v>1</v>
      </c>
      <c r="E32" s="51">
        <v>2</v>
      </c>
      <c r="F32" s="51">
        <v>1</v>
      </c>
      <c r="G32" s="51">
        <v>0</v>
      </c>
      <c r="H32" s="51">
        <v>0</v>
      </c>
      <c r="I32" s="51">
        <v>0</v>
      </c>
      <c r="J32" s="51">
        <v>0</v>
      </c>
      <c r="K32" s="51">
        <v>0</v>
      </c>
      <c r="L32" s="50">
        <v>0</v>
      </c>
      <c r="M32" s="51">
        <v>40</v>
      </c>
      <c r="N32" s="51">
        <v>0</v>
      </c>
      <c r="O32" s="15">
        <f t="shared" si="0"/>
        <v>9</v>
      </c>
      <c r="P32" s="15">
        <f t="shared" si="1"/>
        <v>49</v>
      </c>
    </row>
    <row r="33" spans="2:20" ht="23.1" customHeight="1" x14ac:dyDescent="0.25">
      <c r="B33" s="23" t="s">
        <v>60</v>
      </c>
      <c r="C33" s="51">
        <v>2</v>
      </c>
      <c r="D33" s="50">
        <v>0</v>
      </c>
      <c r="E33" s="51">
        <v>1</v>
      </c>
      <c r="F33" s="51">
        <v>1</v>
      </c>
      <c r="G33" s="51">
        <v>0</v>
      </c>
      <c r="H33" s="51">
        <v>0</v>
      </c>
      <c r="I33" s="51">
        <v>0</v>
      </c>
      <c r="J33" s="51">
        <v>0</v>
      </c>
      <c r="K33" s="51">
        <v>0</v>
      </c>
      <c r="L33" s="50">
        <v>0</v>
      </c>
      <c r="M33" s="51">
        <v>54</v>
      </c>
      <c r="N33" s="51">
        <v>0</v>
      </c>
      <c r="O33" s="15">
        <f t="shared" si="0"/>
        <v>4</v>
      </c>
      <c r="P33" s="15">
        <f t="shared" si="1"/>
        <v>58</v>
      </c>
    </row>
    <row r="34" spans="2:20" ht="23.1" customHeight="1" x14ac:dyDescent="0.25">
      <c r="B34" s="24" t="s">
        <v>61</v>
      </c>
      <c r="C34" s="51">
        <v>1</v>
      </c>
      <c r="D34" s="50">
        <v>0</v>
      </c>
      <c r="E34" s="51">
        <v>1</v>
      </c>
      <c r="F34" s="51">
        <v>0</v>
      </c>
      <c r="G34" s="51">
        <v>0</v>
      </c>
      <c r="H34" s="51">
        <v>0</v>
      </c>
      <c r="I34" s="51">
        <v>0</v>
      </c>
      <c r="J34" s="51">
        <v>0</v>
      </c>
      <c r="K34" s="51">
        <v>0</v>
      </c>
      <c r="L34" s="50">
        <v>0</v>
      </c>
      <c r="M34" s="51">
        <v>33</v>
      </c>
      <c r="N34" s="51">
        <v>0</v>
      </c>
      <c r="O34" s="15">
        <f t="shared" si="0"/>
        <v>2</v>
      </c>
      <c r="P34" s="15">
        <f t="shared" si="1"/>
        <v>35</v>
      </c>
    </row>
    <row r="35" spans="2:20" ht="23.1" customHeight="1" x14ac:dyDescent="0.25">
      <c r="B35" s="24" t="s">
        <v>62</v>
      </c>
      <c r="C35" s="51">
        <v>3</v>
      </c>
      <c r="D35" s="50">
        <v>1</v>
      </c>
      <c r="E35" s="51">
        <v>2</v>
      </c>
      <c r="F35" s="51">
        <v>0</v>
      </c>
      <c r="G35" s="51">
        <v>0</v>
      </c>
      <c r="H35" s="51">
        <v>0</v>
      </c>
      <c r="I35" s="51">
        <v>0</v>
      </c>
      <c r="J35" s="51">
        <v>0</v>
      </c>
      <c r="K35" s="51">
        <v>0</v>
      </c>
      <c r="L35" s="50">
        <v>0</v>
      </c>
      <c r="M35" s="51">
        <v>41</v>
      </c>
      <c r="N35" s="51">
        <v>0</v>
      </c>
      <c r="O35" s="15">
        <f t="shared" si="0"/>
        <v>6</v>
      </c>
      <c r="P35" s="15">
        <f t="shared" si="1"/>
        <v>47</v>
      </c>
    </row>
    <row r="36" spans="2:20" ht="23.1" customHeight="1" x14ac:dyDescent="0.25">
      <c r="B36" s="24" t="s">
        <v>63</v>
      </c>
      <c r="C36" s="51">
        <v>2</v>
      </c>
      <c r="D36" s="50">
        <v>0</v>
      </c>
      <c r="E36" s="51">
        <v>2</v>
      </c>
      <c r="F36" s="51">
        <v>0</v>
      </c>
      <c r="G36" s="51">
        <v>0</v>
      </c>
      <c r="H36" s="51">
        <v>0</v>
      </c>
      <c r="I36" s="51">
        <v>0</v>
      </c>
      <c r="J36" s="51">
        <v>0</v>
      </c>
      <c r="K36" s="51">
        <v>0</v>
      </c>
      <c r="L36" s="50">
        <v>0</v>
      </c>
      <c r="M36" s="51">
        <v>25</v>
      </c>
      <c r="N36" s="51">
        <v>0</v>
      </c>
      <c r="O36" s="15">
        <f t="shared" si="0"/>
        <v>4</v>
      </c>
      <c r="P36" s="15">
        <f t="shared" si="1"/>
        <v>29</v>
      </c>
    </row>
    <row r="37" spans="2:20" ht="23.1" customHeight="1" x14ac:dyDescent="0.25">
      <c r="B37" s="23" t="s">
        <v>64</v>
      </c>
      <c r="C37" s="51">
        <v>2</v>
      </c>
      <c r="D37" s="50">
        <v>1</v>
      </c>
      <c r="E37" s="51">
        <v>2</v>
      </c>
      <c r="F37" s="51">
        <v>0</v>
      </c>
      <c r="G37" s="51">
        <v>1</v>
      </c>
      <c r="H37" s="51">
        <v>0</v>
      </c>
      <c r="I37" s="51">
        <v>0</v>
      </c>
      <c r="J37" s="51">
        <v>0</v>
      </c>
      <c r="K37" s="51">
        <v>0</v>
      </c>
      <c r="L37" s="50">
        <v>0</v>
      </c>
      <c r="M37" s="51">
        <v>24</v>
      </c>
      <c r="N37" s="51">
        <v>1</v>
      </c>
      <c r="O37" s="15">
        <f t="shared" si="0"/>
        <v>7</v>
      </c>
      <c r="P37" s="15">
        <f t="shared" si="1"/>
        <v>31</v>
      </c>
    </row>
    <row r="38" spans="2:20" ht="23.1" customHeight="1" x14ac:dyDescent="0.25">
      <c r="B38" s="24" t="s">
        <v>65</v>
      </c>
      <c r="C38" s="51">
        <v>3</v>
      </c>
      <c r="D38" s="50">
        <v>0</v>
      </c>
      <c r="E38" s="51">
        <v>1</v>
      </c>
      <c r="F38" s="51">
        <v>0</v>
      </c>
      <c r="G38" s="51">
        <v>0</v>
      </c>
      <c r="H38" s="51">
        <v>0</v>
      </c>
      <c r="I38" s="51">
        <v>0</v>
      </c>
      <c r="J38" s="51">
        <v>0</v>
      </c>
      <c r="K38" s="51">
        <v>0</v>
      </c>
      <c r="L38" s="50">
        <v>0</v>
      </c>
      <c r="M38" s="51">
        <v>23</v>
      </c>
      <c r="N38" s="51">
        <v>0</v>
      </c>
      <c r="O38" s="15">
        <f t="shared" si="0"/>
        <v>4</v>
      </c>
      <c r="P38" s="15">
        <f t="shared" si="1"/>
        <v>27</v>
      </c>
    </row>
    <row r="39" spans="2:20" ht="23.1" customHeight="1" x14ac:dyDescent="0.25">
      <c r="B39" s="24" t="s">
        <v>66</v>
      </c>
      <c r="C39" s="51">
        <v>2</v>
      </c>
      <c r="D39" s="50">
        <v>0</v>
      </c>
      <c r="E39" s="51">
        <v>2</v>
      </c>
      <c r="F39" s="51">
        <v>0</v>
      </c>
      <c r="G39" s="51">
        <v>0</v>
      </c>
      <c r="H39" s="51">
        <v>0</v>
      </c>
      <c r="I39" s="51">
        <v>0</v>
      </c>
      <c r="J39" s="51">
        <v>0</v>
      </c>
      <c r="K39" s="51">
        <v>0</v>
      </c>
      <c r="L39" s="50">
        <v>0</v>
      </c>
      <c r="M39" s="51">
        <v>24</v>
      </c>
      <c r="N39" s="51">
        <v>0</v>
      </c>
      <c r="O39" s="15">
        <f t="shared" si="0"/>
        <v>4</v>
      </c>
      <c r="P39" s="15">
        <f t="shared" si="1"/>
        <v>28</v>
      </c>
    </row>
    <row r="40" spans="2:20" ht="23.1" customHeight="1" x14ac:dyDescent="0.25">
      <c r="B40" s="24" t="s">
        <v>67</v>
      </c>
      <c r="C40" s="51">
        <v>4</v>
      </c>
      <c r="D40" s="50">
        <v>0</v>
      </c>
      <c r="E40" s="51">
        <v>0</v>
      </c>
      <c r="F40" s="51">
        <v>0</v>
      </c>
      <c r="G40" s="51">
        <v>0</v>
      </c>
      <c r="H40" s="51">
        <v>0</v>
      </c>
      <c r="I40" s="51">
        <v>0</v>
      </c>
      <c r="J40" s="51">
        <v>0</v>
      </c>
      <c r="K40" s="51">
        <v>0</v>
      </c>
      <c r="L40" s="50">
        <v>0</v>
      </c>
      <c r="M40" s="51">
        <v>26</v>
      </c>
      <c r="N40" s="51">
        <v>0</v>
      </c>
      <c r="O40" s="15">
        <f t="shared" si="0"/>
        <v>4</v>
      </c>
      <c r="P40" s="15">
        <f t="shared" si="1"/>
        <v>30</v>
      </c>
    </row>
    <row r="41" spans="2:20" ht="23.1" customHeight="1" x14ac:dyDescent="0.25">
      <c r="B41" s="23" t="s">
        <v>68</v>
      </c>
      <c r="C41" s="51">
        <v>2</v>
      </c>
      <c r="D41" s="50">
        <v>0</v>
      </c>
      <c r="E41" s="51">
        <v>2</v>
      </c>
      <c r="F41" s="51">
        <v>0</v>
      </c>
      <c r="G41" s="51">
        <v>0</v>
      </c>
      <c r="H41" s="51">
        <v>0</v>
      </c>
      <c r="I41" s="51">
        <v>1</v>
      </c>
      <c r="J41" s="51">
        <v>0</v>
      </c>
      <c r="K41" s="51">
        <v>0</v>
      </c>
      <c r="L41" s="50">
        <v>0</v>
      </c>
      <c r="M41" s="51">
        <v>34</v>
      </c>
      <c r="N41" s="51">
        <v>0</v>
      </c>
      <c r="O41" s="15">
        <f t="shared" si="0"/>
        <v>5</v>
      </c>
      <c r="P41" s="15">
        <f t="shared" si="1"/>
        <v>39</v>
      </c>
    </row>
    <row r="42" spans="2:20" ht="23.1" customHeight="1" x14ac:dyDescent="0.25">
      <c r="B42" s="24" t="s">
        <v>69</v>
      </c>
      <c r="C42" s="51">
        <v>4</v>
      </c>
      <c r="D42" s="50">
        <v>0</v>
      </c>
      <c r="E42" s="51">
        <v>2</v>
      </c>
      <c r="F42" s="51">
        <v>0</v>
      </c>
      <c r="G42" s="51">
        <v>0</v>
      </c>
      <c r="H42" s="51">
        <v>0</v>
      </c>
      <c r="I42" s="51">
        <v>1</v>
      </c>
      <c r="J42" s="51">
        <v>1</v>
      </c>
      <c r="K42" s="51">
        <v>1</v>
      </c>
      <c r="L42" s="50">
        <v>0</v>
      </c>
      <c r="M42" s="51">
        <v>34</v>
      </c>
      <c r="N42" s="51">
        <v>0</v>
      </c>
      <c r="O42" s="15">
        <f t="shared" si="0"/>
        <v>9</v>
      </c>
      <c r="P42" s="15">
        <f t="shared" si="1"/>
        <v>43</v>
      </c>
    </row>
    <row r="43" spans="2:20" ht="23.1" customHeight="1" x14ac:dyDescent="0.25">
      <c r="B43" s="23" t="s">
        <v>70</v>
      </c>
      <c r="C43" s="51">
        <v>4</v>
      </c>
      <c r="D43" s="50">
        <v>0</v>
      </c>
      <c r="E43" s="51">
        <v>1</v>
      </c>
      <c r="F43" s="51">
        <v>0</v>
      </c>
      <c r="G43" s="51">
        <v>0</v>
      </c>
      <c r="H43" s="51">
        <v>0</v>
      </c>
      <c r="I43" s="51">
        <v>0</v>
      </c>
      <c r="J43" s="51">
        <v>0</v>
      </c>
      <c r="K43" s="51">
        <v>0</v>
      </c>
      <c r="L43" s="50">
        <v>0</v>
      </c>
      <c r="M43" s="51">
        <v>30</v>
      </c>
      <c r="N43" s="51">
        <v>0</v>
      </c>
      <c r="O43" s="15">
        <f t="shared" si="0"/>
        <v>5</v>
      </c>
      <c r="P43" s="15">
        <f t="shared" si="1"/>
        <v>35</v>
      </c>
    </row>
    <row r="44" spans="2:20" ht="23.1" customHeight="1" x14ac:dyDescent="0.25">
      <c r="B44" s="25" t="s">
        <v>71</v>
      </c>
      <c r="C44" s="51">
        <v>4</v>
      </c>
      <c r="D44" s="50">
        <v>0</v>
      </c>
      <c r="E44" s="51">
        <v>2</v>
      </c>
      <c r="F44" s="51">
        <v>0</v>
      </c>
      <c r="G44" s="51">
        <v>1</v>
      </c>
      <c r="H44" s="51">
        <v>0</v>
      </c>
      <c r="I44" s="51">
        <v>0</v>
      </c>
      <c r="J44" s="51">
        <v>0</v>
      </c>
      <c r="K44" s="51">
        <v>0</v>
      </c>
      <c r="L44" s="50">
        <v>0</v>
      </c>
      <c r="M44" s="51">
        <v>45</v>
      </c>
      <c r="N44" s="51">
        <v>0</v>
      </c>
      <c r="O44" s="15">
        <f t="shared" si="0"/>
        <v>7</v>
      </c>
      <c r="P44" s="15">
        <f t="shared" si="1"/>
        <v>52</v>
      </c>
    </row>
    <row r="45" spans="2:20" ht="23.1" customHeight="1" x14ac:dyDescent="0.25">
      <c r="B45" s="23" t="s">
        <v>72</v>
      </c>
      <c r="C45" s="51">
        <v>1</v>
      </c>
      <c r="D45" s="50">
        <v>1</v>
      </c>
      <c r="E45" s="51">
        <v>2</v>
      </c>
      <c r="F45" s="51">
        <v>1</v>
      </c>
      <c r="G45" s="51">
        <v>0</v>
      </c>
      <c r="H45" s="51">
        <v>0</v>
      </c>
      <c r="I45" s="51">
        <v>0</v>
      </c>
      <c r="J45" s="51">
        <v>0</v>
      </c>
      <c r="K45" s="51">
        <v>0</v>
      </c>
      <c r="L45" s="50">
        <v>1</v>
      </c>
      <c r="M45" s="51">
        <v>52</v>
      </c>
      <c r="N45" s="51">
        <v>0</v>
      </c>
      <c r="O45" s="15">
        <f t="shared" si="0"/>
        <v>6</v>
      </c>
      <c r="P45" s="15">
        <f t="shared" si="1"/>
        <v>58</v>
      </c>
    </row>
    <row r="46" spans="2:20" ht="23.1" customHeight="1" x14ac:dyDescent="0.25">
      <c r="B46" s="24" t="s">
        <v>73</v>
      </c>
      <c r="C46" s="51">
        <v>0</v>
      </c>
      <c r="D46" s="50">
        <v>0</v>
      </c>
      <c r="E46" s="51">
        <v>2</v>
      </c>
      <c r="F46" s="51">
        <v>1</v>
      </c>
      <c r="G46" s="51">
        <v>0</v>
      </c>
      <c r="H46" s="51">
        <v>0</v>
      </c>
      <c r="I46" s="51">
        <v>0</v>
      </c>
      <c r="J46" s="51">
        <v>0</v>
      </c>
      <c r="K46" s="51">
        <v>0</v>
      </c>
      <c r="L46" s="50">
        <v>0</v>
      </c>
      <c r="M46" s="51">
        <v>56</v>
      </c>
      <c r="N46" s="51">
        <v>0</v>
      </c>
      <c r="O46" s="15">
        <f t="shared" si="0"/>
        <v>3</v>
      </c>
      <c r="P46" s="15">
        <f t="shared" si="1"/>
        <v>59</v>
      </c>
      <c r="R46" s="8"/>
      <c r="T46"/>
    </row>
    <row r="47" spans="2:20" ht="23.1" customHeight="1" x14ac:dyDescent="0.25">
      <c r="B47" s="24" t="s">
        <v>74</v>
      </c>
      <c r="C47" s="51">
        <v>6</v>
      </c>
      <c r="D47" s="50">
        <v>1</v>
      </c>
      <c r="E47" s="51">
        <v>2</v>
      </c>
      <c r="F47" s="51">
        <v>0</v>
      </c>
      <c r="G47" s="51">
        <v>0</v>
      </c>
      <c r="H47" s="51">
        <v>0</v>
      </c>
      <c r="I47" s="51">
        <v>0</v>
      </c>
      <c r="J47" s="51">
        <v>0</v>
      </c>
      <c r="K47" s="51">
        <v>0</v>
      </c>
      <c r="L47" s="50">
        <v>0</v>
      </c>
      <c r="M47" s="51">
        <v>34</v>
      </c>
      <c r="N47" s="51">
        <v>0</v>
      </c>
      <c r="O47" s="15">
        <f t="shared" si="0"/>
        <v>9</v>
      </c>
      <c r="P47" s="15">
        <f t="shared" si="1"/>
        <v>43</v>
      </c>
      <c r="R47" s="8"/>
      <c r="T47"/>
    </row>
    <row r="48" spans="2:20" ht="23.1" customHeight="1" x14ac:dyDescent="0.25">
      <c r="B48" s="24" t="s">
        <v>75</v>
      </c>
      <c r="C48" s="51">
        <v>3</v>
      </c>
      <c r="D48" s="50">
        <v>0</v>
      </c>
      <c r="E48" s="51">
        <v>1</v>
      </c>
      <c r="F48" s="51">
        <v>0</v>
      </c>
      <c r="G48" s="51">
        <v>0</v>
      </c>
      <c r="H48" s="51">
        <v>0</v>
      </c>
      <c r="I48" s="51">
        <v>0</v>
      </c>
      <c r="J48" s="51">
        <v>0</v>
      </c>
      <c r="K48" s="51">
        <v>0</v>
      </c>
      <c r="L48" s="50">
        <v>0</v>
      </c>
      <c r="M48" s="51">
        <v>29</v>
      </c>
      <c r="N48" s="51">
        <v>0</v>
      </c>
      <c r="O48" s="15">
        <f t="shared" si="0"/>
        <v>4</v>
      </c>
      <c r="P48" s="15">
        <f t="shared" si="1"/>
        <v>33</v>
      </c>
      <c r="R48" s="8"/>
      <c r="T48"/>
    </row>
    <row r="49" spans="2:20" ht="23.1" customHeight="1" x14ac:dyDescent="0.25">
      <c r="B49" s="23" t="s">
        <v>76</v>
      </c>
      <c r="C49" s="51">
        <v>2</v>
      </c>
      <c r="D49" s="50">
        <v>0</v>
      </c>
      <c r="E49" s="51">
        <v>2</v>
      </c>
      <c r="F49" s="51">
        <v>0</v>
      </c>
      <c r="G49" s="51">
        <v>0</v>
      </c>
      <c r="H49" s="51">
        <v>0</v>
      </c>
      <c r="I49" s="51">
        <v>0</v>
      </c>
      <c r="J49" s="51">
        <v>0</v>
      </c>
      <c r="K49" s="51">
        <v>0</v>
      </c>
      <c r="L49" s="50">
        <v>0</v>
      </c>
      <c r="M49" s="51">
        <v>39</v>
      </c>
      <c r="N49" s="51">
        <v>0</v>
      </c>
      <c r="O49" s="15">
        <f t="shared" si="0"/>
        <v>4</v>
      </c>
      <c r="P49" s="15">
        <f t="shared" si="1"/>
        <v>43</v>
      </c>
      <c r="R49" s="8"/>
      <c r="T49"/>
    </row>
    <row r="50" spans="2:20" ht="23.1" customHeight="1" x14ac:dyDescent="0.25">
      <c r="B50" s="24" t="s">
        <v>77</v>
      </c>
      <c r="C50" s="51">
        <v>2</v>
      </c>
      <c r="D50" s="50">
        <v>0</v>
      </c>
      <c r="E50" s="51">
        <v>0</v>
      </c>
      <c r="F50" s="51">
        <v>0</v>
      </c>
      <c r="G50" s="51">
        <v>0</v>
      </c>
      <c r="H50" s="51">
        <v>1</v>
      </c>
      <c r="I50" s="51">
        <v>0</v>
      </c>
      <c r="J50" s="51">
        <v>0</v>
      </c>
      <c r="K50" s="51">
        <v>0</v>
      </c>
      <c r="L50" s="50">
        <v>0</v>
      </c>
      <c r="M50" s="51">
        <v>64</v>
      </c>
      <c r="N50" s="51">
        <v>0</v>
      </c>
      <c r="O50" s="15">
        <f t="shared" si="0"/>
        <v>3</v>
      </c>
      <c r="P50" s="15">
        <f t="shared" si="1"/>
        <v>67</v>
      </c>
      <c r="R50" s="8"/>
      <c r="T50"/>
    </row>
    <row r="51" spans="2:20" ht="23.1" customHeight="1" x14ac:dyDescent="0.25">
      <c r="B51" s="24" t="s">
        <v>78</v>
      </c>
      <c r="C51" s="51">
        <v>1</v>
      </c>
      <c r="D51" s="50">
        <v>0</v>
      </c>
      <c r="E51" s="51">
        <v>1</v>
      </c>
      <c r="F51" s="51">
        <v>0</v>
      </c>
      <c r="G51" s="51">
        <v>0</v>
      </c>
      <c r="H51" s="51">
        <v>0</v>
      </c>
      <c r="I51" s="51">
        <v>0</v>
      </c>
      <c r="J51" s="51">
        <v>1</v>
      </c>
      <c r="K51" s="51">
        <v>0</v>
      </c>
      <c r="L51" s="50">
        <v>0</v>
      </c>
      <c r="M51" s="51">
        <v>21</v>
      </c>
      <c r="N51" s="51">
        <v>0</v>
      </c>
      <c r="O51" s="15">
        <f t="shared" si="0"/>
        <v>3</v>
      </c>
      <c r="P51" s="15">
        <f t="shared" si="1"/>
        <v>24</v>
      </c>
      <c r="R51" s="8"/>
      <c r="T51"/>
    </row>
    <row r="52" spans="2:20" ht="23.1" customHeight="1" x14ac:dyDescent="0.25">
      <c r="B52" s="24" t="s">
        <v>79</v>
      </c>
      <c r="C52" s="51">
        <v>1</v>
      </c>
      <c r="D52" s="50">
        <v>0</v>
      </c>
      <c r="E52" s="51">
        <v>1</v>
      </c>
      <c r="F52" s="51">
        <v>0</v>
      </c>
      <c r="G52" s="51">
        <v>0</v>
      </c>
      <c r="H52" s="51">
        <v>0</v>
      </c>
      <c r="I52" s="51">
        <v>0</v>
      </c>
      <c r="J52" s="51">
        <v>0</v>
      </c>
      <c r="K52" s="51">
        <v>0</v>
      </c>
      <c r="L52" s="50">
        <v>1</v>
      </c>
      <c r="M52" s="51">
        <v>34</v>
      </c>
      <c r="N52" s="51">
        <v>0</v>
      </c>
      <c r="O52" s="15">
        <f t="shared" si="0"/>
        <v>3</v>
      </c>
      <c r="P52" s="15">
        <f t="shared" si="1"/>
        <v>37</v>
      </c>
      <c r="R52" s="8"/>
      <c r="T52"/>
    </row>
    <row r="53" spans="2:20" ht="23.1" customHeight="1" x14ac:dyDescent="0.25">
      <c r="B53" s="23" t="s">
        <v>80</v>
      </c>
      <c r="C53" s="51">
        <v>4</v>
      </c>
      <c r="D53" s="50">
        <v>0</v>
      </c>
      <c r="E53" s="51">
        <v>1</v>
      </c>
      <c r="F53" s="51">
        <v>0</v>
      </c>
      <c r="G53" s="51">
        <v>0</v>
      </c>
      <c r="H53" s="51">
        <v>0</v>
      </c>
      <c r="I53" s="51">
        <v>0</v>
      </c>
      <c r="J53" s="51">
        <v>0</v>
      </c>
      <c r="K53" s="51">
        <v>0</v>
      </c>
      <c r="L53" s="50">
        <v>0</v>
      </c>
      <c r="M53" s="51">
        <v>48</v>
      </c>
      <c r="N53" s="51">
        <v>0</v>
      </c>
      <c r="O53" s="15">
        <f t="shared" si="0"/>
        <v>5</v>
      </c>
      <c r="P53" s="15">
        <f t="shared" si="1"/>
        <v>53</v>
      </c>
      <c r="R53" s="8"/>
      <c r="T53"/>
    </row>
    <row r="54" spans="2:20" ht="23.1" customHeight="1" x14ac:dyDescent="0.25">
      <c r="B54" s="23" t="s">
        <v>81</v>
      </c>
      <c r="C54" s="51">
        <v>7</v>
      </c>
      <c r="D54" s="50">
        <v>0</v>
      </c>
      <c r="E54" s="51">
        <v>2</v>
      </c>
      <c r="F54" s="51">
        <v>0</v>
      </c>
      <c r="G54" s="51">
        <v>0</v>
      </c>
      <c r="H54" s="51">
        <v>0</v>
      </c>
      <c r="I54" s="51">
        <v>0</v>
      </c>
      <c r="J54" s="51">
        <v>0</v>
      </c>
      <c r="K54" s="51">
        <v>0</v>
      </c>
      <c r="L54" s="50">
        <v>0</v>
      </c>
      <c r="M54" s="51">
        <v>37</v>
      </c>
      <c r="N54" s="51">
        <v>0</v>
      </c>
      <c r="O54" s="15">
        <f t="shared" si="0"/>
        <v>9</v>
      </c>
      <c r="P54" s="15">
        <f t="shared" si="1"/>
        <v>46</v>
      </c>
      <c r="R54" s="8"/>
      <c r="T54"/>
    </row>
    <row r="55" spans="2:20" ht="23.1" customHeight="1" x14ac:dyDescent="0.25">
      <c r="B55" s="23" t="s">
        <v>82</v>
      </c>
      <c r="C55" s="51">
        <v>5</v>
      </c>
      <c r="D55" s="50">
        <v>0</v>
      </c>
      <c r="E55" s="51">
        <v>2</v>
      </c>
      <c r="F55" s="51">
        <v>0</v>
      </c>
      <c r="G55" s="51">
        <v>1</v>
      </c>
      <c r="H55" s="51">
        <v>0</v>
      </c>
      <c r="I55" s="51">
        <v>1</v>
      </c>
      <c r="J55" s="51">
        <v>0</v>
      </c>
      <c r="K55" s="51">
        <v>0</v>
      </c>
      <c r="L55" s="50">
        <v>0</v>
      </c>
      <c r="M55" s="51">
        <v>47</v>
      </c>
      <c r="N55" s="51">
        <v>0</v>
      </c>
      <c r="O55" s="15">
        <f t="shared" si="0"/>
        <v>9</v>
      </c>
      <c r="P55" s="15">
        <f t="shared" si="1"/>
        <v>56</v>
      </c>
      <c r="R55" s="8"/>
      <c r="T55"/>
    </row>
    <row r="56" spans="2:20" ht="23.1" customHeight="1" x14ac:dyDescent="0.25">
      <c r="B56" s="23" t="s">
        <v>83</v>
      </c>
      <c r="C56" s="51">
        <v>6</v>
      </c>
      <c r="D56" s="50">
        <v>0</v>
      </c>
      <c r="E56" s="51">
        <v>2</v>
      </c>
      <c r="F56" s="51">
        <v>0</v>
      </c>
      <c r="G56" s="51">
        <v>0</v>
      </c>
      <c r="H56" s="51">
        <v>0</v>
      </c>
      <c r="I56" s="51">
        <v>1</v>
      </c>
      <c r="J56" s="51">
        <v>2</v>
      </c>
      <c r="K56" s="51">
        <v>0</v>
      </c>
      <c r="L56" s="50">
        <v>0</v>
      </c>
      <c r="M56" s="51">
        <v>49</v>
      </c>
      <c r="N56" s="51">
        <v>0</v>
      </c>
      <c r="O56" s="15">
        <f t="shared" si="0"/>
        <v>11</v>
      </c>
      <c r="P56" s="15">
        <f t="shared" si="1"/>
        <v>60</v>
      </c>
      <c r="R56" s="8"/>
      <c r="T56"/>
    </row>
    <row r="57" spans="2:20" ht="23.1" customHeight="1" x14ac:dyDescent="0.25">
      <c r="B57" s="23" t="s">
        <v>84</v>
      </c>
      <c r="C57" s="51">
        <v>5</v>
      </c>
      <c r="D57" s="50">
        <v>0</v>
      </c>
      <c r="E57" s="51">
        <v>0</v>
      </c>
      <c r="F57" s="51">
        <v>0</v>
      </c>
      <c r="G57" s="51">
        <v>0</v>
      </c>
      <c r="H57" s="51">
        <v>0</v>
      </c>
      <c r="I57" s="51">
        <v>0</v>
      </c>
      <c r="J57" s="51">
        <v>0</v>
      </c>
      <c r="K57" s="51">
        <v>0</v>
      </c>
      <c r="L57" s="50">
        <v>0</v>
      </c>
      <c r="M57" s="51">
        <v>76</v>
      </c>
      <c r="N57" s="51">
        <v>0</v>
      </c>
      <c r="O57" s="15">
        <f t="shared" si="0"/>
        <v>5</v>
      </c>
      <c r="P57" s="15">
        <f t="shared" si="1"/>
        <v>81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147</v>
      </c>
      <c r="D58" s="16">
        <f t="shared" si="21"/>
        <v>11</v>
      </c>
      <c r="E58" s="16">
        <f t="shared" si="21"/>
        <v>65</v>
      </c>
      <c r="F58" s="16">
        <f t="shared" si="21"/>
        <v>10</v>
      </c>
      <c r="G58" s="16">
        <f t="shared" si="21"/>
        <v>5</v>
      </c>
      <c r="H58" s="16">
        <f t="shared" si="21"/>
        <v>2</v>
      </c>
      <c r="I58" s="16">
        <f t="shared" si="21"/>
        <v>23</v>
      </c>
      <c r="J58" s="16">
        <f t="shared" si="21"/>
        <v>8</v>
      </c>
      <c r="K58" s="16">
        <f t="shared" si="21"/>
        <v>2</v>
      </c>
      <c r="L58" s="16">
        <f t="shared" si="21"/>
        <v>6</v>
      </c>
      <c r="M58" s="16">
        <f t="shared" si="21"/>
        <v>1819</v>
      </c>
      <c r="N58" s="16">
        <f t="shared" si="21"/>
        <v>2</v>
      </c>
      <c r="O58" s="16">
        <f t="shared" si="21"/>
        <v>281</v>
      </c>
      <c r="P58" s="16">
        <f t="shared" si="21"/>
        <v>2100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7.0000000000000007E-2</v>
      </c>
      <c r="D59" s="43">
        <f t="shared" si="22"/>
        <v>5.2380952380952379E-3</v>
      </c>
      <c r="E59" s="43">
        <f t="shared" si="22"/>
        <v>3.0952380952380953E-2</v>
      </c>
      <c r="F59" s="43">
        <f t="shared" si="22"/>
        <v>4.7619047619047623E-3</v>
      </c>
      <c r="G59" s="43">
        <f t="shared" si="22"/>
        <v>2.3809523809523812E-3</v>
      </c>
      <c r="H59" s="43">
        <f t="shared" si="22"/>
        <v>9.5238095238095238E-4</v>
      </c>
      <c r="I59" s="43">
        <f t="shared" si="22"/>
        <v>1.0952380952380953E-2</v>
      </c>
      <c r="J59" s="43">
        <f t="shared" si="22"/>
        <v>3.8095238095238095E-3</v>
      </c>
      <c r="K59" s="43">
        <f t="shared" si="22"/>
        <v>9.5238095238095238E-4</v>
      </c>
      <c r="L59" s="43">
        <f t="shared" si="22"/>
        <v>2.8571428571428571E-3</v>
      </c>
      <c r="M59" s="43">
        <f t="shared" si="22"/>
        <v>0.86619047619047618</v>
      </c>
      <c r="N59" s="43">
        <f t="shared" si="22"/>
        <v>9.5238095238095238E-4</v>
      </c>
      <c r="R59" s="8"/>
      <c r="T59"/>
    </row>
    <row r="60" spans="2:20" ht="23.1" customHeight="1" x14ac:dyDescent="0.25">
      <c r="B60" s="42" t="s">
        <v>94</v>
      </c>
      <c r="C60" s="44">
        <f>C58/$O$58</f>
        <v>0.52313167259786475</v>
      </c>
      <c r="D60" s="44">
        <f t="shared" ref="D60:N60" si="23">D58/$O$58</f>
        <v>3.9145907473309607E-2</v>
      </c>
      <c r="E60" s="44">
        <f t="shared" si="23"/>
        <v>0.23131672597864769</v>
      </c>
      <c r="F60" s="44">
        <f t="shared" si="23"/>
        <v>3.5587188612099648E-2</v>
      </c>
      <c r="G60" s="44">
        <f t="shared" si="23"/>
        <v>1.7793594306049824E-2</v>
      </c>
      <c r="H60" s="44">
        <f t="shared" si="23"/>
        <v>7.1174377224199285E-3</v>
      </c>
      <c r="I60" s="44">
        <f t="shared" si="23"/>
        <v>8.1850533807829182E-2</v>
      </c>
      <c r="J60" s="44">
        <f t="shared" si="23"/>
        <v>2.8469750889679714E-2</v>
      </c>
      <c r="K60" s="44">
        <f t="shared" si="23"/>
        <v>7.1174377224199285E-3</v>
      </c>
      <c r="L60" s="44">
        <f t="shared" si="23"/>
        <v>2.1352313167259787E-2</v>
      </c>
      <c r="M60" s="44"/>
      <c r="N60" s="44">
        <f t="shared" si="23"/>
        <v>7.1174377224199285E-3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34" zoomScale="60" workbookViewId="0">
      <selection activeCell="E59" sqref="E5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Koboko-Yumbe'!C3:G3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Koboko-Yumbe'!D5</f>
        <v>31.07.19</v>
      </c>
      <c r="E5" s="3"/>
      <c r="F5" s="41" t="s">
        <v>1</v>
      </c>
      <c r="G5" s="62" t="str">
        <f>'31.07 Koboko-Yumbe'!G5:H5</f>
        <v>Umbachi</v>
      </c>
      <c r="H5" s="63"/>
      <c r="I5" s="14"/>
      <c r="J5" s="2" t="s">
        <v>5</v>
      </c>
      <c r="K5" s="62" t="str">
        <f>'31.07 Koboko-Yumbe'!K5:L5</f>
        <v>xxx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56" t="s">
        <v>167</v>
      </c>
      <c r="E6" s="57"/>
      <c r="F6" s="2" t="s">
        <v>2</v>
      </c>
      <c r="G6" s="56" t="s">
        <v>166</v>
      </c>
      <c r="H6" s="57"/>
      <c r="J6" s="2" t="s">
        <v>21</v>
      </c>
      <c r="K6" s="62" t="str">
        <f>'31.07 Koboko-Yumbe'!K6:L6</f>
        <v>xxx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0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17</v>
      </c>
      <c r="R10" s="1" t="s">
        <v>6</v>
      </c>
      <c r="S10" s="17">
        <f t="shared" ref="S10:AF10" si="2">SUM(C10:C13)</f>
        <v>13</v>
      </c>
      <c r="T10" s="17">
        <f t="shared" si="2"/>
        <v>0</v>
      </c>
      <c r="U10" s="17">
        <f t="shared" si="2"/>
        <v>5</v>
      </c>
      <c r="V10" s="17">
        <f t="shared" si="2"/>
        <v>0</v>
      </c>
      <c r="W10" s="17">
        <f t="shared" si="2"/>
        <v>2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117</v>
      </c>
      <c r="AD10" s="17">
        <f t="shared" si="2"/>
        <v>0</v>
      </c>
      <c r="AE10" s="31">
        <f t="shared" si="2"/>
        <v>21</v>
      </c>
      <c r="AF10" s="31">
        <f t="shared" si="2"/>
        <v>138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23</v>
      </c>
      <c r="N11" s="50">
        <v>0</v>
      </c>
      <c r="O11" s="15">
        <f t="shared" si="0"/>
        <v>3</v>
      </c>
      <c r="P11" s="15">
        <f t="shared" si="1"/>
        <v>26</v>
      </c>
      <c r="R11" s="1" t="s">
        <v>7</v>
      </c>
      <c r="S11" s="17">
        <f t="shared" ref="S11:AF11" si="3">SUM(C14:C17)</f>
        <v>13</v>
      </c>
      <c r="T11" s="17">
        <f t="shared" si="3"/>
        <v>0</v>
      </c>
      <c r="U11" s="17">
        <f t="shared" si="3"/>
        <v>7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162</v>
      </c>
      <c r="AD11" s="17">
        <f t="shared" si="3"/>
        <v>0</v>
      </c>
      <c r="AE11" s="31">
        <f t="shared" si="3"/>
        <v>24</v>
      </c>
      <c r="AF11" s="31">
        <f t="shared" si="3"/>
        <v>186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3</v>
      </c>
      <c r="F12" s="50">
        <v>0</v>
      </c>
      <c r="G12" s="50">
        <v>2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43</v>
      </c>
      <c r="N12" s="50">
        <v>0</v>
      </c>
      <c r="O12" s="15">
        <f t="shared" si="0"/>
        <v>10</v>
      </c>
      <c r="P12" s="15">
        <f t="shared" si="1"/>
        <v>53</v>
      </c>
      <c r="R12" s="1" t="s">
        <v>8</v>
      </c>
      <c r="S12" s="17">
        <f t="shared" ref="S12:AF12" si="4">SUM(C18:C21)</f>
        <v>11</v>
      </c>
      <c r="T12" s="17">
        <f t="shared" si="4"/>
        <v>0</v>
      </c>
      <c r="U12" s="17">
        <f t="shared" si="4"/>
        <v>5</v>
      </c>
      <c r="V12" s="17">
        <f t="shared" si="4"/>
        <v>0</v>
      </c>
      <c r="W12" s="17">
        <f t="shared" si="4"/>
        <v>0</v>
      </c>
      <c r="X12" s="17">
        <f t="shared" si="4"/>
        <v>2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188</v>
      </c>
      <c r="AD12" s="17">
        <f t="shared" si="4"/>
        <v>0</v>
      </c>
      <c r="AE12" s="31">
        <f t="shared" si="4"/>
        <v>20</v>
      </c>
      <c r="AF12" s="31">
        <f t="shared" si="4"/>
        <v>208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38</v>
      </c>
      <c r="N13" s="50">
        <v>0</v>
      </c>
      <c r="O13" s="15">
        <f t="shared" si="0"/>
        <v>4</v>
      </c>
      <c r="P13" s="15">
        <f t="shared" si="1"/>
        <v>42</v>
      </c>
      <c r="R13" s="1" t="s">
        <v>9</v>
      </c>
      <c r="S13" s="17">
        <f t="shared" ref="S13:AF13" si="5">SUM(C22:C25)</f>
        <v>19</v>
      </c>
      <c r="T13" s="17">
        <f t="shared" si="5"/>
        <v>2</v>
      </c>
      <c r="U13" s="17">
        <f t="shared" si="5"/>
        <v>9</v>
      </c>
      <c r="V13" s="17">
        <f t="shared" si="5"/>
        <v>1</v>
      </c>
      <c r="W13" s="17">
        <f t="shared" si="5"/>
        <v>1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169</v>
      </c>
      <c r="AD13" s="17">
        <f t="shared" si="5"/>
        <v>0</v>
      </c>
      <c r="AE13" s="31">
        <f t="shared" si="5"/>
        <v>33</v>
      </c>
      <c r="AF13" s="31">
        <f t="shared" si="5"/>
        <v>202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48</v>
      </c>
      <c r="N14" s="50">
        <v>0</v>
      </c>
      <c r="O14" s="15">
        <f t="shared" si="0"/>
        <v>8</v>
      </c>
      <c r="P14" s="15">
        <f t="shared" si="1"/>
        <v>56</v>
      </c>
      <c r="R14" s="1" t="s">
        <v>10</v>
      </c>
      <c r="S14" s="17">
        <f t="shared" ref="S14:AF14" si="6">SUM(C26:C29)</f>
        <v>8</v>
      </c>
      <c r="T14" s="17">
        <f t="shared" si="6"/>
        <v>1</v>
      </c>
      <c r="U14" s="17">
        <f t="shared" si="6"/>
        <v>4</v>
      </c>
      <c r="V14" s="17">
        <f t="shared" si="6"/>
        <v>1</v>
      </c>
      <c r="W14" s="17">
        <f t="shared" si="6"/>
        <v>1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147</v>
      </c>
      <c r="AD14" s="17">
        <f t="shared" si="6"/>
        <v>0</v>
      </c>
      <c r="AE14" s="31">
        <f t="shared" si="6"/>
        <v>18</v>
      </c>
      <c r="AF14" s="31">
        <f t="shared" si="6"/>
        <v>165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31</v>
      </c>
      <c r="N15" s="50">
        <v>0</v>
      </c>
      <c r="O15" s="15">
        <f t="shared" si="0"/>
        <v>5</v>
      </c>
      <c r="P15" s="15">
        <f t="shared" si="1"/>
        <v>36</v>
      </c>
      <c r="R15" s="1" t="s">
        <v>11</v>
      </c>
      <c r="S15" s="17">
        <f t="shared" ref="S15:AF15" si="7">SUM(C30:C33)</f>
        <v>11</v>
      </c>
      <c r="T15" s="17">
        <f t="shared" si="7"/>
        <v>0</v>
      </c>
      <c r="U15" s="17">
        <f t="shared" si="7"/>
        <v>7</v>
      </c>
      <c r="V15" s="17">
        <f t="shared" si="7"/>
        <v>2</v>
      </c>
      <c r="W15" s="17">
        <f t="shared" si="7"/>
        <v>0</v>
      </c>
      <c r="X15" s="17">
        <f t="shared" si="7"/>
        <v>1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149</v>
      </c>
      <c r="AD15" s="17">
        <f t="shared" si="7"/>
        <v>1</v>
      </c>
      <c r="AE15" s="31">
        <f t="shared" si="7"/>
        <v>25</v>
      </c>
      <c r="AF15" s="31">
        <f t="shared" si="7"/>
        <v>174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33</v>
      </c>
      <c r="N16" s="50">
        <v>0</v>
      </c>
      <c r="O16" s="15">
        <f t="shared" si="0"/>
        <v>5</v>
      </c>
      <c r="P16" s="15">
        <f t="shared" si="1"/>
        <v>38</v>
      </c>
      <c r="R16" s="1" t="s">
        <v>12</v>
      </c>
      <c r="S16" s="17">
        <f t="shared" ref="S16:AF16" si="8">SUM(C34:C37)</f>
        <v>13</v>
      </c>
      <c r="T16" s="17">
        <f t="shared" si="8"/>
        <v>0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1</v>
      </c>
      <c r="AC16" s="17">
        <f t="shared" si="8"/>
        <v>112</v>
      </c>
      <c r="AD16" s="17">
        <f t="shared" si="8"/>
        <v>0</v>
      </c>
      <c r="AE16" s="31">
        <f t="shared" si="8"/>
        <v>20</v>
      </c>
      <c r="AF16" s="31">
        <f t="shared" si="8"/>
        <v>132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3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50</v>
      </c>
      <c r="N17" s="50">
        <v>0</v>
      </c>
      <c r="O17" s="15">
        <f t="shared" si="0"/>
        <v>6</v>
      </c>
      <c r="P17" s="15">
        <f t="shared" si="1"/>
        <v>56</v>
      </c>
      <c r="R17" s="1" t="s">
        <v>13</v>
      </c>
      <c r="S17" s="17">
        <f t="shared" ref="S17:AF17" si="9">SUM(C38:C41)</f>
        <v>14</v>
      </c>
      <c r="T17" s="17">
        <f t="shared" si="9"/>
        <v>0</v>
      </c>
      <c r="U17" s="17">
        <f t="shared" si="9"/>
        <v>4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99</v>
      </c>
      <c r="AD17" s="17">
        <f t="shared" si="9"/>
        <v>1</v>
      </c>
      <c r="AE17" s="31">
        <f t="shared" si="9"/>
        <v>23</v>
      </c>
      <c r="AF17" s="31">
        <f t="shared" si="9"/>
        <v>122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3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47</v>
      </c>
      <c r="N18" s="50">
        <v>0</v>
      </c>
      <c r="O18" s="15">
        <f t="shared" si="0"/>
        <v>8</v>
      </c>
      <c r="P18" s="15">
        <f t="shared" si="1"/>
        <v>55</v>
      </c>
      <c r="R18" s="1" t="s">
        <v>14</v>
      </c>
      <c r="S18" s="17">
        <f t="shared" ref="S18:AF18" si="10">SUM(C42:C45)</f>
        <v>15</v>
      </c>
      <c r="T18" s="17">
        <f t="shared" si="10"/>
        <v>0</v>
      </c>
      <c r="U18" s="17">
        <f t="shared" si="10"/>
        <v>6</v>
      </c>
      <c r="V18" s="17">
        <f t="shared" si="10"/>
        <v>0</v>
      </c>
      <c r="W18" s="17">
        <f t="shared" si="10"/>
        <v>1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146</v>
      </c>
      <c r="AD18" s="17">
        <f t="shared" si="10"/>
        <v>0</v>
      </c>
      <c r="AE18" s="31">
        <f t="shared" si="10"/>
        <v>25</v>
      </c>
      <c r="AF18" s="31">
        <f t="shared" si="10"/>
        <v>171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0</v>
      </c>
      <c r="M19" s="50">
        <v>42</v>
      </c>
      <c r="N19" s="50">
        <v>0</v>
      </c>
      <c r="O19" s="15">
        <f t="shared" si="0"/>
        <v>3</v>
      </c>
      <c r="P19" s="15">
        <f t="shared" si="1"/>
        <v>45</v>
      </c>
      <c r="R19" s="1" t="s">
        <v>15</v>
      </c>
      <c r="S19" s="17">
        <f t="shared" ref="S19:AF19" si="11">SUM(C46:C49)</f>
        <v>16</v>
      </c>
      <c r="T19" s="17">
        <f t="shared" si="11"/>
        <v>1</v>
      </c>
      <c r="U19" s="17">
        <f t="shared" si="11"/>
        <v>8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95</v>
      </c>
      <c r="AD19" s="17">
        <f t="shared" si="11"/>
        <v>0</v>
      </c>
      <c r="AE19" s="31">
        <f t="shared" si="11"/>
        <v>34</v>
      </c>
      <c r="AF19" s="31">
        <f t="shared" si="11"/>
        <v>129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1</v>
      </c>
      <c r="F20" s="50">
        <v>0</v>
      </c>
      <c r="G20" s="50">
        <v>0</v>
      </c>
      <c r="H20" s="50">
        <v>1</v>
      </c>
      <c r="I20" s="50">
        <v>1</v>
      </c>
      <c r="J20" s="50">
        <v>0</v>
      </c>
      <c r="K20" s="50">
        <v>0</v>
      </c>
      <c r="L20" s="50">
        <v>0</v>
      </c>
      <c r="M20" s="50">
        <v>49</v>
      </c>
      <c r="N20" s="50">
        <v>0</v>
      </c>
      <c r="O20" s="15">
        <f t="shared" si="0"/>
        <v>6</v>
      </c>
      <c r="P20" s="15">
        <f t="shared" si="1"/>
        <v>55</v>
      </c>
      <c r="R20" s="1" t="s">
        <v>16</v>
      </c>
      <c r="S20" s="17">
        <f t="shared" ref="S20:AF20" si="12">SUM(C50:C53)</f>
        <v>16</v>
      </c>
      <c r="T20" s="17">
        <f t="shared" si="12"/>
        <v>0</v>
      </c>
      <c r="U20" s="17">
        <f t="shared" si="12"/>
        <v>8</v>
      </c>
      <c r="V20" s="17">
        <f t="shared" si="12"/>
        <v>1</v>
      </c>
      <c r="W20" s="17">
        <f t="shared" si="12"/>
        <v>0</v>
      </c>
      <c r="X20" s="17">
        <f t="shared" si="12"/>
        <v>1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149</v>
      </c>
      <c r="AD20" s="17">
        <f t="shared" si="12"/>
        <v>0</v>
      </c>
      <c r="AE20" s="31">
        <f t="shared" si="12"/>
        <v>28</v>
      </c>
      <c r="AF20" s="31">
        <f t="shared" si="12"/>
        <v>177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50</v>
      </c>
      <c r="N21" s="50">
        <v>0</v>
      </c>
      <c r="O21" s="15">
        <f t="shared" si="0"/>
        <v>3</v>
      </c>
      <c r="P21" s="15">
        <f t="shared" si="1"/>
        <v>53</v>
      </c>
      <c r="R21" s="36" t="s">
        <v>20</v>
      </c>
      <c r="S21" s="34">
        <f t="shared" ref="S21:AF21" si="13">SUM(C54:C57)</f>
        <v>14</v>
      </c>
      <c r="T21" s="17">
        <f t="shared" si="13"/>
        <v>0</v>
      </c>
      <c r="U21" s="17">
        <f t="shared" si="13"/>
        <v>7</v>
      </c>
      <c r="V21" s="17">
        <f t="shared" si="13"/>
        <v>2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176</v>
      </c>
      <c r="AD21" s="17">
        <f t="shared" si="13"/>
        <v>0</v>
      </c>
      <c r="AE21" s="31">
        <f t="shared" si="13"/>
        <v>29</v>
      </c>
      <c r="AF21" s="31">
        <f t="shared" si="13"/>
        <v>205</v>
      </c>
    </row>
    <row r="22" spans="2:32" ht="23.1" customHeight="1" x14ac:dyDescent="0.25">
      <c r="B22" s="23" t="s">
        <v>49</v>
      </c>
      <c r="C22" s="50">
        <v>4</v>
      </c>
      <c r="D22" s="50">
        <v>2</v>
      </c>
      <c r="E22" s="50">
        <v>6</v>
      </c>
      <c r="F22" s="50">
        <v>1</v>
      </c>
      <c r="G22" s="50">
        <v>1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42</v>
      </c>
      <c r="N22" s="50">
        <v>0</v>
      </c>
      <c r="O22" s="15">
        <f t="shared" si="0"/>
        <v>14</v>
      </c>
      <c r="P22" s="15">
        <f t="shared" si="1"/>
        <v>56</v>
      </c>
      <c r="R22" s="38" t="s">
        <v>90</v>
      </c>
      <c r="S22" s="39">
        <f>MAX(S10:S12)</f>
        <v>13</v>
      </c>
      <c r="T22" s="39">
        <f t="shared" ref="T22:AF22" si="14">MAX(T10:T12)</f>
        <v>0</v>
      </c>
      <c r="U22" s="39">
        <f t="shared" si="14"/>
        <v>7</v>
      </c>
      <c r="V22" s="39">
        <f t="shared" si="14"/>
        <v>0</v>
      </c>
      <c r="W22" s="39">
        <f t="shared" si="14"/>
        <v>2</v>
      </c>
      <c r="X22" s="39">
        <f t="shared" si="14"/>
        <v>2</v>
      </c>
      <c r="Y22" s="39">
        <f t="shared" si="14"/>
        <v>3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188</v>
      </c>
      <c r="AD22" s="39">
        <f t="shared" si="14"/>
        <v>0</v>
      </c>
      <c r="AE22" s="40">
        <f t="shared" si="14"/>
        <v>24</v>
      </c>
      <c r="AF22" s="40">
        <f t="shared" si="14"/>
        <v>208</v>
      </c>
    </row>
    <row r="23" spans="2:32" ht="23.1" customHeight="1" x14ac:dyDescent="0.25">
      <c r="B23" s="23" t="s">
        <v>50</v>
      </c>
      <c r="C23" s="50">
        <v>6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32</v>
      </c>
      <c r="N23" s="50">
        <v>0</v>
      </c>
      <c r="O23" s="15">
        <f t="shared" si="0"/>
        <v>6</v>
      </c>
      <c r="P23" s="15">
        <f t="shared" si="1"/>
        <v>38</v>
      </c>
      <c r="R23" s="38" t="s">
        <v>91</v>
      </c>
      <c r="S23" s="39">
        <f>MAX(S13:S18)</f>
        <v>19</v>
      </c>
      <c r="T23" s="39">
        <f t="shared" ref="T23:AF23" si="15">MAX(T13:T18)</f>
        <v>2</v>
      </c>
      <c r="U23" s="39">
        <f t="shared" si="15"/>
        <v>9</v>
      </c>
      <c r="V23" s="39">
        <f t="shared" si="15"/>
        <v>2</v>
      </c>
      <c r="W23" s="39">
        <f t="shared" si="15"/>
        <v>1</v>
      </c>
      <c r="X23" s="39">
        <f t="shared" si="15"/>
        <v>1</v>
      </c>
      <c r="Y23" s="39">
        <f t="shared" si="15"/>
        <v>3</v>
      </c>
      <c r="Z23" s="39">
        <f t="shared" si="15"/>
        <v>1</v>
      </c>
      <c r="AA23" s="39">
        <f t="shared" si="15"/>
        <v>1</v>
      </c>
      <c r="AB23" s="39">
        <f t="shared" si="15"/>
        <v>1</v>
      </c>
      <c r="AC23" s="39">
        <f t="shared" si="15"/>
        <v>169</v>
      </c>
      <c r="AD23" s="39">
        <f t="shared" si="15"/>
        <v>1</v>
      </c>
      <c r="AE23" s="40">
        <f t="shared" si="15"/>
        <v>33</v>
      </c>
      <c r="AF23" s="40">
        <f t="shared" si="15"/>
        <v>202</v>
      </c>
    </row>
    <row r="24" spans="2:32" ht="23.1" customHeight="1" x14ac:dyDescent="0.25">
      <c r="B24" s="23" t="s">
        <v>51</v>
      </c>
      <c r="C24" s="50">
        <v>5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45</v>
      </c>
      <c r="N24" s="50">
        <v>0</v>
      </c>
      <c r="O24" s="15">
        <f t="shared" si="0"/>
        <v>6</v>
      </c>
      <c r="P24" s="15">
        <f t="shared" si="1"/>
        <v>51</v>
      </c>
      <c r="R24" s="38" t="s">
        <v>92</v>
      </c>
      <c r="S24" s="39">
        <f>MAX(S19:S21)</f>
        <v>16</v>
      </c>
      <c r="T24" s="39">
        <f t="shared" ref="T24:AF24" si="16">MAX(T19:T21)</f>
        <v>1</v>
      </c>
      <c r="U24" s="39">
        <f t="shared" si="16"/>
        <v>8</v>
      </c>
      <c r="V24" s="39">
        <f t="shared" si="16"/>
        <v>6</v>
      </c>
      <c r="W24" s="39">
        <f t="shared" si="16"/>
        <v>1</v>
      </c>
      <c r="X24" s="39">
        <f t="shared" si="16"/>
        <v>1</v>
      </c>
      <c r="Y24" s="39">
        <f t="shared" si="16"/>
        <v>4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176</v>
      </c>
      <c r="AD24" s="39">
        <f t="shared" si="16"/>
        <v>0</v>
      </c>
      <c r="AE24" s="40">
        <f t="shared" si="16"/>
        <v>34</v>
      </c>
      <c r="AF24" s="40">
        <f t="shared" si="16"/>
        <v>205</v>
      </c>
    </row>
    <row r="25" spans="2:32" ht="23.1" customHeight="1" x14ac:dyDescent="0.25">
      <c r="B25" s="23" t="s">
        <v>52</v>
      </c>
      <c r="C25" s="50">
        <v>4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50</v>
      </c>
      <c r="N25" s="50">
        <v>0</v>
      </c>
      <c r="O25" s="15">
        <f t="shared" si="0"/>
        <v>7</v>
      </c>
      <c r="P25" s="15">
        <f t="shared" si="1"/>
        <v>57</v>
      </c>
      <c r="R25" s="37" t="s">
        <v>85</v>
      </c>
      <c r="S25" s="35">
        <f t="shared" ref="S25:AF25" si="17">SUM(S10:S12)</f>
        <v>37</v>
      </c>
      <c r="T25" s="16">
        <f t="shared" si="17"/>
        <v>0</v>
      </c>
      <c r="U25" s="16">
        <f t="shared" si="17"/>
        <v>17</v>
      </c>
      <c r="V25" s="16">
        <f t="shared" si="17"/>
        <v>0</v>
      </c>
      <c r="W25" s="16">
        <f t="shared" si="17"/>
        <v>2</v>
      </c>
      <c r="X25" s="16">
        <f t="shared" si="17"/>
        <v>3</v>
      </c>
      <c r="Y25" s="16">
        <f t="shared" si="17"/>
        <v>5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467</v>
      </c>
      <c r="AD25" s="16">
        <f t="shared" si="17"/>
        <v>0</v>
      </c>
      <c r="AE25" s="32">
        <f t="shared" si="17"/>
        <v>65</v>
      </c>
      <c r="AF25" s="32">
        <f t="shared" si="17"/>
        <v>532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3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56</v>
      </c>
      <c r="N26" s="50">
        <v>0</v>
      </c>
      <c r="O26" s="15">
        <f t="shared" si="0"/>
        <v>7</v>
      </c>
      <c r="P26" s="15">
        <f t="shared" si="1"/>
        <v>63</v>
      </c>
      <c r="R26" s="28" t="s">
        <v>86</v>
      </c>
      <c r="S26" s="16">
        <f t="shared" ref="S26:AF26" si="18">SUM(S13:S18)</f>
        <v>80</v>
      </c>
      <c r="T26" s="16">
        <f t="shared" si="18"/>
        <v>3</v>
      </c>
      <c r="U26" s="16">
        <f t="shared" si="18"/>
        <v>34</v>
      </c>
      <c r="V26" s="16">
        <f t="shared" si="18"/>
        <v>5</v>
      </c>
      <c r="W26" s="16">
        <f t="shared" si="18"/>
        <v>3</v>
      </c>
      <c r="X26" s="16">
        <f t="shared" si="18"/>
        <v>1</v>
      </c>
      <c r="Y26" s="16">
        <f t="shared" si="18"/>
        <v>11</v>
      </c>
      <c r="Z26" s="16">
        <f t="shared" si="18"/>
        <v>2</v>
      </c>
      <c r="AA26" s="16">
        <f t="shared" si="18"/>
        <v>1</v>
      </c>
      <c r="AB26" s="16">
        <f t="shared" si="18"/>
        <v>2</v>
      </c>
      <c r="AC26" s="16">
        <f t="shared" si="18"/>
        <v>822</v>
      </c>
      <c r="AD26" s="16">
        <f t="shared" si="18"/>
        <v>2</v>
      </c>
      <c r="AE26" s="32">
        <f t="shared" si="18"/>
        <v>144</v>
      </c>
      <c r="AF26" s="32">
        <f t="shared" si="18"/>
        <v>966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0</v>
      </c>
      <c r="F27" s="50">
        <v>0</v>
      </c>
      <c r="G27" s="50">
        <v>1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30</v>
      </c>
      <c r="N27" s="50">
        <v>0</v>
      </c>
      <c r="O27" s="15">
        <f t="shared" si="0"/>
        <v>6</v>
      </c>
      <c r="P27" s="15">
        <f t="shared" si="1"/>
        <v>36</v>
      </c>
      <c r="R27" s="29" t="s">
        <v>87</v>
      </c>
      <c r="S27" s="16">
        <f t="shared" ref="S27:AF27" si="19">SUM(S19:S21)</f>
        <v>46</v>
      </c>
      <c r="T27" s="16">
        <f t="shared" si="19"/>
        <v>1</v>
      </c>
      <c r="U27" s="16">
        <f t="shared" si="19"/>
        <v>23</v>
      </c>
      <c r="V27" s="16">
        <f t="shared" si="19"/>
        <v>9</v>
      </c>
      <c r="W27" s="16">
        <f t="shared" si="19"/>
        <v>1</v>
      </c>
      <c r="X27" s="16">
        <f t="shared" si="19"/>
        <v>1</v>
      </c>
      <c r="Y27" s="16">
        <f t="shared" si="19"/>
        <v>8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420</v>
      </c>
      <c r="AD27" s="16">
        <f t="shared" si="19"/>
        <v>0</v>
      </c>
      <c r="AE27" s="32">
        <f t="shared" si="19"/>
        <v>91</v>
      </c>
      <c r="AF27" s="32">
        <f t="shared" si="19"/>
        <v>511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21</v>
      </c>
      <c r="N28" s="50">
        <v>0</v>
      </c>
      <c r="O28" s="15">
        <f t="shared" si="0"/>
        <v>4</v>
      </c>
      <c r="P28" s="15">
        <f t="shared" si="1"/>
        <v>25</v>
      </c>
      <c r="R28" s="5" t="s">
        <v>17</v>
      </c>
      <c r="S28" s="16">
        <f t="shared" ref="S28:AF28" si="20">SUM(S10:S21)</f>
        <v>163</v>
      </c>
      <c r="T28" s="16">
        <f t="shared" si="20"/>
        <v>4</v>
      </c>
      <c r="U28" s="16">
        <f t="shared" si="20"/>
        <v>74</v>
      </c>
      <c r="V28" s="16">
        <f t="shared" si="20"/>
        <v>14</v>
      </c>
      <c r="W28" s="16">
        <f t="shared" si="20"/>
        <v>6</v>
      </c>
      <c r="X28" s="16">
        <f t="shared" si="20"/>
        <v>5</v>
      </c>
      <c r="Y28" s="16">
        <f t="shared" si="20"/>
        <v>24</v>
      </c>
      <c r="Z28" s="16">
        <f t="shared" si="20"/>
        <v>5</v>
      </c>
      <c r="AA28" s="16">
        <f t="shared" si="20"/>
        <v>1</v>
      </c>
      <c r="AB28" s="16">
        <f t="shared" si="20"/>
        <v>2</v>
      </c>
      <c r="AC28" s="16">
        <f t="shared" si="20"/>
        <v>1709</v>
      </c>
      <c r="AD28" s="16">
        <f t="shared" si="20"/>
        <v>2</v>
      </c>
      <c r="AE28" s="32">
        <f t="shared" si="20"/>
        <v>300</v>
      </c>
      <c r="AF28" s="32">
        <f t="shared" si="20"/>
        <v>2009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40</v>
      </c>
      <c r="N29" s="50">
        <v>0</v>
      </c>
      <c r="O29" s="15">
        <f t="shared" si="0"/>
        <v>1</v>
      </c>
      <c r="P29" s="15">
        <f t="shared" si="1"/>
        <v>41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35</v>
      </c>
      <c r="N30" s="50">
        <v>0</v>
      </c>
      <c r="O30" s="15">
        <f t="shared" si="0"/>
        <v>1</v>
      </c>
      <c r="P30" s="15">
        <f t="shared" si="1"/>
        <v>36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1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38</v>
      </c>
      <c r="N31" s="50">
        <v>1</v>
      </c>
      <c r="O31" s="15">
        <f t="shared" si="0"/>
        <v>8</v>
      </c>
      <c r="P31" s="15">
        <f t="shared" si="1"/>
        <v>46</v>
      </c>
    </row>
    <row r="32" spans="2:32" ht="23.1" customHeight="1" x14ac:dyDescent="0.25">
      <c r="B32" s="24" t="s">
        <v>59</v>
      </c>
      <c r="C32" s="50">
        <v>6</v>
      </c>
      <c r="D32" s="50">
        <v>0</v>
      </c>
      <c r="E32" s="50">
        <v>3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38</v>
      </c>
      <c r="N32" s="50">
        <v>0</v>
      </c>
      <c r="O32" s="15">
        <f t="shared" si="0"/>
        <v>9</v>
      </c>
      <c r="P32" s="15">
        <f t="shared" si="1"/>
        <v>47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3</v>
      </c>
      <c r="F33" s="50">
        <v>0</v>
      </c>
      <c r="G33" s="50">
        <v>0</v>
      </c>
      <c r="H33" s="50">
        <v>1</v>
      </c>
      <c r="I33" s="50">
        <v>1</v>
      </c>
      <c r="J33" s="50">
        <v>0</v>
      </c>
      <c r="K33" s="50">
        <v>0</v>
      </c>
      <c r="L33" s="50">
        <v>0</v>
      </c>
      <c r="M33" s="50">
        <v>38</v>
      </c>
      <c r="N33" s="50">
        <v>0</v>
      </c>
      <c r="O33" s="15">
        <f t="shared" si="0"/>
        <v>7</v>
      </c>
      <c r="P33" s="15">
        <f t="shared" si="1"/>
        <v>45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36</v>
      </c>
      <c r="N34" s="50">
        <v>0</v>
      </c>
      <c r="O34" s="15">
        <f t="shared" si="0"/>
        <v>5</v>
      </c>
      <c r="P34" s="15">
        <f t="shared" si="1"/>
        <v>41</v>
      </c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33</v>
      </c>
      <c r="N35" s="50">
        <v>0</v>
      </c>
      <c r="O35" s="15">
        <f t="shared" si="0"/>
        <v>6</v>
      </c>
      <c r="P35" s="15">
        <f t="shared" si="1"/>
        <v>39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29</v>
      </c>
      <c r="N36" s="50">
        <v>0</v>
      </c>
      <c r="O36" s="15">
        <f t="shared" si="0"/>
        <v>2</v>
      </c>
      <c r="P36" s="15">
        <f t="shared" si="1"/>
        <v>31</v>
      </c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14</v>
      </c>
      <c r="N37" s="50">
        <v>0</v>
      </c>
      <c r="O37" s="15">
        <f t="shared" si="0"/>
        <v>7</v>
      </c>
      <c r="P37" s="15">
        <f t="shared" si="1"/>
        <v>21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1</v>
      </c>
      <c r="M38" s="50">
        <v>19</v>
      </c>
      <c r="N38" s="50">
        <v>0</v>
      </c>
      <c r="O38" s="15">
        <f t="shared" si="0"/>
        <v>8</v>
      </c>
      <c r="P38" s="15">
        <f t="shared" si="1"/>
        <v>27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20</v>
      </c>
      <c r="N39" s="50">
        <v>0</v>
      </c>
      <c r="O39" s="15">
        <f t="shared" si="0"/>
        <v>4</v>
      </c>
      <c r="P39" s="15">
        <f t="shared" si="1"/>
        <v>24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30</v>
      </c>
      <c r="N40" s="50">
        <v>1</v>
      </c>
      <c r="O40" s="15">
        <f t="shared" si="0"/>
        <v>6</v>
      </c>
      <c r="P40" s="15">
        <f t="shared" si="1"/>
        <v>36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30</v>
      </c>
      <c r="N41" s="50">
        <v>0</v>
      </c>
      <c r="O41" s="15">
        <f t="shared" si="0"/>
        <v>5</v>
      </c>
      <c r="P41" s="15">
        <f t="shared" si="1"/>
        <v>35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32</v>
      </c>
      <c r="N42" s="50">
        <v>0</v>
      </c>
      <c r="O42" s="15">
        <f t="shared" si="0"/>
        <v>3</v>
      </c>
      <c r="P42" s="15">
        <f t="shared" si="1"/>
        <v>35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46</v>
      </c>
      <c r="N43" s="50">
        <v>0</v>
      </c>
      <c r="O43" s="15">
        <f t="shared" si="0"/>
        <v>6</v>
      </c>
      <c r="P43" s="15">
        <f t="shared" si="1"/>
        <v>52</v>
      </c>
    </row>
    <row r="44" spans="2:20" ht="23.1" customHeight="1" x14ac:dyDescent="0.25">
      <c r="B44" s="25" t="s">
        <v>71</v>
      </c>
      <c r="C44" s="50">
        <v>6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37</v>
      </c>
      <c r="N44" s="50">
        <v>0</v>
      </c>
      <c r="O44" s="15">
        <f t="shared" si="0"/>
        <v>7</v>
      </c>
      <c r="P44" s="15">
        <f t="shared" si="1"/>
        <v>44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3</v>
      </c>
      <c r="F45" s="50">
        <v>0</v>
      </c>
      <c r="G45" s="50">
        <v>1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31</v>
      </c>
      <c r="N45" s="50">
        <v>0</v>
      </c>
      <c r="O45" s="15">
        <f t="shared" si="0"/>
        <v>9</v>
      </c>
      <c r="P45" s="15">
        <f t="shared" si="1"/>
        <v>40</v>
      </c>
    </row>
    <row r="46" spans="2:20" ht="23.1" customHeight="1" x14ac:dyDescent="0.25">
      <c r="B46" s="24" t="s">
        <v>73</v>
      </c>
      <c r="C46" s="50">
        <v>5</v>
      </c>
      <c r="D46" s="50">
        <v>0</v>
      </c>
      <c r="E46" s="50">
        <v>2</v>
      </c>
      <c r="F46" s="50">
        <v>5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16</v>
      </c>
      <c r="N46" s="50">
        <v>0</v>
      </c>
      <c r="O46" s="15">
        <f t="shared" si="0"/>
        <v>12</v>
      </c>
      <c r="P46" s="15">
        <f t="shared" si="1"/>
        <v>28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18</v>
      </c>
      <c r="N47" s="50">
        <v>0</v>
      </c>
      <c r="O47" s="15">
        <f t="shared" si="0"/>
        <v>5</v>
      </c>
      <c r="P47" s="15">
        <f t="shared" si="1"/>
        <v>23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1</v>
      </c>
      <c r="E48" s="50">
        <v>4</v>
      </c>
      <c r="F48" s="50">
        <v>0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27</v>
      </c>
      <c r="N48" s="50">
        <v>0</v>
      </c>
      <c r="O48" s="15">
        <f t="shared" si="0"/>
        <v>12</v>
      </c>
      <c r="P48" s="15">
        <f t="shared" si="1"/>
        <v>39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34</v>
      </c>
      <c r="N49" s="50">
        <v>0</v>
      </c>
      <c r="O49" s="15">
        <f t="shared" si="0"/>
        <v>5</v>
      </c>
      <c r="P49" s="15">
        <f t="shared" si="1"/>
        <v>39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44</v>
      </c>
      <c r="N50" s="50">
        <v>0</v>
      </c>
      <c r="O50" s="15">
        <f t="shared" si="0"/>
        <v>5</v>
      </c>
      <c r="P50" s="15">
        <f t="shared" si="1"/>
        <v>49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45</v>
      </c>
      <c r="N51" s="50">
        <v>0</v>
      </c>
      <c r="O51" s="15">
        <f t="shared" si="0"/>
        <v>7</v>
      </c>
      <c r="P51" s="15">
        <f t="shared" si="1"/>
        <v>52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0</v>
      </c>
      <c r="E52" s="50">
        <v>2</v>
      </c>
      <c r="F52" s="50">
        <v>1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28</v>
      </c>
      <c r="N52" s="50">
        <v>0</v>
      </c>
      <c r="O52" s="15">
        <f t="shared" si="0"/>
        <v>11</v>
      </c>
      <c r="P52" s="15">
        <f t="shared" si="1"/>
        <v>39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3</v>
      </c>
      <c r="F53" s="50">
        <v>0</v>
      </c>
      <c r="G53" s="50">
        <v>0</v>
      </c>
      <c r="H53" s="50">
        <v>1</v>
      </c>
      <c r="I53" s="50">
        <v>0</v>
      </c>
      <c r="J53" s="50">
        <v>0</v>
      </c>
      <c r="K53" s="50">
        <v>0</v>
      </c>
      <c r="L53" s="50">
        <v>0</v>
      </c>
      <c r="M53" s="50">
        <v>32</v>
      </c>
      <c r="N53" s="50">
        <v>0</v>
      </c>
      <c r="O53" s="15">
        <f t="shared" si="0"/>
        <v>5</v>
      </c>
      <c r="P53" s="15">
        <f t="shared" si="1"/>
        <v>37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0</v>
      </c>
      <c r="E54" s="50">
        <v>3</v>
      </c>
      <c r="F54" s="50">
        <v>2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37</v>
      </c>
      <c r="N54" s="50">
        <v>0</v>
      </c>
      <c r="O54" s="15">
        <f t="shared" si="0"/>
        <v>10</v>
      </c>
      <c r="P54" s="15">
        <f t="shared" si="1"/>
        <v>47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1</v>
      </c>
      <c r="F55" s="50"/>
      <c r="G55" s="50">
        <v>1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40</v>
      </c>
      <c r="N55" s="50">
        <v>0</v>
      </c>
      <c r="O55" s="15">
        <f t="shared" si="0"/>
        <v>6</v>
      </c>
      <c r="P55" s="15">
        <f t="shared" si="1"/>
        <v>46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0</v>
      </c>
      <c r="E56" s="50">
        <v>3</v>
      </c>
      <c r="F56" s="50">
        <v>0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52</v>
      </c>
      <c r="N56" s="50">
        <v>0</v>
      </c>
      <c r="O56" s="15">
        <f t="shared" si="0"/>
        <v>11</v>
      </c>
      <c r="P56" s="15">
        <f t="shared" si="1"/>
        <v>63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47</v>
      </c>
      <c r="N57" s="50">
        <v>0</v>
      </c>
      <c r="O57" s="15">
        <f t="shared" si="0"/>
        <v>2</v>
      </c>
      <c r="P57" s="15">
        <f t="shared" si="1"/>
        <v>49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163</v>
      </c>
      <c r="D58" s="16">
        <f t="shared" si="21"/>
        <v>4</v>
      </c>
      <c r="E58" s="16">
        <f t="shared" si="21"/>
        <v>74</v>
      </c>
      <c r="F58" s="16">
        <f t="shared" si="21"/>
        <v>14</v>
      </c>
      <c r="G58" s="16">
        <f t="shared" si="21"/>
        <v>6</v>
      </c>
      <c r="H58" s="16">
        <f t="shared" si="21"/>
        <v>5</v>
      </c>
      <c r="I58" s="16">
        <f t="shared" si="21"/>
        <v>24</v>
      </c>
      <c r="J58" s="16">
        <f t="shared" si="21"/>
        <v>5</v>
      </c>
      <c r="K58" s="16">
        <f t="shared" si="21"/>
        <v>1</v>
      </c>
      <c r="L58" s="16">
        <f t="shared" si="21"/>
        <v>2</v>
      </c>
      <c r="M58" s="16">
        <f t="shared" si="21"/>
        <v>1709</v>
      </c>
      <c r="N58" s="16">
        <f t="shared" si="21"/>
        <v>2</v>
      </c>
      <c r="O58" s="16">
        <f t="shared" si="21"/>
        <v>300</v>
      </c>
      <c r="P58" s="16">
        <f t="shared" si="21"/>
        <v>2009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8.1134892981582871E-2</v>
      </c>
      <c r="D59" s="43">
        <f t="shared" si="22"/>
        <v>1.9910403185664509E-3</v>
      </c>
      <c r="E59" s="43">
        <f t="shared" si="22"/>
        <v>3.6834245893479341E-2</v>
      </c>
      <c r="F59" s="43">
        <f t="shared" si="22"/>
        <v>6.9686411149825784E-3</v>
      </c>
      <c r="G59" s="43">
        <f t="shared" si="22"/>
        <v>2.9865604778496766E-3</v>
      </c>
      <c r="H59" s="43">
        <f t="shared" si="22"/>
        <v>2.4888003982080635E-3</v>
      </c>
      <c r="I59" s="43">
        <f t="shared" si="22"/>
        <v>1.1946241911398706E-2</v>
      </c>
      <c r="J59" s="43">
        <f t="shared" si="22"/>
        <v>2.4888003982080635E-3</v>
      </c>
      <c r="K59" s="43">
        <f t="shared" si="22"/>
        <v>4.9776007964161273E-4</v>
      </c>
      <c r="L59" s="43">
        <f t="shared" si="22"/>
        <v>9.9552015928322545E-4</v>
      </c>
      <c r="M59" s="43">
        <f t="shared" si="22"/>
        <v>0.85067197610751621</v>
      </c>
      <c r="N59" s="43">
        <f t="shared" si="22"/>
        <v>9.9552015928322545E-4</v>
      </c>
      <c r="R59" s="8"/>
      <c r="T59"/>
    </row>
    <row r="60" spans="2:20" ht="23.1" customHeight="1" x14ac:dyDescent="0.25">
      <c r="B60" s="42" t="s">
        <v>94</v>
      </c>
      <c r="C60" s="44">
        <f>C58/$O$58</f>
        <v>0.54333333333333333</v>
      </c>
      <c r="D60" s="44">
        <f t="shared" ref="D60:N60" si="23">D58/$O$58</f>
        <v>1.3333333333333334E-2</v>
      </c>
      <c r="E60" s="44">
        <f t="shared" si="23"/>
        <v>0.24666666666666667</v>
      </c>
      <c r="F60" s="44">
        <f t="shared" si="23"/>
        <v>4.6666666666666669E-2</v>
      </c>
      <c r="G60" s="44">
        <f t="shared" si="23"/>
        <v>0.02</v>
      </c>
      <c r="H60" s="44">
        <f t="shared" si="23"/>
        <v>1.6666666666666666E-2</v>
      </c>
      <c r="I60" s="44">
        <f t="shared" si="23"/>
        <v>0.08</v>
      </c>
      <c r="J60" s="44">
        <f t="shared" si="23"/>
        <v>1.6666666666666666E-2</v>
      </c>
      <c r="K60" s="44">
        <f t="shared" si="23"/>
        <v>3.3333333333333335E-3</v>
      </c>
      <c r="L60" s="44">
        <f t="shared" si="23"/>
        <v>6.6666666666666671E-3</v>
      </c>
      <c r="M60" s="44"/>
      <c r="N60" s="44">
        <f t="shared" si="23"/>
        <v>6.6666666666666671E-3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3" zoomScale="60" workbookViewId="0">
      <selection activeCell="D36" sqref="D3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Koboko-Yumbe'!C3:G3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5" t="str">
        <f>'31.07 Koboko-Yumbe'!G5:H5</f>
        <v>Umbachi</v>
      </c>
      <c r="H5" s="66"/>
      <c r="I5" s="14"/>
      <c r="J5" s="2" t="s">
        <v>5</v>
      </c>
      <c r="K5" s="65" t="str">
        <f>'31.07 Koboko-Yumbe'!K5:L5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Koboko-Yumbe'!D6:E6</f>
        <v>Koboko</v>
      </c>
      <c r="E6" s="66"/>
      <c r="F6" s="2" t="s">
        <v>2</v>
      </c>
      <c r="G6" s="65" t="str">
        <f>'31.07 Koboko-Yumbe'!G6:H6</f>
        <v>Yumbe</v>
      </c>
      <c r="H6" s="66"/>
      <c r="J6" s="2" t="s">
        <v>21</v>
      </c>
      <c r="K6" s="65" t="str">
        <f>'31.07 Koboko-Yumbe'!K6:L6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3</v>
      </c>
      <c r="T10" s="17">
        <f t="shared" si="2"/>
        <v>2</v>
      </c>
      <c r="U10" s="17">
        <f t="shared" si="2"/>
        <v>4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18</v>
      </c>
      <c r="AD10" s="17">
        <f t="shared" si="2"/>
        <v>0</v>
      </c>
      <c r="AE10" s="31">
        <f t="shared" si="2"/>
        <v>11</v>
      </c>
      <c r="AF10" s="31">
        <f t="shared" si="2"/>
        <v>29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3</v>
      </c>
      <c r="P11" s="15">
        <f t="shared" si="1"/>
        <v>6</v>
      </c>
      <c r="R11" s="1" t="s">
        <v>7</v>
      </c>
      <c r="S11" s="17">
        <f t="shared" ref="S11:AF11" si="3">SUM(C14:C17)</f>
        <v>18</v>
      </c>
      <c r="T11" s="17">
        <f t="shared" si="3"/>
        <v>8</v>
      </c>
      <c r="U11" s="17">
        <f t="shared" si="3"/>
        <v>11</v>
      </c>
      <c r="V11" s="17">
        <f t="shared" si="3"/>
        <v>1</v>
      </c>
      <c r="W11" s="17">
        <f t="shared" si="3"/>
        <v>4</v>
      </c>
      <c r="X11" s="17">
        <f t="shared" si="3"/>
        <v>0</v>
      </c>
      <c r="Y11" s="17">
        <f t="shared" si="3"/>
        <v>5</v>
      </c>
      <c r="Z11" s="17">
        <f t="shared" si="3"/>
        <v>10</v>
      </c>
      <c r="AA11" s="17">
        <f t="shared" si="3"/>
        <v>0</v>
      </c>
      <c r="AB11" s="17">
        <f t="shared" si="3"/>
        <v>2</v>
      </c>
      <c r="AC11" s="17">
        <f t="shared" si="3"/>
        <v>26</v>
      </c>
      <c r="AD11" s="17">
        <f t="shared" si="3"/>
        <v>0</v>
      </c>
      <c r="AE11" s="31">
        <f t="shared" si="3"/>
        <v>59</v>
      </c>
      <c r="AF11" s="31">
        <f t="shared" si="3"/>
        <v>85</v>
      </c>
    </row>
    <row r="12" spans="2:32" ht="23.1" customHeight="1" x14ac:dyDescent="0.25">
      <c r="B12" s="23" t="s">
        <v>39</v>
      </c>
      <c r="C12" s="50">
        <v>1</v>
      </c>
      <c r="D12" s="50">
        <v>1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3</v>
      </c>
      <c r="P12" s="15">
        <f t="shared" si="1"/>
        <v>7</v>
      </c>
      <c r="R12" s="1" t="s">
        <v>8</v>
      </c>
      <c r="S12" s="17">
        <f t="shared" ref="S12:AF12" si="4">SUM(C18:C21)</f>
        <v>16</v>
      </c>
      <c r="T12" s="17">
        <f t="shared" si="4"/>
        <v>8</v>
      </c>
      <c r="U12" s="17">
        <f t="shared" si="4"/>
        <v>11</v>
      </c>
      <c r="V12" s="17">
        <f t="shared" si="4"/>
        <v>1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31</v>
      </c>
      <c r="AD12" s="17">
        <f t="shared" si="4"/>
        <v>0</v>
      </c>
      <c r="AE12" s="31">
        <f t="shared" si="4"/>
        <v>39</v>
      </c>
      <c r="AF12" s="31">
        <f t="shared" si="4"/>
        <v>70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3</v>
      </c>
      <c r="P13" s="15">
        <f t="shared" si="1"/>
        <v>9</v>
      </c>
      <c r="R13" s="1" t="s">
        <v>9</v>
      </c>
      <c r="S13" s="17">
        <f t="shared" ref="S13:AF13" si="5">SUM(C22:C25)</f>
        <v>11</v>
      </c>
      <c r="T13" s="17">
        <f t="shared" si="5"/>
        <v>2</v>
      </c>
      <c r="U13" s="17">
        <f t="shared" si="5"/>
        <v>5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15</v>
      </c>
      <c r="AD13" s="17">
        <f t="shared" si="5"/>
        <v>0</v>
      </c>
      <c r="AE13" s="31">
        <f t="shared" si="5"/>
        <v>25</v>
      </c>
      <c r="AF13" s="31">
        <f t="shared" si="5"/>
        <v>40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1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5</v>
      </c>
      <c r="P14" s="15">
        <f t="shared" si="1"/>
        <v>8</v>
      </c>
      <c r="R14" s="1" t="s">
        <v>10</v>
      </c>
      <c r="S14" s="17">
        <f t="shared" ref="S14:AF14" si="6">SUM(C26:C29)</f>
        <v>3</v>
      </c>
      <c r="T14" s="17">
        <f t="shared" si="6"/>
        <v>2</v>
      </c>
      <c r="U14" s="17">
        <f t="shared" si="6"/>
        <v>3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24</v>
      </c>
      <c r="AD14" s="17">
        <f t="shared" si="6"/>
        <v>0</v>
      </c>
      <c r="AE14" s="31">
        <f t="shared" si="6"/>
        <v>10</v>
      </c>
      <c r="AF14" s="31">
        <f t="shared" si="6"/>
        <v>34</v>
      </c>
    </row>
    <row r="15" spans="2:32" ht="23.1" customHeight="1" x14ac:dyDescent="0.25">
      <c r="B15" s="23" t="s">
        <v>42</v>
      </c>
      <c r="C15" s="50">
        <v>6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7</v>
      </c>
      <c r="P15" s="15">
        <f t="shared" si="1"/>
        <v>12</v>
      </c>
      <c r="R15" s="1" t="s">
        <v>11</v>
      </c>
      <c r="S15" s="17">
        <f t="shared" ref="S15:AF15" si="7">SUM(C30:C33)</f>
        <v>9</v>
      </c>
      <c r="T15" s="17">
        <f t="shared" si="7"/>
        <v>5</v>
      </c>
      <c r="U15" s="17">
        <f t="shared" si="7"/>
        <v>8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14</v>
      </c>
      <c r="AD15" s="17">
        <f t="shared" si="7"/>
        <v>0</v>
      </c>
      <c r="AE15" s="31">
        <f t="shared" si="7"/>
        <v>26</v>
      </c>
      <c r="AF15" s="31">
        <f t="shared" si="7"/>
        <v>40</v>
      </c>
    </row>
    <row r="16" spans="2:32" ht="23.1" customHeight="1" x14ac:dyDescent="0.25">
      <c r="B16" s="23" t="s">
        <v>43</v>
      </c>
      <c r="C16" s="50">
        <v>4</v>
      </c>
      <c r="D16" s="50">
        <v>2</v>
      </c>
      <c r="E16" s="50">
        <v>3</v>
      </c>
      <c r="F16" s="50">
        <v>0</v>
      </c>
      <c r="G16" s="50">
        <v>1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11</v>
      </c>
      <c r="P16" s="15">
        <f t="shared" si="1"/>
        <v>13</v>
      </c>
      <c r="R16" s="1" t="s">
        <v>12</v>
      </c>
      <c r="S16" s="17">
        <f t="shared" ref="S16:AF16" si="8">SUM(C34:C37)</f>
        <v>4</v>
      </c>
      <c r="T16" s="17">
        <f t="shared" si="8"/>
        <v>4</v>
      </c>
      <c r="U16" s="17">
        <f t="shared" si="8"/>
        <v>6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14</v>
      </c>
      <c r="AD16" s="17">
        <f t="shared" si="8"/>
        <v>0</v>
      </c>
      <c r="AE16" s="31">
        <f t="shared" si="8"/>
        <v>17</v>
      </c>
      <c r="AF16" s="31">
        <f t="shared" si="8"/>
        <v>31</v>
      </c>
    </row>
    <row r="17" spans="2:32" ht="23.1" customHeight="1" x14ac:dyDescent="0.25">
      <c r="B17" s="23" t="s">
        <v>44</v>
      </c>
      <c r="C17" s="50">
        <v>7</v>
      </c>
      <c r="D17" s="50">
        <v>5</v>
      </c>
      <c r="E17" s="50">
        <v>6</v>
      </c>
      <c r="F17" s="50">
        <v>0</v>
      </c>
      <c r="G17" s="50">
        <v>3</v>
      </c>
      <c r="H17" s="50">
        <v>0</v>
      </c>
      <c r="I17" s="50">
        <v>4</v>
      </c>
      <c r="J17" s="50">
        <v>9</v>
      </c>
      <c r="K17" s="50">
        <v>0</v>
      </c>
      <c r="L17" s="50">
        <v>2</v>
      </c>
      <c r="M17" s="50">
        <v>16</v>
      </c>
      <c r="N17" s="50">
        <v>0</v>
      </c>
      <c r="O17" s="15">
        <f t="shared" si="0"/>
        <v>36</v>
      </c>
      <c r="P17" s="15">
        <f t="shared" si="1"/>
        <v>52</v>
      </c>
      <c r="R17" s="1" t="s">
        <v>13</v>
      </c>
      <c r="S17" s="17">
        <f t="shared" ref="S17:AF17" si="9">SUM(C38:C41)</f>
        <v>4</v>
      </c>
      <c r="T17" s="17">
        <f t="shared" si="9"/>
        <v>2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17</v>
      </c>
      <c r="AD17" s="17">
        <f t="shared" si="9"/>
        <v>0</v>
      </c>
      <c r="AE17" s="31">
        <f t="shared" si="9"/>
        <v>11</v>
      </c>
      <c r="AF17" s="31">
        <f t="shared" si="9"/>
        <v>28</v>
      </c>
    </row>
    <row r="18" spans="2:32" ht="23.1" customHeight="1" x14ac:dyDescent="0.25">
      <c r="B18" s="23" t="s">
        <v>45</v>
      </c>
      <c r="C18" s="50">
        <v>3</v>
      </c>
      <c r="D18" s="50">
        <v>2</v>
      </c>
      <c r="E18" s="50">
        <v>2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13</v>
      </c>
      <c r="N18" s="50">
        <v>0</v>
      </c>
      <c r="O18" s="15">
        <f t="shared" si="0"/>
        <v>8</v>
      </c>
      <c r="P18" s="15">
        <f t="shared" si="1"/>
        <v>21</v>
      </c>
      <c r="R18" s="1" t="s">
        <v>14</v>
      </c>
      <c r="S18" s="17">
        <f t="shared" ref="S18:AF18" si="10">SUM(C42:C45)</f>
        <v>6</v>
      </c>
      <c r="T18" s="17">
        <f t="shared" si="10"/>
        <v>3</v>
      </c>
      <c r="U18" s="17">
        <f t="shared" si="10"/>
        <v>5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8</v>
      </c>
      <c r="AD18" s="17">
        <f t="shared" si="10"/>
        <v>0</v>
      </c>
      <c r="AE18" s="31">
        <f t="shared" si="10"/>
        <v>14</v>
      </c>
      <c r="AF18" s="31">
        <f t="shared" si="10"/>
        <v>22</v>
      </c>
    </row>
    <row r="19" spans="2:32" ht="23.1" customHeight="1" x14ac:dyDescent="0.25">
      <c r="B19" s="23" t="s">
        <v>46</v>
      </c>
      <c r="C19" s="50">
        <v>2</v>
      </c>
      <c r="D19" s="50">
        <v>4</v>
      </c>
      <c r="E19" s="50">
        <v>5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11</v>
      </c>
      <c r="P19" s="15">
        <f t="shared" si="1"/>
        <v>16</v>
      </c>
      <c r="R19" s="1" t="s">
        <v>15</v>
      </c>
      <c r="S19" s="17">
        <f t="shared" ref="S19:AF19" si="11">SUM(C46:C49)</f>
        <v>6</v>
      </c>
      <c r="T19" s="17">
        <f t="shared" si="11"/>
        <v>4</v>
      </c>
      <c r="U19" s="17">
        <f t="shared" si="11"/>
        <v>5</v>
      </c>
      <c r="V19" s="17">
        <f t="shared" si="11"/>
        <v>0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11</v>
      </c>
      <c r="AD19" s="17">
        <f t="shared" si="11"/>
        <v>0</v>
      </c>
      <c r="AE19" s="31">
        <f t="shared" si="11"/>
        <v>17</v>
      </c>
      <c r="AF19" s="31">
        <f t="shared" si="11"/>
        <v>28</v>
      </c>
    </row>
    <row r="20" spans="2:32" ht="23.1" customHeight="1" x14ac:dyDescent="0.25">
      <c r="B20" s="23" t="s">
        <v>47</v>
      </c>
      <c r="C20" s="50">
        <v>9</v>
      </c>
      <c r="D20" s="50">
        <v>1</v>
      </c>
      <c r="E20" s="50">
        <v>2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13</v>
      </c>
      <c r="P20" s="15">
        <f t="shared" si="1"/>
        <v>21</v>
      </c>
      <c r="R20" s="1" t="s">
        <v>16</v>
      </c>
      <c r="S20" s="17">
        <f t="shared" ref="S20:AF20" si="12">SUM(C50:C53)</f>
        <v>8</v>
      </c>
      <c r="T20" s="17">
        <f t="shared" si="12"/>
        <v>2</v>
      </c>
      <c r="U20" s="17">
        <f t="shared" si="12"/>
        <v>3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17</v>
      </c>
      <c r="AD20" s="17">
        <f t="shared" si="12"/>
        <v>0</v>
      </c>
      <c r="AE20" s="31">
        <f t="shared" si="12"/>
        <v>14</v>
      </c>
      <c r="AF20" s="31">
        <f t="shared" si="12"/>
        <v>31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2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7</v>
      </c>
      <c r="P21" s="15">
        <f t="shared" si="1"/>
        <v>12</v>
      </c>
      <c r="R21" s="36" t="s">
        <v>20</v>
      </c>
      <c r="S21" s="34">
        <f t="shared" ref="S21:AF21" si="13">SUM(C54:C57)</f>
        <v>8</v>
      </c>
      <c r="T21" s="17">
        <f t="shared" si="13"/>
        <v>2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7</v>
      </c>
      <c r="AD21" s="17">
        <f t="shared" si="13"/>
        <v>0</v>
      </c>
      <c r="AE21" s="31">
        <f t="shared" si="13"/>
        <v>13</v>
      </c>
      <c r="AF21" s="31">
        <f t="shared" si="13"/>
        <v>20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4</v>
      </c>
      <c r="P22" s="15">
        <f t="shared" si="1"/>
        <v>6</v>
      </c>
      <c r="R22" s="38" t="s">
        <v>90</v>
      </c>
      <c r="S22" s="39">
        <f>MAX(S10:S12)</f>
        <v>18</v>
      </c>
      <c r="T22" s="39">
        <f t="shared" ref="T22:AF22" si="14">MAX(T10:T12)</f>
        <v>8</v>
      </c>
      <c r="U22" s="39">
        <f t="shared" si="14"/>
        <v>11</v>
      </c>
      <c r="V22" s="39">
        <f t="shared" si="14"/>
        <v>1</v>
      </c>
      <c r="W22" s="39">
        <f t="shared" si="14"/>
        <v>4</v>
      </c>
      <c r="X22" s="39">
        <f t="shared" si="14"/>
        <v>1</v>
      </c>
      <c r="Y22" s="39">
        <f t="shared" si="14"/>
        <v>5</v>
      </c>
      <c r="Z22" s="39">
        <f t="shared" si="14"/>
        <v>10</v>
      </c>
      <c r="AA22" s="39">
        <f t="shared" si="14"/>
        <v>0</v>
      </c>
      <c r="AB22" s="39">
        <f t="shared" si="14"/>
        <v>2</v>
      </c>
      <c r="AC22" s="39">
        <f t="shared" si="14"/>
        <v>31</v>
      </c>
      <c r="AD22" s="39">
        <f t="shared" si="14"/>
        <v>0</v>
      </c>
      <c r="AE22" s="40">
        <f t="shared" si="14"/>
        <v>59</v>
      </c>
      <c r="AF22" s="40">
        <f t="shared" si="14"/>
        <v>85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5</v>
      </c>
      <c r="P23" s="15">
        <f t="shared" si="1"/>
        <v>7</v>
      </c>
      <c r="R23" s="38" t="s">
        <v>91</v>
      </c>
      <c r="S23" s="39">
        <f>MAX(S13:S18)</f>
        <v>11</v>
      </c>
      <c r="T23" s="39">
        <f t="shared" ref="T23:AF23" si="15">MAX(T13:T18)</f>
        <v>5</v>
      </c>
      <c r="U23" s="39">
        <f t="shared" si="15"/>
        <v>8</v>
      </c>
      <c r="V23" s="39">
        <f t="shared" si="15"/>
        <v>4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1</v>
      </c>
      <c r="AC23" s="39">
        <f t="shared" si="15"/>
        <v>24</v>
      </c>
      <c r="AD23" s="39">
        <f t="shared" si="15"/>
        <v>0</v>
      </c>
      <c r="AE23" s="40">
        <f t="shared" si="15"/>
        <v>26</v>
      </c>
      <c r="AF23" s="40">
        <f t="shared" si="15"/>
        <v>40</v>
      </c>
    </row>
    <row r="24" spans="2:32" ht="23.1" customHeight="1" x14ac:dyDescent="0.25">
      <c r="B24" s="23" t="s">
        <v>51</v>
      </c>
      <c r="C24" s="50">
        <v>5</v>
      </c>
      <c r="D24" s="50">
        <v>2</v>
      </c>
      <c r="E24" s="50">
        <v>3</v>
      </c>
      <c r="F24" s="50">
        <v>1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12</v>
      </c>
      <c r="P24" s="15">
        <f t="shared" si="1"/>
        <v>19</v>
      </c>
      <c r="R24" s="38" t="s">
        <v>92</v>
      </c>
      <c r="S24" s="39">
        <f>MAX(S19:S21)</f>
        <v>8</v>
      </c>
      <c r="T24" s="39">
        <f t="shared" ref="T24:AF24" si="16">MAX(T19:T21)</f>
        <v>4</v>
      </c>
      <c r="U24" s="39">
        <f t="shared" si="16"/>
        <v>5</v>
      </c>
      <c r="V24" s="39">
        <f t="shared" si="16"/>
        <v>1</v>
      </c>
      <c r="W24" s="39">
        <f t="shared" si="16"/>
        <v>0</v>
      </c>
      <c r="X24" s="39">
        <f t="shared" si="16"/>
        <v>1</v>
      </c>
      <c r="Y24" s="39">
        <f t="shared" si="16"/>
        <v>0</v>
      </c>
      <c r="Z24" s="39">
        <f t="shared" si="16"/>
        <v>0</v>
      </c>
      <c r="AA24" s="39">
        <f t="shared" si="16"/>
        <v>0</v>
      </c>
      <c r="AB24" s="39">
        <f t="shared" si="16"/>
        <v>1</v>
      </c>
      <c r="AC24" s="39">
        <f t="shared" si="16"/>
        <v>17</v>
      </c>
      <c r="AD24" s="39">
        <f t="shared" si="16"/>
        <v>0</v>
      </c>
      <c r="AE24" s="40">
        <f t="shared" si="16"/>
        <v>17</v>
      </c>
      <c r="AF24" s="40">
        <f t="shared" si="16"/>
        <v>31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4</v>
      </c>
      <c r="P25" s="15">
        <f t="shared" si="1"/>
        <v>8</v>
      </c>
      <c r="R25" s="37" t="s">
        <v>85</v>
      </c>
      <c r="S25" s="35">
        <f t="shared" ref="S25:AF25" si="17">SUM(S10:S12)</f>
        <v>37</v>
      </c>
      <c r="T25" s="16">
        <f t="shared" si="17"/>
        <v>18</v>
      </c>
      <c r="U25" s="16">
        <f t="shared" si="17"/>
        <v>26</v>
      </c>
      <c r="V25" s="16">
        <f t="shared" si="17"/>
        <v>2</v>
      </c>
      <c r="W25" s="16">
        <f t="shared" si="17"/>
        <v>4</v>
      </c>
      <c r="X25" s="16">
        <f t="shared" si="17"/>
        <v>1</v>
      </c>
      <c r="Y25" s="16">
        <f t="shared" si="17"/>
        <v>8</v>
      </c>
      <c r="Z25" s="16">
        <f t="shared" si="17"/>
        <v>11</v>
      </c>
      <c r="AA25" s="16">
        <f t="shared" si="17"/>
        <v>0</v>
      </c>
      <c r="AB25" s="16">
        <f t="shared" si="17"/>
        <v>2</v>
      </c>
      <c r="AC25" s="16">
        <f t="shared" si="17"/>
        <v>75</v>
      </c>
      <c r="AD25" s="16">
        <f t="shared" si="17"/>
        <v>0</v>
      </c>
      <c r="AE25" s="32">
        <f t="shared" si="17"/>
        <v>109</v>
      </c>
      <c r="AF25" s="32">
        <f t="shared" si="17"/>
        <v>184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5</v>
      </c>
      <c r="N26" s="50">
        <v>0</v>
      </c>
      <c r="O26" s="15">
        <f t="shared" si="0"/>
        <v>1</v>
      </c>
      <c r="P26" s="15">
        <f t="shared" si="1"/>
        <v>6</v>
      </c>
      <c r="R26" s="28" t="s">
        <v>86</v>
      </c>
      <c r="S26" s="16">
        <f t="shared" ref="S26:AF26" si="18">SUM(S13:S18)</f>
        <v>37</v>
      </c>
      <c r="T26" s="16">
        <f t="shared" si="18"/>
        <v>18</v>
      </c>
      <c r="U26" s="16">
        <f t="shared" si="18"/>
        <v>30</v>
      </c>
      <c r="V26" s="16">
        <f t="shared" si="18"/>
        <v>5</v>
      </c>
      <c r="W26" s="16">
        <f t="shared" si="18"/>
        <v>0</v>
      </c>
      <c r="X26" s="16">
        <f t="shared" si="18"/>
        <v>0</v>
      </c>
      <c r="Y26" s="16">
        <f t="shared" si="18"/>
        <v>8</v>
      </c>
      <c r="Z26" s="16">
        <f t="shared" si="18"/>
        <v>3</v>
      </c>
      <c r="AA26" s="16">
        <f t="shared" si="18"/>
        <v>0</v>
      </c>
      <c r="AB26" s="16">
        <f t="shared" si="18"/>
        <v>2</v>
      </c>
      <c r="AC26" s="16">
        <f t="shared" si="18"/>
        <v>92</v>
      </c>
      <c r="AD26" s="16">
        <f t="shared" si="18"/>
        <v>0</v>
      </c>
      <c r="AE26" s="32">
        <f t="shared" si="18"/>
        <v>103</v>
      </c>
      <c r="AF26" s="32">
        <f t="shared" si="18"/>
        <v>195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3</v>
      </c>
      <c r="P27" s="15">
        <f t="shared" si="1"/>
        <v>9</v>
      </c>
      <c r="R27" s="29" t="s">
        <v>87</v>
      </c>
      <c r="S27" s="16">
        <f t="shared" ref="S27:AF27" si="19">SUM(S19:S21)</f>
        <v>22</v>
      </c>
      <c r="T27" s="16">
        <f t="shared" si="19"/>
        <v>8</v>
      </c>
      <c r="U27" s="16">
        <f t="shared" si="19"/>
        <v>11</v>
      </c>
      <c r="V27" s="16">
        <f t="shared" si="19"/>
        <v>1</v>
      </c>
      <c r="W27" s="16">
        <f t="shared" si="19"/>
        <v>0</v>
      </c>
      <c r="X27" s="16">
        <f t="shared" si="19"/>
        <v>1</v>
      </c>
      <c r="Y27" s="16">
        <f t="shared" si="19"/>
        <v>0</v>
      </c>
      <c r="Z27" s="16">
        <f t="shared" si="19"/>
        <v>0</v>
      </c>
      <c r="AA27" s="16">
        <f t="shared" si="19"/>
        <v>0</v>
      </c>
      <c r="AB27" s="16">
        <f t="shared" si="19"/>
        <v>1</v>
      </c>
      <c r="AC27" s="16">
        <f t="shared" si="19"/>
        <v>35</v>
      </c>
      <c r="AD27" s="16">
        <f t="shared" si="19"/>
        <v>0</v>
      </c>
      <c r="AE27" s="32">
        <f t="shared" si="19"/>
        <v>44</v>
      </c>
      <c r="AF27" s="32">
        <f t="shared" si="19"/>
        <v>79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8</v>
      </c>
      <c r="N28" s="50">
        <v>0</v>
      </c>
      <c r="O28" s="15">
        <f t="shared" si="0"/>
        <v>2</v>
      </c>
      <c r="P28" s="15">
        <f t="shared" si="1"/>
        <v>10</v>
      </c>
      <c r="R28" s="5" t="s">
        <v>17</v>
      </c>
      <c r="S28" s="16">
        <f t="shared" ref="S28:AF28" si="20">SUM(S10:S21)</f>
        <v>96</v>
      </c>
      <c r="T28" s="16">
        <f t="shared" si="20"/>
        <v>44</v>
      </c>
      <c r="U28" s="16">
        <f t="shared" si="20"/>
        <v>67</v>
      </c>
      <c r="V28" s="16">
        <f t="shared" si="20"/>
        <v>8</v>
      </c>
      <c r="W28" s="16">
        <f t="shared" si="20"/>
        <v>4</v>
      </c>
      <c r="X28" s="16">
        <f t="shared" si="20"/>
        <v>2</v>
      </c>
      <c r="Y28" s="16">
        <f t="shared" si="20"/>
        <v>16</v>
      </c>
      <c r="Z28" s="16">
        <f t="shared" si="20"/>
        <v>14</v>
      </c>
      <c r="AA28" s="16">
        <f t="shared" si="20"/>
        <v>0</v>
      </c>
      <c r="AB28" s="16">
        <f t="shared" si="20"/>
        <v>5</v>
      </c>
      <c r="AC28" s="16">
        <f t="shared" si="20"/>
        <v>202</v>
      </c>
      <c r="AD28" s="16">
        <f t="shared" si="20"/>
        <v>0</v>
      </c>
      <c r="AE28" s="32">
        <f t="shared" si="20"/>
        <v>256</v>
      </c>
      <c r="AF28" s="32">
        <f t="shared" si="20"/>
        <v>458</v>
      </c>
    </row>
    <row r="29" spans="2:32" ht="23.1" customHeight="1" x14ac:dyDescent="0.25">
      <c r="B29" s="23" t="s">
        <v>56</v>
      </c>
      <c r="C29" s="50">
        <v>0</v>
      </c>
      <c r="D29" s="50">
        <v>2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4</v>
      </c>
      <c r="P29" s="15">
        <f t="shared" si="1"/>
        <v>9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2</v>
      </c>
      <c r="E30" s="50">
        <v>3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10</v>
      </c>
      <c r="P30" s="15">
        <f t="shared" si="1"/>
        <v>14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4</v>
      </c>
      <c r="P31" s="15">
        <f t="shared" si="1"/>
        <v>6</v>
      </c>
    </row>
    <row r="32" spans="2:32" ht="23.1" customHeight="1" x14ac:dyDescent="0.25">
      <c r="B32" s="24" t="s">
        <v>59</v>
      </c>
      <c r="C32" s="50">
        <v>1</v>
      </c>
      <c r="D32" s="50">
        <v>1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4</v>
      </c>
      <c r="N32" s="50">
        <v>0</v>
      </c>
      <c r="O32" s="15">
        <f t="shared" si="0"/>
        <v>5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4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7</v>
      </c>
      <c r="P33" s="15">
        <f t="shared" si="1"/>
        <v>11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4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3</v>
      </c>
      <c r="P35" s="15">
        <f t="shared" si="1"/>
        <v>7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4</v>
      </c>
      <c r="N36" s="50">
        <v>0</v>
      </c>
      <c r="O36" s="15">
        <f t="shared" si="0"/>
        <v>4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2</v>
      </c>
      <c r="D37" s="50">
        <v>2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6</v>
      </c>
      <c r="P37" s="15">
        <f t="shared" si="1"/>
        <v>9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0</v>
      </c>
      <c r="P38" s="15">
        <f t="shared" si="1"/>
        <v>5</v>
      </c>
    </row>
    <row r="39" spans="2:20" ht="23.1" customHeight="1" x14ac:dyDescent="0.25">
      <c r="B39" s="24" t="s">
        <v>66</v>
      </c>
      <c r="C39" s="50">
        <v>2</v>
      </c>
      <c r="D39" s="50">
        <v>1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1</v>
      </c>
      <c r="M39" s="50">
        <v>1</v>
      </c>
      <c r="N39" s="50">
        <v>0</v>
      </c>
      <c r="O39" s="15">
        <f t="shared" si="0"/>
        <v>6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7</v>
      </c>
      <c r="N40" s="50">
        <v>0</v>
      </c>
      <c r="O40" s="15">
        <f t="shared" si="0"/>
        <v>3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2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4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5</v>
      </c>
      <c r="P42" s="15">
        <f t="shared" si="1"/>
        <v>8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0</v>
      </c>
      <c r="P43" s="15">
        <f t="shared" si="1"/>
        <v>2</v>
      </c>
    </row>
    <row r="44" spans="2:20" ht="23.1" customHeight="1" x14ac:dyDescent="0.25">
      <c r="B44" s="25" t="s">
        <v>71</v>
      </c>
      <c r="C44" s="50">
        <v>2</v>
      </c>
      <c r="D44" s="50">
        <v>2</v>
      </c>
      <c r="E44" s="50">
        <v>3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7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2</v>
      </c>
      <c r="P45" s="15">
        <f t="shared" si="1"/>
        <v>3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3</v>
      </c>
      <c r="N46" s="50">
        <v>0</v>
      </c>
      <c r="O46" s="15">
        <f t="shared" si="0"/>
        <v>3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2</v>
      </c>
      <c r="E47" s="50">
        <v>2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5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1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3</v>
      </c>
      <c r="N48" s="50">
        <v>0</v>
      </c>
      <c r="O48" s="15">
        <f t="shared" si="0"/>
        <v>5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1</v>
      </c>
      <c r="F49" s="50">
        <v>0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4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1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1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5</v>
      </c>
      <c r="P51" s="15">
        <f t="shared" si="1"/>
        <v>8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1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6</v>
      </c>
      <c r="N52" s="50">
        <v>0</v>
      </c>
      <c r="O52" s="15">
        <f t="shared" si="0"/>
        <v>6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2</v>
      </c>
      <c r="P53" s="15">
        <f t="shared" si="1"/>
        <v>4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1</v>
      </c>
      <c r="P54" s="15">
        <f t="shared" si="1"/>
        <v>2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5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4</v>
      </c>
      <c r="N56" s="50">
        <v>0</v>
      </c>
      <c r="O56" s="15">
        <f t="shared" si="0"/>
        <v>4</v>
      </c>
      <c r="P56" s="15">
        <f t="shared" si="1"/>
        <v>8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</v>
      </c>
      <c r="N57" s="50">
        <v>0</v>
      </c>
      <c r="O57" s="15">
        <f t="shared" si="0"/>
        <v>3</v>
      </c>
      <c r="P57" s="15">
        <f t="shared" si="1"/>
        <v>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96</v>
      </c>
      <c r="D58" s="16">
        <f t="shared" si="21"/>
        <v>44</v>
      </c>
      <c r="E58" s="16">
        <f t="shared" si="21"/>
        <v>67</v>
      </c>
      <c r="F58" s="16">
        <f t="shared" si="21"/>
        <v>8</v>
      </c>
      <c r="G58" s="16">
        <f t="shared" si="21"/>
        <v>4</v>
      </c>
      <c r="H58" s="16">
        <f t="shared" si="21"/>
        <v>2</v>
      </c>
      <c r="I58" s="16">
        <f t="shared" si="21"/>
        <v>16</v>
      </c>
      <c r="J58" s="16">
        <f t="shared" si="21"/>
        <v>14</v>
      </c>
      <c r="K58" s="16">
        <f t="shared" si="21"/>
        <v>0</v>
      </c>
      <c r="L58" s="16">
        <f t="shared" si="21"/>
        <v>5</v>
      </c>
      <c r="M58" s="16">
        <f t="shared" si="21"/>
        <v>202</v>
      </c>
      <c r="N58" s="16">
        <f t="shared" si="21"/>
        <v>0</v>
      </c>
      <c r="O58" s="16">
        <f t="shared" si="21"/>
        <v>256</v>
      </c>
      <c r="P58" s="16">
        <f t="shared" si="21"/>
        <v>458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0.20960698689956331</v>
      </c>
      <c r="D59" s="43">
        <f t="shared" si="22"/>
        <v>9.606986899563319E-2</v>
      </c>
      <c r="E59" s="43">
        <f t="shared" si="22"/>
        <v>0.14628820960698691</v>
      </c>
      <c r="F59" s="43">
        <f t="shared" si="22"/>
        <v>1.7467248908296942E-2</v>
      </c>
      <c r="G59" s="43">
        <f t="shared" si="22"/>
        <v>8.7336244541484712E-3</v>
      </c>
      <c r="H59" s="43">
        <f t="shared" si="22"/>
        <v>4.3668122270742356E-3</v>
      </c>
      <c r="I59" s="43">
        <f t="shared" si="22"/>
        <v>3.4934497816593885E-2</v>
      </c>
      <c r="J59" s="43">
        <f t="shared" si="22"/>
        <v>3.0567685589519649E-2</v>
      </c>
      <c r="K59" s="43">
        <f t="shared" si="22"/>
        <v>0</v>
      </c>
      <c r="L59" s="43">
        <f t="shared" si="22"/>
        <v>1.0917030567685589E-2</v>
      </c>
      <c r="M59" s="43">
        <f t="shared" si="22"/>
        <v>0.44104803493449779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0.375</v>
      </c>
      <c r="D60" s="44">
        <f t="shared" ref="D60:N60" si="23">D58/$O$58</f>
        <v>0.171875</v>
      </c>
      <c r="E60" s="44">
        <f t="shared" si="23"/>
        <v>0.26171875</v>
      </c>
      <c r="F60" s="44">
        <f t="shared" si="23"/>
        <v>3.125E-2</v>
      </c>
      <c r="G60" s="44">
        <f t="shared" si="23"/>
        <v>1.5625E-2</v>
      </c>
      <c r="H60" s="44">
        <f t="shared" si="23"/>
        <v>7.8125E-3</v>
      </c>
      <c r="I60" s="44">
        <f t="shared" si="23"/>
        <v>6.25E-2</v>
      </c>
      <c r="J60" s="44">
        <f t="shared" si="23"/>
        <v>5.46875E-2</v>
      </c>
      <c r="K60" s="44">
        <f t="shared" si="23"/>
        <v>0</v>
      </c>
      <c r="L60" s="44">
        <f t="shared" si="23"/>
        <v>1.953125E-2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33" zoomScale="60" workbookViewId="0">
      <selection activeCell="D42" sqref="D4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Yumbe-Koboko'!C3:G3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Koboko-Yumbe '!D5</f>
        <v>01.08.19</v>
      </c>
      <c r="E5" s="3"/>
      <c r="F5" s="41" t="s">
        <v>1</v>
      </c>
      <c r="G5" s="65" t="str">
        <f>'31.07 Koboko-Yumbe'!G5:H5</f>
        <v>Umbachi</v>
      </c>
      <c r="H5" s="66"/>
      <c r="I5" s="14"/>
      <c r="J5" s="2" t="s">
        <v>5</v>
      </c>
      <c r="K5" s="65" t="str">
        <f>'31.07 Koboko-Yumbe'!K5:L5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Yumbe-Koboko'!D6:E6</f>
        <v>Yumbe</v>
      </c>
      <c r="E6" s="66"/>
      <c r="F6" s="2" t="s">
        <v>2</v>
      </c>
      <c r="G6" s="65" t="str">
        <f>'31.07 Yumbe-Koboko'!G6:H6</f>
        <v>Koboko</v>
      </c>
      <c r="H6" s="66"/>
      <c r="J6" s="2" t="s">
        <v>21</v>
      </c>
      <c r="K6" s="65" t="str">
        <f>'31.07 Koboko-Yumbe'!K6:L6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5</v>
      </c>
      <c r="V10" s="17">
        <f t="shared" si="2"/>
        <v>0</v>
      </c>
      <c r="W10" s="17">
        <f t="shared" si="2"/>
        <v>1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21</v>
      </c>
      <c r="AD10" s="17">
        <f t="shared" si="2"/>
        <v>0</v>
      </c>
      <c r="AE10" s="31">
        <f t="shared" si="2"/>
        <v>9</v>
      </c>
      <c r="AF10" s="31">
        <f t="shared" si="2"/>
        <v>30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2</v>
      </c>
      <c r="F11" s="50">
        <v>0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4</v>
      </c>
      <c r="P11" s="15">
        <f t="shared" si="1"/>
        <v>6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18</v>
      </c>
      <c r="AD11" s="17">
        <f t="shared" si="3"/>
        <v>0</v>
      </c>
      <c r="AE11" s="31">
        <f t="shared" si="3"/>
        <v>4</v>
      </c>
      <c r="AF11" s="31">
        <f t="shared" si="3"/>
        <v>22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2</v>
      </c>
      <c r="P12" s="15">
        <f t="shared" si="1"/>
        <v>10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5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13</v>
      </c>
      <c r="AD12" s="17">
        <f t="shared" si="4"/>
        <v>1</v>
      </c>
      <c r="AE12" s="31">
        <f t="shared" si="4"/>
        <v>11</v>
      </c>
      <c r="AF12" s="31">
        <f t="shared" si="4"/>
        <v>24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2</v>
      </c>
      <c r="P13" s="15">
        <f t="shared" si="1"/>
        <v>10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5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22</v>
      </c>
      <c r="AD13" s="17">
        <f t="shared" si="5"/>
        <v>0</v>
      </c>
      <c r="AE13" s="31">
        <f t="shared" si="5"/>
        <v>9</v>
      </c>
      <c r="AF13" s="31">
        <f t="shared" si="5"/>
        <v>31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1</v>
      </c>
      <c r="P14" s="15">
        <f t="shared" si="1"/>
        <v>9</v>
      </c>
      <c r="R14" s="1" t="s">
        <v>10</v>
      </c>
      <c r="S14" s="17">
        <f t="shared" ref="S14:AF14" si="6">SUM(C26:C29)</f>
        <v>5</v>
      </c>
      <c r="T14" s="17">
        <f t="shared" si="6"/>
        <v>1</v>
      </c>
      <c r="U14" s="17">
        <f t="shared" si="6"/>
        <v>4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2</v>
      </c>
      <c r="AB14" s="17">
        <f t="shared" si="6"/>
        <v>0</v>
      </c>
      <c r="AC14" s="17">
        <f t="shared" si="6"/>
        <v>18</v>
      </c>
      <c r="AD14" s="17">
        <f t="shared" si="6"/>
        <v>0</v>
      </c>
      <c r="AE14" s="31">
        <f t="shared" si="6"/>
        <v>14</v>
      </c>
      <c r="AF14" s="31">
        <f t="shared" si="6"/>
        <v>32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</v>
      </c>
      <c r="N15" s="50">
        <v>0</v>
      </c>
      <c r="O15" s="15">
        <f t="shared" si="0"/>
        <v>0</v>
      </c>
      <c r="P15" s="15">
        <f t="shared" si="1"/>
        <v>2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5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12</v>
      </c>
      <c r="AD15" s="17">
        <f t="shared" si="7"/>
        <v>0</v>
      </c>
      <c r="AE15" s="31">
        <f t="shared" si="7"/>
        <v>13</v>
      </c>
      <c r="AF15" s="31">
        <f t="shared" si="7"/>
        <v>25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1</v>
      </c>
      <c r="P16" s="15">
        <f t="shared" si="1"/>
        <v>5</v>
      </c>
      <c r="R16" s="1" t="s">
        <v>12</v>
      </c>
      <c r="S16" s="17">
        <f t="shared" ref="S16:AF16" si="8">SUM(C34:C37)</f>
        <v>10</v>
      </c>
      <c r="T16" s="17">
        <f t="shared" si="8"/>
        <v>1</v>
      </c>
      <c r="U16" s="17">
        <f t="shared" si="8"/>
        <v>6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6</v>
      </c>
      <c r="AC16" s="17">
        <f t="shared" si="8"/>
        <v>15</v>
      </c>
      <c r="AD16" s="17">
        <f t="shared" si="8"/>
        <v>0</v>
      </c>
      <c r="AE16" s="31">
        <f t="shared" si="8"/>
        <v>26</v>
      </c>
      <c r="AF16" s="31">
        <f t="shared" si="8"/>
        <v>41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2</v>
      </c>
      <c r="P17" s="15">
        <f t="shared" si="1"/>
        <v>6</v>
      </c>
      <c r="R17" s="1" t="s">
        <v>13</v>
      </c>
      <c r="S17" s="17">
        <f t="shared" ref="S17:AF17" si="9">SUM(C38:C41)</f>
        <v>7</v>
      </c>
      <c r="T17" s="17">
        <f t="shared" si="9"/>
        <v>1</v>
      </c>
      <c r="U17" s="17">
        <f t="shared" si="9"/>
        <v>6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12</v>
      </c>
      <c r="AD17" s="17">
        <f t="shared" si="9"/>
        <v>0</v>
      </c>
      <c r="AE17" s="31">
        <f t="shared" si="9"/>
        <v>16</v>
      </c>
      <c r="AF17" s="31">
        <f t="shared" si="9"/>
        <v>28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2</v>
      </c>
      <c r="P18" s="15">
        <f t="shared" si="1"/>
        <v>5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2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24</v>
      </c>
      <c r="AD18" s="17">
        <f t="shared" si="10"/>
        <v>0</v>
      </c>
      <c r="AE18" s="31">
        <f t="shared" si="10"/>
        <v>13</v>
      </c>
      <c r="AF18" s="31">
        <f t="shared" si="10"/>
        <v>37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2</v>
      </c>
      <c r="P19" s="15">
        <f t="shared" si="1"/>
        <v>6</v>
      </c>
      <c r="R19" s="1" t="s">
        <v>15</v>
      </c>
      <c r="S19" s="17">
        <f t="shared" ref="S19:AF19" si="11">SUM(C46:C49)</f>
        <v>13</v>
      </c>
      <c r="T19" s="17">
        <f t="shared" si="11"/>
        <v>1</v>
      </c>
      <c r="U19" s="17">
        <f t="shared" si="11"/>
        <v>9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18</v>
      </c>
      <c r="AD19" s="17">
        <f t="shared" si="11"/>
        <v>0</v>
      </c>
      <c r="AE19" s="31">
        <f t="shared" si="11"/>
        <v>24</v>
      </c>
      <c r="AF19" s="31">
        <f t="shared" si="11"/>
        <v>42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2</v>
      </c>
      <c r="F20" s="50">
        <v>0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15">
        <f t="shared" si="0"/>
        <v>4</v>
      </c>
      <c r="P20" s="15">
        <f t="shared" si="1"/>
        <v>8</v>
      </c>
      <c r="R20" s="1" t="s">
        <v>16</v>
      </c>
      <c r="S20" s="17">
        <f t="shared" ref="S20:AF20" si="12">SUM(C50:C53)</f>
        <v>9</v>
      </c>
      <c r="T20" s="17">
        <f t="shared" si="12"/>
        <v>2</v>
      </c>
      <c r="U20" s="17">
        <f t="shared" si="12"/>
        <v>7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26</v>
      </c>
      <c r="AD20" s="17">
        <f t="shared" si="12"/>
        <v>0</v>
      </c>
      <c r="AE20" s="31">
        <f t="shared" si="12"/>
        <v>21</v>
      </c>
      <c r="AF20" s="31">
        <f t="shared" si="12"/>
        <v>47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2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</v>
      </c>
      <c r="N21" s="50">
        <v>1</v>
      </c>
      <c r="O21" s="15">
        <f t="shared" si="0"/>
        <v>3</v>
      </c>
      <c r="P21" s="15">
        <f t="shared" si="1"/>
        <v>5</v>
      </c>
      <c r="R21" s="36" t="s">
        <v>20</v>
      </c>
      <c r="S21" s="34">
        <f t="shared" ref="S21:AF21" si="13">SUM(C54:C57)</f>
        <v>10</v>
      </c>
      <c r="T21" s="17">
        <f t="shared" si="13"/>
        <v>0</v>
      </c>
      <c r="U21" s="17">
        <f t="shared" si="13"/>
        <v>7</v>
      </c>
      <c r="V21" s="17">
        <f t="shared" si="13"/>
        <v>1</v>
      </c>
      <c r="W21" s="17">
        <f t="shared" si="13"/>
        <v>0</v>
      </c>
      <c r="X21" s="17">
        <f t="shared" si="13"/>
        <v>3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34</v>
      </c>
      <c r="AD21" s="17">
        <f t="shared" si="13"/>
        <v>3</v>
      </c>
      <c r="AE21" s="31">
        <f t="shared" si="13"/>
        <v>27</v>
      </c>
      <c r="AF21" s="31">
        <f t="shared" si="13"/>
        <v>61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1</v>
      </c>
      <c r="I22" s="50">
        <v>0</v>
      </c>
      <c r="J22" s="50">
        <v>0</v>
      </c>
      <c r="K22" s="50">
        <v>0</v>
      </c>
      <c r="L22" s="50">
        <v>0</v>
      </c>
      <c r="M22" s="50">
        <v>8</v>
      </c>
      <c r="N22" s="50">
        <v>0</v>
      </c>
      <c r="O22" s="15">
        <f t="shared" si="0"/>
        <v>2</v>
      </c>
      <c r="P22" s="15">
        <f t="shared" si="1"/>
        <v>10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0</v>
      </c>
      <c r="W22" s="39">
        <f t="shared" si="14"/>
        <v>1</v>
      </c>
      <c r="X22" s="39">
        <f t="shared" si="14"/>
        <v>1</v>
      </c>
      <c r="Y22" s="39">
        <f t="shared" si="14"/>
        <v>0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21</v>
      </c>
      <c r="AD22" s="39">
        <f t="shared" si="14"/>
        <v>1</v>
      </c>
      <c r="AE22" s="40">
        <f t="shared" si="14"/>
        <v>11</v>
      </c>
      <c r="AF22" s="40">
        <f t="shared" si="14"/>
        <v>30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2</v>
      </c>
      <c r="P23" s="15">
        <f t="shared" si="1"/>
        <v>5</v>
      </c>
      <c r="R23" s="38" t="s">
        <v>91</v>
      </c>
      <c r="S23" s="39">
        <f>MAX(S13:S18)</f>
        <v>10</v>
      </c>
      <c r="T23" s="39">
        <f t="shared" ref="T23:AF23" si="15">MAX(T13:T18)</f>
        <v>1</v>
      </c>
      <c r="U23" s="39">
        <f t="shared" si="15"/>
        <v>6</v>
      </c>
      <c r="V23" s="39">
        <f t="shared" si="15"/>
        <v>3</v>
      </c>
      <c r="W23" s="39">
        <f t="shared" si="15"/>
        <v>0</v>
      </c>
      <c r="X23" s="39">
        <f t="shared" si="15"/>
        <v>1</v>
      </c>
      <c r="Y23" s="39">
        <f t="shared" si="15"/>
        <v>1</v>
      </c>
      <c r="Z23" s="39">
        <f t="shared" si="15"/>
        <v>1</v>
      </c>
      <c r="AA23" s="39">
        <f t="shared" si="15"/>
        <v>2</v>
      </c>
      <c r="AB23" s="39">
        <f t="shared" si="15"/>
        <v>6</v>
      </c>
      <c r="AC23" s="39">
        <f t="shared" si="15"/>
        <v>24</v>
      </c>
      <c r="AD23" s="39">
        <f t="shared" si="15"/>
        <v>0</v>
      </c>
      <c r="AE23" s="40">
        <f t="shared" si="15"/>
        <v>26</v>
      </c>
      <c r="AF23" s="40">
        <f t="shared" si="15"/>
        <v>41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5</v>
      </c>
      <c r="N24" s="50">
        <v>0</v>
      </c>
      <c r="O24" s="15">
        <f t="shared" si="0"/>
        <v>2</v>
      </c>
      <c r="P24" s="15">
        <f t="shared" si="1"/>
        <v>7</v>
      </c>
      <c r="R24" s="38" t="s">
        <v>92</v>
      </c>
      <c r="S24" s="39">
        <f>MAX(S19:S21)</f>
        <v>13</v>
      </c>
      <c r="T24" s="39">
        <f t="shared" ref="T24:AF24" si="16">MAX(T19:T21)</f>
        <v>2</v>
      </c>
      <c r="U24" s="39">
        <f t="shared" si="16"/>
        <v>9</v>
      </c>
      <c r="V24" s="39">
        <f t="shared" si="16"/>
        <v>1</v>
      </c>
      <c r="W24" s="39">
        <f t="shared" si="16"/>
        <v>0</v>
      </c>
      <c r="X24" s="39">
        <f t="shared" si="16"/>
        <v>3</v>
      </c>
      <c r="Y24" s="39">
        <f t="shared" si="16"/>
        <v>3</v>
      </c>
      <c r="Z24" s="39">
        <f t="shared" si="16"/>
        <v>1</v>
      </c>
      <c r="AA24" s="39">
        <f t="shared" si="16"/>
        <v>1</v>
      </c>
      <c r="AB24" s="39">
        <f t="shared" si="16"/>
        <v>0</v>
      </c>
      <c r="AC24" s="39">
        <f t="shared" si="16"/>
        <v>34</v>
      </c>
      <c r="AD24" s="39">
        <f t="shared" si="16"/>
        <v>3</v>
      </c>
      <c r="AE24" s="40">
        <f t="shared" si="16"/>
        <v>27</v>
      </c>
      <c r="AF24" s="40">
        <f t="shared" si="16"/>
        <v>61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3</v>
      </c>
      <c r="P25" s="15">
        <f t="shared" si="1"/>
        <v>9</v>
      </c>
      <c r="R25" s="37" t="s">
        <v>85</v>
      </c>
      <c r="S25" s="35">
        <f t="shared" ref="S25:AF25" si="17">SUM(S10:S12)</f>
        <v>8</v>
      </c>
      <c r="T25" s="16">
        <f t="shared" si="17"/>
        <v>0</v>
      </c>
      <c r="U25" s="16">
        <f t="shared" si="17"/>
        <v>12</v>
      </c>
      <c r="V25" s="16">
        <f t="shared" si="17"/>
        <v>0</v>
      </c>
      <c r="W25" s="16">
        <f t="shared" si="17"/>
        <v>1</v>
      </c>
      <c r="X25" s="16">
        <f t="shared" si="17"/>
        <v>2</v>
      </c>
      <c r="Y25" s="16">
        <f t="shared" si="17"/>
        <v>0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52</v>
      </c>
      <c r="AD25" s="16">
        <f t="shared" si="17"/>
        <v>1</v>
      </c>
      <c r="AE25" s="32">
        <f t="shared" si="17"/>
        <v>24</v>
      </c>
      <c r="AF25" s="32">
        <f t="shared" si="17"/>
        <v>76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5</v>
      </c>
      <c r="N26" s="50">
        <v>0</v>
      </c>
      <c r="O26" s="15">
        <f t="shared" si="0"/>
        <v>0</v>
      </c>
      <c r="P26" s="15">
        <f t="shared" si="1"/>
        <v>5</v>
      </c>
      <c r="R26" s="28" t="s">
        <v>86</v>
      </c>
      <c r="S26" s="16">
        <f t="shared" ref="S26:AF26" si="18">SUM(S13:S18)</f>
        <v>36</v>
      </c>
      <c r="T26" s="16">
        <f t="shared" si="18"/>
        <v>3</v>
      </c>
      <c r="U26" s="16">
        <f t="shared" si="18"/>
        <v>28</v>
      </c>
      <c r="V26" s="16">
        <f t="shared" si="18"/>
        <v>10</v>
      </c>
      <c r="W26" s="16">
        <f t="shared" si="18"/>
        <v>0</v>
      </c>
      <c r="X26" s="16">
        <f t="shared" si="18"/>
        <v>1</v>
      </c>
      <c r="Y26" s="16">
        <f t="shared" si="18"/>
        <v>3</v>
      </c>
      <c r="Z26" s="16">
        <f t="shared" si="18"/>
        <v>1</v>
      </c>
      <c r="AA26" s="16">
        <f t="shared" si="18"/>
        <v>2</v>
      </c>
      <c r="AB26" s="16">
        <f t="shared" si="18"/>
        <v>7</v>
      </c>
      <c r="AC26" s="16">
        <f t="shared" si="18"/>
        <v>103</v>
      </c>
      <c r="AD26" s="16">
        <f t="shared" si="18"/>
        <v>0</v>
      </c>
      <c r="AE26" s="32">
        <f t="shared" si="18"/>
        <v>91</v>
      </c>
      <c r="AF26" s="32">
        <f t="shared" si="18"/>
        <v>194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0</v>
      </c>
      <c r="M27" s="50">
        <v>5</v>
      </c>
      <c r="N27" s="50">
        <v>0</v>
      </c>
      <c r="O27" s="15">
        <f t="shared" si="0"/>
        <v>2</v>
      </c>
      <c r="P27" s="15">
        <f t="shared" si="1"/>
        <v>7</v>
      </c>
      <c r="R27" s="29" t="s">
        <v>87</v>
      </c>
      <c r="S27" s="16">
        <f t="shared" ref="S27:AF27" si="19">SUM(S19:S21)</f>
        <v>32</v>
      </c>
      <c r="T27" s="16">
        <f t="shared" si="19"/>
        <v>3</v>
      </c>
      <c r="U27" s="16">
        <f t="shared" si="19"/>
        <v>23</v>
      </c>
      <c r="V27" s="16">
        <f t="shared" si="19"/>
        <v>2</v>
      </c>
      <c r="W27" s="16">
        <f t="shared" si="19"/>
        <v>0</v>
      </c>
      <c r="X27" s="16">
        <f t="shared" si="19"/>
        <v>3</v>
      </c>
      <c r="Y27" s="16">
        <f t="shared" si="19"/>
        <v>4</v>
      </c>
      <c r="Z27" s="16">
        <f t="shared" si="19"/>
        <v>1</v>
      </c>
      <c r="AA27" s="16">
        <f t="shared" si="19"/>
        <v>1</v>
      </c>
      <c r="AB27" s="16">
        <f t="shared" si="19"/>
        <v>0</v>
      </c>
      <c r="AC27" s="16">
        <f t="shared" si="19"/>
        <v>78</v>
      </c>
      <c r="AD27" s="16">
        <f t="shared" si="19"/>
        <v>3</v>
      </c>
      <c r="AE27" s="32">
        <f t="shared" si="19"/>
        <v>72</v>
      </c>
      <c r="AF27" s="32">
        <f t="shared" si="19"/>
        <v>150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2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4</v>
      </c>
      <c r="N28" s="50">
        <v>0</v>
      </c>
      <c r="O28" s="15">
        <f t="shared" si="0"/>
        <v>5</v>
      </c>
      <c r="P28" s="15">
        <f t="shared" si="1"/>
        <v>9</v>
      </c>
      <c r="R28" s="5" t="s">
        <v>17</v>
      </c>
      <c r="S28" s="16">
        <f t="shared" ref="S28:AF28" si="20">SUM(S10:S21)</f>
        <v>76</v>
      </c>
      <c r="T28" s="16">
        <f t="shared" si="20"/>
        <v>6</v>
      </c>
      <c r="U28" s="16">
        <f t="shared" si="20"/>
        <v>63</v>
      </c>
      <c r="V28" s="16">
        <f t="shared" si="20"/>
        <v>12</v>
      </c>
      <c r="W28" s="16">
        <f t="shared" si="20"/>
        <v>1</v>
      </c>
      <c r="X28" s="16">
        <f t="shared" si="20"/>
        <v>6</v>
      </c>
      <c r="Y28" s="16">
        <f t="shared" si="20"/>
        <v>7</v>
      </c>
      <c r="Z28" s="16">
        <f t="shared" si="20"/>
        <v>2</v>
      </c>
      <c r="AA28" s="16">
        <f t="shared" si="20"/>
        <v>3</v>
      </c>
      <c r="AB28" s="16">
        <f t="shared" si="20"/>
        <v>7</v>
      </c>
      <c r="AC28" s="16">
        <f t="shared" si="20"/>
        <v>233</v>
      </c>
      <c r="AD28" s="16">
        <f t="shared" si="20"/>
        <v>4</v>
      </c>
      <c r="AE28" s="32">
        <f t="shared" si="20"/>
        <v>187</v>
      </c>
      <c r="AF28" s="32">
        <f t="shared" si="20"/>
        <v>420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2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7</v>
      </c>
      <c r="P29" s="15">
        <f t="shared" si="1"/>
        <v>11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3</v>
      </c>
      <c r="P30" s="15">
        <f t="shared" si="1"/>
        <v>7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2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4</v>
      </c>
      <c r="P31" s="15">
        <f t="shared" si="1"/>
        <v>6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3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3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5</v>
      </c>
      <c r="N34" s="50">
        <v>0</v>
      </c>
      <c r="O34" s="15">
        <f t="shared" si="0"/>
        <v>5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3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</v>
      </c>
      <c r="N35" s="50">
        <v>0</v>
      </c>
      <c r="O35" s="15">
        <f t="shared" si="0"/>
        <v>7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6</v>
      </c>
      <c r="M36" s="50">
        <v>5</v>
      </c>
      <c r="N36" s="50">
        <v>0</v>
      </c>
      <c r="O36" s="15">
        <f t="shared" si="0"/>
        <v>8</v>
      </c>
      <c r="P36" s="15">
        <f t="shared" si="1"/>
        <v>13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2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6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2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4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3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3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</v>
      </c>
      <c r="N40" s="50">
        <v>0</v>
      </c>
      <c r="O40" s="15">
        <f t="shared" si="0"/>
        <v>5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</v>
      </c>
      <c r="N41" s="50">
        <v>0</v>
      </c>
      <c r="O41" s="15">
        <f t="shared" si="0"/>
        <v>4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2</v>
      </c>
      <c r="P42" s="15">
        <f t="shared" si="1"/>
        <v>8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8</v>
      </c>
      <c r="N43" s="50">
        <v>0</v>
      </c>
      <c r="O43" s="15">
        <f t="shared" si="0"/>
        <v>2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7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2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2</v>
      </c>
      <c r="F46" s="50">
        <v>1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5</v>
      </c>
      <c r="P46" s="15">
        <f t="shared" si="1"/>
        <v>11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11</v>
      </c>
      <c r="P47" s="15">
        <f t="shared" si="1"/>
        <v>15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3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3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6</v>
      </c>
      <c r="N49" s="50">
        <v>0</v>
      </c>
      <c r="O49" s="15">
        <f t="shared" si="0"/>
        <v>5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1</v>
      </c>
      <c r="E50" s="50">
        <v>3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9</v>
      </c>
      <c r="N50" s="50">
        <v>0</v>
      </c>
      <c r="O50" s="15">
        <f t="shared" si="0"/>
        <v>5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5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1</v>
      </c>
      <c r="E52" s="50">
        <v>2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1</v>
      </c>
      <c r="L52" s="50">
        <v>0</v>
      </c>
      <c r="M52" s="50">
        <v>3</v>
      </c>
      <c r="N52" s="50">
        <v>0</v>
      </c>
      <c r="O52" s="15">
        <f t="shared" si="0"/>
        <v>9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9</v>
      </c>
      <c r="N53" s="50">
        <v>0</v>
      </c>
      <c r="O53" s="15">
        <f t="shared" si="0"/>
        <v>2</v>
      </c>
      <c r="P53" s="15">
        <f t="shared" si="1"/>
        <v>11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0</v>
      </c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0</v>
      </c>
      <c r="M54" s="50">
        <v>9</v>
      </c>
      <c r="N54" s="50">
        <v>0</v>
      </c>
      <c r="O54" s="15">
        <f t="shared" si="0"/>
        <v>3</v>
      </c>
      <c r="P54" s="15">
        <f t="shared" si="1"/>
        <v>12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2</v>
      </c>
      <c r="F55" s="50">
        <v>0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3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2</v>
      </c>
      <c r="F56" s="50">
        <v>0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0</v>
      </c>
      <c r="M56" s="50">
        <v>9</v>
      </c>
      <c r="N56" s="50">
        <v>0</v>
      </c>
      <c r="O56" s="15">
        <f t="shared" si="0"/>
        <v>5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0</v>
      </c>
      <c r="E57" s="50">
        <v>2</v>
      </c>
      <c r="F57" s="50">
        <v>1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0</v>
      </c>
      <c r="M57" s="50">
        <v>7</v>
      </c>
      <c r="N57" s="50">
        <v>3</v>
      </c>
      <c r="O57" s="15">
        <f t="shared" si="0"/>
        <v>16</v>
      </c>
      <c r="P57" s="15">
        <f t="shared" si="1"/>
        <v>23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76</v>
      </c>
      <c r="D58" s="16">
        <f t="shared" si="21"/>
        <v>6</v>
      </c>
      <c r="E58" s="16">
        <f t="shared" si="21"/>
        <v>63</v>
      </c>
      <c r="F58" s="16">
        <f t="shared" si="21"/>
        <v>12</v>
      </c>
      <c r="G58" s="16">
        <f t="shared" si="21"/>
        <v>1</v>
      </c>
      <c r="H58" s="16">
        <f t="shared" si="21"/>
        <v>6</v>
      </c>
      <c r="I58" s="16">
        <f t="shared" si="21"/>
        <v>7</v>
      </c>
      <c r="J58" s="16">
        <f t="shared" si="21"/>
        <v>2</v>
      </c>
      <c r="K58" s="16">
        <f t="shared" si="21"/>
        <v>3</v>
      </c>
      <c r="L58" s="16">
        <f t="shared" si="21"/>
        <v>7</v>
      </c>
      <c r="M58" s="16">
        <f t="shared" si="21"/>
        <v>233</v>
      </c>
      <c r="N58" s="16">
        <f t="shared" si="21"/>
        <v>4</v>
      </c>
      <c r="O58" s="16">
        <f t="shared" si="21"/>
        <v>187</v>
      </c>
      <c r="P58" s="16">
        <f t="shared" si="21"/>
        <v>420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0.18095238095238095</v>
      </c>
      <c r="D59" s="43">
        <f t="shared" si="22"/>
        <v>1.4285714285714285E-2</v>
      </c>
      <c r="E59" s="43">
        <f t="shared" si="22"/>
        <v>0.15</v>
      </c>
      <c r="F59" s="43">
        <f t="shared" si="22"/>
        <v>2.8571428571428571E-2</v>
      </c>
      <c r="G59" s="43">
        <f t="shared" si="22"/>
        <v>2.3809523809523812E-3</v>
      </c>
      <c r="H59" s="43">
        <f t="shared" si="22"/>
        <v>1.4285714285714285E-2</v>
      </c>
      <c r="I59" s="43">
        <f t="shared" si="22"/>
        <v>1.6666666666666666E-2</v>
      </c>
      <c r="J59" s="43">
        <f t="shared" si="22"/>
        <v>4.7619047619047623E-3</v>
      </c>
      <c r="K59" s="43">
        <f t="shared" si="22"/>
        <v>7.1428571428571426E-3</v>
      </c>
      <c r="L59" s="43">
        <f t="shared" si="22"/>
        <v>1.6666666666666666E-2</v>
      </c>
      <c r="M59" s="43">
        <f t="shared" si="22"/>
        <v>0.55476190476190479</v>
      </c>
      <c r="N59" s="43">
        <f t="shared" si="22"/>
        <v>9.5238095238095247E-3</v>
      </c>
      <c r="R59" s="8"/>
      <c r="T59"/>
    </row>
    <row r="60" spans="2:20" ht="23.1" customHeight="1" x14ac:dyDescent="0.25">
      <c r="B60" s="42" t="s">
        <v>94</v>
      </c>
      <c r="C60" s="44">
        <f>C58/$O$58</f>
        <v>0.40641711229946526</v>
      </c>
      <c r="D60" s="44">
        <f t="shared" ref="D60:N60" si="23">D58/$O$58</f>
        <v>3.2085561497326207E-2</v>
      </c>
      <c r="E60" s="44">
        <f t="shared" si="23"/>
        <v>0.33689839572192515</v>
      </c>
      <c r="F60" s="44">
        <f t="shared" si="23"/>
        <v>6.4171122994652413E-2</v>
      </c>
      <c r="G60" s="44">
        <f t="shared" si="23"/>
        <v>5.3475935828877002E-3</v>
      </c>
      <c r="H60" s="44">
        <f t="shared" si="23"/>
        <v>3.2085561497326207E-2</v>
      </c>
      <c r="I60" s="44">
        <f t="shared" si="23"/>
        <v>3.7433155080213901E-2</v>
      </c>
      <c r="J60" s="44">
        <f t="shared" si="23"/>
        <v>1.06951871657754E-2</v>
      </c>
      <c r="K60" s="44">
        <f t="shared" si="23"/>
        <v>1.6042780748663103E-2</v>
      </c>
      <c r="L60" s="44">
        <f t="shared" si="23"/>
        <v>3.7433155080213901E-2</v>
      </c>
      <c r="M60" s="44"/>
      <c r="N60" s="44">
        <f t="shared" si="23"/>
        <v>2.1390374331550801E-2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249977111117893"/>
  </sheetPr>
  <dimension ref="B1:AF174"/>
  <sheetViews>
    <sheetView view="pageBreakPreview" topLeftCell="A40" zoomScale="60" workbookViewId="0">
      <selection activeCell="E106" sqref="E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Koboko-Yumbe'!C3:G3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5" t="str">
        <f>'05.08 Yumbe-Koboko'!G5:H5</f>
        <v>Umbachi</v>
      </c>
      <c r="H5" s="66"/>
      <c r="I5" s="14"/>
      <c r="J5" s="2" t="s">
        <v>5</v>
      </c>
      <c r="K5" s="65" t="str">
        <f>'05.08 Yumbe-Koboko'!K5:L5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Koboko-Yumbe'!D6:E6</f>
        <v>Koboko</v>
      </c>
      <c r="E6" s="66"/>
      <c r="F6" s="2" t="s">
        <v>2</v>
      </c>
      <c r="G6" s="65" t="str">
        <f>'31.07 Koboko-Yumbe'!G6:H6</f>
        <v>Yumbe</v>
      </c>
      <c r="H6" s="66"/>
      <c r="J6" s="2" t="s">
        <v>21</v>
      </c>
      <c r="K6" s="65" t="str">
        <f>'05.08 Yumbe-Koboko'!K6:L6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2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18</v>
      </c>
      <c r="AD10" s="17">
        <f t="shared" si="2"/>
        <v>0</v>
      </c>
      <c r="AE10" s="31">
        <f t="shared" si="2"/>
        <v>9</v>
      </c>
      <c r="AF10" s="31">
        <f t="shared" si="2"/>
        <v>27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1</v>
      </c>
      <c r="P11" s="15">
        <f t="shared" si="1"/>
        <v>6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16</v>
      </c>
      <c r="AD11" s="17">
        <f t="shared" si="3"/>
        <v>0</v>
      </c>
      <c r="AE11" s="31">
        <f t="shared" si="3"/>
        <v>12</v>
      </c>
      <c r="AF11" s="31">
        <f t="shared" si="3"/>
        <v>28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1</v>
      </c>
      <c r="P12" s="15">
        <f t="shared" si="1"/>
        <v>6</v>
      </c>
      <c r="R12" s="1" t="s">
        <v>8</v>
      </c>
      <c r="S12" s="17">
        <f t="shared" ref="S12:AF12" si="4">SUM(C18:C21)</f>
        <v>6</v>
      </c>
      <c r="T12" s="17">
        <f t="shared" si="4"/>
        <v>2</v>
      </c>
      <c r="U12" s="17">
        <f t="shared" si="4"/>
        <v>5</v>
      </c>
      <c r="V12" s="17">
        <f t="shared" si="4"/>
        <v>2</v>
      </c>
      <c r="W12" s="17">
        <f t="shared" si="4"/>
        <v>1</v>
      </c>
      <c r="X12" s="17">
        <f t="shared" si="4"/>
        <v>1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18</v>
      </c>
      <c r="AD12" s="17">
        <f t="shared" si="4"/>
        <v>0</v>
      </c>
      <c r="AE12" s="31">
        <f t="shared" si="4"/>
        <v>21</v>
      </c>
      <c r="AF12" s="31">
        <f t="shared" si="4"/>
        <v>39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4</v>
      </c>
      <c r="P13" s="15">
        <f t="shared" si="1"/>
        <v>11</v>
      </c>
      <c r="R13" s="1" t="s">
        <v>9</v>
      </c>
      <c r="S13" s="17">
        <f t="shared" ref="S13:AF13" si="5">SUM(C22:C25)</f>
        <v>8</v>
      </c>
      <c r="T13" s="17">
        <f t="shared" si="5"/>
        <v>2</v>
      </c>
      <c r="U13" s="17">
        <f t="shared" si="5"/>
        <v>4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20</v>
      </c>
      <c r="AD13" s="17">
        <f t="shared" si="5"/>
        <v>0</v>
      </c>
      <c r="AE13" s="31">
        <f t="shared" si="5"/>
        <v>21</v>
      </c>
      <c r="AF13" s="31">
        <f t="shared" si="5"/>
        <v>41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2</v>
      </c>
      <c r="P14" s="15">
        <f t="shared" si="1"/>
        <v>8</v>
      </c>
      <c r="R14" s="1" t="s">
        <v>10</v>
      </c>
      <c r="S14" s="17">
        <f t="shared" ref="S14:AF14" si="6">SUM(C26:C29)</f>
        <v>5</v>
      </c>
      <c r="T14" s="17">
        <f t="shared" si="6"/>
        <v>4</v>
      </c>
      <c r="U14" s="17">
        <f t="shared" si="6"/>
        <v>4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18</v>
      </c>
      <c r="AD14" s="17">
        <f t="shared" si="6"/>
        <v>1</v>
      </c>
      <c r="AE14" s="31">
        <f t="shared" si="6"/>
        <v>18</v>
      </c>
      <c r="AF14" s="31">
        <f t="shared" si="6"/>
        <v>36</v>
      </c>
    </row>
    <row r="15" spans="2:32" ht="23.1" customHeight="1" x14ac:dyDescent="0.25">
      <c r="B15" s="45" t="s">
        <v>42</v>
      </c>
      <c r="C15" s="50">
        <v>3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2</v>
      </c>
      <c r="N15" s="50">
        <v>0</v>
      </c>
      <c r="O15" s="15">
        <f t="shared" si="0"/>
        <v>5</v>
      </c>
      <c r="P15" s="15">
        <f t="shared" si="1"/>
        <v>7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15</v>
      </c>
      <c r="AD15" s="17">
        <f t="shared" si="7"/>
        <v>0</v>
      </c>
      <c r="AE15" s="31">
        <f t="shared" si="7"/>
        <v>9</v>
      </c>
      <c r="AF15" s="31">
        <f t="shared" si="7"/>
        <v>24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1</v>
      </c>
      <c r="P16" s="15">
        <f t="shared" si="1"/>
        <v>3</v>
      </c>
      <c r="R16" s="1" t="s">
        <v>12</v>
      </c>
      <c r="S16" s="17">
        <f t="shared" ref="S16:AF16" si="8">SUM(C34:C37)</f>
        <v>4</v>
      </c>
      <c r="T16" s="17">
        <f t="shared" si="8"/>
        <v>1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13</v>
      </c>
      <c r="AD16" s="17">
        <f t="shared" si="8"/>
        <v>0</v>
      </c>
      <c r="AE16" s="31">
        <f t="shared" si="8"/>
        <v>8</v>
      </c>
      <c r="AF16" s="31">
        <f t="shared" si="8"/>
        <v>21</v>
      </c>
    </row>
    <row r="17" spans="2:32" ht="23.1" customHeight="1" x14ac:dyDescent="0.25">
      <c r="B17" s="45" t="s">
        <v>44</v>
      </c>
      <c r="C17" s="50">
        <v>4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</v>
      </c>
      <c r="N17" s="50">
        <v>0</v>
      </c>
      <c r="O17" s="15">
        <f t="shared" si="0"/>
        <v>4</v>
      </c>
      <c r="P17" s="15">
        <f t="shared" si="1"/>
        <v>10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15</v>
      </c>
      <c r="AD17" s="17">
        <f t="shared" si="9"/>
        <v>0</v>
      </c>
      <c r="AE17" s="31">
        <f t="shared" si="9"/>
        <v>10</v>
      </c>
      <c r="AF17" s="31">
        <f t="shared" si="9"/>
        <v>25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1</v>
      </c>
      <c r="I18" s="50">
        <v>2</v>
      </c>
      <c r="J18" s="50">
        <v>1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6</v>
      </c>
      <c r="P18" s="15">
        <f t="shared" si="1"/>
        <v>9</v>
      </c>
      <c r="R18" s="1" t="s">
        <v>14</v>
      </c>
      <c r="S18" s="17">
        <f t="shared" ref="S18:AF18" si="10">SUM(C42:C45)</f>
        <v>5</v>
      </c>
      <c r="T18" s="17">
        <f t="shared" si="10"/>
        <v>2</v>
      </c>
      <c r="U18" s="17">
        <f t="shared" si="10"/>
        <v>3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15</v>
      </c>
      <c r="AD18" s="17">
        <f t="shared" si="10"/>
        <v>0</v>
      </c>
      <c r="AE18" s="31">
        <f t="shared" si="10"/>
        <v>14</v>
      </c>
      <c r="AF18" s="31">
        <f t="shared" si="10"/>
        <v>29</v>
      </c>
    </row>
    <row r="19" spans="2:32" ht="23.1" customHeight="1" x14ac:dyDescent="0.25">
      <c r="B19" s="45" t="s">
        <v>46</v>
      </c>
      <c r="C19" s="50">
        <v>4</v>
      </c>
      <c r="D19" s="50">
        <v>1</v>
      </c>
      <c r="E19" s="50">
        <v>2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9</v>
      </c>
      <c r="P19" s="15">
        <f t="shared" si="1"/>
        <v>11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15</v>
      </c>
      <c r="AD19" s="17">
        <f t="shared" si="11"/>
        <v>0</v>
      </c>
      <c r="AE19" s="31">
        <f t="shared" si="11"/>
        <v>13</v>
      </c>
      <c r="AF19" s="31">
        <f t="shared" si="11"/>
        <v>28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1</v>
      </c>
      <c r="P20" s="15">
        <f t="shared" si="1"/>
        <v>9</v>
      </c>
      <c r="R20" s="1" t="s">
        <v>16</v>
      </c>
      <c r="S20" s="17">
        <f t="shared" ref="S20:AF20" si="12">SUM(C50:C53)</f>
        <v>12</v>
      </c>
      <c r="T20" s="17">
        <f t="shared" si="12"/>
        <v>2</v>
      </c>
      <c r="U20" s="17">
        <f t="shared" si="12"/>
        <v>4</v>
      </c>
      <c r="V20" s="17">
        <f t="shared" si="12"/>
        <v>1</v>
      </c>
      <c r="W20" s="17">
        <f t="shared" si="12"/>
        <v>1</v>
      </c>
      <c r="X20" s="17">
        <f t="shared" si="12"/>
        <v>1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21</v>
      </c>
      <c r="AD20" s="17">
        <f t="shared" si="12"/>
        <v>0</v>
      </c>
      <c r="AE20" s="31">
        <f t="shared" si="12"/>
        <v>22</v>
      </c>
      <c r="AF20" s="31">
        <f t="shared" si="12"/>
        <v>43</v>
      </c>
    </row>
    <row r="21" spans="2:32" ht="23.1" customHeight="1" x14ac:dyDescent="0.25">
      <c r="B21" s="45" t="s">
        <v>48</v>
      </c>
      <c r="C21" s="50">
        <v>1</v>
      </c>
      <c r="D21" s="50">
        <v>1</v>
      </c>
      <c r="E21" s="50">
        <v>1</v>
      </c>
      <c r="F21" s="50">
        <v>0</v>
      </c>
      <c r="G21" s="50">
        <v>1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5</v>
      </c>
      <c r="P21" s="15">
        <f t="shared" si="1"/>
        <v>10</v>
      </c>
      <c r="R21" s="36" t="s">
        <v>20</v>
      </c>
      <c r="S21" s="34">
        <f t="shared" ref="S21:AF21" si="13">SUM(C54:C57)</f>
        <v>4</v>
      </c>
      <c r="T21" s="17">
        <f t="shared" si="13"/>
        <v>2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24</v>
      </c>
      <c r="AD21" s="17">
        <f t="shared" si="13"/>
        <v>0</v>
      </c>
      <c r="AE21" s="31">
        <f t="shared" si="13"/>
        <v>11</v>
      </c>
      <c r="AF21" s="31">
        <f t="shared" si="13"/>
        <v>35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3</v>
      </c>
      <c r="P22" s="15">
        <f t="shared" si="1"/>
        <v>9</v>
      </c>
      <c r="R22" s="36" t="s">
        <v>146</v>
      </c>
      <c r="S22" s="34">
        <f>SUM(C58:C61)</f>
        <v>4</v>
      </c>
      <c r="T22" s="34">
        <f t="shared" ref="T22:AF22" si="14">SUM(D58:D61)</f>
        <v>4</v>
      </c>
      <c r="U22" s="34">
        <f t="shared" si="14"/>
        <v>6</v>
      </c>
      <c r="V22" s="34">
        <f t="shared" si="14"/>
        <v>7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28</v>
      </c>
      <c r="AD22" s="34">
        <f t="shared" si="14"/>
        <v>1</v>
      </c>
      <c r="AE22" s="31">
        <f t="shared" si="14"/>
        <v>23</v>
      </c>
      <c r="AF22" s="31">
        <f t="shared" si="14"/>
        <v>51</v>
      </c>
    </row>
    <row r="23" spans="2:32" ht="23.1" customHeight="1" x14ac:dyDescent="0.25">
      <c r="B23" s="45" t="s">
        <v>50</v>
      </c>
      <c r="C23" s="50">
        <v>2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6</v>
      </c>
      <c r="P23" s="15">
        <f t="shared" si="1"/>
        <v>9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3</v>
      </c>
      <c r="V23" s="34">
        <f t="shared" si="15"/>
        <v>1</v>
      </c>
      <c r="W23" s="34">
        <f t="shared" si="15"/>
        <v>1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15</v>
      </c>
      <c r="AD23" s="34">
        <f t="shared" si="15"/>
        <v>0</v>
      </c>
      <c r="AE23" s="31">
        <f t="shared" si="15"/>
        <v>6</v>
      </c>
      <c r="AF23" s="31">
        <f t="shared" si="15"/>
        <v>21</v>
      </c>
    </row>
    <row r="24" spans="2:32" ht="23.1" customHeight="1" x14ac:dyDescent="0.25">
      <c r="B24" s="45" t="s">
        <v>51</v>
      </c>
      <c r="C24" s="50">
        <v>3</v>
      </c>
      <c r="D24" s="50">
        <v>1</v>
      </c>
      <c r="E24" s="50">
        <v>2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8</v>
      </c>
      <c r="P24" s="15">
        <f t="shared" si="1"/>
        <v>16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1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5</v>
      </c>
      <c r="AD24" s="34">
        <f t="shared" si="16"/>
        <v>0</v>
      </c>
      <c r="AE24" s="31">
        <f t="shared" si="16"/>
        <v>1</v>
      </c>
      <c r="AF24" s="31">
        <f t="shared" si="16"/>
        <v>6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3</v>
      </c>
      <c r="N25" s="50">
        <v>0</v>
      </c>
      <c r="O25" s="15">
        <f t="shared" si="0"/>
        <v>4</v>
      </c>
      <c r="P25" s="15">
        <f t="shared" si="1"/>
        <v>7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2</v>
      </c>
      <c r="AF25" s="31">
        <f t="shared" si="17"/>
        <v>2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5</v>
      </c>
      <c r="N26" s="50">
        <v>1</v>
      </c>
      <c r="O26" s="15">
        <f t="shared" si="0"/>
        <v>3</v>
      </c>
      <c r="P26" s="15">
        <f t="shared" si="1"/>
        <v>8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0</v>
      </c>
      <c r="AF26" s="31">
        <f t="shared" si="18"/>
        <v>1</v>
      </c>
    </row>
    <row r="27" spans="2:32" ht="23.1" customHeight="1" x14ac:dyDescent="0.25">
      <c r="B27" s="45" t="s">
        <v>54</v>
      </c>
      <c r="C27" s="50">
        <v>1</v>
      </c>
      <c r="D27" s="50">
        <v>2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5</v>
      </c>
      <c r="P27" s="15">
        <f t="shared" si="1"/>
        <v>11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3</v>
      </c>
      <c r="AF27" s="31">
        <f t="shared" si="19"/>
        <v>5</v>
      </c>
    </row>
    <row r="28" spans="2:32" ht="23.1" customHeight="1" x14ac:dyDescent="0.25">
      <c r="B28" s="45" t="s">
        <v>55</v>
      </c>
      <c r="C28" s="50">
        <v>3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5</v>
      </c>
      <c r="N28" s="50">
        <v>0</v>
      </c>
      <c r="O28" s="15">
        <f t="shared" si="0"/>
        <v>5</v>
      </c>
      <c r="P28" s="15">
        <f t="shared" si="1"/>
        <v>10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1</v>
      </c>
      <c r="D29" s="50">
        <v>1</v>
      </c>
      <c r="E29" s="50">
        <v>1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2</v>
      </c>
      <c r="N29" s="50">
        <v>0</v>
      </c>
      <c r="O29" s="15">
        <f t="shared" si="0"/>
        <v>5</v>
      </c>
      <c r="P29" s="15">
        <f t="shared" si="1"/>
        <v>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1</v>
      </c>
      <c r="P30" s="15">
        <f t="shared" si="1"/>
        <v>4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2</v>
      </c>
      <c r="P31" s="15">
        <f t="shared" si="1"/>
        <v>5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3</v>
      </c>
      <c r="P32" s="15">
        <f t="shared" si="1"/>
        <v>8</v>
      </c>
      <c r="R32" s="33" t="s">
        <v>156</v>
      </c>
      <c r="S32" s="34">
        <f>SUM(C98:C101)</f>
        <v>3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1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6</v>
      </c>
      <c r="AD32" s="34">
        <f t="shared" si="24"/>
        <v>0</v>
      </c>
      <c r="AE32" s="31">
        <f t="shared" si="24"/>
        <v>5</v>
      </c>
      <c r="AF32" s="31">
        <f t="shared" si="24"/>
        <v>11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3</v>
      </c>
      <c r="P33" s="15">
        <f t="shared" si="1"/>
        <v>7</v>
      </c>
      <c r="R33" s="33" t="s">
        <v>157</v>
      </c>
      <c r="S33" s="34">
        <f>SUM(C102:C105)</f>
        <v>5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0</v>
      </c>
      <c r="W33" s="34">
        <f t="shared" si="25"/>
        <v>0</v>
      </c>
      <c r="X33" s="34">
        <f t="shared" si="25"/>
        <v>3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4</v>
      </c>
      <c r="AD33" s="34">
        <f t="shared" si="25"/>
        <v>0</v>
      </c>
      <c r="AE33" s="31">
        <f t="shared" si="25"/>
        <v>10</v>
      </c>
      <c r="AF33" s="31">
        <f t="shared" si="25"/>
        <v>14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0</v>
      </c>
      <c r="P34" s="15">
        <f t="shared" si="1"/>
        <v>4</v>
      </c>
      <c r="R34" s="38" t="s">
        <v>90</v>
      </c>
      <c r="S34" s="39">
        <f t="shared" ref="S34:AF34" si="26">MAX(S10:S12)</f>
        <v>8</v>
      </c>
      <c r="T34" s="39">
        <f t="shared" si="26"/>
        <v>2</v>
      </c>
      <c r="U34" s="39">
        <f t="shared" si="26"/>
        <v>5</v>
      </c>
      <c r="V34" s="39">
        <f t="shared" si="26"/>
        <v>2</v>
      </c>
      <c r="W34" s="39">
        <f t="shared" si="26"/>
        <v>1</v>
      </c>
      <c r="X34" s="39">
        <f t="shared" si="26"/>
        <v>1</v>
      </c>
      <c r="Y34" s="39">
        <f t="shared" si="26"/>
        <v>3</v>
      </c>
      <c r="Z34" s="39">
        <f t="shared" si="26"/>
        <v>1</v>
      </c>
      <c r="AA34" s="39">
        <f t="shared" si="26"/>
        <v>0</v>
      </c>
      <c r="AB34" s="39">
        <f t="shared" si="26"/>
        <v>1</v>
      </c>
      <c r="AC34" s="39">
        <f t="shared" si="26"/>
        <v>18</v>
      </c>
      <c r="AD34" s="39">
        <f t="shared" si="26"/>
        <v>0</v>
      </c>
      <c r="AE34" s="40">
        <f t="shared" si="26"/>
        <v>21</v>
      </c>
      <c r="AF34" s="40">
        <f t="shared" si="26"/>
        <v>39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5</v>
      </c>
      <c r="N35" s="50">
        <v>0</v>
      </c>
      <c r="O35" s="15">
        <f t="shared" si="0"/>
        <v>2</v>
      </c>
      <c r="P35" s="15">
        <f t="shared" si="1"/>
        <v>7</v>
      </c>
      <c r="R35" s="38" t="s">
        <v>91</v>
      </c>
      <c r="S35" s="39">
        <f t="shared" ref="S35:AF35" si="27">MAX(S13:S18)</f>
        <v>8</v>
      </c>
      <c r="T35" s="39">
        <f t="shared" si="27"/>
        <v>4</v>
      </c>
      <c r="U35" s="39">
        <f t="shared" si="27"/>
        <v>4</v>
      </c>
      <c r="V35" s="39">
        <f t="shared" si="27"/>
        <v>4</v>
      </c>
      <c r="W35" s="39">
        <f t="shared" si="27"/>
        <v>0</v>
      </c>
      <c r="X35" s="39">
        <f t="shared" si="27"/>
        <v>0</v>
      </c>
      <c r="Y35" s="39">
        <f t="shared" si="27"/>
        <v>3</v>
      </c>
      <c r="Z35" s="39">
        <f t="shared" si="27"/>
        <v>1</v>
      </c>
      <c r="AA35" s="39">
        <f t="shared" si="27"/>
        <v>0</v>
      </c>
      <c r="AB35" s="39">
        <f t="shared" si="27"/>
        <v>1</v>
      </c>
      <c r="AC35" s="39">
        <f t="shared" si="27"/>
        <v>20</v>
      </c>
      <c r="AD35" s="39">
        <f t="shared" si="27"/>
        <v>1</v>
      </c>
      <c r="AE35" s="40">
        <f t="shared" si="27"/>
        <v>21</v>
      </c>
      <c r="AF35" s="40">
        <f t="shared" si="27"/>
        <v>41</v>
      </c>
    </row>
    <row r="36" spans="2:32" ht="23.1" customHeight="1" x14ac:dyDescent="0.25">
      <c r="B36" s="46" t="s">
        <v>63</v>
      </c>
      <c r="C36" s="50">
        <v>2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5</v>
      </c>
      <c r="P36" s="15">
        <f t="shared" si="1"/>
        <v>6</v>
      </c>
      <c r="R36" s="38" t="s">
        <v>92</v>
      </c>
      <c r="S36" s="39">
        <f t="shared" ref="S36:AF36" si="28">MAX(S19:S21)</f>
        <v>12</v>
      </c>
      <c r="T36" s="39">
        <f t="shared" si="28"/>
        <v>2</v>
      </c>
      <c r="U36" s="39">
        <f t="shared" si="28"/>
        <v>4</v>
      </c>
      <c r="V36" s="39">
        <f t="shared" si="28"/>
        <v>1</v>
      </c>
      <c r="W36" s="39">
        <f t="shared" si="28"/>
        <v>1</v>
      </c>
      <c r="X36" s="39">
        <f t="shared" si="28"/>
        <v>1</v>
      </c>
      <c r="Y36" s="39">
        <f t="shared" si="28"/>
        <v>1</v>
      </c>
      <c r="Z36" s="39">
        <f t="shared" si="28"/>
        <v>2</v>
      </c>
      <c r="AA36" s="39">
        <f t="shared" si="28"/>
        <v>0</v>
      </c>
      <c r="AB36" s="39">
        <f t="shared" si="28"/>
        <v>1</v>
      </c>
      <c r="AC36" s="39">
        <f t="shared" si="28"/>
        <v>24</v>
      </c>
      <c r="AD36" s="39">
        <f t="shared" si="28"/>
        <v>0</v>
      </c>
      <c r="AE36" s="40">
        <f t="shared" si="28"/>
        <v>22</v>
      </c>
      <c r="AF36" s="40">
        <f t="shared" si="28"/>
        <v>43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1</v>
      </c>
      <c r="P37" s="15">
        <f t="shared" si="1"/>
        <v>4</v>
      </c>
      <c r="R37" s="37" t="s">
        <v>85</v>
      </c>
      <c r="S37" s="35">
        <f t="shared" ref="S37:AF37" si="29">SUM(S10:S12)</f>
        <v>18</v>
      </c>
      <c r="T37" s="16">
        <f t="shared" si="29"/>
        <v>2</v>
      </c>
      <c r="U37" s="16">
        <f t="shared" si="29"/>
        <v>9</v>
      </c>
      <c r="V37" s="16">
        <f t="shared" si="29"/>
        <v>4</v>
      </c>
      <c r="W37" s="16">
        <f t="shared" si="29"/>
        <v>1</v>
      </c>
      <c r="X37" s="16">
        <f t="shared" si="29"/>
        <v>1</v>
      </c>
      <c r="Y37" s="16">
        <f t="shared" si="29"/>
        <v>5</v>
      </c>
      <c r="Z37" s="16">
        <f t="shared" si="29"/>
        <v>1</v>
      </c>
      <c r="AA37" s="16">
        <f t="shared" si="29"/>
        <v>0</v>
      </c>
      <c r="AB37" s="16">
        <f t="shared" si="29"/>
        <v>1</v>
      </c>
      <c r="AC37" s="16">
        <f t="shared" si="29"/>
        <v>52</v>
      </c>
      <c r="AD37" s="16">
        <f t="shared" si="29"/>
        <v>0</v>
      </c>
      <c r="AE37" s="32">
        <f t="shared" si="29"/>
        <v>42</v>
      </c>
      <c r="AF37" s="32">
        <f t="shared" si="29"/>
        <v>94</v>
      </c>
    </row>
    <row r="38" spans="2:32" ht="23.1" customHeight="1" x14ac:dyDescent="0.25">
      <c r="B38" s="46" t="s">
        <v>65</v>
      </c>
      <c r="C38" s="50">
        <v>3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4</v>
      </c>
      <c r="P38" s="15">
        <f t="shared" si="1"/>
        <v>7</v>
      </c>
      <c r="R38" s="28" t="s">
        <v>86</v>
      </c>
      <c r="S38" s="16">
        <f t="shared" ref="S38:AF38" si="30">SUM(S13:S18)</f>
        <v>31</v>
      </c>
      <c r="T38" s="16">
        <f t="shared" si="30"/>
        <v>9</v>
      </c>
      <c r="U38" s="16">
        <f t="shared" si="30"/>
        <v>18</v>
      </c>
      <c r="V38" s="16">
        <f t="shared" si="30"/>
        <v>9</v>
      </c>
      <c r="W38" s="16">
        <f t="shared" si="30"/>
        <v>0</v>
      </c>
      <c r="X38" s="16">
        <f t="shared" si="30"/>
        <v>0</v>
      </c>
      <c r="Y38" s="16">
        <f t="shared" si="30"/>
        <v>10</v>
      </c>
      <c r="Z38" s="16">
        <f t="shared" si="30"/>
        <v>1</v>
      </c>
      <c r="AA38" s="16">
        <f t="shared" si="30"/>
        <v>0</v>
      </c>
      <c r="AB38" s="16">
        <f t="shared" si="30"/>
        <v>1</v>
      </c>
      <c r="AC38" s="16">
        <f t="shared" si="30"/>
        <v>96</v>
      </c>
      <c r="AD38" s="16">
        <f t="shared" si="30"/>
        <v>1</v>
      </c>
      <c r="AE38" s="32">
        <f t="shared" si="30"/>
        <v>80</v>
      </c>
      <c r="AF38" s="32">
        <f t="shared" si="30"/>
        <v>176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3</v>
      </c>
      <c r="P39" s="15">
        <f t="shared" si="1"/>
        <v>7</v>
      </c>
      <c r="R39" s="29" t="s">
        <v>87</v>
      </c>
      <c r="S39" s="16">
        <f t="shared" ref="S39:AF39" si="31">SUM(S19:S21)</f>
        <v>23</v>
      </c>
      <c r="T39" s="16">
        <f t="shared" si="31"/>
        <v>4</v>
      </c>
      <c r="U39" s="16">
        <f t="shared" si="31"/>
        <v>10</v>
      </c>
      <c r="V39" s="16">
        <f t="shared" si="31"/>
        <v>1</v>
      </c>
      <c r="W39" s="16">
        <f t="shared" si="31"/>
        <v>1</v>
      </c>
      <c r="X39" s="16">
        <f t="shared" si="31"/>
        <v>1</v>
      </c>
      <c r="Y39" s="16">
        <f t="shared" si="31"/>
        <v>2</v>
      </c>
      <c r="Z39" s="16">
        <f t="shared" si="31"/>
        <v>3</v>
      </c>
      <c r="AA39" s="16">
        <f t="shared" si="31"/>
        <v>0</v>
      </c>
      <c r="AB39" s="16">
        <f t="shared" si="31"/>
        <v>1</v>
      </c>
      <c r="AC39" s="16">
        <f t="shared" si="31"/>
        <v>60</v>
      </c>
      <c r="AD39" s="16">
        <f t="shared" si="31"/>
        <v>0</v>
      </c>
      <c r="AE39" s="32">
        <f t="shared" si="31"/>
        <v>46</v>
      </c>
      <c r="AF39" s="32">
        <f t="shared" si="31"/>
        <v>106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1</v>
      </c>
      <c r="P40" s="15">
        <f t="shared" si="1"/>
        <v>4</v>
      </c>
      <c r="R40" s="5" t="s">
        <v>17</v>
      </c>
      <c r="S40" s="16">
        <f t="shared" ref="S40:AF40" si="32">SUM(S10:S21)</f>
        <v>72</v>
      </c>
      <c r="T40" s="16">
        <f t="shared" si="32"/>
        <v>15</v>
      </c>
      <c r="U40" s="16">
        <f t="shared" si="32"/>
        <v>37</v>
      </c>
      <c r="V40" s="16">
        <f t="shared" si="32"/>
        <v>14</v>
      </c>
      <c r="W40" s="16">
        <f t="shared" si="32"/>
        <v>2</v>
      </c>
      <c r="X40" s="16">
        <f t="shared" si="32"/>
        <v>2</v>
      </c>
      <c r="Y40" s="16">
        <f t="shared" si="32"/>
        <v>17</v>
      </c>
      <c r="Z40" s="16">
        <f t="shared" si="32"/>
        <v>5</v>
      </c>
      <c r="AA40" s="16">
        <f t="shared" si="32"/>
        <v>0</v>
      </c>
      <c r="AB40" s="16">
        <f t="shared" si="32"/>
        <v>3</v>
      </c>
      <c r="AC40" s="16">
        <f t="shared" si="32"/>
        <v>208</v>
      </c>
      <c r="AD40" s="16">
        <f t="shared" si="32"/>
        <v>1</v>
      </c>
      <c r="AE40" s="32">
        <f t="shared" si="32"/>
        <v>168</v>
      </c>
      <c r="AF40" s="32">
        <f t="shared" si="32"/>
        <v>376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2</v>
      </c>
      <c r="P41" s="15">
        <f t="shared" si="1"/>
        <v>7</v>
      </c>
      <c r="R41" s="5" t="s">
        <v>159</v>
      </c>
      <c r="S41" s="16">
        <f>SUM(S10:S33)</f>
        <v>86</v>
      </c>
      <c r="T41" s="16">
        <f t="shared" ref="T41:AF41" si="33">SUM(T10:T33)</f>
        <v>19</v>
      </c>
      <c r="U41" s="16">
        <f t="shared" si="33"/>
        <v>52</v>
      </c>
      <c r="V41" s="16">
        <f t="shared" si="33"/>
        <v>22</v>
      </c>
      <c r="W41" s="16">
        <f t="shared" si="33"/>
        <v>3</v>
      </c>
      <c r="X41" s="16">
        <f t="shared" si="33"/>
        <v>7</v>
      </c>
      <c r="Y41" s="16">
        <f t="shared" si="33"/>
        <v>19</v>
      </c>
      <c r="Z41" s="16">
        <f t="shared" si="33"/>
        <v>5</v>
      </c>
      <c r="AA41" s="16">
        <f t="shared" si="33"/>
        <v>1</v>
      </c>
      <c r="AB41" s="16">
        <f t="shared" si="33"/>
        <v>3</v>
      </c>
      <c r="AC41" s="16">
        <f t="shared" si="33"/>
        <v>269</v>
      </c>
      <c r="AD41" s="16">
        <f t="shared" si="33"/>
        <v>2</v>
      </c>
      <c r="AE41" s="32">
        <f t="shared" si="33"/>
        <v>219</v>
      </c>
      <c r="AF41" s="32">
        <f t="shared" si="33"/>
        <v>488</v>
      </c>
    </row>
    <row r="42" spans="2:32" ht="23.1" customHeight="1" x14ac:dyDescent="0.25">
      <c r="B42" s="46" t="s">
        <v>69</v>
      </c>
      <c r="C42" s="50">
        <v>3</v>
      </c>
      <c r="D42" s="50">
        <v>1</v>
      </c>
      <c r="E42" s="50">
        <v>1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7</v>
      </c>
      <c r="N42" s="50">
        <v>0</v>
      </c>
      <c r="O42" s="15">
        <f t="shared" si="0"/>
        <v>7</v>
      </c>
      <c r="P42" s="15">
        <f t="shared" si="1"/>
        <v>14</v>
      </c>
      <c r="R42" s="5" t="s">
        <v>160</v>
      </c>
      <c r="S42" s="48">
        <f>S41/S40</f>
        <v>1.1944444444444444</v>
      </c>
      <c r="T42" s="48">
        <f t="shared" ref="T42:AF42" si="34">T41/T40</f>
        <v>1.2666666666666666</v>
      </c>
      <c r="U42" s="48">
        <f t="shared" si="34"/>
        <v>1.4054054054054055</v>
      </c>
      <c r="V42" s="48">
        <f t="shared" si="34"/>
        <v>1.5714285714285714</v>
      </c>
      <c r="W42" s="48">
        <f t="shared" si="34"/>
        <v>1.5</v>
      </c>
      <c r="X42" s="48">
        <f t="shared" si="34"/>
        <v>3.5</v>
      </c>
      <c r="Y42" s="48">
        <f t="shared" si="34"/>
        <v>1.1176470588235294</v>
      </c>
      <c r="Z42" s="48">
        <f t="shared" si="34"/>
        <v>1</v>
      </c>
      <c r="AA42" s="48" t="e">
        <f t="shared" si="34"/>
        <v>#DIV/0!</v>
      </c>
      <c r="AB42" s="48">
        <f t="shared" si="34"/>
        <v>1</v>
      </c>
      <c r="AC42" s="48">
        <f t="shared" si="34"/>
        <v>1.2932692307692308</v>
      </c>
      <c r="AD42" s="48">
        <f t="shared" si="34"/>
        <v>2</v>
      </c>
      <c r="AE42" s="48">
        <f t="shared" si="34"/>
        <v>1.3035714285714286</v>
      </c>
      <c r="AF42" s="48">
        <f t="shared" si="34"/>
        <v>1.2978723404255319</v>
      </c>
    </row>
    <row r="43" spans="2:32" ht="23.1" customHeight="1" x14ac:dyDescent="0.25">
      <c r="B43" s="45" t="s">
        <v>70</v>
      </c>
      <c r="C43" s="50">
        <v>0</v>
      </c>
      <c r="D43" s="50">
        <v>1</v>
      </c>
      <c r="E43" s="50">
        <v>2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6</v>
      </c>
      <c r="N43" s="50">
        <v>0</v>
      </c>
      <c r="O43" s="15">
        <f t="shared" si="0"/>
        <v>5</v>
      </c>
      <c r="P43" s="15">
        <f t="shared" si="1"/>
        <v>11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1</v>
      </c>
      <c r="P44" s="15">
        <f t="shared" si="1"/>
        <v>2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1</v>
      </c>
      <c r="P45" s="15">
        <f t="shared" si="1"/>
        <v>2</v>
      </c>
    </row>
    <row r="46" spans="2:32" ht="23.1" customHeight="1" x14ac:dyDescent="0.25">
      <c r="B46" s="46" t="s">
        <v>73</v>
      </c>
      <c r="C46" s="50">
        <v>4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6</v>
      </c>
      <c r="P46" s="15">
        <f t="shared" si="1"/>
        <v>7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3</v>
      </c>
      <c r="P47" s="15">
        <f t="shared" si="1"/>
        <v>6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1</v>
      </c>
      <c r="P48" s="15">
        <f t="shared" si="1"/>
        <v>5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1</v>
      </c>
      <c r="M49" s="50">
        <v>7</v>
      </c>
      <c r="N49" s="50">
        <v>0</v>
      </c>
      <c r="O49" s="15">
        <f t="shared" si="0"/>
        <v>3</v>
      </c>
      <c r="P49" s="15">
        <f t="shared" si="1"/>
        <v>10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1</v>
      </c>
      <c r="E50" s="50">
        <v>2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6</v>
      </c>
      <c r="P50" s="15">
        <f t="shared" si="1"/>
        <v>12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1</v>
      </c>
      <c r="E51" s="50">
        <v>1</v>
      </c>
      <c r="F51" s="50">
        <v>0</v>
      </c>
      <c r="G51" s="50">
        <v>1</v>
      </c>
      <c r="H51" s="50">
        <v>1</v>
      </c>
      <c r="I51" s="50">
        <v>0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6</v>
      </c>
      <c r="P51" s="15">
        <f t="shared" si="1"/>
        <v>11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5</v>
      </c>
      <c r="P52" s="15">
        <f t="shared" si="1"/>
        <v>10</v>
      </c>
      <c r="R52" s="8"/>
      <c r="T52"/>
    </row>
    <row r="53" spans="2:20" ht="23.1" customHeight="1" x14ac:dyDescent="0.25">
      <c r="B53" s="45" t="s">
        <v>80</v>
      </c>
      <c r="C53" s="50">
        <v>5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5</v>
      </c>
      <c r="P53" s="15">
        <f t="shared" si="1"/>
        <v>10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1</v>
      </c>
      <c r="P54" s="15">
        <f t="shared" si="1"/>
        <v>9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1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7</v>
      </c>
      <c r="N55" s="50">
        <v>0</v>
      </c>
      <c r="O55" s="15">
        <f t="shared" si="0"/>
        <v>5</v>
      </c>
      <c r="P55" s="15">
        <f t="shared" si="1"/>
        <v>12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2</v>
      </c>
      <c r="P56" s="15">
        <f t="shared" si="1"/>
        <v>7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3</v>
      </c>
      <c r="P57" s="15">
        <f t="shared" si="1"/>
        <v>7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3</v>
      </c>
      <c r="E58" s="50">
        <v>4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2</v>
      </c>
      <c r="N58" s="50">
        <v>0</v>
      </c>
      <c r="O58" s="15">
        <f t="shared" ref="O58:O105" si="35">SUM(C58:L58,N58)</f>
        <v>8</v>
      </c>
      <c r="P58" s="15">
        <f t="shared" ref="P58:P105" si="36">SUM(C58:N58)</f>
        <v>10</v>
      </c>
      <c r="R58" s="8"/>
      <c r="T58"/>
    </row>
    <row r="59" spans="2:20" ht="23.1" customHeight="1" x14ac:dyDescent="0.25">
      <c r="B59" s="45" t="s">
        <v>100</v>
      </c>
      <c r="C59" s="50">
        <v>3</v>
      </c>
      <c r="D59" s="50">
        <v>1</v>
      </c>
      <c r="E59" s="50">
        <v>1</v>
      </c>
      <c r="F59" s="50">
        <v>5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7</v>
      </c>
      <c r="N59" s="50">
        <v>1</v>
      </c>
      <c r="O59" s="15">
        <f t="shared" si="35"/>
        <v>11</v>
      </c>
      <c r="P59" s="15">
        <f t="shared" si="36"/>
        <v>18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1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13</v>
      </c>
      <c r="N60" s="50">
        <v>0</v>
      </c>
      <c r="O60" s="15">
        <f t="shared" si="35"/>
        <v>2</v>
      </c>
      <c r="P60" s="15">
        <f t="shared" si="36"/>
        <v>15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1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6</v>
      </c>
      <c r="N61" s="50">
        <v>0</v>
      </c>
      <c r="O61" s="15">
        <f t="shared" si="35"/>
        <v>2</v>
      </c>
      <c r="P61" s="15">
        <f t="shared" si="36"/>
        <v>8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1</v>
      </c>
      <c r="F62" s="50">
        <v>1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6</v>
      </c>
      <c r="N62" s="50">
        <v>0</v>
      </c>
      <c r="O62" s="15">
        <f t="shared" si="35"/>
        <v>2</v>
      </c>
      <c r="P62" s="15">
        <f t="shared" si="36"/>
        <v>8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1</v>
      </c>
      <c r="F63" s="50">
        <v>0</v>
      </c>
      <c r="G63" s="50">
        <v>1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3</v>
      </c>
      <c r="N63" s="50">
        <v>0</v>
      </c>
      <c r="O63" s="15">
        <f t="shared" si="35"/>
        <v>3</v>
      </c>
      <c r="P63" s="15">
        <f t="shared" si="36"/>
        <v>6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4</v>
      </c>
      <c r="N64" s="50">
        <v>0</v>
      </c>
      <c r="O64" s="15">
        <f t="shared" si="35"/>
        <v>1</v>
      </c>
      <c r="P64" s="15">
        <f t="shared" si="36"/>
        <v>5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2</v>
      </c>
      <c r="N65" s="50">
        <v>0</v>
      </c>
      <c r="O65" s="15">
        <f t="shared" si="35"/>
        <v>0</v>
      </c>
      <c r="P65" s="15">
        <f t="shared" si="36"/>
        <v>2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1</v>
      </c>
      <c r="N66" s="50">
        <v>0</v>
      </c>
      <c r="O66" s="15">
        <f t="shared" si="35"/>
        <v>0</v>
      </c>
      <c r="P66" s="15">
        <f t="shared" si="36"/>
        <v>1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1</v>
      </c>
      <c r="I67" s="50">
        <v>0</v>
      </c>
      <c r="J67" s="50">
        <v>0</v>
      </c>
      <c r="K67" s="50">
        <v>0</v>
      </c>
      <c r="L67" s="50">
        <v>0</v>
      </c>
      <c r="M67" s="50">
        <v>3</v>
      </c>
      <c r="N67" s="50">
        <v>0</v>
      </c>
      <c r="O67" s="15">
        <f t="shared" si="35"/>
        <v>1</v>
      </c>
      <c r="P67" s="15">
        <f t="shared" si="36"/>
        <v>4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35"/>
        <v>0</v>
      </c>
      <c r="P68" s="15">
        <f t="shared" si="36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15">
        <f t="shared" si="35"/>
        <v>0</v>
      </c>
      <c r="P69" s="15">
        <f t="shared" si="36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35"/>
        <v>0</v>
      </c>
      <c r="P70" s="15">
        <f t="shared" si="36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35"/>
        <v>1</v>
      </c>
      <c r="P71" s="15">
        <f t="shared" si="36"/>
        <v>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1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35"/>
        <v>1</v>
      </c>
      <c r="P72" s="15">
        <f t="shared" si="36"/>
        <v>1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35"/>
        <v>0</v>
      </c>
      <c r="P73" s="15">
        <f t="shared" si="36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si="35"/>
        <v>0</v>
      </c>
      <c r="P74" s="15">
        <f t="shared" si="36"/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0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</v>
      </c>
      <c r="N78" s="50">
        <v>0</v>
      </c>
      <c r="O78" s="15">
        <f t="shared" si="35"/>
        <v>0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1</v>
      </c>
      <c r="L79" s="50">
        <v>0</v>
      </c>
      <c r="M79" s="50">
        <v>0</v>
      </c>
      <c r="N79" s="50">
        <v>0</v>
      </c>
      <c r="O79" s="15">
        <f t="shared" si="35"/>
        <v>1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2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3</v>
      </c>
      <c r="N98" s="50">
        <v>0</v>
      </c>
      <c r="O98" s="15">
        <f t="shared" si="35"/>
        <v>0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2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2</v>
      </c>
      <c r="N100" s="50">
        <v>0</v>
      </c>
      <c r="O100" s="15">
        <f t="shared" si="35"/>
        <v>0</v>
      </c>
      <c r="P100" s="15">
        <f t="shared" si="36"/>
        <v>2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1</v>
      </c>
      <c r="F101" s="50">
        <v>0</v>
      </c>
      <c r="G101" s="50">
        <v>0</v>
      </c>
      <c r="H101" s="50">
        <v>1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3</v>
      </c>
      <c r="P101" s="15">
        <f t="shared" si="36"/>
        <v>3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0</v>
      </c>
      <c r="F102" s="50">
        <v>0</v>
      </c>
      <c r="G102" s="50">
        <v>0</v>
      </c>
      <c r="H102" s="50">
        <v>1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3</v>
      </c>
      <c r="P102" s="15">
        <f t="shared" si="36"/>
        <v>3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1</v>
      </c>
      <c r="F103" s="50">
        <v>0</v>
      </c>
      <c r="G103" s="50">
        <v>0</v>
      </c>
      <c r="H103" s="50">
        <v>1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3</v>
      </c>
      <c r="P103" s="15">
        <f t="shared" si="36"/>
        <v>3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1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1</v>
      </c>
      <c r="F105" s="50">
        <v>0</v>
      </c>
      <c r="G105" s="50">
        <v>0</v>
      </c>
      <c r="H105" s="50">
        <v>1</v>
      </c>
      <c r="I105" s="50">
        <v>0</v>
      </c>
      <c r="J105" s="50">
        <v>0</v>
      </c>
      <c r="K105" s="50">
        <v>0</v>
      </c>
      <c r="L105" s="50">
        <v>0</v>
      </c>
      <c r="M105" s="50">
        <v>4</v>
      </c>
      <c r="N105" s="50">
        <v>0</v>
      </c>
      <c r="O105" s="15">
        <f t="shared" si="35"/>
        <v>3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86</v>
      </c>
      <c r="D106" s="16">
        <f t="shared" ref="D106:P106" si="37">SUM(D10:D105)</f>
        <v>19</v>
      </c>
      <c r="E106" s="16">
        <f t="shared" si="37"/>
        <v>52</v>
      </c>
      <c r="F106" s="16">
        <f t="shared" si="37"/>
        <v>22</v>
      </c>
      <c r="G106" s="16">
        <f t="shared" si="37"/>
        <v>3</v>
      </c>
      <c r="H106" s="16">
        <f t="shared" si="37"/>
        <v>7</v>
      </c>
      <c r="I106" s="16">
        <f t="shared" si="37"/>
        <v>19</v>
      </c>
      <c r="J106" s="16">
        <f t="shared" si="37"/>
        <v>5</v>
      </c>
      <c r="K106" s="16">
        <f t="shared" si="37"/>
        <v>1</v>
      </c>
      <c r="L106" s="16">
        <f t="shared" si="37"/>
        <v>3</v>
      </c>
      <c r="M106" s="16">
        <f t="shared" si="37"/>
        <v>269</v>
      </c>
      <c r="N106" s="16">
        <f t="shared" si="37"/>
        <v>2</v>
      </c>
      <c r="O106" s="16">
        <f t="shared" si="37"/>
        <v>219</v>
      </c>
      <c r="P106" s="16">
        <f t="shared" si="37"/>
        <v>488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0.17622950819672131</v>
      </c>
      <c r="D107" s="43">
        <f t="shared" si="38"/>
        <v>3.8934426229508198E-2</v>
      </c>
      <c r="E107" s="43">
        <f t="shared" si="38"/>
        <v>0.10655737704918032</v>
      </c>
      <c r="F107" s="43">
        <f t="shared" si="38"/>
        <v>4.5081967213114756E-2</v>
      </c>
      <c r="G107" s="43">
        <f t="shared" si="38"/>
        <v>6.1475409836065573E-3</v>
      </c>
      <c r="H107" s="43">
        <f t="shared" si="38"/>
        <v>1.4344262295081968E-2</v>
      </c>
      <c r="I107" s="43">
        <f t="shared" si="38"/>
        <v>3.8934426229508198E-2</v>
      </c>
      <c r="J107" s="43">
        <f t="shared" si="38"/>
        <v>1.0245901639344262E-2</v>
      </c>
      <c r="K107" s="43">
        <f t="shared" si="38"/>
        <v>2.0491803278688526E-3</v>
      </c>
      <c r="L107" s="43">
        <f t="shared" si="38"/>
        <v>6.1475409836065573E-3</v>
      </c>
      <c r="M107" s="43">
        <f t="shared" si="38"/>
        <v>0.55122950819672134</v>
      </c>
      <c r="N107" s="43">
        <f t="shared" si="38"/>
        <v>4.0983606557377051E-3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0.39269406392694062</v>
      </c>
      <c r="D108" s="44">
        <f t="shared" ref="D108:N108" si="39">D106/$O$106</f>
        <v>8.6757990867579904E-2</v>
      </c>
      <c r="E108" s="44">
        <f t="shared" si="39"/>
        <v>0.23744292237442921</v>
      </c>
      <c r="F108" s="44">
        <f t="shared" si="39"/>
        <v>0.1004566210045662</v>
      </c>
      <c r="G108" s="44">
        <f t="shared" si="39"/>
        <v>1.3698630136986301E-2</v>
      </c>
      <c r="H108" s="44">
        <f t="shared" si="39"/>
        <v>3.1963470319634701E-2</v>
      </c>
      <c r="I108" s="44">
        <f t="shared" si="39"/>
        <v>8.6757990867579904E-2</v>
      </c>
      <c r="J108" s="44">
        <f t="shared" si="39"/>
        <v>2.2831050228310501E-2</v>
      </c>
      <c r="K108" s="44">
        <f t="shared" si="39"/>
        <v>4.5662100456621002E-3</v>
      </c>
      <c r="L108" s="44">
        <f t="shared" si="39"/>
        <v>1.3698630136986301E-2</v>
      </c>
      <c r="M108" s="44"/>
      <c r="N108" s="44">
        <f t="shared" si="39"/>
        <v>9.1324200913242004E-3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249977111117893"/>
  </sheetPr>
  <dimension ref="B1:AF174"/>
  <sheetViews>
    <sheetView view="pageBreakPreview" topLeftCell="A37" zoomScale="60" workbookViewId="0">
      <selection activeCell="D103" sqref="D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Koboko-Yumbe'!C3:G3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Koboko-Yumbe-24h'!D5</f>
        <v>02.08.19</v>
      </c>
      <c r="E5" s="3"/>
      <c r="F5" s="41" t="s">
        <v>1</v>
      </c>
      <c r="G5" s="65" t="str">
        <f>'02.08 Koboko-Yumbe-24h'!G5:H5</f>
        <v>Umbachi</v>
      </c>
      <c r="H5" s="66"/>
      <c r="I5" s="14"/>
      <c r="J5" s="2" t="s">
        <v>5</v>
      </c>
      <c r="K5" s="65" t="str">
        <f>'02.08 Koboko-Yumbe-24h'!K5:L5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Yumbe-Koboko'!D6:E6</f>
        <v>Yumbe</v>
      </c>
      <c r="E6" s="66"/>
      <c r="F6" s="2" t="s">
        <v>2</v>
      </c>
      <c r="G6" s="65" t="str">
        <f>'01.08 Yumbe-Koboko'!G6:H6</f>
        <v>Koboko</v>
      </c>
      <c r="H6" s="66"/>
      <c r="J6" s="2" t="s">
        <v>21</v>
      </c>
      <c r="K6" s="65" t="str">
        <f>'02.08 Koboko-Yumbe-24h'!K6:L6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15</v>
      </c>
      <c r="N10" s="50">
        <v>0</v>
      </c>
      <c r="O10" s="15">
        <f t="shared" ref="O10:O73" si="0">SUM(C10:L10,N10)</f>
        <v>1</v>
      </c>
      <c r="P10" s="15">
        <f t="shared" ref="P10:P73" si="1">SUM(C10:N10)</f>
        <v>16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41</v>
      </c>
      <c r="AD10" s="17">
        <f t="shared" si="2"/>
        <v>0</v>
      </c>
      <c r="AE10" s="31">
        <f t="shared" si="2"/>
        <v>2</v>
      </c>
      <c r="AF10" s="31">
        <f t="shared" si="2"/>
        <v>43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16</v>
      </c>
      <c r="N11" s="50">
        <v>0</v>
      </c>
      <c r="O11" s="15">
        <f t="shared" si="0"/>
        <v>0</v>
      </c>
      <c r="P11" s="15">
        <f t="shared" si="1"/>
        <v>16</v>
      </c>
      <c r="R11" s="1" t="s">
        <v>7</v>
      </c>
      <c r="S11" s="17">
        <f t="shared" ref="S11:AF11" si="3">SUM(C14:C17)</f>
        <v>6</v>
      </c>
      <c r="T11" s="17">
        <f t="shared" si="3"/>
        <v>0</v>
      </c>
      <c r="U11" s="17">
        <f t="shared" si="3"/>
        <v>5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16</v>
      </c>
      <c r="AD11" s="17">
        <f t="shared" si="3"/>
        <v>0</v>
      </c>
      <c r="AE11" s="31">
        <f t="shared" si="3"/>
        <v>12</v>
      </c>
      <c r="AF11" s="31">
        <f t="shared" si="3"/>
        <v>28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0</v>
      </c>
      <c r="P12" s="15">
        <f t="shared" si="1"/>
        <v>3</v>
      </c>
      <c r="R12" s="1" t="s">
        <v>8</v>
      </c>
      <c r="S12" s="17">
        <f t="shared" ref="S12:AF12" si="4">SUM(C18:C21)</f>
        <v>7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16</v>
      </c>
      <c r="AD12" s="17">
        <f t="shared" si="4"/>
        <v>0</v>
      </c>
      <c r="AE12" s="31">
        <f t="shared" si="4"/>
        <v>8</v>
      </c>
      <c r="AF12" s="31">
        <f t="shared" si="4"/>
        <v>24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1</v>
      </c>
      <c r="P13" s="15">
        <f t="shared" si="1"/>
        <v>8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5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14</v>
      </c>
      <c r="AD13" s="17">
        <f t="shared" si="5"/>
        <v>0</v>
      </c>
      <c r="AE13" s="31">
        <f t="shared" si="5"/>
        <v>10</v>
      </c>
      <c r="AF13" s="31">
        <f t="shared" si="5"/>
        <v>24</v>
      </c>
    </row>
    <row r="14" spans="2:32" ht="23.1" customHeight="1" x14ac:dyDescent="0.25">
      <c r="B14" s="45" t="s">
        <v>41</v>
      </c>
      <c r="C14" s="50">
        <v>2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3</v>
      </c>
      <c r="P14" s="15">
        <f t="shared" si="1"/>
        <v>11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8</v>
      </c>
      <c r="AD14" s="17">
        <f t="shared" si="6"/>
        <v>0</v>
      </c>
      <c r="AE14" s="31">
        <f t="shared" si="6"/>
        <v>0</v>
      </c>
      <c r="AF14" s="31">
        <f t="shared" si="6"/>
        <v>8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2</v>
      </c>
      <c r="P15" s="15">
        <f t="shared" si="1"/>
        <v>6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4</v>
      </c>
      <c r="V15" s="17">
        <f t="shared" si="7"/>
        <v>1</v>
      </c>
      <c r="W15" s="17">
        <f t="shared" si="7"/>
        <v>0</v>
      </c>
      <c r="X15" s="17">
        <f t="shared" si="7"/>
        <v>1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12</v>
      </c>
      <c r="AD15" s="17">
        <f t="shared" si="7"/>
        <v>0</v>
      </c>
      <c r="AE15" s="31">
        <f t="shared" si="7"/>
        <v>7</v>
      </c>
      <c r="AF15" s="31">
        <f t="shared" si="7"/>
        <v>19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2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5</v>
      </c>
      <c r="P16" s="15">
        <f t="shared" si="1"/>
        <v>6</v>
      </c>
      <c r="R16" s="1" t="s">
        <v>12</v>
      </c>
      <c r="S16" s="17">
        <f t="shared" ref="S16:AF16" si="8">SUM(C34:C37)</f>
        <v>7</v>
      </c>
      <c r="T16" s="17">
        <f t="shared" si="8"/>
        <v>1</v>
      </c>
      <c r="U16" s="17">
        <f t="shared" si="8"/>
        <v>8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18</v>
      </c>
      <c r="AD16" s="17">
        <f t="shared" si="8"/>
        <v>0</v>
      </c>
      <c r="AE16" s="31">
        <f t="shared" si="8"/>
        <v>19</v>
      </c>
      <c r="AF16" s="31">
        <f t="shared" si="8"/>
        <v>37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2</v>
      </c>
      <c r="P17" s="15">
        <f t="shared" si="1"/>
        <v>5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11</v>
      </c>
      <c r="AD17" s="17">
        <f t="shared" si="9"/>
        <v>1</v>
      </c>
      <c r="AE17" s="31">
        <f t="shared" si="9"/>
        <v>9</v>
      </c>
      <c r="AF17" s="31">
        <f t="shared" si="9"/>
        <v>20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1</v>
      </c>
      <c r="P18" s="15">
        <f t="shared" si="1"/>
        <v>8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5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13</v>
      </c>
      <c r="AD18" s="17">
        <f t="shared" si="10"/>
        <v>0</v>
      </c>
      <c r="AE18" s="31">
        <f t="shared" si="10"/>
        <v>15</v>
      </c>
      <c r="AF18" s="31">
        <f t="shared" si="10"/>
        <v>28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1</v>
      </c>
      <c r="P19" s="15">
        <f t="shared" si="1"/>
        <v>5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4</v>
      </c>
      <c r="V19" s="17">
        <f t="shared" si="11"/>
        <v>2</v>
      </c>
      <c r="W19" s="17">
        <f t="shared" si="11"/>
        <v>1</v>
      </c>
      <c r="X19" s="17">
        <f t="shared" si="11"/>
        <v>1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16</v>
      </c>
      <c r="AD19" s="17">
        <f t="shared" si="11"/>
        <v>0</v>
      </c>
      <c r="AE19" s="31">
        <f t="shared" si="11"/>
        <v>16</v>
      </c>
      <c r="AF19" s="31">
        <f t="shared" si="11"/>
        <v>32</v>
      </c>
    </row>
    <row r="20" spans="2:32" ht="23.1" customHeight="1" x14ac:dyDescent="0.25">
      <c r="B20" s="45" t="s">
        <v>47</v>
      </c>
      <c r="C20" s="50">
        <v>4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4</v>
      </c>
      <c r="P20" s="15">
        <f t="shared" si="1"/>
        <v>9</v>
      </c>
      <c r="R20" s="1" t="s">
        <v>16</v>
      </c>
      <c r="S20" s="17">
        <f t="shared" ref="S20:AF20" si="12">SUM(C50:C53)</f>
        <v>11</v>
      </c>
      <c r="T20" s="17">
        <f t="shared" si="12"/>
        <v>0</v>
      </c>
      <c r="U20" s="17">
        <f t="shared" si="12"/>
        <v>2</v>
      </c>
      <c r="V20" s="17">
        <f t="shared" si="12"/>
        <v>4</v>
      </c>
      <c r="W20" s="17">
        <f t="shared" si="12"/>
        <v>0</v>
      </c>
      <c r="X20" s="17">
        <f t="shared" si="12"/>
        <v>1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13</v>
      </c>
      <c r="AD20" s="17">
        <f t="shared" si="12"/>
        <v>1</v>
      </c>
      <c r="AE20" s="31">
        <f t="shared" si="12"/>
        <v>23</v>
      </c>
      <c r="AF20" s="31">
        <f t="shared" si="12"/>
        <v>36</v>
      </c>
    </row>
    <row r="21" spans="2:32" ht="23.1" customHeight="1" x14ac:dyDescent="0.25">
      <c r="B21" s="45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2</v>
      </c>
      <c r="P21" s="15">
        <f t="shared" si="1"/>
        <v>2</v>
      </c>
      <c r="R21" s="36" t="s">
        <v>20</v>
      </c>
      <c r="S21" s="34">
        <f t="shared" ref="S21:AF21" si="13">SUM(C54:C57)</f>
        <v>9</v>
      </c>
      <c r="T21" s="17">
        <f t="shared" si="13"/>
        <v>2</v>
      </c>
      <c r="U21" s="17">
        <f t="shared" si="13"/>
        <v>11</v>
      </c>
      <c r="V21" s="17">
        <f t="shared" si="13"/>
        <v>2</v>
      </c>
      <c r="W21" s="17">
        <f t="shared" si="13"/>
        <v>0</v>
      </c>
      <c r="X21" s="17">
        <f t="shared" si="13"/>
        <v>1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16</v>
      </c>
      <c r="AD21" s="17">
        <f t="shared" si="13"/>
        <v>0</v>
      </c>
      <c r="AE21" s="31">
        <f t="shared" si="13"/>
        <v>28</v>
      </c>
      <c r="AF21" s="31">
        <f t="shared" si="13"/>
        <v>44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2</v>
      </c>
      <c r="P22" s="15">
        <f t="shared" si="1"/>
        <v>4</v>
      </c>
      <c r="R22" s="36" t="s">
        <v>146</v>
      </c>
      <c r="S22" s="34">
        <f>SUM(C58:C61)</f>
        <v>7</v>
      </c>
      <c r="T22" s="34">
        <f t="shared" ref="T22:AF22" si="14">SUM(D58:D61)</f>
        <v>2</v>
      </c>
      <c r="U22" s="34">
        <f t="shared" si="14"/>
        <v>12</v>
      </c>
      <c r="V22" s="34">
        <f t="shared" si="14"/>
        <v>6</v>
      </c>
      <c r="W22" s="34">
        <f t="shared" si="14"/>
        <v>0</v>
      </c>
      <c r="X22" s="34">
        <f t="shared" si="14"/>
        <v>0</v>
      </c>
      <c r="Y22" s="34">
        <f t="shared" si="14"/>
        <v>3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28</v>
      </c>
      <c r="AD22" s="34">
        <f t="shared" si="14"/>
        <v>0</v>
      </c>
      <c r="AE22" s="31">
        <f t="shared" si="14"/>
        <v>30</v>
      </c>
      <c r="AF22" s="31">
        <f t="shared" si="14"/>
        <v>58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1</v>
      </c>
      <c r="I23" s="50">
        <v>0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2</v>
      </c>
      <c r="P23" s="15">
        <f t="shared" si="1"/>
        <v>5</v>
      </c>
      <c r="R23" s="36" t="s">
        <v>147</v>
      </c>
      <c r="S23" s="34">
        <f>SUM(C62:C65)</f>
        <v>10</v>
      </c>
      <c r="T23" s="34">
        <f t="shared" ref="T23:AF23" si="15">SUM(D62:D65)</f>
        <v>0</v>
      </c>
      <c r="U23" s="34">
        <f t="shared" si="15"/>
        <v>4</v>
      </c>
      <c r="V23" s="34">
        <f t="shared" si="15"/>
        <v>3</v>
      </c>
      <c r="W23" s="34">
        <f t="shared" si="15"/>
        <v>1</v>
      </c>
      <c r="X23" s="34">
        <f t="shared" si="15"/>
        <v>0</v>
      </c>
      <c r="Y23" s="34">
        <f t="shared" si="15"/>
        <v>0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9</v>
      </c>
      <c r="AD23" s="34">
        <f t="shared" si="15"/>
        <v>0</v>
      </c>
      <c r="AE23" s="31">
        <f t="shared" si="15"/>
        <v>20</v>
      </c>
      <c r="AF23" s="31">
        <f t="shared" si="15"/>
        <v>29</v>
      </c>
    </row>
    <row r="24" spans="2:32" ht="23.1" customHeight="1" x14ac:dyDescent="0.25">
      <c r="B24" s="45" t="s">
        <v>51</v>
      </c>
      <c r="C24" s="50">
        <v>2</v>
      </c>
      <c r="D24" s="50">
        <v>0</v>
      </c>
      <c r="E24" s="50">
        <v>3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5</v>
      </c>
      <c r="P24" s="15">
        <f t="shared" si="1"/>
        <v>7</v>
      </c>
      <c r="R24" s="36" t="s">
        <v>148</v>
      </c>
      <c r="S24" s="34">
        <f>SUM(C66:C69)</f>
        <v>1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2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7</v>
      </c>
      <c r="AD24" s="34">
        <f t="shared" si="16"/>
        <v>0</v>
      </c>
      <c r="AE24" s="31">
        <f t="shared" si="16"/>
        <v>4</v>
      </c>
      <c r="AF24" s="31">
        <f t="shared" si="16"/>
        <v>11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7</v>
      </c>
      <c r="N25" s="50">
        <v>0</v>
      </c>
      <c r="O25" s="15">
        <f t="shared" si="0"/>
        <v>1</v>
      </c>
      <c r="P25" s="15">
        <f t="shared" si="1"/>
        <v>8</v>
      </c>
      <c r="R25" s="36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3</v>
      </c>
      <c r="AD25" s="34">
        <f t="shared" si="17"/>
        <v>0</v>
      </c>
      <c r="AE25" s="31">
        <f t="shared" si="17"/>
        <v>2</v>
      </c>
      <c r="AF25" s="31">
        <f t="shared" si="17"/>
        <v>5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0</v>
      </c>
      <c r="P26" s="15">
        <f t="shared" si="1"/>
        <v>2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1</v>
      </c>
      <c r="AC26" s="34">
        <f t="shared" si="18"/>
        <v>0</v>
      </c>
      <c r="AD26" s="34">
        <f t="shared" si="18"/>
        <v>0</v>
      </c>
      <c r="AE26" s="31">
        <f t="shared" si="18"/>
        <v>2</v>
      </c>
      <c r="AF26" s="31">
        <f t="shared" si="18"/>
        <v>2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</v>
      </c>
      <c r="N27" s="50">
        <v>0</v>
      </c>
      <c r="O27" s="15">
        <f t="shared" si="0"/>
        <v>0</v>
      </c>
      <c r="P27" s="15">
        <f t="shared" si="1"/>
        <v>2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1</v>
      </c>
      <c r="AC27" s="34">
        <f t="shared" si="19"/>
        <v>1</v>
      </c>
      <c r="AD27" s="34">
        <f t="shared" si="19"/>
        <v>0</v>
      </c>
      <c r="AE27" s="31">
        <f t="shared" si="19"/>
        <v>3</v>
      </c>
      <c r="AF27" s="31">
        <f t="shared" si="19"/>
        <v>4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0</v>
      </c>
      <c r="P28" s="15">
        <f t="shared" si="1"/>
        <v>4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1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5</v>
      </c>
      <c r="AF28" s="31">
        <f t="shared" si="20"/>
        <v>6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0</v>
      </c>
      <c r="P29" s="15">
        <f t="shared" si="1"/>
        <v>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3</v>
      </c>
      <c r="F30" s="50">
        <v>0</v>
      </c>
      <c r="G30" s="50">
        <v>0</v>
      </c>
      <c r="H30" s="50">
        <v>1</v>
      </c>
      <c r="I30" s="50">
        <v>0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4</v>
      </c>
      <c r="P30" s="15">
        <f t="shared" si="1"/>
        <v>8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0</v>
      </c>
      <c r="P31" s="15">
        <f t="shared" si="1"/>
        <v>1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0</v>
      </c>
      <c r="P32" s="15">
        <f t="shared" si="1"/>
        <v>4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3</v>
      </c>
      <c r="P33" s="15">
        <f t="shared" si="1"/>
        <v>6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6</v>
      </c>
      <c r="AD33" s="34">
        <f t="shared" si="25"/>
        <v>0</v>
      </c>
      <c r="AE33" s="31">
        <f t="shared" si="25"/>
        <v>0</v>
      </c>
      <c r="AF33" s="31">
        <f t="shared" si="25"/>
        <v>6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3</v>
      </c>
      <c r="P34" s="15">
        <f t="shared" si="1"/>
        <v>9</v>
      </c>
      <c r="R34" s="38" t="s">
        <v>90</v>
      </c>
      <c r="S34" s="39">
        <f t="shared" ref="S34:AF34" si="26">MAX(S10:S12)</f>
        <v>7</v>
      </c>
      <c r="T34" s="39">
        <f t="shared" si="26"/>
        <v>0</v>
      </c>
      <c r="U34" s="39">
        <f t="shared" si="26"/>
        <v>5</v>
      </c>
      <c r="V34" s="39">
        <f t="shared" si="26"/>
        <v>1</v>
      </c>
      <c r="W34" s="39">
        <f t="shared" si="26"/>
        <v>0</v>
      </c>
      <c r="X34" s="39">
        <f t="shared" si="26"/>
        <v>1</v>
      </c>
      <c r="Y34" s="39">
        <f t="shared" si="26"/>
        <v>0</v>
      </c>
      <c r="Z34" s="39">
        <f t="shared" si="26"/>
        <v>1</v>
      </c>
      <c r="AA34" s="39">
        <f t="shared" si="26"/>
        <v>0</v>
      </c>
      <c r="AB34" s="39">
        <f t="shared" si="26"/>
        <v>0</v>
      </c>
      <c r="AC34" s="39">
        <f t="shared" si="26"/>
        <v>41</v>
      </c>
      <c r="AD34" s="39">
        <f t="shared" si="26"/>
        <v>0</v>
      </c>
      <c r="AE34" s="40">
        <f t="shared" si="26"/>
        <v>12</v>
      </c>
      <c r="AF34" s="40">
        <f t="shared" si="26"/>
        <v>43</v>
      </c>
    </row>
    <row r="35" spans="2:32" ht="23.1" customHeight="1" x14ac:dyDescent="0.25">
      <c r="B35" s="46" t="s">
        <v>62</v>
      </c>
      <c r="C35" s="50">
        <v>1</v>
      </c>
      <c r="D35" s="50">
        <v>1</v>
      </c>
      <c r="E35" s="50">
        <v>3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7</v>
      </c>
      <c r="P35" s="15">
        <f t="shared" si="1"/>
        <v>13</v>
      </c>
      <c r="R35" s="38" t="s">
        <v>91</v>
      </c>
      <c r="S35" s="39">
        <f t="shared" ref="S35:AF35" si="27">MAX(S13:S18)</f>
        <v>7</v>
      </c>
      <c r="T35" s="39">
        <f t="shared" si="27"/>
        <v>1</v>
      </c>
      <c r="U35" s="39">
        <f t="shared" si="27"/>
        <v>8</v>
      </c>
      <c r="V35" s="39">
        <f t="shared" si="27"/>
        <v>2</v>
      </c>
      <c r="W35" s="39">
        <f t="shared" si="27"/>
        <v>0</v>
      </c>
      <c r="X35" s="39">
        <f t="shared" si="27"/>
        <v>1</v>
      </c>
      <c r="Y35" s="39">
        <f t="shared" si="27"/>
        <v>2</v>
      </c>
      <c r="Z35" s="39">
        <f t="shared" si="27"/>
        <v>0</v>
      </c>
      <c r="AA35" s="39">
        <f t="shared" si="27"/>
        <v>0</v>
      </c>
      <c r="AB35" s="39">
        <f t="shared" si="27"/>
        <v>1</v>
      </c>
      <c r="AC35" s="39">
        <f t="shared" si="27"/>
        <v>18</v>
      </c>
      <c r="AD35" s="39">
        <f t="shared" si="27"/>
        <v>1</v>
      </c>
      <c r="AE35" s="40">
        <f t="shared" si="27"/>
        <v>19</v>
      </c>
      <c r="AF35" s="40">
        <f t="shared" si="27"/>
        <v>37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4</v>
      </c>
      <c r="P36" s="15">
        <f t="shared" si="1"/>
        <v>6</v>
      </c>
      <c r="R36" s="38" t="s">
        <v>92</v>
      </c>
      <c r="S36" s="39">
        <f t="shared" ref="S36:AF36" si="28">MAX(S19:S21)</f>
        <v>11</v>
      </c>
      <c r="T36" s="39">
        <f t="shared" si="28"/>
        <v>2</v>
      </c>
      <c r="U36" s="39">
        <f t="shared" si="28"/>
        <v>11</v>
      </c>
      <c r="V36" s="39">
        <f t="shared" si="28"/>
        <v>4</v>
      </c>
      <c r="W36" s="39">
        <f t="shared" si="28"/>
        <v>1</v>
      </c>
      <c r="X36" s="39">
        <f t="shared" si="28"/>
        <v>1</v>
      </c>
      <c r="Y36" s="39">
        <f t="shared" si="28"/>
        <v>3</v>
      </c>
      <c r="Z36" s="39">
        <f t="shared" si="28"/>
        <v>0</v>
      </c>
      <c r="AA36" s="39">
        <f t="shared" si="28"/>
        <v>0</v>
      </c>
      <c r="AB36" s="39">
        <f t="shared" si="28"/>
        <v>1</v>
      </c>
      <c r="AC36" s="39">
        <f t="shared" si="28"/>
        <v>16</v>
      </c>
      <c r="AD36" s="39">
        <f t="shared" si="28"/>
        <v>1</v>
      </c>
      <c r="AE36" s="40">
        <f t="shared" si="28"/>
        <v>28</v>
      </c>
      <c r="AF36" s="40">
        <f t="shared" si="28"/>
        <v>44</v>
      </c>
    </row>
    <row r="37" spans="2:32" ht="23.1" customHeight="1" x14ac:dyDescent="0.25">
      <c r="B37" s="45" t="s">
        <v>64</v>
      </c>
      <c r="C37" s="50">
        <v>3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5</v>
      </c>
      <c r="P37" s="15">
        <f t="shared" si="1"/>
        <v>9</v>
      </c>
      <c r="R37" s="37" t="s">
        <v>85</v>
      </c>
      <c r="S37" s="35">
        <f t="shared" ref="S37:AF37" si="29">SUM(S10:S12)</f>
        <v>13</v>
      </c>
      <c r="T37" s="16">
        <f t="shared" si="29"/>
        <v>0</v>
      </c>
      <c r="U37" s="16">
        <f t="shared" si="29"/>
        <v>5</v>
      </c>
      <c r="V37" s="16">
        <f t="shared" si="29"/>
        <v>2</v>
      </c>
      <c r="W37" s="16">
        <f t="shared" si="29"/>
        <v>0</v>
      </c>
      <c r="X37" s="16">
        <f t="shared" si="29"/>
        <v>1</v>
      </c>
      <c r="Y37" s="16">
        <f t="shared" si="29"/>
        <v>0</v>
      </c>
      <c r="Z37" s="16">
        <f t="shared" si="29"/>
        <v>1</v>
      </c>
      <c r="AA37" s="16">
        <f t="shared" si="29"/>
        <v>0</v>
      </c>
      <c r="AB37" s="16">
        <f t="shared" si="29"/>
        <v>0</v>
      </c>
      <c r="AC37" s="16">
        <f t="shared" si="29"/>
        <v>73</v>
      </c>
      <c r="AD37" s="16">
        <f t="shared" si="29"/>
        <v>0</v>
      </c>
      <c r="AE37" s="32">
        <f t="shared" si="29"/>
        <v>22</v>
      </c>
      <c r="AF37" s="32">
        <f t="shared" si="29"/>
        <v>95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</v>
      </c>
      <c r="N38" s="50">
        <v>1</v>
      </c>
      <c r="O38" s="15">
        <f t="shared" si="0"/>
        <v>6</v>
      </c>
      <c r="P38" s="15">
        <f t="shared" si="1"/>
        <v>8</v>
      </c>
      <c r="R38" s="28" t="s">
        <v>86</v>
      </c>
      <c r="S38" s="16">
        <f t="shared" ref="S38:AF38" si="30">SUM(S13:S18)</f>
        <v>23</v>
      </c>
      <c r="T38" s="16">
        <f t="shared" si="30"/>
        <v>1</v>
      </c>
      <c r="U38" s="16">
        <f t="shared" si="30"/>
        <v>25</v>
      </c>
      <c r="V38" s="16">
        <f t="shared" si="30"/>
        <v>4</v>
      </c>
      <c r="W38" s="16">
        <f t="shared" si="30"/>
        <v>0</v>
      </c>
      <c r="X38" s="16">
        <f t="shared" si="30"/>
        <v>2</v>
      </c>
      <c r="Y38" s="16">
        <f t="shared" si="30"/>
        <v>3</v>
      </c>
      <c r="Z38" s="16">
        <f t="shared" si="30"/>
        <v>0</v>
      </c>
      <c r="AA38" s="16">
        <f t="shared" si="30"/>
        <v>0</v>
      </c>
      <c r="AB38" s="16">
        <f t="shared" si="30"/>
        <v>1</v>
      </c>
      <c r="AC38" s="16">
        <f t="shared" si="30"/>
        <v>76</v>
      </c>
      <c r="AD38" s="16">
        <f t="shared" si="30"/>
        <v>1</v>
      </c>
      <c r="AE38" s="32">
        <f t="shared" si="30"/>
        <v>60</v>
      </c>
      <c r="AF38" s="32">
        <f t="shared" si="30"/>
        <v>136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1</v>
      </c>
      <c r="P39" s="15">
        <f t="shared" si="1"/>
        <v>4</v>
      </c>
      <c r="R39" s="29" t="s">
        <v>87</v>
      </c>
      <c r="S39" s="16">
        <f t="shared" ref="S39:AF39" si="31">SUM(S19:S21)</f>
        <v>28</v>
      </c>
      <c r="T39" s="16">
        <f t="shared" si="31"/>
        <v>2</v>
      </c>
      <c r="U39" s="16">
        <f t="shared" si="31"/>
        <v>17</v>
      </c>
      <c r="V39" s="16">
        <f t="shared" si="31"/>
        <v>8</v>
      </c>
      <c r="W39" s="16">
        <f t="shared" si="31"/>
        <v>1</v>
      </c>
      <c r="X39" s="16">
        <f t="shared" si="31"/>
        <v>3</v>
      </c>
      <c r="Y39" s="16">
        <f t="shared" si="31"/>
        <v>6</v>
      </c>
      <c r="Z39" s="16">
        <f t="shared" si="31"/>
        <v>0</v>
      </c>
      <c r="AA39" s="16">
        <f t="shared" si="31"/>
        <v>0</v>
      </c>
      <c r="AB39" s="16">
        <f t="shared" si="31"/>
        <v>1</v>
      </c>
      <c r="AC39" s="16">
        <f t="shared" si="31"/>
        <v>45</v>
      </c>
      <c r="AD39" s="16">
        <f t="shared" si="31"/>
        <v>1</v>
      </c>
      <c r="AE39" s="32">
        <f t="shared" si="31"/>
        <v>67</v>
      </c>
      <c r="AF39" s="32">
        <f t="shared" si="31"/>
        <v>112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1</v>
      </c>
      <c r="P40" s="15">
        <f t="shared" si="1"/>
        <v>1</v>
      </c>
      <c r="R40" s="5" t="s">
        <v>17</v>
      </c>
      <c r="S40" s="16">
        <f t="shared" ref="S40:AF40" si="32">SUM(S10:S21)</f>
        <v>64</v>
      </c>
      <c r="T40" s="16">
        <f t="shared" si="32"/>
        <v>3</v>
      </c>
      <c r="U40" s="16">
        <f t="shared" si="32"/>
        <v>47</v>
      </c>
      <c r="V40" s="16">
        <f t="shared" si="32"/>
        <v>14</v>
      </c>
      <c r="W40" s="16">
        <f t="shared" si="32"/>
        <v>1</v>
      </c>
      <c r="X40" s="16">
        <f t="shared" si="32"/>
        <v>6</v>
      </c>
      <c r="Y40" s="16">
        <f t="shared" si="32"/>
        <v>9</v>
      </c>
      <c r="Z40" s="16">
        <f t="shared" si="32"/>
        <v>1</v>
      </c>
      <c r="AA40" s="16">
        <f t="shared" si="32"/>
        <v>0</v>
      </c>
      <c r="AB40" s="16">
        <f t="shared" si="32"/>
        <v>2</v>
      </c>
      <c r="AC40" s="16">
        <f t="shared" si="32"/>
        <v>194</v>
      </c>
      <c r="AD40" s="16">
        <f t="shared" si="32"/>
        <v>2</v>
      </c>
      <c r="AE40" s="32">
        <f t="shared" si="32"/>
        <v>149</v>
      </c>
      <c r="AF40" s="32">
        <f t="shared" si="32"/>
        <v>343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1</v>
      </c>
      <c r="P41" s="15">
        <f t="shared" si="1"/>
        <v>7</v>
      </c>
      <c r="R41" s="5" t="s">
        <v>159</v>
      </c>
      <c r="S41" s="16">
        <f>SUM(S10:S33)</f>
        <v>84</v>
      </c>
      <c r="T41" s="16">
        <f t="shared" ref="T41:AF41" si="33">SUM(T10:T33)</f>
        <v>5</v>
      </c>
      <c r="U41" s="16">
        <f t="shared" si="33"/>
        <v>67</v>
      </c>
      <c r="V41" s="16">
        <f t="shared" si="33"/>
        <v>25</v>
      </c>
      <c r="W41" s="16">
        <f t="shared" si="33"/>
        <v>3</v>
      </c>
      <c r="X41" s="16">
        <f t="shared" si="33"/>
        <v>6</v>
      </c>
      <c r="Y41" s="16">
        <f t="shared" si="33"/>
        <v>17</v>
      </c>
      <c r="Z41" s="16">
        <f t="shared" si="33"/>
        <v>3</v>
      </c>
      <c r="AA41" s="16">
        <f t="shared" si="33"/>
        <v>0</v>
      </c>
      <c r="AB41" s="16">
        <f t="shared" si="33"/>
        <v>4</v>
      </c>
      <c r="AC41" s="16">
        <f t="shared" si="33"/>
        <v>249</v>
      </c>
      <c r="AD41" s="16">
        <f t="shared" si="33"/>
        <v>2</v>
      </c>
      <c r="AE41" s="32">
        <f t="shared" si="33"/>
        <v>216</v>
      </c>
      <c r="AF41" s="32">
        <f t="shared" si="33"/>
        <v>465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2</v>
      </c>
      <c r="P42" s="15">
        <f t="shared" si="1"/>
        <v>5</v>
      </c>
      <c r="R42" s="5" t="s">
        <v>160</v>
      </c>
      <c r="S42" s="48">
        <f>S41/S40</f>
        <v>1.3125</v>
      </c>
      <c r="T42" s="48">
        <f t="shared" ref="T42:AF42" si="34">T41/T40</f>
        <v>1.6666666666666667</v>
      </c>
      <c r="U42" s="48">
        <f t="shared" si="34"/>
        <v>1.425531914893617</v>
      </c>
      <c r="V42" s="48">
        <f t="shared" si="34"/>
        <v>1.7857142857142858</v>
      </c>
      <c r="W42" s="48">
        <f t="shared" si="34"/>
        <v>3</v>
      </c>
      <c r="X42" s="48">
        <f t="shared" si="34"/>
        <v>1</v>
      </c>
      <c r="Y42" s="48">
        <f t="shared" si="34"/>
        <v>1.8888888888888888</v>
      </c>
      <c r="Z42" s="48">
        <f t="shared" si="34"/>
        <v>3</v>
      </c>
      <c r="AA42" s="48" t="e">
        <f t="shared" si="34"/>
        <v>#DIV/0!</v>
      </c>
      <c r="AB42" s="48">
        <f t="shared" si="34"/>
        <v>2</v>
      </c>
      <c r="AC42" s="48">
        <f t="shared" si="34"/>
        <v>1.2835051546391754</v>
      </c>
      <c r="AD42" s="48">
        <f t="shared" si="34"/>
        <v>1</v>
      </c>
      <c r="AE42" s="48">
        <f t="shared" si="34"/>
        <v>1.4496644295302012</v>
      </c>
      <c r="AF42" s="48">
        <f t="shared" si="34"/>
        <v>1.3556851311953353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4</v>
      </c>
      <c r="P43" s="15">
        <f t="shared" si="1"/>
        <v>5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4</v>
      </c>
      <c r="N44" s="50">
        <v>0</v>
      </c>
      <c r="O44" s="15">
        <f t="shared" si="0"/>
        <v>3</v>
      </c>
      <c r="P44" s="15">
        <f t="shared" si="1"/>
        <v>7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3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6</v>
      </c>
      <c r="P45" s="15">
        <f t="shared" si="1"/>
        <v>11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3</v>
      </c>
      <c r="N46" s="50">
        <v>0</v>
      </c>
      <c r="O46" s="15">
        <f t="shared" si="0"/>
        <v>0</v>
      </c>
      <c r="P46" s="15">
        <f t="shared" si="1"/>
        <v>3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3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9</v>
      </c>
      <c r="N47" s="50">
        <v>0</v>
      </c>
      <c r="O47" s="15">
        <f t="shared" si="0"/>
        <v>6</v>
      </c>
      <c r="P47" s="15">
        <f t="shared" si="1"/>
        <v>15</v>
      </c>
      <c r="R47" s="8"/>
      <c r="T47"/>
    </row>
    <row r="48" spans="2:32" ht="23.1" customHeight="1" x14ac:dyDescent="0.25">
      <c r="B48" s="46" t="s">
        <v>75</v>
      </c>
      <c r="C48" s="50">
        <v>5</v>
      </c>
      <c r="D48" s="50">
        <v>0</v>
      </c>
      <c r="E48" s="50">
        <v>1</v>
      </c>
      <c r="F48" s="50">
        <v>1</v>
      </c>
      <c r="G48" s="50">
        <v>1</v>
      </c>
      <c r="H48" s="50">
        <v>1</v>
      </c>
      <c r="I48" s="50">
        <v>0</v>
      </c>
      <c r="J48" s="50">
        <v>0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9</v>
      </c>
      <c r="P48" s="15">
        <f t="shared" si="1"/>
        <v>10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1</v>
      </c>
      <c r="P49" s="15">
        <f t="shared" si="1"/>
        <v>4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5</v>
      </c>
      <c r="P50" s="15">
        <f t="shared" si="1"/>
        <v>8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4</v>
      </c>
      <c r="P51" s="15">
        <f t="shared" si="1"/>
        <v>6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0</v>
      </c>
      <c r="E52" s="50">
        <v>0</v>
      </c>
      <c r="F52" s="50">
        <v>2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5</v>
      </c>
      <c r="P52" s="15">
        <f t="shared" si="1"/>
        <v>9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0</v>
      </c>
      <c r="E53" s="50">
        <v>0</v>
      </c>
      <c r="F53" s="50">
        <v>2</v>
      </c>
      <c r="G53" s="50">
        <v>0</v>
      </c>
      <c r="H53" s="50">
        <v>1</v>
      </c>
      <c r="I53" s="50">
        <v>2</v>
      </c>
      <c r="J53" s="50">
        <v>0</v>
      </c>
      <c r="K53" s="50">
        <v>0</v>
      </c>
      <c r="L53" s="50">
        <v>1</v>
      </c>
      <c r="M53" s="50">
        <v>4</v>
      </c>
      <c r="N53" s="50">
        <v>1</v>
      </c>
      <c r="O53" s="15">
        <f t="shared" si="0"/>
        <v>9</v>
      </c>
      <c r="P53" s="15">
        <f t="shared" si="1"/>
        <v>13</v>
      </c>
      <c r="R53" s="8"/>
      <c r="T53"/>
    </row>
    <row r="54" spans="2:20" ht="23.1" customHeight="1" x14ac:dyDescent="0.25">
      <c r="B54" s="45" t="s">
        <v>81</v>
      </c>
      <c r="C54" s="50">
        <v>5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7</v>
      </c>
      <c r="P54" s="15">
        <f t="shared" si="1"/>
        <v>11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0</v>
      </c>
      <c r="E55" s="50">
        <v>3</v>
      </c>
      <c r="F55" s="50">
        <v>1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5</v>
      </c>
      <c r="N55" s="50">
        <v>0</v>
      </c>
      <c r="O55" s="15">
        <f t="shared" si="0"/>
        <v>7</v>
      </c>
      <c r="P55" s="15">
        <f t="shared" si="1"/>
        <v>12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3</v>
      </c>
      <c r="N56" s="50">
        <v>0</v>
      </c>
      <c r="O56" s="15">
        <f t="shared" si="0"/>
        <v>3</v>
      </c>
      <c r="P56" s="15">
        <f t="shared" si="1"/>
        <v>6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2</v>
      </c>
      <c r="E57" s="50">
        <v>6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11</v>
      </c>
      <c r="P57" s="15">
        <f t="shared" si="1"/>
        <v>15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2</v>
      </c>
      <c r="E58" s="50">
        <v>6</v>
      </c>
      <c r="F58" s="50">
        <v>1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4</v>
      </c>
      <c r="N58" s="50">
        <v>0</v>
      </c>
      <c r="O58" s="15">
        <f t="shared" si="0"/>
        <v>11</v>
      </c>
      <c r="P58" s="15">
        <f t="shared" si="1"/>
        <v>15</v>
      </c>
      <c r="R58" s="8"/>
      <c r="T58"/>
    </row>
    <row r="59" spans="2:20" ht="23.1" customHeight="1" x14ac:dyDescent="0.25">
      <c r="B59" s="45" t="s">
        <v>100</v>
      </c>
      <c r="C59" s="50">
        <v>4</v>
      </c>
      <c r="D59" s="50">
        <v>0</v>
      </c>
      <c r="E59" s="50">
        <v>3</v>
      </c>
      <c r="F59" s="50">
        <v>2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9</v>
      </c>
      <c r="N59" s="50">
        <v>0</v>
      </c>
      <c r="O59" s="15">
        <f t="shared" si="0"/>
        <v>9</v>
      </c>
      <c r="P59" s="15">
        <f t="shared" si="1"/>
        <v>18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1</v>
      </c>
      <c r="F60" s="50">
        <v>3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4</v>
      </c>
      <c r="N60" s="50">
        <v>0</v>
      </c>
      <c r="O60" s="15">
        <f t="shared" si="0"/>
        <v>6</v>
      </c>
      <c r="P60" s="15">
        <f t="shared" si="1"/>
        <v>10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2</v>
      </c>
      <c r="F61" s="50">
        <v>0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11</v>
      </c>
      <c r="N61" s="50">
        <v>0</v>
      </c>
      <c r="O61" s="15">
        <f t="shared" si="0"/>
        <v>4</v>
      </c>
      <c r="P61" s="15">
        <f t="shared" si="1"/>
        <v>15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2</v>
      </c>
      <c r="N62" s="50">
        <v>0</v>
      </c>
      <c r="O62" s="15">
        <f t="shared" si="0"/>
        <v>2</v>
      </c>
      <c r="P62" s="15">
        <f t="shared" si="1"/>
        <v>4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3</v>
      </c>
      <c r="F63" s="50">
        <v>2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</v>
      </c>
      <c r="N63" s="50">
        <v>0</v>
      </c>
      <c r="O63" s="15">
        <f t="shared" si="0"/>
        <v>7</v>
      </c>
      <c r="P63" s="15">
        <f t="shared" si="1"/>
        <v>8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0</v>
      </c>
      <c r="F64" s="50">
        <v>1</v>
      </c>
      <c r="G64" s="50">
        <v>1</v>
      </c>
      <c r="H64" s="50">
        <v>0</v>
      </c>
      <c r="I64" s="50">
        <v>0</v>
      </c>
      <c r="J64" s="50">
        <v>1</v>
      </c>
      <c r="K64" s="50">
        <v>0</v>
      </c>
      <c r="L64" s="50">
        <v>0</v>
      </c>
      <c r="M64" s="50">
        <v>2</v>
      </c>
      <c r="N64" s="50">
        <v>0</v>
      </c>
      <c r="O64" s="15">
        <f t="shared" si="0"/>
        <v>6</v>
      </c>
      <c r="P64" s="15">
        <f t="shared" si="1"/>
        <v>8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1</v>
      </c>
      <c r="K65" s="50">
        <v>0</v>
      </c>
      <c r="L65" s="50">
        <v>0</v>
      </c>
      <c r="M65" s="50">
        <v>4</v>
      </c>
      <c r="N65" s="50">
        <v>0</v>
      </c>
      <c r="O65" s="15">
        <f t="shared" si="0"/>
        <v>5</v>
      </c>
      <c r="P65" s="15">
        <f t="shared" si="1"/>
        <v>9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2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2</v>
      </c>
      <c r="N66" s="50">
        <v>0</v>
      </c>
      <c r="O66" s="15">
        <f t="shared" si="0"/>
        <v>2</v>
      </c>
      <c r="P66" s="15">
        <f t="shared" si="1"/>
        <v>4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1</v>
      </c>
      <c r="N67" s="50">
        <v>0</v>
      </c>
      <c r="O67" s="15">
        <f t="shared" si="0"/>
        <v>2</v>
      </c>
      <c r="P67" s="15">
        <f t="shared" si="1"/>
        <v>3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2</v>
      </c>
      <c r="N68" s="50">
        <v>0</v>
      </c>
      <c r="O68" s="15">
        <f t="shared" si="0"/>
        <v>0</v>
      </c>
      <c r="P68" s="15">
        <f t="shared" si="1"/>
        <v>2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</v>
      </c>
      <c r="N69" s="50">
        <v>0</v>
      </c>
      <c r="O69" s="15">
        <f t="shared" si="0"/>
        <v>0</v>
      </c>
      <c r="P69" s="15">
        <f t="shared" si="1"/>
        <v>2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</v>
      </c>
      <c r="N70" s="50">
        <v>0</v>
      </c>
      <c r="O70" s="15">
        <f t="shared" si="0"/>
        <v>0</v>
      </c>
      <c r="P70" s="15">
        <f t="shared" si="1"/>
        <v>2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1</v>
      </c>
      <c r="P71" s="15">
        <f t="shared" si="1"/>
        <v>1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1</v>
      </c>
      <c r="P72" s="15">
        <f t="shared" si="1"/>
        <v>2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1</v>
      </c>
      <c r="M77" s="50">
        <v>0</v>
      </c>
      <c r="N77" s="50"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1</v>
      </c>
      <c r="M80" s="50">
        <v>1</v>
      </c>
      <c r="N80" s="50">
        <v>0</v>
      </c>
      <c r="O80" s="15">
        <f t="shared" si="35"/>
        <v>3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1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1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0</v>
      </c>
      <c r="P102" s="15">
        <f t="shared" si="36"/>
        <v>1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3</v>
      </c>
      <c r="N104" s="50">
        <v>0</v>
      </c>
      <c r="O104" s="15">
        <f t="shared" si="35"/>
        <v>0</v>
      </c>
      <c r="P104" s="15">
        <f t="shared" si="36"/>
        <v>3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0</v>
      </c>
      <c r="P105" s="15">
        <f t="shared" si="36"/>
        <v>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84</v>
      </c>
      <c r="D106" s="16">
        <f t="shared" ref="D106:P106" si="37">SUM(D10:D105)</f>
        <v>5</v>
      </c>
      <c r="E106" s="16">
        <f t="shared" si="37"/>
        <v>67</v>
      </c>
      <c r="F106" s="16">
        <f t="shared" si="37"/>
        <v>25</v>
      </c>
      <c r="G106" s="16">
        <f t="shared" si="37"/>
        <v>3</v>
      </c>
      <c r="H106" s="16">
        <f t="shared" si="37"/>
        <v>6</v>
      </c>
      <c r="I106" s="16">
        <f t="shared" si="37"/>
        <v>17</v>
      </c>
      <c r="J106" s="16">
        <f t="shared" si="37"/>
        <v>3</v>
      </c>
      <c r="K106" s="16">
        <f t="shared" si="37"/>
        <v>0</v>
      </c>
      <c r="L106" s="16">
        <f t="shared" si="37"/>
        <v>4</v>
      </c>
      <c r="M106" s="16">
        <f t="shared" si="37"/>
        <v>249</v>
      </c>
      <c r="N106" s="16">
        <f t="shared" si="37"/>
        <v>2</v>
      </c>
      <c r="O106" s="16">
        <f t="shared" si="37"/>
        <v>216</v>
      </c>
      <c r="P106" s="16">
        <f t="shared" si="37"/>
        <v>465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0.18064516129032257</v>
      </c>
      <c r="D107" s="43">
        <f t="shared" si="38"/>
        <v>1.0752688172043012E-2</v>
      </c>
      <c r="E107" s="43">
        <f t="shared" si="38"/>
        <v>0.14408602150537633</v>
      </c>
      <c r="F107" s="43">
        <f t="shared" si="38"/>
        <v>5.3763440860215055E-2</v>
      </c>
      <c r="G107" s="43">
        <f t="shared" si="38"/>
        <v>6.4516129032258064E-3</v>
      </c>
      <c r="H107" s="43">
        <f t="shared" si="38"/>
        <v>1.2903225806451613E-2</v>
      </c>
      <c r="I107" s="43">
        <f t="shared" si="38"/>
        <v>3.6559139784946237E-2</v>
      </c>
      <c r="J107" s="43">
        <f t="shared" si="38"/>
        <v>6.4516129032258064E-3</v>
      </c>
      <c r="K107" s="43">
        <f t="shared" si="38"/>
        <v>0</v>
      </c>
      <c r="L107" s="43">
        <f t="shared" si="38"/>
        <v>8.6021505376344086E-3</v>
      </c>
      <c r="M107" s="43">
        <f t="shared" si="38"/>
        <v>0.53548387096774197</v>
      </c>
      <c r="N107" s="43">
        <f t="shared" si="38"/>
        <v>4.3010752688172043E-3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0.3888888888888889</v>
      </c>
      <c r="D108" s="44">
        <f t="shared" ref="D108:N108" si="39">D106/$O$106</f>
        <v>2.3148148148148147E-2</v>
      </c>
      <c r="E108" s="44">
        <f t="shared" si="39"/>
        <v>0.31018518518518517</v>
      </c>
      <c r="F108" s="44">
        <f t="shared" si="39"/>
        <v>0.11574074074074074</v>
      </c>
      <c r="G108" s="44">
        <f t="shared" si="39"/>
        <v>1.3888888888888888E-2</v>
      </c>
      <c r="H108" s="44">
        <f t="shared" si="39"/>
        <v>2.7777777777777776E-2</v>
      </c>
      <c r="I108" s="44">
        <f t="shared" si="39"/>
        <v>7.8703703703703706E-2</v>
      </c>
      <c r="J108" s="44">
        <f t="shared" si="39"/>
        <v>1.3888888888888888E-2</v>
      </c>
      <c r="K108" s="44">
        <f t="shared" si="39"/>
        <v>0</v>
      </c>
      <c r="L108" s="44">
        <f t="shared" si="39"/>
        <v>1.8518518518518517E-2</v>
      </c>
      <c r="M108" s="44"/>
      <c r="N108" s="44">
        <f t="shared" si="39"/>
        <v>9.2592592592592587E-3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37" zoomScale="60" workbookViewId="0">
      <selection activeCell="E116" sqref="E1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Koboko-Yumbe'!C3:G3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5" t="str">
        <f>'02.08 Yumbe-Koboko-24h'!G5:H5</f>
        <v>Umbachi</v>
      </c>
      <c r="H5" s="66"/>
      <c r="I5" s="14"/>
      <c r="J5" s="2" t="s">
        <v>5</v>
      </c>
      <c r="K5" s="65" t="str">
        <f>'02.08 Yumbe-Koboko-24h'!K5:L5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Koboko-Yumbe'!D6:E6</f>
        <v>Koboko</v>
      </c>
      <c r="E6" s="66"/>
      <c r="F6" s="2" t="s">
        <v>2</v>
      </c>
      <c r="G6" s="65" t="str">
        <f>'31.07 Koboko-Yumbe'!G6:H6</f>
        <v>Yumbe</v>
      </c>
      <c r="H6" s="66"/>
      <c r="J6" s="2" t="s">
        <v>21</v>
      </c>
      <c r="K6" s="65" t="str">
        <f>'02.08 Yumbe-Koboko-24h'!K6:L6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73" si="0">SUM(C10:L10,N10)</f>
        <v>1</v>
      </c>
      <c r="P10" s="15">
        <f t="shared" ref="P10:P73" si="1">SUM(C10:N10)</f>
        <v>3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14</v>
      </c>
      <c r="AD10" s="17">
        <f t="shared" si="2"/>
        <v>0</v>
      </c>
      <c r="AE10" s="31">
        <f t="shared" si="2"/>
        <v>8</v>
      </c>
      <c r="AF10" s="31">
        <f t="shared" si="2"/>
        <v>22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</v>
      </c>
      <c r="N11" s="50">
        <v>0</v>
      </c>
      <c r="O11" s="15">
        <f t="shared" si="0"/>
        <v>2</v>
      </c>
      <c r="P11" s="15">
        <f t="shared" si="1"/>
        <v>6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4</v>
      </c>
      <c r="V11" s="17">
        <f t="shared" si="3"/>
        <v>3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1</v>
      </c>
      <c r="AC11" s="17">
        <f t="shared" si="3"/>
        <v>19</v>
      </c>
      <c r="AD11" s="17">
        <f t="shared" si="3"/>
        <v>0</v>
      </c>
      <c r="AE11" s="31">
        <f t="shared" si="3"/>
        <v>19</v>
      </c>
      <c r="AF11" s="31">
        <f t="shared" si="3"/>
        <v>38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1</v>
      </c>
      <c r="P12" s="15">
        <f t="shared" si="1"/>
        <v>5</v>
      </c>
      <c r="R12" s="1" t="s">
        <v>8</v>
      </c>
      <c r="S12" s="17">
        <f t="shared" ref="S12:AF12" si="4">SUM(C18:C21)</f>
        <v>7</v>
      </c>
      <c r="T12" s="17">
        <f t="shared" si="4"/>
        <v>0</v>
      </c>
      <c r="U12" s="17">
        <f t="shared" si="4"/>
        <v>4</v>
      </c>
      <c r="V12" s="17">
        <f t="shared" si="4"/>
        <v>3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10</v>
      </c>
      <c r="AD12" s="17">
        <f t="shared" si="4"/>
        <v>0</v>
      </c>
      <c r="AE12" s="31">
        <f t="shared" si="4"/>
        <v>15</v>
      </c>
      <c r="AF12" s="31">
        <f t="shared" si="4"/>
        <v>25</v>
      </c>
    </row>
    <row r="13" spans="2:32" ht="23.1" customHeight="1" x14ac:dyDescent="0.25">
      <c r="B13" s="45" t="s">
        <v>40</v>
      </c>
      <c r="C13" s="50">
        <v>2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4</v>
      </c>
      <c r="N13" s="50">
        <v>0</v>
      </c>
      <c r="O13" s="15">
        <f t="shared" si="0"/>
        <v>4</v>
      </c>
      <c r="P13" s="15">
        <f t="shared" si="1"/>
        <v>8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4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21</v>
      </c>
      <c r="AD13" s="17">
        <f t="shared" si="5"/>
        <v>0</v>
      </c>
      <c r="AE13" s="31">
        <f t="shared" si="5"/>
        <v>16</v>
      </c>
      <c r="AF13" s="31">
        <f t="shared" si="5"/>
        <v>37</v>
      </c>
    </row>
    <row r="14" spans="2:32" ht="23.1" customHeight="1" x14ac:dyDescent="0.25">
      <c r="B14" s="45" t="s">
        <v>41</v>
      </c>
      <c r="C14" s="50">
        <v>3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5</v>
      </c>
      <c r="N14" s="50">
        <v>0</v>
      </c>
      <c r="O14" s="15">
        <f t="shared" si="0"/>
        <v>5</v>
      </c>
      <c r="P14" s="15">
        <f t="shared" si="1"/>
        <v>10</v>
      </c>
      <c r="R14" s="1" t="s">
        <v>10</v>
      </c>
      <c r="S14" s="17">
        <f t="shared" ref="S14:AF14" si="6">SUM(C26:C29)</f>
        <v>8</v>
      </c>
      <c r="T14" s="17">
        <f t="shared" si="6"/>
        <v>1</v>
      </c>
      <c r="U14" s="17">
        <f t="shared" si="6"/>
        <v>6</v>
      </c>
      <c r="V14" s="17">
        <f t="shared" si="6"/>
        <v>1</v>
      </c>
      <c r="W14" s="17">
        <f t="shared" si="6"/>
        <v>0</v>
      </c>
      <c r="X14" s="17">
        <f t="shared" si="6"/>
        <v>1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23</v>
      </c>
      <c r="AD14" s="17">
        <f t="shared" si="6"/>
        <v>0</v>
      </c>
      <c r="AE14" s="31">
        <f t="shared" si="6"/>
        <v>19</v>
      </c>
      <c r="AF14" s="31">
        <f t="shared" si="6"/>
        <v>42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5</v>
      </c>
      <c r="N15" s="50">
        <v>0</v>
      </c>
      <c r="O15" s="15">
        <f t="shared" si="0"/>
        <v>2</v>
      </c>
      <c r="P15" s="15">
        <f t="shared" si="1"/>
        <v>7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0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20</v>
      </c>
      <c r="AD15" s="17">
        <f t="shared" si="7"/>
        <v>0</v>
      </c>
      <c r="AE15" s="31">
        <f t="shared" si="7"/>
        <v>14</v>
      </c>
      <c r="AF15" s="31">
        <f t="shared" si="7"/>
        <v>34</v>
      </c>
    </row>
    <row r="16" spans="2:32" ht="23.1" customHeight="1" x14ac:dyDescent="0.25">
      <c r="B16" s="45" t="s">
        <v>43</v>
      </c>
      <c r="C16" s="50">
        <v>3</v>
      </c>
      <c r="D16" s="50">
        <v>0</v>
      </c>
      <c r="E16" s="50">
        <v>2</v>
      </c>
      <c r="F16" s="50">
        <v>0</v>
      </c>
      <c r="G16" s="50">
        <v>1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7</v>
      </c>
      <c r="P16" s="15">
        <f t="shared" si="1"/>
        <v>10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0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18</v>
      </c>
      <c r="AD16" s="17">
        <f t="shared" si="8"/>
        <v>0</v>
      </c>
      <c r="AE16" s="31">
        <f t="shared" si="8"/>
        <v>13</v>
      </c>
      <c r="AF16" s="31">
        <f t="shared" si="8"/>
        <v>31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2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</v>
      </c>
      <c r="N17" s="50">
        <v>0</v>
      </c>
      <c r="O17" s="15">
        <f t="shared" si="0"/>
        <v>5</v>
      </c>
      <c r="P17" s="15">
        <f t="shared" si="1"/>
        <v>11</v>
      </c>
      <c r="R17" s="1" t="s">
        <v>13</v>
      </c>
      <c r="S17" s="17">
        <f t="shared" ref="S17:AF17" si="9">SUM(C38:C41)</f>
        <v>9</v>
      </c>
      <c r="T17" s="17">
        <f t="shared" si="9"/>
        <v>0</v>
      </c>
      <c r="U17" s="17">
        <f t="shared" si="9"/>
        <v>1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11</v>
      </c>
      <c r="AD17" s="17">
        <f t="shared" si="9"/>
        <v>0</v>
      </c>
      <c r="AE17" s="31">
        <f t="shared" si="9"/>
        <v>14</v>
      </c>
      <c r="AF17" s="31">
        <f t="shared" si="9"/>
        <v>25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0</v>
      </c>
      <c r="F18" s="50">
        <v>1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4</v>
      </c>
      <c r="P18" s="15">
        <f t="shared" si="1"/>
        <v>6</v>
      </c>
      <c r="R18" s="1" t="s">
        <v>14</v>
      </c>
      <c r="S18" s="17">
        <f t="shared" ref="S18:AF18" si="10">SUM(C42:C45)</f>
        <v>8</v>
      </c>
      <c r="T18" s="17">
        <f t="shared" si="10"/>
        <v>0</v>
      </c>
      <c r="U18" s="17">
        <f t="shared" si="10"/>
        <v>2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23</v>
      </c>
      <c r="AD18" s="17">
        <f t="shared" si="10"/>
        <v>0</v>
      </c>
      <c r="AE18" s="31">
        <f t="shared" si="10"/>
        <v>12</v>
      </c>
      <c r="AF18" s="31">
        <f t="shared" si="10"/>
        <v>35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2</v>
      </c>
      <c r="P19" s="15">
        <f t="shared" si="1"/>
        <v>4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5</v>
      </c>
      <c r="V19" s="17">
        <f t="shared" si="11"/>
        <v>3</v>
      </c>
      <c r="W19" s="17">
        <f t="shared" si="11"/>
        <v>0</v>
      </c>
      <c r="X19" s="17">
        <f t="shared" si="11"/>
        <v>1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18</v>
      </c>
      <c r="AD19" s="17">
        <f t="shared" si="11"/>
        <v>0</v>
      </c>
      <c r="AE19" s="31">
        <f t="shared" si="11"/>
        <v>15</v>
      </c>
      <c r="AF19" s="31">
        <f t="shared" si="11"/>
        <v>33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3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3</v>
      </c>
      <c r="N20" s="50">
        <v>0</v>
      </c>
      <c r="O20" s="15">
        <f t="shared" si="0"/>
        <v>5</v>
      </c>
      <c r="P20" s="15">
        <f t="shared" si="1"/>
        <v>8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3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24</v>
      </c>
      <c r="AD20" s="17">
        <f t="shared" si="12"/>
        <v>0</v>
      </c>
      <c r="AE20" s="31">
        <f t="shared" si="12"/>
        <v>10</v>
      </c>
      <c r="AF20" s="31">
        <f t="shared" si="12"/>
        <v>34</v>
      </c>
    </row>
    <row r="21" spans="2:32" ht="23.1" customHeight="1" x14ac:dyDescent="0.25">
      <c r="B21" s="45" t="s">
        <v>48</v>
      </c>
      <c r="C21" s="50">
        <v>2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4</v>
      </c>
      <c r="P21" s="15">
        <f t="shared" si="1"/>
        <v>7</v>
      </c>
      <c r="R21" s="36" t="s">
        <v>20</v>
      </c>
      <c r="S21" s="34">
        <f t="shared" ref="S21:AF21" si="13">SUM(C54:C57)</f>
        <v>7</v>
      </c>
      <c r="T21" s="17">
        <f t="shared" si="13"/>
        <v>0</v>
      </c>
      <c r="U21" s="17">
        <f t="shared" si="13"/>
        <v>5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22</v>
      </c>
      <c r="AD21" s="17">
        <f t="shared" si="13"/>
        <v>0</v>
      </c>
      <c r="AE21" s="31">
        <f t="shared" si="13"/>
        <v>14</v>
      </c>
      <c r="AF21" s="31">
        <f t="shared" si="13"/>
        <v>36</v>
      </c>
    </row>
    <row r="22" spans="2:32" ht="23.1" customHeight="1" x14ac:dyDescent="0.25">
      <c r="B22" s="45" t="s">
        <v>49</v>
      </c>
      <c r="C22" s="50">
        <v>2</v>
      </c>
      <c r="D22" s="50">
        <v>0</v>
      </c>
      <c r="E22" s="50">
        <v>1</v>
      </c>
      <c r="F22" s="50">
        <v>2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5</v>
      </c>
      <c r="P22" s="15">
        <f t="shared" si="1"/>
        <v>10</v>
      </c>
      <c r="R22" s="36" t="s">
        <v>146</v>
      </c>
      <c r="S22" s="34">
        <f>SUM(C58:C61)</f>
        <v>15</v>
      </c>
      <c r="T22" s="34">
        <f t="shared" ref="T22:AF22" si="14">SUM(D58:D61)</f>
        <v>0</v>
      </c>
      <c r="U22" s="34">
        <f t="shared" si="14"/>
        <v>3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16</v>
      </c>
      <c r="AD22" s="34">
        <f t="shared" si="14"/>
        <v>0</v>
      </c>
      <c r="AE22" s="31">
        <f t="shared" si="14"/>
        <v>21</v>
      </c>
      <c r="AF22" s="31">
        <f t="shared" si="14"/>
        <v>37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1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3</v>
      </c>
      <c r="P23" s="15">
        <f t="shared" si="1"/>
        <v>7</v>
      </c>
      <c r="R23" s="36" t="s">
        <v>147</v>
      </c>
      <c r="S23" s="34">
        <f>SUM(C62:C65)</f>
        <v>2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1</v>
      </c>
      <c r="AA23" s="34">
        <f t="shared" si="15"/>
        <v>1</v>
      </c>
      <c r="AB23" s="34">
        <f t="shared" si="15"/>
        <v>0</v>
      </c>
      <c r="AC23" s="34">
        <f t="shared" si="15"/>
        <v>11</v>
      </c>
      <c r="AD23" s="34">
        <f t="shared" si="15"/>
        <v>0</v>
      </c>
      <c r="AE23" s="31">
        <f t="shared" si="15"/>
        <v>6</v>
      </c>
      <c r="AF23" s="31">
        <f t="shared" si="15"/>
        <v>17</v>
      </c>
    </row>
    <row r="24" spans="2:32" ht="23.1" customHeight="1" x14ac:dyDescent="0.25">
      <c r="B24" s="45" t="s">
        <v>51</v>
      </c>
      <c r="C24" s="50">
        <v>4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7</v>
      </c>
      <c r="P24" s="15">
        <f t="shared" si="1"/>
        <v>14</v>
      </c>
      <c r="R24" s="36" t="s">
        <v>148</v>
      </c>
      <c r="S24" s="34">
        <f>SUM(C66:C69)</f>
        <v>4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3</v>
      </c>
      <c r="AD24" s="34">
        <f t="shared" si="16"/>
        <v>0</v>
      </c>
      <c r="AE24" s="31">
        <f t="shared" si="16"/>
        <v>6</v>
      </c>
      <c r="AF24" s="31">
        <f t="shared" si="16"/>
        <v>9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1</v>
      </c>
      <c r="P25" s="15">
        <f t="shared" si="1"/>
        <v>6</v>
      </c>
      <c r="R25" s="36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3</v>
      </c>
      <c r="AD25" s="34">
        <f t="shared" si="17"/>
        <v>0</v>
      </c>
      <c r="AE25" s="31">
        <f t="shared" si="17"/>
        <v>1</v>
      </c>
      <c r="AF25" s="31">
        <f t="shared" si="17"/>
        <v>4</v>
      </c>
    </row>
    <row r="26" spans="2:32" ht="23.1" customHeight="1" x14ac:dyDescent="0.25">
      <c r="B26" s="45" t="s">
        <v>53</v>
      </c>
      <c r="C26" s="50">
        <v>4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5</v>
      </c>
      <c r="P26" s="15">
        <f t="shared" si="1"/>
        <v>12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1</v>
      </c>
      <c r="AF26" s="31">
        <f t="shared" si="18"/>
        <v>4</v>
      </c>
    </row>
    <row r="27" spans="2:32" ht="23.1" customHeight="1" x14ac:dyDescent="0.25">
      <c r="B27" s="45" t="s">
        <v>54</v>
      </c>
      <c r="C27" s="50">
        <v>2</v>
      </c>
      <c r="D27" s="50">
        <v>1</v>
      </c>
      <c r="E27" s="50">
        <v>3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8</v>
      </c>
      <c r="N27" s="50">
        <v>0</v>
      </c>
      <c r="O27" s="15">
        <f t="shared" si="0"/>
        <v>6</v>
      </c>
      <c r="P27" s="15">
        <f t="shared" si="1"/>
        <v>14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0</v>
      </c>
      <c r="M28" s="50">
        <v>5</v>
      </c>
      <c r="N28" s="50">
        <v>0</v>
      </c>
      <c r="O28" s="15">
        <f t="shared" si="0"/>
        <v>3</v>
      </c>
      <c r="P28" s="15">
        <f t="shared" si="1"/>
        <v>8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1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1</v>
      </c>
      <c r="AF28" s="31">
        <f t="shared" si="20"/>
        <v>1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2</v>
      </c>
      <c r="F29" s="50">
        <v>1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5</v>
      </c>
      <c r="P29" s="15">
        <f t="shared" si="1"/>
        <v>8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</v>
      </c>
      <c r="AF29" s="31">
        <f t="shared" si="21"/>
        <v>1</v>
      </c>
    </row>
    <row r="30" spans="2:32" ht="23.1" customHeight="1" x14ac:dyDescent="0.25">
      <c r="B30" s="45" t="s">
        <v>57</v>
      </c>
      <c r="C30" s="50">
        <v>3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6</v>
      </c>
      <c r="P30" s="15">
        <f t="shared" si="1"/>
        <v>11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0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0</v>
      </c>
      <c r="P31" s="15">
        <f t="shared" si="1"/>
        <v>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1</v>
      </c>
      <c r="AF31" s="31">
        <f t="shared" si="23"/>
        <v>1</v>
      </c>
    </row>
    <row r="32" spans="2:32" ht="23.1" customHeight="1" x14ac:dyDescent="0.25">
      <c r="B32" s="46" t="s">
        <v>59</v>
      </c>
      <c r="C32" s="50">
        <v>4</v>
      </c>
      <c r="D32" s="50">
        <v>0</v>
      </c>
      <c r="E32" s="50">
        <v>0</v>
      </c>
      <c r="F32" s="50">
        <v>2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7</v>
      </c>
      <c r="N32" s="50">
        <v>0</v>
      </c>
      <c r="O32" s="15">
        <f t="shared" si="0"/>
        <v>6</v>
      </c>
      <c r="P32" s="15">
        <f t="shared" si="1"/>
        <v>13</v>
      </c>
      <c r="R32" s="33" t="s">
        <v>156</v>
      </c>
      <c r="S32" s="34">
        <f>SUM(C98:C101)</f>
        <v>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2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7</v>
      </c>
      <c r="AF32" s="31">
        <f t="shared" si="24"/>
        <v>7</v>
      </c>
    </row>
    <row r="33" spans="2:32" ht="23.1" customHeight="1" x14ac:dyDescent="0.25">
      <c r="B33" s="45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2</v>
      </c>
      <c r="P33" s="15">
        <f t="shared" si="1"/>
        <v>6</v>
      </c>
      <c r="R33" s="33" t="s">
        <v>157</v>
      </c>
      <c r="S33" s="34">
        <f>SUM(C102:C105)</f>
        <v>6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0</v>
      </c>
      <c r="W33" s="34">
        <f t="shared" si="25"/>
        <v>0</v>
      </c>
      <c r="X33" s="34">
        <f t="shared" si="25"/>
        <v>1</v>
      </c>
      <c r="Y33" s="34">
        <f t="shared" si="25"/>
        <v>2</v>
      </c>
      <c r="Z33" s="34">
        <f t="shared" si="25"/>
        <v>0</v>
      </c>
      <c r="AA33" s="34">
        <f t="shared" si="25"/>
        <v>0</v>
      </c>
      <c r="AB33" s="34">
        <f t="shared" si="25"/>
        <v>1</v>
      </c>
      <c r="AC33" s="34">
        <f t="shared" si="25"/>
        <v>3</v>
      </c>
      <c r="AD33" s="34">
        <f t="shared" si="25"/>
        <v>1</v>
      </c>
      <c r="AE33" s="31">
        <f t="shared" si="25"/>
        <v>13</v>
      </c>
      <c r="AF33" s="31">
        <f t="shared" si="25"/>
        <v>16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4</v>
      </c>
      <c r="P34" s="15">
        <f t="shared" si="1"/>
        <v>13</v>
      </c>
      <c r="R34" s="38" t="s">
        <v>90</v>
      </c>
      <c r="S34" s="39">
        <f t="shared" ref="S34:AF34" si="26">MAX(S10:S12)</f>
        <v>8</v>
      </c>
      <c r="T34" s="39">
        <f t="shared" si="26"/>
        <v>0</v>
      </c>
      <c r="U34" s="39">
        <f t="shared" si="26"/>
        <v>4</v>
      </c>
      <c r="V34" s="39">
        <f t="shared" si="26"/>
        <v>3</v>
      </c>
      <c r="W34" s="39">
        <f t="shared" si="26"/>
        <v>1</v>
      </c>
      <c r="X34" s="39">
        <f t="shared" si="26"/>
        <v>1</v>
      </c>
      <c r="Y34" s="39">
        <f t="shared" si="26"/>
        <v>1</v>
      </c>
      <c r="Z34" s="39">
        <f t="shared" si="26"/>
        <v>0</v>
      </c>
      <c r="AA34" s="39">
        <f t="shared" si="26"/>
        <v>1</v>
      </c>
      <c r="AB34" s="39">
        <f t="shared" si="26"/>
        <v>1</v>
      </c>
      <c r="AC34" s="39">
        <f t="shared" si="26"/>
        <v>19</v>
      </c>
      <c r="AD34" s="39">
        <f t="shared" si="26"/>
        <v>0</v>
      </c>
      <c r="AE34" s="40">
        <f t="shared" si="26"/>
        <v>19</v>
      </c>
      <c r="AF34" s="40">
        <f t="shared" si="26"/>
        <v>38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5</v>
      </c>
      <c r="N35" s="50">
        <v>0</v>
      </c>
      <c r="O35" s="15">
        <f t="shared" si="0"/>
        <v>3</v>
      </c>
      <c r="P35" s="15">
        <f t="shared" si="1"/>
        <v>8</v>
      </c>
      <c r="R35" s="38" t="s">
        <v>91</v>
      </c>
      <c r="S35" s="39">
        <f t="shared" ref="S35:AF35" si="27">MAX(S13:S18)</f>
        <v>9</v>
      </c>
      <c r="T35" s="39">
        <f t="shared" si="27"/>
        <v>1</v>
      </c>
      <c r="U35" s="39">
        <f t="shared" si="27"/>
        <v>6</v>
      </c>
      <c r="V35" s="39">
        <f t="shared" si="27"/>
        <v>5</v>
      </c>
      <c r="W35" s="39">
        <f t="shared" si="27"/>
        <v>0</v>
      </c>
      <c r="X35" s="39">
        <f t="shared" si="27"/>
        <v>1</v>
      </c>
      <c r="Y35" s="39">
        <f t="shared" si="27"/>
        <v>1</v>
      </c>
      <c r="Z35" s="39">
        <f t="shared" si="27"/>
        <v>2</v>
      </c>
      <c r="AA35" s="39">
        <f t="shared" si="27"/>
        <v>0</v>
      </c>
      <c r="AB35" s="39">
        <f t="shared" si="27"/>
        <v>0</v>
      </c>
      <c r="AC35" s="39">
        <f t="shared" si="27"/>
        <v>23</v>
      </c>
      <c r="AD35" s="39">
        <f t="shared" si="27"/>
        <v>0</v>
      </c>
      <c r="AE35" s="40">
        <f t="shared" si="27"/>
        <v>19</v>
      </c>
      <c r="AF35" s="40">
        <f t="shared" si="27"/>
        <v>42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1</v>
      </c>
      <c r="P36" s="15">
        <f t="shared" si="1"/>
        <v>2</v>
      </c>
      <c r="R36" s="38" t="s">
        <v>92</v>
      </c>
      <c r="S36" s="39">
        <f t="shared" ref="S36:AF36" si="28">MAX(S19:S21)</f>
        <v>7</v>
      </c>
      <c r="T36" s="39">
        <f t="shared" si="28"/>
        <v>0</v>
      </c>
      <c r="U36" s="39">
        <f t="shared" si="28"/>
        <v>5</v>
      </c>
      <c r="V36" s="39">
        <f t="shared" si="28"/>
        <v>3</v>
      </c>
      <c r="W36" s="39">
        <f t="shared" si="28"/>
        <v>0</v>
      </c>
      <c r="X36" s="39">
        <f t="shared" si="28"/>
        <v>1</v>
      </c>
      <c r="Y36" s="39">
        <f t="shared" si="28"/>
        <v>1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24</v>
      </c>
      <c r="AD36" s="39">
        <f t="shared" si="28"/>
        <v>0</v>
      </c>
      <c r="AE36" s="40">
        <f t="shared" si="28"/>
        <v>15</v>
      </c>
      <c r="AF36" s="40">
        <f t="shared" si="28"/>
        <v>36</v>
      </c>
    </row>
    <row r="37" spans="2:32" ht="23.1" customHeight="1" x14ac:dyDescent="0.25">
      <c r="B37" s="45" t="s">
        <v>64</v>
      </c>
      <c r="C37" s="50">
        <v>4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5</v>
      </c>
      <c r="P37" s="15">
        <f t="shared" si="1"/>
        <v>8</v>
      </c>
      <c r="R37" s="37" t="s">
        <v>85</v>
      </c>
      <c r="S37" s="35">
        <f t="shared" ref="S37:AF37" si="29">SUM(S10:S12)</f>
        <v>20</v>
      </c>
      <c r="T37" s="16">
        <f t="shared" si="29"/>
        <v>0</v>
      </c>
      <c r="U37" s="16">
        <f t="shared" si="29"/>
        <v>8</v>
      </c>
      <c r="V37" s="16">
        <f t="shared" si="29"/>
        <v>8</v>
      </c>
      <c r="W37" s="16">
        <f t="shared" si="29"/>
        <v>1</v>
      </c>
      <c r="X37" s="16">
        <f t="shared" si="29"/>
        <v>1</v>
      </c>
      <c r="Y37" s="16">
        <f t="shared" si="29"/>
        <v>1</v>
      </c>
      <c r="Z37" s="16">
        <f t="shared" si="29"/>
        <v>0</v>
      </c>
      <c r="AA37" s="16">
        <f t="shared" si="29"/>
        <v>1</v>
      </c>
      <c r="AB37" s="16">
        <f t="shared" si="29"/>
        <v>2</v>
      </c>
      <c r="AC37" s="16">
        <f t="shared" si="29"/>
        <v>43</v>
      </c>
      <c r="AD37" s="16">
        <f t="shared" si="29"/>
        <v>0</v>
      </c>
      <c r="AE37" s="32">
        <f t="shared" si="29"/>
        <v>42</v>
      </c>
      <c r="AF37" s="32">
        <f t="shared" si="29"/>
        <v>85</v>
      </c>
    </row>
    <row r="38" spans="2:32" ht="23.1" customHeight="1" x14ac:dyDescent="0.25">
      <c r="B38" s="46" t="s">
        <v>65</v>
      </c>
      <c r="C38" s="50">
        <v>4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5</v>
      </c>
      <c r="P38" s="15">
        <f t="shared" si="1"/>
        <v>8</v>
      </c>
      <c r="R38" s="28" t="s">
        <v>86</v>
      </c>
      <c r="S38" s="16">
        <f t="shared" ref="S38:AF38" si="30">SUM(S13:S18)</f>
        <v>50</v>
      </c>
      <c r="T38" s="16">
        <f t="shared" si="30"/>
        <v>1</v>
      </c>
      <c r="U38" s="16">
        <f t="shared" si="30"/>
        <v>13</v>
      </c>
      <c r="V38" s="16">
        <f t="shared" si="30"/>
        <v>17</v>
      </c>
      <c r="W38" s="16">
        <f t="shared" si="30"/>
        <v>0</v>
      </c>
      <c r="X38" s="16">
        <f t="shared" si="30"/>
        <v>1</v>
      </c>
      <c r="Y38" s="16">
        <f t="shared" si="30"/>
        <v>3</v>
      </c>
      <c r="Z38" s="16">
        <f t="shared" si="30"/>
        <v>3</v>
      </c>
      <c r="AA38" s="16">
        <f t="shared" si="30"/>
        <v>0</v>
      </c>
      <c r="AB38" s="16">
        <f t="shared" si="30"/>
        <v>0</v>
      </c>
      <c r="AC38" s="16">
        <f t="shared" si="30"/>
        <v>116</v>
      </c>
      <c r="AD38" s="16">
        <f t="shared" si="30"/>
        <v>0</v>
      </c>
      <c r="AE38" s="32">
        <f t="shared" si="30"/>
        <v>88</v>
      </c>
      <c r="AF38" s="32">
        <f t="shared" si="30"/>
        <v>204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2</v>
      </c>
      <c r="P39" s="15">
        <f t="shared" si="1"/>
        <v>6</v>
      </c>
      <c r="R39" s="29" t="s">
        <v>87</v>
      </c>
      <c r="S39" s="16">
        <f t="shared" ref="S39:AF39" si="31">SUM(S19:S21)</f>
        <v>18</v>
      </c>
      <c r="T39" s="16">
        <f t="shared" si="31"/>
        <v>0</v>
      </c>
      <c r="U39" s="16">
        <f t="shared" si="31"/>
        <v>13</v>
      </c>
      <c r="V39" s="16">
        <f t="shared" si="31"/>
        <v>6</v>
      </c>
      <c r="W39" s="16">
        <f t="shared" si="31"/>
        <v>0</v>
      </c>
      <c r="X39" s="16">
        <f t="shared" si="31"/>
        <v>1</v>
      </c>
      <c r="Y39" s="16">
        <f t="shared" si="31"/>
        <v>1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64</v>
      </c>
      <c r="AD39" s="16">
        <f t="shared" si="31"/>
        <v>0</v>
      </c>
      <c r="AE39" s="32">
        <f t="shared" si="31"/>
        <v>39</v>
      </c>
      <c r="AF39" s="32">
        <f t="shared" si="31"/>
        <v>103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4</v>
      </c>
      <c r="P40" s="15">
        <f t="shared" si="1"/>
        <v>5</v>
      </c>
      <c r="R40" s="5" t="s">
        <v>17</v>
      </c>
      <c r="S40" s="16">
        <f t="shared" ref="S40:AF40" si="32">SUM(S10:S21)</f>
        <v>88</v>
      </c>
      <c r="T40" s="16">
        <f t="shared" si="32"/>
        <v>1</v>
      </c>
      <c r="U40" s="16">
        <f t="shared" si="32"/>
        <v>34</v>
      </c>
      <c r="V40" s="16">
        <f t="shared" si="32"/>
        <v>31</v>
      </c>
      <c r="W40" s="16">
        <f t="shared" si="32"/>
        <v>1</v>
      </c>
      <c r="X40" s="16">
        <f t="shared" si="32"/>
        <v>3</v>
      </c>
      <c r="Y40" s="16">
        <f t="shared" si="32"/>
        <v>5</v>
      </c>
      <c r="Z40" s="16">
        <f t="shared" si="32"/>
        <v>3</v>
      </c>
      <c r="AA40" s="16">
        <f t="shared" si="32"/>
        <v>1</v>
      </c>
      <c r="AB40" s="16">
        <f t="shared" si="32"/>
        <v>2</v>
      </c>
      <c r="AC40" s="16">
        <f t="shared" si="32"/>
        <v>223</v>
      </c>
      <c r="AD40" s="16">
        <f t="shared" si="32"/>
        <v>0</v>
      </c>
      <c r="AE40" s="32">
        <f t="shared" si="32"/>
        <v>169</v>
      </c>
      <c r="AF40" s="32">
        <f t="shared" si="32"/>
        <v>392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3</v>
      </c>
      <c r="P41" s="15">
        <f t="shared" si="1"/>
        <v>6</v>
      </c>
      <c r="R41" s="5" t="s">
        <v>159</v>
      </c>
      <c r="S41" s="16">
        <f>SUM(S10:S33)</f>
        <v>122</v>
      </c>
      <c r="T41" s="16">
        <f t="shared" ref="T41:AF41" si="33">SUM(T10:T33)</f>
        <v>1</v>
      </c>
      <c r="U41" s="16">
        <f t="shared" si="33"/>
        <v>43</v>
      </c>
      <c r="V41" s="16">
        <f t="shared" si="33"/>
        <v>33</v>
      </c>
      <c r="W41" s="16">
        <f t="shared" si="33"/>
        <v>3</v>
      </c>
      <c r="X41" s="16">
        <f t="shared" si="33"/>
        <v>5</v>
      </c>
      <c r="Y41" s="16">
        <f t="shared" si="33"/>
        <v>9</v>
      </c>
      <c r="Z41" s="16">
        <f t="shared" si="33"/>
        <v>5</v>
      </c>
      <c r="AA41" s="16">
        <f t="shared" si="33"/>
        <v>2</v>
      </c>
      <c r="AB41" s="16">
        <f t="shared" si="33"/>
        <v>3</v>
      </c>
      <c r="AC41" s="16">
        <f t="shared" si="33"/>
        <v>263</v>
      </c>
      <c r="AD41" s="16">
        <f t="shared" si="33"/>
        <v>1</v>
      </c>
      <c r="AE41" s="32">
        <f t="shared" si="33"/>
        <v>227</v>
      </c>
      <c r="AF41" s="32">
        <f t="shared" si="33"/>
        <v>490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1</v>
      </c>
      <c r="P42" s="15">
        <f t="shared" si="1"/>
        <v>7</v>
      </c>
      <c r="R42" s="5" t="s">
        <v>160</v>
      </c>
      <c r="S42" s="48">
        <f>S41/S40</f>
        <v>1.3863636363636365</v>
      </c>
      <c r="T42" s="48">
        <f t="shared" ref="T42:AF42" si="34">T41/T40</f>
        <v>1</v>
      </c>
      <c r="U42" s="48">
        <f t="shared" si="34"/>
        <v>1.2647058823529411</v>
      </c>
      <c r="V42" s="48">
        <f t="shared" si="34"/>
        <v>1.064516129032258</v>
      </c>
      <c r="W42" s="48">
        <f t="shared" si="34"/>
        <v>3</v>
      </c>
      <c r="X42" s="48">
        <f t="shared" si="34"/>
        <v>1.6666666666666667</v>
      </c>
      <c r="Y42" s="48">
        <f t="shared" si="34"/>
        <v>1.8</v>
      </c>
      <c r="Z42" s="48">
        <f t="shared" si="34"/>
        <v>1.6666666666666667</v>
      </c>
      <c r="AA42" s="48">
        <f t="shared" si="34"/>
        <v>2</v>
      </c>
      <c r="AB42" s="48">
        <f t="shared" si="34"/>
        <v>1.5</v>
      </c>
      <c r="AC42" s="48">
        <f t="shared" si="34"/>
        <v>1.1793721973094171</v>
      </c>
      <c r="AD42" s="48" t="e">
        <f t="shared" si="34"/>
        <v>#DIV/0!</v>
      </c>
      <c r="AE42" s="48">
        <f t="shared" si="34"/>
        <v>1.3431952662721893</v>
      </c>
      <c r="AF42" s="48">
        <f t="shared" si="34"/>
        <v>1.25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1</v>
      </c>
      <c r="P43" s="15">
        <f t="shared" si="1"/>
        <v>9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1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5</v>
      </c>
      <c r="P44" s="15">
        <f t="shared" si="1"/>
        <v>8</v>
      </c>
    </row>
    <row r="45" spans="2:32" ht="23.1" customHeight="1" x14ac:dyDescent="0.25">
      <c r="B45" s="45" t="s">
        <v>72</v>
      </c>
      <c r="C45" s="50">
        <v>3</v>
      </c>
      <c r="D45" s="50">
        <v>0</v>
      </c>
      <c r="E45" s="50">
        <v>1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6</v>
      </c>
      <c r="N45" s="50">
        <v>0</v>
      </c>
      <c r="O45" s="15">
        <f t="shared" si="0"/>
        <v>5</v>
      </c>
      <c r="P45" s="15">
        <f t="shared" si="1"/>
        <v>11</v>
      </c>
    </row>
    <row r="46" spans="2:32" ht="23.1" customHeight="1" x14ac:dyDescent="0.25">
      <c r="B46" s="46" t="s">
        <v>73</v>
      </c>
      <c r="C46" s="50">
        <v>3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4</v>
      </c>
      <c r="P46" s="15">
        <f t="shared" si="1"/>
        <v>9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1</v>
      </c>
      <c r="P47" s="15">
        <f t="shared" si="1"/>
        <v>2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0</v>
      </c>
      <c r="E48" s="50">
        <v>1</v>
      </c>
      <c r="F48" s="50">
        <v>1</v>
      </c>
      <c r="G48" s="50">
        <v>0</v>
      </c>
      <c r="H48" s="50">
        <v>1</v>
      </c>
      <c r="I48" s="50">
        <v>1</v>
      </c>
      <c r="J48" s="50">
        <v>0</v>
      </c>
      <c r="K48" s="50">
        <v>0</v>
      </c>
      <c r="L48" s="50">
        <v>0</v>
      </c>
      <c r="M48" s="50">
        <v>8</v>
      </c>
      <c r="N48" s="50">
        <v>0</v>
      </c>
      <c r="O48" s="15">
        <f t="shared" si="0"/>
        <v>6</v>
      </c>
      <c r="P48" s="15">
        <f t="shared" si="1"/>
        <v>14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3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4</v>
      </c>
      <c r="P49" s="15">
        <f t="shared" si="1"/>
        <v>8</v>
      </c>
      <c r="R49" s="8"/>
      <c r="T49"/>
    </row>
    <row r="50" spans="2:20" ht="23.1" customHeight="1" x14ac:dyDescent="0.25">
      <c r="B50" s="46" t="s">
        <v>77</v>
      </c>
      <c r="C50" s="50">
        <v>3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7</v>
      </c>
      <c r="N50" s="50">
        <v>0</v>
      </c>
      <c r="O50" s="15">
        <f t="shared" si="0"/>
        <v>3</v>
      </c>
      <c r="P50" s="15">
        <f t="shared" si="1"/>
        <v>10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9</v>
      </c>
      <c r="N51" s="50">
        <v>0</v>
      </c>
      <c r="O51" s="15">
        <f t="shared" si="0"/>
        <v>2</v>
      </c>
      <c r="P51" s="15">
        <f t="shared" si="1"/>
        <v>11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2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4</v>
      </c>
      <c r="P52" s="15">
        <f t="shared" si="1"/>
        <v>7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1</v>
      </c>
      <c r="P53" s="15">
        <f t="shared" si="1"/>
        <v>6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4</v>
      </c>
      <c r="P54" s="15">
        <f t="shared" si="1"/>
        <v>11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1</v>
      </c>
      <c r="P55" s="15">
        <f t="shared" si="1"/>
        <v>3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7</v>
      </c>
      <c r="N56" s="50">
        <v>0</v>
      </c>
      <c r="O56" s="15">
        <f t="shared" si="0"/>
        <v>4</v>
      </c>
      <c r="P56" s="15">
        <f t="shared" si="1"/>
        <v>11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2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6</v>
      </c>
      <c r="N57" s="50">
        <v>0</v>
      </c>
      <c r="O57" s="15">
        <f t="shared" si="0"/>
        <v>5</v>
      </c>
      <c r="P57" s="15">
        <f t="shared" si="1"/>
        <v>11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0</v>
      </c>
      <c r="E58" s="50">
        <v>0</v>
      </c>
      <c r="F58" s="50">
        <v>2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6</v>
      </c>
      <c r="N58" s="50">
        <v>0</v>
      </c>
      <c r="O58" s="15">
        <f t="shared" si="0"/>
        <v>5</v>
      </c>
      <c r="P58" s="15">
        <f t="shared" si="1"/>
        <v>11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4</v>
      </c>
      <c r="N59" s="50">
        <v>0</v>
      </c>
      <c r="O59" s="15">
        <f t="shared" si="0"/>
        <v>9</v>
      </c>
      <c r="P59" s="15">
        <f t="shared" si="1"/>
        <v>13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</v>
      </c>
      <c r="N60" s="50">
        <v>0</v>
      </c>
      <c r="O60" s="15">
        <f t="shared" si="0"/>
        <v>3</v>
      </c>
      <c r="P60" s="15">
        <f t="shared" si="1"/>
        <v>4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0</v>
      </c>
      <c r="M61" s="50">
        <v>5</v>
      </c>
      <c r="N61" s="50">
        <v>0</v>
      </c>
      <c r="O61" s="15">
        <f t="shared" si="0"/>
        <v>4</v>
      </c>
      <c r="P61" s="15">
        <f t="shared" si="1"/>
        <v>9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1</v>
      </c>
      <c r="L62" s="50">
        <v>0</v>
      </c>
      <c r="M62" s="50">
        <v>3</v>
      </c>
      <c r="N62" s="50">
        <v>0</v>
      </c>
      <c r="O62" s="15">
        <f t="shared" si="0"/>
        <v>2</v>
      </c>
      <c r="P62" s="15">
        <f t="shared" si="1"/>
        <v>5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4</v>
      </c>
      <c r="N63" s="50">
        <v>0</v>
      </c>
      <c r="O63" s="15">
        <f t="shared" si="0"/>
        <v>1</v>
      </c>
      <c r="P63" s="15">
        <f t="shared" si="1"/>
        <v>5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1</v>
      </c>
      <c r="K64" s="50">
        <v>0</v>
      </c>
      <c r="L64" s="50">
        <v>0</v>
      </c>
      <c r="M64" s="50">
        <v>3</v>
      </c>
      <c r="N64" s="50">
        <v>0</v>
      </c>
      <c r="O64" s="15">
        <f t="shared" si="0"/>
        <v>2</v>
      </c>
      <c r="P64" s="15">
        <f t="shared" si="1"/>
        <v>5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</v>
      </c>
      <c r="N65" s="50">
        <v>0</v>
      </c>
      <c r="O65" s="15">
        <f t="shared" si="0"/>
        <v>1</v>
      </c>
      <c r="P65" s="15">
        <f t="shared" si="1"/>
        <v>2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3</v>
      </c>
      <c r="P66" s="15">
        <f t="shared" si="1"/>
        <v>3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2</v>
      </c>
      <c r="P67" s="15">
        <f t="shared" si="1"/>
        <v>2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2</v>
      </c>
      <c r="N68" s="50">
        <v>0</v>
      </c>
      <c r="O68" s="15">
        <f t="shared" si="0"/>
        <v>0</v>
      </c>
      <c r="P68" s="15">
        <f t="shared" si="1"/>
        <v>2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15">
        <f t="shared" si="0"/>
        <v>1</v>
      </c>
      <c r="P69" s="15">
        <f t="shared" si="1"/>
        <v>2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0"/>
        <v>1</v>
      </c>
      <c r="P71" s="15">
        <f t="shared" si="1"/>
        <v>2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0</v>
      </c>
      <c r="P72" s="15">
        <f t="shared" si="1"/>
        <v>1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</v>
      </c>
      <c r="N73" s="50">
        <v>0</v>
      </c>
      <c r="O73" s="15">
        <f t="shared" si="0"/>
        <v>0</v>
      </c>
      <c r="P73" s="15">
        <f t="shared" si="1"/>
        <v>1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1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1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0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1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0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2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2</v>
      </c>
      <c r="P100" s="15">
        <f t="shared" si="36"/>
        <v>2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2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1</v>
      </c>
      <c r="P102" s="15">
        <f t="shared" si="36"/>
        <v>1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</v>
      </c>
      <c r="N103" s="50">
        <v>0</v>
      </c>
      <c r="O103" s="15">
        <f t="shared" si="35"/>
        <v>0</v>
      </c>
      <c r="P103" s="15">
        <f t="shared" si="36"/>
        <v>1</v>
      </c>
      <c r="R103" s="8"/>
      <c r="T103"/>
    </row>
    <row r="104" spans="2:20" ht="23.1" customHeight="1" x14ac:dyDescent="0.25">
      <c r="B104" s="47" t="s">
        <v>144</v>
      </c>
      <c r="C104" s="50">
        <v>6</v>
      </c>
      <c r="D104" s="50">
        <v>0</v>
      </c>
      <c r="E104" s="50">
        <v>0</v>
      </c>
      <c r="F104" s="50">
        <v>0</v>
      </c>
      <c r="G104" s="50">
        <v>0</v>
      </c>
      <c r="H104" s="50">
        <v>1</v>
      </c>
      <c r="I104" s="50">
        <v>0</v>
      </c>
      <c r="J104" s="50">
        <v>0</v>
      </c>
      <c r="K104" s="50">
        <v>0</v>
      </c>
      <c r="L104" s="50">
        <v>1</v>
      </c>
      <c r="M104" s="50">
        <v>1</v>
      </c>
      <c r="N104" s="50">
        <v>0</v>
      </c>
      <c r="O104" s="15">
        <f t="shared" si="35"/>
        <v>8</v>
      </c>
      <c r="P104" s="15">
        <f t="shared" si="36"/>
        <v>9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2</v>
      </c>
      <c r="F105" s="50">
        <v>0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1</v>
      </c>
      <c r="N105" s="50">
        <v>1</v>
      </c>
      <c r="O105" s="15">
        <f t="shared" si="35"/>
        <v>4</v>
      </c>
      <c r="P105" s="15">
        <f t="shared" si="36"/>
        <v>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122</v>
      </c>
      <c r="D106" s="16">
        <f t="shared" ref="D106:P106" si="37">SUM(D10:D105)</f>
        <v>1</v>
      </c>
      <c r="E106" s="16">
        <f t="shared" si="37"/>
        <v>43</v>
      </c>
      <c r="F106" s="16">
        <f t="shared" si="37"/>
        <v>33</v>
      </c>
      <c r="G106" s="16">
        <f t="shared" si="37"/>
        <v>3</v>
      </c>
      <c r="H106" s="16">
        <f t="shared" si="37"/>
        <v>5</v>
      </c>
      <c r="I106" s="16">
        <f t="shared" si="37"/>
        <v>9</v>
      </c>
      <c r="J106" s="16">
        <f t="shared" si="37"/>
        <v>5</v>
      </c>
      <c r="K106" s="16">
        <f t="shared" si="37"/>
        <v>2</v>
      </c>
      <c r="L106" s="16">
        <f t="shared" si="37"/>
        <v>3</v>
      </c>
      <c r="M106" s="16">
        <f t="shared" si="37"/>
        <v>263</v>
      </c>
      <c r="N106" s="16">
        <f t="shared" si="37"/>
        <v>1</v>
      </c>
      <c r="O106" s="16">
        <f t="shared" si="37"/>
        <v>227</v>
      </c>
      <c r="P106" s="16">
        <f t="shared" si="37"/>
        <v>490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0.24897959183673468</v>
      </c>
      <c r="D107" s="43">
        <f t="shared" si="38"/>
        <v>2.0408163265306124E-3</v>
      </c>
      <c r="E107" s="43">
        <f t="shared" si="38"/>
        <v>8.7755102040816324E-2</v>
      </c>
      <c r="F107" s="43">
        <f t="shared" si="38"/>
        <v>6.7346938775510207E-2</v>
      </c>
      <c r="G107" s="43">
        <f t="shared" si="38"/>
        <v>6.1224489795918364E-3</v>
      </c>
      <c r="H107" s="43">
        <f t="shared" si="38"/>
        <v>1.020408163265306E-2</v>
      </c>
      <c r="I107" s="43">
        <f t="shared" si="38"/>
        <v>1.8367346938775512E-2</v>
      </c>
      <c r="J107" s="43">
        <f t="shared" si="38"/>
        <v>1.020408163265306E-2</v>
      </c>
      <c r="K107" s="43">
        <f t="shared" si="38"/>
        <v>4.0816326530612249E-3</v>
      </c>
      <c r="L107" s="43">
        <f t="shared" si="38"/>
        <v>6.1224489795918364E-3</v>
      </c>
      <c r="M107" s="43">
        <f t="shared" si="38"/>
        <v>0.53673469387755102</v>
      </c>
      <c r="N107" s="43">
        <f t="shared" si="38"/>
        <v>2.0408163265306124E-3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0.5374449339207048</v>
      </c>
      <c r="D108" s="44">
        <f t="shared" ref="D108:N108" si="39">D106/$O$106</f>
        <v>4.4052863436123352E-3</v>
      </c>
      <c r="E108" s="44">
        <f t="shared" si="39"/>
        <v>0.1894273127753304</v>
      </c>
      <c r="F108" s="44">
        <f t="shared" si="39"/>
        <v>0.14537444933920704</v>
      </c>
      <c r="G108" s="44">
        <f t="shared" si="39"/>
        <v>1.3215859030837005E-2</v>
      </c>
      <c r="H108" s="44">
        <f t="shared" si="39"/>
        <v>2.2026431718061675E-2</v>
      </c>
      <c r="I108" s="44">
        <f t="shared" si="39"/>
        <v>3.9647577092511016E-2</v>
      </c>
      <c r="J108" s="44">
        <f t="shared" si="39"/>
        <v>2.2026431718061675E-2</v>
      </c>
      <c r="K108" s="44">
        <f t="shared" si="39"/>
        <v>8.8105726872246704E-3</v>
      </c>
      <c r="L108" s="44">
        <f t="shared" si="39"/>
        <v>1.3215859030837005E-2</v>
      </c>
      <c r="M108" s="44"/>
      <c r="N108" s="44">
        <f t="shared" si="39"/>
        <v>4.4052863436123352E-3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40" zoomScale="60" workbookViewId="0">
      <selection activeCell="D67" sqref="D6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Koboko-Yumbe'!C3:G3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Koboko-Yumbe-24h'!D5</f>
        <v>03.08.19</v>
      </c>
      <c r="E5" s="3"/>
      <c r="F5" s="41" t="s">
        <v>1</v>
      </c>
      <c r="G5" s="65" t="str">
        <f>'03.08 Koboko-Yumbe-24h'!G5:H5</f>
        <v>Umbachi</v>
      </c>
      <c r="H5" s="66"/>
      <c r="I5" s="14"/>
      <c r="J5" s="2" t="s">
        <v>5</v>
      </c>
      <c r="K5" s="65" t="str">
        <f>'03.08 Koboko-Yumbe-24h'!K5:L5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Yumbe-Koboko'!D6:E6</f>
        <v>Yumbe</v>
      </c>
      <c r="E6" s="66"/>
      <c r="F6" s="2" t="s">
        <v>2</v>
      </c>
      <c r="G6" s="65" t="str">
        <f>'31.07 Yumbe-Koboko'!G6:H6</f>
        <v>Koboko</v>
      </c>
      <c r="H6" s="66"/>
      <c r="J6" s="2" t="s">
        <v>21</v>
      </c>
      <c r="K6" s="65" t="str">
        <f>'03.08 Koboko-Yumbe-24h'!K6:L6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5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11</v>
      </c>
      <c r="AD10" s="17">
        <f t="shared" si="2"/>
        <v>0</v>
      </c>
      <c r="AE10" s="31">
        <f t="shared" si="2"/>
        <v>5</v>
      </c>
      <c r="AF10" s="31">
        <f t="shared" si="2"/>
        <v>16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</v>
      </c>
      <c r="N11" s="50">
        <v>0</v>
      </c>
      <c r="O11" s="15">
        <f t="shared" si="0"/>
        <v>0</v>
      </c>
      <c r="P11" s="15">
        <f t="shared" si="1"/>
        <v>4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10</v>
      </c>
      <c r="AD11" s="17">
        <f t="shared" si="3"/>
        <v>0</v>
      </c>
      <c r="AE11" s="31">
        <f t="shared" si="3"/>
        <v>1</v>
      </c>
      <c r="AF11" s="31">
        <f t="shared" si="3"/>
        <v>11</v>
      </c>
    </row>
    <row r="12" spans="2:32" ht="23.1" customHeight="1" x14ac:dyDescent="0.25">
      <c r="B12" s="45" t="s">
        <v>39</v>
      </c>
      <c r="C12" s="50">
        <v>3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3</v>
      </c>
      <c r="P12" s="15">
        <f t="shared" si="1"/>
        <v>7</v>
      </c>
      <c r="R12" s="1" t="s">
        <v>8</v>
      </c>
      <c r="S12" s="17">
        <f t="shared" ref="S12:AF12" si="4">SUM(C18:C21)</f>
        <v>10</v>
      </c>
      <c r="T12" s="17">
        <f t="shared" si="4"/>
        <v>2</v>
      </c>
      <c r="U12" s="17">
        <f t="shared" si="4"/>
        <v>3</v>
      </c>
      <c r="V12" s="17">
        <f t="shared" si="4"/>
        <v>1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11</v>
      </c>
      <c r="AD12" s="17">
        <f t="shared" si="4"/>
        <v>0</v>
      </c>
      <c r="AE12" s="31">
        <f t="shared" si="4"/>
        <v>17</v>
      </c>
      <c r="AF12" s="31">
        <f t="shared" si="4"/>
        <v>28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7</v>
      </c>
      <c r="T13" s="17">
        <f t="shared" si="5"/>
        <v>1</v>
      </c>
      <c r="U13" s="17">
        <f t="shared" si="5"/>
        <v>1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20</v>
      </c>
      <c r="AD13" s="17">
        <f t="shared" si="5"/>
        <v>0</v>
      </c>
      <c r="AE13" s="31">
        <f t="shared" si="5"/>
        <v>11</v>
      </c>
      <c r="AF13" s="31">
        <f t="shared" si="5"/>
        <v>31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1</v>
      </c>
      <c r="P14" s="15">
        <f t="shared" si="1"/>
        <v>1</v>
      </c>
      <c r="R14" s="1" t="s">
        <v>10</v>
      </c>
      <c r="S14" s="17">
        <f t="shared" ref="S14:AF14" si="6">SUM(C26:C29)</f>
        <v>7</v>
      </c>
      <c r="T14" s="17">
        <f t="shared" si="6"/>
        <v>1</v>
      </c>
      <c r="U14" s="17">
        <f t="shared" si="6"/>
        <v>3</v>
      </c>
      <c r="V14" s="17">
        <f t="shared" si="6"/>
        <v>2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21</v>
      </c>
      <c r="AD14" s="17">
        <f t="shared" si="6"/>
        <v>0</v>
      </c>
      <c r="AE14" s="31">
        <f t="shared" si="6"/>
        <v>14</v>
      </c>
      <c r="AF14" s="31">
        <f t="shared" si="6"/>
        <v>35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</v>
      </c>
      <c r="N15" s="50">
        <v>0</v>
      </c>
      <c r="O15" s="15">
        <f t="shared" si="0"/>
        <v>0</v>
      </c>
      <c r="P15" s="15">
        <f t="shared" si="1"/>
        <v>2</v>
      </c>
      <c r="R15" s="1" t="s">
        <v>11</v>
      </c>
      <c r="S15" s="17">
        <f t="shared" ref="S15:AF15" si="7">SUM(C30:C33)</f>
        <v>7</v>
      </c>
      <c r="T15" s="17">
        <f t="shared" si="7"/>
        <v>0</v>
      </c>
      <c r="U15" s="17">
        <f t="shared" si="7"/>
        <v>3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10</v>
      </c>
      <c r="AD15" s="17">
        <f t="shared" si="7"/>
        <v>0</v>
      </c>
      <c r="AE15" s="31">
        <f t="shared" si="7"/>
        <v>13</v>
      </c>
      <c r="AF15" s="31">
        <f t="shared" si="7"/>
        <v>23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0</v>
      </c>
      <c r="P16" s="15">
        <f t="shared" si="1"/>
        <v>5</v>
      </c>
      <c r="R16" s="1" t="s">
        <v>12</v>
      </c>
      <c r="S16" s="17">
        <f t="shared" ref="S16:AF16" si="8">SUM(C34:C37)</f>
        <v>11</v>
      </c>
      <c r="T16" s="17">
        <f t="shared" si="8"/>
        <v>0</v>
      </c>
      <c r="U16" s="17">
        <f t="shared" si="8"/>
        <v>4</v>
      </c>
      <c r="V16" s="17">
        <f t="shared" si="8"/>
        <v>1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18</v>
      </c>
      <c r="AD16" s="17">
        <f t="shared" si="8"/>
        <v>0</v>
      </c>
      <c r="AE16" s="31">
        <f t="shared" si="8"/>
        <v>18</v>
      </c>
      <c r="AF16" s="31">
        <f t="shared" si="8"/>
        <v>36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0</v>
      </c>
      <c r="P17" s="15">
        <f t="shared" si="1"/>
        <v>3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2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6</v>
      </c>
      <c r="AD17" s="17">
        <f t="shared" si="9"/>
        <v>0</v>
      </c>
      <c r="AE17" s="31">
        <f t="shared" si="9"/>
        <v>7</v>
      </c>
      <c r="AF17" s="31">
        <f t="shared" si="9"/>
        <v>13</v>
      </c>
    </row>
    <row r="18" spans="2:32" ht="23.1" customHeight="1" x14ac:dyDescent="0.25">
      <c r="B18" s="45" t="s">
        <v>45</v>
      </c>
      <c r="C18" s="50">
        <v>3</v>
      </c>
      <c r="D18" s="50">
        <v>1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5</v>
      </c>
      <c r="P18" s="15">
        <f t="shared" si="1"/>
        <v>8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1</v>
      </c>
      <c r="V18" s="17">
        <f t="shared" si="10"/>
        <v>1</v>
      </c>
      <c r="W18" s="17">
        <f t="shared" si="10"/>
        <v>0</v>
      </c>
      <c r="X18" s="17">
        <f t="shared" si="10"/>
        <v>1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</v>
      </c>
      <c r="AD18" s="17">
        <f t="shared" si="10"/>
        <v>0</v>
      </c>
      <c r="AE18" s="31">
        <f t="shared" si="10"/>
        <v>10</v>
      </c>
      <c r="AF18" s="31">
        <f t="shared" si="10"/>
        <v>11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</v>
      </c>
      <c r="N19" s="50">
        <v>0</v>
      </c>
      <c r="O19" s="15">
        <f t="shared" si="0"/>
        <v>3</v>
      </c>
      <c r="P19" s="15">
        <f t="shared" si="1"/>
        <v>4</v>
      </c>
      <c r="R19" s="1" t="s">
        <v>15</v>
      </c>
      <c r="S19" s="17">
        <f t="shared" ref="S19:AF19" si="11">SUM(C46:C49)</f>
        <v>4</v>
      </c>
      <c r="T19" s="17">
        <f t="shared" si="11"/>
        <v>1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19</v>
      </c>
      <c r="AD19" s="17">
        <f t="shared" si="11"/>
        <v>0</v>
      </c>
      <c r="AE19" s="31">
        <f t="shared" si="11"/>
        <v>9</v>
      </c>
      <c r="AF19" s="31">
        <f t="shared" si="11"/>
        <v>28</v>
      </c>
    </row>
    <row r="20" spans="2:32" ht="23.1" customHeight="1" x14ac:dyDescent="0.25">
      <c r="B20" s="45" t="s">
        <v>47</v>
      </c>
      <c r="C20" s="50">
        <v>2</v>
      </c>
      <c r="D20" s="50">
        <v>1</v>
      </c>
      <c r="E20" s="50">
        <v>1</v>
      </c>
      <c r="F20" s="50">
        <v>1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3</v>
      </c>
      <c r="N20" s="50">
        <v>0</v>
      </c>
      <c r="O20" s="15">
        <f t="shared" si="0"/>
        <v>6</v>
      </c>
      <c r="P20" s="15">
        <f t="shared" si="1"/>
        <v>9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2</v>
      </c>
      <c r="AC20" s="17">
        <f t="shared" si="12"/>
        <v>15</v>
      </c>
      <c r="AD20" s="17">
        <f t="shared" si="12"/>
        <v>3</v>
      </c>
      <c r="AE20" s="31">
        <f t="shared" si="12"/>
        <v>14</v>
      </c>
      <c r="AF20" s="31">
        <f t="shared" si="12"/>
        <v>29</v>
      </c>
    </row>
    <row r="21" spans="2:32" ht="23.1" customHeight="1" x14ac:dyDescent="0.25">
      <c r="B21" s="45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4</v>
      </c>
      <c r="N21" s="50">
        <v>0</v>
      </c>
      <c r="O21" s="15">
        <f t="shared" si="0"/>
        <v>3</v>
      </c>
      <c r="P21" s="15">
        <f t="shared" si="1"/>
        <v>7</v>
      </c>
      <c r="R21" s="36" t="s">
        <v>20</v>
      </c>
      <c r="S21" s="34">
        <f t="shared" ref="S21:AF21" si="13">SUM(C54:C57)</f>
        <v>5</v>
      </c>
      <c r="T21" s="17">
        <f t="shared" si="13"/>
        <v>2</v>
      </c>
      <c r="U21" s="17">
        <f t="shared" si="13"/>
        <v>4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1</v>
      </c>
      <c r="AA21" s="17">
        <f t="shared" si="13"/>
        <v>0</v>
      </c>
      <c r="AB21" s="17">
        <f t="shared" si="13"/>
        <v>1</v>
      </c>
      <c r="AC21" s="17">
        <f t="shared" si="13"/>
        <v>10</v>
      </c>
      <c r="AD21" s="17">
        <f t="shared" si="13"/>
        <v>0</v>
      </c>
      <c r="AE21" s="31">
        <f t="shared" si="13"/>
        <v>15</v>
      </c>
      <c r="AF21" s="31">
        <f t="shared" si="13"/>
        <v>25</v>
      </c>
    </row>
    <row r="22" spans="2:32" ht="23.1" customHeight="1" x14ac:dyDescent="0.25">
      <c r="B22" s="45" t="s">
        <v>49</v>
      </c>
      <c r="C22" s="50">
        <v>1</v>
      </c>
      <c r="D22" s="50">
        <v>1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</v>
      </c>
      <c r="N22" s="50">
        <v>0</v>
      </c>
      <c r="O22" s="15">
        <f t="shared" si="0"/>
        <v>3</v>
      </c>
      <c r="P22" s="15">
        <f t="shared" si="1"/>
        <v>4</v>
      </c>
      <c r="R22" s="36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0</v>
      </c>
      <c r="AD22" s="34">
        <f t="shared" si="14"/>
        <v>0</v>
      </c>
      <c r="AE22" s="31">
        <f t="shared" si="14"/>
        <v>0</v>
      </c>
      <c r="AF22" s="31">
        <f t="shared" si="14"/>
        <v>0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8</v>
      </c>
      <c r="N23" s="50">
        <v>0</v>
      </c>
      <c r="O23" s="15">
        <f t="shared" si="0"/>
        <v>1</v>
      </c>
      <c r="P23" s="15">
        <f t="shared" si="1"/>
        <v>9</v>
      </c>
      <c r="R23" s="36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0</v>
      </c>
      <c r="AF23" s="31">
        <f t="shared" si="15"/>
        <v>0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3</v>
      </c>
      <c r="P24" s="15">
        <f t="shared" si="1"/>
        <v>11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0</v>
      </c>
      <c r="AF24" s="31">
        <f t="shared" si="16"/>
        <v>0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2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3</v>
      </c>
      <c r="N25" s="50">
        <v>0</v>
      </c>
      <c r="O25" s="15">
        <f t="shared" si="0"/>
        <v>4</v>
      </c>
      <c r="P25" s="15">
        <f t="shared" si="1"/>
        <v>7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0</v>
      </c>
      <c r="AF25" s="31">
        <f t="shared" si="17"/>
        <v>0</v>
      </c>
    </row>
    <row r="26" spans="2:32" ht="23.1" customHeight="1" x14ac:dyDescent="0.25">
      <c r="B26" s="45" t="s">
        <v>53</v>
      </c>
      <c r="C26" s="50">
        <v>4</v>
      </c>
      <c r="D26" s="50">
        <v>0</v>
      </c>
      <c r="E26" s="50">
        <v>1</v>
      </c>
      <c r="F26" s="50">
        <v>0</v>
      </c>
      <c r="G26" s="50">
        <v>0</v>
      </c>
      <c r="H26" s="50">
        <v>1</v>
      </c>
      <c r="I26" s="50">
        <v>0</v>
      </c>
      <c r="J26" s="50">
        <v>0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6</v>
      </c>
      <c r="P26" s="15">
        <f t="shared" si="1"/>
        <v>14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0</v>
      </c>
      <c r="AF26" s="31">
        <f t="shared" si="18"/>
        <v>0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2</v>
      </c>
      <c r="P27" s="15">
        <f t="shared" si="1"/>
        <v>8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0</v>
      </c>
      <c r="P28" s="15">
        <f t="shared" si="1"/>
        <v>4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2</v>
      </c>
      <c r="D29" s="50">
        <v>1</v>
      </c>
      <c r="E29" s="50">
        <v>1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6</v>
      </c>
      <c r="P29" s="15">
        <f t="shared" si="1"/>
        <v>9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3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1</v>
      </c>
      <c r="N30" s="50">
        <v>0</v>
      </c>
      <c r="O30" s="15">
        <f t="shared" si="0"/>
        <v>4</v>
      </c>
      <c r="P30" s="15">
        <f t="shared" si="1"/>
        <v>5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2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3</v>
      </c>
      <c r="P31" s="15">
        <f t="shared" si="1"/>
        <v>5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4</v>
      </c>
      <c r="P32" s="15">
        <f t="shared" si="1"/>
        <v>6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5">
        <f t="shared" si="0"/>
        <v>2</v>
      </c>
      <c r="P33" s="15">
        <f t="shared" si="1"/>
        <v>7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5</v>
      </c>
      <c r="N34" s="50">
        <v>0</v>
      </c>
      <c r="O34" s="15">
        <f t="shared" si="0"/>
        <v>1</v>
      </c>
      <c r="P34" s="15">
        <f t="shared" si="1"/>
        <v>6</v>
      </c>
      <c r="R34" s="38" t="s">
        <v>90</v>
      </c>
      <c r="S34" s="39">
        <f t="shared" ref="S34:AF34" si="26">MAX(S10:S12)</f>
        <v>10</v>
      </c>
      <c r="T34" s="39">
        <f t="shared" si="26"/>
        <v>2</v>
      </c>
      <c r="U34" s="39">
        <f t="shared" si="26"/>
        <v>3</v>
      </c>
      <c r="V34" s="39">
        <f t="shared" si="26"/>
        <v>1</v>
      </c>
      <c r="W34" s="39">
        <f t="shared" si="26"/>
        <v>0</v>
      </c>
      <c r="X34" s="39">
        <f t="shared" si="26"/>
        <v>1</v>
      </c>
      <c r="Y34" s="39">
        <f t="shared" si="26"/>
        <v>0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11</v>
      </c>
      <c r="AD34" s="39">
        <f t="shared" si="26"/>
        <v>0</v>
      </c>
      <c r="AE34" s="40">
        <f t="shared" si="26"/>
        <v>17</v>
      </c>
      <c r="AF34" s="40">
        <f t="shared" si="26"/>
        <v>28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3</v>
      </c>
      <c r="P35" s="15">
        <f t="shared" si="1"/>
        <v>9</v>
      </c>
      <c r="R35" s="38" t="s">
        <v>91</v>
      </c>
      <c r="S35" s="39">
        <f t="shared" ref="S35:AF35" si="27">MAX(S13:S18)</f>
        <v>11</v>
      </c>
      <c r="T35" s="39">
        <f t="shared" si="27"/>
        <v>1</v>
      </c>
      <c r="U35" s="39">
        <f t="shared" si="27"/>
        <v>4</v>
      </c>
      <c r="V35" s="39">
        <f t="shared" si="27"/>
        <v>2</v>
      </c>
      <c r="W35" s="39">
        <f t="shared" si="27"/>
        <v>0</v>
      </c>
      <c r="X35" s="39">
        <f t="shared" si="27"/>
        <v>1</v>
      </c>
      <c r="Y35" s="39">
        <f t="shared" si="27"/>
        <v>3</v>
      </c>
      <c r="Z35" s="39">
        <f t="shared" si="27"/>
        <v>0</v>
      </c>
      <c r="AA35" s="39">
        <f t="shared" si="27"/>
        <v>0</v>
      </c>
      <c r="AB35" s="39">
        <f t="shared" si="27"/>
        <v>1</v>
      </c>
      <c r="AC35" s="39">
        <f t="shared" si="27"/>
        <v>21</v>
      </c>
      <c r="AD35" s="39">
        <f t="shared" si="27"/>
        <v>0</v>
      </c>
      <c r="AE35" s="40">
        <f t="shared" si="27"/>
        <v>18</v>
      </c>
      <c r="AF35" s="40">
        <f t="shared" si="27"/>
        <v>36</v>
      </c>
    </row>
    <row r="36" spans="2:32" ht="23.1" customHeight="1" x14ac:dyDescent="0.25">
      <c r="B36" s="46" t="s">
        <v>63</v>
      </c>
      <c r="C36" s="50">
        <v>7</v>
      </c>
      <c r="D36" s="50">
        <v>0</v>
      </c>
      <c r="E36" s="50">
        <v>1</v>
      </c>
      <c r="F36" s="50">
        <v>1</v>
      </c>
      <c r="G36" s="50">
        <v>0</v>
      </c>
      <c r="H36" s="50">
        <v>1</v>
      </c>
      <c r="I36" s="50">
        <v>1</v>
      </c>
      <c r="J36" s="50">
        <v>0</v>
      </c>
      <c r="K36" s="50">
        <v>0</v>
      </c>
      <c r="L36" s="50">
        <v>0</v>
      </c>
      <c r="M36" s="50">
        <v>4</v>
      </c>
      <c r="N36" s="50">
        <v>0</v>
      </c>
      <c r="O36" s="15">
        <f t="shared" si="0"/>
        <v>11</v>
      </c>
      <c r="P36" s="15">
        <f t="shared" si="1"/>
        <v>15</v>
      </c>
      <c r="R36" s="38" t="s">
        <v>92</v>
      </c>
      <c r="S36" s="39">
        <f t="shared" ref="S36:AF36" si="28">MAX(S19:S21)</f>
        <v>5</v>
      </c>
      <c r="T36" s="39">
        <f t="shared" si="28"/>
        <v>2</v>
      </c>
      <c r="U36" s="39">
        <f t="shared" si="28"/>
        <v>4</v>
      </c>
      <c r="V36" s="39">
        <f t="shared" si="28"/>
        <v>2</v>
      </c>
      <c r="W36" s="39">
        <f t="shared" si="28"/>
        <v>0</v>
      </c>
      <c r="X36" s="39">
        <f t="shared" si="28"/>
        <v>0</v>
      </c>
      <c r="Y36" s="39">
        <f t="shared" si="28"/>
        <v>1</v>
      </c>
      <c r="Z36" s="39">
        <f t="shared" si="28"/>
        <v>2</v>
      </c>
      <c r="AA36" s="39">
        <f t="shared" si="28"/>
        <v>0</v>
      </c>
      <c r="AB36" s="39">
        <f t="shared" si="28"/>
        <v>2</v>
      </c>
      <c r="AC36" s="39">
        <f t="shared" si="28"/>
        <v>19</v>
      </c>
      <c r="AD36" s="39">
        <f t="shared" si="28"/>
        <v>3</v>
      </c>
      <c r="AE36" s="40">
        <f t="shared" si="28"/>
        <v>15</v>
      </c>
      <c r="AF36" s="40">
        <f t="shared" si="28"/>
        <v>29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3</v>
      </c>
      <c r="P37" s="15">
        <f t="shared" si="1"/>
        <v>6</v>
      </c>
      <c r="R37" s="37" t="s">
        <v>85</v>
      </c>
      <c r="S37" s="35">
        <f t="shared" ref="S37:AF37" si="29">SUM(S10:S12)</f>
        <v>14</v>
      </c>
      <c r="T37" s="16">
        <f t="shared" si="29"/>
        <v>2</v>
      </c>
      <c r="U37" s="16">
        <f t="shared" si="29"/>
        <v>4</v>
      </c>
      <c r="V37" s="16">
        <f t="shared" si="29"/>
        <v>2</v>
      </c>
      <c r="W37" s="16">
        <f t="shared" si="29"/>
        <v>0</v>
      </c>
      <c r="X37" s="16">
        <f t="shared" si="29"/>
        <v>1</v>
      </c>
      <c r="Y37" s="16">
        <f t="shared" si="29"/>
        <v>0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32</v>
      </c>
      <c r="AD37" s="16">
        <f t="shared" si="29"/>
        <v>0</v>
      </c>
      <c r="AE37" s="32">
        <f t="shared" si="29"/>
        <v>23</v>
      </c>
      <c r="AF37" s="32">
        <f t="shared" si="29"/>
        <v>55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2</v>
      </c>
      <c r="P38" s="15">
        <f t="shared" si="1"/>
        <v>8</v>
      </c>
      <c r="R38" s="28" t="s">
        <v>86</v>
      </c>
      <c r="S38" s="16">
        <f t="shared" ref="S38:AF38" si="30">SUM(S13:S18)</f>
        <v>39</v>
      </c>
      <c r="T38" s="16">
        <f t="shared" si="30"/>
        <v>2</v>
      </c>
      <c r="U38" s="16">
        <f t="shared" si="30"/>
        <v>14</v>
      </c>
      <c r="V38" s="16">
        <f t="shared" si="30"/>
        <v>9</v>
      </c>
      <c r="W38" s="16">
        <f t="shared" si="30"/>
        <v>0</v>
      </c>
      <c r="X38" s="16">
        <f t="shared" si="30"/>
        <v>3</v>
      </c>
      <c r="Y38" s="16">
        <f t="shared" si="30"/>
        <v>4</v>
      </c>
      <c r="Z38" s="16">
        <f t="shared" si="30"/>
        <v>0</v>
      </c>
      <c r="AA38" s="16">
        <f t="shared" si="30"/>
        <v>0</v>
      </c>
      <c r="AB38" s="16">
        <f t="shared" si="30"/>
        <v>2</v>
      </c>
      <c r="AC38" s="16">
        <f t="shared" si="30"/>
        <v>76</v>
      </c>
      <c r="AD38" s="16">
        <f t="shared" si="30"/>
        <v>0</v>
      </c>
      <c r="AE38" s="32">
        <f t="shared" si="30"/>
        <v>73</v>
      </c>
      <c r="AF38" s="32">
        <f t="shared" si="30"/>
        <v>149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0</v>
      </c>
      <c r="N39" s="50">
        <v>0</v>
      </c>
      <c r="O39" s="15">
        <f t="shared" si="0"/>
        <v>3</v>
      </c>
      <c r="P39" s="15">
        <f t="shared" si="1"/>
        <v>3</v>
      </c>
      <c r="R39" s="29" t="s">
        <v>87</v>
      </c>
      <c r="S39" s="16">
        <f t="shared" ref="S39:AF39" si="31">SUM(S19:S21)</f>
        <v>14</v>
      </c>
      <c r="T39" s="16">
        <f t="shared" si="31"/>
        <v>3</v>
      </c>
      <c r="U39" s="16">
        <f t="shared" si="31"/>
        <v>7</v>
      </c>
      <c r="V39" s="16">
        <f t="shared" si="31"/>
        <v>2</v>
      </c>
      <c r="W39" s="16">
        <f t="shared" si="31"/>
        <v>0</v>
      </c>
      <c r="X39" s="16">
        <f t="shared" si="31"/>
        <v>0</v>
      </c>
      <c r="Y39" s="16">
        <f t="shared" si="31"/>
        <v>2</v>
      </c>
      <c r="Z39" s="16">
        <f t="shared" si="31"/>
        <v>3</v>
      </c>
      <c r="AA39" s="16">
        <f t="shared" si="31"/>
        <v>0</v>
      </c>
      <c r="AB39" s="16">
        <f t="shared" si="31"/>
        <v>4</v>
      </c>
      <c r="AC39" s="16">
        <f t="shared" si="31"/>
        <v>44</v>
      </c>
      <c r="AD39" s="16">
        <f t="shared" si="31"/>
        <v>3</v>
      </c>
      <c r="AE39" s="32">
        <f t="shared" si="31"/>
        <v>38</v>
      </c>
      <c r="AF39" s="32">
        <f t="shared" si="31"/>
        <v>82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1</v>
      </c>
      <c r="P40" s="15">
        <f t="shared" si="1"/>
        <v>1</v>
      </c>
      <c r="R40" s="5" t="s">
        <v>17</v>
      </c>
      <c r="S40" s="16">
        <f t="shared" ref="S40:AF40" si="32">SUM(S10:S21)</f>
        <v>67</v>
      </c>
      <c r="T40" s="16">
        <f t="shared" si="32"/>
        <v>7</v>
      </c>
      <c r="U40" s="16">
        <f t="shared" si="32"/>
        <v>25</v>
      </c>
      <c r="V40" s="16">
        <f t="shared" si="32"/>
        <v>13</v>
      </c>
      <c r="W40" s="16">
        <f t="shared" si="32"/>
        <v>0</v>
      </c>
      <c r="X40" s="16">
        <f t="shared" si="32"/>
        <v>4</v>
      </c>
      <c r="Y40" s="16">
        <f t="shared" si="32"/>
        <v>6</v>
      </c>
      <c r="Z40" s="16">
        <f t="shared" si="32"/>
        <v>3</v>
      </c>
      <c r="AA40" s="16">
        <f t="shared" si="32"/>
        <v>0</v>
      </c>
      <c r="AB40" s="16">
        <f t="shared" si="32"/>
        <v>6</v>
      </c>
      <c r="AC40" s="16">
        <f t="shared" si="32"/>
        <v>152</v>
      </c>
      <c r="AD40" s="16">
        <f t="shared" si="32"/>
        <v>3</v>
      </c>
      <c r="AE40" s="32">
        <f t="shared" si="32"/>
        <v>134</v>
      </c>
      <c r="AF40" s="32">
        <f t="shared" si="32"/>
        <v>286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1</v>
      </c>
      <c r="P41" s="15">
        <f t="shared" si="1"/>
        <v>1</v>
      </c>
      <c r="R41" s="5" t="s">
        <v>159</v>
      </c>
      <c r="S41" s="16">
        <f>SUM(S10:S33)</f>
        <v>67</v>
      </c>
      <c r="T41" s="16">
        <f t="shared" ref="T41:AF41" si="33">SUM(T10:T33)</f>
        <v>7</v>
      </c>
      <c r="U41" s="16">
        <f t="shared" si="33"/>
        <v>25</v>
      </c>
      <c r="V41" s="16">
        <f t="shared" si="33"/>
        <v>13</v>
      </c>
      <c r="W41" s="16">
        <f t="shared" si="33"/>
        <v>0</v>
      </c>
      <c r="X41" s="16">
        <f t="shared" si="33"/>
        <v>4</v>
      </c>
      <c r="Y41" s="16">
        <f t="shared" si="33"/>
        <v>6</v>
      </c>
      <c r="Z41" s="16">
        <f t="shared" si="33"/>
        <v>3</v>
      </c>
      <c r="AA41" s="16">
        <f t="shared" si="33"/>
        <v>0</v>
      </c>
      <c r="AB41" s="16">
        <f t="shared" si="33"/>
        <v>6</v>
      </c>
      <c r="AC41" s="16">
        <f t="shared" si="33"/>
        <v>152</v>
      </c>
      <c r="AD41" s="16">
        <f t="shared" si="33"/>
        <v>3</v>
      </c>
      <c r="AE41" s="32">
        <f t="shared" si="33"/>
        <v>134</v>
      </c>
      <c r="AF41" s="32">
        <f t="shared" si="33"/>
        <v>286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5</v>
      </c>
      <c r="P42" s="15">
        <f t="shared" si="1"/>
        <v>6</v>
      </c>
      <c r="R42" s="5" t="s">
        <v>160</v>
      </c>
      <c r="S42" s="48">
        <f>S41/S40</f>
        <v>1</v>
      </c>
      <c r="T42" s="48">
        <f t="shared" ref="T42:AF42" si="34">T41/T40</f>
        <v>1</v>
      </c>
      <c r="U42" s="48">
        <f t="shared" si="34"/>
        <v>1</v>
      </c>
      <c r="V42" s="48">
        <f t="shared" si="34"/>
        <v>1</v>
      </c>
      <c r="W42" s="48" t="e">
        <f t="shared" si="34"/>
        <v>#DIV/0!</v>
      </c>
      <c r="X42" s="48">
        <f t="shared" si="34"/>
        <v>1</v>
      </c>
      <c r="Y42" s="48">
        <f t="shared" si="34"/>
        <v>1</v>
      </c>
      <c r="Z42" s="48">
        <f t="shared" si="34"/>
        <v>1</v>
      </c>
      <c r="AA42" s="48" t="e">
        <f t="shared" si="34"/>
        <v>#DIV/0!</v>
      </c>
      <c r="AB42" s="48">
        <f t="shared" si="34"/>
        <v>1</v>
      </c>
      <c r="AC42" s="48">
        <f t="shared" si="34"/>
        <v>1</v>
      </c>
      <c r="AD42" s="48">
        <f t="shared" si="34"/>
        <v>1</v>
      </c>
      <c r="AE42" s="48">
        <f t="shared" si="34"/>
        <v>1</v>
      </c>
      <c r="AF42" s="48">
        <f t="shared" si="34"/>
        <v>1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1</v>
      </c>
      <c r="F43" s="50">
        <v>1</v>
      </c>
      <c r="G43" s="50">
        <v>0</v>
      </c>
      <c r="H43" s="50">
        <v>1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3</v>
      </c>
      <c r="P43" s="15">
        <f t="shared" si="1"/>
        <v>3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1</v>
      </c>
      <c r="P44" s="15">
        <f t="shared" si="1"/>
        <v>1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1</v>
      </c>
      <c r="P45" s="15">
        <f t="shared" si="1"/>
        <v>1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8</v>
      </c>
      <c r="N46" s="50">
        <v>0</v>
      </c>
      <c r="O46" s="15">
        <f t="shared" si="0"/>
        <v>2</v>
      </c>
      <c r="P46" s="15">
        <f t="shared" si="1"/>
        <v>10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1</v>
      </c>
      <c r="P47" s="15">
        <f t="shared" si="1"/>
        <v>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1</v>
      </c>
      <c r="M48" s="50">
        <v>3</v>
      </c>
      <c r="N48" s="50">
        <v>0</v>
      </c>
      <c r="O48" s="15">
        <f t="shared" si="0"/>
        <v>2</v>
      </c>
      <c r="P48" s="15">
        <f t="shared" si="1"/>
        <v>5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1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6</v>
      </c>
      <c r="N49" s="50">
        <v>0</v>
      </c>
      <c r="O49" s="15">
        <f t="shared" si="0"/>
        <v>4</v>
      </c>
      <c r="P49" s="15">
        <f t="shared" si="1"/>
        <v>10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2</v>
      </c>
      <c r="K50" s="50">
        <v>0</v>
      </c>
      <c r="L50" s="50">
        <v>1</v>
      </c>
      <c r="M50" s="50">
        <v>2</v>
      </c>
      <c r="N50" s="50">
        <v>1</v>
      </c>
      <c r="O50" s="15">
        <f t="shared" si="0"/>
        <v>6</v>
      </c>
      <c r="P50" s="15">
        <f t="shared" si="1"/>
        <v>8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8</v>
      </c>
      <c r="N51" s="50">
        <v>0</v>
      </c>
      <c r="O51" s="15">
        <f t="shared" si="0"/>
        <v>2</v>
      </c>
      <c r="P51" s="15">
        <f t="shared" si="1"/>
        <v>10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</v>
      </c>
      <c r="N52" s="50">
        <v>1</v>
      </c>
      <c r="O52" s="15">
        <f t="shared" si="0"/>
        <v>2</v>
      </c>
      <c r="P52" s="15">
        <f t="shared" si="1"/>
        <v>4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1</v>
      </c>
      <c r="M53" s="50">
        <v>3</v>
      </c>
      <c r="N53" s="50">
        <v>1</v>
      </c>
      <c r="O53" s="15">
        <f t="shared" si="0"/>
        <v>4</v>
      </c>
      <c r="P53" s="15">
        <f t="shared" si="1"/>
        <v>7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1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6</v>
      </c>
      <c r="N54" s="50">
        <v>0</v>
      </c>
      <c r="O54" s="15">
        <f t="shared" si="0"/>
        <v>4</v>
      </c>
      <c r="P54" s="15">
        <f t="shared" si="1"/>
        <v>10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2</v>
      </c>
      <c r="P55" s="15">
        <f t="shared" si="1"/>
        <v>2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1</v>
      </c>
      <c r="M56" s="50">
        <v>2</v>
      </c>
      <c r="N56" s="50">
        <v>0</v>
      </c>
      <c r="O56" s="15">
        <f t="shared" si="0"/>
        <v>2</v>
      </c>
      <c r="P56" s="15">
        <f t="shared" si="1"/>
        <v>4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1</v>
      </c>
      <c r="E57" s="50">
        <v>2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</v>
      </c>
      <c r="N57" s="50">
        <v>0</v>
      </c>
      <c r="O57" s="15">
        <f t="shared" si="0"/>
        <v>7</v>
      </c>
      <c r="P57" s="15">
        <f t="shared" si="1"/>
        <v>9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0</v>
      </c>
      <c r="N58" s="50">
        <v>0</v>
      </c>
      <c r="O58" s="15">
        <f t="shared" si="0"/>
        <v>0</v>
      </c>
      <c r="P58" s="15">
        <f t="shared" si="1"/>
        <v>0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0</v>
      </c>
      <c r="N59" s="50"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0"/>
        <v>0</v>
      </c>
      <c r="P60" s="15">
        <f t="shared" si="1"/>
        <v>0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0</v>
      </c>
      <c r="N61" s="50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0</v>
      </c>
      <c r="N62" s="50">
        <v>0</v>
      </c>
      <c r="O62" s="15">
        <f t="shared" si="0"/>
        <v>0</v>
      </c>
      <c r="P62" s="15">
        <f t="shared" si="1"/>
        <v>0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0"/>
        <v>0</v>
      </c>
      <c r="P64" s="15">
        <f t="shared" si="1"/>
        <v>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0</v>
      </c>
      <c r="P66" s="15">
        <f t="shared" si="1"/>
        <v>0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67</v>
      </c>
      <c r="D106" s="16">
        <f t="shared" ref="D106:P106" si="37">SUM(D10:D105)</f>
        <v>7</v>
      </c>
      <c r="E106" s="16">
        <f t="shared" si="37"/>
        <v>25</v>
      </c>
      <c r="F106" s="16">
        <f t="shared" si="37"/>
        <v>13</v>
      </c>
      <c r="G106" s="16">
        <f t="shared" si="37"/>
        <v>0</v>
      </c>
      <c r="H106" s="16">
        <f t="shared" si="37"/>
        <v>4</v>
      </c>
      <c r="I106" s="16">
        <f t="shared" si="37"/>
        <v>6</v>
      </c>
      <c r="J106" s="16">
        <f t="shared" si="37"/>
        <v>3</v>
      </c>
      <c r="K106" s="16">
        <f t="shared" si="37"/>
        <v>0</v>
      </c>
      <c r="L106" s="16">
        <f t="shared" si="37"/>
        <v>6</v>
      </c>
      <c r="M106" s="16">
        <f t="shared" si="37"/>
        <v>152</v>
      </c>
      <c r="N106" s="16">
        <f t="shared" si="37"/>
        <v>3</v>
      </c>
      <c r="O106" s="16">
        <f t="shared" si="37"/>
        <v>134</v>
      </c>
      <c r="P106" s="16">
        <f t="shared" si="37"/>
        <v>286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0.23426573426573427</v>
      </c>
      <c r="D107" s="43">
        <f t="shared" si="38"/>
        <v>2.4475524475524476E-2</v>
      </c>
      <c r="E107" s="43">
        <f t="shared" si="38"/>
        <v>8.7412587412587409E-2</v>
      </c>
      <c r="F107" s="43">
        <f t="shared" si="38"/>
        <v>4.5454545454545456E-2</v>
      </c>
      <c r="G107" s="43">
        <f t="shared" si="38"/>
        <v>0</v>
      </c>
      <c r="H107" s="43">
        <f t="shared" si="38"/>
        <v>1.3986013986013986E-2</v>
      </c>
      <c r="I107" s="43">
        <f t="shared" si="38"/>
        <v>2.097902097902098E-2</v>
      </c>
      <c r="J107" s="43">
        <f t="shared" si="38"/>
        <v>1.048951048951049E-2</v>
      </c>
      <c r="K107" s="43">
        <f t="shared" si="38"/>
        <v>0</v>
      </c>
      <c r="L107" s="43">
        <f t="shared" si="38"/>
        <v>2.097902097902098E-2</v>
      </c>
      <c r="M107" s="43">
        <f t="shared" si="38"/>
        <v>0.53146853146853146</v>
      </c>
      <c r="N107" s="43">
        <f t="shared" si="38"/>
        <v>1.048951048951049E-2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</v>
      </c>
      <c r="D108" s="44">
        <f t="shared" ref="D108:N108" si="39">D106/$O$106</f>
        <v>5.2238805970149252E-2</v>
      </c>
      <c r="E108" s="44">
        <f t="shared" si="39"/>
        <v>0.18656716417910449</v>
      </c>
      <c r="F108" s="44">
        <f t="shared" si="39"/>
        <v>9.7014925373134331E-2</v>
      </c>
      <c r="G108" s="44">
        <f t="shared" si="39"/>
        <v>0</v>
      </c>
      <c r="H108" s="44">
        <f t="shared" si="39"/>
        <v>2.9850746268656716E-2</v>
      </c>
      <c r="I108" s="44">
        <f t="shared" si="39"/>
        <v>4.4776119402985072E-2</v>
      </c>
      <c r="J108" s="44">
        <f t="shared" si="39"/>
        <v>2.2388059701492536E-2</v>
      </c>
      <c r="K108" s="44">
        <f t="shared" si="39"/>
        <v>0</v>
      </c>
      <c r="L108" s="44">
        <f t="shared" si="39"/>
        <v>4.4776119402985072E-2</v>
      </c>
      <c r="M108" s="44"/>
      <c r="N108" s="44">
        <f t="shared" si="39"/>
        <v>2.2388059701492536E-2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D45" sqref="D4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Koboko-Yumbe'!C3:G3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5" t="str">
        <f>'31.07 Koboko-Yumbe'!G5:H5</f>
        <v>Umbachi</v>
      </c>
      <c r="H5" s="66"/>
      <c r="I5" s="14"/>
      <c r="J5" s="2" t="s">
        <v>5</v>
      </c>
      <c r="K5" s="65" t="str">
        <f>'31.07 Koboko-Yumbe'!K5:L5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Koboko-Yumbe'!D6:E6</f>
        <v>Koboko</v>
      </c>
      <c r="E6" s="66"/>
      <c r="F6" s="2" t="s">
        <v>2</v>
      </c>
      <c r="G6" s="65" t="str">
        <f>'31.07 Koboko-Yumbe'!G6:H6</f>
        <v>Yumbe</v>
      </c>
      <c r="H6" s="66"/>
      <c r="J6" s="2" t="s">
        <v>21</v>
      </c>
      <c r="K6" s="65" t="str">
        <f>'31.07 Koboko-Yumbe'!K6:L6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1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10</v>
      </c>
      <c r="AD10" s="17">
        <f t="shared" si="2"/>
        <v>0</v>
      </c>
      <c r="AE10" s="31">
        <f t="shared" si="2"/>
        <v>10</v>
      </c>
      <c r="AF10" s="31">
        <f t="shared" si="2"/>
        <v>20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0</v>
      </c>
      <c r="F11" s="50">
        <v>1</v>
      </c>
      <c r="G11" s="50">
        <v>0</v>
      </c>
      <c r="H11" s="50">
        <v>1</v>
      </c>
      <c r="I11" s="50">
        <v>0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5</v>
      </c>
      <c r="P11" s="15">
        <f t="shared" si="1"/>
        <v>10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11</v>
      </c>
      <c r="AD11" s="17">
        <f t="shared" si="3"/>
        <v>0</v>
      </c>
      <c r="AE11" s="31">
        <f t="shared" si="3"/>
        <v>6</v>
      </c>
      <c r="AF11" s="31">
        <f t="shared" si="3"/>
        <v>17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2</v>
      </c>
      <c r="P12" s="15">
        <f t="shared" si="1"/>
        <v>4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1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13</v>
      </c>
      <c r="AD12" s="17">
        <f t="shared" si="4"/>
        <v>0</v>
      </c>
      <c r="AE12" s="31">
        <f t="shared" si="4"/>
        <v>7</v>
      </c>
      <c r="AF12" s="31">
        <f t="shared" si="4"/>
        <v>20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1</v>
      </c>
      <c r="P13" s="15">
        <f t="shared" si="1"/>
        <v>2</v>
      </c>
      <c r="R13" s="1" t="s">
        <v>9</v>
      </c>
      <c r="S13" s="17">
        <f t="shared" ref="S13:AF13" si="5">SUM(C22:C25)</f>
        <v>7</v>
      </c>
      <c r="T13" s="17">
        <f t="shared" si="5"/>
        <v>1</v>
      </c>
      <c r="U13" s="17">
        <f t="shared" si="5"/>
        <v>2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20</v>
      </c>
      <c r="AD13" s="17">
        <f t="shared" si="5"/>
        <v>0</v>
      </c>
      <c r="AE13" s="31">
        <f t="shared" si="5"/>
        <v>13</v>
      </c>
      <c r="AF13" s="31">
        <f t="shared" si="5"/>
        <v>33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2</v>
      </c>
      <c r="P14" s="15">
        <f t="shared" si="1"/>
        <v>4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25</v>
      </c>
      <c r="AD14" s="17">
        <f t="shared" si="6"/>
        <v>0</v>
      </c>
      <c r="AE14" s="31">
        <f t="shared" si="6"/>
        <v>11</v>
      </c>
      <c r="AF14" s="31">
        <f t="shared" si="6"/>
        <v>36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1</v>
      </c>
      <c r="P15" s="15">
        <f t="shared" si="1"/>
        <v>5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3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22</v>
      </c>
      <c r="AD15" s="17">
        <f t="shared" si="7"/>
        <v>0</v>
      </c>
      <c r="AE15" s="31">
        <f t="shared" si="7"/>
        <v>12</v>
      </c>
      <c r="AF15" s="31">
        <f t="shared" si="7"/>
        <v>34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2</v>
      </c>
      <c r="P16" s="15">
        <f t="shared" si="1"/>
        <v>3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20</v>
      </c>
      <c r="AD16" s="17">
        <f t="shared" si="8"/>
        <v>0</v>
      </c>
      <c r="AE16" s="31">
        <f t="shared" si="8"/>
        <v>10</v>
      </c>
      <c r="AF16" s="31">
        <f t="shared" si="8"/>
        <v>30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1</v>
      </c>
      <c r="P17" s="15">
        <f t="shared" si="1"/>
        <v>5</v>
      </c>
      <c r="R17" s="1" t="s">
        <v>13</v>
      </c>
      <c r="S17" s="17">
        <f t="shared" ref="S17:AF17" si="9">SUM(C38:C41)</f>
        <v>9</v>
      </c>
      <c r="T17" s="17">
        <f t="shared" si="9"/>
        <v>0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14</v>
      </c>
      <c r="AD17" s="17">
        <f t="shared" si="9"/>
        <v>0</v>
      </c>
      <c r="AE17" s="31">
        <f t="shared" si="9"/>
        <v>13</v>
      </c>
      <c r="AF17" s="31">
        <f t="shared" si="9"/>
        <v>27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1</v>
      </c>
      <c r="P18" s="15">
        <f t="shared" si="1"/>
        <v>4</v>
      </c>
      <c r="R18" s="1" t="s">
        <v>14</v>
      </c>
      <c r="S18" s="17">
        <f t="shared" ref="S18:AF18" si="10">SUM(C42:C45)</f>
        <v>8</v>
      </c>
      <c r="T18" s="17">
        <f t="shared" si="10"/>
        <v>0</v>
      </c>
      <c r="U18" s="17">
        <f t="shared" si="10"/>
        <v>3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17</v>
      </c>
      <c r="AD18" s="17">
        <f t="shared" si="10"/>
        <v>0</v>
      </c>
      <c r="AE18" s="31">
        <f t="shared" si="10"/>
        <v>13</v>
      </c>
      <c r="AF18" s="31">
        <f t="shared" si="10"/>
        <v>30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1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3</v>
      </c>
      <c r="P19" s="15">
        <f t="shared" si="1"/>
        <v>6</v>
      </c>
      <c r="R19" s="1" t="s">
        <v>15</v>
      </c>
      <c r="S19" s="17">
        <f t="shared" ref="S19:AF19" si="11">SUM(C46:C49)</f>
        <v>5</v>
      </c>
      <c r="T19" s="17">
        <f t="shared" si="11"/>
        <v>1</v>
      </c>
      <c r="U19" s="17">
        <f t="shared" si="11"/>
        <v>3</v>
      </c>
      <c r="V19" s="17">
        <f t="shared" si="11"/>
        <v>1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1</v>
      </c>
      <c r="AA19" s="17">
        <f t="shared" si="11"/>
        <v>2</v>
      </c>
      <c r="AB19" s="17">
        <f t="shared" si="11"/>
        <v>0</v>
      </c>
      <c r="AC19" s="17">
        <f t="shared" si="11"/>
        <v>12</v>
      </c>
      <c r="AD19" s="17">
        <f t="shared" si="11"/>
        <v>0</v>
      </c>
      <c r="AE19" s="31">
        <f t="shared" si="11"/>
        <v>14</v>
      </c>
      <c r="AF19" s="31">
        <f t="shared" si="11"/>
        <v>26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1</v>
      </c>
      <c r="P20" s="15">
        <f t="shared" si="1"/>
        <v>6</v>
      </c>
      <c r="R20" s="1" t="s">
        <v>16</v>
      </c>
      <c r="S20" s="17">
        <f t="shared" ref="S20:AF20" si="12">SUM(C50:C53)</f>
        <v>12</v>
      </c>
      <c r="T20" s="17">
        <f t="shared" si="12"/>
        <v>2</v>
      </c>
      <c r="U20" s="17">
        <f t="shared" si="12"/>
        <v>9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25</v>
      </c>
      <c r="AD20" s="17">
        <f t="shared" si="12"/>
        <v>0</v>
      </c>
      <c r="AE20" s="31">
        <f t="shared" si="12"/>
        <v>25</v>
      </c>
      <c r="AF20" s="31">
        <f t="shared" si="12"/>
        <v>50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2</v>
      </c>
      <c r="P21" s="15">
        <f t="shared" si="1"/>
        <v>4</v>
      </c>
      <c r="R21" s="36" t="s">
        <v>20</v>
      </c>
      <c r="S21" s="34">
        <f t="shared" ref="S21:AF21" si="13">SUM(C54:C57)</f>
        <v>8</v>
      </c>
      <c r="T21" s="17">
        <f t="shared" si="13"/>
        <v>1</v>
      </c>
      <c r="U21" s="17">
        <f t="shared" si="13"/>
        <v>6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10</v>
      </c>
      <c r="AD21" s="17">
        <f t="shared" si="13"/>
        <v>0</v>
      </c>
      <c r="AE21" s="31">
        <f t="shared" si="13"/>
        <v>16</v>
      </c>
      <c r="AF21" s="31">
        <f t="shared" si="13"/>
        <v>26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2</v>
      </c>
      <c r="P22" s="15">
        <f t="shared" si="1"/>
        <v>7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1</v>
      </c>
      <c r="W22" s="39">
        <f t="shared" si="14"/>
        <v>1</v>
      </c>
      <c r="X22" s="39">
        <f t="shared" si="14"/>
        <v>1</v>
      </c>
      <c r="Y22" s="39">
        <f t="shared" si="14"/>
        <v>2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13</v>
      </c>
      <c r="AD22" s="39">
        <f t="shared" si="14"/>
        <v>0</v>
      </c>
      <c r="AE22" s="40">
        <f t="shared" si="14"/>
        <v>10</v>
      </c>
      <c r="AF22" s="40">
        <f t="shared" si="14"/>
        <v>20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3</v>
      </c>
      <c r="P23" s="15">
        <f t="shared" si="1"/>
        <v>6</v>
      </c>
      <c r="R23" s="38" t="s">
        <v>91</v>
      </c>
      <c r="S23" s="39">
        <f>MAX(S13:S18)</f>
        <v>9</v>
      </c>
      <c r="T23" s="39">
        <f t="shared" ref="T23:AF23" si="15">MAX(T13:T18)</f>
        <v>1</v>
      </c>
      <c r="U23" s="39">
        <f t="shared" si="15"/>
        <v>3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0</v>
      </c>
      <c r="AA23" s="39">
        <f t="shared" si="15"/>
        <v>1</v>
      </c>
      <c r="AB23" s="39">
        <f t="shared" si="15"/>
        <v>1</v>
      </c>
      <c r="AC23" s="39">
        <f t="shared" si="15"/>
        <v>25</v>
      </c>
      <c r="AD23" s="39">
        <f t="shared" si="15"/>
        <v>0</v>
      </c>
      <c r="AE23" s="40">
        <f t="shared" si="15"/>
        <v>13</v>
      </c>
      <c r="AF23" s="40">
        <f t="shared" si="15"/>
        <v>36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5</v>
      </c>
      <c r="N24" s="50">
        <v>0</v>
      </c>
      <c r="O24" s="15">
        <f t="shared" si="0"/>
        <v>3</v>
      </c>
      <c r="P24" s="15">
        <f t="shared" si="1"/>
        <v>8</v>
      </c>
      <c r="R24" s="38" t="s">
        <v>92</v>
      </c>
      <c r="S24" s="39">
        <f>MAX(S19:S21)</f>
        <v>12</v>
      </c>
      <c r="T24" s="39">
        <f t="shared" ref="T24:AF24" si="16">MAX(T19:T21)</f>
        <v>2</v>
      </c>
      <c r="U24" s="39">
        <f t="shared" si="16"/>
        <v>9</v>
      </c>
      <c r="V24" s="39">
        <f t="shared" si="16"/>
        <v>1</v>
      </c>
      <c r="W24" s="39">
        <f t="shared" si="16"/>
        <v>0</v>
      </c>
      <c r="X24" s="39">
        <f t="shared" si="16"/>
        <v>1</v>
      </c>
      <c r="Y24" s="39">
        <f t="shared" si="16"/>
        <v>1</v>
      </c>
      <c r="Z24" s="39">
        <f t="shared" si="16"/>
        <v>1</v>
      </c>
      <c r="AA24" s="39">
        <f t="shared" si="16"/>
        <v>2</v>
      </c>
      <c r="AB24" s="39">
        <f t="shared" si="16"/>
        <v>0</v>
      </c>
      <c r="AC24" s="39">
        <f t="shared" si="16"/>
        <v>25</v>
      </c>
      <c r="AD24" s="39">
        <f t="shared" si="16"/>
        <v>0</v>
      </c>
      <c r="AE24" s="40">
        <f t="shared" si="16"/>
        <v>25</v>
      </c>
      <c r="AF24" s="40">
        <f t="shared" si="16"/>
        <v>50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1</v>
      </c>
      <c r="L25" s="50">
        <v>0</v>
      </c>
      <c r="M25" s="50">
        <v>7</v>
      </c>
      <c r="N25" s="50">
        <v>0</v>
      </c>
      <c r="O25" s="15">
        <f t="shared" si="0"/>
        <v>5</v>
      </c>
      <c r="P25" s="15">
        <f t="shared" si="1"/>
        <v>12</v>
      </c>
      <c r="R25" s="37" t="s">
        <v>85</v>
      </c>
      <c r="S25" s="35">
        <f t="shared" ref="S25:AF25" si="17">SUM(S10:S12)</f>
        <v>13</v>
      </c>
      <c r="T25" s="16">
        <f t="shared" si="17"/>
        <v>0</v>
      </c>
      <c r="U25" s="16">
        <f t="shared" si="17"/>
        <v>1</v>
      </c>
      <c r="V25" s="16">
        <f t="shared" si="17"/>
        <v>2</v>
      </c>
      <c r="W25" s="16">
        <f t="shared" si="17"/>
        <v>1</v>
      </c>
      <c r="X25" s="16">
        <f t="shared" si="17"/>
        <v>2</v>
      </c>
      <c r="Y25" s="16">
        <f t="shared" si="17"/>
        <v>4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34</v>
      </c>
      <c r="AD25" s="16">
        <f t="shared" si="17"/>
        <v>0</v>
      </c>
      <c r="AE25" s="32">
        <f t="shared" si="17"/>
        <v>23</v>
      </c>
      <c r="AF25" s="32">
        <f t="shared" si="17"/>
        <v>57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0</v>
      </c>
      <c r="P26" s="15">
        <f t="shared" si="1"/>
        <v>12</v>
      </c>
      <c r="R26" s="28" t="s">
        <v>86</v>
      </c>
      <c r="S26" s="16">
        <f t="shared" ref="S26:AF26" si="18">SUM(S13:S18)</f>
        <v>44</v>
      </c>
      <c r="T26" s="16">
        <f t="shared" si="18"/>
        <v>1</v>
      </c>
      <c r="U26" s="16">
        <f t="shared" si="18"/>
        <v>12</v>
      </c>
      <c r="V26" s="16">
        <f t="shared" si="18"/>
        <v>7</v>
      </c>
      <c r="W26" s="16">
        <f t="shared" si="18"/>
        <v>0</v>
      </c>
      <c r="X26" s="16">
        <f t="shared" si="18"/>
        <v>0</v>
      </c>
      <c r="Y26" s="16">
        <f t="shared" si="18"/>
        <v>6</v>
      </c>
      <c r="Z26" s="16">
        <f t="shared" si="18"/>
        <v>0</v>
      </c>
      <c r="AA26" s="16">
        <f t="shared" si="18"/>
        <v>1</v>
      </c>
      <c r="AB26" s="16">
        <f t="shared" si="18"/>
        <v>1</v>
      </c>
      <c r="AC26" s="16">
        <f t="shared" si="18"/>
        <v>118</v>
      </c>
      <c r="AD26" s="16">
        <f t="shared" si="18"/>
        <v>0</v>
      </c>
      <c r="AE26" s="32">
        <f t="shared" si="18"/>
        <v>72</v>
      </c>
      <c r="AF26" s="32">
        <f t="shared" si="18"/>
        <v>190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1</v>
      </c>
      <c r="P27" s="15">
        <f t="shared" si="1"/>
        <v>7</v>
      </c>
      <c r="R27" s="29" t="s">
        <v>87</v>
      </c>
      <c r="S27" s="16">
        <f t="shared" ref="S27:AF27" si="19">SUM(S19:S21)</f>
        <v>25</v>
      </c>
      <c r="T27" s="16">
        <f t="shared" si="19"/>
        <v>4</v>
      </c>
      <c r="U27" s="16">
        <f t="shared" si="19"/>
        <v>18</v>
      </c>
      <c r="V27" s="16">
        <f t="shared" si="19"/>
        <v>3</v>
      </c>
      <c r="W27" s="16">
        <f t="shared" si="19"/>
        <v>0</v>
      </c>
      <c r="X27" s="16">
        <f t="shared" si="19"/>
        <v>1</v>
      </c>
      <c r="Y27" s="16">
        <f t="shared" si="19"/>
        <v>1</v>
      </c>
      <c r="Z27" s="16">
        <f t="shared" si="19"/>
        <v>1</v>
      </c>
      <c r="AA27" s="16">
        <f t="shared" si="19"/>
        <v>2</v>
      </c>
      <c r="AB27" s="16">
        <f t="shared" si="19"/>
        <v>0</v>
      </c>
      <c r="AC27" s="16">
        <f t="shared" si="19"/>
        <v>47</v>
      </c>
      <c r="AD27" s="16">
        <f t="shared" si="19"/>
        <v>0</v>
      </c>
      <c r="AE27" s="32">
        <f t="shared" si="19"/>
        <v>55</v>
      </c>
      <c r="AF27" s="32">
        <f t="shared" si="19"/>
        <v>102</v>
      </c>
    </row>
    <row r="28" spans="2:32" ht="23.1" customHeight="1" x14ac:dyDescent="0.25">
      <c r="B28" s="23" t="s">
        <v>55</v>
      </c>
      <c r="C28" s="50">
        <v>6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8</v>
      </c>
      <c r="P28" s="15">
        <f t="shared" si="1"/>
        <v>11</v>
      </c>
      <c r="R28" s="5" t="s">
        <v>17</v>
      </c>
      <c r="S28" s="16">
        <f t="shared" ref="S28:AF28" si="20">SUM(S10:S21)</f>
        <v>82</v>
      </c>
      <c r="T28" s="16">
        <f t="shared" si="20"/>
        <v>5</v>
      </c>
      <c r="U28" s="16">
        <f t="shared" si="20"/>
        <v>31</v>
      </c>
      <c r="V28" s="16">
        <f t="shared" si="20"/>
        <v>12</v>
      </c>
      <c r="W28" s="16">
        <f t="shared" si="20"/>
        <v>1</v>
      </c>
      <c r="X28" s="16">
        <f t="shared" si="20"/>
        <v>3</v>
      </c>
      <c r="Y28" s="16">
        <f t="shared" si="20"/>
        <v>11</v>
      </c>
      <c r="Z28" s="16">
        <f t="shared" si="20"/>
        <v>1</v>
      </c>
      <c r="AA28" s="16">
        <f t="shared" si="20"/>
        <v>3</v>
      </c>
      <c r="AB28" s="16">
        <f t="shared" si="20"/>
        <v>1</v>
      </c>
      <c r="AC28" s="16">
        <f t="shared" si="20"/>
        <v>199</v>
      </c>
      <c r="AD28" s="16">
        <f t="shared" si="20"/>
        <v>0</v>
      </c>
      <c r="AE28" s="32">
        <f t="shared" si="20"/>
        <v>150</v>
      </c>
      <c r="AF28" s="32">
        <f t="shared" si="20"/>
        <v>349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2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1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6</v>
      </c>
      <c r="N30" s="50">
        <v>0</v>
      </c>
      <c r="O30" s="15">
        <f t="shared" si="0"/>
        <v>5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6</v>
      </c>
      <c r="N31" s="50">
        <v>0</v>
      </c>
      <c r="O31" s="15">
        <f t="shared" si="0"/>
        <v>4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2</v>
      </c>
      <c r="P32" s="15">
        <f t="shared" si="1"/>
        <v>7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5">
        <f t="shared" si="0"/>
        <v>1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3</v>
      </c>
      <c r="P34" s="15">
        <f t="shared" si="1"/>
        <v>9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3</v>
      </c>
      <c r="P35" s="15">
        <f t="shared" si="1"/>
        <v>7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2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2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</v>
      </c>
      <c r="N38" s="50">
        <v>0</v>
      </c>
      <c r="O38" s="15">
        <f t="shared" si="0"/>
        <v>2</v>
      </c>
      <c r="P38" s="15">
        <f t="shared" si="1"/>
        <v>4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5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3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3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2</v>
      </c>
      <c r="P42" s="15">
        <f t="shared" si="1"/>
        <v>4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3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4</v>
      </c>
      <c r="N44" s="50">
        <v>0</v>
      </c>
      <c r="O44" s="15">
        <f t="shared" si="0"/>
        <v>3</v>
      </c>
      <c r="P44" s="15">
        <f t="shared" si="1"/>
        <v>7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2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3</v>
      </c>
      <c r="N45" s="50">
        <v>0</v>
      </c>
      <c r="O45" s="15">
        <f t="shared" si="0"/>
        <v>5</v>
      </c>
      <c r="P45" s="15">
        <f t="shared" si="1"/>
        <v>8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1</v>
      </c>
      <c r="L46" s="50">
        <v>0</v>
      </c>
      <c r="M46" s="50">
        <v>1</v>
      </c>
      <c r="N46" s="50">
        <v>0</v>
      </c>
      <c r="O46" s="15">
        <f t="shared" si="0"/>
        <v>3</v>
      </c>
      <c r="P46" s="15">
        <f t="shared" si="1"/>
        <v>4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1</v>
      </c>
      <c r="L47" s="50">
        <v>0</v>
      </c>
      <c r="M47" s="50">
        <v>6</v>
      </c>
      <c r="N47" s="50">
        <v>0</v>
      </c>
      <c r="O47" s="15">
        <f t="shared" si="0"/>
        <v>1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1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5</v>
      </c>
      <c r="P48" s="15">
        <f t="shared" si="1"/>
        <v>9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1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5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6</v>
      </c>
      <c r="P50" s="15">
        <f t="shared" si="1"/>
        <v>9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1</v>
      </c>
      <c r="E51" s="50">
        <v>3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10</v>
      </c>
      <c r="P51" s="15">
        <f t="shared" si="1"/>
        <v>15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6</v>
      </c>
      <c r="N52" s="50">
        <v>0</v>
      </c>
      <c r="O52" s="15">
        <f t="shared" si="0"/>
        <v>3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2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11</v>
      </c>
      <c r="N53" s="50">
        <v>0</v>
      </c>
      <c r="O53" s="15">
        <f t="shared" si="0"/>
        <v>6</v>
      </c>
      <c r="P53" s="15">
        <f t="shared" si="1"/>
        <v>17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5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3</v>
      </c>
      <c r="P55" s="15">
        <f t="shared" si="1"/>
        <v>4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3</v>
      </c>
      <c r="N56" s="50">
        <v>0</v>
      </c>
      <c r="O56" s="15">
        <f t="shared" si="0"/>
        <v>2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3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</v>
      </c>
      <c r="N57" s="50">
        <v>0</v>
      </c>
      <c r="O57" s="15">
        <f t="shared" si="0"/>
        <v>6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82</v>
      </c>
      <c r="D58" s="16">
        <f t="shared" si="21"/>
        <v>5</v>
      </c>
      <c r="E58" s="16">
        <f t="shared" si="21"/>
        <v>31</v>
      </c>
      <c r="F58" s="16">
        <f t="shared" si="21"/>
        <v>12</v>
      </c>
      <c r="G58" s="16">
        <f t="shared" si="21"/>
        <v>1</v>
      </c>
      <c r="H58" s="16">
        <f t="shared" si="21"/>
        <v>3</v>
      </c>
      <c r="I58" s="16">
        <f t="shared" si="21"/>
        <v>11</v>
      </c>
      <c r="J58" s="16">
        <f t="shared" si="21"/>
        <v>1</v>
      </c>
      <c r="K58" s="16">
        <f t="shared" si="21"/>
        <v>3</v>
      </c>
      <c r="L58" s="16">
        <f t="shared" si="21"/>
        <v>1</v>
      </c>
      <c r="M58" s="16">
        <f t="shared" si="21"/>
        <v>199</v>
      </c>
      <c r="N58" s="16">
        <f t="shared" si="21"/>
        <v>0</v>
      </c>
      <c r="O58" s="16">
        <f t="shared" si="21"/>
        <v>150</v>
      </c>
      <c r="P58" s="16">
        <f t="shared" si="21"/>
        <v>349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0.23495702005730659</v>
      </c>
      <c r="D59" s="43">
        <f t="shared" si="22"/>
        <v>1.4326647564469915E-2</v>
      </c>
      <c r="E59" s="43">
        <f t="shared" si="22"/>
        <v>8.882521489971347E-2</v>
      </c>
      <c r="F59" s="43">
        <f t="shared" si="22"/>
        <v>3.4383954154727794E-2</v>
      </c>
      <c r="G59" s="43">
        <f t="shared" si="22"/>
        <v>2.8653295128939827E-3</v>
      </c>
      <c r="H59" s="43">
        <f t="shared" si="22"/>
        <v>8.5959885386819486E-3</v>
      </c>
      <c r="I59" s="43">
        <f t="shared" si="22"/>
        <v>3.151862464183381E-2</v>
      </c>
      <c r="J59" s="43">
        <f t="shared" si="22"/>
        <v>2.8653295128939827E-3</v>
      </c>
      <c r="K59" s="43">
        <f t="shared" si="22"/>
        <v>8.5959885386819486E-3</v>
      </c>
      <c r="L59" s="43">
        <f t="shared" si="22"/>
        <v>2.8653295128939827E-3</v>
      </c>
      <c r="M59" s="43">
        <f t="shared" si="22"/>
        <v>0.57020057306590255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0.54666666666666663</v>
      </c>
      <c r="D60" s="44">
        <f t="shared" ref="D60:N60" si="23">D58/$O$58</f>
        <v>3.3333333333333333E-2</v>
      </c>
      <c r="E60" s="44">
        <f t="shared" si="23"/>
        <v>0.20666666666666667</v>
      </c>
      <c r="F60" s="44">
        <f t="shared" si="23"/>
        <v>0.08</v>
      </c>
      <c r="G60" s="44">
        <f t="shared" si="23"/>
        <v>6.6666666666666671E-3</v>
      </c>
      <c r="H60" s="44">
        <f t="shared" si="23"/>
        <v>0.02</v>
      </c>
      <c r="I60" s="44">
        <f t="shared" si="23"/>
        <v>7.3333333333333334E-2</v>
      </c>
      <c r="J60" s="44">
        <f t="shared" si="23"/>
        <v>6.6666666666666671E-3</v>
      </c>
      <c r="K60" s="44">
        <f t="shared" si="23"/>
        <v>0.02</v>
      </c>
      <c r="L60" s="44">
        <f t="shared" si="23"/>
        <v>6.6666666666666671E-3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activeCell="E59" sqref="E5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Yumbe-Koboko'!C3:G3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Koboko-Yumbe '!D5</f>
        <v>04.08.19</v>
      </c>
      <c r="E5" s="3"/>
      <c r="F5" s="41" t="s">
        <v>1</v>
      </c>
      <c r="G5" s="65" t="str">
        <f>'31.07 Koboko-Yumbe'!G5:H5</f>
        <v>Umbachi</v>
      </c>
      <c r="H5" s="66"/>
      <c r="I5" s="14"/>
      <c r="J5" s="2" t="s">
        <v>5</v>
      </c>
      <c r="K5" s="65" t="str">
        <f>'31.07 Koboko-Yumbe'!K5:L5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Yumbe-Koboko'!D6:E6</f>
        <v>Yumbe</v>
      </c>
      <c r="E6" s="66"/>
      <c r="F6" s="2" t="s">
        <v>2</v>
      </c>
      <c r="G6" s="65" t="str">
        <f>'31.07 Yumbe-Koboko'!G6:H6</f>
        <v>Koboko</v>
      </c>
      <c r="H6" s="66"/>
      <c r="J6" s="2" t="s">
        <v>21</v>
      </c>
      <c r="K6" s="65" t="str">
        <f>'31.07 Koboko-Yumbe'!K6:L6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11</v>
      </c>
      <c r="T10" s="17">
        <f t="shared" si="2"/>
        <v>1</v>
      </c>
      <c r="U10" s="17">
        <f t="shared" si="2"/>
        <v>4</v>
      </c>
      <c r="V10" s="17">
        <f t="shared" si="2"/>
        <v>0</v>
      </c>
      <c r="W10" s="17">
        <f t="shared" si="2"/>
        <v>0</v>
      </c>
      <c r="X10" s="17">
        <f t="shared" si="2"/>
        <v>1</v>
      </c>
      <c r="Y10" s="17">
        <f t="shared" si="2"/>
        <v>4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11</v>
      </c>
      <c r="AD10" s="17">
        <f t="shared" si="2"/>
        <v>0</v>
      </c>
      <c r="AE10" s="31">
        <f t="shared" si="2"/>
        <v>22</v>
      </c>
      <c r="AF10" s="31">
        <f t="shared" si="2"/>
        <v>33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6</v>
      </c>
      <c r="P11" s="15">
        <f t="shared" si="1"/>
        <v>9</v>
      </c>
      <c r="R11" s="1" t="s">
        <v>7</v>
      </c>
      <c r="S11" s="17">
        <f t="shared" ref="S11:AF11" si="3">SUM(C14:C17)</f>
        <v>7</v>
      </c>
      <c r="T11" s="17">
        <f t="shared" si="3"/>
        <v>3</v>
      </c>
      <c r="U11" s="17">
        <f t="shared" si="3"/>
        <v>4</v>
      </c>
      <c r="V11" s="17">
        <f t="shared" si="3"/>
        <v>2</v>
      </c>
      <c r="W11" s="17">
        <f t="shared" si="3"/>
        <v>0</v>
      </c>
      <c r="X11" s="17">
        <f t="shared" si="3"/>
        <v>1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18</v>
      </c>
      <c r="AD11" s="17">
        <f t="shared" si="3"/>
        <v>0</v>
      </c>
      <c r="AE11" s="31">
        <f t="shared" si="3"/>
        <v>17</v>
      </c>
      <c r="AF11" s="31">
        <f t="shared" si="3"/>
        <v>35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1</v>
      </c>
      <c r="N12" s="50">
        <v>0</v>
      </c>
      <c r="O12" s="15">
        <f t="shared" si="0"/>
        <v>5</v>
      </c>
      <c r="P12" s="15">
        <f t="shared" si="1"/>
        <v>6</v>
      </c>
      <c r="R12" s="1" t="s">
        <v>8</v>
      </c>
      <c r="S12" s="17">
        <f t="shared" ref="S12:AF12" si="4">SUM(C18:C21)</f>
        <v>18</v>
      </c>
      <c r="T12" s="17">
        <f t="shared" si="4"/>
        <v>1</v>
      </c>
      <c r="U12" s="17">
        <f t="shared" si="4"/>
        <v>2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12</v>
      </c>
      <c r="AD12" s="17">
        <f t="shared" si="4"/>
        <v>0</v>
      </c>
      <c r="AE12" s="31">
        <f t="shared" si="4"/>
        <v>24</v>
      </c>
      <c r="AF12" s="31">
        <f t="shared" si="4"/>
        <v>36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1</v>
      </c>
      <c r="I13" s="50">
        <v>1</v>
      </c>
      <c r="J13" s="50">
        <v>0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4</v>
      </c>
      <c r="P13" s="15">
        <f t="shared" si="1"/>
        <v>8</v>
      </c>
      <c r="R13" s="1" t="s">
        <v>9</v>
      </c>
      <c r="S13" s="17">
        <f t="shared" ref="S13:AF13" si="5">SUM(C22:C25)</f>
        <v>5</v>
      </c>
      <c r="T13" s="17">
        <f t="shared" si="5"/>
        <v>1</v>
      </c>
      <c r="U13" s="17">
        <f t="shared" si="5"/>
        <v>2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</v>
      </c>
      <c r="AD13" s="17">
        <f t="shared" si="5"/>
        <v>0</v>
      </c>
      <c r="AE13" s="31">
        <f t="shared" si="5"/>
        <v>13</v>
      </c>
      <c r="AF13" s="31">
        <f t="shared" si="5"/>
        <v>15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2</v>
      </c>
      <c r="P14" s="15">
        <f t="shared" si="1"/>
        <v>5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</v>
      </c>
      <c r="AD14" s="17">
        <f t="shared" si="6"/>
        <v>0</v>
      </c>
      <c r="AE14" s="31">
        <f t="shared" si="6"/>
        <v>7</v>
      </c>
      <c r="AF14" s="31">
        <f t="shared" si="6"/>
        <v>9</v>
      </c>
    </row>
    <row r="15" spans="2:32" ht="23.1" customHeight="1" x14ac:dyDescent="0.25">
      <c r="B15" s="23" t="s">
        <v>42</v>
      </c>
      <c r="C15" s="50">
        <v>1</v>
      </c>
      <c r="D15" s="50">
        <v>1</v>
      </c>
      <c r="E15" s="50">
        <v>1</v>
      </c>
      <c r="F15" s="50">
        <v>1</v>
      </c>
      <c r="G15" s="50">
        <v>0</v>
      </c>
      <c r="H15" s="50">
        <v>1</v>
      </c>
      <c r="I15" s="50">
        <v>0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5</v>
      </c>
      <c r="P15" s="15">
        <f t="shared" si="1"/>
        <v>8</v>
      </c>
      <c r="R15" s="1" t="s">
        <v>11</v>
      </c>
      <c r="S15" s="17">
        <f t="shared" ref="S15:AF15" si="7">SUM(C30:C33)</f>
        <v>0</v>
      </c>
      <c r="T15" s="17">
        <f t="shared" si="7"/>
        <v>1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</v>
      </c>
      <c r="AD15" s="17">
        <f t="shared" si="7"/>
        <v>0</v>
      </c>
      <c r="AE15" s="31">
        <f t="shared" si="7"/>
        <v>5</v>
      </c>
      <c r="AF15" s="31">
        <f t="shared" si="7"/>
        <v>9</v>
      </c>
    </row>
    <row r="16" spans="2:32" ht="23.1" customHeight="1" x14ac:dyDescent="0.25">
      <c r="B16" s="23" t="s">
        <v>43</v>
      </c>
      <c r="C16" s="50">
        <v>3</v>
      </c>
      <c r="D16" s="50">
        <v>2</v>
      </c>
      <c r="E16" s="50">
        <v>2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8</v>
      </c>
      <c r="P16" s="15">
        <f t="shared" si="1"/>
        <v>12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12</v>
      </c>
      <c r="AD16" s="17">
        <f t="shared" si="8"/>
        <v>0</v>
      </c>
      <c r="AE16" s="31">
        <f t="shared" si="8"/>
        <v>2</v>
      </c>
      <c r="AF16" s="31">
        <f t="shared" si="8"/>
        <v>14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2</v>
      </c>
      <c r="P17" s="15">
        <f t="shared" si="1"/>
        <v>10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8</v>
      </c>
      <c r="AD17" s="17">
        <f t="shared" si="9"/>
        <v>0</v>
      </c>
      <c r="AE17" s="31">
        <f t="shared" si="9"/>
        <v>9</v>
      </c>
      <c r="AF17" s="31">
        <f t="shared" si="9"/>
        <v>17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2</v>
      </c>
      <c r="P18" s="15">
        <f t="shared" si="1"/>
        <v>5</v>
      </c>
      <c r="R18" s="1" t="s">
        <v>14</v>
      </c>
      <c r="S18" s="17">
        <f t="shared" ref="S18:AF18" si="10">SUM(C42:C45)</f>
        <v>10</v>
      </c>
      <c r="T18" s="17">
        <f t="shared" si="10"/>
        <v>0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7</v>
      </c>
      <c r="AD18" s="17">
        <f t="shared" si="10"/>
        <v>0</v>
      </c>
      <c r="AE18" s="31">
        <f t="shared" si="10"/>
        <v>13</v>
      </c>
      <c r="AF18" s="31">
        <f t="shared" si="10"/>
        <v>20</v>
      </c>
    </row>
    <row r="19" spans="2:32" ht="23.1" customHeight="1" x14ac:dyDescent="0.25">
      <c r="B19" s="23" t="s">
        <v>46</v>
      </c>
      <c r="C19" s="50">
        <v>6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6</v>
      </c>
      <c r="P19" s="15">
        <f t="shared" si="1"/>
        <v>10</v>
      </c>
      <c r="R19" s="1" t="s">
        <v>15</v>
      </c>
      <c r="S19" s="17">
        <f t="shared" ref="S19:AF19" si="11">SUM(C46:C49)</f>
        <v>13</v>
      </c>
      <c r="T19" s="17">
        <f t="shared" si="11"/>
        <v>0</v>
      </c>
      <c r="U19" s="17">
        <f t="shared" si="11"/>
        <v>3</v>
      </c>
      <c r="V19" s="17">
        <f t="shared" si="11"/>
        <v>1</v>
      </c>
      <c r="W19" s="17">
        <f t="shared" si="11"/>
        <v>0</v>
      </c>
      <c r="X19" s="17">
        <f t="shared" si="11"/>
        <v>2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20</v>
      </c>
      <c r="AD19" s="17">
        <f t="shared" si="11"/>
        <v>0</v>
      </c>
      <c r="AE19" s="31">
        <f t="shared" si="11"/>
        <v>21</v>
      </c>
      <c r="AF19" s="31">
        <f t="shared" si="11"/>
        <v>41</v>
      </c>
    </row>
    <row r="20" spans="2:32" ht="23.1" customHeight="1" x14ac:dyDescent="0.25">
      <c r="B20" s="23" t="s">
        <v>47</v>
      </c>
      <c r="C20" s="50">
        <v>8</v>
      </c>
      <c r="D20" s="50">
        <v>1</v>
      </c>
      <c r="E20" s="50">
        <v>1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15">
        <f t="shared" si="0"/>
        <v>11</v>
      </c>
      <c r="P20" s="15">
        <f t="shared" si="1"/>
        <v>15</v>
      </c>
      <c r="R20" s="1" t="s">
        <v>16</v>
      </c>
      <c r="S20" s="17">
        <f t="shared" ref="S20:AF20" si="12">SUM(C50:C53)</f>
        <v>9</v>
      </c>
      <c r="T20" s="17">
        <f t="shared" si="12"/>
        <v>0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11</v>
      </c>
      <c r="AD20" s="17">
        <f t="shared" si="12"/>
        <v>0</v>
      </c>
      <c r="AE20" s="31">
        <f t="shared" si="12"/>
        <v>13</v>
      </c>
      <c r="AF20" s="31">
        <f t="shared" si="12"/>
        <v>24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</v>
      </c>
      <c r="N21" s="50">
        <v>0</v>
      </c>
      <c r="O21" s="15">
        <f t="shared" si="0"/>
        <v>5</v>
      </c>
      <c r="P21" s="15">
        <f t="shared" si="1"/>
        <v>6</v>
      </c>
      <c r="R21" s="36" t="s">
        <v>20</v>
      </c>
      <c r="S21" s="34">
        <f t="shared" ref="S21:AF21" si="13">SUM(C54:C57)</f>
        <v>14</v>
      </c>
      <c r="T21" s="17">
        <f t="shared" si="13"/>
        <v>0</v>
      </c>
      <c r="U21" s="17">
        <f t="shared" si="13"/>
        <v>3</v>
      </c>
      <c r="V21" s="17">
        <f t="shared" si="13"/>
        <v>3</v>
      </c>
      <c r="W21" s="17">
        <f t="shared" si="13"/>
        <v>2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17</v>
      </c>
      <c r="AD21" s="17">
        <f t="shared" si="13"/>
        <v>0</v>
      </c>
      <c r="AE21" s="31">
        <f t="shared" si="13"/>
        <v>22</v>
      </c>
      <c r="AF21" s="31">
        <f t="shared" si="13"/>
        <v>39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</v>
      </c>
      <c r="N22" s="50">
        <v>0</v>
      </c>
      <c r="O22" s="15">
        <f t="shared" si="0"/>
        <v>2</v>
      </c>
      <c r="P22" s="15">
        <f t="shared" si="1"/>
        <v>3</v>
      </c>
      <c r="R22" s="38" t="s">
        <v>90</v>
      </c>
      <c r="S22" s="39">
        <f>MAX(S10:S12)</f>
        <v>18</v>
      </c>
      <c r="T22" s="39">
        <f t="shared" ref="T22:AF22" si="14">MAX(T10:T12)</f>
        <v>3</v>
      </c>
      <c r="U22" s="39">
        <f t="shared" si="14"/>
        <v>4</v>
      </c>
      <c r="V22" s="39">
        <f t="shared" si="14"/>
        <v>3</v>
      </c>
      <c r="W22" s="39">
        <f t="shared" si="14"/>
        <v>0</v>
      </c>
      <c r="X22" s="39">
        <f t="shared" si="14"/>
        <v>1</v>
      </c>
      <c r="Y22" s="39">
        <f t="shared" si="14"/>
        <v>4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18</v>
      </c>
      <c r="AD22" s="39">
        <f t="shared" si="14"/>
        <v>0</v>
      </c>
      <c r="AE22" s="40">
        <f t="shared" si="14"/>
        <v>24</v>
      </c>
      <c r="AF22" s="40">
        <f t="shared" si="14"/>
        <v>36</v>
      </c>
    </row>
    <row r="23" spans="2:32" ht="23.1" customHeight="1" x14ac:dyDescent="0.25">
      <c r="B23" s="23" t="s">
        <v>50</v>
      </c>
      <c r="C23" s="50">
        <v>1</v>
      </c>
      <c r="D23" s="50">
        <v>1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3</v>
      </c>
      <c r="P23" s="15">
        <f t="shared" si="1"/>
        <v>3</v>
      </c>
      <c r="R23" s="38" t="s">
        <v>91</v>
      </c>
      <c r="S23" s="39">
        <f>MAX(S13:S18)</f>
        <v>10</v>
      </c>
      <c r="T23" s="39">
        <f t="shared" ref="T23:AF23" si="15">MAX(T13:T18)</f>
        <v>1</v>
      </c>
      <c r="U23" s="39">
        <f t="shared" si="15"/>
        <v>2</v>
      </c>
      <c r="V23" s="39">
        <f t="shared" si="15"/>
        <v>4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12</v>
      </c>
      <c r="AD23" s="39">
        <f t="shared" si="15"/>
        <v>0</v>
      </c>
      <c r="AE23" s="40">
        <f t="shared" si="15"/>
        <v>13</v>
      </c>
      <c r="AF23" s="40">
        <f t="shared" si="15"/>
        <v>20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4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1</v>
      </c>
      <c r="N24" s="50">
        <v>0</v>
      </c>
      <c r="O24" s="15">
        <f t="shared" si="0"/>
        <v>5</v>
      </c>
      <c r="P24" s="15">
        <f t="shared" si="1"/>
        <v>6</v>
      </c>
      <c r="R24" s="38" t="s">
        <v>92</v>
      </c>
      <c r="S24" s="39">
        <f>MAX(S19:S21)</f>
        <v>14</v>
      </c>
      <c r="T24" s="39">
        <f t="shared" ref="T24:AF24" si="16">MAX(T19:T21)</f>
        <v>0</v>
      </c>
      <c r="U24" s="39">
        <f t="shared" si="16"/>
        <v>3</v>
      </c>
      <c r="V24" s="39">
        <f t="shared" si="16"/>
        <v>3</v>
      </c>
      <c r="W24" s="39">
        <f t="shared" si="16"/>
        <v>2</v>
      </c>
      <c r="X24" s="39">
        <f t="shared" si="16"/>
        <v>2</v>
      </c>
      <c r="Y24" s="39">
        <f t="shared" si="16"/>
        <v>2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20</v>
      </c>
      <c r="AD24" s="39">
        <f t="shared" si="16"/>
        <v>0</v>
      </c>
      <c r="AE24" s="40">
        <f t="shared" si="16"/>
        <v>22</v>
      </c>
      <c r="AF24" s="40">
        <f t="shared" si="16"/>
        <v>41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3</v>
      </c>
      <c r="P25" s="15">
        <f t="shared" si="1"/>
        <v>3</v>
      </c>
      <c r="R25" s="37" t="s">
        <v>85</v>
      </c>
      <c r="S25" s="35">
        <f t="shared" ref="S25:AF25" si="17">SUM(S10:S12)</f>
        <v>36</v>
      </c>
      <c r="T25" s="16">
        <f t="shared" si="17"/>
        <v>5</v>
      </c>
      <c r="U25" s="16">
        <f t="shared" si="17"/>
        <v>10</v>
      </c>
      <c r="V25" s="16">
        <f t="shared" si="17"/>
        <v>5</v>
      </c>
      <c r="W25" s="16">
        <f t="shared" si="17"/>
        <v>0</v>
      </c>
      <c r="X25" s="16">
        <f t="shared" si="17"/>
        <v>2</v>
      </c>
      <c r="Y25" s="16">
        <f t="shared" si="17"/>
        <v>4</v>
      </c>
      <c r="Z25" s="16">
        <f t="shared" si="17"/>
        <v>0</v>
      </c>
      <c r="AA25" s="16">
        <f t="shared" si="17"/>
        <v>1</v>
      </c>
      <c r="AB25" s="16">
        <f t="shared" si="17"/>
        <v>0</v>
      </c>
      <c r="AC25" s="16">
        <f t="shared" si="17"/>
        <v>41</v>
      </c>
      <c r="AD25" s="16">
        <f t="shared" si="17"/>
        <v>0</v>
      </c>
      <c r="AE25" s="32">
        <f t="shared" si="17"/>
        <v>63</v>
      </c>
      <c r="AF25" s="32">
        <f t="shared" si="17"/>
        <v>104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4</v>
      </c>
      <c r="P26" s="15">
        <f t="shared" si="1"/>
        <v>4</v>
      </c>
      <c r="R26" s="28" t="s">
        <v>86</v>
      </c>
      <c r="S26" s="16">
        <f t="shared" ref="S26:AF26" si="18">SUM(S13:S18)</f>
        <v>29</v>
      </c>
      <c r="T26" s="16">
        <f t="shared" si="18"/>
        <v>2</v>
      </c>
      <c r="U26" s="16">
        <f t="shared" si="18"/>
        <v>8</v>
      </c>
      <c r="V26" s="16">
        <f t="shared" si="18"/>
        <v>5</v>
      </c>
      <c r="W26" s="16">
        <f t="shared" si="18"/>
        <v>0</v>
      </c>
      <c r="X26" s="16">
        <f t="shared" si="18"/>
        <v>0</v>
      </c>
      <c r="Y26" s="16">
        <f t="shared" si="18"/>
        <v>4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35</v>
      </c>
      <c r="AD26" s="16">
        <f t="shared" si="18"/>
        <v>0</v>
      </c>
      <c r="AE26" s="32">
        <f t="shared" si="18"/>
        <v>49</v>
      </c>
      <c r="AF26" s="32">
        <f t="shared" si="18"/>
        <v>84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0</v>
      </c>
      <c r="P27" s="15">
        <f t="shared" si="1"/>
        <v>1</v>
      </c>
      <c r="R27" s="29" t="s">
        <v>87</v>
      </c>
      <c r="S27" s="16">
        <f t="shared" ref="S27:AF27" si="19">SUM(S19:S21)</f>
        <v>36</v>
      </c>
      <c r="T27" s="16">
        <f t="shared" si="19"/>
        <v>0</v>
      </c>
      <c r="U27" s="16">
        <f t="shared" si="19"/>
        <v>8</v>
      </c>
      <c r="V27" s="16">
        <f t="shared" si="19"/>
        <v>4</v>
      </c>
      <c r="W27" s="16">
        <f t="shared" si="19"/>
        <v>2</v>
      </c>
      <c r="X27" s="16">
        <f t="shared" si="19"/>
        <v>2</v>
      </c>
      <c r="Y27" s="16">
        <f t="shared" si="19"/>
        <v>3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48</v>
      </c>
      <c r="AD27" s="16">
        <f t="shared" si="19"/>
        <v>0</v>
      </c>
      <c r="AE27" s="32">
        <f t="shared" si="19"/>
        <v>56</v>
      </c>
      <c r="AF27" s="32">
        <f t="shared" si="19"/>
        <v>104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1</v>
      </c>
      <c r="P28" s="15">
        <f t="shared" si="1"/>
        <v>2</v>
      </c>
      <c r="R28" s="5" t="s">
        <v>17</v>
      </c>
      <c r="S28" s="16">
        <f t="shared" ref="S28:AF28" si="20">SUM(S10:S21)</f>
        <v>101</v>
      </c>
      <c r="T28" s="16">
        <f t="shared" si="20"/>
        <v>7</v>
      </c>
      <c r="U28" s="16">
        <f t="shared" si="20"/>
        <v>26</v>
      </c>
      <c r="V28" s="16">
        <f t="shared" si="20"/>
        <v>14</v>
      </c>
      <c r="W28" s="16">
        <f t="shared" si="20"/>
        <v>2</v>
      </c>
      <c r="X28" s="16">
        <f t="shared" si="20"/>
        <v>4</v>
      </c>
      <c r="Y28" s="16">
        <f t="shared" si="20"/>
        <v>11</v>
      </c>
      <c r="Z28" s="16">
        <f t="shared" si="20"/>
        <v>2</v>
      </c>
      <c r="AA28" s="16">
        <f t="shared" si="20"/>
        <v>1</v>
      </c>
      <c r="AB28" s="16">
        <f t="shared" si="20"/>
        <v>0</v>
      </c>
      <c r="AC28" s="16">
        <f t="shared" si="20"/>
        <v>124</v>
      </c>
      <c r="AD28" s="16">
        <f t="shared" si="20"/>
        <v>0</v>
      </c>
      <c r="AE28" s="32">
        <f t="shared" si="20"/>
        <v>168</v>
      </c>
      <c r="AF28" s="32">
        <f t="shared" si="20"/>
        <v>292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2</v>
      </c>
      <c r="P29" s="15">
        <f t="shared" si="1"/>
        <v>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2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2</v>
      </c>
      <c r="P31" s="15">
        <f t="shared" si="1"/>
        <v>3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0</v>
      </c>
      <c r="P32" s="15">
        <f t="shared" si="1"/>
        <v>1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1</v>
      </c>
      <c r="P33" s="15">
        <f t="shared" si="1"/>
        <v>2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0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1</v>
      </c>
      <c r="P35" s="15">
        <f t="shared" si="1"/>
        <v>5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1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0</v>
      </c>
      <c r="P37" s="15">
        <f t="shared" si="1"/>
        <v>3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1</v>
      </c>
      <c r="P38" s="15">
        <f t="shared" si="1"/>
        <v>2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3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0</v>
      </c>
      <c r="P40" s="15">
        <f t="shared" si="1"/>
        <v>1</v>
      </c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5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4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5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6</v>
      </c>
      <c r="N44" s="50">
        <v>0</v>
      </c>
      <c r="O44" s="15">
        <f t="shared" si="0"/>
        <v>2</v>
      </c>
      <c r="P44" s="15">
        <f t="shared" si="1"/>
        <v>8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4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7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8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2</v>
      </c>
      <c r="P47" s="15">
        <f t="shared" si="1"/>
        <v>4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1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1</v>
      </c>
      <c r="F49" s="50">
        <v>1</v>
      </c>
      <c r="G49" s="50">
        <v>0</v>
      </c>
      <c r="H49" s="50">
        <v>2</v>
      </c>
      <c r="I49" s="50">
        <v>2</v>
      </c>
      <c r="J49" s="50">
        <v>0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10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5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4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</v>
      </c>
      <c r="N52" s="50">
        <v>0</v>
      </c>
      <c r="O52" s="15">
        <f t="shared" si="0"/>
        <v>2</v>
      </c>
      <c r="P52" s="15">
        <f t="shared" si="1"/>
        <v>4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2</v>
      </c>
      <c r="P53" s="15">
        <f t="shared" si="1"/>
        <v>4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5</v>
      </c>
      <c r="N54" s="50">
        <v>0</v>
      </c>
      <c r="O54" s="15">
        <f t="shared" si="0"/>
        <v>1</v>
      </c>
      <c r="P54" s="15">
        <f t="shared" si="1"/>
        <v>6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0</v>
      </c>
      <c r="E55" s="50">
        <v>1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8</v>
      </c>
      <c r="P55" s="15">
        <f t="shared" si="1"/>
        <v>14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1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6</v>
      </c>
      <c r="P56" s="15">
        <f t="shared" si="1"/>
        <v>11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1</v>
      </c>
      <c r="F57" s="50">
        <v>1</v>
      </c>
      <c r="G57" s="50">
        <v>2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</v>
      </c>
      <c r="N57" s="50">
        <v>0</v>
      </c>
      <c r="O57" s="15">
        <f t="shared" si="0"/>
        <v>7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101</v>
      </c>
      <c r="D58" s="16">
        <f t="shared" si="21"/>
        <v>7</v>
      </c>
      <c r="E58" s="16">
        <f t="shared" si="21"/>
        <v>26</v>
      </c>
      <c r="F58" s="16">
        <f t="shared" si="21"/>
        <v>14</v>
      </c>
      <c r="G58" s="16">
        <f t="shared" si="21"/>
        <v>2</v>
      </c>
      <c r="H58" s="16">
        <f t="shared" si="21"/>
        <v>4</v>
      </c>
      <c r="I58" s="16">
        <f t="shared" si="21"/>
        <v>11</v>
      </c>
      <c r="J58" s="16">
        <f t="shared" si="21"/>
        <v>2</v>
      </c>
      <c r="K58" s="16">
        <f t="shared" si="21"/>
        <v>1</v>
      </c>
      <c r="L58" s="16">
        <f t="shared" si="21"/>
        <v>0</v>
      </c>
      <c r="M58" s="16">
        <f t="shared" si="21"/>
        <v>124</v>
      </c>
      <c r="N58" s="16">
        <f t="shared" si="21"/>
        <v>0</v>
      </c>
      <c r="O58" s="16">
        <f t="shared" si="21"/>
        <v>168</v>
      </c>
      <c r="P58" s="16">
        <f t="shared" si="21"/>
        <v>292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0.3458904109589041</v>
      </c>
      <c r="D59" s="43">
        <f t="shared" si="22"/>
        <v>2.3972602739726026E-2</v>
      </c>
      <c r="E59" s="43">
        <f t="shared" si="22"/>
        <v>8.9041095890410954E-2</v>
      </c>
      <c r="F59" s="43">
        <f t="shared" si="22"/>
        <v>4.7945205479452052E-2</v>
      </c>
      <c r="G59" s="43">
        <f t="shared" si="22"/>
        <v>6.8493150684931503E-3</v>
      </c>
      <c r="H59" s="43">
        <f t="shared" si="22"/>
        <v>1.3698630136986301E-2</v>
      </c>
      <c r="I59" s="43">
        <f t="shared" si="22"/>
        <v>3.7671232876712327E-2</v>
      </c>
      <c r="J59" s="43">
        <f t="shared" si="22"/>
        <v>6.8493150684931503E-3</v>
      </c>
      <c r="K59" s="43">
        <f t="shared" si="22"/>
        <v>3.4246575342465752E-3</v>
      </c>
      <c r="L59" s="43">
        <f t="shared" si="22"/>
        <v>0</v>
      </c>
      <c r="M59" s="43">
        <f t="shared" si="22"/>
        <v>0.42465753424657532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0.60119047619047616</v>
      </c>
      <c r="D60" s="44">
        <f t="shared" ref="D60:N60" si="23">D58/$O$58</f>
        <v>4.1666666666666664E-2</v>
      </c>
      <c r="E60" s="44">
        <f t="shared" si="23"/>
        <v>0.15476190476190477</v>
      </c>
      <c r="F60" s="44">
        <f t="shared" si="23"/>
        <v>8.3333333333333329E-2</v>
      </c>
      <c r="G60" s="44">
        <f t="shared" si="23"/>
        <v>1.1904761904761904E-2</v>
      </c>
      <c r="H60" s="44">
        <f t="shared" si="23"/>
        <v>2.3809523809523808E-2</v>
      </c>
      <c r="I60" s="44">
        <f t="shared" si="23"/>
        <v>6.5476190476190479E-2</v>
      </c>
      <c r="J60" s="44">
        <f t="shared" si="23"/>
        <v>1.1904761904761904E-2</v>
      </c>
      <c r="K60" s="44">
        <f t="shared" si="23"/>
        <v>5.9523809523809521E-3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zoomScale="60" workbookViewId="0">
      <selection activeCell="E58" sqref="E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Koboko-Yumbe'!C3:G3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5" t="str">
        <f>'04.08 Yumbe-Koboko'!G5:H5</f>
        <v>Umbachi</v>
      </c>
      <c r="H5" s="66"/>
      <c r="I5" s="14"/>
      <c r="J5" s="2" t="s">
        <v>5</v>
      </c>
      <c r="K5" s="65" t="str">
        <f>'04.08 Yumbe-Koboko'!K5:L5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Koboko-Yumbe'!D6:E6</f>
        <v>Koboko</v>
      </c>
      <c r="E6" s="66"/>
      <c r="F6" s="2" t="s">
        <v>2</v>
      </c>
      <c r="G6" s="65" t="str">
        <f>'31.07 Koboko-Yumbe'!G6:H6</f>
        <v>Yumbe</v>
      </c>
      <c r="H6" s="66"/>
      <c r="J6" s="2" t="s">
        <v>21</v>
      </c>
      <c r="K6" s="65" t="str">
        <f>'04.08 Yumbe-Koboko'!K6:L6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6</v>
      </c>
      <c r="T10" s="17">
        <f t="shared" si="2"/>
        <v>1</v>
      </c>
      <c r="U10" s="17">
        <f t="shared" si="2"/>
        <v>5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14</v>
      </c>
      <c r="AD10" s="17">
        <f t="shared" si="2"/>
        <v>0</v>
      </c>
      <c r="AE10" s="31">
        <f t="shared" si="2"/>
        <v>15</v>
      </c>
      <c r="AF10" s="31">
        <f t="shared" si="2"/>
        <v>29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0</v>
      </c>
      <c r="M11" s="50">
        <v>2</v>
      </c>
      <c r="N11" s="50">
        <v>0</v>
      </c>
      <c r="O11" s="15">
        <f t="shared" si="0"/>
        <v>5</v>
      </c>
      <c r="P11" s="15">
        <f t="shared" si="1"/>
        <v>7</v>
      </c>
      <c r="R11" s="1" t="s">
        <v>7</v>
      </c>
      <c r="S11" s="17">
        <f t="shared" ref="S11:AF11" si="3">SUM(C14:C17)</f>
        <v>11</v>
      </c>
      <c r="T11" s="17">
        <f t="shared" si="3"/>
        <v>1</v>
      </c>
      <c r="U11" s="17">
        <f t="shared" si="3"/>
        <v>12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30</v>
      </c>
      <c r="AD11" s="17">
        <f t="shared" si="3"/>
        <v>0</v>
      </c>
      <c r="AE11" s="31">
        <f t="shared" si="3"/>
        <v>25</v>
      </c>
      <c r="AF11" s="31">
        <f t="shared" si="3"/>
        <v>55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1</v>
      </c>
      <c r="P12" s="15">
        <f t="shared" si="1"/>
        <v>5</v>
      </c>
      <c r="R12" s="1" t="s">
        <v>8</v>
      </c>
      <c r="S12" s="17">
        <f t="shared" ref="S12:AF12" si="4">SUM(C18:C21)</f>
        <v>12</v>
      </c>
      <c r="T12" s="17">
        <f t="shared" si="4"/>
        <v>1</v>
      </c>
      <c r="U12" s="17">
        <f t="shared" si="4"/>
        <v>8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6</v>
      </c>
      <c r="Z12" s="17">
        <f t="shared" si="4"/>
        <v>2</v>
      </c>
      <c r="AA12" s="17">
        <f t="shared" si="4"/>
        <v>1</v>
      </c>
      <c r="AB12" s="17">
        <f t="shared" si="4"/>
        <v>4</v>
      </c>
      <c r="AC12" s="17">
        <f t="shared" si="4"/>
        <v>19</v>
      </c>
      <c r="AD12" s="17">
        <f t="shared" si="4"/>
        <v>0</v>
      </c>
      <c r="AE12" s="31">
        <f t="shared" si="4"/>
        <v>35</v>
      </c>
      <c r="AF12" s="31">
        <f t="shared" si="4"/>
        <v>54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3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6</v>
      </c>
      <c r="P13" s="15">
        <f t="shared" si="1"/>
        <v>11</v>
      </c>
      <c r="R13" s="1" t="s">
        <v>9</v>
      </c>
      <c r="S13" s="17">
        <f t="shared" ref="S13:AF13" si="5">SUM(C22:C25)</f>
        <v>9</v>
      </c>
      <c r="T13" s="17">
        <f t="shared" si="5"/>
        <v>2</v>
      </c>
      <c r="U13" s="17">
        <f t="shared" si="5"/>
        <v>12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1</v>
      </c>
      <c r="AB13" s="17">
        <f t="shared" si="5"/>
        <v>1</v>
      </c>
      <c r="AC13" s="17">
        <f t="shared" si="5"/>
        <v>29</v>
      </c>
      <c r="AD13" s="17">
        <f t="shared" si="5"/>
        <v>0</v>
      </c>
      <c r="AE13" s="31">
        <f t="shared" si="5"/>
        <v>31</v>
      </c>
      <c r="AF13" s="31">
        <f t="shared" si="5"/>
        <v>60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3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6</v>
      </c>
      <c r="P14" s="15">
        <f t="shared" si="1"/>
        <v>14</v>
      </c>
      <c r="R14" s="1" t="s">
        <v>10</v>
      </c>
      <c r="S14" s="17">
        <f t="shared" ref="S14:AF14" si="6">SUM(C26:C29)</f>
        <v>11</v>
      </c>
      <c r="T14" s="17">
        <f t="shared" si="6"/>
        <v>0</v>
      </c>
      <c r="U14" s="17">
        <f t="shared" si="6"/>
        <v>6</v>
      </c>
      <c r="V14" s="17">
        <f t="shared" si="6"/>
        <v>3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2</v>
      </c>
      <c r="AA14" s="17">
        <f t="shared" si="6"/>
        <v>0</v>
      </c>
      <c r="AB14" s="17">
        <f t="shared" si="6"/>
        <v>2</v>
      </c>
      <c r="AC14" s="17">
        <f t="shared" si="6"/>
        <v>24</v>
      </c>
      <c r="AD14" s="17">
        <f t="shared" si="6"/>
        <v>0</v>
      </c>
      <c r="AE14" s="31">
        <f t="shared" si="6"/>
        <v>27</v>
      </c>
      <c r="AF14" s="31">
        <f t="shared" si="6"/>
        <v>51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5</v>
      </c>
      <c r="P15" s="15">
        <f t="shared" si="1"/>
        <v>14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6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1">
        <f t="shared" si="7"/>
        <v>19</v>
      </c>
      <c r="AF15" s="31">
        <f t="shared" si="7"/>
        <v>37</v>
      </c>
    </row>
    <row r="16" spans="2:32" ht="23.1" customHeight="1" x14ac:dyDescent="0.25">
      <c r="B16" s="23" t="s">
        <v>43</v>
      </c>
      <c r="C16" s="50">
        <v>3</v>
      </c>
      <c r="D16" s="50">
        <v>1</v>
      </c>
      <c r="E16" s="50">
        <v>5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10</v>
      </c>
      <c r="P16" s="15">
        <f t="shared" si="1"/>
        <v>20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10</v>
      </c>
      <c r="AD16" s="17">
        <f t="shared" si="8"/>
        <v>0</v>
      </c>
      <c r="AE16" s="31">
        <f t="shared" si="8"/>
        <v>11</v>
      </c>
      <c r="AF16" s="31">
        <f t="shared" si="8"/>
        <v>21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3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4</v>
      </c>
      <c r="P17" s="15">
        <f t="shared" si="1"/>
        <v>7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9</v>
      </c>
      <c r="V17" s="17">
        <f t="shared" si="9"/>
        <v>0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0</v>
      </c>
      <c r="AA17" s="17">
        <f t="shared" si="9"/>
        <v>1</v>
      </c>
      <c r="AB17" s="17">
        <f t="shared" si="9"/>
        <v>1</v>
      </c>
      <c r="AC17" s="17">
        <f t="shared" si="9"/>
        <v>22</v>
      </c>
      <c r="AD17" s="17">
        <f t="shared" si="9"/>
        <v>0</v>
      </c>
      <c r="AE17" s="31">
        <f t="shared" si="9"/>
        <v>23</v>
      </c>
      <c r="AF17" s="31">
        <f t="shared" si="9"/>
        <v>45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3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1</v>
      </c>
      <c r="M18" s="50">
        <v>5</v>
      </c>
      <c r="N18" s="50">
        <v>0</v>
      </c>
      <c r="O18" s="15">
        <f t="shared" si="0"/>
        <v>9</v>
      </c>
      <c r="P18" s="15">
        <f t="shared" si="1"/>
        <v>14</v>
      </c>
      <c r="R18" s="1" t="s">
        <v>14</v>
      </c>
      <c r="S18" s="17">
        <f t="shared" ref="S18:AF18" si="10">SUM(C42:C45)</f>
        <v>8</v>
      </c>
      <c r="T18" s="17">
        <f t="shared" si="10"/>
        <v>0</v>
      </c>
      <c r="U18" s="17">
        <f t="shared" si="10"/>
        <v>5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17</v>
      </c>
      <c r="AD18" s="17">
        <f t="shared" si="10"/>
        <v>0</v>
      </c>
      <c r="AE18" s="31">
        <f t="shared" si="10"/>
        <v>17</v>
      </c>
      <c r="AF18" s="31">
        <f t="shared" si="10"/>
        <v>34</v>
      </c>
    </row>
    <row r="19" spans="2:32" ht="23.1" customHeight="1" x14ac:dyDescent="0.25">
      <c r="B19" s="23" t="s">
        <v>46</v>
      </c>
      <c r="C19" s="50">
        <v>3</v>
      </c>
      <c r="D19" s="50">
        <v>1</v>
      </c>
      <c r="E19" s="50">
        <v>3</v>
      </c>
      <c r="F19" s="50">
        <v>0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10</v>
      </c>
      <c r="P19" s="15">
        <f t="shared" si="1"/>
        <v>14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5</v>
      </c>
      <c r="V19" s="17">
        <f t="shared" si="11"/>
        <v>0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15</v>
      </c>
      <c r="AD19" s="17">
        <f t="shared" si="11"/>
        <v>0</v>
      </c>
      <c r="AE19" s="31">
        <f t="shared" si="11"/>
        <v>15</v>
      </c>
      <c r="AF19" s="31">
        <f t="shared" si="11"/>
        <v>30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1</v>
      </c>
      <c r="L20" s="50">
        <v>1</v>
      </c>
      <c r="M20" s="50">
        <v>4</v>
      </c>
      <c r="N20" s="50">
        <v>0</v>
      </c>
      <c r="O20" s="15">
        <f t="shared" si="0"/>
        <v>7</v>
      </c>
      <c r="P20" s="15">
        <f t="shared" si="1"/>
        <v>11</v>
      </c>
      <c r="R20" s="1" t="s">
        <v>16</v>
      </c>
      <c r="S20" s="17">
        <f t="shared" ref="S20:AF20" si="12">SUM(C50:C53)</f>
        <v>6</v>
      </c>
      <c r="T20" s="17">
        <f t="shared" si="12"/>
        <v>1</v>
      </c>
      <c r="U20" s="17">
        <f t="shared" si="12"/>
        <v>7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10</v>
      </c>
      <c r="AD20" s="17">
        <f t="shared" si="12"/>
        <v>0</v>
      </c>
      <c r="AE20" s="31">
        <f t="shared" si="12"/>
        <v>15</v>
      </c>
      <c r="AF20" s="31">
        <f t="shared" si="12"/>
        <v>25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3</v>
      </c>
      <c r="J21" s="50">
        <v>1</v>
      </c>
      <c r="K21" s="50">
        <v>0</v>
      </c>
      <c r="L21" s="50">
        <v>2</v>
      </c>
      <c r="M21" s="50">
        <v>6</v>
      </c>
      <c r="N21" s="50">
        <v>0</v>
      </c>
      <c r="O21" s="15">
        <f t="shared" si="0"/>
        <v>9</v>
      </c>
      <c r="P21" s="15">
        <f t="shared" si="1"/>
        <v>15</v>
      </c>
      <c r="R21" s="36" t="s">
        <v>20</v>
      </c>
      <c r="S21" s="34">
        <f t="shared" ref="S21:AF21" si="13">SUM(C54:C57)</f>
        <v>7</v>
      </c>
      <c r="T21" s="17">
        <f t="shared" si="13"/>
        <v>0</v>
      </c>
      <c r="U21" s="17">
        <f t="shared" si="13"/>
        <v>8</v>
      </c>
      <c r="V21" s="17">
        <f t="shared" si="13"/>
        <v>1</v>
      </c>
      <c r="W21" s="17">
        <f t="shared" si="13"/>
        <v>1</v>
      </c>
      <c r="X21" s="17">
        <f t="shared" si="13"/>
        <v>0</v>
      </c>
      <c r="Y21" s="17">
        <f t="shared" si="13"/>
        <v>1</v>
      </c>
      <c r="Z21" s="17">
        <f t="shared" si="13"/>
        <v>1</v>
      </c>
      <c r="AA21" s="17">
        <f t="shared" si="13"/>
        <v>0</v>
      </c>
      <c r="AB21" s="17">
        <f t="shared" si="13"/>
        <v>2</v>
      </c>
      <c r="AC21" s="17">
        <f t="shared" si="13"/>
        <v>20</v>
      </c>
      <c r="AD21" s="17">
        <f t="shared" si="13"/>
        <v>0</v>
      </c>
      <c r="AE21" s="31">
        <f t="shared" si="13"/>
        <v>21</v>
      </c>
      <c r="AF21" s="31">
        <f t="shared" si="13"/>
        <v>41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1</v>
      </c>
      <c r="M22" s="50">
        <v>5</v>
      </c>
      <c r="N22" s="50">
        <v>0</v>
      </c>
      <c r="O22" s="15">
        <f t="shared" si="0"/>
        <v>5</v>
      </c>
      <c r="P22" s="15">
        <f t="shared" si="1"/>
        <v>10</v>
      </c>
      <c r="R22" s="38" t="s">
        <v>90</v>
      </c>
      <c r="S22" s="39">
        <f>MAX(S10:S12)</f>
        <v>12</v>
      </c>
      <c r="T22" s="39">
        <f t="shared" ref="T22:AF22" si="14">MAX(T10:T12)</f>
        <v>1</v>
      </c>
      <c r="U22" s="39">
        <f t="shared" si="14"/>
        <v>12</v>
      </c>
      <c r="V22" s="39">
        <f t="shared" si="14"/>
        <v>0</v>
      </c>
      <c r="W22" s="39">
        <f t="shared" si="14"/>
        <v>0</v>
      </c>
      <c r="X22" s="39">
        <f t="shared" si="14"/>
        <v>1</v>
      </c>
      <c r="Y22" s="39">
        <f t="shared" si="14"/>
        <v>6</v>
      </c>
      <c r="Z22" s="39">
        <f t="shared" si="14"/>
        <v>2</v>
      </c>
      <c r="AA22" s="39">
        <f t="shared" si="14"/>
        <v>1</v>
      </c>
      <c r="AB22" s="39">
        <f t="shared" si="14"/>
        <v>4</v>
      </c>
      <c r="AC22" s="39">
        <f t="shared" si="14"/>
        <v>30</v>
      </c>
      <c r="AD22" s="39">
        <f t="shared" si="14"/>
        <v>0</v>
      </c>
      <c r="AE22" s="40">
        <f t="shared" si="14"/>
        <v>35</v>
      </c>
      <c r="AF22" s="40">
        <f t="shared" si="14"/>
        <v>55</v>
      </c>
    </row>
    <row r="23" spans="2:32" ht="23.1" customHeight="1" x14ac:dyDescent="0.25">
      <c r="B23" s="23" t="s">
        <v>50</v>
      </c>
      <c r="C23" s="50">
        <v>1</v>
      </c>
      <c r="D23" s="50">
        <v>1</v>
      </c>
      <c r="E23" s="50">
        <v>3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12</v>
      </c>
      <c r="N23" s="50">
        <v>0</v>
      </c>
      <c r="O23" s="15">
        <f t="shared" si="0"/>
        <v>7</v>
      </c>
      <c r="P23" s="15">
        <f t="shared" si="1"/>
        <v>19</v>
      </c>
      <c r="R23" s="38" t="s">
        <v>91</v>
      </c>
      <c r="S23" s="39">
        <f>MAX(S13:S18)</f>
        <v>11</v>
      </c>
      <c r="T23" s="39">
        <f t="shared" ref="T23:AF23" si="15">MAX(T13:T18)</f>
        <v>2</v>
      </c>
      <c r="U23" s="39">
        <f t="shared" si="15"/>
        <v>12</v>
      </c>
      <c r="V23" s="39">
        <f t="shared" si="15"/>
        <v>3</v>
      </c>
      <c r="W23" s="39">
        <f t="shared" si="15"/>
        <v>0</v>
      </c>
      <c r="X23" s="39">
        <f t="shared" si="15"/>
        <v>1</v>
      </c>
      <c r="Y23" s="39">
        <f t="shared" si="15"/>
        <v>4</v>
      </c>
      <c r="Z23" s="39">
        <f t="shared" si="15"/>
        <v>2</v>
      </c>
      <c r="AA23" s="39">
        <f t="shared" si="15"/>
        <v>1</v>
      </c>
      <c r="AB23" s="39">
        <f t="shared" si="15"/>
        <v>2</v>
      </c>
      <c r="AC23" s="39">
        <f t="shared" si="15"/>
        <v>29</v>
      </c>
      <c r="AD23" s="39">
        <f t="shared" si="15"/>
        <v>0</v>
      </c>
      <c r="AE23" s="40">
        <f t="shared" si="15"/>
        <v>31</v>
      </c>
      <c r="AF23" s="40">
        <f t="shared" si="15"/>
        <v>60</v>
      </c>
    </row>
    <row r="24" spans="2:32" ht="23.1" customHeight="1" x14ac:dyDescent="0.25">
      <c r="B24" s="23" t="s">
        <v>51</v>
      </c>
      <c r="C24" s="50">
        <v>4</v>
      </c>
      <c r="D24" s="50">
        <v>1</v>
      </c>
      <c r="E24" s="50">
        <v>5</v>
      </c>
      <c r="F24" s="50">
        <v>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6</v>
      </c>
      <c r="N24" s="50">
        <v>0</v>
      </c>
      <c r="O24" s="15">
        <f t="shared" si="0"/>
        <v>13</v>
      </c>
      <c r="P24" s="15">
        <f t="shared" si="1"/>
        <v>19</v>
      </c>
      <c r="R24" s="38" t="s">
        <v>92</v>
      </c>
      <c r="S24" s="39">
        <f>MAX(S19:S21)</f>
        <v>7</v>
      </c>
      <c r="T24" s="39">
        <f t="shared" ref="T24:AF24" si="16">MAX(T19:T21)</f>
        <v>1</v>
      </c>
      <c r="U24" s="39">
        <f t="shared" si="16"/>
        <v>8</v>
      </c>
      <c r="V24" s="39">
        <f t="shared" si="16"/>
        <v>1</v>
      </c>
      <c r="W24" s="39">
        <f t="shared" si="16"/>
        <v>1</v>
      </c>
      <c r="X24" s="39">
        <f t="shared" si="16"/>
        <v>1</v>
      </c>
      <c r="Y24" s="39">
        <f t="shared" si="16"/>
        <v>2</v>
      </c>
      <c r="Z24" s="39">
        <f t="shared" si="16"/>
        <v>1</v>
      </c>
      <c r="AA24" s="39">
        <f t="shared" si="16"/>
        <v>0</v>
      </c>
      <c r="AB24" s="39">
        <f t="shared" si="16"/>
        <v>2</v>
      </c>
      <c r="AC24" s="39">
        <f t="shared" si="16"/>
        <v>20</v>
      </c>
      <c r="AD24" s="39">
        <f t="shared" si="16"/>
        <v>0</v>
      </c>
      <c r="AE24" s="40">
        <f t="shared" si="16"/>
        <v>21</v>
      </c>
      <c r="AF24" s="40">
        <f t="shared" si="16"/>
        <v>41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6</v>
      </c>
      <c r="N25" s="50">
        <v>0</v>
      </c>
      <c r="O25" s="15">
        <f t="shared" si="0"/>
        <v>6</v>
      </c>
      <c r="P25" s="15">
        <f t="shared" si="1"/>
        <v>12</v>
      </c>
      <c r="R25" s="37" t="s">
        <v>85</v>
      </c>
      <c r="S25" s="35">
        <f t="shared" ref="S25:AF25" si="17">SUM(S10:S12)</f>
        <v>29</v>
      </c>
      <c r="T25" s="16">
        <f t="shared" si="17"/>
        <v>3</v>
      </c>
      <c r="U25" s="16">
        <f t="shared" si="17"/>
        <v>25</v>
      </c>
      <c r="V25" s="16">
        <f t="shared" si="17"/>
        <v>0</v>
      </c>
      <c r="W25" s="16">
        <f t="shared" si="17"/>
        <v>0</v>
      </c>
      <c r="X25" s="16">
        <f t="shared" si="17"/>
        <v>1</v>
      </c>
      <c r="Y25" s="16">
        <f t="shared" si="17"/>
        <v>8</v>
      </c>
      <c r="Z25" s="16">
        <f t="shared" si="17"/>
        <v>3</v>
      </c>
      <c r="AA25" s="16">
        <f t="shared" si="17"/>
        <v>2</v>
      </c>
      <c r="AB25" s="16">
        <f t="shared" si="17"/>
        <v>4</v>
      </c>
      <c r="AC25" s="16">
        <f t="shared" si="17"/>
        <v>63</v>
      </c>
      <c r="AD25" s="16">
        <f t="shared" si="17"/>
        <v>0</v>
      </c>
      <c r="AE25" s="32">
        <f t="shared" si="17"/>
        <v>75</v>
      </c>
      <c r="AF25" s="32">
        <f t="shared" si="17"/>
        <v>138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2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2</v>
      </c>
      <c r="M26" s="50">
        <v>8</v>
      </c>
      <c r="N26" s="50">
        <v>0</v>
      </c>
      <c r="O26" s="15">
        <f t="shared" si="0"/>
        <v>6</v>
      </c>
      <c r="P26" s="15">
        <f t="shared" si="1"/>
        <v>14</v>
      </c>
      <c r="R26" s="28" t="s">
        <v>86</v>
      </c>
      <c r="S26" s="16">
        <f t="shared" ref="S26:AF26" si="18">SUM(S13:S18)</f>
        <v>51</v>
      </c>
      <c r="T26" s="16">
        <f t="shared" si="18"/>
        <v>2</v>
      </c>
      <c r="U26" s="16">
        <f t="shared" si="18"/>
        <v>41</v>
      </c>
      <c r="V26" s="16">
        <f t="shared" si="18"/>
        <v>7</v>
      </c>
      <c r="W26" s="16">
        <f t="shared" si="18"/>
        <v>0</v>
      </c>
      <c r="X26" s="16">
        <f t="shared" si="18"/>
        <v>2</v>
      </c>
      <c r="Y26" s="16">
        <f t="shared" si="18"/>
        <v>15</v>
      </c>
      <c r="Z26" s="16">
        <f t="shared" si="18"/>
        <v>3</v>
      </c>
      <c r="AA26" s="16">
        <f t="shared" si="18"/>
        <v>2</v>
      </c>
      <c r="AB26" s="16">
        <f t="shared" si="18"/>
        <v>5</v>
      </c>
      <c r="AC26" s="16">
        <f t="shared" si="18"/>
        <v>120</v>
      </c>
      <c r="AD26" s="16">
        <f t="shared" si="18"/>
        <v>0</v>
      </c>
      <c r="AE26" s="32">
        <f t="shared" si="18"/>
        <v>128</v>
      </c>
      <c r="AF26" s="32">
        <f t="shared" si="18"/>
        <v>248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3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8</v>
      </c>
      <c r="P27" s="15">
        <f t="shared" si="1"/>
        <v>13</v>
      </c>
      <c r="R27" s="29" t="s">
        <v>87</v>
      </c>
      <c r="S27" s="16">
        <f t="shared" ref="S27:AF27" si="19">SUM(S19:S21)</f>
        <v>20</v>
      </c>
      <c r="T27" s="16">
        <f t="shared" si="19"/>
        <v>1</v>
      </c>
      <c r="U27" s="16">
        <f t="shared" si="19"/>
        <v>20</v>
      </c>
      <c r="V27" s="16">
        <f t="shared" si="19"/>
        <v>1</v>
      </c>
      <c r="W27" s="16">
        <f t="shared" si="19"/>
        <v>1</v>
      </c>
      <c r="X27" s="16">
        <f t="shared" si="19"/>
        <v>1</v>
      </c>
      <c r="Y27" s="16">
        <f t="shared" si="19"/>
        <v>3</v>
      </c>
      <c r="Z27" s="16">
        <f t="shared" si="19"/>
        <v>2</v>
      </c>
      <c r="AA27" s="16">
        <f t="shared" si="19"/>
        <v>0</v>
      </c>
      <c r="AB27" s="16">
        <f t="shared" si="19"/>
        <v>2</v>
      </c>
      <c r="AC27" s="16">
        <f t="shared" si="19"/>
        <v>45</v>
      </c>
      <c r="AD27" s="16">
        <f t="shared" si="19"/>
        <v>0</v>
      </c>
      <c r="AE27" s="32">
        <f t="shared" si="19"/>
        <v>51</v>
      </c>
      <c r="AF27" s="32">
        <f t="shared" si="19"/>
        <v>96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2</v>
      </c>
      <c r="F28" s="50">
        <v>0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7</v>
      </c>
      <c r="P28" s="15">
        <f t="shared" si="1"/>
        <v>10</v>
      </c>
      <c r="R28" s="5" t="s">
        <v>17</v>
      </c>
      <c r="S28" s="16">
        <f t="shared" ref="S28:AF28" si="20">SUM(S10:S21)</f>
        <v>100</v>
      </c>
      <c r="T28" s="16">
        <f t="shared" si="20"/>
        <v>6</v>
      </c>
      <c r="U28" s="16">
        <f t="shared" si="20"/>
        <v>86</v>
      </c>
      <c r="V28" s="16">
        <f t="shared" si="20"/>
        <v>8</v>
      </c>
      <c r="W28" s="16">
        <f t="shared" si="20"/>
        <v>1</v>
      </c>
      <c r="X28" s="16">
        <f t="shared" si="20"/>
        <v>4</v>
      </c>
      <c r="Y28" s="16">
        <f t="shared" si="20"/>
        <v>26</v>
      </c>
      <c r="Z28" s="16">
        <f t="shared" si="20"/>
        <v>8</v>
      </c>
      <c r="AA28" s="16">
        <f t="shared" si="20"/>
        <v>4</v>
      </c>
      <c r="AB28" s="16">
        <f t="shared" si="20"/>
        <v>11</v>
      </c>
      <c r="AC28" s="16">
        <f t="shared" si="20"/>
        <v>228</v>
      </c>
      <c r="AD28" s="16">
        <f t="shared" si="20"/>
        <v>0</v>
      </c>
      <c r="AE28" s="32">
        <f t="shared" si="20"/>
        <v>254</v>
      </c>
      <c r="AF28" s="32">
        <f t="shared" si="20"/>
        <v>482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2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6</v>
      </c>
      <c r="P29" s="15">
        <f t="shared" si="1"/>
        <v>14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2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7</v>
      </c>
      <c r="N30" s="50">
        <v>0</v>
      </c>
      <c r="O30" s="15">
        <f t="shared" si="0"/>
        <v>6</v>
      </c>
      <c r="P30" s="15">
        <f t="shared" si="1"/>
        <v>13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4</v>
      </c>
      <c r="P31" s="15">
        <f t="shared" si="1"/>
        <v>8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3</v>
      </c>
      <c r="P32" s="15">
        <f t="shared" si="1"/>
        <v>7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2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6</v>
      </c>
      <c r="P33" s="15">
        <f t="shared" si="1"/>
        <v>9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2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0</v>
      </c>
      <c r="P35" s="15">
        <f t="shared" si="1"/>
        <v>4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3</v>
      </c>
      <c r="P36" s="15">
        <f t="shared" si="1"/>
        <v>6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6</v>
      </c>
      <c r="P37" s="15">
        <f t="shared" si="1"/>
        <v>8</v>
      </c>
    </row>
    <row r="38" spans="2:20" ht="23.1" customHeight="1" x14ac:dyDescent="0.25">
      <c r="B38" s="24" t="s">
        <v>65</v>
      </c>
      <c r="C38" s="50">
        <v>6</v>
      </c>
      <c r="D38" s="50">
        <v>0</v>
      </c>
      <c r="E38" s="50">
        <v>3</v>
      </c>
      <c r="F38" s="50">
        <v>0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10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3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4</v>
      </c>
      <c r="P39" s="15">
        <f t="shared" si="1"/>
        <v>8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0</v>
      </c>
      <c r="M40" s="50">
        <v>7</v>
      </c>
      <c r="N40" s="50">
        <v>0</v>
      </c>
      <c r="O40" s="15">
        <f t="shared" si="0"/>
        <v>5</v>
      </c>
      <c r="P40" s="15">
        <f t="shared" si="1"/>
        <v>12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1</v>
      </c>
      <c r="M41" s="50">
        <v>8</v>
      </c>
      <c r="N41" s="50">
        <v>0</v>
      </c>
      <c r="O41" s="15">
        <f t="shared" si="0"/>
        <v>4</v>
      </c>
      <c r="P41" s="15">
        <f t="shared" si="1"/>
        <v>12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3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3</v>
      </c>
      <c r="N43" s="50">
        <v>0</v>
      </c>
      <c r="O43" s="15">
        <f t="shared" si="0"/>
        <v>2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5</v>
      </c>
      <c r="N44" s="50">
        <v>0</v>
      </c>
      <c r="O44" s="15">
        <f t="shared" si="0"/>
        <v>7</v>
      </c>
      <c r="P44" s="15">
        <f t="shared" si="1"/>
        <v>12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5</v>
      </c>
      <c r="N45" s="50">
        <v>0</v>
      </c>
      <c r="O45" s="15">
        <f t="shared" si="0"/>
        <v>5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5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4</v>
      </c>
      <c r="N46" s="50">
        <v>0</v>
      </c>
      <c r="O46" s="15">
        <f t="shared" si="0"/>
        <v>5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1</v>
      </c>
      <c r="I47" s="50">
        <v>1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4</v>
      </c>
      <c r="P47" s="15">
        <f t="shared" si="1"/>
        <v>4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2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3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4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1</v>
      </c>
      <c r="E50" s="50">
        <v>3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6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5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2</v>
      </c>
      <c r="P52" s="15">
        <f t="shared" si="1"/>
        <v>3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2</v>
      </c>
      <c r="P53" s="15">
        <f t="shared" si="1"/>
        <v>8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3</v>
      </c>
      <c r="F54" s="50">
        <v>0</v>
      </c>
      <c r="G54" s="50">
        <v>1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5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0</v>
      </c>
      <c r="E55" s="50">
        <v>2</v>
      </c>
      <c r="F55" s="50">
        <v>1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1</v>
      </c>
      <c r="M55" s="50">
        <v>9</v>
      </c>
      <c r="N55" s="50">
        <v>0</v>
      </c>
      <c r="O55" s="15">
        <f t="shared" si="0"/>
        <v>10</v>
      </c>
      <c r="P55" s="15">
        <f t="shared" si="1"/>
        <v>19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5</v>
      </c>
      <c r="N56" s="50">
        <v>0</v>
      </c>
      <c r="O56" s="15">
        <f t="shared" si="0"/>
        <v>2</v>
      </c>
      <c r="P56" s="15">
        <f t="shared" si="1"/>
        <v>7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</v>
      </c>
      <c r="N57" s="50">
        <v>0</v>
      </c>
      <c r="O57" s="15">
        <f t="shared" si="0"/>
        <v>4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100</v>
      </c>
      <c r="D58" s="16">
        <f t="shared" si="21"/>
        <v>6</v>
      </c>
      <c r="E58" s="16">
        <f t="shared" si="21"/>
        <v>86</v>
      </c>
      <c r="F58" s="16">
        <f t="shared" si="21"/>
        <v>8</v>
      </c>
      <c r="G58" s="16">
        <f t="shared" si="21"/>
        <v>1</v>
      </c>
      <c r="H58" s="16">
        <f t="shared" si="21"/>
        <v>4</v>
      </c>
      <c r="I58" s="16">
        <f t="shared" si="21"/>
        <v>26</v>
      </c>
      <c r="J58" s="16">
        <f t="shared" si="21"/>
        <v>8</v>
      </c>
      <c r="K58" s="16">
        <f t="shared" si="21"/>
        <v>4</v>
      </c>
      <c r="L58" s="16">
        <f t="shared" si="21"/>
        <v>11</v>
      </c>
      <c r="M58" s="16">
        <f t="shared" si="21"/>
        <v>228</v>
      </c>
      <c r="N58" s="16">
        <f t="shared" si="21"/>
        <v>0</v>
      </c>
      <c r="O58" s="16">
        <f t="shared" si="21"/>
        <v>254</v>
      </c>
      <c r="P58" s="16">
        <f t="shared" si="21"/>
        <v>482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0.2074688796680498</v>
      </c>
      <c r="D59" s="43">
        <f t="shared" si="22"/>
        <v>1.2448132780082987E-2</v>
      </c>
      <c r="E59" s="43">
        <f t="shared" si="22"/>
        <v>0.17842323651452283</v>
      </c>
      <c r="F59" s="43">
        <f t="shared" si="22"/>
        <v>1.6597510373443983E-2</v>
      </c>
      <c r="G59" s="43">
        <f t="shared" si="22"/>
        <v>2.0746887966804979E-3</v>
      </c>
      <c r="H59" s="43">
        <f t="shared" si="22"/>
        <v>8.2987551867219917E-3</v>
      </c>
      <c r="I59" s="43">
        <f t="shared" si="22"/>
        <v>5.3941908713692949E-2</v>
      </c>
      <c r="J59" s="43">
        <f t="shared" si="22"/>
        <v>1.6597510373443983E-2</v>
      </c>
      <c r="K59" s="43">
        <f t="shared" si="22"/>
        <v>8.2987551867219917E-3</v>
      </c>
      <c r="L59" s="43">
        <f t="shared" si="22"/>
        <v>2.2821576763485476E-2</v>
      </c>
      <c r="M59" s="43">
        <f t="shared" si="22"/>
        <v>0.47302904564315351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0.39370078740157483</v>
      </c>
      <c r="D60" s="44">
        <f t="shared" ref="D60:N60" si="23">D58/$O$58</f>
        <v>2.3622047244094488E-2</v>
      </c>
      <c r="E60" s="44">
        <f t="shared" si="23"/>
        <v>0.33858267716535434</v>
      </c>
      <c r="F60" s="44">
        <f t="shared" si="23"/>
        <v>3.1496062992125984E-2</v>
      </c>
      <c r="G60" s="44">
        <f t="shared" si="23"/>
        <v>3.937007874015748E-3</v>
      </c>
      <c r="H60" s="44">
        <f t="shared" si="23"/>
        <v>1.5748031496062992E-2</v>
      </c>
      <c r="I60" s="44">
        <f t="shared" si="23"/>
        <v>0.10236220472440945</v>
      </c>
      <c r="J60" s="44">
        <f t="shared" si="23"/>
        <v>3.1496062992125984E-2</v>
      </c>
      <c r="K60" s="44">
        <f t="shared" si="23"/>
        <v>1.5748031496062992E-2</v>
      </c>
      <c r="L60" s="44">
        <f t="shared" si="23"/>
        <v>4.3307086614173228E-2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zoomScale="60" workbookViewId="0">
      <selection activeCell="D49" sqref="D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Yumbe-Koboko'!C3:G3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'05.08 Koboko-Yumbe'!D5</f>
        <v>05.08.19</v>
      </c>
      <c r="E5" s="3"/>
      <c r="F5" s="41" t="s">
        <v>1</v>
      </c>
      <c r="G5" s="65" t="str">
        <f>'05.08 Koboko-Yumbe'!G5:H5</f>
        <v>Umbachi</v>
      </c>
      <c r="H5" s="66"/>
      <c r="I5" s="14"/>
      <c r="J5" s="2" t="s">
        <v>5</v>
      </c>
      <c r="K5" s="65" t="str">
        <f>'05.08 Koboko-Yumbe'!K5:L5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Yumbe-Koboko'!D6:E6</f>
        <v>Yumbe</v>
      </c>
      <c r="E6" s="66"/>
      <c r="F6" s="2" t="s">
        <v>2</v>
      </c>
      <c r="G6" s="65" t="str">
        <f>'31.07 Yumbe-Koboko'!G6:H6</f>
        <v>Koboko</v>
      </c>
      <c r="H6" s="66"/>
      <c r="J6" s="2" t="s">
        <v>21</v>
      </c>
      <c r="K6" s="65" t="str">
        <f>'05.08 Koboko-Yumbe'!K6:L6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8</v>
      </c>
      <c r="AD10" s="17">
        <f t="shared" si="2"/>
        <v>0</v>
      </c>
      <c r="AE10" s="31">
        <f t="shared" si="2"/>
        <v>5</v>
      </c>
      <c r="AF10" s="31">
        <f t="shared" si="2"/>
        <v>13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0</v>
      </c>
      <c r="P11" s="15">
        <f t="shared" si="1"/>
        <v>1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17</v>
      </c>
      <c r="AD11" s="17">
        <f t="shared" si="3"/>
        <v>0</v>
      </c>
      <c r="AE11" s="31">
        <f t="shared" si="3"/>
        <v>7</v>
      </c>
      <c r="AF11" s="31">
        <f t="shared" si="3"/>
        <v>24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1</v>
      </c>
      <c r="P12" s="15">
        <f t="shared" si="1"/>
        <v>3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2</v>
      </c>
      <c r="Y12" s="17">
        <f t="shared" si="4"/>
        <v>2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23</v>
      </c>
      <c r="AD12" s="17">
        <f t="shared" si="4"/>
        <v>0</v>
      </c>
      <c r="AE12" s="31">
        <f t="shared" si="4"/>
        <v>15</v>
      </c>
      <c r="AF12" s="31">
        <f t="shared" si="4"/>
        <v>38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3</v>
      </c>
      <c r="P13" s="15">
        <f t="shared" si="1"/>
        <v>7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5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21</v>
      </c>
      <c r="AD13" s="17">
        <f t="shared" si="5"/>
        <v>0</v>
      </c>
      <c r="AE13" s="31">
        <f t="shared" si="5"/>
        <v>13</v>
      </c>
      <c r="AF13" s="31">
        <f t="shared" si="5"/>
        <v>34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2</v>
      </c>
      <c r="P14" s="15">
        <f t="shared" si="1"/>
        <v>3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1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15</v>
      </c>
      <c r="AD14" s="17">
        <f t="shared" si="6"/>
        <v>0</v>
      </c>
      <c r="AE14" s="31">
        <f t="shared" si="6"/>
        <v>12</v>
      </c>
      <c r="AF14" s="31">
        <f t="shared" si="6"/>
        <v>27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1</v>
      </c>
      <c r="P15" s="15">
        <f t="shared" si="1"/>
        <v>8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4</v>
      </c>
      <c r="V15" s="17">
        <f t="shared" si="7"/>
        <v>1</v>
      </c>
      <c r="W15" s="17">
        <f t="shared" si="7"/>
        <v>0</v>
      </c>
      <c r="X15" s="17">
        <f t="shared" si="7"/>
        <v>1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17</v>
      </c>
      <c r="AD15" s="17">
        <f t="shared" si="7"/>
        <v>0</v>
      </c>
      <c r="AE15" s="31">
        <f t="shared" si="7"/>
        <v>12</v>
      </c>
      <c r="AF15" s="31">
        <f t="shared" si="7"/>
        <v>29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3</v>
      </c>
      <c r="P16" s="15">
        <f t="shared" si="1"/>
        <v>7</v>
      </c>
      <c r="R16" s="1" t="s">
        <v>12</v>
      </c>
      <c r="S16" s="17">
        <f t="shared" ref="S16:AF16" si="8">SUM(C34:C37)</f>
        <v>7</v>
      </c>
      <c r="T16" s="17">
        <f t="shared" si="8"/>
        <v>1</v>
      </c>
      <c r="U16" s="17">
        <f t="shared" si="8"/>
        <v>7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1</v>
      </c>
      <c r="AC16" s="17">
        <f t="shared" si="8"/>
        <v>12</v>
      </c>
      <c r="AD16" s="17">
        <f t="shared" si="8"/>
        <v>1</v>
      </c>
      <c r="AE16" s="31">
        <f t="shared" si="8"/>
        <v>22</v>
      </c>
      <c r="AF16" s="31">
        <f t="shared" si="8"/>
        <v>34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5</v>
      </c>
      <c r="N17" s="50">
        <v>0</v>
      </c>
      <c r="O17" s="15">
        <f t="shared" si="0"/>
        <v>1</v>
      </c>
      <c r="P17" s="15">
        <f t="shared" si="1"/>
        <v>6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4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20</v>
      </c>
      <c r="AD17" s="17">
        <f t="shared" si="9"/>
        <v>0</v>
      </c>
      <c r="AE17" s="31">
        <f t="shared" si="9"/>
        <v>17</v>
      </c>
      <c r="AF17" s="31">
        <f t="shared" si="9"/>
        <v>37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2</v>
      </c>
      <c r="P18" s="15">
        <f t="shared" si="1"/>
        <v>4</v>
      </c>
      <c r="R18" s="1" t="s">
        <v>14</v>
      </c>
      <c r="S18" s="17">
        <f t="shared" ref="S18:AF18" si="10">SUM(C42:C45)</f>
        <v>9</v>
      </c>
      <c r="T18" s="17">
        <f t="shared" si="10"/>
        <v>1</v>
      </c>
      <c r="U18" s="17">
        <f t="shared" si="10"/>
        <v>4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19</v>
      </c>
      <c r="AD18" s="17">
        <f t="shared" si="10"/>
        <v>0</v>
      </c>
      <c r="AE18" s="31">
        <f t="shared" si="10"/>
        <v>15</v>
      </c>
      <c r="AF18" s="31">
        <f t="shared" si="10"/>
        <v>34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2</v>
      </c>
      <c r="F19" s="50">
        <v>0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0</v>
      </c>
      <c r="M19" s="50">
        <v>6</v>
      </c>
      <c r="N19" s="50">
        <v>0</v>
      </c>
      <c r="O19" s="15">
        <f t="shared" si="0"/>
        <v>4</v>
      </c>
      <c r="P19" s="15">
        <f t="shared" si="1"/>
        <v>10</v>
      </c>
      <c r="R19" s="1" t="s">
        <v>15</v>
      </c>
      <c r="S19" s="17">
        <f t="shared" ref="S19:AF19" si="11">SUM(C46:C49)</f>
        <v>8</v>
      </c>
      <c r="T19" s="17">
        <f t="shared" si="11"/>
        <v>1</v>
      </c>
      <c r="U19" s="17">
        <f t="shared" si="11"/>
        <v>6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6</v>
      </c>
      <c r="AD19" s="17">
        <f t="shared" si="11"/>
        <v>0</v>
      </c>
      <c r="AE19" s="31">
        <f t="shared" si="11"/>
        <v>17</v>
      </c>
      <c r="AF19" s="31">
        <f t="shared" si="11"/>
        <v>23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4</v>
      </c>
      <c r="P20" s="15">
        <f t="shared" si="1"/>
        <v>13</v>
      </c>
      <c r="R20" s="1" t="s">
        <v>16</v>
      </c>
      <c r="S20" s="17">
        <f t="shared" ref="S20:AF20" si="12">SUM(C50:C53)</f>
        <v>20</v>
      </c>
      <c r="T20" s="17">
        <f t="shared" si="12"/>
        <v>3</v>
      </c>
      <c r="U20" s="17">
        <f t="shared" si="12"/>
        <v>9</v>
      </c>
      <c r="V20" s="17">
        <f t="shared" si="12"/>
        <v>2</v>
      </c>
      <c r="W20" s="17">
        <f t="shared" si="12"/>
        <v>1</v>
      </c>
      <c r="X20" s="17">
        <f t="shared" si="12"/>
        <v>1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21</v>
      </c>
      <c r="AD20" s="17">
        <f t="shared" si="12"/>
        <v>0</v>
      </c>
      <c r="AE20" s="31">
        <f t="shared" si="12"/>
        <v>41</v>
      </c>
      <c r="AF20" s="31">
        <f t="shared" si="12"/>
        <v>62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1</v>
      </c>
      <c r="L21" s="50">
        <v>0</v>
      </c>
      <c r="M21" s="50">
        <v>6</v>
      </c>
      <c r="N21" s="50">
        <v>0</v>
      </c>
      <c r="O21" s="15">
        <f t="shared" si="0"/>
        <v>5</v>
      </c>
      <c r="P21" s="15">
        <f t="shared" si="1"/>
        <v>11</v>
      </c>
      <c r="R21" s="36" t="s">
        <v>20</v>
      </c>
      <c r="S21" s="34">
        <f t="shared" ref="S21:AF21" si="13">SUM(C54:C57)</f>
        <v>10</v>
      </c>
      <c r="T21" s="17">
        <f t="shared" si="13"/>
        <v>2</v>
      </c>
      <c r="U21" s="17">
        <f t="shared" si="13"/>
        <v>6</v>
      </c>
      <c r="V21" s="17">
        <f t="shared" si="13"/>
        <v>3</v>
      </c>
      <c r="W21" s="17">
        <f t="shared" si="13"/>
        <v>0</v>
      </c>
      <c r="X21" s="17">
        <f t="shared" si="13"/>
        <v>2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24</v>
      </c>
      <c r="AD21" s="17">
        <f t="shared" si="13"/>
        <v>0</v>
      </c>
      <c r="AE21" s="31">
        <f t="shared" si="13"/>
        <v>26</v>
      </c>
      <c r="AF21" s="31">
        <f t="shared" si="13"/>
        <v>50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2</v>
      </c>
      <c r="P22" s="15">
        <f t="shared" si="1"/>
        <v>9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4</v>
      </c>
      <c r="V22" s="39">
        <f t="shared" si="14"/>
        <v>0</v>
      </c>
      <c r="W22" s="39">
        <f t="shared" si="14"/>
        <v>0</v>
      </c>
      <c r="X22" s="39">
        <f t="shared" si="14"/>
        <v>2</v>
      </c>
      <c r="Y22" s="39">
        <f t="shared" si="14"/>
        <v>2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23</v>
      </c>
      <c r="AD22" s="39">
        <f t="shared" si="14"/>
        <v>0</v>
      </c>
      <c r="AE22" s="40">
        <f t="shared" si="14"/>
        <v>15</v>
      </c>
      <c r="AF22" s="40">
        <f t="shared" si="14"/>
        <v>38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6</v>
      </c>
      <c r="P23" s="15">
        <f t="shared" si="1"/>
        <v>13</v>
      </c>
      <c r="R23" s="38" t="s">
        <v>91</v>
      </c>
      <c r="S23" s="39">
        <f>MAX(S13:S18)</f>
        <v>10</v>
      </c>
      <c r="T23" s="39">
        <f t="shared" ref="T23:AF23" si="15">MAX(T13:T18)</f>
        <v>1</v>
      </c>
      <c r="U23" s="39">
        <f t="shared" si="15"/>
        <v>7</v>
      </c>
      <c r="V23" s="39">
        <f t="shared" si="15"/>
        <v>2</v>
      </c>
      <c r="W23" s="39">
        <f t="shared" si="15"/>
        <v>0</v>
      </c>
      <c r="X23" s="39">
        <f t="shared" si="15"/>
        <v>1</v>
      </c>
      <c r="Y23" s="39">
        <f t="shared" si="15"/>
        <v>2</v>
      </c>
      <c r="Z23" s="39">
        <f t="shared" si="15"/>
        <v>1</v>
      </c>
      <c r="AA23" s="39">
        <f t="shared" si="15"/>
        <v>0</v>
      </c>
      <c r="AB23" s="39">
        <f t="shared" si="15"/>
        <v>1</v>
      </c>
      <c r="AC23" s="39">
        <f t="shared" si="15"/>
        <v>21</v>
      </c>
      <c r="AD23" s="39">
        <f t="shared" si="15"/>
        <v>1</v>
      </c>
      <c r="AE23" s="40">
        <f t="shared" si="15"/>
        <v>22</v>
      </c>
      <c r="AF23" s="40">
        <f t="shared" si="15"/>
        <v>37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6</v>
      </c>
      <c r="N24" s="50">
        <v>0</v>
      </c>
      <c r="O24" s="15">
        <f t="shared" si="0"/>
        <v>3</v>
      </c>
      <c r="P24" s="15">
        <f t="shared" si="1"/>
        <v>9</v>
      </c>
      <c r="R24" s="38" t="s">
        <v>92</v>
      </c>
      <c r="S24" s="39">
        <f>MAX(S19:S21)</f>
        <v>20</v>
      </c>
      <c r="T24" s="39">
        <f t="shared" ref="T24:AF24" si="16">MAX(T19:T21)</f>
        <v>3</v>
      </c>
      <c r="U24" s="39">
        <f t="shared" si="16"/>
        <v>9</v>
      </c>
      <c r="V24" s="39">
        <f t="shared" si="16"/>
        <v>3</v>
      </c>
      <c r="W24" s="39">
        <f t="shared" si="16"/>
        <v>1</v>
      </c>
      <c r="X24" s="39">
        <f t="shared" si="16"/>
        <v>2</v>
      </c>
      <c r="Y24" s="39">
        <f t="shared" si="16"/>
        <v>4</v>
      </c>
      <c r="Z24" s="39">
        <f t="shared" si="16"/>
        <v>1</v>
      </c>
      <c r="AA24" s="39">
        <f t="shared" si="16"/>
        <v>0</v>
      </c>
      <c r="AB24" s="39">
        <f t="shared" si="16"/>
        <v>1</v>
      </c>
      <c r="AC24" s="39">
        <f t="shared" si="16"/>
        <v>24</v>
      </c>
      <c r="AD24" s="39">
        <f t="shared" si="16"/>
        <v>0</v>
      </c>
      <c r="AE24" s="40">
        <f t="shared" si="16"/>
        <v>41</v>
      </c>
      <c r="AF24" s="40">
        <f t="shared" si="16"/>
        <v>62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2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2</v>
      </c>
      <c r="P25" s="15">
        <f t="shared" si="1"/>
        <v>3</v>
      </c>
      <c r="R25" s="37" t="s">
        <v>85</v>
      </c>
      <c r="S25" s="35">
        <f t="shared" ref="S25:AF25" si="17">SUM(S10:S12)</f>
        <v>12</v>
      </c>
      <c r="T25" s="16">
        <f t="shared" si="17"/>
        <v>0</v>
      </c>
      <c r="U25" s="16">
        <f t="shared" si="17"/>
        <v>8</v>
      </c>
      <c r="V25" s="16">
        <f t="shared" si="17"/>
        <v>0</v>
      </c>
      <c r="W25" s="16">
        <f t="shared" si="17"/>
        <v>0</v>
      </c>
      <c r="X25" s="16">
        <f t="shared" si="17"/>
        <v>3</v>
      </c>
      <c r="Y25" s="16">
        <f t="shared" si="17"/>
        <v>2</v>
      </c>
      <c r="Z25" s="16">
        <f t="shared" si="17"/>
        <v>0</v>
      </c>
      <c r="AA25" s="16">
        <f t="shared" si="17"/>
        <v>2</v>
      </c>
      <c r="AB25" s="16">
        <f t="shared" si="17"/>
        <v>0</v>
      </c>
      <c r="AC25" s="16">
        <f t="shared" si="17"/>
        <v>48</v>
      </c>
      <c r="AD25" s="16">
        <f t="shared" si="17"/>
        <v>0</v>
      </c>
      <c r="AE25" s="32">
        <f t="shared" si="17"/>
        <v>27</v>
      </c>
      <c r="AF25" s="32">
        <f t="shared" si="17"/>
        <v>75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2</v>
      </c>
      <c r="P26" s="15">
        <f t="shared" si="1"/>
        <v>6</v>
      </c>
      <c r="R26" s="28" t="s">
        <v>86</v>
      </c>
      <c r="S26" s="16">
        <f t="shared" ref="S26:AF26" si="18">SUM(S13:S18)</f>
        <v>46</v>
      </c>
      <c r="T26" s="16">
        <f t="shared" si="18"/>
        <v>2</v>
      </c>
      <c r="U26" s="16">
        <f t="shared" si="18"/>
        <v>25</v>
      </c>
      <c r="V26" s="16">
        <f t="shared" si="18"/>
        <v>8</v>
      </c>
      <c r="W26" s="16">
        <f t="shared" si="18"/>
        <v>0</v>
      </c>
      <c r="X26" s="16">
        <f t="shared" si="18"/>
        <v>1</v>
      </c>
      <c r="Y26" s="16">
        <f t="shared" si="18"/>
        <v>6</v>
      </c>
      <c r="Z26" s="16">
        <f t="shared" si="18"/>
        <v>1</v>
      </c>
      <c r="AA26" s="16">
        <f t="shared" si="18"/>
        <v>0</v>
      </c>
      <c r="AB26" s="16">
        <f t="shared" si="18"/>
        <v>1</v>
      </c>
      <c r="AC26" s="16">
        <f t="shared" si="18"/>
        <v>104</v>
      </c>
      <c r="AD26" s="16">
        <f t="shared" si="18"/>
        <v>1</v>
      </c>
      <c r="AE26" s="32">
        <f t="shared" si="18"/>
        <v>91</v>
      </c>
      <c r="AF26" s="32">
        <f t="shared" si="18"/>
        <v>195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4</v>
      </c>
      <c r="P27" s="15">
        <f t="shared" si="1"/>
        <v>5</v>
      </c>
      <c r="R27" s="29" t="s">
        <v>87</v>
      </c>
      <c r="S27" s="16">
        <f t="shared" ref="S27:AF27" si="19">SUM(S19:S21)</f>
        <v>38</v>
      </c>
      <c r="T27" s="16">
        <f t="shared" si="19"/>
        <v>6</v>
      </c>
      <c r="U27" s="16">
        <f t="shared" si="19"/>
        <v>21</v>
      </c>
      <c r="V27" s="16">
        <f t="shared" si="19"/>
        <v>5</v>
      </c>
      <c r="W27" s="16">
        <f t="shared" si="19"/>
        <v>1</v>
      </c>
      <c r="X27" s="16">
        <f t="shared" si="19"/>
        <v>3</v>
      </c>
      <c r="Y27" s="16">
        <f t="shared" si="19"/>
        <v>7</v>
      </c>
      <c r="Z27" s="16">
        <f t="shared" si="19"/>
        <v>1</v>
      </c>
      <c r="AA27" s="16">
        <f t="shared" si="19"/>
        <v>0</v>
      </c>
      <c r="AB27" s="16">
        <f t="shared" si="19"/>
        <v>2</v>
      </c>
      <c r="AC27" s="16">
        <f t="shared" si="19"/>
        <v>51</v>
      </c>
      <c r="AD27" s="16">
        <f t="shared" si="19"/>
        <v>0</v>
      </c>
      <c r="AE27" s="32">
        <f t="shared" si="19"/>
        <v>84</v>
      </c>
      <c r="AF27" s="32">
        <f t="shared" si="19"/>
        <v>135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3</v>
      </c>
      <c r="P28" s="15">
        <f t="shared" si="1"/>
        <v>7</v>
      </c>
      <c r="R28" s="5" t="s">
        <v>17</v>
      </c>
      <c r="S28" s="16">
        <f t="shared" ref="S28:AF28" si="20">SUM(S10:S21)</f>
        <v>96</v>
      </c>
      <c r="T28" s="16">
        <f t="shared" si="20"/>
        <v>8</v>
      </c>
      <c r="U28" s="16">
        <f t="shared" si="20"/>
        <v>54</v>
      </c>
      <c r="V28" s="16">
        <f t="shared" si="20"/>
        <v>13</v>
      </c>
      <c r="W28" s="16">
        <f t="shared" si="20"/>
        <v>1</v>
      </c>
      <c r="X28" s="16">
        <f t="shared" si="20"/>
        <v>7</v>
      </c>
      <c r="Y28" s="16">
        <f t="shared" si="20"/>
        <v>15</v>
      </c>
      <c r="Z28" s="16">
        <f t="shared" si="20"/>
        <v>2</v>
      </c>
      <c r="AA28" s="16">
        <f t="shared" si="20"/>
        <v>2</v>
      </c>
      <c r="AB28" s="16">
        <f t="shared" si="20"/>
        <v>3</v>
      </c>
      <c r="AC28" s="16">
        <f t="shared" si="20"/>
        <v>203</v>
      </c>
      <c r="AD28" s="16">
        <f t="shared" si="20"/>
        <v>1</v>
      </c>
      <c r="AE28" s="32">
        <f t="shared" si="20"/>
        <v>202</v>
      </c>
      <c r="AF28" s="32">
        <f t="shared" si="20"/>
        <v>405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6</v>
      </c>
      <c r="N29" s="50">
        <v>0</v>
      </c>
      <c r="O29" s="15">
        <f t="shared" si="0"/>
        <v>3</v>
      </c>
      <c r="P29" s="15">
        <f t="shared" si="1"/>
        <v>9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2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3</v>
      </c>
      <c r="P30" s="15">
        <f t="shared" si="1"/>
        <v>7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1</v>
      </c>
      <c r="I31" s="50">
        <v>0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2</v>
      </c>
      <c r="P31" s="15">
        <f t="shared" si="1"/>
        <v>6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1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2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6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2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2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7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1</v>
      </c>
      <c r="M36" s="50">
        <v>4</v>
      </c>
      <c r="N36" s="50">
        <v>1</v>
      </c>
      <c r="O36" s="15">
        <f t="shared" si="0"/>
        <v>4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2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5</v>
      </c>
      <c r="N37" s="50">
        <v>0</v>
      </c>
      <c r="O37" s="15">
        <f t="shared" si="0"/>
        <v>9</v>
      </c>
      <c r="P37" s="15">
        <f t="shared" si="1"/>
        <v>14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2</v>
      </c>
      <c r="P38" s="15">
        <f t="shared" si="1"/>
        <v>3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6</v>
      </c>
      <c r="P39" s="15">
        <f t="shared" si="1"/>
        <v>14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4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5</v>
      </c>
      <c r="P41" s="15">
        <f t="shared" si="1"/>
        <v>13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2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2</v>
      </c>
      <c r="D43" s="50">
        <v>1</v>
      </c>
      <c r="E43" s="50">
        <v>2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6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6</v>
      </c>
      <c r="N44" s="50">
        <v>0</v>
      </c>
      <c r="O44" s="15">
        <f t="shared" si="0"/>
        <v>2</v>
      </c>
      <c r="P44" s="15">
        <f t="shared" si="1"/>
        <v>8</v>
      </c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5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2</v>
      </c>
      <c r="D46" s="50">
        <v>1</v>
      </c>
      <c r="E46" s="50">
        <v>2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5</v>
      </c>
      <c r="P46" s="15">
        <f t="shared" si="1"/>
        <v>5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1</v>
      </c>
      <c r="P47" s="15">
        <f t="shared" si="1"/>
        <v>1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6</v>
      </c>
      <c r="P48" s="15">
        <f t="shared" si="1"/>
        <v>11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5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2</v>
      </c>
      <c r="E50" s="50">
        <v>3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13</v>
      </c>
      <c r="P50" s="15">
        <f t="shared" si="1"/>
        <v>21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1</v>
      </c>
      <c r="M51" s="50">
        <v>3</v>
      </c>
      <c r="N51" s="50">
        <v>0</v>
      </c>
      <c r="O51" s="15">
        <f t="shared" si="0"/>
        <v>7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3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8</v>
      </c>
      <c r="P52" s="15">
        <f t="shared" si="1"/>
        <v>11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0</v>
      </c>
      <c r="E53" s="50">
        <v>2</v>
      </c>
      <c r="F53" s="50">
        <v>1</v>
      </c>
      <c r="G53" s="50">
        <v>1</v>
      </c>
      <c r="H53" s="50">
        <v>1</v>
      </c>
      <c r="I53" s="50">
        <v>2</v>
      </c>
      <c r="J53" s="50">
        <v>0</v>
      </c>
      <c r="K53" s="50">
        <v>0</v>
      </c>
      <c r="L53" s="50">
        <v>0</v>
      </c>
      <c r="M53" s="50">
        <v>7</v>
      </c>
      <c r="N53" s="50">
        <v>0</v>
      </c>
      <c r="O53" s="15">
        <f t="shared" si="0"/>
        <v>13</v>
      </c>
      <c r="P53" s="15">
        <f t="shared" si="1"/>
        <v>20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1</v>
      </c>
      <c r="F54" s="50"/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6</v>
      </c>
      <c r="P54" s="15">
        <f t="shared" si="1"/>
        <v>13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0</v>
      </c>
      <c r="E55" s="50">
        <v>0</v>
      </c>
      <c r="F55" s="50">
        <v>0</v>
      </c>
      <c r="G55" s="50">
        <v>0</v>
      </c>
      <c r="H55" s="50">
        <v>1</v>
      </c>
      <c r="I55" s="50">
        <v>2</v>
      </c>
      <c r="J55" s="50">
        <v>0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7</v>
      </c>
      <c r="P55" s="15">
        <f t="shared" si="1"/>
        <v>19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3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</v>
      </c>
      <c r="N56" s="50">
        <v>0</v>
      </c>
      <c r="O56" s="15">
        <f t="shared" si="0"/>
        <v>6</v>
      </c>
      <c r="P56" s="15">
        <f t="shared" si="1"/>
        <v>8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2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3</v>
      </c>
      <c r="N57" s="50">
        <v>0</v>
      </c>
      <c r="O57" s="15">
        <f t="shared" si="0"/>
        <v>7</v>
      </c>
      <c r="P57" s="15">
        <f t="shared" si="1"/>
        <v>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96</v>
      </c>
      <c r="D58" s="16">
        <f t="shared" si="21"/>
        <v>8</v>
      </c>
      <c r="E58" s="16">
        <f t="shared" si="21"/>
        <v>54</v>
      </c>
      <c r="F58" s="16">
        <f t="shared" si="21"/>
        <v>13</v>
      </c>
      <c r="G58" s="16">
        <f t="shared" si="21"/>
        <v>1</v>
      </c>
      <c r="H58" s="16">
        <f t="shared" si="21"/>
        <v>7</v>
      </c>
      <c r="I58" s="16">
        <f t="shared" si="21"/>
        <v>15</v>
      </c>
      <c r="J58" s="16">
        <f t="shared" si="21"/>
        <v>2</v>
      </c>
      <c r="K58" s="16">
        <f t="shared" si="21"/>
        <v>2</v>
      </c>
      <c r="L58" s="16">
        <f t="shared" si="21"/>
        <v>3</v>
      </c>
      <c r="M58" s="16">
        <f t="shared" si="21"/>
        <v>203</v>
      </c>
      <c r="N58" s="16">
        <f t="shared" si="21"/>
        <v>1</v>
      </c>
      <c r="O58" s="16">
        <f t="shared" si="21"/>
        <v>202</v>
      </c>
      <c r="P58" s="16">
        <f t="shared" si="21"/>
        <v>405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0.23703703703703705</v>
      </c>
      <c r="D59" s="43">
        <f t="shared" si="22"/>
        <v>1.9753086419753086E-2</v>
      </c>
      <c r="E59" s="43">
        <f t="shared" si="22"/>
        <v>0.13333333333333333</v>
      </c>
      <c r="F59" s="43">
        <f t="shared" si="22"/>
        <v>3.2098765432098768E-2</v>
      </c>
      <c r="G59" s="43">
        <f t="shared" si="22"/>
        <v>2.4691358024691358E-3</v>
      </c>
      <c r="H59" s="43">
        <f t="shared" si="22"/>
        <v>1.7283950617283949E-2</v>
      </c>
      <c r="I59" s="43">
        <f t="shared" si="22"/>
        <v>3.7037037037037035E-2</v>
      </c>
      <c r="J59" s="43">
        <f t="shared" si="22"/>
        <v>4.9382716049382715E-3</v>
      </c>
      <c r="K59" s="43">
        <f t="shared" si="22"/>
        <v>4.9382716049382715E-3</v>
      </c>
      <c r="L59" s="43">
        <f t="shared" si="22"/>
        <v>7.4074074074074077E-3</v>
      </c>
      <c r="M59" s="43">
        <f t="shared" si="22"/>
        <v>0.50123456790123455</v>
      </c>
      <c r="N59" s="43">
        <f t="shared" si="22"/>
        <v>2.4691358024691358E-3</v>
      </c>
      <c r="R59" s="8"/>
      <c r="T59"/>
    </row>
    <row r="60" spans="2:20" ht="23.1" customHeight="1" x14ac:dyDescent="0.25">
      <c r="B60" s="42" t="s">
        <v>94</v>
      </c>
      <c r="C60" s="44">
        <f>C58/$O$58</f>
        <v>0.47524752475247523</v>
      </c>
      <c r="D60" s="44">
        <f t="shared" ref="D60:N60" si="23">D58/$O$58</f>
        <v>3.9603960396039604E-2</v>
      </c>
      <c r="E60" s="44">
        <f t="shared" si="23"/>
        <v>0.26732673267326734</v>
      </c>
      <c r="F60" s="44">
        <f t="shared" si="23"/>
        <v>6.4356435643564358E-2</v>
      </c>
      <c r="G60" s="44">
        <f t="shared" si="23"/>
        <v>4.9504950495049506E-3</v>
      </c>
      <c r="H60" s="44">
        <f t="shared" si="23"/>
        <v>3.4653465346534656E-2</v>
      </c>
      <c r="I60" s="44">
        <f t="shared" si="23"/>
        <v>7.4257425742574254E-2</v>
      </c>
      <c r="J60" s="44">
        <f t="shared" si="23"/>
        <v>9.9009900990099011E-3</v>
      </c>
      <c r="K60" s="44">
        <f t="shared" si="23"/>
        <v>9.9009900990099011E-3</v>
      </c>
      <c r="L60" s="44">
        <f t="shared" si="23"/>
        <v>1.4851485148514851E-2</v>
      </c>
      <c r="M60" s="44"/>
      <c r="N60" s="44">
        <f t="shared" si="23"/>
        <v>4.9504950495049506E-3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33" zoomScale="60" workbookViewId="0">
      <selection activeCell="E58" sqref="E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Koboko-Yumbe'!C3:G3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5" t="str">
        <f>'03.08 Yumbe-Koboko-24h'!G5:H5</f>
        <v>Umbachi</v>
      </c>
      <c r="H5" s="66"/>
      <c r="I5" s="14"/>
      <c r="J5" s="2" t="s">
        <v>5</v>
      </c>
      <c r="K5" s="65" t="str">
        <f>'03.08 Yumbe-Koboko-24h'!K5:L5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Koboko-Yumbe'!D6:E6</f>
        <v>Koboko</v>
      </c>
      <c r="E6" s="66"/>
      <c r="F6" s="2" t="s">
        <v>2</v>
      </c>
      <c r="G6" s="65" t="str">
        <f>'31.07 Koboko-Yumbe'!G6:H6</f>
        <v>Yumbe</v>
      </c>
      <c r="H6" s="66"/>
      <c r="J6" s="2" t="s">
        <v>21</v>
      </c>
      <c r="K6" s="65" t="str">
        <f>'03.08 Yumbe-Koboko-24h'!K6:L6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2</v>
      </c>
      <c r="T10" s="17">
        <f t="shared" si="2"/>
        <v>2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2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24</v>
      </c>
      <c r="AD10" s="17">
        <f t="shared" si="2"/>
        <v>0</v>
      </c>
      <c r="AE10" s="31">
        <f t="shared" si="2"/>
        <v>10</v>
      </c>
      <c r="AF10" s="31">
        <f t="shared" si="2"/>
        <v>34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1</v>
      </c>
      <c r="P11" s="15">
        <f t="shared" si="1"/>
        <v>3</v>
      </c>
      <c r="R11" s="1" t="s">
        <v>7</v>
      </c>
      <c r="S11" s="17">
        <f t="shared" ref="S11:AF11" si="3">SUM(C14:C17)</f>
        <v>5</v>
      </c>
      <c r="T11" s="17">
        <f t="shared" si="3"/>
        <v>6</v>
      </c>
      <c r="U11" s="17">
        <f t="shared" si="3"/>
        <v>8</v>
      </c>
      <c r="V11" s="17">
        <f t="shared" si="3"/>
        <v>0</v>
      </c>
      <c r="W11" s="17">
        <f t="shared" si="3"/>
        <v>0</v>
      </c>
      <c r="X11" s="17">
        <f t="shared" si="3"/>
        <v>2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24</v>
      </c>
      <c r="AD11" s="17">
        <f t="shared" si="3"/>
        <v>0</v>
      </c>
      <c r="AE11" s="31">
        <f t="shared" si="3"/>
        <v>26</v>
      </c>
      <c r="AF11" s="31">
        <f t="shared" si="3"/>
        <v>50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3</v>
      </c>
      <c r="P12" s="15">
        <f t="shared" si="1"/>
        <v>8</v>
      </c>
      <c r="R12" s="1" t="s">
        <v>8</v>
      </c>
      <c r="S12" s="17">
        <f t="shared" ref="S12:AF12" si="4">SUM(C18:C21)</f>
        <v>8</v>
      </c>
      <c r="T12" s="17">
        <f t="shared" si="4"/>
        <v>4</v>
      </c>
      <c r="U12" s="17">
        <f t="shared" si="4"/>
        <v>5</v>
      </c>
      <c r="V12" s="17">
        <f t="shared" si="4"/>
        <v>1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19</v>
      </c>
      <c r="AD12" s="17">
        <f t="shared" si="4"/>
        <v>0</v>
      </c>
      <c r="AE12" s="31">
        <f t="shared" si="4"/>
        <v>24</v>
      </c>
      <c r="AF12" s="31">
        <f t="shared" si="4"/>
        <v>43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1</v>
      </c>
      <c r="F13" s="50">
        <v>0</v>
      </c>
      <c r="G13" s="50">
        <v>0</v>
      </c>
      <c r="H13" s="50">
        <v>2</v>
      </c>
      <c r="I13" s="50">
        <v>0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5">
        <f t="shared" si="0"/>
        <v>5</v>
      </c>
      <c r="P13" s="15">
        <f t="shared" si="1"/>
        <v>18</v>
      </c>
      <c r="R13" s="1" t="s">
        <v>9</v>
      </c>
      <c r="S13" s="17">
        <f t="shared" ref="S13:AF13" si="5">SUM(C22:C25)</f>
        <v>10</v>
      </c>
      <c r="T13" s="17">
        <f t="shared" si="5"/>
        <v>5</v>
      </c>
      <c r="U13" s="17">
        <f t="shared" si="5"/>
        <v>8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22</v>
      </c>
      <c r="AD13" s="17">
        <f t="shared" si="5"/>
        <v>0</v>
      </c>
      <c r="AE13" s="31">
        <f t="shared" si="5"/>
        <v>26</v>
      </c>
      <c r="AF13" s="31">
        <f t="shared" si="5"/>
        <v>48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1</v>
      </c>
      <c r="F14" s="50">
        <v>0</v>
      </c>
      <c r="G14" s="50">
        <v>0</v>
      </c>
      <c r="H14" s="50">
        <v>2</v>
      </c>
      <c r="I14" s="50">
        <v>1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6</v>
      </c>
      <c r="P14" s="15">
        <f t="shared" si="1"/>
        <v>9</v>
      </c>
      <c r="R14" s="1" t="s">
        <v>10</v>
      </c>
      <c r="S14" s="17">
        <f t="shared" ref="S14:AF14" si="6">SUM(C26:C29)</f>
        <v>10</v>
      </c>
      <c r="T14" s="17">
        <f t="shared" si="6"/>
        <v>3</v>
      </c>
      <c r="U14" s="17">
        <f t="shared" si="6"/>
        <v>5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23</v>
      </c>
      <c r="AD14" s="17">
        <f t="shared" si="6"/>
        <v>0</v>
      </c>
      <c r="AE14" s="31">
        <f t="shared" si="6"/>
        <v>23</v>
      </c>
      <c r="AF14" s="31">
        <f t="shared" si="6"/>
        <v>46</v>
      </c>
    </row>
    <row r="15" spans="2:32" ht="23.1" customHeight="1" x14ac:dyDescent="0.25">
      <c r="B15" s="23" t="s">
        <v>42</v>
      </c>
      <c r="C15" s="50">
        <v>0</v>
      </c>
      <c r="D15" s="50">
        <v>1</v>
      </c>
      <c r="E15" s="50">
        <v>2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4</v>
      </c>
      <c r="P15" s="15">
        <f t="shared" si="1"/>
        <v>12</v>
      </c>
      <c r="R15" s="1" t="s">
        <v>11</v>
      </c>
      <c r="S15" s="17">
        <f t="shared" ref="S15:AF15" si="7">SUM(C30:C33)</f>
        <v>7</v>
      </c>
      <c r="T15" s="17">
        <f t="shared" si="7"/>
        <v>5</v>
      </c>
      <c r="U15" s="17">
        <f t="shared" si="7"/>
        <v>6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17</v>
      </c>
      <c r="AD15" s="17">
        <f t="shared" si="7"/>
        <v>0</v>
      </c>
      <c r="AE15" s="31">
        <f t="shared" si="7"/>
        <v>21</v>
      </c>
      <c r="AF15" s="31">
        <f t="shared" si="7"/>
        <v>38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1</v>
      </c>
      <c r="M16" s="50">
        <v>9</v>
      </c>
      <c r="N16" s="50">
        <v>0</v>
      </c>
      <c r="O16" s="15">
        <f t="shared" si="0"/>
        <v>5</v>
      </c>
      <c r="P16" s="15">
        <f t="shared" si="1"/>
        <v>14</v>
      </c>
      <c r="R16" s="1" t="s">
        <v>12</v>
      </c>
      <c r="S16" s="17">
        <f t="shared" ref="S16:AF16" si="8">SUM(C34:C37)</f>
        <v>9</v>
      </c>
      <c r="T16" s="17">
        <f t="shared" si="8"/>
        <v>2</v>
      </c>
      <c r="U16" s="17">
        <f t="shared" si="8"/>
        <v>3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21</v>
      </c>
      <c r="AD16" s="17">
        <f t="shared" si="8"/>
        <v>0</v>
      </c>
      <c r="AE16" s="31">
        <f t="shared" si="8"/>
        <v>18</v>
      </c>
      <c r="AF16" s="31">
        <f t="shared" si="8"/>
        <v>39</v>
      </c>
    </row>
    <row r="17" spans="2:32" ht="23.1" customHeight="1" x14ac:dyDescent="0.25">
      <c r="B17" s="23" t="s">
        <v>44</v>
      </c>
      <c r="C17" s="50">
        <v>2</v>
      </c>
      <c r="D17" s="50">
        <v>4</v>
      </c>
      <c r="E17" s="50">
        <v>4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11</v>
      </c>
      <c r="P17" s="15">
        <f t="shared" si="1"/>
        <v>15</v>
      </c>
      <c r="R17" s="1" t="s">
        <v>13</v>
      </c>
      <c r="S17" s="17">
        <f t="shared" ref="S17:AF17" si="9">SUM(C38:C41)</f>
        <v>11</v>
      </c>
      <c r="T17" s="17">
        <f t="shared" si="9"/>
        <v>0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19</v>
      </c>
      <c r="AD17" s="17">
        <f t="shared" si="9"/>
        <v>0</v>
      </c>
      <c r="AE17" s="31">
        <f t="shared" si="9"/>
        <v>17</v>
      </c>
      <c r="AF17" s="31">
        <f t="shared" si="9"/>
        <v>36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1</v>
      </c>
      <c r="F18" s="50">
        <v>0</v>
      </c>
      <c r="G18" s="50">
        <v>0</v>
      </c>
      <c r="H18" s="50">
        <v>1</v>
      </c>
      <c r="I18" s="50">
        <v>1</v>
      </c>
      <c r="J18" s="50">
        <v>1</v>
      </c>
      <c r="K18" s="50">
        <v>0</v>
      </c>
      <c r="L18" s="50">
        <v>1</v>
      </c>
      <c r="M18" s="50">
        <v>0</v>
      </c>
      <c r="N18" s="50">
        <v>0</v>
      </c>
      <c r="O18" s="15">
        <f t="shared" si="0"/>
        <v>9</v>
      </c>
      <c r="P18" s="15">
        <f t="shared" si="1"/>
        <v>9</v>
      </c>
      <c r="R18" s="1" t="s">
        <v>14</v>
      </c>
      <c r="S18" s="17">
        <f t="shared" ref="S18:AF18" si="10">SUM(C42:C45)</f>
        <v>8</v>
      </c>
      <c r="T18" s="17">
        <f t="shared" si="10"/>
        <v>1</v>
      </c>
      <c r="U18" s="17">
        <f t="shared" si="10"/>
        <v>3</v>
      </c>
      <c r="V18" s="17">
        <f t="shared" si="10"/>
        <v>2</v>
      </c>
      <c r="W18" s="17">
        <f t="shared" si="10"/>
        <v>1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18</v>
      </c>
      <c r="AD18" s="17">
        <f t="shared" si="10"/>
        <v>0</v>
      </c>
      <c r="AE18" s="31">
        <f t="shared" si="10"/>
        <v>18</v>
      </c>
      <c r="AF18" s="31">
        <f t="shared" si="10"/>
        <v>36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3</v>
      </c>
      <c r="P19" s="15">
        <f t="shared" si="1"/>
        <v>6</v>
      </c>
      <c r="R19" s="1" t="s">
        <v>15</v>
      </c>
      <c r="S19" s="17">
        <f t="shared" ref="S19:AF19" si="11">SUM(C46:C49)</f>
        <v>7</v>
      </c>
      <c r="T19" s="17">
        <f t="shared" si="11"/>
        <v>3</v>
      </c>
      <c r="U19" s="17">
        <f t="shared" si="11"/>
        <v>4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21</v>
      </c>
      <c r="AD19" s="17">
        <f t="shared" si="11"/>
        <v>0</v>
      </c>
      <c r="AE19" s="31">
        <f t="shared" si="11"/>
        <v>18</v>
      </c>
      <c r="AF19" s="31">
        <f t="shared" si="11"/>
        <v>39</v>
      </c>
    </row>
    <row r="20" spans="2:32" ht="23.1" customHeight="1" x14ac:dyDescent="0.25">
      <c r="B20" s="23" t="s">
        <v>47</v>
      </c>
      <c r="C20" s="50">
        <v>1</v>
      </c>
      <c r="D20" s="50">
        <v>2</v>
      </c>
      <c r="E20" s="50">
        <v>2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11</v>
      </c>
      <c r="N20" s="50">
        <v>0</v>
      </c>
      <c r="O20" s="15">
        <f t="shared" si="0"/>
        <v>6</v>
      </c>
      <c r="P20" s="15">
        <f t="shared" si="1"/>
        <v>17</v>
      </c>
      <c r="R20" s="1" t="s">
        <v>16</v>
      </c>
      <c r="S20" s="17">
        <f t="shared" ref="S20:AF20" si="12">SUM(C50:C53)</f>
        <v>9</v>
      </c>
      <c r="T20" s="17">
        <f t="shared" si="12"/>
        <v>3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1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18</v>
      </c>
      <c r="AD20" s="17">
        <f t="shared" si="12"/>
        <v>0</v>
      </c>
      <c r="AE20" s="31">
        <f t="shared" si="12"/>
        <v>21</v>
      </c>
      <c r="AF20" s="31">
        <f t="shared" si="12"/>
        <v>39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1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6</v>
      </c>
      <c r="P21" s="15">
        <f t="shared" si="1"/>
        <v>11</v>
      </c>
      <c r="R21" s="36" t="s">
        <v>20</v>
      </c>
      <c r="S21" s="34">
        <f t="shared" ref="S21:AF21" si="13">SUM(C54:C57)</f>
        <v>13</v>
      </c>
      <c r="T21" s="17">
        <f t="shared" si="13"/>
        <v>6</v>
      </c>
      <c r="U21" s="17">
        <f t="shared" si="13"/>
        <v>8</v>
      </c>
      <c r="V21" s="17">
        <f t="shared" si="13"/>
        <v>0</v>
      </c>
      <c r="W21" s="17">
        <f t="shared" si="13"/>
        <v>3</v>
      </c>
      <c r="X21" s="17">
        <f t="shared" si="13"/>
        <v>3</v>
      </c>
      <c r="Y21" s="17">
        <f t="shared" si="13"/>
        <v>6</v>
      </c>
      <c r="Z21" s="17">
        <f t="shared" si="13"/>
        <v>0</v>
      </c>
      <c r="AA21" s="17">
        <f t="shared" si="13"/>
        <v>1</v>
      </c>
      <c r="AB21" s="17">
        <f t="shared" si="13"/>
        <v>1</v>
      </c>
      <c r="AC21" s="17">
        <f t="shared" si="13"/>
        <v>21</v>
      </c>
      <c r="AD21" s="17">
        <f t="shared" si="13"/>
        <v>0</v>
      </c>
      <c r="AE21" s="31">
        <f t="shared" si="13"/>
        <v>41</v>
      </c>
      <c r="AF21" s="31">
        <f t="shared" si="13"/>
        <v>62</v>
      </c>
    </row>
    <row r="22" spans="2:32" ht="23.1" customHeight="1" x14ac:dyDescent="0.25">
      <c r="B22" s="23" t="s">
        <v>49</v>
      </c>
      <c r="C22" s="50">
        <v>1</v>
      </c>
      <c r="D22" s="50">
        <v>2</v>
      </c>
      <c r="E22" s="50">
        <v>3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6</v>
      </c>
      <c r="P22" s="15">
        <f t="shared" si="1"/>
        <v>11</v>
      </c>
      <c r="R22" s="38" t="s">
        <v>90</v>
      </c>
      <c r="S22" s="39">
        <f>MAX(S10:S12)</f>
        <v>8</v>
      </c>
      <c r="T22" s="39">
        <f t="shared" ref="T22:AF22" si="14">MAX(T10:T12)</f>
        <v>6</v>
      </c>
      <c r="U22" s="39">
        <f t="shared" si="14"/>
        <v>8</v>
      </c>
      <c r="V22" s="39">
        <f t="shared" si="14"/>
        <v>1</v>
      </c>
      <c r="W22" s="39">
        <f t="shared" si="14"/>
        <v>0</v>
      </c>
      <c r="X22" s="39">
        <f t="shared" si="14"/>
        <v>2</v>
      </c>
      <c r="Y22" s="39">
        <f t="shared" si="14"/>
        <v>4</v>
      </c>
      <c r="Z22" s="39">
        <f t="shared" si="14"/>
        <v>1</v>
      </c>
      <c r="AA22" s="39">
        <f t="shared" si="14"/>
        <v>0</v>
      </c>
      <c r="AB22" s="39">
        <f t="shared" si="14"/>
        <v>1</v>
      </c>
      <c r="AC22" s="39">
        <f t="shared" si="14"/>
        <v>24</v>
      </c>
      <c r="AD22" s="39">
        <f t="shared" si="14"/>
        <v>0</v>
      </c>
      <c r="AE22" s="40">
        <f t="shared" si="14"/>
        <v>26</v>
      </c>
      <c r="AF22" s="40">
        <f t="shared" si="14"/>
        <v>50</v>
      </c>
    </row>
    <row r="23" spans="2:32" ht="23.1" customHeight="1" x14ac:dyDescent="0.25">
      <c r="B23" s="23" t="s">
        <v>50</v>
      </c>
      <c r="C23" s="50">
        <v>4</v>
      </c>
      <c r="D23" s="50">
        <v>1</v>
      </c>
      <c r="E23" s="50">
        <v>2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5</v>
      </c>
      <c r="N23" s="50">
        <v>0</v>
      </c>
      <c r="O23" s="15">
        <f t="shared" si="0"/>
        <v>8</v>
      </c>
      <c r="P23" s="15">
        <f t="shared" si="1"/>
        <v>13</v>
      </c>
      <c r="R23" s="38" t="s">
        <v>91</v>
      </c>
      <c r="S23" s="39">
        <f>MAX(S13:S18)</f>
        <v>11</v>
      </c>
      <c r="T23" s="39">
        <f t="shared" ref="T23:AF23" si="15">MAX(T13:T18)</f>
        <v>5</v>
      </c>
      <c r="U23" s="39">
        <f t="shared" si="15"/>
        <v>8</v>
      </c>
      <c r="V23" s="39">
        <f t="shared" si="15"/>
        <v>2</v>
      </c>
      <c r="W23" s="39">
        <f t="shared" si="15"/>
        <v>1</v>
      </c>
      <c r="X23" s="39">
        <f t="shared" si="15"/>
        <v>0</v>
      </c>
      <c r="Y23" s="39">
        <f t="shared" si="15"/>
        <v>4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23</v>
      </c>
      <c r="AD23" s="39">
        <f t="shared" si="15"/>
        <v>0</v>
      </c>
      <c r="AE23" s="40">
        <f t="shared" si="15"/>
        <v>26</v>
      </c>
      <c r="AF23" s="40">
        <f t="shared" si="15"/>
        <v>48</v>
      </c>
    </row>
    <row r="24" spans="2:32" ht="23.1" customHeight="1" x14ac:dyDescent="0.25">
      <c r="B24" s="23" t="s">
        <v>51</v>
      </c>
      <c r="C24" s="50">
        <v>3</v>
      </c>
      <c r="D24" s="50">
        <v>1</v>
      </c>
      <c r="E24" s="50">
        <v>2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8</v>
      </c>
      <c r="P24" s="15">
        <f t="shared" si="1"/>
        <v>16</v>
      </c>
      <c r="R24" s="38" t="s">
        <v>92</v>
      </c>
      <c r="S24" s="39">
        <f>MAX(S19:S21)</f>
        <v>13</v>
      </c>
      <c r="T24" s="39">
        <f t="shared" ref="T24:AF24" si="16">MAX(T19:T21)</f>
        <v>6</v>
      </c>
      <c r="U24" s="39">
        <f t="shared" si="16"/>
        <v>8</v>
      </c>
      <c r="V24" s="39">
        <f t="shared" si="16"/>
        <v>2</v>
      </c>
      <c r="W24" s="39">
        <f t="shared" si="16"/>
        <v>3</v>
      </c>
      <c r="X24" s="39">
        <f t="shared" si="16"/>
        <v>3</v>
      </c>
      <c r="Y24" s="39">
        <f t="shared" si="16"/>
        <v>6</v>
      </c>
      <c r="Z24" s="39">
        <f t="shared" si="16"/>
        <v>1</v>
      </c>
      <c r="AA24" s="39">
        <f t="shared" si="16"/>
        <v>1</v>
      </c>
      <c r="AB24" s="39">
        <f t="shared" si="16"/>
        <v>1</v>
      </c>
      <c r="AC24" s="39">
        <f t="shared" si="16"/>
        <v>21</v>
      </c>
      <c r="AD24" s="39">
        <f t="shared" si="16"/>
        <v>0</v>
      </c>
      <c r="AE24" s="40">
        <f t="shared" si="16"/>
        <v>41</v>
      </c>
      <c r="AF24" s="40">
        <f t="shared" si="16"/>
        <v>62</v>
      </c>
    </row>
    <row r="25" spans="2:32" ht="23.1" customHeight="1" x14ac:dyDescent="0.25">
      <c r="B25" s="23" t="s">
        <v>52</v>
      </c>
      <c r="C25" s="50">
        <v>2</v>
      </c>
      <c r="D25" s="50">
        <v>1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4</v>
      </c>
      <c r="P25" s="15">
        <f t="shared" si="1"/>
        <v>8</v>
      </c>
      <c r="R25" s="37" t="s">
        <v>85</v>
      </c>
      <c r="S25" s="35">
        <f t="shared" ref="S25:AF25" si="17">SUM(S10:S12)</f>
        <v>15</v>
      </c>
      <c r="T25" s="16">
        <f t="shared" si="17"/>
        <v>12</v>
      </c>
      <c r="U25" s="16">
        <f t="shared" si="17"/>
        <v>16</v>
      </c>
      <c r="V25" s="16">
        <f t="shared" si="17"/>
        <v>1</v>
      </c>
      <c r="W25" s="16">
        <f t="shared" si="17"/>
        <v>0</v>
      </c>
      <c r="X25" s="16">
        <f t="shared" si="17"/>
        <v>5</v>
      </c>
      <c r="Y25" s="16">
        <f t="shared" si="17"/>
        <v>8</v>
      </c>
      <c r="Z25" s="16">
        <f t="shared" si="17"/>
        <v>1</v>
      </c>
      <c r="AA25" s="16">
        <f t="shared" si="17"/>
        <v>0</v>
      </c>
      <c r="AB25" s="16">
        <f t="shared" si="17"/>
        <v>2</v>
      </c>
      <c r="AC25" s="16">
        <f t="shared" si="17"/>
        <v>67</v>
      </c>
      <c r="AD25" s="16">
        <f t="shared" si="17"/>
        <v>0</v>
      </c>
      <c r="AE25" s="32">
        <f t="shared" si="17"/>
        <v>60</v>
      </c>
      <c r="AF25" s="32">
        <f t="shared" si="17"/>
        <v>127</v>
      </c>
    </row>
    <row r="26" spans="2:32" ht="23.1" customHeight="1" x14ac:dyDescent="0.25">
      <c r="B26" s="23" t="s">
        <v>53</v>
      </c>
      <c r="C26" s="50">
        <v>5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8</v>
      </c>
      <c r="P26" s="15">
        <f t="shared" si="1"/>
        <v>10</v>
      </c>
      <c r="R26" s="28" t="s">
        <v>86</v>
      </c>
      <c r="S26" s="16">
        <f t="shared" ref="S26:AF26" si="18">SUM(S13:S18)</f>
        <v>55</v>
      </c>
      <c r="T26" s="16">
        <f t="shared" si="18"/>
        <v>16</v>
      </c>
      <c r="U26" s="16">
        <f t="shared" si="18"/>
        <v>28</v>
      </c>
      <c r="V26" s="16">
        <f t="shared" si="18"/>
        <v>8</v>
      </c>
      <c r="W26" s="16">
        <f t="shared" si="18"/>
        <v>1</v>
      </c>
      <c r="X26" s="16">
        <f t="shared" si="18"/>
        <v>0</v>
      </c>
      <c r="Y26" s="16">
        <f t="shared" si="18"/>
        <v>11</v>
      </c>
      <c r="Z26" s="16">
        <f t="shared" si="18"/>
        <v>4</v>
      </c>
      <c r="AA26" s="16">
        <f t="shared" si="18"/>
        <v>0</v>
      </c>
      <c r="AB26" s="16">
        <f t="shared" si="18"/>
        <v>0</v>
      </c>
      <c r="AC26" s="16">
        <f t="shared" si="18"/>
        <v>120</v>
      </c>
      <c r="AD26" s="16">
        <f t="shared" si="18"/>
        <v>0</v>
      </c>
      <c r="AE26" s="32">
        <f t="shared" si="18"/>
        <v>123</v>
      </c>
      <c r="AF26" s="32">
        <f t="shared" si="18"/>
        <v>243</v>
      </c>
    </row>
    <row r="27" spans="2:32" ht="23.1" customHeight="1" x14ac:dyDescent="0.25">
      <c r="B27" s="23" t="s">
        <v>54</v>
      </c>
      <c r="C27" s="50">
        <v>2</v>
      </c>
      <c r="D27" s="50">
        <v>1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6</v>
      </c>
      <c r="P27" s="15">
        <f t="shared" si="1"/>
        <v>12</v>
      </c>
      <c r="R27" s="29" t="s">
        <v>87</v>
      </c>
      <c r="S27" s="16">
        <f t="shared" ref="S27:AF27" si="19">SUM(S19:S21)</f>
        <v>29</v>
      </c>
      <c r="T27" s="16">
        <f t="shared" si="19"/>
        <v>12</v>
      </c>
      <c r="U27" s="16">
        <f t="shared" si="19"/>
        <v>16</v>
      </c>
      <c r="V27" s="16">
        <f t="shared" si="19"/>
        <v>2</v>
      </c>
      <c r="W27" s="16">
        <f t="shared" si="19"/>
        <v>3</v>
      </c>
      <c r="X27" s="16">
        <f t="shared" si="19"/>
        <v>4</v>
      </c>
      <c r="Y27" s="16">
        <f t="shared" si="19"/>
        <v>10</v>
      </c>
      <c r="Z27" s="16">
        <f t="shared" si="19"/>
        <v>2</v>
      </c>
      <c r="AA27" s="16">
        <f t="shared" si="19"/>
        <v>1</v>
      </c>
      <c r="AB27" s="16">
        <f t="shared" si="19"/>
        <v>1</v>
      </c>
      <c r="AC27" s="16">
        <f t="shared" si="19"/>
        <v>60</v>
      </c>
      <c r="AD27" s="16">
        <f t="shared" si="19"/>
        <v>0</v>
      </c>
      <c r="AE27" s="32">
        <f t="shared" si="19"/>
        <v>80</v>
      </c>
      <c r="AF27" s="32">
        <f t="shared" si="19"/>
        <v>140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2</v>
      </c>
      <c r="P28" s="15">
        <f t="shared" si="1"/>
        <v>9</v>
      </c>
      <c r="R28" s="5" t="s">
        <v>17</v>
      </c>
      <c r="S28" s="16">
        <f t="shared" ref="S28:AF28" si="20">SUM(S10:S21)</f>
        <v>99</v>
      </c>
      <c r="T28" s="16">
        <f t="shared" si="20"/>
        <v>40</v>
      </c>
      <c r="U28" s="16">
        <f t="shared" si="20"/>
        <v>60</v>
      </c>
      <c r="V28" s="16">
        <f t="shared" si="20"/>
        <v>11</v>
      </c>
      <c r="W28" s="16">
        <f t="shared" si="20"/>
        <v>4</v>
      </c>
      <c r="X28" s="16">
        <f t="shared" si="20"/>
        <v>9</v>
      </c>
      <c r="Y28" s="16">
        <f t="shared" si="20"/>
        <v>29</v>
      </c>
      <c r="Z28" s="16">
        <f t="shared" si="20"/>
        <v>7</v>
      </c>
      <c r="AA28" s="16">
        <f t="shared" si="20"/>
        <v>1</v>
      </c>
      <c r="AB28" s="16">
        <f t="shared" si="20"/>
        <v>3</v>
      </c>
      <c r="AC28" s="16">
        <f t="shared" si="20"/>
        <v>247</v>
      </c>
      <c r="AD28" s="16">
        <f t="shared" si="20"/>
        <v>0</v>
      </c>
      <c r="AE28" s="32">
        <f t="shared" si="20"/>
        <v>263</v>
      </c>
      <c r="AF28" s="32">
        <f t="shared" si="20"/>
        <v>510</v>
      </c>
    </row>
    <row r="29" spans="2:32" ht="23.1" customHeight="1" x14ac:dyDescent="0.25">
      <c r="B29" s="23" t="s">
        <v>56</v>
      </c>
      <c r="C29" s="50">
        <v>2</v>
      </c>
      <c r="D29" s="50">
        <v>1</v>
      </c>
      <c r="E29" s="50">
        <v>1</v>
      </c>
      <c r="F29" s="50">
        <v>0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7</v>
      </c>
      <c r="P29" s="15">
        <f t="shared" si="1"/>
        <v>15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2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7</v>
      </c>
      <c r="P30" s="15">
        <f t="shared" si="1"/>
        <v>12</v>
      </c>
    </row>
    <row r="31" spans="2:32" ht="23.1" customHeight="1" x14ac:dyDescent="0.25">
      <c r="B31" s="24" t="s">
        <v>58</v>
      </c>
      <c r="C31" s="50">
        <v>0</v>
      </c>
      <c r="D31" s="50">
        <v>2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4</v>
      </c>
      <c r="P31" s="15">
        <f t="shared" si="1"/>
        <v>8</v>
      </c>
    </row>
    <row r="32" spans="2:32" ht="23.1" customHeight="1" x14ac:dyDescent="0.25">
      <c r="B32" s="24" t="s">
        <v>59</v>
      </c>
      <c r="C32" s="50">
        <v>2</v>
      </c>
      <c r="D32" s="50">
        <v>1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5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2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5</v>
      </c>
      <c r="P33" s="15">
        <f t="shared" si="1"/>
        <v>9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2</v>
      </c>
      <c r="F34" s="50">
        <v>1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5</v>
      </c>
      <c r="N34" s="50">
        <v>0</v>
      </c>
      <c r="O34" s="15">
        <f t="shared" si="0"/>
        <v>8</v>
      </c>
      <c r="P34" s="15">
        <f t="shared" si="1"/>
        <v>13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5</v>
      </c>
      <c r="N35" s="50">
        <v>0</v>
      </c>
      <c r="O35" s="15">
        <f t="shared" si="0"/>
        <v>3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5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2</v>
      </c>
      <c r="P37" s="15">
        <f t="shared" si="1"/>
        <v>8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8</v>
      </c>
      <c r="N38" s="50">
        <v>0</v>
      </c>
      <c r="O38" s="15">
        <f t="shared" si="0"/>
        <v>5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5</v>
      </c>
      <c r="N39" s="50">
        <v>0</v>
      </c>
      <c r="O39" s="15">
        <f t="shared" si="0"/>
        <v>1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1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5</v>
      </c>
      <c r="P40" s="15">
        <f t="shared" si="1"/>
        <v>8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6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3</v>
      </c>
      <c r="D42" s="50">
        <v>1</v>
      </c>
      <c r="E42" s="50">
        <v>1</v>
      </c>
      <c r="F42" s="50">
        <v>1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8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3</v>
      </c>
      <c r="P43" s="15">
        <f t="shared" si="1"/>
        <v>3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2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1</v>
      </c>
      <c r="F45" s="50">
        <v>0</v>
      </c>
      <c r="G45" s="50">
        <v>1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6</v>
      </c>
      <c r="N45" s="50">
        <v>0</v>
      </c>
      <c r="O45" s="15">
        <f t="shared" si="0"/>
        <v>5</v>
      </c>
      <c r="P45" s="15">
        <f t="shared" si="1"/>
        <v>11</v>
      </c>
    </row>
    <row r="46" spans="2:20" ht="23.1" customHeight="1" x14ac:dyDescent="0.25">
      <c r="B46" s="24" t="s">
        <v>73</v>
      </c>
      <c r="C46" s="50">
        <v>3</v>
      </c>
      <c r="D46" s="50">
        <v>2</v>
      </c>
      <c r="E46" s="50">
        <v>2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8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1</v>
      </c>
      <c r="F47" s="50">
        <v>1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6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2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2</v>
      </c>
      <c r="P49" s="15">
        <f t="shared" si="1"/>
        <v>9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7</v>
      </c>
      <c r="N50" s="50">
        <v>0</v>
      </c>
      <c r="O50" s="15">
        <f t="shared" si="0"/>
        <v>2</v>
      </c>
      <c r="P50" s="15">
        <f t="shared" si="1"/>
        <v>9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2</v>
      </c>
      <c r="E51" s="50">
        <v>2</v>
      </c>
      <c r="F51" s="50">
        <v>0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6</v>
      </c>
      <c r="P51" s="15">
        <f t="shared" si="1"/>
        <v>7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3</v>
      </c>
      <c r="P52" s="15">
        <f t="shared" si="1"/>
        <v>7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1</v>
      </c>
      <c r="E53" s="50">
        <v>1</v>
      </c>
      <c r="F53" s="50">
        <v>0</v>
      </c>
      <c r="G53" s="50">
        <v>0</v>
      </c>
      <c r="H53" s="50">
        <v>1</v>
      </c>
      <c r="I53" s="50">
        <v>0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10</v>
      </c>
      <c r="P53" s="15">
        <f t="shared" si="1"/>
        <v>16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2</v>
      </c>
      <c r="E54" s="50">
        <v>2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1</v>
      </c>
      <c r="L54" s="50">
        <v>0</v>
      </c>
      <c r="M54" s="50">
        <v>8</v>
      </c>
      <c r="N54" s="50">
        <v>0</v>
      </c>
      <c r="O54" s="15">
        <f t="shared" si="0"/>
        <v>8</v>
      </c>
      <c r="P54" s="15">
        <f t="shared" si="1"/>
        <v>16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1</v>
      </c>
      <c r="E55" s="50">
        <v>1</v>
      </c>
      <c r="F55" s="50">
        <v>0</v>
      </c>
      <c r="G55" s="50">
        <v>1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4</v>
      </c>
      <c r="P55" s="15">
        <f t="shared" si="1"/>
        <v>5</v>
      </c>
      <c r="R55" s="8"/>
      <c r="T55"/>
    </row>
    <row r="56" spans="2:20" ht="23.1" customHeight="1" x14ac:dyDescent="0.25">
      <c r="B56" s="23" t="s">
        <v>83</v>
      </c>
      <c r="C56" s="50">
        <v>7</v>
      </c>
      <c r="D56" s="50">
        <v>1</v>
      </c>
      <c r="E56" s="50">
        <v>2</v>
      </c>
      <c r="F56" s="50">
        <v>0</v>
      </c>
      <c r="G56" s="50">
        <v>0</v>
      </c>
      <c r="H56" s="50">
        <v>2</v>
      </c>
      <c r="I56" s="50">
        <v>3</v>
      </c>
      <c r="J56" s="50">
        <v>0</v>
      </c>
      <c r="K56" s="50">
        <v>0</v>
      </c>
      <c r="L56" s="50">
        <v>0</v>
      </c>
      <c r="M56" s="50">
        <v>4</v>
      </c>
      <c r="N56" s="50">
        <v>0</v>
      </c>
      <c r="O56" s="15">
        <f t="shared" si="0"/>
        <v>15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2</v>
      </c>
      <c r="E57" s="50">
        <v>3</v>
      </c>
      <c r="F57" s="50">
        <v>0</v>
      </c>
      <c r="G57" s="50">
        <v>2</v>
      </c>
      <c r="H57" s="50">
        <v>1</v>
      </c>
      <c r="I57" s="50">
        <v>2</v>
      </c>
      <c r="J57" s="50">
        <v>0</v>
      </c>
      <c r="K57" s="50">
        <v>0</v>
      </c>
      <c r="L57" s="50">
        <v>1</v>
      </c>
      <c r="M57" s="50">
        <v>8</v>
      </c>
      <c r="N57" s="50">
        <v>0</v>
      </c>
      <c r="O57" s="15">
        <f t="shared" si="0"/>
        <v>14</v>
      </c>
      <c r="P57" s="15">
        <f t="shared" si="1"/>
        <v>22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99</v>
      </c>
      <c r="D58" s="16">
        <f t="shared" si="21"/>
        <v>40</v>
      </c>
      <c r="E58" s="16">
        <f t="shared" si="21"/>
        <v>60</v>
      </c>
      <c r="F58" s="16">
        <f t="shared" si="21"/>
        <v>11</v>
      </c>
      <c r="G58" s="16">
        <f t="shared" si="21"/>
        <v>4</v>
      </c>
      <c r="H58" s="16">
        <f t="shared" si="21"/>
        <v>9</v>
      </c>
      <c r="I58" s="16">
        <f t="shared" si="21"/>
        <v>29</v>
      </c>
      <c r="J58" s="16">
        <f t="shared" si="21"/>
        <v>7</v>
      </c>
      <c r="K58" s="16">
        <f t="shared" si="21"/>
        <v>1</v>
      </c>
      <c r="L58" s="16">
        <f t="shared" si="21"/>
        <v>3</v>
      </c>
      <c r="M58" s="16">
        <f t="shared" si="21"/>
        <v>247</v>
      </c>
      <c r="N58" s="16">
        <f t="shared" si="21"/>
        <v>0</v>
      </c>
      <c r="O58" s="16">
        <f t="shared" si="21"/>
        <v>263</v>
      </c>
      <c r="P58" s="16">
        <f t="shared" si="21"/>
        <v>510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0.19411764705882353</v>
      </c>
      <c r="D59" s="43">
        <f t="shared" si="22"/>
        <v>7.8431372549019607E-2</v>
      </c>
      <c r="E59" s="43">
        <f t="shared" si="22"/>
        <v>0.11764705882352941</v>
      </c>
      <c r="F59" s="43">
        <f t="shared" si="22"/>
        <v>2.1568627450980392E-2</v>
      </c>
      <c r="G59" s="43">
        <f t="shared" si="22"/>
        <v>7.8431372549019607E-3</v>
      </c>
      <c r="H59" s="43">
        <f t="shared" si="22"/>
        <v>1.7647058823529412E-2</v>
      </c>
      <c r="I59" s="43">
        <f t="shared" si="22"/>
        <v>5.6862745098039215E-2</v>
      </c>
      <c r="J59" s="43">
        <f t="shared" si="22"/>
        <v>1.3725490196078431E-2</v>
      </c>
      <c r="K59" s="43">
        <f t="shared" si="22"/>
        <v>1.9607843137254902E-3</v>
      </c>
      <c r="L59" s="43">
        <f t="shared" si="22"/>
        <v>5.8823529411764705E-3</v>
      </c>
      <c r="M59" s="43">
        <f t="shared" si="22"/>
        <v>0.48431372549019608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0.37642585551330798</v>
      </c>
      <c r="D60" s="44">
        <f t="shared" ref="D60:N60" si="23">D58/$O$58</f>
        <v>0.15209125475285171</v>
      </c>
      <c r="E60" s="44">
        <f t="shared" si="23"/>
        <v>0.22813688212927757</v>
      </c>
      <c r="F60" s="44">
        <f t="shared" si="23"/>
        <v>4.1825095057034217E-2</v>
      </c>
      <c r="G60" s="44">
        <f t="shared" si="23"/>
        <v>1.5209125475285171E-2</v>
      </c>
      <c r="H60" s="44">
        <f t="shared" si="23"/>
        <v>3.4220532319391636E-2</v>
      </c>
      <c r="I60" s="44">
        <f t="shared" si="23"/>
        <v>0.11026615969581749</v>
      </c>
      <c r="J60" s="44">
        <f t="shared" si="23"/>
        <v>2.6615969581749048E-2</v>
      </c>
      <c r="K60" s="44">
        <f t="shared" si="23"/>
        <v>3.8022813688212928E-3</v>
      </c>
      <c r="L60" s="44">
        <f t="shared" si="23"/>
        <v>1.1406844106463879E-2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35" zoomScale="60" workbookViewId="0">
      <selection activeCell="E57" sqref="E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'31.07 Yumbe-Koboko'!C3:G3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 Koboko-Yumbe'!D5</f>
        <v>06.08.19</v>
      </c>
      <c r="E5" s="3"/>
      <c r="F5" s="41" t="s">
        <v>1</v>
      </c>
      <c r="G5" s="65" t="str">
        <f>'06.08 Koboko-Yumbe'!G5:H5</f>
        <v>Umbachi</v>
      </c>
      <c r="H5" s="66"/>
      <c r="I5" s="14"/>
      <c r="J5" s="2" t="s">
        <v>5</v>
      </c>
      <c r="K5" s="65" t="str">
        <f>'06.08 Koboko-Yumbe'!K5:L5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'31.07 Yumbe-Koboko'!D6:E6</f>
        <v>Yumbe</v>
      </c>
      <c r="E6" s="66"/>
      <c r="F6" s="2" t="s">
        <v>2</v>
      </c>
      <c r="G6" s="65" t="str">
        <f>'31.07 Yumbe-Koboko'!G6:H6</f>
        <v>Koboko</v>
      </c>
      <c r="H6" s="66"/>
      <c r="J6" s="2" t="s">
        <v>21</v>
      </c>
      <c r="K6" s="65" t="str">
        <f>'06.08 Koboko-Yumbe'!K6:L6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1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12</v>
      </c>
      <c r="AD10" s="17">
        <f t="shared" si="2"/>
        <v>0</v>
      </c>
      <c r="AE10" s="31">
        <f t="shared" si="2"/>
        <v>8</v>
      </c>
      <c r="AF10" s="31">
        <f t="shared" si="2"/>
        <v>20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2</v>
      </c>
      <c r="P11" s="15">
        <f t="shared" si="1"/>
        <v>4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28</v>
      </c>
      <c r="AD11" s="17">
        <f t="shared" si="3"/>
        <v>0</v>
      </c>
      <c r="AE11" s="31">
        <f t="shared" si="3"/>
        <v>7</v>
      </c>
      <c r="AF11" s="31">
        <f t="shared" si="3"/>
        <v>35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0</v>
      </c>
      <c r="P12" s="15">
        <f t="shared" si="1"/>
        <v>3</v>
      </c>
      <c r="R12" s="1" t="s">
        <v>8</v>
      </c>
      <c r="S12" s="17">
        <f t="shared" ref="S12:AF12" si="4">SUM(C18:C21)</f>
        <v>6</v>
      </c>
      <c r="T12" s="17">
        <f t="shared" si="4"/>
        <v>1</v>
      </c>
      <c r="U12" s="17">
        <f t="shared" si="4"/>
        <v>4</v>
      </c>
      <c r="V12" s="17">
        <f t="shared" si="4"/>
        <v>0</v>
      </c>
      <c r="W12" s="17">
        <f t="shared" si="4"/>
        <v>1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16</v>
      </c>
      <c r="AD12" s="17">
        <f t="shared" si="4"/>
        <v>0</v>
      </c>
      <c r="AE12" s="31">
        <f t="shared" si="4"/>
        <v>14</v>
      </c>
      <c r="AF12" s="31">
        <f t="shared" si="4"/>
        <v>30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2</v>
      </c>
      <c r="P13" s="15">
        <f t="shared" si="1"/>
        <v>6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19</v>
      </c>
      <c r="AD13" s="17">
        <f t="shared" si="5"/>
        <v>0</v>
      </c>
      <c r="AE13" s="31">
        <f t="shared" si="5"/>
        <v>14</v>
      </c>
      <c r="AF13" s="31">
        <f t="shared" si="5"/>
        <v>33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3</v>
      </c>
      <c r="P14" s="15">
        <f t="shared" si="1"/>
        <v>12</v>
      </c>
      <c r="R14" s="1" t="s">
        <v>10</v>
      </c>
      <c r="S14" s="17">
        <f t="shared" ref="S14:AF14" si="6">SUM(C26:C29)</f>
        <v>8</v>
      </c>
      <c r="T14" s="17">
        <f t="shared" si="6"/>
        <v>2</v>
      </c>
      <c r="U14" s="17">
        <f t="shared" si="6"/>
        <v>8</v>
      </c>
      <c r="V14" s="17">
        <f t="shared" si="6"/>
        <v>0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30</v>
      </c>
      <c r="AD14" s="17">
        <f t="shared" si="6"/>
        <v>0</v>
      </c>
      <c r="AE14" s="31">
        <f t="shared" si="6"/>
        <v>19</v>
      </c>
      <c r="AF14" s="31">
        <f t="shared" si="6"/>
        <v>49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1</v>
      </c>
      <c r="P15" s="15">
        <f t="shared" si="1"/>
        <v>5</v>
      </c>
      <c r="R15" s="1" t="s">
        <v>11</v>
      </c>
      <c r="S15" s="17">
        <f t="shared" ref="S15:AF15" si="7">SUM(C30:C33)</f>
        <v>8</v>
      </c>
      <c r="T15" s="17">
        <f t="shared" si="7"/>
        <v>2</v>
      </c>
      <c r="U15" s="17">
        <f t="shared" si="7"/>
        <v>5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16</v>
      </c>
      <c r="AD15" s="17">
        <f t="shared" si="7"/>
        <v>0</v>
      </c>
      <c r="AE15" s="31">
        <f t="shared" si="7"/>
        <v>23</v>
      </c>
      <c r="AF15" s="31">
        <f t="shared" si="7"/>
        <v>39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8</v>
      </c>
      <c r="N16" s="50">
        <v>0</v>
      </c>
      <c r="O16" s="15">
        <f t="shared" si="0"/>
        <v>0</v>
      </c>
      <c r="P16" s="15">
        <f t="shared" si="1"/>
        <v>8</v>
      </c>
      <c r="R16" s="1" t="s">
        <v>12</v>
      </c>
      <c r="S16" s="17">
        <f t="shared" ref="S16:AF16" si="8">SUM(C34:C37)</f>
        <v>9</v>
      </c>
      <c r="T16" s="17">
        <f t="shared" si="8"/>
        <v>1</v>
      </c>
      <c r="U16" s="17">
        <f t="shared" si="8"/>
        <v>6</v>
      </c>
      <c r="V16" s="17">
        <f t="shared" si="8"/>
        <v>1</v>
      </c>
      <c r="W16" s="17">
        <f t="shared" si="8"/>
        <v>0</v>
      </c>
      <c r="X16" s="17">
        <f t="shared" si="8"/>
        <v>1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14</v>
      </c>
      <c r="AD16" s="17">
        <f t="shared" si="8"/>
        <v>0</v>
      </c>
      <c r="AE16" s="31">
        <f t="shared" si="8"/>
        <v>21</v>
      </c>
      <c r="AF16" s="31">
        <f t="shared" si="8"/>
        <v>35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7</v>
      </c>
      <c r="N17" s="50">
        <v>0</v>
      </c>
      <c r="O17" s="15">
        <f t="shared" si="0"/>
        <v>3</v>
      </c>
      <c r="P17" s="15">
        <f t="shared" si="1"/>
        <v>10</v>
      </c>
      <c r="R17" s="1" t="s">
        <v>13</v>
      </c>
      <c r="S17" s="17">
        <f t="shared" ref="S17:AF17" si="9">SUM(C38:C41)</f>
        <v>8</v>
      </c>
      <c r="T17" s="17">
        <f t="shared" si="9"/>
        <v>1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15</v>
      </c>
      <c r="AD17" s="17">
        <f t="shared" si="9"/>
        <v>0</v>
      </c>
      <c r="AE17" s="31">
        <f t="shared" si="9"/>
        <v>16</v>
      </c>
      <c r="AF17" s="31">
        <f t="shared" si="9"/>
        <v>31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2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</v>
      </c>
      <c r="N18" s="50">
        <v>0</v>
      </c>
      <c r="O18" s="15">
        <f t="shared" si="0"/>
        <v>2</v>
      </c>
      <c r="P18" s="15">
        <f t="shared" si="1"/>
        <v>3</v>
      </c>
      <c r="R18" s="1" t="s">
        <v>14</v>
      </c>
      <c r="S18" s="17">
        <f t="shared" ref="S18:AF18" si="10">SUM(C42:C45)</f>
        <v>11</v>
      </c>
      <c r="T18" s="17">
        <f t="shared" si="10"/>
        <v>1</v>
      </c>
      <c r="U18" s="17">
        <f t="shared" si="10"/>
        <v>5</v>
      </c>
      <c r="V18" s="17">
        <f t="shared" si="10"/>
        <v>1</v>
      </c>
      <c r="W18" s="17">
        <f t="shared" si="10"/>
        <v>0</v>
      </c>
      <c r="X18" s="17">
        <f t="shared" si="10"/>
        <v>1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24</v>
      </c>
      <c r="AD18" s="17">
        <f t="shared" si="10"/>
        <v>0</v>
      </c>
      <c r="AE18" s="31">
        <f t="shared" si="10"/>
        <v>22</v>
      </c>
      <c r="AF18" s="31">
        <f t="shared" si="10"/>
        <v>46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0</v>
      </c>
      <c r="M19" s="50">
        <v>6</v>
      </c>
      <c r="N19" s="50">
        <v>0</v>
      </c>
      <c r="O19" s="15">
        <f t="shared" si="0"/>
        <v>2</v>
      </c>
      <c r="P19" s="15">
        <f t="shared" si="1"/>
        <v>8</v>
      </c>
      <c r="R19" s="1" t="s">
        <v>15</v>
      </c>
      <c r="S19" s="17">
        <f t="shared" ref="S19:AF19" si="11">SUM(C46:C49)</f>
        <v>14</v>
      </c>
      <c r="T19" s="17">
        <f t="shared" si="11"/>
        <v>2</v>
      </c>
      <c r="U19" s="17">
        <f t="shared" si="11"/>
        <v>8</v>
      </c>
      <c r="V19" s="17">
        <f t="shared" si="11"/>
        <v>1</v>
      </c>
      <c r="W19" s="17">
        <f t="shared" si="11"/>
        <v>1</v>
      </c>
      <c r="X19" s="17">
        <f t="shared" si="11"/>
        <v>0</v>
      </c>
      <c r="Y19" s="17">
        <f t="shared" si="11"/>
        <v>2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18</v>
      </c>
      <c r="AD19" s="17">
        <f t="shared" si="11"/>
        <v>0</v>
      </c>
      <c r="AE19" s="31">
        <f t="shared" si="11"/>
        <v>31</v>
      </c>
      <c r="AF19" s="31">
        <f t="shared" si="11"/>
        <v>49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2</v>
      </c>
      <c r="F20" s="50">
        <v>0</v>
      </c>
      <c r="G20" s="50">
        <v>1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6</v>
      </c>
      <c r="P20" s="15">
        <f t="shared" si="1"/>
        <v>11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7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24</v>
      </c>
      <c r="AD20" s="17">
        <f t="shared" si="12"/>
        <v>0</v>
      </c>
      <c r="AE20" s="31">
        <f t="shared" si="12"/>
        <v>22</v>
      </c>
      <c r="AF20" s="31">
        <f t="shared" si="12"/>
        <v>46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0</v>
      </c>
      <c r="M21" s="50">
        <v>4</v>
      </c>
      <c r="N21" s="50">
        <v>0</v>
      </c>
      <c r="O21" s="15">
        <f t="shared" si="0"/>
        <v>4</v>
      </c>
      <c r="P21" s="15">
        <f t="shared" si="1"/>
        <v>8</v>
      </c>
      <c r="R21" s="36" t="s">
        <v>20</v>
      </c>
      <c r="S21" s="34">
        <f t="shared" ref="S21:AF21" si="13">SUM(C54:C57)</f>
        <v>16</v>
      </c>
      <c r="T21" s="17">
        <f t="shared" si="13"/>
        <v>0</v>
      </c>
      <c r="U21" s="17">
        <f t="shared" si="13"/>
        <v>6</v>
      </c>
      <c r="V21" s="17">
        <f t="shared" si="13"/>
        <v>1</v>
      </c>
      <c r="W21" s="17">
        <f t="shared" si="13"/>
        <v>0</v>
      </c>
      <c r="X21" s="17">
        <f t="shared" si="13"/>
        <v>3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14</v>
      </c>
      <c r="AD21" s="17">
        <f t="shared" si="13"/>
        <v>0</v>
      </c>
      <c r="AE21" s="31">
        <f t="shared" si="13"/>
        <v>27</v>
      </c>
      <c r="AF21" s="31">
        <f t="shared" si="13"/>
        <v>41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4</v>
      </c>
      <c r="P22" s="15">
        <f t="shared" si="1"/>
        <v>8</v>
      </c>
      <c r="R22" s="38" t="s">
        <v>90</v>
      </c>
      <c r="S22" s="39">
        <f>MAX(S10:S12)</f>
        <v>6</v>
      </c>
      <c r="T22" s="39">
        <f t="shared" ref="T22:AF22" si="14">MAX(T10:T12)</f>
        <v>1</v>
      </c>
      <c r="U22" s="39">
        <f t="shared" si="14"/>
        <v>4</v>
      </c>
      <c r="V22" s="39">
        <f t="shared" si="14"/>
        <v>1</v>
      </c>
      <c r="W22" s="39">
        <f t="shared" si="14"/>
        <v>1</v>
      </c>
      <c r="X22" s="39">
        <f t="shared" si="14"/>
        <v>1</v>
      </c>
      <c r="Y22" s="39">
        <f t="shared" si="14"/>
        <v>0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28</v>
      </c>
      <c r="AD22" s="39">
        <f t="shared" si="14"/>
        <v>0</v>
      </c>
      <c r="AE22" s="40">
        <f t="shared" si="14"/>
        <v>14</v>
      </c>
      <c r="AF22" s="40">
        <f t="shared" si="14"/>
        <v>35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4</v>
      </c>
      <c r="P23" s="15">
        <f t="shared" si="1"/>
        <v>11</v>
      </c>
      <c r="R23" s="38" t="s">
        <v>91</v>
      </c>
      <c r="S23" s="39">
        <f>MAX(S13:S18)</f>
        <v>11</v>
      </c>
      <c r="T23" s="39">
        <f t="shared" ref="T23:AF23" si="15">MAX(T13:T18)</f>
        <v>2</v>
      </c>
      <c r="U23" s="39">
        <f t="shared" si="15"/>
        <v>8</v>
      </c>
      <c r="V23" s="39">
        <f t="shared" si="15"/>
        <v>2</v>
      </c>
      <c r="W23" s="39">
        <f t="shared" si="15"/>
        <v>0</v>
      </c>
      <c r="X23" s="39">
        <f t="shared" si="15"/>
        <v>1</v>
      </c>
      <c r="Y23" s="39">
        <f t="shared" si="15"/>
        <v>6</v>
      </c>
      <c r="Z23" s="39">
        <f t="shared" si="15"/>
        <v>0</v>
      </c>
      <c r="AA23" s="39">
        <f t="shared" si="15"/>
        <v>0</v>
      </c>
      <c r="AB23" s="39">
        <f t="shared" si="15"/>
        <v>1</v>
      </c>
      <c r="AC23" s="39">
        <f t="shared" si="15"/>
        <v>30</v>
      </c>
      <c r="AD23" s="39">
        <f t="shared" si="15"/>
        <v>0</v>
      </c>
      <c r="AE23" s="40">
        <f t="shared" si="15"/>
        <v>23</v>
      </c>
      <c r="AF23" s="40">
        <f t="shared" si="15"/>
        <v>49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4</v>
      </c>
      <c r="N24" s="50">
        <v>0</v>
      </c>
      <c r="O24" s="15">
        <f t="shared" si="0"/>
        <v>3</v>
      </c>
      <c r="P24" s="15">
        <f t="shared" si="1"/>
        <v>7</v>
      </c>
      <c r="R24" s="38" t="s">
        <v>92</v>
      </c>
      <c r="S24" s="39">
        <f>MAX(S19:S21)</f>
        <v>16</v>
      </c>
      <c r="T24" s="39">
        <f t="shared" ref="T24:AF24" si="16">MAX(T19:T21)</f>
        <v>2</v>
      </c>
      <c r="U24" s="39">
        <f t="shared" si="16"/>
        <v>8</v>
      </c>
      <c r="V24" s="39">
        <f t="shared" si="16"/>
        <v>2</v>
      </c>
      <c r="W24" s="39">
        <f t="shared" si="16"/>
        <v>1</v>
      </c>
      <c r="X24" s="39">
        <f t="shared" si="16"/>
        <v>3</v>
      </c>
      <c r="Y24" s="39">
        <f t="shared" si="16"/>
        <v>3</v>
      </c>
      <c r="Z24" s="39">
        <f t="shared" si="16"/>
        <v>3</v>
      </c>
      <c r="AA24" s="39">
        <f t="shared" si="16"/>
        <v>0</v>
      </c>
      <c r="AB24" s="39">
        <f t="shared" si="16"/>
        <v>0</v>
      </c>
      <c r="AC24" s="39">
        <f t="shared" si="16"/>
        <v>24</v>
      </c>
      <c r="AD24" s="39">
        <f t="shared" si="16"/>
        <v>0</v>
      </c>
      <c r="AE24" s="40">
        <f t="shared" si="16"/>
        <v>31</v>
      </c>
      <c r="AF24" s="40">
        <f t="shared" si="16"/>
        <v>49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3</v>
      </c>
      <c r="P25" s="15">
        <f t="shared" si="1"/>
        <v>7</v>
      </c>
      <c r="R25" s="37" t="s">
        <v>85</v>
      </c>
      <c r="S25" s="35">
        <f t="shared" ref="S25:AF25" si="17">SUM(S10:S12)</f>
        <v>14</v>
      </c>
      <c r="T25" s="16">
        <f t="shared" si="17"/>
        <v>1</v>
      </c>
      <c r="U25" s="16">
        <f t="shared" si="17"/>
        <v>7</v>
      </c>
      <c r="V25" s="16">
        <f t="shared" si="17"/>
        <v>2</v>
      </c>
      <c r="W25" s="16">
        <f t="shared" si="17"/>
        <v>1</v>
      </c>
      <c r="X25" s="16">
        <f t="shared" si="17"/>
        <v>2</v>
      </c>
      <c r="Y25" s="16">
        <f t="shared" si="17"/>
        <v>0</v>
      </c>
      <c r="Z25" s="16">
        <f t="shared" si="17"/>
        <v>0</v>
      </c>
      <c r="AA25" s="16">
        <f t="shared" si="17"/>
        <v>2</v>
      </c>
      <c r="AB25" s="16">
        <f t="shared" si="17"/>
        <v>0</v>
      </c>
      <c r="AC25" s="16">
        <f t="shared" si="17"/>
        <v>56</v>
      </c>
      <c r="AD25" s="16">
        <f t="shared" si="17"/>
        <v>0</v>
      </c>
      <c r="AE25" s="32">
        <f t="shared" si="17"/>
        <v>29</v>
      </c>
      <c r="AF25" s="32">
        <f t="shared" si="17"/>
        <v>85</v>
      </c>
    </row>
    <row r="26" spans="2:32" ht="23.1" customHeight="1" x14ac:dyDescent="0.25">
      <c r="B26" s="23" t="s">
        <v>53</v>
      </c>
      <c r="C26" s="50">
        <v>3</v>
      </c>
      <c r="D26" s="50">
        <v>1</v>
      </c>
      <c r="E26" s="50">
        <v>3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9</v>
      </c>
      <c r="N26" s="50">
        <v>0</v>
      </c>
      <c r="O26" s="15">
        <f t="shared" si="0"/>
        <v>7</v>
      </c>
      <c r="P26" s="15">
        <f t="shared" si="1"/>
        <v>16</v>
      </c>
      <c r="R26" s="28" t="s">
        <v>86</v>
      </c>
      <c r="S26" s="16">
        <f t="shared" ref="S26:AF26" si="18">SUM(S13:S18)</f>
        <v>52</v>
      </c>
      <c r="T26" s="16">
        <f t="shared" si="18"/>
        <v>7</v>
      </c>
      <c r="U26" s="16">
        <f t="shared" si="18"/>
        <v>32</v>
      </c>
      <c r="V26" s="16">
        <f t="shared" si="18"/>
        <v>4</v>
      </c>
      <c r="W26" s="16">
        <f t="shared" si="18"/>
        <v>0</v>
      </c>
      <c r="X26" s="16">
        <f t="shared" si="18"/>
        <v>3</v>
      </c>
      <c r="Y26" s="16">
        <f t="shared" si="18"/>
        <v>16</v>
      </c>
      <c r="Z26" s="16">
        <f t="shared" si="18"/>
        <v>0</v>
      </c>
      <c r="AA26" s="16">
        <f t="shared" si="18"/>
        <v>0</v>
      </c>
      <c r="AB26" s="16">
        <f t="shared" si="18"/>
        <v>1</v>
      </c>
      <c r="AC26" s="16">
        <f t="shared" si="18"/>
        <v>118</v>
      </c>
      <c r="AD26" s="16">
        <f t="shared" si="18"/>
        <v>0</v>
      </c>
      <c r="AE26" s="32">
        <f t="shared" si="18"/>
        <v>115</v>
      </c>
      <c r="AF26" s="32">
        <f t="shared" si="18"/>
        <v>233</v>
      </c>
    </row>
    <row r="27" spans="2:32" ht="23.1" customHeight="1" x14ac:dyDescent="0.25">
      <c r="B27" s="23" t="s">
        <v>54</v>
      </c>
      <c r="C27" s="50">
        <v>3</v>
      </c>
      <c r="D27" s="50">
        <v>1</v>
      </c>
      <c r="E27" s="50">
        <v>3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9</v>
      </c>
      <c r="N27" s="50">
        <v>0</v>
      </c>
      <c r="O27" s="15">
        <f t="shared" si="0"/>
        <v>7</v>
      </c>
      <c r="P27" s="15">
        <f t="shared" si="1"/>
        <v>16</v>
      </c>
      <c r="R27" s="29" t="s">
        <v>87</v>
      </c>
      <c r="S27" s="16">
        <f t="shared" ref="S27:AF27" si="19">SUM(S19:S21)</f>
        <v>40</v>
      </c>
      <c r="T27" s="16">
        <f t="shared" si="19"/>
        <v>2</v>
      </c>
      <c r="U27" s="16">
        <f t="shared" si="19"/>
        <v>21</v>
      </c>
      <c r="V27" s="16">
        <f t="shared" si="19"/>
        <v>4</v>
      </c>
      <c r="W27" s="16">
        <f t="shared" si="19"/>
        <v>1</v>
      </c>
      <c r="X27" s="16">
        <f t="shared" si="19"/>
        <v>3</v>
      </c>
      <c r="Y27" s="16">
        <f t="shared" si="19"/>
        <v>6</v>
      </c>
      <c r="Z27" s="16">
        <f t="shared" si="19"/>
        <v>3</v>
      </c>
      <c r="AA27" s="16">
        <f t="shared" si="19"/>
        <v>0</v>
      </c>
      <c r="AB27" s="16">
        <f t="shared" si="19"/>
        <v>0</v>
      </c>
      <c r="AC27" s="16">
        <f t="shared" si="19"/>
        <v>56</v>
      </c>
      <c r="AD27" s="16">
        <f t="shared" si="19"/>
        <v>0</v>
      </c>
      <c r="AE27" s="32">
        <f t="shared" si="19"/>
        <v>80</v>
      </c>
      <c r="AF27" s="32">
        <f t="shared" si="19"/>
        <v>136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2</v>
      </c>
      <c r="F28" s="50">
        <v>0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5</v>
      </c>
      <c r="P28" s="15">
        <f t="shared" si="1"/>
        <v>11</v>
      </c>
      <c r="R28" s="5" t="s">
        <v>17</v>
      </c>
      <c r="S28" s="16">
        <f t="shared" ref="S28:AF28" si="20">SUM(S10:S21)</f>
        <v>106</v>
      </c>
      <c r="T28" s="16">
        <f t="shared" si="20"/>
        <v>10</v>
      </c>
      <c r="U28" s="16">
        <f t="shared" si="20"/>
        <v>60</v>
      </c>
      <c r="V28" s="16">
        <f t="shared" si="20"/>
        <v>10</v>
      </c>
      <c r="W28" s="16">
        <f t="shared" si="20"/>
        <v>2</v>
      </c>
      <c r="X28" s="16">
        <f t="shared" si="20"/>
        <v>8</v>
      </c>
      <c r="Y28" s="16">
        <f t="shared" si="20"/>
        <v>22</v>
      </c>
      <c r="Z28" s="16">
        <f t="shared" si="20"/>
        <v>3</v>
      </c>
      <c r="AA28" s="16">
        <f t="shared" si="20"/>
        <v>2</v>
      </c>
      <c r="AB28" s="16">
        <f t="shared" si="20"/>
        <v>1</v>
      </c>
      <c r="AC28" s="16">
        <f t="shared" si="20"/>
        <v>230</v>
      </c>
      <c r="AD28" s="16">
        <f t="shared" si="20"/>
        <v>0</v>
      </c>
      <c r="AE28" s="32">
        <f t="shared" si="20"/>
        <v>224</v>
      </c>
      <c r="AF28" s="32">
        <f t="shared" si="20"/>
        <v>454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6</v>
      </c>
      <c r="N29" s="50">
        <v>0</v>
      </c>
      <c r="O29" s="15">
        <f t="shared" si="0"/>
        <v>0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2</v>
      </c>
      <c r="P30" s="15">
        <f t="shared" si="1"/>
        <v>5</v>
      </c>
    </row>
    <row r="31" spans="2:32" ht="23.1" customHeight="1" x14ac:dyDescent="0.25">
      <c r="B31" s="24" t="s">
        <v>58</v>
      </c>
      <c r="C31" s="50">
        <v>4</v>
      </c>
      <c r="D31" s="50">
        <v>2</v>
      </c>
      <c r="E31" s="50">
        <v>3</v>
      </c>
      <c r="F31" s="50">
        <v>0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12</v>
      </c>
      <c r="P31" s="15">
        <f t="shared" si="1"/>
        <v>16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2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6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3</v>
      </c>
      <c r="P33" s="15">
        <f t="shared" si="1"/>
        <v>7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2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5</v>
      </c>
      <c r="D35" s="50">
        <v>1</v>
      </c>
      <c r="E35" s="50">
        <v>3</v>
      </c>
      <c r="F35" s="50">
        <v>0</v>
      </c>
      <c r="G35" s="50">
        <v>0</v>
      </c>
      <c r="H35" s="50">
        <v>1</v>
      </c>
      <c r="I35" s="50">
        <v>0</v>
      </c>
      <c r="J35" s="50">
        <v>0</v>
      </c>
      <c r="K35" s="50">
        <v>0</v>
      </c>
      <c r="L35" s="50">
        <v>0</v>
      </c>
      <c r="M35" s="50">
        <v>3</v>
      </c>
      <c r="N35" s="50">
        <v>0</v>
      </c>
      <c r="O35" s="15">
        <f t="shared" si="0"/>
        <v>10</v>
      </c>
      <c r="P35" s="15">
        <f t="shared" si="1"/>
        <v>13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5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5</v>
      </c>
      <c r="N37" s="50">
        <v>0</v>
      </c>
      <c r="O37" s="15">
        <f t="shared" si="0"/>
        <v>4</v>
      </c>
      <c r="P37" s="15">
        <f t="shared" si="1"/>
        <v>9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2</v>
      </c>
      <c r="P38" s="15">
        <f t="shared" si="1"/>
        <v>5</v>
      </c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9</v>
      </c>
      <c r="P39" s="15">
        <f t="shared" si="1"/>
        <v>16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3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5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0</v>
      </c>
      <c r="P41" s="15">
        <f t="shared" si="1"/>
        <v>0</v>
      </c>
    </row>
    <row r="42" spans="2:20" ht="23.1" customHeight="1" x14ac:dyDescent="0.25">
      <c r="B42" s="24" t="s">
        <v>69</v>
      </c>
      <c r="C42" s="50">
        <v>4</v>
      </c>
      <c r="D42" s="50">
        <v>0</v>
      </c>
      <c r="E42" s="50">
        <v>1</v>
      </c>
      <c r="F42" s="50">
        <v>0</v>
      </c>
      <c r="G42" s="50">
        <v>0</v>
      </c>
      <c r="H42" s="50">
        <v>1</v>
      </c>
      <c r="I42" s="50">
        <v>1</v>
      </c>
      <c r="J42" s="50">
        <v>0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7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3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2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4</v>
      </c>
      <c r="P44" s="15">
        <f t="shared" si="1"/>
        <v>12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2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8</v>
      </c>
      <c r="P45" s="15">
        <f t="shared" si="1"/>
        <v>13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2</v>
      </c>
      <c r="F46" s="50">
        <v>0</v>
      </c>
      <c r="G46" s="50">
        <v>0</v>
      </c>
      <c r="H46" s="50">
        <v>0</v>
      </c>
      <c r="I46" s="50">
        <v>0</v>
      </c>
      <c r="J46" s="50">
        <v>2</v>
      </c>
      <c r="K46" s="50">
        <v>0</v>
      </c>
      <c r="L46" s="50">
        <v>0</v>
      </c>
      <c r="M46" s="50">
        <v>7</v>
      </c>
      <c r="N46" s="50">
        <v>0</v>
      </c>
      <c r="O46" s="15">
        <f t="shared" si="0"/>
        <v>7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0</v>
      </c>
      <c r="E47" s="50">
        <v>2</v>
      </c>
      <c r="F47" s="50">
        <v>0</v>
      </c>
      <c r="G47" s="50">
        <v>1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9</v>
      </c>
      <c r="P47" s="15">
        <f t="shared" si="1"/>
        <v>16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1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3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2</v>
      </c>
      <c r="E49" s="50">
        <v>3</v>
      </c>
      <c r="F49" s="50">
        <v>0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12</v>
      </c>
      <c r="P49" s="15">
        <f t="shared" si="1"/>
        <v>13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6</v>
      </c>
      <c r="P50" s="15">
        <f t="shared" si="1"/>
        <v>9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2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4</v>
      </c>
      <c r="N51" s="50">
        <v>0</v>
      </c>
      <c r="O51" s="15">
        <f t="shared" si="0"/>
        <v>6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7</v>
      </c>
      <c r="N52" s="50">
        <v>0</v>
      </c>
      <c r="O52" s="15">
        <f t="shared" si="0"/>
        <v>5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2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5</v>
      </c>
      <c r="P53" s="15">
        <f t="shared" si="1"/>
        <v>15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0</v>
      </c>
      <c r="E54" s="50">
        <v>2</v>
      </c>
      <c r="F54" s="50">
        <v>0</v>
      </c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8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0</v>
      </c>
      <c r="E55" s="50">
        <v>2</v>
      </c>
      <c r="F55" s="50">
        <v>0</v>
      </c>
      <c r="G55" s="50">
        <v>0</v>
      </c>
      <c r="H55" s="50">
        <v>2</v>
      </c>
      <c r="I55" s="50">
        <v>0</v>
      </c>
      <c r="J55" s="50">
        <v>0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10</v>
      </c>
      <c r="P55" s="15">
        <f t="shared" si="1"/>
        <v>16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0</v>
      </c>
      <c r="E56" s="50">
        <v>2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6</v>
      </c>
      <c r="N56" s="50">
        <v>0</v>
      </c>
      <c r="O56" s="15">
        <f t="shared" si="0"/>
        <v>9</v>
      </c>
      <c r="P56" s="15">
        <f t="shared" si="1"/>
        <v>15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106</v>
      </c>
      <c r="D58" s="16">
        <f t="shared" si="21"/>
        <v>10</v>
      </c>
      <c r="E58" s="16">
        <f t="shared" si="21"/>
        <v>60</v>
      </c>
      <c r="F58" s="16">
        <f t="shared" si="21"/>
        <v>10</v>
      </c>
      <c r="G58" s="16">
        <f t="shared" si="21"/>
        <v>2</v>
      </c>
      <c r="H58" s="16">
        <f t="shared" si="21"/>
        <v>8</v>
      </c>
      <c r="I58" s="16">
        <f t="shared" si="21"/>
        <v>22</v>
      </c>
      <c r="J58" s="16">
        <f t="shared" si="21"/>
        <v>3</v>
      </c>
      <c r="K58" s="16">
        <f t="shared" si="21"/>
        <v>2</v>
      </c>
      <c r="L58" s="16">
        <f t="shared" si="21"/>
        <v>1</v>
      </c>
      <c r="M58" s="16">
        <f t="shared" si="21"/>
        <v>230</v>
      </c>
      <c r="N58" s="16">
        <f t="shared" si="21"/>
        <v>0</v>
      </c>
      <c r="O58" s="16">
        <f t="shared" si="21"/>
        <v>224</v>
      </c>
      <c r="P58" s="16">
        <f t="shared" si="21"/>
        <v>454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0.23348017621145375</v>
      </c>
      <c r="D59" s="43">
        <f t="shared" si="22"/>
        <v>2.2026431718061675E-2</v>
      </c>
      <c r="E59" s="43">
        <f t="shared" si="22"/>
        <v>0.13215859030837004</v>
      </c>
      <c r="F59" s="43">
        <f t="shared" si="22"/>
        <v>2.2026431718061675E-2</v>
      </c>
      <c r="G59" s="43">
        <f t="shared" si="22"/>
        <v>4.4052863436123352E-3</v>
      </c>
      <c r="H59" s="43">
        <f t="shared" si="22"/>
        <v>1.7621145374449341E-2</v>
      </c>
      <c r="I59" s="43">
        <f t="shared" si="22"/>
        <v>4.8458149779735685E-2</v>
      </c>
      <c r="J59" s="43">
        <f t="shared" si="22"/>
        <v>6.6079295154185024E-3</v>
      </c>
      <c r="K59" s="43">
        <f t="shared" si="22"/>
        <v>4.4052863436123352E-3</v>
      </c>
      <c r="L59" s="43">
        <f t="shared" si="22"/>
        <v>2.2026431718061676E-3</v>
      </c>
      <c r="M59" s="43">
        <f t="shared" si="22"/>
        <v>0.50660792951541855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0.4732142857142857</v>
      </c>
      <c r="D60" s="44">
        <f t="shared" ref="D60:N60" si="23">D58/$O$58</f>
        <v>4.4642857142857144E-2</v>
      </c>
      <c r="E60" s="44">
        <f t="shared" si="23"/>
        <v>0.26785714285714285</v>
      </c>
      <c r="F60" s="44">
        <f t="shared" si="23"/>
        <v>4.4642857142857144E-2</v>
      </c>
      <c r="G60" s="44">
        <f t="shared" si="23"/>
        <v>8.9285714285714281E-3</v>
      </c>
      <c r="H60" s="44">
        <f t="shared" si="23"/>
        <v>3.5714285714285712E-2</v>
      </c>
      <c r="I60" s="44">
        <f t="shared" si="23"/>
        <v>9.8214285714285712E-2</v>
      </c>
      <c r="J60" s="44">
        <f t="shared" si="23"/>
        <v>1.3392857142857142E-2</v>
      </c>
      <c r="K60" s="44">
        <f t="shared" si="23"/>
        <v>8.9285714285714281E-3</v>
      </c>
      <c r="L60" s="44">
        <f t="shared" si="23"/>
        <v>4.464285714285714E-3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P52" zoomScale="60" workbookViewId="0">
      <selection activeCell="AD55" sqref="AD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'06.08 Yumbe-Koboko'!C3:G3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7" t="s">
        <v>163</v>
      </c>
      <c r="E5" s="68"/>
      <c r="F5" s="41" t="s">
        <v>1</v>
      </c>
      <c r="G5" s="65" t="str">
        <f>'06.08 Koboko-Yumbe'!G5:H5</f>
        <v>Umbachi</v>
      </c>
      <c r="H5" s="66"/>
      <c r="I5" s="14"/>
      <c r="J5" s="2" t="s">
        <v>5</v>
      </c>
      <c r="K5" s="65" t="str">
        <f>'06.08 Koboko-Yumbe'!K5:L5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'06.08 Koboko-Yumbe'!D6:E6</f>
        <v>Koboko</v>
      </c>
      <c r="E6" s="66"/>
      <c r="F6" s="2" t="s">
        <v>2</v>
      </c>
      <c r="G6" s="65" t="str">
        <f>'06.08 Koboko-Yumbe'!G6:H6</f>
        <v>Yumbe</v>
      </c>
      <c r="H6" s="66"/>
      <c r="J6" s="2" t="s">
        <v>21</v>
      </c>
      <c r="K6" s="65" t="str">
        <f>'06.08 Koboko-Yumbe'!K6:L6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AVERAGE('31.07 Koboko-Yumbe'!C10,'01.08 Koboko-Yumbe '!C10,'04.08 Koboko-Yumbe '!C10,'05.08 Koboko-Yumbe'!C10,'02.08 Koboko-Yumbe-24h'!C10,'03.08 Koboko-Yumbe-24h'!C10,'06.08 Koboko-Yumbe'!C10)</f>
        <v>1.1428571428571428</v>
      </c>
      <c r="D10" s="49">
        <f>AVERAGE('31.07 Koboko-Yumbe'!D10,'01.08 Koboko-Yumbe '!D10,'04.08 Koboko-Yumbe '!D10,'05.08 Koboko-Yumbe'!D10,'02.08 Koboko-Yumbe-24h'!D10,'03.08 Koboko-Yumbe-24h'!D10,'06.08 Koboko-Yumbe'!D10)</f>
        <v>0</v>
      </c>
      <c r="E10" s="49">
        <f>AVERAGE('31.07 Koboko-Yumbe'!E10,'01.08 Koboko-Yumbe '!E10,'04.08 Koboko-Yumbe '!E10,'05.08 Koboko-Yumbe'!E10,'02.08 Koboko-Yumbe-24h'!E10,'03.08 Koboko-Yumbe-24h'!E10,'06.08 Koboko-Yumbe'!E10)</f>
        <v>0.5714285714285714</v>
      </c>
      <c r="F10" s="49">
        <f>AVERAGE('31.07 Koboko-Yumbe'!F10,'01.08 Koboko-Yumbe '!F10,'04.08 Koboko-Yumbe '!F10,'05.08 Koboko-Yumbe'!F10,'02.08 Koboko-Yumbe-24h'!F10,'03.08 Koboko-Yumbe-24h'!F10,'06.08 Koboko-Yumbe'!F10)</f>
        <v>0</v>
      </c>
      <c r="G10" s="49">
        <f>AVERAGE('31.07 Koboko-Yumbe'!G10,'01.08 Koboko-Yumbe '!G10,'04.08 Koboko-Yumbe '!G10,'05.08 Koboko-Yumbe'!G10,'02.08 Koboko-Yumbe-24h'!G10,'03.08 Koboko-Yumbe-24h'!G10,'06.08 Koboko-Yumbe'!G10)</f>
        <v>0.14285714285714285</v>
      </c>
      <c r="H10" s="49">
        <f>AVERAGE('31.07 Koboko-Yumbe'!H10,'01.08 Koboko-Yumbe '!H10,'04.08 Koboko-Yumbe '!H10,'05.08 Koboko-Yumbe'!H10,'02.08 Koboko-Yumbe-24h'!H10,'03.08 Koboko-Yumbe-24h'!H10,'06.08 Koboko-Yumbe'!H10)</f>
        <v>0</v>
      </c>
      <c r="I10" s="49">
        <f>AVERAGE('31.07 Koboko-Yumbe'!I10,'01.08 Koboko-Yumbe '!I10,'04.08 Koboko-Yumbe '!I10,'05.08 Koboko-Yumbe'!I10,'02.08 Koboko-Yumbe-24h'!I10,'03.08 Koboko-Yumbe-24h'!I10,'06.08 Koboko-Yumbe'!I10)</f>
        <v>0.2857142857142857</v>
      </c>
      <c r="J10" s="49">
        <f>AVERAGE('31.07 Koboko-Yumbe'!J10,'01.08 Koboko-Yumbe '!J10,'04.08 Koboko-Yumbe '!J10,'05.08 Koboko-Yumbe'!J10,'02.08 Koboko-Yumbe-24h'!J10,'03.08 Koboko-Yumbe-24h'!J10,'06.08 Koboko-Yumbe'!J10)</f>
        <v>0</v>
      </c>
      <c r="K10" s="49">
        <f>AVERAGE('31.07 Koboko-Yumbe'!K10,'01.08 Koboko-Yumbe '!K10,'04.08 Koboko-Yumbe '!K10,'05.08 Koboko-Yumbe'!K10,'02.08 Koboko-Yumbe-24h'!K10,'03.08 Koboko-Yumbe-24h'!K10,'06.08 Koboko-Yumbe'!K10)</f>
        <v>0</v>
      </c>
      <c r="L10" s="49">
        <f>AVERAGE('31.07 Koboko-Yumbe'!L10,'01.08 Koboko-Yumbe '!L10,'04.08 Koboko-Yumbe '!L10,'05.08 Koboko-Yumbe'!L10,'02.08 Koboko-Yumbe-24h'!L10,'03.08 Koboko-Yumbe-24h'!L10,'06.08 Koboko-Yumbe'!L10)</f>
        <v>0</v>
      </c>
      <c r="M10" s="49">
        <f>AVERAGE('31.07 Koboko-Yumbe'!M10,'01.08 Koboko-Yumbe '!M10,'04.08 Koboko-Yumbe '!M10,'05.08 Koboko-Yumbe'!M10,'02.08 Koboko-Yumbe-24h'!M10,'03.08 Koboko-Yumbe-24h'!M10,'06.08 Koboko-Yumbe'!M10)</f>
        <v>4.7142857142857144</v>
      </c>
      <c r="N10" s="49">
        <f>AVERAGE('31.07 Koboko-Yumbe'!N10,'01.08 Koboko-Yumbe '!N10,'04.08 Koboko-Yumbe '!N10,'05.08 Koboko-Yumbe'!N10,'02.08 Koboko-Yumbe-24h'!N10,'03.08 Koboko-Yumbe-24h'!N10,'06.08 Koboko-Yumbe'!N10)</f>
        <v>0</v>
      </c>
      <c r="O10" s="15">
        <f t="shared" ref="O10:O73" si="0">SUM(C10:L10,N10)</f>
        <v>2.1428571428571428</v>
      </c>
      <c r="P10" s="15">
        <f t="shared" ref="P10:P73" si="1">SUM(C10:N10)</f>
        <v>6.8571428571428577</v>
      </c>
      <c r="R10" s="1" t="s">
        <v>6</v>
      </c>
      <c r="S10" s="17">
        <f t="shared" ref="S10:AF10" si="2">SUM(C10:C13)</f>
        <v>4.7142857142857135</v>
      </c>
      <c r="T10" s="17">
        <f t="shared" si="2"/>
        <v>0.71428571428571419</v>
      </c>
      <c r="U10" s="17">
        <f t="shared" si="2"/>
        <v>2.4285714285714284</v>
      </c>
      <c r="V10" s="17">
        <f t="shared" si="2"/>
        <v>0.5714285714285714</v>
      </c>
      <c r="W10" s="17">
        <f t="shared" si="2"/>
        <v>0.14285714285714285</v>
      </c>
      <c r="X10" s="17">
        <f t="shared" si="2"/>
        <v>0.42857142857142855</v>
      </c>
      <c r="Y10" s="17">
        <f t="shared" si="2"/>
        <v>1.4285714285714284</v>
      </c>
      <c r="Z10" s="17">
        <f t="shared" si="2"/>
        <v>0.2857142857142857</v>
      </c>
      <c r="AA10" s="17">
        <f t="shared" si="2"/>
        <v>0.14285714285714285</v>
      </c>
      <c r="AB10" s="17">
        <f t="shared" si="2"/>
        <v>0.2857142857142857</v>
      </c>
      <c r="AC10" s="17">
        <f t="shared" si="2"/>
        <v>29.571428571428569</v>
      </c>
      <c r="AD10" s="17">
        <f t="shared" si="2"/>
        <v>0</v>
      </c>
      <c r="AE10" s="31">
        <f t="shared" si="2"/>
        <v>11.142857142857142</v>
      </c>
      <c r="AF10" s="31">
        <f t="shared" si="2"/>
        <v>40.714285714285715</v>
      </c>
    </row>
    <row r="11" spans="2:32" s="6" customFormat="1" ht="23.1" customHeight="1" x14ac:dyDescent="0.25">
      <c r="B11" s="23" t="s">
        <v>38</v>
      </c>
      <c r="C11" s="49">
        <f>AVERAGE('31.07 Koboko-Yumbe'!C11,'01.08 Koboko-Yumbe '!C11,'04.08 Koboko-Yumbe '!C11,'05.08 Koboko-Yumbe'!C11,'02.08 Koboko-Yumbe-24h'!C11,'03.08 Koboko-Yumbe-24h'!C11,'06.08 Koboko-Yumbe'!C11)</f>
        <v>1.7142857142857142</v>
      </c>
      <c r="D11" s="49">
        <f>AVERAGE('31.07 Koboko-Yumbe'!D11,'01.08 Koboko-Yumbe '!D11,'04.08 Koboko-Yumbe '!D11,'05.08 Koboko-Yumbe'!D11,'02.08 Koboko-Yumbe-24h'!D11,'03.08 Koboko-Yumbe-24h'!D11,'06.08 Koboko-Yumbe'!D11)</f>
        <v>0</v>
      </c>
      <c r="E11" s="49">
        <f>AVERAGE('31.07 Koboko-Yumbe'!E11,'01.08 Koboko-Yumbe '!E11,'04.08 Koboko-Yumbe '!E11,'05.08 Koboko-Yumbe'!E11,'02.08 Koboko-Yumbe-24h'!E11,'03.08 Koboko-Yumbe-24h'!E11,'06.08 Koboko-Yumbe'!E11)</f>
        <v>0.14285714285714285</v>
      </c>
      <c r="F11" s="49">
        <f>AVERAGE('31.07 Koboko-Yumbe'!F11,'01.08 Koboko-Yumbe '!F11,'04.08 Koboko-Yumbe '!F11,'05.08 Koboko-Yumbe'!F11,'02.08 Koboko-Yumbe-24h'!F11,'03.08 Koboko-Yumbe-24h'!F11,'06.08 Koboko-Yumbe'!F11)</f>
        <v>0.2857142857142857</v>
      </c>
      <c r="G11" s="49">
        <f>AVERAGE('31.07 Koboko-Yumbe'!G11,'01.08 Koboko-Yumbe '!G11,'04.08 Koboko-Yumbe '!G11,'05.08 Koboko-Yumbe'!G11,'02.08 Koboko-Yumbe-24h'!G11,'03.08 Koboko-Yumbe-24h'!G11,'06.08 Koboko-Yumbe'!G11)</f>
        <v>0</v>
      </c>
      <c r="H11" s="49">
        <f>AVERAGE('31.07 Koboko-Yumbe'!H11,'01.08 Koboko-Yumbe '!H11,'04.08 Koboko-Yumbe '!H11,'05.08 Koboko-Yumbe'!H11,'02.08 Koboko-Yumbe-24h'!H11,'03.08 Koboko-Yumbe-24h'!H11,'06.08 Koboko-Yumbe'!H11)</f>
        <v>0.14285714285714285</v>
      </c>
      <c r="I11" s="49">
        <f>AVERAGE('31.07 Koboko-Yumbe'!I11,'01.08 Koboko-Yumbe '!I11,'04.08 Koboko-Yumbe '!I11,'05.08 Koboko-Yumbe'!I11,'02.08 Koboko-Yumbe-24h'!I11,'03.08 Koboko-Yumbe-24h'!I11,'06.08 Koboko-Yumbe'!I11)</f>
        <v>0.2857142857142857</v>
      </c>
      <c r="J11" s="49">
        <f>AVERAGE('31.07 Koboko-Yumbe'!J11,'01.08 Koboko-Yumbe '!J11,'04.08 Koboko-Yumbe '!J11,'05.08 Koboko-Yumbe'!J11,'02.08 Koboko-Yumbe-24h'!J11,'03.08 Koboko-Yumbe-24h'!J11,'06.08 Koboko-Yumbe'!J11)</f>
        <v>0</v>
      </c>
      <c r="K11" s="49">
        <f>AVERAGE('31.07 Koboko-Yumbe'!K11,'01.08 Koboko-Yumbe '!K11,'04.08 Koboko-Yumbe '!K11,'05.08 Koboko-Yumbe'!K11,'02.08 Koboko-Yumbe-24h'!K11,'03.08 Koboko-Yumbe-24h'!K11,'06.08 Koboko-Yumbe'!K11)</f>
        <v>0.14285714285714285</v>
      </c>
      <c r="L11" s="49">
        <f>AVERAGE('31.07 Koboko-Yumbe'!L11,'01.08 Koboko-Yumbe '!L11,'04.08 Koboko-Yumbe '!L11,'05.08 Koboko-Yumbe'!L11,'02.08 Koboko-Yumbe-24h'!L11,'03.08 Koboko-Yumbe-24h'!L11,'06.08 Koboko-Yumbe'!L11)</f>
        <v>0.14285714285714285</v>
      </c>
      <c r="M11" s="49">
        <f>AVERAGE('31.07 Koboko-Yumbe'!M11,'01.08 Koboko-Yumbe '!M11,'04.08 Koboko-Yumbe '!M11,'05.08 Koboko-Yumbe'!M11,'02.08 Koboko-Yumbe-24h'!M11,'03.08 Koboko-Yumbe-24h'!M11,'06.08 Koboko-Yumbe'!M11)</f>
        <v>6.1428571428571432</v>
      </c>
      <c r="N11" s="49">
        <f>AVERAGE('31.07 Koboko-Yumbe'!N11,'01.08 Koboko-Yumbe '!N11,'04.08 Koboko-Yumbe '!N11,'05.08 Koboko-Yumbe'!N11,'02.08 Koboko-Yumbe-24h'!N11,'03.08 Koboko-Yumbe-24h'!N11,'06.08 Koboko-Yumbe'!N11)</f>
        <v>0</v>
      </c>
      <c r="O11" s="15">
        <f t="shared" si="0"/>
        <v>2.8571428571428568</v>
      </c>
      <c r="P11" s="15">
        <f t="shared" si="1"/>
        <v>9</v>
      </c>
      <c r="R11" s="1" t="s">
        <v>7</v>
      </c>
      <c r="S11" s="17">
        <f t="shared" ref="S11:AF11" si="3">SUM(C14:C17)</f>
        <v>9.4285714285714288</v>
      </c>
      <c r="T11" s="17">
        <f t="shared" si="3"/>
        <v>2.2857142857142856</v>
      </c>
      <c r="U11" s="17">
        <f t="shared" si="3"/>
        <v>5.7142857142857144</v>
      </c>
      <c r="V11" s="17">
        <f t="shared" si="3"/>
        <v>0.8571428571428571</v>
      </c>
      <c r="W11" s="17">
        <f t="shared" si="3"/>
        <v>0.71428571428571419</v>
      </c>
      <c r="X11" s="17">
        <f t="shared" si="3"/>
        <v>0.2857142857142857</v>
      </c>
      <c r="Y11" s="17">
        <f t="shared" si="3"/>
        <v>2</v>
      </c>
      <c r="Z11" s="17">
        <f t="shared" si="3"/>
        <v>1.7142857142857144</v>
      </c>
      <c r="AA11" s="17">
        <f t="shared" si="3"/>
        <v>0.14285714285714285</v>
      </c>
      <c r="AB11" s="17">
        <f t="shared" si="3"/>
        <v>0.71428571428571419</v>
      </c>
      <c r="AC11" s="17">
        <f t="shared" si="3"/>
        <v>39.714285714285708</v>
      </c>
      <c r="AD11" s="17">
        <f t="shared" si="3"/>
        <v>0</v>
      </c>
      <c r="AE11" s="31">
        <f t="shared" si="3"/>
        <v>23.857142857142861</v>
      </c>
      <c r="AF11" s="31">
        <f t="shared" si="3"/>
        <v>63.571428571428569</v>
      </c>
    </row>
    <row r="12" spans="2:32" ht="23.1" customHeight="1" x14ac:dyDescent="0.25">
      <c r="B12" s="23" t="s">
        <v>39</v>
      </c>
      <c r="C12" s="49">
        <f>AVERAGE('31.07 Koboko-Yumbe'!C12,'01.08 Koboko-Yumbe '!C12,'04.08 Koboko-Yumbe '!C12,'05.08 Koboko-Yumbe'!C12,'02.08 Koboko-Yumbe-24h'!C12,'03.08 Koboko-Yumbe-24h'!C12,'06.08 Koboko-Yumbe'!C12)</f>
        <v>0.8571428571428571</v>
      </c>
      <c r="D12" s="49">
        <f>AVERAGE('31.07 Koboko-Yumbe'!D12,'01.08 Koboko-Yumbe '!D12,'04.08 Koboko-Yumbe '!D12,'05.08 Koboko-Yumbe'!D12,'02.08 Koboko-Yumbe-24h'!D12,'03.08 Koboko-Yumbe-24h'!D12,'06.08 Koboko-Yumbe'!D12)</f>
        <v>0.2857142857142857</v>
      </c>
      <c r="E12" s="49">
        <f>AVERAGE('31.07 Koboko-Yumbe'!E12,'01.08 Koboko-Yumbe '!E12,'04.08 Koboko-Yumbe '!E12,'05.08 Koboko-Yumbe'!E12,'02.08 Koboko-Yumbe-24h'!E12,'03.08 Koboko-Yumbe-24h'!E12,'06.08 Koboko-Yumbe'!E12)</f>
        <v>0.5714285714285714</v>
      </c>
      <c r="F12" s="49">
        <f>AVERAGE('31.07 Koboko-Yumbe'!F12,'01.08 Koboko-Yumbe '!F12,'04.08 Koboko-Yumbe '!F12,'05.08 Koboko-Yumbe'!F12,'02.08 Koboko-Yumbe-24h'!F12,'03.08 Koboko-Yumbe-24h'!F12,'06.08 Koboko-Yumbe'!F12)</f>
        <v>0</v>
      </c>
      <c r="G12" s="49">
        <f>AVERAGE('31.07 Koboko-Yumbe'!G12,'01.08 Koboko-Yumbe '!G12,'04.08 Koboko-Yumbe '!G12,'05.08 Koboko-Yumbe'!G12,'02.08 Koboko-Yumbe-24h'!G12,'03.08 Koboko-Yumbe-24h'!G12,'06.08 Koboko-Yumbe'!G12)</f>
        <v>0</v>
      </c>
      <c r="H12" s="49">
        <f>AVERAGE('31.07 Koboko-Yumbe'!H12,'01.08 Koboko-Yumbe '!H12,'04.08 Koboko-Yumbe '!H12,'05.08 Koboko-Yumbe'!H12,'02.08 Koboko-Yumbe-24h'!H12,'03.08 Koboko-Yumbe-24h'!H12,'06.08 Koboko-Yumbe'!H12)</f>
        <v>0</v>
      </c>
      <c r="I12" s="49">
        <f>AVERAGE('31.07 Koboko-Yumbe'!I12,'01.08 Koboko-Yumbe '!I12,'04.08 Koboko-Yumbe '!I12,'05.08 Koboko-Yumbe'!I12,'02.08 Koboko-Yumbe-24h'!I12,'03.08 Koboko-Yumbe-24h'!I12,'06.08 Koboko-Yumbe'!I12)</f>
        <v>0.2857142857142857</v>
      </c>
      <c r="J12" s="49">
        <f>AVERAGE('31.07 Koboko-Yumbe'!J12,'01.08 Koboko-Yumbe '!J12,'04.08 Koboko-Yumbe '!J12,'05.08 Koboko-Yumbe'!J12,'02.08 Koboko-Yumbe-24h'!J12,'03.08 Koboko-Yumbe-24h'!J12,'06.08 Koboko-Yumbe'!J12)</f>
        <v>0</v>
      </c>
      <c r="K12" s="49">
        <f>AVERAGE('31.07 Koboko-Yumbe'!K12,'01.08 Koboko-Yumbe '!K12,'04.08 Koboko-Yumbe '!K12,'05.08 Koboko-Yumbe'!K12,'02.08 Koboko-Yumbe-24h'!K12,'03.08 Koboko-Yumbe-24h'!K12,'06.08 Koboko-Yumbe'!K12)</f>
        <v>0</v>
      </c>
      <c r="L12" s="49">
        <f>AVERAGE('31.07 Koboko-Yumbe'!L12,'01.08 Koboko-Yumbe '!L12,'04.08 Koboko-Yumbe '!L12,'05.08 Koboko-Yumbe'!L12,'02.08 Koboko-Yumbe-24h'!L12,'03.08 Koboko-Yumbe-24h'!L12,'06.08 Koboko-Yumbe'!L12)</f>
        <v>0</v>
      </c>
      <c r="M12" s="49">
        <f>AVERAGE('31.07 Koboko-Yumbe'!M12,'01.08 Koboko-Yumbe '!M12,'04.08 Koboko-Yumbe '!M12,'05.08 Koboko-Yumbe'!M12,'02.08 Koboko-Yumbe-24h'!M12,'03.08 Koboko-Yumbe-24h'!M12,'06.08 Koboko-Yumbe'!M12)</f>
        <v>8.1428571428571423</v>
      </c>
      <c r="N12" s="49">
        <f>AVERAGE('31.07 Koboko-Yumbe'!N12,'01.08 Koboko-Yumbe '!N12,'04.08 Koboko-Yumbe '!N12,'05.08 Koboko-Yumbe'!N12,'02.08 Koboko-Yumbe-24h'!N12,'03.08 Koboko-Yumbe-24h'!N12,'06.08 Koboko-Yumbe'!N12)</f>
        <v>0</v>
      </c>
      <c r="O12" s="15">
        <f t="shared" si="0"/>
        <v>2</v>
      </c>
      <c r="P12" s="15">
        <f t="shared" si="1"/>
        <v>10.142857142857142</v>
      </c>
      <c r="R12" s="1" t="s">
        <v>8</v>
      </c>
      <c r="S12" s="17">
        <f t="shared" ref="S12:AF12" si="4">SUM(C18:C21)</f>
        <v>9.428571428571427</v>
      </c>
      <c r="T12" s="17">
        <f t="shared" si="4"/>
        <v>2.2857142857142856</v>
      </c>
      <c r="U12" s="17">
        <f t="shared" si="4"/>
        <v>6</v>
      </c>
      <c r="V12" s="17">
        <f t="shared" si="4"/>
        <v>1.2857142857142856</v>
      </c>
      <c r="W12" s="17">
        <f t="shared" si="4"/>
        <v>0.2857142857142857</v>
      </c>
      <c r="X12" s="17">
        <f t="shared" si="4"/>
        <v>1</v>
      </c>
      <c r="Y12" s="17">
        <f t="shared" si="4"/>
        <v>2.5714285714285712</v>
      </c>
      <c r="Z12" s="17">
        <f t="shared" si="4"/>
        <v>0.5714285714285714</v>
      </c>
      <c r="AA12" s="17">
        <f t="shared" si="4"/>
        <v>0.14285714285714285</v>
      </c>
      <c r="AB12" s="17">
        <f t="shared" si="4"/>
        <v>0.8571428571428571</v>
      </c>
      <c r="AC12" s="17">
        <f t="shared" si="4"/>
        <v>37</v>
      </c>
      <c r="AD12" s="17">
        <f t="shared" si="4"/>
        <v>0</v>
      </c>
      <c r="AE12" s="31">
        <f t="shared" si="4"/>
        <v>24.428571428571431</v>
      </c>
      <c r="AF12" s="31">
        <f t="shared" si="4"/>
        <v>61.428571428571431</v>
      </c>
    </row>
    <row r="13" spans="2:32" ht="23.1" customHeight="1" x14ac:dyDescent="0.25">
      <c r="B13" s="23" t="s">
        <v>40</v>
      </c>
      <c r="C13" s="49">
        <f>AVERAGE('31.07 Koboko-Yumbe'!C13,'01.08 Koboko-Yumbe '!C13,'04.08 Koboko-Yumbe '!C13,'05.08 Koboko-Yumbe'!C13,'02.08 Koboko-Yumbe-24h'!C13,'03.08 Koboko-Yumbe-24h'!C13,'06.08 Koboko-Yumbe'!C13)</f>
        <v>1</v>
      </c>
      <c r="D13" s="49">
        <f>AVERAGE('31.07 Koboko-Yumbe'!D13,'01.08 Koboko-Yumbe '!D13,'04.08 Koboko-Yumbe '!D13,'05.08 Koboko-Yumbe'!D13,'02.08 Koboko-Yumbe-24h'!D13,'03.08 Koboko-Yumbe-24h'!D13,'06.08 Koboko-Yumbe'!D13)</f>
        <v>0.42857142857142855</v>
      </c>
      <c r="E13" s="49">
        <f>AVERAGE('31.07 Koboko-Yumbe'!E13,'01.08 Koboko-Yumbe '!E13,'04.08 Koboko-Yumbe '!E13,'05.08 Koboko-Yumbe'!E13,'02.08 Koboko-Yumbe-24h'!E13,'03.08 Koboko-Yumbe-24h'!E13,'06.08 Koboko-Yumbe'!E13)</f>
        <v>1.1428571428571428</v>
      </c>
      <c r="F13" s="49">
        <f>AVERAGE('31.07 Koboko-Yumbe'!F13,'01.08 Koboko-Yumbe '!F13,'04.08 Koboko-Yumbe '!F13,'05.08 Koboko-Yumbe'!F13,'02.08 Koboko-Yumbe-24h'!F13,'03.08 Koboko-Yumbe-24h'!F13,'06.08 Koboko-Yumbe'!F13)</f>
        <v>0.2857142857142857</v>
      </c>
      <c r="G13" s="49">
        <f>AVERAGE('31.07 Koboko-Yumbe'!G13,'01.08 Koboko-Yumbe '!G13,'04.08 Koboko-Yumbe '!G13,'05.08 Koboko-Yumbe'!G13,'02.08 Koboko-Yumbe-24h'!G13,'03.08 Koboko-Yumbe-24h'!G13,'06.08 Koboko-Yumbe'!G13)</f>
        <v>0</v>
      </c>
      <c r="H13" s="49">
        <f>AVERAGE('31.07 Koboko-Yumbe'!H13,'01.08 Koboko-Yumbe '!H13,'04.08 Koboko-Yumbe '!H13,'05.08 Koboko-Yumbe'!H13,'02.08 Koboko-Yumbe-24h'!H13,'03.08 Koboko-Yumbe-24h'!H13,'06.08 Koboko-Yumbe'!H13)</f>
        <v>0.2857142857142857</v>
      </c>
      <c r="I13" s="49">
        <f>AVERAGE('31.07 Koboko-Yumbe'!I13,'01.08 Koboko-Yumbe '!I13,'04.08 Koboko-Yumbe '!I13,'05.08 Koboko-Yumbe'!I13,'02.08 Koboko-Yumbe-24h'!I13,'03.08 Koboko-Yumbe-24h'!I13,'06.08 Koboko-Yumbe'!I13)</f>
        <v>0.5714285714285714</v>
      </c>
      <c r="J13" s="49">
        <f>AVERAGE('31.07 Koboko-Yumbe'!J13,'01.08 Koboko-Yumbe '!J13,'04.08 Koboko-Yumbe '!J13,'05.08 Koboko-Yumbe'!J13,'02.08 Koboko-Yumbe-24h'!J13,'03.08 Koboko-Yumbe-24h'!J13,'06.08 Koboko-Yumbe'!J13)</f>
        <v>0.2857142857142857</v>
      </c>
      <c r="K13" s="49">
        <f>AVERAGE('31.07 Koboko-Yumbe'!K13,'01.08 Koboko-Yumbe '!K13,'04.08 Koboko-Yumbe '!K13,'05.08 Koboko-Yumbe'!K13,'02.08 Koboko-Yumbe-24h'!K13,'03.08 Koboko-Yumbe-24h'!K13,'06.08 Koboko-Yumbe'!K13)</f>
        <v>0</v>
      </c>
      <c r="L13" s="49">
        <f>AVERAGE('31.07 Koboko-Yumbe'!L13,'01.08 Koboko-Yumbe '!L13,'04.08 Koboko-Yumbe '!L13,'05.08 Koboko-Yumbe'!L13,'02.08 Koboko-Yumbe-24h'!L13,'03.08 Koboko-Yumbe-24h'!L13,'06.08 Koboko-Yumbe'!L13)</f>
        <v>0.14285714285714285</v>
      </c>
      <c r="M13" s="49">
        <f>AVERAGE('31.07 Koboko-Yumbe'!M13,'01.08 Koboko-Yumbe '!M13,'04.08 Koboko-Yumbe '!M13,'05.08 Koboko-Yumbe'!M13,'02.08 Koboko-Yumbe-24h'!M13,'03.08 Koboko-Yumbe-24h'!M13,'06.08 Koboko-Yumbe'!M13)</f>
        <v>10.571428571428571</v>
      </c>
      <c r="N13" s="49">
        <f>AVERAGE('31.07 Koboko-Yumbe'!N13,'01.08 Koboko-Yumbe '!N13,'04.08 Koboko-Yumbe '!N13,'05.08 Koboko-Yumbe'!N13,'02.08 Koboko-Yumbe-24h'!N13,'03.08 Koboko-Yumbe-24h'!N13,'06.08 Koboko-Yumbe'!N13)</f>
        <v>0</v>
      </c>
      <c r="O13" s="15">
        <f t="shared" si="0"/>
        <v>4.1428571428571423</v>
      </c>
      <c r="P13" s="15">
        <f t="shared" si="1"/>
        <v>14.714285714285714</v>
      </c>
      <c r="R13" s="1" t="s">
        <v>9</v>
      </c>
      <c r="S13" s="17">
        <f t="shared" ref="S13:AF13" si="5">SUM(C22:C25)</f>
        <v>10.285714285714286</v>
      </c>
      <c r="T13" s="17">
        <f t="shared" si="5"/>
        <v>2</v>
      </c>
      <c r="U13" s="17">
        <f t="shared" si="5"/>
        <v>5.8571428571428577</v>
      </c>
      <c r="V13" s="17">
        <f t="shared" si="5"/>
        <v>2.8571428571428568</v>
      </c>
      <c r="W13" s="17">
        <f t="shared" si="5"/>
        <v>0.14285714285714285</v>
      </c>
      <c r="X13" s="17">
        <f t="shared" si="5"/>
        <v>0</v>
      </c>
      <c r="Y13" s="17">
        <f t="shared" si="5"/>
        <v>2.1428571428571428</v>
      </c>
      <c r="Z13" s="17">
        <f t="shared" si="5"/>
        <v>0.42857142857142855</v>
      </c>
      <c r="AA13" s="17">
        <f t="shared" si="5"/>
        <v>0.42857142857142855</v>
      </c>
      <c r="AB13" s="17">
        <f t="shared" si="5"/>
        <v>0.14285714285714285</v>
      </c>
      <c r="AC13" s="17">
        <f t="shared" si="5"/>
        <v>36.571428571428577</v>
      </c>
      <c r="AD13" s="17">
        <f t="shared" si="5"/>
        <v>0</v>
      </c>
      <c r="AE13" s="31">
        <f t="shared" si="5"/>
        <v>24.285714285714285</v>
      </c>
      <c r="AF13" s="31">
        <f t="shared" si="5"/>
        <v>60.857142857142861</v>
      </c>
    </row>
    <row r="14" spans="2:32" ht="23.1" customHeight="1" x14ac:dyDescent="0.25">
      <c r="B14" s="23" t="s">
        <v>41</v>
      </c>
      <c r="C14" s="49">
        <f>AVERAGE('31.07 Koboko-Yumbe'!C14,'01.08 Koboko-Yumbe '!C14,'04.08 Koboko-Yumbe '!C14,'05.08 Koboko-Yumbe'!C14,'02.08 Koboko-Yumbe-24h'!C14,'03.08 Koboko-Yumbe-24h'!C14,'06.08 Koboko-Yumbe'!C14)</f>
        <v>2.1428571428571428</v>
      </c>
      <c r="D14" s="49">
        <f>AVERAGE('31.07 Koboko-Yumbe'!D14,'01.08 Koboko-Yumbe '!D14,'04.08 Koboko-Yumbe '!D14,'05.08 Koboko-Yumbe'!D14,'02.08 Koboko-Yumbe-24h'!D14,'03.08 Koboko-Yumbe-24h'!D14,'06.08 Koboko-Yumbe'!D14)</f>
        <v>0.14285714285714285</v>
      </c>
      <c r="E14" s="49">
        <f>AVERAGE('31.07 Koboko-Yumbe'!E14,'01.08 Koboko-Yumbe '!E14,'04.08 Koboko-Yumbe '!E14,'05.08 Koboko-Yumbe'!E14,'02.08 Koboko-Yumbe-24h'!E14,'03.08 Koboko-Yumbe-24h'!E14,'06.08 Koboko-Yumbe'!E14)</f>
        <v>1</v>
      </c>
      <c r="F14" s="49">
        <f>AVERAGE('31.07 Koboko-Yumbe'!F14,'01.08 Koboko-Yumbe '!F14,'04.08 Koboko-Yumbe '!F14,'05.08 Koboko-Yumbe'!F14,'02.08 Koboko-Yumbe-24h'!F14,'03.08 Koboko-Yumbe-24h'!F14,'06.08 Koboko-Yumbe'!F14)</f>
        <v>0.42857142857142855</v>
      </c>
      <c r="G14" s="49">
        <f>AVERAGE('31.07 Koboko-Yumbe'!G14,'01.08 Koboko-Yumbe '!G14,'04.08 Koboko-Yumbe '!G14,'05.08 Koboko-Yumbe'!G14,'02.08 Koboko-Yumbe-24h'!G14,'03.08 Koboko-Yumbe-24h'!G14,'06.08 Koboko-Yumbe'!G14)</f>
        <v>0</v>
      </c>
      <c r="H14" s="49">
        <f>AVERAGE('31.07 Koboko-Yumbe'!H14,'01.08 Koboko-Yumbe '!H14,'04.08 Koboko-Yumbe '!H14,'05.08 Koboko-Yumbe'!H14,'02.08 Koboko-Yumbe-24h'!H14,'03.08 Koboko-Yumbe-24h'!H14,'06.08 Koboko-Yumbe'!H14)</f>
        <v>0.2857142857142857</v>
      </c>
      <c r="I14" s="49">
        <f>AVERAGE('31.07 Koboko-Yumbe'!I14,'01.08 Koboko-Yumbe '!I14,'04.08 Koboko-Yumbe '!I14,'05.08 Koboko-Yumbe'!I14,'02.08 Koboko-Yumbe-24h'!I14,'03.08 Koboko-Yumbe-24h'!I14,'06.08 Koboko-Yumbe'!I14)</f>
        <v>0.42857142857142855</v>
      </c>
      <c r="J14" s="49">
        <f>AVERAGE('31.07 Koboko-Yumbe'!J14,'01.08 Koboko-Yumbe '!J14,'04.08 Koboko-Yumbe '!J14,'05.08 Koboko-Yumbe'!J14,'02.08 Koboko-Yumbe-24h'!J14,'03.08 Koboko-Yumbe-24h'!J14,'06.08 Koboko-Yumbe'!J14)</f>
        <v>0</v>
      </c>
      <c r="K14" s="49">
        <f>AVERAGE('31.07 Koboko-Yumbe'!K14,'01.08 Koboko-Yumbe '!K14,'04.08 Koboko-Yumbe '!K14,'05.08 Koboko-Yumbe'!K14,'02.08 Koboko-Yumbe-24h'!K14,'03.08 Koboko-Yumbe-24h'!K14,'06.08 Koboko-Yumbe'!K14)</f>
        <v>0</v>
      </c>
      <c r="L14" s="49">
        <f>AVERAGE('31.07 Koboko-Yumbe'!L14,'01.08 Koboko-Yumbe '!L14,'04.08 Koboko-Yumbe '!L14,'05.08 Koboko-Yumbe'!L14,'02.08 Koboko-Yumbe-24h'!L14,'03.08 Koboko-Yumbe-24h'!L14,'06.08 Koboko-Yumbe'!L14)</f>
        <v>0.14285714285714285</v>
      </c>
      <c r="M14" s="49">
        <f>AVERAGE('31.07 Koboko-Yumbe'!M14,'01.08 Koboko-Yumbe '!M14,'04.08 Koboko-Yumbe '!M14,'05.08 Koboko-Yumbe'!M14,'02.08 Koboko-Yumbe-24h'!M14,'03.08 Koboko-Yumbe-24h'!M14,'06.08 Koboko-Yumbe'!M14)</f>
        <v>8.7142857142857135</v>
      </c>
      <c r="N14" s="49">
        <f>AVERAGE('31.07 Koboko-Yumbe'!N14,'01.08 Koboko-Yumbe '!N14,'04.08 Koboko-Yumbe '!N14,'05.08 Koboko-Yumbe'!N14,'02.08 Koboko-Yumbe-24h'!N14,'03.08 Koboko-Yumbe-24h'!N14,'06.08 Koboko-Yumbe'!N14)</f>
        <v>0</v>
      </c>
      <c r="O14" s="15">
        <f t="shared" si="0"/>
        <v>4.5714285714285712</v>
      </c>
      <c r="P14" s="15">
        <f t="shared" si="1"/>
        <v>13.285714285714285</v>
      </c>
      <c r="R14" s="1" t="s">
        <v>10</v>
      </c>
      <c r="S14" s="17">
        <f t="shared" ref="S14:AF14" si="6">SUM(C26:C29)</f>
        <v>7.8571428571428559</v>
      </c>
      <c r="T14" s="17">
        <f t="shared" si="6"/>
        <v>1.7142857142857142</v>
      </c>
      <c r="U14" s="17">
        <f t="shared" si="6"/>
        <v>4.1428571428571432</v>
      </c>
      <c r="V14" s="17">
        <f t="shared" si="6"/>
        <v>1.2857142857142856</v>
      </c>
      <c r="W14" s="17">
        <f t="shared" si="6"/>
        <v>0</v>
      </c>
      <c r="X14" s="17">
        <f t="shared" si="6"/>
        <v>0.2857142857142857</v>
      </c>
      <c r="Y14" s="17">
        <f t="shared" si="6"/>
        <v>2.1428571428571428</v>
      </c>
      <c r="Z14" s="17">
        <f t="shared" si="6"/>
        <v>0.8571428571428571</v>
      </c>
      <c r="AA14" s="17">
        <f t="shared" si="6"/>
        <v>0</v>
      </c>
      <c r="AB14" s="17">
        <f t="shared" si="6"/>
        <v>0.2857142857142857</v>
      </c>
      <c r="AC14" s="17">
        <f t="shared" si="6"/>
        <v>41.428571428571431</v>
      </c>
      <c r="AD14" s="17">
        <f t="shared" si="6"/>
        <v>0.2857142857142857</v>
      </c>
      <c r="AE14" s="31">
        <f t="shared" si="6"/>
        <v>18.857142857142858</v>
      </c>
      <c r="AF14" s="31">
        <f t="shared" si="6"/>
        <v>60.285714285714292</v>
      </c>
    </row>
    <row r="15" spans="2:32" ht="23.1" customHeight="1" x14ac:dyDescent="0.25">
      <c r="B15" s="23" t="s">
        <v>42</v>
      </c>
      <c r="C15" s="49">
        <f>AVERAGE('31.07 Koboko-Yumbe'!C15,'01.08 Koboko-Yumbe '!C15,'04.08 Koboko-Yumbe '!C15,'05.08 Koboko-Yumbe'!C15,'02.08 Koboko-Yumbe-24h'!C15,'03.08 Koboko-Yumbe-24h'!C15,'06.08 Koboko-Yumbe'!C15)</f>
        <v>2.5714285714285716</v>
      </c>
      <c r="D15" s="49">
        <f>AVERAGE('31.07 Koboko-Yumbe'!D15,'01.08 Koboko-Yumbe '!D15,'04.08 Koboko-Yumbe '!D15,'05.08 Koboko-Yumbe'!D15,'02.08 Koboko-Yumbe-24h'!D15,'03.08 Koboko-Yumbe-24h'!D15,'06.08 Koboko-Yumbe'!D15)</f>
        <v>0.14285714285714285</v>
      </c>
      <c r="E15" s="49">
        <f>AVERAGE('31.07 Koboko-Yumbe'!E15,'01.08 Koboko-Yumbe '!E15,'04.08 Koboko-Yumbe '!E15,'05.08 Koboko-Yumbe'!E15,'02.08 Koboko-Yumbe-24h'!E15,'03.08 Koboko-Yumbe-24h'!E15,'06.08 Koboko-Yumbe'!E15)</f>
        <v>0.7142857142857143</v>
      </c>
      <c r="F15" s="49">
        <f>AVERAGE('31.07 Koboko-Yumbe'!F15,'01.08 Koboko-Yumbe '!F15,'04.08 Koboko-Yumbe '!F15,'05.08 Koboko-Yumbe'!F15,'02.08 Koboko-Yumbe-24h'!F15,'03.08 Koboko-Yumbe-24h'!F15,'06.08 Koboko-Yumbe'!F15)</f>
        <v>0</v>
      </c>
      <c r="G15" s="49">
        <f>AVERAGE('31.07 Koboko-Yumbe'!G15,'01.08 Koboko-Yumbe '!G15,'04.08 Koboko-Yumbe '!G15,'05.08 Koboko-Yumbe'!G15,'02.08 Koboko-Yumbe-24h'!G15,'03.08 Koboko-Yumbe-24h'!G15,'06.08 Koboko-Yumbe'!G15)</f>
        <v>0</v>
      </c>
      <c r="H15" s="49">
        <f>AVERAGE('31.07 Koboko-Yumbe'!H15,'01.08 Koboko-Yumbe '!H15,'04.08 Koboko-Yumbe '!H15,'05.08 Koboko-Yumbe'!H15,'02.08 Koboko-Yumbe-24h'!H15,'03.08 Koboko-Yumbe-24h'!H15,'06.08 Koboko-Yumbe'!H15)</f>
        <v>0</v>
      </c>
      <c r="I15" s="49">
        <f>AVERAGE('31.07 Koboko-Yumbe'!I15,'01.08 Koboko-Yumbe '!I15,'04.08 Koboko-Yumbe '!I15,'05.08 Koboko-Yumbe'!I15,'02.08 Koboko-Yumbe-24h'!I15,'03.08 Koboko-Yumbe-24h'!I15,'06.08 Koboko-Yumbe'!I15)</f>
        <v>0.2857142857142857</v>
      </c>
      <c r="J15" s="49">
        <f>AVERAGE('31.07 Koboko-Yumbe'!J15,'01.08 Koboko-Yumbe '!J15,'04.08 Koboko-Yumbe '!J15,'05.08 Koboko-Yumbe'!J15,'02.08 Koboko-Yumbe-24h'!J15,'03.08 Koboko-Yumbe-24h'!J15,'06.08 Koboko-Yumbe'!J15)</f>
        <v>0.14285714285714285</v>
      </c>
      <c r="K15" s="49">
        <f>AVERAGE('31.07 Koboko-Yumbe'!K15,'01.08 Koboko-Yumbe '!K15,'04.08 Koboko-Yumbe '!K15,'05.08 Koboko-Yumbe'!K15,'02.08 Koboko-Yumbe-24h'!K15,'03.08 Koboko-Yumbe-24h'!K15,'06.08 Koboko-Yumbe'!K15)</f>
        <v>0.14285714285714285</v>
      </c>
      <c r="L15" s="49">
        <f>AVERAGE('31.07 Koboko-Yumbe'!L15,'01.08 Koboko-Yumbe '!L15,'04.08 Koboko-Yumbe '!L15,'05.08 Koboko-Yumbe'!L15,'02.08 Koboko-Yumbe-24h'!L15,'03.08 Koboko-Yumbe-24h'!L15,'06.08 Koboko-Yumbe'!L15)</f>
        <v>0.14285714285714285</v>
      </c>
      <c r="M15" s="49">
        <f>AVERAGE('31.07 Koboko-Yumbe'!M15,'01.08 Koboko-Yumbe '!M15,'04.08 Koboko-Yumbe '!M15,'05.08 Koboko-Yumbe'!M15,'02.08 Koboko-Yumbe-24h'!M15,'03.08 Koboko-Yumbe-24h'!M15,'06.08 Koboko-Yumbe'!M15)</f>
        <v>11.142857142857142</v>
      </c>
      <c r="N15" s="49">
        <f>AVERAGE('31.07 Koboko-Yumbe'!N15,'01.08 Koboko-Yumbe '!N15,'04.08 Koboko-Yumbe '!N15,'05.08 Koboko-Yumbe'!N15,'02.08 Koboko-Yumbe-24h'!N15,'03.08 Koboko-Yumbe-24h'!N15,'06.08 Koboko-Yumbe'!N15)</f>
        <v>0</v>
      </c>
      <c r="O15" s="15">
        <f t="shared" si="0"/>
        <v>4.1428571428571432</v>
      </c>
      <c r="P15" s="15">
        <f t="shared" si="1"/>
        <v>15.285714285714285</v>
      </c>
      <c r="R15" s="1" t="s">
        <v>11</v>
      </c>
      <c r="S15" s="17">
        <f t="shared" ref="S15:AF15" si="7">SUM(C30:C33)</f>
        <v>7.4285714285714288</v>
      </c>
      <c r="T15" s="17">
        <f t="shared" si="7"/>
        <v>1.5714285714285712</v>
      </c>
      <c r="U15" s="17">
        <f t="shared" si="7"/>
        <v>4.2857142857142856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1.714285714285714</v>
      </c>
      <c r="Z15" s="17">
        <f t="shared" si="7"/>
        <v>0.14285714285714285</v>
      </c>
      <c r="AA15" s="17">
        <f t="shared" si="7"/>
        <v>0</v>
      </c>
      <c r="AB15" s="17">
        <f t="shared" si="7"/>
        <v>0.5714285714285714</v>
      </c>
      <c r="AC15" s="17">
        <f t="shared" si="7"/>
        <v>44</v>
      </c>
      <c r="AD15" s="17">
        <f t="shared" si="7"/>
        <v>0</v>
      </c>
      <c r="AE15" s="31">
        <f t="shared" si="7"/>
        <v>17.714285714285712</v>
      </c>
      <c r="AF15" s="31">
        <f t="shared" si="7"/>
        <v>61.714285714285708</v>
      </c>
    </row>
    <row r="16" spans="2:32" ht="23.1" customHeight="1" x14ac:dyDescent="0.25">
      <c r="B16" s="23" t="s">
        <v>43</v>
      </c>
      <c r="C16" s="49">
        <f>AVERAGE('31.07 Koboko-Yumbe'!C16,'01.08 Koboko-Yumbe '!C16,'04.08 Koboko-Yumbe '!C16,'05.08 Koboko-Yumbe'!C16,'02.08 Koboko-Yumbe-24h'!C16,'03.08 Koboko-Yumbe-24h'!C16,'06.08 Koboko-Yumbe'!C16)</f>
        <v>2</v>
      </c>
      <c r="D16" s="49">
        <f>AVERAGE('31.07 Koboko-Yumbe'!D16,'01.08 Koboko-Yumbe '!D16,'04.08 Koboko-Yumbe '!D16,'05.08 Koboko-Yumbe'!D16,'02.08 Koboko-Yumbe-24h'!D16,'03.08 Koboko-Yumbe-24h'!D16,'06.08 Koboko-Yumbe'!D16)</f>
        <v>0.7142857142857143</v>
      </c>
      <c r="E16" s="49">
        <f>AVERAGE('31.07 Koboko-Yumbe'!E16,'01.08 Koboko-Yumbe '!E16,'04.08 Koboko-Yumbe '!E16,'05.08 Koboko-Yumbe'!E16,'02.08 Koboko-Yumbe-24h'!E16,'03.08 Koboko-Yumbe-24h'!E16,'06.08 Koboko-Yumbe'!E16)</f>
        <v>1.8571428571428572</v>
      </c>
      <c r="F16" s="49">
        <f>AVERAGE('31.07 Koboko-Yumbe'!F16,'01.08 Koboko-Yumbe '!F16,'04.08 Koboko-Yumbe '!F16,'05.08 Koboko-Yumbe'!F16,'02.08 Koboko-Yumbe-24h'!F16,'03.08 Koboko-Yumbe-24h'!F16,'06.08 Koboko-Yumbe'!F16)</f>
        <v>0.14285714285714285</v>
      </c>
      <c r="G16" s="49">
        <f>AVERAGE('31.07 Koboko-Yumbe'!G16,'01.08 Koboko-Yumbe '!G16,'04.08 Koboko-Yumbe '!G16,'05.08 Koboko-Yumbe'!G16,'02.08 Koboko-Yumbe-24h'!G16,'03.08 Koboko-Yumbe-24h'!G16,'06.08 Koboko-Yumbe'!G16)</f>
        <v>0.2857142857142857</v>
      </c>
      <c r="H16" s="49">
        <f>AVERAGE('31.07 Koboko-Yumbe'!H16,'01.08 Koboko-Yumbe '!H16,'04.08 Koboko-Yumbe '!H16,'05.08 Koboko-Yumbe'!H16,'02.08 Koboko-Yumbe-24h'!H16,'03.08 Koboko-Yumbe-24h'!H16,'06.08 Koboko-Yumbe'!H16)</f>
        <v>0</v>
      </c>
      <c r="I16" s="49">
        <f>AVERAGE('31.07 Koboko-Yumbe'!I16,'01.08 Koboko-Yumbe '!I16,'04.08 Koboko-Yumbe '!I16,'05.08 Koboko-Yumbe'!I16,'02.08 Koboko-Yumbe-24h'!I16,'03.08 Koboko-Yumbe-24h'!I16,'06.08 Koboko-Yumbe'!I16)</f>
        <v>0.42857142857142855</v>
      </c>
      <c r="J16" s="49">
        <f>AVERAGE('31.07 Koboko-Yumbe'!J16,'01.08 Koboko-Yumbe '!J16,'04.08 Koboko-Yumbe '!J16,'05.08 Koboko-Yumbe'!J16,'02.08 Koboko-Yumbe-24h'!J16,'03.08 Koboko-Yumbe-24h'!J16,'06.08 Koboko-Yumbe'!J16)</f>
        <v>0.2857142857142857</v>
      </c>
      <c r="K16" s="49">
        <f>AVERAGE('31.07 Koboko-Yumbe'!K16,'01.08 Koboko-Yumbe '!K16,'04.08 Koboko-Yumbe '!K16,'05.08 Koboko-Yumbe'!K16,'02.08 Koboko-Yumbe-24h'!K16,'03.08 Koboko-Yumbe-24h'!K16,'06.08 Koboko-Yumbe'!K16)</f>
        <v>0</v>
      </c>
      <c r="L16" s="49">
        <f>AVERAGE('31.07 Koboko-Yumbe'!L16,'01.08 Koboko-Yumbe '!L16,'04.08 Koboko-Yumbe '!L16,'05.08 Koboko-Yumbe'!L16,'02.08 Koboko-Yumbe-24h'!L16,'03.08 Koboko-Yumbe-24h'!L16,'06.08 Koboko-Yumbe'!L16)</f>
        <v>0.14285714285714285</v>
      </c>
      <c r="M16" s="49">
        <f>AVERAGE('31.07 Koboko-Yumbe'!M16,'01.08 Koboko-Yumbe '!M16,'04.08 Koboko-Yumbe '!M16,'05.08 Koboko-Yumbe'!M16,'02.08 Koboko-Yumbe-24h'!M16,'03.08 Koboko-Yumbe-24h'!M16,'06.08 Koboko-Yumbe'!M16)</f>
        <v>9.2857142857142865</v>
      </c>
      <c r="N16" s="49">
        <f>AVERAGE('31.07 Koboko-Yumbe'!N16,'01.08 Koboko-Yumbe '!N16,'04.08 Koboko-Yumbe '!N16,'05.08 Koboko-Yumbe'!N16,'02.08 Koboko-Yumbe-24h'!N16,'03.08 Koboko-Yumbe-24h'!N16,'06.08 Koboko-Yumbe'!N16)</f>
        <v>0</v>
      </c>
      <c r="O16" s="15">
        <f t="shared" si="0"/>
        <v>5.8571428571428577</v>
      </c>
      <c r="P16" s="15">
        <f t="shared" si="1"/>
        <v>15.142857142857144</v>
      </c>
      <c r="R16" s="1" t="s">
        <v>12</v>
      </c>
      <c r="S16" s="17">
        <f t="shared" ref="S16:AF16" si="8">SUM(C34:C37)</f>
        <v>6.5714285714285712</v>
      </c>
      <c r="T16" s="17">
        <f t="shared" si="8"/>
        <v>1.2857142857142856</v>
      </c>
      <c r="U16" s="17">
        <f t="shared" si="8"/>
        <v>3.1428571428571428</v>
      </c>
      <c r="V16" s="17">
        <f t="shared" si="8"/>
        <v>0.5714285714285714</v>
      </c>
      <c r="W16" s="17">
        <f t="shared" si="8"/>
        <v>0.14285714285714285</v>
      </c>
      <c r="X16" s="17">
        <f t="shared" si="8"/>
        <v>0</v>
      </c>
      <c r="Y16" s="17">
        <f t="shared" si="8"/>
        <v>1.5714285714285712</v>
      </c>
      <c r="Z16" s="17">
        <f t="shared" si="8"/>
        <v>0.2857142857142857</v>
      </c>
      <c r="AA16" s="17">
        <f t="shared" si="8"/>
        <v>0</v>
      </c>
      <c r="AB16" s="17">
        <f t="shared" si="8"/>
        <v>0</v>
      </c>
      <c r="AC16" s="17">
        <f t="shared" si="8"/>
        <v>31.285714285714285</v>
      </c>
      <c r="AD16" s="17">
        <f t="shared" si="8"/>
        <v>0.14285714285714285</v>
      </c>
      <c r="AE16" s="31">
        <f t="shared" si="8"/>
        <v>13.714285714285714</v>
      </c>
      <c r="AF16" s="31">
        <f t="shared" si="8"/>
        <v>45</v>
      </c>
    </row>
    <row r="17" spans="2:32" ht="23.1" customHeight="1" x14ac:dyDescent="0.25">
      <c r="B17" s="23" t="s">
        <v>44</v>
      </c>
      <c r="C17" s="49">
        <f>AVERAGE('31.07 Koboko-Yumbe'!C17,'01.08 Koboko-Yumbe '!C17,'04.08 Koboko-Yumbe '!C17,'05.08 Koboko-Yumbe'!C17,'02.08 Koboko-Yumbe-24h'!C17,'03.08 Koboko-Yumbe-24h'!C17,'06.08 Koboko-Yumbe'!C17)</f>
        <v>2.7142857142857144</v>
      </c>
      <c r="D17" s="49">
        <f>AVERAGE('31.07 Koboko-Yumbe'!D17,'01.08 Koboko-Yumbe '!D17,'04.08 Koboko-Yumbe '!D17,'05.08 Koboko-Yumbe'!D17,'02.08 Koboko-Yumbe-24h'!D17,'03.08 Koboko-Yumbe-24h'!D17,'06.08 Koboko-Yumbe'!D17)</f>
        <v>1.2857142857142858</v>
      </c>
      <c r="E17" s="49">
        <f>AVERAGE('31.07 Koboko-Yumbe'!E17,'01.08 Koboko-Yumbe '!E17,'04.08 Koboko-Yumbe '!E17,'05.08 Koboko-Yumbe'!E17,'02.08 Koboko-Yumbe-24h'!E17,'03.08 Koboko-Yumbe-24h'!E17,'06.08 Koboko-Yumbe'!E17)</f>
        <v>2.1428571428571428</v>
      </c>
      <c r="F17" s="49">
        <f>AVERAGE('31.07 Koboko-Yumbe'!F17,'01.08 Koboko-Yumbe '!F17,'04.08 Koboko-Yumbe '!F17,'05.08 Koboko-Yumbe'!F17,'02.08 Koboko-Yumbe-24h'!F17,'03.08 Koboko-Yumbe-24h'!F17,'06.08 Koboko-Yumbe'!F17)</f>
        <v>0.2857142857142857</v>
      </c>
      <c r="G17" s="49">
        <f>AVERAGE('31.07 Koboko-Yumbe'!G17,'01.08 Koboko-Yumbe '!G17,'04.08 Koboko-Yumbe '!G17,'05.08 Koboko-Yumbe'!G17,'02.08 Koboko-Yumbe-24h'!G17,'03.08 Koboko-Yumbe-24h'!G17,'06.08 Koboko-Yumbe'!G17)</f>
        <v>0.42857142857142855</v>
      </c>
      <c r="H17" s="49">
        <f>AVERAGE('31.07 Koboko-Yumbe'!H17,'01.08 Koboko-Yumbe '!H17,'04.08 Koboko-Yumbe '!H17,'05.08 Koboko-Yumbe'!H17,'02.08 Koboko-Yumbe-24h'!H17,'03.08 Koboko-Yumbe-24h'!H17,'06.08 Koboko-Yumbe'!H17)</f>
        <v>0</v>
      </c>
      <c r="I17" s="49">
        <f>AVERAGE('31.07 Koboko-Yumbe'!I17,'01.08 Koboko-Yumbe '!I17,'04.08 Koboko-Yumbe '!I17,'05.08 Koboko-Yumbe'!I17,'02.08 Koboko-Yumbe-24h'!I17,'03.08 Koboko-Yumbe-24h'!I17,'06.08 Koboko-Yumbe'!I17)</f>
        <v>0.8571428571428571</v>
      </c>
      <c r="J17" s="49">
        <f>AVERAGE('31.07 Koboko-Yumbe'!J17,'01.08 Koboko-Yumbe '!J17,'04.08 Koboko-Yumbe '!J17,'05.08 Koboko-Yumbe'!J17,'02.08 Koboko-Yumbe-24h'!J17,'03.08 Koboko-Yumbe-24h'!J17,'06.08 Koboko-Yumbe'!J17)</f>
        <v>1.2857142857142858</v>
      </c>
      <c r="K17" s="49">
        <f>AVERAGE('31.07 Koboko-Yumbe'!K17,'01.08 Koboko-Yumbe '!K17,'04.08 Koboko-Yumbe '!K17,'05.08 Koboko-Yumbe'!K17,'02.08 Koboko-Yumbe-24h'!K17,'03.08 Koboko-Yumbe-24h'!K17,'06.08 Koboko-Yumbe'!K17)</f>
        <v>0</v>
      </c>
      <c r="L17" s="49">
        <f>AVERAGE('31.07 Koboko-Yumbe'!L17,'01.08 Koboko-Yumbe '!L17,'04.08 Koboko-Yumbe '!L17,'05.08 Koboko-Yumbe'!L17,'02.08 Koboko-Yumbe-24h'!L17,'03.08 Koboko-Yumbe-24h'!L17,'06.08 Koboko-Yumbe'!L17)</f>
        <v>0.2857142857142857</v>
      </c>
      <c r="M17" s="49">
        <f>AVERAGE('31.07 Koboko-Yumbe'!M17,'01.08 Koboko-Yumbe '!M17,'04.08 Koboko-Yumbe '!M17,'05.08 Koboko-Yumbe'!M17,'02.08 Koboko-Yumbe-24h'!M17,'03.08 Koboko-Yumbe-24h'!M17,'06.08 Koboko-Yumbe'!M17)</f>
        <v>10.571428571428571</v>
      </c>
      <c r="N17" s="49">
        <f>AVERAGE('31.07 Koboko-Yumbe'!N17,'01.08 Koboko-Yumbe '!N17,'04.08 Koboko-Yumbe '!N17,'05.08 Koboko-Yumbe'!N17,'02.08 Koboko-Yumbe-24h'!N17,'03.08 Koboko-Yumbe-24h'!N17,'06.08 Koboko-Yumbe'!N17)</f>
        <v>0</v>
      </c>
      <c r="O17" s="15">
        <f t="shared" si="0"/>
        <v>9.2857142857142865</v>
      </c>
      <c r="P17" s="15">
        <f t="shared" si="1"/>
        <v>19.857142857142858</v>
      </c>
      <c r="R17" s="1" t="s">
        <v>13</v>
      </c>
      <c r="S17" s="17">
        <f t="shared" ref="S17:AF17" si="9">SUM(C38:C41)</f>
        <v>8.4285714285714288</v>
      </c>
      <c r="T17" s="17">
        <f t="shared" si="9"/>
        <v>0.2857142857142857</v>
      </c>
      <c r="U17" s="17">
        <f t="shared" si="9"/>
        <v>3.8571428571428572</v>
      </c>
      <c r="V17" s="17">
        <f t="shared" si="9"/>
        <v>0.42857142857142855</v>
      </c>
      <c r="W17" s="17">
        <f t="shared" si="9"/>
        <v>0</v>
      </c>
      <c r="X17" s="17">
        <f t="shared" si="9"/>
        <v>0.14285714285714285</v>
      </c>
      <c r="Y17" s="17">
        <f t="shared" si="9"/>
        <v>0.8571428571428571</v>
      </c>
      <c r="Z17" s="17">
        <f t="shared" si="9"/>
        <v>0.5714285714285714</v>
      </c>
      <c r="AA17" s="17">
        <f t="shared" si="9"/>
        <v>0.14285714285714285</v>
      </c>
      <c r="AB17" s="17">
        <f t="shared" si="9"/>
        <v>0.2857142857142857</v>
      </c>
      <c r="AC17" s="17">
        <f t="shared" si="9"/>
        <v>29.285714285714285</v>
      </c>
      <c r="AD17" s="17">
        <f t="shared" si="9"/>
        <v>0</v>
      </c>
      <c r="AE17" s="31">
        <f t="shared" si="9"/>
        <v>14.999999999999998</v>
      </c>
      <c r="AF17" s="31">
        <f t="shared" si="9"/>
        <v>44.285714285714278</v>
      </c>
    </row>
    <row r="18" spans="2:32" ht="23.1" customHeight="1" x14ac:dyDescent="0.25">
      <c r="B18" s="23" t="s">
        <v>45</v>
      </c>
      <c r="C18" s="49">
        <f>AVERAGE('31.07 Koboko-Yumbe'!C18,'01.08 Koboko-Yumbe '!C18,'04.08 Koboko-Yumbe '!C18,'05.08 Koboko-Yumbe'!C18,'02.08 Koboko-Yumbe-24h'!C18,'03.08 Koboko-Yumbe-24h'!C18,'06.08 Koboko-Yumbe'!C18)</f>
        <v>2.4285714285714284</v>
      </c>
      <c r="D18" s="49">
        <f>AVERAGE('31.07 Koboko-Yumbe'!D18,'01.08 Koboko-Yumbe '!D18,'04.08 Koboko-Yumbe '!D18,'05.08 Koboko-Yumbe'!D18,'02.08 Koboko-Yumbe-24h'!D18,'03.08 Koboko-Yumbe-24h'!D18,'06.08 Koboko-Yumbe'!D18)</f>
        <v>0.5714285714285714</v>
      </c>
      <c r="E18" s="49">
        <f>AVERAGE('31.07 Koboko-Yumbe'!E18,'01.08 Koboko-Yumbe '!E18,'04.08 Koboko-Yumbe '!E18,'05.08 Koboko-Yumbe'!E18,'02.08 Koboko-Yumbe-24h'!E18,'03.08 Koboko-Yumbe-24h'!E18,'06.08 Koboko-Yumbe'!E18)</f>
        <v>1.2857142857142858</v>
      </c>
      <c r="F18" s="49">
        <f>AVERAGE('31.07 Koboko-Yumbe'!F18,'01.08 Koboko-Yumbe '!F18,'04.08 Koboko-Yumbe '!F18,'05.08 Koboko-Yumbe'!F18,'02.08 Koboko-Yumbe-24h'!F18,'03.08 Koboko-Yumbe-24h'!F18,'06.08 Koboko-Yumbe'!F18)</f>
        <v>0.14285714285714285</v>
      </c>
      <c r="G18" s="49">
        <f>AVERAGE('31.07 Koboko-Yumbe'!G18,'01.08 Koboko-Yumbe '!G18,'04.08 Koboko-Yumbe '!G18,'05.08 Koboko-Yumbe'!G18,'02.08 Koboko-Yumbe-24h'!G18,'03.08 Koboko-Yumbe-24h'!G18,'06.08 Koboko-Yumbe'!G18)</f>
        <v>0</v>
      </c>
      <c r="H18" s="49">
        <f>AVERAGE('31.07 Koboko-Yumbe'!H18,'01.08 Koboko-Yumbe '!H18,'04.08 Koboko-Yumbe '!H18,'05.08 Koboko-Yumbe'!H18,'02.08 Koboko-Yumbe-24h'!H18,'03.08 Koboko-Yumbe-24h'!H18,'06.08 Koboko-Yumbe'!H18)</f>
        <v>0.8571428571428571</v>
      </c>
      <c r="I18" s="49">
        <f>AVERAGE('31.07 Koboko-Yumbe'!I18,'01.08 Koboko-Yumbe '!I18,'04.08 Koboko-Yumbe '!I18,'05.08 Koboko-Yumbe'!I18,'02.08 Koboko-Yumbe-24h'!I18,'03.08 Koboko-Yumbe-24h'!I18,'06.08 Koboko-Yumbe'!I18)</f>
        <v>0.7142857142857143</v>
      </c>
      <c r="J18" s="49">
        <f>AVERAGE('31.07 Koboko-Yumbe'!J18,'01.08 Koboko-Yumbe '!J18,'04.08 Koboko-Yumbe '!J18,'05.08 Koboko-Yumbe'!J18,'02.08 Koboko-Yumbe-24h'!J18,'03.08 Koboko-Yumbe-24h'!J18,'06.08 Koboko-Yumbe'!J18)</f>
        <v>0.2857142857142857</v>
      </c>
      <c r="K18" s="49">
        <f>AVERAGE('31.07 Koboko-Yumbe'!K18,'01.08 Koboko-Yumbe '!K18,'04.08 Koboko-Yumbe '!K18,'05.08 Koboko-Yumbe'!K18,'02.08 Koboko-Yumbe-24h'!K18,'03.08 Koboko-Yumbe-24h'!K18,'06.08 Koboko-Yumbe'!K18)</f>
        <v>0</v>
      </c>
      <c r="L18" s="49">
        <f>AVERAGE('31.07 Koboko-Yumbe'!L18,'01.08 Koboko-Yumbe '!L18,'04.08 Koboko-Yumbe '!L18,'05.08 Koboko-Yumbe'!L18,'02.08 Koboko-Yumbe-24h'!L18,'03.08 Koboko-Yumbe-24h'!L18,'06.08 Koboko-Yumbe'!L18)</f>
        <v>0.2857142857142857</v>
      </c>
      <c r="M18" s="49">
        <f>AVERAGE('31.07 Koboko-Yumbe'!M18,'01.08 Koboko-Yumbe '!M18,'04.08 Koboko-Yumbe '!M18,'05.08 Koboko-Yumbe'!M18,'02.08 Koboko-Yumbe-24h'!M18,'03.08 Koboko-Yumbe-24h'!M18,'06.08 Koboko-Yumbe'!M18)</f>
        <v>10</v>
      </c>
      <c r="N18" s="49">
        <f>AVERAGE('31.07 Koboko-Yumbe'!N18,'01.08 Koboko-Yumbe '!N18,'04.08 Koboko-Yumbe '!N18,'05.08 Koboko-Yumbe'!N18,'02.08 Koboko-Yumbe-24h'!N18,'03.08 Koboko-Yumbe-24h'!N18,'06.08 Koboko-Yumbe'!N18)</f>
        <v>0</v>
      </c>
      <c r="O18" s="15">
        <f t="shared" si="0"/>
        <v>6.5714285714285712</v>
      </c>
      <c r="P18" s="15">
        <f t="shared" si="1"/>
        <v>16.571428571428569</v>
      </c>
      <c r="R18" s="1" t="s">
        <v>14</v>
      </c>
      <c r="S18" s="17">
        <f t="shared" ref="S18:AF18" si="10">SUM(C42:C45)</f>
        <v>8</v>
      </c>
      <c r="T18" s="17">
        <f t="shared" si="10"/>
        <v>0.99999999999999989</v>
      </c>
      <c r="U18" s="17">
        <f t="shared" si="10"/>
        <v>4</v>
      </c>
      <c r="V18" s="17">
        <f t="shared" si="10"/>
        <v>1.4285714285714284</v>
      </c>
      <c r="W18" s="17">
        <f t="shared" si="10"/>
        <v>0.2857142857142857</v>
      </c>
      <c r="X18" s="17">
        <f t="shared" si="10"/>
        <v>0</v>
      </c>
      <c r="Y18" s="17">
        <f t="shared" si="10"/>
        <v>1</v>
      </c>
      <c r="Z18" s="17">
        <f t="shared" si="10"/>
        <v>0.14285714285714285</v>
      </c>
      <c r="AA18" s="17">
        <f t="shared" si="10"/>
        <v>0.14285714285714285</v>
      </c>
      <c r="AB18" s="17">
        <f t="shared" si="10"/>
        <v>0.42857142857142855</v>
      </c>
      <c r="AC18" s="17">
        <f t="shared" si="10"/>
        <v>37</v>
      </c>
      <c r="AD18" s="17">
        <f t="shared" si="10"/>
        <v>0</v>
      </c>
      <c r="AE18" s="31">
        <f t="shared" si="10"/>
        <v>16.428571428571431</v>
      </c>
      <c r="AF18" s="31">
        <f t="shared" si="10"/>
        <v>53.428571428571431</v>
      </c>
    </row>
    <row r="19" spans="2:32" ht="23.1" customHeight="1" x14ac:dyDescent="0.25">
      <c r="B19" s="23" t="s">
        <v>46</v>
      </c>
      <c r="C19" s="49">
        <f>AVERAGE('31.07 Koboko-Yumbe'!C19,'01.08 Koboko-Yumbe '!C19,'04.08 Koboko-Yumbe '!C19,'05.08 Koboko-Yumbe'!C19,'02.08 Koboko-Yumbe-24h'!C19,'03.08 Koboko-Yumbe-24h'!C19,'06.08 Koboko-Yumbe'!C19)</f>
        <v>2.4285714285714284</v>
      </c>
      <c r="D19" s="49">
        <f>AVERAGE('31.07 Koboko-Yumbe'!D19,'01.08 Koboko-Yumbe '!D19,'04.08 Koboko-Yumbe '!D19,'05.08 Koboko-Yumbe'!D19,'02.08 Koboko-Yumbe-24h'!D19,'03.08 Koboko-Yumbe-24h'!D19,'06.08 Koboko-Yumbe'!D19)</f>
        <v>0.8571428571428571</v>
      </c>
      <c r="E19" s="49">
        <f>AVERAGE('31.07 Koboko-Yumbe'!E19,'01.08 Koboko-Yumbe '!E19,'04.08 Koboko-Yumbe '!E19,'05.08 Koboko-Yumbe'!E19,'02.08 Koboko-Yumbe-24h'!E19,'03.08 Koboko-Yumbe-24h'!E19,'06.08 Koboko-Yumbe'!E19)</f>
        <v>1.8571428571428572</v>
      </c>
      <c r="F19" s="49">
        <f>AVERAGE('31.07 Koboko-Yumbe'!F19,'01.08 Koboko-Yumbe '!F19,'04.08 Koboko-Yumbe '!F19,'05.08 Koboko-Yumbe'!F19,'02.08 Koboko-Yumbe-24h'!F19,'03.08 Koboko-Yumbe-24h'!F19,'06.08 Koboko-Yumbe'!F19)</f>
        <v>0.42857142857142855</v>
      </c>
      <c r="G19" s="49">
        <f>AVERAGE('31.07 Koboko-Yumbe'!G19,'01.08 Koboko-Yumbe '!G19,'04.08 Koboko-Yumbe '!G19,'05.08 Koboko-Yumbe'!G19,'02.08 Koboko-Yumbe-24h'!G19,'03.08 Koboko-Yumbe-24h'!G19,'06.08 Koboko-Yumbe'!G19)</f>
        <v>0.14285714285714285</v>
      </c>
      <c r="H19" s="49">
        <f>AVERAGE('31.07 Koboko-Yumbe'!H19,'01.08 Koboko-Yumbe '!H19,'04.08 Koboko-Yumbe '!H19,'05.08 Koboko-Yumbe'!H19,'02.08 Koboko-Yumbe-24h'!H19,'03.08 Koboko-Yumbe-24h'!H19,'06.08 Koboko-Yumbe'!H19)</f>
        <v>0.14285714285714285</v>
      </c>
      <c r="I19" s="49">
        <f>AVERAGE('31.07 Koboko-Yumbe'!I19,'01.08 Koboko-Yumbe '!I19,'04.08 Koboko-Yumbe '!I19,'05.08 Koboko-Yumbe'!I19,'02.08 Koboko-Yumbe-24h'!I19,'03.08 Koboko-Yumbe-24h'!I19,'06.08 Koboko-Yumbe'!I19)</f>
        <v>0.5714285714285714</v>
      </c>
      <c r="J19" s="49">
        <f>AVERAGE('31.07 Koboko-Yumbe'!J19,'01.08 Koboko-Yumbe '!J19,'04.08 Koboko-Yumbe '!J19,'05.08 Koboko-Yumbe'!J19,'02.08 Koboko-Yumbe-24h'!J19,'03.08 Koboko-Yumbe-24h'!J19,'06.08 Koboko-Yumbe'!J19)</f>
        <v>0.14285714285714285</v>
      </c>
      <c r="K19" s="49">
        <f>AVERAGE('31.07 Koboko-Yumbe'!K19,'01.08 Koboko-Yumbe '!K19,'04.08 Koboko-Yumbe '!K19,'05.08 Koboko-Yumbe'!K19,'02.08 Koboko-Yumbe-24h'!K19,'03.08 Koboko-Yumbe-24h'!K19,'06.08 Koboko-Yumbe'!K19)</f>
        <v>0</v>
      </c>
      <c r="L19" s="49">
        <f>AVERAGE('31.07 Koboko-Yumbe'!L19,'01.08 Koboko-Yumbe '!L19,'04.08 Koboko-Yumbe '!L19,'05.08 Koboko-Yumbe'!L19,'02.08 Koboko-Yumbe-24h'!L19,'03.08 Koboko-Yumbe-24h'!L19,'06.08 Koboko-Yumbe'!L19)</f>
        <v>0.14285714285714285</v>
      </c>
      <c r="M19" s="49">
        <f>AVERAGE('31.07 Koboko-Yumbe'!M19,'01.08 Koboko-Yumbe '!M19,'04.08 Koboko-Yumbe '!M19,'05.08 Koboko-Yumbe'!M19,'02.08 Koboko-Yumbe-24h'!M19,'03.08 Koboko-Yumbe-24h'!M19,'06.08 Koboko-Yumbe'!M19)</f>
        <v>8</v>
      </c>
      <c r="N19" s="49">
        <f>AVERAGE('31.07 Koboko-Yumbe'!N19,'01.08 Koboko-Yumbe '!N19,'04.08 Koboko-Yumbe '!N19,'05.08 Koboko-Yumbe'!N19,'02.08 Koboko-Yumbe-24h'!N19,'03.08 Koboko-Yumbe-24h'!N19,'06.08 Koboko-Yumbe'!N19)</f>
        <v>0</v>
      </c>
      <c r="O19" s="15">
        <f t="shared" si="0"/>
        <v>6.7142857142857153</v>
      </c>
      <c r="P19" s="15">
        <f t="shared" si="1"/>
        <v>14.714285714285715</v>
      </c>
      <c r="R19" s="1" t="s">
        <v>15</v>
      </c>
      <c r="S19" s="17">
        <f t="shared" ref="S19:AF19" si="11">SUM(C46:C49)</f>
        <v>6.8571428571428568</v>
      </c>
      <c r="T19" s="17">
        <f t="shared" si="11"/>
        <v>1.2857142857142856</v>
      </c>
      <c r="U19" s="17">
        <f t="shared" si="11"/>
        <v>4.5714285714285712</v>
      </c>
      <c r="V19" s="17">
        <f t="shared" si="11"/>
        <v>0.99999999999999989</v>
      </c>
      <c r="W19" s="17">
        <f t="shared" si="11"/>
        <v>0</v>
      </c>
      <c r="X19" s="17">
        <f t="shared" si="11"/>
        <v>0.5714285714285714</v>
      </c>
      <c r="Y19" s="17">
        <f t="shared" si="11"/>
        <v>0.71428571428571419</v>
      </c>
      <c r="Z19" s="17">
        <f t="shared" si="11"/>
        <v>0.42857142857142855</v>
      </c>
      <c r="AA19" s="17">
        <f t="shared" si="11"/>
        <v>0.2857142857142857</v>
      </c>
      <c r="AB19" s="17">
        <f t="shared" si="11"/>
        <v>0.2857142857142857</v>
      </c>
      <c r="AC19" s="17">
        <f t="shared" si="11"/>
        <v>35.714285714285715</v>
      </c>
      <c r="AD19" s="17">
        <f t="shared" si="11"/>
        <v>0</v>
      </c>
      <c r="AE19" s="31">
        <f t="shared" si="11"/>
        <v>16</v>
      </c>
      <c r="AF19" s="31">
        <f t="shared" si="11"/>
        <v>51.714285714285708</v>
      </c>
    </row>
    <row r="20" spans="2:32" ht="23.1" customHeight="1" x14ac:dyDescent="0.25">
      <c r="B20" s="23" t="s">
        <v>47</v>
      </c>
      <c r="C20" s="49">
        <f>AVERAGE('31.07 Koboko-Yumbe'!C20,'01.08 Koboko-Yumbe '!C20,'04.08 Koboko-Yumbe '!C20,'05.08 Koboko-Yumbe'!C20,'02.08 Koboko-Yumbe-24h'!C20,'03.08 Koboko-Yumbe-24h'!C20,'06.08 Koboko-Yumbe'!C20)</f>
        <v>2.8571428571428572</v>
      </c>
      <c r="D20" s="49">
        <f>AVERAGE('31.07 Koboko-Yumbe'!D20,'01.08 Koboko-Yumbe '!D20,'04.08 Koboko-Yumbe '!D20,'05.08 Koboko-Yumbe'!D20,'02.08 Koboko-Yumbe-24h'!D20,'03.08 Koboko-Yumbe-24h'!D20,'06.08 Koboko-Yumbe'!D20)</f>
        <v>0.42857142857142855</v>
      </c>
      <c r="E20" s="49">
        <f>AVERAGE('31.07 Koboko-Yumbe'!E20,'01.08 Koboko-Yumbe '!E20,'04.08 Koboko-Yumbe '!E20,'05.08 Koboko-Yumbe'!E20,'02.08 Koboko-Yumbe-24h'!E20,'03.08 Koboko-Yumbe-24h'!E20,'06.08 Koboko-Yumbe'!E20)</f>
        <v>1.5714285714285714</v>
      </c>
      <c r="F20" s="49">
        <f>AVERAGE('31.07 Koboko-Yumbe'!F20,'01.08 Koboko-Yumbe '!F20,'04.08 Koboko-Yumbe '!F20,'05.08 Koboko-Yumbe'!F20,'02.08 Koboko-Yumbe-24h'!F20,'03.08 Koboko-Yumbe-24h'!F20,'06.08 Koboko-Yumbe'!F20)</f>
        <v>0.42857142857142855</v>
      </c>
      <c r="G20" s="49">
        <f>AVERAGE('31.07 Koboko-Yumbe'!G20,'01.08 Koboko-Yumbe '!G20,'04.08 Koboko-Yumbe '!G20,'05.08 Koboko-Yumbe'!G20,'02.08 Koboko-Yumbe-24h'!G20,'03.08 Koboko-Yumbe-24h'!G20,'06.08 Koboko-Yumbe'!G20)</f>
        <v>0</v>
      </c>
      <c r="H20" s="49">
        <f>AVERAGE('31.07 Koboko-Yumbe'!H20,'01.08 Koboko-Yumbe '!H20,'04.08 Koboko-Yumbe '!H20,'05.08 Koboko-Yumbe'!H20,'02.08 Koboko-Yumbe-24h'!H20,'03.08 Koboko-Yumbe-24h'!H20,'06.08 Koboko-Yumbe'!H20)</f>
        <v>0</v>
      </c>
      <c r="I20" s="49">
        <f>AVERAGE('31.07 Koboko-Yumbe'!I20,'01.08 Koboko-Yumbe '!I20,'04.08 Koboko-Yumbe '!I20,'05.08 Koboko-Yumbe'!I20,'02.08 Koboko-Yumbe-24h'!I20,'03.08 Koboko-Yumbe-24h'!I20,'06.08 Koboko-Yumbe'!I20)</f>
        <v>0.2857142857142857</v>
      </c>
      <c r="J20" s="49">
        <f>AVERAGE('31.07 Koboko-Yumbe'!J20,'01.08 Koboko-Yumbe '!J20,'04.08 Koboko-Yumbe '!J20,'05.08 Koboko-Yumbe'!J20,'02.08 Koboko-Yumbe-24h'!J20,'03.08 Koboko-Yumbe-24h'!J20,'06.08 Koboko-Yumbe'!J20)</f>
        <v>0</v>
      </c>
      <c r="K20" s="49">
        <f>AVERAGE('31.07 Koboko-Yumbe'!K20,'01.08 Koboko-Yumbe '!K20,'04.08 Koboko-Yumbe '!K20,'05.08 Koboko-Yumbe'!K20,'02.08 Koboko-Yumbe-24h'!K20,'03.08 Koboko-Yumbe-24h'!K20,'06.08 Koboko-Yumbe'!K20)</f>
        <v>0.14285714285714285</v>
      </c>
      <c r="L20" s="49">
        <f>AVERAGE('31.07 Koboko-Yumbe'!L20,'01.08 Koboko-Yumbe '!L20,'04.08 Koboko-Yumbe '!L20,'05.08 Koboko-Yumbe'!L20,'02.08 Koboko-Yumbe-24h'!L20,'03.08 Koboko-Yumbe-24h'!L20,'06.08 Koboko-Yumbe'!L20)</f>
        <v>0.14285714285714285</v>
      </c>
      <c r="M20" s="49">
        <f>AVERAGE('31.07 Koboko-Yumbe'!M20,'01.08 Koboko-Yumbe '!M20,'04.08 Koboko-Yumbe '!M20,'05.08 Koboko-Yumbe'!M20,'02.08 Koboko-Yumbe-24h'!M20,'03.08 Koboko-Yumbe-24h'!M20,'06.08 Koboko-Yumbe'!M20)</f>
        <v>9.8571428571428577</v>
      </c>
      <c r="N20" s="49">
        <f>AVERAGE('31.07 Koboko-Yumbe'!N20,'01.08 Koboko-Yumbe '!N20,'04.08 Koboko-Yumbe '!N20,'05.08 Koboko-Yumbe'!N20,'02.08 Koboko-Yumbe-24h'!N20,'03.08 Koboko-Yumbe-24h'!N20,'06.08 Koboko-Yumbe'!N20)</f>
        <v>0</v>
      </c>
      <c r="O20" s="15">
        <f t="shared" si="0"/>
        <v>5.8571428571428577</v>
      </c>
      <c r="P20" s="15">
        <f t="shared" si="1"/>
        <v>15.714285714285715</v>
      </c>
      <c r="R20" s="1" t="s">
        <v>16</v>
      </c>
      <c r="S20" s="17">
        <f t="shared" ref="S20:AF20" si="12">SUM(C50:C53)</f>
        <v>8.7142857142857135</v>
      </c>
      <c r="T20" s="17">
        <f t="shared" si="12"/>
        <v>1.4285714285714284</v>
      </c>
      <c r="U20" s="17">
        <f t="shared" si="12"/>
        <v>4.7142857142857135</v>
      </c>
      <c r="V20" s="17">
        <f t="shared" si="12"/>
        <v>0.5714285714285714</v>
      </c>
      <c r="W20" s="17">
        <f t="shared" si="12"/>
        <v>0.14285714285714285</v>
      </c>
      <c r="X20" s="17">
        <f t="shared" si="12"/>
        <v>0.42857142857142855</v>
      </c>
      <c r="Y20" s="17">
        <f t="shared" si="12"/>
        <v>0.71428571428571419</v>
      </c>
      <c r="Z20" s="17">
        <f t="shared" si="12"/>
        <v>0.42857142857142855</v>
      </c>
      <c r="AA20" s="17">
        <f t="shared" si="12"/>
        <v>0</v>
      </c>
      <c r="AB20" s="17">
        <f t="shared" si="12"/>
        <v>0.14285714285714285</v>
      </c>
      <c r="AC20" s="17">
        <f t="shared" si="12"/>
        <v>40.285714285714292</v>
      </c>
      <c r="AD20" s="17">
        <f t="shared" si="12"/>
        <v>0</v>
      </c>
      <c r="AE20" s="31">
        <f t="shared" si="12"/>
        <v>17.285714285714285</v>
      </c>
      <c r="AF20" s="31">
        <f t="shared" si="12"/>
        <v>57.571428571428569</v>
      </c>
    </row>
    <row r="21" spans="2:32" ht="23.1" customHeight="1" x14ac:dyDescent="0.25">
      <c r="B21" s="23" t="s">
        <v>48</v>
      </c>
      <c r="C21" s="49">
        <f>AVERAGE('31.07 Koboko-Yumbe'!C21,'01.08 Koboko-Yumbe '!C21,'04.08 Koboko-Yumbe '!C21,'05.08 Koboko-Yumbe'!C21,'02.08 Koboko-Yumbe-24h'!C21,'03.08 Koboko-Yumbe-24h'!C21,'06.08 Koboko-Yumbe'!C21)</f>
        <v>1.7142857142857142</v>
      </c>
      <c r="D21" s="49">
        <f>AVERAGE('31.07 Koboko-Yumbe'!D21,'01.08 Koboko-Yumbe '!D21,'04.08 Koboko-Yumbe '!D21,'05.08 Koboko-Yumbe'!D21,'02.08 Koboko-Yumbe-24h'!D21,'03.08 Koboko-Yumbe-24h'!D21,'06.08 Koboko-Yumbe'!D21)</f>
        <v>0.42857142857142855</v>
      </c>
      <c r="E21" s="49">
        <f>AVERAGE('31.07 Koboko-Yumbe'!E21,'01.08 Koboko-Yumbe '!E21,'04.08 Koboko-Yumbe '!E21,'05.08 Koboko-Yumbe'!E21,'02.08 Koboko-Yumbe-24h'!E21,'03.08 Koboko-Yumbe-24h'!E21,'06.08 Koboko-Yumbe'!E21)</f>
        <v>1.2857142857142858</v>
      </c>
      <c r="F21" s="49">
        <f>AVERAGE('31.07 Koboko-Yumbe'!F21,'01.08 Koboko-Yumbe '!F21,'04.08 Koboko-Yumbe '!F21,'05.08 Koboko-Yumbe'!F21,'02.08 Koboko-Yumbe-24h'!F21,'03.08 Koboko-Yumbe-24h'!F21,'06.08 Koboko-Yumbe'!F21)</f>
        <v>0.2857142857142857</v>
      </c>
      <c r="G21" s="49">
        <f>AVERAGE('31.07 Koboko-Yumbe'!G21,'01.08 Koboko-Yumbe '!G21,'04.08 Koboko-Yumbe '!G21,'05.08 Koboko-Yumbe'!G21,'02.08 Koboko-Yumbe-24h'!G21,'03.08 Koboko-Yumbe-24h'!G21,'06.08 Koboko-Yumbe'!G21)</f>
        <v>0.14285714285714285</v>
      </c>
      <c r="H21" s="49">
        <f>AVERAGE('31.07 Koboko-Yumbe'!H21,'01.08 Koboko-Yumbe '!H21,'04.08 Koboko-Yumbe '!H21,'05.08 Koboko-Yumbe'!H21,'02.08 Koboko-Yumbe-24h'!H21,'03.08 Koboko-Yumbe-24h'!H21,'06.08 Koboko-Yumbe'!H21)</f>
        <v>0</v>
      </c>
      <c r="I21" s="49">
        <f>AVERAGE('31.07 Koboko-Yumbe'!I21,'01.08 Koboko-Yumbe '!I21,'04.08 Koboko-Yumbe '!I21,'05.08 Koboko-Yumbe'!I21,'02.08 Koboko-Yumbe-24h'!I21,'03.08 Koboko-Yumbe-24h'!I21,'06.08 Koboko-Yumbe'!I21)</f>
        <v>1</v>
      </c>
      <c r="J21" s="49">
        <f>AVERAGE('31.07 Koboko-Yumbe'!J21,'01.08 Koboko-Yumbe '!J21,'04.08 Koboko-Yumbe '!J21,'05.08 Koboko-Yumbe'!J21,'02.08 Koboko-Yumbe-24h'!J21,'03.08 Koboko-Yumbe-24h'!J21,'06.08 Koboko-Yumbe'!J21)</f>
        <v>0.14285714285714285</v>
      </c>
      <c r="K21" s="49">
        <f>AVERAGE('31.07 Koboko-Yumbe'!K21,'01.08 Koboko-Yumbe '!K21,'04.08 Koboko-Yumbe '!K21,'05.08 Koboko-Yumbe'!K21,'02.08 Koboko-Yumbe-24h'!K21,'03.08 Koboko-Yumbe-24h'!K21,'06.08 Koboko-Yumbe'!K21)</f>
        <v>0</v>
      </c>
      <c r="L21" s="49">
        <f>AVERAGE('31.07 Koboko-Yumbe'!L21,'01.08 Koboko-Yumbe '!L21,'04.08 Koboko-Yumbe '!L21,'05.08 Koboko-Yumbe'!L21,'02.08 Koboko-Yumbe-24h'!L21,'03.08 Koboko-Yumbe-24h'!L21,'06.08 Koboko-Yumbe'!L21)</f>
        <v>0.2857142857142857</v>
      </c>
      <c r="M21" s="49">
        <f>AVERAGE('31.07 Koboko-Yumbe'!M21,'01.08 Koboko-Yumbe '!M21,'04.08 Koboko-Yumbe '!M21,'05.08 Koboko-Yumbe'!M21,'02.08 Koboko-Yumbe-24h'!M21,'03.08 Koboko-Yumbe-24h'!M21,'06.08 Koboko-Yumbe'!M21)</f>
        <v>9.1428571428571423</v>
      </c>
      <c r="N21" s="49">
        <f>AVERAGE('31.07 Koboko-Yumbe'!N21,'01.08 Koboko-Yumbe '!N21,'04.08 Koboko-Yumbe '!N21,'05.08 Koboko-Yumbe'!N21,'02.08 Koboko-Yumbe-24h'!N21,'03.08 Koboko-Yumbe-24h'!N21,'06.08 Koboko-Yumbe'!N21)</f>
        <v>0</v>
      </c>
      <c r="O21" s="15">
        <f t="shared" si="0"/>
        <v>5.2857142857142865</v>
      </c>
      <c r="P21" s="15">
        <f t="shared" si="1"/>
        <v>14.428571428571429</v>
      </c>
      <c r="R21" s="1" t="s">
        <v>20</v>
      </c>
      <c r="S21" s="34">
        <f t="shared" ref="S21:AF21" si="13">SUM(C54:C57)</f>
        <v>10</v>
      </c>
      <c r="T21" s="17">
        <f t="shared" si="13"/>
        <v>1.5714285714285712</v>
      </c>
      <c r="U21" s="17">
        <f t="shared" si="13"/>
        <v>5.5714285714285712</v>
      </c>
      <c r="V21" s="17">
        <f t="shared" si="13"/>
        <v>0.5714285714285714</v>
      </c>
      <c r="W21" s="17">
        <f t="shared" si="13"/>
        <v>0.71428571428571419</v>
      </c>
      <c r="X21" s="17">
        <f t="shared" si="13"/>
        <v>0.42857142857142855</v>
      </c>
      <c r="Y21" s="17">
        <f t="shared" si="13"/>
        <v>1.2857142857142856</v>
      </c>
      <c r="Z21" s="17">
        <f t="shared" si="13"/>
        <v>0.71428571428571419</v>
      </c>
      <c r="AA21" s="17">
        <f t="shared" si="13"/>
        <v>0.14285714285714285</v>
      </c>
      <c r="AB21" s="17">
        <f t="shared" si="13"/>
        <v>0.42857142857142855</v>
      </c>
      <c r="AC21" s="17">
        <f t="shared" si="13"/>
        <v>44.714285714285708</v>
      </c>
      <c r="AD21" s="17">
        <f t="shared" si="13"/>
        <v>0</v>
      </c>
      <c r="AE21" s="31">
        <f t="shared" si="13"/>
        <v>21.428571428571431</v>
      </c>
      <c r="AF21" s="31">
        <f t="shared" si="13"/>
        <v>66.142857142857153</v>
      </c>
    </row>
    <row r="22" spans="2:32" ht="23.1" customHeight="1" x14ac:dyDescent="0.25">
      <c r="B22" s="23" t="s">
        <v>49</v>
      </c>
      <c r="C22" s="49">
        <f>AVERAGE('31.07 Koboko-Yumbe'!C22,'01.08 Koboko-Yumbe '!C22,'04.08 Koboko-Yumbe '!C22,'05.08 Koboko-Yumbe'!C22,'02.08 Koboko-Yumbe-24h'!C22,'03.08 Koboko-Yumbe-24h'!C22,'06.08 Koboko-Yumbe'!C22)</f>
        <v>2.1428571428571428</v>
      </c>
      <c r="D22" s="49">
        <f>AVERAGE('31.07 Koboko-Yumbe'!D22,'01.08 Koboko-Yumbe '!D22,'04.08 Koboko-Yumbe '!D22,'05.08 Koboko-Yumbe'!D22,'02.08 Koboko-Yumbe-24h'!D22,'03.08 Koboko-Yumbe-24h'!D22,'06.08 Koboko-Yumbe'!D22)</f>
        <v>0.42857142857142855</v>
      </c>
      <c r="E22" s="49">
        <f>AVERAGE('31.07 Koboko-Yumbe'!E22,'01.08 Koboko-Yumbe '!E22,'04.08 Koboko-Yumbe '!E22,'05.08 Koboko-Yumbe'!E22,'02.08 Koboko-Yumbe-24h'!E22,'03.08 Koboko-Yumbe-24h'!E22,'06.08 Koboko-Yumbe'!E22)</f>
        <v>1.2857142857142858</v>
      </c>
      <c r="F22" s="49">
        <f>AVERAGE('31.07 Koboko-Yumbe'!F22,'01.08 Koboko-Yumbe '!F22,'04.08 Koboko-Yumbe '!F22,'05.08 Koboko-Yumbe'!F22,'02.08 Koboko-Yumbe-24h'!F22,'03.08 Koboko-Yumbe-24h'!F22,'06.08 Koboko-Yumbe'!F22)</f>
        <v>0.8571428571428571</v>
      </c>
      <c r="G22" s="49">
        <f>AVERAGE('31.07 Koboko-Yumbe'!G22,'01.08 Koboko-Yumbe '!G22,'04.08 Koboko-Yumbe '!G22,'05.08 Koboko-Yumbe'!G22,'02.08 Koboko-Yumbe-24h'!G22,'03.08 Koboko-Yumbe-24h'!G22,'06.08 Koboko-Yumbe'!G22)</f>
        <v>0</v>
      </c>
      <c r="H22" s="49">
        <f>AVERAGE('31.07 Koboko-Yumbe'!H22,'01.08 Koboko-Yumbe '!H22,'04.08 Koboko-Yumbe '!H22,'05.08 Koboko-Yumbe'!H22,'02.08 Koboko-Yumbe-24h'!H22,'03.08 Koboko-Yumbe-24h'!H22,'06.08 Koboko-Yumbe'!H22)</f>
        <v>0</v>
      </c>
      <c r="I22" s="49">
        <f>AVERAGE('31.07 Koboko-Yumbe'!I22,'01.08 Koboko-Yumbe '!I22,'04.08 Koboko-Yumbe '!I22,'05.08 Koboko-Yumbe'!I22,'02.08 Koboko-Yumbe-24h'!I22,'03.08 Koboko-Yumbe-24h'!I22,'06.08 Koboko-Yumbe'!I22)</f>
        <v>0.42857142857142855</v>
      </c>
      <c r="J22" s="49">
        <f>AVERAGE('31.07 Koboko-Yumbe'!J22,'01.08 Koboko-Yumbe '!J22,'04.08 Koboko-Yumbe '!J22,'05.08 Koboko-Yumbe'!J22,'02.08 Koboko-Yumbe-24h'!J22,'03.08 Koboko-Yumbe-24h'!J22,'06.08 Koboko-Yumbe'!J22)</f>
        <v>0</v>
      </c>
      <c r="K22" s="49">
        <f>AVERAGE('31.07 Koboko-Yumbe'!K22,'01.08 Koboko-Yumbe '!K22,'04.08 Koboko-Yumbe '!K22,'05.08 Koboko-Yumbe'!K22,'02.08 Koboko-Yumbe-24h'!K22,'03.08 Koboko-Yumbe-24h'!K22,'06.08 Koboko-Yumbe'!K22)</f>
        <v>0.14285714285714285</v>
      </c>
      <c r="L22" s="49">
        <f>AVERAGE('31.07 Koboko-Yumbe'!L22,'01.08 Koboko-Yumbe '!L22,'04.08 Koboko-Yumbe '!L22,'05.08 Koboko-Yumbe'!L22,'02.08 Koboko-Yumbe-24h'!L22,'03.08 Koboko-Yumbe-24h'!L22,'06.08 Koboko-Yumbe'!L22)</f>
        <v>0.14285714285714285</v>
      </c>
      <c r="M22" s="49">
        <f>AVERAGE('31.07 Koboko-Yumbe'!M22,'01.08 Koboko-Yumbe '!M22,'04.08 Koboko-Yumbe '!M22,'05.08 Koboko-Yumbe'!M22,'02.08 Koboko-Yumbe-24h'!M22,'03.08 Koboko-Yumbe-24h'!M22,'06.08 Koboko-Yumbe'!M22)</f>
        <v>8.2857142857142865</v>
      </c>
      <c r="N22" s="49">
        <f>AVERAGE('31.07 Koboko-Yumbe'!N22,'01.08 Koboko-Yumbe '!N22,'04.08 Koboko-Yumbe '!N22,'05.08 Koboko-Yumbe'!N22,'02.08 Koboko-Yumbe-24h'!N22,'03.08 Koboko-Yumbe-24h'!N22,'06.08 Koboko-Yumbe'!N22)</f>
        <v>0</v>
      </c>
      <c r="O22" s="15">
        <f t="shared" si="0"/>
        <v>5.4285714285714288</v>
      </c>
      <c r="P22" s="15">
        <f t="shared" si="1"/>
        <v>13.714285714285715</v>
      </c>
      <c r="R22" s="1" t="s">
        <v>146</v>
      </c>
      <c r="S22" s="34">
        <f>SUM(C58:C61)</f>
        <v>9.5</v>
      </c>
      <c r="T22" s="34">
        <f t="shared" ref="T22:AF22" si="14">SUM(D58:D61)</f>
        <v>2</v>
      </c>
      <c r="U22" s="34">
        <f t="shared" si="14"/>
        <v>4.5</v>
      </c>
      <c r="V22" s="34">
        <f t="shared" si="14"/>
        <v>4.5</v>
      </c>
      <c r="W22" s="34">
        <f t="shared" si="14"/>
        <v>0</v>
      </c>
      <c r="X22" s="34">
        <f t="shared" si="14"/>
        <v>0</v>
      </c>
      <c r="Y22" s="34">
        <f t="shared" si="14"/>
        <v>0.5</v>
      </c>
      <c r="Z22" s="34">
        <f t="shared" si="14"/>
        <v>0.5</v>
      </c>
      <c r="AA22" s="34">
        <f t="shared" si="14"/>
        <v>0</v>
      </c>
      <c r="AB22" s="34">
        <f t="shared" si="14"/>
        <v>0</v>
      </c>
      <c r="AC22" s="34">
        <f t="shared" si="14"/>
        <v>22</v>
      </c>
      <c r="AD22" s="34">
        <f t="shared" si="14"/>
        <v>0.5</v>
      </c>
      <c r="AE22" s="31">
        <f t="shared" si="14"/>
        <v>22</v>
      </c>
      <c r="AF22" s="31">
        <f t="shared" si="14"/>
        <v>44</v>
      </c>
    </row>
    <row r="23" spans="2:32" ht="23.1" customHeight="1" x14ac:dyDescent="0.25">
      <c r="B23" s="23" t="s">
        <v>50</v>
      </c>
      <c r="C23" s="49">
        <f>AVERAGE('31.07 Koboko-Yumbe'!C23,'01.08 Koboko-Yumbe '!C23,'04.08 Koboko-Yumbe '!C23,'05.08 Koboko-Yumbe'!C23,'02.08 Koboko-Yumbe-24h'!C23,'03.08 Koboko-Yumbe-24h'!C23,'06.08 Koboko-Yumbe'!C23)</f>
        <v>2.7142857142857144</v>
      </c>
      <c r="D23" s="49">
        <f>AVERAGE('31.07 Koboko-Yumbe'!D23,'01.08 Koboko-Yumbe '!D23,'04.08 Koboko-Yumbe '!D23,'05.08 Koboko-Yumbe'!D23,'02.08 Koboko-Yumbe-24h'!D23,'03.08 Koboko-Yumbe-24h'!D23,'06.08 Koboko-Yumbe'!D23)</f>
        <v>0.5714285714285714</v>
      </c>
      <c r="E23" s="49">
        <f>AVERAGE('31.07 Koboko-Yumbe'!E23,'01.08 Koboko-Yumbe '!E23,'04.08 Koboko-Yumbe '!E23,'05.08 Koboko-Yumbe'!E23,'02.08 Koboko-Yumbe-24h'!E23,'03.08 Koboko-Yumbe-24h'!E23,'06.08 Koboko-Yumbe'!E23)</f>
        <v>1.2857142857142858</v>
      </c>
      <c r="F23" s="49">
        <f>AVERAGE('31.07 Koboko-Yumbe'!F23,'01.08 Koboko-Yumbe '!F23,'04.08 Koboko-Yumbe '!F23,'05.08 Koboko-Yumbe'!F23,'02.08 Koboko-Yumbe-24h'!F23,'03.08 Koboko-Yumbe-24h'!F23,'06.08 Koboko-Yumbe'!F23)</f>
        <v>0.7142857142857143</v>
      </c>
      <c r="G23" s="49">
        <f>AVERAGE('31.07 Koboko-Yumbe'!G23,'01.08 Koboko-Yumbe '!G23,'04.08 Koboko-Yumbe '!G23,'05.08 Koboko-Yumbe'!G23,'02.08 Koboko-Yumbe-24h'!G23,'03.08 Koboko-Yumbe-24h'!G23,'06.08 Koboko-Yumbe'!G23)</f>
        <v>0.14285714285714285</v>
      </c>
      <c r="H23" s="49">
        <f>AVERAGE('31.07 Koboko-Yumbe'!H23,'01.08 Koboko-Yumbe '!H23,'04.08 Koboko-Yumbe '!H23,'05.08 Koboko-Yumbe'!H23,'02.08 Koboko-Yumbe-24h'!H23,'03.08 Koboko-Yumbe-24h'!H23,'06.08 Koboko-Yumbe'!H23)</f>
        <v>0</v>
      </c>
      <c r="I23" s="49">
        <f>AVERAGE('31.07 Koboko-Yumbe'!I23,'01.08 Koboko-Yumbe '!I23,'04.08 Koboko-Yumbe '!I23,'05.08 Koboko-Yumbe'!I23,'02.08 Koboko-Yumbe-24h'!I23,'03.08 Koboko-Yumbe-24h'!I23,'06.08 Koboko-Yumbe'!I23)</f>
        <v>0.7142857142857143</v>
      </c>
      <c r="J23" s="49">
        <f>AVERAGE('31.07 Koboko-Yumbe'!J23,'01.08 Koboko-Yumbe '!J23,'04.08 Koboko-Yumbe '!J23,'05.08 Koboko-Yumbe'!J23,'02.08 Koboko-Yumbe-24h'!J23,'03.08 Koboko-Yumbe-24h'!J23,'06.08 Koboko-Yumbe'!J23)</f>
        <v>0.2857142857142857</v>
      </c>
      <c r="K23" s="49">
        <f>AVERAGE('31.07 Koboko-Yumbe'!K23,'01.08 Koboko-Yumbe '!K23,'04.08 Koboko-Yumbe '!K23,'05.08 Koboko-Yumbe'!K23,'02.08 Koboko-Yumbe-24h'!K23,'03.08 Koboko-Yumbe-24h'!K23,'06.08 Koboko-Yumbe'!K23)</f>
        <v>0</v>
      </c>
      <c r="L23" s="49">
        <f>AVERAGE('31.07 Koboko-Yumbe'!L23,'01.08 Koboko-Yumbe '!L23,'04.08 Koboko-Yumbe '!L23,'05.08 Koboko-Yumbe'!L23,'02.08 Koboko-Yumbe-24h'!L23,'03.08 Koboko-Yumbe-24h'!L23,'06.08 Koboko-Yumbe'!L23)</f>
        <v>0</v>
      </c>
      <c r="M23" s="49">
        <f>AVERAGE('31.07 Koboko-Yumbe'!M23,'01.08 Koboko-Yumbe '!M23,'04.08 Koboko-Yumbe '!M23,'05.08 Koboko-Yumbe'!M23,'02.08 Koboko-Yumbe-24h'!M23,'03.08 Koboko-Yumbe-24h'!M23,'06.08 Koboko-Yumbe'!M23)</f>
        <v>9.1428571428571423</v>
      </c>
      <c r="N23" s="49">
        <f>AVERAGE('31.07 Koboko-Yumbe'!N23,'01.08 Koboko-Yumbe '!N23,'04.08 Koboko-Yumbe '!N23,'05.08 Koboko-Yumbe'!N23,'02.08 Koboko-Yumbe-24h'!N23,'03.08 Koboko-Yumbe-24h'!N23,'06.08 Koboko-Yumbe'!N23)</f>
        <v>0</v>
      </c>
      <c r="O23" s="15">
        <f t="shared" si="0"/>
        <v>6.4285714285714288</v>
      </c>
      <c r="P23" s="15">
        <f t="shared" si="1"/>
        <v>15.571428571428571</v>
      </c>
      <c r="R23" s="1" t="s">
        <v>147</v>
      </c>
      <c r="S23" s="34">
        <f>SUM(C62:C65)</f>
        <v>1.5</v>
      </c>
      <c r="T23" s="34">
        <f t="shared" ref="T23:AF23" si="15">SUM(D62:D65)</f>
        <v>0</v>
      </c>
      <c r="U23" s="34">
        <f t="shared" si="15"/>
        <v>2</v>
      </c>
      <c r="V23" s="34">
        <f t="shared" si="15"/>
        <v>0.5</v>
      </c>
      <c r="W23" s="34">
        <f t="shared" si="15"/>
        <v>0.5</v>
      </c>
      <c r="X23" s="34">
        <f t="shared" si="15"/>
        <v>0</v>
      </c>
      <c r="Y23" s="34">
        <f t="shared" si="15"/>
        <v>0.5</v>
      </c>
      <c r="Z23" s="34">
        <f t="shared" si="15"/>
        <v>0.5</v>
      </c>
      <c r="AA23" s="34">
        <f t="shared" si="15"/>
        <v>0.5</v>
      </c>
      <c r="AB23" s="34">
        <f t="shared" si="15"/>
        <v>0</v>
      </c>
      <c r="AC23" s="34">
        <f t="shared" si="15"/>
        <v>13</v>
      </c>
      <c r="AD23" s="34">
        <f t="shared" si="15"/>
        <v>0</v>
      </c>
      <c r="AE23" s="31">
        <f t="shared" si="15"/>
        <v>6</v>
      </c>
      <c r="AF23" s="31">
        <f t="shared" si="15"/>
        <v>19</v>
      </c>
    </row>
    <row r="24" spans="2:32" ht="23.1" customHeight="1" x14ac:dyDescent="0.25">
      <c r="B24" s="23" t="s">
        <v>51</v>
      </c>
      <c r="C24" s="49">
        <f>AVERAGE('31.07 Koboko-Yumbe'!C24,'01.08 Koboko-Yumbe '!C24,'04.08 Koboko-Yumbe '!C24,'05.08 Koboko-Yumbe'!C24,'02.08 Koboko-Yumbe-24h'!C24,'03.08 Koboko-Yumbe-24h'!C24,'06.08 Koboko-Yumbe'!C24)</f>
        <v>3</v>
      </c>
      <c r="D24" s="49">
        <f>AVERAGE('31.07 Koboko-Yumbe'!D24,'01.08 Koboko-Yumbe '!D24,'04.08 Koboko-Yumbe '!D24,'05.08 Koboko-Yumbe'!D24,'02.08 Koboko-Yumbe-24h'!D24,'03.08 Koboko-Yumbe-24h'!D24,'06.08 Koboko-Yumbe'!D24)</f>
        <v>0.8571428571428571</v>
      </c>
      <c r="E24" s="49">
        <f>AVERAGE('31.07 Koboko-Yumbe'!E24,'01.08 Koboko-Yumbe '!E24,'04.08 Koboko-Yumbe '!E24,'05.08 Koboko-Yumbe'!E24,'02.08 Koboko-Yumbe-24h'!E24,'03.08 Koboko-Yumbe-24h'!E24,'06.08 Koboko-Yumbe'!E24)</f>
        <v>2.1428571428571428</v>
      </c>
      <c r="F24" s="49">
        <f>AVERAGE('31.07 Koboko-Yumbe'!F24,'01.08 Koboko-Yumbe '!F24,'04.08 Koboko-Yumbe '!F24,'05.08 Koboko-Yumbe'!F24,'02.08 Koboko-Yumbe-24h'!F24,'03.08 Koboko-Yumbe-24h'!F24,'06.08 Koboko-Yumbe'!F24)</f>
        <v>1</v>
      </c>
      <c r="G24" s="49">
        <f>AVERAGE('31.07 Koboko-Yumbe'!G24,'01.08 Koboko-Yumbe '!G24,'04.08 Koboko-Yumbe '!G24,'05.08 Koboko-Yumbe'!G24,'02.08 Koboko-Yumbe-24h'!G24,'03.08 Koboko-Yumbe-24h'!G24,'06.08 Koboko-Yumbe'!G24)</f>
        <v>0</v>
      </c>
      <c r="H24" s="49">
        <f>AVERAGE('31.07 Koboko-Yumbe'!H24,'01.08 Koboko-Yumbe '!H24,'04.08 Koboko-Yumbe '!H24,'05.08 Koboko-Yumbe'!H24,'02.08 Koboko-Yumbe-24h'!H24,'03.08 Koboko-Yumbe-24h'!H24,'06.08 Koboko-Yumbe'!H24)</f>
        <v>0</v>
      </c>
      <c r="I24" s="49">
        <f>AVERAGE('31.07 Koboko-Yumbe'!I24,'01.08 Koboko-Yumbe '!I24,'04.08 Koboko-Yumbe '!I24,'05.08 Koboko-Yumbe'!I24,'02.08 Koboko-Yumbe-24h'!I24,'03.08 Koboko-Yumbe-24h'!I24,'06.08 Koboko-Yumbe'!I24)</f>
        <v>0.8571428571428571</v>
      </c>
      <c r="J24" s="49">
        <f>AVERAGE('31.07 Koboko-Yumbe'!J24,'01.08 Koboko-Yumbe '!J24,'04.08 Koboko-Yumbe '!J24,'05.08 Koboko-Yumbe'!J24,'02.08 Koboko-Yumbe-24h'!J24,'03.08 Koboko-Yumbe-24h'!J24,'06.08 Koboko-Yumbe'!J24)</f>
        <v>0.14285714285714285</v>
      </c>
      <c r="K24" s="49">
        <f>AVERAGE('31.07 Koboko-Yumbe'!K24,'01.08 Koboko-Yumbe '!K24,'04.08 Koboko-Yumbe '!K24,'05.08 Koboko-Yumbe'!K24,'02.08 Koboko-Yumbe-24h'!K24,'03.08 Koboko-Yumbe-24h'!K24,'06.08 Koboko-Yumbe'!K24)</f>
        <v>0</v>
      </c>
      <c r="L24" s="49">
        <f>AVERAGE('31.07 Koboko-Yumbe'!L24,'01.08 Koboko-Yumbe '!L24,'04.08 Koboko-Yumbe '!L24,'05.08 Koboko-Yumbe'!L24,'02.08 Koboko-Yumbe-24h'!L24,'03.08 Koboko-Yumbe-24h'!L24,'06.08 Koboko-Yumbe'!L24)</f>
        <v>0</v>
      </c>
      <c r="M24" s="49">
        <f>AVERAGE('31.07 Koboko-Yumbe'!M24,'01.08 Koboko-Yumbe '!M24,'04.08 Koboko-Yumbe '!M24,'05.08 Koboko-Yumbe'!M24,'02.08 Koboko-Yumbe-24h'!M24,'03.08 Koboko-Yumbe-24h'!M24,'06.08 Koboko-Yumbe'!M24)</f>
        <v>10.428571428571429</v>
      </c>
      <c r="N24" s="49">
        <f>AVERAGE('31.07 Koboko-Yumbe'!N24,'01.08 Koboko-Yumbe '!N24,'04.08 Koboko-Yumbe '!N24,'05.08 Koboko-Yumbe'!N24,'02.08 Koboko-Yumbe-24h'!N24,'03.08 Koboko-Yumbe-24h'!N24,'06.08 Koboko-Yumbe'!N24)</f>
        <v>0</v>
      </c>
      <c r="O24" s="15">
        <f t="shared" si="0"/>
        <v>8</v>
      </c>
      <c r="P24" s="15">
        <f t="shared" si="1"/>
        <v>18.428571428571431</v>
      </c>
      <c r="R24" s="1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0.5</v>
      </c>
      <c r="V24" s="34">
        <f t="shared" si="16"/>
        <v>0</v>
      </c>
      <c r="W24" s="34">
        <f t="shared" si="16"/>
        <v>0</v>
      </c>
      <c r="X24" s="34">
        <f t="shared" si="16"/>
        <v>0.5</v>
      </c>
      <c r="Y24" s="34">
        <f t="shared" si="16"/>
        <v>0.5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4</v>
      </c>
      <c r="AD24" s="34">
        <f t="shared" si="16"/>
        <v>0</v>
      </c>
      <c r="AE24" s="31">
        <f t="shared" si="16"/>
        <v>3.5</v>
      </c>
      <c r="AF24" s="31">
        <f t="shared" si="16"/>
        <v>7.5</v>
      </c>
    </row>
    <row r="25" spans="2:32" ht="23.1" customHeight="1" x14ac:dyDescent="0.25">
      <c r="B25" s="23" t="s">
        <v>52</v>
      </c>
      <c r="C25" s="49">
        <f>AVERAGE('31.07 Koboko-Yumbe'!C25,'01.08 Koboko-Yumbe '!C25,'04.08 Koboko-Yumbe '!C25,'05.08 Koboko-Yumbe'!C25,'02.08 Koboko-Yumbe-24h'!C25,'03.08 Koboko-Yumbe-24h'!C25,'06.08 Koboko-Yumbe'!C25)</f>
        <v>2.4285714285714284</v>
      </c>
      <c r="D25" s="49">
        <f>AVERAGE('31.07 Koboko-Yumbe'!D25,'01.08 Koboko-Yumbe '!D25,'04.08 Koboko-Yumbe '!D25,'05.08 Koboko-Yumbe'!D25,'02.08 Koboko-Yumbe-24h'!D25,'03.08 Koboko-Yumbe-24h'!D25,'06.08 Koboko-Yumbe'!D25)</f>
        <v>0.14285714285714285</v>
      </c>
      <c r="E25" s="49">
        <f>AVERAGE('31.07 Koboko-Yumbe'!E25,'01.08 Koboko-Yumbe '!E25,'04.08 Koboko-Yumbe '!E25,'05.08 Koboko-Yumbe'!E25,'02.08 Koboko-Yumbe-24h'!E25,'03.08 Koboko-Yumbe-24h'!E25,'06.08 Koboko-Yumbe'!E25)</f>
        <v>1.1428571428571428</v>
      </c>
      <c r="F25" s="49">
        <f>AVERAGE('31.07 Koboko-Yumbe'!F25,'01.08 Koboko-Yumbe '!F25,'04.08 Koboko-Yumbe '!F25,'05.08 Koboko-Yumbe'!F25,'02.08 Koboko-Yumbe-24h'!F25,'03.08 Koboko-Yumbe-24h'!F25,'06.08 Koboko-Yumbe'!F25)</f>
        <v>0.2857142857142857</v>
      </c>
      <c r="G25" s="49">
        <f>AVERAGE('31.07 Koboko-Yumbe'!G25,'01.08 Koboko-Yumbe '!G25,'04.08 Koboko-Yumbe '!G25,'05.08 Koboko-Yumbe'!G25,'02.08 Koboko-Yumbe-24h'!G25,'03.08 Koboko-Yumbe-24h'!G25,'06.08 Koboko-Yumbe'!G25)</f>
        <v>0</v>
      </c>
      <c r="H25" s="49">
        <f>AVERAGE('31.07 Koboko-Yumbe'!H25,'01.08 Koboko-Yumbe '!H25,'04.08 Koboko-Yumbe '!H25,'05.08 Koboko-Yumbe'!H25,'02.08 Koboko-Yumbe-24h'!H25,'03.08 Koboko-Yumbe-24h'!H25,'06.08 Koboko-Yumbe'!H25)</f>
        <v>0</v>
      </c>
      <c r="I25" s="49">
        <f>AVERAGE('31.07 Koboko-Yumbe'!I25,'01.08 Koboko-Yumbe '!I25,'04.08 Koboko-Yumbe '!I25,'05.08 Koboko-Yumbe'!I25,'02.08 Koboko-Yumbe-24h'!I25,'03.08 Koboko-Yumbe-24h'!I25,'06.08 Koboko-Yumbe'!I25)</f>
        <v>0.14285714285714285</v>
      </c>
      <c r="J25" s="49">
        <f>AVERAGE('31.07 Koboko-Yumbe'!J25,'01.08 Koboko-Yumbe '!J25,'04.08 Koboko-Yumbe '!J25,'05.08 Koboko-Yumbe'!J25,'02.08 Koboko-Yumbe-24h'!J25,'03.08 Koboko-Yumbe-24h'!J25,'06.08 Koboko-Yumbe'!J25)</f>
        <v>0</v>
      </c>
      <c r="K25" s="49">
        <f>AVERAGE('31.07 Koboko-Yumbe'!K25,'01.08 Koboko-Yumbe '!K25,'04.08 Koboko-Yumbe '!K25,'05.08 Koboko-Yumbe'!K25,'02.08 Koboko-Yumbe-24h'!K25,'03.08 Koboko-Yumbe-24h'!K25,'06.08 Koboko-Yumbe'!K25)</f>
        <v>0.2857142857142857</v>
      </c>
      <c r="L25" s="49">
        <f>AVERAGE('31.07 Koboko-Yumbe'!L25,'01.08 Koboko-Yumbe '!L25,'04.08 Koboko-Yumbe '!L25,'05.08 Koboko-Yumbe'!L25,'02.08 Koboko-Yumbe-24h'!L25,'03.08 Koboko-Yumbe-24h'!L25,'06.08 Koboko-Yumbe'!L25)</f>
        <v>0</v>
      </c>
      <c r="M25" s="49">
        <f>AVERAGE('31.07 Koboko-Yumbe'!M25,'01.08 Koboko-Yumbe '!M25,'04.08 Koboko-Yumbe '!M25,'05.08 Koboko-Yumbe'!M25,'02.08 Koboko-Yumbe-24h'!M25,'03.08 Koboko-Yumbe-24h'!M25,'06.08 Koboko-Yumbe'!M25)</f>
        <v>8.7142857142857135</v>
      </c>
      <c r="N25" s="49">
        <f>AVERAGE('31.07 Koboko-Yumbe'!N25,'01.08 Koboko-Yumbe '!N25,'04.08 Koboko-Yumbe '!N25,'05.08 Koboko-Yumbe'!N25,'02.08 Koboko-Yumbe-24h'!N25,'03.08 Koboko-Yumbe-24h'!N25,'06.08 Koboko-Yumbe'!N25)</f>
        <v>0</v>
      </c>
      <c r="O25" s="15">
        <f t="shared" si="0"/>
        <v>4.4285714285714279</v>
      </c>
      <c r="P25" s="15">
        <f t="shared" si="1"/>
        <v>13.142857142857142</v>
      </c>
      <c r="R25" s="1" t="s">
        <v>149</v>
      </c>
      <c r="S25" s="34">
        <f>SUM(C70:C73)</f>
        <v>0.5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1.5</v>
      </c>
      <c r="AD25" s="34">
        <f t="shared" si="17"/>
        <v>0</v>
      </c>
      <c r="AE25" s="31">
        <f t="shared" si="17"/>
        <v>1.5</v>
      </c>
      <c r="AF25" s="31">
        <f t="shared" si="17"/>
        <v>3</v>
      </c>
    </row>
    <row r="26" spans="2:32" ht="23.1" customHeight="1" x14ac:dyDescent="0.25">
      <c r="B26" s="23" t="s">
        <v>53</v>
      </c>
      <c r="C26" s="49">
        <f>AVERAGE('31.07 Koboko-Yumbe'!C26,'01.08 Koboko-Yumbe '!C26,'04.08 Koboko-Yumbe '!C26,'05.08 Koboko-Yumbe'!C26,'02.08 Koboko-Yumbe-24h'!C26,'03.08 Koboko-Yumbe-24h'!C26,'06.08 Koboko-Yumbe'!C26)</f>
        <v>2.1428571428571428</v>
      </c>
      <c r="D26" s="49">
        <f>AVERAGE('31.07 Koboko-Yumbe'!D26,'01.08 Koboko-Yumbe '!D26,'04.08 Koboko-Yumbe '!D26,'05.08 Koboko-Yumbe'!D26,'02.08 Koboko-Yumbe-24h'!D26,'03.08 Koboko-Yumbe-24h'!D26,'06.08 Koboko-Yumbe'!D26)</f>
        <v>0.14285714285714285</v>
      </c>
      <c r="E26" s="49">
        <f>AVERAGE('31.07 Koboko-Yumbe'!E26,'01.08 Koboko-Yumbe '!E26,'04.08 Koboko-Yumbe '!E26,'05.08 Koboko-Yumbe'!E26,'02.08 Koboko-Yumbe-24h'!E26,'03.08 Koboko-Yumbe-24h'!E26,'06.08 Koboko-Yumbe'!E26)</f>
        <v>0.2857142857142857</v>
      </c>
      <c r="F26" s="49">
        <f>AVERAGE('31.07 Koboko-Yumbe'!F26,'01.08 Koboko-Yumbe '!F26,'04.08 Koboko-Yumbe '!F26,'05.08 Koboko-Yumbe'!F26,'02.08 Koboko-Yumbe-24h'!F26,'03.08 Koboko-Yumbe-24h'!F26,'06.08 Koboko-Yumbe'!F26)</f>
        <v>0.5714285714285714</v>
      </c>
      <c r="G26" s="49">
        <f>AVERAGE('31.07 Koboko-Yumbe'!G26,'01.08 Koboko-Yumbe '!G26,'04.08 Koboko-Yumbe '!G26,'05.08 Koboko-Yumbe'!G26,'02.08 Koboko-Yumbe-24h'!G26,'03.08 Koboko-Yumbe-24h'!G26,'06.08 Koboko-Yumbe'!G26)</f>
        <v>0</v>
      </c>
      <c r="H26" s="49">
        <f>AVERAGE('31.07 Koboko-Yumbe'!H26,'01.08 Koboko-Yumbe '!H26,'04.08 Koboko-Yumbe '!H26,'05.08 Koboko-Yumbe'!H26,'02.08 Koboko-Yumbe-24h'!H26,'03.08 Koboko-Yumbe-24h'!H26,'06.08 Koboko-Yumbe'!H26)</f>
        <v>0</v>
      </c>
      <c r="I26" s="49">
        <f>AVERAGE('31.07 Koboko-Yumbe'!I26,'01.08 Koboko-Yumbe '!I26,'04.08 Koboko-Yumbe '!I26,'05.08 Koboko-Yumbe'!I26,'02.08 Koboko-Yumbe-24h'!I26,'03.08 Koboko-Yumbe-24h'!I26,'06.08 Koboko-Yumbe'!I26)</f>
        <v>0.5714285714285714</v>
      </c>
      <c r="J26" s="49">
        <f>AVERAGE('31.07 Koboko-Yumbe'!J26,'01.08 Koboko-Yumbe '!J26,'04.08 Koboko-Yumbe '!J26,'05.08 Koboko-Yumbe'!J26,'02.08 Koboko-Yumbe-24h'!J26,'03.08 Koboko-Yumbe-24h'!J26,'06.08 Koboko-Yumbe'!J26)</f>
        <v>0.14285714285714285</v>
      </c>
      <c r="K26" s="49">
        <f>AVERAGE('31.07 Koboko-Yumbe'!K26,'01.08 Koboko-Yumbe '!K26,'04.08 Koboko-Yumbe '!K26,'05.08 Koboko-Yumbe'!K26,'02.08 Koboko-Yumbe-24h'!K26,'03.08 Koboko-Yumbe-24h'!K26,'06.08 Koboko-Yumbe'!K26)</f>
        <v>0</v>
      </c>
      <c r="L26" s="49">
        <f>AVERAGE('31.07 Koboko-Yumbe'!L26,'01.08 Koboko-Yumbe '!L26,'04.08 Koboko-Yumbe '!L26,'05.08 Koboko-Yumbe'!L26,'02.08 Koboko-Yumbe-24h'!L26,'03.08 Koboko-Yumbe-24h'!L26,'06.08 Koboko-Yumbe'!L26)</f>
        <v>0.2857142857142857</v>
      </c>
      <c r="M26" s="49">
        <f>AVERAGE('31.07 Koboko-Yumbe'!M26,'01.08 Koboko-Yumbe '!M26,'04.08 Koboko-Yumbe '!M26,'05.08 Koboko-Yumbe'!M26,'02.08 Koboko-Yumbe-24h'!M26,'03.08 Koboko-Yumbe-24h'!M26,'06.08 Koboko-Yumbe'!M26)</f>
        <v>11.571428571428571</v>
      </c>
      <c r="N26" s="49">
        <f>AVERAGE('31.07 Koboko-Yumbe'!N26,'01.08 Koboko-Yumbe '!N26,'04.08 Koboko-Yumbe '!N26,'05.08 Koboko-Yumbe'!N26,'02.08 Koboko-Yumbe-24h'!N26,'03.08 Koboko-Yumbe-24h'!N26,'06.08 Koboko-Yumbe'!N26)</f>
        <v>0.14285714285714285</v>
      </c>
      <c r="O26" s="15">
        <f t="shared" si="0"/>
        <v>4.2857142857142856</v>
      </c>
      <c r="P26" s="15">
        <f t="shared" si="1"/>
        <v>15.857142857142856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0.5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0.5</v>
      </c>
      <c r="AF26" s="31">
        <f t="shared" si="18"/>
        <v>2.5</v>
      </c>
    </row>
    <row r="27" spans="2:32" ht="23.1" customHeight="1" x14ac:dyDescent="0.25">
      <c r="B27" s="23" t="s">
        <v>54</v>
      </c>
      <c r="C27" s="49">
        <f>AVERAGE('31.07 Koboko-Yumbe'!C27,'01.08 Koboko-Yumbe '!C27,'04.08 Koboko-Yumbe '!C27,'05.08 Koboko-Yumbe'!C27,'02.08 Koboko-Yumbe-24h'!C27,'03.08 Koboko-Yumbe-24h'!C27,'06.08 Koboko-Yumbe'!C27)</f>
        <v>1.7142857142857142</v>
      </c>
      <c r="D27" s="49">
        <f>AVERAGE('31.07 Koboko-Yumbe'!D27,'01.08 Koboko-Yumbe '!D27,'04.08 Koboko-Yumbe '!D27,'05.08 Koboko-Yumbe'!D27,'02.08 Koboko-Yumbe-24h'!D27,'03.08 Koboko-Yumbe-24h'!D27,'06.08 Koboko-Yumbe'!D27)</f>
        <v>0.5714285714285714</v>
      </c>
      <c r="E27" s="49">
        <f>AVERAGE('31.07 Koboko-Yumbe'!E27,'01.08 Koboko-Yumbe '!E27,'04.08 Koboko-Yumbe '!E27,'05.08 Koboko-Yumbe'!E27,'02.08 Koboko-Yumbe-24h'!E27,'03.08 Koboko-Yumbe-24h'!E27,'06.08 Koboko-Yumbe'!E27)</f>
        <v>1.5714285714285714</v>
      </c>
      <c r="F27" s="49">
        <f>AVERAGE('31.07 Koboko-Yumbe'!F27,'01.08 Koboko-Yumbe '!F27,'04.08 Koboko-Yumbe '!F27,'05.08 Koboko-Yumbe'!F27,'02.08 Koboko-Yumbe-24h'!F27,'03.08 Koboko-Yumbe-24h'!F27,'06.08 Koboko-Yumbe'!F27)</f>
        <v>0.14285714285714285</v>
      </c>
      <c r="G27" s="49">
        <f>AVERAGE('31.07 Koboko-Yumbe'!G27,'01.08 Koboko-Yumbe '!G27,'04.08 Koboko-Yumbe '!G27,'05.08 Koboko-Yumbe'!G27,'02.08 Koboko-Yumbe-24h'!G27,'03.08 Koboko-Yumbe-24h'!G27,'06.08 Koboko-Yumbe'!G27)</f>
        <v>0</v>
      </c>
      <c r="H27" s="49">
        <f>AVERAGE('31.07 Koboko-Yumbe'!H27,'01.08 Koboko-Yumbe '!H27,'04.08 Koboko-Yumbe '!H27,'05.08 Koboko-Yumbe'!H27,'02.08 Koboko-Yumbe-24h'!H27,'03.08 Koboko-Yumbe-24h'!H27,'06.08 Koboko-Yumbe'!H27)</f>
        <v>0</v>
      </c>
      <c r="I27" s="49">
        <f>AVERAGE('31.07 Koboko-Yumbe'!I27,'01.08 Koboko-Yumbe '!I27,'04.08 Koboko-Yumbe '!I27,'05.08 Koboko-Yumbe'!I27,'02.08 Koboko-Yumbe-24h'!I27,'03.08 Koboko-Yumbe-24h'!I27,'06.08 Koboko-Yumbe'!I27)</f>
        <v>0.5714285714285714</v>
      </c>
      <c r="J27" s="49">
        <f>AVERAGE('31.07 Koboko-Yumbe'!J27,'01.08 Koboko-Yumbe '!J27,'04.08 Koboko-Yumbe '!J27,'05.08 Koboko-Yumbe'!J27,'02.08 Koboko-Yumbe-24h'!J27,'03.08 Koboko-Yumbe-24h'!J27,'06.08 Koboko-Yumbe'!J27)</f>
        <v>0</v>
      </c>
      <c r="K27" s="49">
        <f>AVERAGE('31.07 Koboko-Yumbe'!K27,'01.08 Koboko-Yumbe '!K27,'04.08 Koboko-Yumbe '!K27,'05.08 Koboko-Yumbe'!K27,'02.08 Koboko-Yumbe-24h'!K27,'03.08 Koboko-Yumbe-24h'!K27,'06.08 Koboko-Yumbe'!K27)</f>
        <v>0</v>
      </c>
      <c r="L27" s="49">
        <f>AVERAGE('31.07 Koboko-Yumbe'!L27,'01.08 Koboko-Yumbe '!L27,'04.08 Koboko-Yumbe '!L27,'05.08 Koboko-Yumbe'!L27,'02.08 Koboko-Yumbe-24h'!L27,'03.08 Koboko-Yumbe-24h'!L27,'06.08 Koboko-Yumbe'!L27)</f>
        <v>0</v>
      </c>
      <c r="M27" s="49">
        <f>AVERAGE('31.07 Koboko-Yumbe'!M27,'01.08 Koboko-Yumbe '!M27,'04.08 Koboko-Yumbe '!M27,'05.08 Koboko-Yumbe'!M27,'02.08 Koboko-Yumbe-24h'!M27,'03.08 Koboko-Yumbe-24h'!M27,'06.08 Koboko-Yumbe'!M27)</f>
        <v>9.5714285714285712</v>
      </c>
      <c r="N27" s="49">
        <f>AVERAGE('31.07 Koboko-Yumbe'!N27,'01.08 Koboko-Yumbe '!N27,'04.08 Koboko-Yumbe '!N27,'05.08 Koboko-Yumbe'!N27,'02.08 Koboko-Yumbe-24h'!N27,'03.08 Koboko-Yumbe-24h'!N27,'06.08 Koboko-Yumbe'!N27)</f>
        <v>0</v>
      </c>
      <c r="O27" s="15">
        <f t="shared" si="0"/>
        <v>4.5714285714285712</v>
      </c>
      <c r="P27" s="15">
        <f t="shared" si="1"/>
        <v>14.142857142857142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0</v>
      </c>
      <c r="AA27" s="34">
        <f t="shared" si="19"/>
        <v>0.5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1.5</v>
      </c>
      <c r="AF27" s="31">
        <f t="shared" si="19"/>
        <v>2.5</v>
      </c>
    </row>
    <row r="28" spans="2:32" ht="23.1" customHeight="1" x14ac:dyDescent="0.25">
      <c r="B28" s="23" t="s">
        <v>55</v>
      </c>
      <c r="C28" s="49">
        <f>AVERAGE('31.07 Koboko-Yumbe'!C28,'01.08 Koboko-Yumbe '!C28,'04.08 Koboko-Yumbe '!C28,'05.08 Koboko-Yumbe'!C28,'02.08 Koboko-Yumbe-24h'!C28,'03.08 Koboko-Yumbe-24h'!C28,'06.08 Koboko-Yumbe'!C28)</f>
        <v>2.8571428571428572</v>
      </c>
      <c r="D28" s="49">
        <f>AVERAGE('31.07 Koboko-Yumbe'!D28,'01.08 Koboko-Yumbe '!D28,'04.08 Koboko-Yumbe '!D28,'05.08 Koboko-Yumbe'!D28,'02.08 Koboko-Yumbe-24h'!D28,'03.08 Koboko-Yumbe-24h'!D28,'06.08 Koboko-Yumbe'!D28)</f>
        <v>0.2857142857142857</v>
      </c>
      <c r="E28" s="49">
        <f>AVERAGE('31.07 Koboko-Yumbe'!E28,'01.08 Koboko-Yumbe '!E28,'04.08 Koboko-Yumbe '!E28,'05.08 Koboko-Yumbe'!E28,'02.08 Koboko-Yumbe-24h'!E28,'03.08 Koboko-Yumbe-24h'!E28,'06.08 Koboko-Yumbe'!E28)</f>
        <v>0.8571428571428571</v>
      </c>
      <c r="F28" s="49">
        <f>AVERAGE('31.07 Koboko-Yumbe'!F28,'01.08 Koboko-Yumbe '!F28,'04.08 Koboko-Yumbe '!F28,'05.08 Koboko-Yumbe'!F28,'02.08 Koboko-Yumbe-24h'!F28,'03.08 Koboko-Yumbe-24h'!F28,'06.08 Koboko-Yumbe'!F28)</f>
        <v>0.14285714285714285</v>
      </c>
      <c r="G28" s="49">
        <f>AVERAGE('31.07 Koboko-Yumbe'!G28,'01.08 Koboko-Yumbe '!G28,'04.08 Koboko-Yumbe '!G28,'05.08 Koboko-Yumbe'!G28,'02.08 Koboko-Yumbe-24h'!G28,'03.08 Koboko-Yumbe-24h'!G28,'06.08 Koboko-Yumbe'!G28)</f>
        <v>0</v>
      </c>
      <c r="H28" s="49">
        <f>AVERAGE('31.07 Koboko-Yumbe'!H28,'01.08 Koboko-Yumbe '!H28,'04.08 Koboko-Yumbe '!H28,'05.08 Koboko-Yumbe'!H28,'02.08 Koboko-Yumbe-24h'!H28,'03.08 Koboko-Yumbe-24h'!H28,'06.08 Koboko-Yumbe'!H28)</f>
        <v>0.2857142857142857</v>
      </c>
      <c r="I28" s="49">
        <f>AVERAGE('31.07 Koboko-Yumbe'!I28,'01.08 Koboko-Yumbe '!I28,'04.08 Koboko-Yumbe '!I28,'05.08 Koboko-Yumbe'!I28,'02.08 Koboko-Yumbe-24h'!I28,'03.08 Koboko-Yumbe-24h'!I28,'06.08 Koboko-Yumbe'!I28)</f>
        <v>0.14285714285714285</v>
      </c>
      <c r="J28" s="49">
        <f>AVERAGE('31.07 Koboko-Yumbe'!J28,'01.08 Koboko-Yumbe '!J28,'04.08 Koboko-Yumbe '!J28,'05.08 Koboko-Yumbe'!J28,'02.08 Koboko-Yumbe-24h'!J28,'03.08 Koboko-Yumbe-24h'!J28,'06.08 Koboko-Yumbe'!J28)</f>
        <v>0.14285714285714285</v>
      </c>
      <c r="K28" s="49">
        <f>AVERAGE('31.07 Koboko-Yumbe'!K28,'01.08 Koboko-Yumbe '!K28,'04.08 Koboko-Yumbe '!K28,'05.08 Koboko-Yumbe'!K28,'02.08 Koboko-Yumbe-24h'!K28,'03.08 Koboko-Yumbe-24h'!K28,'06.08 Koboko-Yumbe'!K28)</f>
        <v>0</v>
      </c>
      <c r="L28" s="49">
        <f>AVERAGE('31.07 Koboko-Yumbe'!L28,'01.08 Koboko-Yumbe '!L28,'04.08 Koboko-Yumbe '!L28,'05.08 Koboko-Yumbe'!L28,'02.08 Koboko-Yumbe-24h'!L28,'03.08 Koboko-Yumbe-24h'!L28,'06.08 Koboko-Yumbe'!L28)</f>
        <v>0</v>
      </c>
      <c r="M28" s="49">
        <f>AVERAGE('31.07 Koboko-Yumbe'!M28,'01.08 Koboko-Yumbe '!M28,'04.08 Koboko-Yumbe '!M28,'05.08 Koboko-Yumbe'!M28,'02.08 Koboko-Yumbe-24h'!M28,'03.08 Koboko-Yumbe-24h'!M28,'06.08 Koboko-Yumbe'!M28)</f>
        <v>10.285714285714286</v>
      </c>
      <c r="N28" s="49">
        <f>AVERAGE('31.07 Koboko-Yumbe'!N28,'01.08 Koboko-Yumbe '!N28,'04.08 Koboko-Yumbe '!N28,'05.08 Koboko-Yumbe'!N28,'02.08 Koboko-Yumbe-24h'!N28,'03.08 Koboko-Yumbe-24h'!N28,'06.08 Koboko-Yumbe'!N28)</f>
        <v>0.14285714285714285</v>
      </c>
      <c r="O28" s="15">
        <f t="shared" si="0"/>
        <v>4.8571428571428585</v>
      </c>
      <c r="P28" s="15">
        <f t="shared" si="1"/>
        <v>15.142857142857144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0.5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0.5</v>
      </c>
      <c r="AF28" s="31">
        <f t="shared" si="20"/>
        <v>0.5</v>
      </c>
    </row>
    <row r="29" spans="2:32" ht="23.1" customHeight="1" x14ac:dyDescent="0.25">
      <c r="B29" s="23" t="s">
        <v>56</v>
      </c>
      <c r="C29" s="49">
        <f>AVERAGE('31.07 Koboko-Yumbe'!C29,'01.08 Koboko-Yumbe '!C29,'04.08 Koboko-Yumbe '!C29,'05.08 Koboko-Yumbe'!C29,'02.08 Koboko-Yumbe-24h'!C29,'03.08 Koboko-Yumbe-24h'!C29,'06.08 Koboko-Yumbe'!C29)</f>
        <v>1.1428571428571428</v>
      </c>
      <c r="D29" s="49">
        <f>AVERAGE('31.07 Koboko-Yumbe'!D29,'01.08 Koboko-Yumbe '!D29,'04.08 Koboko-Yumbe '!D29,'05.08 Koboko-Yumbe'!D29,'02.08 Koboko-Yumbe-24h'!D29,'03.08 Koboko-Yumbe-24h'!D29,'06.08 Koboko-Yumbe'!D29)</f>
        <v>0.7142857142857143</v>
      </c>
      <c r="E29" s="49">
        <f>AVERAGE('31.07 Koboko-Yumbe'!E29,'01.08 Koboko-Yumbe '!E29,'04.08 Koboko-Yumbe '!E29,'05.08 Koboko-Yumbe'!E29,'02.08 Koboko-Yumbe-24h'!E29,'03.08 Koboko-Yumbe-24h'!E29,'06.08 Koboko-Yumbe'!E29)</f>
        <v>1.4285714285714286</v>
      </c>
      <c r="F29" s="49">
        <f>AVERAGE('31.07 Koboko-Yumbe'!F29,'01.08 Koboko-Yumbe '!F29,'04.08 Koboko-Yumbe '!F29,'05.08 Koboko-Yumbe'!F29,'02.08 Koboko-Yumbe-24h'!F29,'03.08 Koboko-Yumbe-24h'!F29,'06.08 Koboko-Yumbe'!F29)</f>
        <v>0.42857142857142855</v>
      </c>
      <c r="G29" s="49">
        <f>AVERAGE('31.07 Koboko-Yumbe'!G29,'01.08 Koboko-Yumbe '!G29,'04.08 Koboko-Yumbe '!G29,'05.08 Koboko-Yumbe'!G29,'02.08 Koboko-Yumbe-24h'!G29,'03.08 Koboko-Yumbe-24h'!G29,'06.08 Koboko-Yumbe'!G29)</f>
        <v>0</v>
      </c>
      <c r="H29" s="49">
        <f>AVERAGE('31.07 Koboko-Yumbe'!H29,'01.08 Koboko-Yumbe '!H29,'04.08 Koboko-Yumbe '!H29,'05.08 Koboko-Yumbe'!H29,'02.08 Koboko-Yumbe-24h'!H29,'03.08 Koboko-Yumbe-24h'!H29,'06.08 Koboko-Yumbe'!H29)</f>
        <v>0</v>
      </c>
      <c r="I29" s="49">
        <f>AVERAGE('31.07 Koboko-Yumbe'!I29,'01.08 Koboko-Yumbe '!I29,'04.08 Koboko-Yumbe '!I29,'05.08 Koboko-Yumbe'!I29,'02.08 Koboko-Yumbe-24h'!I29,'03.08 Koboko-Yumbe-24h'!I29,'06.08 Koboko-Yumbe'!I29)</f>
        <v>0.8571428571428571</v>
      </c>
      <c r="J29" s="49">
        <f>AVERAGE('31.07 Koboko-Yumbe'!J29,'01.08 Koboko-Yumbe '!J29,'04.08 Koboko-Yumbe '!J29,'05.08 Koboko-Yumbe'!J29,'02.08 Koboko-Yumbe-24h'!J29,'03.08 Koboko-Yumbe-24h'!J29,'06.08 Koboko-Yumbe'!J29)</f>
        <v>0.5714285714285714</v>
      </c>
      <c r="K29" s="49">
        <f>AVERAGE('31.07 Koboko-Yumbe'!K29,'01.08 Koboko-Yumbe '!K29,'04.08 Koboko-Yumbe '!K29,'05.08 Koboko-Yumbe'!K29,'02.08 Koboko-Yumbe-24h'!K29,'03.08 Koboko-Yumbe-24h'!K29,'06.08 Koboko-Yumbe'!K29)</f>
        <v>0</v>
      </c>
      <c r="L29" s="49">
        <f>AVERAGE('31.07 Koboko-Yumbe'!L29,'01.08 Koboko-Yumbe '!L29,'04.08 Koboko-Yumbe '!L29,'05.08 Koboko-Yumbe'!L29,'02.08 Koboko-Yumbe-24h'!L29,'03.08 Koboko-Yumbe-24h'!L29,'06.08 Koboko-Yumbe'!L29)</f>
        <v>0</v>
      </c>
      <c r="M29" s="49">
        <f>AVERAGE('31.07 Koboko-Yumbe'!M29,'01.08 Koboko-Yumbe '!M29,'04.08 Koboko-Yumbe '!M29,'05.08 Koboko-Yumbe'!M29,'02.08 Koboko-Yumbe-24h'!M29,'03.08 Koboko-Yumbe-24h'!M29,'06.08 Koboko-Yumbe'!M29)</f>
        <v>10</v>
      </c>
      <c r="N29" s="49">
        <f>AVERAGE('31.07 Koboko-Yumbe'!N29,'01.08 Koboko-Yumbe '!N29,'04.08 Koboko-Yumbe '!N29,'05.08 Koboko-Yumbe'!N29,'02.08 Koboko-Yumbe-24h'!N29,'03.08 Koboko-Yumbe-24h'!N29,'06.08 Koboko-Yumbe'!N29)</f>
        <v>0</v>
      </c>
      <c r="O29" s="15">
        <f t="shared" si="0"/>
        <v>5.1428571428571423</v>
      </c>
      <c r="P29" s="15">
        <f t="shared" si="1"/>
        <v>15.142857142857142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0.5</v>
      </c>
      <c r="AF29" s="31">
        <f t="shared" si="21"/>
        <v>0.5</v>
      </c>
    </row>
    <row r="30" spans="2:32" ht="23.1" customHeight="1" x14ac:dyDescent="0.25">
      <c r="B30" s="23" t="s">
        <v>57</v>
      </c>
      <c r="C30" s="49">
        <f>AVERAGE('31.07 Koboko-Yumbe'!C30,'01.08 Koboko-Yumbe '!C30,'04.08 Koboko-Yumbe '!C30,'05.08 Koboko-Yumbe'!C30,'02.08 Koboko-Yumbe-24h'!C30,'03.08 Koboko-Yumbe-24h'!C30,'06.08 Koboko-Yumbe'!C30)</f>
        <v>2</v>
      </c>
      <c r="D30" s="49">
        <f>AVERAGE('31.07 Koboko-Yumbe'!D30,'01.08 Koboko-Yumbe '!D30,'04.08 Koboko-Yumbe '!D30,'05.08 Koboko-Yumbe'!D30,'02.08 Koboko-Yumbe-24h'!D30,'03.08 Koboko-Yumbe-24h'!D30,'06.08 Koboko-Yumbe'!D30)</f>
        <v>0.42857142857142855</v>
      </c>
      <c r="E30" s="49">
        <f>AVERAGE('31.07 Koboko-Yumbe'!E30,'01.08 Koboko-Yumbe '!E30,'04.08 Koboko-Yumbe '!E30,'05.08 Koboko-Yumbe'!E30,'02.08 Koboko-Yumbe-24h'!E30,'03.08 Koboko-Yumbe-24h'!E30,'06.08 Koboko-Yumbe'!E30)</f>
        <v>1.1428571428571428</v>
      </c>
      <c r="F30" s="49">
        <f>AVERAGE('31.07 Koboko-Yumbe'!F30,'01.08 Koboko-Yumbe '!F30,'04.08 Koboko-Yumbe '!F30,'05.08 Koboko-Yumbe'!F30,'02.08 Koboko-Yumbe-24h'!F30,'03.08 Koboko-Yumbe-24h'!F30,'06.08 Koboko-Yumbe'!F30)</f>
        <v>1.1428571428571428</v>
      </c>
      <c r="G30" s="49">
        <f>AVERAGE('31.07 Koboko-Yumbe'!G30,'01.08 Koboko-Yumbe '!G30,'04.08 Koboko-Yumbe '!G30,'05.08 Koboko-Yumbe'!G30,'02.08 Koboko-Yumbe-24h'!G30,'03.08 Koboko-Yumbe-24h'!G30,'06.08 Koboko-Yumbe'!G30)</f>
        <v>0</v>
      </c>
      <c r="H30" s="49">
        <f>AVERAGE('31.07 Koboko-Yumbe'!H30,'01.08 Koboko-Yumbe '!H30,'04.08 Koboko-Yumbe '!H30,'05.08 Koboko-Yumbe'!H30,'02.08 Koboko-Yumbe-24h'!H30,'03.08 Koboko-Yumbe-24h'!H30,'06.08 Koboko-Yumbe'!H30)</f>
        <v>0</v>
      </c>
      <c r="I30" s="49">
        <f>AVERAGE('31.07 Koboko-Yumbe'!I30,'01.08 Koboko-Yumbe '!I30,'04.08 Koboko-Yumbe '!I30,'05.08 Koboko-Yumbe'!I30,'02.08 Koboko-Yumbe-24h'!I30,'03.08 Koboko-Yumbe-24h'!I30,'06.08 Koboko-Yumbe'!I30)</f>
        <v>0.5714285714285714</v>
      </c>
      <c r="J30" s="49">
        <f>AVERAGE('31.07 Koboko-Yumbe'!J30,'01.08 Koboko-Yumbe '!J30,'04.08 Koboko-Yumbe '!J30,'05.08 Koboko-Yumbe'!J30,'02.08 Koboko-Yumbe-24h'!J30,'03.08 Koboko-Yumbe-24h'!J30,'06.08 Koboko-Yumbe'!J30)</f>
        <v>0</v>
      </c>
      <c r="K30" s="49">
        <f>AVERAGE('31.07 Koboko-Yumbe'!K30,'01.08 Koboko-Yumbe '!K30,'04.08 Koboko-Yumbe '!K30,'05.08 Koboko-Yumbe'!K30,'02.08 Koboko-Yumbe-24h'!K30,'03.08 Koboko-Yumbe-24h'!K30,'06.08 Koboko-Yumbe'!K30)</f>
        <v>0</v>
      </c>
      <c r="L30" s="49">
        <f>AVERAGE('31.07 Koboko-Yumbe'!L30,'01.08 Koboko-Yumbe '!L30,'04.08 Koboko-Yumbe '!L30,'05.08 Koboko-Yumbe'!L30,'02.08 Koboko-Yumbe-24h'!L30,'03.08 Koboko-Yumbe-24h'!L30,'06.08 Koboko-Yumbe'!L30)</f>
        <v>0.2857142857142857</v>
      </c>
      <c r="M30" s="49">
        <f>AVERAGE('31.07 Koboko-Yumbe'!M30,'01.08 Koboko-Yumbe '!M30,'04.08 Koboko-Yumbe '!M30,'05.08 Koboko-Yumbe'!M30,'02.08 Koboko-Yumbe-24h'!M30,'03.08 Koboko-Yumbe-24h'!M30,'06.08 Koboko-Yumbe'!M30)</f>
        <v>11.857142857142858</v>
      </c>
      <c r="N30" s="49">
        <f>AVERAGE('31.07 Koboko-Yumbe'!N30,'01.08 Koboko-Yumbe '!N30,'04.08 Koboko-Yumbe '!N30,'05.08 Koboko-Yumbe'!N30,'02.08 Koboko-Yumbe-24h'!N30,'03.08 Koboko-Yumbe-24h'!N30,'06.08 Koboko-Yumbe'!N30)</f>
        <v>0</v>
      </c>
      <c r="O30" s="15">
        <f t="shared" si="0"/>
        <v>5.5714285714285703</v>
      </c>
      <c r="P30" s="15">
        <f t="shared" si="1"/>
        <v>17.428571428571427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0.5</v>
      </c>
      <c r="AD30" s="34">
        <f t="shared" si="22"/>
        <v>0</v>
      </c>
      <c r="AE30" s="31">
        <f t="shared" si="22"/>
        <v>0.5</v>
      </c>
      <c r="AF30" s="31">
        <f t="shared" si="22"/>
        <v>1</v>
      </c>
    </row>
    <row r="31" spans="2:32" ht="23.1" customHeight="1" x14ac:dyDescent="0.25">
      <c r="B31" s="24" t="s">
        <v>58</v>
      </c>
      <c r="C31" s="49">
        <f>AVERAGE('31.07 Koboko-Yumbe'!C31,'01.08 Koboko-Yumbe '!C31,'04.08 Koboko-Yumbe '!C31,'05.08 Koboko-Yumbe'!C31,'02.08 Koboko-Yumbe-24h'!C31,'03.08 Koboko-Yumbe-24h'!C31,'06.08 Koboko-Yumbe'!C31)</f>
        <v>1.2857142857142858</v>
      </c>
      <c r="D31" s="49">
        <f>AVERAGE('31.07 Koboko-Yumbe'!D31,'01.08 Koboko-Yumbe '!D31,'04.08 Koboko-Yumbe '!D31,'05.08 Koboko-Yumbe'!D31,'02.08 Koboko-Yumbe-24h'!D31,'03.08 Koboko-Yumbe-24h'!D31,'06.08 Koboko-Yumbe'!D31)</f>
        <v>0.42857142857142855</v>
      </c>
      <c r="E31" s="49">
        <f>AVERAGE('31.07 Koboko-Yumbe'!E31,'01.08 Koboko-Yumbe '!E31,'04.08 Koboko-Yumbe '!E31,'05.08 Koboko-Yumbe'!E31,'02.08 Koboko-Yumbe-24h'!E31,'03.08 Koboko-Yumbe-24h'!E31,'06.08 Koboko-Yumbe'!E31)</f>
        <v>1</v>
      </c>
      <c r="F31" s="49">
        <f>AVERAGE('31.07 Koboko-Yumbe'!F31,'01.08 Koboko-Yumbe '!F31,'04.08 Koboko-Yumbe '!F31,'05.08 Koboko-Yumbe'!F31,'02.08 Koboko-Yumbe-24h'!F31,'03.08 Koboko-Yumbe-24h'!F31,'06.08 Koboko-Yumbe'!F31)</f>
        <v>0</v>
      </c>
      <c r="G31" s="49">
        <f>AVERAGE('31.07 Koboko-Yumbe'!G31,'01.08 Koboko-Yumbe '!G31,'04.08 Koboko-Yumbe '!G31,'05.08 Koboko-Yumbe'!G31,'02.08 Koboko-Yumbe-24h'!G31,'03.08 Koboko-Yumbe-24h'!G31,'06.08 Koboko-Yumbe'!G31)</f>
        <v>0</v>
      </c>
      <c r="H31" s="49">
        <f>AVERAGE('31.07 Koboko-Yumbe'!H31,'01.08 Koboko-Yumbe '!H31,'04.08 Koboko-Yumbe '!H31,'05.08 Koboko-Yumbe'!H31,'02.08 Koboko-Yumbe-24h'!H31,'03.08 Koboko-Yumbe-24h'!H31,'06.08 Koboko-Yumbe'!H31)</f>
        <v>0</v>
      </c>
      <c r="I31" s="49">
        <f>AVERAGE('31.07 Koboko-Yumbe'!I31,'01.08 Koboko-Yumbe '!I31,'04.08 Koboko-Yumbe '!I31,'05.08 Koboko-Yumbe'!I31,'02.08 Koboko-Yumbe-24h'!I31,'03.08 Koboko-Yumbe-24h'!I31,'06.08 Koboko-Yumbe'!I31)</f>
        <v>0.5714285714285714</v>
      </c>
      <c r="J31" s="49">
        <f>AVERAGE('31.07 Koboko-Yumbe'!J31,'01.08 Koboko-Yumbe '!J31,'04.08 Koboko-Yumbe '!J31,'05.08 Koboko-Yumbe'!J31,'02.08 Koboko-Yumbe-24h'!J31,'03.08 Koboko-Yumbe-24h'!J31,'06.08 Koboko-Yumbe'!J31)</f>
        <v>0</v>
      </c>
      <c r="K31" s="49">
        <f>AVERAGE('31.07 Koboko-Yumbe'!K31,'01.08 Koboko-Yumbe '!K31,'04.08 Koboko-Yumbe '!K31,'05.08 Koboko-Yumbe'!K31,'02.08 Koboko-Yumbe-24h'!K31,'03.08 Koboko-Yumbe-24h'!K31,'06.08 Koboko-Yumbe'!K31)</f>
        <v>0</v>
      </c>
      <c r="L31" s="49">
        <f>AVERAGE('31.07 Koboko-Yumbe'!L31,'01.08 Koboko-Yumbe '!L31,'04.08 Koboko-Yumbe '!L31,'05.08 Koboko-Yumbe'!L31,'02.08 Koboko-Yumbe-24h'!L31,'03.08 Koboko-Yumbe-24h'!L31,'06.08 Koboko-Yumbe'!L31)</f>
        <v>0.14285714285714285</v>
      </c>
      <c r="M31" s="49">
        <f>AVERAGE('31.07 Koboko-Yumbe'!M31,'01.08 Koboko-Yumbe '!M31,'04.08 Koboko-Yumbe '!M31,'05.08 Koboko-Yumbe'!M31,'02.08 Koboko-Yumbe-24h'!M31,'03.08 Koboko-Yumbe-24h'!M31,'06.08 Koboko-Yumbe'!M31)</f>
        <v>11.142857142857142</v>
      </c>
      <c r="N31" s="49">
        <f>AVERAGE('31.07 Koboko-Yumbe'!N31,'01.08 Koboko-Yumbe '!N31,'04.08 Koboko-Yumbe '!N31,'05.08 Koboko-Yumbe'!N31,'02.08 Koboko-Yumbe-24h'!N31,'03.08 Koboko-Yumbe-24h'!N31,'06.08 Koboko-Yumbe'!N31)</f>
        <v>0</v>
      </c>
      <c r="O31" s="15">
        <f t="shared" si="0"/>
        <v>3.4285714285714284</v>
      </c>
      <c r="P31" s="15">
        <f t="shared" si="1"/>
        <v>14.571428571428571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0.5</v>
      </c>
      <c r="AF31" s="31">
        <f t="shared" si="23"/>
        <v>0.5</v>
      </c>
    </row>
    <row r="32" spans="2:32" ht="23.1" customHeight="1" x14ac:dyDescent="0.25">
      <c r="B32" s="24" t="s">
        <v>59</v>
      </c>
      <c r="C32" s="49">
        <f>AVERAGE('31.07 Koboko-Yumbe'!C32,'01.08 Koboko-Yumbe '!C32,'04.08 Koboko-Yumbe '!C32,'05.08 Koboko-Yumbe'!C32,'02.08 Koboko-Yumbe-24h'!C32,'03.08 Koboko-Yumbe-24h'!C32,'06.08 Koboko-Yumbe'!C32)</f>
        <v>2.1428571428571428</v>
      </c>
      <c r="D32" s="49">
        <f>AVERAGE('31.07 Koboko-Yumbe'!D32,'01.08 Koboko-Yumbe '!D32,'04.08 Koboko-Yumbe '!D32,'05.08 Koboko-Yumbe'!D32,'02.08 Koboko-Yumbe-24h'!D32,'03.08 Koboko-Yumbe-24h'!D32,'06.08 Koboko-Yumbe'!D32)</f>
        <v>0.42857142857142855</v>
      </c>
      <c r="E32" s="49">
        <f>AVERAGE('31.07 Koboko-Yumbe'!E32,'01.08 Koboko-Yumbe '!E32,'04.08 Koboko-Yumbe '!E32,'05.08 Koboko-Yumbe'!E32,'02.08 Koboko-Yumbe-24h'!E32,'03.08 Koboko-Yumbe-24h'!E32,'06.08 Koboko-Yumbe'!E32)</f>
        <v>1.2857142857142858</v>
      </c>
      <c r="F32" s="49">
        <f>AVERAGE('31.07 Koboko-Yumbe'!F32,'01.08 Koboko-Yumbe '!F32,'04.08 Koboko-Yumbe '!F32,'05.08 Koboko-Yumbe'!F32,'02.08 Koboko-Yumbe-24h'!F32,'03.08 Koboko-Yumbe-24h'!F32,'06.08 Koboko-Yumbe'!F32)</f>
        <v>0.42857142857142855</v>
      </c>
      <c r="G32" s="49">
        <f>AVERAGE('31.07 Koboko-Yumbe'!G32,'01.08 Koboko-Yumbe '!G32,'04.08 Koboko-Yumbe '!G32,'05.08 Koboko-Yumbe'!G32,'02.08 Koboko-Yumbe-24h'!G32,'03.08 Koboko-Yumbe-24h'!G32,'06.08 Koboko-Yumbe'!G32)</f>
        <v>0</v>
      </c>
      <c r="H32" s="49">
        <f>AVERAGE('31.07 Koboko-Yumbe'!H32,'01.08 Koboko-Yumbe '!H32,'04.08 Koboko-Yumbe '!H32,'05.08 Koboko-Yumbe'!H32,'02.08 Koboko-Yumbe-24h'!H32,'03.08 Koboko-Yumbe-24h'!H32,'06.08 Koboko-Yumbe'!H32)</f>
        <v>0</v>
      </c>
      <c r="I32" s="49">
        <f>AVERAGE('31.07 Koboko-Yumbe'!I32,'01.08 Koboko-Yumbe '!I32,'04.08 Koboko-Yumbe '!I32,'05.08 Koboko-Yumbe'!I32,'02.08 Koboko-Yumbe-24h'!I32,'03.08 Koboko-Yumbe-24h'!I32,'06.08 Koboko-Yumbe'!I32)</f>
        <v>0.2857142857142857</v>
      </c>
      <c r="J32" s="49">
        <f>AVERAGE('31.07 Koboko-Yumbe'!J32,'01.08 Koboko-Yumbe '!J32,'04.08 Koboko-Yumbe '!J32,'05.08 Koboko-Yumbe'!J32,'02.08 Koboko-Yumbe-24h'!J32,'03.08 Koboko-Yumbe-24h'!J32,'06.08 Koboko-Yumbe'!J32)</f>
        <v>0</v>
      </c>
      <c r="K32" s="49">
        <f>AVERAGE('31.07 Koboko-Yumbe'!K32,'01.08 Koboko-Yumbe '!K32,'04.08 Koboko-Yumbe '!K32,'05.08 Koboko-Yumbe'!K32,'02.08 Koboko-Yumbe-24h'!K32,'03.08 Koboko-Yumbe-24h'!K32,'06.08 Koboko-Yumbe'!K32)</f>
        <v>0</v>
      </c>
      <c r="L32" s="49">
        <f>AVERAGE('31.07 Koboko-Yumbe'!L32,'01.08 Koboko-Yumbe '!L32,'04.08 Koboko-Yumbe '!L32,'05.08 Koboko-Yumbe'!L32,'02.08 Koboko-Yumbe-24h'!L32,'03.08 Koboko-Yumbe-24h'!L32,'06.08 Koboko-Yumbe'!L32)</f>
        <v>0.14285714285714285</v>
      </c>
      <c r="M32" s="49">
        <f>AVERAGE('31.07 Koboko-Yumbe'!M32,'01.08 Koboko-Yumbe '!M32,'04.08 Koboko-Yumbe '!M32,'05.08 Koboko-Yumbe'!M32,'02.08 Koboko-Yumbe-24h'!M32,'03.08 Koboko-Yumbe-24h'!M32,'06.08 Koboko-Yumbe'!M32)</f>
        <v>9.8571428571428577</v>
      </c>
      <c r="N32" s="49">
        <f>AVERAGE('31.07 Koboko-Yumbe'!N32,'01.08 Koboko-Yumbe '!N32,'04.08 Koboko-Yumbe '!N32,'05.08 Koboko-Yumbe'!N32,'02.08 Koboko-Yumbe-24h'!N32,'03.08 Koboko-Yumbe-24h'!N32,'06.08 Koboko-Yumbe'!N32)</f>
        <v>0</v>
      </c>
      <c r="O32" s="15">
        <f t="shared" si="0"/>
        <v>4.7142857142857144</v>
      </c>
      <c r="P32" s="15">
        <f t="shared" si="1"/>
        <v>14.571428571428573</v>
      </c>
      <c r="R32" s="1" t="s">
        <v>156</v>
      </c>
      <c r="S32" s="34">
        <f>SUM(C98:C101)</f>
        <v>4</v>
      </c>
      <c r="T32" s="34">
        <f t="shared" ref="T32:AF32" si="24">SUM(D98:D101)</f>
        <v>0</v>
      </c>
      <c r="U32" s="34">
        <f t="shared" si="24"/>
        <v>0.5</v>
      </c>
      <c r="V32" s="34">
        <f t="shared" si="24"/>
        <v>0</v>
      </c>
      <c r="W32" s="34">
        <f t="shared" si="24"/>
        <v>1</v>
      </c>
      <c r="X32" s="34">
        <f t="shared" si="24"/>
        <v>0.5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6</v>
      </c>
      <c r="AF32" s="31">
        <f t="shared" si="24"/>
        <v>9</v>
      </c>
    </row>
    <row r="33" spans="2:32" ht="23.1" customHeight="1" x14ac:dyDescent="0.25">
      <c r="B33" s="23" t="s">
        <v>60</v>
      </c>
      <c r="C33" s="49">
        <f>AVERAGE('31.07 Koboko-Yumbe'!C33,'01.08 Koboko-Yumbe '!C33,'04.08 Koboko-Yumbe '!C33,'05.08 Koboko-Yumbe'!C33,'02.08 Koboko-Yumbe-24h'!C33,'03.08 Koboko-Yumbe-24h'!C33,'06.08 Koboko-Yumbe'!C33)</f>
        <v>2</v>
      </c>
      <c r="D33" s="49">
        <f>AVERAGE('31.07 Koboko-Yumbe'!D33,'01.08 Koboko-Yumbe '!D33,'04.08 Koboko-Yumbe '!D33,'05.08 Koboko-Yumbe'!D33,'02.08 Koboko-Yumbe-24h'!D33,'03.08 Koboko-Yumbe-24h'!D33,'06.08 Koboko-Yumbe'!D33)</f>
        <v>0.2857142857142857</v>
      </c>
      <c r="E33" s="49">
        <f>AVERAGE('31.07 Koboko-Yumbe'!E33,'01.08 Koboko-Yumbe '!E33,'04.08 Koboko-Yumbe '!E33,'05.08 Koboko-Yumbe'!E33,'02.08 Koboko-Yumbe-24h'!E33,'03.08 Koboko-Yumbe-24h'!E33,'06.08 Koboko-Yumbe'!E33)</f>
        <v>0.8571428571428571</v>
      </c>
      <c r="F33" s="49">
        <f>AVERAGE('31.07 Koboko-Yumbe'!F33,'01.08 Koboko-Yumbe '!F33,'04.08 Koboko-Yumbe '!F33,'05.08 Koboko-Yumbe'!F33,'02.08 Koboko-Yumbe-24h'!F33,'03.08 Koboko-Yumbe-24h'!F33,'06.08 Koboko-Yumbe'!F33)</f>
        <v>0.42857142857142855</v>
      </c>
      <c r="G33" s="49">
        <f>AVERAGE('31.07 Koboko-Yumbe'!G33,'01.08 Koboko-Yumbe '!G33,'04.08 Koboko-Yumbe '!G33,'05.08 Koboko-Yumbe'!G33,'02.08 Koboko-Yumbe-24h'!G33,'03.08 Koboko-Yumbe-24h'!G33,'06.08 Koboko-Yumbe'!G33)</f>
        <v>0</v>
      </c>
      <c r="H33" s="49">
        <f>AVERAGE('31.07 Koboko-Yumbe'!H33,'01.08 Koboko-Yumbe '!H33,'04.08 Koboko-Yumbe '!H33,'05.08 Koboko-Yumbe'!H33,'02.08 Koboko-Yumbe-24h'!H33,'03.08 Koboko-Yumbe-24h'!H33,'06.08 Koboko-Yumbe'!H33)</f>
        <v>0</v>
      </c>
      <c r="I33" s="49">
        <f>AVERAGE('31.07 Koboko-Yumbe'!I33,'01.08 Koboko-Yumbe '!I33,'04.08 Koboko-Yumbe '!I33,'05.08 Koboko-Yumbe'!I33,'02.08 Koboko-Yumbe-24h'!I33,'03.08 Koboko-Yumbe-24h'!I33,'06.08 Koboko-Yumbe'!I33)</f>
        <v>0.2857142857142857</v>
      </c>
      <c r="J33" s="49">
        <f>AVERAGE('31.07 Koboko-Yumbe'!J33,'01.08 Koboko-Yumbe '!J33,'04.08 Koboko-Yumbe '!J33,'05.08 Koboko-Yumbe'!J33,'02.08 Koboko-Yumbe-24h'!J33,'03.08 Koboko-Yumbe-24h'!J33,'06.08 Koboko-Yumbe'!J33)</f>
        <v>0.14285714285714285</v>
      </c>
      <c r="K33" s="49">
        <f>AVERAGE('31.07 Koboko-Yumbe'!K33,'01.08 Koboko-Yumbe '!K33,'04.08 Koboko-Yumbe '!K33,'05.08 Koboko-Yumbe'!K33,'02.08 Koboko-Yumbe-24h'!K33,'03.08 Koboko-Yumbe-24h'!K33,'06.08 Koboko-Yumbe'!K33)</f>
        <v>0</v>
      </c>
      <c r="L33" s="49">
        <f>AVERAGE('31.07 Koboko-Yumbe'!L33,'01.08 Koboko-Yumbe '!L33,'04.08 Koboko-Yumbe '!L33,'05.08 Koboko-Yumbe'!L33,'02.08 Koboko-Yumbe-24h'!L33,'03.08 Koboko-Yumbe-24h'!L33,'06.08 Koboko-Yumbe'!L33)</f>
        <v>0</v>
      </c>
      <c r="M33" s="49">
        <f>AVERAGE('31.07 Koboko-Yumbe'!M33,'01.08 Koboko-Yumbe '!M33,'04.08 Koboko-Yumbe '!M33,'05.08 Koboko-Yumbe'!M33,'02.08 Koboko-Yumbe-24h'!M33,'03.08 Koboko-Yumbe-24h'!M33,'06.08 Koboko-Yumbe'!M33)</f>
        <v>11.142857142857142</v>
      </c>
      <c r="N33" s="49">
        <f>AVERAGE('31.07 Koboko-Yumbe'!N33,'01.08 Koboko-Yumbe '!N33,'04.08 Koboko-Yumbe '!N33,'05.08 Koboko-Yumbe'!N33,'02.08 Koboko-Yumbe-24h'!N33,'03.08 Koboko-Yumbe-24h'!N33,'06.08 Koboko-Yumbe'!N33)</f>
        <v>0</v>
      </c>
      <c r="O33" s="15">
        <f t="shared" si="0"/>
        <v>3.9999999999999996</v>
      </c>
      <c r="P33" s="15">
        <f t="shared" si="1"/>
        <v>15.142857142857142</v>
      </c>
      <c r="R33" s="1" t="s">
        <v>157</v>
      </c>
      <c r="S33" s="34">
        <f>SUM(C102:C105)</f>
        <v>5.5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0</v>
      </c>
      <c r="W33" s="34">
        <f t="shared" si="25"/>
        <v>0</v>
      </c>
      <c r="X33" s="34">
        <f t="shared" si="25"/>
        <v>2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0.5</v>
      </c>
      <c r="AC33" s="34">
        <f t="shared" si="25"/>
        <v>3.5</v>
      </c>
      <c r="AD33" s="34">
        <f t="shared" si="25"/>
        <v>0.5</v>
      </c>
      <c r="AE33" s="31">
        <f t="shared" si="25"/>
        <v>11.5</v>
      </c>
      <c r="AF33" s="31">
        <f t="shared" si="25"/>
        <v>15</v>
      </c>
    </row>
    <row r="34" spans="2:32" ht="23.1" customHeight="1" x14ac:dyDescent="0.25">
      <c r="B34" s="24" t="s">
        <v>61</v>
      </c>
      <c r="C34" s="49">
        <f>AVERAGE('31.07 Koboko-Yumbe'!C34,'01.08 Koboko-Yumbe '!C34,'04.08 Koboko-Yumbe '!C34,'05.08 Koboko-Yumbe'!C34,'02.08 Koboko-Yumbe-24h'!C34,'03.08 Koboko-Yumbe-24h'!C34,'06.08 Koboko-Yumbe'!C34)</f>
        <v>1.7142857142857142</v>
      </c>
      <c r="D34" s="49">
        <f>AVERAGE('31.07 Koboko-Yumbe'!D34,'01.08 Koboko-Yumbe '!D34,'04.08 Koboko-Yumbe '!D34,'05.08 Koboko-Yumbe'!D34,'02.08 Koboko-Yumbe-24h'!D34,'03.08 Koboko-Yumbe-24h'!D34,'06.08 Koboko-Yumbe'!D34)</f>
        <v>0.14285714285714285</v>
      </c>
      <c r="E34" s="49">
        <f>AVERAGE('31.07 Koboko-Yumbe'!E34,'01.08 Koboko-Yumbe '!E34,'04.08 Koboko-Yumbe '!E34,'05.08 Koboko-Yumbe'!E34,'02.08 Koboko-Yumbe-24h'!E34,'03.08 Koboko-Yumbe-24h'!E34,'06.08 Koboko-Yumbe'!E34)</f>
        <v>0.5714285714285714</v>
      </c>
      <c r="F34" s="49">
        <f>AVERAGE('31.07 Koboko-Yumbe'!F34,'01.08 Koboko-Yumbe '!F34,'04.08 Koboko-Yumbe '!F34,'05.08 Koboko-Yumbe'!F34,'02.08 Koboko-Yumbe-24h'!F34,'03.08 Koboko-Yumbe-24h'!F34,'06.08 Koboko-Yumbe'!F34)</f>
        <v>0.42857142857142855</v>
      </c>
      <c r="G34" s="49">
        <f>AVERAGE('31.07 Koboko-Yumbe'!G34,'01.08 Koboko-Yumbe '!G34,'04.08 Koboko-Yumbe '!G34,'05.08 Koboko-Yumbe'!G34,'02.08 Koboko-Yumbe-24h'!G34,'03.08 Koboko-Yumbe-24h'!G34,'06.08 Koboko-Yumbe'!G34)</f>
        <v>0</v>
      </c>
      <c r="H34" s="49">
        <f>AVERAGE('31.07 Koboko-Yumbe'!H34,'01.08 Koboko-Yumbe '!H34,'04.08 Koboko-Yumbe '!H34,'05.08 Koboko-Yumbe'!H34,'02.08 Koboko-Yumbe-24h'!H34,'03.08 Koboko-Yumbe-24h'!H34,'06.08 Koboko-Yumbe'!H34)</f>
        <v>0</v>
      </c>
      <c r="I34" s="49">
        <f>AVERAGE('31.07 Koboko-Yumbe'!I34,'01.08 Koboko-Yumbe '!I34,'04.08 Koboko-Yumbe '!I34,'05.08 Koboko-Yumbe'!I34,'02.08 Koboko-Yumbe-24h'!I34,'03.08 Koboko-Yumbe-24h'!I34,'06.08 Koboko-Yumbe'!I34)</f>
        <v>0.2857142857142857</v>
      </c>
      <c r="J34" s="49">
        <f>AVERAGE('31.07 Koboko-Yumbe'!J34,'01.08 Koboko-Yumbe '!J34,'04.08 Koboko-Yumbe '!J34,'05.08 Koboko-Yumbe'!J34,'02.08 Koboko-Yumbe-24h'!J34,'03.08 Koboko-Yumbe-24h'!J34,'06.08 Koboko-Yumbe'!J34)</f>
        <v>0.14285714285714285</v>
      </c>
      <c r="K34" s="49">
        <f>AVERAGE('31.07 Koboko-Yumbe'!K34,'01.08 Koboko-Yumbe '!K34,'04.08 Koboko-Yumbe '!K34,'05.08 Koboko-Yumbe'!K34,'02.08 Koboko-Yumbe-24h'!K34,'03.08 Koboko-Yumbe-24h'!K34,'06.08 Koboko-Yumbe'!K34)</f>
        <v>0</v>
      </c>
      <c r="L34" s="49">
        <f>AVERAGE('31.07 Koboko-Yumbe'!L34,'01.08 Koboko-Yumbe '!L34,'04.08 Koboko-Yumbe '!L34,'05.08 Koboko-Yumbe'!L34,'02.08 Koboko-Yumbe-24h'!L34,'03.08 Koboko-Yumbe-24h'!L34,'06.08 Koboko-Yumbe'!L34)</f>
        <v>0</v>
      </c>
      <c r="M34" s="49">
        <f>AVERAGE('31.07 Koboko-Yumbe'!M34,'01.08 Koboko-Yumbe '!M34,'04.08 Koboko-Yumbe '!M34,'05.08 Koboko-Yumbe'!M34,'02.08 Koboko-Yumbe-24h'!M34,'03.08 Koboko-Yumbe-24h'!M34,'06.08 Koboko-Yumbe'!M34)</f>
        <v>8.7142857142857135</v>
      </c>
      <c r="N34" s="49">
        <f>AVERAGE('31.07 Koboko-Yumbe'!N34,'01.08 Koboko-Yumbe '!N34,'04.08 Koboko-Yumbe '!N34,'05.08 Koboko-Yumbe'!N34,'02.08 Koboko-Yumbe-24h'!N34,'03.08 Koboko-Yumbe-24h'!N34,'06.08 Koboko-Yumbe'!N34)</f>
        <v>0</v>
      </c>
      <c r="O34" s="15">
        <f t="shared" si="0"/>
        <v>3.2857142857142851</v>
      </c>
      <c r="P34" s="15">
        <f t="shared" si="1"/>
        <v>11.999999999999998</v>
      </c>
      <c r="R34" s="52" t="s">
        <v>90</v>
      </c>
      <c r="S34" s="53">
        <f t="shared" ref="S34:AF34" si="26">MAX(S10:S12)</f>
        <v>9.4285714285714288</v>
      </c>
      <c r="T34" s="53">
        <f t="shared" si="26"/>
        <v>2.2857142857142856</v>
      </c>
      <c r="U34" s="53">
        <f t="shared" si="26"/>
        <v>6</v>
      </c>
      <c r="V34" s="53">
        <f t="shared" si="26"/>
        <v>1.2857142857142856</v>
      </c>
      <c r="W34" s="53">
        <f t="shared" si="26"/>
        <v>0.71428571428571419</v>
      </c>
      <c r="X34" s="53">
        <f t="shared" si="26"/>
        <v>1</v>
      </c>
      <c r="Y34" s="53">
        <f t="shared" si="26"/>
        <v>2.5714285714285712</v>
      </c>
      <c r="Z34" s="53">
        <f t="shared" si="26"/>
        <v>1.7142857142857144</v>
      </c>
      <c r="AA34" s="53">
        <f t="shared" si="26"/>
        <v>0.14285714285714285</v>
      </c>
      <c r="AB34" s="53">
        <f t="shared" si="26"/>
        <v>0.8571428571428571</v>
      </c>
      <c r="AC34" s="53">
        <f t="shared" si="26"/>
        <v>39.714285714285708</v>
      </c>
      <c r="AD34" s="53">
        <f t="shared" si="26"/>
        <v>0</v>
      </c>
      <c r="AE34" s="40">
        <f t="shared" si="26"/>
        <v>24.428571428571431</v>
      </c>
      <c r="AF34" s="40">
        <f t="shared" si="26"/>
        <v>63.571428571428569</v>
      </c>
    </row>
    <row r="35" spans="2:32" ht="23.1" customHeight="1" x14ac:dyDescent="0.25">
      <c r="B35" s="24" t="s">
        <v>62</v>
      </c>
      <c r="C35" s="49">
        <f>AVERAGE('31.07 Koboko-Yumbe'!C35,'01.08 Koboko-Yumbe '!C35,'04.08 Koboko-Yumbe '!C35,'05.08 Koboko-Yumbe'!C35,'02.08 Koboko-Yumbe-24h'!C35,'03.08 Koboko-Yumbe-24h'!C35,'06.08 Koboko-Yumbe'!C35)</f>
        <v>1.2857142857142858</v>
      </c>
      <c r="D35" s="49">
        <f>AVERAGE('31.07 Koboko-Yumbe'!D35,'01.08 Koboko-Yumbe '!D35,'04.08 Koboko-Yumbe '!D35,'05.08 Koboko-Yumbe'!D35,'02.08 Koboko-Yumbe-24h'!D35,'03.08 Koboko-Yumbe-24h'!D35,'06.08 Koboko-Yumbe'!D35)</f>
        <v>0.2857142857142857</v>
      </c>
      <c r="E35" s="49">
        <f>AVERAGE('31.07 Koboko-Yumbe'!E35,'01.08 Koboko-Yumbe '!E35,'04.08 Koboko-Yumbe '!E35,'05.08 Koboko-Yumbe'!E35,'02.08 Koboko-Yumbe-24h'!E35,'03.08 Koboko-Yumbe-24h'!E35,'06.08 Koboko-Yumbe'!E35)</f>
        <v>0.8571428571428571</v>
      </c>
      <c r="F35" s="49">
        <f>AVERAGE('31.07 Koboko-Yumbe'!F35,'01.08 Koboko-Yumbe '!F35,'04.08 Koboko-Yumbe '!F35,'05.08 Koboko-Yumbe'!F35,'02.08 Koboko-Yumbe-24h'!F35,'03.08 Koboko-Yumbe-24h'!F35,'06.08 Koboko-Yumbe'!F35)</f>
        <v>0</v>
      </c>
      <c r="G35" s="49">
        <f>AVERAGE('31.07 Koboko-Yumbe'!G35,'01.08 Koboko-Yumbe '!G35,'04.08 Koboko-Yumbe '!G35,'05.08 Koboko-Yumbe'!G35,'02.08 Koboko-Yumbe-24h'!G35,'03.08 Koboko-Yumbe-24h'!G35,'06.08 Koboko-Yumbe'!G35)</f>
        <v>0</v>
      </c>
      <c r="H35" s="49">
        <f>AVERAGE('31.07 Koboko-Yumbe'!H35,'01.08 Koboko-Yumbe '!H35,'04.08 Koboko-Yumbe '!H35,'05.08 Koboko-Yumbe'!H35,'02.08 Koboko-Yumbe-24h'!H35,'03.08 Koboko-Yumbe-24h'!H35,'06.08 Koboko-Yumbe'!H35)</f>
        <v>0</v>
      </c>
      <c r="I35" s="49">
        <f>AVERAGE('31.07 Koboko-Yumbe'!I35,'01.08 Koboko-Yumbe '!I35,'04.08 Koboko-Yumbe '!I35,'05.08 Koboko-Yumbe'!I35,'02.08 Koboko-Yumbe-24h'!I35,'03.08 Koboko-Yumbe-24h'!I35,'06.08 Koboko-Yumbe'!I35)</f>
        <v>0.42857142857142855</v>
      </c>
      <c r="J35" s="49">
        <f>AVERAGE('31.07 Koboko-Yumbe'!J35,'01.08 Koboko-Yumbe '!J35,'04.08 Koboko-Yumbe '!J35,'05.08 Koboko-Yumbe'!J35,'02.08 Koboko-Yumbe-24h'!J35,'03.08 Koboko-Yumbe-24h'!J35,'06.08 Koboko-Yumbe'!J35)</f>
        <v>0</v>
      </c>
      <c r="K35" s="49">
        <f>AVERAGE('31.07 Koboko-Yumbe'!K35,'01.08 Koboko-Yumbe '!K35,'04.08 Koboko-Yumbe '!K35,'05.08 Koboko-Yumbe'!K35,'02.08 Koboko-Yumbe-24h'!K35,'03.08 Koboko-Yumbe-24h'!K35,'06.08 Koboko-Yumbe'!K35)</f>
        <v>0</v>
      </c>
      <c r="L35" s="49">
        <f>AVERAGE('31.07 Koboko-Yumbe'!L35,'01.08 Koboko-Yumbe '!L35,'04.08 Koboko-Yumbe '!L35,'05.08 Koboko-Yumbe'!L35,'02.08 Koboko-Yumbe-24h'!L35,'03.08 Koboko-Yumbe-24h'!L35,'06.08 Koboko-Yumbe'!L35)</f>
        <v>0</v>
      </c>
      <c r="M35" s="49">
        <f>AVERAGE('31.07 Koboko-Yumbe'!M35,'01.08 Koboko-Yumbe '!M35,'04.08 Koboko-Yumbe '!M35,'05.08 Koboko-Yumbe'!M35,'02.08 Koboko-Yumbe-24h'!M35,'03.08 Koboko-Yumbe-24h'!M35,'06.08 Koboko-Yumbe'!M35)</f>
        <v>9.7142857142857135</v>
      </c>
      <c r="N35" s="49">
        <f>AVERAGE('31.07 Koboko-Yumbe'!N35,'01.08 Koboko-Yumbe '!N35,'04.08 Koboko-Yumbe '!N35,'05.08 Koboko-Yumbe'!N35,'02.08 Koboko-Yumbe-24h'!N35,'03.08 Koboko-Yumbe-24h'!N35,'06.08 Koboko-Yumbe'!N35)</f>
        <v>0</v>
      </c>
      <c r="O35" s="15">
        <f t="shared" si="0"/>
        <v>2.8571428571428572</v>
      </c>
      <c r="P35" s="15">
        <f t="shared" si="1"/>
        <v>12.571428571428571</v>
      </c>
      <c r="R35" s="52" t="s">
        <v>91</v>
      </c>
      <c r="S35" s="53">
        <f t="shared" ref="S35:AF35" si="27">MAX(S13:S18)</f>
        <v>10.285714285714286</v>
      </c>
      <c r="T35" s="53">
        <f t="shared" si="27"/>
        <v>2</v>
      </c>
      <c r="U35" s="53">
        <f t="shared" si="27"/>
        <v>5.8571428571428577</v>
      </c>
      <c r="V35" s="53">
        <f t="shared" si="27"/>
        <v>2.8571428571428568</v>
      </c>
      <c r="W35" s="53">
        <f t="shared" si="27"/>
        <v>0.2857142857142857</v>
      </c>
      <c r="X35" s="53">
        <f t="shared" si="27"/>
        <v>0.2857142857142857</v>
      </c>
      <c r="Y35" s="53">
        <f t="shared" si="27"/>
        <v>2.1428571428571428</v>
      </c>
      <c r="Z35" s="53">
        <f t="shared" si="27"/>
        <v>0.8571428571428571</v>
      </c>
      <c r="AA35" s="53">
        <f t="shared" si="27"/>
        <v>0.42857142857142855</v>
      </c>
      <c r="AB35" s="53">
        <f t="shared" si="27"/>
        <v>0.5714285714285714</v>
      </c>
      <c r="AC35" s="53">
        <f t="shared" si="27"/>
        <v>44</v>
      </c>
      <c r="AD35" s="53">
        <f t="shared" si="27"/>
        <v>0.2857142857142857</v>
      </c>
      <c r="AE35" s="40">
        <f t="shared" si="27"/>
        <v>24.285714285714285</v>
      </c>
      <c r="AF35" s="40">
        <f t="shared" si="27"/>
        <v>61.714285714285708</v>
      </c>
    </row>
    <row r="36" spans="2:32" ht="23.1" customHeight="1" x14ac:dyDescent="0.25">
      <c r="B36" s="24" t="s">
        <v>63</v>
      </c>
      <c r="C36" s="49">
        <f>AVERAGE('31.07 Koboko-Yumbe'!C36,'01.08 Koboko-Yumbe '!C36,'04.08 Koboko-Yumbe '!C36,'05.08 Koboko-Yumbe'!C36,'02.08 Koboko-Yumbe-24h'!C36,'03.08 Koboko-Yumbe-24h'!C36,'06.08 Koboko-Yumbe'!C36)</f>
        <v>1.5714285714285714</v>
      </c>
      <c r="D36" s="49">
        <f>AVERAGE('31.07 Koboko-Yumbe'!D36,'01.08 Koboko-Yumbe '!D36,'04.08 Koboko-Yumbe '!D36,'05.08 Koboko-Yumbe'!D36,'02.08 Koboko-Yumbe-24h'!D36,'03.08 Koboko-Yumbe-24h'!D36,'06.08 Koboko-Yumbe'!D36)</f>
        <v>0.42857142857142855</v>
      </c>
      <c r="E36" s="49">
        <f>AVERAGE('31.07 Koboko-Yumbe'!E36,'01.08 Koboko-Yumbe '!E36,'04.08 Koboko-Yumbe '!E36,'05.08 Koboko-Yumbe'!E36,'02.08 Koboko-Yumbe-24h'!E36,'03.08 Koboko-Yumbe-24h'!E36,'06.08 Koboko-Yumbe'!E36)</f>
        <v>0.8571428571428571</v>
      </c>
      <c r="F36" s="49">
        <f>AVERAGE('31.07 Koboko-Yumbe'!F36,'01.08 Koboko-Yumbe '!F36,'04.08 Koboko-Yumbe '!F36,'05.08 Koboko-Yumbe'!F36,'02.08 Koboko-Yumbe-24h'!F36,'03.08 Koboko-Yumbe-24h'!F36,'06.08 Koboko-Yumbe'!F36)</f>
        <v>0</v>
      </c>
      <c r="G36" s="49">
        <f>AVERAGE('31.07 Koboko-Yumbe'!G36,'01.08 Koboko-Yumbe '!G36,'04.08 Koboko-Yumbe '!G36,'05.08 Koboko-Yumbe'!G36,'02.08 Koboko-Yumbe-24h'!G36,'03.08 Koboko-Yumbe-24h'!G36,'06.08 Koboko-Yumbe'!G36)</f>
        <v>0</v>
      </c>
      <c r="H36" s="49">
        <f>AVERAGE('31.07 Koboko-Yumbe'!H36,'01.08 Koboko-Yumbe '!H36,'04.08 Koboko-Yumbe '!H36,'05.08 Koboko-Yumbe'!H36,'02.08 Koboko-Yumbe-24h'!H36,'03.08 Koboko-Yumbe-24h'!H36,'06.08 Koboko-Yumbe'!H36)</f>
        <v>0</v>
      </c>
      <c r="I36" s="49">
        <f>AVERAGE('31.07 Koboko-Yumbe'!I36,'01.08 Koboko-Yumbe '!I36,'04.08 Koboko-Yumbe '!I36,'05.08 Koboko-Yumbe'!I36,'02.08 Koboko-Yumbe-24h'!I36,'03.08 Koboko-Yumbe-24h'!I36,'06.08 Koboko-Yumbe'!I36)</f>
        <v>0.5714285714285714</v>
      </c>
      <c r="J36" s="49">
        <f>AVERAGE('31.07 Koboko-Yumbe'!J36,'01.08 Koboko-Yumbe '!J36,'04.08 Koboko-Yumbe '!J36,'05.08 Koboko-Yumbe'!J36,'02.08 Koboko-Yumbe-24h'!J36,'03.08 Koboko-Yumbe-24h'!J36,'06.08 Koboko-Yumbe'!J36)</f>
        <v>0</v>
      </c>
      <c r="K36" s="49">
        <f>AVERAGE('31.07 Koboko-Yumbe'!K36,'01.08 Koboko-Yumbe '!K36,'04.08 Koboko-Yumbe '!K36,'05.08 Koboko-Yumbe'!K36,'02.08 Koboko-Yumbe-24h'!K36,'03.08 Koboko-Yumbe-24h'!K36,'06.08 Koboko-Yumbe'!K36)</f>
        <v>0</v>
      </c>
      <c r="L36" s="49">
        <f>AVERAGE('31.07 Koboko-Yumbe'!L36,'01.08 Koboko-Yumbe '!L36,'04.08 Koboko-Yumbe '!L36,'05.08 Koboko-Yumbe'!L36,'02.08 Koboko-Yumbe-24h'!L36,'03.08 Koboko-Yumbe-24h'!L36,'06.08 Koboko-Yumbe'!L36)</f>
        <v>0</v>
      </c>
      <c r="M36" s="49">
        <f>AVERAGE('31.07 Koboko-Yumbe'!M36,'01.08 Koboko-Yumbe '!M36,'04.08 Koboko-Yumbe '!M36,'05.08 Koboko-Yumbe'!M36,'02.08 Koboko-Yumbe-24h'!M36,'03.08 Koboko-Yumbe-24h'!M36,'06.08 Koboko-Yumbe'!M36)</f>
        <v>6.4285714285714288</v>
      </c>
      <c r="N36" s="49">
        <f>AVERAGE('31.07 Koboko-Yumbe'!N36,'01.08 Koboko-Yumbe '!N36,'04.08 Koboko-Yumbe '!N36,'05.08 Koboko-Yumbe'!N36,'02.08 Koboko-Yumbe-24h'!N36,'03.08 Koboko-Yumbe-24h'!N36,'06.08 Koboko-Yumbe'!N36)</f>
        <v>0</v>
      </c>
      <c r="O36" s="15">
        <f t="shared" si="0"/>
        <v>3.4285714285714288</v>
      </c>
      <c r="P36" s="15">
        <f t="shared" si="1"/>
        <v>9.8571428571428577</v>
      </c>
      <c r="R36" s="52" t="s">
        <v>92</v>
      </c>
      <c r="S36" s="53">
        <f t="shared" ref="S36:AF36" si="28">MAX(S19:S21)</f>
        <v>10</v>
      </c>
      <c r="T36" s="53">
        <f t="shared" si="28"/>
        <v>1.5714285714285712</v>
      </c>
      <c r="U36" s="53">
        <f t="shared" si="28"/>
        <v>5.5714285714285712</v>
      </c>
      <c r="V36" s="53">
        <f t="shared" si="28"/>
        <v>0.99999999999999989</v>
      </c>
      <c r="W36" s="53">
        <f t="shared" si="28"/>
        <v>0.71428571428571419</v>
      </c>
      <c r="X36" s="53">
        <f t="shared" si="28"/>
        <v>0.5714285714285714</v>
      </c>
      <c r="Y36" s="53">
        <f t="shared" si="28"/>
        <v>1.2857142857142856</v>
      </c>
      <c r="Z36" s="53">
        <f t="shared" si="28"/>
        <v>0.71428571428571419</v>
      </c>
      <c r="AA36" s="53">
        <f t="shared" si="28"/>
        <v>0.2857142857142857</v>
      </c>
      <c r="AB36" s="53">
        <f t="shared" si="28"/>
        <v>0.42857142857142855</v>
      </c>
      <c r="AC36" s="53">
        <f t="shared" si="28"/>
        <v>44.714285714285708</v>
      </c>
      <c r="AD36" s="53">
        <f t="shared" si="28"/>
        <v>0</v>
      </c>
      <c r="AE36" s="40">
        <f t="shared" si="28"/>
        <v>21.428571428571431</v>
      </c>
      <c r="AF36" s="40">
        <f t="shared" si="28"/>
        <v>66.142857142857153</v>
      </c>
    </row>
    <row r="37" spans="2:32" ht="23.1" customHeight="1" x14ac:dyDescent="0.25">
      <c r="B37" s="23" t="s">
        <v>64</v>
      </c>
      <c r="C37" s="49">
        <f>AVERAGE('31.07 Koboko-Yumbe'!C37,'01.08 Koboko-Yumbe '!C37,'04.08 Koboko-Yumbe '!C37,'05.08 Koboko-Yumbe'!C37,'02.08 Koboko-Yumbe-24h'!C37,'03.08 Koboko-Yumbe-24h'!C37,'06.08 Koboko-Yumbe'!C37)</f>
        <v>2</v>
      </c>
      <c r="D37" s="49">
        <f>AVERAGE('31.07 Koboko-Yumbe'!D37,'01.08 Koboko-Yumbe '!D37,'04.08 Koboko-Yumbe '!D37,'05.08 Koboko-Yumbe'!D37,'02.08 Koboko-Yumbe-24h'!D37,'03.08 Koboko-Yumbe-24h'!D37,'06.08 Koboko-Yumbe'!D37)</f>
        <v>0.42857142857142855</v>
      </c>
      <c r="E37" s="49">
        <f>AVERAGE('31.07 Koboko-Yumbe'!E37,'01.08 Koboko-Yumbe '!E37,'04.08 Koboko-Yumbe '!E37,'05.08 Koboko-Yumbe'!E37,'02.08 Koboko-Yumbe-24h'!E37,'03.08 Koboko-Yumbe-24h'!E37,'06.08 Koboko-Yumbe'!E37)</f>
        <v>0.8571428571428571</v>
      </c>
      <c r="F37" s="49">
        <f>AVERAGE('31.07 Koboko-Yumbe'!F37,'01.08 Koboko-Yumbe '!F37,'04.08 Koboko-Yumbe '!F37,'05.08 Koboko-Yumbe'!F37,'02.08 Koboko-Yumbe-24h'!F37,'03.08 Koboko-Yumbe-24h'!F37,'06.08 Koboko-Yumbe'!F37)</f>
        <v>0.14285714285714285</v>
      </c>
      <c r="G37" s="49">
        <f>AVERAGE('31.07 Koboko-Yumbe'!G37,'01.08 Koboko-Yumbe '!G37,'04.08 Koboko-Yumbe '!G37,'05.08 Koboko-Yumbe'!G37,'02.08 Koboko-Yumbe-24h'!G37,'03.08 Koboko-Yumbe-24h'!G37,'06.08 Koboko-Yumbe'!G37)</f>
        <v>0.14285714285714285</v>
      </c>
      <c r="H37" s="49">
        <f>AVERAGE('31.07 Koboko-Yumbe'!H37,'01.08 Koboko-Yumbe '!H37,'04.08 Koboko-Yumbe '!H37,'05.08 Koboko-Yumbe'!H37,'02.08 Koboko-Yumbe-24h'!H37,'03.08 Koboko-Yumbe-24h'!H37,'06.08 Koboko-Yumbe'!H37)</f>
        <v>0</v>
      </c>
      <c r="I37" s="49">
        <f>AVERAGE('31.07 Koboko-Yumbe'!I37,'01.08 Koboko-Yumbe '!I37,'04.08 Koboko-Yumbe '!I37,'05.08 Koboko-Yumbe'!I37,'02.08 Koboko-Yumbe-24h'!I37,'03.08 Koboko-Yumbe-24h'!I37,'06.08 Koboko-Yumbe'!I37)</f>
        <v>0.2857142857142857</v>
      </c>
      <c r="J37" s="49">
        <f>AVERAGE('31.07 Koboko-Yumbe'!J37,'01.08 Koboko-Yumbe '!J37,'04.08 Koboko-Yumbe '!J37,'05.08 Koboko-Yumbe'!J37,'02.08 Koboko-Yumbe-24h'!J37,'03.08 Koboko-Yumbe-24h'!J37,'06.08 Koboko-Yumbe'!J37)</f>
        <v>0.14285714285714285</v>
      </c>
      <c r="K37" s="49">
        <f>AVERAGE('31.07 Koboko-Yumbe'!K37,'01.08 Koboko-Yumbe '!K37,'04.08 Koboko-Yumbe '!K37,'05.08 Koboko-Yumbe'!K37,'02.08 Koboko-Yumbe-24h'!K37,'03.08 Koboko-Yumbe-24h'!K37,'06.08 Koboko-Yumbe'!K37)</f>
        <v>0</v>
      </c>
      <c r="L37" s="49">
        <f>AVERAGE('31.07 Koboko-Yumbe'!L37,'01.08 Koboko-Yumbe '!L37,'04.08 Koboko-Yumbe '!L37,'05.08 Koboko-Yumbe'!L37,'02.08 Koboko-Yumbe-24h'!L37,'03.08 Koboko-Yumbe-24h'!L37,'06.08 Koboko-Yumbe'!L37)</f>
        <v>0</v>
      </c>
      <c r="M37" s="49">
        <f>AVERAGE('31.07 Koboko-Yumbe'!M37,'01.08 Koboko-Yumbe '!M37,'04.08 Koboko-Yumbe '!M37,'05.08 Koboko-Yumbe'!M37,'02.08 Koboko-Yumbe-24h'!M37,'03.08 Koboko-Yumbe-24h'!M37,'06.08 Koboko-Yumbe'!M37)</f>
        <v>6.4285714285714288</v>
      </c>
      <c r="N37" s="49">
        <f>AVERAGE('31.07 Koboko-Yumbe'!N37,'01.08 Koboko-Yumbe '!N37,'04.08 Koboko-Yumbe '!N37,'05.08 Koboko-Yumbe'!N37,'02.08 Koboko-Yumbe-24h'!N37,'03.08 Koboko-Yumbe-24h'!N37,'06.08 Koboko-Yumbe'!N37)</f>
        <v>0.14285714285714285</v>
      </c>
      <c r="O37" s="15">
        <f t="shared" si="0"/>
        <v>4.1428571428571423</v>
      </c>
      <c r="P37" s="15">
        <f t="shared" si="1"/>
        <v>10.571428571428571</v>
      </c>
      <c r="R37" s="37" t="s">
        <v>85</v>
      </c>
      <c r="S37" s="35">
        <f t="shared" ref="S37:AF37" si="29">SUM(S10:S12)</f>
        <v>23.571428571428569</v>
      </c>
      <c r="T37" s="16">
        <f t="shared" si="29"/>
        <v>5.2857142857142856</v>
      </c>
      <c r="U37" s="16">
        <f t="shared" si="29"/>
        <v>14.142857142857142</v>
      </c>
      <c r="V37" s="16">
        <f t="shared" si="29"/>
        <v>2.714285714285714</v>
      </c>
      <c r="W37" s="16">
        <f t="shared" si="29"/>
        <v>1.1428571428571428</v>
      </c>
      <c r="X37" s="16">
        <f t="shared" si="29"/>
        <v>1.7142857142857142</v>
      </c>
      <c r="Y37" s="16">
        <f t="shared" si="29"/>
        <v>6</v>
      </c>
      <c r="Z37" s="16">
        <f t="shared" si="29"/>
        <v>2.5714285714285712</v>
      </c>
      <c r="AA37" s="16">
        <f t="shared" si="29"/>
        <v>0.42857142857142855</v>
      </c>
      <c r="AB37" s="16">
        <f t="shared" si="29"/>
        <v>1.857142857142857</v>
      </c>
      <c r="AC37" s="16">
        <f t="shared" si="29"/>
        <v>106.28571428571428</v>
      </c>
      <c r="AD37" s="16">
        <f t="shared" si="29"/>
        <v>0</v>
      </c>
      <c r="AE37" s="32">
        <f t="shared" si="29"/>
        <v>59.428571428571431</v>
      </c>
      <c r="AF37" s="32">
        <f t="shared" si="29"/>
        <v>165.71428571428572</v>
      </c>
    </row>
    <row r="38" spans="2:32" ht="23.1" customHeight="1" x14ac:dyDescent="0.25">
      <c r="B38" s="24" t="s">
        <v>65</v>
      </c>
      <c r="C38" s="49">
        <f>AVERAGE('31.07 Koboko-Yumbe'!C38,'01.08 Koboko-Yumbe '!C38,'04.08 Koboko-Yumbe '!C38,'05.08 Koboko-Yumbe'!C38,'02.08 Koboko-Yumbe-24h'!C38,'03.08 Koboko-Yumbe-24h'!C38,'06.08 Koboko-Yumbe'!C38)</f>
        <v>2.7142857142857144</v>
      </c>
      <c r="D38" s="49">
        <f>AVERAGE('31.07 Koboko-Yumbe'!D38,'01.08 Koboko-Yumbe '!D38,'04.08 Koboko-Yumbe '!D38,'05.08 Koboko-Yumbe'!D38,'02.08 Koboko-Yumbe-24h'!D38,'03.08 Koboko-Yumbe-24h'!D38,'06.08 Koboko-Yumbe'!D38)</f>
        <v>0</v>
      </c>
      <c r="E38" s="49">
        <f>AVERAGE('31.07 Koboko-Yumbe'!E38,'01.08 Koboko-Yumbe '!E38,'04.08 Koboko-Yumbe '!E38,'05.08 Koboko-Yumbe'!E38,'02.08 Koboko-Yumbe-24h'!E38,'03.08 Koboko-Yumbe-24h'!E38,'06.08 Koboko-Yumbe'!E38)</f>
        <v>1</v>
      </c>
      <c r="F38" s="49">
        <f>AVERAGE('31.07 Koboko-Yumbe'!F38,'01.08 Koboko-Yumbe '!F38,'04.08 Koboko-Yumbe '!F38,'05.08 Koboko-Yumbe'!F38,'02.08 Koboko-Yumbe-24h'!F38,'03.08 Koboko-Yumbe-24h'!F38,'06.08 Koboko-Yumbe'!F38)</f>
        <v>0</v>
      </c>
      <c r="G38" s="49">
        <f>AVERAGE('31.07 Koboko-Yumbe'!G38,'01.08 Koboko-Yumbe '!G38,'04.08 Koboko-Yumbe '!G38,'05.08 Koboko-Yumbe'!G38,'02.08 Koboko-Yumbe-24h'!G38,'03.08 Koboko-Yumbe-24h'!G38,'06.08 Koboko-Yumbe'!G38)</f>
        <v>0</v>
      </c>
      <c r="H38" s="49">
        <f>AVERAGE('31.07 Koboko-Yumbe'!H38,'01.08 Koboko-Yumbe '!H38,'04.08 Koboko-Yumbe '!H38,'05.08 Koboko-Yumbe'!H38,'02.08 Koboko-Yumbe-24h'!H38,'03.08 Koboko-Yumbe-24h'!H38,'06.08 Koboko-Yumbe'!H38)</f>
        <v>0.14285714285714285</v>
      </c>
      <c r="I38" s="49">
        <f>AVERAGE('31.07 Koboko-Yumbe'!I38,'01.08 Koboko-Yumbe '!I38,'04.08 Koboko-Yumbe '!I38,'05.08 Koboko-Yumbe'!I38,'02.08 Koboko-Yumbe-24h'!I38,'03.08 Koboko-Yumbe-24h'!I38,'06.08 Koboko-Yumbe'!I38)</f>
        <v>0.14285714285714285</v>
      </c>
      <c r="J38" s="49">
        <f>AVERAGE('31.07 Koboko-Yumbe'!J38,'01.08 Koboko-Yumbe '!J38,'04.08 Koboko-Yumbe '!J38,'05.08 Koboko-Yumbe'!J38,'02.08 Koboko-Yumbe-24h'!J38,'03.08 Koboko-Yumbe-24h'!J38,'06.08 Koboko-Yumbe'!J38)</f>
        <v>0.2857142857142857</v>
      </c>
      <c r="K38" s="49">
        <f>AVERAGE('31.07 Koboko-Yumbe'!K38,'01.08 Koboko-Yumbe '!K38,'04.08 Koboko-Yumbe '!K38,'05.08 Koboko-Yumbe'!K38,'02.08 Koboko-Yumbe-24h'!K38,'03.08 Koboko-Yumbe-24h'!K38,'06.08 Koboko-Yumbe'!K38)</f>
        <v>0</v>
      </c>
      <c r="L38" s="49">
        <f>AVERAGE('31.07 Koboko-Yumbe'!L38,'01.08 Koboko-Yumbe '!L38,'04.08 Koboko-Yumbe '!L38,'05.08 Koboko-Yumbe'!L38,'02.08 Koboko-Yumbe-24h'!L38,'03.08 Koboko-Yumbe-24h'!L38,'06.08 Koboko-Yumbe'!L38)</f>
        <v>0</v>
      </c>
      <c r="M38" s="49">
        <f>AVERAGE('31.07 Koboko-Yumbe'!M38,'01.08 Koboko-Yumbe '!M38,'04.08 Koboko-Yumbe '!M38,'05.08 Koboko-Yumbe'!M38,'02.08 Koboko-Yumbe-24h'!M38,'03.08 Koboko-Yumbe-24h'!M38,'06.08 Koboko-Yumbe'!M38)</f>
        <v>6.7142857142857144</v>
      </c>
      <c r="N38" s="49">
        <f>AVERAGE('31.07 Koboko-Yumbe'!N38,'01.08 Koboko-Yumbe '!N38,'04.08 Koboko-Yumbe '!N38,'05.08 Koboko-Yumbe'!N38,'02.08 Koboko-Yumbe-24h'!N38,'03.08 Koboko-Yumbe-24h'!N38,'06.08 Koboko-Yumbe'!N38)</f>
        <v>0</v>
      </c>
      <c r="O38" s="15">
        <f t="shared" si="0"/>
        <v>4.2857142857142856</v>
      </c>
      <c r="P38" s="15">
        <f t="shared" si="1"/>
        <v>11</v>
      </c>
      <c r="R38" s="28" t="s">
        <v>86</v>
      </c>
      <c r="S38" s="16">
        <f t="shared" ref="S38:AF38" si="30">SUM(S13:S18)</f>
        <v>48.571428571428569</v>
      </c>
      <c r="T38" s="16">
        <f t="shared" si="30"/>
        <v>7.8571428571428568</v>
      </c>
      <c r="U38" s="16">
        <f t="shared" si="30"/>
        <v>25.285714285714285</v>
      </c>
      <c r="V38" s="16">
        <f t="shared" si="30"/>
        <v>8.5714285714285712</v>
      </c>
      <c r="W38" s="16">
        <f t="shared" si="30"/>
        <v>0.5714285714285714</v>
      </c>
      <c r="X38" s="16">
        <f t="shared" si="30"/>
        <v>0.42857142857142855</v>
      </c>
      <c r="Y38" s="16">
        <f t="shared" si="30"/>
        <v>9.4285714285714288</v>
      </c>
      <c r="Z38" s="16">
        <f t="shared" si="30"/>
        <v>2.4285714285714284</v>
      </c>
      <c r="AA38" s="16">
        <f t="shared" si="30"/>
        <v>0.71428571428571419</v>
      </c>
      <c r="AB38" s="16">
        <f t="shared" si="30"/>
        <v>1.7142857142857142</v>
      </c>
      <c r="AC38" s="16">
        <f t="shared" si="30"/>
        <v>219.57142857142856</v>
      </c>
      <c r="AD38" s="16">
        <f t="shared" si="30"/>
        <v>0.42857142857142855</v>
      </c>
      <c r="AE38" s="32">
        <f t="shared" si="30"/>
        <v>105.99999999999999</v>
      </c>
      <c r="AF38" s="32">
        <f t="shared" si="30"/>
        <v>325.57142857142856</v>
      </c>
    </row>
    <row r="39" spans="2:32" ht="23.1" customHeight="1" x14ac:dyDescent="0.25">
      <c r="B39" s="24" t="s">
        <v>66</v>
      </c>
      <c r="C39" s="49">
        <f>AVERAGE('31.07 Koboko-Yumbe'!C39,'01.08 Koboko-Yumbe '!C39,'04.08 Koboko-Yumbe '!C39,'05.08 Koboko-Yumbe'!C39,'02.08 Koboko-Yumbe-24h'!C39,'03.08 Koboko-Yumbe-24h'!C39,'06.08 Koboko-Yumbe'!C39)</f>
        <v>1.5714285714285714</v>
      </c>
      <c r="D39" s="49">
        <f>AVERAGE('31.07 Koboko-Yumbe'!D39,'01.08 Koboko-Yumbe '!D39,'04.08 Koboko-Yumbe '!D39,'05.08 Koboko-Yumbe'!D39,'02.08 Koboko-Yumbe-24h'!D39,'03.08 Koboko-Yumbe-24h'!D39,'06.08 Koboko-Yumbe'!D39)</f>
        <v>0.14285714285714285</v>
      </c>
      <c r="E39" s="49">
        <f>AVERAGE('31.07 Koboko-Yumbe'!E39,'01.08 Koboko-Yumbe '!E39,'04.08 Koboko-Yumbe '!E39,'05.08 Koboko-Yumbe'!E39,'02.08 Koboko-Yumbe-24h'!E39,'03.08 Koboko-Yumbe-24h'!E39,'06.08 Koboko-Yumbe'!E39)</f>
        <v>1.1428571428571428</v>
      </c>
      <c r="F39" s="49">
        <f>AVERAGE('31.07 Koboko-Yumbe'!F39,'01.08 Koboko-Yumbe '!F39,'04.08 Koboko-Yumbe '!F39,'05.08 Koboko-Yumbe'!F39,'02.08 Koboko-Yumbe-24h'!F39,'03.08 Koboko-Yumbe-24h'!F39,'06.08 Koboko-Yumbe'!F39)</f>
        <v>0.14285714285714285</v>
      </c>
      <c r="G39" s="49">
        <f>AVERAGE('31.07 Koboko-Yumbe'!G39,'01.08 Koboko-Yumbe '!G39,'04.08 Koboko-Yumbe '!G39,'05.08 Koboko-Yumbe'!G39,'02.08 Koboko-Yumbe-24h'!G39,'03.08 Koboko-Yumbe-24h'!G39,'06.08 Koboko-Yumbe'!G39)</f>
        <v>0</v>
      </c>
      <c r="H39" s="49">
        <f>AVERAGE('31.07 Koboko-Yumbe'!H39,'01.08 Koboko-Yumbe '!H39,'04.08 Koboko-Yumbe '!H39,'05.08 Koboko-Yumbe'!H39,'02.08 Koboko-Yumbe-24h'!H39,'03.08 Koboko-Yumbe-24h'!H39,'06.08 Koboko-Yumbe'!H39)</f>
        <v>0</v>
      </c>
      <c r="I39" s="49">
        <f>AVERAGE('31.07 Koboko-Yumbe'!I39,'01.08 Koboko-Yumbe '!I39,'04.08 Koboko-Yumbe '!I39,'05.08 Koboko-Yumbe'!I39,'02.08 Koboko-Yumbe-24h'!I39,'03.08 Koboko-Yumbe-24h'!I39,'06.08 Koboko-Yumbe'!I39)</f>
        <v>0.42857142857142855</v>
      </c>
      <c r="J39" s="49">
        <f>AVERAGE('31.07 Koboko-Yumbe'!J39,'01.08 Koboko-Yumbe '!J39,'04.08 Koboko-Yumbe '!J39,'05.08 Koboko-Yumbe'!J39,'02.08 Koboko-Yumbe-24h'!J39,'03.08 Koboko-Yumbe-24h'!J39,'06.08 Koboko-Yumbe'!J39)</f>
        <v>0</v>
      </c>
      <c r="K39" s="49">
        <f>AVERAGE('31.07 Koboko-Yumbe'!K39,'01.08 Koboko-Yumbe '!K39,'04.08 Koboko-Yumbe '!K39,'05.08 Koboko-Yumbe'!K39,'02.08 Koboko-Yumbe-24h'!K39,'03.08 Koboko-Yumbe-24h'!K39,'06.08 Koboko-Yumbe'!K39)</f>
        <v>0</v>
      </c>
      <c r="L39" s="49">
        <f>AVERAGE('31.07 Koboko-Yumbe'!L39,'01.08 Koboko-Yumbe '!L39,'04.08 Koboko-Yumbe '!L39,'05.08 Koboko-Yumbe'!L39,'02.08 Koboko-Yumbe-24h'!L39,'03.08 Koboko-Yumbe-24h'!L39,'06.08 Koboko-Yumbe'!L39)</f>
        <v>0.14285714285714285</v>
      </c>
      <c r="M39" s="49">
        <f>AVERAGE('31.07 Koboko-Yumbe'!M39,'01.08 Koboko-Yumbe '!M39,'04.08 Koboko-Yumbe '!M39,'05.08 Koboko-Yumbe'!M39,'02.08 Koboko-Yumbe-24h'!M39,'03.08 Koboko-Yumbe-24h'!M39,'06.08 Koboko-Yumbe'!M39)</f>
        <v>6.8571428571428568</v>
      </c>
      <c r="N39" s="49">
        <f>AVERAGE('31.07 Koboko-Yumbe'!N39,'01.08 Koboko-Yumbe '!N39,'04.08 Koboko-Yumbe '!N39,'05.08 Koboko-Yumbe'!N39,'02.08 Koboko-Yumbe-24h'!N39,'03.08 Koboko-Yumbe-24h'!N39,'06.08 Koboko-Yumbe'!N39)</f>
        <v>0</v>
      </c>
      <c r="O39" s="15">
        <f t="shared" si="0"/>
        <v>3.5714285714285707</v>
      </c>
      <c r="P39" s="15">
        <f t="shared" si="1"/>
        <v>10.428571428571427</v>
      </c>
      <c r="R39" s="29" t="s">
        <v>87</v>
      </c>
      <c r="S39" s="16">
        <f t="shared" ref="S39:AF39" si="31">SUM(S19:S21)</f>
        <v>25.571428571428569</v>
      </c>
      <c r="T39" s="16">
        <f t="shared" si="31"/>
        <v>4.2857142857142847</v>
      </c>
      <c r="U39" s="16">
        <f t="shared" si="31"/>
        <v>14.857142857142856</v>
      </c>
      <c r="V39" s="16">
        <f t="shared" si="31"/>
        <v>2.1428571428571423</v>
      </c>
      <c r="W39" s="16">
        <f t="shared" si="31"/>
        <v>0.85714285714285698</v>
      </c>
      <c r="X39" s="16">
        <f t="shared" si="31"/>
        <v>1.4285714285714286</v>
      </c>
      <c r="Y39" s="16">
        <f t="shared" si="31"/>
        <v>2.714285714285714</v>
      </c>
      <c r="Z39" s="16">
        <f t="shared" si="31"/>
        <v>1.5714285714285712</v>
      </c>
      <c r="AA39" s="16">
        <f t="shared" si="31"/>
        <v>0.42857142857142855</v>
      </c>
      <c r="AB39" s="16">
        <f t="shared" si="31"/>
        <v>0.8571428571428571</v>
      </c>
      <c r="AC39" s="16">
        <f t="shared" si="31"/>
        <v>120.71428571428571</v>
      </c>
      <c r="AD39" s="16">
        <f t="shared" si="31"/>
        <v>0</v>
      </c>
      <c r="AE39" s="32">
        <f t="shared" si="31"/>
        <v>54.714285714285715</v>
      </c>
      <c r="AF39" s="32">
        <f t="shared" si="31"/>
        <v>175.42857142857144</v>
      </c>
    </row>
    <row r="40" spans="2:32" ht="23.1" customHeight="1" x14ac:dyDescent="0.25">
      <c r="B40" s="24" t="s">
        <v>67</v>
      </c>
      <c r="C40" s="49">
        <f>AVERAGE('31.07 Koboko-Yumbe'!C40,'01.08 Koboko-Yumbe '!C40,'04.08 Koboko-Yumbe '!C40,'05.08 Koboko-Yumbe'!C40,'02.08 Koboko-Yumbe-24h'!C40,'03.08 Koboko-Yumbe-24h'!C40,'06.08 Koboko-Yumbe'!C40)</f>
        <v>2.1428571428571428</v>
      </c>
      <c r="D40" s="49">
        <f>AVERAGE('31.07 Koboko-Yumbe'!D40,'01.08 Koboko-Yumbe '!D40,'04.08 Koboko-Yumbe '!D40,'05.08 Koboko-Yumbe'!D40,'02.08 Koboko-Yumbe-24h'!D40,'03.08 Koboko-Yumbe-24h'!D40,'06.08 Koboko-Yumbe'!D40)</f>
        <v>0.14285714285714285</v>
      </c>
      <c r="E40" s="49">
        <f>AVERAGE('31.07 Koboko-Yumbe'!E40,'01.08 Koboko-Yumbe '!E40,'04.08 Koboko-Yumbe '!E40,'05.08 Koboko-Yumbe'!E40,'02.08 Koboko-Yumbe-24h'!E40,'03.08 Koboko-Yumbe-24h'!E40,'06.08 Koboko-Yumbe'!E40)</f>
        <v>0.7142857142857143</v>
      </c>
      <c r="F40" s="49">
        <f>AVERAGE('31.07 Koboko-Yumbe'!F40,'01.08 Koboko-Yumbe '!F40,'04.08 Koboko-Yumbe '!F40,'05.08 Koboko-Yumbe'!F40,'02.08 Koboko-Yumbe-24h'!F40,'03.08 Koboko-Yumbe-24h'!F40,'06.08 Koboko-Yumbe'!F40)</f>
        <v>0.2857142857142857</v>
      </c>
      <c r="G40" s="49">
        <f>AVERAGE('31.07 Koboko-Yumbe'!G40,'01.08 Koboko-Yumbe '!G40,'04.08 Koboko-Yumbe '!G40,'05.08 Koboko-Yumbe'!G40,'02.08 Koboko-Yumbe-24h'!G40,'03.08 Koboko-Yumbe-24h'!G40,'06.08 Koboko-Yumbe'!G40)</f>
        <v>0</v>
      </c>
      <c r="H40" s="49">
        <f>AVERAGE('31.07 Koboko-Yumbe'!H40,'01.08 Koboko-Yumbe '!H40,'04.08 Koboko-Yumbe '!H40,'05.08 Koboko-Yumbe'!H40,'02.08 Koboko-Yumbe-24h'!H40,'03.08 Koboko-Yumbe-24h'!H40,'06.08 Koboko-Yumbe'!H40)</f>
        <v>0</v>
      </c>
      <c r="I40" s="49">
        <f>AVERAGE('31.07 Koboko-Yumbe'!I40,'01.08 Koboko-Yumbe '!I40,'04.08 Koboko-Yumbe '!I40,'05.08 Koboko-Yumbe'!I40,'02.08 Koboko-Yumbe-24h'!I40,'03.08 Koboko-Yumbe-24h'!I40,'06.08 Koboko-Yumbe'!I40)</f>
        <v>0</v>
      </c>
      <c r="J40" s="49">
        <f>AVERAGE('31.07 Koboko-Yumbe'!J40,'01.08 Koboko-Yumbe '!J40,'04.08 Koboko-Yumbe '!J40,'05.08 Koboko-Yumbe'!J40,'02.08 Koboko-Yumbe-24h'!J40,'03.08 Koboko-Yumbe-24h'!J40,'06.08 Koboko-Yumbe'!J40)</f>
        <v>0.14285714285714285</v>
      </c>
      <c r="K40" s="49">
        <f>AVERAGE('31.07 Koboko-Yumbe'!K40,'01.08 Koboko-Yumbe '!K40,'04.08 Koboko-Yumbe '!K40,'05.08 Koboko-Yumbe'!K40,'02.08 Koboko-Yumbe-24h'!K40,'03.08 Koboko-Yumbe-24h'!K40,'06.08 Koboko-Yumbe'!K40)</f>
        <v>0.14285714285714285</v>
      </c>
      <c r="L40" s="49">
        <f>AVERAGE('31.07 Koboko-Yumbe'!L40,'01.08 Koboko-Yumbe '!L40,'04.08 Koboko-Yumbe '!L40,'05.08 Koboko-Yumbe'!L40,'02.08 Koboko-Yumbe-24h'!L40,'03.08 Koboko-Yumbe-24h'!L40,'06.08 Koboko-Yumbe'!L40)</f>
        <v>0</v>
      </c>
      <c r="M40" s="49">
        <f>AVERAGE('31.07 Koboko-Yumbe'!M40,'01.08 Koboko-Yumbe '!M40,'04.08 Koboko-Yumbe '!M40,'05.08 Koboko-Yumbe'!M40,'02.08 Koboko-Yumbe-24h'!M40,'03.08 Koboko-Yumbe-24h'!M40,'06.08 Koboko-Yumbe'!M40)</f>
        <v>7.1428571428571432</v>
      </c>
      <c r="N40" s="49">
        <f>AVERAGE('31.07 Koboko-Yumbe'!N40,'01.08 Koboko-Yumbe '!N40,'04.08 Koboko-Yumbe '!N40,'05.08 Koboko-Yumbe'!N40,'02.08 Koboko-Yumbe-24h'!N40,'03.08 Koboko-Yumbe-24h'!N40,'06.08 Koboko-Yumbe'!N40)</f>
        <v>0</v>
      </c>
      <c r="O40" s="15">
        <f t="shared" si="0"/>
        <v>3.5714285714285712</v>
      </c>
      <c r="P40" s="15">
        <f t="shared" si="1"/>
        <v>10.714285714285715</v>
      </c>
      <c r="R40" s="5" t="s">
        <v>17</v>
      </c>
      <c r="S40" s="16">
        <f t="shared" ref="S40:AF40" si="32">SUM(S10:S21)</f>
        <v>97.714285714285708</v>
      </c>
      <c r="T40" s="16">
        <f t="shared" si="32"/>
        <v>17.428571428571431</v>
      </c>
      <c r="U40" s="16">
        <f t="shared" si="32"/>
        <v>54.285714285714278</v>
      </c>
      <c r="V40" s="16">
        <f t="shared" si="32"/>
        <v>13.428571428571429</v>
      </c>
      <c r="W40" s="16">
        <f t="shared" si="32"/>
        <v>2.5714285714285712</v>
      </c>
      <c r="X40" s="16">
        <f t="shared" si="32"/>
        <v>3.5714285714285712</v>
      </c>
      <c r="Y40" s="16">
        <f t="shared" si="32"/>
        <v>18.142857142857142</v>
      </c>
      <c r="Z40" s="16">
        <f t="shared" si="32"/>
        <v>6.5714285714285721</v>
      </c>
      <c r="AA40" s="16">
        <f t="shared" si="32"/>
        <v>1.5714285714285712</v>
      </c>
      <c r="AB40" s="16">
        <f t="shared" si="32"/>
        <v>4.4285714285714279</v>
      </c>
      <c r="AC40" s="16">
        <f t="shared" si="32"/>
        <v>446.57142857142856</v>
      </c>
      <c r="AD40" s="16">
        <f t="shared" si="32"/>
        <v>0.42857142857142855</v>
      </c>
      <c r="AE40" s="32">
        <f t="shared" si="32"/>
        <v>220.14285714285717</v>
      </c>
      <c r="AF40" s="32">
        <f t="shared" si="32"/>
        <v>666.71428571428567</v>
      </c>
    </row>
    <row r="41" spans="2:32" ht="23.1" customHeight="1" x14ac:dyDescent="0.25">
      <c r="B41" s="23" t="s">
        <v>68</v>
      </c>
      <c r="C41" s="49">
        <f>AVERAGE('31.07 Koboko-Yumbe'!C41,'01.08 Koboko-Yumbe '!C41,'04.08 Koboko-Yumbe '!C41,'05.08 Koboko-Yumbe'!C41,'02.08 Koboko-Yumbe-24h'!C41,'03.08 Koboko-Yumbe-24h'!C41,'06.08 Koboko-Yumbe'!C41)</f>
        <v>2</v>
      </c>
      <c r="D41" s="49">
        <f>AVERAGE('31.07 Koboko-Yumbe'!D41,'01.08 Koboko-Yumbe '!D41,'04.08 Koboko-Yumbe '!D41,'05.08 Koboko-Yumbe'!D41,'02.08 Koboko-Yumbe-24h'!D41,'03.08 Koboko-Yumbe-24h'!D41,'06.08 Koboko-Yumbe'!D41)</f>
        <v>0</v>
      </c>
      <c r="E41" s="49">
        <f>AVERAGE('31.07 Koboko-Yumbe'!E41,'01.08 Koboko-Yumbe '!E41,'04.08 Koboko-Yumbe '!E41,'05.08 Koboko-Yumbe'!E41,'02.08 Koboko-Yumbe-24h'!E41,'03.08 Koboko-Yumbe-24h'!E41,'06.08 Koboko-Yumbe'!E41)</f>
        <v>1</v>
      </c>
      <c r="F41" s="49">
        <f>AVERAGE('31.07 Koboko-Yumbe'!F41,'01.08 Koboko-Yumbe '!F41,'04.08 Koboko-Yumbe '!F41,'05.08 Koboko-Yumbe'!F41,'02.08 Koboko-Yumbe-24h'!F41,'03.08 Koboko-Yumbe-24h'!F41,'06.08 Koboko-Yumbe'!F41)</f>
        <v>0</v>
      </c>
      <c r="G41" s="49">
        <f>AVERAGE('31.07 Koboko-Yumbe'!G41,'01.08 Koboko-Yumbe '!G41,'04.08 Koboko-Yumbe '!G41,'05.08 Koboko-Yumbe'!G41,'02.08 Koboko-Yumbe-24h'!G41,'03.08 Koboko-Yumbe-24h'!G41,'06.08 Koboko-Yumbe'!G41)</f>
        <v>0</v>
      </c>
      <c r="H41" s="49">
        <f>AVERAGE('31.07 Koboko-Yumbe'!H41,'01.08 Koboko-Yumbe '!H41,'04.08 Koboko-Yumbe '!H41,'05.08 Koboko-Yumbe'!H41,'02.08 Koboko-Yumbe-24h'!H41,'03.08 Koboko-Yumbe-24h'!H41,'06.08 Koboko-Yumbe'!H41)</f>
        <v>0</v>
      </c>
      <c r="I41" s="49">
        <f>AVERAGE('31.07 Koboko-Yumbe'!I41,'01.08 Koboko-Yumbe '!I41,'04.08 Koboko-Yumbe '!I41,'05.08 Koboko-Yumbe'!I41,'02.08 Koboko-Yumbe-24h'!I41,'03.08 Koboko-Yumbe-24h'!I41,'06.08 Koboko-Yumbe'!I41)</f>
        <v>0.2857142857142857</v>
      </c>
      <c r="J41" s="49">
        <f>AVERAGE('31.07 Koboko-Yumbe'!J41,'01.08 Koboko-Yumbe '!J41,'04.08 Koboko-Yumbe '!J41,'05.08 Koboko-Yumbe'!J41,'02.08 Koboko-Yumbe-24h'!J41,'03.08 Koboko-Yumbe-24h'!J41,'06.08 Koboko-Yumbe'!J41)</f>
        <v>0.14285714285714285</v>
      </c>
      <c r="K41" s="49">
        <f>AVERAGE('31.07 Koboko-Yumbe'!K41,'01.08 Koboko-Yumbe '!K41,'04.08 Koboko-Yumbe '!K41,'05.08 Koboko-Yumbe'!K41,'02.08 Koboko-Yumbe-24h'!K41,'03.08 Koboko-Yumbe-24h'!K41,'06.08 Koboko-Yumbe'!K41)</f>
        <v>0</v>
      </c>
      <c r="L41" s="49">
        <f>AVERAGE('31.07 Koboko-Yumbe'!L41,'01.08 Koboko-Yumbe '!L41,'04.08 Koboko-Yumbe '!L41,'05.08 Koboko-Yumbe'!L41,'02.08 Koboko-Yumbe-24h'!L41,'03.08 Koboko-Yumbe-24h'!L41,'06.08 Koboko-Yumbe'!L41)</f>
        <v>0.14285714285714285</v>
      </c>
      <c r="M41" s="49">
        <f>AVERAGE('31.07 Koboko-Yumbe'!M41,'01.08 Koboko-Yumbe '!M41,'04.08 Koboko-Yumbe '!M41,'05.08 Koboko-Yumbe'!M41,'02.08 Koboko-Yumbe-24h'!M41,'03.08 Koboko-Yumbe-24h'!M41,'06.08 Koboko-Yumbe'!M41)</f>
        <v>8.5714285714285712</v>
      </c>
      <c r="N41" s="49">
        <f>AVERAGE('31.07 Koboko-Yumbe'!N41,'01.08 Koboko-Yumbe '!N41,'04.08 Koboko-Yumbe '!N41,'05.08 Koboko-Yumbe'!N41,'02.08 Koboko-Yumbe-24h'!N41,'03.08 Koboko-Yumbe-24h'!N41,'06.08 Koboko-Yumbe'!N41)</f>
        <v>0</v>
      </c>
      <c r="O41" s="15">
        <f t="shared" si="0"/>
        <v>3.5714285714285712</v>
      </c>
      <c r="P41" s="15">
        <f t="shared" si="1"/>
        <v>12.142857142857142</v>
      </c>
      <c r="R41" s="5" t="s">
        <v>175</v>
      </c>
      <c r="S41" s="16">
        <f>SUM(S10:S33)</f>
        <v>121.71428571428571</v>
      </c>
      <c r="T41" s="16">
        <f t="shared" ref="T41:AD41" si="33">SUM(T10:T33)</f>
        <v>19.428571428571431</v>
      </c>
      <c r="U41" s="16">
        <f t="shared" si="33"/>
        <v>66.285714285714278</v>
      </c>
      <c r="V41" s="16">
        <f t="shared" si="33"/>
        <v>18.428571428571431</v>
      </c>
      <c r="W41" s="16">
        <f t="shared" si="33"/>
        <v>4.0714285714285712</v>
      </c>
      <c r="X41" s="16">
        <f t="shared" si="33"/>
        <v>7.0714285714285712</v>
      </c>
      <c r="Y41" s="16">
        <f t="shared" si="33"/>
        <v>21.142857142857142</v>
      </c>
      <c r="Z41" s="16">
        <f t="shared" si="33"/>
        <v>7.5714285714285721</v>
      </c>
      <c r="AA41" s="16">
        <f t="shared" si="33"/>
        <v>2.5714285714285712</v>
      </c>
      <c r="AB41" s="16">
        <f t="shared" si="33"/>
        <v>4.9285714285714279</v>
      </c>
      <c r="AC41" s="16">
        <f t="shared" si="33"/>
        <v>497.07142857142856</v>
      </c>
      <c r="AD41" s="16">
        <f t="shared" si="33"/>
        <v>1.4285714285714286</v>
      </c>
      <c r="AE41" s="32">
        <f>SUM(AE10:AE33)</f>
        <v>274.64285714285717</v>
      </c>
      <c r="AF41" s="32">
        <f>SUM(AF10:AF33)</f>
        <v>771.71428571428567</v>
      </c>
    </row>
    <row r="42" spans="2:32" ht="23.1" customHeight="1" x14ac:dyDescent="0.25">
      <c r="B42" s="24" t="s">
        <v>69</v>
      </c>
      <c r="C42" s="49">
        <f>AVERAGE('31.07 Koboko-Yumbe'!C42,'01.08 Koboko-Yumbe '!C42,'04.08 Koboko-Yumbe '!C42,'05.08 Koboko-Yumbe'!C42,'02.08 Koboko-Yumbe-24h'!C42,'03.08 Koboko-Yumbe-24h'!C42,'06.08 Koboko-Yumbe'!C42)</f>
        <v>2.5714285714285716</v>
      </c>
      <c r="D42" s="49">
        <f>AVERAGE('31.07 Koboko-Yumbe'!D42,'01.08 Koboko-Yumbe '!D42,'04.08 Koboko-Yumbe '!D42,'05.08 Koboko-Yumbe'!D42,'02.08 Koboko-Yumbe-24h'!D42,'03.08 Koboko-Yumbe-24h'!D42,'06.08 Koboko-Yumbe'!D42)</f>
        <v>0.2857142857142857</v>
      </c>
      <c r="E42" s="49">
        <f>AVERAGE('31.07 Koboko-Yumbe'!E42,'01.08 Koboko-Yumbe '!E42,'04.08 Koboko-Yumbe '!E42,'05.08 Koboko-Yumbe'!E42,'02.08 Koboko-Yumbe-24h'!E42,'03.08 Koboko-Yumbe-24h'!E42,'06.08 Koboko-Yumbe'!E42)</f>
        <v>0.8571428571428571</v>
      </c>
      <c r="F42" s="49">
        <f>AVERAGE('31.07 Koboko-Yumbe'!F42,'01.08 Koboko-Yumbe '!F42,'04.08 Koboko-Yumbe '!F42,'05.08 Koboko-Yumbe'!F42,'02.08 Koboko-Yumbe-24h'!F42,'03.08 Koboko-Yumbe-24h'!F42,'06.08 Koboko-Yumbe'!F42)</f>
        <v>0.2857142857142857</v>
      </c>
      <c r="G42" s="49">
        <f>AVERAGE('31.07 Koboko-Yumbe'!G42,'01.08 Koboko-Yumbe '!G42,'04.08 Koboko-Yumbe '!G42,'05.08 Koboko-Yumbe'!G42,'02.08 Koboko-Yumbe-24h'!G42,'03.08 Koboko-Yumbe-24h'!G42,'06.08 Koboko-Yumbe'!G42)</f>
        <v>0</v>
      </c>
      <c r="H42" s="49">
        <f>AVERAGE('31.07 Koboko-Yumbe'!H42,'01.08 Koboko-Yumbe '!H42,'04.08 Koboko-Yumbe '!H42,'05.08 Koboko-Yumbe'!H42,'02.08 Koboko-Yumbe-24h'!H42,'03.08 Koboko-Yumbe-24h'!H42,'06.08 Koboko-Yumbe'!H42)</f>
        <v>0</v>
      </c>
      <c r="I42" s="49">
        <f>AVERAGE('31.07 Koboko-Yumbe'!I42,'01.08 Koboko-Yumbe '!I42,'04.08 Koboko-Yumbe '!I42,'05.08 Koboko-Yumbe'!I42,'02.08 Koboko-Yumbe-24h'!I42,'03.08 Koboko-Yumbe-24h'!I42,'06.08 Koboko-Yumbe'!I42)</f>
        <v>0.7142857142857143</v>
      </c>
      <c r="J42" s="49">
        <f>AVERAGE('31.07 Koboko-Yumbe'!J42,'01.08 Koboko-Yumbe '!J42,'04.08 Koboko-Yumbe '!J42,'05.08 Koboko-Yumbe'!J42,'02.08 Koboko-Yumbe-24h'!J42,'03.08 Koboko-Yumbe-24h'!J42,'06.08 Koboko-Yumbe'!J42)</f>
        <v>0.14285714285714285</v>
      </c>
      <c r="K42" s="49">
        <f>AVERAGE('31.07 Koboko-Yumbe'!K42,'01.08 Koboko-Yumbe '!K42,'04.08 Koboko-Yumbe '!K42,'05.08 Koboko-Yumbe'!K42,'02.08 Koboko-Yumbe-24h'!K42,'03.08 Koboko-Yumbe-24h'!K42,'06.08 Koboko-Yumbe'!K42)</f>
        <v>0.14285714285714285</v>
      </c>
      <c r="L42" s="49">
        <f>AVERAGE('31.07 Koboko-Yumbe'!L42,'01.08 Koboko-Yumbe '!L42,'04.08 Koboko-Yumbe '!L42,'05.08 Koboko-Yumbe'!L42,'02.08 Koboko-Yumbe-24h'!L42,'03.08 Koboko-Yumbe-24h'!L42,'06.08 Koboko-Yumbe'!L42)</f>
        <v>0</v>
      </c>
      <c r="M42" s="49">
        <f>AVERAGE('31.07 Koboko-Yumbe'!M42,'01.08 Koboko-Yumbe '!M42,'04.08 Koboko-Yumbe '!M42,'05.08 Koboko-Yumbe'!M42,'02.08 Koboko-Yumbe-24h'!M42,'03.08 Koboko-Yumbe-24h'!M42,'06.08 Koboko-Yumbe'!M42)</f>
        <v>8.5714285714285712</v>
      </c>
      <c r="N42" s="49">
        <f>AVERAGE('31.07 Koboko-Yumbe'!N42,'01.08 Koboko-Yumbe '!N42,'04.08 Koboko-Yumbe '!N42,'05.08 Koboko-Yumbe'!N42,'02.08 Koboko-Yumbe-24h'!N42,'03.08 Koboko-Yumbe-24h'!N42,'06.08 Koboko-Yumbe'!N42)</f>
        <v>0</v>
      </c>
      <c r="O42" s="15">
        <f t="shared" si="0"/>
        <v>5.0000000000000009</v>
      </c>
      <c r="P42" s="15">
        <f t="shared" si="1"/>
        <v>13.571428571428573</v>
      </c>
      <c r="R42" s="5" t="s">
        <v>160</v>
      </c>
      <c r="S42" s="48">
        <f>S41/S40</f>
        <v>1.2456140350877194</v>
      </c>
      <c r="T42" s="48">
        <f t="shared" ref="T42:AF42" si="34">T41/T40</f>
        <v>1.1147540983606556</v>
      </c>
      <c r="U42" s="48">
        <f t="shared" si="34"/>
        <v>1.2210526315789474</v>
      </c>
      <c r="V42" s="48">
        <f t="shared" si="34"/>
        <v>1.3723404255319149</v>
      </c>
      <c r="W42" s="48">
        <f t="shared" si="34"/>
        <v>1.5833333333333335</v>
      </c>
      <c r="X42" s="48">
        <f t="shared" si="34"/>
        <v>1.98</v>
      </c>
      <c r="Y42" s="48">
        <f t="shared" si="34"/>
        <v>1.1653543307086613</v>
      </c>
      <c r="Z42" s="48">
        <f t="shared" si="34"/>
        <v>1.1521739130434783</v>
      </c>
      <c r="AA42" s="48">
        <f t="shared" si="34"/>
        <v>1.6363636363636365</v>
      </c>
      <c r="AB42" s="48">
        <f t="shared" si="34"/>
        <v>1.1129032258064517</v>
      </c>
      <c r="AC42" s="48">
        <f t="shared" si="34"/>
        <v>1.1130838131797824</v>
      </c>
      <c r="AD42" s="48">
        <f t="shared" si="34"/>
        <v>3.3333333333333335</v>
      </c>
      <c r="AE42" s="54">
        <f t="shared" si="34"/>
        <v>1.2475665152498376</v>
      </c>
      <c r="AF42" s="54">
        <f t="shared" si="34"/>
        <v>1.1574887508035141</v>
      </c>
    </row>
    <row r="43" spans="2:32" ht="23.1" customHeight="1" x14ac:dyDescent="0.25">
      <c r="B43" s="23" t="s">
        <v>70</v>
      </c>
      <c r="C43" s="49">
        <f>AVERAGE('31.07 Koboko-Yumbe'!C43,'01.08 Koboko-Yumbe '!C43,'04.08 Koboko-Yumbe '!C43,'05.08 Koboko-Yumbe'!C43,'02.08 Koboko-Yumbe-24h'!C43,'03.08 Koboko-Yumbe-24h'!C43,'06.08 Koboko-Yumbe'!C43)</f>
        <v>1.4285714285714286</v>
      </c>
      <c r="D43" s="49">
        <f>AVERAGE('31.07 Koboko-Yumbe'!D43,'01.08 Koboko-Yumbe '!D43,'04.08 Koboko-Yumbe '!D43,'05.08 Koboko-Yumbe'!D43,'02.08 Koboko-Yumbe-24h'!D43,'03.08 Koboko-Yumbe-24h'!D43,'06.08 Koboko-Yumbe'!D43)</f>
        <v>0.14285714285714285</v>
      </c>
      <c r="E43" s="49">
        <f>AVERAGE('31.07 Koboko-Yumbe'!E43,'01.08 Koboko-Yumbe '!E43,'04.08 Koboko-Yumbe '!E43,'05.08 Koboko-Yumbe'!E43,'02.08 Koboko-Yumbe-24h'!E43,'03.08 Koboko-Yumbe-24h'!E43,'06.08 Koboko-Yumbe'!E43)</f>
        <v>0.7142857142857143</v>
      </c>
      <c r="F43" s="49">
        <f>AVERAGE('31.07 Koboko-Yumbe'!F43,'01.08 Koboko-Yumbe '!F43,'04.08 Koboko-Yumbe '!F43,'05.08 Koboko-Yumbe'!F43,'02.08 Koboko-Yumbe-24h'!F43,'03.08 Koboko-Yumbe-24h'!F43,'06.08 Koboko-Yumbe'!F43)</f>
        <v>0.2857142857142857</v>
      </c>
      <c r="G43" s="49">
        <f>AVERAGE('31.07 Koboko-Yumbe'!G43,'01.08 Koboko-Yumbe '!G43,'04.08 Koboko-Yumbe '!G43,'05.08 Koboko-Yumbe'!G43,'02.08 Koboko-Yumbe-24h'!G43,'03.08 Koboko-Yumbe-24h'!G43,'06.08 Koboko-Yumbe'!G43)</f>
        <v>0</v>
      </c>
      <c r="H43" s="49">
        <f>AVERAGE('31.07 Koboko-Yumbe'!H43,'01.08 Koboko-Yumbe '!H43,'04.08 Koboko-Yumbe '!H43,'05.08 Koboko-Yumbe'!H43,'02.08 Koboko-Yumbe-24h'!H43,'03.08 Koboko-Yumbe-24h'!H43,'06.08 Koboko-Yumbe'!H43)</f>
        <v>0</v>
      </c>
      <c r="I43" s="49">
        <f>AVERAGE('31.07 Koboko-Yumbe'!I43,'01.08 Koboko-Yumbe '!I43,'04.08 Koboko-Yumbe '!I43,'05.08 Koboko-Yumbe'!I43,'02.08 Koboko-Yumbe-24h'!I43,'03.08 Koboko-Yumbe-24h'!I43,'06.08 Koboko-Yumbe'!I43)</f>
        <v>0</v>
      </c>
      <c r="J43" s="49">
        <f>AVERAGE('31.07 Koboko-Yumbe'!J43,'01.08 Koboko-Yumbe '!J43,'04.08 Koboko-Yumbe '!J43,'05.08 Koboko-Yumbe'!J43,'02.08 Koboko-Yumbe-24h'!J43,'03.08 Koboko-Yumbe-24h'!J43,'06.08 Koboko-Yumbe'!J43)</f>
        <v>0</v>
      </c>
      <c r="K43" s="49">
        <f>AVERAGE('31.07 Koboko-Yumbe'!K43,'01.08 Koboko-Yumbe '!K43,'04.08 Koboko-Yumbe '!K43,'05.08 Koboko-Yumbe'!K43,'02.08 Koboko-Yumbe-24h'!K43,'03.08 Koboko-Yumbe-24h'!K43,'06.08 Koboko-Yumbe'!K43)</f>
        <v>0</v>
      </c>
      <c r="L43" s="49">
        <f>AVERAGE('31.07 Koboko-Yumbe'!L43,'01.08 Koboko-Yumbe '!L43,'04.08 Koboko-Yumbe '!L43,'05.08 Koboko-Yumbe'!L43,'02.08 Koboko-Yumbe-24h'!L43,'03.08 Koboko-Yumbe-24h'!L43,'06.08 Koboko-Yumbe'!L43)</f>
        <v>0.14285714285714285</v>
      </c>
      <c r="M43" s="49">
        <f>AVERAGE('31.07 Koboko-Yumbe'!M43,'01.08 Koboko-Yumbe '!M43,'04.08 Koboko-Yumbe '!M43,'05.08 Koboko-Yumbe'!M43,'02.08 Koboko-Yumbe-24h'!M43,'03.08 Koboko-Yumbe-24h'!M43,'06.08 Koboko-Yumbe'!M43)</f>
        <v>8.1428571428571423</v>
      </c>
      <c r="N43" s="49">
        <f>AVERAGE('31.07 Koboko-Yumbe'!N43,'01.08 Koboko-Yumbe '!N43,'04.08 Koboko-Yumbe '!N43,'05.08 Koboko-Yumbe'!N43,'02.08 Koboko-Yumbe-24h'!N43,'03.08 Koboko-Yumbe-24h'!N43,'06.08 Koboko-Yumbe'!N43)</f>
        <v>0</v>
      </c>
      <c r="O43" s="15">
        <f t="shared" si="0"/>
        <v>2.714285714285714</v>
      </c>
      <c r="P43" s="15">
        <f t="shared" si="1"/>
        <v>10.857142857142856</v>
      </c>
    </row>
    <row r="44" spans="2:32" ht="23.1" customHeight="1" x14ac:dyDescent="0.25">
      <c r="B44" s="25" t="s">
        <v>71</v>
      </c>
      <c r="C44" s="49">
        <f>AVERAGE('31.07 Koboko-Yumbe'!C44,'01.08 Koboko-Yumbe '!C44,'04.08 Koboko-Yumbe '!C44,'05.08 Koboko-Yumbe'!C44,'02.08 Koboko-Yumbe-24h'!C44,'03.08 Koboko-Yumbe-24h'!C44,'06.08 Koboko-Yumbe'!C44)</f>
        <v>2.4285714285714284</v>
      </c>
      <c r="D44" s="49">
        <f>AVERAGE('31.07 Koboko-Yumbe'!D44,'01.08 Koboko-Yumbe '!D44,'04.08 Koboko-Yumbe '!D44,'05.08 Koboko-Yumbe'!D44,'02.08 Koboko-Yumbe-24h'!D44,'03.08 Koboko-Yumbe-24h'!D44,'06.08 Koboko-Yumbe'!D44)</f>
        <v>0.2857142857142857</v>
      </c>
      <c r="E44" s="49">
        <f>AVERAGE('31.07 Koboko-Yumbe'!E44,'01.08 Koboko-Yumbe '!E44,'04.08 Koboko-Yumbe '!E44,'05.08 Koboko-Yumbe'!E44,'02.08 Koboko-Yumbe-24h'!E44,'03.08 Koboko-Yumbe-24h'!E44,'06.08 Koboko-Yumbe'!E44)</f>
        <v>1.2857142857142858</v>
      </c>
      <c r="F44" s="49">
        <f>AVERAGE('31.07 Koboko-Yumbe'!F44,'01.08 Koboko-Yumbe '!F44,'04.08 Koboko-Yumbe '!F44,'05.08 Koboko-Yumbe'!F44,'02.08 Koboko-Yumbe-24h'!F44,'03.08 Koboko-Yumbe-24h'!F44,'06.08 Koboko-Yumbe'!F44)</f>
        <v>0.2857142857142857</v>
      </c>
      <c r="G44" s="49">
        <f>AVERAGE('31.07 Koboko-Yumbe'!G44,'01.08 Koboko-Yumbe '!G44,'04.08 Koboko-Yumbe '!G44,'05.08 Koboko-Yumbe'!G44,'02.08 Koboko-Yumbe-24h'!G44,'03.08 Koboko-Yumbe-24h'!G44,'06.08 Koboko-Yumbe'!G44)</f>
        <v>0.14285714285714285</v>
      </c>
      <c r="H44" s="49">
        <f>AVERAGE('31.07 Koboko-Yumbe'!H44,'01.08 Koboko-Yumbe '!H44,'04.08 Koboko-Yumbe '!H44,'05.08 Koboko-Yumbe'!H44,'02.08 Koboko-Yumbe-24h'!H44,'03.08 Koboko-Yumbe-24h'!H44,'06.08 Koboko-Yumbe'!H44)</f>
        <v>0</v>
      </c>
      <c r="I44" s="49">
        <f>AVERAGE('31.07 Koboko-Yumbe'!I44,'01.08 Koboko-Yumbe '!I44,'04.08 Koboko-Yumbe '!I44,'05.08 Koboko-Yumbe'!I44,'02.08 Koboko-Yumbe-24h'!I44,'03.08 Koboko-Yumbe-24h'!I44,'06.08 Koboko-Yumbe'!I44)</f>
        <v>0.14285714285714285</v>
      </c>
      <c r="J44" s="49">
        <f>AVERAGE('31.07 Koboko-Yumbe'!J44,'01.08 Koboko-Yumbe '!J44,'04.08 Koboko-Yumbe '!J44,'05.08 Koboko-Yumbe'!J44,'02.08 Koboko-Yumbe-24h'!J44,'03.08 Koboko-Yumbe-24h'!J44,'06.08 Koboko-Yumbe'!J44)</f>
        <v>0</v>
      </c>
      <c r="K44" s="49">
        <f>AVERAGE('31.07 Koboko-Yumbe'!K44,'01.08 Koboko-Yumbe '!K44,'04.08 Koboko-Yumbe '!K44,'05.08 Koboko-Yumbe'!K44,'02.08 Koboko-Yumbe-24h'!K44,'03.08 Koboko-Yumbe-24h'!K44,'06.08 Koboko-Yumbe'!K44)</f>
        <v>0</v>
      </c>
      <c r="L44" s="49">
        <f>AVERAGE('31.07 Koboko-Yumbe'!L44,'01.08 Koboko-Yumbe '!L44,'04.08 Koboko-Yumbe '!L44,'05.08 Koboko-Yumbe'!L44,'02.08 Koboko-Yumbe-24h'!L44,'03.08 Koboko-Yumbe-24h'!L44,'06.08 Koboko-Yumbe'!L44)</f>
        <v>0</v>
      </c>
      <c r="M44" s="49">
        <f>AVERAGE('31.07 Koboko-Yumbe'!M44,'01.08 Koboko-Yumbe '!M44,'04.08 Koboko-Yumbe '!M44,'05.08 Koboko-Yumbe'!M44,'02.08 Koboko-Yumbe-24h'!M44,'03.08 Koboko-Yumbe-24h'!M44,'06.08 Koboko-Yumbe'!M44)</f>
        <v>9.7142857142857135</v>
      </c>
      <c r="N44" s="49">
        <f>AVERAGE('31.07 Koboko-Yumbe'!N44,'01.08 Koboko-Yumbe '!N44,'04.08 Koboko-Yumbe '!N44,'05.08 Koboko-Yumbe'!N44,'02.08 Koboko-Yumbe-24h'!N44,'03.08 Koboko-Yumbe-24h'!N44,'06.08 Koboko-Yumbe'!N44)</f>
        <v>0</v>
      </c>
      <c r="O44" s="15">
        <f t="shared" si="0"/>
        <v>4.5714285714285721</v>
      </c>
      <c r="P44" s="15">
        <f t="shared" si="1"/>
        <v>14.285714285714285</v>
      </c>
    </row>
    <row r="45" spans="2:32" ht="23.1" customHeight="1" x14ac:dyDescent="0.25">
      <c r="B45" s="23" t="s">
        <v>72</v>
      </c>
      <c r="C45" s="49">
        <f>AVERAGE('31.07 Koboko-Yumbe'!C45,'01.08 Koboko-Yumbe '!C45,'04.08 Koboko-Yumbe '!C45,'05.08 Koboko-Yumbe'!C45,'02.08 Koboko-Yumbe-24h'!C45,'03.08 Koboko-Yumbe-24h'!C45,'06.08 Koboko-Yumbe'!C45)</f>
        <v>1.5714285714285714</v>
      </c>
      <c r="D45" s="49">
        <f>AVERAGE('31.07 Koboko-Yumbe'!D45,'01.08 Koboko-Yumbe '!D45,'04.08 Koboko-Yumbe '!D45,'05.08 Koboko-Yumbe'!D45,'02.08 Koboko-Yumbe-24h'!D45,'03.08 Koboko-Yumbe-24h'!D45,'06.08 Koboko-Yumbe'!D45)</f>
        <v>0.2857142857142857</v>
      </c>
      <c r="E45" s="49">
        <f>AVERAGE('31.07 Koboko-Yumbe'!E45,'01.08 Koboko-Yumbe '!E45,'04.08 Koboko-Yumbe '!E45,'05.08 Koboko-Yumbe'!E45,'02.08 Koboko-Yumbe-24h'!E45,'03.08 Koboko-Yumbe-24h'!E45,'06.08 Koboko-Yumbe'!E45)</f>
        <v>1.1428571428571428</v>
      </c>
      <c r="F45" s="49">
        <f>AVERAGE('31.07 Koboko-Yumbe'!F45,'01.08 Koboko-Yumbe '!F45,'04.08 Koboko-Yumbe '!F45,'05.08 Koboko-Yumbe'!F45,'02.08 Koboko-Yumbe-24h'!F45,'03.08 Koboko-Yumbe-24h'!F45,'06.08 Koboko-Yumbe'!F45)</f>
        <v>0.5714285714285714</v>
      </c>
      <c r="G45" s="49">
        <f>AVERAGE('31.07 Koboko-Yumbe'!G45,'01.08 Koboko-Yumbe '!G45,'04.08 Koboko-Yumbe '!G45,'05.08 Koboko-Yumbe'!G45,'02.08 Koboko-Yumbe-24h'!G45,'03.08 Koboko-Yumbe-24h'!G45,'06.08 Koboko-Yumbe'!G45)</f>
        <v>0.14285714285714285</v>
      </c>
      <c r="H45" s="49">
        <f>AVERAGE('31.07 Koboko-Yumbe'!H45,'01.08 Koboko-Yumbe '!H45,'04.08 Koboko-Yumbe '!H45,'05.08 Koboko-Yumbe'!H45,'02.08 Koboko-Yumbe-24h'!H45,'03.08 Koboko-Yumbe-24h'!H45,'06.08 Koboko-Yumbe'!H45)</f>
        <v>0</v>
      </c>
      <c r="I45" s="49">
        <f>AVERAGE('31.07 Koboko-Yumbe'!I45,'01.08 Koboko-Yumbe '!I45,'04.08 Koboko-Yumbe '!I45,'05.08 Koboko-Yumbe'!I45,'02.08 Koboko-Yumbe-24h'!I45,'03.08 Koboko-Yumbe-24h'!I45,'06.08 Koboko-Yumbe'!I45)</f>
        <v>0.14285714285714285</v>
      </c>
      <c r="J45" s="49">
        <f>AVERAGE('31.07 Koboko-Yumbe'!J45,'01.08 Koboko-Yumbe '!J45,'04.08 Koboko-Yumbe '!J45,'05.08 Koboko-Yumbe'!J45,'02.08 Koboko-Yumbe-24h'!J45,'03.08 Koboko-Yumbe-24h'!J45,'06.08 Koboko-Yumbe'!J45)</f>
        <v>0</v>
      </c>
      <c r="K45" s="49">
        <f>AVERAGE('31.07 Koboko-Yumbe'!K45,'01.08 Koboko-Yumbe '!K45,'04.08 Koboko-Yumbe '!K45,'05.08 Koboko-Yumbe'!K45,'02.08 Koboko-Yumbe-24h'!K45,'03.08 Koboko-Yumbe-24h'!K45,'06.08 Koboko-Yumbe'!K45)</f>
        <v>0</v>
      </c>
      <c r="L45" s="49">
        <f>AVERAGE('31.07 Koboko-Yumbe'!L45,'01.08 Koboko-Yumbe '!L45,'04.08 Koboko-Yumbe '!L45,'05.08 Koboko-Yumbe'!L45,'02.08 Koboko-Yumbe-24h'!L45,'03.08 Koboko-Yumbe-24h'!L45,'06.08 Koboko-Yumbe'!L45)</f>
        <v>0.2857142857142857</v>
      </c>
      <c r="M45" s="49">
        <f>AVERAGE('31.07 Koboko-Yumbe'!M45,'01.08 Koboko-Yumbe '!M45,'04.08 Koboko-Yumbe '!M45,'05.08 Koboko-Yumbe'!M45,'02.08 Koboko-Yumbe-24h'!M45,'03.08 Koboko-Yumbe-24h'!M45,'06.08 Koboko-Yumbe'!M45)</f>
        <v>10.571428571428571</v>
      </c>
      <c r="N45" s="49">
        <f>AVERAGE('31.07 Koboko-Yumbe'!N45,'01.08 Koboko-Yumbe '!N45,'04.08 Koboko-Yumbe '!N45,'05.08 Koboko-Yumbe'!N45,'02.08 Koboko-Yumbe-24h'!N45,'03.08 Koboko-Yumbe-24h'!N45,'06.08 Koboko-Yumbe'!N45)</f>
        <v>0</v>
      </c>
      <c r="O45" s="15">
        <f t="shared" si="0"/>
        <v>4.1428571428571423</v>
      </c>
      <c r="P45" s="15">
        <f t="shared" si="1"/>
        <v>14.714285714285714</v>
      </c>
    </row>
    <row r="46" spans="2:32" ht="23.1" customHeight="1" x14ac:dyDescent="0.25">
      <c r="B46" s="24" t="s">
        <v>73</v>
      </c>
      <c r="C46" s="49">
        <f>AVERAGE('31.07 Koboko-Yumbe'!C46,'01.08 Koboko-Yumbe '!C46,'04.08 Koboko-Yumbe '!C46,'05.08 Koboko-Yumbe'!C46,'02.08 Koboko-Yumbe-24h'!C46,'03.08 Koboko-Yumbe-24h'!C46,'06.08 Koboko-Yumbe'!C46)</f>
        <v>2.5714285714285716</v>
      </c>
      <c r="D46" s="49">
        <f>AVERAGE('31.07 Koboko-Yumbe'!D46,'01.08 Koboko-Yumbe '!D46,'04.08 Koboko-Yumbe '!D46,'05.08 Koboko-Yumbe'!D46,'02.08 Koboko-Yumbe-24h'!D46,'03.08 Koboko-Yumbe-24h'!D46,'06.08 Koboko-Yumbe'!D46)</f>
        <v>0.2857142857142857</v>
      </c>
      <c r="E46" s="49">
        <f>AVERAGE('31.07 Koboko-Yumbe'!E46,'01.08 Koboko-Yumbe '!E46,'04.08 Koboko-Yumbe '!E46,'05.08 Koboko-Yumbe'!E46,'02.08 Koboko-Yumbe-24h'!E46,'03.08 Koboko-Yumbe-24h'!E46,'06.08 Koboko-Yumbe'!E46)</f>
        <v>1</v>
      </c>
      <c r="F46" s="49">
        <f>AVERAGE('31.07 Koboko-Yumbe'!F46,'01.08 Koboko-Yumbe '!F46,'04.08 Koboko-Yumbe '!F46,'05.08 Koboko-Yumbe'!F46,'02.08 Koboko-Yumbe-24h'!F46,'03.08 Koboko-Yumbe-24h'!F46,'06.08 Koboko-Yumbe'!F46)</f>
        <v>0.14285714285714285</v>
      </c>
      <c r="G46" s="49">
        <f>AVERAGE('31.07 Koboko-Yumbe'!G46,'01.08 Koboko-Yumbe '!G46,'04.08 Koboko-Yumbe '!G46,'05.08 Koboko-Yumbe'!G46,'02.08 Koboko-Yumbe-24h'!G46,'03.08 Koboko-Yumbe-24h'!G46,'06.08 Koboko-Yumbe'!G46)</f>
        <v>0</v>
      </c>
      <c r="H46" s="49">
        <f>AVERAGE('31.07 Koboko-Yumbe'!H46,'01.08 Koboko-Yumbe '!H46,'04.08 Koboko-Yumbe '!H46,'05.08 Koboko-Yumbe'!H46,'02.08 Koboko-Yumbe-24h'!H46,'03.08 Koboko-Yumbe-24h'!H46,'06.08 Koboko-Yumbe'!H46)</f>
        <v>0</v>
      </c>
      <c r="I46" s="49">
        <f>AVERAGE('31.07 Koboko-Yumbe'!I46,'01.08 Koboko-Yumbe '!I46,'04.08 Koboko-Yumbe '!I46,'05.08 Koboko-Yumbe'!I46,'02.08 Koboko-Yumbe-24h'!I46,'03.08 Koboko-Yumbe-24h'!I46,'06.08 Koboko-Yumbe'!I46)</f>
        <v>0.14285714285714285</v>
      </c>
      <c r="J46" s="49">
        <f>AVERAGE('31.07 Koboko-Yumbe'!J46,'01.08 Koboko-Yumbe '!J46,'04.08 Koboko-Yumbe '!J46,'05.08 Koboko-Yumbe'!J46,'02.08 Koboko-Yumbe-24h'!J46,'03.08 Koboko-Yumbe-24h'!J46,'06.08 Koboko-Yumbe'!J46)</f>
        <v>0.2857142857142857</v>
      </c>
      <c r="K46" s="49">
        <f>AVERAGE('31.07 Koboko-Yumbe'!K46,'01.08 Koboko-Yumbe '!K46,'04.08 Koboko-Yumbe '!K46,'05.08 Koboko-Yumbe'!K46,'02.08 Koboko-Yumbe-24h'!K46,'03.08 Koboko-Yumbe-24h'!K46,'06.08 Koboko-Yumbe'!K46)</f>
        <v>0.14285714285714285</v>
      </c>
      <c r="L46" s="49">
        <f>AVERAGE('31.07 Koboko-Yumbe'!L46,'01.08 Koboko-Yumbe '!L46,'04.08 Koboko-Yumbe '!L46,'05.08 Koboko-Yumbe'!L46,'02.08 Koboko-Yumbe-24h'!L46,'03.08 Koboko-Yumbe-24h'!L46,'06.08 Koboko-Yumbe'!L46)</f>
        <v>0</v>
      </c>
      <c r="M46" s="49">
        <f>AVERAGE('31.07 Koboko-Yumbe'!M46,'01.08 Koboko-Yumbe '!M46,'04.08 Koboko-Yumbe '!M46,'05.08 Koboko-Yumbe'!M46,'02.08 Koboko-Yumbe-24h'!M46,'03.08 Koboko-Yumbe-24h'!M46,'06.08 Koboko-Yumbe'!M46)</f>
        <v>10.857142857142858</v>
      </c>
      <c r="N46" s="49">
        <f>AVERAGE('31.07 Koboko-Yumbe'!N46,'01.08 Koboko-Yumbe '!N46,'04.08 Koboko-Yumbe '!N46,'05.08 Koboko-Yumbe'!N46,'02.08 Koboko-Yumbe-24h'!N46,'03.08 Koboko-Yumbe-24h'!N46,'06.08 Koboko-Yumbe'!N46)</f>
        <v>0</v>
      </c>
      <c r="O46" s="15">
        <f t="shared" si="0"/>
        <v>4.5714285714285721</v>
      </c>
      <c r="P46" s="15">
        <f t="shared" si="1"/>
        <v>15.428571428571431</v>
      </c>
      <c r="R46" s="8"/>
      <c r="T46"/>
    </row>
    <row r="47" spans="2:32" ht="23.1" customHeight="1" x14ac:dyDescent="0.25">
      <c r="B47" s="24" t="s">
        <v>74</v>
      </c>
      <c r="C47" s="49">
        <f>AVERAGE('31.07 Koboko-Yumbe'!C47,'01.08 Koboko-Yumbe '!C47,'04.08 Koboko-Yumbe '!C47,'05.08 Koboko-Yumbe'!C47,'02.08 Koboko-Yumbe-24h'!C47,'03.08 Koboko-Yumbe-24h'!C47,'06.08 Koboko-Yumbe'!C47)</f>
        <v>1.7142857142857142</v>
      </c>
      <c r="D47" s="49">
        <f>AVERAGE('31.07 Koboko-Yumbe'!D47,'01.08 Koboko-Yumbe '!D47,'04.08 Koboko-Yumbe '!D47,'05.08 Koboko-Yumbe'!D47,'02.08 Koboko-Yumbe-24h'!D47,'03.08 Koboko-Yumbe-24h'!D47,'06.08 Koboko-Yumbe'!D47)</f>
        <v>0.5714285714285714</v>
      </c>
      <c r="E47" s="49">
        <f>AVERAGE('31.07 Koboko-Yumbe'!E47,'01.08 Koboko-Yumbe '!E47,'04.08 Koboko-Yumbe '!E47,'05.08 Koboko-Yumbe'!E47,'02.08 Koboko-Yumbe-24h'!E47,'03.08 Koboko-Yumbe-24h'!E47,'06.08 Koboko-Yumbe'!E47)</f>
        <v>1</v>
      </c>
      <c r="F47" s="49">
        <f>AVERAGE('31.07 Koboko-Yumbe'!F47,'01.08 Koboko-Yumbe '!F47,'04.08 Koboko-Yumbe '!F47,'05.08 Koboko-Yumbe'!F47,'02.08 Koboko-Yumbe-24h'!F47,'03.08 Koboko-Yumbe-24h'!F47,'06.08 Koboko-Yumbe'!F47)</f>
        <v>0.2857142857142857</v>
      </c>
      <c r="G47" s="49">
        <f>AVERAGE('31.07 Koboko-Yumbe'!G47,'01.08 Koboko-Yumbe '!G47,'04.08 Koboko-Yumbe '!G47,'05.08 Koboko-Yumbe'!G47,'02.08 Koboko-Yumbe-24h'!G47,'03.08 Koboko-Yumbe-24h'!G47,'06.08 Koboko-Yumbe'!G47)</f>
        <v>0</v>
      </c>
      <c r="H47" s="49">
        <f>AVERAGE('31.07 Koboko-Yumbe'!H47,'01.08 Koboko-Yumbe '!H47,'04.08 Koboko-Yumbe '!H47,'05.08 Koboko-Yumbe'!H47,'02.08 Koboko-Yumbe-24h'!H47,'03.08 Koboko-Yumbe-24h'!H47,'06.08 Koboko-Yumbe'!H47)</f>
        <v>0.14285714285714285</v>
      </c>
      <c r="I47" s="49">
        <f>AVERAGE('31.07 Koboko-Yumbe'!I47,'01.08 Koboko-Yumbe '!I47,'04.08 Koboko-Yumbe '!I47,'05.08 Koboko-Yumbe'!I47,'02.08 Koboko-Yumbe-24h'!I47,'03.08 Koboko-Yumbe-24h'!I47,'06.08 Koboko-Yumbe'!I47)</f>
        <v>0.14285714285714285</v>
      </c>
      <c r="J47" s="49">
        <f>AVERAGE('31.07 Koboko-Yumbe'!J47,'01.08 Koboko-Yumbe '!J47,'04.08 Koboko-Yumbe '!J47,'05.08 Koboko-Yumbe'!J47,'02.08 Koboko-Yumbe-24h'!J47,'03.08 Koboko-Yumbe-24h'!J47,'06.08 Koboko-Yumbe'!J47)</f>
        <v>0.14285714285714285</v>
      </c>
      <c r="K47" s="49">
        <f>AVERAGE('31.07 Koboko-Yumbe'!K47,'01.08 Koboko-Yumbe '!K47,'04.08 Koboko-Yumbe '!K47,'05.08 Koboko-Yumbe'!K47,'02.08 Koboko-Yumbe-24h'!K47,'03.08 Koboko-Yumbe-24h'!K47,'06.08 Koboko-Yumbe'!K47)</f>
        <v>0.14285714285714285</v>
      </c>
      <c r="L47" s="49">
        <f>AVERAGE('31.07 Koboko-Yumbe'!L47,'01.08 Koboko-Yumbe '!L47,'04.08 Koboko-Yumbe '!L47,'05.08 Koboko-Yumbe'!L47,'02.08 Koboko-Yumbe-24h'!L47,'03.08 Koboko-Yumbe-24h'!L47,'06.08 Koboko-Yumbe'!L47)</f>
        <v>0</v>
      </c>
      <c r="M47" s="49">
        <f>AVERAGE('31.07 Koboko-Yumbe'!M47,'01.08 Koboko-Yumbe '!M47,'04.08 Koboko-Yumbe '!M47,'05.08 Koboko-Yumbe'!M47,'02.08 Koboko-Yumbe-24h'!M47,'03.08 Koboko-Yumbe-24h'!M47,'06.08 Koboko-Yumbe'!M47)</f>
        <v>7.1428571428571432</v>
      </c>
      <c r="N47" s="49">
        <f>AVERAGE('31.07 Koboko-Yumbe'!N47,'01.08 Koboko-Yumbe '!N47,'04.08 Koboko-Yumbe '!N47,'05.08 Koboko-Yumbe'!N47,'02.08 Koboko-Yumbe-24h'!N47,'03.08 Koboko-Yumbe-24h'!N47,'06.08 Koboko-Yumbe'!N47)</f>
        <v>0</v>
      </c>
      <c r="O47" s="15">
        <f t="shared" si="0"/>
        <v>4.1428571428571423</v>
      </c>
      <c r="P47" s="15">
        <f t="shared" si="1"/>
        <v>11.285714285714285</v>
      </c>
      <c r="R47" s="8"/>
      <c r="T47"/>
    </row>
    <row r="48" spans="2:32" ht="23.1" customHeight="1" x14ac:dyDescent="0.25">
      <c r="B48" s="24" t="s">
        <v>75</v>
      </c>
      <c r="C48" s="49">
        <f>AVERAGE('31.07 Koboko-Yumbe'!C48,'01.08 Koboko-Yumbe '!C48,'04.08 Koboko-Yumbe '!C48,'05.08 Koboko-Yumbe'!C48,'02.08 Koboko-Yumbe-24h'!C48,'03.08 Koboko-Yumbe-24h'!C48,'06.08 Koboko-Yumbe'!C48)</f>
        <v>1.5714285714285714</v>
      </c>
      <c r="D48" s="49">
        <f>AVERAGE('31.07 Koboko-Yumbe'!D48,'01.08 Koboko-Yumbe '!D48,'04.08 Koboko-Yumbe '!D48,'05.08 Koboko-Yumbe'!D48,'02.08 Koboko-Yumbe-24h'!D48,'03.08 Koboko-Yumbe-24h'!D48,'06.08 Koboko-Yumbe'!D48)</f>
        <v>0.2857142857142857</v>
      </c>
      <c r="E48" s="49">
        <f>AVERAGE('31.07 Koboko-Yumbe'!E48,'01.08 Koboko-Yumbe '!E48,'04.08 Koboko-Yumbe '!E48,'05.08 Koboko-Yumbe'!E48,'02.08 Koboko-Yumbe-24h'!E48,'03.08 Koboko-Yumbe-24h'!E48,'06.08 Koboko-Yumbe'!E48)</f>
        <v>1</v>
      </c>
      <c r="F48" s="49">
        <f>AVERAGE('31.07 Koboko-Yumbe'!F48,'01.08 Koboko-Yumbe '!F48,'04.08 Koboko-Yumbe '!F48,'05.08 Koboko-Yumbe'!F48,'02.08 Koboko-Yumbe-24h'!F48,'03.08 Koboko-Yumbe-24h'!F48,'06.08 Koboko-Yumbe'!F48)</f>
        <v>0.2857142857142857</v>
      </c>
      <c r="G48" s="49">
        <f>AVERAGE('31.07 Koboko-Yumbe'!G48,'01.08 Koboko-Yumbe '!G48,'04.08 Koboko-Yumbe '!G48,'05.08 Koboko-Yumbe'!G48,'02.08 Koboko-Yumbe-24h'!G48,'03.08 Koboko-Yumbe-24h'!G48,'06.08 Koboko-Yumbe'!G48)</f>
        <v>0</v>
      </c>
      <c r="H48" s="49">
        <f>AVERAGE('31.07 Koboko-Yumbe'!H48,'01.08 Koboko-Yumbe '!H48,'04.08 Koboko-Yumbe '!H48,'05.08 Koboko-Yumbe'!H48,'02.08 Koboko-Yumbe-24h'!H48,'03.08 Koboko-Yumbe-24h'!H48,'06.08 Koboko-Yumbe'!H48)</f>
        <v>0.14285714285714285</v>
      </c>
      <c r="I48" s="49">
        <f>AVERAGE('31.07 Koboko-Yumbe'!I48,'01.08 Koboko-Yumbe '!I48,'04.08 Koboko-Yumbe '!I48,'05.08 Koboko-Yumbe'!I48,'02.08 Koboko-Yumbe-24h'!I48,'03.08 Koboko-Yumbe-24h'!I48,'06.08 Koboko-Yumbe'!I48)</f>
        <v>0.14285714285714285</v>
      </c>
      <c r="J48" s="49">
        <f>AVERAGE('31.07 Koboko-Yumbe'!J48,'01.08 Koboko-Yumbe '!J48,'04.08 Koboko-Yumbe '!J48,'05.08 Koboko-Yumbe'!J48,'02.08 Koboko-Yumbe-24h'!J48,'03.08 Koboko-Yumbe-24h'!J48,'06.08 Koboko-Yumbe'!J48)</f>
        <v>0</v>
      </c>
      <c r="K48" s="49">
        <f>AVERAGE('31.07 Koboko-Yumbe'!K48,'01.08 Koboko-Yumbe '!K48,'04.08 Koboko-Yumbe '!K48,'05.08 Koboko-Yumbe'!K48,'02.08 Koboko-Yumbe-24h'!K48,'03.08 Koboko-Yumbe-24h'!K48,'06.08 Koboko-Yumbe'!K48)</f>
        <v>0</v>
      </c>
      <c r="L48" s="49">
        <f>AVERAGE('31.07 Koboko-Yumbe'!L48,'01.08 Koboko-Yumbe '!L48,'04.08 Koboko-Yumbe '!L48,'05.08 Koboko-Yumbe'!L48,'02.08 Koboko-Yumbe-24h'!L48,'03.08 Koboko-Yumbe-24h'!L48,'06.08 Koboko-Yumbe'!L48)</f>
        <v>0.14285714285714285</v>
      </c>
      <c r="M48" s="49">
        <f>AVERAGE('31.07 Koboko-Yumbe'!M48,'01.08 Koboko-Yumbe '!M48,'04.08 Koboko-Yumbe '!M48,'05.08 Koboko-Yumbe'!M48,'02.08 Koboko-Yumbe-24h'!M48,'03.08 Koboko-Yumbe-24h'!M48,'06.08 Koboko-Yumbe'!M48)</f>
        <v>8</v>
      </c>
      <c r="N48" s="49">
        <f>AVERAGE('31.07 Koboko-Yumbe'!N48,'01.08 Koboko-Yumbe '!N48,'04.08 Koboko-Yumbe '!N48,'05.08 Koboko-Yumbe'!N48,'02.08 Koboko-Yumbe-24h'!N48,'03.08 Koboko-Yumbe-24h'!N48,'06.08 Koboko-Yumbe'!N48)</f>
        <v>0</v>
      </c>
      <c r="O48" s="15">
        <f t="shared" si="0"/>
        <v>3.5714285714285712</v>
      </c>
      <c r="P48" s="15">
        <f t="shared" si="1"/>
        <v>11.571428571428571</v>
      </c>
      <c r="R48" s="8"/>
      <c r="T48"/>
    </row>
    <row r="49" spans="2:20" ht="23.1" customHeight="1" x14ac:dyDescent="0.25">
      <c r="B49" s="23" t="s">
        <v>76</v>
      </c>
      <c r="C49" s="49">
        <f>AVERAGE('31.07 Koboko-Yumbe'!C49,'01.08 Koboko-Yumbe '!C49,'04.08 Koboko-Yumbe '!C49,'05.08 Koboko-Yumbe'!C49,'02.08 Koboko-Yumbe-24h'!C49,'03.08 Koboko-Yumbe-24h'!C49,'06.08 Koboko-Yumbe'!C49)</f>
        <v>1</v>
      </c>
      <c r="D49" s="49">
        <f>AVERAGE('31.07 Koboko-Yumbe'!D49,'01.08 Koboko-Yumbe '!D49,'04.08 Koboko-Yumbe '!D49,'05.08 Koboko-Yumbe'!D49,'02.08 Koboko-Yumbe-24h'!D49,'03.08 Koboko-Yumbe-24h'!D49,'06.08 Koboko-Yumbe'!D49)</f>
        <v>0.14285714285714285</v>
      </c>
      <c r="E49" s="49">
        <f>AVERAGE('31.07 Koboko-Yumbe'!E49,'01.08 Koboko-Yumbe '!E49,'04.08 Koboko-Yumbe '!E49,'05.08 Koboko-Yumbe'!E49,'02.08 Koboko-Yumbe-24h'!E49,'03.08 Koboko-Yumbe-24h'!E49,'06.08 Koboko-Yumbe'!E49)</f>
        <v>1.5714285714285714</v>
      </c>
      <c r="F49" s="49">
        <f>AVERAGE('31.07 Koboko-Yumbe'!F49,'01.08 Koboko-Yumbe '!F49,'04.08 Koboko-Yumbe '!F49,'05.08 Koboko-Yumbe'!F49,'02.08 Koboko-Yumbe-24h'!F49,'03.08 Koboko-Yumbe-24h'!F49,'06.08 Koboko-Yumbe'!F49)</f>
        <v>0.2857142857142857</v>
      </c>
      <c r="G49" s="49">
        <f>AVERAGE('31.07 Koboko-Yumbe'!G49,'01.08 Koboko-Yumbe '!G49,'04.08 Koboko-Yumbe '!G49,'05.08 Koboko-Yumbe'!G49,'02.08 Koboko-Yumbe-24h'!G49,'03.08 Koboko-Yumbe-24h'!G49,'06.08 Koboko-Yumbe'!G49)</f>
        <v>0</v>
      </c>
      <c r="H49" s="49">
        <f>AVERAGE('31.07 Koboko-Yumbe'!H49,'01.08 Koboko-Yumbe '!H49,'04.08 Koboko-Yumbe '!H49,'05.08 Koboko-Yumbe'!H49,'02.08 Koboko-Yumbe-24h'!H49,'03.08 Koboko-Yumbe-24h'!H49,'06.08 Koboko-Yumbe'!H49)</f>
        <v>0.2857142857142857</v>
      </c>
      <c r="I49" s="49">
        <f>AVERAGE('31.07 Koboko-Yumbe'!I49,'01.08 Koboko-Yumbe '!I49,'04.08 Koboko-Yumbe '!I49,'05.08 Koboko-Yumbe'!I49,'02.08 Koboko-Yumbe-24h'!I49,'03.08 Koboko-Yumbe-24h'!I49,'06.08 Koboko-Yumbe'!I49)</f>
        <v>0.2857142857142857</v>
      </c>
      <c r="J49" s="49">
        <f>AVERAGE('31.07 Koboko-Yumbe'!J49,'01.08 Koboko-Yumbe '!J49,'04.08 Koboko-Yumbe '!J49,'05.08 Koboko-Yumbe'!J49,'02.08 Koboko-Yumbe-24h'!J49,'03.08 Koboko-Yumbe-24h'!J49,'06.08 Koboko-Yumbe'!J49)</f>
        <v>0</v>
      </c>
      <c r="K49" s="49">
        <f>AVERAGE('31.07 Koboko-Yumbe'!K49,'01.08 Koboko-Yumbe '!K49,'04.08 Koboko-Yumbe '!K49,'05.08 Koboko-Yumbe'!K49,'02.08 Koboko-Yumbe-24h'!K49,'03.08 Koboko-Yumbe-24h'!K49,'06.08 Koboko-Yumbe'!K49)</f>
        <v>0</v>
      </c>
      <c r="L49" s="49">
        <f>AVERAGE('31.07 Koboko-Yumbe'!L49,'01.08 Koboko-Yumbe '!L49,'04.08 Koboko-Yumbe '!L49,'05.08 Koboko-Yumbe'!L49,'02.08 Koboko-Yumbe-24h'!L49,'03.08 Koboko-Yumbe-24h'!L49,'06.08 Koboko-Yumbe'!L49)</f>
        <v>0.14285714285714285</v>
      </c>
      <c r="M49" s="49">
        <f>AVERAGE('31.07 Koboko-Yumbe'!M49,'01.08 Koboko-Yumbe '!M49,'04.08 Koboko-Yumbe '!M49,'05.08 Koboko-Yumbe'!M49,'02.08 Koboko-Yumbe-24h'!M49,'03.08 Koboko-Yumbe-24h'!M49,'06.08 Koboko-Yumbe'!M49)</f>
        <v>9.7142857142857135</v>
      </c>
      <c r="N49" s="49">
        <f>AVERAGE('31.07 Koboko-Yumbe'!N49,'01.08 Koboko-Yumbe '!N49,'04.08 Koboko-Yumbe '!N49,'05.08 Koboko-Yumbe'!N49,'02.08 Koboko-Yumbe-24h'!N49,'03.08 Koboko-Yumbe-24h'!N49,'06.08 Koboko-Yumbe'!N49)</f>
        <v>0</v>
      </c>
      <c r="O49" s="15">
        <f t="shared" si="0"/>
        <v>3.714285714285714</v>
      </c>
      <c r="P49" s="15">
        <f t="shared" si="1"/>
        <v>13.428571428571427</v>
      </c>
      <c r="R49" s="8"/>
      <c r="T49"/>
    </row>
    <row r="50" spans="2:20" ht="23.1" customHeight="1" x14ac:dyDescent="0.25">
      <c r="B50" s="24" t="s">
        <v>77</v>
      </c>
      <c r="C50" s="49">
        <f>AVERAGE('31.07 Koboko-Yumbe'!C50,'01.08 Koboko-Yumbe '!C50,'04.08 Koboko-Yumbe '!C50,'05.08 Koboko-Yumbe'!C50,'02.08 Koboko-Yumbe-24h'!C50,'03.08 Koboko-Yumbe-24h'!C50,'06.08 Koboko-Yumbe'!C50)</f>
        <v>2</v>
      </c>
      <c r="D50" s="49">
        <f>AVERAGE('31.07 Koboko-Yumbe'!D50,'01.08 Koboko-Yumbe '!D50,'04.08 Koboko-Yumbe '!D50,'05.08 Koboko-Yumbe'!D50,'02.08 Koboko-Yumbe-24h'!D50,'03.08 Koboko-Yumbe-24h'!D50,'06.08 Koboko-Yumbe'!D50)</f>
        <v>0.2857142857142857</v>
      </c>
      <c r="E50" s="49">
        <f>AVERAGE('31.07 Koboko-Yumbe'!E50,'01.08 Koboko-Yumbe '!E50,'04.08 Koboko-Yumbe '!E50,'05.08 Koboko-Yumbe'!E50,'02.08 Koboko-Yumbe-24h'!E50,'03.08 Koboko-Yumbe-24h'!E50,'06.08 Koboko-Yumbe'!E50)</f>
        <v>1.1428571428571428</v>
      </c>
      <c r="F50" s="49">
        <f>AVERAGE('31.07 Koboko-Yumbe'!F50,'01.08 Koboko-Yumbe '!F50,'04.08 Koboko-Yumbe '!F50,'05.08 Koboko-Yumbe'!F50,'02.08 Koboko-Yumbe-24h'!F50,'03.08 Koboko-Yumbe-24h'!F50,'06.08 Koboko-Yumbe'!F50)</f>
        <v>0.14285714285714285</v>
      </c>
      <c r="G50" s="49">
        <f>AVERAGE('31.07 Koboko-Yumbe'!G50,'01.08 Koboko-Yumbe '!G50,'04.08 Koboko-Yumbe '!G50,'05.08 Koboko-Yumbe'!G50,'02.08 Koboko-Yumbe-24h'!G50,'03.08 Koboko-Yumbe-24h'!G50,'06.08 Koboko-Yumbe'!G50)</f>
        <v>0</v>
      </c>
      <c r="H50" s="49">
        <f>AVERAGE('31.07 Koboko-Yumbe'!H50,'01.08 Koboko-Yumbe '!H50,'04.08 Koboko-Yumbe '!H50,'05.08 Koboko-Yumbe'!H50,'02.08 Koboko-Yumbe-24h'!H50,'03.08 Koboko-Yumbe-24h'!H50,'06.08 Koboko-Yumbe'!H50)</f>
        <v>0.14285714285714285</v>
      </c>
      <c r="I50" s="49">
        <f>AVERAGE('31.07 Koboko-Yumbe'!I50,'01.08 Koboko-Yumbe '!I50,'04.08 Koboko-Yumbe '!I50,'05.08 Koboko-Yumbe'!I50,'02.08 Koboko-Yumbe-24h'!I50,'03.08 Koboko-Yumbe-24h'!I50,'06.08 Koboko-Yumbe'!I50)</f>
        <v>0.14285714285714285</v>
      </c>
      <c r="J50" s="49">
        <f>AVERAGE('31.07 Koboko-Yumbe'!J50,'01.08 Koboko-Yumbe '!J50,'04.08 Koboko-Yumbe '!J50,'05.08 Koboko-Yumbe'!J50,'02.08 Koboko-Yumbe-24h'!J50,'03.08 Koboko-Yumbe-24h'!J50,'06.08 Koboko-Yumbe'!J50)</f>
        <v>0</v>
      </c>
      <c r="K50" s="49">
        <f>AVERAGE('31.07 Koboko-Yumbe'!K50,'01.08 Koboko-Yumbe '!K50,'04.08 Koboko-Yumbe '!K50,'05.08 Koboko-Yumbe'!K50,'02.08 Koboko-Yumbe-24h'!K50,'03.08 Koboko-Yumbe-24h'!K50,'06.08 Koboko-Yumbe'!K50)</f>
        <v>0</v>
      </c>
      <c r="L50" s="49">
        <f>AVERAGE('31.07 Koboko-Yumbe'!L50,'01.08 Koboko-Yumbe '!L50,'04.08 Koboko-Yumbe '!L50,'05.08 Koboko-Yumbe'!L50,'02.08 Koboko-Yumbe-24h'!L50,'03.08 Koboko-Yumbe-24h'!L50,'06.08 Koboko-Yumbe'!L50)</f>
        <v>0</v>
      </c>
      <c r="M50" s="49">
        <f>AVERAGE('31.07 Koboko-Yumbe'!M50,'01.08 Koboko-Yumbe '!M50,'04.08 Koboko-Yumbe '!M50,'05.08 Koboko-Yumbe'!M50,'02.08 Koboko-Yumbe-24h'!M50,'03.08 Koboko-Yumbe-24h'!M50,'06.08 Koboko-Yumbe'!M50)</f>
        <v>13.571428571428571</v>
      </c>
      <c r="N50" s="49">
        <f>AVERAGE('31.07 Koboko-Yumbe'!N50,'01.08 Koboko-Yumbe '!N50,'04.08 Koboko-Yumbe '!N50,'05.08 Koboko-Yumbe'!N50,'02.08 Koboko-Yumbe-24h'!N50,'03.08 Koboko-Yumbe-24h'!N50,'06.08 Koboko-Yumbe'!N50)</f>
        <v>0</v>
      </c>
      <c r="O50" s="15">
        <f t="shared" si="0"/>
        <v>3.8571428571428568</v>
      </c>
      <c r="P50" s="15">
        <f t="shared" si="1"/>
        <v>17.428571428571427</v>
      </c>
      <c r="R50" s="8"/>
      <c r="T50"/>
    </row>
    <row r="51" spans="2:20" ht="23.1" customHeight="1" x14ac:dyDescent="0.25">
      <c r="B51" s="24" t="s">
        <v>78</v>
      </c>
      <c r="C51" s="49">
        <f>AVERAGE('31.07 Koboko-Yumbe'!C51,'01.08 Koboko-Yumbe '!C51,'04.08 Koboko-Yumbe '!C51,'05.08 Koboko-Yumbe'!C51,'02.08 Koboko-Yumbe-24h'!C51,'03.08 Koboko-Yumbe-24h'!C51,'06.08 Koboko-Yumbe'!C51)</f>
        <v>2.1428571428571428</v>
      </c>
      <c r="D51" s="49">
        <f>AVERAGE('31.07 Koboko-Yumbe'!D51,'01.08 Koboko-Yumbe '!D51,'04.08 Koboko-Yumbe '!D51,'05.08 Koboko-Yumbe'!D51,'02.08 Koboko-Yumbe-24h'!D51,'03.08 Koboko-Yumbe-24h'!D51,'06.08 Koboko-Yumbe'!D51)</f>
        <v>0.7142857142857143</v>
      </c>
      <c r="E51" s="49">
        <f>AVERAGE('31.07 Koboko-Yumbe'!E51,'01.08 Koboko-Yumbe '!E51,'04.08 Koboko-Yumbe '!E51,'05.08 Koboko-Yumbe'!E51,'02.08 Koboko-Yumbe-24h'!E51,'03.08 Koboko-Yumbe-24h'!E51,'06.08 Koboko-Yumbe'!E51)</f>
        <v>1.7142857142857142</v>
      </c>
      <c r="F51" s="49">
        <f>AVERAGE('31.07 Koboko-Yumbe'!F51,'01.08 Koboko-Yumbe '!F51,'04.08 Koboko-Yumbe '!F51,'05.08 Koboko-Yumbe'!F51,'02.08 Koboko-Yumbe-24h'!F51,'03.08 Koboko-Yumbe-24h'!F51,'06.08 Koboko-Yumbe'!F51)</f>
        <v>0</v>
      </c>
      <c r="G51" s="49">
        <f>AVERAGE('31.07 Koboko-Yumbe'!G51,'01.08 Koboko-Yumbe '!G51,'04.08 Koboko-Yumbe '!G51,'05.08 Koboko-Yumbe'!G51,'02.08 Koboko-Yumbe-24h'!G51,'03.08 Koboko-Yumbe-24h'!G51,'06.08 Koboko-Yumbe'!G51)</f>
        <v>0.14285714285714285</v>
      </c>
      <c r="H51" s="49">
        <f>AVERAGE('31.07 Koboko-Yumbe'!H51,'01.08 Koboko-Yumbe '!H51,'04.08 Koboko-Yumbe '!H51,'05.08 Koboko-Yumbe'!H51,'02.08 Koboko-Yumbe-24h'!H51,'03.08 Koboko-Yumbe-24h'!H51,'06.08 Koboko-Yumbe'!H51)</f>
        <v>0.14285714285714285</v>
      </c>
      <c r="I51" s="49">
        <f>AVERAGE('31.07 Koboko-Yumbe'!I51,'01.08 Koboko-Yumbe '!I51,'04.08 Koboko-Yumbe '!I51,'05.08 Koboko-Yumbe'!I51,'02.08 Koboko-Yumbe-24h'!I51,'03.08 Koboko-Yumbe-24h'!I51,'06.08 Koboko-Yumbe'!I51)</f>
        <v>0.14285714285714285</v>
      </c>
      <c r="J51" s="49">
        <f>AVERAGE('31.07 Koboko-Yumbe'!J51,'01.08 Koboko-Yumbe '!J51,'04.08 Koboko-Yumbe '!J51,'05.08 Koboko-Yumbe'!J51,'02.08 Koboko-Yumbe-24h'!J51,'03.08 Koboko-Yumbe-24h'!J51,'06.08 Koboko-Yumbe'!J51)</f>
        <v>0.2857142857142857</v>
      </c>
      <c r="K51" s="49">
        <f>AVERAGE('31.07 Koboko-Yumbe'!K51,'01.08 Koboko-Yumbe '!K51,'04.08 Koboko-Yumbe '!K51,'05.08 Koboko-Yumbe'!K51,'02.08 Koboko-Yumbe-24h'!K51,'03.08 Koboko-Yumbe-24h'!K51,'06.08 Koboko-Yumbe'!K51)</f>
        <v>0</v>
      </c>
      <c r="L51" s="49">
        <f>AVERAGE('31.07 Koboko-Yumbe'!L51,'01.08 Koboko-Yumbe '!L51,'04.08 Koboko-Yumbe '!L51,'05.08 Koboko-Yumbe'!L51,'02.08 Koboko-Yumbe-24h'!L51,'03.08 Koboko-Yumbe-24h'!L51,'06.08 Koboko-Yumbe'!L51)</f>
        <v>0</v>
      </c>
      <c r="M51" s="49">
        <f>AVERAGE('31.07 Koboko-Yumbe'!M51,'01.08 Koboko-Yumbe '!M51,'04.08 Koboko-Yumbe '!M51,'05.08 Koboko-Yumbe'!M51,'02.08 Koboko-Yumbe-24h'!M51,'03.08 Koboko-Yumbe-24h'!M51,'06.08 Koboko-Yumbe'!M51)</f>
        <v>6.4285714285714288</v>
      </c>
      <c r="N51" s="49">
        <f>AVERAGE('31.07 Koboko-Yumbe'!N51,'01.08 Koboko-Yumbe '!N51,'04.08 Koboko-Yumbe '!N51,'05.08 Koboko-Yumbe'!N51,'02.08 Koboko-Yumbe-24h'!N51,'03.08 Koboko-Yumbe-24h'!N51,'06.08 Koboko-Yumbe'!N51)</f>
        <v>0</v>
      </c>
      <c r="O51" s="15">
        <f t="shared" si="0"/>
        <v>5.2857142857142865</v>
      </c>
      <c r="P51" s="15">
        <f t="shared" si="1"/>
        <v>11.714285714285715</v>
      </c>
      <c r="R51" s="8"/>
      <c r="T51"/>
    </row>
    <row r="52" spans="2:20" ht="23.1" customHeight="1" x14ac:dyDescent="0.25">
      <c r="B52" s="24" t="s">
        <v>79</v>
      </c>
      <c r="C52" s="49">
        <f>AVERAGE('31.07 Koboko-Yumbe'!C52,'01.08 Koboko-Yumbe '!C52,'04.08 Koboko-Yumbe '!C52,'05.08 Koboko-Yumbe'!C52,'02.08 Koboko-Yumbe-24h'!C52,'03.08 Koboko-Yumbe-24h'!C52,'06.08 Koboko-Yumbe'!C52)</f>
        <v>1.5714285714285714</v>
      </c>
      <c r="D52" s="49">
        <f>AVERAGE('31.07 Koboko-Yumbe'!D52,'01.08 Koboko-Yumbe '!D52,'04.08 Koboko-Yumbe '!D52,'05.08 Koboko-Yumbe'!D52,'02.08 Koboko-Yumbe-24h'!D52,'03.08 Koboko-Yumbe-24h'!D52,'06.08 Koboko-Yumbe'!D52)</f>
        <v>0.14285714285714285</v>
      </c>
      <c r="E52" s="49">
        <f>AVERAGE('31.07 Koboko-Yumbe'!E52,'01.08 Koboko-Yumbe '!E52,'04.08 Koboko-Yumbe '!E52,'05.08 Koboko-Yumbe'!E52,'02.08 Koboko-Yumbe-24h'!E52,'03.08 Koboko-Yumbe-24h'!E52,'06.08 Koboko-Yumbe'!E52)</f>
        <v>1.1428571428571428</v>
      </c>
      <c r="F52" s="49">
        <f>AVERAGE('31.07 Koboko-Yumbe'!F52,'01.08 Koboko-Yumbe '!F52,'04.08 Koboko-Yumbe '!F52,'05.08 Koboko-Yumbe'!F52,'02.08 Koboko-Yumbe-24h'!F52,'03.08 Koboko-Yumbe-24h'!F52,'06.08 Koboko-Yumbe'!F52)</f>
        <v>0.2857142857142857</v>
      </c>
      <c r="G52" s="49">
        <f>AVERAGE('31.07 Koboko-Yumbe'!G52,'01.08 Koboko-Yumbe '!G52,'04.08 Koboko-Yumbe '!G52,'05.08 Koboko-Yumbe'!G52,'02.08 Koboko-Yumbe-24h'!G52,'03.08 Koboko-Yumbe-24h'!G52,'06.08 Koboko-Yumbe'!G52)</f>
        <v>0</v>
      </c>
      <c r="H52" s="49">
        <f>AVERAGE('31.07 Koboko-Yumbe'!H52,'01.08 Koboko-Yumbe '!H52,'04.08 Koboko-Yumbe '!H52,'05.08 Koboko-Yumbe'!H52,'02.08 Koboko-Yumbe-24h'!H52,'03.08 Koboko-Yumbe-24h'!H52,'06.08 Koboko-Yumbe'!H52)</f>
        <v>0</v>
      </c>
      <c r="I52" s="49">
        <f>AVERAGE('31.07 Koboko-Yumbe'!I52,'01.08 Koboko-Yumbe '!I52,'04.08 Koboko-Yumbe '!I52,'05.08 Koboko-Yumbe'!I52,'02.08 Koboko-Yumbe-24h'!I52,'03.08 Koboko-Yumbe-24h'!I52,'06.08 Koboko-Yumbe'!I52)</f>
        <v>0.42857142857142855</v>
      </c>
      <c r="J52" s="49">
        <f>AVERAGE('31.07 Koboko-Yumbe'!J52,'01.08 Koboko-Yumbe '!J52,'04.08 Koboko-Yumbe '!J52,'05.08 Koboko-Yumbe'!J52,'02.08 Koboko-Yumbe-24h'!J52,'03.08 Koboko-Yumbe-24h'!J52,'06.08 Koboko-Yumbe'!J52)</f>
        <v>0</v>
      </c>
      <c r="K52" s="49">
        <f>AVERAGE('31.07 Koboko-Yumbe'!K52,'01.08 Koboko-Yumbe '!K52,'04.08 Koboko-Yumbe '!K52,'05.08 Koboko-Yumbe'!K52,'02.08 Koboko-Yumbe-24h'!K52,'03.08 Koboko-Yumbe-24h'!K52,'06.08 Koboko-Yumbe'!K52)</f>
        <v>0</v>
      </c>
      <c r="L52" s="49">
        <f>AVERAGE('31.07 Koboko-Yumbe'!L52,'01.08 Koboko-Yumbe '!L52,'04.08 Koboko-Yumbe '!L52,'05.08 Koboko-Yumbe'!L52,'02.08 Koboko-Yumbe-24h'!L52,'03.08 Koboko-Yumbe-24h'!L52,'06.08 Koboko-Yumbe'!L52)</f>
        <v>0.14285714285714285</v>
      </c>
      <c r="M52" s="49">
        <f>AVERAGE('31.07 Koboko-Yumbe'!M52,'01.08 Koboko-Yumbe '!M52,'04.08 Koboko-Yumbe '!M52,'05.08 Koboko-Yumbe'!M52,'02.08 Koboko-Yumbe-24h'!M52,'03.08 Koboko-Yumbe-24h'!M52,'06.08 Koboko-Yumbe'!M52)</f>
        <v>8.4285714285714288</v>
      </c>
      <c r="N52" s="49">
        <f>AVERAGE('31.07 Koboko-Yumbe'!N52,'01.08 Koboko-Yumbe '!N52,'04.08 Koboko-Yumbe '!N52,'05.08 Koboko-Yumbe'!N52,'02.08 Koboko-Yumbe-24h'!N52,'03.08 Koboko-Yumbe-24h'!N52,'06.08 Koboko-Yumbe'!N52)</f>
        <v>0</v>
      </c>
      <c r="O52" s="15">
        <f t="shared" si="0"/>
        <v>3.7142857142857135</v>
      </c>
      <c r="P52" s="15">
        <f t="shared" si="1"/>
        <v>12.142857142857142</v>
      </c>
      <c r="R52" s="8"/>
      <c r="T52"/>
    </row>
    <row r="53" spans="2:20" ht="23.1" customHeight="1" x14ac:dyDescent="0.25">
      <c r="B53" s="23" t="s">
        <v>80</v>
      </c>
      <c r="C53" s="49">
        <f>AVERAGE('31.07 Koboko-Yumbe'!C53,'01.08 Koboko-Yumbe '!C53,'04.08 Koboko-Yumbe '!C53,'05.08 Koboko-Yumbe'!C53,'02.08 Koboko-Yumbe-24h'!C53,'03.08 Koboko-Yumbe-24h'!C53,'06.08 Koboko-Yumbe'!C53)</f>
        <v>3</v>
      </c>
      <c r="D53" s="49">
        <f>AVERAGE('31.07 Koboko-Yumbe'!D53,'01.08 Koboko-Yumbe '!D53,'04.08 Koboko-Yumbe '!D53,'05.08 Koboko-Yumbe'!D53,'02.08 Koboko-Yumbe-24h'!D53,'03.08 Koboko-Yumbe-24h'!D53,'06.08 Koboko-Yumbe'!D53)</f>
        <v>0.2857142857142857</v>
      </c>
      <c r="E53" s="49">
        <f>AVERAGE('31.07 Koboko-Yumbe'!E53,'01.08 Koboko-Yumbe '!E53,'04.08 Koboko-Yumbe '!E53,'05.08 Koboko-Yumbe'!E53,'02.08 Koboko-Yumbe-24h'!E53,'03.08 Koboko-Yumbe-24h'!E53,'06.08 Koboko-Yumbe'!E53)</f>
        <v>0.7142857142857143</v>
      </c>
      <c r="F53" s="49">
        <f>AVERAGE('31.07 Koboko-Yumbe'!F53,'01.08 Koboko-Yumbe '!F53,'04.08 Koboko-Yumbe '!F53,'05.08 Koboko-Yumbe'!F53,'02.08 Koboko-Yumbe-24h'!F53,'03.08 Koboko-Yumbe-24h'!F53,'06.08 Koboko-Yumbe'!F53)</f>
        <v>0.14285714285714285</v>
      </c>
      <c r="G53" s="49">
        <f>AVERAGE('31.07 Koboko-Yumbe'!G53,'01.08 Koboko-Yumbe '!G53,'04.08 Koboko-Yumbe '!G53,'05.08 Koboko-Yumbe'!G53,'02.08 Koboko-Yumbe-24h'!G53,'03.08 Koboko-Yumbe-24h'!G53,'06.08 Koboko-Yumbe'!G53)</f>
        <v>0</v>
      </c>
      <c r="H53" s="49">
        <f>AVERAGE('31.07 Koboko-Yumbe'!H53,'01.08 Koboko-Yumbe '!H53,'04.08 Koboko-Yumbe '!H53,'05.08 Koboko-Yumbe'!H53,'02.08 Koboko-Yumbe-24h'!H53,'03.08 Koboko-Yumbe-24h'!H53,'06.08 Koboko-Yumbe'!H53)</f>
        <v>0.14285714285714285</v>
      </c>
      <c r="I53" s="49">
        <f>AVERAGE('31.07 Koboko-Yumbe'!I53,'01.08 Koboko-Yumbe '!I53,'04.08 Koboko-Yumbe '!I53,'05.08 Koboko-Yumbe'!I53,'02.08 Koboko-Yumbe-24h'!I53,'03.08 Koboko-Yumbe-24h'!I53,'06.08 Koboko-Yumbe'!I53)</f>
        <v>0</v>
      </c>
      <c r="J53" s="49">
        <f>AVERAGE('31.07 Koboko-Yumbe'!J53,'01.08 Koboko-Yumbe '!J53,'04.08 Koboko-Yumbe '!J53,'05.08 Koboko-Yumbe'!J53,'02.08 Koboko-Yumbe-24h'!J53,'03.08 Koboko-Yumbe-24h'!J53,'06.08 Koboko-Yumbe'!J53)</f>
        <v>0.14285714285714285</v>
      </c>
      <c r="K53" s="49">
        <f>AVERAGE('31.07 Koboko-Yumbe'!K53,'01.08 Koboko-Yumbe '!K53,'04.08 Koboko-Yumbe '!K53,'05.08 Koboko-Yumbe'!K53,'02.08 Koboko-Yumbe-24h'!K53,'03.08 Koboko-Yumbe-24h'!K53,'06.08 Koboko-Yumbe'!K53)</f>
        <v>0</v>
      </c>
      <c r="L53" s="49">
        <f>AVERAGE('31.07 Koboko-Yumbe'!L53,'01.08 Koboko-Yumbe '!L53,'04.08 Koboko-Yumbe '!L53,'05.08 Koboko-Yumbe'!L53,'02.08 Koboko-Yumbe-24h'!L53,'03.08 Koboko-Yumbe-24h'!L53,'06.08 Koboko-Yumbe'!L53)</f>
        <v>0</v>
      </c>
      <c r="M53" s="49">
        <f>AVERAGE('31.07 Koboko-Yumbe'!M53,'01.08 Koboko-Yumbe '!M53,'04.08 Koboko-Yumbe '!M53,'05.08 Koboko-Yumbe'!M53,'02.08 Koboko-Yumbe-24h'!M53,'03.08 Koboko-Yumbe-24h'!M53,'06.08 Koboko-Yumbe'!M53)</f>
        <v>11.857142857142858</v>
      </c>
      <c r="N53" s="49">
        <f>AVERAGE('31.07 Koboko-Yumbe'!N53,'01.08 Koboko-Yumbe '!N53,'04.08 Koboko-Yumbe '!N53,'05.08 Koboko-Yumbe'!N53,'02.08 Koboko-Yumbe-24h'!N53,'03.08 Koboko-Yumbe-24h'!N53,'06.08 Koboko-Yumbe'!N53)</f>
        <v>0</v>
      </c>
      <c r="O53" s="15">
        <f t="shared" si="0"/>
        <v>4.4285714285714297</v>
      </c>
      <c r="P53" s="15">
        <f t="shared" si="1"/>
        <v>16.285714285714288</v>
      </c>
      <c r="R53" s="8"/>
      <c r="T53"/>
    </row>
    <row r="54" spans="2:20" ht="23.1" customHeight="1" x14ac:dyDescent="0.25">
      <c r="B54" s="23" t="s">
        <v>81</v>
      </c>
      <c r="C54" s="49">
        <f>AVERAGE('31.07 Koboko-Yumbe'!C54,'01.08 Koboko-Yumbe '!C54,'04.08 Koboko-Yumbe '!C54,'05.08 Koboko-Yumbe'!C54,'02.08 Koboko-Yumbe-24h'!C54,'03.08 Koboko-Yumbe-24h'!C54,'06.08 Koboko-Yumbe'!C54)</f>
        <v>2.1428571428571428</v>
      </c>
      <c r="D54" s="49">
        <f>AVERAGE('31.07 Koboko-Yumbe'!D54,'01.08 Koboko-Yumbe '!D54,'04.08 Koboko-Yumbe '!D54,'05.08 Koboko-Yumbe'!D54,'02.08 Koboko-Yumbe-24h'!D54,'03.08 Koboko-Yumbe-24h'!D54,'06.08 Koboko-Yumbe'!D54)</f>
        <v>0.2857142857142857</v>
      </c>
      <c r="E54" s="49">
        <f>AVERAGE('31.07 Koboko-Yumbe'!E54,'01.08 Koboko-Yumbe '!E54,'04.08 Koboko-Yumbe '!E54,'05.08 Koboko-Yumbe'!E54,'02.08 Koboko-Yumbe-24h'!E54,'03.08 Koboko-Yumbe-24h'!E54,'06.08 Koboko-Yumbe'!E54)</f>
        <v>1.4285714285714286</v>
      </c>
      <c r="F54" s="49">
        <f>AVERAGE('31.07 Koboko-Yumbe'!F54,'01.08 Koboko-Yumbe '!F54,'04.08 Koboko-Yumbe '!F54,'05.08 Koboko-Yumbe'!F54,'02.08 Koboko-Yumbe-24h'!F54,'03.08 Koboko-Yumbe-24h'!F54,'06.08 Koboko-Yumbe'!F54)</f>
        <v>0.2857142857142857</v>
      </c>
      <c r="G54" s="49">
        <f>AVERAGE('31.07 Koboko-Yumbe'!G54,'01.08 Koboko-Yumbe '!G54,'04.08 Koboko-Yumbe '!G54,'05.08 Koboko-Yumbe'!G54,'02.08 Koboko-Yumbe-24h'!G54,'03.08 Koboko-Yumbe-24h'!G54,'06.08 Koboko-Yumbe'!G54)</f>
        <v>0.14285714285714285</v>
      </c>
      <c r="H54" s="49">
        <f>AVERAGE('31.07 Koboko-Yumbe'!H54,'01.08 Koboko-Yumbe '!H54,'04.08 Koboko-Yumbe '!H54,'05.08 Koboko-Yumbe'!H54,'02.08 Koboko-Yumbe-24h'!H54,'03.08 Koboko-Yumbe-24h'!H54,'06.08 Koboko-Yumbe'!H54)</f>
        <v>0</v>
      </c>
      <c r="I54" s="49">
        <f>AVERAGE('31.07 Koboko-Yumbe'!I54,'01.08 Koboko-Yumbe '!I54,'04.08 Koboko-Yumbe '!I54,'05.08 Koboko-Yumbe'!I54,'02.08 Koboko-Yumbe-24h'!I54,'03.08 Koboko-Yumbe-24h'!I54,'06.08 Koboko-Yumbe'!I54)</f>
        <v>0.14285714285714285</v>
      </c>
      <c r="J54" s="49">
        <f>AVERAGE('31.07 Koboko-Yumbe'!J54,'01.08 Koboko-Yumbe '!J54,'04.08 Koboko-Yumbe '!J54,'05.08 Koboko-Yumbe'!J54,'02.08 Koboko-Yumbe-24h'!J54,'03.08 Koboko-Yumbe-24h'!J54,'06.08 Koboko-Yumbe'!J54)</f>
        <v>0.14285714285714285</v>
      </c>
      <c r="K54" s="49">
        <f>AVERAGE('31.07 Koboko-Yumbe'!K54,'01.08 Koboko-Yumbe '!K54,'04.08 Koboko-Yumbe '!K54,'05.08 Koboko-Yumbe'!K54,'02.08 Koboko-Yumbe-24h'!K54,'03.08 Koboko-Yumbe-24h'!K54,'06.08 Koboko-Yumbe'!K54)</f>
        <v>0.14285714285714285</v>
      </c>
      <c r="L54" s="49">
        <f>AVERAGE('31.07 Koboko-Yumbe'!L54,'01.08 Koboko-Yumbe '!L54,'04.08 Koboko-Yumbe '!L54,'05.08 Koboko-Yumbe'!L54,'02.08 Koboko-Yumbe-24h'!L54,'03.08 Koboko-Yumbe-24h'!L54,'06.08 Koboko-Yumbe'!L54)</f>
        <v>0</v>
      </c>
      <c r="M54" s="49">
        <f>AVERAGE('31.07 Koboko-Yumbe'!M54,'01.08 Koboko-Yumbe '!M54,'04.08 Koboko-Yumbe '!M54,'05.08 Koboko-Yumbe'!M54,'02.08 Koboko-Yumbe-24h'!M54,'03.08 Koboko-Yumbe-24h'!M54,'06.08 Koboko-Yumbe'!M54)</f>
        <v>9.8571428571428577</v>
      </c>
      <c r="N54" s="49">
        <f>AVERAGE('31.07 Koboko-Yumbe'!N54,'01.08 Koboko-Yumbe '!N54,'04.08 Koboko-Yumbe '!N54,'05.08 Koboko-Yumbe'!N54,'02.08 Koboko-Yumbe-24h'!N54,'03.08 Koboko-Yumbe-24h'!N54,'06.08 Koboko-Yumbe'!N54)</f>
        <v>0</v>
      </c>
      <c r="O54" s="15">
        <f t="shared" si="0"/>
        <v>4.7142857142857153</v>
      </c>
      <c r="P54" s="15">
        <f t="shared" si="1"/>
        <v>14.571428571428573</v>
      </c>
      <c r="R54" s="8"/>
      <c r="T54"/>
    </row>
    <row r="55" spans="2:20" ht="23.1" customHeight="1" x14ac:dyDescent="0.25">
      <c r="B55" s="23" t="s">
        <v>82</v>
      </c>
      <c r="C55" s="49">
        <f>AVERAGE('31.07 Koboko-Yumbe'!C55,'01.08 Koboko-Yumbe '!C55,'04.08 Koboko-Yumbe '!C55,'05.08 Koboko-Yumbe'!C55,'02.08 Koboko-Yumbe-24h'!C55,'03.08 Koboko-Yumbe-24h'!C55,'06.08 Koboko-Yumbe'!C55)</f>
        <v>2.7142857142857144</v>
      </c>
      <c r="D55" s="49">
        <f>AVERAGE('31.07 Koboko-Yumbe'!D55,'01.08 Koboko-Yumbe '!D55,'04.08 Koboko-Yumbe '!D55,'05.08 Koboko-Yumbe'!D55,'02.08 Koboko-Yumbe-24h'!D55,'03.08 Koboko-Yumbe-24h'!D55,'06.08 Koboko-Yumbe'!D55)</f>
        <v>0.42857142857142855</v>
      </c>
      <c r="E55" s="49">
        <f>AVERAGE('31.07 Koboko-Yumbe'!E55,'01.08 Koboko-Yumbe '!E55,'04.08 Koboko-Yumbe '!E55,'05.08 Koboko-Yumbe'!E55,'02.08 Koboko-Yumbe-24h'!E55,'03.08 Koboko-Yumbe-24h'!E55,'06.08 Koboko-Yumbe'!E55)</f>
        <v>1.1428571428571428</v>
      </c>
      <c r="F55" s="49">
        <f>AVERAGE('31.07 Koboko-Yumbe'!F55,'01.08 Koboko-Yumbe '!F55,'04.08 Koboko-Yumbe '!F55,'05.08 Koboko-Yumbe'!F55,'02.08 Koboko-Yumbe-24h'!F55,'03.08 Koboko-Yumbe-24h'!F55,'06.08 Koboko-Yumbe'!F55)</f>
        <v>0.14285714285714285</v>
      </c>
      <c r="G55" s="49">
        <f>AVERAGE('31.07 Koboko-Yumbe'!G55,'01.08 Koboko-Yumbe '!G55,'04.08 Koboko-Yumbe '!G55,'05.08 Koboko-Yumbe'!G55,'02.08 Koboko-Yumbe-24h'!G55,'03.08 Koboko-Yumbe-24h'!G55,'06.08 Koboko-Yumbe'!G55)</f>
        <v>0.2857142857142857</v>
      </c>
      <c r="H55" s="49">
        <f>AVERAGE('31.07 Koboko-Yumbe'!H55,'01.08 Koboko-Yumbe '!H55,'04.08 Koboko-Yumbe '!H55,'05.08 Koboko-Yumbe'!H55,'02.08 Koboko-Yumbe-24h'!H55,'03.08 Koboko-Yumbe-24h'!H55,'06.08 Koboko-Yumbe'!H55)</f>
        <v>0</v>
      </c>
      <c r="I55" s="49">
        <f>AVERAGE('31.07 Koboko-Yumbe'!I55,'01.08 Koboko-Yumbe '!I55,'04.08 Koboko-Yumbe '!I55,'05.08 Koboko-Yumbe'!I55,'02.08 Koboko-Yumbe-24h'!I55,'03.08 Koboko-Yumbe-24h'!I55,'06.08 Koboko-Yumbe'!I55)</f>
        <v>0.2857142857142857</v>
      </c>
      <c r="J55" s="49">
        <f>AVERAGE('31.07 Koboko-Yumbe'!J55,'01.08 Koboko-Yumbe '!J55,'04.08 Koboko-Yumbe '!J55,'05.08 Koboko-Yumbe'!J55,'02.08 Koboko-Yumbe-24h'!J55,'03.08 Koboko-Yumbe-24h'!J55,'06.08 Koboko-Yumbe'!J55)</f>
        <v>0.14285714285714285</v>
      </c>
      <c r="K55" s="49">
        <f>AVERAGE('31.07 Koboko-Yumbe'!K55,'01.08 Koboko-Yumbe '!K55,'04.08 Koboko-Yumbe '!K55,'05.08 Koboko-Yumbe'!K55,'02.08 Koboko-Yumbe-24h'!K55,'03.08 Koboko-Yumbe-24h'!K55,'06.08 Koboko-Yumbe'!K55)</f>
        <v>0</v>
      </c>
      <c r="L55" s="49">
        <f>AVERAGE('31.07 Koboko-Yumbe'!L55,'01.08 Koboko-Yumbe '!L55,'04.08 Koboko-Yumbe '!L55,'05.08 Koboko-Yumbe'!L55,'02.08 Koboko-Yumbe-24h'!L55,'03.08 Koboko-Yumbe-24h'!L55,'06.08 Koboko-Yumbe'!L55)</f>
        <v>0.14285714285714285</v>
      </c>
      <c r="M55" s="49">
        <f>AVERAGE('31.07 Koboko-Yumbe'!M55,'01.08 Koboko-Yumbe '!M55,'04.08 Koboko-Yumbe '!M55,'05.08 Koboko-Yumbe'!M55,'02.08 Koboko-Yumbe-24h'!M55,'03.08 Koboko-Yumbe-24h'!M55,'06.08 Koboko-Yumbe'!M55)</f>
        <v>9.7142857142857135</v>
      </c>
      <c r="N55" s="49">
        <f>AVERAGE('31.07 Koboko-Yumbe'!N55,'01.08 Koboko-Yumbe '!N55,'04.08 Koboko-Yumbe '!N55,'05.08 Koboko-Yumbe'!N55,'02.08 Koboko-Yumbe-24h'!N55,'03.08 Koboko-Yumbe-24h'!N55,'06.08 Koboko-Yumbe'!N55)</f>
        <v>0</v>
      </c>
      <c r="O55" s="15">
        <f t="shared" si="0"/>
        <v>5.2857142857142865</v>
      </c>
      <c r="P55" s="15">
        <f t="shared" si="1"/>
        <v>15</v>
      </c>
      <c r="R55" s="8"/>
      <c r="T55"/>
    </row>
    <row r="56" spans="2:20" ht="23.1" customHeight="1" x14ac:dyDescent="0.25">
      <c r="B56" s="23" t="s">
        <v>83</v>
      </c>
      <c r="C56" s="49">
        <f>AVERAGE('31.07 Koboko-Yumbe'!C56,'01.08 Koboko-Yumbe '!C56,'04.08 Koboko-Yumbe '!C56,'05.08 Koboko-Yumbe'!C56,'02.08 Koboko-Yumbe-24h'!C56,'03.08 Koboko-Yumbe-24h'!C56,'06.08 Koboko-Yumbe'!C56)</f>
        <v>2.5714285714285716</v>
      </c>
      <c r="D56" s="49">
        <f>AVERAGE('31.07 Koboko-Yumbe'!D56,'01.08 Koboko-Yumbe '!D56,'04.08 Koboko-Yumbe '!D56,'05.08 Koboko-Yumbe'!D56,'02.08 Koboko-Yumbe-24h'!D56,'03.08 Koboko-Yumbe-24h'!D56,'06.08 Koboko-Yumbe'!D56)</f>
        <v>0.2857142857142857</v>
      </c>
      <c r="E56" s="49">
        <f>AVERAGE('31.07 Koboko-Yumbe'!E56,'01.08 Koboko-Yumbe '!E56,'04.08 Koboko-Yumbe '!E56,'05.08 Koboko-Yumbe'!E56,'02.08 Koboko-Yumbe-24h'!E56,'03.08 Koboko-Yumbe-24h'!E56,'06.08 Koboko-Yumbe'!E56)</f>
        <v>1.4285714285714286</v>
      </c>
      <c r="F56" s="49">
        <f>AVERAGE('31.07 Koboko-Yumbe'!F56,'01.08 Koboko-Yumbe '!F56,'04.08 Koboko-Yumbe '!F56,'05.08 Koboko-Yumbe'!F56,'02.08 Koboko-Yumbe-24h'!F56,'03.08 Koboko-Yumbe-24h'!F56,'06.08 Koboko-Yumbe'!F56)</f>
        <v>0</v>
      </c>
      <c r="G56" s="49">
        <f>AVERAGE('31.07 Koboko-Yumbe'!G56,'01.08 Koboko-Yumbe '!G56,'04.08 Koboko-Yumbe '!G56,'05.08 Koboko-Yumbe'!G56,'02.08 Koboko-Yumbe-24h'!G56,'03.08 Koboko-Yumbe-24h'!G56,'06.08 Koboko-Yumbe'!G56)</f>
        <v>0</v>
      </c>
      <c r="H56" s="49">
        <f>AVERAGE('31.07 Koboko-Yumbe'!H56,'01.08 Koboko-Yumbe '!H56,'04.08 Koboko-Yumbe '!H56,'05.08 Koboko-Yumbe'!H56,'02.08 Koboko-Yumbe-24h'!H56,'03.08 Koboko-Yumbe-24h'!H56,'06.08 Koboko-Yumbe'!H56)</f>
        <v>0.2857142857142857</v>
      </c>
      <c r="I56" s="49">
        <f>AVERAGE('31.07 Koboko-Yumbe'!I56,'01.08 Koboko-Yumbe '!I56,'04.08 Koboko-Yumbe '!I56,'05.08 Koboko-Yumbe'!I56,'02.08 Koboko-Yumbe-24h'!I56,'03.08 Koboko-Yumbe-24h'!I56,'06.08 Koboko-Yumbe'!I56)</f>
        <v>0.5714285714285714</v>
      </c>
      <c r="J56" s="49">
        <f>AVERAGE('31.07 Koboko-Yumbe'!J56,'01.08 Koboko-Yumbe '!J56,'04.08 Koboko-Yumbe '!J56,'05.08 Koboko-Yumbe'!J56,'02.08 Koboko-Yumbe-24h'!J56,'03.08 Koboko-Yumbe-24h'!J56,'06.08 Koboko-Yumbe'!J56)</f>
        <v>0.42857142857142855</v>
      </c>
      <c r="K56" s="49">
        <f>AVERAGE('31.07 Koboko-Yumbe'!K56,'01.08 Koboko-Yumbe '!K56,'04.08 Koboko-Yumbe '!K56,'05.08 Koboko-Yumbe'!K56,'02.08 Koboko-Yumbe-24h'!K56,'03.08 Koboko-Yumbe-24h'!K56,'06.08 Koboko-Yumbe'!K56)</f>
        <v>0</v>
      </c>
      <c r="L56" s="49">
        <f>AVERAGE('31.07 Koboko-Yumbe'!L56,'01.08 Koboko-Yumbe '!L56,'04.08 Koboko-Yumbe '!L56,'05.08 Koboko-Yumbe'!L56,'02.08 Koboko-Yumbe-24h'!L56,'03.08 Koboko-Yumbe-24h'!L56,'06.08 Koboko-Yumbe'!L56)</f>
        <v>0.14285714285714285</v>
      </c>
      <c r="M56" s="49">
        <f>AVERAGE('31.07 Koboko-Yumbe'!M56,'01.08 Koboko-Yumbe '!M56,'04.08 Koboko-Yumbe '!M56,'05.08 Koboko-Yumbe'!M56,'02.08 Koboko-Yumbe-24h'!M56,'03.08 Koboko-Yumbe-24h'!M56,'06.08 Koboko-Yumbe'!M56)</f>
        <v>11</v>
      </c>
      <c r="N56" s="49">
        <f>AVERAGE('31.07 Koboko-Yumbe'!N56,'01.08 Koboko-Yumbe '!N56,'04.08 Koboko-Yumbe '!N56,'05.08 Koboko-Yumbe'!N56,'02.08 Koboko-Yumbe-24h'!N56,'03.08 Koboko-Yumbe-24h'!N56,'06.08 Koboko-Yumbe'!N56)</f>
        <v>0</v>
      </c>
      <c r="O56" s="15">
        <f t="shared" si="0"/>
        <v>5.7142857142857144</v>
      </c>
      <c r="P56" s="15">
        <f t="shared" si="1"/>
        <v>16.714285714285715</v>
      </c>
      <c r="R56" s="8"/>
      <c r="T56"/>
    </row>
    <row r="57" spans="2:20" ht="23.1" customHeight="1" x14ac:dyDescent="0.25">
      <c r="B57" s="23" t="s">
        <v>84</v>
      </c>
      <c r="C57" s="49">
        <f>AVERAGE('31.07 Koboko-Yumbe'!C57,'01.08 Koboko-Yumbe '!C57,'04.08 Koboko-Yumbe '!C57,'05.08 Koboko-Yumbe'!C57,'02.08 Koboko-Yumbe-24h'!C57,'03.08 Koboko-Yumbe-24h'!C57,'06.08 Koboko-Yumbe'!C57)</f>
        <v>2.5714285714285716</v>
      </c>
      <c r="D57" s="49">
        <f>AVERAGE('31.07 Koboko-Yumbe'!D57,'01.08 Koboko-Yumbe '!D57,'04.08 Koboko-Yumbe '!D57,'05.08 Koboko-Yumbe'!D57,'02.08 Koboko-Yumbe-24h'!D57,'03.08 Koboko-Yumbe-24h'!D57,'06.08 Koboko-Yumbe'!D57)</f>
        <v>0.5714285714285714</v>
      </c>
      <c r="E57" s="49">
        <f>AVERAGE('31.07 Koboko-Yumbe'!E57,'01.08 Koboko-Yumbe '!E57,'04.08 Koboko-Yumbe '!E57,'05.08 Koboko-Yumbe'!E57,'02.08 Koboko-Yumbe-24h'!E57,'03.08 Koboko-Yumbe-24h'!E57,'06.08 Koboko-Yumbe'!E57)</f>
        <v>1.5714285714285714</v>
      </c>
      <c r="F57" s="49">
        <f>AVERAGE('31.07 Koboko-Yumbe'!F57,'01.08 Koboko-Yumbe '!F57,'04.08 Koboko-Yumbe '!F57,'05.08 Koboko-Yumbe'!F57,'02.08 Koboko-Yumbe-24h'!F57,'03.08 Koboko-Yumbe-24h'!F57,'06.08 Koboko-Yumbe'!F57)</f>
        <v>0.14285714285714285</v>
      </c>
      <c r="G57" s="49">
        <f>AVERAGE('31.07 Koboko-Yumbe'!G57,'01.08 Koboko-Yumbe '!G57,'04.08 Koboko-Yumbe '!G57,'05.08 Koboko-Yumbe'!G57,'02.08 Koboko-Yumbe-24h'!G57,'03.08 Koboko-Yumbe-24h'!G57,'06.08 Koboko-Yumbe'!G57)</f>
        <v>0.2857142857142857</v>
      </c>
      <c r="H57" s="49">
        <f>AVERAGE('31.07 Koboko-Yumbe'!H57,'01.08 Koboko-Yumbe '!H57,'04.08 Koboko-Yumbe '!H57,'05.08 Koboko-Yumbe'!H57,'02.08 Koboko-Yumbe-24h'!H57,'03.08 Koboko-Yumbe-24h'!H57,'06.08 Koboko-Yumbe'!H57)</f>
        <v>0.14285714285714285</v>
      </c>
      <c r="I57" s="49">
        <f>AVERAGE('31.07 Koboko-Yumbe'!I57,'01.08 Koboko-Yumbe '!I57,'04.08 Koboko-Yumbe '!I57,'05.08 Koboko-Yumbe'!I57,'02.08 Koboko-Yumbe-24h'!I57,'03.08 Koboko-Yumbe-24h'!I57,'06.08 Koboko-Yumbe'!I57)</f>
        <v>0.2857142857142857</v>
      </c>
      <c r="J57" s="49">
        <f>AVERAGE('31.07 Koboko-Yumbe'!J57,'01.08 Koboko-Yumbe '!J57,'04.08 Koboko-Yumbe '!J57,'05.08 Koboko-Yumbe'!J57,'02.08 Koboko-Yumbe-24h'!J57,'03.08 Koboko-Yumbe-24h'!J57,'06.08 Koboko-Yumbe'!J57)</f>
        <v>0</v>
      </c>
      <c r="K57" s="49">
        <f>AVERAGE('31.07 Koboko-Yumbe'!K57,'01.08 Koboko-Yumbe '!K57,'04.08 Koboko-Yumbe '!K57,'05.08 Koboko-Yumbe'!K57,'02.08 Koboko-Yumbe-24h'!K57,'03.08 Koboko-Yumbe-24h'!K57,'06.08 Koboko-Yumbe'!K57)</f>
        <v>0</v>
      </c>
      <c r="L57" s="49">
        <f>AVERAGE('31.07 Koboko-Yumbe'!L57,'01.08 Koboko-Yumbe '!L57,'04.08 Koboko-Yumbe '!L57,'05.08 Koboko-Yumbe'!L57,'02.08 Koboko-Yumbe-24h'!L57,'03.08 Koboko-Yumbe-24h'!L57,'06.08 Koboko-Yumbe'!L57)</f>
        <v>0.14285714285714285</v>
      </c>
      <c r="M57" s="49">
        <f>AVERAGE('31.07 Koboko-Yumbe'!M57,'01.08 Koboko-Yumbe '!M57,'04.08 Koboko-Yumbe '!M57,'05.08 Koboko-Yumbe'!M57,'02.08 Koboko-Yumbe-24h'!M57,'03.08 Koboko-Yumbe-24h'!M57,'06.08 Koboko-Yumbe'!M57)</f>
        <v>14.142857142857142</v>
      </c>
      <c r="N57" s="49">
        <f>AVERAGE('31.07 Koboko-Yumbe'!N57,'01.08 Koboko-Yumbe '!N57,'04.08 Koboko-Yumbe '!N57,'05.08 Koboko-Yumbe'!N57,'02.08 Koboko-Yumbe-24h'!N57,'03.08 Koboko-Yumbe-24h'!N57,'06.08 Koboko-Yumbe'!N57)</f>
        <v>0</v>
      </c>
      <c r="O57" s="15">
        <f t="shared" si="0"/>
        <v>5.7142857142857153</v>
      </c>
      <c r="P57" s="15">
        <f t="shared" si="1"/>
        <v>19.857142857142858</v>
      </c>
      <c r="R57" s="8"/>
      <c r="T57"/>
    </row>
    <row r="58" spans="2:20" ht="23.1" customHeight="1" x14ac:dyDescent="0.25">
      <c r="B58" s="23" t="s">
        <v>99</v>
      </c>
      <c r="C58" s="49">
        <f>AVERAGE('02.08 Koboko-Yumbe-24h'!C58,'03.08 Koboko-Yumbe-24h'!C58)</f>
        <v>2</v>
      </c>
      <c r="D58" s="49">
        <f>AVERAGE('02.08 Koboko-Yumbe-24h'!D58,'03.08 Koboko-Yumbe-24h'!D58)</f>
        <v>1.5</v>
      </c>
      <c r="E58" s="49">
        <f>AVERAGE('02.08 Koboko-Yumbe-24h'!E58,'03.08 Koboko-Yumbe-24h'!E58)</f>
        <v>2</v>
      </c>
      <c r="F58" s="49">
        <f>AVERAGE('02.08 Koboko-Yumbe-24h'!F58,'03.08 Koboko-Yumbe-24h'!F58)</f>
        <v>1</v>
      </c>
      <c r="G58" s="49">
        <f>AVERAGE('02.08 Koboko-Yumbe-24h'!G58,'03.08 Koboko-Yumbe-24h'!G58)</f>
        <v>0</v>
      </c>
      <c r="H58" s="49">
        <f>AVERAGE('02.08 Koboko-Yumbe-24h'!H58,'03.08 Koboko-Yumbe-24h'!H58)</f>
        <v>0</v>
      </c>
      <c r="I58" s="49">
        <f>AVERAGE('02.08 Koboko-Yumbe-24h'!I58,'03.08 Koboko-Yumbe-24h'!I58)</f>
        <v>0</v>
      </c>
      <c r="J58" s="49">
        <f>AVERAGE('02.08 Koboko-Yumbe-24h'!J58,'03.08 Koboko-Yumbe-24h'!J58)</f>
        <v>0</v>
      </c>
      <c r="K58" s="49">
        <f>AVERAGE('02.08 Koboko-Yumbe-24h'!K58,'03.08 Koboko-Yumbe-24h'!K58)</f>
        <v>0</v>
      </c>
      <c r="L58" s="49">
        <f>AVERAGE('02.08 Koboko-Yumbe-24h'!L58,'03.08 Koboko-Yumbe-24h'!L58)</f>
        <v>0</v>
      </c>
      <c r="M58" s="49">
        <f>AVERAGE('02.08 Koboko-Yumbe-24h'!M58,'03.08 Koboko-Yumbe-24h'!M58)</f>
        <v>4</v>
      </c>
      <c r="N58" s="49">
        <f>AVERAGE('02.08 Koboko-Yumbe-24h'!N58,'03.08 Koboko-Yumbe-24h'!N58)</f>
        <v>0</v>
      </c>
      <c r="O58" s="15">
        <f t="shared" si="0"/>
        <v>6.5</v>
      </c>
      <c r="P58" s="15">
        <f t="shared" si="1"/>
        <v>10.5</v>
      </c>
      <c r="R58" s="8"/>
      <c r="T58"/>
    </row>
    <row r="59" spans="2:20" ht="23.1" customHeight="1" x14ac:dyDescent="0.25">
      <c r="B59" s="23" t="s">
        <v>100</v>
      </c>
      <c r="C59" s="49">
        <f>AVERAGE('02.08 Koboko-Yumbe-24h'!C59,'03.08 Koboko-Yumbe-24h'!C59)</f>
        <v>5.5</v>
      </c>
      <c r="D59" s="49">
        <f>AVERAGE('02.08 Koboko-Yumbe-24h'!D59,'03.08 Koboko-Yumbe-24h'!D59)</f>
        <v>0.5</v>
      </c>
      <c r="E59" s="49">
        <f>AVERAGE('02.08 Koboko-Yumbe-24h'!E59,'03.08 Koboko-Yumbe-24h'!E59)</f>
        <v>1</v>
      </c>
      <c r="F59" s="49">
        <f>AVERAGE('02.08 Koboko-Yumbe-24h'!F59,'03.08 Koboko-Yumbe-24h'!F59)</f>
        <v>2.5</v>
      </c>
      <c r="G59" s="49">
        <f>AVERAGE('02.08 Koboko-Yumbe-24h'!G59,'03.08 Koboko-Yumbe-24h'!G59)</f>
        <v>0</v>
      </c>
      <c r="H59" s="49">
        <f>AVERAGE('02.08 Koboko-Yumbe-24h'!H59,'03.08 Koboko-Yumbe-24h'!H59)</f>
        <v>0</v>
      </c>
      <c r="I59" s="49">
        <f>AVERAGE('02.08 Koboko-Yumbe-24h'!I59,'03.08 Koboko-Yumbe-24h'!I59)</f>
        <v>0</v>
      </c>
      <c r="J59" s="49">
        <f>AVERAGE('02.08 Koboko-Yumbe-24h'!J59,'03.08 Koboko-Yumbe-24h'!J59)</f>
        <v>0</v>
      </c>
      <c r="K59" s="49">
        <f>AVERAGE('02.08 Koboko-Yumbe-24h'!K59,'03.08 Koboko-Yumbe-24h'!K59)</f>
        <v>0</v>
      </c>
      <c r="L59" s="49">
        <f>AVERAGE('02.08 Koboko-Yumbe-24h'!L59,'03.08 Koboko-Yumbe-24h'!L59)</f>
        <v>0</v>
      </c>
      <c r="M59" s="49">
        <f>AVERAGE('02.08 Koboko-Yumbe-24h'!M59,'03.08 Koboko-Yumbe-24h'!M59)</f>
        <v>5.5</v>
      </c>
      <c r="N59" s="49">
        <f>AVERAGE('02.08 Koboko-Yumbe-24h'!N59,'03.08 Koboko-Yumbe-24h'!N59)</f>
        <v>0.5</v>
      </c>
      <c r="O59" s="15">
        <f t="shared" si="0"/>
        <v>10</v>
      </c>
      <c r="P59" s="15">
        <f t="shared" si="1"/>
        <v>15.5</v>
      </c>
      <c r="R59" s="8"/>
      <c r="T59"/>
    </row>
    <row r="60" spans="2:20" ht="23.1" customHeight="1" x14ac:dyDescent="0.25">
      <c r="B60" s="23" t="s">
        <v>101</v>
      </c>
      <c r="C60" s="49">
        <f>AVERAGE('02.08 Koboko-Yumbe-24h'!C60,'03.08 Koboko-Yumbe-24h'!C60)</f>
        <v>1</v>
      </c>
      <c r="D60" s="49">
        <f>AVERAGE('02.08 Koboko-Yumbe-24h'!D60,'03.08 Koboko-Yumbe-24h'!D60)</f>
        <v>0</v>
      </c>
      <c r="E60" s="49">
        <f>AVERAGE('02.08 Koboko-Yumbe-24h'!E60,'03.08 Koboko-Yumbe-24h'!E60)</f>
        <v>1</v>
      </c>
      <c r="F60" s="49">
        <f>AVERAGE('02.08 Koboko-Yumbe-24h'!F60,'03.08 Koboko-Yumbe-24h'!F60)</f>
        <v>0.5</v>
      </c>
      <c r="G60" s="49">
        <f>AVERAGE('02.08 Koboko-Yumbe-24h'!G60,'03.08 Koboko-Yumbe-24h'!G60)</f>
        <v>0</v>
      </c>
      <c r="H60" s="49">
        <f>AVERAGE('02.08 Koboko-Yumbe-24h'!H60,'03.08 Koboko-Yumbe-24h'!H60)</f>
        <v>0</v>
      </c>
      <c r="I60" s="49">
        <f>AVERAGE('02.08 Koboko-Yumbe-24h'!I60,'03.08 Koboko-Yumbe-24h'!I60)</f>
        <v>0</v>
      </c>
      <c r="J60" s="49">
        <f>AVERAGE('02.08 Koboko-Yumbe-24h'!J60,'03.08 Koboko-Yumbe-24h'!J60)</f>
        <v>0</v>
      </c>
      <c r="K60" s="49">
        <f>AVERAGE('02.08 Koboko-Yumbe-24h'!K60,'03.08 Koboko-Yumbe-24h'!K60)</f>
        <v>0</v>
      </c>
      <c r="L60" s="49">
        <f>AVERAGE('02.08 Koboko-Yumbe-24h'!L60,'03.08 Koboko-Yumbe-24h'!L60)</f>
        <v>0</v>
      </c>
      <c r="M60" s="49">
        <f>AVERAGE('02.08 Koboko-Yumbe-24h'!M60,'03.08 Koboko-Yumbe-24h'!M60)</f>
        <v>7</v>
      </c>
      <c r="N60" s="49">
        <f>AVERAGE('02.08 Koboko-Yumbe-24h'!N60,'03.08 Koboko-Yumbe-24h'!N60)</f>
        <v>0</v>
      </c>
      <c r="O60" s="15">
        <f t="shared" si="0"/>
        <v>2.5</v>
      </c>
      <c r="P60" s="15">
        <f t="shared" si="1"/>
        <v>9.5</v>
      </c>
      <c r="R60" s="8"/>
      <c r="T60"/>
    </row>
    <row r="61" spans="2:20" ht="23.1" customHeight="1" x14ac:dyDescent="0.25">
      <c r="B61" s="23" t="s">
        <v>102</v>
      </c>
      <c r="C61" s="49">
        <f>AVERAGE('02.08 Koboko-Yumbe-24h'!C61,'03.08 Koboko-Yumbe-24h'!C61)</f>
        <v>1</v>
      </c>
      <c r="D61" s="49">
        <f>AVERAGE('02.08 Koboko-Yumbe-24h'!D61,'03.08 Koboko-Yumbe-24h'!D61)</f>
        <v>0</v>
      </c>
      <c r="E61" s="49">
        <f>AVERAGE('02.08 Koboko-Yumbe-24h'!E61,'03.08 Koboko-Yumbe-24h'!E61)</f>
        <v>0.5</v>
      </c>
      <c r="F61" s="49">
        <f>AVERAGE('02.08 Koboko-Yumbe-24h'!F61,'03.08 Koboko-Yumbe-24h'!F61)</f>
        <v>0.5</v>
      </c>
      <c r="G61" s="49">
        <f>AVERAGE('02.08 Koboko-Yumbe-24h'!G61,'03.08 Koboko-Yumbe-24h'!G61)</f>
        <v>0</v>
      </c>
      <c r="H61" s="49">
        <f>AVERAGE('02.08 Koboko-Yumbe-24h'!H61,'03.08 Koboko-Yumbe-24h'!H61)</f>
        <v>0</v>
      </c>
      <c r="I61" s="49">
        <f>AVERAGE('02.08 Koboko-Yumbe-24h'!I61,'03.08 Koboko-Yumbe-24h'!I61)</f>
        <v>0.5</v>
      </c>
      <c r="J61" s="49">
        <f>AVERAGE('02.08 Koboko-Yumbe-24h'!J61,'03.08 Koboko-Yumbe-24h'!J61)</f>
        <v>0.5</v>
      </c>
      <c r="K61" s="49">
        <f>AVERAGE('02.08 Koboko-Yumbe-24h'!K61,'03.08 Koboko-Yumbe-24h'!K61)</f>
        <v>0</v>
      </c>
      <c r="L61" s="49">
        <f>AVERAGE('02.08 Koboko-Yumbe-24h'!L61,'03.08 Koboko-Yumbe-24h'!L61)</f>
        <v>0</v>
      </c>
      <c r="M61" s="49">
        <f>AVERAGE('02.08 Koboko-Yumbe-24h'!M61,'03.08 Koboko-Yumbe-24h'!M61)</f>
        <v>5.5</v>
      </c>
      <c r="N61" s="49">
        <f>AVERAGE('02.08 Koboko-Yumbe-24h'!N61,'03.08 Koboko-Yumbe-24h'!N61)</f>
        <v>0</v>
      </c>
      <c r="O61" s="15">
        <f t="shared" si="0"/>
        <v>3</v>
      </c>
      <c r="P61" s="15">
        <f t="shared" si="1"/>
        <v>8.5</v>
      </c>
      <c r="R61" s="8"/>
      <c r="T61"/>
    </row>
    <row r="62" spans="2:20" ht="23.1" customHeight="1" x14ac:dyDescent="0.25">
      <c r="B62" s="23" t="s">
        <v>107</v>
      </c>
      <c r="C62" s="49">
        <f>AVERAGE('02.08 Koboko-Yumbe-24h'!C62,'03.08 Koboko-Yumbe-24h'!C62)</f>
        <v>0</v>
      </c>
      <c r="D62" s="49">
        <f>AVERAGE('02.08 Koboko-Yumbe-24h'!D62,'03.08 Koboko-Yumbe-24h'!D62)</f>
        <v>0</v>
      </c>
      <c r="E62" s="49">
        <f>AVERAGE('02.08 Koboko-Yumbe-24h'!E62,'03.08 Koboko-Yumbe-24h'!E62)</f>
        <v>1</v>
      </c>
      <c r="F62" s="49">
        <f>AVERAGE('02.08 Koboko-Yumbe-24h'!F62,'03.08 Koboko-Yumbe-24h'!F62)</f>
        <v>0.5</v>
      </c>
      <c r="G62" s="49">
        <f>AVERAGE('02.08 Koboko-Yumbe-24h'!G62,'03.08 Koboko-Yumbe-24h'!G62)</f>
        <v>0</v>
      </c>
      <c r="H62" s="49">
        <f>AVERAGE('02.08 Koboko-Yumbe-24h'!H62,'03.08 Koboko-Yumbe-24h'!H62)</f>
        <v>0</v>
      </c>
      <c r="I62" s="49">
        <f>AVERAGE('02.08 Koboko-Yumbe-24h'!I62,'03.08 Koboko-Yumbe-24h'!I62)</f>
        <v>0</v>
      </c>
      <c r="J62" s="49">
        <f>AVERAGE('02.08 Koboko-Yumbe-24h'!J62,'03.08 Koboko-Yumbe-24h'!J62)</f>
        <v>0</v>
      </c>
      <c r="K62" s="49">
        <f>AVERAGE('02.08 Koboko-Yumbe-24h'!K62,'03.08 Koboko-Yumbe-24h'!K62)</f>
        <v>0.5</v>
      </c>
      <c r="L62" s="49">
        <f>AVERAGE('02.08 Koboko-Yumbe-24h'!L62,'03.08 Koboko-Yumbe-24h'!L62)</f>
        <v>0</v>
      </c>
      <c r="M62" s="49">
        <f>AVERAGE('02.08 Koboko-Yumbe-24h'!M62,'03.08 Koboko-Yumbe-24h'!M62)</f>
        <v>4.5</v>
      </c>
      <c r="N62" s="49">
        <f>AVERAGE('02.08 Koboko-Yumbe-24h'!N62,'03.08 Koboko-Yumbe-24h'!N62)</f>
        <v>0</v>
      </c>
      <c r="O62" s="15">
        <f t="shared" si="0"/>
        <v>2</v>
      </c>
      <c r="P62" s="15">
        <f t="shared" si="1"/>
        <v>6.5</v>
      </c>
      <c r="R62" s="8"/>
      <c r="T62"/>
    </row>
    <row r="63" spans="2:20" ht="23.1" customHeight="1" x14ac:dyDescent="0.25">
      <c r="B63" s="23" t="s">
        <v>108</v>
      </c>
      <c r="C63" s="49">
        <f>AVERAGE('02.08 Koboko-Yumbe-24h'!C63,'03.08 Koboko-Yumbe-24h'!C63)</f>
        <v>1</v>
      </c>
      <c r="D63" s="49">
        <f>AVERAGE('02.08 Koboko-Yumbe-24h'!D63,'03.08 Koboko-Yumbe-24h'!D63)</f>
        <v>0</v>
      </c>
      <c r="E63" s="49">
        <f>AVERAGE('02.08 Koboko-Yumbe-24h'!E63,'03.08 Koboko-Yumbe-24h'!E63)</f>
        <v>0.5</v>
      </c>
      <c r="F63" s="49">
        <f>AVERAGE('02.08 Koboko-Yumbe-24h'!F63,'03.08 Koboko-Yumbe-24h'!F63)</f>
        <v>0</v>
      </c>
      <c r="G63" s="49">
        <f>AVERAGE('02.08 Koboko-Yumbe-24h'!G63,'03.08 Koboko-Yumbe-24h'!G63)</f>
        <v>0.5</v>
      </c>
      <c r="H63" s="49">
        <f>AVERAGE('02.08 Koboko-Yumbe-24h'!H63,'03.08 Koboko-Yumbe-24h'!H63)</f>
        <v>0</v>
      </c>
      <c r="I63" s="49">
        <f>AVERAGE('02.08 Koboko-Yumbe-24h'!I63,'03.08 Koboko-Yumbe-24h'!I63)</f>
        <v>0</v>
      </c>
      <c r="J63" s="49">
        <f>AVERAGE('02.08 Koboko-Yumbe-24h'!J63,'03.08 Koboko-Yumbe-24h'!J63)</f>
        <v>0</v>
      </c>
      <c r="K63" s="49">
        <f>AVERAGE('02.08 Koboko-Yumbe-24h'!K63,'03.08 Koboko-Yumbe-24h'!K63)</f>
        <v>0</v>
      </c>
      <c r="L63" s="49">
        <f>AVERAGE('02.08 Koboko-Yumbe-24h'!L63,'03.08 Koboko-Yumbe-24h'!L63)</f>
        <v>0</v>
      </c>
      <c r="M63" s="49">
        <f>AVERAGE('02.08 Koboko-Yumbe-24h'!M63,'03.08 Koboko-Yumbe-24h'!M63)</f>
        <v>3.5</v>
      </c>
      <c r="N63" s="49">
        <f>AVERAGE('02.08 Koboko-Yumbe-24h'!N63,'03.08 Koboko-Yumbe-24h'!N63)</f>
        <v>0</v>
      </c>
      <c r="O63" s="15">
        <f t="shared" si="0"/>
        <v>2</v>
      </c>
      <c r="P63" s="15">
        <f t="shared" si="1"/>
        <v>5.5</v>
      </c>
      <c r="R63" s="8"/>
      <c r="T63"/>
    </row>
    <row r="64" spans="2:20" ht="23.1" customHeight="1" x14ac:dyDescent="0.25">
      <c r="B64" s="23" t="s">
        <v>109</v>
      </c>
      <c r="C64" s="49">
        <f>AVERAGE('02.08 Koboko-Yumbe-24h'!C64,'03.08 Koboko-Yumbe-24h'!C64)</f>
        <v>0</v>
      </c>
      <c r="D64" s="49">
        <f>AVERAGE('02.08 Koboko-Yumbe-24h'!D64,'03.08 Koboko-Yumbe-24h'!D64)</f>
        <v>0</v>
      </c>
      <c r="E64" s="49">
        <f>AVERAGE('02.08 Koboko-Yumbe-24h'!E64,'03.08 Koboko-Yumbe-24h'!E64)</f>
        <v>0.5</v>
      </c>
      <c r="F64" s="49">
        <f>AVERAGE('02.08 Koboko-Yumbe-24h'!F64,'03.08 Koboko-Yumbe-24h'!F64)</f>
        <v>0</v>
      </c>
      <c r="G64" s="49">
        <f>AVERAGE('02.08 Koboko-Yumbe-24h'!G64,'03.08 Koboko-Yumbe-24h'!G64)</f>
        <v>0</v>
      </c>
      <c r="H64" s="49">
        <f>AVERAGE('02.08 Koboko-Yumbe-24h'!H64,'03.08 Koboko-Yumbe-24h'!H64)</f>
        <v>0</v>
      </c>
      <c r="I64" s="49">
        <f>AVERAGE('02.08 Koboko-Yumbe-24h'!I64,'03.08 Koboko-Yumbe-24h'!I64)</f>
        <v>0.5</v>
      </c>
      <c r="J64" s="49">
        <f>AVERAGE('02.08 Koboko-Yumbe-24h'!J64,'03.08 Koboko-Yumbe-24h'!J64)</f>
        <v>0.5</v>
      </c>
      <c r="K64" s="49">
        <f>AVERAGE('02.08 Koboko-Yumbe-24h'!K64,'03.08 Koboko-Yumbe-24h'!K64)</f>
        <v>0</v>
      </c>
      <c r="L64" s="49">
        <f>AVERAGE('02.08 Koboko-Yumbe-24h'!L64,'03.08 Koboko-Yumbe-24h'!L64)</f>
        <v>0</v>
      </c>
      <c r="M64" s="49">
        <f>AVERAGE('02.08 Koboko-Yumbe-24h'!M64,'03.08 Koboko-Yumbe-24h'!M64)</f>
        <v>3.5</v>
      </c>
      <c r="N64" s="49">
        <f>AVERAGE('02.08 Koboko-Yumbe-24h'!N64,'03.08 Koboko-Yumbe-24h'!N64)</f>
        <v>0</v>
      </c>
      <c r="O64" s="15">
        <f t="shared" si="0"/>
        <v>1.5</v>
      </c>
      <c r="P64" s="15">
        <f t="shared" si="1"/>
        <v>5</v>
      </c>
      <c r="R64" s="8"/>
      <c r="T64"/>
    </row>
    <row r="65" spans="2:20" ht="23.1" customHeight="1" x14ac:dyDescent="0.25">
      <c r="B65" s="23" t="s">
        <v>158</v>
      </c>
      <c r="C65" s="49">
        <f>AVERAGE('02.08 Koboko-Yumbe-24h'!C65,'03.08 Koboko-Yumbe-24h'!C65)</f>
        <v>0.5</v>
      </c>
      <c r="D65" s="49">
        <f>AVERAGE('02.08 Koboko-Yumbe-24h'!D65,'03.08 Koboko-Yumbe-24h'!D65)</f>
        <v>0</v>
      </c>
      <c r="E65" s="49">
        <f>AVERAGE('02.08 Koboko-Yumbe-24h'!E65,'03.08 Koboko-Yumbe-24h'!E65)</f>
        <v>0</v>
      </c>
      <c r="F65" s="49">
        <f>AVERAGE('02.08 Koboko-Yumbe-24h'!F65,'03.08 Koboko-Yumbe-24h'!F65)</f>
        <v>0</v>
      </c>
      <c r="G65" s="49">
        <f>AVERAGE('02.08 Koboko-Yumbe-24h'!G65,'03.08 Koboko-Yumbe-24h'!G65)</f>
        <v>0</v>
      </c>
      <c r="H65" s="49">
        <f>AVERAGE('02.08 Koboko-Yumbe-24h'!H65,'03.08 Koboko-Yumbe-24h'!H65)</f>
        <v>0</v>
      </c>
      <c r="I65" s="49">
        <f>AVERAGE('02.08 Koboko-Yumbe-24h'!I65,'03.08 Koboko-Yumbe-24h'!I65)</f>
        <v>0</v>
      </c>
      <c r="J65" s="49">
        <f>AVERAGE('02.08 Koboko-Yumbe-24h'!J65,'03.08 Koboko-Yumbe-24h'!J65)</f>
        <v>0</v>
      </c>
      <c r="K65" s="49">
        <f>AVERAGE('02.08 Koboko-Yumbe-24h'!K65,'03.08 Koboko-Yumbe-24h'!K65)</f>
        <v>0</v>
      </c>
      <c r="L65" s="49">
        <f>AVERAGE('02.08 Koboko-Yumbe-24h'!L65,'03.08 Koboko-Yumbe-24h'!L65)</f>
        <v>0</v>
      </c>
      <c r="M65" s="49">
        <f>AVERAGE('02.08 Koboko-Yumbe-24h'!M65,'03.08 Koboko-Yumbe-24h'!M65)</f>
        <v>1.5</v>
      </c>
      <c r="N65" s="49">
        <f>AVERAGE('02.08 Koboko-Yumbe-24h'!N65,'03.08 Koboko-Yumbe-24h'!N65)</f>
        <v>0</v>
      </c>
      <c r="O65" s="15">
        <f t="shared" si="0"/>
        <v>0.5</v>
      </c>
      <c r="P65" s="15">
        <f t="shared" si="1"/>
        <v>2</v>
      </c>
      <c r="R65" s="8"/>
      <c r="T65"/>
    </row>
    <row r="66" spans="2:20" ht="23.1" customHeight="1" x14ac:dyDescent="0.25">
      <c r="B66" s="23" t="s">
        <v>103</v>
      </c>
      <c r="C66" s="49">
        <f>AVERAGE('02.08 Koboko-Yumbe-24h'!C66,'03.08 Koboko-Yumbe-24h'!C66)</f>
        <v>1</v>
      </c>
      <c r="D66" s="49">
        <f>AVERAGE('02.08 Koboko-Yumbe-24h'!D66,'03.08 Koboko-Yumbe-24h'!D66)</f>
        <v>0</v>
      </c>
      <c r="E66" s="49">
        <f>AVERAGE('02.08 Koboko-Yumbe-24h'!E66,'03.08 Koboko-Yumbe-24h'!E66)</f>
        <v>0</v>
      </c>
      <c r="F66" s="49">
        <f>AVERAGE('02.08 Koboko-Yumbe-24h'!F66,'03.08 Koboko-Yumbe-24h'!F66)</f>
        <v>0</v>
      </c>
      <c r="G66" s="49">
        <f>AVERAGE('02.08 Koboko-Yumbe-24h'!G66,'03.08 Koboko-Yumbe-24h'!G66)</f>
        <v>0</v>
      </c>
      <c r="H66" s="49">
        <f>AVERAGE('02.08 Koboko-Yumbe-24h'!H66,'03.08 Koboko-Yumbe-24h'!H66)</f>
        <v>0</v>
      </c>
      <c r="I66" s="49">
        <f>AVERAGE('02.08 Koboko-Yumbe-24h'!I66,'03.08 Koboko-Yumbe-24h'!I66)</f>
        <v>0.5</v>
      </c>
      <c r="J66" s="49">
        <f>AVERAGE('02.08 Koboko-Yumbe-24h'!J66,'03.08 Koboko-Yumbe-24h'!J66)</f>
        <v>0</v>
      </c>
      <c r="K66" s="49">
        <f>AVERAGE('02.08 Koboko-Yumbe-24h'!K66,'03.08 Koboko-Yumbe-24h'!K66)</f>
        <v>0</v>
      </c>
      <c r="L66" s="49">
        <f>AVERAGE('02.08 Koboko-Yumbe-24h'!L66,'03.08 Koboko-Yumbe-24h'!L66)</f>
        <v>0</v>
      </c>
      <c r="M66" s="49">
        <f>AVERAGE('02.08 Koboko-Yumbe-24h'!M66,'03.08 Koboko-Yumbe-24h'!M66)</f>
        <v>0.5</v>
      </c>
      <c r="N66" s="49">
        <f>AVERAGE('02.08 Koboko-Yumbe-24h'!N66,'03.08 Koboko-Yumbe-24h'!N66)</f>
        <v>0</v>
      </c>
      <c r="O66" s="15">
        <f t="shared" si="0"/>
        <v>1.5</v>
      </c>
      <c r="P66" s="15">
        <f t="shared" si="1"/>
        <v>2</v>
      </c>
      <c r="R66" s="8"/>
      <c r="T66"/>
    </row>
    <row r="67" spans="2:20" ht="23.1" customHeight="1" x14ac:dyDescent="0.25">
      <c r="B67" s="23" t="s">
        <v>104</v>
      </c>
      <c r="C67" s="49">
        <f>AVERAGE('02.08 Koboko-Yumbe-24h'!C67,'03.08 Koboko-Yumbe-24h'!C67)</f>
        <v>1</v>
      </c>
      <c r="D67" s="49">
        <f>AVERAGE('02.08 Koboko-Yumbe-24h'!D67,'03.08 Koboko-Yumbe-24h'!D67)</f>
        <v>0</v>
      </c>
      <c r="E67" s="49">
        <f>AVERAGE('02.08 Koboko-Yumbe-24h'!E67,'03.08 Koboko-Yumbe-24h'!E67)</f>
        <v>0</v>
      </c>
      <c r="F67" s="49">
        <f>AVERAGE('02.08 Koboko-Yumbe-24h'!F67,'03.08 Koboko-Yumbe-24h'!F67)</f>
        <v>0</v>
      </c>
      <c r="G67" s="49">
        <f>AVERAGE('02.08 Koboko-Yumbe-24h'!G67,'03.08 Koboko-Yumbe-24h'!G67)</f>
        <v>0</v>
      </c>
      <c r="H67" s="49">
        <f>AVERAGE('02.08 Koboko-Yumbe-24h'!H67,'03.08 Koboko-Yumbe-24h'!H67)</f>
        <v>0.5</v>
      </c>
      <c r="I67" s="49">
        <f>AVERAGE('02.08 Koboko-Yumbe-24h'!I67,'03.08 Koboko-Yumbe-24h'!I67)</f>
        <v>0</v>
      </c>
      <c r="J67" s="49">
        <f>AVERAGE('02.08 Koboko-Yumbe-24h'!J67,'03.08 Koboko-Yumbe-24h'!J67)</f>
        <v>0</v>
      </c>
      <c r="K67" s="49">
        <f>AVERAGE('02.08 Koboko-Yumbe-24h'!K67,'03.08 Koboko-Yumbe-24h'!K67)</f>
        <v>0</v>
      </c>
      <c r="L67" s="49">
        <f>AVERAGE('02.08 Koboko-Yumbe-24h'!L67,'03.08 Koboko-Yumbe-24h'!L67)</f>
        <v>0</v>
      </c>
      <c r="M67" s="49">
        <f>AVERAGE('02.08 Koboko-Yumbe-24h'!M67,'03.08 Koboko-Yumbe-24h'!M67)</f>
        <v>1.5</v>
      </c>
      <c r="N67" s="49">
        <f>AVERAGE('02.08 Koboko-Yumbe-24h'!N67,'03.08 Koboko-Yumbe-24h'!N67)</f>
        <v>0</v>
      </c>
      <c r="O67" s="15">
        <f t="shared" si="0"/>
        <v>1.5</v>
      </c>
      <c r="P67" s="15">
        <f t="shared" si="1"/>
        <v>3</v>
      </c>
      <c r="R67" s="8"/>
      <c r="T67"/>
    </row>
    <row r="68" spans="2:20" ht="23.1" customHeight="1" x14ac:dyDescent="0.25">
      <c r="B68" s="23" t="s">
        <v>105</v>
      </c>
      <c r="C68" s="49">
        <f>AVERAGE('02.08 Koboko-Yumbe-24h'!C68,'03.08 Koboko-Yumbe-24h'!C68)</f>
        <v>0</v>
      </c>
      <c r="D68" s="49">
        <f>AVERAGE('02.08 Koboko-Yumbe-24h'!D68,'03.08 Koboko-Yumbe-24h'!D68)</f>
        <v>0</v>
      </c>
      <c r="E68" s="49">
        <f>AVERAGE('02.08 Koboko-Yumbe-24h'!E68,'03.08 Koboko-Yumbe-24h'!E68)</f>
        <v>0</v>
      </c>
      <c r="F68" s="49">
        <f>AVERAGE('02.08 Koboko-Yumbe-24h'!F68,'03.08 Koboko-Yumbe-24h'!F68)</f>
        <v>0</v>
      </c>
      <c r="G68" s="49">
        <f>AVERAGE('02.08 Koboko-Yumbe-24h'!G68,'03.08 Koboko-Yumbe-24h'!G68)</f>
        <v>0</v>
      </c>
      <c r="H68" s="49">
        <f>AVERAGE('02.08 Koboko-Yumbe-24h'!H68,'03.08 Koboko-Yumbe-24h'!H68)</f>
        <v>0</v>
      </c>
      <c r="I68" s="49">
        <f>AVERAGE('02.08 Koboko-Yumbe-24h'!I68,'03.08 Koboko-Yumbe-24h'!I68)</f>
        <v>0</v>
      </c>
      <c r="J68" s="49">
        <f>AVERAGE('02.08 Koboko-Yumbe-24h'!J68,'03.08 Koboko-Yumbe-24h'!J68)</f>
        <v>0</v>
      </c>
      <c r="K68" s="49">
        <f>AVERAGE('02.08 Koboko-Yumbe-24h'!K68,'03.08 Koboko-Yumbe-24h'!K68)</f>
        <v>0</v>
      </c>
      <c r="L68" s="49">
        <f>AVERAGE('02.08 Koboko-Yumbe-24h'!L68,'03.08 Koboko-Yumbe-24h'!L68)</f>
        <v>0</v>
      </c>
      <c r="M68" s="49">
        <f>AVERAGE('02.08 Koboko-Yumbe-24h'!M68,'03.08 Koboko-Yumbe-24h'!M68)</f>
        <v>1</v>
      </c>
      <c r="N68" s="49">
        <f>AVERAGE('02.08 Koboko-Yumbe-24h'!N68,'03.08 Koboko-Yumbe-24h'!N68)</f>
        <v>0</v>
      </c>
      <c r="O68" s="15">
        <f t="shared" si="0"/>
        <v>0</v>
      </c>
      <c r="P68" s="15">
        <f t="shared" si="1"/>
        <v>1</v>
      </c>
      <c r="R68" s="8"/>
      <c r="T68"/>
    </row>
    <row r="69" spans="2:20" ht="23.1" customHeight="1" x14ac:dyDescent="0.25">
      <c r="B69" s="23" t="s">
        <v>106</v>
      </c>
      <c r="C69" s="49">
        <f>AVERAGE('02.08 Koboko-Yumbe-24h'!C69,'03.08 Koboko-Yumbe-24h'!C69)</f>
        <v>0</v>
      </c>
      <c r="D69" s="49">
        <f>AVERAGE('02.08 Koboko-Yumbe-24h'!D69,'03.08 Koboko-Yumbe-24h'!D69)</f>
        <v>0</v>
      </c>
      <c r="E69" s="49">
        <f>AVERAGE('02.08 Koboko-Yumbe-24h'!E69,'03.08 Koboko-Yumbe-24h'!E69)</f>
        <v>0.5</v>
      </c>
      <c r="F69" s="49">
        <f>AVERAGE('02.08 Koboko-Yumbe-24h'!F69,'03.08 Koboko-Yumbe-24h'!F69)</f>
        <v>0</v>
      </c>
      <c r="G69" s="49">
        <f>AVERAGE('02.08 Koboko-Yumbe-24h'!G69,'03.08 Koboko-Yumbe-24h'!G69)</f>
        <v>0</v>
      </c>
      <c r="H69" s="49">
        <f>AVERAGE('02.08 Koboko-Yumbe-24h'!H69,'03.08 Koboko-Yumbe-24h'!H69)</f>
        <v>0</v>
      </c>
      <c r="I69" s="49">
        <f>AVERAGE('02.08 Koboko-Yumbe-24h'!I69,'03.08 Koboko-Yumbe-24h'!I69)</f>
        <v>0</v>
      </c>
      <c r="J69" s="49">
        <f>AVERAGE('02.08 Koboko-Yumbe-24h'!J69,'03.08 Koboko-Yumbe-24h'!J69)</f>
        <v>0</v>
      </c>
      <c r="K69" s="49">
        <f>AVERAGE('02.08 Koboko-Yumbe-24h'!K69,'03.08 Koboko-Yumbe-24h'!K69)</f>
        <v>0</v>
      </c>
      <c r="L69" s="49">
        <f>AVERAGE('02.08 Koboko-Yumbe-24h'!L69,'03.08 Koboko-Yumbe-24h'!L69)</f>
        <v>0</v>
      </c>
      <c r="M69" s="49">
        <f>AVERAGE('02.08 Koboko-Yumbe-24h'!M69,'03.08 Koboko-Yumbe-24h'!M69)</f>
        <v>1</v>
      </c>
      <c r="N69" s="49">
        <f>AVERAGE('02.08 Koboko-Yumbe-24h'!N69,'03.08 Koboko-Yumbe-24h'!N69)</f>
        <v>0</v>
      </c>
      <c r="O69" s="15">
        <f t="shared" si="0"/>
        <v>0.5</v>
      </c>
      <c r="P69" s="15">
        <f t="shared" si="1"/>
        <v>1.5</v>
      </c>
      <c r="R69" s="8"/>
      <c r="T69"/>
    </row>
    <row r="70" spans="2:20" ht="23.1" customHeight="1" x14ac:dyDescent="0.25">
      <c r="B70" s="23" t="s">
        <v>110</v>
      </c>
      <c r="C70" s="49">
        <f>AVERAGE('02.08 Koboko-Yumbe-24h'!C70,'03.08 Koboko-Yumbe-24h'!C70)</f>
        <v>0</v>
      </c>
      <c r="D70" s="49">
        <f>AVERAGE('02.08 Koboko-Yumbe-24h'!D70,'03.08 Koboko-Yumbe-24h'!D70)</f>
        <v>0</v>
      </c>
      <c r="E70" s="49">
        <f>AVERAGE('02.08 Koboko-Yumbe-24h'!E70,'03.08 Koboko-Yumbe-24h'!E70)</f>
        <v>0</v>
      </c>
      <c r="F70" s="49">
        <f>AVERAGE('02.08 Koboko-Yumbe-24h'!F70,'03.08 Koboko-Yumbe-24h'!F70)</f>
        <v>0</v>
      </c>
      <c r="G70" s="49">
        <f>AVERAGE('02.08 Koboko-Yumbe-24h'!G70,'03.08 Koboko-Yumbe-24h'!G70)</f>
        <v>0</v>
      </c>
      <c r="H70" s="49">
        <f>AVERAGE('02.08 Koboko-Yumbe-24h'!H70,'03.08 Koboko-Yumbe-24h'!H70)</f>
        <v>0</v>
      </c>
      <c r="I70" s="49">
        <f>AVERAGE('02.08 Koboko-Yumbe-24h'!I70,'03.08 Koboko-Yumbe-24h'!I70)</f>
        <v>0</v>
      </c>
      <c r="J70" s="49">
        <f>AVERAGE('02.08 Koboko-Yumbe-24h'!J70,'03.08 Koboko-Yumbe-24h'!J70)</f>
        <v>0</v>
      </c>
      <c r="K70" s="49">
        <f>AVERAGE('02.08 Koboko-Yumbe-24h'!K70,'03.08 Koboko-Yumbe-24h'!K70)</f>
        <v>0</v>
      </c>
      <c r="L70" s="49">
        <f>AVERAGE('02.08 Koboko-Yumbe-24h'!L70,'03.08 Koboko-Yumbe-24h'!L70)</f>
        <v>0</v>
      </c>
      <c r="M70" s="49">
        <f>AVERAGE('02.08 Koboko-Yumbe-24h'!M70,'03.08 Koboko-Yumbe-24h'!M70)</f>
        <v>0</v>
      </c>
      <c r="N70" s="49">
        <f>AVERAGE('02.08 Koboko-Yumbe-24h'!N70,'03.08 Koboko-Yumbe-24h'!N70)</f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23" t="s">
        <v>111</v>
      </c>
      <c r="C71" s="49">
        <f>AVERAGE('02.08 Koboko-Yumbe-24h'!C71,'03.08 Koboko-Yumbe-24h'!C71)</f>
        <v>0.5</v>
      </c>
      <c r="D71" s="49">
        <f>AVERAGE('02.08 Koboko-Yumbe-24h'!D71,'03.08 Koboko-Yumbe-24h'!D71)</f>
        <v>0</v>
      </c>
      <c r="E71" s="49">
        <f>AVERAGE('02.08 Koboko-Yumbe-24h'!E71,'03.08 Koboko-Yumbe-24h'!E71)</f>
        <v>0.5</v>
      </c>
      <c r="F71" s="49">
        <f>AVERAGE('02.08 Koboko-Yumbe-24h'!F71,'03.08 Koboko-Yumbe-24h'!F71)</f>
        <v>0</v>
      </c>
      <c r="G71" s="49">
        <f>AVERAGE('02.08 Koboko-Yumbe-24h'!G71,'03.08 Koboko-Yumbe-24h'!G71)</f>
        <v>0</v>
      </c>
      <c r="H71" s="49">
        <f>AVERAGE('02.08 Koboko-Yumbe-24h'!H71,'03.08 Koboko-Yumbe-24h'!H71)</f>
        <v>0</v>
      </c>
      <c r="I71" s="49">
        <f>AVERAGE('02.08 Koboko-Yumbe-24h'!I71,'03.08 Koboko-Yumbe-24h'!I71)</f>
        <v>0</v>
      </c>
      <c r="J71" s="49">
        <f>AVERAGE('02.08 Koboko-Yumbe-24h'!J71,'03.08 Koboko-Yumbe-24h'!J71)</f>
        <v>0</v>
      </c>
      <c r="K71" s="49">
        <f>AVERAGE('02.08 Koboko-Yumbe-24h'!K71,'03.08 Koboko-Yumbe-24h'!K71)</f>
        <v>0</v>
      </c>
      <c r="L71" s="49">
        <f>AVERAGE('02.08 Koboko-Yumbe-24h'!L71,'03.08 Koboko-Yumbe-24h'!L71)</f>
        <v>0</v>
      </c>
      <c r="M71" s="49">
        <f>AVERAGE('02.08 Koboko-Yumbe-24h'!M71,'03.08 Koboko-Yumbe-24h'!M71)</f>
        <v>0.5</v>
      </c>
      <c r="N71" s="49">
        <f>AVERAGE('02.08 Koboko-Yumbe-24h'!N71,'03.08 Koboko-Yumbe-24h'!N71)</f>
        <v>0</v>
      </c>
      <c r="O71" s="15">
        <f t="shared" si="0"/>
        <v>1</v>
      </c>
      <c r="P71" s="15">
        <f t="shared" si="1"/>
        <v>1.5</v>
      </c>
      <c r="R71" s="8"/>
      <c r="T71"/>
    </row>
    <row r="72" spans="2:20" ht="23.1" customHeight="1" x14ac:dyDescent="0.25">
      <c r="B72" s="23" t="s">
        <v>112</v>
      </c>
      <c r="C72" s="49">
        <f>AVERAGE('02.08 Koboko-Yumbe-24h'!C72,'03.08 Koboko-Yumbe-24h'!C72)</f>
        <v>0</v>
      </c>
      <c r="D72" s="49">
        <f>AVERAGE('02.08 Koboko-Yumbe-24h'!D72,'03.08 Koboko-Yumbe-24h'!D72)</f>
        <v>0</v>
      </c>
      <c r="E72" s="49">
        <f>AVERAGE('02.08 Koboko-Yumbe-24h'!E72,'03.08 Koboko-Yumbe-24h'!E72)</f>
        <v>0.5</v>
      </c>
      <c r="F72" s="49">
        <f>AVERAGE('02.08 Koboko-Yumbe-24h'!F72,'03.08 Koboko-Yumbe-24h'!F72)</f>
        <v>0</v>
      </c>
      <c r="G72" s="49">
        <f>AVERAGE('02.08 Koboko-Yumbe-24h'!G72,'03.08 Koboko-Yumbe-24h'!G72)</f>
        <v>0</v>
      </c>
      <c r="H72" s="49">
        <f>AVERAGE('02.08 Koboko-Yumbe-24h'!H72,'03.08 Koboko-Yumbe-24h'!H72)</f>
        <v>0</v>
      </c>
      <c r="I72" s="49">
        <f>AVERAGE('02.08 Koboko-Yumbe-24h'!I72,'03.08 Koboko-Yumbe-24h'!I72)</f>
        <v>0</v>
      </c>
      <c r="J72" s="49">
        <f>AVERAGE('02.08 Koboko-Yumbe-24h'!J72,'03.08 Koboko-Yumbe-24h'!J72)</f>
        <v>0</v>
      </c>
      <c r="K72" s="49">
        <f>AVERAGE('02.08 Koboko-Yumbe-24h'!K72,'03.08 Koboko-Yumbe-24h'!K72)</f>
        <v>0</v>
      </c>
      <c r="L72" s="49">
        <f>AVERAGE('02.08 Koboko-Yumbe-24h'!L72,'03.08 Koboko-Yumbe-24h'!L72)</f>
        <v>0</v>
      </c>
      <c r="M72" s="49">
        <f>AVERAGE('02.08 Koboko-Yumbe-24h'!M72,'03.08 Koboko-Yumbe-24h'!M72)</f>
        <v>0.5</v>
      </c>
      <c r="N72" s="49">
        <f>AVERAGE('02.08 Koboko-Yumbe-24h'!N72,'03.08 Koboko-Yumbe-24h'!N72)</f>
        <v>0</v>
      </c>
      <c r="O72" s="15">
        <f t="shared" si="0"/>
        <v>0.5</v>
      </c>
      <c r="P72" s="15">
        <f t="shared" si="1"/>
        <v>1</v>
      </c>
      <c r="R72" s="8"/>
      <c r="T72"/>
    </row>
    <row r="73" spans="2:20" ht="23.1" customHeight="1" x14ac:dyDescent="0.25">
      <c r="B73" s="23" t="s">
        <v>113</v>
      </c>
      <c r="C73" s="49">
        <f>AVERAGE('02.08 Koboko-Yumbe-24h'!C73,'03.08 Koboko-Yumbe-24h'!C73)</f>
        <v>0</v>
      </c>
      <c r="D73" s="49">
        <f>AVERAGE('02.08 Koboko-Yumbe-24h'!D73,'03.08 Koboko-Yumbe-24h'!D73)</f>
        <v>0</v>
      </c>
      <c r="E73" s="49">
        <f>AVERAGE('02.08 Koboko-Yumbe-24h'!E73,'03.08 Koboko-Yumbe-24h'!E73)</f>
        <v>0</v>
      </c>
      <c r="F73" s="49">
        <f>AVERAGE('02.08 Koboko-Yumbe-24h'!F73,'03.08 Koboko-Yumbe-24h'!F73)</f>
        <v>0</v>
      </c>
      <c r="G73" s="49">
        <f>AVERAGE('02.08 Koboko-Yumbe-24h'!G73,'03.08 Koboko-Yumbe-24h'!G73)</f>
        <v>0</v>
      </c>
      <c r="H73" s="49">
        <f>AVERAGE('02.08 Koboko-Yumbe-24h'!H73,'03.08 Koboko-Yumbe-24h'!H73)</f>
        <v>0</v>
      </c>
      <c r="I73" s="49">
        <f>AVERAGE('02.08 Koboko-Yumbe-24h'!I73,'03.08 Koboko-Yumbe-24h'!I73)</f>
        <v>0</v>
      </c>
      <c r="J73" s="49">
        <f>AVERAGE('02.08 Koboko-Yumbe-24h'!J73,'03.08 Koboko-Yumbe-24h'!J73)</f>
        <v>0</v>
      </c>
      <c r="K73" s="49">
        <f>AVERAGE('02.08 Koboko-Yumbe-24h'!K73,'03.08 Koboko-Yumbe-24h'!K73)</f>
        <v>0</v>
      </c>
      <c r="L73" s="49">
        <f>AVERAGE('02.08 Koboko-Yumbe-24h'!L73,'03.08 Koboko-Yumbe-24h'!L73)</f>
        <v>0</v>
      </c>
      <c r="M73" s="49">
        <f>AVERAGE('02.08 Koboko-Yumbe-24h'!M73,'03.08 Koboko-Yumbe-24h'!M73)</f>
        <v>0.5</v>
      </c>
      <c r="N73" s="49">
        <f>AVERAGE('02.08 Koboko-Yumbe-24h'!N73,'03.08 Koboko-Yumbe-24h'!N73)</f>
        <v>0</v>
      </c>
      <c r="O73" s="15">
        <f t="shared" si="0"/>
        <v>0</v>
      </c>
      <c r="P73" s="15">
        <f t="shared" si="1"/>
        <v>0.5</v>
      </c>
      <c r="R73" s="8"/>
      <c r="T73"/>
    </row>
    <row r="74" spans="2:20" ht="23.1" customHeight="1" x14ac:dyDescent="0.25">
      <c r="B74" s="23" t="s">
        <v>114</v>
      </c>
      <c r="C74" s="49">
        <f>AVERAGE('02.08 Koboko-Yumbe-24h'!C74,'03.08 Koboko-Yumbe-24h'!C74)</f>
        <v>0</v>
      </c>
      <c r="D74" s="49">
        <f>AVERAGE('02.08 Koboko-Yumbe-24h'!D74,'03.08 Koboko-Yumbe-24h'!D74)</f>
        <v>0</v>
      </c>
      <c r="E74" s="49">
        <f>AVERAGE('02.08 Koboko-Yumbe-24h'!E74,'03.08 Koboko-Yumbe-24h'!E74)</f>
        <v>0</v>
      </c>
      <c r="F74" s="49">
        <f>AVERAGE('02.08 Koboko-Yumbe-24h'!F74,'03.08 Koboko-Yumbe-24h'!F74)</f>
        <v>0</v>
      </c>
      <c r="G74" s="49">
        <f>AVERAGE('02.08 Koboko-Yumbe-24h'!G74,'03.08 Koboko-Yumbe-24h'!G74)</f>
        <v>0</v>
      </c>
      <c r="H74" s="49">
        <f>AVERAGE('02.08 Koboko-Yumbe-24h'!H74,'03.08 Koboko-Yumbe-24h'!H74)</f>
        <v>0</v>
      </c>
      <c r="I74" s="49">
        <f>AVERAGE('02.08 Koboko-Yumbe-24h'!I74,'03.08 Koboko-Yumbe-24h'!I74)</f>
        <v>0</v>
      </c>
      <c r="J74" s="49">
        <f>AVERAGE('02.08 Koboko-Yumbe-24h'!J74,'03.08 Koboko-Yumbe-24h'!J74)</f>
        <v>0</v>
      </c>
      <c r="K74" s="49">
        <f>AVERAGE('02.08 Koboko-Yumbe-24h'!K74,'03.08 Koboko-Yumbe-24h'!K74)</f>
        <v>0</v>
      </c>
      <c r="L74" s="49">
        <f>AVERAGE('02.08 Koboko-Yumbe-24h'!L74,'03.08 Koboko-Yumbe-24h'!L74)</f>
        <v>0</v>
      </c>
      <c r="M74" s="49">
        <f>AVERAGE('02.08 Koboko-Yumbe-24h'!M74,'03.08 Koboko-Yumbe-24h'!M74)</f>
        <v>0</v>
      </c>
      <c r="N74" s="49">
        <f>AVERAGE('02.08 Koboko-Yumbe-24h'!N74,'03.08 Koboko-Yumbe-24h'!N74)</f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23" t="s">
        <v>115</v>
      </c>
      <c r="C75" s="49">
        <f>AVERAGE('02.08 Koboko-Yumbe-24h'!C75,'03.08 Koboko-Yumbe-24h'!C75)</f>
        <v>0</v>
      </c>
      <c r="D75" s="49">
        <f>AVERAGE('02.08 Koboko-Yumbe-24h'!D75,'03.08 Koboko-Yumbe-24h'!D75)</f>
        <v>0</v>
      </c>
      <c r="E75" s="49">
        <f>AVERAGE('02.08 Koboko-Yumbe-24h'!E75,'03.08 Koboko-Yumbe-24h'!E75)</f>
        <v>0.5</v>
      </c>
      <c r="F75" s="49">
        <f>AVERAGE('02.08 Koboko-Yumbe-24h'!F75,'03.08 Koboko-Yumbe-24h'!F75)</f>
        <v>0</v>
      </c>
      <c r="G75" s="49">
        <f>AVERAGE('02.08 Koboko-Yumbe-24h'!G75,'03.08 Koboko-Yumbe-24h'!G75)</f>
        <v>0</v>
      </c>
      <c r="H75" s="49">
        <f>AVERAGE('02.08 Koboko-Yumbe-24h'!H75,'03.08 Koboko-Yumbe-24h'!H75)</f>
        <v>0</v>
      </c>
      <c r="I75" s="49">
        <f>AVERAGE('02.08 Koboko-Yumbe-24h'!I75,'03.08 Koboko-Yumbe-24h'!I75)</f>
        <v>0</v>
      </c>
      <c r="J75" s="49">
        <f>AVERAGE('02.08 Koboko-Yumbe-24h'!J75,'03.08 Koboko-Yumbe-24h'!J75)</f>
        <v>0</v>
      </c>
      <c r="K75" s="49">
        <f>AVERAGE('02.08 Koboko-Yumbe-24h'!K75,'03.08 Koboko-Yumbe-24h'!K75)</f>
        <v>0</v>
      </c>
      <c r="L75" s="49">
        <f>AVERAGE('02.08 Koboko-Yumbe-24h'!L75,'03.08 Koboko-Yumbe-24h'!L75)</f>
        <v>0</v>
      </c>
      <c r="M75" s="49">
        <f>AVERAGE('02.08 Koboko-Yumbe-24h'!M75,'03.08 Koboko-Yumbe-24h'!M75)</f>
        <v>1</v>
      </c>
      <c r="N75" s="49">
        <f>AVERAGE('02.08 Koboko-Yumbe-24h'!N75,'03.08 Koboko-Yumbe-24h'!N75)</f>
        <v>0</v>
      </c>
      <c r="O75" s="15">
        <f t="shared" si="35"/>
        <v>0.5</v>
      </c>
      <c r="P75" s="15">
        <f t="shared" si="36"/>
        <v>1.5</v>
      </c>
      <c r="R75" s="8"/>
      <c r="T75"/>
    </row>
    <row r="76" spans="2:20" ht="23.1" customHeight="1" x14ac:dyDescent="0.25">
      <c r="B76" s="23" t="s">
        <v>116</v>
      </c>
      <c r="C76" s="49">
        <f>AVERAGE('02.08 Koboko-Yumbe-24h'!C76,'03.08 Koboko-Yumbe-24h'!C76)</f>
        <v>0</v>
      </c>
      <c r="D76" s="49">
        <f>AVERAGE('02.08 Koboko-Yumbe-24h'!D76,'03.08 Koboko-Yumbe-24h'!D76)</f>
        <v>0</v>
      </c>
      <c r="E76" s="49">
        <f>AVERAGE('02.08 Koboko-Yumbe-24h'!E76,'03.08 Koboko-Yumbe-24h'!E76)</f>
        <v>0</v>
      </c>
      <c r="F76" s="49">
        <f>AVERAGE('02.08 Koboko-Yumbe-24h'!F76,'03.08 Koboko-Yumbe-24h'!F76)</f>
        <v>0</v>
      </c>
      <c r="G76" s="49">
        <f>AVERAGE('02.08 Koboko-Yumbe-24h'!G76,'03.08 Koboko-Yumbe-24h'!G76)</f>
        <v>0</v>
      </c>
      <c r="H76" s="49">
        <f>AVERAGE('02.08 Koboko-Yumbe-24h'!H76,'03.08 Koboko-Yumbe-24h'!H76)</f>
        <v>0</v>
      </c>
      <c r="I76" s="49">
        <f>AVERAGE('02.08 Koboko-Yumbe-24h'!I76,'03.08 Koboko-Yumbe-24h'!I76)</f>
        <v>0</v>
      </c>
      <c r="J76" s="49">
        <f>AVERAGE('02.08 Koboko-Yumbe-24h'!J76,'03.08 Koboko-Yumbe-24h'!J76)</f>
        <v>0</v>
      </c>
      <c r="K76" s="49">
        <f>AVERAGE('02.08 Koboko-Yumbe-24h'!K76,'03.08 Koboko-Yumbe-24h'!K76)</f>
        <v>0</v>
      </c>
      <c r="L76" s="49">
        <f>AVERAGE('02.08 Koboko-Yumbe-24h'!L76,'03.08 Koboko-Yumbe-24h'!L76)</f>
        <v>0</v>
      </c>
      <c r="M76" s="49">
        <f>AVERAGE('02.08 Koboko-Yumbe-24h'!M76,'03.08 Koboko-Yumbe-24h'!M76)</f>
        <v>1</v>
      </c>
      <c r="N76" s="49">
        <f>AVERAGE('02.08 Koboko-Yumbe-24h'!N76,'03.08 Koboko-Yumbe-24h'!N76)</f>
        <v>0</v>
      </c>
      <c r="O76" s="15">
        <f t="shared" si="35"/>
        <v>0</v>
      </c>
      <c r="P76" s="15">
        <f t="shared" si="36"/>
        <v>1</v>
      </c>
      <c r="R76" s="8"/>
      <c r="T76"/>
    </row>
    <row r="77" spans="2:20" ht="23.1" customHeight="1" x14ac:dyDescent="0.25">
      <c r="B77" s="23" t="s">
        <v>117</v>
      </c>
      <c r="C77" s="49">
        <f>AVERAGE('02.08 Koboko-Yumbe-24h'!C77,'03.08 Koboko-Yumbe-24h'!C77)</f>
        <v>0</v>
      </c>
      <c r="D77" s="49">
        <f>AVERAGE('02.08 Koboko-Yumbe-24h'!D77,'03.08 Koboko-Yumbe-24h'!D77)</f>
        <v>0</v>
      </c>
      <c r="E77" s="49">
        <f>AVERAGE('02.08 Koboko-Yumbe-24h'!E77,'03.08 Koboko-Yumbe-24h'!E77)</f>
        <v>0</v>
      </c>
      <c r="F77" s="49">
        <f>AVERAGE('02.08 Koboko-Yumbe-24h'!F77,'03.08 Koboko-Yumbe-24h'!F77)</f>
        <v>0</v>
      </c>
      <c r="G77" s="49">
        <f>AVERAGE('02.08 Koboko-Yumbe-24h'!G77,'03.08 Koboko-Yumbe-24h'!G77)</f>
        <v>0</v>
      </c>
      <c r="H77" s="49">
        <f>AVERAGE('02.08 Koboko-Yumbe-24h'!H77,'03.08 Koboko-Yumbe-24h'!H77)</f>
        <v>0</v>
      </c>
      <c r="I77" s="49">
        <f>AVERAGE('02.08 Koboko-Yumbe-24h'!I77,'03.08 Koboko-Yumbe-24h'!I77)</f>
        <v>0</v>
      </c>
      <c r="J77" s="49">
        <f>AVERAGE('02.08 Koboko-Yumbe-24h'!J77,'03.08 Koboko-Yumbe-24h'!J77)</f>
        <v>0</v>
      </c>
      <c r="K77" s="49">
        <f>AVERAGE('02.08 Koboko-Yumbe-24h'!K77,'03.08 Koboko-Yumbe-24h'!K77)</f>
        <v>0</v>
      </c>
      <c r="L77" s="49">
        <f>AVERAGE('02.08 Koboko-Yumbe-24h'!L77,'03.08 Koboko-Yumbe-24h'!L77)</f>
        <v>0</v>
      </c>
      <c r="M77" s="49">
        <f>AVERAGE('02.08 Koboko-Yumbe-24h'!M77,'03.08 Koboko-Yumbe-24h'!M77)</f>
        <v>0</v>
      </c>
      <c r="N77" s="49">
        <f>AVERAGE('02.08 Koboko-Yumbe-24h'!N77,'03.08 Koboko-Yumbe-24h'!N77)</f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24" t="s">
        <v>118</v>
      </c>
      <c r="C78" s="49">
        <f>AVERAGE('02.08 Koboko-Yumbe-24h'!C78,'03.08 Koboko-Yumbe-24h'!C78)</f>
        <v>0</v>
      </c>
      <c r="D78" s="49">
        <f>AVERAGE('02.08 Koboko-Yumbe-24h'!D78,'03.08 Koboko-Yumbe-24h'!D78)</f>
        <v>0</v>
      </c>
      <c r="E78" s="49">
        <f>AVERAGE('02.08 Koboko-Yumbe-24h'!E78,'03.08 Koboko-Yumbe-24h'!E78)</f>
        <v>0</v>
      </c>
      <c r="F78" s="49">
        <f>AVERAGE('02.08 Koboko-Yumbe-24h'!F78,'03.08 Koboko-Yumbe-24h'!F78)</f>
        <v>0</v>
      </c>
      <c r="G78" s="49">
        <f>AVERAGE('02.08 Koboko-Yumbe-24h'!G78,'03.08 Koboko-Yumbe-24h'!G78)</f>
        <v>0</v>
      </c>
      <c r="H78" s="49">
        <f>AVERAGE('02.08 Koboko-Yumbe-24h'!H78,'03.08 Koboko-Yumbe-24h'!H78)</f>
        <v>0</v>
      </c>
      <c r="I78" s="49">
        <f>AVERAGE('02.08 Koboko-Yumbe-24h'!I78,'03.08 Koboko-Yumbe-24h'!I78)</f>
        <v>0</v>
      </c>
      <c r="J78" s="49">
        <f>AVERAGE('02.08 Koboko-Yumbe-24h'!J78,'03.08 Koboko-Yumbe-24h'!J78)</f>
        <v>0</v>
      </c>
      <c r="K78" s="49">
        <f>AVERAGE('02.08 Koboko-Yumbe-24h'!K78,'03.08 Koboko-Yumbe-24h'!K78)</f>
        <v>0</v>
      </c>
      <c r="L78" s="49">
        <f>AVERAGE('02.08 Koboko-Yumbe-24h'!L78,'03.08 Koboko-Yumbe-24h'!L78)</f>
        <v>0</v>
      </c>
      <c r="M78" s="49">
        <f>AVERAGE('02.08 Koboko-Yumbe-24h'!M78,'03.08 Koboko-Yumbe-24h'!M78)</f>
        <v>0.5</v>
      </c>
      <c r="N78" s="49">
        <f>AVERAGE('02.08 Koboko-Yumbe-24h'!N78,'03.08 Koboko-Yumbe-24h'!N78)</f>
        <v>0</v>
      </c>
      <c r="O78" s="15">
        <f t="shared" si="35"/>
        <v>0</v>
      </c>
      <c r="P78" s="15">
        <f t="shared" si="36"/>
        <v>0.5</v>
      </c>
      <c r="R78" s="8"/>
      <c r="T78"/>
    </row>
    <row r="79" spans="2:20" ht="23.1" customHeight="1" x14ac:dyDescent="0.25">
      <c r="B79" s="23" t="s">
        <v>119</v>
      </c>
      <c r="C79" s="49">
        <f>AVERAGE('02.08 Koboko-Yumbe-24h'!C79,'03.08 Koboko-Yumbe-24h'!C79)</f>
        <v>0</v>
      </c>
      <c r="D79" s="49">
        <f>AVERAGE('02.08 Koboko-Yumbe-24h'!D79,'03.08 Koboko-Yumbe-24h'!D79)</f>
        <v>0</v>
      </c>
      <c r="E79" s="49">
        <f>AVERAGE('02.08 Koboko-Yumbe-24h'!E79,'03.08 Koboko-Yumbe-24h'!E79)</f>
        <v>0</v>
      </c>
      <c r="F79" s="49">
        <f>AVERAGE('02.08 Koboko-Yumbe-24h'!F79,'03.08 Koboko-Yumbe-24h'!F79)</f>
        <v>0</v>
      </c>
      <c r="G79" s="49">
        <f>AVERAGE('02.08 Koboko-Yumbe-24h'!G79,'03.08 Koboko-Yumbe-24h'!G79)</f>
        <v>0</v>
      </c>
      <c r="H79" s="49">
        <f>AVERAGE('02.08 Koboko-Yumbe-24h'!H79,'03.08 Koboko-Yumbe-24h'!H79)</f>
        <v>0</v>
      </c>
      <c r="I79" s="49">
        <f>AVERAGE('02.08 Koboko-Yumbe-24h'!I79,'03.08 Koboko-Yumbe-24h'!I79)</f>
        <v>0</v>
      </c>
      <c r="J79" s="49">
        <f>AVERAGE('02.08 Koboko-Yumbe-24h'!J79,'03.08 Koboko-Yumbe-24h'!J79)</f>
        <v>0</v>
      </c>
      <c r="K79" s="49">
        <f>AVERAGE('02.08 Koboko-Yumbe-24h'!K79,'03.08 Koboko-Yumbe-24h'!K79)</f>
        <v>0.5</v>
      </c>
      <c r="L79" s="49">
        <f>AVERAGE('02.08 Koboko-Yumbe-24h'!L79,'03.08 Koboko-Yumbe-24h'!L79)</f>
        <v>0</v>
      </c>
      <c r="M79" s="49">
        <f>AVERAGE('02.08 Koboko-Yumbe-24h'!M79,'03.08 Koboko-Yumbe-24h'!M79)</f>
        <v>0</v>
      </c>
      <c r="N79" s="49">
        <f>AVERAGE('02.08 Koboko-Yumbe-24h'!N79,'03.08 Koboko-Yumbe-24h'!N79)</f>
        <v>0</v>
      </c>
      <c r="O79" s="15">
        <f t="shared" si="35"/>
        <v>0.5</v>
      </c>
      <c r="P79" s="15">
        <f t="shared" si="36"/>
        <v>0.5</v>
      </c>
      <c r="R79" s="8"/>
      <c r="T79"/>
    </row>
    <row r="80" spans="2:20" ht="23.1" customHeight="1" x14ac:dyDescent="0.25">
      <c r="B80" s="25" t="s">
        <v>120</v>
      </c>
      <c r="C80" s="49">
        <f>AVERAGE('02.08 Koboko-Yumbe-24h'!C80,'03.08 Koboko-Yumbe-24h'!C80)</f>
        <v>0.5</v>
      </c>
      <c r="D80" s="49">
        <f>AVERAGE('02.08 Koboko-Yumbe-24h'!D80,'03.08 Koboko-Yumbe-24h'!D80)</f>
        <v>0</v>
      </c>
      <c r="E80" s="49">
        <f>AVERAGE('02.08 Koboko-Yumbe-24h'!E80,'03.08 Koboko-Yumbe-24h'!E80)</f>
        <v>0</v>
      </c>
      <c r="F80" s="49">
        <f>AVERAGE('02.08 Koboko-Yumbe-24h'!F80,'03.08 Koboko-Yumbe-24h'!F80)</f>
        <v>0</v>
      </c>
      <c r="G80" s="49">
        <f>AVERAGE('02.08 Koboko-Yumbe-24h'!G80,'03.08 Koboko-Yumbe-24h'!G80)</f>
        <v>0</v>
      </c>
      <c r="H80" s="49">
        <f>AVERAGE('02.08 Koboko-Yumbe-24h'!H80,'03.08 Koboko-Yumbe-24h'!H80)</f>
        <v>0</v>
      </c>
      <c r="I80" s="49">
        <f>AVERAGE('02.08 Koboko-Yumbe-24h'!I80,'03.08 Koboko-Yumbe-24h'!I80)</f>
        <v>0.5</v>
      </c>
      <c r="J80" s="49">
        <f>AVERAGE('02.08 Koboko-Yumbe-24h'!J80,'03.08 Koboko-Yumbe-24h'!J80)</f>
        <v>0</v>
      </c>
      <c r="K80" s="49">
        <f>AVERAGE('02.08 Koboko-Yumbe-24h'!K80,'03.08 Koboko-Yumbe-24h'!K80)</f>
        <v>0</v>
      </c>
      <c r="L80" s="49">
        <f>AVERAGE('02.08 Koboko-Yumbe-24h'!L80,'03.08 Koboko-Yumbe-24h'!L80)</f>
        <v>0</v>
      </c>
      <c r="M80" s="49">
        <f>AVERAGE('02.08 Koboko-Yumbe-24h'!M80,'03.08 Koboko-Yumbe-24h'!M80)</f>
        <v>0.5</v>
      </c>
      <c r="N80" s="49">
        <f>AVERAGE('02.08 Koboko-Yumbe-24h'!N80,'03.08 Koboko-Yumbe-24h'!N80)</f>
        <v>0</v>
      </c>
      <c r="O80" s="15">
        <f t="shared" si="35"/>
        <v>1</v>
      </c>
      <c r="P80" s="15">
        <f t="shared" si="36"/>
        <v>1.5</v>
      </c>
      <c r="R80" s="8"/>
      <c r="T80"/>
    </row>
    <row r="81" spans="2:20" ht="23.1" customHeight="1" x14ac:dyDescent="0.25">
      <c r="B81" s="23" t="s">
        <v>121</v>
      </c>
      <c r="C81" s="49">
        <f>AVERAGE('02.08 Koboko-Yumbe-24h'!C81,'03.08 Koboko-Yumbe-24h'!C81)</f>
        <v>0</v>
      </c>
      <c r="D81" s="49">
        <f>AVERAGE('02.08 Koboko-Yumbe-24h'!D81,'03.08 Koboko-Yumbe-24h'!D81)</f>
        <v>0</v>
      </c>
      <c r="E81" s="49">
        <f>AVERAGE('02.08 Koboko-Yumbe-24h'!E81,'03.08 Koboko-Yumbe-24h'!E81)</f>
        <v>0</v>
      </c>
      <c r="F81" s="49">
        <f>AVERAGE('02.08 Koboko-Yumbe-24h'!F81,'03.08 Koboko-Yumbe-24h'!F81)</f>
        <v>0</v>
      </c>
      <c r="G81" s="49">
        <f>AVERAGE('02.08 Koboko-Yumbe-24h'!G81,'03.08 Koboko-Yumbe-24h'!G81)</f>
        <v>0</v>
      </c>
      <c r="H81" s="49">
        <f>AVERAGE('02.08 Koboko-Yumbe-24h'!H81,'03.08 Koboko-Yumbe-24h'!H81)</f>
        <v>0</v>
      </c>
      <c r="I81" s="49">
        <f>AVERAGE('02.08 Koboko-Yumbe-24h'!I81,'03.08 Koboko-Yumbe-24h'!I81)</f>
        <v>0</v>
      </c>
      <c r="J81" s="49">
        <f>AVERAGE('02.08 Koboko-Yumbe-24h'!J81,'03.08 Koboko-Yumbe-24h'!J81)</f>
        <v>0</v>
      </c>
      <c r="K81" s="49">
        <f>AVERAGE('02.08 Koboko-Yumbe-24h'!K81,'03.08 Koboko-Yumbe-24h'!K81)</f>
        <v>0</v>
      </c>
      <c r="L81" s="49">
        <f>AVERAGE('02.08 Koboko-Yumbe-24h'!L81,'03.08 Koboko-Yumbe-24h'!L81)</f>
        <v>0</v>
      </c>
      <c r="M81" s="49">
        <f>AVERAGE('02.08 Koboko-Yumbe-24h'!M81,'03.08 Koboko-Yumbe-24h'!M81)</f>
        <v>0</v>
      </c>
      <c r="N81" s="49">
        <f>AVERAGE('02.08 Koboko-Yumbe-24h'!N81,'03.08 Koboko-Yumbe-24h'!N81)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AVERAGE('02.08 Koboko-Yumbe-24h'!C82,'03.08 Koboko-Yumbe-24h'!C82)</f>
        <v>0</v>
      </c>
      <c r="D82" s="49">
        <f>AVERAGE('02.08 Koboko-Yumbe-24h'!D82,'03.08 Koboko-Yumbe-24h'!D82)</f>
        <v>0</v>
      </c>
      <c r="E82" s="49">
        <f>AVERAGE('02.08 Koboko-Yumbe-24h'!E82,'03.08 Koboko-Yumbe-24h'!E82)</f>
        <v>0</v>
      </c>
      <c r="F82" s="49">
        <f>AVERAGE('02.08 Koboko-Yumbe-24h'!F82,'03.08 Koboko-Yumbe-24h'!F82)</f>
        <v>0</v>
      </c>
      <c r="G82" s="49">
        <f>AVERAGE('02.08 Koboko-Yumbe-24h'!G82,'03.08 Koboko-Yumbe-24h'!G82)</f>
        <v>0</v>
      </c>
      <c r="H82" s="49">
        <f>AVERAGE('02.08 Koboko-Yumbe-24h'!H82,'03.08 Koboko-Yumbe-24h'!H82)</f>
        <v>0.5</v>
      </c>
      <c r="I82" s="49">
        <f>AVERAGE('02.08 Koboko-Yumbe-24h'!I82,'03.08 Koboko-Yumbe-24h'!I82)</f>
        <v>0</v>
      </c>
      <c r="J82" s="49">
        <f>AVERAGE('02.08 Koboko-Yumbe-24h'!J82,'03.08 Koboko-Yumbe-24h'!J82)</f>
        <v>0</v>
      </c>
      <c r="K82" s="49">
        <f>AVERAGE('02.08 Koboko-Yumbe-24h'!K82,'03.08 Koboko-Yumbe-24h'!K82)</f>
        <v>0</v>
      </c>
      <c r="L82" s="49">
        <f>AVERAGE('02.08 Koboko-Yumbe-24h'!L82,'03.08 Koboko-Yumbe-24h'!L82)</f>
        <v>0</v>
      </c>
      <c r="M82" s="49">
        <f>AVERAGE('02.08 Koboko-Yumbe-24h'!M82,'03.08 Koboko-Yumbe-24h'!M82)</f>
        <v>0</v>
      </c>
      <c r="N82" s="49">
        <f>AVERAGE('02.08 Koboko-Yumbe-24h'!N82,'03.08 Koboko-Yumbe-24h'!N82)</f>
        <v>0</v>
      </c>
      <c r="O82" s="15">
        <f t="shared" si="35"/>
        <v>0.5</v>
      </c>
      <c r="P82" s="15">
        <f t="shared" si="36"/>
        <v>0.5</v>
      </c>
      <c r="R82" s="8"/>
      <c r="T82"/>
    </row>
    <row r="83" spans="2:20" ht="23.1" customHeight="1" x14ac:dyDescent="0.25">
      <c r="B83" s="23" t="s">
        <v>123</v>
      </c>
      <c r="C83" s="49">
        <f>AVERAGE('02.08 Koboko-Yumbe-24h'!C83,'03.08 Koboko-Yumbe-24h'!C83)</f>
        <v>0</v>
      </c>
      <c r="D83" s="49">
        <f>AVERAGE('02.08 Koboko-Yumbe-24h'!D83,'03.08 Koboko-Yumbe-24h'!D83)</f>
        <v>0</v>
      </c>
      <c r="E83" s="49">
        <f>AVERAGE('02.08 Koboko-Yumbe-24h'!E83,'03.08 Koboko-Yumbe-24h'!E83)</f>
        <v>0</v>
      </c>
      <c r="F83" s="49">
        <f>AVERAGE('02.08 Koboko-Yumbe-24h'!F83,'03.08 Koboko-Yumbe-24h'!F83)</f>
        <v>0</v>
      </c>
      <c r="G83" s="49">
        <f>AVERAGE('02.08 Koboko-Yumbe-24h'!G83,'03.08 Koboko-Yumbe-24h'!G83)</f>
        <v>0</v>
      </c>
      <c r="H83" s="49">
        <f>AVERAGE('02.08 Koboko-Yumbe-24h'!H83,'03.08 Koboko-Yumbe-24h'!H83)</f>
        <v>0</v>
      </c>
      <c r="I83" s="49">
        <f>AVERAGE('02.08 Koboko-Yumbe-24h'!I83,'03.08 Koboko-Yumbe-24h'!I83)</f>
        <v>0</v>
      </c>
      <c r="J83" s="49">
        <f>AVERAGE('02.08 Koboko-Yumbe-24h'!J83,'03.08 Koboko-Yumbe-24h'!J83)</f>
        <v>0</v>
      </c>
      <c r="K83" s="49">
        <f>AVERAGE('02.08 Koboko-Yumbe-24h'!K83,'03.08 Koboko-Yumbe-24h'!K83)</f>
        <v>0</v>
      </c>
      <c r="L83" s="49">
        <f>AVERAGE('02.08 Koboko-Yumbe-24h'!L83,'03.08 Koboko-Yumbe-24h'!L83)</f>
        <v>0</v>
      </c>
      <c r="M83" s="49">
        <f>AVERAGE('02.08 Koboko-Yumbe-24h'!M83,'03.08 Koboko-Yumbe-24h'!M83)</f>
        <v>0</v>
      </c>
      <c r="N83" s="49">
        <f>AVERAGE('02.08 Koboko-Yumbe-24h'!N83,'03.08 Koboko-Yumbe-24h'!N83)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AVERAGE('02.08 Koboko-Yumbe-24h'!C84,'03.08 Koboko-Yumbe-24h'!C84)</f>
        <v>0</v>
      </c>
      <c r="D84" s="49">
        <f>AVERAGE('02.08 Koboko-Yumbe-24h'!D84,'03.08 Koboko-Yumbe-24h'!D84)</f>
        <v>0</v>
      </c>
      <c r="E84" s="49">
        <f>AVERAGE('02.08 Koboko-Yumbe-24h'!E84,'03.08 Koboko-Yumbe-24h'!E84)</f>
        <v>0</v>
      </c>
      <c r="F84" s="49">
        <f>AVERAGE('02.08 Koboko-Yumbe-24h'!F84,'03.08 Koboko-Yumbe-24h'!F84)</f>
        <v>0</v>
      </c>
      <c r="G84" s="49">
        <f>AVERAGE('02.08 Koboko-Yumbe-24h'!G84,'03.08 Koboko-Yumbe-24h'!G84)</f>
        <v>0</v>
      </c>
      <c r="H84" s="49">
        <f>AVERAGE('02.08 Koboko-Yumbe-24h'!H84,'03.08 Koboko-Yumbe-24h'!H84)</f>
        <v>0</v>
      </c>
      <c r="I84" s="49">
        <f>AVERAGE('02.08 Koboko-Yumbe-24h'!I84,'03.08 Koboko-Yumbe-24h'!I84)</f>
        <v>0</v>
      </c>
      <c r="J84" s="49">
        <f>AVERAGE('02.08 Koboko-Yumbe-24h'!J84,'03.08 Koboko-Yumbe-24h'!J84)</f>
        <v>0</v>
      </c>
      <c r="K84" s="49">
        <f>AVERAGE('02.08 Koboko-Yumbe-24h'!K84,'03.08 Koboko-Yumbe-24h'!K84)</f>
        <v>0</v>
      </c>
      <c r="L84" s="49">
        <f>AVERAGE('02.08 Koboko-Yumbe-24h'!L84,'03.08 Koboko-Yumbe-24h'!L84)</f>
        <v>0</v>
      </c>
      <c r="M84" s="49">
        <f>AVERAGE('02.08 Koboko-Yumbe-24h'!M84,'03.08 Koboko-Yumbe-24h'!M84)</f>
        <v>0</v>
      </c>
      <c r="N84" s="49">
        <f>AVERAGE('02.08 Koboko-Yumbe-24h'!N84,'03.08 Koboko-Yumbe-24h'!N84)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AVERAGE('02.08 Koboko-Yumbe-24h'!C85,'03.08 Koboko-Yumbe-24h'!C85)</f>
        <v>0</v>
      </c>
      <c r="D85" s="49">
        <f>AVERAGE('02.08 Koboko-Yumbe-24h'!D85,'03.08 Koboko-Yumbe-24h'!D85)</f>
        <v>0</v>
      </c>
      <c r="E85" s="49">
        <f>AVERAGE('02.08 Koboko-Yumbe-24h'!E85,'03.08 Koboko-Yumbe-24h'!E85)</f>
        <v>0</v>
      </c>
      <c r="F85" s="49">
        <f>AVERAGE('02.08 Koboko-Yumbe-24h'!F85,'03.08 Koboko-Yumbe-24h'!F85)</f>
        <v>0</v>
      </c>
      <c r="G85" s="49">
        <f>AVERAGE('02.08 Koboko-Yumbe-24h'!G85,'03.08 Koboko-Yumbe-24h'!G85)</f>
        <v>0</v>
      </c>
      <c r="H85" s="49">
        <f>AVERAGE('02.08 Koboko-Yumbe-24h'!H85,'03.08 Koboko-Yumbe-24h'!H85)</f>
        <v>0</v>
      </c>
      <c r="I85" s="49">
        <f>AVERAGE('02.08 Koboko-Yumbe-24h'!I85,'03.08 Koboko-Yumbe-24h'!I85)</f>
        <v>0</v>
      </c>
      <c r="J85" s="49">
        <f>AVERAGE('02.08 Koboko-Yumbe-24h'!J85,'03.08 Koboko-Yumbe-24h'!J85)</f>
        <v>0</v>
      </c>
      <c r="K85" s="49">
        <f>AVERAGE('02.08 Koboko-Yumbe-24h'!K85,'03.08 Koboko-Yumbe-24h'!K85)</f>
        <v>0</v>
      </c>
      <c r="L85" s="49">
        <f>AVERAGE('02.08 Koboko-Yumbe-24h'!L85,'03.08 Koboko-Yumbe-24h'!L85)</f>
        <v>0</v>
      </c>
      <c r="M85" s="49">
        <f>AVERAGE('02.08 Koboko-Yumbe-24h'!M85,'03.08 Koboko-Yumbe-24h'!M85)</f>
        <v>0</v>
      </c>
      <c r="N85" s="49">
        <f>AVERAGE('02.08 Koboko-Yumbe-24h'!N85,'03.08 Koboko-Yumbe-24h'!N85)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AVERAGE('02.08 Koboko-Yumbe-24h'!C86,'03.08 Koboko-Yumbe-24h'!C86)</f>
        <v>0</v>
      </c>
      <c r="D86" s="49">
        <f>AVERAGE('02.08 Koboko-Yumbe-24h'!D86,'03.08 Koboko-Yumbe-24h'!D86)</f>
        <v>0</v>
      </c>
      <c r="E86" s="49">
        <f>AVERAGE('02.08 Koboko-Yumbe-24h'!E86,'03.08 Koboko-Yumbe-24h'!E86)</f>
        <v>0</v>
      </c>
      <c r="F86" s="49">
        <f>AVERAGE('02.08 Koboko-Yumbe-24h'!F86,'03.08 Koboko-Yumbe-24h'!F86)</f>
        <v>0</v>
      </c>
      <c r="G86" s="49">
        <f>AVERAGE('02.08 Koboko-Yumbe-24h'!G86,'03.08 Koboko-Yumbe-24h'!G86)</f>
        <v>0</v>
      </c>
      <c r="H86" s="49">
        <f>AVERAGE('02.08 Koboko-Yumbe-24h'!H86,'03.08 Koboko-Yumbe-24h'!H86)</f>
        <v>0</v>
      </c>
      <c r="I86" s="49">
        <f>AVERAGE('02.08 Koboko-Yumbe-24h'!I86,'03.08 Koboko-Yumbe-24h'!I86)</f>
        <v>0</v>
      </c>
      <c r="J86" s="49">
        <f>AVERAGE('02.08 Koboko-Yumbe-24h'!J86,'03.08 Koboko-Yumbe-24h'!J86)</f>
        <v>0</v>
      </c>
      <c r="K86" s="49">
        <f>AVERAGE('02.08 Koboko-Yumbe-24h'!K86,'03.08 Koboko-Yumbe-24h'!K86)</f>
        <v>0</v>
      </c>
      <c r="L86" s="49">
        <f>AVERAGE('02.08 Koboko-Yumbe-24h'!L86,'03.08 Koboko-Yumbe-24h'!L86)</f>
        <v>0</v>
      </c>
      <c r="M86" s="49">
        <f>AVERAGE('02.08 Koboko-Yumbe-24h'!M86,'03.08 Koboko-Yumbe-24h'!M86)</f>
        <v>0</v>
      </c>
      <c r="N86" s="49">
        <f>AVERAGE('02.08 Koboko-Yumbe-24h'!N86,'03.08 Koboko-Yumbe-24h'!N86)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AVERAGE('02.08 Koboko-Yumbe-24h'!C87,'03.08 Koboko-Yumbe-24h'!C87)</f>
        <v>0</v>
      </c>
      <c r="D87" s="49">
        <f>AVERAGE('02.08 Koboko-Yumbe-24h'!D87,'03.08 Koboko-Yumbe-24h'!D87)</f>
        <v>0</v>
      </c>
      <c r="E87" s="49">
        <f>AVERAGE('02.08 Koboko-Yumbe-24h'!E87,'03.08 Koboko-Yumbe-24h'!E87)</f>
        <v>0</v>
      </c>
      <c r="F87" s="49">
        <f>AVERAGE('02.08 Koboko-Yumbe-24h'!F87,'03.08 Koboko-Yumbe-24h'!F87)</f>
        <v>0</v>
      </c>
      <c r="G87" s="49">
        <f>AVERAGE('02.08 Koboko-Yumbe-24h'!G87,'03.08 Koboko-Yumbe-24h'!G87)</f>
        <v>0</v>
      </c>
      <c r="H87" s="49">
        <f>AVERAGE('02.08 Koboko-Yumbe-24h'!H87,'03.08 Koboko-Yumbe-24h'!H87)</f>
        <v>0</v>
      </c>
      <c r="I87" s="49">
        <f>AVERAGE('02.08 Koboko-Yumbe-24h'!I87,'03.08 Koboko-Yumbe-24h'!I87)</f>
        <v>0</v>
      </c>
      <c r="J87" s="49">
        <f>AVERAGE('02.08 Koboko-Yumbe-24h'!J87,'03.08 Koboko-Yumbe-24h'!J87)</f>
        <v>0</v>
      </c>
      <c r="K87" s="49">
        <f>AVERAGE('02.08 Koboko-Yumbe-24h'!K87,'03.08 Koboko-Yumbe-24h'!K87)</f>
        <v>0</v>
      </c>
      <c r="L87" s="49">
        <f>AVERAGE('02.08 Koboko-Yumbe-24h'!L87,'03.08 Koboko-Yumbe-24h'!L87)</f>
        <v>0</v>
      </c>
      <c r="M87" s="49">
        <f>AVERAGE('02.08 Koboko-Yumbe-24h'!M87,'03.08 Koboko-Yumbe-24h'!M87)</f>
        <v>0</v>
      </c>
      <c r="N87" s="49">
        <f>AVERAGE('02.08 Koboko-Yumbe-24h'!N87,'03.08 Koboko-Yumbe-24h'!N87)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AVERAGE('02.08 Koboko-Yumbe-24h'!C88,'03.08 Koboko-Yumbe-24h'!C88)</f>
        <v>0</v>
      </c>
      <c r="D88" s="49">
        <f>AVERAGE('02.08 Koboko-Yumbe-24h'!D88,'03.08 Koboko-Yumbe-24h'!D88)</f>
        <v>0</v>
      </c>
      <c r="E88" s="49">
        <f>AVERAGE('02.08 Koboko-Yumbe-24h'!E88,'03.08 Koboko-Yumbe-24h'!E88)</f>
        <v>0</v>
      </c>
      <c r="F88" s="49">
        <f>AVERAGE('02.08 Koboko-Yumbe-24h'!F88,'03.08 Koboko-Yumbe-24h'!F88)</f>
        <v>0</v>
      </c>
      <c r="G88" s="49">
        <f>AVERAGE('02.08 Koboko-Yumbe-24h'!G88,'03.08 Koboko-Yumbe-24h'!G88)</f>
        <v>0</v>
      </c>
      <c r="H88" s="49">
        <f>AVERAGE('02.08 Koboko-Yumbe-24h'!H88,'03.08 Koboko-Yumbe-24h'!H88)</f>
        <v>0</v>
      </c>
      <c r="I88" s="49">
        <f>AVERAGE('02.08 Koboko-Yumbe-24h'!I88,'03.08 Koboko-Yumbe-24h'!I88)</f>
        <v>0</v>
      </c>
      <c r="J88" s="49">
        <f>AVERAGE('02.08 Koboko-Yumbe-24h'!J88,'03.08 Koboko-Yumbe-24h'!J88)</f>
        <v>0</v>
      </c>
      <c r="K88" s="49">
        <f>AVERAGE('02.08 Koboko-Yumbe-24h'!K88,'03.08 Koboko-Yumbe-24h'!K88)</f>
        <v>0</v>
      </c>
      <c r="L88" s="49">
        <f>AVERAGE('02.08 Koboko-Yumbe-24h'!L88,'03.08 Koboko-Yumbe-24h'!L88)</f>
        <v>0</v>
      </c>
      <c r="M88" s="49">
        <f>AVERAGE('02.08 Koboko-Yumbe-24h'!M88,'03.08 Koboko-Yumbe-24h'!M88)</f>
        <v>0</v>
      </c>
      <c r="N88" s="49">
        <f>AVERAGE('02.08 Koboko-Yumbe-24h'!N88,'03.08 Koboko-Yumbe-24h'!N88)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AVERAGE('02.08 Koboko-Yumbe-24h'!C89,'03.08 Koboko-Yumbe-24h'!C89)</f>
        <v>0.5</v>
      </c>
      <c r="D89" s="49">
        <f>AVERAGE('02.08 Koboko-Yumbe-24h'!D89,'03.08 Koboko-Yumbe-24h'!D89)</f>
        <v>0</v>
      </c>
      <c r="E89" s="49">
        <f>AVERAGE('02.08 Koboko-Yumbe-24h'!E89,'03.08 Koboko-Yumbe-24h'!E89)</f>
        <v>0</v>
      </c>
      <c r="F89" s="49">
        <f>AVERAGE('02.08 Koboko-Yumbe-24h'!F89,'03.08 Koboko-Yumbe-24h'!F89)</f>
        <v>0</v>
      </c>
      <c r="G89" s="49">
        <f>AVERAGE('02.08 Koboko-Yumbe-24h'!G89,'03.08 Koboko-Yumbe-24h'!G89)</f>
        <v>0</v>
      </c>
      <c r="H89" s="49">
        <f>AVERAGE('02.08 Koboko-Yumbe-24h'!H89,'03.08 Koboko-Yumbe-24h'!H89)</f>
        <v>0</v>
      </c>
      <c r="I89" s="49">
        <f>AVERAGE('02.08 Koboko-Yumbe-24h'!I89,'03.08 Koboko-Yumbe-24h'!I89)</f>
        <v>0</v>
      </c>
      <c r="J89" s="49">
        <f>AVERAGE('02.08 Koboko-Yumbe-24h'!J89,'03.08 Koboko-Yumbe-24h'!J89)</f>
        <v>0</v>
      </c>
      <c r="K89" s="49">
        <f>AVERAGE('02.08 Koboko-Yumbe-24h'!K89,'03.08 Koboko-Yumbe-24h'!K89)</f>
        <v>0</v>
      </c>
      <c r="L89" s="49">
        <f>AVERAGE('02.08 Koboko-Yumbe-24h'!L89,'03.08 Koboko-Yumbe-24h'!L89)</f>
        <v>0</v>
      </c>
      <c r="M89" s="49">
        <f>AVERAGE('02.08 Koboko-Yumbe-24h'!M89,'03.08 Koboko-Yumbe-24h'!M89)</f>
        <v>0</v>
      </c>
      <c r="N89" s="49">
        <f>AVERAGE('02.08 Koboko-Yumbe-24h'!N89,'03.08 Koboko-Yumbe-24h'!N89)</f>
        <v>0</v>
      </c>
      <c r="O89" s="15">
        <f t="shared" si="35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AVERAGE('02.08 Koboko-Yumbe-24h'!C90,'03.08 Koboko-Yumbe-24h'!C90)</f>
        <v>0</v>
      </c>
      <c r="D90" s="49">
        <f>AVERAGE('02.08 Koboko-Yumbe-24h'!D90,'03.08 Koboko-Yumbe-24h'!D90)</f>
        <v>0</v>
      </c>
      <c r="E90" s="49">
        <f>AVERAGE('02.08 Koboko-Yumbe-24h'!E90,'03.08 Koboko-Yumbe-24h'!E90)</f>
        <v>0.5</v>
      </c>
      <c r="F90" s="49">
        <f>AVERAGE('02.08 Koboko-Yumbe-24h'!F90,'03.08 Koboko-Yumbe-24h'!F90)</f>
        <v>0</v>
      </c>
      <c r="G90" s="49">
        <f>AVERAGE('02.08 Koboko-Yumbe-24h'!G90,'03.08 Koboko-Yumbe-24h'!G90)</f>
        <v>0</v>
      </c>
      <c r="H90" s="49">
        <f>AVERAGE('02.08 Koboko-Yumbe-24h'!H90,'03.08 Koboko-Yumbe-24h'!H90)</f>
        <v>0</v>
      </c>
      <c r="I90" s="49">
        <f>AVERAGE('02.08 Koboko-Yumbe-24h'!I90,'03.08 Koboko-Yumbe-24h'!I90)</f>
        <v>0</v>
      </c>
      <c r="J90" s="49">
        <f>AVERAGE('02.08 Koboko-Yumbe-24h'!J90,'03.08 Koboko-Yumbe-24h'!J90)</f>
        <v>0</v>
      </c>
      <c r="K90" s="49">
        <f>AVERAGE('02.08 Koboko-Yumbe-24h'!K90,'03.08 Koboko-Yumbe-24h'!K90)</f>
        <v>0</v>
      </c>
      <c r="L90" s="49">
        <f>AVERAGE('02.08 Koboko-Yumbe-24h'!L90,'03.08 Koboko-Yumbe-24h'!L90)</f>
        <v>0</v>
      </c>
      <c r="M90" s="49">
        <f>AVERAGE('02.08 Koboko-Yumbe-24h'!M90,'03.08 Koboko-Yumbe-24h'!M90)</f>
        <v>0.5</v>
      </c>
      <c r="N90" s="49">
        <f>AVERAGE('02.08 Koboko-Yumbe-24h'!N90,'03.08 Koboko-Yumbe-24h'!N90)</f>
        <v>0</v>
      </c>
      <c r="O90" s="15">
        <f t="shared" si="35"/>
        <v>0.5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AVERAGE('02.08 Koboko-Yumbe-24h'!C91,'03.08 Koboko-Yumbe-24h'!C91)</f>
        <v>0</v>
      </c>
      <c r="D91" s="49">
        <f>AVERAGE('02.08 Koboko-Yumbe-24h'!D91,'03.08 Koboko-Yumbe-24h'!D91)</f>
        <v>0</v>
      </c>
      <c r="E91" s="49">
        <f>AVERAGE('02.08 Koboko-Yumbe-24h'!E91,'03.08 Koboko-Yumbe-24h'!E91)</f>
        <v>0</v>
      </c>
      <c r="F91" s="49">
        <f>AVERAGE('02.08 Koboko-Yumbe-24h'!F91,'03.08 Koboko-Yumbe-24h'!F91)</f>
        <v>0</v>
      </c>
      <c r="G91" s="49">
        <f>AVERAGE('02.08 Koboko-Yumbe-24h'!G91,'03.08 Koboko-Yumbe-24h'!G91)</f>
        <v>0</v>
      </c>
      <c r="H91" s="49">
        <f>AVERAGE('02.08 Koboko-Yumbe-24h'!H91,'03.08 Koboko-Yumbe-24h'!H91)</f>
        <v>0</v>
      </c>
      <c r="I91" s="49">
        <f>AVERAGE('02.08 Koboko-Yumbe-24h'!I91,'03.08 Koboko-Yumbe-24h'!I91)</f>
        <v>0</v>
      </c>
      <c r="J91" s="49">
        <f>AVERAGE('02.08 Koboko-Yumbe-24h'!J91,'03.08 Koboko-Yumbe-24h'!J91)</f>
        <v>0</v>
      </c>
      <c r="K91" s="49">
        <f>AVERAGE('02.08 Koboko-Yumbe-24h'!K91,'03.08 Koboko-Yumbe-24h'!K91)</f>
        <v>0</v>
      </c>
      <c r="L91" s="49">
        <f>AVERAGE('02.08 Koboko-Yumbe-24h'!L91,'03.08 Koboko-Yumbe-24h'!L91)</f>
        <v>0</v>
      </c>
      <c r="M91" s="49">
        <f>AVERAGE('02.08 Koboko-Yumbe-24h'!M91,'03.08 Koboko-Yumbe-24h'!M91)</f>
        <v>0</v>
      </c>
      <c r="N91" s="49">
        <f>AVERAGE('02.08 Koboko-Yumbe-24h'!N91,'03.08 Koboko-Yumbe-24h'!N91)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AVERAGE('02.08 Koboko-Yumbe-24h'!C92,'03.08 Koboko-Yumbe-24h'!C92)</f>
        <v>0</v>
      </c>
      <c r="D92" s="49">
        <f>AVERAGE('02.08 Koboko-Yumbe-24h'!D92,'03.08 Koboko-Yumbe-24h'!D92)</f>
        <v>0</v>
      </c>
      <c r="E92" s="49">
        <f>AVERAGE('02.08 Koboko-Yumbe-24h'!E92,'03.08 Koboko-Yumbe-24h'!E92)</f>
        <v>0</v>
      </c>
      <c r="F92" s="49">
        <f>AVERAGE('02.08 Koboko-Yumbe-24h'!F92,'03.08 Koboko-Yumbe-24h'!F92)</f>
        <v>0</v>
      </c>
      <c r="G92" s="49">
        <f>AVERAGE('02.08 Koboko-Yumbe-24h'!G92,'03.08 Koboko-Yumbe-24h'!G92)</f>
        <v>0</v>
      </c>
      <c r="H92" s="49">
        <f>AVERAGE('02.08 Koboko-Yumbe-24h'!H92,'03.08 Koboko-Yumbe-24h'!H92)</f>
        <v>0</v>
      </c>
      <c r="I92" s="49">
        <f>AVERAGE('02.08 Koboko-Yumbe-24h'!I92,'03.08 Koboko-Yumbe-24h'!I92)</f>
        <v>0</v>
      </c>
      <c r="J92" s="49">
        <f>AVERAGE('02.08 Koboko-Yumbe-24h'!J92,'03.08 Koboko-Yumbe-24h'!J92)</f>
        <v>0</v>
      </c>
      <c r="K92" s="49">
        <f>AVERAGE('02.08 Koboko-Yumbe-24h'!K92,'03.08 Koboko-Yumbe-24h'!K92)</f>
        <v>0</v>
      </c>
      <c r="L92" s="49">
        <f>AVERAGE('02.08 Koboko-Yumbe-24h'!L92,'03.08 Koboko-Yumbe-24h'!L92)</f>
        <v>0</v>
      </c>
      <c r="M92" s="49">
        <f>AVERAGE('02.08 Koboko-Yumbe-24h'!M92,'03.08 Koboko-Yumbe-24h'!M92)</f>
        <v>0</v>
      </c>
      <c r="N92" s="49">
        <f>AVERAGE('02.08 Koboko-Yumbe-24h'!N92,'03.08 Koboko-Yumbe-24h'!N92)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AVERAGE('02.08 Koboko-Yumbe-24h'!C93,'03.08 Koboko-Yumbe-24h'!C93)</f>
        <v>0</v>
      </c>
      <c r="D93" s="49">
        <f>AVERAGE('02.08 Koboko-Yumbe-24h'!D93,'03.08 Koboko-Yumbe-24h'!D93)</f>
        <v>0</v>
      </c>
      <c r="E93" s="49">
        <f>AVERAGE('02.08 Koboko-Yumbe-24h'!E93,'03.08 Koboko-Yumbe-24h'!E93)</f>
        <v>0</v>
      </c>
      <c r="F93" s="49">
        <f>AVERAGE('02.08 Koboko-Yumbe-24h'!F93,'03.08 Koboko-Yumbe-24h'!F93)</f>
        <v>0</v>
      </c>
      <c r="G93" s="49">
        <f>AVERAGE('02.08 Koboko-Yumbe-24h'!G93,'03.08 Koboko-Yumbe-24h'!G93)</f>
        <v>0</v>
      </c>
      <c r="H93" s="49">
        <f>AVERAGE('02.08 Koboko-Yumbe-24h'!H93,'03.08 Koboko-Yumbe-24h'!H93)</f>
        <v>0</v>
      </c>
      <c r="I93" s="49">
        <f>AVERAGE('02.08 Koboko-Yumbe-24h'!I93,'03.08 Koboko-Yumbe-24h'!I93)</f>
        <v>0</v>
      </c>
      <c r="J93" s="49">
        <f>AVERAGE('02.08 Koboko-Yumbe-24h'!J93,'03.08 Koboko-Yumbe-24h'!J93)</f>
        <v>0</v>
      </c>
      <c r="K93" s="49">
        <f>AVERAGE('02.08 Koboko-Yumbe-24h'!K93,'03.08 Koboko-Yumbe-24h'!K93)</f>
        <v>0</v>
      </c>
      <c r="L93" s="49">
        <f>AVERAGE('02.08 Koboko-Yumbe-24h'!L93,'03.08 Koboko-Yumbe-24h'!L93)</f>
        <v>0</v>
      </c>
      <c r="M93" s="49">
        <f>AVERAGE('02.08 Koboko-Yumbe-24h'!M93,'03.08 Koboko-Yumbe-24h'!M93)</f>
        <v>0</v>
      </c>
      <c r="N93" s="49">
        <f>AVERAGE('02.08 Koboko-Yumbe-24h'!N93,'03.08 Koboko-Yumbe-24h'!N93)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AVERAGE('02.08 Koboko-Yumbe-24h'!C94,'03.08 Koboko-Yumbe-24h'!C94)</f>
        <v>0</v>
      </c>
      <c r="D94" s="49">
        <f>AVERAGE('02.08 Koboko-Yumbe-24h'!D94,'03.08 Koboko-Yumbe-24h'!D94)</f>
        <v>0</v>
      </c>
      <c r="E94" s="49">
        <f>AVERAGE('02.08 Koboko-Yumbe-24h'!E94,'03.08 Koboko-Yumbe-24h'!E94)</f>
        <v>0.5</v>
      </c>
      <c r="F94" s="49">
        <f>AVERAGE('02.08 Koboko-Yumbe-24h'!F94,'03.08 Koboko-Yumbe-24h'!F94)</f>
        <v>0</v>
      </c>
      <c r="G94" s="49">
        <f>AVERAGE('02.08 Koboko-Yumbe-24h'!G94,'03.08 Koboko-Yumbe-24h'!G94)</f>
        <v>0</v>
      </c>
      <c r="H94" s="49">
        <f>AVERAGE('02.08 Koboko-Yumbe-24h'!H94,'03.08 Koboko-Yumbe-24h'!H94)</f>
        <v>0</v>
      </c>
      <c r="I94" s="49">
        <f>AVERAGE('02.08 Koboko-Yumbe-24h'!I94,'03.08 Koboko-Yumbe-24h'!I94)</f>
        <v>0</v>
      </c>
      <c r="J94" s="49">
        <f>AVERAGE('02.08 Koboko-Yumbe-24h'!J94,'03.08 Koboko-Yumbe-24h'!J94)</f>
        <v>0</v>
      </c>
      <c r="K94" s="49">
        <f>AVERAGE('02.08 Koboko-Yumbe-24h'!K94,'03.08 Koboko-Yumbe-24h'!K94)</f>
        <v>0</v>
      </c>
      <c r="L94" s="49">
        <f>AVERAGE('02.08 Koboko-Yumbe-24h'!L94,'03.08 Koboko-Yumbe-24h'!L94)</f>
        <v>0</v>
      </c>
      <c r="M94" s="49">
        <f>AVERAGE('02.08 Koboko-Yumbe-24h'!M94,'03.08 Koboko-Yumbe-24h'!M94)</f>
        <v>0</v>
      </c>
      <c r="N94" s="49">
        <f>AVERAGE('02.08 Koboko-Yumbe-24h'!N94,'03.08 Koboko-Yumbe-24h'!N94)</f>
        <v>0</v>
      </c>
      <c r="O94" s="15">
        <f t="shared" si="35"/>
        <v>0.5</v>
      </c>
      <c r="P94" s="15">
        <f t="shared" si="36"/>
        <v>0.5</v>
      </c>
      <c r="R94" s="8"/>
      <c r="T94"/>
    </row>
    <row r="95" spans="2:20" ht="23.1" customHeight="1" x14ac:dyDescent="0.25">
      <c r="B95" s="23" t="s">
        <v>135</v>
      </c>
      <c r="C95" s="49">
        <f>AVERAGE('02.08 Koboko-Yumbe-24h'!C95,'03.08 Koboko-Yumbe-24h'!C95)</f>
        <v>0</v>
      </c>
      <c r="D95" s="49">
        <f>AVERAGE('02.08 Koboko-Yumbe-24h'!D95,'03.08 Koboko-Yumbe-24h'!D95)</f>
        <v>0</v>
      </c>
      <c r="E95" s="49">
        <f>AVERAGE('02.08 Koboko-Yumbe-24h'!E95,'03.08 Koboko-Yumbe-24h'!E95)</f>
        <v>0</v>
      </c>
      <c r="F95" s="49">
        <f>AVERAGE('02.08 Koboko-Yumbe-24h'!F95,'03.08 Koboko-Yumbe-24h'!F95)</f>
        <v>0</v>
      </c>
      <c r="G95" s="49">
        <f>AVERAGE('02.08 Koboko-Yumbe-24h'!G95,'03.08 Koboko-Yumbe-24h'!G95)</f>
        <v>0</v>
      </c>
      <c r="H95" s="49">
        <f>AVERAGE('02.08 Koboko-Yumbe-24h'!H95,'03.08 Koboko-Yumbe-24h'!H95)</f>
        <v>0</v>
      </c>
      <c r="I95" s="49">
        <f>AVERAGE('02.08 Koboko-Yumbe-24h'!I95,'03.08 Koboko-Yumbe-24h'!I95)</f>
        <v>0</v>
      </c>
      <c r="J95" s="49">
        <f>AVERAGE('02.08 Koboko-Yumbe-24h'!J95,'03.08 Koboko-Yumbe-24h'!J95)</f>
        <v>0</v>
      </c>
      <c r="K95" s="49">
        <f>AVERAGE('02.08 Koboko-Yumbe-24h'!K95,'03.08 Koboko-Yumbe-24h'!K95)</f>
        <v>0</v>
      </c>
      <c r="L95" s="49">
        <f>AVERAGE('02.08 Koboko-Yumbe-24h'!L95,'03.08 Koboko-Yumbe-24h'!L95)</f>
        <v>0</v>
      </c>
      <c r="M95" s="49">
        <f>AVERAGE('02.08 Koboko-Yumbe-24h'!M95,'03.08 Koboko-Yumbe-24h'!M95)</f>
        <v>0</v>
      </c>
      <c r="N95" s="49">
        <f>AVERAGE('02.08 Koboko-Yumbe-24h'!N95,'03.08 Koboko-Yumbe-24h'!N95)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AVERAGE('02.08 Koboko-Yumbe-24h'!C96,'03.08 Koboko-Yumbe-24h'!C96)</f>
        <v>0</v>
      </c>
      <c r="D96" s="49">
        <f>AVERAGE('02.08 Koboko-Yumbe-24h'!D96,'03.08 Koboko-Yumbe-24h'!D96)</f>
        <v>0</v>
      </c>
      <c r="E96" s="49">
        <f>AVERAGE('02.08 Koboko-Yumbe-24h'!E96,'03.08 Koboko-Yumbe-24h'!E96)</f>
        <v>0</v>
      </c>
      <c r="F96" s="49">
        <f>AVERAGE('02.08 Koboko-Yumbe-24h'!F96,'03.08 Koboko-Yumbe-24h'!F96)</f>
        <v>0</v>
      </c>
      <c r="G96" s="49">
        <f>AVERAGE('02.08 Koboko-Yumbe-24h'!G96,'03.08 Koboko-Yumbe-24h'!G96)</f>
        <v>0</v>
      </c>
      <c r="H96" s="49">
        <f>AVERAGE('02.08 Koboko-Yumbe-24h'!H96,'03.08 Koboko-Yumbe-24h'!H96)</f>
        <v>0</v>
      </c>
      <c r="I96" s="49">
        <f>AVERAGE('02.08 Koboko-Yumbe-24h'!I96,'03.08 Koboko-Yumbe-24h'!I96)</f>
        <v>0</v>
      </c>
      <c r="J96" s="49">
        <f>AVERAGE('02.08 Koboko-Yumbe-24h'!J96,'03.08 Koboko-Yumbe-24h'!J96)</f>
        <v>0</v>
      </c>
      <c r="K96" s="49">
        <f>AVERAGE('02.08 Koboko-Yumbe-24h'!K96,'03.08 Koboko-Yumbe-24h'!K96)</f>
        <v>0</v>
      </c>
      <c r="L96" s="49">
        <f>AVERAGE('02.08 Koboko-Yumbe-24h'!L96,'03.08 Koboko-Yumbe-24h'!L96)</f>
        <v>0</v>
      </c>
      <c r="M96" s="49">
        <f>AVERAGE('02.08 Koboko-Yumbe-24h'!M96,'03.08 Koboko-Yumbe-24h'!M96)</f>
        <v>0</v>
      </c>
      <c r="N96" s="49">
        <f>AVERAGE('02.08 Koboko-Yumbe-24h'!N96,'03.08 Koboko-Yumbe-24h'!N96)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AVERAGE('02.08 Koboko-Yumbe-24h'!C97,'03.08 Koboko-Yumbe-24h'!C97)</f>
        <v>0</v>
      </c>
      <c r="D97" s="49">
        <f>AVERAGE('02.08 Koboko-Yumbe-24h'!D97,'03.08 Koboko-Yumbe-24h'!D97)</f>
        <v>0</v>
      </c>
      <c r="E97" s="49">
        <f>AVERAGE('02.08 Koboko-Yumbe-24h'!E97,'03.08 Koboko-Yumbe-24h'!E97)</f>
        <v>0</v>
      </c>
      <c r="F97" s="49">
        <f>AVERAGE('02.08 Koboko-Yumbe-24h'!F97,'03.08 Koboko-Yumbe-24h'!F97)</f>
        <v>0</v>
      </c>
      <c r="G97" s="49">
        <f>AVERAGE('02.08 Koboko-Yumbe-24h'!G97,'03.08 Koboko-Yumbe-24h'!G97)</f>
        <v>0</v>
      </c>
      <c r="H97" s="49">
        <f>AVERAGE('02.08 Koboko-Yumbe-24h'!H97,'03.08 Koboko-Yumbe-24h'!H97)</f>
        <v>0</v>
      </c>
      <c r="I97" s="49">
        <f>AVERAGE('02.08 Koboko-Yumbe-24h'!I97,'03.08 Koboko-Yumbe-24h'!I97)</f>
        <v>0</v>
      </c>
      <c r="J97" s="49">
        <f>AVERAGE('02.08 Koboko-Yumbe-24h'!J97,'03.08 Koboko-Yumbe-24h'!J97)</f>
        <v>0</v>
      </c>
      <c r="K97" s="49">
        <f>AVERAGE('02.08 Koboko-Yumbe-24h'!K97,'03.08 Koboko-Yumbe-24h'!K97)</f>
        <v>0</v>
      </c>
      <c r="L97" s="49">
        <f>AVERAGE('02.08 Koboko-Yumbe-24h'!L97,'03.08 Koboko-Yumbe-24h'!L97)</f>
        <v>0</v>
      </c>
      <c r="M97" s="49">
        <f>AVERAGE('02.08 Koboko-Yumbe-24h'!M97,'03.08 Koboko-Yumbe-24h'!M97)</f>
        <v>0</v>
      </c>
      <c r="N97" s="49">
        <f>AVERAGE('02.08 Koboko-Yumbe-24h'!N97,'03.08 Koboko-Yumbe-24h'!N97)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AVERAGE('02.08 Koboko-Yumbe-24h'!C98,'03.08 Koboko-Yumbe-24h'!C98)</f>
        <v>1</v>
      </c>
      <c r="D98" s="49">
        <f>AVERAGE('02.08 Koboko-Yumbe-24h'!D98,'03.08 Koboko-Yumbe-24h'!D98)</f>
        <v>0</v>
      </c>
      <c r="E98" s="49">
        <f>AVERAGE('02.08 Koboko-Yumbe-24h'!E98,'03.08 Koboko-Yumbe-24h'!E98)</f>
        <v>0</v>
      </c>
      <c r="F98" s="49">
        <f>AVERAGE('02.08 Koboko-Yumbe-24h'!F98,'03.08 Koboko-Yumbe-24h'!F98)</f>
        <v>0</v>
      </c>
      <c r="G98" s="49">
        <f>AVERAGE('02.08 Koboko-Yumbe-24h'!G98,'03.08 Koboko-Yumbe-24h'!G98)</f>
        <v>0</v>
      </c>
      <c r="H98" s="49">
        <f>AVERAGE('02.08 Koboko-Yumbe-24h'!H98,'03.08 Koboko-Yumbe-24h'!H98)</f>
        <v>0</v>
      </c>
      <c r="I98" s="49">
        <f>AVERAGE('02.08 Koboko-Yumbe-24h'!I98,'03.08 Koboko-Yumbe-24h'!I98)</f>
        <v>0</v>
      </c>
      <c r="J98" s="49">
        <f>AVERAGE('02.08 Koboko-Yumbe-24h'!J98,'03.08 Koboko-Yumbe-24h'!J98)</f>
        <v>0</v>
      </c>
      <c r="K98" s="49">
        <f>AVERAGE('02.08 Koboko-Yumbe-24h'!K98,'03.08 Koboko-Yumbe-24h'!K98)</f>
        <v>0</v>
      </c>
      <c r="L98" s="49">
        <f>AVERAGE('02.08 Koboko-Yumbe-24h'!L98,'03.08 Koboko-Yumbe-24h'!L98)</f>
        <v>0</v>
      </c>
      <c r="M98" s="49">
        <f>AVERAGE('02.08 Koboko-Yumbe-24h'!M98,'03.08 Koboko-Yumbe-24h'!M98)</f>
        <v>1.5</v>
      </c>
      <c r="N98" s="49">
        <f>AVERAGE('02.08 Koboko-Yumbe-24h'!N98,'03.08 Koboko-Yumbe-24h'!N98)</f>
        <v>0</v>
      </c>
      <c r="O98" s="15">
        <f t="shared" si="35"/>
        <v>1</v>
      </c>
      <c r="P98" s="15">
        <f t="shared" si="36"/>
        <v>2.5</v>
      </c>
      <c r="R98" s="8"/>
      <c r="T98"/>
    </row>
    <row r="99" spans="2:20" ht="23.1" customHeight="1" x14ac:dyDescent="0.25">
      <c r="B99" s="23" t="s">
        <v>139</v>
      </c>
      <c r="C99" s="49">
        <f>AVERAGE('02.08 Koboko-Yumbe-24h'!C99,'03.08 Koboko-Yumbe-24h'!C99)</f>
        <v>1.5</v>
      </c>
      <c r="D99" s="49">
        <f>AVERAGE('02.08 Koboko-Yumbe-24h'!D99,'03.08 Koboko-Yumbe-24h'!D99)</f>
        <v>0</v>
      </c>
      <c r="E99" s="49">
        <f>AVERAGE('02.08 Koboko-Yumbe-24h'!E99,'03.08 Koboko-Yumbe-24h'!E99)</f>
        <v>0</v>
      </c>
      <c r="F99" s="49">
        <f>AVERAGE('02.08 Koboko-Yumbe-24h'!F99,'03.08 Koboko-Yumbe-24h'!F99)</f>
        <v>0</v>
      </c>
      <c r="G99" s="49">
        <f>AVERAGE('02.08 Koboko-Yumbe-24h'!G99,'03.08 Koboko-Yumbe-24h'!G99)</f>
        <v>0</v>
      </c>
      <c r="H99" s="49">
        <f>AVERAGE('02.08 Koboko-Yumbe-24h'!H99,'03.08 Koboko-Yumbe-24h'!H99)</f>
        <v>0</v>
      </c>
      <c r="I99" s="49">
        <f>AVERAGE('02.08 Koboko-Yumbe-24h'!I99,'03.08 Koboko-Yumbe-24h'!I99)</f>
        <v>0</v>
      </c>
      <c r="J99" s="49">
        <f>AVERAGE('02.08 Koboko-Yumbe-24h'!J99,'03.08 Koboko-Yumbe-24h'!J99)</f>
        <v>0</v>
      </c>
      <c r="K99" s="49">
        <f>AVERAGE('02.08 Koboko-Yumbe-24h'!K99,'03.08 Koboko-Yumbe-24h'!K99)</f>
        <v>0</v>
      </c>
      <c r="L99" s="49">
        <f>AVERAGE('02.08 Koboko-Yumbe-24h'!L99,'03.08 Koboko-Yumbe-24h'!L99)</f>
        <v>0</v>
      </c>
      <c r="M99" s="49">
        <f>AVERAGE('02.08 Koboko-Yumbe-24h'!M99,'03.08 Koboko-Yumbe-24h'!M99)</f>
        <v>0.5</v>
      </c>
      <c r="N99" s="49">
        <f>AVERAGE('02.08 Koboko-Yumbe-24h'!N99,'03.08 Koboko-Yumbe-24h'!N99)</f>
        <v>0</v>
      </c>
      <c r="O99" s="15">
        <f t="shared" si="35"/>
        <v>1.5</v>
      </c>
      <c r="P99" s="15">
        <f t="shared" si="36"/>
        <v>2</v>
      </c>
      <c r="R99" s="8"/>
      <c r="T99"/>
    </row>
    <row r="100" spans="2:20" ht="23.1" customHeight="1" x14ac:dyDescent="0.25">
      <c r="B100" s="25" t="s">
        <v>140</v>
      </c>
      <c r="C100" s="49">
        <f>AVERAGE('02.08 Koboko-Yumbe-24h'!C100,'03.08 Koboko-Yumbe-24h'!C100)</f>
        <v>0</v>
      </c>
      <c r="D100" s="49">
        <f>AVERAGE('02.08 Koboko-Yumbe-24h'!D100,'03.08 Koboko-Yumbe-24h'!D100)</f>
        <v>0</v>
      </c>
      <c r="E100" s="49">
        <f>AVERAGE('02.08 Koboko-Yumbe-24h'!E100,'03.08 Koboko-Yumbe-24h'!E100)</f>
        <v>0</v>
      </c>
      <c r="F100" s="49">
        <f>AVERAGE('02.08 Koboko-Yumbe-24h'!F100,'03.08 Koboko-Yumbe-24h'!F100)</f>
        <v>0</v>
      </c>
      <c r="G100" s="49">
        <f>AVERAGE('02.08 Koboko-Yumbe-24h'!G100,'03.08 Koboko-Yumbe-24h'!G100)</f>
        <v>1</v>
      </c>
      <c r="H100" s="49">
        <f>AVERAGE('02.08 Koboko-Yumbe-24h'!H100,'03.08 Koboko-Yumbe-24h'!H100)</f>
        <v>0</v>
      </c>
      <c r="I100" s="49">
        <f>AVERAGE('02.08 Koboko-Yumbe-24h'!I100,'03.08 Koboko-Yumbe-24h'!I100)</f>
        <v>0</v>
      </c>
      <c r="J100" s="49">
        <f>AVERAGE('02.08 Koboko-Yumbe-24h'!J100,'03.08 Koboko-Yumbe-24h'!J100)</f>
        <v>0</v>
      </c>
      <c r="K100" s="49">
        <f>AVERAGE('02.08 Koboko-Yumbe-24h'!K100,'03.08 Koboko-Yumbe-24h'!K100)</f>
        <v>0</v>
      </c>
      <c r="L100" s="49">
        <f>AVERAGE('02.08 Koboko-Yumbe-24h'!L100,'03.08 Koboko-Yumbe-24h'!L100)</f>
        <v>0</v>
      </c>
      <c r="M100" s="49">
        <f>AVERAGE('02.08 Koboko-Yumbe-24h'!M100,'03.08 Koboko-Yumbe-24h'!M100)</f>
        <v>1</v>
      </c>
      <c r="N100" s="49">
        <f>AVERAGE('02.08 Koboko-Yumbe-24h'!N100,'03.08 Koboko-Yumbe-24h'!N100)</f>
        <v>0</v>
      </c>
      <c r="O100" s="15">
        <f t="shared" si="35"/>
        <v>1</v>
      </c>
      <c r="P100" s="15">
        <f t="shared" si="36"/>
        <v>2</v>
      </c>
      <c r="R100" s="8"/>
      <c r="T100"/>
    </row>
    <row r="101" spans="2:20" ht="23.1" customHeight="1" x14ac:dyDescent="0.25">
      <c r="B101" s="23" t="s">
        <v>141</v>
      </c>
      <c r="C101" s="49">
        <f>AVERAGE('02.08 Koboko-Yumbe-24h'!C101,'03.08 Koboko-Yumbe-24h'!C101)</f>
        <v>1.5</v>
      </c>
      <c r="D101" s="49">
        <f>AVERAGE('02.08 Koboko-Yumbe-24h'!D101,'03.08 Koboko-Yumbe-24h'!D101)</f>
        <v>0</v>
      </c>
      <c r="E101" s="49">
        <f>AVERAGE('02.08 Koboko-Yumbe-24h'!E101,'03.08 Koboko-Yumbe-24h'!E101)</f>
        <v>0.5</v>
      </c>
      <c r="F101" s="49">
        <f>AVERAGE('02.08 Koboko-Yumbe-24h'!F101,'03.08 Koboko-Yumbe-24h'!F101)</f>
        <v>0</v>
      </c>
      <c r="G101" s="49">
        <f>AVERAGE('02.08 Koboko-Yumbe-24h'!G101,'03.08 Koboko-Yumbe-24h'!G101)</f>
        <v>0</v>
      </c>
      <c r="H101" s="49">
        <f>AVERAGE('02.08 Koboko-Yumbe-24h'!H101,'03.08 Koboko-Yumbe-24h'!H101)</f>
        <v>0.5</v>
      </c>
      <c r="I101" s="49">
        <f>AVERAGE('02.08 Koboko-Yumbe-24h'!I101,'03.08 Koboko-Yumbe-24h'!I101)</f>
        <v>0</v>
      </c>
      <c r="J101" s="49">
        <f>AVERAGE('02.08 Koboko-Yumbe-24h'!J101,'03.08 Koboko-Yumbe-24h'!J101)</f>
        <v>0</v>
      </c>
      <c r="K101" s="49">
        <f>AVERAGE('02.08 Koboko-Yumbe-24h'!K101,'03.08 Koboko-Yumbe-24h'!K101)</f>
        <v>0</v>
      </c>
      <c r="L101" s="49">
        <f>AVERAGE('02.08 Koboko-Yumbe-24h'!L101,'03.08 Koboko-Yumbe-24h'!L101)</f>
        <v>0</v>
      </c>
      <c r="M101" s="49">
        <f>AVERAGE('02.08 Koboko-Yumbe-24h'!M101,'03.08 Koboko-Yumbe-24h'!M101)</f>
        <v>0</v>
      </c>
      <c r="N101" s="49">
        <f>AVERAGE('02.08 Koboko-Yumbe-24h'!N101,'03.08 Koboko-Yumbe-24h'!N101)</f>
        <v>0</v>
      </c>
      <c r="O101" s="15">
        <f t="shared" si="35"/>
        <v>2.5</v>
      </c>
      <c r="P101" s="15">
        <f t="shared" si="36"/>
        <v>2.5</v>
      </c>
      <c r="R101" s="8"/>
      <c r="T101"/>
    </row>
    <row r="102" spans="2:20" ht="23.1" customHeight="1" x14ac:dyDescent="0.25">
      <c r="B102" s="24" t="s">
        <v>142</v>
      </c>
      <c r="C102" s="49">
        <f>AVERAGE('02.08 Koboko-Yumbe-24h'!C102,'03.08 Koboko-Yumbe-24h'!C102)</f>
        <v>1</v>
      </c>
      <c r="D102" s="49">
        <f>AVERAGE('02.08 Koboko-Yumbe-24h'!D102,'03.08 Koboko-Yumbe-24h'!D102)</f>
        <v>0</v>
      </c>
      <c r="E102" s="49">
        <f>AVERAGE('02.08 Koboko-Yumbe-24h'!E102,'03.08 Koboko-Yumbe-24h'!E102)</f>
        <v>0</v>
      </c>
      <c r="F102" s="49">
        <f>AVERAGE('02.08 Koboko-Yumbe-24h'!F102,'03.08 Koboko-Yumbe-24h'!F102)</f>
        <v>0</v>
      </c>
      <c r="G102" s="49">
        <f>AVERAGE('02.08 Koboko-Yumbe-24h'!G102,'03.08 Koboko-Yumbe-24h'!G102)</f>
        <v>0</v>
      </c>
      <c r="H102" s="49">
        <f>AVERAGE('02.08 Koboko-Yumbe-24h'!H102,'03.08 Koboko-Yumbe-24h'!H102)</f>
        <v>0.5</v>
      </c>
      <c r="I102" s="49">
        <f>AVERAGE('02.08 Koboko-Yumbe-24h'!I102,'03.08 Koboko-Yumbe-24h'!I102)</f>
        <v>0.5</v>
      </c>
      <c r="J102" s="49">
        <f>AVERAGE('02.08 Koboko-Yumbe-24h'!J102,'03.08 Koboko-Yumbe-24h'!J102)</f>
        <v>0</v>
      </c>
      <c r="K102" s="49">
        <f>AVERAGE('02.08 Koboko-Yumbe-24h'!K102,'03.08 Koboko-Yumbe-24h'!K102)</f>
        <v>0</v>
      </c>
      <c r="L102" s="49">
        <f>AVERAGE('02.08 Koboko-Yumbe-24h'!L102,'03.08 Koboko-Yumbe-24h'!L102)</f>
        <v>0</v>
      </c>
      <c r="M102" s="49">
        <f>AVERAGE('02.08 Koboko-Yumbe-24h'!M102,'03.08 Koboko-Yumbe-24h'!M102)</f>
        <v>0</v>
      </c>
      <c r="N102" s="49">
        <f>AVERAGE('02.08 Koboko-Yumbe-24h'!N102,'03.08 Koboko-Yumbe-24h'!N102)</f>
        <v>0</v>
      </c>
      <c r="O102" s="15">
        <f t="shared" si="35"/>
        <v>2</v>
      </c>
      <c r="P102" s="15">
        <f t="shared" si="36"/>
        <v>2</v>
      </c>
      <c r="R102" s="8"/>
      <c r="T102"/>
    </row>
    <row r="103" spans="2:20" ht="23.1" customHeight="1" x14ac:dyDescent="0.25">
      <c r="B103" s="23" t="s">
        <v>143</v>
      </c>
      <c r="C103" s="49">
        <f>AVERAGE('02.08 Koboko-Yumbe-24h'!C103,'03.08 Koboko-Yumbe-24h'!C103)</f>
        <v>0.5</v>
      </c>
      <c r="D103" s="49">
        <f>AVERAGE('02.08 Koboko-Yumbe-24h'!D103,'03.08 Koboko-Yumbe-24h'!D103)</f>
        <v>0</v>
      </c>
      <c r="E103" s="49">
        <f>AVERAGE('02.08 Koboko-Yumbe-24h'!E103,'03.08 Koboko-Yumbe-24h'!E103)</f>
        <v>0.5</v>
      </c>
      <c r="F103" s="49">
        <f>AVERAGE('02.08 Koboko-Yumbe-24h'!F103,'03.08 Koboko-Yumbe-24h'!F103)</f>
        <v>0</v>
      </c>
      <c r="G103" s="49">
        <f>AVERAGE('02.08 Koboko-Yumbe-24h'!G103,'03.08 Koboko-Yumbe-24h'!G103)</f>
        <v>0</v>
      </c>
      <c r="H103" s="49">
        <f>AVERAGE('02.08 Koboko-Yumbe-24h'!H103,'03.08 Koboko-Yumbe-24h'!H103)</f>
        <v>0.5</v>
      </c>
      <c r="I103" s="49">
        <f>AVERAGE('02.08 Koboko-Yumbe-24h'!I103,'03.08 Koboko-Yumbe-24h'!I103)</f>
        <v>0</v>
      </c>
      <c r="J103" s="49">
        <f>AVERAGE('02.08 Koboko-Yumbe-24h'!J103,'03.08 Koboko-Yumbe-24h'!J103)</f>
        <v>0</v>
      </c>
      <c r="K103" s="49">
        <f>AVERAGE('02.08 Koboko-Yumbe-24h'!K103,'03.08 Koboko-Yumbe-24h'!K103)</f>
        <v>0</v>
      </c>
      <c r="L103" s="49">
        <f>AVERAGE('02.08 Koboko-Yumbe-24h'!L103,'03.08 Koboko-Yumbe-24h'!L103)</f>
        <v>0</v>
      </c>
      <c r="M103" s="49">
        <f>AVERAGE('02.08 Koboko-Yumbe-24h'!M103,'03.08 Koboko-Yumbe-24h'!M103)</f>
        <v>0.5</v>
      </c>
      <c r="N103" s="49">
        <f>AVERAGE('02.08 Koboko-Yumbe-24h'!N103,'03.08 Koboko-Yumbe-24h'!N103)</f>
        <v>0</v>
      </c>
      <c r="O103" s="15">
        <f t="shared" si="35"/>
        <v>1.5</v>
      </c>
      <c r="P103" s="15">
        <f t="shared" si="36"/>
        <v>2</v>
      </c>
      <c r="R103" s="8"/>
      <c r="T103"/>
    </row>
    <row r="104" spans="2:20" ht="23.1" customHeight="1" x14ac:dyDescent="0.25">
      <c r="B104" s="25" t="s">
        <v>144</v>
      </c>
      <c r="C104" s="49">
        <f>AVERAGE('02.08 Koboko-Yumbe-24h'!C104,'03.08 Koboko-Yumbe-24h'!C104)</f>
        <v>3.5</v>
      </c>
      <c r="D104" s="49">
        <f>AVERAGE('02.08 Koboko-Yumbe-24h'!D104,'03.08 Koboko-Yumbe-24h'!D104)</f>
        <v>0</v>
      </c>
      <c r="E104" s="49">
        <f>AVERAGE('02.08 Koboko-Yumbe-24h'!E104,'03.08 Koboko-Yumbe-24h'!E104)</f>
        <v>0</v>
      </c>
      <c r="F104" s="49">
        <f>AVERAGE('02.08 Koboko-Yumbe-24h'!F104,'03.08 Koboko-Yumbe-24h'!F104)</f>
        <v>0</v>
      </c>
      <c r="G104" s="49">
        <f>AVERAGE('02.08 Koboko-Yumbe-24h'!G104,'03.08 Koboko-Yumbe-24h'!G104)</f>
        <v>0</v>
      </c>
      <c r="H104" s="49">
        <f>AVERAGE('02.08 Koboko-Yumbe-24h'!H104,'03.08 Koboko-Yumbe-24h'!H104)</f>
        <v>0.5</v>
      </c>
      <c r="I104" s="49">
        <f>AVERAGE('02.08 Koboko-Yumbe-24h'!I104,'03.08 Koboko-Yumbe-24h'!I104)</f>
        <v>0</v>
      </c>
      <c r="J104" s="49">
        <f>AVERAGE('02.08 Koboko-Yumbe-24h'!J104,'03.08 Koboko-Yumbe-24h'!J104)</f>
        <v>0</v>
      </c>
      <c r="K104" s="49">
        <f>AVERAGE('02.08 Koboko-Yumbe-24h'!K104,'03.08 Koboko-Yumbe-24h'!K104)</f>
        <v>0</v>
      </c>
      <c r="L104" s="49">
        <f>AVERAGE('02.08 Koboko-Yumbe-24h'!L104,'03.08 Koboko-Yumbe-24h'!L104)</f>
        <v>0.5</v>
      </c>
      <c r="M104" s="49">
        <f>AVERAGE('02.08 Koboko-Yumbe-24h'!M104,'03.08 Koboko-Yumbe-24h'!M104)</f>
        <v>0.5</v>
      </c>
      <c r="N104" s="49">
        <f>AVERAGE('02.08 Koboko-Yumbe-24h'!N104,'03.08 Koboko-Yumbe-24h'!N104)</f>
        <v>0</v>
      </c>
      <c r="O104" s="15">
        <f t="shared" si="35"/>
        <v>4.5</v>
      </c>
      <c r="P104" s="15">
        <f t="shared" si="36"/>
        <v>5</v>
      </c>
      <c r="R104" s="8"/>
      <c r="T104"/>
    </row>
    <row r="105" spans="2:20" ht="23.1" customHeight="1" x14ac:dyDescent="0.25">
      <c r="B105" s="23" t="s">
        <v>145</v>
      </c>
      <c r="C105" s="49">
        <f>AVERAGE('02.08 Koboko-Yumbe-24h'!C105,'03.08 Koboko-Yumbe-24h'!C105)</f>
        <v>0.5</v>
      </c>
      <c r="D105" s="49">
        <f>AVERAGE('02.08 Koboko-Yumbe-24h'!D105,'03.08 Koboko-Yumbe-24h'!D105)</f>
        <v>0</v>
      </c>
      <c r="E105" s="49">
        <f>AVERAGE('02.08 Koboko-Yumbe-24h'!E105,'03.08 Koboko-Yumbe-24h'!E105)</f>
        <v>1.5</v>
      </c>
      <c r="F105" s="49">
        <f>AVERAGE('02.08 Koboko-Yumbe-24h'!F105,'03.08 Koboko-Yumbe-24h'!F105)</f>
        <v>0</v>
      </c>
      <c r="G105" s="49">
        <f>AVERAGE('02.08 Koboko-Yumbe-24h'!G105,'03.08 Koboko-Yumbe-24h'!G105)</f>
        <v>0</v>
      </c>
      <c r="H105" s="49">
        <f>AVERAGE('02.08 Koboko-Yumbe-24h'!H105,'03.08 Koboko-Yumbe-24h'!H105)</f>
        <v>0.5</v>
      </c>
      <c r="I105" s="49">
        <f>AVERAGE('02.08 Koboko-Yumbe-24h'!I105,'03.08 Koboko-Yumbe-24h'!I105)</f>
        <v>0.5</v>
      </c>
      <c r="J105" s="49">
        <f>AVERAGE('02.08 Koboko-Yumbe-24h'!J105,'03.08 Koboko-Yumbe-24h'!J105)</f>
        <v>0</v>
      </c>
      <c r="K105" s="49">
        <f>AVERAGE('02.08 Koboko-Yumbe-24h'!K105,'03.08 Koboko-Yumbe-24h'!K105)</f>
        <v>0</v>
      </c>
      <c r="L105" s="49">
        <f>AVERAGE('02.08 Koboko-Yumbe-24h'!L105,'03.08 Koboko-Yumbe-24h'!L105)</f>
        <v>0</v>
      </c>
      <c r="M105" s="49">
        <f>AVERAGE('02.08 Koboko-Yumbe-24h'!M105,'03.08 Koboko-Yumbe-24h'!M105)</f>
        <v>2.5</v>
      </c>
      <c r="N105" s="49">
        <f>AVERAGE('02.08 Koboko-Yumbe-24h'!N105,'03.08 Koboko-Yumbe-24h'!N105)</f>
        <v>0.5</v>
      </c>
      <c r="O105" s="15">
        <f t="shared" si="35"/>
        <v>3.5</v>
      </c>
      <c r="P105" s="15">
        <f t="shared" si="36"/>
        <v>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121.71428571428568</v>
      </c>
      <c r="D106" s="16">
        <f t="shared" ref="D106:P106" si="37">SUM(D10:D105)</f>
        <v>19.428571428571431</v>
      </c>
      <c r="E106" s="16">
        <f t="shared" si="37"/>
        <v>66.285714285714306</v>
      </c>
      <c r="F106" s="16">
        <f t="shared" si="37"/>
        <v>18.428571428571431</v>
      </c>
      <c r="G106" s="16">
        <f t="shared" si="37"/>
        <v>4.0714285714285712</v>
      </c>
      <c r="H106" s="16">
        <f t="shared" si="37"/>
        <v>7.0714285714285703</v>
      </c>
      <c r="I106" s="16">
        <f t="shared" si="37"/>
        <v>21.142857142857139</v>
      </c>
      <c r="J106" s="16">
        <f t="shared" si="37"/>
        <v>7.5714285714285738</v>
      </c>
      <c r="K106" s="16">
        <f t="shared" si="37"/>
        <v>2.5714285714285712</v>
      </c>
      <c r="L106" s="16">
        <f t="shared" si="37"/>
        <v>4.9285714285714279</v>
      </c>
      <c r="M106" s="16">
        <f t="shared" si="37"/>
        <v>497.07142857142861</v>
      </c>
      <c r="N106" s="16">
        <f t="shared" si="37"/>
        <v>1.4285714285714286</v>
      </c>
      <c r="O106" s="16">
        <f t="shared" si="37"/>
        <v>274.64285714285722</v>
      </c>
      <c r="P106" s="16">
        <f t="shared" si="37"/>
        <v>771.71428571428578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0.15771936319881519</v>
      </c>
      <c r="D107" s="43">
        <f t="shared" si="38"/>
        <v>2.5175860792299148E-2</v>
      </c>
      <c r="E107" s="43">
        <f t="shared" si="38"/>
        <v>8.5894113291373586E-2</v>
      </c>
      <c r="F107" s="43">
        <f t="shared" si="38"/>
        <v>2.3880044427989633E-2</v>
      </c>
      <c r="G107" s="43">
        <f t="shared" si="38"/>
        <v>5.2758237689744534E-3</v>
      </c>
      <c r="H107" s="43">
        <f t="shared" si="38"/>
        <v>9.163272861902997E-3</v>
      </c>
      <c r="I107" s="43">
        <f t="shared" si="38"/>
        <v>2.7397260273972594E-2</v>
      </c>
      <c r="J107" s="43">
        <f t="shared" si="38"/>
        <v>9.8111810440577579E-3</v>
      </c>
      <c r="K107" s="43">
        <f t="shared" si="38"/>
        <v>3.3320992225101807E-3</v>
      </c>
      <c r="L107" s="43">
        <f t="shared" si="38"/>
        <v>6.3865235098111801E-3</v>
      </c>
      <c r="M107" s="43">
        <f t="shared" si="38"/>
        <v>0.64411329137356532</v>
      </c>
      <c r="N107" s="43">
        <f t="shared" si="38"/>
        <v>1.8511662347278784E-3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0.44317295188556544</v>
      </c>
      <c r="D108" s="44">
        <f t="shared" ref="D108:N108" si="39">D106/$O$106</f>
        <v>7.0741222366710002E-2</v>
      </c>
      <c r="E108" s="44">
        <f t="shared" si="39"/>
        <v>0.24135240572171651</v>
      </c>
      <c r="F108" s="44">
        <f t="shared" si="39"/>
        <v>6.7100130039011691E-2</v>
      </c>
      <c r="G108" s="44">
        <f t="shared" si="39"/>
        <v>1.4824447334200255E-2</v>
      </c>
      <c r="H108" s="44">
        <f t="shared" si="39"/>
        <v>2.5747724317295176E-2</v>
      </c>
      <c r="I108" s="44">
        <f t="shared" si="39"/>
        <v>7.6983094928478504E-2</v>
      </c>
      <c r="J108" s="44">
        <f t="shared" si="39"/>
        <v>2.7568270481144345E-2</v>
      </c>
      <c r="K108" s="44">
        <f t="shared" si="39"/>
        <v>9.3628088426527915E-3</v>
      </c>
      <c r="L108" s="44">
        <f t="shared" si="39"/>
        <v>1.7945383615084517E-2</v>
      </c>
      <c r="M108" s="44"/>
      <c r="N108" s="44">
        <f t="shared" si="39"/>
        <v>5.2015604681404405E-3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Q85" zoomScale="60" workbookViewId="0">
      <selection activeCell="AD57" sqref="AD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'06.08 Yumbe-Koboko'!C3:G3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7" t="s">
        <v>163</v>
      </c>
      <c r="E5" s="68"/>
      <c r="F5" s="41" t="s">
        <v>1</v>
      </c>
      <c r="G5" s="65" t="str">
        <f>'06.08 Yumbe-Koboko'!G5:H5</f>
        <v>Umbachi</v>
      </c>
      <c r="H5" s="66"/>
      <c r="I5" s="14"/>
      <c r="J5" s="2" t="s">
        <v>5</v>
      </c>
      <c r="K5" s="65" t="str">
        <f>'06.08 Yumbe-Koboko'!K5:L5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'06.08 Yumbe-Koboko'!D6:E6</f>
        <v>Yumbe</v>
      </c>
      <c r="E6" s="66"/>
      <c r="F6" s="2" t="s">
        <v>2</v>
      </c>
      <c r="G6" s="65" t="str">
        <f>'06.08 Yumbe-Koboko'!G6:H6</f>
        <v>Koboko</v>
      </c>
      <c r="H6" s="66"/>
      <c r="J6" s="2" t="s">
        <v>21</v>
      </c>
      <c r="K6" s="65" t="str">
        <f>'06.08 Yumbe-Koboko'!K6:L6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AVERAGE('31.07 Yumbe-Koboko'!C10,'01.08 Yumbe-Koboko'!C10,'04.08 Yumbe-Koboko'!C10,'05.08 Yumbe-Koboko'!C10,'02.08 Yumbe-Koboko-24h'!C10,'03.08 Yumbe-Koboko-24h'!C10,'06.08 Yumbe-Koboko'!C10)</f>
        <v>1</v>
      </c>
      <c r="D10" s="49">
        <f>AVERAGE('31.07 Yumbe-Koboko'!D10,'01.08 Yumbe-Koboko'!D10,'04.08 Yumbe-Koboko'!D10,'05.08 Yumbe-Koboko'!D10,'02.08 Yumbe-Koboko-24h'!D10,'03.08 Yumbe-Koboko-24h'!D10,'06.08 Yumbe-Koboko'!D10)</f>
        <v>0.14285714285714285</v>
      </c>
      <c r="E10" s="49">
        <f>AVERAGE('31.07 Yumbe-Koboko'!E10,'01.08 Yumbe-Koboko'!E10,'04.08 Yumbe-Koboko'!E10,'05.08 Yumbe-Koboko'!E10,'02.08 Yumbe-Koboko-24h'!E10,'03.08 Yumbe-Koboko-24h'!E10,'06.08 Yumbe-Koboko'!E10)</f>
        <v>0.42857142857142855</v>
      </c>
      <c r="F10" s="49">
        <f>AVERAGE('31.07 Yumbe-Koboko'!F10,'01.08 Yumbe-Koboko'!F10,'04.08 Yumbe-Koboko'!F10,'05.08 Yumbe-Koboko'!F10,'02.08 Yumbe-Koboko-24h'!F10,'03.08 Yumbe-Koboko-24h'!F10,'06.08 Yumbe-Koboko'!F10)</f>
        <v>0.2857142857142857</v>
      </c>
      <c r="G10" s="49">
        <f>AVERAGE('31.07 Yumbe-Koboko'!G10,'01.08 Yumbe-Koboko'!G10,'04.08 Yumbe-Koboko'!G10,'05.08 Yumbe-Koboko'!G10,'02.08 Yumbe-Koboko-24h'!G10,'03.08 Yumbe-Koboko-24h'!G10,'06.08 Yumbe-Koboko'!G10)</f>
        <v>0</v>
      </c>
      <c r="H10" s="49">
        <f>AVERAGE('31.07 Yumbe-Koboko'!H10,'01.08 Yumbe-Koboko'!H10,'04.08 Yumbe-Koboko'!H10,'05.08 Yumbe-Koboko'!H10,'02.08 Yumbe-Koboko-24h'!H10,'03.08 Yumbe-Koboko-24h'!H10,'06.08 Yumbe-Koboko'!H10)</f>
        <v>0.5714285714285714</v>
      </c>
      <c r="I10" s="49">
        <f>AVERAGE('31.07 Yumbe-Koboko'!I10,'01.08 Yumbe-Koboko'!I10,'04.08 Yumbe-Koboko'!I10,'05.08 Yumbe-Koboko'!I10,'02.08 Yumbe-Koboko-24h'!I10,'03.08 Yumbe-Koboko-24h'!I10,'06.08 Yumbe-Koboko'!I10)</f>
        <v>0.2857142857142857</v>
      </c>
      <c r="J10" s="49">
        <f>AVERAGE('31.07 Yumbe-Koboko'!J10,'01.08 Yumbe-Koboko'!J10,'04.08 Yumbe-Koboko'!J10,'05.08 Yumbe-Koboko'!J10,'02.08 Yumbe-Koboko-24h'!J10,'03.08 Yumbe-Koboko-24h'!J10,'06.08 Yumbe-Koboko'!J10)</f>
        <v>0.14285714285714285</v>
      </c>
      <c r="K10" s="49">
        <f>AVERAGE('31.07 Yumbe-Koboko'!K10,'01.08 Yumbe-Koboko'!K10,'04.08 Yumbe-Koboko'!K10,'05.08 Yumbe-Koboko'!K10,'02.08 Yumbe-Koboko-24h'!K10,'03.08 Yumbe-Koboko-24h'!K10,'06.08 Yumbe-Koboko'!K10)</f>
        <v>0</v>
      </c>
      <c r="L10" s="49">
        <f>AVERAGE('31.07 Yumbe-Koboko'!L10,'01.08 Yumbe-Koboko'!L10,'04.08 Yumbe-Koboko'!L10,'05.08 Yumbe-Koboko'!L10,'02.08 Yumbe-Koboko-24h'!L10,'03.08 Yumbe-Koboko-24h'!L10,'06.08 Yumbe-Koboko'!L10)</f>
        <v>0</v>
      </c>
      <c r="M10" s="49">
        <f>AVERAGE('31.07 Yumbe-Koboko'!M10,'01.08 Yumbe-Koboko'!M10,'04.08 Yumbe-Koboko'!M10,'05.08 Yumbe-Koboko'!M10,'02.08 Yumbe-Koboko-24h'!M10,'03.08 Yumbe-Koboko-24h'!M10,'06.08 Yumbe-Koboko'!M10)</f>
        <v>5.8571428571428568</v>
      </c>
      <c r="N10" s="49">
        <f>AVERAGE('31.07 Yumbe-Koboko'!N10,'01.08 Yumbe-Koboko'!N10,'04.08 Yumbe-Koboko'!N10,'05.08 Yumbe-Koboko'!N10,'02.08 Yumbe-Koboko-24h'!N10,'03.08 Yumbe-Koboko-24h'!N10,'06.08 Yumbe-Koboko'!N10)</f>
        <v>0</v>
      </c>
      <c r="O10" s="15">
        <f t="shared" ref="O10:O73" si="0">SUM(C10:L10,N10)</f>
        <v>2.8571428571428572</v>
      </c>
      <c r="P10" s="15">
        <f t="shared" ref="P10:P73" si="1">SUM(C10:N10)</f>
        <v>8.7142857142857135</v>
      </c>
      <c r="R10" s="1" t="s">
        <v>6</v>
      </c>
      <c r="S10" s="17">
        <f t="shared" ref="S10:AF10" si="2">SUM(C10:C13)</f>
        <v>5.2857142857142856</v>
      </c>
      <c r="T10" s="17">
        <f t="shared" si="2"/>
        <v>0.14285714285714285</v>
      </c>
      <c r="U10" s="17">
        <f t="shared" si="2"/>
        <v>2.4285714285714284</v>
      </c>
      <c r="V10" s="17">
        <f t="shared" si="2"/>
        <v>0.42857142857142855</v>
      </c>
      <c r="W10" s="17">
        <f t="shared" si="2"/>
        <v>0.42857142857142855</v>
      </c>
      <c r="X10" s="17">
        <f t="shared" si="2"/>
        <v>0.71428571428571419</v>
      </c>
      <c r="Y10" s="17">
        <f t="shared" si="2"/>
        <v>0.5714285714285714</v>
      </c>
      <c r="Z10" s="17">
        <f t="shared" si="2"/>
        <v>0.14285714285714285</v>
      </c>
      <c r="AA10" s="17">
        <f t="shared" si="2"/>
        <v>0.14285714285714285</v>
      </c>
      <c r="AB10" s="17">
        <f t="shared" si="2"/>
        <v>0</v>
      </c>
      <c r="AC10" s="17">
        <f t="shared" si="2"/>
        <v>31.571428571428569</v>
      </c>
      <c r="AD10" s="17">
        <f t="shared" si="2"/>
        <v>0</v>
      </c>
      <c r="AE10" s="31">
        <f t="shared" si="2"/>
        <v>10.285714285714285</v>
      </c>
      <c r="AF10" s="31">
        <f t="shared" si="2"/>
        <v>41.857142857142861</v>
      </c>
    </row>
    <row r="11" spans="2:32" s="6" customFormat="1" ht="23.1" customHeight="1" x14ac:dyDescent="0.25">
      <c r="B11" s="23" t="s">
        <v>38</v>
      </c>
      <c r="C11" s="49">
        <f>AVERAGE('31.07 Yumbe-Koboko'!C11,'01.08 Yumbe-Koboko'!C11,'04.08 Yumbe-Koboko'!C11,'05.08 Yumbe-Koboko'!C11,'02.08 Yumbe-Koboko-24h'!C11,'03.08 Yumbe-Koboko-24h'!C11,'06.08 Yumbe-Koboko'!C11)</f>
        <v>1.2857142857142858</v>
      </c>
      <c r="D11" s="49">
        <f>AVERAGE('31.07 Yumbe-Koboko'!D11,'01.08 Yumbe-Koboko'!D11,'04.08 Yumbe-Koboko'!D11,'05.08 Yumbe-Koboko'!D11,'02.08 Yumbe-Koboko-24h'!D11,'03.08 Yumbe-Koboko-24h'!D11,'06.08 Yumbe-Koboko'!D11)</f>
        <v>0</v>
      </c>
      <c r="E11" s="49">
        <f>AVERAGE('31.07 Yumbe-Koboko'!E11,'01.08 Yumbe-Koboko'!E11,'04.08 Yumbe-Koboko'!E11,'05.08 Yumbe-Koboko'!E11,'02.08 Yumbe-Koboko-24h'!E11,'03.08 Yumbe-Koboko-24h'!E11,'06.08 Yumbe-Koboko'!E11)</f>
        <v>0.5714285714285714</v>
      </c>
      <c r="F11" s="49">
        <f>AVERAGE('31.07 Yumbe-Koboko'!F11,'01.08 Yumbe-Koboko'!F11,'04.08 Yumbe-Koboko'!F11,'05.08 Yumbe-Koboko'!F11,'02.08 Yumbe-Koboko-24h'!F11,'03.08 Yumbe-Koboko-24h'!F11,'06.08 Yumbe-Koboko'!F11)</f>
        <v>0</v>
      </c>
      <c r="G11" s="49">
        <f>AVERAGE('31.07 Yumbe-Koboko'!G11,'01.08 Yumbe-Koboko'!G11,'04.08 Yumbe-Koboko'!G11,'05.08 Yumbe-Koboko'!G11,'02.08 Yumbe-Koboko-24h'!G11,'03.08 Yumbe-Koboko-24h'!G11,'06.08 Yumbe-Koboko'!G11)</f>
        <v>0.14285714285714285</v>
      </c>
      <c r="H11" s="49">
        <f>AVERAGE('31.07 Yumbe-Koboko'!H11,'01.08 Yumbe-Koboko'!H11,'04.08 Yumbe-Koboko'!H11,'05.08 Yumbe-Koboko'!H11,'02.08 Yumbe-Koboko-24h'!H11,'03.08 Yumbe-Koboko-24h'!H11,'06.08 Yumbe-Koboko'!H11)</f>
        <v>0</v>
      </c>
      <c r="I11" s="49">
        <f>AVERAGE('31.07 Yumbe-Koboko'!I11,'01.08 Yumbe-Koboko'!I11,'04.08 Yumbe-Koboko'!I11,'05.08 Yumbe-Koboko'!I11,'02.08 Yumbe-Koboko-24h'!I11,'03.08 Yumbe-Koboko-24h'!I11,'06.08 Yumbe-Koboko'!I11)</f>
        <v>0.14285714285714285</v>
      </c>
      <c r="J11" s="49">
        <f>AVERAGE('31.07 Yumbe-Koboko'!J11,'01.08 Yumbe-Koboko'!J11,'04.08 Yumbe-Koboko'!J11,'05.08 Yumbe-Koboko'!J11,'02.08 Yumbe-Koboko-24h'!J11,'03.08 Yumbe-Koboko-24h'!J11,'06.08 Yumbe-Koboko'!J11)</f>
        <v>0</v>
      </c>
      <c r="K11" s="49">
        <f>AVERAGE('31.07 Yumbe-Koboko'!K11,'01.08 Yumbe-Koboko'!K11,'04.08 Yumbe-Koboko'!K11,'05.08 Yumbe-Koboko'!K11,'02.08 Yumbe-Koboko-24h'!K11,'03.08 Yumbe-Koboko-24h'!K11,'06.08 Yumbe-Koboko'!K11)</f>
        <v>0</v>
      </c>
      <c r="L11" s="49">
        <f>AVERAGE('31.07 Yumbe-Koboko'!L11,'01.08 Yumbe-Koboko'!L11,'04.08 Yumbe-Koboko'!L11,'05.08 Yumbe-Koboko'!L11,'02.08 Yumbe-Koboko-24h'!L11,'03.08 Yumbe-Koboko-24h'!L11,'06.08 Yumbe-Koboko'!L11)</f>
        <v>0</v>
      </c>
      <c r="M11" s="49">
        <f>AVERAGE('31.07 Yumbe-Koboko'!M11,'01.08 Yumbe-Koboko'!M11,'04.08 Yumbe-Koboko'!M11,'05.08 Yumbe-Koboko'!M11,'02.08 Yumbe-Koboko-24h'!M11,'03.08 Yumbe-Koboko-24h'!M11,'06.08 Yumbe-Koboko'!M11)</f>
        <v>7.2857142857142856</v>
      </c>
      <c r="N11" s="49">
        <f>AVERAGE('31.07 Yumbe-Koboko'!N11,'01.08 Yumbe-Koboko'!N11,'04.08 Yumbe-Koboko'!N11,'05.08 Yumbe-Koboko'!N11,'02.08 Yumbe-Koboko-24h'!N11,'03.08 Yumbe-Koboko-24h'!N11,'06.08 Yumbe-Koboko'!N11)</f>
        <v>0</v>
      </c>
      <c r="O11" s="15">
        <f t="shared" si="0"/>
        <v>2.1428571428571428</v>
      </c>
      <c r="P11" s="15">
        <f t="shared" si="1"/>
        <v>9.4285714285714288</v>
      </c>
      <c r="R11" s="1" t="s">
        <v>7</v>
      </c>
      <c r="S11" s="17">
        <f t="shared" ref="S11:AF11" si="3">SUM(C14:C17)</f>
        <v>5</v>
      </c>
      <c r="T11" s="17">
        <f t="shared" si="3"/>
        <v>0.42857142857142855</v>
      </c>
      <c r="U11" s="17">
        <f t="shared" si="3"/>
        <v>3.285714285714286</v>
      </c>
      <c r="V11" s="17">
        <f t="shared" si="3"/>
        <v>0.5714285714285714</v>
      </c>
      <c r="W11" s="17">
        <f t="shared" si="3"/>
        <v>0</v>
      </c>
      <c r="X11" s="17">
        <f t="shared" si="3"/>
        <v>0.14285714285714285</v>
      </c>
      <c r="Y11" s="17">
        <f t="shared" si="3"/>
        <v>0.42857142857142855</v>
      </c>
      <c r="Z11" s="17">
        <f t="shared" si="3"/>
        <v>0.14285714285714285</v>
      </c>
      <c r="AA11" s="17">
        <f t="shared" si="3"/>
        <v>0.2857142857142857</v>
      </c>
      <c r="AB11" s="17">
        <f t="shared" si="3"/>
        <v>0</v>
      </c>
      <c r="AC11" s="17">
        <f t="shared" si="3"/>
        <v>38.428571428571431</v>
      </c>
      <c r="AD11" s="17">
        <f t="shared" si="3"/>
        <v>0</v>
      </c>
      <c r="AE11" s="31">
        <f t="shared" si="3"/>
        <v>10.285714285714285</v>
      </c>
      <c r="AF11" s="31">
        <f t="shared" si="3"/>
        <v>48.714285714285715</v>
      </c>
    </row>
    <row r="12" spans="2:32" ht="23.1" customHeight="1" x14ac:dyDescent="0.25">
      <c r="B12" s="23" t="s">
        <v>39</v>
      </c>
      <c r="C12" s="49">
        <f>AVERAGE('31.07 Yumbe-Koboko'!C12,'01.08 Yumbe-Koboko'!C12,'04.08 Yumbe-Koboko'!C12,'05.08 Yumbe-Koboko'!C12,'02.08 Yumbe-Koboko-24h'!C12,'03.08 Yumbe-Koboko-24h'!C12,'06.08 Yumbe-Koboko'!C12)</f>
        <v>1.5714285714285714</v>
      </c>
      <c r="D12" s="49">
        <f>AVERAGE('31.07 Yumbe-Koboko'!D12,'01.08 Yumbe-Koboko'!D12,'04.08 Yumbe-Koboko'!D12,'05.08 Yumbe-Koboko'!D12,'02.08 Yumbe-Koboko-24h'!D12,'03.08 Yumbe-Koboko-24h'!D12,'06.08 Yumbe-Koboko'!D12)</f>
        <v>0</v>
      </c>
      <c r="E12" s="49">
        <f>AVERAGE('31.07 Yumbe-Koboko'!E12,'01.08 Yumbe-Koboko'!E12,'04.08 Yumbe-Koboko'!E12,'05.08 Yumbe-Koboko'!E12,'02.08 Yumbe-Koboko-24h'!E12,'03.08 Yumbe-Koboko-24h'!E12,'06.08 Yumbe-Koboko'!E12)</f>
        <v>1</v>
      </c>
      <c r="F12" s="49">
        <f>AVERAGE('31.07 Yumbe-Koboko'!F12,'01.08 Yumbe-Koboko'!F12,'04.08 Yumbe-Koboko'!F12,'05.08 Yumbe-Koboko'!F12,'02.08 Yumbe-Koboko-24h'!F12,'03.08 Yumbe-Koboko-24h'!F12,'06.08 Yumbe-Koboko'!F12)</f>
        <v>0</v>
      </c>
      <c r="G12" s="49">
        <f>AVERAGE('31.07 Yumbe-Koboko'!G12,'01.08 Yumbe-Koboko'!G12,'04.08 Yumbe-Koboko'!G12,'05.08 Yumbe-Koboko'!G12,'02.08 Yumbe-Koboko-24h'!G12,'03.08 Yumbe-Koboko-24h'!G12,'06.08 Yumbe-Koboko'!G12)</f>
        <v>0.2857142857142857</v>
      </c>
      <c r="H12" s="49">
        <f>AVERAGE('31.07 Yumbe-Koboko'!H12,'01.08 Yumbe-Koboko'!H12,'04.08 Yumbe-Koboko'!H12,'05.08 Yumbe-Koboko'!H12,'02.08 Yumbe-Koboko-24h'!H12,'03.08 Yumbe-Koboko-24h'!H12,'06.08 Yumbe-Koboko'!H12)</f>
        <v>0</v>
      </c>
      <c r="I12" s="49">
        <f>AVERAGE('31.07 Yumbe-Koboko'!I12,'01.08 Yumbe-Koboko'!I12,'04.08 Yumbe-Koboko'!I12,'05.08 Yumbe-Koboko'!I12,'02.08 Yumbe-Koboko-24h'!I12,'03.08 Yumbe-Koboko-24h'!I12,'06.08 Yumbe-Koboko'!I12)</f>
        <v>0</v>
      </c>
      <c r="J12" s="49">
        <f>AVERAGE('31.07 Yumbe-Koboko'!J12,'01.08 Yumbe-Koboko'!J12,'04.08 Yumbe-Koboko'!J12,'05.08 Yumbe-Koboko'!J12,'02.08 Yumbe-Koboko-24h'!J12,'03.08 Yumbe-Koboko-24h'!J12,'06.08 Yumbe-Koboko'!J12)</f>
        <v>0</v>
      </c>
      <c r="K12" s="49">
        <f>AVERAGE('31.07 Yumbe-Koboko'!K12,'01.08 Yumbe-Koboko'!K12,'04.08 Yumbe-Koboko'!K12,'05.08 Yumbe-Koboko'!K12,'02.08 Yumbe-Koboko-24h'!K12,'03.08 Yumbe-Koboko-24h'!K12,'06.08 Yumbe-Koboko'!K12)</f>
        <v>0.14285714285714285</v>
      </c>
      <c r="L12" s="49">
        <f>AVERAGE('31.07 Yumbe-Koboko'!L12,'01.08 Yumbe-Koboko'!L12,'04.08 Yumbe-Koboko'!L12,'05.08 Yumbe-Koboko'!L12,'02.08 Yumbe-Koboko-24h'!L12,'03.08 Yumbe-Koboko-24h'!L12,'06.08 Yumbe-Koboko'!L12)</f>
        <v>0</v>
      </c>
      <c r="M12" s="49">
        <f>AVERAGE('31.07 Yumbe-Koboko'!M12,'01.08 Yumbe-Koboko'!M12,'04.08 Yumbe-Koboko'!M12,'05.08 Yumbe-Koboko'!M12,'02.08 Yumbe-Koboko-24h'!M12,'03.08 Yumbe-Koboko-24h'!M12,'06.08 Yumbe-Koboko'!M12)</f>
        <v>9.1428571428571423</v>
      </c>
      <c r="N12" s="49">
        <f>AVERAGE('31.07 Yumbe-Koboko'!N12,'01.08 Yumbe-Koboko'!N12,'04.08 Yumbe-Koboko'!N12,'05.08 Yumbe-Koboko'!N12,'02.08 Yumbe-Koboko-24h'!N12,'03.08 Yumbe-Koboko-24h'!N12,'06.08 Yumbe-Koboko'!N12)</f>
        <v>0</v>
      </c>
      <c r="O12" s="15">
        <f t="shared" si="0"/>
        <v>2.9999999999999996</v>
      </c>
      <c r="P12" s="15">
        <f t="shared" si="1"/>
        <v>12.142857142857142</v>
      </c>
      <c r="R12" s="1" t="s">
        <v>8</v>
      </c>
      <c r="S12" s="17">
        <f t="shared" ref="S12:AF12" si="4">SUM(C18:C21)</f>
        <v>8.8571428571428577</v>
      </c>
      <c r="T12" s="17">
        <f t="shared" si="4"/>
        <v>0.5714285714285714</v>
      </c>
      <c r="U12" s="17">
        <f t="shared" si="4"/>
        <v>3.2857142857142856</v>
      </c>
      <c r="V12" s="17">
        <f t="shared" si="4"/>
        <v>0.5714285714285714</v>
      </c>
      <c r="W12" s="17">
        <f t="shared" si="4"/>
        <v>0.14285714285714285</v>
      </c>
      <c r="X12" s="17">
        <f t="shared" si="4"/>
        <v>1.1428571428571428</v>
      </c>
      <c r="Y12" s="17">
        <f t="shared" si="4"/>
        <v>0.5714285714285714</v>
      </c>
      <c r="Z12" s="17">
        <f t="shared" si="4"/>
        <v>0</v>
      </c>
      <c r="AA12" s="17">
        <f t="shared" si="4"/>
        <v>0.2857142857142857</v>
      </c>
      <c r="AB12" s="17">
        <f t="shared" si="4"/>
        <v>0</v>
      </c>
      <c r="AC12" s="17">
        <f t="shared" si="4"/>
        <v>39.857142857142854</v>
      </c>
      <c r="AD12" s="17">
        <f t="shared" si="4"/>
        <v>0.14285714285714285</v>
      </c>
      <c r="AE12" s="31">
        <f t="shared" si="4"/>
        <v>15.571428571428571</v>
      </c>
      <c r="AF12" s="31">
        <f t="shared" si="4"/>
        <v>55.428571428571431</v>
      </c>
    </row>
    <row r="13" spans="2:32" ht="23.1" customHeight="1" x14ac:dyDescent="0.25">
      <c r="B13" s="23" t="s">
        <v>40</v>
      </c>
      <c r="C13" s="49">
        <f>AVERAGE('31.07 Yumbe-Koboko'!C13,'01.08 Yumbe-Koboko'!C13,'04.08 Yumbe-Koboko'!C13,'05.08 Yumbe-Koboko'!C13,'02.08 Yumbe-Koboko-24h'!C13,'03.08 Yumbe-Koboko-24h'!C13,'06.08 Yumbe-Koboko'!C13)</f>
        <v>1.4285714285714286</v>
      </c>
      <c r="D13" s="49">
        <f>AVERAGE('31.07 Yumbe-Koboko'!D13,'01.08 Yumbe-Koboko'!D13,'04.08 Yumbe-Koboko'!D13,'05.08 Yumbe-Koboko'!D13,'02.08 Yumbe-Koboko-24h'!D13,'03.08 Yumbe-Koboko-24h'!D13,'06.08 Yumbe-Koboko'!D13)</f>
        <v>0</v>
      </c>
      <c r="E13" s="49">
        <f>AVERAGE('31.07 Yumbe-Koboko'!E13,'01.08 Yumbe-Koboko'!E13,'04.08 Yumbe-Koboko'!E13,'05.08 Yumbe-Koboko'!E13,'02.08 Yumbe-Koboko-24h'!E13,'03.08 Yumbe-Koboko-24h'!E13,'06.08 Yumbe-Koboko'!E13)</f>
        <v>0.42857142857142855</v>
      </c>
      <c r="F13" s="49">
        <f>AVERAGE('31.07 Yumbe-Koboko'!F13,'01.08 Yumbe-Koboko'!F13,'04.08 Yumbe-Koboko'!F13,'05.08 Yumbe-Koboko'!F13,'02.08 Yumbe-Koboko-24h'!F13,'03.08 Yumbe-Koboko-24h'!F13,'06.08 Yumbe-Koboko'!F13)</f>
        <v>0.14285714285714285</v>
      </c>
      <c r="G13" s="49">
        <f>AVERAGE('31.07 Yumbe-Koboko'!G13,'01.08 Yumbe-Koboko'!G13,'04.08 Yumbe-Koboko'!G13,'05.08 Yumbe-Koboko'!G13,'02.08 Yumbe-Koboko-24h'!G13,'03.08 Yumbe-Koboko-24h'!G13,'06.08 Yumbe-Koboko'!G13)</f>
        <v>0</v>
      </c>
      <c r="H13" s="49">
        <f>AVERAGE('31.07 Yumbe-Koboko'!H13,'01.08 Yumbe-Koboko'!H13,'04.08 Yumbe-Koboko'!H13,'05.08 Yumbe-Koboko'!H13,'02.08 Yumbe-Koboko-24h'!H13,'03.08 Yumbe-Koboko-24h'!H13,'06.08 Yumbe-Koboko'!H13)</f>
        <v>0.14285714285714285</v>
      </c>
      <c r="I13" s="49">
        <f>AVERAGE('31.07 Yumbe-Koboko'!I13,'01.08 Yumbe-Koboko'!I13,'04.08 Yumbe-Koboko'!I13,'05.08 Yumbe-Koboko'!I13,'02.08 Yumbe-Koboko-24h'!I13,'03.08 Yumbe-Koboko-24h'!I13,'06.08 Yumbe-Koboko'!I13)</f>
        <v>0.14285714285714285</v>
      </c>
      <c r="J13" s="49">
        <f>AVERAGE('31.07 Yumbe-Koboko'!J13,'01.08 Yumbe-Koboko'!J13,'04.08 Yumbe-Koboko'!J13,'05.08 Yumbe-Koboko'!J13,'02.08 Yumbe-Koboko-24h'!J13,'03.08 Yumbe-Koboko-24h'!J13,'06.08 Yumbe-Koboko'!J13)</f>
        <v>0</v>
      </c>
      <c r="K13" s="49">
        <f>AVERAGE('31.07 Yumbe-Koboko'!K13,'01.08 Yumbe-Koboko'!K13,'04.08 Yumbe-Koboko'!K13,'05.08 Yumbe-Koboko'!K13,'02.08 Yumbe-Koboko-24h'!K13,'03.08 Yumbe-Koboko-24h'!K13,'06.08 Yumbe-Koboko'!K13)</f>
        <v>0</v>
      </c>
      <c r="L13" s="49">
        <f>AVERAGE('31.07 Yumbe-Koboko'!L13,'01.08 Yumbe-Koboko'!L13,'04.08 Yumbe-Koboko'!L13,'05.08 Yumbe-Koboko'!L13,'02.08 Yumbe-Koboko-24h'!L13,'03.08 Yumbe-Koboko-24h'!L13,'06.08 Yumbe-Koboko'!L13)</f>
        <v>0</v>
      </c>
      <c r="M13" s="49">
        <f>AVERAGE('31.07 Yumbe-Koboko'!M13,'01.08 Yumbe-Koboko'!M13,'04.08 Yumbe-Koboko'!M13,'05.08 Yumbe-Koboko'!M13,'02.08 Yumbe-Koboko-24h'!M13,'03.08 Yumbe-Koboko-24h'!M13,'06.08 Yumbe-Koboko'!M13)</f>
        <v>9.2857142857142865</v>
      </c>
      <c r="N13" s="49">
        <f>AVERAGE('31.07 Yumbe-Koboko'!N13,'01.08 Yumbe-Koboko'!N13,'04.08 Yumbe-Koboko'!N13,'05.08 Yumbe-Koboko'!N13,'02.08 Yumbe-Koboko-24h'!N13,'03.08 Yumbe-Koboko-24h'!N13,'06.08 Yumbe-Koboko'!N13)</f>
        <v>0</v>
      </c>
      <c r="O13" s="15">
        <f t="shared" si="0"/>
        <v>2.2857142857142856</v>
      </c>
      <c r="P13" s="15">
        <f t="shared" si="1"/>
        <v>11.571428571428573</v>
      </c>
      <c r="R13" s="1" t="s">
        <v>9</v>
      </c>
      <c r="S13" s="17">
        <f t="shared" ref="S13:AF13" si="5">SUM(C22:C25)</f>
        <v>7.4285714285714279</v>
      </c>
      <c r="T13" s="17">
        <f t="shared" si="5"/>
        <v>0.5714285714285714</v>
      </c>
      <c r="U13" s="17">
        <f t="shared" si="5"/>
        <v>4.2857142857142856</v>
      </c>
      <c r="V13" s="17">
        <f t="shared" si="5"/>
        <v>1.2857142857142856</v>
      </c>
      <c r="W13" s="17">
        <f t="shared" si="5"/>
        <v>0.14285714285714285</v>
      </c>
      <c r="X13" s="17">
        <f t="shared" si="5"/>
        <v>0.2857142857142857</v>
      </c>
      <c r="Y13" s="17">
        <f t="shared" si="5"/>
        <v>0.42857142857142855</v>
      </c>
      <c r="Z13" s="17">
        <f t="shared" si="5"/>
        <v>0.14285714285714285</v>
      </c>
      <c r="AA13" s="17">
        <f t="shared" si="5"/>
        <v>0.14285714285714285</v>
      </c>
      <c r="AB13" s="17">
        <f t="shared" si="5"/>
        <v>0</v>
      </c>
      <c r="AC13" s="17">
        <f t="shared" si="5"/>
        <v>38.142857142857139</v>
      </c>
      <c r="AD13" s="17">
        <f t="shared" si="5"/>
        <v>0</v>
      </c>
      <c r="AE13" s="31">
        <f t="shared" si="5"/>
        <v>14.714285714285712</v>
      </c>
      <c r="AF13" s="31">
        <f t="shared" si="5"/>
        <v>52.857142857142861</v>
      </c>
    </row>
    <row r="14" spans="2:32" ht="23.1" customHeight="1" x14ac:dyDescent="0.25">
      <c r="B14" s="23" t="s">
        <v>41</v>
      </c>
      <c r="C14" s="49">
        <f>AVERAGE('31.07 Yumbe-Koboko'!C14,'01.08 Yumbe-Koboko'!C14,'04.08 Yumbe-Koboko'!C14,'05.08 Yumbe-Koboko'!C14,'02.08 Yumbe-Koboko-24h'!C14,'03.08 Yumbe-Koboko-24h'!C14,'06.08 Yumbe-Koboko'!C14)</f>
        <v>1.8571428571428572</v>
      </c>
      <c r="D14" s="49">
        <f>AVERAGE('31.07 Yumbe-Koboko'!D14,'01.08 Yumbe-Koboko'!D14,'04.08 Yumbe-Koboko'!D14,'05.08 Yumbe-Koboko'!D14,'02.08 Yumbe-Koboko-24h'!D14,'03.08 Yumbe-Koboko-24h'!D14,'06.08 Yumbe-Koboko'!D14)</f>
        <v>0</v>
      </c>
      <c r="E14" s="49">
        <f>AVERAGE('31.07 Yumbe-Koboko'!E14,'01.08 Yumbe-Koboko'!E14,'04.08 Yumbe-Koboko'!E14,'05.08 Yumbe-Koboko'!E14,'02.08 Yumbe-Koboko-24h'!E14,'03.08 Yumbe-Koboko-24h'!E14,'06.08 Yumbe-Koboko'!E14)</f>
        <v>0.7142857142857143</v>
      </c>
      <c r="F14" s="49">
        <f>AVERAGE('31.07 Yumbe-Koboko'!F14,'01.08 Yumbe-Koboko'!F14,'04.08 Yumbe-Koboko'!F14,'05.08 Yumbe-Koboko'!F14,'02.08 Yumbe-Koboko-24h'!F14,'03.08 Yumbe-Koboko-24h'!F14,'06.08 Yumbe-Koboko'!F14)</f>
        <v>0.14285714285714285</v>
      </c>
      <c r="G14" s="49">
        <f>AVERAGE('31.07 Yumbe-Koboko'!G14,'01.08 Yumbe-Koboko'!G14,'04.08 Yumbe-Koboko'!G14,'05.08 Yumbe-Koboko'!G14,'02.08 Yumbe-Koboko-24h'!G14,'03.08 Yumbe-Koboko-24h'!G14,'06.08 Yumbe-Koboko'!G14)</f>
        <v>0</v>
      </c>
      <c r="H14" s="49">
        <f>AVERAGE('31.07 Yumbe-Koboko'!H14,'01.08 Yumbe-Koboko'!H14,'04.08 Yumbe-Koboko'!H14,'05.08 Yumbe-Koboko'!H14,'02.08 Yumbe-Koboko-24h'!H14,'03.08 Yumbe-Koboko-24h'!H14,'06.08 Yumbe-Koboko'!H14)</f>
        <v>0</v>
      </c>
      <c r="I14" s="49">
        <f>AVERAGE('31.07 Yumbe-Koboko'!I14,'01.08 Yumbe-Koboko'!I14,'04.08 Yumbe-Koboko'!I14,'05.08 Yumbe-Koboko'!I14,'02.08 Yumbe-Koboko-24h'!I14,'03.08 Yumbe-Koboko-24h'!I14,'06.08 Yumbe-Koboko'!I14)</f>
        <v>0.14285714285714285</v>
      </c>
      <c r="J14" s="49">
        <f>AVERAGE('31.07 Yumbe-Koboko'!J14,'01.08 Yumbe-Koboko'!J14,'04.08 Yumbe-Koboko'!J14,'05.08 Yumbe-Koboko'!J14,'02.08 Yumbe-Koboko-24h'!J14,'03.08 Yumbe-Koboko-24h'!J14,'06.08 Yumbe-Koboko'!J14)</f>
        <v>0</v>
      </c>
      <c r="K14" s="49">
        <f>AVERAGE('31.07 Yumbe-Koboko'!K14,'01.08 Yumbe-Koboko'!K14,'04.08 Yumbe-Koboko'!K14,'05.08 Yumbe-Koboko'!K14,'02.08 Yumbe-Koboko-24h'!K14,'03.08 Yumbe-Koboko-24h'!K14,'06.08 Yumbe-Koboko'!K14)</f>
        <v>0</v>
      </c>
      <c r="L14" s="49">
        <f>AVERAGE('31.07 Yumbe-Koboko'!L14,'01.08 Yumbe-Koboko'!L14,'04.08 Yumbe-Koboko'!L14,'05.08 Yumbe-Koboko'!L14,'02.08 Yumbe-Koboko-24h'!L14,'03.08 Yumbe-Koboko-24h'!L14,'06.08 Yumbe-Koboko'!L14)</f>
        <v>0</v>
      </c>
      <c r="M14" s="49">
        <f>AVERAGE('31.07 Yumbe-Koboko'!M14,'01.08 Yumbe-Koboko'!M14,'04.08 Yumbe-Koboko'!M14,'05.08 Yumbe-Koboko'!M14,'02.08 Yumbe-Koboko-24h'!M14,'03.08 Yumbe-Koboko-24h'!M14,'06.08 Yumbe-Koboko'!M14)</f>
        <v>11</v>
      </c>
      <c r="N14" s="49">
        <f>AVERAGE('31.07 Yumbe-Koboko'!N14,'01.08 Yumbe-Koboko'!N14,'04.08 Yumbe-Koboko'!N14,'05.08 Yumbe-Koboko'!N14,'02.08 Yumbe-Koboko-24h'!N14,'03.08 Yumbe-Koboko-24h'!N14,'06.08 Yumbe-Koboko'!N14)</f>
        <v>0</v>
      </c>
      <c r="O14" s="15">
        <f t="shared" si="0"/>
        <v>2.8571428571428572</v>
      </c>
      <c r="P14" s="15">
        <f t="shared" si="1"/>
        <v>13.857142857142858</v>
      </c>
      <c r="R14" s="1" t="s">
        <v>10</v>
      </c>
      <c r="S14" s="17">
        <f t="shared" ref="S14:AF14" si="6">SUM(C26:C29)</f>
        <v>5.8571428571428568</v>
      </c>
      <c r="T14" s="17">
        <f t="shared" si="6"/>
        <v>0.71428571428571419</v>
      </c>
      <c r="U14" s="17">
        <f t="shared" si="6"/>
        <v>3</v>
      </c>
      <c r="V14" s="17">
        <f t="shared" si="6"/>
        <v>1</v>
      </c>
      <c r="W14" s="17">
        <f t="shared" si="6"/>
        <v>0.14285714285714285</v>
      </c>
      <c r="X14" s="17">
        <f t="shared" si="6"/>
        <v>0.2857142857142857</v>
      </c>
      <c r="Y14" s="17">
        <f t="shared" si="6"/>
        <v>0.5714285714285714</v>
      </c>
      <c r="Z14" s="17">
        <f t="shared" si="6"/>
        <v>0.14285714285714285</v>
      </c>
      <c r="AA14" s="17">
        <f t="shared" si="6"/>
        <v>0.2857142857142857</v>
      </c>
      <c r="AB14" s="17">
        <f t="shared" si="6"/>
        <v>0</v>
      </c>
      <c r="AC14" s="17">
        <f t="shared" si="6"/>
        <v>34.428571428571431</v>
      </c>
      <c r="AD14" s="17">
        <f t="shared" si="6"/>
        <v>0</v>
      </c>
      <c r="AE14" s="31">
        <f t="shared" si="6"/>
        <v>11.999999999999998</v>
      </c>
      <c r="AF14" s="31">
        <f t="shared" si="6"/>
        <v>46.428571428571431</v>
      </c>
    </row>
    <row r="15" spans="2:32" ht="23.1" customHeight="1" x14ac:dyDescent="0.25">
      <c r="B15" s="23" t="s">
        <v>42</v>
      </c>
      <c r="C15" s="49">
        <f>AVERAGE('31.07 Yumbe-Koboko'!C15,'01.08 Yumbe-Koboko'!C15,'04.08 Yumbe-Koboko'!C15,'05.08 Yumbe-Koboko'!C15,'02.08 Yumbe-Koboko-24h'!C15,'03.08 Yumbe-Koboko-24h'!C15,'06.08 Yumbe-Koboko'!C15)</f>
        <v>0.8571428571428571</v>
      </c>
      <c r="D15" s="49">
        <f>AVERAGE('31.07 Yumbe-Koboko'!D15,'01.08 Yumbe-Koboko'!D15,'04.08 Yumbe-Koboko'!D15,'05.08 Yumbe-Koboko'!D15,'02.08 Yumbe-Koboko-24h'!D15,'03.08 Yumbe-Koboko-24h'!D15,'06.08 Yumbe-Koboko'!D15)</f>
        <v>0.14285714285714285</v>
      </c>
      <c r="E15" s="49">
        <f>AVERAGE('31.07 Yumbe-Koboko'!E15,'01.08 Yumbe-Koboko'!E15,'04.08 Yumbe-Koboko'!E15,'05.08 Yumbe-Koboko'!E15,'02.08 Yumbe-Koboko-24h'!E15,'03.08 Yumbe-Koboko-24h'!E15,'06.08 Yumbe-Koboko'!E15)</f>
        <v>0.7142857142857143</v>
      </c>
      <c r="F15" s="49">
        <f>AVERAGE('31.07 Yumbe-Koboko'!F15,'01.08 Yumbe-Koboko'!F15,'04.08 Yumbe-Koboko'!F15,'05.08 Yumbe-Koboko'!F15,'02.08 Yumbe-Koboko-24h'!F15,'03.08 Yumbe-Koboko-24h'!F15,'06.08 Yumbe-Koboko'!F15)</f>
        <v>0.14285714285714285</v>
      </c>
      <c r="G15" s="49">
        <f>AVERAGE('31.07 Yumbe-Koboko'!G15,'01.08 Yumbe-Koboko'!G15,'04.08 Yumbe-Koboko'!G15,'05.08 Yumbe-Koboko'!G15,'02.08 Yumbe-Koboko-24h'!G15,'03.08 Yumbe-Koboko-24h'!G15,'06.08 Yumbe-Koboko'!G15)</f>
        <v>0</v>
      </c>
      <c r="H15" s="49">
        <f>AVERAGE('31.07 Yumbe-Koboko'!H15,'01.08 Yumbe-Koboko'!H15,'04.08 Yumbe-Koboko'!H15,'05.08 Yumbe-Koboko'!H15,'02.08 Yumbe-Koboko-24h'!H15,'03.08 Yumbe-Koboko-24h'!H15,'06.08 Yumbe-Koboko'!H15)</f>
        <v>0.14285714285714285</v>
      </c>
      <c r="I15" s="49">
        <f>AVERAGE('31.07 Yumbe-Koboko'!I15,'01.08 Yumbe-Koboko'!I15,'04.08 Yumbe-Koboko'!I15,'05.08 Yumbe-Koboko'!I15,'02.08 Yumbe-Koboko-24h'!I15,'03.08 Yumbe-Koboko-24h'!I15,'06.08 Yumbe-Koboko'!I15)</f>
        <v>0</v>
      </c>
      <c r="J15" s="49">
        <f>AVERAGE('31.07 Yumbe-Koboko'!J15,'01.08 Yumbe-Koboko'!J15,'04.08 Yumbe-Koboko'!J15,'05.08 Yumbe-Koboko'!J15,'02.08 Yumbe-Koboko-24h'!J15,'03.08 Yumbe-Koboko-24h'!J15,'06.08 Yumbe-Koboko'!J15)</f>
        <v>0</v>
      </c>
      <c r="K15" s="49">
        <f>AVERAGE('31.07 Yumbe-Koboko'!K15,'01.08 Yumbe-Koboko'!K15,'04.08 Yumbe-Koboko'!K15,'05.08 Yumbe-Koboko'!K15,'02.08 Yumbe-Koboko-24h'!K15,'03.08 Yumbe-Koboko-24h'!K15,'06.08 Yumbe-Koboko'!K15)</f>
        <v>0</v>
      </c>
      <c r="L15" s="49">
        <f>AVERAGE('31.07 Yumbe-Koboko'!L15,'01.08 Yumbe-Koboko'!L15,'04.08 Yumbe-Koboko'!L15,'05.08 Yumbe-Koboko'!L15,'02.08 Yumbe-Koboko-24h'!L15,'03.08 Yumbe-Koboko-24h'!L15,'06.08 Yumbe-Koboko'!L15)</f>
        <v>0</v>
      </c>
      <c r="M15" s="49">
        <f>AVERAGE('31.07 Yumbe-Koboko'!M15,'01.08 Yumbe-Koboko'!M15,'04.08 Yumbe-Koboko'!M15,'05.08 Yumbe-Koboko'!M15,'02.08 Yumbe-Koboko-24h'!M15,'03.08 Yumbe-Koboko-24h'!M15,'06.08 Yumbe-Koboko'!M15)</f>
        <v>7.5714285714285712</v>
      </c>
      <c r="N15" s="49">
        <f>AVERAGE('31.07 Yumbe-Koboko'!N15,'01.08 Yumbe-Koboko'!N15,'04.08 Yumbe-Koboko'!N15,'05.08 Yumbe-Koboko'!N15,'02.08 Yumbe-Koboko-24h'!N15,'03.08 Yumbe-Koboko-24h'!N15,'06.08 Yumbe-Koboko'!N15)</f>
        <v>0</v>
      </c>
      <c r="O15" s="15">
        <f t="shared" si="0"/>
        <v>2</v>
      </c>
      <c r="P15" s="15">
        <f t="shared" si="1"/>
        <v>9.5714285714285712</v>
      </c>
      <c r="R15" s="1" t="s">
        <v>11</v>
      </c>
      <c r="S15" s="17">
        <f t="shared" ref="S15:AF15" si="7">SUM(C30:C33)</f>
        <v>5.2857142857142856</v>
      </c>
      <c r="T15" s="17">
        <f t="shared" si="7"/>
        <v>0.42857142857142855</v>
      </c>
      <c r="U15" s="17">
        <f t="shared" si="7"/>
        <v>4.1428571428571423</v>
      </c>
      <c r="V15" s="17">
        <f t="shared" si="7"/>
        <v>1.714285714285714</v>
      </c>
      <c r="W15" s="17">
        <f t="shared" si="7"/>
        <v>0</v>
      </c>
      <c r="X15" s="17">
        <f t="shared" si="7"/>
        <v>0.42857142857142855</v>
      </c>
      <c r="Y15" s="17">
        <f t="shared" si="7"/>
        <v>1.5714285714285712</v>
      </c>
      <c r="Z15" s="17">
        <f t="shared" si="7"/>
        <v>0.14285714285714285</v>
      </c>
      <c r="AA15" s="17">
        <f t="shared" si="7"/>
        <v>0</v>
      </c>
      <c r="AB15" s="17">
        <f t="shared" si="7"/>
        <v>0.14285714285714285</v>
      </c>
      <c r="AC15" s="17">
        <f t="shared" si="7"/>
        <v>31.428571428571431</v>
      </c>
      <c r="AD15" s="17">
        <f t="shared" si="7"/>
        <v>0.14285714285714285</v>
      </c>
      <c r="AE15" s="31">
        <f t="shared" si="7"/>
        <v>13.999999999999998</v>
      </c>
      <c r="AF15" s="31">
        <f t="shared" si="7"/>
        <v>45.428571428571431</v>
      </c>
    </row>
    <row r="16" spans="2:32" ht="23.1" customHeight="1" x14ac:dyDescent="0.25">
      <c r="B16" s="23" t="s">
        <v>43</v>
      </c>
      <c r="C16" s="49">
        <f>AVERAGE('31.07 Yumbe-Koboko'!C16,'01.08 Yumbe-Koboko'!C16,'04.08 Yumbe-Koboko'!C16,'05.08 Yumbe-Koboko'!C16,'02.08 Yumbe-Koboko-24h'!C16,'03.08 Yumbe-Koboko-24h'!C16,'06.08 Yumbe-Koboko'!C16)</f>
        <v>1.4285714285714286</v>
      </c>
      <c r="D16" s="49">
        <f>AVERAGE('31.07 Yumbe-Koboko'!D16,'01.08 Yumbe-Koboko'!D16,'04.08 Yumbe-Koboko'!D16,'05.08 Yumbe-Koboko'!D16,'02.08 Yumbe-Koboko-24h'!D16,'03.08 Yumbe-Koboko-24h'!D16,'06.08 Yumbe-Koboko'!D16)</f>
        <v>0.2857142857142857</v>
      </c>
      <c r="E16" s="49">
        <f>AVERAGE('31.07 Yumbe-Koboko'!E16,'01.08 Yumbe-Koboko'!E16,'04.08 Yumbe-Koboko'!E16,'05.08 Yumbe-Koboko'!E16,'02.08 Yumbe-Koboko-24h'!E16,'03.08 Yumbe-Koboko-24h'!E16,'06.08 Yumbe-Koboko'!E16)</f>
        <v>1</v>
      </c>
      <c r="F16" s="49">
        <f>AVERAGE('31.07 Yumbe-Koboko'!F16,'01.08 Yumbe-Koboko'!F16,'04.08 Yumbe-Koboko'!F16,'05.08 Yumbe-Koboko'!F16,'02.08 Yumbe-Koboko-24h'!F16,'03.08 Yumbe-Koboko-24h'!F16,'06.08 Yumbe-Koboko'!F16)</f>
        <v>0.2857142857142857</v>
      </c>
      <c r="G16" s="49">
        <f>AVERAGE('31.07 Yumbe-Koboko'!G16,'01.08 Yumbe-Koboko'!G16,'04.08 Yumbe-Koboko'!G16,'05.08 Yumbe-Koboko'!G16,'02.08 Yumbe-Koboko-24h'!G16,'03.08 Yumbe-Koboko-24h'!G16,'06.08 Yumbe-Koboko'!G16)</f>
        <v>0</v>
      </c>
      <c r="H16" s="49">
        <f>AVERAGE('31.07 Yumbe-Koboko'!H16,'01.08 Yumbe-Koboko'!H16,'04.08 Yumbe-Koboko'!H16,'05.08 Yumbe-Koboko'!H16,'02.08 Yumbe-Koboko-24h'!H16,'03.08 Yumbe-Koboko-24h'!H16,'06.08 Yumbe-Koboko'!H16)</f>
        <v>0</v>
      </c>
      <c r="I16" s="49">
        <f>AVERAGE('31.07 Yumbe-Koboko'!I16,'01.08 Yumbe-Koboko'!I16,'04.08 Yumbe-Koboko'!I16,'05.08 Yumbe-Koboko'!I16,'02.08 Yumbe-Koboko-24h'!I16,'03.08 Yumbe-Koboko-24h'!I16,'06.08 Yumbe-Koboko'!I16)</f>
        <v>0.14285714285714285</v>
      </c>
      <c r="J16" s="49">
        <f>AVERAGE('31.07 Yumbe-Koboko'!J16,'01.08 Yumbe-Koboko'!J16,'04.08 Yumbe-Koboko'!J16,'05.08 Yumbe-Koboko'!J16,'02.08 Yumbe-Koboko-24h'!J16,'03.08 Yumbe-Koboko-24h'!J16,'06.08 Yumbe-Koboko'!J16)</f>
        <v>0</v>
      </c>
      <c r="K16" s="49">
        <f>AVERAGE('31.07 Yumbe-Koboko'!K16,'01.08 Yumbe-Koboko'!K16,'04.08 Yumbe-Koboko'!K16,'05.08 Yumbe-Koboko'!K16,'02.08 Yumbe-Koboko-24h'!K16,'03.08 Yumbe-Koboko-24h'!K16,'06.08 Yumbe-Koboko'!K16)</f>
        <v>0</v>
      </c>
      <c r="L16" s="49">
        <f>AVERAGE('31.07 Yumbe-Koboko'!L16,'01.08 Yumbe-Koboko'!L16,'04.08 Yumbe-Koboko'!L16,'05.08 Yumbe-Koboko'!L16,'02.08 Yumbe-Koboko-24h'!L16,'03.08 Yumbe-Koboko-24h'!L16,'06.08 Yumbe-Koboko'!L16)</f>
        <v>0</v>
      </c>
      <c r="M16" s="49">
        <f>AVERAGE('31.07 Yumbe-Koboko'!M16,'01.08 Yumbe-Koboko'!M16,'04.08 Yumbe-Koboko'!M16,'05.08 Yumbe-Koboko'!M16,'02.08 Yumbe-Koboko-24h'!M16,'03.08 Yumbe-Koboko-24h'!M16,'06.08 Yumbe-Koboko'!M16)</f>
        <v>8.4285714285714288</v>
      </c>
      <c r="N16" s="49">
        <f>AVERAGE('31.07 Yumbe-Koboko'!N16,'01.08 Yumbe-Koboko'!N16,'04.08 Yumbe-Koboko'!N16,'05.08 Yumbe-Koboko'!N16,'02.08 Yumbe-Koboko-24h'!N16,'03.08 Yumbe-Koboko-24h'!N16,'06.08 Yumbe-Koboko'!N16)</f>
        <v>0</v>
      </c>
      <c r="O16" s="15">
        <f t="shared" si="0"/>
        <v>3.1428571428571428</v>
      </c>
      <c r="P16" s="15">
        <f t="shared" si="1"/>
        <v>11.571428571428571</v>
      </c>
      <c r="R16" s="1" t="s">
        <v>12</v>
      </c>
      <c r="S16" s="17">
        <f t="shared" ref="S16:AF16" si="8">SUM(C34:C37)</f>
        <v>8.4285714285714288</v>
      </c>
      <c r="T16" s="17">
        <f t="shared" si="8"/>
        <v>0.5714285714285714</v>
      </c>
      <c r="U16" s="17">
        <f t="shared" si="8"/>
        <v>5</v>
      </c>
      <c r="V16" s="17">
        <f t="shared" si="8"/>
        <v>0.99999999999999989</v>
      </c>
      <c r="W16" s="17">
        <f t="shared" si="8"/>
        <v>0</v>
      </c>
      <c r="X16" s="17">
        <f t="shared" si="8"/>
        <v>0.2857142857142857</v>
      </c>
      <c r="Y16" s="17">
        <f t="shared" si="8"/>
        <v>1.2857142857142856</v>
      </c>
      <c r="Z16" s="17">
        <f t="shared" si="8"/>
        <v>0.2857142857142857</v>
      </c>
      <c r="AA16" s="17">
        <f t="shared" si="8"/>
        <v>0</v>
      </c>
      <c r="AB16" s="17">
        <f t="shared" si="8"/>
        <v>1.2857142857142856</v>
      </c>
      <c r="AC16" s="17">
        <f t="shared" si="8"/>
        <v>28.714285714285715</v>
      </c>
      <c r="AD16" s="17">
        <f t="shared" si="8"/>
        <v>0.14285714285714285</v>
      </c>
      <c r="AE16" s="31">
        <f t="shared" si="8"/>
        <v>18.285714285714288</v>
      </c>
      <c r="AF16" s="31">
        <f t="shared" si="8"/>
        <v>47</v>
      </c>
    </row>
    <row r="17" spans="2:32" ht="23.1" customHeight="1" x14ac:dyDescent="0.25">
      <c r="B17" s="23" t="s">
        <v>44</v>
      </c>
      <c r="C17" s="49">
        <f>AVERAGE('31.07 Yumbe-Koboko'!C17,'01.08 Yumbe-Koboko'!C17,'04.08 Yumbe-Koboko'!C17,'05.08 Yumbe-Koboko'!C17,'02.08 Yumbe-Koboko-24h'!C17,'03.08 Yumbe-Koboko-24h'!C17,'06.08 Yumbe-Koboko'!C17)</f>
        <v>0.8571428571428571</v>
      </c>
      <c r="D17" s="49">
        <f>AVERAGE('31.07 Yumbe-Koboko'!D17,'01.08 Yumbe-Koboko'!D17,'04.08 Yumbe-Koboko'!D17,'05.08 Yumbe-Koboko'!D17,'02.08 Yumbe-Koboko-24h'!D17,'03.08 Yumbe-Koboko-24h'!D17,'06.08 Yumbe-Koboko'!D17)</f>
        <v>0</v>
      </c>
      <c r="E17" s="49">
        <f>AVERAGE('31.07 Yumbe-Koboko'!E17,'01.08 Yumbe-Koboko'!E17,'04.08 Yumbe-Koboko'!E17,'05.08 Yumbe-Koboko'!E17,'02.08 Yumbe-Koboko-24h'!E17,'03.08 Yumbe-Koboko-24h'!E17,'06.08 Yumbe-Koboko'!E17)</f>
        <v>0.8571428571428571</v>
      </c>
      <c r="F17" s="49">
        <f>AVERAGE('31.07 Yumbe-Koboko'!F17,'01.08 Yumbe-Koboko'!F17,'04.08 Yumbe-Koboko'!F17,'05.08 Yumbe-Koboko'!F17,'02.08 Yumbe-Koboko-24h'!F17,'03.08 Yumbe-Koboko-24h'!F17,'06.08 Yumbe-Koboko'!F17)</f>
        <v>0</v>
      </c>
      <c r="G17" s="49">
        <f>AVERAGE('31.07 Yumbe-Koboko'!G17,'01.08 Yumbe-Koboko'!G17,'04.08 Yumbe-Koboko'!G17,'05.08 Yumbe-Koboko'!G17,'02.08 Yumbe-Koboko-24h'!G17,'03.08 Yumbe-Koboko-24h'!G17,'06.08 Yumbe-Koboko'!G17)</f>
        <v>0</v>
      </c>
      <c r="H17" s="49">
        <f>AVERAGE('31.07 Yumbe-Koboko'!H17,'01.08 Yumbe-Koboko'!H17,'04.08 Yumbe-Koboko'!H17,'05.08 Yumbe-Koboko'!H17,'02.08 Yumbe-Koboko-24h'!H17,'03.08 Yumbe-Koboko-24h'!H17,'06.08 Yumbe-Koboko'!H17)</f>
        <v>0</v>
      </c>
      <c r="I17" s="49">
        <f>AVERAGE('31.07 Yumbe-Koboko'!I17,'01.08 Yumbe-Koboko'!I17,'04.08 Yumbe-Koboko'!I17,'05.08 Yumbe-Koboko'!I17,'02.08 Yumbe-Koboko-24h'!I17,'03.08 Yumbe-Koboko-24h'!I17,'06.08 Yumbe-Koboko'!I17)</f>
        <v>0.14285714285714285</v>
      </c>
      <c r="J17" s="49">
        <f>AVERAGE('31.07 Yumbe-Koboko'!J17,'01.08 Yumbe-Koboko'!J17,'04.08 Yumbe-Koboko'!J17,'05.08 Yumbe-Koboko'!J17,'02.08 Yumbe-Koboko-24h'!J17,'03.08 Yumbe-Koboko-24h'!J17,'06.08 Yumbe-Koboko'!J17)</f>
        <v>0.14285714285714285</v>
      </c>
      <c r="K17" s="49">
        <f>AVERAGE('31.07 Yumbe-Koboko'!K17,'01.08 Yumbe-Koboko'!K17,'04.08 Yumbe-Koboko'!K17,'05.08 Yumbe-Koboko'!K17,'02.08 Yumbe-Koboko-24h'!K17,'03.08 Yumbe-Koboko-24h'!K17,'06.08 Yumbe-Koboko'!K17)</f>
        <v>0.2857142857142857</v>
      </c>
      <c r="L17" s="49">
        <f>AVERAGE('31.07 Yumbe-Koboko'!L17,'01.08 Yumbe-Koboko'!L17,'04.08 Yumbe-Koboko'!L17,'05.08 Yumbe-Koboko'!L17,'02.08 Yumbe-Koboko-24h'!L17,'03.08 Yumbe-Koboko-24h'!L17,'06.08 Yumbe-Koboko'!L17)</f>
        <v>0</v>
      </c>
      <c r="M17" s="49">
        <f>AVERAGE('31.07 Yumbe-Koboko'!M17,'01.08 Yumbe-Koboko'!M17,'04.08 Yumbe-Koboko'!M17,'05.08 Yumbe-Koboko'!M17,'02.08 Yumbe-Koboko-24h'!M17,'03.08 Yumbe-Koboko-24h'!M17,'06.08 Yumbe-Koboko'!M17)</f>
        <v>11.428571428571429</v>
      </c>
      <c r="N17" s="49">
        <f>AVERAGE('31.07 Yumbe-Koboko'!N17,'01.08 Yumbe-Koboko'!N17,'04.08 Yumbe-Koboko'!N17,'05.08 Yumbe-Koboko'!N17,'02.08 Yumbe-Koboko-24h'!N17,'03.08 Yumbe-Koboko-24h'!N17,'06.08 Yumbe-Koboko'!N17)</f>
        <v>0</v>
      </c>
      <c r="O17" s="15">
        <f t="shared" si="0"/>
        <v>2.2857142857142856</v>
      </c>
      <c r="P17" s="15">
        <f t="shared" si="1"/>
        <v>13.714285714285715</v>
      </c>
      <c r="R17" s="1" t="s">
        <v>13</v>
      </c>
      <c r="S17" s="17">
        <f t="shared" ref="S17:AF17" si="9">SUM(C38:C41)</f>
        <v>7.5714285714285712</v>
      </c>
      <c r="T17" s="17">
        <f t="shared" si="9"/>
        <v>0.2857142857142857</v>
      </c>
      <c r="U17" s="17">
        <f t="shared" si="9"/>
        <v>3.7142857142857144</v>
      </c>
      <c r="V17" s="17">
        <f t="shared" si="9"/>
        <v>0.5714285714285714</v>
      </c>
      <c r="W17" s="17">
        <f t="shared" si="9"/>
        <v>0</v>
      </c>
      <c r="X17" s="17">
        <f t="shared" si="9"/>
        <v>0</v>
      </c>
      <c r="Y17" s="17">
        <f t="shared" si="9"/>
        <v>1.1428571428571428</v>
      </c>
      <c r="Z17" s="17">
        <f t="shared" si="9"/>
        <v>0</v>
      </c>
      <c r="AA17" s="17">
        <f t="shared" si="9"/>
        <v>0</v>
      </c>
      <c r="AB17" s="17">
        <f t="shared" si="9"/>
        <v>0.2857142857142857</v>
      </c>
      <c r="AC17" s="17">
        <f t="shared" si="9"/>
        <v>24.428571428571427</v>
      </c>
      <c r="AD17" s="17">
        <f t="shared" si="9"/>
        <v>0.2857142857142857</v>
      </c>
      <c r="AE17" s="31">
        <f t="shared" si="9"/>
        <v>13.857142857142856</v>
      </c>
      <c r="AF17" s="31">
        <f t="shared" si="9"/>
        <v>38.285714285714285</v>
      </c>
    </row>
    <row r="18" spans="2:32" ht="23.1" customHeight="1" x14ac:dyDescent="0.25">
      <c r="B18" s="23" t="s">
        <v>45</v>
      </c>
      <c r="C18" s="49">
        <f>AVERAGE('31.07 Yumbe-Koboko'!C18,'01.08 Yumbe-Koboko'!C18,'04.08 Yumbe-Koboko'!C18,'05.08 Yumbe-Koboko'!C18,'02.08 Yumbe-Koboko-24h'!C18,'03.08 Yumbe-Koboko-24h'!C18,'06.08 Yumbe-Koboko'!C18)</f>
        <v>1.2857142857142858</v>
      </c>
      <c r="D18" s="49">
        <f>AVERAGE('31.07 Yumbe-Koboko'!D18,'01.08 Yumbe-Koboko'!D18,'04.08 Yumbe-Koboko'!D18,'05.08 Yumbe-Koboko'!D18,'02.08 Yumbe-Koboko-24h'!D18,'03.08 Yumbe-Koboko-24h'!D18,'06.08 Yumbe-Koboko'!D18)</f>
        <v>0.14285714285714285</v>
      </c>
      <c r="E18" s="49">
        <f>AVERAGE('31.07 Yumbe-Koboko'!E18,'01.08 Yumbe-Koboko'!E18,'04.08 Yumbe-Koboko'!E18,'05.08 Yumbe-Koboko'!E18,'02.08 Yumbe-Koboko-24h'!E18,'03.08 Yumbe-Koboko-24h'!E18,'06.08 Yumbe-Koboko'!E18)</f>
        <v>1.2857142857142858</v>
      </c>
      <c r="F18" s="49">
        <f>AVERAGE('31.07 Yumbe-Koboko'!F18,'01.08 Yumbe-Koboko'!F18,'04.08 Yumbe-Koboko'!F18,'05.08 Yumbe-Koboko'!F18,'02.08 Yumbe-Koboko-24h'!F18,'03.08 Yumbe-Koboko-24h'!F18,'06.08 Yumbe-Koboko'!F18)</f>
        <v>0</v>
      </c>
      <c r="G18" s="49">
        <f>AVERAGE('31.07 Yumbe-Koboko'!G18,'01.08 Yumbe-Koboko'!G18,'04.08 Yumbe-Koboko'!G18,'05.08 Yumbe-Koboko'!G18,'02.08 Yumbe-Koboko-24h'!G18,'03.08 Yumbe-Koboko-24h'!G18,'06.08 Yumbe-Koboko'!G18)</f>
        <v>0</v>
      </c>
      <c r="H18" s="49">
        <f>AVERAGE('31.07 Yumbe-Koboko'!H18,'01.08 Yumbe-Koboko'!H18,'04.08 Yumbe-Koboko'!H18,'05.08 Yumbe-Koboko'!H18,'02.08 Yumbe-Koboko-24h'!H18,'03.08 Yumbe-Koboko-24h'!H18,'06.08 Yumbe-Koboko'!H18)</f>
        <v>0.2857142857142857</v>
      </c>
      <c r="I18" s="49">
        <f>AVERAGE('31.07 Yumbe-Koboko'!I18,'01.08 Yumbe-Koboko'!I18,'04.08 Yumbe-Koboko'!I18,'05.08 Yumbe-Koboko'!I18,'02.08 Yumbe-Koboko-24h'!I18,'03.08 Yumbe-Koboko-24h'!I18,'06.08 Yumbe-Koboko'!I18)</f>
        <v>0.14285714285714285</v>
      </c>
      <c r="J18" s="49">
        <f>AVERAGE('31.07 Yumbe-Koboko'!J18,'01.08 Yumbe-Koboko'!J18,'04.08 Yumbe-Koboko'!J18,'05.08 Yumbe-Koboko'!J18,'02.08 Yumbe-Koboko-24h'!J18,'03.08 Yumbe-Koboko-24h'!J18,'06.08 Yumbe-Koboko'!J18)</f>
        <v>0</v>
      </c>
      <c r="K18" s="49">
        <f>AVERAGE('31.07 Yumbe-Koboko'!K18,'01.08 Yumbe-Koboko'!K18,'04.08 Yumbe-Koboko'!K18,'05.08 Yumbe-Koboko'!K18,'02.08 Yumbe-Koboko-24h'!K18,'03.08 Yumbe-Koboko-24h'!K18,'06.08 Yumbe-Koboko'!K18)</f>
        <v>0</v>
      </c>
      <c r="L18" s="49">
        <f>AVERAGE('31.07 Yumbe-Koboko'!L18,'01.08 Yumbe-Koboko'!L18,'04.08 Yumbe-Koboko'!L18,'05.08 Yumbe-Koboko'!L18,'02.08 Yumbe-Koboko-24h'!L18,'03.08 Yumbe-Koboko-24h'!L18,'06.08 Yumbe-Koboko'!L18)</f>
        <v>0</v>
      </c>
      <c r="M18" s="49">
        <f>AVERAGE('31.07 Yumbe-Koboko'!M18,'01.08 Yumbe-Koboko'!M18,'04.08 Yumbe-Koboko'!M18,'05.08 Yumbe-Koboko'!M18,'02.08 Yumbe-Koboko-24h'!M18,'03.08 Yumbe-Koboko-24h'!M18,'06.08 Yumbe-Koboko'!M18)</f>
        <v>9.4285714285714288</v>
      </c>
      <c r="N18" s="49">
        <f>AVERAGE('31.07 Yumbe-Koboko'!N18,'01.08 Yumbe-Koboko'!N18,'04.08 Yumbe-Koboko'!N18,'05.08 Yumbe-Koboko'!N18,'02.08 Yumbe-Koboko-24h'!N18,'03.08 Yumbe-Koboko-24h'!N18,'06.08 Yumbe-Koboko'!N18)</f>
        <v>0</v>
      </c>
      <c r="O18" s="15">
        <f t="shared" si="0"/>
        <v>3.1428571428571428</v>
      </c>
      <c r="P18" s="15">
        <f t="shared" si="1"/>
        <v>12.571428571428571</v>
      </c>
      <c r="R18" s="1" t="s">
        <v>14</v>
      </c>
      <c r="S18" s="17">
        <f t="shared" ref="S18:AF18" si="10">SUM(C42:C45)</f>
        <v>9</v>
      </c>
      <c r="T18" s="17">
        <f t="shared" si="10"/>
        <v>0.2857142857142857</v>
      </c>
      <c r="U18" s="17">
        <f t="shared" si="10"/>
        <v>3.5714285714285712</v>
      </c>
      <c r="V18" s="17">
        <f t="shared" si="10"/>
        <v>0.8571428571428571</v>
      </c>
      <c r="W18" s="17">
        <f t="shared" si="10"/>
        <v>0.14285714285714285</v>
      </c>
      <c r="X18" s="17">
        <f t="shared" si="10"/>
        <v>0.2857142857142857</v>
      </c>
      <c r="Y18" s="17">
        <f t="shared" si="10"/>
        <v>1.7142857142857144</v>
      </c>
      <c r="Z18" s="17">
        <f t="shared" si="10"/>
        <v>0</v>
      </c>
      <c r="AA18" s="17">
        <f t="shared" si="10"/>
        <v>0</v>
      </c>
      <c r="AB18" s="17">
        <f t="shared" si="10"/>
        <v>0.2857142857142857</v>
      </c>
      <c r="AC18" s="17">
        <f t="shared" si="10"/>
        <v>33.428571428571431</v>
      </c>
      <c r="AD18" s="17">
        <f t="shared" si="10"/>
        <v>0</v>
      </c>
      <c r="AE18" s="31">
        <f t="shared" si="10"/>
        <v>16.142857142857142</v>
      </c>
      <c r="AF18" s="31">
        <f t="shared" si="10"/>
        <v>49.571428571428569</v>
      </c>
    </row>
    <row r="19" spans="2:32" ht="23.1" customHeight="1" x14ac:dyDescent="0.25">
      <c r="B19" s="23" t="s">
        <v>46</v>
      </c>
      <c r="C19" s="49">
        <f>AVERAGE('31.07 Yumbe-Koboko'!C19,'01.08 Yumbe-Koboko'!C19,'04.08 Yumbe-Koboko'!C19,'05.08 Yumbe-Koboko'!C19,'02.08 Yumbe-Koboko-24h'!C19,'03.08 Yumbe-Koboko-24h'!C19,'06.08 Yumbe-Koboko'!C19)</f>
        <v>2.1428571428571428</v>
      </c>
      <c r="D19" s="49">
        <f>AVERAGE('31.07 Yumbe-Koboko'!D19,'01.08 Yumbe-Koboko'!D19,'04.08 Yumbe-Koboko'!D19,'05.08 Yumbe-Koboko'!D19,'02.08 Yumbe-Koboko-24h'!D19,'03.08 Yumbe-Koboko-24h'!D19,'06.08 Yumbe-Koboko'!D19)</f>
        <v>0</v>
      </c>
      <c r="E19" s="49">
        <f>AVERAGE('31.07 Yumbe-Koboko'!E19,'01.08 Yumbe-Koboko'!E19,'04.08 Yumbe-Koboko'!E19,'05.08 Yumbe-Koboko'!E19,'02.08 Yumbe-Koboko-24h'!E19,'03.08 Yumbe-Koboko-24h'!E19,'06.08 Yumbe-Koboko'!E19)</f>
        <v>0.42857142857142855</v>
      </c>
      <c r="F19" s="49">
        <f>AVERAGE('31.07 Yumbe-Koboko'!F19,'01.08 Yumbe-Koboko'!F19,'04.08 Yumbe-Koboko'!F19,'05.08 Yumbe-Koboko'!F19,'02.08 Yumbe-Koboko-24h'!F19,'03.08 Yumbe-Koboko-24h'!F19,'06.08 Yumbe-Koboko'!F19)</f>
        <v>0</v>
      </c>
      <c r="G19" s="49">
        <f>AVERAGE('31.07 Yumbe-Koboko'!G19,'01.08 Yumbe-Koboko'!G19,'04.08 Yumbe-Koboko'!G19,'05.08 Yumbe-Koboko'!G19,'02.08 Yumbe-Koboko-24h'!G19,'03.08 Yumbe-Koboko-24h'!G19,'06.08 Yumbe-Koboko'!G19)</f>
        <v>0</v>
      </c>
      <c r="H19" s="49">
        <f>AVERAGE('31.07 Yumbe-Koboko'!H19,'01.08 Yumbe-Koboko'!H19,'04.08 Yumbe-Koboko'!H19,'05.08 Yumbe-Koboko'!H19,'02.08 Yumbe-Koboko-24h'!H19,'03.08 Yumbe-Koboko-24h'!H19,'06.08 Yumbe-Koboko'!H19)</f>
        <v>0.2857142857142857</v>
      </c>
      <c r="I19" s="49">
        <f>AVERAGE('31.07 Yumbe-Koboko'!I19,'01.08 Yumbe-Koboko'!I19,'04.08 Yumbe-Koboko'!I19,'05.08 Yumbe-Koboko'!I19,'02.08 Yumbe-Koboko-24h'!I19,'03.08 Yumbe-Koboko-24h'!I19,'06.08 Yumbe-Koboko'!I19)</f>
        <v>0</v>
      </c>
      <c r="J19" s="49">
        <f>AVERAGE('31.07 Yumbe-Koboko'!J19,'01.08 Yumbe-Koboko'!J19,'04.08 Yumbe-Koboko'!J19,'05.08 Yumbe-Koboko'!J19,'02.08 Yumbe-Koboko-24h'!J19,'03.08 Yumbe-Koboko-24h'!J19,'06.08 Yumbe-Koboko'!J19)</f>
        <v>0</v>
      </c>
      <c r="K19" s="49">
        <f>AVERAGE('31.07 Yumbe-Koboko'!K19,'01.08 Yumbe-Koboko'!K19,'04.08 Yumbe-Koboko'!K19,'05.08 Yumbe-Koboko'!K19,'02.08 Yumbe-Koboko-24h'!K19,'03.08 Yumbe-Koboko-24h'!K19,'06.08 Yumbe-Koboko'!K19)</f>
        <v>0.14285714285714285</v>
      </c>
      <c r="L19" s="49">
        <f>AVERAGE('31.07 Yumbe-Koboko'!L19,'01.08 Yumbe-Koboko'!L19,'04.08 Yumbe-Koboko'!L19,'05.08 Yumbe-Koboko'!L19,'02.08 Yumbe-Koboko-24h'!L19,'03.08 Yumbe-Koboko-24h'!L19,'06.08 Yumbe-Koboko'!L19)</f>
        <v>0</v>
      </c>
      <c r="M19" s="49">
        <f>AVERAGE('31.07 Yumbe-Koboko'!M19,'01.08 Yumbe-Koboko'!M19,'04.08 Yumbe-Koboko'!M19,'05.08 Yumbe-Koboko'!M19,'02.08 Yumbe-Koboko-24h'!M19,'03.08 Yumbe-Koboko-24h'!M19,'06.08 Yumbe-Koboko'!M19)</f>
        <v>9.5714285714285712</v>
      </c>
      <c r="N19" s="49">
        <f>AVERAGE('31.07 Yumbe-Koboko'!N19,'01.08 Yumbe-Koboko'!N19,'04.08 Yumbe-Koboko'!N19,'05.08 Yumbe-Koboko'!N19,'02.08 Yumbe-Koboko-24h'!N19,'03.08 Yumbe-Koboko-24h'!N19,'06.08 Yumbe-Koboko'!N19)</f>
        <v>0</v>
      </c>
      <c r="O19" s="15">
        <f t="shared" si="0"/>
        <v>2.9999999999999996</v>
      </c>
      <c r="P19" s="15">
        <f t="shared" si="1"/>
        <v>12.571428571428571</v>
      </c>
      <c r="R19" s="1" t="s">
        <v>15</v>
      </c>
      <c r="S19" s="17">
        <f t="shared" ref="S19:AF19" si="11">SUM(C46:C49)</f>
        <v>10.857142857142858</v>
      </c>
      <c r="T19" s="17">
        <f t="shared" si="11"/>
        <v>0.8571428571428571</v>
      </c>
      <c r="U19" s="17">
        <f t="shared" si="11"/>
        <v>5.7142857142857144</v>
      </c>
      <c r="V19" s="17">
        <f t="shared" si="11"/>
        <v>1.5714285714285714</v>
      </c>
      <c r="W19" s="17">
        <f t="shared" si="11"/>
        <v>0.2857142857142857</v>
      </c>
      <c r="X19" s="17">
        <f t="shared" si="11"/>
        <v>0.42857142857142855</v>
      </c>
      <c r="Y19" s="17">
        <f t="shared" si="11"/>
        <v>1.1428571428571428</v>
      </c>
      <c r="Z19" s="17">
        <f t="shared" si="11"/>
        <v>0.71428571428571419</v>
      </c>
      <c r="AA19" s="17">
        <f t="shared" si="11"/>
        <v>0</v>
      </c>
      <c r="AB19" s="17">
        <f t="shared" si="11"/>
        <v>0.14285714285714285</v>
      </c>
      <c r="AC19" s="17">
        <f t="shared" si="11"/>
        <v>27.428571428571431</v>
      </c>
      <c r="AD19" s="17">
        <f t="shared" si="11"/>
        <v>0</v>
      </c>
      <c r="AE19" s="31">
        <f t="shared" si="11"/>
        <v>21.714285714285715</v>
      </c>
      <c r="AF19" s="31">
        <f t="shared" si="11"/>
        <v>49.142857142857146</v>
      </c>
    </row>
    <row r="20" spans="2:32" ht="23.1" customHeight="1" x14ac:dyDescent="0.25">
      <c r="B20" s="23" t="s">
        <v>47</v>
      </c>
      <c r="C20" s="49">
        <f>AVERAGE('31.07 Yumbe-Koboko'!C20,'01.08 Yumbe-Koboko'!C20,'04.08 Yumbe-Koboko'!C20,'05.08 Yumbe-Koboko'!C20,'02.08 Yumbe-Koboko-24h'!C20,'03.08 Yumbe-Koboko-24h'!C20,'06.08 Yumbe-Koboko'!C20)</f>
        <v>3.2857142857142856</v>
      </c>
      <c r="D20" s="49">
        <f>AVERAGE('31.07 Yumbe-Koboko'!D20,'01.08 Yumbe-Koboko'!D20,'04.08 Yumbe-Koboko'!D20,'05.08 Yumbe-Koboko'!D20,'02.08 Yumbe-Koboko-24h'!D20,'03.08 Yumbe-Koboko-24h'!D20,'06.08 Yumbe-Koboko'!D20)</f>
        <v>0.42857142857142855</v>
      </c>
      <c r="E20" s="49">
        <f>AVERAGE('31.07 Yumbe-Koboko'!E20,'01.08 Yumbe-Koboko'!E20,'04.08 Yumbe-Koboko'!E20,'05.08 Yumbe-Koboko'!E20,'02.08 Yumbe-Koboko-24h'!E20,'03.08 Yumbe-Koboko-24h'!E20,'06.08 Yumbe-Koboko'!E20)</f>
        <v>1</v>
      </c>
      <c r="F20" s="49">
        <f>AVERAGE('31.07 Yumbe-Koboko'!F20,'01.08 Yumbe-Koboko'!F20,'04.08 Yumbe-Koboko'!F20,'05.08 Yumbe-Koboko'!F20,'02.08 Yumbe-Koboko-24h'!F20,'03.08 Yumbe-Koboko-24h'!F20,'06.08 Yumbe-Koboko'!F20)</f>
        <v>0.2857142857142857</v>
      </c>
      <c r="G20" s="49">
        <f>AVERAGE('31.07 Yumbe-Koboko'!G20,'01.08 Yumbe-Koboko'!G20,'04.08 Yumbe-Koboko'!G20,'05.08 Yumbe-Koboko'!G20,'02.08 Yumbe-Koboko-24h'!G20,'03.08 Yumbe-Koboko-24h'!G20,'06.08 Yumbe-Koboko'!G20)</f>
        <v>0.14285714285714285</v>
      </c>
      <c r="H20" s="49">
        <f>AVERAGE('31.07 Yumbe-Koboko'!H20,'01.08 Yumbe-Koboko'!H20,'04.08 Yumbe-Koboko'!H20,'05.08 Yumbe-Koboko'!H20,'02.08 Yumbe-Koboko-24h'!H20,'03.08 Yumbe-Koboko-24h'!H20,'06.08 Yumbe-Koboko'!H20)</f>
        <v>0.42857142857142855</v>
      </c>
      <c r="I20" s="49">
        <f>AVERAGE('31.07 Yumbe-Koboko'!I20,'01.08 Yumbe-Koboko'!I20,'04.08 Yumbe-Koboko'!I20,'05.08 Yumbe-Koboko'!I20,'02.08 Yumbe-Koboko-24h'!I20,'03.08 Yumbe-Koboko-24h'!I20,'06.08 Yumbe-Koboko'!I20)</f>
        <v>0.2857142857142857</v>
      </c>
      <c r="J20" s="49">
        <f>AVERAGE('31.07 Yumbe-Koboko'!J20,'01.08 Yumbe-Koboko'!J20,'04.08 Yumbe-Koboko'!J20,'05.08 Yumbe-Koboko'!J20,'02.08 Yumbe-Koboko-24h'!J20,'03.08 Yumbe-Koboko-24h'!J20,'06.08 Yumbe-Koboko'!J20)</f>
        <v>0</v>
      </c>
      <c r="K20" s="49">
        <f>AVERAGE('31.07 Yumbe-Koboko'!K20,'01.08 Yumbe-Koboko'!K20,'04.08 Yumbe-Koboko'!K20,'05.08 Yumbe-Koboko'!K20,'02.08 Yumbe-Koboko-24h'!K20,'03.08 Yumbe-Koboko-24h'!K20,'06.08 Yumbe-Koboko'!K20)</f>
        <v>0</v>
      </c>
      <c r="L20" s="49">
        <f>AVERAGE('31.07 Yumbe-Koboko'!L20,'01.08 Yumbe-Koboko'!L20,'04.08 Yumbe-Koboko'!L20,'05.08 Yumbe-Koboko'!L20,'02.08 Yumbe-Koboko-24h'!L20,'03.08 Yumbe-Koboko-24h'!L20,'06.08 Yumbe-Koboko'!L20)</f>
        <v>0</v>
      </c>
      <c r="M20" s="49">
        <f>AVERAGE('31.07 Yumbe-Koboko'!M20,'01.08 Yumbe-Koboko'!M20,'04.08 Yumbe-Koboko'!M20,'05.08 Yumbe-Koboko'!M20,'02.08 Yumbe-Koboko-24h'!M20,'03.08 Yumbe-Koboko-24h'!M20,'06.08 Yumbe-Koboko'!M20)</f>
        <v>11.285714285714286</v>
      </c>
      <c r="N20" s="49">
        <f>AVERAGE('31.07 Yumbe-Koboko'!N20,'01.08 Yumbe-Koboko'!N20,'04.08 Yumbe-Koboko'!N20,'05.08 Yumbe-Koboko'!N20,'02.08 Yumbe-Koboko-24h'!N20,'03.08 Yumbe-Koboko-24h'!N20,'06.08 Yumbe-Koboko'!N20)</f>
        <v>0</v>
      </c>
      <c r="O20" s="15">
        <f t="shared" si="0"/>
        <v>5.8571428571428568</v>
      </c>
      <c r="P20" s="15">
        <f t="shared" si="1"/>
        <v>17.142857142857142</v>
      </c>
      <c r="R20" s="1" t="s">
        <v>16</v>
      </c>
      <c r="S20" s="17">
        <f t="shared" ref="S20:AF20" si="12">SUM(C50:C53)</f>
        <v>11.428571428571427</v>
      </c>
      <c r="T20" s="17">
        <f t="shared" si="12"/>
        <v>0.71428571428571419</v>
      </c>
      <c r="U20" s="17">
        <f t="shared" si="12"/>
        <v>5.1428571428571423</v>
      </c>
      <c r="V20" s="17">
        <f t="shared" si="12"/>
        <v>1.2857142857142856</v>
      </c>
      <c r="W20" s="17">
        <f t="shared" si="12"/>
        <v>0.14285714285714285</v>
      </c>
      <c r="X20" s="17">
        <f t="shared" si="12"/>
        <v>0.42857142857142855</v>
      </c>
      <c r="Y20" s="17">
        <f t="shared" si="12"/>
        <v>2.1428571428571428</v>
      </c>
      <c r="Z20" s="17">
        <f t="shared" si="12"/>
        <v>0.5714285714285714</v>
      </c>
      <c r="AA20" s="17">
        <f t="shared" si="12"/>
        <v>0.14285714285714285</v>
      </c>
      <c r="AB20" s="17">
        <f t="shared" si="12"/>
        <v>0.5714285714285714</v>
      </c>
      <c r="AC20" s="17">
        <f t="shared" si="12"/>
        <v>37</v>
      </c>
      <c r="AD20" s="17">
        <f t="shared" si="12"/>
        <v>0.5714285714285714</v>
      </c>
      <c r="AE20" s="31">
        <f t="shared" si="12"/>
        <v>23.142857142857146</v>
      </c>
      <c r="AF20" s="31">
        <f t="shared" si="12"/>
        <v>60.142857142857139</v>
      </c>
    </row>
    <row r="21" spans="2:32" ht="23.1" customHeight="1" x14ac:dyDescent="0.25">
      <c r="B21" s="23" t="s">
        <v>48</v>
      </c>
      <c r="C21" s="49">
        <f>AVERAGE('31.07 Yumbe-Koboko'!C21,'01.08 Yumbe-Koboko'!C21,'04.08 Yumbe-Koboko'!C21,'05.08 Yumbe-Koboko'!C21,'02.08 Yumbe-Koboko-24h'!C21,'03.08 Yumbe-Koboko-24h'!C21,'06.08 Yumbe-Koboko'!C21)</f>
        <v>2.1428571428571428</v>
      </c>
      <c r="D21" s="49">
        <f>AVERAGE('31.07 Yumbe-Koboko'!D21,'01.08 Yumbe-Koboko'!D21,'04.08 Yumbe-Koboko'!D21,'05.08 Yumbe-Koboko'!D21,'02.08 Yumbe-Koboko-24h'!D21,'03.08 Yumbe-Koboko-24h'!D21,'06.08 Yumbe-Koboko'!D21)</f>
        <v>0</v>
      </c>
      <c r="E21" s="49">
        <f>AVERAGE('31.07 Yumbe-Koboko'!E21,'01.08 Yumbe-Koboko'!E21,'04.08 Yumbe-Koboko'!E21,'05.08 Yumbe-Koboko'!E21,'02.08 Yumbe-Koboko-24h'!E21,'03.08 Yumbe-Koboko-24h'!E21,'06.08 Yumbe-Koboko'!E21)</f>
        <v>0.5714285714285714</v>
      </c>
      <c r="F21" s="49">
        <f>AVERAGE('31.07 Yumbe-Koboko'!F21,'01.08 Yumbe-Koboko'!F21,'04.08 Yumbe-Koboko'!F21,'05.08 Yumbe-Koboko'!F21,'02.08 Yumbe-Koboko-24h'!F21,'03.08 Yumbe-Koboko-24h'!F21,'06.08 Yumbe-Koboko'!F21)</f>
        <v>0.2857142857142857</v>
      </c>
      <c r="G21" s="49">
        <f>AVERAGE('31.07 Yumbe-Koboko'!G21,'01.08 Yumbe-Koboko'!G21,'04.08 Yumbe-Koboko'!G21,'05.08 Yumbe-Koboko'!G21,'02.08 Yumbe-Koboko-24h'!G21,'03.08 Yumbe-Koboko-24h'!G21,'06.08 Yumbe-Koboko'!G21)</f>
        <v>0</v>
      </c>
      <c r="H21" s="49">
        <f>AVERAGE('31.07 Yumbe-Koboko'!H21,'01.08 Yumbe-Koboko'!H21,'04.08 Yumbe-Koboko'!H21,'05.08 Yumbe-Koboko'!H21,'02.08 Yumbe-Koboko-24h'!H21,'03.08 Yumbe-Koboko-24h'!H21,'06.08 Yumbe-Koboko'!H21)</f>
        <v>0.14285714285714285</v>
      </c>
      <c r="I21" s="49">
        <f>AVERAGE('31.07 Yumbe-Koboko'!I21,'01.08 Yumbe-Koboko'!I21,'04.08 Yumbe-Koboko'!I21,'05.08 Yumbe-Koboko'!I21,'02.08 Yumbe-Koboko-24h'!I21,'03.08 Yumbe-Koboko-24h'!I21,'06.08 Yumbe-Koboko'!I21)</f>
        <v>0.14285714285714285</v>
      </c>
      <c r="J21" s="49">
        <f>AVERAGE('31.07 Yumbe-Koboko'!J21,'01.08 Yumbe-Koboko'!J21,'04.08 Yumbe-Koboko'!J21,'05.08 Yumbe-Koboko'!J21,'02.08 Yumbe-Koboko-24h'!J21,'03.08 Yumbe-Koboko-24h'!J21,'06.08 Yumbe-Koboko'!J21)</f>
        <v>0</v>
      </c>
      <c r="K21" s="49">
        <f>AVERAGE('31.07 Yumbe-Koboko'!K21,'01.08 Yumbe-Koboko'!K21,'04.08 Yumbe-Koboko'!K21,'05.08 Yumbe-Koboko'!K21,'02.08 Yumbe-Koboko-24h'!K21,'03.08 Yumbe-Koboko-24h'!K21,'06.08 Yumbe-Koboko'!K21)</f>
        <v>0.14285714285714285</v>
      </c>
      <c r="L21" s="49">
        <f>AVERAGE('31.07 Yumbe-Koboko'!L21,'01.08 Yumbe-Koboko'!L21,'04.08 Yumbe-Koboko'!L21,'05.08 Yumbe-Koboko'!L21,'02.08 Yumbe-Koboko-24h'!L21,'03.08 Yumbe-Koboko-24h'!L21,'06.08 Yumbe-Koboko'!L21)</f>
        <v>0</v>
      </c>
      <c r="M21" s="49">
        <f>AVERAGE('31.07 Yumbe-Koboko'!M21,'01.08 Yumbe-Koboko'!M21,'04.08 Yumbe-Koboko'!M21,'05.08 Yumbe-Koboko'!M21,'02.08 Yumbe-Koboko-24h'!M21,'03.08 Yumbe-Koboko-24h'!M21,'06.08 Yumbe-Koboko'!M21)</f>
        <v>9.5714285714285712</v>
      </c>
      <c r="N21" s="49">
        <f>AVERAGE('31.07 Yumbe-Koboko'!N21,'01.08 Yumbe-Koboko'!N21,'04.08 Yumbe-Koboko'!N21,'05.08 Yumbe-Koboko'!N21,'02.08 Yumbe-Koboko-24h'!N21,'03.08 Yumbe-Koboko-24h'!N21,'06.08 Yumbe-Koboko'!N21)</f>
        <v>0.14285714285714285</v>
      </c>
      <c r="O21" s="15">
        <f t="shared" si="0"/>
        <v>3.5714285714285712</v>
      </c>
      <c r="P21" s="15">
        <f t="shared" si="1"/>
        <v>13.142857142857142</v>
      </c>
      <c r="R21" s="1" t="s">
        <v>20</v>
      </c>
      <c r="S21" s="34">
        <f t="shared" ref="S21:AF21" si="13">SUM(C54:C57)</f>
        <v>11.142857142857142</v>
      </c>
      <c r="T21" s="17">
        <f t="shared" si="13"/>
        <v>0.8571428571428571</v>
      </c>
      <c r="U21" s="17">
        <f t="shared" si="13"/>
        <v>6.2857142857142865</v>
      </c>
      <c r="V21" s="17">
        <f t="shared" si="13"/>
        <v>2.0952380952380949</v>
      </c>
      <c r="W21" s="17">
        <f t="shared" si="13"/>
        <v>0.42857142857142855</v>
      </c>
      <c r="X21" s="17">
        <f t="shared" si="13"/>
        <v>1.2857142857142856</v>
      </c>
      <c r="Y21" s="17">
        <f t="shared" si="13"/>
        <v>1.8571428571428572</v>
      </c>
      <c r="Z21" s="17">
        <f t="shared" si="13"/>
        <v>0.2857142857142857</v>
      </c>
      <c r="AA21" s="17">
        <f t="shared" si="13"/>
        <v>0</v>
      </c>
      <c r="AB21" s="17">
        <f t="shared" si="13"/>
        <v>0.2857142857142857</v>
      </c>
      <c r="AC21" s="17">
        <f t="shared" si="13"/>
        <v>41.571428571428569</v>
      </c>
      <c r="AD21" s="17">
        <f t="shared" si="13"/>
        <v>0.42857142857142855</v>
      </c>
      <c r="AE21" s="31">
        <f t="shared" si="13"/>
        <v>24.952380952380953</v>
      </c>
      <c r="AF21" s="31">
        <f t="shared" si="13"/>
        <v>66.523809523809518</v>
      </c>
    </row>
    <row r="22" spans="2:32" ht="23.1" customHeight="1" x14ac:dyDescent="0.25">
      <c r="B22" s="23" t="s">
        <v>49</v>
      </c>
      <c r="C22" s="49">
        <f>AVERAGE('31.07 Yumbe-Koboko'!C22,'01.08 Yumbe-Koboko'!C22,'04.08 Yumbe-Koboko'!C22,'05.08 Yumbe-Koboko'!C22,'02.08 Yumbe-Koboko-24h'!C22,'03.08 Yumbe-Koboko-24h'!C22,'06.08 Yumbe-Koboko'!C22)</f>
        <v>1.5714285714285714</v>
      </c>
      <c r="D22" s="49">
        <f>AVERAGE('31.07 Yumbe-Koboko'!D22,'01.08 Yumbe-Koboko'!D22,'04.08 Yumbe-Koboko'!D22,'05.08 Yumbe-Koboko'!D22,'02.08 Yumbe-Koboko-24h'!D22,'03.08 Yumbe-Koboko-24h'!D22,'06.08 Yumbe-Koboko'!D22)</f>
        <v>0.42857142857142855</v>
      </c>
      <c r="E22" s="49">
        <f>AVERAGE('31.07 Yumbe-Koboko'!E22,'01.08 Yumbe-Koboko'!E22,'04.08 Yumbe-Koboko'!E22,'05.08 Yumbe-Koboko'!E22,'02.08 Yumbe-Koboko-24h'!E22,'03.08 Yumbe-Koboko-24h'!E22,'06.08 Yumbe-Koboko'!E22)</f>
        <v>1.4285714285714286</v>
      </c>
      <c r="F22" s="49">
        <f>AVERAGE('31.07 Yumbe-Koboko'!F22,'01.08 Yumbe-Koboko'!F22,'04.08 Yumbe-Koboko'!F22,'05.08 Yumbe-Koboko'!F22,'02.08 Yumbe-Koboko-24h'!F22,'03.08 Yumbe-Koboko-24h'!F22,'06.08 Yumbe-Koboko'!F22)</f>
        <v>0.14285714285714285</v>
      </c>
      <c r="G22" s="49">
        <f>AVERAGE('31.07 Yumbe-Koboko'!G22,'01.08 Yumbe-Koboko'!G22,'04.08 Yumbe-Koboko'!G22,'05.08 Yumbe-Koboko'!G22,'02.08 Yumbe-Koboko-24h'!G22,'03.08 Yumbe-Koboko-24h'!G22,'06.08 Yumbe-Koboko'!G22)</f>
        <v>0.14285714285714285</v>
      </c>
      <c r="H22" s="49">
        <f>AVERAGE('31.07 Yumbe-Koboko'!H22,'01.08 Yumbe-Koboko'!H22,'04.08 Yumbe-Koboko'!H22,'05.08 Yumbe-Koboko'!H22,'02.08 Yumbe-Koboko-24h'!H22,'03.08 Yumbe-Koboko-24h'!H22,'06.08 Yumbe-Koboko'!H22)</f>
        <v>0.14285714285714285</v>
      </c>
      <c r="I22" s="49">
        <f>AVERAGE('31.07 Yumbe-Koboko'!I22,'01.08 Yumbe-Koboko'!I22,'04.08 Yumbe-Koboko'!I22,'05.08 Yumbe-Koboko'!I22,'02.08 Yumbe-Koboko-24h'!I22,'03.08 Yumbe-Koboko-24h'!I22,'06.08 Yumbe-Koboko'!I22)</f>
        <v>0.2857142857142857</v>
      </c>
      <c r="J22" s="49">
        <f>AVERAGE('31.07 Yumbe-Koboko'!J22,'01.08 Yumbe-Koboko'!J22,'04.08 Yumbe-Koboko'!J22,'05.08 Yumbe-Koboko'!J22,'02.08 Yumbe-Koboko-24h'!J22,'03.08 Yumbe-Koboko-24h'!J22,'06.08 Yumbe-Koboko'!J22)</f>
        <v>0</v>
      </c>
      <c r="K22" s="49">
        <f>AVERAGE('31.07 Yumbe-Koboko'!K22,'01.08 Yumbe-Koboko'!K22,'04.08 Yumbe-Koboko'!K22,'05.08 Yumbe-Koboko'!K22,'02.08 Yumbe-Koboko-24h'!K22,'03.08 Yumbe-Koboko-24h'!K22,'06.08 Yumbe-Koboko'!K22)</f>
        <v>0</v>
      </c>
      <c r="L22" s="49">
        <f>AVERAGE('31.07 Yumbe-Koboko'!L22,'01.08 Yumbe-Koboko'!L22,'04.08 Yumbe-Koboko'!L22,'05.08 Yumbe-Koboko'!L22,'02.08 Yumbe-Koboko-24h'!L22,'03.08 Yumbe-Koboko-24h'!L22,'06.08 Yumbe-Koboko'!L22)</f>
        <v>0</v>
      </c>
      <c r="M22" s="49">
        <f>AVERAGE('31.07 Yumbe-Koboko'!M22,'01.08 Yumbe-Koboko'!M22,'04.08 Yumbe-Koboko'!M22,'05.08 Yumbe-Koboko'!M22,'02.08 Yumbe-Koboko-24h'!M22,'03.08 Yumbe-Koboko-24h'!M22,'06.08 Yumbe-Koboko'!M22)</f>
        <v>9.2857142857142865</v>
      </c>
      <c r="N22" s="49">
        <f>AVERAGE('31.07 Yumbe-Koboko'!N22,'01.08 Yumbe-Koboko'!N22,'04.08 Yumbe-Koboko'!N22,'05.08 Yumbe-Koboko'!N22,'02.08 Yumbe-Koboko-24h'!N22,'03.08 Yumbe-Koboko-24h'!N22,'06.08 Yumbe-Koboko'!N22)</f>
        <v>0</v>
      </c>
      <c r="O22" s="15">
        <f t="shared" si="0"/>
        <v>4.1428571428571432</v>
      </c>
      <c r="P22" s="15">
        <f t="shared" si="1"/>
        <v>13.428571428571431</v>
      </c>
      <c r="R22" s="1" t="s">
        <v>146</v>
      </c>
      <c r="S22" s="34">
        <f>SUM(C58:C61)</f>
        <v>3.5</v>
      </c>
      <c r="T22" s="34">
        <f t="shared" ref="T22:AF22" si="14">SUM(D58:D61)</f>
        <v>1</v>
      </c>
      <c r="U22" s="34">
        <f t="shared" si="14"/>
        <v>6</v>
      </c>
      <c r="V22" s="34">
        <f t="shared" si="14"/>
        <v>3</v>
      </c>
      <c r="W22" s="34">
        <f t="shared" si="14"/>
        <v>0</v>
      </c>
      <c r="X22" s="34">
        <f t="shared" si="14"/>
        <v>0</v>
      </c>
      <c r="Y22" s="34">
        <f t="shared" si="14"/>
        <v>1.5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14</v>
      </c>
      <c r="AD22" s="34">
        <f t="shared" si="14"/>
        <v>0</v>
      </c>
      <c r="AE22" s="31">
        <f t="shared" si="14"/>
        <v>15</v>
      </c>
      <c r="AF22" s="31">
        <f t="shared" si="14"/>
        <v>29</v>
      </c>
    </row>
    <row r="23" spans="2:32" ht="23.1" customHeight="1" x14ac:dyDescent="0.25">
      <c r="B23" s="23" t="s">
        <v>50</v>
      </c>
      <c r="C23" s="49">
        <f>AVERAGE('31.07 Yumbe-Koboko'!C23,'01.08 Yumbe-Koboko'!C23,'04.08 Yumbe-Koboko'!C23,'05.08 Yumbe-Koboko'!C23,'02.08 Yumbe-Koboko-24h'!C23,'03.08 Yumbe-Koboko-24h'!C23,'06.08 Yumbe-Koboko'!C23)</f>
        <v>2.2857142857142856</v>
      </c>
      <c r="D23" s="49">
        <f>AVERAGE('31.07 Yumbe-Koboko'!D23,'01.08 Yumbe-Koboko'!D23,'04.08 Yumbe-Koboko'!D23,'05.08 Yumbe-Koboko'!D23,'02.08 Yumbe-Koboko-24h'!D23,'03.08 Yumbe-Koboko-24h'!D23,'06.08 Yumbe-Koboko'!D23)</f>
        <v>0.14285714285714285</v>
      </c>
      <c r="E23" s="49">
        <f>AVERAGE('31.07 Yumbe-Koboko'!E23,'01.08 Yumbe-Koboko'!E23,'04.08 Yumbe-Koboko'!E23,'05.08 Yumbe-Koboko'!E23,'02.08 Yumbe-Koboko-24h'!E23,'03.08 Yumbe-Koboko-24h'!E23,'06.08 Yumbe-Koboko'!E23)</f>
        <v>0.8571428571428571</v>
      </c>
      <c r="F23" s="49">
        <f>AVERAGE('31.07 Yumbe-Koboko'!F23,'01.08 Yumbe-Koboko'!F23,'04.08 Yumbe-Koboko'!F23,'05.08 Yumbe-Koboko'!F23,'02.08 Yumbe-Koboko-24h'!F23,'03.08 Yumbe-Koboko-24h'!F23,'06.08 Yumbe-Koboko'!F23)</f>
        <v>0</v>
      </c>
      <c r="G23" s="49">
        <f>AVERAGE('31.07 Yumbe-Koboko'!G23,'01.08 Yumbe-Koboko'!G23,'04.08 Yumbe-Koboko'!G23,'05.08 Yumbe-Koboko'!G23,'02.08 Yumbe-Koboko-24h'!G23,'03.08 Yumbe-Koboko-24h'!G23,'06.08 Yumbe-Koboko'!G23)</f>
        <v>0</v>
      </c>
      <c r="H23" s="49">
        <f>AVERAGE('31.07 Yumbe-Koboko'!H23,'01.08 Yumbe-Koboko'!H23,'04.08 Yumbe-Koboko'!H23,'05.08 Yumbe-Koboko'!H23,'02.08 Yumbe-Koboko-24h'!H23,'03.08 Yumbe-Koboko-24h'!H23,'06.08 Yumbe-Koboko'!H23)</f>
        <v>0.14285714285714285</v>
      </c>
      <c r="I23" s="49">
        <f>AVERAGE('31.07 Yumbe-Koboko'!I23,'01.08 Yumbe-Koboko'!I23,'04.08 Yumbe-Koboko'!I23,'05.08 Yumbe-Koboko'!I23,'02.08 Yumbe-Koboko-24h'!I23,'03.08 Yumbe-Koboko-24h'!I23,'06.08 Yumbe-Koboko'!I23)</f>
        <v>0</v>
      </c>
      <c r="J23" s="49">
        <f>AVERAGE('31.07 Yumbe-Koboko'!J23,'01.08 Yumbe-Koboko'!J23,'04.08 Yumbe-Koboko'!J23,'05.08 Yumbe-Koboko'!J23,'02.08 Yumbe-Koboko-24h'!J23,'03.08 Yumbe-Koboko-24h'!J23,'06.08 Yumbe-Koboko'!J23)</f>
        <v>0</v>
      </c>
      <c r="K23" s="49">
        <f>AVERAGE('31.07 Yumbe-Koboko'!K23,'01.08 Yumbe-Koboko'!K23,'04.08 Yumbe-Koboko'!K23,'05.08 Yumbe-Koboko'!K23,'02.08 Yumbe-Koboko-24h'!K23,'03.08 Yumbe-Koboko-24h'!K23,'06.08 Yumbe-Koboko'!K23)</f>
        <v>0</v>
      </c>
      <c r="L23" s="49">
        <f>AVERAGE('31.07 Yumbe-Koboko'!L23,'01.08 Yumbe-Koboko'!L23,'04.08 Yumbe-Koboko'!L23,'05.08 Yumbe-Koboko'!L23,'02.08 Yumbe-Koboko-24h'!L23,'03.08 Yumbe-Koboko-24h'!L23,'06.08 Yumbe-Koboko'!L23)</f>
        <v>0</v>
      </c>
      <c r="M23" s="49">
        <f>AVERAGE('31.07 Yumbe-Koboko'!M23,'01.08 Yumbe-Koboko'!M23,'04.08 Yumbe-Koboko'!M23,'05.08 Yumbe-Koboko'!M23,'02.08 Yumbe-Koboko-24h'!M23,'03.08 Yumbe-Koboko-24h'!M23,'06.08 Yumbe-Koboko'!M23)</f>
        <v>8.5714285714285712</v>
      </c>
      <c r="N23" s="49">
        <f>AVERAGE('31.07 Yumbe-Koboko'!N23,'01.08 Yumbe-Koboko'!N23,'04.08 Yumbe-Koboko'!N23,'05.08 Yumbe-Koboko'!N23,'02.08 Yumbe-Koboko-24h'!N23,'03.08 Yumbe-Koboko-24h'!N23,'06.08 Yumbe-Koboko'!N23)</f>
        <v>0</v>
      </c>
      <c r="O23" s="15">
        <f t="shared" si="0"/>
        <v>3.4285714285714284</v>
      </c>
      <c r="P23" s="15">
        <f t="shared" si="1"/>
        <v>12</v>
      </c>
      <c r="R23" s="1" t="s">
        <v>147</v>
      </c>
      <c r="S23" s="34">
        <f>SUM(C62:C65)</f>
        <v>5</v>
      </c>
      <c r="T23" s="34">
        <f t="shared" ref="T23:AF23" si="15">SUM(D62:D65)</f>
        <v>0</v>
      </c>
      <c r="U23" s="34">
        <f t="shared" si="15"/>
        <v>2</v>
      </c>
      <c r="V23" s="34">
        <f t="shared" si="15"/>
        <v>1.5</v>
      </c>
      <c r="W23" s="34">
        <f t="shared" si="15"/>
        <v>0.5</v>
      </c>
      <c r="X23" s="34">
        <f t="shared" si="15"/>
        <v>0</v>
      </c>
      <c r="Y23" s="34">
        <f t="shared" si="15"/>
        <v>0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4.5</v>
      </c>
      <c r="AD23" s="34">
        <f t="shared" si="15"/>
        <v>0</v>
      </c>
      <c r="AE23" s="31">
        <f t="shared" si="15"/>
        <v>10</v>
      </c>
      <c r="AF23" s="31">
        <f t="shared" si="15"/>
        <v>14.5</v>
      </c>
    </row>
    <row r="24" spans="2:32" ht="23.1" customHeight="1" x14ac:dyDescent="0.25">
      <c r="B24" s="23" t="s">
        <v>51</v>
      </c>
      <c r="C24" s="49">
        <f>AVERAGE('31.07 Yumbe-Koboko'!C24,'01.08 Yumbe-Koboko'!C24,'04.08 Yumbe-Koboko'!C24,'05.08 Yumbe-Koboko'!C24,'02.08 Yumbe-Koboko-24h'!C24,'03.08 Yumbe-Koboko-24h'!C24,'06.08 Yumbe-Koboko'!C24)</f>
        <v>1.8571428571428572</v>
      </c>
      <c r="D24" s="49">
        <f>AVERAGE('31.07 Yumbe-Koboko'!D24,'01.08 Yumbe-Koboko'!D24,'04.08 Yumbe-Koboko'!D24,'05.08 Yumbe-Koboko'!D24,'02.08 Yumbe-Koboko-24h'!D24,'03.08 Yumbe-Koboko-24h'!D24,'06.08 Yumbe-Koboko'!D24)</f>
        <v>0</v>
      </c>
      <c r="E24" s="49">
        <f>AVERAGE('31.07 Yumbe-Koboko'!E24,'01.08 Yumbe-Koboko'!E24,'04.08 Yumbe-Koboko'!E24,'05.08 Yumbe-Koboko'!E24,'02.08 Yumbe-Koboko-24h'!E24,'03.08 Yumbe-Koboko-24h'!E24,'06.08 Yumbe-Koboko'!E24)</f>
        <v>1.1428571428571428</v>
      </c>
      <c r="F24" s="49">
        <f>AVERAGE('31.07 Yumbe-Koboko'!F24,'01.08 Yumbe-Koboko'!F24,'04.08 Yumbe-Koboko'!F24,'05.08 Yumbe-Koboko'!F24,'02.08 Yumbe-Koboko-24h'!F24,'03.08 Yumbe-Koboko-24h'!F24,'06.08 Yumbe-Koboko'!F24)</f>
        <v>0.5714285714285714</v>
      </c>
      <c r="G24" s="49">
        <f>AVERAGE('31.07 Yumbe-Koboko'!G24,'01.08 Yumbe-Koboko'!G24,'04.08 Yumbe-Koboko'!G24,'05.08 Yumbe-Koboko'!G24,'02.08 Yumbe-Koboko-24h'!G24,'03.08 Yumbe-Koboko-24h'!G24,'06.08 Yumbe-Koboko'!G24)</f>
        <v>0</v>
      </c>
      <c r="H24" s="49">
        <f>AVERAGE('31.07 Yumbe-Koboko'!H24,'01.08 Yumbe-Koboko'!H24,'04.08 Yumbe-Koboko'!H24,'05.08 Yumbe-Koboko'!H24,'02.08 Yumbe-Koboko-24h'!H24,'03.08 Yumbe-Koboko-24h'!H24,'06.08 Yumbe-Koboko'!H24)</f>
        <v>0</v>
      </c>
      <c r="I24" s="49">
        <f>AVERAGE('31.07 Yumbe-Koboko'!I24,'01.08 Yumbe-Koboko'!I24,'04.08 Yumbe-Koboko'!I24,'05.08 Yumbe-Koboko'!I24,'02.08 Yumbe-Koboko-24h'!I24,'03.08 Yumbe-Koboko-24h'!I24,'06.08 Yumbe-Koboko'!I24)</f>
        <v>0.14285714285714285</v>
      </c>
      <c r="J24" s="49">
        <f>AVERAGE('31.07 Yumbe-Koboko'!J24,'01.08 Yumbe-Koboko'!J24,'04.08 Yumbe-Koboko'!J24,'05.08 Yumbe-Koboko'!J24,'02.08 Yumbe-Koboko-24h'!J24,'03.08 Yumbe-Koboko-24h'!J24,'06.08 Yumbe-Koboko'!J24)</f>
        <v>0.14285714285714285</v>
      </c>
      <c r="K24" s="49">
        <f>AVERAGE('31.07 Yumbe-Koboko'!K24,'01.08 Yumbe-Koboko'!K24,'04.08 Yumbe-Koboko'!K24,'05.08 Yumbe-Koboko'!K24,'02.08 Yumbe-Koboko-24h'!K24,'03.08 Yumbe-Koboko-24h'!K24,'06.08 Yumbe-Koboko'!K24)</f>
        <v>0</v>
      </c>
      <c r="L24" s="49">
        <f>AVERAGE('31.07 Yumbe-Koboko'!L24,'01.08 Yumbe-Koboko'!L24,'04.08 Yumbe-Koboko'!L24,'05.08 Yumbe-Koboko'!L24,'02.08 Yumbe-Koboko-24h'!L24,'03.08 Yumbe-Koboko-24h'!L24,'06.08 Yumbe-Koboko'!L24)</f>
        <v>0</v>
      </c>
      <c r="M24" s="49">
        <f>AVERAGE('31.07 Yumbe-Koboko'!M24,'01.08 Yumbe-Koboko'!M24,'04.08 Yumbe-Koboko'!M24,'05.08 Yumbe-Koboko'!M24,'02.08 Yumbe-Koboko-24h'!M24,'03.08 Yumbe-Koboko-24h'!M24,'06.08 Yumbe-Koboko'!M24)</f>
        <v>10.142857142857142</v>
      </c>
      <c r="N24" s="49">
        <f>AVERAGE('31.07 Yumbe-Koboko'!N24,'01.08 Yumbe-Koboko'!N24,'04.08 Yumbe-Koboko'!N24,'05.08 Yumbe-Koboko'!N24,'02.08 Yumbe-Koboko-24h'!N24,'03.08 Yumbe-Koboko-24h'!N24,'06.08 Yumbe-Koboko'!N24)</f>
        <v>0</v>
      </c>
      <c r="O24" s="15">
        <f t="shared" si="0"/>
        <v>3.8571428571428568</v>
      </c>
      <c r="P24" s="15">
        <f t="shared" si="1"/>
        <v>14</v>
      </c>
      <c r="R24" s="1" t="s">
        <v>148</v>
      </c>
      <c r="S24" s="34">
        <f>SUM(C66:C69)</f>
        <v>0.5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0.5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3.5</v>
      </c>
      <c r="AD24" s="34">
        <f t="shared" si="16"/>
        <v>0</v>
      </c>
      <c r="AE24" s="31">
        <f t="shared" si="16"/>
        <v>2</v>
      </c>
      <c r="AF24" s="31">
        <f t="shared" si="16"/>
        <v>5.5</v>
      </c>
    </row>
    <row r="25" spans="2:32" ht="23.1" customHeight="1" x14ac:dyDescent="0.25">
      <c r="B25" s="23" t="s">
        <v>52</v>
      </c>
      <c r="C25" s="49">
        <f>AVERAGE('31.07 Yumbe-Koboko'!C25,'01.08 Yumbe-Koboko'!C25,'04.08 Yumbe-Koboko'!C25,'05.08 Yumbe-Koboko'!C25,'02.08 Yumbe-Koboko-24h'!C25,'03.08 Yumbe-Koboko-24h'!C25,'06.08 Yumbe-Koboko'!C25)</f>
        <v>1.7142857142857142</v>
      </c>
      <c r="D25" s="49">
        <f>AVERAGE('31.07 Yumbe-Koboko'!D25,'01.08 Yumbe-Koboko'!D25,'04.08 Yumbe-Koboko'!D25,'05.08 Yumbe-Koboko'!D25,'02.08 Yumbe-Koboko-24h'!D25,'03.08 Yumbe-Koboko-24h'!D25,'06.08 Yumbe-Koboko'!D25)</f>
        <v>0</v>
      </c>
      <c r="E25" s="49">
        <f>AVERAGE('31.07 Yumbe-Koboko'!E25,'01.08 Yumbe-Koboko'!E25,'04.08 Yumbe-Koboko'!E25,'05.08 Yumbe-Koboko'!E25,'02.08 Yumbe-Koboko-24h'!E25,'03.08 Yumbe-Koboko-24h'!E25,'06.08 Yumbe-Koboko'!E25)</f>
        <v>0.8571428571428571</v>
      </c>
      <c r="F25" s="49">
        <f>AVERAGE('31.07 Yumbe-Koboko'!F25,'01.08 Yumbe-Koboko'!F25,'04.08 Yumbe-Koboko'!F25,'05.08 Yumbe-Koboko'!F25,'02.08 Yumbe-Koboko-24h'!F25,'03.08 Yumbe-Koboko-24h'!F25,'06.08 Yumbe-Koboko'!F25)</f>
        <v>0.5714285714285714</v>
      </c>
      <c r="G25" s="49">
        <f>AVERAGE('31.07 Yumbe-Koboko'!G25,'01.08 Yumbe-Koboko'!G25,'04.08 Yumbe-Koboko'!G25,'05.08 Yumbe-Koboko'!G25,'02.08 Yumbe-Koboko-24h'!G25,'03.08 Yumbe-Koboko-24h'!G25,'06.08 Yumbe-Koboko'!G25)</f>
        <v>0</v>
      </c>
      <c r="H25" s="49">
        <f>AVERAGE('31.07 Yumbe-Koboko'!H25,'01.08 Yumbe-Koboko'!H25,'04.08 Yumbe-Koboko'!H25,'05.08 Yumbe-Koboko'!H25,'02.08 Yumbe-Koboko-24h'!H25,'03.08 Yumbe-Koboko-24h'!H25,'06.08 Yumbe-Koboko'!H25)</f>
        <v>0</v>
      </c>
      <c r="I25" s="49">
        <f>AVERAGE('31.07 Yumbe-Koboko'!I25,'01.08 Yumbe-Koboko'!I25,'04.08 Yumbe-Koboko'!I25,'05.08 Yumbe-Koboko'!I25,'02.08 Yumbe-Koboko-24h'!I25,'03.08 Yumbe-Koboko-24h'!I25,'06.08 Yumbe-Koboko'!I25)</f>
        <v>0</v>
      </c>
      <c r="J25" s="49">
        <f>AVERAGE('31.07 Yumbe-Koboko'!J25,'01.08 Yumbe-Koboko'!J25,'04.08 Yumbe-Koboko'!J25,'05.08 Yumbe-Koboko'!J25,'02.08 Yumbe-Koboko-24h'!J25,'03.08 Yumbe-Koboko-24h'!J25,'06.08 Yumbe-Koboko'!J25)</f>
        <v>0</v>
      </c>
      <c r="K25" s="49">
        <f>AVERAGE('31.07 Yumbe-Koboko'!K25,'01.08 Yumbe-Koboko'!K25,'04.08 Yumbe-Koboko'!K25,'05.08 Yumbe-Koboko'!K25,'02.08 Yumbe-Koboko-24h'!K25,'03.08 Yumbe-Koboko-24h'!K25,'06.08 Yumbe-Koboko'!K25)</f>
        <v>0.14285714285714285</v>
      </c>
      <c r="L25" s="49">
        <f>AVERAGE('31.07 Yumbe-Koboko'!L25,'01.08 Yumbe-Koboko'!L25,'04.08 Yumbe-Koboko'!L25,'05.08 Yumbe-Koboko'!L25,'02.08 Yumbe-Koboko-24h'!L25,'03.08 Yumbe-Koboko-24h'!L25,'06.08 Yumbe-Koboko'!L25)</f>
        <v>0</v>
      </c>
      <c r="M25" s="49">
        <f>AVERAGE('31.07 Yumbe-Koboko'!M25,'01.08 Yumbe-Koboko'!M25,'04.08 Yumbe-Koboko'!M25,'05.08 Yumbe-Koboko'!M25,'02.08 Yumbe-Koboko-24h'!M25,'03.08 Yumbe-Koboko-24h'!M25,'06.08 Yumbe-Koboko'!M25)</f>
        <v>10.142857142857142</v>
      </c>
      <c r="N25" s="49">
        <f>AVERAGE('31.07 Yumbe-Koboko'!N25,'01.08 Yumbe-Koboko'!N25,'04.08 Yumbe-Koboko'!N25,'05.08 Yumbe-Koboko'!N25,'02.08 Yumbe-Koboko-24h'!N25,'03.08 Yumbe-Koboko-24h'!N25,'06.08 Yumbe-Koboko'!N25)</f>
        <v>0</v>
      </c>
      <c r="O25" s="15">
        <f t="shared" si="0"/>
        <v>3.2857142857142851</v>
      </c>
      <c r="P25" s="15">
        <f t="shared" si="1"/>
        <v>13.428571428571427</v>
      </c>
      <c r="R25" s="1" t="s">
        <v>149</v>
      </c>
      <c r="S25" s="34">
        <f>SUM(C70:C73)</f>
        <v>0.5</v>
      </c>
      <c r="T25" s="34">
        <f t="shared" ref="T25:AF25" si="17">SUM(D70:D73)</f>
        <v>0</v>
      </c>
      <c r="U25" s="34">
        <f t="shared" si="17"/>
        <v>0.5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1.5</v>
      </c>
      <c r="AD25" s="34">
        <f t="shared" si="17"/>
        <v>0</v>
      </c>
      <c r="AE25" s="31">
        <f t="shared" si="17"/>
        <v>1</v>
      </c>
      <c r="AF25" s="31">
        <f t="shared" si="17"/>
        <v>2.5</v>
      </c>
    </row>
    <row r="26" spans="2:32" ht="23.1" customHeight="1" x14ac:dyDescent="0.25">
      <c r="B26" s="23" t="s">
        <v>53</v>
      </c>
      <c r="C26" s="49">
        <f>AVERAGE('31.07 Yumbe-Koboko'!C26,'01.08 Yumbe-Koboko'!C26,'04.08 Yumbe-Koboko'!C26,'05.08 Yumbe-Koboko'!C26,'02.08 Yumbe-Koboko-24h'!C26,'03.08 Yumbe-Koboko-24h'!C26,'06.08 Yumbe-Koboko'!C26)</f>
        <v>1.7142857142857142</v>
      </c>
      <c r="D26" s="49">
        <f>AVERAGE('31.07 Yumbe-Koboko'!D26,'01.08 Yumbe-Koboko'!D26,'04.08 Yumbe-Koboko'!D26,'05.08 Yumbe-Koboko'!D26,'02.08 Yumbe-Koboko-24h'!D26,'03.08 Yumbe-Koboko-24h'!D26,'06.08 Yumbe-Koboko'!D26)</f>
        <v>0.2857142857142857</v>
      </c>
      <c r="E26" s="49">
        <f>AVERAGE('31.07 Yumbe-Koboko'!E26,'01.08 Yumbe-Koboko'!E26,'04.08 Yumbe-Koboko'!E26,'05.08 Yumbe-Koboko'!E26,'02.08 Yumbe-Koboko-24h'!E26,'03.08 Yumbe-Koboko-24h'!E26,'06.08 Yumbe-Koboko'!E26)</f>
        <v>1</v>
      </c>
      <c r="F26" s="49">
        <f>AVERAGE('31.07 Yumbe-Koboko'!F26,'01.08 Yumbe-Koboko'!F26,'04.08 Yumbe-Koboko'!F26,'05.08 Yumbe-Koboko'!F26,'02.08 Yumbe-Koboko-24h'!F26,'03.08 Yumbe-Koboko-24h'!F26,'06.08 Yumbe-Koboko'!F26)</f>
        <v>0.2857142857142857</v>
      </c>
      <c r="G26" s="49">
        <f>AVERAGE('31.07 Yumbe-Koboko'!G26,'01.08 Yumbe-Koboko'!G26,'04.08 Yumbe-Koboko'!G26,'05.08 Yumbe-Koboko'!G26,'02.08 Yumbe-Koboko-24h'!G26,'03.08 Yumbe-Koboko-24h'!G26,'06.08 Yumbe-Koboko'!G26)</f>
        <v>0</v>
      </c>
      <c r="H26" s="49">
        <f>AVERAGE('31.07 Yumbe-Koboko'!H26,'01.08 Yumbe-Koboko'!H26,'04.08 Yumbe-Koboko'!H26,'05.08 Yumbe-Koboko'!H26,'02.08 Yumbe-Koboko-24h'!H26,'03.08 Yumbe-Koboko-24h'!H26,'06.08 Yumbe-Koboko'!H26)</f>
        <v>0.14285714285714285</v>
      </c>
      <c r="I26" s="49">
        <f>AVERAGE('31.07 Yumbe-Koboko'!I26,'01.08 Yumbe-Koboko'!I26,'04.08 Yumbe-Koboko'!I26,'05.08 Yumbe-Koboko'!I26,'02.08 Yumbe-Koboko-24h'!I26,'03.08 Yumbe-Koboko-24h'!I26,'06.08 Yumbe-Koboko'!I26)</f>
        <v>0.14285714285714285</v>
      </c>
      <c r="J26" s="49">
        <f>AVERAGE('31.07 Yumbe-Koboko'!J26,'01.08 Yumbe-Koboko'!J26,'04.08 Yumbe-Koboko'!J26,'05.08 Yumbe-Koboko'!J26,'02.08 Yumbe-Koboko-24h'!J26,'03.08 Yumbe-Koboko-24h'!J26,'06.08 Yumbe-Koboko'!J26)</f>
        <v>0.14285714285714285</v>
      </c>
      <c r="K26" s="49">
        <f>AVERAGE('31.07 Yumbe-Koboko'!K26,'01.08 Yumbe-Koboko'!K26,'04.08 Yumbe-Koboko'!K26,'05.08 Yumbe-Koboko'!K26,'02.08 Yumbe-Koboko-24h'!K26,'03.08 Yumbe-Koboko-24h'!K26,'06.08 Yumbe-Koboko'!K26)</f>
        <v>0</v>
      </c>
      <c r="L26" s="49">
        <f>AVERAGE('31.07 Yumbe-Koboko'!L26,'01.08 Yumbe-Koboko'!L26,'04.08 Yumbe-Koboko'!L26,'05.08 Yumbe-Koboko'!L26,'02.08 Yumbe-Koboko-24h'!L26,'03.08 Yumbe-Koboko-24h'!L26,'06.08 Yumbe-Koboko'!L26)</f>
        <v>0</v>
      </c>
      <c r="M26" s="49">
        <f>AVERAGE('31.07 Yumbe-Koboko'!M26,'01.08 Yumbe-Koboko'!M26,'04.08 Yumbe-Koboko'!M26,'05.08 Yumbe-Koboko'!M26,'02.08 Yumbe-Koboko-24h'!M26,'03.08 Yumbe-Koboko-24h'!M26,'06.08 Yumbe-Koboko'!M26)</f>
        <v>12</v>
      </c>
      <c r="N26" s="49">
        <f>AVERAGE('31.07 Yumbe-Koboko'!N26,'01.08 Yumbe-Koboko'!N26,'04.08 Yumbe-Koboko'!N26,'05.08 Yumbe-Koboko'!N26,'02.08 Yumbe-Koboko-24h'!N26,'03.08 Yumbe-Koboko-24h'!N26,'06.08 Yumbe-Koboko'!N26)</f>
        <v>0</v>
      </c>
      <c r="O26" s="15">
        <f t="shared" si="0"/>
        <v>3.714285714285714</v>
      </c>
      <c r="P26" s="15">
        <f t="shared" si="1"/>
        <v>15.714285714285714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0.5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0.5</v>
      </c>
      <c r="AC26" s="34">
        <f t="shared" si="18"/>
        <v>0</v>
      </c>
      <c r="AD26" s="34">
        <f t="shared" si="18"/>
        <v>0</v>
      </c>
      <c r="AE26" s="31">
        <f t="shared" si="18"/>
        <v>1</v>
      </c>
      <c r="AF26" s="31">
        <f t="shared" si="18"/>
        <v>1</v>
      </c>
    </row>
    <row r="27" spans="2:32" ht="23.1" customHeight="1" x14ac:dyDescent="0.25">
      <c r="B27" s="23" t="s">
        <v>54</v>
      </c>
      <c r="C27" s="49">
        <f>AVERAGE('31.07 Yumbe-Koboko'!C27,'01.08 Yumbe-Koboko'!C27,'04.08 Yumbe-Koboko'!C27,'05.08 Yumbe-Koboko'!C27,'02.08 Yumbe-Koboko-24h'!C27,'03.08 Yumbe-Koboko-24h'!C27,'06.08 Yumbe-Koboko'!C27)</f>
        <v>1.7142857142857142</v>
      </c>
      <c r="D27" s="49">
        <f>AVERAGE('31.07 Yumbe-Koboko'!D27,'01.08 Yumbe-Koboko'!D27,'04.08 Yumbe-Koboko'!D27,'05.08 Yumbe-Koboko'!D27,'02.08 Yumbe-Koboko-24h'!D27,'03.08 Yumbe-Koboko-24h'!D27,'06.08 Yumbe-Koboko'!D27)</f>
        <v>0.14285714285714285</v>
      </c>
      <c r="E27" s="49">
        <f>AVERAGE('31.07 Yumbe-Koboko'!E27,'01.08 Yumbe-Koboko'!E27,'04.08 Yumbe-Koboko'!E27,'05.08 Yumbe-Koboko'!E27,'02.08 Yumbe-Koboko-24h'!E27,'03.08 Yumbe-Koboko-24h'!E27,'06.08 Yumbe-Koboko'!E27)</f>
        <v>0.7142857142857143</v>
      </c>
      <c r="F27" s="49">
        <f>AVERAGE('31.07 Yumbe-Koboko'!F27,'01.08 Yumbe-Koboko'!F27,'04.08 Yumbe-Koboko'!F27,'05.08 Yumbe-Koboko'!F27,'02.08 Yumbe-Koboko-24h'!F27,'03.08 Yumbe-Koboko-24h'!F27,'06.08 Yumbe-Koboko'!F27)</f>
        <v>0</v>
      </c>
      <c r="G27" s="49">
        <f>AVERAGE('31.07 Yumbe-Koboko'!G27,'01.08 Yumbe-Koboko'!G27,'04.08 Yumbe-Koboko'!G27,'05.08 Yumbe-Koboko'!G27,'02.08 Yumbe-Koboko-24h'!G27,'03.08 Yumbe-Koboko-24h'!G27,'06.08 Yumbe-Koboko'!G27)</f>
        <v>0.14285714285714285</v>
      </c>
      <c r="H27" s="49">
        <f>AVERAGE('31.07 Yumbe-Koboko'!H27,'01.08 Yumbe-Koboko'!H27,'04.08 Yumbe-Koboko'!H27,'05.08 Yumbe-Koboko'!H27,'02.08 Yumbe-Koboko-24h'!H27,'03.08 Yumbe-Koboko-24h'!H27,'06.08 Yumbe-Koboko'!H27)</f>
        <v>0</v>
      </c>
      <c r="I27" s="49">
        <f>AVERAGE('31.07 Yumbe-Koboko'!I27,'01.08 Yumbe-Koboko'!I27,'04.08 Yumbe-Koboko'!I27,'05.08 Yumbe-Koboko'!I27,'02.08 Yumbe-Koboko-24h'!I27,'03.08 Yumbe-Koboko-24h'!I27,'06.08 Yumbe-Koboko'!I27)</f>
        <v>0.14285714285714285</v>
      </c>
      <c r="J27" s="49">
        <f>AVERAGE('31.07 Yumbe-Koboko'!J27,'01.08 Yumbe-Koboko'!J27,'04.08 Yumbe-Koboko'!J27,'05.08 Yumbe-Koboko'!J27,'02.08 Yumbe-Koboko-24h'!J27,'03.08 Yumbe-Koboko-24h'!J27,'06.08 Yumbe-Koboko'!J27)</f>
        <v>0</v>
      </c>
      <c r="K27" s="49">
        <f>AVERAGE('31.07 Yumbe-Koboko'!K27,'01.08 Yumbe-Koboko'!K27,'04.08 Yumbe-Koboko'!K27,'05.08 Yumbe-Koboko'!K27,'02.08 Yumbe-Koboko-24h'!K27,'03.08 Yumbe-Koboko-24h'!K27,'06.08 Yumbe-Koboko'!K27)</f>
        <v>0.14285714285714285</v>
      </c>
      <c r="L27" s="49">
        <f>AVERAGE('31.07 Yumbe-Koboko'!L27,'01.08 Yumbe-Koboko'!L27,'04.08 Yumbe-Koboko'!L27,'05.08 Yumbe-Koboko'!L27,'02.08 Yumbe-Koboko-24h'!L27,'03.08 Yumbe-Koboko-24h'!L27,'06.08 Yumbe-Koboko'!L27)</f>
        <v>0</v>
      </c>
      <c r="M27" s="49">
        <f>AVERAGE('31.07 Yumbe-Koboko'!M27,'01.08 Yumbe-Koboko'!M27,'04.08 Yumbe-Koboko'!M27,'05.08 Yumbe-Koboko'!M27,'02.08 Yumbe-Koboko-24h'!M27,'03.08 Yumbe-Koboko-24h'!M27,'06.08 Yumbe-Koboko'!M27)</f>
        <v>7.7142857142857144</v>
      </c>
      <c r="N27" s="49">
        <f>AVERAGE('31.07 Yumbe-Koboko'!N27,'01.08 Yumbe-Koboko'!N27,'04.08 Yumbe-Koboko'!N27,'05.08 Yumbe-Koboko'!N27,'02.08 Yumbe-Koboko-24h'!N27,'03.08 Yumbe-Koboko-24h'!N27,'06.08 Yumbe-Koboko'!N27)</f>
        <v>0</v>
      </c>
      <c r="O27" s="15">
        <f t="shared" si="0"/>
        <v>2.9999999999999996</v>
      </c>
      <c r="P27" s="15">
        <f t="shared" si="1"/>
        <v>10.714285714285714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0</v>
      </c>
      <c r="AA27" s="34">
        <f t="shared" si="19"/>
        <v>0</v>
      </c>
      <c r="AB27" s="34">
        <f t="shared" si="19"/>
        <v>0.5</v>
      </c>
      <c r="AC27" s="34">
        <f t="shared" si="19"/>
        <v>0.5</v>
      </c>
      <c r="AD27" s="34">
        <f t="shared" si="19"/>
        <v>0</v>
      </c>
      <c r="AE27" s="31">
        <f t="shared" si="19"/>
        <v>1.5</v>
      </c>
      <c r="AF27" s="31">
        <f t="shared" si="19"/>
        <v>2</v>
      </c>
    </row>
    <row r="28" spans="2:32" ht="23.1" customHeight="1" x14ac:dyDescent="0.25">
      <c r="B28" s="23" t="s">
        <v>55</v>
      </c>
      <c r="C28" s="49">
        <f>AVERAGE('31.07 Yumbe-Koboko'!C28,'01.08 Yumbe-Koboko'!C28,'04.08 Yumbe-Koboko'!C28,'05.08 Yumbe-Koboko'!C28,'02.08 Yumbe-Koboko-24h'!C28,'03.08 Yumbe-Koboko-24h'!C28,'06.08 Yumbe-Koboko'!C28)</f>
        <v>0.7142857142857143</v>
      </c>
      <c r="D28" s="49">
        <f>AVERAGE('31.07 Yumbe-Koboko'!D28,'01.08 Yumbe-Koboko'!D28,'04.08 Yumbe-Koboko'!D28,'05.08 Yumbe-Koboko'!D28,'02.08 Yumbe-Koboko-24h'!D28,'03.08 Yumbe-Koboko-24h'!D28,'06.08 Yumbe-Koboko'!D28)</f>
        <v>0.14285714285714285</v>
      </c>
      <c r="E28" s="49">
        <f>AVERAGE('31.07 Yumbe-Koboko'!E28,'01.08 Yumbe-Koboko'!E28,'04.08 Yumbe-Koboko'!E28,'05.08 Yumbe-Koboko'!E28,'02.08 Yumbe-Koboko-24h'!E28,'03.08 Yumbe-Koboko-24h'!E28,'06.08 Yumbe-Koboko'!E28)</f>
        <v>0.8571428571428571</v>
      </c>
      <c r="F28" s="49">
        <f>AVERAGE('31.07 Yumbe-Koboko'!F28,'01.08 Yumbe-Koboko'!F28,'04.08 Yumbe-Koboko'!F28,'05.08 Yumbe-Koboko'!F28,'02.08 Yumbe-Koboko-24h'!F28,'03.08 Yumbe-Koboko-24h'!F28,'06.08 Yumbe-Koboko'!F28)</f>
        <v>0.2857142857142857</v>
      </c>
      <c r="G28" s="49">
        <f>AVERAGE('31.07 Yumbe-Koboko'!G28,'01.08 Yumbe-Koboko'!G28,'04.08 Yumbe-Koboko'!G28,'05.08 Yumbe-Koboko'!G28,'02.08 Yumbe-Koboko-24h'!G28,'03.08 Yumbe-Koboko-24h'!G28,'06.08 Yumbe-Koboko'!G28)</f>
        <v>0</v>
      </c>
      <c r="H28" s="49">
        <f>AVERAGE('31.07 Yumbe-Koboko'!H28,'01.08 Yumbe-Koboko'!H28,'04.08 Yumbe-Koboko'!H28,'05.08 Yumbe-Koboko'!H28,'02.08 Yumbe-Koboko-24h'!H28,'03.08 Yumbe-Koboko-24h'!H28,'06.08 Yumbe-Koboko'!H28)</f>
        <v>0.14285714285714285</v>
      </c>
      <c r="I28" s="49">
        <f>AVERAGE('31.07 Yumbe-Koboko'!I28,'01.08 Yumbe-Koboko'!I28,'04.08 Yumbe-Koboko'!I28,'05.08 Yumbe-Koboko'!I28,'02.08 Yumbe-Koboko-24h'!I28,'03.08 Yumbe-Koboko-24h'!I28,'06.08 Yumbe-Koboko'!I28)</f>
        <v>0.2857142857142857</v>
      </c>
      <c r="J28" s="49">
        <f>AVERAGE('31.07 Yumbe-Koboko'!J28,'01.08 Yumbe-Koboko'!J28,'04.08 Yumbe-Koboko'!J28,'05.08 Yumbe-Koboko'!J28,'02.08 Yumbe-Koboko-24h'!J28,'03.08 Yumbe-Koboko-24h'!J28,'06.08 Yumbe-Koboko'!J28)</f>
        <v>0</v>
      </c>
      <c r="K28" s="49">
        <f>AVERAGE('31.07 Yumbe-Koboko'!K28,'01.08 Yumbe-Koboko'!K28,'04.08 Yumbe-Koboko'!K28,'05.08 Yumbe-Koboko'!K28,'02.08 Yumbe-Koboko-24h'!K28,'03.08 Yumbe-Koboko-24h'!K28,'06.08 Yumbe-Koboko'!K28)</f>
        <v>0.14285714285714285</v>
      </c>
      <c r="L28" s="49">
        <f>AVERAGE('31.07 Yumbe-Koboko'!L28,'01.08 Yumbe-Koboko'!L28,'04.08 Yumbe-Koboko'!L28,'05.08 Yumbe-Koboko'!L28,'02.08 Yumbe-Koboko-24h'!L28,'03.08 Yumbe-Koboko-24h'!L28,'06.08 Yumbe-Koboko'!L28)</f>
        <v>0</v>
      </c>
      <c r="M28" s="49">
        <f>AVERAGE('31.07 Yumbe-Koboko'!M28,'01.08 Yumbe-Koboko'!M28,'04.08 Yumbe-Koboko'!M28,'05.08 Yumbe-Koboko'!M28,'02.08 Yumbe-Koboko-24h'!M28,'03.08 Yumbe-Koboko-24h'!M28,'06.08 Yumbe-Koboko'!M28)</f>
        <v>6.2857142857142856</v>
      </c>
      <c r="N28" s="49">
        <f>AVERAGE('31.07 Yumbe-Koboko'!N28,'01.08 Yumbe-Koboko'!N28,'04.08 Yumbe-Koboko'!N28,'05.08 Yumbe-Koboko'!N28,'02.08 Yumbe-Koboko-24h'!N28,'03.08 Yumbe-Koboko-24h'!N28,'06.08 Yumbe-Koboko'!N28)</f>
        <v>0</v>
      </c>
      <c r="O28" s="15">
        <f t="shared" si="0"/>
        <v>2.5714285714285712</v>
      </c>
      <c r="P28" s="15">
        <f t="shared" si="1"/>
        <v>8.8571428571428577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0.5</v>
      </c>
      <c r="V28" s="34">
        <f t="shared" si="20"/>
        <v>0</v>
      </c>
      <c r="W28" s="34">
        <f t="shared" si="20"/>
        <v>0.5</v>
      </c>
      <c r="X28" s="34">
        <f t="shared" si="20"/>
        <v>0</v>
      </c>
      <c r="Y28" s="34">
        <f t="shared" si="20"/>
        <v>1.5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0.5</v>
      </c>
      <c r="AD28" s="34">
        <f t="shared" si="20"/>
        <v>0</v>
      </c>
      <c r="AE28" s="31">
        <f t="shared" si="20"/>
        <v>2.5</v>
      </c>
      <c r="AF28" s="31">
        <f t="shared" si="20"/>
        <v>3</v>
      </c>
    </row>
    <row r="29" spans="2:32" ht="23.1" customHeight="1" x14ac:dyDescent="0.25">
      <c r="B29" s="23" t="s">
        <v>56</v>
      </c>
      <c r="C29" s="49">
        <f>AVERAGE('31.07 Yumbe-Koboko'!C29,'01.08 Yumbe-Koboko'!C29,'04.08 Yumbe-Koboko'!C29,'05.08 Yumbe-Koboko'!C29,'02.08 Yumbe-Koboko-24h'!C29,'03.08 Yumbe-Koboko-24h'!C29,'06.08 Yumbe-Koboko'!C29)</f>
        <v>1.7142857142857142</v>
      </c>
      <c r="D29" s="49">
        <f>AVERAGE('31.07 Yumbe-Koboko'!D29,'01.08 Yumbe-Koboko'!D29,'04.08 Yumbe-Koboko'!D29,'05.08 Yumbe-Koboko'!D29,'02.08 Yumbe-Koboko-24h'!D29,'03.08 Yumbe-Koboko-24h'!D29,'06.08 Yumbe-Koboko'!D29)</f>
        <v>0.14285714285714285</v>
      </c>
      <c r="E29" s="49">
        <f>AVERAGE('31.07 Yumbe-Koboko'!E29,'01.08 Yumbe-Koboko'!E29,'04.08 Yumbe-Koboko'!E29,'05.08 Yumbe-Koboko'!E29,'02.08 Yumbe-Koboko-24h'!E29,'03.08 Yumbe-Koboko-24h'!E29,'06.08 Yumbe-Koboko'!E29)</f>
        <v>0.42857142857142855</v>
      </c>
      <c r="F29" s="49">
        <f>AVERAGE('31.07 Yumbe-Koboko'!F29,'01.08 Yumbe-Koboko'!F29,'04.08 Yumbe-Koboko'!F29,'05.08 Yumbe-Koboko'!F29,'02.08 Yumbe-Koboko-24h'!F29,'03.08 Yumbe-Koboko-24h'!F29,'06.08 Yumbe-Koboko'!F29)</f>
        <v>0.42857142857142855</v>
      </c>
      <c r="G29" s="49">
        <f>AVERAGE('31.07 Yumbe-Koboko'!G29,'01.08 Yumbe-Koboko'!G29,'04.08 Yumbe-Koboko'!G29,'05.08 Yumbe-Koboko'!G29,'02.08 Yumbe-Koboko-24h'!G29,'03.08 Yumbe-Koboko-24h'!G29,'06.08 Yumbe-Koboko'!G29)</f>
        <v>0</v>
      </c>
      <c r="H29" s="49">
        <f>AVERAGE('31.07 Yumbe-Koboko'!H29,'01.08 Yumbe-Koboko'!H29,'04.08 Yumbe-Koboko'!H29,'05.08 Yumbe-Koboko'!H29,'02.08 Yumbe-Koboko-24h'!H29,'03.08 Yumbe-Koboko-24h'!H29,'06.08 Yumbe-Koboko'!H29)</f>
        <v>0</v>
      </c>
      <c r="I29" s="49">
        <f>AVERAGE('31.07 Yumbe-Koboko'!I29,'01.08 Yumbe-Koboko'!I29,'04.08 Yumbe-Koboko'!I29,'05.08 Yumbe-Koboko'!I29,'02.08 Yumbe-Koboko-24h'!I29,'03.08 Yumbe-Koboko-24h'!I29,'06.08 Yumbe-Koboko'!I29)</f>
        <v>0</v>
      </c>
      <c r="J29" s="49">
        <f>AVERAGE('31.07 Yumbe-Koboko'!J29,'01.08 Yumbe-Koboko'!J29,'04.08 Yumbe-Koboko'!J29,'05.08 Yumbe-Koboko'!J29,'02.08 Yumbe-Koboko-24h'!J29,'03.08 Yumbe-Koboko-24h'!J29,'06.08 Yumbe-Koboko'!J29)</f>
        <v>0</v>
      </c>
      <c r="K29" s="49">
        <f>AVERAGE('31.07 Yumbe-Koboko'!K29,'01.08 Yumbe-Koboko'!K29,'04.08 Yumbe-Koboko'!K29,'05.08 Yumbe-Koboko'!K29,'02.08 Yumbe-Koboko-24h'!K29,'03.08 Yumbe-Koboko-24h'!K29,'06.08 Yumbe-Koboko'!K29)</f>
        <v>0</v>
      </c>
      <c r="L29" s="49">
        <f>AVERAGE('31.07 Yumbe-Koboko'!L29,'01.08 Yumbe-Koboko'!L29,'04.08 Yumbe-Koboko'!L29,'05.08 Yumbe-Koboko'!L29,'02.08 Yumbe-Koboko-24h'!L29,'03.08 Yumbe-Koboko-24h'!L29,'06.08 Yumbe-Koboko'!L29)</f>
        <v>0</v>
      </c>
      <c r="M29" s="49">
        <f>AVERAGE('31.07 Yumbe-Koboko'!M29,'01.08 Yumbe-Koboko'!M29,'04.08 Yumbe-Koboko'!M29,'05.08 Yumbe-Koboko'!M29,'02.08 Yumbe-Koboko-24h'!M29,'03.08 Yumbe-Koboko-24h'!M29,'06.08 Yumbe-Koboko'!M29)</f>
        <v>8.4285714285714288</v>
      </c>
      <c r="N29" s="49">
        <f>AVERAGE('31.07 Yumbe-Koboko'!N29,'01.08 Yumbe-Koboko'!N29,'04.08 Yumbe-Koboko'!N29,'05.08 Yumbe-Koboko'!N29,'02.08 Yumbe-Koboko-24h'!N29,'03.08 Yumbe-Koboko-24h'!N29,'06.08 Yumbe-Koboko'!N29)</f>
        <v>0</v>
      </c>
      <c r="O29" s="15">
        <f t="shared" si="0"/>
        <v>2.714285714285714</v>
      </c>
      <c r="P29" s="15">
        <f t="shared" si="1"/>
        <v>11.142857142857142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AVERAGE('31.07 Yumbe-Koboko'!C30,'01.08 Yumbe-Koboko'!C30,'04.08 Yumbe-Koboko'!C30,'05.08 Yumbe-Koboko'!C30,'02.08 Yumbe-Koboko-24h'!C30,'03.08 Yumbe-Koboko-24h'!C30,'06.08 Yumbe-Koboko'!C30)</f>
        <v>0.7142857142857143</v>
      </c>
      <c r="D30" s="49">
        <f>AVERAGE('31.07 Yumbe-Koboko'!D30,'01.08 Yumbe-Koboko'!D30,'04.08 Yumbe-Koboko'!D30,'05.08 Yumbe-Koboko'!D30,'02.08 Yumbe-Koboko-24h'!D30,'03.08 Yumbe-Koboko-24h'!D30,'06.08 Yumbe-Koboko'!D30)</f>
        <v>0</v>
      </c>
      <c r="E30" s="49">
        <f>AVERAGE('31.07 Yumbe-Koboko'!E30,'01.08 Yumbe-Koboko'!E30,'04.08 Yumbe-Koboko'!E30,'05.08 Yumbe-Koboko'!E30,'02.08 Yumbe-Koboko-24h'!E30,'03.08 Yumbe-Koboko-24h'!E30,'06.08 Yumbe-Koboko'!E30)</f>
        <v>1</v>
      </c>
      <c r="F30" s="49">
        <f>AVERAGE('31.07 Yumbe-Koboko'!F30,'01.08 Yumbe-Koboko'!F30,'04.08 Yumbe-Koboko'!F30,'05.08 Yumbe-Koboko'!F30,'02.08 Yumbe-Koboko-24h'!F30,'03.08 Yumbe-Koboko-24h'!F30,'06.08 Yumbe-Koboko'!F30)</f>
        <v>0.2857142857142857</v>
      </c>
      <c r="G30" s="49">
        <f>AVERAGE('31.07 Yumbe-Koboko'!G30,'01.08 Yumbe-Koboko'!G30,'04.08 Yumbe-Koboko'!G30,'05.08 Yumbe-Koboko'!G30,'02.08 Yumbe-Koboko-24h'!G30,'03.08 Yumbe-Koboko-24h'!G30,'06.08 Yumbe-Koboko'!G30)</f>
        <v>0</v>
      </c>
      <c r="H30" s="49">
        <f>AVERAGE('31.07 Yumbe-Koboko'!H30,'01.08 Yumbe-Koboko'!H30,'04.08 Yumbe-Koboko'!H30,'05.08 Yumbe-Koboko'!H30,'02.08 Yumbe-Koboko-24h'!H30,'03.08 Yumbe-Koboko-24h'!H30,'06.08 Yumbe-Koboko'!H30)</f>
        <v>0.14285714285714285</v>
      </c>
      <c r="I30" s="49">
        <f>AVERAGE('31.07 Yumbe-Koboko'!I30,'01.08 Yumbe-Koboko'!I30,'04.08 Yumbe-Koboko'!I30,'05.08 Yumbe-Koboko'!I30,'02.08 Yumbe-Koboko-24h'!I30,'03.08 Yumbe-Koboko-24h'!I30,'06.08 Yumbe-Koboko'!I30)</f>
        <v>0.42857142857142855</v>
      </c>
      <c r="J30" s="49">
        <f>AVERAGE('31.07 Yumbe-Koboko'!J30,'01.08 Yumbe-Koboko'!J30,'04.08 Yumbe-Koboko'!J30,'05.08 Yumbe-Koboko'!J30,'02.08 Yumbe-Koboko-24h'!J30,'03.08 Yumbe-Koboko-24h'!J30,'06.08 Yumbe-Koboko'!J30)</f>
        <v>0</v>
      </c>
      <c r="K30" s="49">
        <f>AVERAGE('31.07 Yumbe-Koboko'!K30,'01.08 Yumbe-Koboko'!K30,'04.08 Yumbe-Koboko'!K30,'05.08 Yumbe-Koboko'!K30,'02.08 Yumbe-Koboko-24h'!K30,'03.08 Yumbe-Koboko-24h'!K30,'06.08 Yumbe-Koboko'!K30)</f>
        <v>0</v>
      </c>
      <c r="L30" s="49">
        <f>AVERAGE('31.07 Yumbe-Koboko'!L30,'01.08 Yumbe-Koboko'!L30,'04.08 Yumbe-Koboko'!L30,'05.08 Yumbe-Koboko'!L30,'02.08 Yumbe-Koboko-24h'!L30,'03.08 Yumbe-Koboko-24h'!L30,'06.08 Yumbe-Koboko'!L30)</f>
        <v>0.14285714285714285</v>
      </c>
      <c r="M30" s="49">
        <f>AVERAGE('31.07 Yumbe-Koboko'!M30,'01.08 Yumbe-Koboko'!M30,'04.08 Yumbe-Koboko'!M30,'05.08 Yumbe-Koboko'!M30,'02.08 Yumbe-Koboko-24h'!M30,'03.08 Yumbe-Koboko-24h'!M30,'06.08 Yumbe-Koboko'!M30)</f>
        <v>7.4285714285714288</v>
      </c>
      <c r="N30" s="49">
        <f>AVERAGE('31.07 Yumbe-Koboko'!N30,'01.08 Yumbe-Koboko'!N30,'04.08 Yumbe-Koboko'!N30,'05.08 Yumbe-Koboko'!N30,'02.08 Yumbe-Koboko-24h'!N30,'03.08 Yumbe-Koboko-24h'!N30,'06.08 Yumbe-Koboko'!N30)</f>
        <v>0</v>
      </c>
      <c r="O30" s="15">
        <f t="shared" si="0"/>
        <v>2.714285714285714</v>
      </c>
      <c r="P30" s="15">
        <f t="shared" si="1"/>
        <v>10.142857142857142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0.5</v>
      </c>
      <c r="AF30" s="31">
        <f t="shared" si="22"/>
        <v>0.5</v>
      </c>
    </row>
    <row r="31" spans="2:32" ht="23.1" customHeight="1" x14ac:dyDescent="0.25">
      <c r="B31" s="24" t="s">
        <v>58</v>
      </c>
      <c r="C31" s="49">
        <f>AVERAGE('31.07 Yumbe-Koboko'!C31,'01.08 Yumbe-Koboko'!C31,'04.08 Yumbe-Koboko'!C31,'05.08 Yumbe-Koboko'!C31,'02.08 Yumbe-Koboko-24h'!C31,'03.08 Yumbe-Koboko-24h'!C31,'06.08 Yumbe-Koboko'!C31)</f>
        <v>1.2857142857142858</v>
      </c>
      <c r="D31" s="49">
        <f>AVERAGE('31.07 Yumbe-Koboko'!D31,'01.08 Yumbe-Koboko'!D31,'04.08 Yumbe-Koboko'!D31,'05.08 Yumbe-Koboko'!D31,'02.08 Yumbe-Koboko-24h'!D31,'03.08 Yumbe-Koboko-24h'!D31,'06.08 Yumbe-Koboko'!D31)</f>
        <v>0.42857142857142855</v>
      </c>
      <c r="E31" s="49">
        <f>AVERAGE('31.07 Yumbe-Koboko'!E31,'01.08 Yumbe-Koboko'!E31,'04.08 Yumbe-Koboko'!E31,'05.08 Yumbe-Koboko'!E31,'02.08 Yumbe-Koboko-24h'!E31,'03.08 Yumbe-Koboko-24h'!E31,'06.08 Yumbe-Koboko'!E31)</f>
        <v>1</v>
      </c>
      <c r="F31" s="49">
        <f>AVERAGE('31.07 Yumbe-Koboko'!F31,'01.08 Yumbe-Koboko'!F31,'04.08 Yumbe-Koboko'!F31,'05.08 Yumbe-Koboko'!F31,'02.08 Yumbe-Koboko-24h'!F31,'03.08 Yumbe-Koboko-24h'!F31,'06.08 Yumbe-Koboko'!F31)</f>
        <v>0.5714285714285714</v>
      </c>
      <c r="G31" s="49">
        <f>AVERAGE('31.07 Yumbe-Koboko'!G31,'01.08 Yumbe-Koboko'!G31,'04.08 Yumbe-Koboko'!G31,'05.08 Yumbe-Koboko'!G31,'02.08 Yumbe-Koboko-24h'!G31,'03.08 Yumbe-Koboko-24h'!G31,'06.08 Yumbe-Koboko'!G31)</f>
        <v>0</v>
      </c>
      <c r="H31" s="49">
        <f>AVERAGE('31.07 Yumbe-Koboko'!H31,'01.08 Yumbe-Koboko'!H31,'04.08 Yumbe-Koboko'!H31,'05.08 Yumbe-Koboko'!H31,'02.08 Yumbe-Koboko-24h'!H31,'03.08 Yumbe-Koboko-24h'!H31,'06.08 Yumbe-Koboko'!H31)</f>
        <v>0.14285714285714285</v>
      </c>
      <c r="I31" s="49">
        <f>AVERAGE('31.07 Yumbe-Koboko'!I31,'01.08 Yumbe-Koboko'!I31,'04.08 Yumbe-Koboko'!I31,'05.08 Yumbe-Koboko'!I31,'02.08 Yumbe-Koboko-24h'!I31,'03.08 Yumbe-Koboko-24h'!I31,'06.08 Yumbe-Koboko'!I31)</f>
        <v>0.7142857142857143</v>
      </c>
      <c r="J31" s="49">
        <f>AVERAGE('31.07 Yumbe-Koboko'!J31,'01.08 Yumbe-Koboko'!J31,'04.08 Yumbe-Koboko'!J31,'05.08 Yumbe-Koboko'!J31,'02.08 Yumbe-Koboko-24h'!J31,'03.08 Yumbe-Koboko-24h'!J31,'06.08 Yumbe-Koboko'!J31)</f>
        <v>0.14285714285714285</v>
      </c>
      <c r="K31" s="49">
        <f>AVERAGE('31.07 Yumbe-Koboko'!K31,'01.08 Yumbe-Koboko'!K31,'04.08 Yumbe-Koboko'!K31,'05.08 Yumbe-Koboko'!K31,'02.08 Yumbe-Koboko-24h'!K31,'03.08 Yumbe-Koboko-24h'!K31,'06.08 Yumbe-Koboko'!K31)</f>
        <v>0</v>
      </c>
      <c r="L31" s="49">
        <f>AVERAGE('31.07 Yumbe-Koboko'!L31,'01.08 Yumbe-Koboko'!L31,'04.08 Yumbe-Koboko'!L31,'05.08 Yumbe-Koboko'!L31,'02.08 Yumbe-Koboko-24h'!L31,'03.08 Yumbe-Koboko-24h'!L31,'06.08 Yumbe-Koboko'!L31)</f>
        <v>0</v>
      </c>
      <c r="M31" s="49">
        <f>AVERAGE('31.07 Yumbe-Koboko'!M31,'01.08 Yumbe-Koboko'!M31,'04.08 Yumbe-Koboko'!M31,'05.08 Yumbe-Koboko'!M31,'02.08 Yumbe-Koboko-24h'!M31,'03.08 Yumbe-Koboko-24h'!M31,'06.08 Yumbe-Koboko'!M31)</f>
        <v>7.4285714285714288</v>
      </c>
      <c r="N31" s="49">
        <f>AVERAGE('31.07 Yumbe-Koboko'!N31,'01.08 Yumbe-Koboko'!N31,'04.08 Yumbe-Koboko'!N31,'05.08 Yumbe-Koboko'!N31,'02.08 Yumbe-Koboko-24h'!N31,'03.08 Yumbe-Koboko-24h'!N31,'06.08 Yumbe-Koboko'!N31)</f>
        <v>0.14285714285714285</v>
      </c>
      <c r="O31" s="15">
        <f t="shared" si="0"/>
        <v>4.4285714285714288</v>
      </c>
      <c r="P31" s="15">
        <f t="shared" si="1"/>
        <v>11.857142857142858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AVERAGE('31.07 Yumbe-Koboko'!C32,'01.08 Yumbe-Koboko'!C32,'04.08 Yumbe-Koboko'!C32,'05.08 Yumbe-Koboko'!C32,'02.08 Yumbe-Koboko-24h'!C32,'03.08 Yumbe-Koboko-24h'!C32,'06.08 Yumbe-Koboko'!C32)</f>
        <v>1.5714285714285714</v>
      </c>
      <c r="D32" s="49">
        <f>AVERAGE('31.07 Yumbe-Koboko'!D32,'01.08 Yumbe-Koboko'!D32,'04.08 Yumbe-Koboko'!D32,'05.08 Yumbe-Koboko'!D32,'02.08 Yumbe-Koboko-24h'!D32,'03.08 Yumbe-Koboko-24h'!D32,'06.08 Yumbe-Koboko'!D32)</f>
        <v>0</v>
      </c>
      <c r="E32" s="49">
        <f>AVERAGE('31.07 Yumbe-Koboko'!E32,'01.08 Yumbe-Koboko'!E32,'04.08 Yumbe-Koboko'!E32,'05.08 Yumbe-Koboko'!E32,'02.08 Yumbe-Koboko-24h'!E32,'03.08 Yumbe-Koboko-24h'!E32,'06.08 Yumbe-Koboko'!E32)</f>
        <v>1</v>
      </c>
      <c r="F32" s="49">
        <f>AVERAGE('31.07 Yumbe-Koboko'!F32,'01.08 Yumbe-Koboko'!F32,'04.08 Yumbe-Koboko'!F32,'05.08 Yumbe-Koboko'!F32,'02.08 Yumbe-Koboko-24h'!F32,'03.08 Yumbe-Koboko-24h'!F32,'06.08 Yumbe-Koboko'!F32)</f>
        <v>0.5714285714285714</v>
      </c>
      <c r="G32" s="49">
        <f>AVERAGE('31.07 Yumbe-Koboko'!G32,'01.08 Yumbe-Koboko'!G32,'04.08 Yumbe-Koboko'!G32,'05.08 Yumbe-Koboko'!G32,'02.08 Yumbe-Koboko-24h'!G32,'03.08 Yumbe-Koboko-24h'!G32,'06.08 Yumbe-Koboko'!G32)</f>
        <v>0</v>
      </c>
      <c r="H32" s="49">
        <f>AVERAGE('31.07 Yumbe-Koboko'!H32,'01.08 Yumbe-Koboko'!H32,'04.08 Yumbe-Koboko'!H32,'05.08 Yumbe-Koboko'!H32,'02.08 Yumbe-Koboko-24h'!H32,'03.08 Yumbe-Koboko-24h'!H32,'06.08 Yumbe-Koboko'!H32)</f>
        <v>0</v>
      </c>
      <c r="I32" s="49">
        <f>AVERAGE('31.07 Yumbe-Koboko'!I32,'01.08 Yumbe-Koboko'!I32,'04.08 Yumbe-Koboko'!I32,'05.08 Yumbe-Koboko'!I32,'02.08 Yumbe-Koboko-24h'!I32,'03.08 Yumbe-Koboko-24h'!I32,'06.08 Yumbe-Koboko'!I32)</f>
        <v>0.14285714285714285</v>
      </c>
      <c r="J32" s="49">
        <f>AVERAGE('31.07 Yumbe-Koboko'!J32,'01.08 Yumbe-Koboko'!J32,'04.08 Yumbe-Koboko'!J32,'05.08 Yumbe-Koboko'!J32,'02.08 Yumbe-Koboko-24h'!J32,'03.08 Yumbe-Koboko-24h'!J32,'06.08 Yumbe-Koboko'!J32)</f>
        <v>0</v>
      </c>
      <c r="K32" s="49">
        <f>AVERAGE('31.07 Yumbe-Koboko'!K32,'01.08 Yumbe-Koboko'!K32,'04.08 Yumbe-Koboko'!K32,'05.08 Yumbe-Koboko'!K32,'02.08 Yumbe-Koboko-24h'!K32,'03.08 Yumbe-Koboko-24h'!K32,'06.08 Yumbe-Koboko'!K32)</f>
        <v>0</v>
      </c>
      <c r="L32" s="49">
        <f>AVERAGE('31.07 Yumbe-Koboko'!L32,'01.08 Yumbe-Koboko'!L32,'04.08 Yumbe-Koboko'!L32,'05.08 Yumbe-Koboko'!L32,'02.08 Yumbe-Koboko-24h'!L32,'03.08 Yumbe-Koboko-24h'!L32,'06.08 Yumbe-Koboko'!L32)</f>
        <v>0</v>
      </c>
      <c r="M32" s="49">
        <f>AVERAGE('31.07 Yumbe-Koboko'!M32,'01.08 Yumbe-Koboko'!M32,'04.08 Yumbe-Koboko'!M32,'05.08 Yumbe-Koboko'!M32,'02.08 Yumbe-Koboko-24h'!M32,'03.08 Yumbe-Koboko-24h'!M32,'06.08 Yumbe-Koboko'!M32)</f>
        <v>8.2857142857142865</v>
      </c>
      <c r="N32" s="49">
        <f>AVERAGE('31.07 Yumbe-Koboko'!N32,'01.08 Yumbe-Koboko'!N32,'04.08 Yumbe-Koboko'!N32,'05.08 Yumbe-Koboko'!N32,'02.08 Yumbe-Koboko-24h'!N32,'03.08 Yumbe-Koboko-24h'!N32,'06.08 Yumbe-Koboko'!N32)</f>
        <v>0</v>
      </c>
      <c r="O32" s="15">
        <f t="shared" si="0"/>
        <v>3.2857142857142851</v>
      </c>
      <c r="P32" s="15">
        <f t="shared" si="1"/>
        <v>11.571428571428571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23" t="s">
        <v>60</v>
      </c>
      <c r="C33" s="49">
        <f>AVERAGE('31.07 Yumbe-Koboko'!C33,'01.08 Yumbe-Koboko'!C33,'04.08 Yumbe-Koboko'!C33,'05.08 Yumbe-Koboko'!C33,'02.08 Yumbe-Koboko-24h'!C33,'03.08 Yumbe-Koboko-24h'!C33,'06.08 Yumbe-Koboko'!C33)</f>
        <v>1.7142857142857142</v>
      </c>
      <c r="D33" s="49">
        <f>AVERAGE('31.07 Yumbe-Koboko'!D33,'01.08 Yumbe-Koboko'!D33,'04.08 Yumbe-Koboko'!D33,'05.08 Yumbe-Koboko'!D33,'02.08 Yumbe-Koboko-24h'!D33,'03.08 Yumbe-Koboko-24h'!D33,'06.08 Yumbe-Koboko'!D33)</f>
        <v>0</v>
      </c>
      <c r="E33" s="49">
        <f>AVERAGE('31.07 Yumbe-Koboko'!E33,'01.08 Yumbe-Koboko'!E33,'04.08 Yumbe-Koboko'!E33,'05.08 Yumbe-Koboko'!E33,'02.08 Yumbe-Koboko-24h'!E33,'03.08 Yumbe-Koboko-24h'!E33,'06.08 Yumbe-Koboko'!E33)</f>
        <v>1.1428571428571428</v>
      </c>
      <c r="F33" s="49">
        <f>AVERAGE('31.07 Yumbe-Koboko'!F33,'01.08 Yumbe-Koboko'!F33,'04.08 Yumbe-Koboko'!F33,'05.08 Yumbe-Koboko'!F33,'02.08 Yumbe-Koboko-24h'!F33,'03.08 Yumbe-Koboko-24h'!F33,'06.08 Yumbe-Koboko'!F33)</f>
        <v>0.2857142857142857</v>
      </c>
      <c r="G33" s="49">
        <f>AVERAGE('31.07 Yumbe-Koboko'!G33,'01.08 Yumbe-Koboko'!G33,'04.08 Yumbe-Koboko'!G33,'05.08 Yumbe-Koboko'!G33,'02.08 Yumbe-Koboko-24h'!G33,'03.08 Yumbe-Koboko-24h'!G33,'06.08 Yumbe-Koboko'!G33)</f>
        <v>0</v>
      </c>
      <c r="H33" s="49">
        <f>AVERAGE('31.07 Yumbe-Koboko'!H33,'01.08 Yumbe-Koboko'!H33,'04.08 Yumbe-Koboko'!H33,'05.08 Yumbe-Koboko'!H33,'02.08 Yumbe-Koboko-24h'!H33,'03.08 Yumbe-Koboko-24h'!H33,'06.08 Yumbe-Koboko'!H33)</f>
        <v>0.14285714285714285</v>
      </c>
      <c r="I33" s="49">
        <f>AVERAGE('31.07 Yumbe-Koboko'!I33,'01.08 Yumbe-Koboko'!I33,'04.08 Yumbe-Koboko'!I33,'05.08 Yumbe-Koboko'!I33,'02.08 Yumbe-Koboko-24h'!I33,'03.08 Yumbe-Koboko-24h'!I33,'06.08 Yumbe-Koboko'!I33)</f>
        <v>0.2857142857142857</v>
      </c>
      <c r="J33" s="49">
        <f>AVERAGE('31.07 Yumbe-Koboko'!J33,'01.08 Yumbe-Koboko'!J33,'04.08 Yumbe-Koboko'!J33,'05.08 Yumbe-Koboko'!J33,'02.08 Yumbe-Koboko-24h'!J33,'03.08 Yumbe-Koboko-24h'!J33,'06.08 Yumbe-Koboko'!J33)</f>
        <v>0</v>
      </c>
      <c r="K33" s="49">
        <f>AVERAGE('31.07 Yumbe-Koboko'!K33,'01.08 Yumbe-Koboko'!K33,'04.08 Yumbe-Koboko'!K33,'05.08 Yumbe-Koboko'!K33,'02.08 Yumbe-Koboko-24h'!K33,'03.08 Yumbe-Koboko-24h'!K33,'06.08 Yumbe-Koboko'!K33)</f>
        <v>0</v>
      </c>
      <c r="L33" s="49">
        <f>AVERAGE('31.07 Yumbe-Koboko'!L33,'01.08 Yumbe-Koboko'!L33,'04.08 Yumbe-Koboko'!L33,'05.08 Yumbe-Koboko'!L33,'02.08 Yumbe-Koboko-24h'!L33,'03.08 Yumbe-Koboko-24h'!L33,'06.08 Yumbe-Koboko'!L33)</f>
        <v>0</v>
      </c>
      <c r="M33" s="49">
        <f>AVERAGE('31.07 Yumbe-Koboko'!M33,'01.08 Yumbe-Koboko'!M33,'04.08 Yumbe-Koboko'!M33,'05.08 Yumbe-Koboko'!M33,'02.08 Yumbe-Koboko-24h'!M33,'03.08 Yumbe-Koboko-24h'!M33,'06.08 Yumbe-Koboko'!M33)</f>
        <v>8.2857142857142865</v>
      </c>
      <c r="N33" s="49">
        <f>AVERAGE('31.07 Yumbe-Koboko'!N33,'01.08 Yumbe-Koboko'!N33,'04.08 Yumbe-Koboko'!N33,'05.08 Yumbe-Koboko'!N33,'02.08 Yumbe-Koboko-24h'!N33,'03.08 Yumbe-Koboko-24h'!N33,'06.08 Yumbe-Koboko'!N33)</f>
        <v>0</v>
      </c>
      <c r="O33" s="15">
        <f t="shared" si="0"/>
        <v>3.5714285714285707</v>
      </c>
      <c r="P33" s="15">
        <f t="shared" si="1"/>
        <v>11.857142857142858</v>
      </c>
      <c r="R33" s="1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3</v>
      </c>
      <c r="AD33" s="34">
        <f t="shared" si="25"/>
        <v>0</v>
      </c>
      <c r="AE33" s="31">
        <f t="shared" si="25"/>
        <v>0</v>
      </c>
      <c r="AF33" s="31">
        <f t="shared" si="25"/>
        <v>3</v>
      </c>
    </row>
    <row r="34" spans="2:32" ht="23.1" customHeight="1" x14ac:dyDescent="0.25">
      <c r="B34" s="24" t="s">
        <v>61</v>
      </c>
      <c r="C34" s="49">
        <f>AVERAGE('31.07 Yumbe-Koboko'!C34,'01.08 Yumbe-Koboko'!C34,'04.08 Yumbe-Koboko'!C34,'05.08 Yumbe-Koboko'!C34,'02.08 Yumbe-Koboko-24h'!C34,'03.08 Yumbe-Koboko-24h'!C34,'06.08 Yumbe-Koboko'!C34)</f>
        <v>0.8571428571428571</v>
      </c>
      <c r="D34" s="49">
        <f>AVERAGE('31.07 Yumbe-Koboko'!D34,'01.08 Yumbe-Koboko'!D34,'04.08 Yumbe-Koboko'!D34,'05.08 Yumbe-Koboko'!D34,'02.08 Yumbe-Koboko-24h'!D34,'03.08 Yumbe-Koboko-24h'!D34,'06.08 Yumbe-Koboko'!D34)</f>
        <v>0</v>
      </c>
      <c r="E34" s="49">
        <f>AVERAGE('31.07 Yumbe-Koboko'!E34,'01.08 Yumbe-Koboko'!E34,'04.08 Yumbe-Koboko'!E34,'05.08 Yumbe-Koboko'!E34,'02.08 Yumbe-Koboko-24h'!E34,'03.08 Yumbe-Koboko-24h'!E34,'06.08 Yumbe-Koboko'!E34)</f>
        <v>1.2857142857142858</v>
      </c>
      <c r="F34" s="49">
        <f>AVERAGE('31.07 Yumbe-Koboko'!F34,'01.08 Yumbe-Koboko'!F34,'04.08 Yumbe-Koboko'!F34,'05.08 Yumbe-Koboko'!F34,'02.08 Yumbe-Koboko-24h'!F34,'03.08 Yumbe-Koboko-24h'!F34,'06.08 Yumbe-Koboko'!F34)</f>
        <v>0.14285714285714285</v>
      </c>
      <c r="G34" s="49">
        <f>AVERAGE('31.07 Yumbe-Koboko'!G34,'01.08 Yumbe-Koboko'!G34,'04.08 Yumbe-Koboko'!G34,'05.08 Yumbe-Koboko'!G34,'02.08 Yumbe-Koboko-24h'!G34,'03.08 Yumbe-Koboko-24h'!G34,'06.08 Yumbe-Koboko'!G34)</f>
        <v>0</v>
      </c>
      <c r="H34" s="49">
        <f>AVERAGE('31.07 Yumbe-Koboko'!H34,'01.08 Yumbe-Koboko'!H34,'04.08 Yumbe-Koboko'!H34,'05.08 Yumbe-Koboko'!H34,'02.08 Yumbe-Koboko-24h'!H34,'03.08 Yumbe-Koboko-24h'!H34,'06.08 Yumbe-Koboko'!H34)</f>
        <v>0</v>
      </c>
      <c r="I34" s="49">
        <f>AVERAGE('31.07 Yumbe-Koboko'!I34,'01.08 Yumbe-Koboko'!I34,'04.08 Yumbe-Koboko'!I34,'05.08 Yumbe-Koboko'!I34,'02.08 Yumbe-Koboko-24h'!I34,'03.08 Yumbe-Koboko-24h'!I34,'06.08 Yumbe-Koboko'!I34)</f>
        <v>0.2857142857142857</v>
      </c>
      <c r="J34" s="49">
        <f>AVERAGE('31.07 Yumbe-Koboko'!J34,'01.08 Yumbe-Koboko'!J34,'04.08 Yumbe-Koboko'!J34,'05.08 Yumbe-Koboko'!J34,'02.08 Yumbe-Koboko-24h'!J34,'03.08 Yumbe-Koboko-24h'!J34,'06.08 Yumbe-Koboko'!J34)</f>
        <v>0</v>
      </c>
      <c r="K34" s="49">
        <f>AVERAGE('31.07 Yumbe-Koboko'!K34,'01.08 Yumbe-Koboko'!K34,'04.08 Yumbe-Koboko'!K34,'05.08 Yumbe-Koboko'!K34,'02.08 Yumbe-Koboko-24h'!K34,'03.08 Yumbe-Koboko-24h'!K34,'06.08 Yumbe-Koboko'!K34)</f>
        <v>0</v>
      </c>
      <c r="L34" s="49">
        <f>AVERAGE('31.07 Yumbe-Koboko'!L34,'01.08 Yumbe-Koboko'!L34,'04.08 Yumbe-Koboko'!L34,'05.08 Yumbe-Koboko'!L34,'02.08 Yumbe-Koboko-24h'!L34,'03.08 Yumbe-Koboko-24h'!L34,'06.08 Yumbe-Koboko'!L34)</f>
        <v>0</v>
      </c>
      <c r="M34" s="49">
        <f>AVERAGE('31.07 Yumbe-Koboko'!M34,'01.08 Yumbe-Koboko'!M34,'04.08 Yumbe-Koboko'!M34,'05.08 Yumbe-Koboko'!M34,'02.08 Yumbe-Koboko-24h'!M34,'03.08 Yumbe-Koboko-24h'!M34,'06.08 Yumbe-Koboko'!M34)</f>
        <v>8.1428571428571423</v>
      </c>
      <c r="N34" s="49">
        <f>AVERAGE('31.07 Yumbe-Koboko'!N34,'01.08 Yumbe-Koboko'!N34,'04.08 Yumbe-Koboko'!N34,'05.08 Yumbe-Koboko'!N34,'02.08 Yumbe-Koboko-24h'!N34,'03.08 Yumbe-Koboko-24h'!N34,'06.08 Yumbe-Koboko'!N34)</f>
        <v>0</v>
      </c>
      <c r="O34" s="15">
        <f t="shared" si="0"/>
        <v>2.5714285714285712</v>
      </c>
      <c r="P34" s="15">
        <f t="shared" si="1"/>
        <v>10.714285714285714</v>
      </c>
      <c r="R34" s="52" t="s">
        <v>90</v>
      </c>
      <c r="S34" s="53">
        <f t="shared" ref="S34:AF34" si="26">MAX(S10:S12)</f>
        <v>8.8571428571428577</v>
      </c>
      <c r="T34" s="53">
        <f t="shared" si="26"/>
        <v>0.5714285714285714</v>
      </c>
      <c r="U34" s="53">
        <f t="shared" si="26"/>
        <v>3.285714285714286</v>
      </c>
      <c r="V34" s="53">
        <f t="shared" si="26"/>
        <v>0.5714285714285714</v>
      </c>
      <c r="W34" s="53">
        <f t="shared" si="26"/>
        <v>0.42857142857142855</v>
      </c>
      <c r="X34" s="53">
        <f t="shared" si="26"/>
        <v>1.1428571428571428</v>
      </c>
      <c r="Y34" s="53">
        <f t="shared" si="26"/>
        <v>0.5714285714285714</v>
      </c>
      <c r="Z34" s="53">
        <f t="shared" si="26"/>
        <v>0.14285714285714285</v>
      </c>
      <c r="AA34" s="53">
        <f t="shared" si="26"/>
        <v>0.2857142857142857</v>
      </c>
      <c r="AB34" s="53">
        <f t="shared" si="26"/>
        <v>0</v>
      </c>
      <c r="AC34" s="53">
        <f t="shared" si="26"/>
        <v>39.857142857142854</v>
      </c>
      <c r="AD34" s="53">
        <f t="shared" si="26"/>
        <v>0.14285714285714285</v>
      </c>
      <c r="AE34" s="40">
        <f t="shared" si="26"/>
        <v>15.571428571428571</v>
      </c>
      <c r="AF34" s="40">
        <f t="shared" si="26"/>
        <v>55.428571428571431</v>
      </c>
    </row>
    <row r="35" spans="2:32" ht="23.1" customHeight="1" x14ac:dyDescent="0.25">
      <c r="B35" s="24" t="s">
        <v>62</v>
      </c>
      <c r="C35" s="49">
        <f>AVERAGE('31.07 Yumbe-Koboko'!C35,'01.08 Yumbe-Koboko'!C35,'04.08 Yumbe-Koboko'!C35,'05.08 Yumbe-Koboko'!C35,'02.08 Yumbe-Koboko-24h'!C35,'03.08 Yumbe-Koboko-24h'!C35,'06.08 Yumbe-Koboko'!C35)</f>
        <v>2.5714285714285716</v>
      </c>
      <c r="D35" s="49">
        <f>AVERAGE('31.07 Yumbe-Koboko'!D35,'01.08 Yumbe-Koboko'!D35,'04.08 Yumbe-Koboko'!D35,'05.08 Yumbe-Koboko'!D35,'02.08 Yumbe-Koboko-24h'!D35,'03.08 Yumbe-Koboko-24h'!D35,'06.08 Yumbe-Koboko'!D35)</f>
        <v>0.42857142857142855</v>
      </c>
      <c r="E35" s="49">
        <f>AVERAGE('31.07 Yumbe-Koboko'!E35,'01.08 Yumbe-Koboko'!E35,'04.08 Yumbe-Koboko'!E35,'05.08 Yumbe-Koboko'!E35,'02.08 Yumbe-Koboko-24h'!E35,'03.08 Yumbe-Koboko-24h'!E35,'06.08 Yumbe-Koboko'!E35)</f>
        <v>1.8571428571428572</v>
      </c>
      <c r="F35" s="49">
        <f>AVERAGE('31.07 Yumbe-Koboko'!F35,'01.08 Yumbe-Koboko'!F35,'04.08 Yumbe-Koboko'!F35,'05.08 Yumbe-Koboko'!F35,'02.08 Yumbe-Koboko-24h'!F35,'03.08 Yumbe-Koboko-24h'!F35,'06.08 Yumbe-Koboko'!F35)</f>
        <v>0.42857142857142855</v>
      </c>
      <c r="G35" s="49">
        <f>AVERAGE('31.07 Yumbe-Koboko'!G35,'01.08 Yumbe-Koboko'!G35,'04.08 Yumbe-Koboko'!G35,'05.08 Yumbe-Koboko'!G35,'02.08 Yumbe-Koboko-24h'!G35,'03.08 Yumbe-Koboko-24h'!G35,'06.08 Yumbe-Koboko'!G35)</f>
        <v>0</v>
      </c>
      <c r="H35" s="49">
        <f>AVERAGE('31.07 Yumbe-Koboko'!H35,'01.08 Yumbe-Koboko'!H35,'04.08 Yumbe-Koboko'!H35,'05.08 Yumbe-Koboko'!H35,'02.08 Yumbe-Koboko-24h'!H35,'03.08 Yumbe-Koboko-24h'!H35,'06.08 Yumbe-Koboko'!H35)</f>
        <v>0.14285714285714285</v>
      </c>
      <c r="I35" s="49">
        <f>AVERAGE('31.07 Yumbe-Koboko'!I35,'01.08 Yumbe-Koboko'!I35,'04.08 Yumbe-Koboko'!I35,'05.08 Yumbe-Koboko'!I35,'02.08 Yumbe-Koboko-24h'!I35,'03.08 Yumbe-Koboko-24h'!I35,'06.08 Yumbe-Koboko'!I35)</f>
        <v>0.2857142857142857</v>
      </c>
      <c r="J35" s="49">
        <f>AVERAGE('31.07 Yumbe-Koboko'!J35,'01.08 Yumbe-Koboko'!J35,'04.08 Yumbe-Koboko'!J35,'05.08 Yumbe-Koboko'!J35,'02.08 Yumbe-Koboko-24h'!J35,'03.08 Yumbe-Koboko-24h'!J35,'06.08 Yumbe-Koboko'!J35)</f>
        <v>0.14285714285714285</v>
      </c>
      <c r="K35" s="49">
        <f>AVERAGE('31.07 Yumbe-Koboko'!K35,'01.08 Yumbe-Koboko'!K35,'04.08 Yumbe-Koboko'!K35,'05.08 Yumbe-Koboko'!K35,'02.08 Yumbe-Koboko-24h'!K35,'03.08 Yumbe-Koboko-24h'!K35,'06.08 Yumbe-Koboko'!K35)</f>
        <v>0</v>
      </c>
      <c r="L35" s="49">
        <f>AVERAGE('31.07 Yumbe-Koboko'!L35,'01.08 Yumbe-Koboko'!L35,'04.08 Yumbe-Koboko'!L35,'05.08 Yumbe-Koboko'!L35,'02.08 Yumbe-Koboko-24h'!L35,'03.08 Yumbe-Koboko-24h'!L35,'06.08 Yumbe-Koboko'!L35)</f>
        <v>0</v>
      </c>
      <c r="M35" s="49">
        <f>AVERAGE('31.07 Yumbe-Koboko'!M35,'01.08 Yumbe-Koboko'!M35,'04.08 Yumbe-Koboko'!M35,'05.08 Yumbe-Koboko'!M35,'02.08 Yumbe-Koboko-24h'!M35,'03.08 Yumbe-Koboko-24h'!M35,'06.08 Yumbe-Koboko'!M35)</f>
        <v>7.8571428571428568</v>
      </c>
      <c r="N35" s="49">
        <f>AVERAGE('31.07 Yumbe-Koboko'!N35,'01.08 Yumbe-Koboko'!N35,'04.08 Yumbe-Koboko'!N35,'05.08 Yumbe-Koboko'!N35,'02.08 Yumbe-Koboko-24h'!N35,'03.08 Yumbe-Koboko-24h'!N35,'06.08 Yumbe-Koboko'!N35)</f>
        <v>0</v>
      </c>
      <c r="O35" s="15">
        <f t="shared" si="0"/>
        <v>5.8571428571428585</v>
      </c>
      <c r="P35" s="15">
        <f t="shared" si="1"/>
        <v>13.714285714285715</v>
      </c>
      <c r="R35" s="52" t="s">
        <v>91</v>
      </c>
      <c r="S35" s="53">
        <f t="shared" ref="S35:AF35" si="27">MAX(S13:S18)</f>
        <v>9</v>
      </c>
      <c r="T35" s="53">
        <f t="shared" si="27"/>
        <v>0.71428571428571419</v>
      </c>
      <c r="U35" s="53">
        <f t="shared" si="27"/>
        <v>5</v>
      </c>
      <c r="V35" s="53">
        <f t="shared" si="27"/>
        <v>1.714285714285714</v>
      </c>
      <c r="W35" s="53">
        <f t="shared" si="27"/>
        <v>0.14285714285714285</v>
      </c>
      <c r="X35" s="53">
        <f t="shared" si="27"/>
        <v>0.42857142857142855</v>
      </c>
      <c r="Y35" s="53">
        <f t="shared" si="27"/>
        <v>1.7142857142857144</v>
      </c>
      <c r="Z35" s="53">
        <f t="shared" si="27"/>
        <v>0.2857142857142857</v>
      </c>
      <c r="AA35" s="53">
        <f t="shared" si="27"/>
        <v>0.2857142857142857</v>
      </c>
      <c r="AB35" s="53">
        <f t="shared" si="27"/>
        <v>1.2857142857142856</v>
      </c>
      <c r="AC35" s="53">
        <f t="shared" si="27"/>
        <v>38.142857142857139</v>
      </c>
      <c r="AD35" s="53">
        <f t="shared" si="27"/>
        <v>0.2857142857142857</v>
      </c>
      <c r="AE35" s="40">
        <f t="shared" si="27"/>
        <v>18.285714285714288</v>
      </c>
      <c r="AF35" s="40">
        <f t="shared" si="27"/>
        <v>52.857142857142861</v>
      </c>
    </row>
    <row r="36" spans="2:32" ht="23.1" customHeight="1" x14ac:dyDescent="0.25">
      <c r="B36" s="24" t="s">
        <v>63</v>
      </c>
      <c r="C36" s="49">
        <f>AVERAGE('31.07 Yumbe-Koboko'!C36,'01.08 Yumbe-Koboko'!C36,'04.08 Yumbe-Koboko'!C36,'05.08 Yumbe-Koboko'!C36,'02.08 Yumbe-Koboko-24h'!C36,'03.08 Yumbe-Koboko-24h'!C36,'06.08 Yumbe-Koboko'!C36)</f>
        <v>2.2857142857142856</v>
      </c>
      <c r="D36" s="49">
        <f>AVERAGE('31.07 Yumbe-Koboko'!D36,'01.08 Yumbe-Koboko'!D36,'04.08 Yumbe-Koboko'!D36,'05.08 Yumbe-Koboko'!D36,'02.08 Yumbe-Koboko-24h'!D36,'03.08 Yumbe-Koboko-24h'!D36,'06.08 Yumbe-Koboko'!D36)</f>
        <v>0</v>
      </c>
      <c r="E36" s="49">
        <f>AVERAGE('31.07 Yumbe-Koboko'!E36,'01.08 Yumbe-Koboko'!E36,'04.08 Yumbe-Koboko'!E36,'05.08 Yumbe-Koboko'!E36,'02.08 Yumbe-Koboko-24h'!E36,'03.08 Yumbe-Koboko-24h'!E36,'06.08 Yumbe-Koboko'!E36)</f>
        <v>0.7142857142857143</v>
      </c>
      <c r="F36" s="49">
        <f>AVERAGE('31.07 Yumbe-Koboko'!F36,'01.08 Yumbe-Koboko'!F36,'04.08 Yumbe-Koboko'!F36,'05.08 Yumbe-Koboko'!F36,'02.08 Yumbe-Koboko-24h'!F36,'03.08 Yumbe-Koboko-24h'!F36,'06.08 Yumbe-Koboko'!F36)</f>
        <v>0.14285714285714285</v>
      </c>
      <c r="G36" s="49">
        <f>AVERAGE('31.07 Yumbe-Koboko'!G36,'01.08 Yumbe-Koboko'!G36,'04.08 Yumbe-Koboko'!G36,'05.08 Yumbe-Koboko'!G36,'02.08 Yumbe-Koboko-24h'!G36,'03.08 Yumbe-Koboko-24h'!G36,'06.08 Yumbe-Koboko'!G36)</f>
        <v>0</v>
      </c>
      <c r="H36" s="49">
        <f>AVERAGE('31.07 Yumbe-Koboko'!H36,'01.08 Yumbe-Koboko'!H36,'04.08 Yumbe-Koboko'!H36,'05.08 Yumbe-Koboko'!H36,'02.08 Yumbe-Koboko-24h'!H36,'03.08 Yumbe-Koboko-24h'!H36,'06.08 Yumbe-Koboko'!H36)</f>
        <v>0.14285714285714285</v>
      </c>
      <c r="I36" s="49">
        <f>AVERAGE('31.07 Yumbe-Koboko'!I36,'01.08 Yumbe-Koboko'!I36,'04.08 Yumbe-Koboko'!I36,'05.08 Yumbe-Koboko'!I36,'02.08 Yumbe-Koboko-24h'!I36,'03.08 Yumbe-Koboko-24h'!I36,'06.08 Yumbe-Koboko'!I36)</f>
        <v>0.42857142857142855</v>
      </c>
      <c r="J36" s="49">
        <f>AVERAGE('31.07 Yumbe-Koboko'!J36,'01.08 Yumbe-Koboko'!J36,'04.08 Yumbe-Koboko'!J36,'05.08 Yumbe-Koboko'!J36,'02.08 Yumbe-Koboko-24h'!J36,'03.08 Yumbe-Koboko-24h'!J36,'06.08 Yumbe-Koboko'!J36)</f>
        <v>0.14285714285714285</v>
      </c>
      <c r="K36" s="49">
        <f>AVERAGE('31.07 Yumbe-Koboko'!K36,'01.08 Yumbe-Koboko'!K36,'04.08 Yumbe-Koboko'!K36,'05.08 Yumbe-Koboko'!K36,'02.08 Yumbe-Koboko-24h'!K36,'03.08 Yumbe-Koboko-24h'!K36,'06.08 Yumbe-Koboko'!K36)</f>
        <v>0</v>
      </c>
      <c r="L36" s="49">
        <f>AVERAGE('31.07 Yumbe-Koboko'!L36,'01.08 Yumbe-Koboko'!L36,'04.08 Yumbe-Koboko'!L36,'05.08 Yumbe-Koboko'!L36,'02.08 Yumbe-Koboko-24h'!L36,'03.08 Yumbe-Koboko-24h'!L36,'06.08 Yumbe-Koboko'!L36)</f>
        <v>1</v>
      </c>
      <c r="M36" s="49">
        <f>AVERAGE('31.07 Yumbe-Koboko'!M36,'01.08 Yumbe-Koboko'!M36,'04.08 Yumbe-Koboko'!M36,'05.08 Yumbe-Koboko'!M36,'02.08 Yumbe-Koboko-24h'!M36,'03.08 Yumbe-Koboko-24h'!M36,'06.08 Yumbe-Koboko'!M36)</f>
        <v>7.2857142857142856</v>
      </c>
      <c r="N36" s="49">
        <f>AVERAGE('31.07 Yumbe-Koboko'!N36,'01.08 Yumbe-Koboko'!N36,'04.08 Yumbe-Koboko'!N36,'05.08 Yumbe-Koboko'!N36,'02.08 Yumbe-Koboko-24h'!N36,'03.08 Yumbe-Koboko-24h'!N36,'06.08 Yumbe-Koboko'!N36)</f>
        <v>0.14285714285714285</v>
      </c>
      <c r="O36" s="15">
        <f t="shared" si="0"/>
        <v>5</v>
      </c>
      <c r="P36" s="15">
        <f t="shared" si="1"/>
        <v>12.285714285714285</v>
      </c>
      <c r="R36" s="52" t="s">
        <v>92</v>
      </c>
      <c r="S36" s="53">
        <f t="shared" ref="S36:AF36" si="28">MAX(S19:S21)</f>
        <v>11.428571428571427</v>
      </c>
      <c r="T36" s="53">
        <f t="shared" si="28"/>
        <v>0.8571428571428571</v>
      </c>
      <c r="U36" s="53">
        <f t="shared" si="28"/>
        <v>6.2857142857142865</v>
      </c>
      <c r="V36" s="53">
        <f t="shared" si="28"/>
        <v>2.0952380952380949</v>
      </c>
      <c r="W36" s="53">
        <f t="shared" si="28"/>
        <v>0.42857142857142855</v>
      </c>
      <c r="X36" s="53">
        <f t="shared" si="28"/>
        <v>1.2857142857142856</v>
      </c>
      <c r="Y36" s="53">
        <f t="shared" si="28"/>
        <v>2.1428571428571428</v>
      </c>
      <c r="Z36" s="53">
        <f t="shared" si="28"/>
        <v>0.71428571428571419</v>
      </c>
      <c r="AA36" s="53">
        <f t="shared" si="28"/>
        <v>0.14285714285714285</v>
      </c>
      <c r="AB36" s="53">
        <f t="shared" si="28"/>
        <v>0.5714285714285714</v>
      </c>
      <c r="AC36" s="53">
        <f t="shared" si="28"/>
        <v>41.571428571428569</v>
      </c>
      <c r="AD36" s="53">
        <f t="shared" si="28"/>
        <v>0.5714285714285714</v>
      </c>
      <c r="AE36" s="40">
        <f t="shared" si="28"/>
        <v>24.952380952380953</v>
      </c>
      <c r="AF36" s="40">
        <f t="shared" si="28"/>
        <v>66.523809523809518</v>
      </c>
    </row>
    <row r="37" spans="2:32" ht="23.1" customHeight="1" x14ac:dyDescent="0.25">
      <c r="B37" s="23" t="s">
        <v>64</v>
      </c>
      <c r="C37" s="49">
        <f>AVERAGE('31.07 Yumbe-Koboko'!C37,'01.08 Yumbe-Koboko'!C37,'04.08 Yumbe-Koboko'!C37,'05.08 Yumbe-Koboko'!C37,'02.08 Yumbe-Koboko-24h'!C37,'03.08 Yumbe-Koboko-24h'!C37,'06.08 Yumbe-Koboko'!C37)</f>
        <v>2.7142857142857144</v>
      </c>
      <c r="D37" s="49">
        <f>AVERAGE('31.07 Yumbe-Koboko'!D37,'01.08 Yumbe-Koboko'!D37,'04.08 Yumbe-Koboko'!D37,'05.08 Yumbe-Koboko'!D37,'02.08 Yumbe-Koboko-24h'!D37,'03.08 Yumbe-Koboko-24h'!D37,'06.08 Yumbe-Koboko'!D37)</f>
        <v>0.14285714285714285</v>
      </c>
      <c r="E37" s="49">
        <f>AVERAGE('31.07 Yumbe-Koboko'!E37,'01.08 Yumbe-Koboko'!E37,'04.08 Yumbe-Koboko'!E37,'05.08 Yumbe-Koboko'!E37,'02.08 Yumbe-Koboko-24h'!E37,'03.08 Yumbe-Koboko-24h'!E37,'06.08 Yumbe-Koboko'!E37)</f>
        <v>1.1428571428571428</v>
      </c>
      <c r="F37" s="49">
        <f>AVERAGE('31.07 Yumbe-Koboko'!F37,'01.08 Yumbe-Koboko'!F37,'04.08 Yumbe-Koboko'!F37,'05.08 Yumbe-Koboko'!F37,'02.08 Yumbe-Koboko-24h'!F37,'03.08 Yumbe-Koboko-24h'!F37,'06.08 Yumbe-Koboko'!F37)</f>
        <v>0.2857142857142857</v>
      </c>
      <c r="G37" s="49">
        <f>AVERAGE('31.07 Yumbe-Koboko'!G37,'01.08 Yumbe-Koboko'!G37,'04.08 Yumbe-Koboko'!G37,'05.08 Yumbe-Koboko'!G37,'02.08 Yumbe-Koboko-24h'!G37,'03.08 Yumbe-Koboko-24h'!G37,'06.08 Yumbe-Koboko'!G37)</f>
        <v>0</v>
      </c>
      <c r="H37" s="49">
        <f>AVERAGE('31.07 Yumbe-Koboko'!H37,'01.08 Yumbe-Koboko'!H37,'04.08 Yumbe-Koboko'!H37,'05.08 Yumbe-Koboko'!H37,'02.08 Yumbe-Koboko-24h'!H37,'03.08 Yumbe-Koboko-24h'!H37,'06.08 Yumbe-Koboko'!H37)</f>
        <v>0</v>
      </c>
      <c r="I37" s="49">
        <f>AVERAGE('31.07 Yumbe-Koboko'!I37,'01.08 Yumbe-Koboko'!I37,'04.08 Yumbe-Koboko'!I37,'05.08 Yumbe-Koboko'!I37,'02.08 Yumbe-Koboko-24h'!I37,'03.08 Yumbe-Koboko-24h'!I37,'06.08 Yumbe-Koboko'!I37)</f>
        <v>0.2857142857142857</v>
      </c>
      <c r="J37" s="49">
        <f>AVERAGE('31.07 Yumbe-Koboko'!J37,'01.08 Yumbe-Koboko'!J37,'04.08 Yumbe-Koboko'!J37,'05.08 Yumbe-Koboko'!J37,'02.08 Yumbe-Koboko-24h'!J37,'03.08 Yumbe-Koboko-24h'!J37,'06.08 Yumbe-Koboko'!J37)</f>
        <v>0</v>
      </c>
      <c r="K37" s="49">
        <f>AVERAGE('31.07 Yumbe-Koboko'!K37,'01.08 Yumbe-Koboko'!K37,'04.08 Yumbe-Koboko'!K37,'05.08 Yumbe-Koboko'!K37,'02.08 Yumbe-Koboko-24h'!K37,'03.08 Yumbe-Koboko-24h'!K37,'06.08 Yumbe-Koboko'!K37)</f>
        <v>0</v>
      </c>
      <c r="L37" s="49">
        <f>AVERAGE('31.07 Yumbe-Koboko'!L37,'01.08 Yumbe-Koboko'!L37,'04.08 Yumbe-Koboko'!L37,'05.08 Yumbe-Koboko'!L37,'02.08 Yumbe-Koboko-24h'!L37,'03.08 Yumbe-Koboko-24h'!L37,'06.08 Yumbe-Koboko'!L37)</f>
        <v>0.2857142857142857</v>
      </c>
      <c r="M37" s="49">
        <f>AVERAGE('31.07 Yumbe-Koboko'!M37,'01.08 Yumbe-Koboko'!M37,'04.08 Yumbe-Koboko'!M37,'05.08 Yumbe-Koboko'!M37,'02.08 Yumbe-Koboko-24h'!M37,'03.08 Yumbe-Koboko-24h'!M37,'06.08 Yumbe-Koboko'!M37)</f>
        <v>5.4285714285714288</v>
      </c>
      <c r="N37" s="49">
        <f>AVERAGE('31.07 Yumbe-Koboko'!N37,'01.08 Yumbe-Koboko'!N37,'04.08 Yumbe-Koboko'!N37,'05.08 Yumbe-Koboko'!N37,'02.08 Yumbe-Koboko-24h'!N37,'03.08 Yumbe-Koboko-24h'!N37,'06.08 Yumbe-Koboko'!N37)</f>
        <v>0</v>
      </c>
      <c r="O37" s="15">
        <f t="shared" si="0"/>
        <v>4.8571428571428568</v>
      </c>
      <c r="P37" s="15">
        <f t="shared" si="1"/>
        <v>10.285714285714285</v>
      </c>
      <c r="R37" s="37" t="s">
        <v>85</v>
      </c>
      <c r="S37" s="35">
        <f t="shared" ref="S37:AF37" si="29">SUM(S10:S12)</f>
        <v>19.142857142857142</v>
      </c>
      <c r="T37" s="16">
        <f t="shared" si="29"/>
        <v>1.1428571428571428</v>
      </c>
      <c r="U37" s="16">
        <f t="shared" si="29"/>
        <v>9</v>
      </c>
      <c r="V37" s="16">
        <f t="shared" si="29"/>
        <v>1.5714285714285714</v>
      </c>
      <c r="W37" s="16">
        <f t="shared" si="29"/>
        <v>0.5714285714285714</v>
      </c>
      <c r="X37" s="16">
        <f t="shared" si="29"/>
        <v>1.9999999999999998</v>
      </c>
      <c r="Y37" s="16">
        <f t="shared" si="29"/>
        <v>1.5714285714285714</v>
      </c>
      <c r="Z37" s="16">
        <f t="shared" si="29"/>
        <v>0.2857142857142857</v>
      </c>
      <c r="AA37" s="16">
        <f t="shared" si="29"/>
        <v>0.71428571428571419</v>
      </c>
      <c r="AB37" s="16">
        <f t="shared" si="29"/>
        <v>0</v>
      </c>
      <c r="AC37" s="16">
        <f t="shared" si="29"/>
        <v>109.85714285714286</v>
      </c>
      <c r="AD37" s="16">
        <f t="shared" si="29"/>
        <v>0.14285714285714285</v>
      </c>
      <c r="AE37" s="32">
        <f t="shared" si="29"/>
        <v>36.142857142857139</v>
      </c>
      <c r="AF37" s="32">
        <f t="shared" si="29"/>
        <v>146</v>
      </c>
    </row>
    <row r="38" spans="2:32" ht="23.1" customHeight="1" x14ac:dyDescent="0.25">
      <c r="B38" s="24" t="s">
        <v>65</v>
      </c>
      <c r="C38" s="49">
        <f>AVERAGE('31.07 Yumbe-Koboko'!C38,'01.08 Yumbe-Koboko'!C38,'04.08 Yumbe-Koboko'!C38,'05.08 Yumbe-Koboko'!C38,'02.08 Yumbe-Koboko-24h'!C38,'03.08 Yumbe-Koboko-24h'!C38,'06.08 Yumbe-Koboko'!C38)</f>
        <v>1.8571428571428572</v>
      </c>
      <c r="D38" s="49">
        <f>AVERAGE('31.07 Yumbe-Koboko'!D38,'01.08 Yumbe-Koboko'!D38,'04.08 Yumbe-Koboko'!D38,'05.08 Yumbe-Koboko'!D38,'02.08 Yumbe-Koboko-24h'!D38,'03.08 Yumbe-Koboko-24h'!D38,'06.08 Yumbe-Koboko'!D38)</f>
        <v>0</v>
      </c>
      <c r="E38" s="49">
        <f>AVERAGE('31.07 Yumbe-Koboko'!E38,'01.08 Yumbe-Koboko'!E38,'04.08 Yumbe-Koboko'!E38,'05.08 Yumbe-Koboko'!E38,'02.08 Yumbe-Koboko-24h'!E38,'03.08 Yumbe-Koboko-24h'!E38,'06.08 Yumbe-Koboko'!E38)</f>
        <v>1</v>
      </c>
      <c r="F38" s="49">
        <f>AVERAGE('31.07 Yumbe-Koboko'!F38,'01.08 Yumbe-Koboko'!F38,'04.08 Yumbe-Koboko'!F38,'05.08 Yumbe-Koboko'!F38,'02.08 Yumbe-Koboko-24h'!F38,'03.08 Yumbe-Koboko-24h'!F38,'06.08 Yumbe-Koboko'!F38)</f>
        <v>0.2857142857142857</v>
      </c>
      <c r="G38" s="49">
        <f>AVERAGE('31.07 Yumbe-Koboko'!G38,'01.08 Yumbe-Koboko'!G38,'04.08 Yumbe-Koboko'!G38,'05.08 Yumbe-Koboko'!G38,'02.08 Yumbe-Koboko-24h'!G38,'03.08 Yumbe-Koboko-24h'!G38,'06.08 Yumbe-Koboko'!G38)</f>
        <v>0</v>
      </c>
      <c r="H38" s="49">
        <f>AVERAGE('31.07 Yumbe-Koboko'!H38,'01.08 Yumbe-Koboko'!H38,'04.08 Yumbe-Koboko'!H38,'05.08 Yumbe-Koboko'!H38,'02.08 Yumbe-Koboko-24h'!H38,'03.08 Yumbe-Koboko-24h'!H38,'06.08 Yumbe-Koboko'!H38)</f>
        <v>0</v>
      </c>
      <c r="I38" s="49">
        <f>AVERAGE('31.07 Yumbe-Koboko'!I38,'01.08 Yumbe-Koboko'!I38,'04.08 Yumbe-Koboko'!I38,'05.08 Yumbe-Koboko'!I38,'02.08 Yumbe-Koboko-24h'!I38,'03.08 Yumbe-Koboko-24h'!I38,'06.08 Yumbe-Koboko'!I38)</f>
        <v>0.14285714285714285</v>
      </c>
      <c r="J38" s="49">
        <f>AVERAGE('31.07 Yumbe-Koboko'!J38,'01.08 Yumbe-Koboko'!J38,'04.08 Yumbe-Koboko'!J38,'05.08 Yumbe-Koboko'!J38,'02.08 Yumbe-Koboko-24h'!J38,'03.08 Yumbe-Koboko-24h'!J38,'06.08 Yumbe-Koboko'!J38)</f>
        <v>0</v>
      </c>
      <c r="K38" s="49">
        <f>AVERAGE('31.07 Yumbe-Koboko'!K38,'01.08 Yumbe-Koboko'!K38,'04.08 Yumbe-Koboko'!K38,'05.08 Yumbe-Koboko'!K38,'02.08 Yumbe-Koboko-24h'!K38,'03.08 Yumbe-Koboko-24h'!K38,'06.08 Yumbe-Koboko'!K38)</f>
        <v>0</v>
      </c>
      <c r="L38" s="49">
        <f>AVERAGE('31.07 Yumbe-Koboko'!L38,'01.08 Yumbe-Koboko'!L38,'04.08 Yumbe-Koboko'!L38,'05.08 Yumbe-Koboko'!L38,'02.08 Yumbe-Koboko-24h'!L38,'03.08 Yumbe-Koboko-24h'!L38,'06.08 Yumbe-Koboko'!L38)</f>
        <v>0.14285714285714285</v>
      </c>
      <c r="M38" s="49">
        <f>AVERAGE('31.07 Yumbe-Koboko'!M38,'01.08 Yumbe-Koboko'!M38,'04.08 Yumbe-Koboko'!M38,'05.08 Yumbe-Koboko'!M38,'02.08 Yumbe-Koboko-24h'!M38,'03.08 Yumbe-Koboko-24h'!M38,'06.08 Yumbe-Koboko'!M38)</f>
        <v>5.2857142857142856</v>
      </c>
      <c r="N38" s="49">
        <f>AVERAGE('31.07 Yumbe-Koboko'!N38,'01.08 Yumbe-Koboko'!N38,'04.08 Yumbe-Koboko'!N38,'05.08 Yumbe-Koboko'!N38,'02.08 Yumbe-Koboko-24h'!N38,'03.08 Yumbe-Koboko-24h'!N38,'06.08 Yumbe-Koboko'!N38)</f>
        <v>0.14285714285714285</v>
      </c>
      <c r="O38" s="15">
        <f t="shared" si="0"/>
        <v>3.5714285714285712</v>
      </c>
      <c r="P38" s="15">
        <f t="shared" si="1"/>
        <v>8.8571428571428559</v>
      </c>
      <c r="R38" s="28" t="s">
        <v>86</v>
      </c>
      <c r="S38" s="16">
        <f t="shared" ref="S38:AF38" si="30">SUM(S13:S18)</f>
        <v>43.571428571428569</v>
      </c>
      <c r="T38" s="16">
        <f t="shared" si="30"/>
        <v>2.8571428571428568</v>
      </c>
      <c r="U38" s="16">
        <f t="shared" si="30"/>
        <v>23.714285714285715</v>
      </c>
      <c r="V38" s="16">
        <f t="shared" si="30"/>
        <v>6.428571428571427</v>
      </c>
      <c r="W38" s="16">
        <f t="shared" si="30"/>
        <v>0.42857142857142855</v>
      </c>
      <c r="X38" s="16">
        <f t="shared" si="30"/>
        <v>1.5714285714285712</v>
      </c>
      <c r="Y38" s="16">
        <f t="shared" si="30"/>
        <v>6.7142857142857144</v>
      </c>
      <c r="Z38" s="16">
        <f t="shared" si="30"/>
        <v>0.71428571428571419</v>
      </c>
      <c r="AA38" s="16">
        <f t="shared" si="30"/>
        <v>0.42857142857142855</v>
      </c>
      <c r="AB38" s="16">
        <f t="shared" si="30"/>
        <v>1.9999999999999996</v>
      </c>
      <c r="AC38" s="16">
        <f t="shared" si="30"/>
        <v>190.57142857142856</v>
      </c>
      <c r="AD38" s="16">
        <f t="shared" si="30"/>
        <v>0.5714285714285714</v>
      </c>
      <c r="AE38" s="32">
        <f t="shared" si="30"/>
        <v>89</v>
      </c>
      <c r="AF38" s="32">
        <f t="shared" si="30"/>
        <v>279.57142857142856</v>
      </c>
    </row>
    <row r="39" spans="2:32" ht="23.1" customHeight="1" x14ac:dyDescent="0.25">
      <c r="B39" s="24" t="s">
        <v>66</v>
      </c>
      <c r="C39" s="49">
        <f>AVERAGE('31.07 Yumbe-Koboko'!C39,'01.08 Yumbe-Koboko'!C39,'04.08 Yumbe-Koboko'!C39,'05.08 Yumbe-Koboko'!C39,'02.08 Yumbe-Koboko-24h'!C39,'03.08 Yumbe-Koboko-24h'!C39,'06.08 Yumbe-Koboko'!C39)</f>
        <v>2.4285714285714284</v>
      </c>
      <c r="D39" s="49">
        <f>AVERAGE('31.07 Yumbe-Koboko'!D39,'01.08 Yumbe-Koboko'!D39,'04.08 Yumbe-Koboko'!D39,'05.08 Yumbe-Koboko'!D39,'02.08 Yumbe-Koboko-24h'!D39,'03.08 Yumbe-Koboko-24h'!D39,'06.08 Yumbe-Koboko'!D39)</f>
        <v>0</v>
      </c>
      <c r="E39" s="49">
        <f>AVERAGE('31.07 Yumbe-Koboko'!E39,'01.08 Yumbe-Koboko'!E39,'04.08 Yumbe-Koboko'!E39,'05.08 Yumbe-Koboko'!E39,'02.08 Yumbe-Koboko-24h'!E39,'03.08 Yumbe-Koboko-24h'!E39,'06.08 Yumbe-Koboko'!E39)</f>
        <v>1</v>
      </c>
      <c r="F39" s="49">
        <f>AVERAGE('31.07 Yumbe-Koboko'!F39,'01.08 Yumbe-Koboko'!F39,'04.08 Yumbe-Koboko'!F39,'05.08 Yumbe-Koboko'!F39,'02.08 Yumbe-Koboko-24h'!F39,'03.08 Yumbe-Koboko-24h'!F39,'06.08 Yumbe-Koboko'!F39)</f>
        <v>0.14285714285714285</v>
      </c>
      <c r="G39" s="49">
        <f>AVERAGE('31.07 Yumbe-Koboko'!G39,'01.08 Yumbe-Koboko'!G39,'04.08 Yumbe-Koboko'!G39,'05.08 Yumbe-Koboko'!G39,'02.08 Yumbe-Koboko-24h'!G39,'03.08 Yumbe-Koboko-24h'!G39,'06.08 Yumbe-Koboko'!G39)</f>
        <v>0</v>
      </c>
      <c r="H39" s="49">
        <f>AVERAGE('31.07 Yumbe-Koboko'!H39,'01.08 Yumbe-Koboko'!H39,'04.08 Yumbe-Koboko'!H39,'05.08 Yumbe-Koboko'!H39,'02.08 Yumbe-Koboko-24h'!H39,'03.08 Yumbe-Koboko-24h'!H39,'06.08 Yumbe-Koboko'!H39)</f>
        <v>0</v>
      </c>
      <c r="I39" s="49">
        <f>AVERAGE('31.07 Yumbe-Koboko'!I39,'01.08 Yumbe-Koboko'!I39,'04.08 Yumbe-Koboko'!I39,'05.08 Yumbe-Koboko'!I39,'02.08 Yumbe-Koboko-24h'!I39,'03.08 Yumbe-Koboko-24h'!I39,'06.08 Yumbe-Koboko'!I39)</f>
        <v>0.42857142857142855</v>
      </c>
      <c r="J39" s="49">
        <f>AVERAGE('31.07 Yumbe-Koboko'!J39,'01.08 Yumbe-Koboko'!J39,'04.08 Yumbe-Koboko'!J39,'05.08 Yumbe-Koboko'!J39,'02.08 Yumbe-Koboko-24h'!J39,'03.08 Yumbe-Koboko-24h'!J39,'06.08 Yumbe-Koboko'!J39)</f>
        <v>0</v>
      </c>
      <c r="K39" s="49">
        <f>AVERAGE('31.07 Yumbe-Koboko'!K39,'01.08 Yumbe-Koboko'!K39,'04.08 Yumbe-Koboko'!K39,'05.08 Yumbe-Koboko'!K39,'02.08 Yumbe-Koboko-24h'!K39,'03.08 Yumbe-Koboko-24h'!K39,'06.08 Yumbe-Koboko'!K39)</f>
        <v>0</v>
      </c>
      <c r="L39" s="49">
        <f>AVERAGE('31.07 Yumbe-Koboko'!L39,'01.08 Yumbe-Koboko'!L39,'04.08 Yumbe-Koboko'!L39,'05.08 Yumbe-Koboko'!L39,'02.08 Yumbe-Koboko-24h'!L39,'03.08 Yumbe-Koboko-24h'!L39,'06.08 Yumbe-Koboko'!L39)</f>
        <v>0.14285714285714285</v>
      </c>
      <c r="M39" s="49">
        <f>AVERAGE('31.07 Yumbe-Koboko'!M39,'01.08 Yumbe-Koboko'!M39,'04.08 Yumbe-Koboko'!M39,'05.08 Yumbe-Koboko'!M39,'02.08 Yumbe-Koboko-24h'!M39,'03.08 Yumbe-Koboko-24h'!M39,'06.08 Yumbe-Koboko'!M39)</f>
        <v>6.2857142857142856</v>
      </c>
      <c r="N39" s="49">
        <f>AVERAGE('31.07 Yumbe-Koboko'!N39,'01.08 Yumbe-Koboko'!N39,'04.08 Yumbe-Koboko'!N39,'05.08 Yumbe-Koboko'!N39,'02.08 Yumbe-Koboko-24h'!N39,'03.08 Yumbe-Koboko-24h'!N39,'06.08 Yumbe-Koboko'!N39)</f>
        <v>0</v>
      </c>
      <c r="O39" s="15">
        <f t="shared" si="0"/>
        <v>4.1428571428571423</v>
      </c>
      <c r="P39" s="15">
        <f t="shared" si="1"/>
        <v>10.428571428571427</v>
      </c>
      <c r="R39" s="29" t="s">
        <v>87</v>
      </c>
      <c r="S39" s="16">
        <f t="shared" ref="S39:AF39" si="31">SUM(S19:S21)</f>
        <v>33.428571428571431</v>
      </c>
      <c r="T39" s="16">
        <f t="shared" si="31"/>
        <v>2.4285714285714284</v>
      </c>
      <c r="U39" s="16">
        <f t="shared" si="31"/>
        <v>17.142857142857146</v>
      </c>
      <c r="V39" s="16">
        <f t="shared" si="31"/>
        <v>4.9523809523809517</v>
      </c>
      <c r="W39" s="16">
        <f t="shared" si="31"/>
        <v>0.8571428571428571</v>
      </c>
      <c r="X39" s="16">
        <f t="shared" si="31"/>
        <v>2.1428571428571428</v>
      </c>
      <c r="Y39" s="16">
        <f t="shared" si="31"/>
        <v>5.1428571428571423</v>
      </c>
      <c r="Z39" s="16">
        <f t="shared" si="31"/>
        <v>1.5714285714285712</v>
      </c>
      <c r="AA39" s="16">
        <f t="shared" si="31"/>
        <v>0.14285714285714285</v>
      </c>
      <c r="AB39" s="16">
        <f t="shared" si="31"/>
        <v>0.99999999999999989</v>
      </c>
      <c r="AC39" s="16">
        <f t="shared" si="31"/>
        <v>106</v>
      </c>
      <c r="AD39" s="16">
        <f t="shared" si="31"/>
        <v>1</v>
      </c>
      <c r="AE39" s="32">
        <f t="shared" si="31"/>
        <v>69.80952380952381</v>
      </c>
      <c r="AF39" s="32">
        <f t="shared" si="31"/>
        <v>175.8095238095238</v>
      </c>
    </row>
    <row r="40" spans="2:32" ht="23.1" customHeight="1" x14ac:dyDescent="0.25">
      <c r="B40" s="24" t="s">
        <v>67</v>
      </c>
      <c r="C40" s="49">
        <f>AVERAGE('31.07 Yumbe-Koboko'!C40,'01.08 Yumbe-Koboko'!C40,'04.08 Yumbe-Koboko'!C40,'05.08 Yumbe-Koboko'!C40,'02.08 Yumbe-Koboko-24h'!C40,'03.08 Yumbe-Koboko-24h'!C40,'06.08 Yumbe-Koboko'!C40)</f>
        <v>1</v>
      </c>
      <c r="D40" s="49">
        <f>AVERAGE('31.07 Yumbe-Koboko'!D40,'01.08 Yumbe-Koboko'!D40,'04.08 Yumbe-Koboko'!D40,'05.08 Yumbe-Koboko'!D40,'02.08 Yumbe-Koboko-24h'!D40,'03.08 Yumbe-Koboko-24h'!D40,'06.08 Yumbe-Koboko'!D40)</f>
        <v>0.2857142857142857</v>
      </c>
      <c r="E40" s="49">
        <f>AVERAGE('31.07 Yumbe-Koboko'!E40,'01.08 Yumbe-Koboko'!E40,'04.08 Yumbe-Koboko'!E40,'05.08 Yumbe-Koboko'!E40,'02.08 Yumbe-Koboko-24h'!E40,'03.08 Yumbe-Koboko-24h'!E40,'06.08 Yumbe-Koboko'!E40)</f>
        <v>1.1428571428571428</v>
      </c>
      <c r="F40" s="49">
        <f>AVERAGE('31.07 Yumbe-Koboko'!F40,'01.08 Yumbe-Koboko'!F40,'04.08 Yumbe-Koboko'!F40,'05.08 Yumbe-Koboko'!F40,'02.08 Yumbe-Koboko-24h'!F40,'03.08 Yumbe-Koboko-24h'!F40,'06.08 Yumbe-Koboko'!F40)</f>
        <v>0.14285714285714285</v>
      </c>
      <c r="G40" s="49">
        <f>AVERAGE('31.07 Yumbe-Koboko'!G40,'01.08 Yumbe-Koboko'!G40,'04.08 Yumbe-Koboko'!G40,'05.08 Yumbe-Koboko'!G40,'02.08 Yumbe-Koboko-24h'!G40,'03.08 Yumbe-Koboko-24h'!G40,'06.08 Yumbe-Koboko'!G40)</f>
        <v>0</v>
      </c>
      <c r="H40" s="49">
        <f>AVERAGE('31.07 Yumbe-Koboko'!H40,'01.08 Yumbe-Koboko'!H40,'04.08 Yumbe-Koboko'!H40,'05.08 Yumbe-Koboko'!H40,'02.08 Yumbe-Koboko-24h'!H40,'03.08 Yumbe-Koboko-24h'!H40,'06.08 Yumbe-Koboko'!H40)</f>
        <v>0</v>
      </c>
      <c r="I40" s="49">
        <f>AVERAGE('31.07 Yumbe-Koboko'!I40,'01.08 Yumbe-Koboko'!I40,'04.08 Yumbe-Koboko'!I40,'05.08 Yumbe-Koboko'!I40,'02.08 Yumbe-Koboko-24h'!I40,'03.08 Yumbe-Koboko-24h'!I40,'06.08 Yumbe-Koboko'!I40)</f>
        <v>0.42857142857142855</v>
      </c>
      <c r="J40" s="49">
        <f>AVERAGE('31.07 Yumbe-Koboko'!J40,'01.08 Yumbe-Koboko'!J40,'04.08 Yumbe-Koboko'!J40,'05.08 Yumbe-Koboko'!J40,'02.08 Yumbe-Koboko-24h'!J40,'03.08 Yumbe-Koboko-24h'!J40,'06.08 Yumbe-Koboko'!J40)</f>
        <v>0</v>
      </c>
      <c r="K40" s="49">
        <f>AVERAGE('31.07 Yumbe-Koboko'!K40,'01.08 Yumbe-Koboko'!K40,'04.08 Yumbe-Koboko'!K40,'05.08 Yumbe-Koboko'!K40,'02.08 Yumbe-Koboko-24h'!K40,'03.08 Yumbe-Koboko-24h'!K40,'06.08 Yumbe-Koboko'!K40)</f>
        <v>0</v>
      </c>
      <c r="L40" s="49">
        <f>AVERAGE('31.07 Yumbe-Koboko'!L40,'01.08 Yumbe-Koboko'!L40,'04.08 Yumbe-Koboko'!L40,'05.08 Yumbe-Koboko'!L40,'02.08 Yumbe-Koboko-24h'!L40,'03.08 Yumbe-Koboko-24h'!L40,'06.08 Yumbe-Koboko'!L40)</f>
        <v>0</v>
      </c>
      <c r="M40" s="49">
        <f>AVERAGE('31.07 Yumbe-Koboko'!M40,'01.08 Yumbe-Koboko'!M40,'04.08 Yumbe-Koboko'!M40,'05.08 Yumbe-Koboko'!M40,'02.08 Yumbe-Koboko-24h'!M40,'03.08 Yumbe-Koboko-24h'!M40,'06.08 Yumbe-Koboko'!M40)</f>
        <v>5.8571428571428568</v>
      </c>
      <c r="N40" s="49">
        <f>AVERAGE('31.07 Yumbe-Koboko'!N40,'01.08 Yumbe-Koboko'!N40,'04.08 Yumbe-Koboko'!N40,'05.08 Yumbe-Koboko'!N40,'02.08 Yumbe-Koboko-24h'!N40,'03.08 Yumbe-Koboko-24h'!N40,'06.08 Yumbe-Koboko'!N40)</f>
        <v>0.14285714285714285</v>
      </c>
      <c r="O40" s="15">
        <f t="shared" si="0"/>
        <v>3.1428571428571423</v>
      </c>
      <c r="P40" s="15">
        <f t="shared" si="1"/>
        <v>8.9999999999999982</v>
      </c>
      <c r="R40" s="5" t="s">
        <v>17</v>
      </c>
      <c r="S40" s="16">
        <f t="shared" ref="S40:AF40" si="32">SUM(S10:S21)</f>
        <v>96.142857142857139</v>
      </c>
      <c r="T40" s="16">
        <f t="shared" si="32"/>
        <v>6.428571428571427</v>
      </c>
      <c r="U40" s="16">
        <f t="shared" si="32"/>
        <v>49.857142857142854</v>
      </c>
      <c r="V40" s="16">
        <f t="shared" si="32"/>
        <v>12.952380952380953</v>
      </c>
      <c r="W40" s="16">
        <f t="shared" si="32"/>
        <v>1.857142857142857</v>
      </c>
      <c r="X40" s="16">
        <f t="shared" si="32"/>
        <v>5.7142857142857135</v>
      </c>
      <c r="Y40" s="16">
        <f t="shared" si="32"/>
        <v>13.428571428571427</v>
      </c>
      <c r="Z40" s="16">
        <f t="shared" si="32"/>
        <v>2.5714285714285712</v>
      </c>
      <c r="AA40" s="16">
        <f t="shared" si="32"/>
        <v>1.2857142857142856</v>
      </c>
      <c r="AB40" s="16">
        <f t="shared" si="32"/>
        <v>2.9999999999999991</v>
      </c>
      <c r="AC40" s="16">
        <f t="shared" si="32"/>
        <v>406.4285714285715</v>
      </c>
      <c r="AD40" s="16">
        <f t="shared" si="32"/>
        <v>1.7142857142857142</v>
      </c>
      <c r="AE40" s="32">
        <f t="shared" si="32"/>
        <v>194.95238095238096</v>
      </c>
      <c r="AF40" s="32">
        <f t="shared" si="32"/>
        <v>601.38095238095241</v>
      </c>
    </row>
    <row r="41" spans="2:32" ht="23.1" customHeight="1" x14ac:dyDescent="0.25">
      <c r="B41" s="23" t="s">
        <v>68</v>
      </c>
      <c r="C41" s="49">
        <f>AVERAGE('31.07 Yumbe-Koboko'!C41,'01.08 Yumbe-Koboko'!C41,'04.08 Yumbe-Koboko'!C41,'05.08 Yumbe-Koboko'!C41,'02.08 Yumbe-Koboko-24h'!C41,'03.08 Yumbe-Koboko-24h'!C41,'06.08 Yumbe-Koboko'!C41)</f>
        <v>2.2857142857142856</v>
      </c>
      <c r="D41" s="49">
        <f>AVERAGE('31.07 Yumbe-Koboko'!D41,'01.08 Yumbe-Koboko'!D41,'04.08 Yumbe-Koboko'!D41,'05.08 Yumbe-Koboko'!D41,'02.08 Yumbe-Koboko-24h'!D41,'03.08 Yumbe-Koboko-24h'!D41,'06.08 Yumbe-Koboko'!D41)</f>
        <v>0</v>
      </c>
      <c r="E41" s="49">
        <f>AVERAGE('31.07 Yumbe-Koboko'!E41,'01.08 Yumbe-Koboko'!E41,'04.08 Yumbe-Koboko'!E41,'05.08 Yumbe-Koboko'!E41,'02.08 Yumbe-Koboko-24h'!E41,'03.08 Yumbe-Koboko-24h'!E41,'06.08 Yumbe-Koboko'!E41)</f>
        <v>0.5714285714285714</v>
      </c>
      <c r="F41" s="49">
        <f>AVERAGE('31.07 Yumbe-Koboko'!F41,'01.08 Yumbe-Koboko'!F41,'04.08 Yumbe-Koboko'!F41,'05.08 Yumbe-Koboko'!F41,'02.08 Yumbe-Koboko-24h'!F41,'03.08 Yumbe-Koboko-24h'!F41,'06.08 Yumbe-Koboko'!F41)</f>
        <v>0</v>
      </c>
      <c r="G41" s="49">
        <f>AVERAGE('31.07 Yumbe-Koboko'!G41,'01.08 Yumbe-Koboko'!G41,'04.08 Yumbe-Koboko'!G41,'05.08 Yumbe-Koboko'!G41,'02.08 Yumbe-Koboko-24h'!G41,'03.08 Yumbe-Koboko-24h'!G41,'06.08 Yumbe-Koboko'!G41)</f>
        <v>0</v>
      </c>
      <c r="H41" s="49">
        <f>AVERAGE('31.07 Yumbe-Koboko'!H41,'01.08 Yumbe-Koboko'!H41,'04.08 Yumbe-Koboko'!H41,'05.08 Yumbe-Koboko'!H41,'02.08 Yumbe-Koboko-24h'!H41,'03.08 Yumbe-Koboko-24h'!H41,'06.08 Yumbe-Koboko'!H41)</f>
        <v>0</v>
      </c>
      <c r="I41" s="49">
        <f>AVERAGE('31.07 Yumbe-Koboko'!I41,'01.08 Yumbe-Koboko'!I41,'04.08 Yumbe-Koboko'!I41,'05.08 Yumbe-Koboko'!I41,'02.08 Yumbe-Koboko-24h'!I41,'03.08 Yumbe-Koboko-24h'!I41,'06.08 Yumbe-Koboko'!I41)</f>
        <v>0.14285714285714285</v>
      </c>
      <c r="J41" s="49">
        <f>AVERAGE('31.07 Yumbe-Koboko'!J41,'01.08 Yumbe-Koboko'!J41,'04.08 Yumbe-Koboko'!J41,'05.08 Yumbe-Koboko'!J41,'02.08 Yumbe-Koboko-24h'!J41,'03.08 Yumbe-Koboko-24h'!J41,'06.08 Yumbe-Koboko'!J41)</f>
        <v>0</v>
      </c>
      <c r="K41" s="49">
        <f>AVERAGE('31.07 Yumbe-Koboko'!K41,'01.08 Yumbe-Koboko'!K41,'04.08 Yumbe-Koboko'!K41,'05.08 Yumbe-Koboko'!K41,'02.08 Yumbe-Koboko-24h'!K41,'03.08 Yumbe-Koboko-24h'!K41,'06.08 Yumbe-Koboko'!K41)</f>
        <v>0</v>
      </c>
      <c r="L41" s="49">
        <f>AVERAGE('31.07 Yumbe-Koboko'!L41,'01.08 Yumbe-Koboko'!L41,'04.08 Yumbe-Koboko'!L41,'05.08 Yumbe-Koboko'!L41,'02.08 Yumbe-Koboko-24h'!L41,'03.08 Yumbe-Koboko-24h'!L41,'06.08 Yumbe-Koboko'!L41)</f>
        <v>0</v>
      </c>
      <c r="M41" s="49">
        <f>AVERAGE('31.07 Yumbe-Koboko'!M41,'01.08 Yumbe-Koboko'!M41,'04.08 Yumbe-Koboko'!M41,'05.08 Yumbe-Koboko'!M41,'02.08 Yumbe-Koboko-24h'!M41,'03.08 Yumbe-Koboko-24h'!M41,'06.08 Yumbe-Koboko'!M41)</f>
        <v>7</v>
      </c>
      <c r="N41" s="49">
        <f>AVERAGE('31.07 Yumbe-Koboko'!N41,'01.08 Yumbe-Koboko'!N41,'04.08 Yumbe-Koboko'!N41,'05.08 Yumbe-Koboko'!N41,'02.08 Yumbe-Koboko-24h'!N41,'03.08 Yumbe-Koboko-24h'!N41,'06.08 Yumbe-Koboko'!N41)</f>
        <v>0</v>
      </c>
      <c r="O41" s="15">
        <f t="shared" si="0"/>
        <v>2.9999999999999996</v>
      </c>
      <c r="P41" s="15">
        <f t="shared" si="1"/>
        <v>10</v>
      </c>
      <c r="R41" s="5" t="s">
        <v>175</v>
      </c>
      <c r="S41" s="16">
        <f>SUM(S10:S33)</f>
        <v>106.14285714285714</v>
      </c>
      <c r="T41" s="16">
        <f t="shared" ref="T41:AD41" si="33">SUM(T10:T33)</f>
        <v>7.428571428571427</v>
      </c>
      <c r="U41" s="16">
        <f t="shared" si="33"/>
        <v>59.857142857142854</v>
      </c>
      <c r="V41" s="16">
        <f t="shared" si="33"/>
        <v>18.452380952380953</v>
      </c>
      <c r="W41" s="16">
        <f t="shared" si="33"/>
        <v>2.8571428571428568</v>
      </c>
      <c r="X41" s="16">
        <f t="shared" si="33"/>
        <v>5.7142857142857135</v>
      </c>
      <c r="Y41" s="16">
        <f t="shared" si="33"/>
        <v>17.428571428571427</v>
      </c>
      <c r="Z41" s="16">
        <f t="shared" si="33"/>
        <v>3.5714285714285712</v>
      </c>
      <c r="AA41" s="16">
        <f t="shared" si="33"/>
        <v>1.2857142857142856</v>
      </c>
      <c r="AB41" s="16">
        <f t="shared" si="33"/>
        <v>3.9999999999999991</v>
      </c>
      <c r="AC41" s="16">
        <f t="shared" si="33"/>
        <v>433.9285714285715</v>
      </c>
      <c r="AD41" s="16">
        <f t="shared" si="33"/>
        <v>1.7142857142857142</v>
      </c>
      <c r="AE41" s="32">
        <f>SUM(AE10:AE33)</f>
        <v>228.45238095238096</v>
      </c>
      <c r="AF41" s="32">
        <f>SUM(AF10:AF33)</f>
        <v>662.38095238095241</v>
      </c>
    </row>
    <row r="42" spans="2:32" ht="23.1" customHeight="1" x14ac:dyDescent="0.25">
      <c r="B42" s="24" t="s">
        <v>69</v>
      </c>
      <c r="C42" s="49">
        <f>AVERAGE('31.07 Yumbe-Koboko'!C42,'01.08 Yumbe-Koboko'!C42,'04.08 Yumbe-Koboko'!C42,'05.08 Yumbe-Koboko'!C42,'02.08 Yumbe-Koboko-24h'!C42,'03.08 Yumbe-Koboko-24h'!C42,'06.08 Yumbe-Koboko'!C42)</f>
        <v>2.1428571428571428</v>
      </c>
      <c r="D42" s="49">
        <f>AVERAGE('31.07 Yumbe-Koboko'!D42,'01.08 Yumbe-Koboko'!D42,'04.08 Yumbe-Koboko'!D42,'05.08 Yumbe-Koboko'!D42,'02.08 Yumbe-Koboko-24h'!D42,'03.08 Yumbe-Koboko-24h'!D42,'06.08 Yumbe-Koboko'!D42)</f>
        <v>0</v>
      </c>
      <c r="E42" s="49">
        <f>AVERAGE('31.07 Yumbe-Koboko'!E42,'01.08 Yumbe-Koboko'!E42,'04.08 Yumbe-Koboko'!E42,'05.08 Yumbe-Koboko'!E42,'02.08 Yumbe-Koboko-24h'!E42,'03.08 Yumbe-Koboko-24h'!E42,'06.08 Yumbe-Koboko'!E42)</f>
        <v>0.5714285714285714</v>
      </c>
      <c r="F42" s="49">
        <f>AVERAGE('31.07 Yumbe-Koboko'!F42,'01.08 Yumbe-Koboko'!F42,'04.08 Yumbe-Koboko'!F42,'05.08 Yumbe-Koboko'!F42,'02.08 Yumbe-Koboko-24h'!F42,'03.08 Yumbe-Koboko-24h'!F42,'06.08 Yumbe-Koboko'!F42)</f>
        <v>0</v>
      </c>
      <c r="G42" s="49">
        <f>AVERAGE('31.07 Yumbe-Koboko'!G42,'01.08 Yumbe-Koboko'!G42,'04.08 Yumbe-Koboko'!G42,'05.08 Yumbe-Koboko'!G42,'02.08 Yumbe-Koboko-24h'!G42,'03.08 Yumbe-Koboko-24h'!G42,'06.08 Yumbe-Koboko'!G42)</f>
        <v>0</v>
      </c>
      <c r="H42" s="49">
        <f>AVERAGE('31.07 Yumbe-Koboko'!H42,'01.08 Yumbe-Koboko'!H42,'04.08 Yumbe-Koboko'!H42,'05.08 Yumbe-Koboko'!H42,'02.08 Yumbe-Koboko-24h'!H42,'03.08 Yumbe-Koboko-24h'!H42,'06.08 Yumbe-Koboko'!H42)</f>
        <v>0.14285714285714285</v>
      </c>
      <c r="I42" s="49">
        <f>AVERAGE('31.07 Yumbe-Koboko'!I42,'01.08 Yumbe-Koboko'!I42,'04.08 Yumbe-Koboko'!I42,'05.08 Yumbe-Koboko'!I42,'02.08 Yumbe-Koboko-24h'!I42,'03.08 Yumbe-Koboko-24h'!I42,'06.08 Yumbe-Koboko'!I42)</f>
        <v>0.8571428571428571</v>
      </c>
      <c r="J42" s="49">
        <f>AVERAGE('31.07 Yumbe-Koboko'!J42,'01.08 Yumbe-Koboko'!J42,'04.08 Yumbe-Koboko'!J42,'05.08 Yumbe-Koboko'!J42,'02.08 Yumbe-Koboko-24h'!J42,'03.08 Yumbe-Koboko-24h'!J42,'06.08 Yumbe-Koboko'!J42)</f>
        <v>0</v>
      </c>
      <c r="K42" s="49">
        <f>AVERAGE('31.07 Yumbe-Koboko'!K42,'01.08 Yumbe-Koboko'!K42,'04.08 Yumbe-Koboko'!K42,'05.08 Yumbe-Koboko'!K42,'02.08 Yumbe-Koboko-24h'!K42,'03.08 Yumbe-Koboko-24h'!K42,'06.08 Yumbe-Koboko'!K42)</f>
        <v>0</v>
      </c>
      <c r="L42" s="49">
        <f>AVERAGE('31.07 Yumbe-Koboko'!L42,'01.08 Yumbe-Koboko'!L42,'04.08 Yumbe-Koboko'!L42,'05.08 Yumbe-Koboko'!L42,'02.08 Yumbe-Koboko-24h'!L42,'03.08 Yumbe-Koboko-24h'!L42,'06.08 Yumbe-Koboko'!L42)</f>
        <v>0</v>
      </c>
      <c r="M42" s="49">
        <f>AVERAGE('31.07 Yumbe-Koboko'!M42,'01.08 Yumbe-Koboko'!M42,'04.08 Yumbe-Koboko'!M42,'05.08 Yumbe-Koboko'!M42,'02.08 Yumbe-Koboko-24h'!M42,'03.08 Yumbe-Koboko-24h'!M42,'06.08 Yumbe-Koboko'!M42)</f>
        <v>7.1428571428571432</v>
      </c>
      <c r="N42" s="49">
        <f>AVERAGE('31.07 Yumbe-Koboko'!N42,'01.08 Yumbe-Koboko'!N42,'04.08 Yumbe-Koboko'!N42,'05.08 Yumbe-Koboko'!N42,'02.08 Yumbe-Koboko-24h'!N42,'03.08 Yumbe-Koboko-24h'!N42,'06.08 Yumbe-Koboko'!N42)</f>
        <v>0</v>
      </c>
      <c r="O42" s="15">
        <f t="shared" si="0"/>
        <v>3.7142857142857144</v>
      </c>
      <c r="P42" s="15">
        <f t="shared" si="1"/>
        <v>10.857142857142858</v>
      </c>
      <c r="R42" s="5" t="s">
        <v>160</v>
      </c>
      <c r="S42" s="48">
        <f>S41/S40</f>
        <v>1.1040118870728084</v>
      </c>
      <c r="T42" s="48">
        <f t="shared" ref="T42:AF42" si="34">T41/T40</f>
        <v>1.1555555555555557</v>
      </c>
      <c r="U42" s="48">
        <f t="shared" si="34"/>
        <v>1.2005730659025788</v>
      </c>
      <c r="V42" s="48">
        <f t="shared" si="34"/>
        <v>1.4246323529411764</v>
      </c>
      <c r="W42" s="48">
        <f t="shared" si="34"/>
        <v>1.5384615384615383</v>
      </c>
      <c r="X42" s="48">
        <f t="shared" si="34"/>
        <v>1</v>
      </c>
      <c r="Y42" s="48">
        <f t="shared" si="34"/>
        <v>1.2978723404255319</v>
      </c>
      <c r="Z42" s="48">
        <f t="shared" si="34"/>
        <v>1.3888888888888888</v>
      </c>
      <c r="AA42" s="48">
        <f t="shared" si="34"/>
        <v>1</v>
      </c>
      <c r="AB42" s="48">
        <f t="shared" si="34"/>
        <v>1.3333333333333335</v>
      </c>
      <c r="AC42" s="48">
        <f t="shared" si="34"/>
        <v>1.0676625659050967</v>
      </c>
      <c r="AD42" s="48">
        <f t="shared" si="34"/>
        <v>1</v>
      </c>
      <c r="AE42" s="54">
        <f t="shared" si="34"/>
        <v>1.1718368343917929</v>
      </c>
      <c r="AF42" s="54">
        <f t="shared" si="34"/>
        <v>1.1014332092802281</v>
      </c>
    </row>
    <row r="43" spans="2:32" ht="23.1" customHeight="1" x14ac:dyDescent="0.25">
      <c r="B43" s="23" t="s">
        <v>70</v>
      </c>
      <c r="C43" s="49">
        <f>AVERAGE('31.07 Yumbe-Koboko'!C43,'01.08 Yumbe-Koboko'!C43,'04.08 Yumbe-Koboko'!C43,'05.08 Yumbe-Koboko'!C43,'02.08 Yumbe-Koboko-24h'!C43,'03.08 Yumbe-Koboko-24h'!C43,'06.08 Yumbe-Koboko'!C43)</f>
        <v>1.8571428571428572</v>
      </c>
      <c r="D43" s="49">
        <f>AVERAGE('31.07 Yumbe-Koboko'!D43,'01.08 Yumbe-Koboko'!D43,'04.08 Yumbe-Koboko'!D43,'05.08 Yumbe-Koboko'!D43,'02.08 Yumbe-Koboko-24h'!D43,'03.08 Yumbe-Koboko-24h'!D43,'06.08 Yumbe-Koboko'!D43)</f>
        <v>0.14285714285714285</v>
      </c>
      <c r="E43" s="49">
        <f>AVERAGE('31.07 Yumbe-Koboko'!E43,'01.08 Yumbe-Koboko'!E43,'04.08 Yumbe-Koboko'!E43,'05.08 Yumbe-Koboko'!E43,'02.08 Yumbe-Koboko-24h'!E43,'03.08 Yumbe-Koboko-24h'!E43,'06.08 Yumbe-Koboko'!E43)</f>
        <v>1</v>
      </c>
      <c r="F43" s="49">
        <f>AVERAGE('31.07 Yumbe-Koboko'!F43,'01.08 Yumbe-Koboko'!F43,'04.08 Yumbe-Koboko'!F43,'05.08 Yumbe-Koboko'!F43,'02.08 Yumbe-Koboko-24h'!F43,'03.08 Yumbe-Koboko-24h'!F43,'06.08 Yumbe-Koboko'!F43)</f>
        <v>0.2857142857142857</v>
      </c>
      <c r="G43" s="49">
        <f>AVERAGE('31.07 Yumbe-Koboko'!G43,'01.08 Yumbe-Koboko'!G43,'04.08 Yumbe-Koboko'!G43,'05.08 Yumbe-Koboko'!G43,'02.08 Yumbe-Koboko-24h'!G43,'03.08 Yumbe-Koboko-24h'!G43,'06.08 Yumbe-Koboko'!G43)</f>
        <v>0</v>
      </c>
      <c r="H43" s="49">
        <f>AVERAGE('31.07 Yumbe-Koboko'!H43,'01.08 Yumbe-Koboko'!H43,'04.08 Yumbe-Koboko'!H43,'05.08 Yumbe-Koboko'!H43,'02.08 Yumbe-Koboko-24h'!H43,'03.08 Yumbe-Koboko-24h'!H43,'06.08 Yumbe-Koboko'!H43)</f>
        <v>0.14285714285714285</v>
      </c>
      <c r="I43" s="49">
        <f>AVERAGE('31.07 Yumbe-Koboko'!I43,'01.08 Yumbe-Koboko'!I43,'04.08 Yumbe-Koboko'!I43,'05.08 Yumbe-Koboko'!I43,'02.08 Yumbe-Koboko-24h'!I43,'03.08 Yumbe-Koboko-24h'!I43,'06.08 Yumbe-Koboko'!I43)</f>
        <v>0.14285714285714285</v>
      </c>
      <c r="J43" s="49">
        <f>AVERAGE('31.07 Yumbe-Koboko'!J43,'01.08 Yumbe-Koboko'!J43,'04.08 Yumbe-Koboko'!J43,'05.08 Yumbe-Koboko'!J43,'02.08 Yumbe-Koboko-24h'!J43,'03.08 Yumbe-Koboko-24h'!J43,'06.08 Yumbe-Koboko'!J43)</f>
        <v>0</v>
      </c>
      <c r="K43" s="49">
        <f>AVERAGE('31.07 Yumbe-Koboko'!K43,'01.08 Yumbe-Koboko'!K43,'04.08 Yumbe-Koboko'!K43,'05.08 Yumbe-Koboko'!K43,'02.08 Yumbe-Koboko-24h'!K43,'03.08 Yumbe-Koboko-24h'!K43,'06.08 Yumbe-Koboko'!K43)</f>
        <v>0</v>
      </c>
      <c r="L43" s="49">
        <f>AVERAGE('31.07 Yumbe-Koboko'!L43,'01.08 Yumbe-Koboko'!L43,'04.08 Yumbe-Koboko'!L43,'05.08 Yumbe-Koboko'!L43,'02.08 Yumbe-Koboko-24h'!L43,'03.08 Yumbe-Koboko-24h'!L43,'06.08 Yumbe-Koboko'!L43)</f>
        <v>0.14285714285714285</v>
      </c>
      <c r="M43" s="49">
        <f>AVERAGE('31.07 Yumbe-Koboko'!M43,'01.08 Yumbe-Koboko'!M43,'04.08 Yumbe-Koboko'!M43,'05.08 Yumbe-Koboko'!M43,'02.08 Yumbe-Koboko-24h'!M43,'03.08 Yumbe-Koboko-24h'!M43,'06.08 Yumbe-Koboko'!M43)</f>
        <v>9.4285714285714288</v>
      </c>
      <c r="N43" s="49">
        <f>AVERAGE('31.07 Yumbe-Koboko'!N43,'01.08 Yumbe-Koboko'!N43,'04.08 Yumbe-Koboko'!N43,'05.08 Yumbe-Koboko'!N43,'02.08 Yumbe-Koboko-24h'!N43,'03.08 Yumbe-Koboko-24h'!N43,'06.08 Yumbe-Koboko'!N43)</f>
        <v>0</v>
      </c>
      <c r="O43" s="15">
        <f t="shared" si="0"/>
        <v>3.714285714285714</v>
      </c>
      <c r="P43" s="15">
        <f t="shared" si="1"/>
        <v>13.142857142857142</v>
      </c>
    </row>
    <row r="44" spans="2:32" ht="23.1" customHeight="1" x14ac:dyDescent="0.25">
      <c r="B44" s="25" t="s">
        <v>71</v>
      </c>
      <c r="C44" s="49">
        <f>AVERAGE('31.07 Yumbe-Koboko'!C44,'01.08 Yumbe-Koboko'!C44,'04.08 Yumbe-Koboko'!C44,'05.08 Yumbe-Koboko'!C44,'02.08 Yumbe-Koboko-24h'!C44,'03.08 Yumbe-Koboko-24h'!C44,'06.08 Yumbe-Koboko'!C44)</f>
        <v>2.5714285714285716</v>
      </c>
      <c r="D44" s="49">
        <f>AVERAGE('31.07 Yumbe-Koboko'!D44,'01.08 Yumbe-Koboko'!D44,'04.08 Yumbe-Koboko'!D44,'05.08 Yumbe-Koboko'!D44,'02.08 Yumbe-Koboko-24h'!D44,'03.08 Yumbe-Koboko-24h'!D44,'06.08 Yumbe-Koboko'!D44)</f>
        <v>0.14285714285714285</v>
      </c>
      <c r="E44" s="49">
        <f>AVERAGE('31.07 Yumbe-Koboko'!E44,'01.08 Yumbe-Koboko'!E44,'04.08 Yumbe-Koboko'!E44,'05.08 Yumbe-Koboko'!E44,'02.08 Yumbe-Koboko-24h'!E44,'03.08 Yumbe-Koboko-24h'!E44,'06.08 Yumbe-Koboko'!E44)</f>
        <v>0.5714285714285714</v>
      </c>
      <c r="F44" s="49">
        <f>AVERAGE('31.07 Yumbe-Koboko'!F44,'01.08 Yumbe-Koboko'!F44,'04.08 Yumbe-Koboko'!F44,'05.08 Yumbe-Koboko'!F44,'02.08 Yumbe-Koboko-24h'!F44,'03.08 Yumbe-Koboko-24h'!F44,'06.08 Yumbe-Koboko'!F44)</f>
        <v>0.2857142857142857</v>
      </c>
      <c r="G44" s="49">
        <f>AVERAGE('31.07 Yumbe-Koboko'!G44,'01.08 Yumbe-Koboko'!G44,'04.08 Yumbe-Koboko'!G44,'05.08 Yumbe-Koboko'!G44,'02.08 Yumbe-Koboko-24h'!G44,'03.08 Yumbe-Koboko-24h'!G44,'06.08 Yumbe-Koboko'!G44)</f>
        <v>0</v>
      </c>
      <c r="H44" s="49">
        <f>AVERAGE('31.07 Yumbe-Koboko'!H44,'01.08 Yumbe-Koboko'!H44,'04.08 Yumbe-Koboko'!H44,'05.08 Yumbe-Koboko'!H44,'02.08 Yumbe-Koboko-24h'!H44,'03.08 Yumbe-Koboko-24h'!H44,'06.08 Yumbe-Koboko'!H44)</f>
        <v>0</v>
      </c>
      <c r="I44" s="49">
        <f>AVERAGE('31.07 Yumbe-Koboko'!I44,'01.08 Yumbe-Koboko'!I44,'04.08 Yumbe-Koboko'!I44,'05.08 Yumbe-Koboko'!I44,'02.08 Yumbe-Koboko-24h'!I44,'03.08 Yumbe-Koboko-24h'!I44,'06.08 Yumbe-Koboko'!I44)</f>
        <v>0</v>
      </c>
      <c r="J44" s="49">
        <f>AVERAGE('31.07 Yumbe-Koboko'!J44,'01.08 Yumbe-Koboko'!J44,'04.08 Yumbe-Koboko'!J44,'05.08 Yumbe-Koboko'!J44,'02.08 Yumbe-Koboko-24h'!J44,'03.08 Yumbe-Koboko-24h'!J44,'06.08 Yumbe-Koboko'!J44)</f>
        <v>0</v>
      </c>
      <c r="K44" s="49">
        <f>AVERAGE('31.07 Yumbe-Koboko'!K44,'01.08 Yumbe-Koboko'!K44,'04.08 Yumbe-Koboko'!K44,'05.08 Yumbe-Koboko'!K44,'02.08 Yumbe-Koboko-24h'!K44,'03.08 Yumbe-Koboko-24h'!K44,'06.08 Yumbe-Koboko'!K44)</f>
        <v>0</v>
      </c>
      <c r="L44" s="49">
        <f>AVERAGE('31.07 Yumbe-Koboko'!L44,'01.08 Yumbe-Koboko'!L44,'04.08 Yumbe-Koboko'!L44,'05.08 Yumbe-Koboko'!L44,'02.08 Yumbe-Koboko-24h'!L44,'03.08 Yumbe-Koboko-24h'!L44,'06.08 Yumbe-Koboko'!L44)</f>
        <v>0.14285714285714285</v>
      </c>
      <c r="M44" s="49">
        <f>AVERAGE('31.07 Yumbe-Koboko'!M44,'01.08 Yumbe-Koboko'!M44,'04.08 Yumbe-Koboko'!M44,'05.08 Yumbe-Koboko'!M44,'02.08 Yumbe-Koboko-24h'!M44,'03.08 Yumbe-Koboko-24h'!M44,'06.08 Yumbe-Koboko'!M44)</f>
        <v>9.8571428571428577</v>
      </c>
      <c r="N44" s="49">
        <f>AVERAGE('31.07 Yumbe-Koboko'!N44,'01.08 Yumbe-Koboko'!N44,'04.08 Yumbe-Koboko'!N44,'05.08 Yumbe-Koboko'!N44,'02.08 Yumbe-Koboko-24h'!N44,'03.08 Yumbe-Koboko-24h'!N44,'06.08 Yumbe-Koboko'!N44)</f>
        <v>0</v>
      </c>
      <c r="O44" s="15">
        <f t="shared" si="0"/>
        <v>3.714285714285714</v>
      </c>
      <c r="P44" s="15">
        <f t="shared" si="1"/>
        <v>13.571428571428571</v>
      </c>
    </row>
    <row r="45" spans="2:32" ht="23.1" customHeight="1" x14ac:dyDescent="0.25">
      <c r="B45" s="23" t="s">
        <v>72</v>
      </c>
      <c r="C45" s="49">
        <f>AVERAGE('31.07 Yumbe-Koboko'!C45,'01.08 Yumbe-Koboko'!C45,'04.08 Yumbe-Koboko'!C45,'05.08 Yumbe-Koboko'!C45,'02.08 Yumbe-Koboko-24h'!C45,'03.08 Yumbe-Koboko-24h'!C45,'06.08 Yumbe-Koboko'!C45)</f>
        <v>2.4285714285714284</v>
      </c>
      <c r="D45" s="49">
        <f>AVERAGE('31.07 Yumbe-Koboko'!D45,'01.08 Yumbe-Koboko'!D45,'04.08 Yumbe-Koboko'!D45,'05.08 Yumbe-Koboko'!D45,'02.08 Yumbe-Koboko-24h'!D45,'03.08 Yumbe-Koboko-24h'!D45,'06.08 Yumbe-Koboko'!D45)</f>
        <v>0</v>
      </c>
      <c r="E45" s="49">
        <f>AVERAGE('31.07 Yumbe-Koboko'!E45,'01.08 Yumbe-Koboko'!E45,'04.08 Yumbe-Koboko'!E45,'05.08 Yumbe-Koboko'!E45,'02.08 Yumbe-Koboko-24h'!E45,'03.08 Yumbe-Koboko-24h'!E45,'06.08 Yumbe-Koboko'!E45)</f>
        <v>1.4285714285714286</v>
      </c>
      <c r="F45" s="49">
        <f>AVERAGE('31.07 Yumbe-Koboko'!F45,'01.08 Yumbe-Koboko'!F45,'04.08 Yumbe-Koboko'!F45,'05.08 Yumbe-Koboko'!F45,'02.08 Yumbe-Koboko-24h'!F45,'03.08 Yumbe-Koboko-24h'!F45,'06.08 Yumbe-Koboko'!F45)</f>
        <v>0.2857142857142857</v>
      </c>
      <c r="G45" s="49">
        <f>AVERAGE('31.07 Yumbe-Koboko'!G45,'01.08 Yumbe-Koboko'!G45,'04.08 Yumbe-Koboko'!G45,'05.08 Yumbe-Koboko'!G45,'02.08 Yumbe-Koboko-24h'!G45,'03.08 Yumbe-Koboko-24h'!G45,'06.08 Yumbe-Koboko'!G45)</f>
        <v>0.14285714285714285</v>
      </c>
      <c r="H45" s="49">
        <f>AVERAGE('31.07 Yumbe-Koboko'!H45,'01.08 Yumbe-Koboko'!H45,'04.08 Yumbe-Koboko'!H45,'05.08 Yumbe-Koboko'!H45,'02.08 Yumbe-Koboko-24h'!H45,'03.08 Yumbe-Koboko-24h'!H45,'06.08 Yumbe-Koboko'!H45)</f>
        <v>0</v>
      </c>
      <c r="I45" s="49">
        <f>AVERAGE('31.07 Yumbe-Koboko'!I45,'01.08 Yumbe-Koboko'!I45,'04.08 Yumbe-Koboko'!I45,'05.08 Yumbe-Koboko'!I45,'02.08 Yumbe-Koboko-24h'!I45,'03.08 Yumbe-Koboko-24h'!I45,'06.08 Yumbe-Koboko'!I45)</f>
        <v>0.7142857142857143</v>
      </c>
      <c r="J45" s="49">
        <f>AVERAGE('31.07 Yumbe-Koboko'!J45,'01.08 Yumbe-Koboko'!J45,'04.08 Yumbe-Koboko'!J45,'05.08 Yumbe-Koboko'!J45,'02.08 Yumbe-Koboko-24h'!J45,'03.08 Yumbe-Koboko-24h'!J45,'06.08 Yumbe-Koboko'!J45)</f>
        <v>0</v>
      </c>
      <c r="K45" s="49">
        <f>AVERAGE('31.07 Yumbe-Koboko'!K45,'01.08 Yumbe-Koboko'!K45,'04.08 Yumbe-Koboko'!K45,'05.08 Yumbe-Koboko'!K45,'02.08 Yumbe-Koboko-24h'!K45,'03.08 Yumbe-Koboko-24h'!K45,'06.08 Yumbe-Koboko'!K45)</f>
        <v>0</v>
      </c>
      <c r="L45" s="49">
        <f>AVERAGE('31.07 Yumbe-Koboko'!L45,'01.08 Yumbe-Koboko'!L45,'04.08 Yumbe-Koboko'!L45,'05.08 Yumbe-Koboko'!L45,'02.08 Yumbe-Koboko-24h'!L45,'03.08 Yumbe-Koboko-24h'!L45,'06.08 Yumbe-Koboko'!L45)</f>
        <v>0</v>
      </c>
      <c r="M45" s="49">
        <f>AVERAGE('31.07 Yumbe-Koboko'!M45,'01.08 Yumbe-Koboko'!M45,'04.08 Yumbe-Koboko'!M45,'05.08 Yumbe-Koboko'!M45,'02.08 Yumbe-Koboko-24h'!M45,'03.08 Yumbe-Koboko-24h'!M45,'06.08 Yumbe-Koboko'!M45)</f>
        <v>7</v>
      </c>
      <c r="N45" s="49">
        <f>AVERAGE('31.07 Yumbe-Koboko'!N45,'01.08 Yumbe-Koboko'!N45,'04.08 Yumbe-Koboko'!N45,'05.08 Yumbe-Koboko'!N45,'02.08 Yumbe-Koboko-24h'!N45,'03.08 Yumbe-Koboko-24h'!N45,'06.08 Yumbe-Koboko'!N45)</f>
        <v>0</v>
      </c>
      <c r="O45" s="15">
        <f t="shared" si="0"/>
        <v>5</v>
      </c>
      <c r="P45" s="15">
        <f t="shared" si="1"/>
        <v>12</v>
      </c>
    </row>
    <row r="46" spans="2:32" ht="23.1" customHeight="1" x14ac:dyDescent="0.25">
      <c r="B46" s="24" t="s">
        <v>73</v>
      </c>
      <c r="C46" s="49">
        <f>AVERAGE('31.07 Yumbe-Koboko'!C46,'01.08 Yumbe-Koboko'!C46,'04.08 Yumbe-Koboko'!C46,'05.08 Yumbe-Koboko'!C46,'02.08 Yumbe-Koboko-24h'!C46,'03.08 Yumbe-Koboko-24h'!C46,'06.08 Yumbe-Koboko'!C46)</f>
        <v>3</v>
      </c>
      <c r="D46" s="49">
        <f>AVERAGE('31.07 Yumbe-Koboko'!D46,'01.08 Yumbe-Koboko'!D46,'04.08 Yumbe-Koboko'!D46,'05.08 Yumbe-Koboko'!D46,'02.08 Yumbe-Koboko-24h'!D46,'03.08 Yumbe-Koboko-24h'!D46,'06.08 Yumbe-Koboko'!D46)</f>
        <v>0.14285714285714285</v>
      </c>
      <c r="E46" s="49">
        <f>AVERAGE('31.07 Yumbe-Koboko'!E46,'01.08 Yumbe-Koboko'!E46,'04.08 Yumbe-Koboko'!E46,'05.08 Yumbe-Koboko'!E46,'02.08 Yumbe-Koboko-24h'!E46,'03.08 Yumbe-Koboko-24h'!E46,'06.08 Yumbe-Koboko'!E46)</f>
        <v>1.2857142857142858</v>
      </c>
      <c r="F46" s="49">
        <f>AVERAGE('31.07 Yumbe-Koboko'!F46,'01.08 Yumbe-Koboko'!F46,'04.08 Yumbe-Koboko'!F46,'05.08 Yumbe-Koboko'!F46,'02.08 Yumbe-Koboko-24h'!F46,'03.08 Yumbe-Koboko-24h'!F46,'06.08 Yumbe-Koboko'!F46)</f>
        <v>0.8571428571428571</v>
      </c>
      <c r="G46" s="49">
        <f>AVERAGE('31.07 Yumbe-Koboko'!G46,'01.08 Yumbe-Koboko'!G46,'04.08 Yumbe-Koboko'!G46,'05.08 Yumbe-Koboko'!G46,'02.08 Yumbe-Koboko-24h'!G46,'03.08 Yumbe-Koboko-24h'!G46,'06.08 Yumbe-Koboko'!G46)</f>
        <v>0</v>
      </c>
      <c r="H46" s="49">
        <f>AVERAGE('31.07 Yumbe-Koboko'!H46,'01.08 Yumbe-Koboko'!H46,'04.08 Yumbe-Koboko'!H46,'05.08 Yumbe-Koboko'!H46,'02.08 Yumbe-Koboko-24h'!H46,'03.08 Yumbe-Koboko-24h'!H46,'06.08 Yumbe-Koboko'!H46)</f>
        <v>0</v>
      </c>
      <c r="I46" s="49">
        <f>AVERAGE('31.07 Yumbe-Koboko'!I46,'01.08 Yumbe-Koboko'!I46,'04.08 Yumbe-Koboko'!I46,'05.08 Yumbe-Koboko'!I46,'02.08 Yumbe-Koboko-24h'!I46,'03.08 Yumbe-Koboko-24h'!I46,'06.08 Yumbe-Koboko'!I46)</f>
        <v>0</v>
      </c>
      <c r="J46" s="49">
        <f>AVERAGE('31.07 Yumbe-Koboko'!J46,'01.08 Yumbe-Koboko'!J46,'04.08 Yumbe-Koboko'!J46,'05.08 Yumbe-Koboko'!J46,'02.08 Yumbe-Koboko-24h'!J46,'03.08 Yumbe-Koboko-24h'!J46,'06.08 Yumbe-Koboko'!J46)</f>
        <v>0.2857142857142857</v>
      </c>
      <c r="K46" s="49">
        <f>AVERAGE('31.07 Yumbe-Koboko'!K46,'01.08 Yumbe-Koboko'!K46,'04.08 Yumbe-Koboko'!K46,'05.08 Yumbe-Koboko'!K46,'02.08 Yumbe-Koboko-24h'!K46,'03.08 Yumbe-Koboko-24h'!K46,'06.08 Yumbe-Koboko'!K46)</f>
        <v>0</v>
      </c>
      <c r="L46" s="49">
        <f>AVERAGE('31.07 Yumbe-Koboko'!L46,'01.08 Yumbe-Koboko'!L46,'04.08 Yumbe-Koboko'!L46,'05.08 Yumbe-Koboko'!L46,'02.08 Yumbe-Koboko-24h'!L46,'03.08 Yumbe-Koboko-24h'!L46,'06.08 Yumbe-Koboko'!L46)</f>
        <v>0</v>
      </c>
      <c r="M46" s="49">
        <f>AVERAGE('31.07 Yumbe-Koboko'!M46,'01.08 Yumbe-Koboko'!M46,'04.08 Yumbe-Koboko'!M46,'05.08 Yumbe-Koboko'!M46,'02.08 Yumbe-Koboko-24h'!M46,'03.08 Yumbe-Koboko-24h'!M46,'06.08 Yumbe-Koboko'!M46)</f>
        <v>6.5714285714285712</v>
      </c>
      <c r="N46" s="49">
        <f>AVERAGE('31.07 Yumbe-Koboko'!N46,'01.08 Yumbe-Koboko'!N46,'04.08 Yumbe-Koboko'!N46,'05.08 Yumbe-Koboko'!N46,'02.08 Yumbe-Koboko-24h'!N46,'03.08 Yumbe-Koboko-24h'!N46,'06.08 Yumbe-Koboko'!N46)</f>
        <v>0</v>
      </c>
      <c r="O46" s="15">
        <f t="shared" si="0"/>
        <v>5.5714285714285712</v>
      </c>
      <c r="P46" s="15">
        <f t="shared" si="1"/>
        <v>12.142857142857142</v>
      </c>
      <c r="R46" s="8"/>
      <c r="T46"/>
    </row>
    <row r="47" spans="2:32" ht="23.1" customHeight="1" x14ac:dyDescent="0.25">
      <c r="B47" s="24" t="s">
        <v>74</v>
      </c>
      <c r="C47" s="49">
        <f>AVERAGE('31.07 Yumbe-Koboko'!C47,'01.08 Yumbe-Koboko'!C47,'04.08 Yumbe-Koboko'!C47,'05.08 Yumbe-Koboko'!C47,'02.08 Yumbe-Koboko-24h'!C47,'03.08 Yumbe-Koboko-24h'!C47,'06.08 Yumbe-Koboko'!C47)</f>
        <v>3.2857142857142856</v>
      </c>
      <c r="D47" s="49">
        <f>AVERAGE('31.07 Yumbe-Koboko'!D47,'01.08 Yumbe-Koboko'!D47,'04.08 Yumbe-Koboko'!D47,'05.08 Yumbe-Koboko'!D47,'02.08 Yumbe-Koboko-24h'!D47,'03.08 Yumbe-Koboko-24h'!D47,'06.08 Yumbe-Koboko'!D47)</f>
        <v>0</v>
      </c>
      <c r="E47" s="49">
        <f>AVERAGE('31.07 Yumbe-Koboko'!E47,'01.08 Yumbe-Koboko'!E47,'04.08 Yumbe-Koboko'!E47,'05.08 Yumbe-Koboko'!E47,'02.08 Yumbe-Koboko-24h'!E47,'03.08 Yumbe-Koboko-24h'!E47,'06.08 Yumbe-Koboko'!E47)</f>
        <v>1.4285714285714286</v>
      </c>
      <c r="F47" s="49">
        <f>AVERAGE('31.07 Yumbe-Koboko'!F47,'01.08 Yumbe-Koboko'!F47,'04.08 Yumbe-Koboko'!F47,'05.08 Yumbe-Koboko'!F47,'02.08 Yumbe-Koboko-24h'!F47,'03.08 Yumbe-Koboko-24h'!F47,'06.08 Yumbe-Koboko'!F47)</f>
        <v>0</v>
      </c>
      <c r="G47" s="49">
        <f>AVERAGE('31.07 Yumbe-Koboko'!G47,'01.08 Yumbe-Koboko'!G47,'04.08 Yumbe-Koboko'!G47,'05.08 Yumbe-Koboko'!G47,'02.08 Yumbe-Koboko-24h'!G47,'03.08 Yumbe-Koboko-24h'!G47,'06.08 Yumbe-Koboko'!G47)</f>
        <v>0.14285714285714285</v>
      </c>
      <c r="H47" s="49">
        <f>AVERAGE('31.07 Yumbe-Koboko'!H47,'01.08 Yumbe-Koboko'!H47,'04.08 Yumbe-Koboko'!H47,'05.08 Yumbe-Koboko'!H47,'02.08 Yumbe-Koboko-24h'!H47,'03.08 Yumbe-Koboko-24h'!H47,'06.08 Yumbe-Koboko'!H47)</f>
        <v>0</v>
      </c>
      <c r="I47" s="49">
        <f>AVERAGE('31.07 Yumbe-Koboko'!I47,'01.08 Yumbe-Koboko'!I47,'04.08 Yumbe-Koboko'!I47,'05.08 Yumbe-Koboko'!I47,'02.08 Yumbe-Koboko-24h'!I47,'03.08 Yumbe-Koboko-24h'!I47,'06.08 Yumbe-Koboko'!I47)</f>
        <v>0.14285714285714285</v>
      </c>
      <c r="J47" s="49">
        <f>AVERAGE('31.07 Yumbe-Koboko'!J47,'01.08 Yumbe-Koboko'!J47,'04.08 Yumbe-Koboko'!J47,'05.08 Yumbe-Koboko'!J47,'02.08 Yumbe-Koboko-24h'!J47,'03.08 Yumbe-Koboko-24h'!J47,'06.08 Yumbe-Koboko'!J47)</f>
        <v>0</v>
      </c>
      <c r="K47" s="49">
        <f>AVERAGE('31.07 Yumbe-Koboko'!K47,'01.08 Yumbe-Koboko'!K47,'04.08 Yumbe-Koboko'!K47,'05.08 Yumbe-Koboko'!K47,'02.08 Yumbe-Koboko-24h'!K47,'03.08 Yumbe-Koboko-24h'!K47,'06.08 Yumbe-Koboko'!K47)</f>
        <v>0</v>
      </c>
      <c r="L47" s="49">
        <f>AVERAGE('31.07 Yumbe-Koboko'!L47,'01.08 Yumbe-Koboko'!L47,'04.08 Yumbe-Koboko'!L47,'05.08 Yumbe-Koboko'!L47,'02.08 Yumbe-Koboko-24h'!L47,'03.08 Yumbe-Koboko-24h'!L47,'06.08 Yumbe-Koboko'!L47)</f>
        <v>0</v>
      </c>
      <c r="M47" s="49">
        <f>AVERAGE('31.07 Yumbe-Koboko'!M47,'01.08 Yumbe-Koboko'!M47,'04.08 Yumbe-Koboko'!M47,'05.08 Yumbe-Koboko'!M47,'02.08 Yumbe-Koboko-24h'!M47,'03.08 Yumbe-Koboko-24h'!M47,'06.08 Yumbe-Koboko'!M47)</f>
        <v>6</v>
      </c>
      <c r="N47" s="49">
        <f>AVERAGE('31.07 Yumbe-Koboko'!N47,'01.08 Yumbe-Koboko'!N47,'04.08 Yumbe-Koboko'!N47,'05.08 Yumbe-Koboko'!N47,'02.08 Yumbe-Koboko-24h'!N47,'03.08 Yumbe-Koboko-24h'!N47,'06.08 Yumbe-Koboko'!N47)</f>
        <v>0</v>
      </c>
      <c r="O47" s="15">
        <f t="shared" si="0"/>
        <v>5.0000000000000009</v>
      </c>
      <c r="P47" s="15">
        <f t="shared" si="1"/>
        <v>11</v>
      </c>
      <c r="R47" s="8"/>
      <c r="T47"/>
    </row>
    <row r="48" spans="2:32" ht="23.1" customHeight="1" x14ac:dyDescent="0.25">
      <c r="B48" s="24" t="s">
        <v>75</v>
      </c>
      <c r="C48" s="49">
        <f>AVERAGE('31.07 Yumbe-Koboko'!C48,'01.08 Yumbe-Koboko'!C48,'04.08 Yumbe-Koboko'!C48,'05.08 Yumbe-Koboko'!C48,'02.08 Yumbe-Koboko-24h'!C48,'03.08 Yumbe-Koboko-24h'!C48,'06.08 Yumbe-Koboko'!C48)</f>
        <v>2.2857142857142856</v>
      </c>
      <c r="D48" s="49">
        <f>AVERAGE('31.07 Yumbe-Koboko'!D48,'01.08 Yumbe-Koboko'!D48,'04.08 Yumbe-Koboko'!D48,'05.08 Yumbe-Koboko'!D48,'02.08 Yumbe-Koboko-24h'!D48,'03.08 Yumbe-Koboko-24h'!D48,'06.08 Yumbe-Koboko'!D48)</f>
        <v>0.14285714285714285</v>
      </c>
      <c r="E48" s="49">
        <f>AVERAGE('31.07 Yumbe-Koboko'!E48,'01.08 Yumbe-Koboko'!E48,'04.08 Yumbe-Koboko'!E48,'05.08 Yumbe-Koboko'!E48,'02.08 Yumbe-Koboko-24h'!E48,'03.08 Yumbe-Koboko-24h'!E48,'06.08 Yumbe-Koboko'!E48)</f>
        <v>1.2857142857142858</v>
      </c>
      <c r="F48" s="49">
        <f>AVERAGE('31.07 Yumbe-Koboko'!F48,'01.08 Yumbe-Koboko'!F48,'04.08 Yumbe-Koboko'!F48,'05.08 Yumbe-Koboko'!F48,'02.08 Yumbe-Koboko-24h'!F48,'03.08 Yumbe-Koboko-24h'!F48,'06.08 Yumbe-Koboko'!F48)</f>
        <v>0.2857142857142857</v>
      </c>
      <c r="G48" s="49">
        <f>AVERAGE('31.07 Yumbe-Koboko'!G48,'01.08 Yumbe-Koboko'!G48,'04.08 Yumbe-Koboko'!G48,'05.08 Yumbe-Koboko'!G48,'02.08 Yumbe-Koboko-24h'!G48,'03.08 Yumbe-Koboko-24h'!G48,'06.08 Yumbe-Koboko'!G48)</f>
        <v>0.14285714285714285</v>
      </c>
      <c r="H48" s="49">
        <f>AVERAGE('31.07 Yumbe-Koboko'!H48,'01.08 Yumbe-Koboko'!H48,'04.08 Yumbe-Koboko'!H48,'05.08 Yumbe-Koboko'!H48,'02.08 Yumbe-Koboko-24h'!H48,'03.08 Yumbe-Koboko-24h'!H48,'06.08 Yumbe-Koboko'!H48)</f>
        <v>0.14285714285714285</v>
      </c>
      <c r="I48" s="49">
        <f>AVERAGE('31.07 Yumbe-Koboko'!I48,'01.08 Yumbe-Koboko'!I48,'04.08 Yumbe-Koboko'!I48,'05.08 Yumbe-Koboko'!I48,'02.08 Yumbe-Koboko-24h'!I48,'03.08 Yumbe-Koboko-24h'!I48,'06.08 Yumbe-Koboko'!I48)</f>
        <v>0.5714285714285714</v>
      </c>
      <c r="J48" s="49">
        <f>AVERAGE('31.07 Yumbe-Koboko'!J48,'01.08 Yumbe-Koboko'!J48,'04.08 Yumbe-Koboko'!J48,'05.08 Yumbe-Koboko'!J48,'02.08 Yumbe-Koboko-24h'!J48,'03.08 Yumbe-Koboko-24h'!J48,'06.08 Yumbe-Koboko'!J48)</f>
        <v>0.14285714285714285</v>
      </c>
      <c r="K48" s="49">
        <f>AVERAGE('31.07 Yumbe-Koboko'!K48,'01.08 Yumbe-Koboko'!K48,'04.08 Yumbe-Koboko'!K48,'05.08 Yumbe-Koboko'!K48,'02.08 Yumbe-Koboko-24h'!K48,'03.08 Yumbe-Koboko-24h'!K48,'06.08 Yumbe-Koboko'!K48)</f>
        <v>0</v>
      </c>
      <c r="L48" s="49">
        <f>AVERAGE('31.07 Yumbe-Koboko'!L48,'01.08 Yumbe-Koboko'!L48,'04.08 Yumbe-Koboko'!L48,'05.08 Yumbe-Koboko'!L48,'02.08 Yumbe-Koboko-24h'!L48,'03.08 Yumbe-Koboko-24h'!L48,'06.08 Yumbe-Koboko'!L48)</f>
        <v>0.14285714285714285</v>
      </c>
      <c r="M48" s="49">
        <f>AVERAGE('31.07 Yumbe-Koboko'!M48,'01.08 Yumbe-Koboko'!M48,'04.08 Yumbe-Koboko'!M48,'05.08 Yumbe-Koboko'!M48,'02.08 Yumbe-Koboko-24h'!M48,'03.08 Yumbe-Koboko-24h'!M48,'06.08 Yumbe-Koboko'!M48)</f>
        <v>6.5714285714285712</v>
      </c>
      <c r="N48" s="49">
        <f>AVERAGE('31.07 Yumbe-Koboko'!N48,'01.08 Yumbe-Koboko'!N48,'04.08 Yumbe-Koboko'!N48,'05.08 Yumbe-Koboko'!N48,'02.08 Yumbe-Koboko-24h'!N48,'03.08 Yumbe-Koboko-24h'!N48,'06.08 Yumbe-Koboko'!N48)</f>
        <v>0</v>
      </c>
      <c r="O48" s="15">
        <f t="shared" si="0"/>
        <v>5.1428571428571441</v>
      </c>
      <c r="P48" s="15">
        <f t="shared" si="1"/>
        <v>11.714285714285715</v>
      </c>
      <c r="R48" s="8"/>
      <c r="T48"/>
    </row>
    <row r="49" spans="2:20" ht="23.1" customHeight="1" x14ac:dyDescent="0.25">
      <c r="B49" s="23" t="s">
        <v>76</v>
      </c>
      <c r="C49" s="49">
        <f>AVERAGE('31.07 Yumbe-Koboko'!C49,'01.08 Yumbe-Koboko'!C49,'04.08 Yumbe-Koboko'!C49,'05.08 Yumbe-Koboko'!C49,'02.08 Yumbe-Koboko-24h'!C49,'03.08 Yumbe-Koboko-24h'!C49,'06.08 Yumbe-Koboko'!C49)</f>
        <v>2.2857142857142856</v>
      </c>
      <c r="D49" s="49">
        <f>AVERAGE('31.07 Yumbe-Koboko'!D49,'01.08 Yumbe-Koboko'!D49,'04.08 Yumbe-Koboko'!D49,'05.08 Yumbe-Koboko'!D49,'02.08 Yumbe-Koboko-24h'!D49,'03.08 Yumbe-Koboko-24h'!D49,'06.08 Yumbe-Koboko'!D49)</f>
        <v>0.5714285714285714</v>
      </c>
      <c r="E49" s="49">
        <f>AVERAGE('31.07 Yumbe-Koboko'!E49,'01.08 Yumbe-Koboko'!E49,'04.08 Yumbe-Koboko'!E49,'05.08 Yumbe-Koboko'!E49,'02.08 Yumbe-Koboko-24h'!E49,'03.08 Yumbe-Koboko-24h'!E49,'06.08 Yumbe-Koboko'!E49)</f>
        <v>1.7142857142857142</v>
      </c>
      <c r="F49" s="49">
        <f>AVERAGE('31.07 Yumbe-Koboko'!F49,'01.08 Yumbe-Koboko'!F49,'04.08 Yumbe-Koboko'!F49,'05.08 Yumbe-Koboko'!F49,'02.08 Yumbe-Koboko-24h'!F49,'03.08 Yumbe-Koboko-24h'!F49,'06.08 Yumbe-Koboko'!F49)</f>
        <v>0.42857142857142855</v>
      </c>
      <c r="G49" s="49">
        <f>AVERAGE('31.07 Yumbe-Koboko'!G49,'01.08 Yumbe-Koboko'!G49,'04.08 Yumbe-Koboko'!G49,'05.08 Yumbe-Koboko'!G49,'02.08 Yumbe-Koboko-24h'!G49,'03.08 Yumbe-Koboko-24h'!G49,'06.08 Yumbe-Koboko'!G49)</f>
        <v>0</v>
      </c>
      <c r="H49" s="49">
        <f>AVERAGE('31.07 Yumbe-Koboko'!H49,'01.08 Yumbe-Koboko'!H49,'04.08 Yumbe-Koboko'!H49,'05.08 Yumbe-Koboko'!H49,'02.08 Yumbe-Koboko-24h'!H49,'03.08 Yumbe-Koboko-24h'!H49,'06.08 Yumbe-Koboko'!H49)</f>
        <v>0.2857142857142857</v>
      </c>
      <c r="I49" s="49">
        <f>AVERAGE('31.07 Yumbe-Koboko'!I49,'01.08 Yumbe-Koboko'!I49,'04.08 Yumbe-Koboko'!I49,'05.08 Yumbe-Koboko'!I49,'02.08 Yumbe-Koboko-24h'!I49,'03.08 Yumbe-Koboko-24h'!I49,'06.08 Yumbe-Koboko'!I49)</f>
        <v>0.42857142857142855</v>
      </c>
      <c r="J49" s="49">
        <f>AVERAGE('31.07 Yumbe-Koboko'!J49,'01.08 Yumbe-Koboko'!J49,'04.08 Yumbe-Koboko'!J49,'05.08 Yumbe-Koboko'!J49,'02.08 Yumbe-Koboko-24h'!J49,'03.08 Yumbe-Koboko-24h'!J49,'06.08 Yumbe-Koboko'!J49)</f>
        <v>0.2857142857142857</v>
      </c>
      <c r="K49" s="49">
        <f>AVERAGE('31.07 Yumbe-Koboko'!K49,'01.08 Yumbe-Koboko'!K49,'04.08 Yumbe-Koboko'!K49,'05.08 Yumbe-Koboko'!K49,'02.08 Yumbe-Koboko-24h'!K49,'03.08 Yumbe-Koboko-24h'!K49,'06.08 Yumbe-Koboko'!K49)</f>
        <v>0</v>
      </c>
      <c r="L49" s="49">
        <f>AVERAGE('31.07 Yumbe-Koboko'!L49,'01.08 Yumbe-Koboko'!L49,'04.08 Yumbe-Koboko'!L49,'05.08 Yumbe-Koboko'!L49,'02.08 Yumbe-Koboko-24h'!L49,'03.08 Yumbe-Koboko-24h'!L49,'06.08 Yumbe-Koboko'!L49)</f>
        <v>0</v>
      </c>
      <c r="M49" s="49">
        <f>AVERAGE('31.07 Yumbe-Koboko'!M49,'01.08 Yumbe-Koboko'!M49,'04.08 Yumbe-Koboko'!M49,'05.08 Yumbe-Koboko'!M49,'02.08 Yumbe-Koboko-24h'!M49,'03.08 Yumbe-Koboko-24h'!M49,'06.08 Yumbe-Koboko'!M49)</f>
        <v>8.2857142857142865</v>
      </c>
      <c r="N49" s="49">
        <f>AVERAGE('31.07 Yumbe-Koboko'!N49,'01.08 Yumbe-Koboko'!N49,'04.08 Yumbe-Koboko'!N49,'05.08 Yumbe-Koboko'!N49,'02.08 Yumbe-Koboko-24h'!N49,'03.08 Yumbe-Koboko-24h'!N49,'06.08 Yumbe-Koboko'!N49)</f>
        <v>0</v>
      </c>
      <c r="O49" s="15">
        <f t="shared" si="0"/>
        <v>6</v>
      </c>
      <c r="P49" s="15">
        <f t="shared" si="1"/>
        <v>14.285714285714286</v>
      </c>
      <c r="R49" s="8"/>
      <c r="T49"/>
    </row>
    <row r="50" spans="2:20" ht="23.1" customHeight="1" x14ac:dyDescent="0.25">
      <c r="B50" s="24" t="s">
        <v>77</v>
      </c>
      <c r="C50" s="49">
        <f>AVERAGE('31.07 Yumbe-Koboko'!C50,'01.08 Yumbe-Koboko'!C50,'04.08 Yumbe-Koboko'!C50,'05.08 Yumbe-Koboko'!C50,'02.08 Yumbe-Koboko-24h'!C50,'03.08 Yumbe-Koboko-24h'!C50,'06.08 Yumbe-Koboko'!C50)</f>
        <v>3.2857142857142856</v>
      </c>
      <c r="D50" s="49">
        <f>AVERAGE('31.07 Yumbe-Koboko'!D50,'01.08 Yumbe-Koboko'!D50,'04.08 Yumbe-Koboko'!D50,'05.08 Yumbe-Koboko'!D50,'02.08 Yumbe-Koboko-24h'!D50,'03.08 Yumbe-Koboko-24h'!D50,'06.08 Yumbe-Koboko'!D50)</f>
        <v>0.42857142857142855</v>
      </c>
      <c r="E50" s="49">
        <f>AVERAGE('31.07 Yumbe-Koboko'!E50,'01.08 Yumbe-Koboko'!E50,'04.08 Yumbe-Koboko'!E50,'05.08 Yumbe-Koboko'!E50,'02.08 Yumbe-Koboko-24h'!E50,'03.08 Yumbe-Koboko-24h'!E50,'06.08 Yumbe-Koboko'!E50)</f>
        <v>1.4285714285714286</v>
      </c>
      <c r="F50" s="49">
        <f>AVERAGE('31.07 Yumbe-Koboko'!F50,'01.08 Yumbe-Koboko'!F50,'04.08 Yumbe-Koboko'!F50,'05.08 Yumbe-Koboko'!F50,'02.08 Yumbe-Koboko-24h'!F50,'03.08 Yumbe-Koboko-24h'!F50,'06.08 Yumbe-Koboko'!F50)</f>
        <v>0</v>
      </c>
      <c r="G50" s="49">
        <f>AVERAGE('31.07 Yumbe-Koboko'!G50,'01.08 Yumbe-Koboko'!G50,'04.08 Yumbe-Koboko'!G50,'05.08 Yumbe-Koboko'!G50,'02.08 Yumbe-Koboko-24h'!G50,'03.08 Yumbe-Koboko-24h'!G50,'06.08 Yumbe-Koboko'!G50)</f>
        <v>0</v>
      </c>
      <c r="H50" s="49">
        <f>AVERAGE('31.07 Yumbe-Koboko'!H50,'01.08 Yumbe-Koboko'!H50,'04.08 Yumbe-Koboko'!H50,'05.08 Yumbe-Koboko'!H50,'02.08 Yumbe-Koboko-24h'!H50,'03.08 Yumbe-Koboko-24h'!H50,'06.08 Yumbe-Koboko'!H50)</f>
        <v>0</v>
      </c>
      <c r="I50" s="49">
        <f>AVERAGE('31.07 Yumbe-Koboko'!I50,'01.08 Yumbe-Koboko'!I50,'04.08 Yumbe-Koboko'!I50,'05.08 Yumbe-Koboko'!I50,'02.08 Yumbe-Koboko-24h'!I50,'03.08 Yumbe-Koboko-24h'!I50,'06.08 Yumbe-Koboko'!I50)</f>
        <v>0.7142857142857143</v>
      </c>
      <c r="J50" s="49">
        <f>AVERAGE('31.07 Yumbe-Koboko'!J50,'01.08 Yumbe-Koboko'!J50,'04.08 Yumbe-Koboko'!J50,'05.08 Yumbe-Koboko'!J50,'02.08 Yumbe-Koboko-24h'!J50,'03.08 Yumbe-Koboko-24h'!J50,'06.08 Yumbe-Koboko'!J50)</f>
        <v>0.2857142857142857</v>
      </c>
      <c r="K50" s="49">
        <f>AVERAGE('31.07 Yumbe-Koboko'!K50,'01.08 Yumbe-Koboko'!K50,'04.08 Yumbe-Koboko'!K50,'05.08 Yumbe-Koboko'!K50,'02.08 Yumbe-Koboko-24h'!K50,'03.08 Yumbe-Koboko-24h'!K50,'06.08 Yumbe-Koboko'!K50)</f>
        <v>0</v>
      </c>
      <c r="L50" s="49">
        <f>AVERAGE('31.07 Yumbe-Koboko'!L50,'01.08 Yumbe-Koboko'!L50,'04.08 Yumbe-Koboko'!L50,'05.08 Yumbe-Koboko'!L50,'02.08 Yumbe-Koboko-24h'!L50,'03.08 Yumbe-Koboko-24h'!L50,'06.08 Yumbe-Koboko'!L50)</f>
        <v>0.14285714285714285</v>
      </c>
      <c r="M50" s="49">
        <f>AVERAGE('31.07 Yumbe-Koboko'!M50,'01.08 Yumbe-Koboko'!M50,'04.08 Yumbe-Koboko'!M50,'05.08 Yumbe-Koboko'!M50,'02.08 Yumbe-Koboko-24h'!M50,'03.08 Yumbe-Koboko-24h'!M50,'06.08 Yumbe-Koboko'!M50)</f>
        <v>10.142857142857142</v>
      </c>
      <c r="N50" s="49">
        <f>AVERAGE('31.07 Yumbe-Koboko'!N50,'01.08 Yumbe-Koboko'!N50,'04.08 Yumbe-Koboko'!N50,'05.08 Yumbe-Koboko'!N50,'02.08 Yumbe-Koboko-24h'!N50,'03.08 Yumbe-Koboko-24h'!N50,'06.08 Yumbe-Koboko'!N50)</f>
        <v>0.14285714285714285</v>
      </c>
      <c r="O50" s="15">
        <f t="shared" si="0"/>
        <v>6.4285714285714288</v>
      </c>
      <c r="P50" s="15">
        <f t="shared" si="1"/>
        <v>16.571428571428569</v>
      </c>
      <c r="R50" s="8"/>
      <c r="T50"/>
    </row>
    <row r="51" spans="2:20" ht="23.1" customHeight="1" x14ac:dyDescent="0.25">
      <c r="B51" s="24" t="s">
        <v>78</v>
      </c>
      <c r="C51" s="49">
        <f>AVERAGE('31.07 Yumbe-Koboko'!C51,'01.08 Yumbe-Koboko'!C51,'04.08 Yumbe-Koboko'!C51,'05.08 Yumbe-Koboko'!C51,'02.08 Yumbe-Koboko-24h'!C51,'03.08 Yumbe-Koboko-24h'!C51,'06.08 Yumbe-Koboko'!C51)</f>
        <v>3</v>
      </c>
      <c r="D51" s="49">
        <f>AVERAGE('31.07 Yumbe-Koboko'!D51,'01.08 Yumbe-Koboko'!D51,'04.08 Yumbe-Koboko'!D51,'05.08 Yumbe-Koboko'!D51,'02.08 Yumbe-Koboko-24h'!D51,'03.08 Yumbe-Koboko-24h'!D51,'06.08 Yumbe-Koboko'!D51)</f>
        <v>0</v>
      </c>
      <c r="E51" s="49">
        <f>AVERAGE('31.07 Yumbe-Koboko'!E51,'01.08 Yumbe-Koboko'!E51,'04.08 Yumbe-Koboko'!E51,'05.08 Yumbe-Koboko'!E51,'02.08 Yumbe-Koboko-24h'!E51,'03.08 Yumbe-Koboko-24h'!E51,'06.08 Yumbe-Koboko'!E51)</f>
        <v>1.1428571428571428</v>
      </c>
      <c r="F51" s="49">
        <f>AVERAGE('31.07 Yumbe-Koboko'!F51,'01.08 Yumbe-Koboko'!F51,'04.08 Yumbe-Koboko'!F51,'05.08 Yumbe-Koboko'!F51,'02.08 Yumbe-Koboko-24h'!F51,'03.08 Yumbe-Koboko-24h'!F51,'06.08 Yumbe-Koboko'!F51)</f>
        <v>0.14285714285714285</v>
      </c>
      <c r="G51" s="49">
        <f>AVERAGE('31.07 Yumbe-Koboko'!G51,'01.08 Yumbe-Koboko'!G51,'04.08 Yumbe-Koboko'!G51,'05.08 Yumbe-Koboko'!G51,'02.08 Yumbe-Koboko-24h'!G51,'03.08 Yumbe-Koboko-24h'!G51,'06.08 Yumbe-Koboko'!G51)</f>
        <v>0</v>
      </c>
      <c r="H51" s="49">
        <f>AVERAGE('31.07 Yumbe-Koboko'!H51,'01.08 Yumbe-Koboko'!H51,'04.08 Yumbe-Koboko'!H51,'05.08 Yumbe-Koboko'!H51,'02.08 Yumbe-Koboko-24h'!H51,'03.08 Yumbe-Koboko-24h'!H51,'06.08 Yumbe-Koboko'!H51)</f>
        <v>0</v>
      </c>
      <c r="I51" s="49">
        <f>AVERAGE('31.07 Yumbe-Koboko'!I51,'01.08 Yumbe-Koboko'!I51,'04.08 Yumbe-Koboko'!I51,'05.08 Yumbe-Koboko'!I51,'02.08 Yumbe-Koboko-24h'!I51,'03.08 Yumbe-Koboko-24h'!I51,'06.08 Yumbe-Koboko'!I51)</f>
        <v>0.2857142857142857</v>
      </c>
      <c r="J51" s="49">
        <f>AVERAGE('31.07 Yumbe-Koboko'!J51,'01.08 Yumbe-Koboko'!J51,'04.08 Yumbe-Koboko'!J51,'05.08 Yumbe-Koboko'!J51,'02.08 Yumbe-Koboko-24h'!J51,'03.08 Yumbe-Koboko-24h'!J51,'06.08 Yumbe-Koboko'!J51)</f>
        <v>0.2857142857142857</v>
      </c>
      <c r="K51" s="49">
        <f>AVERAGE('31.07 Yumbe-Koboko'!K51,'01.08 Yumbe-Koboko'!K51,'04.08 Yumbe-Koboko'!K51,'05.08 Yumbe-Koboko'!K51,'02.08 Yumbe-Koboko-24h'!K51,'03.08 Yumbe-Koboko-24h'!K51,'06.08 Yumbe-Koboko'!K51)</f>
        <v>0</v>
      </c>
      <c r="L51" s="49">
        <f>AVERAGE('31.07 Yumbe-Koboko'!L51,'01.08 Yumbe-Koboko'!L51,'04.08 Yumbe-Koboko'!L51,'05.08 Yumbe-Koboko'!L51,'02.08 Yumbe-Koboko-24h'!L51,'03.08 Yumbe-Koboko-24h'!L51,'06.08 Yumbe-Koboko'!L51)</f>
        <v>0.14285714285714285</v>
      </c>
      <c r="M51" s="49">
        <f>AVERAGE('31.07 Yumbe-Koboko'!M51,'01.08 Yumbe-Koboko'!M51,'04.08 Yumbe-Koboko'!M51,'05.08 Yumbe-Koboko'!M51,'02.08 Yumbe-Koboko-24h'!M51,'03.08 Yumbe-Koboko-24h'!M51,'06.08 Yumbe-Koboko'!M51)</f>
        <v>10.285714285714286</v>
      </c>
      <c r="N51" s="49">
        <f>AVERAGE('31.07 Yumbe-Koboko'!N51,'01.08 Yumbe-Koboko'!N51,'04.08 Yumbe-Koboko'!N51,'05.08 Yumbe-Koboko'!N51,'02.08 Yumbe-Koboko-24h'!N51,'03.08 Yumbe-Koboko-24h'!N51,'06.08 Yumbe-Koboko'!N51)</f>
        <v>0</v>
      </c>
      <c r="O51" s="15">
        <f t="shared" si="0"/>
        <v>5</v>
      </c>
      <c r="P51" s="15">
        <f t="shared" si="1"/>
        <v>15.285714285714286</v>
      </c>
      <c r="R51" s="8"/>
      <c r="T51"/>
    </row>
    <row r="52" spans="2:20" ht="23.1" customHeight="1" x14ac:dyDescent="0.25">
      <c r="B52" s="24" t="s">
        <v>79</v>
      </c>
      <c r="C52" s="49">
        <f>AVERAGE('31.07 Yumbe-Koboko'!C52,'01.08 Yumbe-Koboko'!C52,'04.08 Yumbe-Koboko'!C52,'05.08 Yumbe-Koboko'!C52,'02.08 Yumbe-Koboko-24h'!C52,'03.08 Yumbe-Koboko-24h'!C52,'06.08 Yumbe-Koboko'!C52)</f>
        <v>3.4285714285714284</v>
      </c>
      <c r="D52" s="49">
        <f>AVERAGE('31.07 Yumbe-Koboko'!D52,'01.08 Yumbe-Koboko'!D52,'04.08 Yumbe-Koboko'!D52,'05.08 Yumbe-Koboko'!D52,'02.08 Yumbe-Koboko-24h'!D52,'03.08 Yumbe-Koboko-24h'!D52,'06.08 Yumbe-Koboko'!D52)</f>
        <v>0.2857142857142857</v>
      </c>
      <c r="E52" s="49">
        <f>AVERAGE('31.07 Yumbe-Koboko'!E52,'01.08 Yumbe-Koboko'!E52,'04.08 Yumbe-Koboko'!E52,'05.08 Yumbe-Koboko'!E52,'02.08 Yumbe-Koboko-24h'!E52,'03.08 Yumbe-Koboko-24h'!E52,'06.08 Yumbe-Koboko'!E52)</f>
        <v>1.1428571428571428</v>
      </c>
      <c r="F52" s="49">
        <f>AVERAGE('31.07 Yumbe-Koboko'!F52,'01.08 Yumbe-Koboko'!F52,'04.08 Yumbe-Koboko'!F52,'05.08 Yumbe-Koboko'!F52,'02.08 Yumbe-Koboko-24h'!F52,'03.08 Yumbe-Koboko-24h'!F52,'06.08 Yumbe-Koboko'!F52)</f>
        <v>0.5714285714285714</v>
      </c>
      <c r="G52" s="49">
        <f>AVERAGE('31.07 Yumbe-Koboko'!G52,'01.08 Yumbe-Koboko'!G52,'04.08 Yumbe-Koboko'!G52,'05.08 Yumbe-Koboko'!G52,'02.08 Yumbe-Koboko-24h'!G52,'03.08 Yumbe-Koboko-24h'!G52,'06.08 Yumbe-Koboko'!G52)</f>
        <v>0</v>
      </c>
      <c r="H52" s="49">
        <f>AVERAGE('31.07 Yumbe-Koboko'!H52,'01.08 Yumbe-Koboko'!H52,'04.08 Yumbe-Koboko'!H52,'05.08 Yumbe-Koboko'!H52,'02.08 Yumbe-Koboko-24h'!H52,'03.08 Yumbe-Koboko-24h'!H52,'06.08 Yumbe-Koboko'!H52)</f>
        <v>0</v>
      </c>
      <c r="I52" s="49">
        <f>AVERAGE('31.07 Yumbe-Koboko'!I52,'01.08 Yumbe-Koboko'!I52,'04.08 Yumbe-Koboko'!I52,'05.08 Yumbe-Koboko'!I52,'02.08 Yumbe-Koboko-24h'!I52,'03.08 Yumbe-Koboko-24h'!I52,'06.08 Yumbe-Koboko'!I52)</f>
        <v>0.2857142857142857</v>
      </c>
      <c r="J52" s="49">
        <f>AVERAGE('31.07 Yumbe-Koboko'!J52,'01.08 Yumbe-Koboko'!J52,'04.08 Yumbe-Koboko'!J52,'05.08 Yumbe-Koboko'!J52,'02.08 Yumbe-Koboko-24h'!J52,'03.08 Yumbe-Koboko-24h'!J52,'06.08 Yumbe-Koboko'!J52)</f>
        <v>0</v>
      </c>
      <c r="K52" s="49">
        <f>AVERAGE('31.07 Yumbe-Koboko'!K52,'01.08 Yumbe-Koboko'!K52,'04.08 Yumbe-Koboko'!K52,'05.08 Yumbe-Koboko'!K52,'02.08 Yumbe-Koboko-24h'!K52,'03.08 Yumbe-Koboko-24h'!K52,'06.08 Yumbe-Koboko'!K52)</f>
        <v>0.14285714285714285</v>
      </c>
      <c r="L52" s="49">
        <f>AVERAGE('31.07 Yumbe-Koboko'!L52,'01.08 Yumbe-Koboko'!L52,'04.08 Yumbe-Koboko'!L52,'05.08 Yumbe-Koboko'!L52,'02.08 Yumbe-Koboko-24h'!L52,'03.08 Yumbe-Koboko-24h'!L52,'06.08 Yumbe-Koboko'!L52)</f>
        <v>0</v>
      </c>
      <c r="M52" s="49">
        <f>AVERAGE('31.07 Yumbe-Koboko'!M52,'01.08 Yumbe-Koboko'!M52,'04.08 Yumbe-Koboko'!M52,'05.08 Yumbe-Koboko'!M52,'02.08 Yumbe-Koboko-24h'!M52,'03.08 Yumbe-Koboko-24h'!M52,'06.08 Yumbe-Koboko'!M52)</f>
        <v>7</v>
      </c>
      <c r="N52" s="49">
        <f>AVERAGE('31.07 Yumbe-Koboko'!N52,'01.08 Yumbe-Koboko'!N52,'04.08 Yumbe-Koboko'!N52,'05.08 Yumbe-Koboko'!N52,'02.08 Yumbe-Koboko-24h'!N52,'03.08 Yumbe-Koboko-24h'!N52,'06.08 Yumbe-Koboko'!N52)</f>
        <v>0.14285714285714285</v>
      </c>
      <c r="O52" s="15">
        <f t="shared" si="0"/>
        <v>6</v>
      </c>
      <c r="P52" s="15">
        <f t="shared" si="1"/>
        <v>13</v>
      </c>
      <c r="R52" s="8"/>
      <c r="T52"/>
    </row>
    <row r="53" spans="2:20" ht="23.1" customHeight="1" x14ac:dyDescent="0.25">
      <c r="B53" s="23" t="s">
        <v>80</v>
      </c>
      <c r="C53" s="49">
        <f>AVERAGE('31.07 Yumbe-Koboko'!C53,'01.08 Yumbe-Koboko'!C53,'04.08 Yumbe-Koboko'!C53,'05.08 Yumbe-Koboko'!C53,'02.08 Yumbe-Koboko-24h'!C53,'03.08 Yumbe-Koboko-24h'!C53,'06.08 Yumbe-Koboko'!C53)</f>
        <v>1.7142857142857142</v>
      </c>
      <c r="D53" s="49">
        <f>AVERAGE('31.07 Yumbe-Koboko'!D53,'01.08 Yumbe-Koboko'!D53,'04.08 Yumbe-Koboko'!D53,'05.08 Yumbe-Koboko'!D53,'02.08 Yumbe-Koboko-24h'!D53,'03.08 Yumbe-Koboko-24h'!D53,'06.08 Yumbe-Koboko'!D53)</f>
        <v>0</v>
      </c>
      <c r="E53" s="49">
        <f>AVERAGE('31.07 Yumbe-Koboko'!E53,'01.08 Yumbe-Koboko'!E53,'04.08 Yumbe-Koboko'!E53,'05.08 Yumbe-Koboko'!E53,'02.08 Yumbe-Koboko-24h'!E53,'03.08 Yumbe-Koboko-24h'!E53,'06.08 Yumbe-Koboko'!E53)</f>
        <v>1.4285714285714286</v>
      </c>
      <c r="F53" s="49">
        <f>AVERAGE('31.07 Yumbe-Koboko'!F53,'01.08 Yumbe-Koboko'!F53,'04.08 Yumbe-Koboko'!F53,'05.08 Yumbe-Koboko'!F53,'02.08 Yumbe-Koboko-24h'!F53,'03.08 Yumbe-Koboko-24h'!F53,'06.08 Yumbe-Koboko'!F53)</f>
        <v>0.5714285714285714</v>
      </c>
      <c r="G53" s="49">
        <f>AVERAGE('31.07 Yumbe-Koboko'!G53,'01.08 Yumbe-Koboko'!G53,'04.08 Yumbe-Koboko'!G53,'05.08 Yumbe-Koboko'!G53,'02.08 Yumbe-Koboko-24h'!G53,'03.08 Yumbe-Koboko-24h'!G53,'06.08 Yumbe-Koboko'!G53)</f>
        <v>0.14285714285714285</v>
      </c>
      <c r="H53" s="49">
        <f>AVERAGE('31.07 Yumbe-Koboko'!H53,'01.08 Yumbe-Koboko'!H53,'04.08 Yumbe-Koboko'!H53,'05.08 Yumbe-Koboko'!H53,'02.08 Yumbe-Koboko-24h'!H53,'03.08 Yumbe-Koboko-24h'!H53,'06.08 Yumbe-Koboko'!H53)</f>
        <v>0.42857142857142855</v>
      </c>
      <c r="I53" s="49">
        <f>AVERAGE('31.07 Yumbe-Koboko'!I53,'01.08 Yumbe-Koboko'!I53,'04.08 Yumbe-Koboko'!I53,'05.08 Yumbe-Koboko'!I53,'02.08 Yumbe-Koboko-24h'!I53,'03.08 Yumbe-Koboko-24h'!I53,'06.08 Yumbe-Koboko'!I53)</f>
        <v>0.8571428571428571</v>
      </c>
      <c r="J53" s="49">
        <f>AVERAGE('31.07 Yumbe-Koboko'!J53,'01.08 Yumbe-Koboko'!J53,'04.08 Yumbe-Koboko'!J53,'05.08 Yumbe-Koboko'!J53,'02.08 Yumbe-Koboko-24h'!J53,'03.08 Yumbe-Koboko-24h'!J53,'06.08 Yumbe-Koboko'!J53)</f>
        <v>0</v>
      </c>
      <c r="K53" s="49">
        <f>AVERAGE('31.07 Yumbe-Koboko'!K53,'01.08 Yumbe-Koboko'!K53,'04.08 Yumbe-Koboko'!K53,'05.08 Yumbe-Koboko'!K53,'02.08 Yumbe-Koboko-24h'!K53,'03.08 Yumbe-Koboko-24h'!K53,'06.08 Yumbe-Koboko'!K53)</f>
        <v>0</v>
      </c>
      <c r="L53" s="49">
        <f>AVERAGE('31.07 Yumbe-Koboko'!L53,'01.08 Yumbe-Koboko'!L53,'04.08 Yumbe-Koboko'!L53,'05.08 Yumbe-Koboko'!L53,'02.08 Yumbe-Koboko-24h'!L53,'03.08 Yumbe-Koboko-24h'!L53,'06.08 Yumbe-Koboko'!L53)</f>
        <v>0.2857142857142857</v>
      </c>
      <c r="M53" s="49">
        <f>AVERAGE('31.07 Yumbe-Koboko'!M53,'01.08 Yumbe-Koboko'!M53,'04.08 Yumbe-Koboko'!M53,'05.08 Yumbe-Koboko'!M53,'02.08 Yumbe-Koboko-24h'!M53,'03.08 Yumbe-Koboko-24h'!M53,'06.08 Yumbe-Koboko'!M53)</f>
        <v>9.5714285714285712</v>
      </c>
      <c r="N53" s="49">
        <f>AVERAGE('31.07 Yumbe-Koboko'!N53,'01.08 Yumbe-Koboko'!N53,'04.08 Yumbe-Koboko'!N53,'05.08 Yumbe-Koboko'!N53,'02.08 Yumbe-Koboko-24h'!N53,'03.08 Yumbe-Koboko-24h'!N53,'06.08 Yumbe-Koboko'!N53)</f>
        <v>0.2857142857142857</v>
      </c>
      <c r="O53" s="15">
        <f t="shared" si="0"/>
        <v>5.7142857142857135</v>
      </c>
      <c r="P53" s="15">
        <f t="shared" si="1"/>
        <v>15.285714285714286</v>
      </c>
      <c r="R53" s="8"/>
      <c r="T53"/>
    </row>
    <row r="54" spans="2:20" ht="23.1" customHeight="1" x14ac:dyDescent="0.25">
      <c r="B54" s="23" t="s">
        <v>81</v>
      </c>
      <c r="C54" s="49">
        <f>AVERAGE('31.07 Yumbe-Koboko'!C54,'01.08 Yumbe-Koboko'!C54,'04.08 Yumbe-Koboko'!C54,'05.08 Yumbe-Koboko'!C54,'02.08 Yumbe-Koboko-24h'!C54,'03.08 Yumbe-Koboko-24h'!C54,'06.08 Yumbe-Koboko'!C54)</f>
        <v>3.1428571428571428</v>
      </c>
      <c r="D54" s="49">
        <f>AVERAGE('31.07 Yumbe-Koboko'!D54,'01.08 Yumbe-Koboko'!D54,'04.08 Yumbe-Koboko'!D54,'05.08 Yumbe-Koboko'!D54,'02.08 Yumbe-Koboko-24h'!D54,'03.08 Yumbe-Koboko-24h'!D54,'06.08 Yumbe-Koboko'!D54)</f>
        <v>0.14285714285714285</v>
      </c>
      <c r="E54" s="49">
        <f>AVERAGE('31.07 Yumbe-Koboko'!E54,'01.08 Yumbe-Koboko'!E54,'04.08 Yumbe-Koboko'!E54,'05.08 Yumbe-Koboko'!E54,'02.08 Yumbe-Koboko-24h'!E54,'03.08 Yumbe-Koboko-24h'!E54,'06.08 Yumbe-Koboko'!E54)</f>
        <v>1.4285714285714286</v>
      </c>
      <c r="F54" s="49">
        <f>AVERAGE('31.07 Yumbe-Koboko'!F54,'01.08 Yumbe-Koboko'!F54,'04.08 Yumbe-Koboko'!F54,'05.08 Yumbe-Koboko'!F54,'02.08 Yumbe-Koboko-24h'!F54,'03.08 Yumbe-Koboko-24h'!F54,'06.08 Yumbe-Koboko'!F54)</f>
        <v>0.33333333333333331</v>
      </c>
      <c r="G54" s="49">
        <f>AVERAGE('31.07 Yumbe-Koboko'!G54,'01.08 Yumbe-Koboko'!G54,'04.08 Yumbe-Koboko'!G54,'05.08 Yumbe-Koboko'!G54,'02.08 Yumbe-Koboko-24h'!G54,'03.08 Yumbe-Koboko-24h'!G54,'06.08 Yumbe-Koboko'!G54)</f>
        <v>0</v>
      </c>
      <c r="H54" s="49">
        <f>AVERAGE('31.07 Yumbe-Koboko'!H54,'01.08 Yumbe-Koboko'!H54,'04.08 Yumbe-Koboko'!H54,'05.08 Yumbe-Koboko'!H54,'02.08 Yumbe-Koboko-24h'!H54,'03.08 Yumbe-Koboko-24h'!H54,'06.08 Yumbe-Koboko'!H54)</f>
        <v>0.42857142857142855</v>
      </c>
      <c r="I54" s="49">
        <f>AVERAGE('31.07 Yumbe-Koboko'!I54,'01.08 Yumbe-Koboko'!I54,'04.08 Yumbe-Koboko'!I54,'05.08 Yumbe-Koboko'!I54,'02.08 Yumbe-Koboko-24h'!I54,'03.08 Yumbe-Koboko-24h'!I54,'06.08 Yumbe-Koboko'!I54)</f>
        <v>0.14285714285714285</v>
      </c>
      <c r="J54" s="49">
        <f>AVERAGE('31.07 Yumbe-Koboko'!J54,'01.08 Yumbe-Koboko'!J54,'04.08 Yumbe-Koboko'!J54,'05.08 Yumbe-Koboko'!J54,'02.08 Yumbe-Koboko-24h'!J54,'03.08 Yumbe-Koboko-24h'!J54,'06.08 Yumbe-Koboko'!J54)</f>
        <v>0</v>
      </c>
      <c r="K54" s="49">
        <f>AVERAGE('31.07 Yumbe-Koboko'!K54,'01.08 Yumbe-Koboko'!K54,'04.08 Yumbe-Koboko'!K54,'05.08 Yumbe-Koboko'!K54,'02.08 Yumbe-Koboko-24h'!K54,'03.08 Yumbe-Koboko-24h'!K54,'06.08 Yumbe-Koboko'!K54)</f>
        <v>0</v>
      </c>
      <c r="L54" s="49">
        <f>AVERAGE('31.07 Yumbe-Koboko'!L54,'01.08 Yumbe-Koboko'!L54,'04.08 Yumbe-Koboko'!L54,'05.08 Yumbe-Koboko'!L54,'02.08 Yumbe-Koboko-24h'!L54,'03.08 Yumbe-Koboko-24h'!L54,'06.08 Yumbe-Koboko'!L54)</f>
        <v>0</v>
      </c>
      <c r="M54" s="49">
        <f>AVERAGE('31.07 Yumbe-Koboko'!M54,'01.08 Yumbe-Koboko'!M54,'04.08 Yumbe-Koboko'!M54,'05.08 Yumbe-Koboko'!M54,'02.08 Yumbe-Koboko-24h'!M54,'03.08 Yumbe-Koboko-24h'!M54,'06.08 Yumbe-Koboko'!M54)</f>
        <v>10</v>
      </c>
      <c r="N54" s="49">
        <f>AVERAGE('31.07 Yumbe-Koboko'!N54,'01.08 Yumbe-Koboko'!N54,'04.08 Yumbe-Koboko'!N54,'05.08 Yumbe-Koboko'!N54,'02.08 Yumbe-Koboko-24h'!N54,'03.08 Yumbe-Koboko-24h'!N54,'06.08 Yumbe-Koboko'!N54)</f>
        <v>0</v>
      </c>
      <c r="O54" s="15">
        <f t="shared" si="0"/>
        <v>5.6190476190476195</v>
      </c>
      <c r="P54" s="15">
        <f t="shared" si="1"/>
        <v>15.61904761904762</v>
      </c>
      <c r="R54" s="8"/>
      <c r="T54"/>
    </row>
    <row r="55" spans="2:20" ht="23.1" customHeight="1" x14ac:dyDescent="0.25">
      <c r="B55" s="23" t="s">
        <v>82</v>
      </c>
      <c r="C55" s="49">
        <f>AVERAGE('31.07 Yumbe-Koboko'!C55,'01.08 Yumbe-Koboko'!C55,'04.08 Yumbe-Koboko'!C55,'05.08 Yumbe-Koboko'!C55,'02.08 Yumbe-Koboko-24h'!C55,'03.08 Yumbe-Koboko-24h'!C55,'06.08 Yumbe-Koboko'!C55)</f>
        <v>3.2857142857142856</v>
      </c>
      <c r="D55" s="49">
        <f>AVERAGE('31.07 Yumbe-Koboko'!D55,'01.08 Yumbe-Koboko'!D55,'04.08 Yumbe-Koboko'!D55,'05.08 Yumbe-Koboko'!D55,'02.08 Yumbe-Koboko-24h'!D55,'03.08 Yumbe-Koboko-24h'!D55,'06.08 Yumbe-Koboko'!D55)</f>
        <v>0</v>
      </c>
      <c r="E55" s="49">
        <f>AVERAGE('31.07 Yumbe-Koboko'!E55,'01.08 Yumbe-Koboko'!E55,'04.08 Yumbe-Koboko'!E55,'05.08 Yumbe-Koboko'!E55,'02.08 Yumbe-Koboko-24h'!E55,'03.08 Yumbe-Koboko-24h'!E55,'06.08 Yumbe-Koboko'!E55)</f>
        <v>1.2857142857142858</v>
      </c>
      <c r="F55" s="49">
        <f>AVERAGE('31.07 Yumbe-Koboko'!F55,'01.08 Yumbe-Koboko'!F55,'04.08 Yumbe-Koboko'!F55,'05.08 Yumbe-Koboko'!F55,'02.08 Yumbe-Koboko-24h'!F55,'03.08 Yumbe-Koboko-24h'!F55,'06.08 Yumbe-Koboko'!F55)</f>
        <v>0.33333333333333331</v>
      </c>
      <c r="G55" s="49">
        <f>AVERAGE('31.07 Yumbe-Koboko'!G55,'01.08 Yumbe-Koboko'!G55,'04.08 Yumbe-Koboko'!G55,'05.08 Yumbe-Koboko'!G55,'02.08 Yumbe-Koboko-24h'!G55,'03.08 Yumbe-Koboko-24h'!G55,'06.08 Yumbe-Koboko'!G55)</f>
        <v>0.14285714285714285</v>
      </c>
      <c r="H55" s="49">
        <f>AVERAGE('31.07 Yumbe-Koboko'!H55,'01.08 Yumbe-Koboko'!H55,'04.08 Yumbe-Koboko'!H55,'05.08 Yumbe-Koboko'!H55,'02.08 Yumbe-Koboko-24h'!H55,'03.08 Yumbe-Koboko-24h'!H55,'06.08 Yumbe-Koboko'!H55)</f>
        <v>0.7142857142857143</v>
      </c>
      <c r="I55" s="49">
        <f>AVERAGE('31.07 Yumbe-Koboko'!I55,'01.08 Yumbe-Koboko'!I55,'04.08 Yumbe-Koboko'!I55,'05.08 Yumbe-Koboko'!I55,'02.08 Yumbe-Koboko-24h'!I55,'03.08 Yumbe-Koboko-24h'!I55,'06.08 Yumbe-Koboko'!I55)</f>
        <v>0.2857142857142857</v>
      </c>
      <c r="J55" s="49">
        <f>AVERAGE('31.07 Yumbe-Koboko'!J55,'01.08 Yumbe-Koboko'!J55,'04.08 Yumbe-Koboko'!J55,'05.08 Yumbe-Koboko'!J55,'02.08 Yumbe-Koboko-24h'!J55,'03.08 Yumbe-Koboko-24h'!J55,'06.08 Yumbe-Koboko'!J55)</f>
        <v>0.14285714285714285</v>
      </c>
      <c r="K55" s="49">
        <f>AVERAGE('31.07 Yumbe-Koboko'!K55,'01.08 Yumbe-Koboko'!K55,'04.08 Yumbe-Koboko'!K55,'05.08 Yumbe-Koboko'!K55,'02.08 Yumbe-Koboko-24h'!K55,'03.08 Yumbe-Koboko-24h'!K55,'06.08 Yumbe-Koboko'!K55)</f>
        <v>0</v>
      </c>
      <c r="L55" s="49">
        <f>AVERAGE('31.07 Yumbe-Koboko'!L55,'01.08 Yumbe-Koboko'!L55,'04.08 Yumbe-Koboko'!L55,'05.08 Yumbe-Koboko'!L55,'02.08 Yumbe-Koboko-24h'!L55,'03.08 Yumbe-Koboko-24h'!L55,'06.08 Yumbe-Koboko'!L55)</f>
        <v>0</v>
      </c>
      <c r="M55" s="49">
        <f>AVERAGE('31.07 Yumbe-Koboko'!M55,'01.08 Yumbe-Koboko'!M55,'04.08 Yumbe-Koboko'!M55,'05.08 Yumbe-Koboko'!M55,'02.08 Yumbe-Koboko-24h'!M55,'03.08 Yumbe-Koboko-24h'!M55,'06.08 Yumbe-Koboko'!M55)</f>
        <v>11.142857142857142</v>
      </c>
      <c r="N55" s="49">
        <f>AVERAGE('31.07 Yumbe-Koboko'!N55,'01.08 Yumbe-Koboko'!N55,'04.08 Yumbe-Koboko'!N55,'05.08 Yumbe-Koboko'!N55,'02.08 Yumbe-Koboko-24h'!N55,'03.08 Yumbe-Koboko-24h'!N55,'06.08 Yumbe-Koboko'!N55)</f>
        <v>0</v>
      </c>
      <c r="O55" s="15">
        <f t="shared" si="0"/>
        <v>6.1904761904761907</v>
      </c>
      <c r="P55" s="15">
        <f t="shared" si="1"/>
        <v>17.333333333333332</v>
      </c>
      <c r="R55" s="8"/>
      <c r="T55"/>
    </row>
    <row r="56" spans="2:20" ht="23.1" customHeight="1" x14ac:dyDescent="0.25">
      <c r="B56" s="23" t="s">
        <v>83</v>
      </c>
      <c r="C56" s="49">
        <f>AVERAGE('31.07 Yumbe-Koboko'!C56,'01.08 Yumbe-Koboko'!C56,'04.08 Yumbe-Koboko'!C56,'05.08 Yumbe-Koboko'!C56,'02.08 Yumbe-Koboko-24h'!C56,'03.08 Yumbe-Koboko-24h'!C56,'06.08 Yumbe-Koboko'!C56)</f>
        <v>2.7142857142857144</v>
      </c>
      <c r="D56" s="49">
        <f>AVERAGE('31.07 Yumbe-Koboko'!D56,'01.08 Yumbe-Koboko'!D56,'04.08 Yumbe-Koboko'!D56,'05.08 Yumbe-Koboko'!D56,'02.08 Yumbe-Koboko-24h'!D56,'03.08 Yumbe-Koboko-24h'!D56,'06.08 Yumbe-Koboko'!D56)</f>
        <v>0.14285714285714285</v>
      </c>
      <c r="E56" s="49">
        <f>AVERAGE('31.07 Yumbe-Koboko'!E56,'01.08 Yumbe-Koboko'!E56,'04.08 Yumbe-Koboko'!E56,'05.08 Yumbe-Koboko'!E56,'02.08 Yumbe-Koboko-24h'!E56,'03.08 Yumbe-Koboko-24h'!E56,'06.08 Yumbe-Koboko'!E56)</f>
        <v>1.7142857142857142</v>
      </c>
      <c r="F56" s="49">
        <f>AVERAGE('31.07 Yumbe-Koboko'!F56,'01.08 Yumbe-Koboko'!F56,'04.08 Yumbe-Koboko'!F56,'05.08 Yumbe-Koboko'!F56,'02.08 Yumbe-Koboko-24h'!F56,'03.08 Yumbe-Koboko-24h'!F56,'06.08 Yumbe-Koboko'!F56)</f>
        <v>0.42857142857142855</v>
      </c>
      <c r="G56" s="49">
        <f>AVERAGE('31.07 Yumbe-Koboko'!G56,'01.08 Yumbe-Koboko'!G56,'04.08 Yumbe-Koboko'!G56,'05.08 Yumbe-Koboko'!G56,'02.08 Yumbe-Koboko-24h'!G56,'03.08 Yumbe-Koboko-24h'!G56,'06.08 Yumbe-Koboko'!G56)</f>
        <v>0</v>
      </c>
      <c r="H56" s="49">
        <f>AVERAGE('31.07 Yumbe-Koboko'!H56,'01.08 Yumbe-Koboko'!H56,'04.08 Yumbe-Koboko'!H56,'05.08 Yumbe-Koboko'!H56,'02.08 Yumbe-Koboko-24h'!H56,'03.08 Yumbe-Koboko-24h'!H56,'06.08 Yumbe-Koboko'!H56)</f>
        <v>0.14285714285714285</v>
      </c>
      <c r="I56" s="49">
        <f>AVERAGE('31.07 Yumbe-Koboko'!I56,'01.08 Yumbe-Koboko'!I56,'04.08 Yumbe-Koboko'!I56,'05.08 Yumbe-Koboko'!I56,'02.08 Yumbe-Koboko-24h'!I56,'03.08 Yumbe-Koboko-24h'!I56,'06.08 Yumbe-Koboko'!I56)</f>
        <v>0.5714285714285714</v>
      </c>
      <c r="J56" s="49">
        <f>AVERAGE('31.07 Yumbe-Koboko'!J56,'01.08 Yumbe-Koboko'!J56,'04.08 Yumbe-Koboko'!J56,'05.08 Yumbe-Koboko'!J56,'02.08 Yumbe-Koboko-24h'!J56,'03.08 Yumbe-Koboko-24h'!J56,'06.08 Yumbe-Koboko'!J56)</f>
        <v>0.14285714285714285</v>
      </c>
      <c r="K56" s="49">
        <f>AVERAGE('31.07 Yumbe-Koboko'!K56,'01.08 Yumbe-Koboko'!K56,'04.08 Yumbe-Koboko'!K56,'05.08 Yumbe-Koboko'!K56,'02.08 Yumbe-Koboko-24h'!K56,'03.08 Yumbe-Koboko-24h'!K56,'06.08 Yumbe-Koboko'!K56)</f>
        <v>0</v>
      </c>
      <c r="L56" s="49">
        <f>AVERAGE('31.07 Yumbe-Koboko'!L56,'01.08 Yumbe-Koboko'!L56,'04.08 Yumbe-Koboko'!L56,'05.08 Yumbe-Koboko'!L56,'02.08 Yumbe-Koboko-24h'!L56,'03.08 Yumbe-Koboko-24h'!L56,'06.08 Yumbe-Koboko'!L56)</f>
        <v>0.14285714285714285</v>
      </c>
      <c r="M56" s="49">
        <f>AVERAGE('31.07 Yumbe-Koboko'!M56,'01.08 Yumbe-Koboko'!M56,'04.08 Yumbe-Koboko'!M56,'05.08 Yumbe-Koboko'!M56,'02.08 Yumbe-Koboko-24h'!M56,'03.08 Yumbe-Koboko-24h'!M56,'06.08 Yumbe-Koboko'!M56)</f>
        <v>11.285714285714286</v>
      </c>
      <c r="N56" s="49">
        <f>AVERAGE('31.07 Yumbe-Koboko'!N56,'01.08 Yumbe-Koboko'!N56,'04.08 Yumbe-Koboko'!N56,'05.08 Yumbe-Koboko'!N56,'02.08 Yumbe-Koboko-24h'!N56,'03.08 Yumbe-Koboko-24h'!N56,'06.08 Yumbe-Koboko'!N56)</f>
        <v>0</v>
      </c>
      <c r="O56" s="15">
        <f t="shared" si="0"/>
        <v>6.0000000000000009</v>
      </c>
      <c r="P56" s="15">
        <f t="shared" si="1"/>
        <v>17.285714285714288</v>
      </c>
      <c r="R56" s="8"/>
      <c r="T56"/>
    </row>
    <row r="57" spans="2:20" ht="23.1" customHeight="1" x14ac:dyDescent="0.25">
      <c r="B57" s="23" t="s">
        <v>84</v>
      </c>
      <c r="C57" s="49">
        <f>AVERAGE('31.07 Yumbe-Koboko'!C57,'01.08 Yumbe-Koboko'!C57,'04.08 Yumbe-Koboko'!C57,'05.08 Yumbe-Koboko'!C57,'02.08 Yumbe-Koboko-24h'!C57,'03.08 Yumbe-Koboko-24h'!C57,'06.08 Yumbe-Koboko'!C57)</f>
        <v>2</v>
      </c>
      <c r="D57" s="49">
        <f>AVERAGE('31.07 Yumbe-Koboko'!D57,'01.08 Yumbe-Koboko'!D57,'04.08 Yumbe-Koboko'!D57,'05.08 Yumbe-Koboko'!D57,'02.08 Yumbe-Koboko-24h'!D57,'03.08 Yumbe-Koboko-24h'!D57,'06.08 Yumbe-Koboko'!D57)</f>
        <v>0.5714285714285714</v>
      </c>
      <c r="E57" s="49">
        <f>AVERAGE('31.07 Yumbe-Koboko'!E57,'01.08 Yumbe-Koboko'!E57,'04.08 Yumbe-Koboko'!E57,'05.08 Yumbe-Koboko'!E57,'02.08 Yumbe-Koboko-24h'!E57,'03.08 Yumbe-Koboko-24h'!E57,'06.08 Yumbe-Koboko'!E57)</f>
        <v>1.8571428571428572</v>
      </c>
      <c r="F57" s="49">
        <f>AVERAGE('31.07 Yumbe-Koboko'!F57,'01.08 Yumbe-Koboko'!F57,'04.08 Yumbe-Koboko'!F57,'05.08 Yumbe-Koboko'!F57,'02.08 Yumbe-Koboko-24h'!F57,'03.08 Yumbe-Koboko-24h'!F57,'06.08 Yumbe-Koboko'!F57)</f>
        <v>1</v>
      </c>
      <c r="G57" s="49">
        <f>AVERAGE('31.07 Yumbe-Koboko'!G57,'01.08 Yumbe-Koboko'!G57,'04.08 Yumbe-Koboko'!G57,'05.08 Yumbe-Koboko'!G57,'02.08 Yumbe-Koboko-24h'!G57,'03.08 Yumbe-Koboko-24h'!G57,'06.08 Yumbe-Koboko'!G57)</f>
        <v>0.2857142857142857</v>
      </c>
      <c r="H57" s="49">
        <f>AVERAGE('31.07 Yumbe-Koboko'!H57,'01.08 Yumbe-Koboko'!H57,'04.08 Yumbe-Koboko'!H57,'05.08 Yumbe-Koboko'!H57,'02.08 Yumbe-Koboko-24h'!H57,'03.08 Yumbe-Koboko-24h'!H57,'06.08 Yumbe-Koboko'!H57)</f>
        <v>0</v>
      </c>
      <c r="I57" s="49">
        <f>AVERAGE('31.07 Yumbe-Koboko'!I57,'01.08 Yumbe-Koboko'!I57,'04.08 Yumbe-Koboko'!I57,'05.08 Yumbe-Koboko'!I57,'02.08 Yumbe-Koboko-24h'!I57,'03.08 Yumbe-Koboko-24h'!I57,'06.08 Yumbe-Koboko'!I57)</f>
        <v>0.8571428571428571</v>
      </c>
      <c r="J57" s="49">
        <f>AVERAGE('31.07 Yumbe-Koboko'!J57,'01.08 Yumbe-Koboko'!J57,'04.08 Yumbe-Koboko'!J57,'05.08 Yumbe-Koboko'!J57,'02.08 Yumbe-Koboko-24h'!J57,'03.08 Yumbe-Koboko-24h'!J57,'06.08 Yumbe-Koboko'!J57)</f>
        <v>0</v>
      </c>
      <c r="K57" s="49">
        <f>AVERAGE('31.07 Yumbe-Koboko'!K57,'01.08 Yumbe-Koboko'!K57,'04.08 Yumbe-Koboko'!K57,'05.08 Yumbe-Koboko'!K57,'02.08 Yumbe-Koboko-24h'!K57,'03.08 Yumbe-Koboko-24h'!K57,'06.08 Yumbe-Koboko'!K57)</f>
        <v>0</v>
      </c>
      <c r="L57" s="49">
        <f>AVERAGE('31.07 Yumbe-Koboko'!L57,'01.08 Yumbe-Koboko'!L57,'04.08 Yumbe-Koboko'!L57,'05.08 Yumbe-Koboko'!L57,'02.08 Yumbe-Koboko-24h'!L57,'03.08 Yumbe-Koboko-24h'!L57,'06.08 Yumbe-Koboko'!L57)</f>
        <v>0.14285714285714285</v>
      </c>
      <c r="M57" s="49">
        <f>AVERAGE('31.07 Yumbe-Koboko'!M57,'01.08 Yumbe-Koboko'!M57,'04.08 Yumbe-Koboko'!M57,'05.08 Yumbe-Koboko'!M57,'02.08 Yumbe-Koboko-24h'!M57,'03.08 Yumbe-Koboko-24h'!M57,'06.08 Yumbe-Koboko'!M57)</f>
        <v>9.1428571428571423</v>
      </c>
      <c r="N57" s="49">
        <f>AVERAGE('31.07 Yumbe-Koboko'!N57,'01.08 Yumbe-Koboko'!N57,'04.08 Yumbe-Koboko'!N57,'05.08 Yumbe-Koboko'!N57,'02.08 Yumbe-Koboko-24h'!N57,'03.08 Yumbe-Koboko-24h'!N57,'06.08 Yumbe-Koboko'!N57)</f>
        <v>0.42857142857142855</v>
      </c>
      <c r="O57" s="15">
        <f t="shared" si="0"/>
        <v>7.1428571428571432</v>
      </c>
      <c r="P57" s="15">
        <f t="shared" si="1"/>
        <v>16.285714285714285</v>
      </c>
      <c r="R57" s="8"/>
      <c r="T57"/>
    </row>
    <row r="58" spans="2:20" ht="23.1" customHeight="1" x14ac:dyDescent="0.25">
      <c r="B58" s="23" t="s">
        <v>99</v>
      </c>
      <c r="C58" s="49">
        <f>AVERAGE('02.08 Yumbe-Koboko-24h'!C58,'03.08 Yumbe-Koboko-24h'!C58)</f>
        <v>0.5</v>
      </c>
      <c r="D58" s="49">
        <f>AVERAGE('02.08 Yumbe-Koboko-24h'!D58,'03.08 Yumbe-Koboko-24h'!D58)</f>
        <v>1</v>
      </c>
      <c r="E58" s="49">
        <f>AVERAGE('02.08 Yumbe-Koboko-24h'!E58,'03.08 Yumbe-Koboko-24h'!E58)</f>
        <v>3</v>
      </c>
      <c r="F58" s="49">
        <f>AVERAGE('02.08 Yumbe-Koboko-24h'!F58,'03.08 Yumbe-Koboko-24h'!F58)</f>
        <v>0.5</v>
      </c>
      <c r="G58" s="49">
        <f>AVERAGE('02.08 Yumbe-Koboko-24h'!G58,'03.08 Yumbe-Koboko-24h'!G58)</f>
        <v>0</v>
      </c>
      <c r="H58" s="49">
        <f>AVERAGE('02.08 Yumbe-Koboko-24h'!H58,'03.08 Yumbe-Koboko-24h'!H58)</f>
        <v>0</v>
      </c>
      <c r="I58" s="49">
        <f>AVERAGE('02.08 Yumbe-Koboko-24h'!I58,'03.08 Yumbe-Koboko-24h'!I58)</f>
        <v>0.5</v>
      </c>
      <c r="J58" s="49">
        <f>AVERAGE('02.08 Yumbe-Koboko-24h'!J58,'03.08 Yumbe-Koboko-24h'!J58)</f>
        <v>0</v>
      </c>
      <c r="K58" s="49">
        <f>AVERAGE('02.08 Yumbe-Koboko-24h'!K58,'03.08 Yumbe-Koboko-24h'!K58)</f>
        <v>0</v>
      </c>
      <c r="L58" s="49">
        <f>AVERAGE('02.08 Yumbe-Koboko-24h'!L58,'03.08 Yumbe-Koboko-24h'!L58)</f>
        <v>0</v>
      </c>
      <c r="M58" s="49">
        <f>AVERAGE('02.08 Yumbe-Koboko-24h'!M58,'03.08 Yumbe-Koboko-24h'!M58)</f>
        <v>2</v>
      </c>
      <c r="N58" s="49">
        <f>AVERAGE('02.08 Yumbe-Koboko-24h'!N58,'03.08 Yumbe-Koboko-24h'!N58)</f>
        <v>0</v>
      </c>
      <c r="O58" s="15">
        <f t="shared" si="0"/>
        <v>5.5</v>
      </c>
      <c r="P58" s="15">
        <f t="shared" si="1"/>
        <v>7.5</v>
      </c>
      <c r="R58" s="8"/>
      <c r="T58"/>
    </row>
    <row r="59" spans="2:20" ht="23.1" customHeight="1" x14ac:dyDescent="0.25">
      <c r="B59" s="23" t="s">
        <v>100</v>
      </c>
      <c r="C59" s="49">
        <f>AVERAGE('02.08 Yumbe-Koboko-24h'!C59,'03.08 Yumbe-Koboko-24h'!C59)</f>
        <v>2</v>
      </c>
      <c r="D59" s="49">
        <f>AVERAGE('02.08 Yumbe-Koboko-24h'!D59,'03.08 Yumbe-Koboko-24h'!D59)</f>
        <v>0</v>
      </c>
      <c r="E59" s="49">
        <f>AVERAGE('02.08 Yumbe-Koboko-24h'!E59,'03.08 Yumbe-Koboko-24h'!E59)</f>
        <v>1.5</v>
      </c>
      <c r="F59" s="49">
        <f>AVERAGE('02.08 Yumbe-Koboko-24h'!F59,'03.08 Yumbe-Koboko-24h'!F59)</f>
        <v>1</v>
      </c>
      <c r="G59" s="49">
        <f>AVERAGE('02.08 Yumbe-Koboko-24h'!G59,'03.08 Yumbe-Koboko-24h'!G59)</f>
        <v>0</v>
      </c>
      <c r="H59" s="49">
        <f>AVERAGE('02.08 Yumbe-Koboko-24h'!H59,'03.08 Yumbe-Koboko-24h'!H59)</f>
        <v>0</v>
      </c>
      <c r="I59" s="49">
        <f>AVERAGE('02.08 Yumbe-Koboko-24h'!I59,'03.08 Yumbe-Koboko-24h'!I59)</f>
        <v>0</v>
      </c>
      <c r="J59" s="49">
        <f>AVERAGE('02.08 Yumbe-Koboko-24h'!J59,'03.08 Yumbe-Koboko-24h'!J59)</f>
        <v>0</v>
      </c>
      <c r="K59" s="49">
        <f>AVERAGE('02.08 Yumbe-Koboko-24h'!K59,'03.08 Yumbe-Koboko-24h'!K59)</f>
        <v>0</v>
      </c>
      <c r="L59" s="49">
        <f>AVERAGE('02.08 Yumbe-Koboko-24h'!L59,'03.08 Yumbe-Koboko-24h'!L59)</f>
        <v>0</v>
      </c>
      <c r="M59" s="49">
        <f>AVERAGE('02.08 Yumbe-Koboko-24h'!M59,'03.08 Yumbe-Koboko-24h'!M59)</f>
        <v>4.5</v>
      </c>
      <c r="N59" s="49">
        <f>AVERAGE('02.08 Yumbe-Koboko-24h'!N59,'03.08 Yumbe-Koboko-24h'!N59)</f>
        <v>0</v>
      </c>
      <c r="O59" s="15">
        <f t="shared" si="0"/>
        <v>4.5</v>
      </c>
      <c r="P59" s="15">
        <f t="shared" si="1"/>
        <v>9</v>
      </c>
      <c r="R59" s="8"/>
      <c r="T59"/>
    </row>
    <row r="60" spans="2:20" ht="23.1" customHeight="1" x14ac:dyDescent="0.25">
      <c r="B60" s="23" t="s">
        <v>101</v>
      </c>
      <c r="C60" s="49">
        <f>AVERAGE('02.08 Yumbe-Koboko-24h'!C60,'03.08 Yumbe-Koboko-24h'!C60)</f>
        <v>0.5</v>
      </c>
      <c r="D60" s="49">
        <f>AVERAGE('02.08 Yumbe-Koboko-24h'!D60,'03.08 Yumbe-Koboko-24h'!D60)</f>
        <v>0</v>
      </c>
      <c r="E60" s="49">
        <f>AVERAGE('02.08 Yumbe-Koboko-24h'!E60,'03.08 Yumbe-Koboko-24h'!E60)</f>
        <v>0.5</v>
      </c>
      <c r="F60" s="49">
        <f>AVERAGE('02.08 Yumbe-Koboko-24h'!F60,'03.08 Yumbe-Koboko-24h'!F60)</f>
        <v>1.5</v>
      </c>
      <c r="G60" s="49">
        <f>AVERAGE('02.08 Yumbe-Koboko-24h'!G60,'03.08 Yumbe-Koboko-24h'!G60)</f>
        <v>0</v>
      </c>
      <c r="H60" s="49">
        <f>AVERAGE('02.08 Yumbe-Koboko-24h'!H60,'03.08 Yumbe-Koboko-24h'!H60)</f>
        <v>0</v>
      </c>
      <c r="I60" s="49">
        <f>AVERAGE('02.08 Yumbe-Koboko-24h'!I60,'03.08 Yumbe-Koboko-24h'!I60)</f>
        <v>0.5</v>
      </c>
      <c r="J60" s="49">
        <f>AVERAGE('02.08 Yumbe-Koboko-24h'!J60,'03.08 Yumbe-Koboko-24h'!J60)</f>
        <v>0</v>
      </c>
      <c r="K60" s="49">
        <f>AVERAGE('02.08 Yumbe-Koboko-24h'!K60,'03.08 Yumbe-Koboko-24h'!K60)</f>
        <v>0</v>
      </c>
      <c r="L60" s="49">
        <f>AVERAGE('02.08 Yumbe-Koboko-24h'!L60,'03.08 Yumbe-Koboko-24h'!L60)</f>
        <v>0</v>
      </c>
      <c r="M60" s="49">
        <f>AVERAGE('02.08 Yumbe-Koboko-24h'!M60,'03.08 Yumbe-Koboko-24h'!M60)</f>
        <v>2</v>
      </c>
      <c r="N60" s="49">
        <f>AVERAGE('02.08 Yumbe-Koboko-24h'!N60,'03.08 Yumbe-Koboko-24h'!N60)</f>
        <v>0</v>
      </c>
      <c r="O60" s="15">
        <f t="shared" si="0"/>
        <v>3</v>
      </c>
      <c r="P60" s="15">
        <f t="shared" si="1"/>
        <v>5</v>
      </c>
      <c r="R60" s="8"/>
      <c r="T60"/>
    </row>
    <row r="61" spans="2:20" ht="23.1" customHeight="1" x14ac:dyDescent="0.25">
      <c r="B61" s="23" t="s">
        <v>102</v>
      </c>
      <c r="C61" s="49">
        <f>AVERAGE('02.08 Yumbe-Koboko-24h'!C61,'03.08 Yumbe-Koboko-24h'!C61)</f>
        <v>0.5</v>
      </c>
      <c r="D61" s="49">
        <f>AVERAGE('02.08 Yumbe-Koboko-24h'!D61,'03.08 Yumbe-Koboko-24h'!D61)</f>
        <v>0</v>
      </c>
      <c r="E61" s="49">
        <f>AVERAGE('02.08 Yumbe-Koboko-24h'!E61,'03.08 Yumbe-Koboko-24h'!E61)</f>
        <v>1</v>
      </c>
      <c r="F61" s="49">
        <f>AVERAGE('02.08 Yumbe-Koboko-24h'!F61,'03.08 Yumbe-Koboko-24h'!F61)</f>
        <v>0</v>
      </c>
      <c r="G61" s="49">
        <f>AVERAGE('02.08 Yumbe-Koboko-24h'!G61,'03.08 Yumbe-Koboko-24h'!G61)</f>
        <v>0</v>
      </c>
      <c r="H61" s="49">
        <f>AVERAGE('02.08 Yumbe-Koboko-24h'!H61,'03.08 Yumbe-Koboko-24h'!H61)</f>
        <v>0</v>
      </c>
      <c r="I61" s="49">
        <f>AVERAGE('02.08 Yumbe-Koboko-24h'!I61,'03.08 Yumbe-Koboko-24h'!I61)</f>
        <v>0.5</v>
      </c>
      <c r="J61" s="49">
        <f>AVERAGE('02.08 Yumbe-Koboko-24h'!J61,'03.08 Yumbe-Koboko-24h'!J61)</f>
        <v>0</v>
      </c>
      <c r="K61" s="49">
        <f>AVERAGE('02.08 Yumbe-Koboko-24h'!K61,'03.08 Yumbe-Koboko-24h'!K61)</f>
        <v>0</v>
      </c>
      <c r="L61" s="49">
        <f>AVERAGE('02.08 Yumbe-Koboko-24h'!L61,'03.08 Yumbe-Koboko-24h'!L61)</f>
        <v>0</v>
      </c>
      <c r="M61" s="49">
        <f>AVERAGE('02.08 Yumbe-Koboko-24h'!M61,'03.08 Yumbe-Koboko-24h'!M61)</f>
        <v>5.5</v>
      </c>
      <c r="N61" s="49">
        <f>AVERAGE('02.08 Yumbe-Koboko-24h'!N61,'03.08 Yumbe-Koboko-24h'!N61)</f>
        <v>0</v>
      </c>
      <c r="O61" s="15">
        <f t="shared" si="0"/>
        <v>2</v>
      </c>
      <c r="P61" s="15">
        <f t="shared" si="1"/>
        <v>7.5</v>
      </c>
      <c r="R61" s="8"/>
      <c r="T61"/>
    </row>
    <row r="62" spans="2:20" ht="23.1" customHeight="1" x14ac:dyDescent="0.25">
      <c r="B62" s="23" t="s">
        <v>107</v>
      </c>
      <c r="C62" s="49">
        <f>AVERAGE('02.08 Yumbe-Koboko-24h'!C62,'03.08 Yumbe-Koboko-24h'!C62)</f>
        <v>1</v>
      </c>
      <c r="D62" s="49">
        <f>AVERAGE('02.08 Yumbe-Koboko-24h'!D62,'03.08 Yumbe-Koboko-24h'!D62)</f>
        <v>0</v>
      </c>
      <c r="E62" s="49">
        <f>AVERAGE('02.08 Yumbe-Koboko-24h'!E62,'03.08 Yumbe-Koboko-24h'!E62)</f>
        <v>0</v>
      </c>
      <c r="F62" s="49">
        <f>AVERAGE('02.08 Yumbe-Koboko-24h'!F62,'03.08 Yumbe-Koboko-24h'!F62)</f>
        <v>0</v>
      </c>
      <c r="G62" s="49">
        <f>AVERAGE('02.08 Yumbe-Koboko-24h'!G62,'03.08 Yumbe-Koboko-24h'!G62)</f>
        <v>0</v>
      </c>
      <c r="H62" s="49">
        <f>AVERAGE('02.08 Yumbe-Koboko-24h'!H62,'03.08 Yumbe-Koboko-24h'!H62)</f>
        <v>0</v>
      </c>
      <c r="I62" s="49">
        <f>AVERAGE('02.08 Yumbe-Koboko-24h'!I62,'03.08 Yumbe-Koboko-24h'!I62)</f>
        <v>0</v>
      </c>
      <c r="J62" s="49">
        <f>AVERAGE('02.08 Yumbe-Koboko-24h'!J62,'03.08 Yumbe-Koboko-24h'!J62)</f>
        <v>0</v>
      </c>
      <c r="K62" s="49">
        <f>AVERAGE('02.08 Yumbe-Koboko-24h'!K62,'03.08 Yumbe-Koboko-24h'!K62)</f>
        <v>0</v>
      </c>
      <c r="L62" s="49">
        <f>AVERAGE('02.08 Yumbe-Koboko-24h'!L62,'03.08 Yumbe-Koboko-24h'!L62)</f>
        <v>0</v>
      </c>
      <c r="M62" s="49">
        <f>AVERAGE('02.08 Yumbe-Koboko-24h'!M62,'03.08 Yumbe-Koboko-24h'!M62)</f>
        <v>1</v>
      </c>
      <c r="N62" s="49">
        <f>AVERAGE('02.08 Yumbe-Koboko-24h'!N62,'03.08 Yumbe-Koboko-24h'!N62)</f>
        <v>0</v>
      </c>
      <c r="O62" s="15">
        <f t="shared" si="0"/>
        <v>1</v>
      </c>
      <c r="P62" s="15">
        <f t="shared" si="1"/>
        <v>2</v>
      </c>
      <c r="R62" s="8"/>
      <c r="T62"/>
    </row>
    <row r="63" spans="2:20" ht="23.1" customHeight="1" x14ac:dyDescent="0.25">
      <c r="B63" s="23" t="s">
        <v>108</v>
      </c>
      <c r="C63" s="49">
        <f>AVERAGE('02.08 Yumbe-Koboko-24h'!C63,'03.08 Yumbe-Koboko-24h'!C63)</f>
        <v>1</v>
      </c>
      <c r="D63" s="49">
        <f>AVERAGE('02.08 Yumbe-Koboko-24h'!D63,'03.08 Yumbe-Koboko-24h'!D63)</f>
        <v>0</v>
      </c>
      <c r="E63" s="49">
        <f>AVERAGE('02.08 Yumbe-Koboko-24h'!E63,'03.08 Yumbe-Koboko-24h'!E63)</f>
        <v>1.5</v>
      </c>
      <c r="F63" s="49">
        <f>AVERAGE('02.08 Yumbe-Koboko-24h'!F63,'03.08 Yumbe-Koboko-24h'!F63)</f>
        <v>1</v>
      </c>
      <c r="G63" s="49">
        <f>AVERAGE('02.08 Yumbe-Koboko-24h'!G63,'03.08 Yumbe-Koboko-24h'!G63)</f>
        <v>0</v>
      </c>
      <c r="H63" s="49">
        <f>AVERAGE('02.08 Yumbe-Koboko-24h'!H63,'03.08 Yumbe-Koboko-24h'!H63)</f>
        <v>0</v>
      </c>
      <c r="I63" s="49">
        <f>AVERAGE('02.08 Yumbe-Koboko-24h'!I63,'03.08 Yumbe-Koboko-24h'!I63)</f>
        <v>0</v>
      </c>
      <c r="J63" s="49">
        <f>AVERAGE('02.08 Yumbe-Koboko-24h'!J63,'03.08 Yumbe-Koboko-24h'!J63)</f>
        <v>0</v>
      </c>
      <c r="K63" s="49">
        <f>AVERAGE('02.08 Yumbe-Koboko-24h'!K63,'03.08 Yumbe-Koboko-24h'!K63)</f>
        <v>0</v>
      </c>
      <c r="L63" s="49">
        <f>AVERAGE('02.08 Yumbe-Koboko-24h'!L63,'03.08 Yumbe-Koboko-24h'!L63)</f>
        <v>0</v>
      </c>
      <c r="M63" s="49">
        <f>AVERAGE('02.08 Yumbe-Koboko-24h'!M63,'03.08 Yumbe-Koboko-24h'!M63)</f>
        <v>0.5</v>
      </c>
      <c r="N63" s="49">
        <f>AVERAGE('02.08 Yumbe-Koboko-24h'!N63,'03.08 Yumbe-Koboko-24h'!N63)</f>
        <v>0</v>
      </c>
      <c r="O63" s="15">
        <f t="shared" si="0"/>
        <v>3.5</v>
      </c>
      <c r="P63" s="15">
        <f t="shared" si="1"/>
        <v>4</v>
      </c>
      <c r="R63" s="8"/>
      <c r="T63"/>
    </row>
    <row r="64" spans="2:20" ht="23.1" customHeight="1" x14ac:dyDescent="0.25">
      <c r="B64" s="23" t="s">
        <v>109</v>
      </c>
      <c r="C64" s="49">
        <f>AVERAGE('02.08 Yumbe-Koboko-24h'!C64,'03.08 Yumbe-Koboko-24h'!C64)</f>
        <v>1.5</v>
      </c>
      <c r="D64" s="49">
        <f>AVERAGE('02.08 Yumbe-Koboko-24h'!D64,'03.08 Yumbe-Koboko-24h'!D64)</f>
        <v>0</v>
      </c>
      <c r="E64" s="49">
        <f>AVERAGE('02.08 Yumbe-Koboko-24h'!E64,'03.08 Yumbe-Koboko-24h'!E64)</f>
        <v>0</v>
      </c>
      <c r="F64" s="49">
        <f>AVERAGE('02.08 Yumbe-Koboko-24h'!F64,'03.08 Yumbe-Koboko-24h'!F64)</f>
        <v>0.5</v>
      </c>
      <c r="G64" s="49">
        <f>AVERAGE('02.08 Yumbe-Koboko-24h'!G64,'03.08 Yumbe-Koboko-24h'!G64)</f>
        <v>0.5</v>
      </c>
      <c r="H64" s="49">
        <f>AVERAGE('02.08 Yumbe-Koboko-24h'!H64,'03.08 Yumbe-Koboko-24h'!H64)</f>
        <v>0</v>
      </c>
      <c r="I64" s="49">
        <f>AVERAGE('02.08 Yumbe-Koboko-24h'!I64,'03.08 Yumbe-Koboko-24h'!I64)</f>
        <v>0</v>
      </c>
      <c r="J64" s="49">
        <f>AVERAGE('02.08 Yumbe-Koboko-24h'!J64,'03.08 Yumbe-Koboko-24h'!J64)</f>
        <v>0.5</v>
      </c>
      <c r="K64" s="49">
        <f>AVERAGE('02.08 Yumbe-Koboko-24h'!K64,'03.08 Yumbe-Koboko-24h'!K64)</f>
        <v>0</v>
      </c>
      <c r="L64" s="49">
        <f>AVERAGE('02.08 Yumbe-Koboko-24h'!L64,'03.08 Yumbe-Koboko-24h'!L64)</f>
        <v>0</v>
      </c>
      <c r="M64" s="49">
        <f>AVERAGE('02.08 Yumbe-Koboko-24h'!M64,'03.08 Yumbe-Koboko-24h'!M64)</f>
        <v>1</v>
      </c>
      <c r="N64" s="49">
        <f>AVERAGE('02.08 Yumbe-Koboko-24h'!N64,'03.08 Yumbe-Koboko-24h'!N64)</f>
        <v>0</v>
      </c>
      <c r="O64" s="15">
        <f t="shared" si="0"/>
        <v>3</v>
      </c>
      <c r="P64" s="15">
        <f t="shared" si="1"/>
        <v>4</v>
      </c>
      <c r="R64" s="8"/>
      <c r="T64"/>
    </row>
    <row r="65" spans="2:20" ht="23.1" customHeight="1" x14ac:dyDescent="0.25">
      <c r="B65" s="23" t="s">
        <v>158</v>
      </c>
      <c r="C65" s="49">
        <f>AVERAGE('02.08 Yumbe-Koboko-24h'!C65,'03.08 Yumbe-Koboko-24h'!C65)</f>
        <v>1.5</v>
      </c>
      <c r="D65" s="49">
        <f>AVERAGE('02.08 Yumbe-Koboko-24h'!D65,'03.08 Yumbe-Koboko-24h'!D65)</f>
        <v>0</v>
      </c>
      <c r="E65" s="49">
        <f>AVERAGE('02.08 Yumbe-Koboko-24h'!E65,'03.08 Yumbe-Koboko-24h'!E65)</f>
        <v>0.5</v>
      </c>
      <c r="F65" s="49">
        <f>AVERAGE('02.08 Yumbe-Koboko-24h'!F65,'03.08 Yumbe-Koboko-24h'!F65)</f>
        <v>0</v>
      </c>
      <c r="G65" s="49">
        <f>AVERAGE('02.08 Yumbe-Koboko-24h'!G65,'03.08 Yumbe-Koboko-24h'!G65)</f>
        <v>0</v>
      </c>
      <c r="H65" s="49">
        <f>AVERAGE('02.08 Yumbe-Koboko-24h'!H65,'03.08 Yumbe-Koboko-24h'!H65)</f>
        <v>0</v>
      </c>
      <c r="I65" s="49">
        <f>AVERAGE('02.08 Yumbe-Koboko-24h'!I65,'03.08 Yumbe-Koboko-24h'!I65)</f>
        <v>0</v>
      </c>
      <c r="J65" s="49">
        <f>AVERAGE('02.08 Yumbe-Koboko-24h'!J65,'03.08 Yumbe-Koboko-24h'!J65)</f>
        <v>0.5</v>
      </c>
      <c r="K65" s="49">
        <f>AVERAGE('02.08 Yumbe-Koboko-24h'!K65,'03.08 Yumbe-Koboko-24h'!K65)</f>
        <v>0</v>
      </c>
      <c r="L65" s="49">
        <f>AVERAGE('02.08 Yumbe-Koboko-24h'!L65,'03.08 Yumbe-Koboko-24h'!L65)</f>
        <v>0</v>
      </c>
      <c r="M65" s="49">
        <f>AVERAGE('02.08 Yumbe-Koboko-24h'!M65,'03.08 Yumbe-Koboko-24h'!M65)</f>
        <v>2</v>
      </c>
      <c r="N65" s="49">
        <f>AVERAGE('02.08 Yumbe-Koboko-24h'!N65,'03.08 Yumbe-Koboko-24h'!N65)</f>
        <v>0</v>
      </c>
      <c r="O65" s="15">
        <f t="shared" si="0"/>
        <v>2.5</v>
      </c>
      <c r="P65" s="15">
        <f t="shared" si="1"/>
        <v>4.5</v>
      </c>
      <c r="R65" s="8"/>
      <c r="T65"/>
    </row>
    <row r="66" spans="2:20" ht="23.1" customHeight="1" x14ac:dyDescent="0.25">
      <c r="B66" s="23" t="s">
        <v>103</v>
      </c>
      <c r="C66" s="49">
        <f>AVERAGE('02.08 Yumbe-Koboko-24h'!C66,'03.08 Yumbe-Koboko-24h'!C66)</f>
        <v>0</v>
      </c>
      <c r="D66" s="49">
        <f>AVERAGE('02.08 Yumbe-Koboko-24h'!D66,'03.08 Yumbe-Koboko-24h'!D66)</f>
        <v>0</v>
      </c>
      <c r="E66" s="49">
        <f>AVERAGE('02.08 Yumbe-Koboko-24h'!E66,'03.08 Yumbe-Koboko-24h'!E66)</f>
        <v>0</v>
      </c>
      <c r="F66" s="49">
        <f>AVERAGE('02.08 Yumbe-Koboko-24h'!F66,'03.08 Yumbe-Koboko-24h'!F66)</f>
        <v>1</v>
      </c>
      <c r="G66" s="49">
        <f>AVERAGE('02.08 Yumbe-Koboko-24h'!G66,'03.08 Yumbe-Koboko-24h'!G66)</f>
        <v>0</v>
      </c>
      <c r="H66" s="49">
        <f>AVERAGE('02.08 Yumbe-Koboko-24h'!H66,'03.08 Yumbe-Koboko-24h'!H66)</f>
        <v>0</v>
      </c>
      <c r="I66" s="49">
        <f>AVERAGE('02.08 Yumbe-Koboko-24h'!I66,'03.08 Yumbe-Koboko-24h'!I66)</f>
        <v>0</v>
      </c>
      <c r="J66" s="49">
        <f>AVERAGE('02.08 Yumbe-Koboko-24h'!J66,'03.08 Yumbe-Koboko-24h'!J66)</f>
        <v>0</v>
      </c>
      <c r="K66" s="49">
        <f>AVERAGE('02.08 Yumbe-Koboko-24h'!K66,'03.08 Yumbe-Koboko-24h'!K66)</f>
        <v>0</v>
      </c>
      <c r="L66" s="49">
        <f>AVERAGE('02.08 Yumbe-Koboko-24h'!L66,'03.08 Yumbe-Koboko-24h'!L66)</f>
        <v>0</v>
      </c>
      <c r="M66" s="49">
        <f>AVERAGE('02.08 Yumbe-Koboko-24h'!M66,'03.08 Yumbe-Koboko-24h'!M66)</f>
        <v>1</v>
      </c>
      <c r="N66" s="49">
        <f>AVERAGE('02.08 Yumbe-Koboko-24h'!N66,'03.08 Yumbe-Koboko-24h'!N66)</f>
        <v>0</v>
      </c>
      <c r="O66" s="15">
        <f t="shared" si="0"/>
        <v>1</v>
      </c>
      <c r="P66" s="15">
        <f t="shared" si="1"/>
        <v>2</v>
      </c>
      <c r="R66" s="8"/>
      <c r="T66"/>
    </row>
    <row r="67" spans="2:20" ht="23.1" customHeight="1" x14ac:dyDescent="0.25">
      <c r="B67" s="23" t="s">
        <v>104</v>
      </c>
      <c r="C67" s="49">
        <f>AVERAGE('02.08 Yumbe-Koboko-24h'!C67,'03.08 Yumbe-Koboko-24h'!C67)</f>
        <v>0.5</v>
      </c>
      <c r="D67" s="49">
        <f>AVERAGE('02.08 Yumbe-Koboko-24h'!D67,'03.08 Yumbe-Koboko-24h'!D67)</f>
        <v>0</v>
      </c>
      <c r="E67" s="49">
        <f>AVERAGE('02.08 Yumbe-Koboko-24h'!E67,'03.08 Yumbe-Koboko-24h'!E67)</f>
        <v>0</v>
      </c>
      <c r="F67" s="49">
        <f>AVERAGE('02.08 Yumbe-Koboko-24h'!F67,'03.08 Yumbe-Koboko-24h'!F67)</f>
        <v>0</v>
      </c>
      <c r="G67" s="49">
        <f>AVERAGE('02.08 Yumbe-Koboko-24h'!G67,'03.08 Yumbe-Koboko-24h'!G67)</f>
        <v>0</v>
      </c>
      <c r="H67" s="49">
        <f>AVERAGE('02.08 Yumbe-Koboko-24h'!H67,'03.08 Yumbe-Koboko-24h'!H67)</f>
        <v>0</v>
      </c>
      <c r="I67" s="49">
        <f>AVERAGE('02.08 Yumbe-Koboko-24h'!I67,'03.08 Yumbe-Koboko-24h'!I67)</f>
        <v>0.5</v>
      </c>
      <c r="J67" s="49">
        <f>AVERAGE('02.08 Yumbe-Koboko-24h'!J67,'03.08 Yumbe-Koboko-24h'!J67)</f>
        <v>0</v>
      </c>
      <c r="K67" s="49">
        <f>AVERAGE('02.08 Yumbe-Koboko-24h'!K67,'03.08 Yumbe-Koboko-24h'!K67)</f>
        <v>0</v>
      </c>
      <c r="L67" s="49">
        <f>AVERAGE('02.08 Yumbe-Koboko-24h'!L67,'03.08 Yumbe-Koboko-24h'!L67)</f>
        <v>0</v>
      </c>
      <c r="M67" s="49">
        <f>AVERAGE('02.08 Yumbe-Koboko-24h'!M67,'03.08 Yumbe-Koboko-24h'!M67)</f>
        <v>0.5</v>
      </c>
      <c r="N67" s="49">
        <f>AVERAGE('02.08 Yumbe-Koboko-24h'!N67,'03.08 Yumbe-Koboko-24h'!N67)</f>
        <v>0</v>
      </c>
      <c r="O67" s="15">
        <f t="shared" si="0"/>
        <v>1</v>
      </c>
      <c r="P67" s="15">
        <f t="shared" si="1"/>
        <v>1.5</v>
      </c>
      <c r="R67" s="8"/>
      <c r="T67"/>
    </row>
    <row r="68" spans="2:20" ht="23.1" customHeight="1" x14ac:dyDescent="0.25">
      <c r="B68" s="23" t="s">
        <v>105</v>
      </c>
      <c r="C68" s="49">
        <f>AVERAGE('02.08 Yumbe-Koboko-24h'!C68,'03.08 Yumbe-Koboko-24h'!C68)</f>
        <v>0</v>
      </c>
      <c r="D68" s="49">
        <f>AVERAGE('02.08 Yumbe-Koboko-24h'!D68,'03.08 Yumbe-Koboko-24h'!D68)</f>
        <v>0</v>
      </c>
      <c r="E68" s="49">
        <f>AVERAGE('02.08 Yumbe-Koboko-24h'!E68,'03.08 Yumbe-Koboko-24h'!E68)</f>
        <v>0</v>
      </c>
      <c r="F68" s="49">
        <f>AVERAGE('02.08 Yumbe-Koboko-24h'!F68,'03.08 Yumbe-Koboko-24h'!F68)</f>
        <v>0</v>
      </c>
      <c r="G68" s="49">
        <f>AVERAGE('02.08 Yumbe-Koboko-24h'!G68,'03.08 Yumbe-Koboko-24h'!G68)</f>
        <v>0</v>
      </c>
      <c r="H68" s="49">
        <f>AVERAGE('02.08 Yumbe-Koboko-24h'!H68,'03.08 Yumbe-Koboko-24h'!H68)</f>
        <v>0</v>
      </c>
      <c r="I68" s="49">
        <f>AVERAGE('02.08 Yumbe-Koboko-24h'!I68,'03.08 Yumbe-Koboko-24h'!I68)</f>
        <v>0</v>
      </c>
      <c r="J68" s="49">
        <f>AVERAGE('02.08 Yumbe-Koboko-24h'!J68,'03.08 Yumbe-Koboko-24h'!J68)</f>
        <v>0</v>
      </c>
      <c r="K68" s="49">
        <f>AVERAGE('02.08 Yumbe-Koboko-24h'!K68,'03.08 Yumbe-Koboko-24h'!K68)</f>
        <v>0</v>
      </c>
      <c r="L68" s="49">
        <f>AVERAGE('02.08 Yumbe-Koboko-24h'!L68,'03.08 Yumbe-Koboko-24h'!L68)</f>
        <v>0</v>
      </c>
      <c r="M68" s="49">
        <f>AVERAGE('02.08 Yumbe-Koboko-24h'!M68,'03.08 Yumbe-Koboko-24h'!M68)</f>
        <v>1</v>
      </c>
      <c r="N68" s="49">
        <f>AVERAGE('02.08 Yumbe-Koboko-24h'!N68,'03.08 Yumbe-Koboko-24h'!N68)</f>
        <v>0</v>
      </c>
      <c r="O68" s="15">
        <f t="shared" si="0"/>
        <v>0</v>
      </c>
      <c r="P68" s="15">
        <f t="shared" si="1"/>
        <v>1</v>
      </c>
      <c r="R68" s="8"/>
      <c r="T68"/>
    </row>
    <row r="69" spans="2:20" ht="23.1" customHeight="1" x14ac:dyDescent="0.25">
      <c r="B69" s="23" t="s">
        <v>106</v>
      </c>
      <c r="C69" s="49">
        <f>AVERAGE('02.08 Yumbe-Koboko-24h'!C69,'03.08 Yumbe-Koboko-24h'!C69)</f>
        <v>0</v>
      </c>
      <c r="D69" s="49">
        <f>AVERAGE('02.08 Yumbe-Koboko-24h'!D69,'03.08 Yumbe-Koboko-24h'!D69)</f>
        <v>0</v>
      </c>
      <c r="E69" s="49">
        <f>AVERAGE('02.08 Yumbe-Koboko-24h'!E69,'03.08 Yumbe-Koboko-24h'!E69)</f>
        <v>0</v>
      </c>
      <c r="F69" s="49">
        <f>AVERAGE('02.08 Yumbe-Koboko-24h'!F69,'03.08 Yumbe-Koboko-24h'!F69)</f>
        <v>0</v>
      </c>
      <c r="G69" s="49">
        <f>AVERAGE('02.08 Yumbe-Koboko-24h'!G69,'03.08 Yumbe-Koboko-24h'!G69)</f>
        <v>0</v>
      </c>
      <c r="H69" s="49">
        <f>AVERAGE('02.08 Yumbe-Koboko-24h'!H69,'03.08 Yumbe-Koboko-24h'!H69)</f>
        <v>0</v>
      </c>
      <c r="I69" s="49">
        <f>AVERAGE('02.08 Yumbe-Koboko-24h'!I69,'03.08 Yumbe-Koboko-24h'!I69)</f>
        <v>0</v>
      </c>
      <c r="J69" s="49">
        <f>AVERAGE('02.08 Yumbe-Koboko-24h'!J69,'03.08 Yumbe-Koboko-24h'!J69)</f>
        <v>0</v>
      </c>
      <c r="K69" s="49">
        <f>AVERAGE('02.08 Yumbe-Koboko-24h'!K69,'03.08 Yumbe-Koboko-24h'!K69)</f>
        <v>0</v>
      </c>
      <c r="L69" s="49">
        <f>AVERAGE('02.08 Yumbe-Koboko-24h'!L69,'03.08 Yumbe-Koboko-24h'!L69)</f>
        <v>0</v>
      </c>
      <c r="M69" s="49">
        <f>AVERAGE('02.08 Yumbe-Koboko-24h'!M69,'03.08 Yumbe-Koboko-24h'!M69)</f>
        <v>1</v>
      </c>
      <c r="N69" s="49">
        <f>AVERAGE('02.08 Yumbe-Koboko-24h'!N69,'03.08 Yumbe-Koboko-24h'!N69)</f>
        <v>0</v>
      </c>
      <c r="O69" s="15">
        <f t="shared" si="0"/>
        <v>0</v>
      </c>
      <c r="P69" s="15">
        <f t="shared" si="1"/>
        <v>1</v>
      </c>
      <c r="R69" s="8"/>
      <c r="T69"/>
    </row>
    <row r="70" spans="2:20" ht="23.1" customHeight="1" x14ac:dyDescent="0.25">
      <c r="B70" s="23" t="s">
        <v>110</v>
      </c>
      <c r="C70" s="49">
        <f>AVERAGE('02.08 Yumbe-Koboko-24h'!C70,'03.08 Yumbe-Koboko-24h'!C70)</f>
        <v>0</v>
      </c>
      <c r="D70" s="49">
        <f>AVERAGE('02.08 Yumbe-Koboko-24h'!D70,'03.08 Yumbe-Koboko-24h'!D70)</f>
        <v>0</v>
      </c>
      <c r="E70" s="49">
        <f>AVERAGE('02.08 Yumbe-Koboko-24h'!E70,'03.08 Yumbe-Koboko-24h'!E70)</f>
        <v>0</v>
      </c>
      <c r="F70" s="49">
        <f>AVERAGE('02.08 Yumbe-Koboko-24h'!F70,'03.08 Yumbe-Koboko-24h'!F70)</f>
        <v>0</v>
      </c>
      <c r="G70" s="49">
        <f>AVERAGE('02.08 Yumbe-Koboko-24h'!G70,'03.08 Yumbe-Koboko-24h'!G70)</f>
        <v>0</v>
      </c>
      <c r="H70" s="49">
        <f>AVERAGE('02.08 Yumbe-Koboko-24h'!H70,'03.08 Yumbe-Koboko-24h'!H70)</f>
        <v>0</v>
      </c>
      <c r="I70" s="49">
        <f>AVERAGE('02.08 Yumbe-Koboko-24h'!I70,'03.08 Yumbe-Koboko-24h'!I70)</f>
        <v>0</v>
      </c>
      <c r="J70" s="49">
        <f>AVERAGE('02.08 Yumbe-Koboko-24h'!J70,'03.08 Yumbe-Koboko-24h'!J70)</f>
        <v>0</v>
      </c>
      <c r="K70" s="49">
        <f>AVERAGE('02.08 Yumbe-Koboko-24h'!K70,'03.08 Yumbe-Koboko-24h'!K70)</f>
        <v>0</v>
      </c>
      <c r="L70" s="49">
        <f>AVERAGE('02.08 Yumbe-Koboko-24h'!L70,'03.08 Yumbe-Koboko-24h'!L70)</f>
        <v>0</v>
      </c>
      <c r="M70" s="49">
        <f>AVERAGE('02.08 Yumbe-Koboko-24h'!M70,'03.08 Yumbe-Koboko-24h'!M70)</f>
        <v>1</v>
      </c>
      <c r="N70" s="49">
        <f>AVERAGE('02.08 Yumbe-Koboko-24h'!N70,'03.08 Yumbe-Koboko-24h'!N70)</f>
        <v>0</v>
      </c>
      <c r="O70" s="15">
        <f t="shared" si="0"/>
        <v>0</v>
      </c>
      <c r="P70" s="15">
        <f t="shared" si="1"/>
        <v>1</v>
      </c>
      <c r="R70" s="8"/>
      <c r="T70"/>
    </row>
    <row r="71" spans="2:20" ht="23.1" customHeight="1" x14ac:dyDescent="0.25">
      <c r="B71" s="23" t="s">
        <v>111</v>
      </c>
      <c r="C71" s="49">
        <f>AVERAGE('02.08 Yumbe-Koboko-24h'!C71,'03.08 Yumbe-Koboko-24h'!C71)</f>
        <v>0</v>
      </c>
      <c r="D71" s="49">
        <f>AVERAGE('02.08 Yumbe-Koboko-24h'!D71,'03.08 Yumbe-Koboko-24h'!D71)</f>
        <v>0</v>
      </c>
      <c r="E71" s="49">
        <f>AVERAGE('02.08 Yumbe-Koboko-24h'!E71,'03.08 Yumbe-Koboko-24h'!E71)</f>
        <v>0.5</v>
      </c>
      <c r="F71" s="49">
        <f>AVERAGE('02.08 Yumbe-Koboko-24h'!F71,'03.08 Yumbe-Koboko-24h'!F71)</f>
        <v>0</v>
      </c>
      <c r="G71" s="49">
        <f>AVERAGE('02.08 Yumbe-Koboko-24h'!G71,'03.08 Yumbe-Koboko-24h'!G71)</f>
        <v>0</v>
      </c>
      <c r="H71" s="49">
        <f>AVERAGE('02.08 Yumbe-Koboko-24h'!H71,'03.08 Yumbe-Koboko-24h'!H71)</f>
        <v>0</v>
      </c>
      <c r="I71" s="49">
        <f>AVERAGE('02.08 Yumbe-Koboko-24h'!I71,'03.08 Yumbe-Koboko-24h'!I71)</f>
        <v>0</v>
      </c>
      <c r="J71" s="49">
        <f>AVERAGE('02.08 Yumbe-Koboko-24h'!J71,'03.08 Yumbe-Koboko-24h'!J71)</f>
        <v>0</v>
      </c>
      <c r="K71" s="49">
        <f>AVERAGE('02.08 Yumbe-Koboko-24h'!K71,'03.08 Yumbe-Koboko-24h'!K71)</f>
        <v>0</v>
      </c>
      <c r="L71" s="49">
        <f>AVERAGE('02.08 Yumbe-Koboko-24h'!L71,'03.08 Yumbe-Koboko-24h'!L71)</f>
        <v>0</v>
      </c>
      <c r="M71" s="49">
        <f>AVERAGE('02.08 Yumbe-Koboko-24h'!M71,'03.08 Yumbe-Koboko-24h'!M71)</f>
        <v>0</v>
      </c>
      <c r="N71" s="49">
        <f>AVERAGE('02.08 Yumbe-Koboko-24h'!N71,'03.08 Yumbe-Koboko-24h'!N71)</f>
        <v>0</v>
      </c>
      <c r="O71" s="15">
        <f t="shared" si="0"/>
        <v>0.5</v>
      </c>
      <c r="P71" s="15">
        <f t="shared" si="1"/>
        <v>0.5</v>
      </c>
      <c r="R71" s="8"/>
      <c r="T71"/>
    </row>
    <row r="72" spans="2:20" ht="23.1" customHeight="1" x14ac:dyDescent="0.25">
      <c r="B72" s="23" t="s">
        <v>112</v>
      </c>
      <c r="C72" s="49">
        <f>AVERAGE('02.08 Yumbe-Koboko-24h'!C72,'03.08 Yumbe-Koboko-24h'!C72)</f>
        <v>0.5</v>
      </c>
      <c r="D72" s="49">
        <f>AVERAGE('02.08 Yumbe-Koboko-24h'!D72,'03.08 Yumbe-Koboko-24h'!D72)</f>
        <v>0</v>
      </c>
      <c r="E72" s="49">
        <f>AVERAGE('02.08 Yumbe-Koboko-24h'!E72,'03.08 Yumbe-Koboko-24h'!E72)</f>
        <v>0</v>
      </c>
      <c r="F72" s="49">
        <f>AVERAGE('02.08 Yumbe-Koboko-24h'!F72,'03.08 Yumbe-Koboko-24h'!F72)</f>
        <v>0</v>
      </c>
      <c r="G72" s="49">
        <f>AVERAGE('02.08 Yumbe-Koboko-24h'!G72,'03.08 Yumbe-Koboko-24h'!G72)</f>
        <v>0</v>
      </c>
      <c r="H72" s="49">
        <f>AVERAGE('02.08 Yumbe-Koboko-24h'!H72,'03.08 Yumbe-Koboko-24h'!H72)</f>
        <v>0</v>
      </c>
      <c r="I72" s="49">
        <f>AVERAGE('02.08 Yumbe-Koboko-24h'!I72,'03.08 Yumbe-Koboko-24h'!I72)</f>
        <v>0</v>
      </c>
      <c r="J72" s="49">
        <f>AVERAGE('02.08 Yumbe-Koboko-24h'!J72,'03.08 Yumbe-Koboko-24h'!J72)</f>
        <v>0</v>
      </c>
      <c r="K72" s="49">
        <f>AVERAGE('02.08 Yumbe-Koboko-24h'!K72,'03.08 Yumbe-Koboko-24h'!K72)</f>
        <v>0</v>
      </c>
      <c r="L72" s="49">
        <f>AVERAGE('02.08 Yumbe-Koboko-24h'!L72,'03.08 Yumbe-Koboko-24h'!L72)</f>
        <v>0</v>
      </c>
      <c r="M72" s="49">
        <f>AVERAGE('02.08 Yumbe-Koboko-24h'!M72,'03.08 Yumbe-Koboko-24h'!M72)</f>
        <v>0.5</v>
      </c>
      <c r="N72" s="49">
        <f>AVERAGE('02.08 Yumbe-Koboko-24h'!N72,'03.08 Yumbe-Koboko-24h'!N72)</f>
        <v>0</v>
      </c>
      <c r="O72" s="15">
        <f t="shared" si="0"/>
        <v>0.5</v>
      </c>
      <c r="P72" s="15">
        <f t="shared" si="1"/>
        <v>1</v>
      </c>
      <c r="R72" s="8"/>
      <c r="T72"/>
    </row>
    <row r="73" spans="2:20" ht="23.1" customHeight="1" x14ac:dyDescent="0.25">
      <c r="B73" s="23" t="s">
        <v>113</v>
      </c>
      <c r="C73" s="49">
        <f>AVERAGE('02.08 Yumbe-Koboko-24h'!C73,'03.08 Yumbe-Koboko-24h'!C73)</f>
        <v>0</v>
      </c>
      <c r="D73" s="49">
        <f>AVERAGE('02.08 Yumbe-Koboko-24h'!D73,'03.08 Yumbe-Koboko-24h'!D73)</f>
        <v>0</v>
      </c>
      <c r="E73" s="49">
        <f>AVERAGE('02.08 Yumbe-Koboko-24h'!E73,'03.08 Yumbe-Koboko-24h'!E73)</f>
        <v>0</v>
      </c>
      <c r="F73" s="49">
        <f>AVERAGE('02.08 Yumbe-Koboko-24h'!F73,'03.08 Yumbe-Koboko-24h'!F73)</f>
        <v>0</v>
      </c>
      <c r="G73" s="49">
        <f>AVERAGE('02.08 Yumbe-Koboko-24h'!G73,'03.08 Yumbe-Koboko-24h'!G73)</f>
        <v>0</v>
      </c>
      <c r="H73" s="49">
        <f>AVERAGE('02.08 Yumbe-Koboko-24h'!H73,'03.08 Yumbe-Koboko-24h'!H73)</f>
        <v>0</v>
      </c>
      <c r="I73" s="49">
        <f>AVERAGE('02.08 Yumbe-Koboko-24h'!I73,'03.08 Yumbe-Koboko-24h'!I73)</f>
        <v>0</v>
      </c>
      <c r="J73" s="49">
        <f>AVERAGE('02.08 Yumbe-Koboko-24h'!J73,'03.08 Yumbe-Koboko-24h'!J73)</f>
        <v>0</v>
      </c>
      <c r="K73" s="49">
        <f>AVERAGE('02.08 Yumbe-Koboko-24h'!K73,'03.08 Yumbe-Koboko-24h'!K73)</f>
        <v>0</v>
      </c>
      <c r="L73" s="49">
        <f>AVERAGE('02.08 Yumbe-Koboko-24h'!L73,'03.08 Yumbe-Koboko-24h'!L73)</f>
        <v>0</v>
      </c>
      <c r="M73" s="49">
        <f>AVERAGE('02.08 Yumbe-Koboko-24h'!M73,'03.08 Yumbe-Koboko-24h'!M73)</f>
        <v>0</v>
      </c>
      <c r="N73" s="49">
        <f>AVERAGE('02.08 Yumbe-Koboko-24h'!N73,'03.08 Yumbe-Koboko-24h'!N73)</f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23" t="s">
        <v>114</v>
      </c>
      <c r="C74" s="49">
        <f>AVERAGE('02.08 Yumbe-Koboko-24h'!C74,'03.08 Yumbe-Koboko-24h'!C74)</f>
        <v>0</v>
      </c>
      <c r="D74" s="49">
        <f>AVERAGE('02.08 Yumbe-Koboko-24h'!D74,'03.08 Yumbe-Koboko-24h'!D74)</f>
        <v>0</v>
      </c>
      <c r="E74" s="49">
        <f>AVERAGE('02.08 Yumbe-Koboko-24h'!E74,'03.08 Yumbe-Koboko-24h'!E74)</f>
        <v>0.5</v>
      </c>
      <c r="F74" s="49">
        <f>AVERAGE('02.08 Yumbe-Koboko-24h'!F74,'03.08 Yumbe-Koboko-24h'!F74)</f>
        <v>0</v>
      </c>
      <c r="G74" s="49">
        <f>AVERAGE('02.08 Yumbe-Koboko-24h'!G74,'03.08 Yumbe-Koboko-24h'!G74)</f>
        <v>0</v>
      </c>
      <c r="H74" s="49">
        <f>AVERAGE('02.08 Yumbe-Koboko-24h'!H74,'03.08 Yumbe-Koboko-24h'!H74)</f>
        <v>0</v>
      </c>
      <c r="I74" s="49">
        <f>AVERAGE('02.08 Yumbe-Koboko-24h'!I74,'03.08 Yumbe-Koboko-24h'!I74)</f>
        <v>0</v>
      </c>
      <c r="J74" s="49">
        <f>AVERAGE('02.08 Yumbe-Koboko-24h'!J74,'03.08 Yumbe-Koboko-24h'!J74)</f>
        <v>0</v>
      </c>
      <c r="K74" s="49">
        <f>AVERAGE('02.08 Yumbe-Koboko-24h'!K74,'03.08 Yumbe-Koboko-24h'!K74)</f>
        <v>0</v>
      </c>
      <c r="L74" s="49">
        <f>AVERAGE('02.08 Yumbe-Koboko-24h'!L74,'03.08 Yumbe-Koboko-24h'!L74)</f>
        <v>0</v>
      </c>
      <c r="M74" s="49">
        <f>AVERAGE('02.08 Yumbe-Koboko-24h'!M74,'03.08 Yumbe-Koboko-24h'!M74)</f>
        <v>0</v>
      </c>
      <c r="N74" s="49">
        <f>AVERAGE('02.08 Yumbe-Koboko-24h'!N74,'03.08 Yumbe-Koboko-24h'!N74)</f>
        <v>0</v>
      </c>
      <c r="O74" s="15">
        <f t="shared" ref="O74:O105" si="35">SUM(C74:L74,N74)</f>
        <v>0.5</v>
      </c>
      <c r="P74" s="15">
        <f t="shared" ref="P74:P105" si="36">SUM(C74:N74)</f>
        <v>0.5</v>
      </c>
      <c r="R74" s="8"/>
      <c r="T74"/>
    </row>
    <row r="75" spans="2:20" ht="23.1" customHeight="1" x14ac:dyDescent="0.25">
      <c r="B75" s="23" t="s">
        <v>115</v>
      </c>
      <c r="C75" s="49">
        <f>AVERAGE('02.08 Yumbe-Koboko-24h'!C75,'03.08 Yumbe-Koboko-24h'!C75)</f>
        <v>0</v>
      </c>
      <c r="D75" s="49">
        <f>AVERAGE('02.08 Yumbe-Koboko-24h'!D75,'03.08 Yumbe-Koboko-24h'!D75)</f>
        <v>0</v>
      </c>
      <c r="E75" s="49">
        <f>AVERAGE('02.08 Yumbe-Koboko-24h'!E75,'03.08 Yumbe-Koboko-24h'!E75)</f>
        <v>0</v>
      </c>
      <c r="F75" s="49">
        <f>AVERAGE('02.08 Yumbe-Koboko-24h'!F75,'03.08 Yumbe-Koboko-24h'!F75)</f>
        <v>0</v>
      </c>
      <c r="G75" s="49">
        <f>AVERAGE('02.08 Yumbe-Koboko-24h'!G75,'03.08 Yumbe-Koboko-24h'!G75)</f>
        <v>0</v>
      </c>
      <c r="H75" s="49">
        <f>AVERAGE('02.08 Yumbe-Koboko-24h'!H75,'03.08 Yumbe-Koboko-24h'!H75)</f>
        <v>0</v>
      </c>
      <c r="I75" s="49">
        <f>AVERAGE('02.08 Yumbe-Koboko-24h'!I75,'03.08 Yumbe-Koboko-24h'!I75)</f>
        <v>0</v>
      </c>
      <c r="J75" s="49">
        <f>AVERAGE('02.08 Yumbe-Koboko-24h'!J75,'03.08 Yumbe-Koboko-24h'!J75)</f>
        <v>0</v>
      </c>
      <c r="K75" s="49">
        <f>AVERAGE('02.08 Yumbe-Koboko-24h'!K75,'03.08 Yumbe-Koboko-24h'!K75)</f>
        <v>0</v>
      </c>
      <c r="L75" s="49">
        <f>AVERAGE('02.08 Yumbe-Koboko-24h'!L75,'03.08 Yumbe-Koboko-24h'!L75)</f>
        <v>0</v>
      </c>
      <c r="M75" s="49">
        <f>AVERAGE('02.08 Yumbe-Koboko-24h'!M75,'03.08 Yumbe-Koboko-24h'!M75)</f>
        <v>0</v>
      </c>
      <c r="N75" s="49">
        <f>AVERAGE('02.08 Yumbe-Koboko-24h'!N75,'03.08 Yumbe-Koboko-24h'!N75)</f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23" t="s">
        <v>116</v>
      </c>
      <c r="C76" s="49">
        <f>AVERAGE('02.08 Yumbe-Koboko-24h'!C76,'03.08 Yumbe-Koboko-24h'!C76)</f>
        <v>0</v>
      </c>
      <c r="D76" s="49">
        <f>AVERAGE('02.08 Yumbe-Koboko-24h'!D76,'03.08 Yumbe-Koboko-24h'!D76)</f>
        <v>0</v>
      </c>
      <c r="E76" s="49">
        <f>AVERAGE('02.08 Yumbe-Koboko-24h'!E76,'03.08 Yumbe-Koboko-24h'!E76)</f>
        <v>0</v>
      </c>
      <c r="F76" s="49">
        <f>AVERAGE('02.08 Yumbe-Koboko-24h'!F76,'03.08 Yumbe-Koboko-24h'!F76)</f>
        <v>0</v>
      </c>
      <c r="G76" s="49">
        <f>AVERAGE('02.08 Yumbe-Koboko-24h'!G76,'03.08 Yumbe-Koboko-24h'!G76)</f>
        <v>0</v>
      </c>
      <c r="H76" s="49">
        <f>AVERAGE('02.08 Yumbe-Koboko-24h'!H76,'03.08 Yumbe-Koboko-24h'!H76)</f>
        <v>0</v>
      </c>
      <c r="I76" s="49">
        <f>AVERAGE('02.08 Yumbe-Koboko-24h'!I76,'03.08 Yumbe-Koboko-24h'!I76)</f>
        <v>0</v>
      </c>
      <c r="J76" s="49">
        <f>AVERAGE('02.08 Yumbe-Koboko-24h'!J76,'03.08 Yumbe-Koboko-24h'!J76)</f>
        <v>0</v>
      </c>
      <c r="K76" s="49">
        <f>AVERAGE('02.08 Yumbe-Koboko-24h'!K76,'03.08 Yumbe-Koboko-24h'!K76)</f>
        <v>0</v>
      </c>
      <c r="L76" s="49">
        <f>AVERAGE('02.08 Yumbe-Koboko-24h'!L76,'03.08 Yumbe-Koboko-24h'!L76)</f>
        <v>0</v>
      </c>
      <c r="M76" s="49">
        <f>AVERAGE('02.08 Yumbe-Koboko-24h'!M76,'03.08 Yumbe-Koboko-24h'!M76)</f>
        <v>0</v>
      </c>
      <c r="N76" s="49">
        <f>AVERAGE('02.08 Yumbe-Koboko-24h'!N76,'03.08 Yumbe-Koboko-24h'!N76)</f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23" t="s">
        <v>117</v>
      </c>
      <c r="C77" s="49">
        <f>AVERAGE('02.08 Yumbe-Koboko-24h'!C77,'03.08 Yumbe-Koboko-24h'!C77)</f>
        <v>0</v>
      </c>
      <c r="D77" s="49">
        <f>AVERAGE('02.08 Yumbe-Koboko-24h'!D77,'03.08 Yumbe-Koboko-24h'!D77)</f>
        <v>0</v>
      </c>
      <c r="E77" s="49">
        <f>AVERAGE('02.08 Yumbe-Koboko-24h'!E77,'03.08 Yumbe-Koboko-24h'!E77)</f>
        <v>0</v>
      </c>
      <c r="F77" s="49">
        <f>AVERAGE('02.08 Yumbe-Koboko-24h'!F77,'03.08 Yumbe-Koboko-24h'!F77)</f>
        <v>0</v>
      </c>
      <c r="G77" s="49">
        <f>AVERAGE('02.08 Yumbe-Koboko-24h'!G77,'03.08 Yumbe-Koboko-24h'!G77)</f>
        <v>0</v>
      </c>
      <c r="H77" s="49">
        <f>AVERAGE('02.08 Yumbe-Koboko-24h'!H77,'03.08 Yumbe-Koboko-24h'!H77)</f>
        <v>0</v>
      </c>
      <c r="I77" s="49">
        <f>AVERAGE('02.08 Yumbe-Koboko-24h'!I77,'03.08 Yumbe-Koboko-24h'!I77)</f>
        <v>0</v>
      </c>
      <c r="J77" s="49">
        <f>AVERAGE('02.08 Yumbe-Koboko-24h'!J77,'03.08 Yumbe-Koboko-24h'!J77)</f>
        <v>0</v>
      </c>
      <c r="K77" s="49">
        <f>AVERAGE('02.08 Yumbe-Koboko-24h'!K77,'03.08 Yumbe-Koboko-24h'!K77)</f>
        <v>0</v>
      </c>
      <c r="L77" s="49">
        <f>AVERAGE('02.08 Yumbe-Koboko-24h'!L77,'03.08 Yumbe-Koboko-24h'!L77)</f>
        <v>0.5</v>
      </c>
      <c r="M77" s="49">
        <f>AVERAGE('02.08 Yumbe-Koboko-24h'!M77,'03.08 Yumbe-Koboko-24h'!M77)</f>
        <v>0</v>
      </c>
      <c r="N77" s="49">
        <f>AVERAGE('02.08 Yumbe-Koboko-24h'!N77,'03.08 Yumbe-Koboko-24h'!N77)</f>
        <v>0</v>
      </c>
      <c r="O77" s="15">
        <f t="shared" si="35"/>
        <v>0.5</v>
      </c>
      <c r="P77" s="15">
        <f t="shared" si="36"/>
        <v>0.5</v>
      </c>
      <c r="R77" s="8"/>
      <c r="T77"/>
    </row>
    <row r="78" spans="2:20" ht="23.1" customHeight="1" x14ac:dyDescent="0.25">
      <c r="B78" s="24" t="s">
        <v>118</v>
      </c>
      <c r="C78" s="49">
        <f>AVERAGE('02.08 Yumbe-Koboko-24h'!C78,'03.08 Yumbe-Koboko-24h'!C78)</f>
        <v>0</v>
      </c>
      <c r="D78" s="49">
        <f>AVERAGE('02.08 Yumbe-Koboko-24h'!D78,'03.08 Yumbe-Koboko-24h'!D78)</f>
        <v>0</v>
      </c>
      <c r="E78" s="49">
        <f>AVERAGE('02.08 Yumbe-Koboko-24h'!E78,'03.08 Yumbe-Koboko-24h'!E78)</f>
        <v>0</v>
      </c>
      <c r="F78" s="49">
        <f>AVERAGE('02.08 Yumbe-Koboko-24h'!F78,'03.08 Yumbe-Koboko-24h'!F78)</f>
        <v>0</v>
      </c>
      <c r="G78" s="49">
        <f>AVERAGE('02.08 Yumbe-Koboko-24h'!G78,'03.08 Yumbe-Koboko-24h'!G78)</f>
        <v>0</v>
      </c>
      <c r="H78" s="49">
        <f>AVERAGE('02.08 Yumbe-Koboko-24h'!H78,'03.08 Yumbe-Koboko-24h'!H78)</f>
        <v>0</v>
      </c>
      <c r="I78" s="49">
        <f>AVERAGE('02.08 Yumbe-Koboko-24h'!I78,'03.08 Yumbe-Koboko-24h'!I78)</f>
        <v>0</v>
      </c>
      <c r="J78" s="49">
        <f>AVERAGE('02.08 Yumbe-Koboko-24h'!J78,'03.08 Yumbe-Koboko-24h'!J78)</f>
        <v>0</v>
      </c>
      <c r="K78" s="49">
        <f>AVERAGE('02.08 Yumbe-Koboko-24h'!K78,'03.08 Yumbe-Koboko-24h'!K78)</f>
        <v>0</v>
      </c>
      <c r="L78" s="49">
        <f>AVERAGE('02.08 Yumbe-Koboko-24h'!L78,'03.08 Yumbe-Koboko-24h'!L78)</f>
        <v>0</v>
      </c>
      <c r="M78" s="49">
        <f>AVERAGE('02.08 Yumbe-Koboko-24h'!M78,'03.08 Yumbe-Koboko-24h'!M78)</f>
        <v>0</v>
      </c>
      <c r="N78" s="49">
        <f>AVERAGE('02.08 Yumbe-Koboko-24h'!N78,'03.08 Yumbe-Koboko-24h'!N78)</f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23" t="s">
        <v>119</v>
      </c>
      <c r="C79" s="49">
        <f>AVERAGE('02.08 Yumbe-Koboko-24h'!C79,'03.08 Yumbe-Koboko-24h'!C79)</f>
        <v>0</v>
      </c>
      <c r="D79" s="49">
        <f>AVERAGE('02.08 Yumbe-Koboko-24h'!D79,'03.08 Yumbe-Koboko-24h'!D79)</f>
        <v>0</v>
      </c>
      <c r="E79" s="49">
        <f>AVERAGE('02.08 Yumbe-Koboko-24h'!E79,'03.08 Yumbe-Koboko-24h'!E79)</f>
        <v>0</v>
      </c>
      <c r="F79" s="49">
        <f>AVERAGE('02.08 Yumbe-Koboko-24h'!F79,'03.08 Yumbe-Koboko-24h'!F79)</f>
        <v>0</v>
      </c>
      <c r="G79" s="49">
        <f>AVERAGE('02.08 Yumbe-Koboko-24h'!G79,'03.08 Yumbe-Koboko-24h'!G79)</f>
        <v>0</v>
      </c>
      <c r="H79" s="49">
        <f>AVERAGE('02.08 Yumbe-Koboko-24h'!H79,'03.08 Yumbe-Koboko-24h'!H79)</f>
        <v>0</v>
      </c>
      <c r="I79" s="49">
        <f>AVERAGE('02.08 Yumbe-Koboko-24h'!I79,'03.08 Yumbe-Koboko-24h'!I79)</f>
        <v>0</v>
      </c>
      <c r="J79" s="49">
        <f>AVERAGE('02.08 Yumbe-Koboko-24h'!J79,'03.08 Yumbe-Koboko-24h'!J79)</f>
        <v>0</v>
      </c>
      <c r="K79" s="49">
        <f>AVERAGE('02.08 Yumbe-Koboko-24h'!K79,'03.08 Yumbe-Koboko-24h'!K79)</f>
        <v>0</v>
      </c>
      <c r="L79" s="49">
        <f>AVERAGE('02.08 Yumbe-Koboko-24h'!L79,'03.08 Yumbe-Koboko-24h'!L79)</f>
        <v>0</v>
      </c>
      <c r="M79" s="49">
        <f>AVERAGE('02.08 Yumbe-Koboko-24h'!M79,'03.08 Yumbe-Koboko-24h'!M79)</f>
        <v>0</v>
      </c>
      <c r="N79" s="49">
        <f>AVERAGE('02.08 Yumbe-Koboko-24h'!N79,'03.08 Yumbe-Koboko-24h'!N79)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AVERAGE('02.08 Yumbe-Koboko-24h'!C80,'03.08 Yumbe-Koboko-24h'!C80)</f>
        <v>0.5</v>
      </c>
      <c r="D80" s="49">
        <f>AVERAGE('02.08 Yumbe-Koboko-24h'!D80,'03.08 Yumbe-Koboko-24h'!D80)</f>
        <v>0</v>
      </c>
      <c r="E80" s="49">
        <f>AVERAGE('02.08 Yumbe-Koboko-24h'!E80,'03.08 Yumbe-Koboko-24h'!E80)</f>
        <v>0</v>
      </c>
      <c r="F80" s="49">
        <f>AVERAGE('02.08 Yumbe-Koboko-24h'!F80,'03.08 Yumbe-Koboko-24h'!F80)</f>
        <v>0</v>
      </c>
      <c r="G80" s="49">
        <f>AVERAGE('02.08 Yumbe-Koboko-24h'!G80,'03.08 Yumbe-Koboko-24h'!G80)</f>
        <v>0</v>
      </c>
      <c r="H80" s="49">
        <f>AVERAGE('02.08 Yumbe-Koboko-24h'!H80,'03.08 Yumbe-Koboko-24h'!H80)</f>
        <v>0</v>
      </c>
      <c r="I80" s="49">
        <f>AVERAGE('02.08 Yumbe-Koboko-24h'!I80,'03.08 Yumbe-Koboko-24h'!I80)</f>
        <v>0.5</v>
      </c>
      <c r="J80" s="49">
        <f>AVERAGE('02.08 Yumbe-Koboko-24h'!J80,'03.08 Yumbe-Koboko-24h'!J80)</f>
        <v>0</v>
      </c>
      <c r="K80" s="49">
        <f>AVERAGE('02.08 Yumbe-Koboko-24h'!K80,'03.08 Yumbe-Koboko-24h'!K80)</f>
        <v>0</v>
      </c>
      <c r="L80" s="49">
        <f>AVERAGE('02.08 Yumbe-Koboko-24h'!L80,'03.08 Yumbe-Koboko-24h'!L80)</f>
        <v>0.5</v>
      </c>
      <c r="M80" s="49">
        <f>AVERAGE('02.08 Yumbe-Koboko-24h'!M80,'03.08 Yumbe-Koboko-24h'!M80)</f>
        <v>0.5</v>
      </c>
      <c r="N80" s="49">
        <f>AVERAGE('02.08 Yumbe-Koboko-24h'!N80,'03.08 Yumbe-Koboko-24h'!N80)</f>
        <v>0</v>
      </c>
      <c r="O80" s="15">
        <f t="shared" si="35"/>
        <v>1.5</v>
      </c>
      <c r="P80" s="15">
        <f t="shared" si="36"/>
        <v>2</v>
      </c>
      <c r="R80" s="8"/>
      <c r="T80"/>
    </row>
    <row r="81" spans="2:20" ht="23.1" customHeight="1" x14ac:dyDescent="0.25">
      <c r="B81" s="23" t="s">
        <v>121</v>
      </c>
      <c r="C81" s="49">
        <f>AVERAGE('02.08 Yumbe-Koboko-24h'!C81,'03.08 Yumbe-Koboko-24h'!C81)</f>
        <v>0</v>
      </c>
      <c r="D81" s="49">
        <f>AVERAGE('02.08 Yumbe-Koboko-24h'!D81,'03.08 Yumbe-Koboko-24h'!D81)</f>
        <v>0</v>
      </c>
      <c r="E81" s="49">
        <f>AVERAGE('02.08 Yumbe-Koboko-24h'!E81,'03.08 Yumbe-Koboko-24h'!E81)</f>
        <v>0</v>
      </c>
      <c r="F81" s="49">
        <f>AVERAGE('02.08 Yumbe-Koboko-24h'!F81,'03.08 Yumbe-Koboko-24h'!F81)</f>
        <v>0</v>
      </c>
      <c r="G81" s="49">
        <f>AVERAGE('02.08 Yumbe-Koboko-24h'!G81,'03.08 Yumbe-Koboko-24h'!G81)</f>
        <v>0</v>
      </c>
      <c r="H81" s="49">
        <f>AVERAGE('02.08 Yumbe-Koboko-24h'!H81,'03.08 Yumbe-Koboko-24h'!H81)</f>
        <v>0</v>
      </c>
      <c r="I81" s="49">
        <f>AVERAGE('02.08 Yumbe-Koboko-24h'!I81,'03.08 Yumbe-Koboko-24h'!I81)</f>
        <v>0</v>
      </c>
      <c r="J81" s="49">
        <f>AVERAGE('02.08 Yumbe-Koboko-24h'!J81,'03.08 Yumbe-Koboko-24h'!J81)</f>
        <v>0</v>
      </c>
      <c r="K81" s="49">
        <f>AVERAGE('02.08 Yumbe-Koboko-24h'!K81,'03.08 Yumbe-Koboko-24h'!K81)</f>
        <v>0</v>
      </c>
      <c r="L81" s="49">
        <f>AVERAGE('02.08 Yumbe-Koboko-24h'!L81,'03.08 Yumbe-Koboko-24h'!L81)</f>
        <v>0</v>
      </c>
      <c r="M81" s="49">
        <f>AVERAGE('02.08 Yumbe-Koboko-24h'!M81,'03.08 Yumbe-Koboko-24h'!M81)</f>
        <v>0</v>
      </c>
      <c r="N81" s="49">
        <f>AVERAGE('02.08 Yumbe-Koboko-24h'!N81,'03.08 Yumbe-Koboko-24h'!N81)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AVERAGE('02.08 Yumbe-Koboko-24h'!C82,'03.08 Yumbe-Koboko-24h'!C82)</f>
        <v>0</v>
      </c>
      <c r="D82" s="49">
        <f>AVERAGE('02.08 Yumbe-Koboko-24h'!D82,'03.08 Yumbe-Koboko-24h'!D82)</f>
        <v>0</v>
      </c>
      <c r="E82" s="49">
        <f>AVERAGE('02.08 Yumbe-Koboko-24h'!E82,'03.08 Yumbe-Koboko-24h'!E82)</f>
        <v>0</v>
      </c>
      <c r="F82" s="49">
        <f>AVERAGE('02.08 Yumbe-Koboko-24h'!F82,'03.08 Yumbe-Koboko-24h'!F82)</f>
        <v>0</v>
      </c>
      <c r="G82" s="49">
        <f>AVERAGE('02.08 Yumbe-Koboko-24h'!G82,'03.08 Yumbe-Koboko-24h'!G82)</f>
        <v>0.5</v>
      </c>
      <c r="H82" s="49">
        <f>AVERAGE('02.08 Yumbe-Koboko-24h'!H82,'03.08 Yumbe-Koboko-24h'!H82)</f>
        <v>0</v>
      </c>
      <c r="I82" s="49">
        <f>AVERAGE('02.08 Yumbe-Koboko-24h'!I82,'03.08 Yumbe-Koboko-24h'!I82)</f>
        <v>0</v>
      </c>
      <c r="J82" s="49">
        <f>AVERAGE('02.08 Yumbe-Koboko-24h'!J82,'03.08 Yumbe-Koboko-24h'!J82)</f>
        <v>0</v>
      </c>
      <c r="K82" s="49">
        <f>AVERAGE('02.08 Yumbe-Koboko-24h'!K82,'03.08 Yumbe-Koboko-24h'!K82)</f>
        <v>0</v>
      </c>
      <c r="L82" s="49">
        <f>AVERAGE('02.08 Yumbe-Koboko-24h'!L82,'03.08 Yumbe-Koboko-24h'!L82)</f>
        <v>0</v>
      </c>
      <c r="M82" s="49">
        <f>AVERAGE('02.08 Yumbe-Koboko-24h'!M82,'03.08 Yumbe-Koboko-24h'!M82)</f>
        <v>0.5</v>
      </c>
      <c r="N82" s="49">
        <f>AVERAGE('02.08 Yumbe-Koboko-24h'!N82,'03.08 Yumbe-Koboko-24h'!N82)</f>
        <v>0</v>
      </c>
      <c r="O82" s="15">
        <f t="shared" si="35"/>
        <v>0.5</v>
      </c>
      <c r="P82" s="15">
        <f t="shared" si="36"/>
        <v>1</v>
      </c>
      <c r="R82" s="8"/>
      <c r="T82"/>
    </row>
    <row r="83" spans="2:20" ht="23.1" customHeight="1" x14ac:dyDescent="0.25">
      <c r="B83" s="23" t="s">
        <v>123</v>
      </c>
      <c r="C83" s="49">
        <f>AVERAGE('02.08 Yumbe-Koboko-24h'!C83,'03.08 Yumbe-Koboko-24h'!C83)</f>
        <v>0</v>
      </c>
      <c r="D83" s="49">
        <f>AVERAGE('02.08 Yumbe-Koboko-24h'!D83,'03.08 Yumbe-Koboko-24h'!D83)</f>
        <v>0</v>
      </c>
      <c r="E83" s="49">
        <f>AVERAGE('02.08 Yumbe-Koboko-24h'!E83,'03.08 Yumbe-Koboko-24h'!E83)</f>
        <v>0.5</v>
      </c>
      <c r="F83" s="49">
        <f>AVERAGE('02.08 Yumbe-Koboko-24h'!F83,'03.08 Yumbe-Koboko-24h'!F83)</f>
        <v>0</v>
      </c>
      <c r="G83" s="49">
        <f>AVERAGE('02.08 Yumbe-Koboko-24h'!G83,'03.08 Yumbe-Koboko-24h'!G83)</f>
        <v>0</v>
      </c>
      <c r="H83" s="49">
        <f>AVERAGE('02.08 Yumbe-Koboko-24h'!H83,'03.08 Yumbe-Koboko-24h'!H83)</f>
        <v>0</v>
      </c>
      <c r="I83" s="49">
        <f>AVERAGE('02.08 Yumbe-Koboko-24h'!I83,'03.08 Yumbe-Koboko-24h'!I83)</f>
        <v>0.5</v>
      </c>
      <c r="J83" s="49">
        <f>AVERAGE('02.08 Yumbe-Koboko-24h'!J83,'03.08 Yumbe-Koboko-24h'!J83)</f>
        <v>0</v>
      </c>
      <c r="K83" s="49">
        <f>AVERAGE('02.08 Yumbe-Koboko-24h'!K83,'03.08 Yumbe-Koboko-24h'!K83)</f>
        <v>0</v>
      </c>
      <c r="L83" s="49">
        <f>AVERAGE('02.08 Yumbe-Koboko-24h'!L83,'03.08 Yumbe-Koboko-24h'!L83)</f>
        <v>0</v>
      </c>
      <c r="M83" s="49">
        <f>AVERAGE('02.08 Yumbe-Koboko-24h'!M83,'03.08 Yumbe-Koboko-24h'!M83)</f>
        <v>0</v>
      </c>
      <c r="N83" s="49">
        <f>AVERAGE('02.08 Yumbe-Koboko-24h'!N83,'03.08 Yumbe-Koboko-24h'!N83)</f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25" t="s">
        <v>124</v>
      </c>
      <c r="C84" s="49">
        <f>AVERAGE('02.08 Yumbe-Koboko-24h'!C84,'03.08 Yumbe-Koboko-24h'!C84)</f>
        <v>0</v>
      </c>
      <c r="D84" s="49">
        <f>AVERAGE('02.08 Yumbe-Koboko-24h'!D84,'03.08 Yumbe-Koboko-24h'!D84)</f>
        <v>0</v>
      </c>
      <c r="E84" s="49">
        <f>AVERAGE('02.08 Yumbe-Koboko-24h'!E84,'03.08 Yumbe-Koboko-24h'!E84)</f>
        <v>0</v>
      </c>
      <c r="F84" s="49">
        <f>AVERAGE('02.08 Yumbe-Koboko-24h'!F84,'03.08 Yumbe-Koboko-24h'!F84)</f>
        <v>0</v>
      </c>
      <c r="G84" s="49">
        <f>AVERAGE('02.08 Yumbe-Koboko-24h'!G84,'03.08 Yumbe-Koboko-24h'!G84)</f>
        <v>0</v>
      </c>
      <c r="H84" s="49">
        <f>AVERAGE('02.08 Yumbe-Koboko-24h'!H84,'03.08 Yumbe-Koboko-24h'!H84)</f>
        <v>0</v>
      </c>
      <c r="I84" s="49">
        <f>AVERAGE('02.08 Yumbe-Koboko-24h'!I84,'03.08 Yumbe-Koboko-24h'!I84)</f>
        <v>0.5</v>
      </c>
      <c r="J84" s="49">
        <f>AVERAGE('02.08 Yumbe-Koboko-24h'!J84,'03.08 Yumbe-Koboko-24h'!J84)</f>
        <v>0</v>
      </c>
      <c r="K84" s="49">
        <f>AVERAGE('02.08 Yumbe-Koboko-24h'!K84,'03.08 Yumbe-Koboko-24h'!K84)</f>
        <v>0</v>
      </c>
      <c r="L84" s="49">
        <f>AVERAGE('02.08 Yumbe-Koboko-24h'!L84,'03.08 Yumbe-Koboko-24h'!L84)</f>
        <v>0</v>
      </c>
      <c r="M84" s="49">
        <f>AVERAGE('02.08 Yumbe-Koboko-24h'!M84,'03.08 Yumbe-Koboko-24h'!M84)</f>
        <v>0</v>
      </c>
      <c r="N84" s="49">
        <f>AVERAGE('02.08 Yumbe-Koboko-24h'!N84,'03.08 Yumbe-Koboko-24h'!N84)</f>
        <v>0</v>
      </c>
      <c r="O84" s="15">
        <f t="shared" si="35"/>
        <v>0.5</v>
      </c>
      <c r="P84" s="15">
        <f t="shared" si="36"/>
        <v>0.5</v>
      </c>
      <c r="R84" s="8"/>
      <c r="T84"/>
    </row>
    <row r="85" spans="2:20" ht="23.1" customHeight="1" x14ac:dyDescent="0.25">
      <c r="B85" s="23" t="s">
        <v>125</v>
      </c>
      <c r="C85" s="49">
        <f>AVERAGE('02.08 Yumbe-Koboko-24h'!C85,'03.08 Yumbe-Koboko-24h'!C85)</f>
        <v>0</v>
      </c>
      <c r="D85" s="49">
        <f>AVERAGE('02.08 Yumbe-Koboko-24h'!D85,'03.08 Yumbe-Koboko-24h'!D85)</f>
        <v>0</v>
      </c>
      <c r="E85" s="49">
        <f>AVERAGE('02.08 Yumbe-Koboko-24h'!E85,'03.08 Yumbe-Koboko-24h'!E85)</f>
        <v>0</v>
      </c>
      <c r="F85" s="49">
        <f>AVERAGE('02.08 Yumbe-Koboko-24h'!F85,'03.08 Yumbe-Koboko-24h'!F85)</f>
        <v>0</v>
      </c>
      <c r="G85" s="49">
        <f>AVERAGE('02.08 Yumbe-Koboko-24h'!G85,'03.08 Yumbe-Koboko-24h'!G85)</f>
        <v>0</v>
      </c>
      <c r="H85" s="49">
        <f>AVERAGE('02.08 Yumbe-Koboko-24h'!H85,'03.08 Yumbe-Koboko-24h'!H85)</f>
        <v>0</v>
      </c>
      <c r="I85" s="49">
        <f>AVERAGE('02.08 Yumbe-Koboko-24h'!I85,'03.08 Yumbe-Koboko-24h'!I85)</f>
        <v>0.5</v>
      </c>
      <c r="J85" s="49">
        <f>AVERAGE('02.08 Yumbe-Koboko-24h'!J85,'03.08 Yumbe-Koboko-24h'!J85)</f>
        <v>0</v>
      </c>
      <c r="K85" s="49">
        <f>AVERAGE('02.08 Yumbe-Koboko-24h'!K85,'03.08 Yumbe-Koboko-24h'!K85)</f>
        <v>0</v>
      </c>
      <c r="L85" s="49">
        <f>AVERAGE('02.08 Yumbe-Koboko-24h'!L85,'03.08 Yumbe-Koboko-24h'!L85)</f>
        <v>0</v>
      </c>
      <c r="M85" s="49">
        <f>AVERAGE('02.08 Yumbe-Koboko-24h'!M85,'03.08 Yumbe-Koboko-24h'!M85)</f>
        <v>0</v>
      </c>
      <c r="N85" s="49">
        <f>AVERAGE('02.08 Yumbe-Koboko-24h'!N85,'03.08 Yumbe-Koboko-24h'!N85)</f>
        <v>0</v>
      </c>
      <c r="O85" s="15">
        <f t="shared" si="35"/>
        <v>0.5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AVERAGE('02.08 Yumbe-Koboko-24h'!C86,'03.08 Yumbe-Koboko-24h'!C86)</f>
        <v>0</v>
      </c>
      <c r="D86" s="49">
        <f>AVERAGE('02.08 Yumbe-Koboko-24h'!D86,'03.08 Yumbe-Koboko-24h'!D86)</f>
        <v>0</v>
      </c>
      <c r="E86" s="49">
        <f>AVERAGE('02.08 Yumbe-Koboko-24h'!E86,'03.08 Yumbe-Koboko-24h'!E86)</f>
        <v>0</v>
      </c>
      <c r="F86" s="49">
        <f>AVERAGE('02.08 Yumbe-Koboko-24h'!F86,'03.08 Yumbe-Koboko-24h'!F86)</f>
        <v>0</v>
      </c>
      <c r="G86" s="49">
        <f>AVERAGE('02.08 Yumbe-Koboko-24h'!G86,'03.08 Yumbe-Koboko-24h'!G86)</f>
        <v>0</v>
      </c>
      <c r="H86" s="49">
        <f>AVERAGE('02.08 Yumbe-Koboko-24h'!H86,'03.08 Yumbe-Koboko-24h'!H86)</f>
        <v>0</v>
      </c>
      <c r="I86" s="49">
        <f>AVERAGE('02.08 Yumbe-Koboko-24h'!I86,'03.08 Yumbe-Koboko-24h'!I86)</f>
        <v>0</v>
      </c>
      <c r="J86" s="49">
        <f>AVERAGE('02.08 Yumbe-Koboko-24h'!J86,'03.08 Yumbe-Koboko-24h'!J86)</f>
        <v>0</v>
      </c>
      <c r="K86" s="49">
        <f>AVERAGE('02.08 Yumbe-Koboko-24h'!K86,'03.08 Yumbe-Koboko-24h'!K86)</f>
        <v>0</v>
      </c>
      <c r="L86" s="49">
        <f>AVERAGE('02.08 Yumbe-Koboko-24h'!L86,'03.08 Yumbe-Koboko-24h'!L86)</f>
        <v>0</v>
      </c>
      <c r="M86" s="49">
        <f>AVERAGE('02.08 Yumbe-Koboko-24h'!M86,'03.08 Yumbe-Koboko-24h'!M86)</f>
        <v>0</v>
      </c>
      <c r="N86" s="49">
        <f>AVERAGE('02.08 Yumbe-Koboko-24h'!N86,'03.08 Yumbe-Koboko-24h'!N86)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AVERAGE('02.08 Yumbe-Koboko-24h'!C87,'03.08 Yumbe-Koboko-24h'!C87)</f>
        <v>0</v>
      </c>
      <c r="D87" s="49">
        <f>AVERAGE('02.08 Yumbe-Koboko-24h'!D87,'03.08 Yumbe-Koboko-24h'!D87)</f>
        <v>0</v>
      </c>
      <c r="E87" s="49">
        <f>AVERAGE('02.08 Yumbe-Koboko-24h'!E87,'03.08 Yumbe-Koboko-24h'!E87)</f>
        <v>0</v>
      </c>
      <c r="F87" s="49">
        <f>AVERAGE('02.08 Yumbe-Koboko-24h'!F87,'03.08 Yumbe-Koboko-24h'!F87)</f>
        <v>0</v>
      </c>
      <c r="G87" s="49">
        <f>AVERAGE('02.08 Yumbe-Koboko-24h'!G87,'03.08 Yumbe-Koboko-24h'!G87)</f>
        <v>0</v>
      </c>
      <c r="H87" s="49">
        <f>AVERAGE('02.08 Yumbe-Koboko-24h'!H87,'03.08 Yumbe-Koboko-24h'!H87)</f>
        <v>0</v>
      </c>
      <c r="I87" s="49">
        <f>AVERAGE('02.08 Yumbe-Koboko-24h'!I87,'03.08 Yumbe-Koboko-24h'!I87)</f>
        <v>0</v>
      </c>
      <c r="J87" s="49">
        <f>AVERAGE('02.08 Yumbe-Koboko-24h'!J87,'03.08 Yumbe-Koboko-24h'!J87)</f>
        <v>0</v>
      </c>
      <c r="K87" s="49">
        <f>AVERAGE('02.08 Yumbe-Koboko-24h'!K87,'03.08 Yumbe-Koboko-24h'!K87)</f>
        <v>0</v>
      </c>
      <c r="L87" s="49">
        <f>AVERAGE('02.08 Yumbe-Koboko-24h'!L87,'03.08 Yumbe-Koboko-24h'!L87)</f>
        <v>0</v>
      </c>
      <c r="M87" s="49">
        <f>AVERAGE('02.08 Yumbe-Koboko-24h'!M87,'03.08 Yumbe-Koboko-24h'!M87)</f>
        <v>0</v>
      </c>
      <c r="N87" s="49">
        <f>AVERAGE('02.08 Yumbe-Koboko-24h'!N87,'03.08 Yumbe-Koboko-24h'!N87)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AVERAGE('02.08 Yumbe-Koboko-24h'!C88,'03.08 Yumbe-Koboko-24h'!C88)</f>
        <v>0</v>
      </c>
      <c r="D88" s="49">
        <f>AVERAGE('02.08 Yumbe-Koboko-24h'!D88,'03.08 Yumbe-Koboko-24h'!D88)</f>
        <v>0</v>
      </c>
      <c r="E88" s="49">
        <f>AVERAGE('02.08 Yumbe-Koboko-24h'!E88,'03.08 Yumbe-Koboko-24h'!E88)</f>
        <v>0</v>
      </c>
      <c r="F88" s="49">
        <f>AVERAGE('02.08 Yumbe-Koboko-24h'!F88,'03.08 Yumbe-Koboko-24h'!F88)</f>
        <v>0</v>
      </c>
      <c r="G88" s="49">
        <f>AVERAGE('02.08 Yumbe-Koboko-24h'!G88,'03.08 Yumbe-Koboko-24h'!G88)</f>
        <v>0</v>
      </c>
      <c r="H88" s="49">
        <f>AVERAGE('02.08 Yumbe-Koboko-24h'!H88,'03.08 Yumbe-Koboko-24h'!H88)</f>
        <v>0</v>
      </c>
      <c r="I88" s="49">
        <f>AVERAGE('02.08 Yumbe-Koboko-24h'!I88,'03.08 Yumbe-Koboko-24h'!I88)</f>
        <v>0</v>
      </c>
      <c r="J88" s="49">
        <f>AVERAGE('02.08 Yumbe-Koboko-24h'!J88,'03.08 Yumbe-Koboko-24h'!J88)</f>
        <v>0</v>
      </c>
      <c r="K88" s="49">
        <f>AVERAGE('02.08 Yumbe-Koboko-24h'!K88,'03.08 Yumbe-Koboko-24h'!K88)</f>
        <v>0</v>
      </c>
      <c r="L88" s="49">
        <f>AVERAGE('02.08 Yumbe-Koboko-24h'!L88,'03.08 Yumbe-Koboko-24h'!L88)</f>
        <v>0</v>
      </c>
      <c r="M88" s="49">
        <f>AVERAGE('02.08 Yumbe-Koboko-24h'!M88,'03.08 Yumbe-Koboko-24h'!M88)</f>
        <v>0</v>
      </c>
      <c r="N88" s="49">
        <f>AVERAGE('02.08 Yumbe-Koboko-24h'!N88,'03.08 Yumbe-Koboko-24h'!N88)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AVERAGE('02.08 Yumbe-Koboko-24h'!C89,'03.08 Yumbe-Koboko-24h'!C89)</f>
        <v>0</v>
      </c>
      <c r="D89" s="49">
        <f>AVERAGE('02.08 Yumbe-Koboko-24h'!D89,'03.08 Yumbe-Koboko-24h'!D89)</f>
        <v>0</v>
      </c>
      <c r="E89" s="49">
        <f>AVERAGE('02.08 Yumbe-Koboko-24h'!E89,'03.08 Yumbe-Koboko-24h'!E89)</f>
        <v>0</v>
      </c>
      <c r="F89" s="49">
        <f>AVERAGE('02.08 Yumbe-Koboko-24h'!F89,'03.08 Yumbe-Koboko-24h'!F89)</f>
        <v>0</v>
      </c>
      <c r="G89" s="49">
        <f>AVERAGE('02.08 Yumbe-Koboko-24h'!G89,'03.08 Yumbe-Koboko-24h'!G89)</f>
        <v>0</v>
      </c>
      <c r="H89" s="49">
        <f>AVERAGE('02.08 Yumbe-Koboko-24h'!H89,'03.08 Yumbe-Koboko-24h'!H89)</f>
        <v>0</v>
      </c>
      <c r="I89" s="49">
        <f>AVERAGE('02.08 Yumbe-Koboko-24h'!I89,'03.08 Yumbe-Koboko-24h'!I89)</f>
        <v>0</v>
      </c>
      <c r="J89" s="49">
        <f>AVERAGE('02.08 Yumbe-Koboko-24h'!J89,'03.08 Yumbe-Koboko-24h'!J89)</f>
        <v>0</v>
      </c>
      <c r="K89" s="49">
        <f>AVERAGE('02.08 Yumbe-Koboko-24h'!K89,'03.08 Yumbe-Koboko-24h'!K89)</f>
        <v>0</v>
      </c>
      <c r="L89" s="49">
        <f>AVERAGE('02.08 Yumbe-Koboko-24h'!L89,'03.08 Yumbe-Koboko-24h'!L89)</f>
        <v>0</v>
      </c>
      <c r="M89" s="49">
        <f>AVERAGE('02.08 Yumbe-Koboko-24h'!M89,'03.08 Yumbe-Koboko-24h'!M89)</f>
        <v>0</v>
      </c>
      <c r="N89" s="49">
        <f>AVERAGE('02.08 Yumbe-Koboko-24h'!N89,'03.08 Yumbe-Koboko-24h'!N89)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AVERAGE('02.08 Yumbe-Koboko-24h'!C90,'03.08 Yumbe-Koboko-24h'!C90)</f>
        <v>0</v>
      </c>
      <c r="D90" s="49">
        <f>AVERAGE('02.08 Yumbe-Koboko-24h'!D90,'03.08 Yumbe-Koboko-24h'!D90)</f>
        <v>0</v>
      </c>
      <c r="E90" s="49">
        <f>AVERAGE('02.08 Yumbe-Koboko-24h'!E90,'03.08 Yumbe-Koboko-24h'!E90)</f>
        <v>0</v>
      </c>
      <c r="F90" s="49">
        <f>AVERAGE('02.08 Yumbe-Koboko-24h'!F90,'03.08 Yumbe-Koboko-24h'!F90)</f>
        <v>0</v>
      </c>
      <c r="G90" s="49">
        <f>AVERAGE('02.08 Yumbe-Koboko-24h'!G90,'03.08 Yumbe-Koboko-24h'!G90)</f>
        <v>0</v>
      </c>
      <c r="H90" s="49">
        <f>AVERAGE('02.08 Yumbe-Koboko-24h'!H90,'03.08 Yumbe-Koboko-24h'!H90)</f>
        <v>0</v>
      </c>
      <c r="I90" s="49">
        <f>AVERAGE('02.08 Yumbe-Koboko-24h'!I90,'03.08 Yumbe-Koboko-24h'!I90)</f>
        <v>0</v>
      </c>
      <c r="J90" s="49">
        <f>AVERAGE('02.08 Yumbe-Koboko-24h'!J90,'03.08 Yumbe-Koboko-24h'!J90)</f>
        <v>0</v>
      </c>
      <c r="K90" s="49">
        <f>AVERAGE('02.08 Yumbe-Koboko-24h'!K90,'03.08 Yumbe-Koboko-24h'!K90)</f>
        <v>0</v>
      </c>
      <c r="L90" s="49">
        <f>AVERAGE('02.08 Yumbe-Koboko-24h'!L90,'03.08 Yumbe-Koboko-24h'!L90)</f>
        <v>0</v>
      </c>
      <c r="M90" s="49">
        <f>AVERAGE('02.08 Yumbe-Koboko-24h'!M90,'03.08 Yumbe-Koboko-24h'!M90)</f>
        <v>0</v>
      </c>
      <c r="N90" s="49">
        <f>AVERAGE('02.08 Yumbe-Koboko-24h'!N90,'03.08 Yumbe-Koboko-24h'!N90)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AVERAGE('02.08 Yumbe-Koboko-24h'!C91,'03.08 Yumbe-Koboko-24h'!C91)</f>
        <v>0</v>
      </c>
      <c r="D91" s="49">
        <f>AVERAGE('02.08 Yumbe-Koboko-24h'!D91,'03.08 Yumbe-Koboko-24h'!D91)</f>
        <v>0</v>
      </c>
      <c r="E91" s="49">
        <f>AVERAGE('02.08 Yumbe-Koboko-24h'!E91,'03.08 Yumbe-Koboko-24h'!E91)</f>
        <v>0</v>
      </c>
      <c r="F91" s="49">
        <f>AVERAGE('02.08 Yumbe-Koboko-24h'!F91,'03.08 Yumbe-Koboko-24h'!F91)</f>
        <v>0</v>
      </c>
      <c r="G91" s="49">
        <f>AVERAGE('02.08 Yumbe-Koboko-24h'!G91,'03.08 Yumbe-Koboko-24h'!G91)</f>
        <v>0</v>
      </c>
      <c r="H91" s="49">
        <f>AVERAGE('02.08 Yumbe-Koboko-24h'!H91,'03.08 Yumbe-Koboko-24h'!H91)</f>
        <v>0</v>
      </c>
      <c r="I91" s="49">
        <f>AVERAGE('02.08 Yumbe-Koboko-24h'!I91,'03.08 Yumbe-Koboko-24h'!I91)</f>
        <v>0</v>
      </c>
      <c r="J91" s="49">
        <f>AVERAGE('02.08 Yumbe-Koboko-24h'!J91,'03.08 Yumbe-Koboko-24h'!J91)</f>
        <v>0</v>
      </c>
      <c r="K91" s="49">
        <f>AVERAGE('02.08 Yumbe-Koboko-24h'!K91,'03.08 Yumbe-Koboko-24h'!K91)</f>
        <v>0</v>
      </c>
      <c r="L91" s="49">
        <f>AVERAGE('02.08 Yumbe-Koboko-24h'!L91,'03.08 Yumbe-Koboko-24h'!L91)</f>
        <v>0</v>
      </c>
      <c r="M91" s="49">
        <f>AVERAGE('02.08 Yumbe-Koboko-24h'!M91,'03.08 Yumbe-Koboko-24h'!M91)</f>
        <v>0</v>
      </c>
      <c r="N91" s="49">
        <f>AVERAGE('02.08 Yumbe-Koboko-24h'!N91,'03.08 Yumbe-Koboko-24h'!N91)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AVERAGE('02.08 Yumbe-Koboko-24h'!C92,'03.08 Yumbe-Koboko-24h'!C92)</f>
        <v>0</v>
      </c>
      <c r="D92" s="49">
        <f>AVERAGE('02.08 Yumbe-Koboko-24h'!D92,'03.08 Yumbe-Koboko-24h'!D92)</f>
        <v>0</v>
      </c>
      <c r="E92" s="49">
        <f>AVERAGE('02.08 Yumbe-Koboko-24h'!E92,'03.08 Yumbe-Koboko-24h'!E92)</f>
        <v>0</v>
      </c>
      <c r="F92" s="49">
        <f>AVERAGE('02.08 Yumbe-Koboko-24h'!F92,'03.08 Yumbe-Koboko-24h'!F92)</f>
        <v>0</v>
      </c>
      <c r="G92" s="49">
        <f>AVERAGE('02.08 Yumbe-Koboko-24h'!G92,'03.08 Yumbe-Koboko-24h'!G92)</f>
        <v>0</v>
      </c>
      <c r="H92" s="49">
        <f>AVERAGE('02.08 Yumbe-Koboko-24h'!H92,'03.08 Yumbe-Koboko-24h'!H92)</f>
        <v>0</v>
      </c>
      <c r="I92" s="49">
        <f>AVERAGE('02.08 Yumbe-Koboko-24h'!I92,'03.08 Yumbe-Koboko-24h'!I92)</f>
        <v>0</v>
      </c>
      <c r="J92" s="49">
        <f>AVERAGE('02.08 Yumbe-Koboko-24h'!J92,'03.08 Yumbe-Koboko-24h'!J92)</f>
        <v>0</v>
      </c>
      <c r="K92" s="49">
        <f>AVERAGE('02.08 Yumbe-Koboko-24h'!K92,'03.08 Yumbe-Koboko-24h'!K92)</f>
        <v>0</v>
      </c>
      <c r="L92" s="49">
        <f>AVERAGE('02.08 Yumbe-Koboko-24h'!L92,'03.08 Yumbe-Koboko-24h'!L92)</f>
        <v>0</v>
      </c>
      <c r="M92" s="49">
        <f>AVERAGE('02.08 Yumbe-Koboko-24h'!M92,'03.08 Yumbe-Koboko-24h'!M92)</f>
        <v>0</v>
      </c>
      <c r="N92" s="49">
        <f>AVERAGE('02.08 Yumbe-Koboko-24h'!N92,'03.08 Yumbe-Koboko-24h'!N92)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AVERAGE('02.08 Yumbe-Koboko-24h'!C93,'03.08 Yumbe-Koboko-24h'!C93)</f>
        <v>0</v>
      </c>
      <c r="D93" s="49">
        <f>AVERAGE('02.08 Yumbe-Koboko-24h'!D93,'03.08 Yumbe-Koboko-24h'!D93)</f>
        <v>0</v>
      </c>
      <c r="E93" s="49">
        <f>AVERAGE('02.08 Yumbe-Koboko-24h'!E93,'03.08 Yumbe-Koboko-24h'!E93)</f>
        <v>0.5</v>
      </c>
      <c r="F93" s="49">
        <f>AVERAGE('02.08 Yumbe-Koboko-24h'!F93,'03.08 Yumbe-Koboko-24h'!F93)</f>
        <v>0</v>
      </c>
      <c r="G93" s="49">
        <f>AVERAGE('02.08 Yumbe-Koboko-24h'!G93,'03.08 Yumbe-Koboko-24h'!G93)</f>
        <v>0</v>
      </c>
      <c r="H93" s="49">
        <f>AVERAGE('02.08 Yumbe-Koboko-24h'!H93,'03.08 Yumbe-Koboko-24h'!H93)</f>
        <v>0</v>
      </c>
      <c r="I93" s="49">
        <f>AVERAGE('02.08 Yumbe-Koboko-24h'!I93,'03.08 Yumbe-Koboko-24h'!I93)</f>
        <v>0</v>
      </c>
      <c r="J93" s="49">
        <f>AVERAGE('02.08 Yumbe-Koboko-24h'!J93,'03.08 Yumbe-Koboko-24h'!J93)</f>
        <v>0</v>
      </c>
      <c r="K93" s="49">
        <f>AVERAGE('02.08 Yumbe-Koboko-24h'!K93,'03.08 Yumbe-Koboko-24h'!K93)</f>
        <v>0</v>
      </c>
      <c r="L93" s="49">
        <f>AVERAGE('02.08 Yumbe-Koboko-24h'!L93,'03.08 Yumbe-Koboko-24h'!L93)</f>
        <v>0</v>
      </c>
      <c r="M93" s="49">
        <f>AVERAGE('02.08 Yumbe-Koboko-24h'!M93,'03.08 Yumbe-Koboko-24h'!M93)</f>
        <v>0</v>
      </c>
      <c r="N93" s="49">
        <f>AVERAGE('02.08 Yumbe-Koboko-24h'!N93,'03.08 Yumbe-Koboko-24h'!N93)</f>
        <v>0</v>
      </c>
      <c r="O93" s="15">
        <f t="shared" si="35"/>
        <v>0.5</v>
      </c>
      <c r="P93" s="15">
        <f t="shared" si="36"/>
        <v>0.5</v>
      </c>
      <c r="R93" s="8"/>
      <c r="T93"/>
    </row>
    <row r="94" spans="2:20" ht="23.1" customHeight="1" x14ac:dyDescent="0.25">
      <c r="B94" s="24" t="s">
        <v>134</v>
      </c>
      <c r="C94" s="49">
        <f>AVERAGE('02.08 Yumbe-Koboko-24h'!C94,'03.08 Yumbe-Koboko-24h'!C94)</f>
        <v>0</v>
      </c>
      <c r="D94" s="49">
        <f>AVERAGE('02.08 Yumbe-Koboko-24h'!D94,'03.08 Yumbe-Koboko-24h'!D94)</f>
        <v>0</v>
      </c>
      <c r="E94" s="49">
        <f>AVERAGE('02.08 Yumbe-Koboko-24h'!E94,'03.08 Yumbe-Koboko-24h'!E94)</f>
        <v>0</v>
      </c>
      <c r="F94" s="49">
        <f>AVERAGE('02.08 Yumbe-Koboko-24h'!F94,'03.08 Yumbe-Koboko-24h'!F94)</f>
        <v>0</v>
      </c>
      <c r="G94" s="49">
        <f>AVERAGE('02.08 Yumbe-Koboko-24h'!G94,'03.08 Yumbe-Koboko-24h'!G94)</f>
        <v>0</v>
      </c>
      <c r="H94" s="49">
        <f>AVERAGE('02.08 Yumbe-Koboko-24h'!H94,'03.08 Yumbe-Koboko-24h'!H94)</f>
        <v>0</v>
      </c>
      <c r="I94" s="49">
        <f>AVERAGE('02.08 Yumbe-Koboko-24h'!I94,'03.08 Yumbe-Koboko-24h'!I94)</f>
        <v>0</v>
      </c>
      <c r="J94" s="49">
        <f>AVERAGE('02.08 Yumbe-Koboko-24h'!J94,'03.08 Yumbe-Koboko-24h'!J94)</f>
        <v>0</v>
      </c>
      <c r="K94" s="49">
        <f>AVERAGE('02.08 Yumbe-Koboko-24h'!K94,'03.08 Yumbe-Koboko-24h'!K94)</f>
        <v>0</v>
      </c>
      <c r="L94" s="49">
        <f>AVERAGE('02.08 Yumbe-Koboko-24h'!L94,'03.08 Yumbe-Koboko-24h'!L94)</f>
        <v>0</v>
      </c>
      <c r="M94" s="49">
        <f>AVERAGE('02.08 Yumbe-Koboko-24h'!M94,'03.08 Yumbe-Koboko-24h'!M94)</f>
        <v>0</v>
      </c>
      <c r="N94" s="49">
        <f>AVERAGE('02.08 Yumbe-Koboko-24h'!N94,'03.08 Yumbe-Koboko-24h'!N94)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AVERAGE('02.08 Yumbe-Koboko-24h'!C95,'03.08 Yumbe-Koboko-24h'!C95)</f>
        <v>0</v>
      </c>
      <c r="D95" s="49">
        <f>AVERAGE('02.08 Yumbe-Koboko-24h'!D95,'03.08 Yumbe-Koboko-24h'!D95)</f>
        <v>0</v>
      </c>
      <c r="E95" s="49">
        <f>AVERAGE('02.08 Yumbe-Koboko-24h'!E95,'03.08 Yumbe-Koboko-24h'!E95)</f>
        <v>0</v>
      </c>
      <c r="F95" s="49">
        <f>AVERAGE('02.08 Yumbe-Koboko-24h'!F95,'03.08 Yumbe-Koboko-24h'!F95)</f>
        <v>0</v>
      </c>
      <c r="G95" s="49">
        <f>AVERAGE('02.08 Yumbe-Koboko-24h'!G95,'03.08 Yumbe-Koboko-24h'!G95)</f>
        <v>0</v>
      </c>
      <c r="H95" s="49">
        <f>AVERAGE('02.08 Yumbe-Koboko-24h'!H95,'03.08 Yumbe-Koboko-24h'!H95)</f>
        <v>0</v>
      </c>
      <c r="I95" s="49">
        <f>AVERAGE('02.08 Yumbe-Koboko-24h'!I95,'03.08 Yumbe-Koboko-24h'!I95)</f>
        <v>0</v>
      </c>
      <c r="J95" s="49">
        <f>AVERAGE('02.08 Yumbe-Koboko-24h'!J95,'03.08 Yumbe-Koboko-24h'!J95)</f>
        <v>0</v>
      </c>
      <c r="K95" s="49">
        <f>AVERAGE('02.08 Yumbe-Koboko-24h'!K95,'03.08 Yumbe-Koboko-24h'!K95)</f>
        <v>0</v>
      </c>
      <c r="L95" s="49">
        <f>AVERAGE('02.08 Yumbe-Koboko-24h'!L95,'03.08 Yumbe-Koboko-24h'!L95)</f>
        <v>0</v>
      </c>
      <c r="M95" s="49">
        <f>AVERAGE('02.08 Yumbe-Koboko-24h'!M95,'03.08 Yumbe-Koboko-24h'!M95)</f>
        <v>0</v>
      </c>
      <c r="N95" s="49">
        <f>AVERAGE('02.08 Yumbe-Koboko-24h'!N95,'03.08 Yumbe-Koboko-24h'!N95)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AVERAGE('02.08 Yumbe-Koboko-24h'!C96,'03.08 Yumbe-Koboko-24h'!C96)</f>
        <v>0</v>
      </c>
      <c r="D96" s="49">
        <f>AVERAGE('02.08 Yumbe-Koboko-24h'!D96,'03.08 Yumbe-Koboko-24h'!D96)</f>
        <v>0</v>
      </c>
      <c r="E96" s="49">
        <f>AVERAGE('02.08 Yumbe-Koboko-24h'!E96,'03.08 Yumbe-Koboko-24h'!E96)</f>
        <v>0</v>
      </c>
      <c r="F96" s="49">
        <f>AVERAGE('02.08 Yumbe-Koboko-24h'!F96,'03.08 Yumbe-Koboko-24h'!F96)</f>
        <v>0</v>
      </c>
      <c r="G96" s="49">
        <f>AVERAGE('02.08 Yumbe-Koboko-24h'!G96,'03.08 Yumbe-Koboko-24h'!G96)</f>
        <v>0</v>
      </c>
      <c r="H96" s="49">
        <f>AVERAGE('02.08 Yumbe-Koboko-24h'!H96,'03.08 Yumbe-Koboko-24h'!H96)</f>
        <v>0</v>
      </c>
      <c r="I96" s="49">
        <f>AVERAGE('02.08 Yumbe-Koboko-24h'!I96,'03.08 Yumbe-Koboko-24h'!I96)</f>
        <v>0</v>
      </c>
      <c r="J96" s="49">
        <f>AVERAGE('02.08 Yumbe-Koboko-24h'!J96,'03.08 Yumbe-Koboko-24h'!J96)</f>
        <v>0</v>
      </c>
      <c r="K96" s="49">
        <f>AVERAGE('02.08 Yumbe-Koboko-24h'!K96,'03.08 Yumbe-Koboko-24h'!K96)</f>
        <v>0</v>
      </c>
      <c r="L96" s="49">
        <f>AVERAGE('02.08 Yumbe-Koboko-24h'!L96,'03.08 Yumbe-Koboko-24h'!L96)</f>
        <v>0</v>
      </c>
      <c r="M96" s="49">
        <f>AVERAGE('02.08 Yumbe-Koboko-24h'!M96,'03.08 Yumbe-Koboko-24h'!M96)</f>
        <v>0</v>
      </c>
      <c r="N96" s="49">
        <f>AVERAGE('02.08 Yumbe-Koboko-24h'!N96,'03.08 Yumbe-Koboko-24h'!N96)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AVERAGE('02.08 Yumbe-Koboko-24h'!C97,'03.08 Yumbe-Koboko-24h'!C97)</f>
        <v>0</v>
      </c>
      <c r="D97" s="49">
        <f>AVERAGE('02.08 Yumbe-Koboko-24h'!D97,'03.08 Yumbe-Koboko-24h'!D97)</f>
        <v>0</v>
      </c>
      <c r="E97" s="49">
        <f>AVERAGE('02.08 Yumbe-Koboko-24h'!E97,'03.08 Yumbe-Koboko-24h'!E97)</f>
        <v>0</v>
      </c>
      <c r="F97" s="49">
        <f>AVERAGE('02.08 Yumbe-Koboko-24h'!F97,'03.08 Yumbe-Koboko-24h'!F97)</f>
        <v>0</v>
      </c>
      <c r="G97" s="49">
        <f>AVERAGE('02.08 Yumbe-Koboko-24h'!G97,'03.08 Yumbe-Koboko-24h'!G97)</f>
        <v>0</v>
      </c>
      <c r="H97" s="49">
        <f>AVERAGE('02.08 Yumbe-Koboko-24h'!H97,'03.08 Yumbe-Koboko-24h'!H97)</f>
        <v>0</v>
      </c>
      <c r="I97" s="49">
        <f>AVERAGE('02.08 Yumbe-Koboko-24h'!I97,'03.08 Yumbe-Koboko-24h'!I97)</f>
        <v>0</v>
      </c>
      <c r="J97" s="49">
        <f>AVERAGE('02.08 Yumbe-Koboko-24h'!J97,'03.08 Yumbe-Koboko-24h'!J97)</f>
        <v>0</v>
      </c>
      <c r="K97" s="49">
        <f>AVERAGE('02.08 Yumbe-Koboko-24h'!K97,'03.08 Yumbe-Koboko-24h'!K97)</f>
        <v>0</v>
      </c>
      <c r="L97" s="49">
        <f>AVERAGE('02.08 Yumbe-Koboko-24h'!L97,'03.08 Yumbe-Koboko-24h'!L97)</f>
        <v>0</v>
      </c>
      <c r="M97" s="49">
        <f>AVERAGE('02.08 Yumbe-Koboko-24h'!M97,'03.08 Yumbe-Koboko-24h'!M97)</f>
        <v>0</v>
      </c>
      <c r="N97" s="49">
        <f>AVERAGE('02.08 Yumbe-Koboko-24h'!N97,'03.08 Yumbe-Koboko-24h'!N97)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AVERAGE('02.08 Yumbe-Koboko-24h'!C98,'03.08 Yumbe-Koboko-24h'!C98)</f>
        <v>0</v>
      </c>
      <c r="D98" s="49">
        <f>AVERAGE('02.08 Yumbe-Koboko-24h'!D98,'03.08 Yumbe-Koboko-24h'!D98)</f>
        <v>0</v>
      </c>
      <c r="E98" s="49">
        <f>AVERAGE('02.08 Yumbe-Koboko-24h'!E98,'03.08 Yumbe-Koboko-24h'!E98)</f>
        <v>0</v>
      </c>
      <c r="F98" s="49">
        <f>AVERAGE('02.08 Yumbe-Koboko-24h'!F98,'03.08 Yumbe-Koboko-24h'!F98)</f>
        <v>0</v>
      </c>
      <c r="G98" s="49">
        <f>AVERAGE('02.08 Yumbe-Koboko-24h'!G98,'03.08 Yumbe-Koboko-24h'!G98)</f>
        <v>0</v>
      </c>
      <c r="H98" s="49">
        <f>AVERAGE('02.08 Yumbe-Koboko-24h'!H98,'03.08 Yumbe-Koboko-24h'!H98)</f>
        <v>0</v>
      </c>
      <c r="I98" s="49">
        <f>AVERAGE('02.08 Yumbe-Koboko-24h'!I98,'03.08 Yumbe-Koboko-24h'!I98)</f>
        <v>0</v>
      </c>
      <c r="J98" s="49">
        <f>AVERAGE('02.08 Yumbe-Koboko-24h'!J98,'03.08 Yumbe-Koboko-24h'!J98)</f>
        <v>0</v>
      </c>
      <c r="K98" s="49">
        <f>AVERAGE('02.08 Yumbe-Koboko-24h'!K98,'03.08 Yumbe-Koboko-24h'!K98)</f>
        <v>0</v>
      </c>
      <c r="L98" s="49">
        <f>AVERAGE('02.08 Yumbe-Koboko-24h'!L98,'03.08 Yumbe-Koboko-24h'!L98)</f>
        <v>0</v>
      </c>
      <c r="M98" s="49">
        <f>AVERAGE('02.08 Yumbe-Koboko-24h'!M98,'03.08 Yumbe-Koboko-24h'!M98)</f>
        <v>0</v>
      </c>
      <c r="N98" s="49">
        <f>AVERAGE('02.08 Yumbe-Koboko-24h'!N98,'03.08 Yumbe-Koboko-24h'!N98)</f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23" t="s">
        <v>139</v>
      </c>
      <c r="C99" s="49">
        <f>AVERAGE('02.08 Yumbe-Koboko-24h'!C99,'03.08 Yumbe-Koboko-24h'!C99)</f>
        <v>0</v>
      </c>
      <c r="D99" s="49">
        <f>AVERAGE('02.08 Yumbe-Koboko-24h'!D99,'03.08 Yumbe-Koboko-24h'!D99)</f>
        <v>0</v>
      </c>
      <c r="E99" s="49">
        <f>AVERAGE('02.08 Yumbe-Koboko-24h'!E99,'03.08 Yumbe-Koboko-24h'!E99)</f>
        <v>0</v>
      </c>
      <c r="F99" s="49">
        <f>AVERAGE('02.08 Yumbe-Koboko-24h'!F99,'03.08 Yumbe-Koboko-24h'!F99)</f>
        <v>0</v>
      </c>
      <c r="G99" s="49">
        <f>AVERAGE('02.08 Yumbe-Koboko-24h'!G99,'03.08 Yumbe-Koboko-24h'!G99)</f>
        <v>0</v>
      </c>
      <c r="H99" s="49">
        <f>AVERAGE('02.08 Yumbe-Koboko-24h'!H99,'03.08 Yumbe-Koboko-24h'!H99)</f>
        <v>0</v>
      </c>
      <c r="I99" s="49">
        <f>AVERAGE('02.08 Yumbe-Koboko-24h'!I99,'03.08 Yumbe-Koboko-24h'!I99)</f>
        <v>0</v>
      </c>
      <c r="J99" s="49">
        <f>AVERAGE('02.08 Yumbe-Koboko-24h'!J99,'03.08 Yumbe-Koboko-24h'!J99)</f>
        <v>0</v>
      </c>
      <c r="K99" s="49">
        <f>AVERAGE('02.08 Yumbe-Koboko-24h'!K99,'03.08 Yumbe-Koboko-24h'!K99)</f>
        <v>0</v>
      </c>
      <c r="L99" s="49">
        <f>AVERAGE('02.08 Yumbe-Koboko-24h'!L99,'03.08 Yumbe-Koboko-24h'!L99)</f>
        <v>0</v>
      </c>
      <c r="M99" s="49">
        <f>AVERAGE('02.08 Yumbe-Koboko-24h'!M99,'03.08 Yumbe-Koboko-24h'!M99)</f>
        <v>0</v>
      </c>
      <c r="N99" s="49">
        <f>AVERAGE('02.08 Yumbe-Koboko-24h'!N99,'03.08 Yumbe-Koboko-24h'!N99)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AVERAGE('02.08 Yumbe-Koboko-24h'!C100,'03.08 Yumbe-Koboko-24h'!C100)</f>
        <v>0</v>
      </c>
      <c r="D100" s="49">
        <f>AVERAGE('02.08 Yumbe-Koboko-24h'!D100,'03.08 Yumbe-Koboko-24h'!D100)</f>
        <v>0</v>
      </c>
      <c r="E100" s="49">
        <f>AVERAGE('02.08 Yumbe-Koboko-24h'!E100,'03.08 Yumbe-Koboko-24h'!E100)</f>
        <v>0</v>
      </c>
      <c r="F100" s="49">
        <f>AVERAGE('02.08 Yumbe-Koboko-24h'!F100,'03.08 Yumbe-Koboko-24h'!F100)</f>
        <v>0</v>
      </c>
      <c r="G100" s="49">
        <f>AVERAGE('02.08 Yumbe-Koboko-24h'!G100,'03.08 Yumbe-Koboko-24h'!G100)</f>
        <v>0</v>
      </c>
      <c r="H100" s="49">
        <f>AVERAGE('02.08 Yumbe-Koboko-24h'!H100,'03.08 Yumbe-Koboko-24h'!H100)</f>
        <v>0</v>
      </c>
      <c r="I100" s="49">
        <f>AVERAGE('02.08 Yumbe-Koboko-24h'!I100,'03.08 Yumbe-Koboko-24h'!I100)</f>
        <v>0</v>
      </c>
      <c r="J100" s="49">
        <f>AVERAGE('02.08 Yumbe-Koboko-24h'!J100,'03.08 Yumbe-Koboko-24h'!J100)</f>
        <v>0</v>
      </c>
      <c r="K100" s="49">
        <f>AVERAGE('02.08 Yumbe-Koboko-24h'!K100,'03.08 Yumbe-Koboko-24h'!K100)</f>
        <v>0</v>
      </c>
      <c r="L100" s="49">
        <f>AVERAGE('02.08 Yumbe-Koboko-24h'!L100,'03.08 Yumbe-Koboko-24h'!L100)</f>
        <v>0</v>
      </c>
      <c r="M100" s="49">
        <f>AVERAGE('02.08 Yumbe-Koboko-24h'!M100,'03.08 Yumbe-Koboko-24h'!M100)</f>
        <v>0</v>
      </c>
      <c r="N100" s="49">
        <f>AVERAGE('02.08 Yumbe-Koboko-24h'!N100,'03.08 Yumbe-Koboko-24h'!N100)</f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23" t="s">
        <v>141</v>
      </c>
      <c r="C101" s="49">
        <f>AVERAGE('02.08 Yumbe-Koboko-24h'!C101,'03.08 Yumbe-Koboko-24h'!C101)</f>
        <v>0</v>
      </c>
      <c r="D101" s="49">
        <f>AVERAGE('02.08 Yumbe-Koboko-24h'!D101,'03.08 Yumbe-Koboko-24h'!D101)</f>
        <v>0</v>
      </c>
      <c r="E101" s="49">
        <f>AVERAGE('02.08 Yumbe-Koboko-24h'!E101,'03.08 Yumbe-Koboko-24h'!E101)</f>
        <v>0</v>
      </c>
      <c r="F101" s="49">
        <f>AVERAGE('02.08 Yumbe-Koboko-24h'!F101,'03.08 Yumbe-Koboko-24h'!F101)</f>
        <v>0</v>
      </c>
      <c r="G101" s="49">
        <f>AVERAGE('02.08 Yumbe-Koboko-24h'!G101,'03.08 Yumbe-Koboko-24h'!G101)</f>
        <v>0</v>
      </c>
      <c r="H101" s="49">
        <f>AVERAGE('02.08 Yumbe-Koboko-24h'!H101,'03.08 Yumbe-Koboko-24h'!H101)</f>
        <v>0</v>
      </c>
      <c r="I101" s="49">
        <f>AVERAGE('02.08 Yumbe-Koboko-24h'!I101,'03.08 Yumbe-Koboko-24h'!I101)</f>
        <v>0</v>
      </c>
      <c r="J101" s="49">
        <f>AVERAGE('02.08 Yumbe-Koboko-24h'!J101,'03.08 Yumbe-Koboko-24h'!J101)</f>
        <v>0</v>
      </c>
      <c r="K101" s="49">
        <f>AVERAGE('02.08 Yumbe-Koboko-24h'!K101,'03.08 Yumbe-Koboko-24h'!K101)</f>
        <v>0</v>
      </c>
      <c r="L101" s="49">
        <f>AVERAGE('02.08 Yumbe-Koboko-24h'!L101,'03.08 Yumbe-Koboko-24h'!L101)</f>
        <v>0</v>
      </c>
      <c r="M101" s="49">
        <f>AVERAGE('02.08 Yumbe-Koboko-24h'!M101,'03.08 Yumbe-Koboko-24h'!M101)</f>
        <v>0</v>
      </c>
      <c r="N101" s="49">
        <f>AVERAGE('02.08 Yumbe-Koboko-24h'!N101,'03.08 Yumbe-Koboko-24h'!N101)</f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24" t="s">
        <v>142</v>
      </c>
      <c r="C102" s="49">
        <f>AVERAGE('02.08 Yumbe-Koboko-24h'!C102,'03.08 Yumbe-Koboko-24h'!C102)</f>
        <v>0</v>
      </c>
      <c r="D102" s="49">
        <f>AVERAGE('02.08 Yumbe-Koboko-24h'!D102,'03.08 Yumbe-Koboko-24h'!D102)</f>
        <v>0</v>
      </c>
      <c r="E102" s="49">
        <f>AVERAGE('02.08 Yumbe-Koboko-24h'!E102,'03.08 Yumbe-Koboko-24h'!E102)</f>
        <v>0</v>
      </c>
      <c r="F102" s="49">
        <f>AVERAGE('02.08 Yumbe-Koboko-24h'!F102,'03.08 Yumbe-Koboko-24h'!F102)</f>
        <v>0</v>
      </c>
      <c r="G102" s="49">
        <f>AVERAGE('02.08 Yumbe-Koboko-24h'!G102,'03.08 Yumbe-Koboko-24h'!G102)</f>
        <v>0</v>
      </c>
      <c r="H102" s="49">
        <f>AVERAGE('02.08 Yumbe-Koboko-24h'!H102,'03.08 Yumbe-Koboko-24h'!H102)</f>
        <v>0</v>
      </c>
      <c r="I102" s="49">
        <f>AVERAGE('02.08 Yumbe-Koboko-24h'!I102,'03.08 Yumbe-Koboko-24h'!I102)</f>
        <v>0</v>
      </c>
      <c r="J102" s="49">
        <f>AVERAGE('02.08 Yumbe-Koboko-24h'!J102,'03.08 Yumbe-Koboko-24h'!J102)</f>
        <v>0</v>
      </c>
      <c r="K102" s="49">
        <f>AVERAGE('02.08 Yumbe-Koboko-24h'!K102,'03.08 Yumbe-Koboko-24h'!K102)</f>
        <v>0</v>
      </c>
      <c r="L102" s="49">
        <f>AVERAGE('02.08 Yumbe-Koboko-24h'!L102,'03.08 Yumbe-Koboko-24h'!L102)</f>
        <v>0</v>
      </c>
      <c r="M102" s="49">
        <f>AVERAGE('02.08 Yumbe-Koboko-24h'!M102,'03.08 Yumbe-Koboko-24h'!M102)</f>
        <v>0.5</v>
      </c>
      <c r="N102" s="49">
        <f>AVERAGE('02.08 Yumbe-Koboko-24h'!N102,'03.08 Yumbe-Koboko-24h'!N102)</f>
        <v>0</v>
      </c>
      <c r="O102" s="15">
        <f t="shared" si="35"/>
        <v>0</v>
      </c>
      <c r="P102" s="15">
        <f t="shared" si="36"/>
        <v>0.5</v>
      </c>
      <c r="R102" s="8"/>
      <c r="T102"/>
    </row>
    <row r="103" spans="2:20" ht="23.1" customHeight="1" x14ac:dyDescent="0.25">
      <c r="B103" s="23" t="s">
        <v>143</v>
      </c>
      <c r="C103" s="49">
        <f>AVERAGE('02.08 Yumbe-Koboko-24h'!C103,'03.08 Yumbe-Koboko-24h'!C103)</f>
        <v>0</v>
      </c>
      <c r="D103" s="49">
        <f>AVERAGE('02.08 Yumbe-Koboko-24h'!D103,'03.08 Yumbe-Koboko-24h'!D103)</f>
        <v>0</v>
      </c>
      <c r="E103" s="49">
        <f>AVERAGE('02.08 Yumbe-Koboko-24h'!E103,'03.08 Yumbe-Koboko-24h'!E103)</f>
        <v>0</v>
      </c>
      <c r="F103" s="49">
        <f>AVERAGE('02.08 Yumbe-Koboko-24h'!F103,'03.08 Yumbe-Koboko-24h'!F103)</f>
        <v>0</v>
      </c>
      <c r="G103" s="49">
        <f>AVERAGE('02.08 Yumbe-Koboko-24h'!G103,'03.08 Yumbe-Koboko-24h'!G103)</f>
        <v>0</v>
      </c>
      <c r="H103" s="49">
        <f>AVERAGE('02.08 Yumbe-Koboko-24h'!H103,'03.08 Yumbe-Koboko-24h'!H103)</f>
        <v>0</v>
      </c>
      <c r="I103" s="49">
        <f>AVERAGE('02.08 Yumbe-Koboko-24h'!I103,'03.08 Yumbe-Koboko-24h'!I103)</f>
        <v>0</v>
      </c>
      <c r="J103" s="49">
        <f>AVERAGE('02.08 Yumbe-Koboko-24h'!J103,'03.08 Yumbe-Koboko-24h'!J103)</f>
        <v>0</v>
      </c>
      <c r="K103" s="49">
        <f>AVERAGE('02.08 Yumbe-Koboko-24h'!K103,'03.08 Yumbe-Koboko-24h'!K103)</f>
        <v>0</v>
      </c>
      <c r="L103" s="49">
        <f>AVERAGE('02.08 Yumbe-Koboko-24h'!L103,'03.08 Yumbe-Koboko-24h'!L103)</f>
        <v>0</v>
      </c>
      <c r="M103" s="49">
        <f>AVERAGE('02.08 Yumbe-Koboko-24h'!M103,'03.08 Yumbe-Koboko-24h'!M103)</f>
        <v>0</v>
      </c>
      <c r="N103" s="49">
        <f>AVERAGE('02.08 Yumbe-Koboko-24h'!N103,'03.08 Yumbe-Koboko-24h'!N103)</f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25" t="s">
        <v>144</v>
      </c>
      <c r="C104" s="49">
        <f>AVERAGE('02.08 Yumbe-Koboko-24h'!C104,'03.08 Yumbe-Koboko-24h'!C104)</f>
        <v>0</v>
      </c>
      <c r="D104" s="49">
        <f>AVERAGE('02.08 Yumbe-Koboko-24h'!D104,'03.08 Yumbe-Koboko-24h'!D104)</f>
        <v>0</v>
      </c>
      <c r="E104" s="49">
        <f>AVERAGE('02.08 Yumbe-Koboko-24h'!E104,'03.08 Yumbe-Koboko-24h'!E104)</f>
        <v>0</v>
      </c>
      <c r="F104" s="49">
        <f>AVERAGE('02.08 Yumbe-Koboko-24h'!F104,'03.08 Yumbe-Koboko-24h'!F104)</f>
        <v>0</v>
      </c>
      <c r="G104" s="49">
        <f>AVERAGE('02.08 Yumbe-Koboko-24h'!G104,'03.08 Yumbe-Koboko-24h'!G104)</f>
        <v>0</v>
      </c>
      <c r="H104" s="49">
        <f>AVERAGE('02.08 Yumbe-Koboko-24h'!H104,'03.08 Yumbe-Koboko-24h'!H104)</f>
        <v>0</v>
      </c>
      <c r="I104" s="49">
        <f>AVERAGE('02.08 Yumbe-Koboko-24h'!I104,'03.08 Yumbe-Koboko-24h'!I104)</f>
        <v>0</v>
      </c>
      <c r="J104" s="49">
        <f>AVERAGE('02.08 Yumbe-Koboko-24h'!J104,'03.08 Yumbe-Koboko-24h'!J104)</f>
        <v>0</v>
      </c>
      <c r="K104" s="49">
        <f>AVERAGE('02.08 Yumbe-Koboko-24h'!K104,'03.08 Yumbe-Koboko-24h'!K104)</f>
        <v>0</v>
      </c>
      <c r="L104" s="49">
        <f>AVERAGE('02.08 Yumbe-Koboko-24h'!L104,'03.08 Yumbe-Koboko-24h'!L104)</f>
        <v>0</v>
      </c>
      <c r="M104" s="49">
        <f>AVERAGE('02.08 Yumbe-Koboko-24h'!M104,'03.08 Yumbe-Koboko-24h'!M104)</f>
        <v>1.5</v>
      </c>
      <c r="N104" s="49">
        <f>AVERAGE('02.08 Yumbe-Koboko-24h'!N104,'03.08 Yumbe-Koboko-24h'!N104)</f>
        <v>0</v>
      </c>
      <c r="O104" s="15">
        <f t="shared" si="35"/>
        <v>0</v>
      </c>
      <c r="P104" s="15">
        <f t="shared" si="36"/>
        <v>1.5</v>
      </c>
      <c r="R104" s="8"/>
      <c r="T104"/>
    </row>
    <row r="105" spans="2:20" ht="23.1" customHeight="1" x14ac:dyDescent="0.25">
      <c r="B105" s="23" t="s">
        <v>145</v>
      </c>
      <c r="C105" s="49">
        <f>AVERAGE('02.08 Yumbe-Koboko-24h'!C105,'03.08 Yumbe-Koboko-24h'!C105)</f>
        <v>0</v>
      </c>
      <c r="D105" s="49">
        <f>AVERAGE('02.08 Yumbe-Koboko-24h'!D105,'03.08 Yumbe-Koboko-24h'!D105)</f>
        <v>0</v>
      </c>
      <c r="E105" s="49">
        <f>AVERAGE('02.08 Yumbe-Koboko-24h'!E105,'03.08 Yumbe-Koboko-24h'!E105)</f>
        <v>0</v>
      </c>
      <c r="F105" s="49">
        <f>AVERAGE('02.08 Yumbe-Koboko-24h'!F105,'03.08 Yumbe-Koboko-24h'!F105)</f>
        <v>0</v>
      </c>
      <c r="G105" s="49">
        <f>AVERAGE('02.08 Yumbe-Koboko-24h'!G105,'03.08 Yumbe-Koboko-24h'!G105)</f>
        <v>0</v>
      </c>
      <c r="H105" s="49">
        <f>AVERAGE('02.08 Yumbe-Koboko-24h'!H105,'03.08 Yumbe-Koboko-24h'!H105)</f>
        <v>0</v>
      </c>
      <c r="I105" s="49">
        <f>AVERAGE('02.08 Yumbe-Koboko-24h'!I105,'03.08 Yumbe-Koboko-24h'!I105)</f>
        <v>0</v>
      </c>
      <c r="J105" s="49">
        <f>AVERAGE('02.08 Yumbe-Koboko-24h'!J105,'03.08 Yumbe-Koboko-24h'!J105)</f>
        <v>0</v>
      </c>
      <c r="K105" s="49">
        <f>AVERAGE('02.08 Yumbe-Koboko-24h'!K105,'03.08 Yumbe-Koboko-24h'!K105)</f>
        <v>0</v>
      </c>
      <c r="L105" s="49">
        <f>AVERAGE('02.08 Yumbe-Koboko-24h'!L105,'03.08 Yumbe-Koboko-24h'!L105)</f>
        <v>0</v>
      </c>
      <c r="M105" s="49">
        <f>AVERAGE('02.08 Yumbe-Koboko-24h'!M105,'03.08 Yumbe-Koboko-24h'!M105)</f>
        <v>1</v>
      </c>
      <c r="N105" s="49">
        <f>AVERAGE('02.08 Yumbe-Koboko-24h'!N105,'03.08 Yumbe-Koboko-24h'!N105)</f>
        <v>0</v>
      </c>
      <c r="O105" s="15">
        <f t="shared" si="35"/>
        <v>0</v>
      </c>
      <c r="P105" s="15">
        <f t="shared" si="36"/>
        <v>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106.14285714285715</v>
      </c>
      <c r="D106" s="16">
        <f t="shared" ref="D106:Q106" si="37">SUM(D10:D105)</f>
        <v>7.4285714285714288</v>
      </c>
      <c r="E106" s="16">
        <f t="shared" si="37"/>
        <v>59.857142857142868</v>
      </c>
      <c r="F106" s="16">
        <f t="shared" si="37"/>
        <v>18.452380952380956</v>
      </c>
      <c r="G106" s="16">
        <f t="shared" si="37"/>
        <v>2.8571428571428568</v>
      </c>
      <c r="H106" s="16">
        <f t="shared" si="37"/>
        <v>5.7142857142857144</v>
      </c>
      <c r="I106" s="16">
        <f t="shared" si="37"/>
        <v>17.428571428571431</v>
      </c>
      <c r="J106" s="16">
        <f t="shared" si="37"/>
        <v>3.5714285714285707</v>
      </c>
      <c r="K106" s="16">
        <f t="shared" si="37"/>
        <v>1.2857142857142854</v>
      </c>
      <c r="L106" s="16">
        <f t="shared" si="37"/>
        <v>3.9999999999999991</v>
      </c>
      <c r="M106" s="16">
        <f t="shared" si="37"/>
        <v>433.92857142857133</v>
      </c>
      <c r="N106" s="16">
        <f t="shared" si="37"/>
        <v>1.7142857142857142</v>
      </c>
      <c r="O106" s="16">
        <f t="shared" si="37"/>
        <v>228.45238095238093</v>
      </c>
      <c r="P106" s="16">
        <f t="shared" si="37"/>
        <v>662.38095238095241</v>
      </c>
      <c r="Q106" s="55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0.16024442846872755</v>
      </c>
      <c r="D107" s="43">
        <f t="shared" si="38"/>
        <v>1.1214953271028037E-2</v>
      </c>
      <c r="E107" s="43">
        <f t="shared" si="38"/>
        <v>9.0366642703091318E-2</v>
      </c>
      <c r="F107" s="43">
        <f t="shared" si="38"/>
        <v>2.7857656362329265E-2</v>
      </c>
      <c r="G107" s="43">
        <f t="shared" si="38"/>
        <v>4.3134435657800133E-3</v>
      </c>
      <c r="H107" s="43">
        <f t="shared" si="38"/>
        <v>8.6268871315600282E-3</v>
      </c>
      <c r="I107" s="43">
        <f t="shared" si="38"/>
        <v>2.631200575125809E-2</v>
      </c>
      <c r="J107" s="43">
        <f t="shared" si="38"/>
        <v>5.3918044572250166E-3</v>
      </c>
      <c r="K107" s="43">
        <f t="shared" si="38"/>
        <v>1.9410496046010058E-3</v>
      </c>
      <c r="L107" s="43">
        <f t="shared" si="38"/>
        <v>6.0388209920920182E-3</v>
      </c>
      <c r="M107" s="43">
        <f t="shared" si="38"/>
        <v>0.65510424155283953</v>
      </c>
      <c r="N107" s="43">
        <f t="shared" si="38"/>
        <v>2.5880661394680083E-3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0.464616988014591</v>
      </c>
      <c r="D108" s="44">
        <f t="shared" ref="D108:N108" si="39">D106/$O$106</f>
        <v>3.251693590411673E-2</v>
      </c>
      <c r="E108" s="44">
        <f t="shared" si="39"/>
        <v>0.26201146430432526</v>
      </c>
      <c r="F108" s="44">
        <f t="shared" si="39"/>
        <v>8.0771235018238685E-2</v>
      </c>
      <c r="G108" s="44">
        <f t="shared" si="39"/>
        <v>1.2506513809275664E-2</v>
      </c>
      <c r="H108" s="44">
        <f t="shared" si="39"/>
        <v>2.5013027618551332E-2</v>
      </c>
      <c r="I108" s="44">
        <f t="shared" si="39"/>
        <v>7.6289734236581572E-2</v>
      </c>
      <c r="J108" s="44">
        <f t="shared" si="39"/>
        <v>1.5633142261594579E-2</v>
      </c>
      <c r="K108" s="44">
        <f t="shared" si="39"/>
        <v>5.6279312141740475E-3</v>
      </c>
      <c r="L108" s="44">
        <f t="shared" si="39"/>
        <v>1.7509119332985927E-2</v>
      </c>
      <c r="M108" s="44"/>
      <c r="N108" s="44">
        <f t="shared" si="39"/>
        <v>7.5039082855653987E-3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N1" zoomScale="60" workbookViewId="0">
      <selection activeCell="W93" sqref="W9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4" t="str">
        <f>'06.08 Yumbe-Koboko'!C3:G3</f>
        <v>MCC - C5 - STN128 - KOBOKO-YUMBE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7" t="s">
        <v>163</v>
      </c>
      <c r="E5" s="68"/>
      <c r="F5" s="41" t="s">
        <v>1</v>
      </c>
      <c r="G5" s="65" t="str">
        <f>'Avg Week Yumbe-Koboko'!G5:H5</f>
        <v>Umbachi</v>
      </c>
      <c r="H5" s="66"/>
      <c r="I5" s="14"/>
      <c r="J5" s="2" t="s">
        <v>5</v>
      </c>
      <c r="K5" s="65" t="str">
        <f>'Avg Week Yumbe-Koboko'!K5:L5</f>
        <v>xxx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9" t="s">
        <v>161</v>
      </c>
      <c r="E6" s="70"/>
      <c r="F6" s="2" t="s">
        <v>2</v>
      </c>
      <c r="G6" s="69" t="s">
        <v>161</v>
      </c>
      <c r="H6" s="70"/>
      <c r="J6" s="2" t="s">
        <v>21</v>
      </c>
      <c r="K6" s="65" t="str">
        <f>'Avg Week Yumbe-Koboko'!K6:L6</f>
        <v>xxx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Koboko-Yumbe'!C10+'Avg Week Yumbe-Koboko'!C10</f>
        <v>2.1428571428571428</v>
      </c>
      <c r="D10" s="49">
        <f>'Avg Week Koboko-Yumbe'!D10+'Avg Week Yumbe-Koboko'!D10</f>
        <v>0.14285714285714285</v>
      </c>
      <c r="E10" s="49">
        <f>'Avg Week Koboko-Yumbe'!E10+'Avg Week Yumbe-Koboko'!E10</f>
        <v>1</v>
      </c>
      <c r="F10" s="49">
        <f>'Avg Week Koboko-Yumbe'!F10+'Avg Week Yumbe-Koboko'!F10</f>
        <v>0.2857142857142857</v>
      </c>
      <c r="G10" s="49">
        <f>'Avg Week Koboko-Yumbe'!G10+'Avg Week Yumbe-Koboko'!G10</f>
        <v>0.14285714285714285</v>
      </c>
      <c r="H10" s="49">
        <f>'Avg Week Koboko-Yumbe'!H10+'Avg Week Yumbe-Koboko'!H10</f>
        <v>0.5714285714285714</v>
      </c>
      <c r="I10" s="49">
        <f>'Avg Week Koboko-Yumbe'!I10+'Avg Week Yumbe-Koboko'!I10</f>
        <v>0.5714285714285714</v>
      </c>
      <c r="J10" s="49">
        <f>'Avg Week Koboko-Yumbe'!J10+'Avg Week Yumbe-Koboko'!J10</f>
        <v>0.14285714285714285</v>
      </c>
      <c r="K10" s="49">
        <f>'Avg Week Koboko-Yumbe'!K10+'Avg Week Yumbe-Koboko'!K10</f>
        <v>0</v>
      </c>
      <c r="L10" s="49">
        <f>'Avg Week Koboko-Yumbe'!L10+'Avg Week Yumbe-Koboko'!L10</f>
        <v>0</v>
      </c>
      <c r="M10" s="49">
        <f>'Avg Week Koboko-Yumbe'!M10+'Avg Week Yumbe-Koboko'!M10</f>
        <v>10.571428571428571</v>
      </c>
      <c r="N10" s="49">
        <f>'Avg Week Koboko-Yumbe'!N10+'Avg Week Yumbe-Koboko'!N10</f>
        <v>0</v>
      </c>
      <c r="O10" s="15">
        <f t="shared" ref="O10:O73" si="0">SUM(C10:L10,N10)</f>
        <v>5</v>
      </c>
      <c r="P10" s="15">
        <f t="shared" ref="P10:P73" si="1">SUM(C10:N10)</f>
        <v>15.571428571428571</v>
      </c>
      <c r="R10" s="1" t="s">
        <v>6</v>
      </c>
      <c r="S10" s="17">
        <f t="shared" ref="S10:AF10" si="2">SUM(C10:C13)</f>
        <v>10</v>
      </c>
      <c r="T10" s="17">
        <f t="shared" si="2"/>
        <v>0.8571428571428571</v>
      </c>
      <c r="U10" s="17">
        <f t="shared" si="2"/>
        <v>4.8571428571428568</v>
      </c>
      <c r="V10" s="17">
        <f t="shared" si="2"/>
        <v>1</v>
      </c>
      <c r="W10" s="17">
        <f t="shared" si="2"/>
        <v>0.5714285714285714</v>
      </c>
      <c r="X10" s="17">
        <f t="shared" si="2"/>
        <v>1.1428571428571428</v>
      </c>
      <c r="Y10" s="17">
        <f t="shared" si="2"/>
        <v>1.9999999999999998</v>
      </c>
      <c r="Z10" s="17">
        <f t="shared" si="2"/>
        <v>0.42857142857142855</v>
      </c>
      <c r="AA10" s="17">
        <f t="shared" si="2"/>
        <v>0.2857142857142857</v>
      </c>
      <c r="AB10" s="17">
        <f t="shared" si="2"/>
        <v>0.2857142857142857</v>
      </c>
      <c r="AC10" s="17">
        <f t="shared" si="2"/>
        <v>61.142857142857139</v>
      </c>
      <c r="AD10" s="17">
        <f t="shared" si="2"/>
        <v>0</v>
      </c>
      <c r="AE10" s="31">
        <f t="shared" si="2"/>
        <v>21.428571428571431</v>
      </c>
      <c r="AF10" s="31">
        <f t="shared" si="2"/>
        <v>82.571428571428569</v>
      </c>
    </row>
    <row r="11" spans="2:32" s="6" customFormat="1" ht="23.1" customHeight="1" x14ac:dyDescent="0.25">
      <c r="B11" s="23" t="s">
        <v>38</v>
      </c>
      <c r="C11" s="49">
        <f>'Avg Week Koboko-Yumbe'!C11+'Avg Week Yumbe-Koboko'!C11</f>
        <v>3</v>
      </c>
      <c r="D11" s="49">
        <f>'Avg Week Koboko-Yumbe'!D11+'Avg Week Yumbe-Koboko'!D11</f>
        <v>0</v>
      </c>
      <c r="E11" s="49">
        <f>'Avg Week Koboko-Yumbe'!E11+'Avg Week Yumbe-Koboko'!E11</f>
        <v>0.71428571428571419</v>
      </c>
      <c r="F11" s="49">
        <f>'Avg Week Koboko-Yumbe'!F11+'Avg Week Yumbe-Koboko'!F11</f>
        <v>0.2857142857142857</v>
      </c>
      <c r="G11" s="49">
        <f>'Avg Week Koboko-Yumbe'!G11+'Avg Week Yumbe-Koboko'!G11</f>
        <v>0.14285714285714285</v>
      </c>
      <c r="H11" s="49">
        <f>'Avg Week Koboko-Yumbe'!H11+'Avg Week Yumbe-Koboko'!H11</f>
        <v>0.14285714285714285</v>
      </c>
      <c r="I11" s="49">
        <f>'Avg Week Koboko-Yumbe'!I11+'Avg Week Yumbe-Koboko'!I11</f>
        <v>0.42857142857142855</v>
      </c>
      <c r="J11" s="49">
        <f>'Avg Week Koboko-Yumbe'!J11+'Avg Week Yumbe-Koboko'!J11</f>
        <v>0</v>
      </c>
      <c r="K11" s="49">
        <f>'Avg Week Koboko-Yumbe'!K11+'Avg Week Yumbe-Koboko'!K11</f>
        <v>0.14285714285714285</v>
      </c>
      <c r="L11" s="49">
        <f>'Avg Week Koboko-Yumbe'!L11+'Avg Week Yumbe-Koboko'!L11</f>
        <v>0.14285714285714285</v>
      </c>
      <c r="M11" s="49">
        <f>'Avg Week Koboko-Yumbe'!M11+'Avg Week Yumbe-Koboko'!M11</f>
        <v>13.428571428571429</v>
      </c>
      <c r="N11" s="49">
        <f>'Avg Week Koboko-Yumbe'!N11+'Avg Week Yumbe-Koboko'!N11</f>
        <v>0</v>
      </c>
      <c r="O11" s="15">
        <f t="shared" si="0"/>
        <v>5.0000000000000018</v>
      </c>
      <c r="P11" s="15">
        <f t="shared" si="1"/>
        <v>18.428571428571431</v>
      </c>
      <c r="R11" s="1" t="s">
        <v>7</v>
      </c>
      <c r="S11" s="17">
        <f t="shared" ref="S11:AF11" si="3">SUM(C14:C17)</f>
        <v>14.428571428571429</v>
      </c>
      <c r="T11" s="17">
        <f t="shared" si="3"/>
        <v>2.7142857142857144</v>
      </c>
      <c r="U11" s="17">
        <f t="shared" si="3"/>
        <v>9</v>
      </c>
      <c r="V11" s="17">
        <f t="shared" si="3"/>
        <v>1.4285714285714284</v>
      </c>
      <c r="W11" s="17">
        <f t="shared" si="3"/>
        <v>0.71428571428571419</v>
      </c>
      <c r="X11" s="17">
        <f t="shared" si="3"/>
        <v>0.42857142857142855</v>
      </c>
      <c r="Y11" s="17">
        <f t="shared" si="3"/>
        <v>2.4285714285714284</v>
      </c>
      <c r="Z11" s="17">
        <f t="shared" si="3"/>
        <v>1.8571428571428572</v>
      </c>
      <c r="AA11" s="17">
        <f t="shared" si="3"/>
        <v>0.42857142857142855</v>
      </c>
      <c r="AB11" s="17">
        <f t="shared" si="3"/>
        <v>0.71428571428571419</v>
      </c>
      <c r="AC11" s="17">
        <f t="shared" si="3"/>
        <v>78.142857142857139</v>
      </c>
      <c r="AD11" s="17">
        <f t="shared" si="3"/>
        <v>0</v>
      </c>
      <c r="AE11" s="31">
        <f t="shared" si="3"/>
        <v>34.142857142857153</v>
      </c>
      <c r="AF11" s="31">
        <f t="shared" si="3"/>
        <v>112.28571428571431</v>
      </c>
    </row>
    <row r="12" spans="2:32" ht="23.1" customHeight="1" x14ac:dyDescent="0.25">
      <c r="B12" s="23" t="s">
        <v>39</v>
      </c>
      <c r="C12" s="49">
        <f>'Avg Week Koboko-Yumbe'!C12+'Avg Week Yumbe-Koboko'!C12</f>
        <v>2.4285714285714284</v>
      </c>
      <c r="D12" s="49">
        <f>'Avg Week Koboko-Yumbe'!D12+'Avg Week Yumbe-Koboko'!D12</f>
        <v>0.2857142857142857</v>
      </c>
      <c r="E12" s="49">
        <f>'Avg Week Koboko-Yumbe'!E12+'Avg Week Yumbe-Koboko'!E12</f>
        <v>1.5714285714285714</v>
      </c>
      <c r="F12" s="49">
        <f>'Avg Week Koboko-Yumbe'!F12+'Avg Week Yumbe-Koboko'!F12</f>
        <v>0</v>
      </c>
      <c r="G12" s="49">
        <f>'Avg Week Koboko-Yumbe'!G12+'Avg Week Yumbe-Koboko'!G12</f>
        <v>0.2857142857142857</v>
      </c>
      <c r="H12" s="49">
        <f>'Avg Week Koboko-Yumbe'!H12+'Avg Week Yumbe-Koboko'!H12</f>
        <v>0</v>
      </c>
      <c r="I12" s="49">
        <f>'Avg Week Koboko-Yumbe'!I12+'Avg Week Yumbe-Koboko'!I12</f>
        <v>0.2857142857142857</v>
      </c>
      <c r="J12" s="49">
        <f>'Avg Week Koboko-Yumbe'!J12+'Avg Week Yumbe-Koboko'!J12</f>
        <v>0</v>
      </c>
      <c r="K12" s="49">
        <f>'Avg Week Koboko-Yumbe'!K12+'Avg Week Yumbe-Koboko'!K12</f>
        <v>0.14285714285714285</v>
      </c>
      <c r="L12" s="49">
        <f>'Avg Week Koboko-Yumbe'!L12+'Avg Week Yumbe-Koboko'!L12</f>
        <v>0</v>
      </c>
      <c r="M12" s="49">
        <f>'Avg Week Koboko-Yumbe'!M12+'Avg Week Yumbe-Koboko'!M12</f>
        <v>17.285714285714285</v>
      </c>
      <c r="N12" s="49">
        <f>'Avg Week Koboko-Yumbe'!N12+'Avg Week Yumbe-Koboko'!N12</f>
        <v>0</v>
      </c>
      <c r="O12" s="15">
        <f t="shared" si="0"/>
        <v>5</v>
      </c>
      <c r="P12" s="15">
        <f t="shared" si="1"/>
        <v>22.285714285714285</v>
      </c>
      <c r="R12" s="1" t="s">
        <v>8</v>
      </c>
      <c r="S12" s="17">
        <f t="shared" ref="S12:AF12" si="4">SUM(C18:C21)</f>
        <v>18.285714285714285</v>
      </c>
      <c r="T12" s="17">
        <f t="shared" si="4"/>
        <v>2.8571428571428568</v>
      </c>
      <c r="U12" s="17">
        <f t="shared" si="4"/>
        <v>9.2857142857142865</v>
      </c>
      <c r="V12" s="17">
        <f t="shared" si="4"/>
        <v>1.857142857142857</v>
      </c>
      <c r="W12" s="17">
        <f t="shared" si="4"/>
        <v>0.42857142857142855</v>
      </c>
      <c r="X12" s="17">
        <f t="shared" si="4"/>
        <v>2.1428571428571428</v>
      </c>
      <c r="Y12" s="17">
        <f t="shared" si="4"/>
        <v>3.1428571428571428</v>
      </c>
      <c r="Z12" s="17">
        <f t="shared" si="4"/>
        <v>0.5714285714285714</v>
      </c>
      <c r="AA12" s="17">
        <f t="shared" si="4"/>
        <v>0.42857142857142855</v>
      </c>
      <c r="AB12" s="17">
        <f t="shared" si="4"/>
        <v>0.8571428571428571</v>
      </c>
      <c r="AC12" s="17">
        <f t="shared" si="4"/>
        <v>76.857142857142861</v>
      </c>
      <c r="AD12" s="17">
        <f t="shared" si="4"/>
        <v>0.14285714285714285</v>
      </c>
      <c r="AE12" s="31">
        <f t="shared" si="4"/>
        <v>39.999999999999993</v>
      </c>
      <c r="AF12" s="31">
        <f t="shared" si="4"/>
        <v>116.85714285714285</v>
      </c>
    </row>
    <row r="13" spans="2:32" ht="23.1" customHeight="1" x14ac:dyDescent="0.25">
      <c r="B13" s="23" t="s">
        <v>40</v>
      </c>
      <c r="C13" s="49">
        <f>'Avg Week Koboko-Yumbe'!C13+'Avg Week Yumbe-Koboko'!C13</f>
        <v>2.4285714285714288</v>
      </c>
      <c r="D13" s="49">
        <f>'Avg Week Koboko-Yumbe'!D13+'Avg Week Yumbe-Koboko'!D13</f>
        <v>0.42857142857142855</v>
      </c>
      <c r="E13" s="49">
        <f>'Avg Week Koboko-Yumbe'!E13+'Avg Week Yumbe-Koboko'!E13</f>
        <v>1.5714285714285714</v>
      </c>
      <c r="F13" s="49">
        <f>'Avg Week Koboko-Yumbe'!F13+'Avg Week Yumbe-Koboko'!F13</f>
        <v>0.42857142857142855</v>
      </c>
      <c r="G13" s="49">
        <f>'Avg Week Koboko-Yumbe'!G13+'Avg Week Yumbe-Koboko'!G13</f>
        <v>0</v>
      </c>
      <c r="H13" s="49">
        <f>'Avg Week Koboko-Yumbe'!H13+'Avg Week Yumbe-Koboko'!H13</f>
        <v>0.42857142857142855</v>
      </c>
      <c r="I13" s="49">
        <f>'Avg Week Koboko-Yumbe'!I13+'Avg Week Yumbe-Koboko'!I13</f>
        <v>0.71428571428571419</v>
      </c>
      <c r="J13" s="49">
        <f>'Avg Week Koboko-Yumbe'!J13+'Avg Week Yumbe-Koboko'!J13</f>
        <v>0.2857142857142857</v>
      </c>
      <c r="K13" s="49">
        <f>'Avg Week Koboko-Yumbe'!K13+'Avg Week Yumbe-Koboko'!K13</f>
        <v>0</v>
      </c>
      <c r="L13" s="49">
        <f>'Avg Week Koboko-Yumbe'!L13+'Avg Week Yumbe-Koboko'!L13</f>
        <v>0.14285714285714285</v>
      </c>
      <c r="M13" s="49">
        <f>'Avg Week Koboko-Yumbe'!M13+'Avg Week Yumbe-Koboko'!M13</f>
        <v>19.857142857142858</v>
      </c>
      <c r="N13" s="49">
        <f>'Avg Week Koboko-Yumbe'!N13+'Avg Week Yumbe-Koboko'!N13</f>
        <v>0</v>
      </c>
      <c r="O13" s="15">
        <f t="shared" si="0"/>
        <v>6.4285714285714297</v>
      </c>
      <c r="P13" s="15">
        <f t="shared" si="1"/>
        <v>26.285714285714288</v>
      </c>
      <c r="R13" s="1" t="s">
        <v>9</v>
      </c>
      <c r="S13" s="17">
        <f t="shared" ref="S13:AF13" si="5">SUM(C22:C25)</f>
        <v>17.714285714285715</v>
      </c>
      <c r="T13" s="17">
        <f t="shared" si="5"/>
        <v>2.5714285714285712</v>
      </c>
      <c r="U13" s="17">
        <f t="shared" si="5"/>
        <v>10.142857142857142</v>
      </c>
      <c r="V13" s="17">
        <f t="shared" si="5"/>
        <v>4.1428571428571423</v>
      </c>
      <c r="W13" s="17">
        <f t="shared" si="5"/>
        <v>0.2857142857142857</v>
      </c>
      <c r="X13" s="17">
        <f t="shared" si="5"/>
        <v>0.2857142857142857</v>
      </c>
      <c r="Y13" s="17">
        <f t="shared" si="5"/>
        <v>2.5714285714285712</v>
      </c>
      <c r="Z13" s="17">
        <f t="shared" si="5"/>
        <v>0.5714285714285714</v>
      </c>
      <c r="AA13" s="17">
        <f t="shared" si="5"/>
        <v>0.5714285714285714</v>
      </c>
      <c r="AB13" s="17">
        <f t="shared" si="5"/>
        <v>0.14285714285714285</v>
      </c>
      <c r="AC13" s="17">
        <f t="shared" si="5"/>
        <v>74.714285714285722</v>
      </c>
      <c r="AD13" s="17">
        <f t="shared" si="5"/>
        <v>0</v>
      </c>
      <c r="AE13" s="31">
        <f t="shared" si="5"/>
        <v>38.999999999999993</v>
      </c>
      <c r="AF13" s="31">
        <f t="shared" si="5"/>
        <v>113.71428571428571</v>
      </c>
    </row>
    <row r="14" spans="2:32" ht="23.1" customHeight="1" x14ac:dyDescent="0.25">
      <c r="B14" s="23" t="s">
        <v>41</v>
      </c>
      <c r="C14" s="49">
        <f>'Avg Week Koboko-Yumbe'!C14+'Avg Week Yumbe-Koboko'!C14</f>
        <v>4</v>
      </c>
      <c r="D14" s="49">
        <f>'Avg Week Koboko-Yumbe'!D14+'Avg Week Yumbe-Koboko'!D14</f>
        <v>0.14285714285714285</v>
      </c>
      <c r="E14" s="49">
        <f>'Avg Week Koboko-Yumbe'!E14+'Avg Week Yumbe-Koboko'!E14</f>
        <v>1.7142857142857144</v>
      </c>
      <c r="F14" s="49">
        <f>'Avg Week Koboko-Yumbe'!F14+'Avg Week Yumbe-Koboko'!F14</f>
        <v>0.5714285714285714</v>
      </c>
      <c r="G14" s="49">
        <f>'Avg Week Koboko-Yumbe'!G14+'Avg Week Yumbe-Koboko'!G14</f>
        <v>0</v>
      </c>
      <c r="H14" s="49">
        <f>'Avg Week Koboko-Yumbe'!H14+'Avg Week Yumbe-Koboko'!H14</f>
        <v>0.2857142857142857</v>
      </c>
      <c r="I14" s="49">
        <f>'Avg Week Koboko-Yumbe'!I14+'Avg Week Yumbe-Koboko'!I14</f>
        <v>0.5714285714285714</v>
      </c>
      <c r="J14" s="49">
        <f>'Avg Week Koboko-Yumbe'!J14+'Avg Week Yumbe-Koboko'!J14</f>
        <v>0</v>
      </c>
      <c r="K14" s="49">
        <f>'Avg Week Koboko-Yumbe'!K14+'Avg Week Yumbe-Koboko'!K14</f>
        <v>0</v>
      </c>
      <c r="L14" s="49">
        <f>'Avg Week Koboko-Yumbe'!L14+'Avg Week Yumbe-Koboko'!L14</f>
        <v>0.14285714285714285</v>
      </c>
      <c r="M14" s="49">
        <f>'Avg Week Koboko-Yumbe'!M14+'Avg Week Yumbe-Koboko'!M14</f>
        <v>19.714285714285715</v>
      </c>
      <c r="N14" s="49">
        <f>'Avg Week Koboko-Yumbe'!N14+'Avg Week Yumbe-Koboko'!N14</f>
        <v>0</v>
      </c>
      <c r="O14" s="15">
        <f t="shared" si="0"/>
        <v>7.4285714285714288</v>
      </c>
      <c r="P14" s="15">
        <f t="shared" si="1"/>
        <v>27.142857142857146</v>
      </c>
      <c r="R14" s="1" t="s">
        <v>10</v>
      </c>
      <c r="S14" s="17">
        <f t="shared" ref="S14:AF14" si="6">SUM(C26:C29)</f>
        <v>13.714285714285712</v>
      </c>
      <c r="T14" s="17">
        <f t="shared" si="6"/>
        <v>2.4285714285714288</v>
      </c>
      <c r="U14" s="17">
        <f t="shared" si="6"/>
        <v>7.1428571428571423</v>
      </c>
      <c r="V14" s="17">
        <f t="shared" si="6"/>
        <v>2.2857142857142856</v>
      </c>
      <c r="W14" s="17">
        <f t="shared" si="6"/>
        <v>0.14285714285714285</v>
      </c>
      <c r="X14" s="17">
        <f t="shared" si="6"/>
        <v>0.5714285714285714</v>
      </c>
      <c r="Y14" s="17">
        <f t="shared" si="6"/>
        <v>2.714285714285714</v>
      </c>
      <c r="Z14" s="17">
        <f t="shared" si="6"/>
        <v>1</v>
      </c>
      <c r="AA14" s="17">
        <f t="shared" si="6"/>
        <v>0.2857142857142857</v>
      </c>
      <c r="AB14" s="17">
        <f t="shared" si="6"/>
        <v>0.2857142857142857</v>
      </c>
      <c r="AC14" s="17">
        <f t="shared" si="6"/>
        <v>75.857142857142861</v>
      </c>
      <c r="AD14" s="17">
        <f t="shared" si="6"/>
        <v>0.2857142857142857</v>
      </c>
      <c r="AE14" s="31">
        <f t="shared" si="6"/>
        <v>30.857142857142861</v>
      </c>
      <c r="AF14" s="31">
        <f t="shared" si="6"/>
        <v>106.71428571428572</v>
      </c>
    </row>
    <row r="15" spans="2:32" ht="23.1" customHeight="1" x14ac:dyDescent="0.25">
      <c r="B15" s="23" t="s">
        <v>42</v>
      </c>
      <c r="C15" s="49">
        <f>'Avg Week Koboko-Yumbe'!C15+'Avg Week Yumbe-Koboko'!C15</f>
        <v>3.4285714285714288</v>
      </c>
      <c r="D15" s="49">
        <f>'Avg Week Koboko-Yumbe'!D15+'Avg Week Yumbe-Koboko'!D15</f>
        <v>0.2857142857142857</v>
      </c>
      <c r="E15" s="49">
        <f>'Avg Week Koboko-Yumbe'!E15+'Avg Week Yumbe-Koboko'!E15</f>
        <v>1.4285714285714286</v>
      </c>
      <c r="F15" s="49">
        <f>'Avg Week Koboko-Yumbe'!F15+'Avg Week Yumbe-Koboko'!F15</f>
        <v>0.14285714285714285</v>
      </c>
      <c r="G15" s="49">
        <f>'Avg Week Koboko-Yumbe'!G15+'Avg Week Yumbe-Koboko'!G15</f>
        <v>0</v>
      </c>
      <c r="H15" s="49">
        <f>'Avg Week Koboko-Yumbe'!H15+'Avg Week Yumbe-Koboko'!H15</f>
        <v>0.14285714285714285</v>
      </c>
      <c r="I15" s="49">
        <f>'Avg Week Koboko-Yumbe'!I15+'Avg Week Yumbe-Koboko'!I15</f>
        <v>0.2857142857142857</v>
      </c>
      <c r="J15" s="49">
        <f>'Avg Week Koboko-Yumbe'!J15+'Avg Week Yumbe-Koboko'!J15</f>
        <v>0.14285714285714285</v>
      </c>
      <c r="K15" s="49">
        <f>'Avg Week Koboko-Yumbe'!K15+'Avg Week Yumbe-Koboko'!K15</f>
        <v>0.14285714285714285</v>
      </c>
      <c r="L15" s="49">
        <f>'Avg Week Koboko-Yumbe'!L15+'Avg Week Yumbe-Koboko'!L15</f>
        <v>0.14285714285714285</v>
      </c>
      <c r="M15" s="49">
        <f>'Avg Week Koboko-Yumbe'!M15+'Avg Week Yumbe-Koboko'!M15</f>
        <v>18.714285714285715</v>
      </c>
      <c r="N15" s="49">
        <f>'Avg Week Koboko-Yumbe'!N15+'Avg Week Yumbe-Koboko'!N15</f>
        <v>0</v>
      </c>
      <c r="O15" s="15">
        <f t="shared" si="0"/>
        <v>6.142857142857145</v>
      </c>
      <c r="P15" s="15">
        <f t="shared" si="1"/>
        <v>24.857142857142861</v>
      </c>
      <c r="R15" s="1" t="s">
        <v>11</v>
      </c>
      <c r="S15" s="17">
        <f t="shared" ref="S15:AF15" si="7">SUM(C30:C33)</f>
        <v>12.714285714285715</v>
      </c>
      <c r="T15" s="17">
        <f t="shared" si="7"/>
        <v>2</v>
      </c>
      <c r="U15" s="17">
        <f t="shared" si="7"/>
        <v>8.428571428571427</v>
      </c>
      <c r="V15" s="17">
        <f t="shared" si="7"/>
        <v>3.7142857142857144</v>
      </c>
      <c r="W15" s="17">
        <f t="shared" si="7"/>
        <v>0</v>
      </c>
      <c r="X15" s="17">
        <f t="shared" si="7"/>
        <v>0.42857142857142855</v>
      </c>
      <c r="Y15" s="17">
        <f t="shared" si="7"/>
        <v>3.2857142857142856</v>
      </c>
      <c r="Z15" s="17">
        <f t="shared" si="7"/>
        <v>0.2857142857142857</v>
      </c>
      <c r="AA15" s="17">
        <f t="shared" si="7"/>
        <v>0</v>
      </c>
      <c r="AB15" s="17">
        <f t="shared" si="7"/>
        <v>0.71428571428571419</v>
      </c>
      <c r="AC15" s="17">
        <f t="shared" si="7"/>
        <v>75.428571428571431</v>
      </c>
      <c r="AD15" s="17">
        <f t="shared" si="7"/>
        <v>0.14285714285714285</v>
      </c>
      <c r="AE15" s="31">
        <f t="shared" si="7"/>
        <v>31.714285714285715</v>
      </c>
      <c r="AF15" s="31">
        <f t="shared" si="7"/>
        <v>107.14285714285714</v>
      </c>
    </row>
    <row r="16" spans="2:32" ht="23.1" customHeight="1" x14ac:dyDescent="0.25">
      <c r="B16" s="23" t="s">
        <v>43</v>
      </c>
      <c r="C16" s="49">
        <f>'Avg Week Koboko-Yumbe'!C16+'Avg Week Yumbe-Koboko'!C16</f>
        <v>3.4285714285714288</v>
      </c>
      <c r="D16" s="49">
        <f>'Avg Week Koboko-Yumbe'!D16+'Avg Week Yumbe-Koboko'!D16</f>
        <v>1</v>
      </c>
      <c r="E16" s="49">
        <f>'Avg Week Koboko-Yumbe'!E16+'Avg Week Yumbe-Koboko'!E16</f>
        <v>2.8571428571428572</v>
      </c>
      <c r="F16" s="49">
        <f>'Avg Week Koboko-Yumbe'!F16+'Avg Week Yumbe-Koboko'!F16</f>
        <v>0.42857142857142855</v>
      </c>
      <c r="G16" s="49">
        <f>'Avg Week Koboko-Yumbe'!G16+'Avg Week Yumbe-Koboko'!G16</f>
        <v>0.2857142857142857</v>
      </c>
      <c r="H16" s="49">
        <f>'Avg Week Koboko-Yumbe'!H16+'Avg Week Yumbe-Koboko'!H16</f>
        <v>0</v>
      </c>
      <c r="I16" s="49">
        <f>'Avg Week Koboko-Yumbe'!I16+'Avg Week Yumbe-Koboko'!I16</f>
        <v>0.5714285714285714</v>
      </c>
      <c r="J16" s="49">
        <f>'Avg Week Koboko-Yumbe'!J16+'Avg Week Yumbe-Koboko'!J16</f>
        <v>0.2857142857142857</v>
      </c>
      <c r="K16" s="49">
        <f>'Avg Week Koboko-Yumbe'!K16+'Avg Week Yumbe-Koboko'!K16</f>
        <v>0</v>
      </c>
      <c r="L16" s="49">
        <f>'Avg Week Koboko-Yumbe'!L16+'Avg Week Yumbe-Koboko'!L16</f>
        <v>0.14285714285714285</v>
      </c>
      <c r="M16" s="49">
        <f>'Avg Week Koboko-Yumbe'!M16+'Avg Week Yumbe-Koboko'!M16</f>
        <v>17.714285714285715</v>
      </c>
      <c r="N16" s="49">
        <f>'Avg Week Koboko-Yumbe'!N16+'Avg Week Yumbe-Koboko'!N16</f>
        <v>0</v>
      </c>
      <c r="O16" s="15">
        <f t="shared" si="0"/>
        <v>9.0000000000000018</v>
      </c>
      <c r="P16" s="15">
        <f t="shared" si="1"/>
        <v>26.714285714285715</v>
      </c>
      <c r="R16" s="1" t="s">
        <v>12</v>
      </c>
      <c r="S16" s="17">
        <f t="shared" ref="S16:AF16" si="8">SUM(C34:C37)</f>
        <v>15</v>
      </c>
      <c r="T16" s="17">
        <f t="shared" si="8"/>
        <v>1.857142857142857</v>
      </c>
      <c r="U16" s="17">
        <f t="shared" si="8"/>
        <v>8.1428571428571423</v>
      </c>
      <c r="V16" s="17">
        <f t="shared" si="8"/>
        <v>1.5714285714285714</v>
      </c>
      <c r="W16" s="17">
        <f t="shared" si="8"/>
        <v>0.14285714285714285</v>
      </c>
      <c r="X16" s="17">
        <f t="shared" si="8"/>
        <v>0.2857142857142857</v>
      </c>
      <c r="Y16" s="17">
        <f t="shared" si="8"/>
        <v>2.8571428571428568</v>
      </c>
      <c r="Z16" s="17">
        <f t="shared" si="8"/>
        <v>0.5714285714285714</v>
      </c>
      <c r="AA16" s="17">
        <f t="shared" si="8"/>
        <v>0</v>
      </c>
      <c r="AB16" s="17">
        <f t="shared" si="8"/>
        <v>1.2857142857142856</v>
      </c>
      <c r="AC16" s="17">
        <f t="shared" si="8"/>
        <v>60</v>
      </c>
      <c r="AD16" s="17">
        <f t="shared" si="8"/>
        <v>0.2857142857142857</v>
      </c>
      <c r="AE16" s="31">
        <f t="shared" si="8"/>
        <v>32</v>
      </c>
      <c r="AF16" s="31">
        <f t="shared" si="8"/>
        <v>92</v>
      </c>
    </row>
    <row r="17" spans="2:32" ht="23.1" customHeight="1" x14ac:dyDescent="0.25">
      <c r="B17" s="23" t="s">
        <v>44</v>
      </c>
      <c r="C17" s="49">
        <f>'Avg Week Koboko-Yumbe'!C17+'Avg Week Yumbe-Koboko'!C17</f>
        <v>3.5714285714285716</v>
      </c>
      <c r="D17" s="49">
        <f>'Avg Week Koboko-Yumbe'!D17+'Avg Week Yumbe-Koboko'!D17</f>
        <v>1.2857142857142858</v>
      </c>
      <c r="E17" s="49">
        <f>'Avg Week Koboko-Yumbe'!E17+'Avg Week Yumbe-Koboko'!E17</f>
        <v>3</v>
      </c>
      <c r="F17" s="49">
        <f>'Avg Week Koboko-Yumbe'!F17+'Avg Week Yumbe-Koboko'!F17</f>
        <v>0.2857142857142857</v>
      </c>
      <c r="G17" s="49">
        <f>'Avg Week Koboko-Yumbe'!G17+'Avg Week Yumbe-Koboko'!G17</f>
        <v>0.42857142857142855</v>
      </c>
      <c r="H17" s="49">
        <f>'Avg Week Koboko-Yumbe'!H17+'Avg Week Yumbe-Koboko'!H17</f>
        <v>0</v>
      </c>
      <c r="I17" s="49">
        <f>'Avg Week Koboko-Yumbe'!I17+'Avg Week Yumbe-Koboko'!I17</f>
        <v>1</v>
      </c>
      <c r="J17" s="49">
        <f>'Avg Week Koboko-Yumbe'!J17+'Avg Week Yumbe-Koboko'!J17</f>
        <v>1.4285714285714286</v>
      </c>
      <c r="K17" s="49">
        <f>'Avg Week Koboko-Yumbe'!K17+'Avg Week Yumbe-Koboko'!K17</f>
        <v>0.2857142857142857</v>
      </c>
      <c r="L17" s="49">
        <f>'Avg Week Koboko-Yumbe'!L17+'Avg Week Yumbe-Koboko'!L17</f>
        <v>0.2857142857142857</v>
      </c>
      <c r="M17" s="49">
        <f>'Avg Week Koboko-Yumbe'!M17+'Avg Week Yumbe-Koboko'!M17</f>
        <v>22</v>
      </c>
      <c r="N17" s="49">
        <f>'Avg Week Koboko-Yumbe'!N17+'Avg Week Yumbe-Koboko'!N17</f>
        <v>0</v>
      </c>
      <c r="O17" s="15">
        <f t="shared" si="0"/>
        <v>11.571428571428575</v>
      </c>
      <c r="P17" s="15">
        <f t="shared" si="1"/>
        <v>33.571428571428577</v>
      </c>
      <c r="R17" s="1" t="s">
        <v>13</v>
      </c>
      <c r="S17" s="17">
        <f t="shared" ref="S17:AF17" si="9">SUM(C38:C41)</f>
        <v>16</v>
      </c>
      <c r="T17" s="17">
        <f t="shared" si="9"/>
        <v>0.5714285714285714</v>
      </c>
      <c r="U17" s="17">
        <f t="shared" si="9"/>
        <v>7.5714285714285712</v>
      </c>
      <c r="V17" s="17">
        <f t="shared" si="9"/>
        <v>1</v>
      </c>
      <c r="W17" s="17">
        <f t="shared" si="9"/>
        <v>0</v>
      </c>
      <c r="X17" s="17">
        <f t="shared" si="9"/>
        <v>0.14285714285714285</v>
      </c>
      <c r="Y17" s="17">
        <f t="shared" si="9"/>
        <v>2</v>
      </c>
      <c r="Z17" s="17">
        <f t="shared" si="9"/>
        <v>0.5714285714285714</v>
      </c>
      <c r="AA17" s="17">
        <f t="shared" si="9"/>
        <v>0.14285714285714285</v>
      </c>
      <c r="AB17" s="17">
        <f t="shared" si="9"/>
        <v>0.5714285714285714</v>
      </c>
      <c r="AC17" s="17">
        <f t="shared" si="9"/>
        <v>53.714285714285708</v>
      </c>
      <c r="AD17" s="17">
        <f t="shared" si="9"/>
        <v>0.2857142857142857</v>
      </c>
      <c r="AE17" s="31">
        <f t="shared" si="9"/>
        <v>28.857142857142861</v>
      </c>
      <c r="AF17" s="31">
        <f t="shared" si="9"/>
        <v>82.571428571428569</v>
      </c>
    </row>
    <row r="18" spans="2:32" ht="23.1" customHeight="1" x14ac:dyDescent="0.25">
      <c r="B18" s="23" t="s">
        <v>45</v>
      </c>
      <c r="C18" s="49">
        <f>'Avg Week Koboko-Yumbe'!C18+'Avg Week Yumbe-Koboko'!C18</f>
        <v>3.7142857142857144</v>
      </c>
      <c r="D18" s="49">
        <f>'Avg Week Koboko-Yumbe'!D18+'Avg Week Yumbe-Koboko'!D18</f>
        <v>0.71428571428571419</v>
      </c>
      <c r="E18" s="49">
        <f>'Avg Week Koboko-Yumbe'!E18+'Avg Week Yumbe-Koboko'!E18</f>
        <v>2.5714285714285716</v>
      </c>
      <c r="F18" s="49">
        <f>'Avg Week Koboko-Yumbe'!F18+'Avg Week Yumbe-Koboko'!F18</f>
        <v>0.14285714285714285</v>
      </c>
      <c r="G18" s="49">
        <f>'Avg Week Koboko-Yumbe'!G18+'Avg Week Yumbe-Koboko'!G18</f>
        <v>0</v>
      </c>
      <c r="H18" s="49">
        <f>'Avg Week Koboko-Yumbe'!H18+'Avg Week Yumbe-Koboko'!H18</f>
        <v>1.1428571428571428</v>
      </c>
      <c r="I18" s="49">
        <f>'Avg Week Koboko-Yumbe'!I18+'Avg Week Yumbe-Koboko'!I18</f>
        <v>0.85714285714285721</v>
      </c>
      <c r="J18" s="49">
        <f>'Avg Week Koboko-Yumbe'!J18+'Avg Week Yumbe-Koboko'!J18</f>
        <v>0.2857142857142857</v>
      </c>
      <c r="K18" s="49">
        <f>'Avg Week Koboko-Yumbe'!K18+'Avg Week Yumbe-Koboko'!K18</f>
        <v>0</v>
      </c>
      <c r="L18" s="49">
        <f>'Avg Week Koboko-Yumbe'!L18+'Avg Week Yumbe-Koboko'!L18</f>
        <v>0.2857142857142857</v>
      </c>
      <c r="M18" s="49">
        <f>'Avg Week Koboko-Yumbe'!M18+'Avg Week Yumbe-Koboko'!M18</f>
        <v>19.428571428571431</v>
      </c>
      <c r="N18" s="49">
        <f>'Avg Week Koboko-Yumbe'!N18+'Avg Week Yumbe-Koboko'!N18</f>
        <v>0</v>
      </c>
      <c r="O18" s="15">
        <f t="shared" si="0"/>
        <v>9.7142857142857171</v>
      </c>
      <c r="P18" s="15">
        <f t="shared" si="1"/>
        <v>29.142857142857146</v>
      </c>
      <c r="R18" s="1" t="s">
        <v>14</v>
      </c>
      <c r="S18" s="17">
        <f t="shared" ref="S18:AF18" si="10">SUM(C42:C45)</f>
        <v>17</v>
      </c>
      <c r="T18" s="17">
        <f t="shared" si="10"/>
        <v>1.2857142857142856</v>
      </c>
      <c r="U18" s="17">
        <f t="shared" si="10"/>
        <v>7.5714285714285712</v>
      </c>
      <c r="V18" s="17">
        <f t="shared" si="10"/>
        <v>2.2857142857142856</v>
      </c>
      <c r="W18" s="17">
        <f t="shared" si="10"/>
        <v>0.42857142857142855</v>
      </c>
      <c r="X18" s="17">
        <f t="shared" si="10"/>
        <v>0.2857142857142857</v>
      </c>
      <c r="Y18" s="17">
        <f t="shared" si="10"/>
        <v>2.7142857142857144</v>
      </c>
      <c r="Z18" s="17">
        <f t="shared" si="10"/>
        <v>0.14285714285714285</v>
      </c>
      <c r="AA18" s="17">
        <f t="shared" si="10"/>
        <v>0.14285714285714285</v>
      </c>
      <c r="AB18" s="17">
        <f t="shared" si="10"/>
        <v>0.71428571428571419</v>
      </c>
      <c r="AC18" s="17">
        <f t="shared" si="10"/>
        <v>70.428571428571416</v>
      </c>
      <c r="AD18" s="17">
        <f t="shared" si="10"/>
        <v>0</v>
      </c>
      <c r="AE18" s="31">
        <f t="shared" si="10"/>
        <v>32.571428571428569</v>
      </c>
      <c r="AF18" s="31">
        <f t="shared" si="10"/>
        <v>102.99999999999999</v>
      </c>
    </row>
    <row r="19" spans="2:32" ht="23.1" customHeight="1" x14ac:dyDescent="0.25">
      <c r="B19" s="23" t="s">
        <v>46</v>
      </c>
      <c r="C19" s="49">
        <f>'Avg Week Koboko-Yumbe'!C19+'Avg Week Yumbe-Koboko'!C19</f>
        <v>4.5714285714285712</v>
      </c>
      <c r="D19" s="49">
        <f>'Avg Week Koboko-Yumbe'!D19+'Avg Week Yumbe-Koboko'!D19</f>
        <v>0.8571428571428571</v>
      </c>
      <c r="E19" s="49">
        <f>'Avg Week Koboko-Yumbe'!E19+'Avg Week Yumbe-Koboko'!E19</f>
        <v>2.2857142857142856</v>
      </c>
      <c r="F19" s="49">
        <f>'Avg Week Koboko-Yumbe'!F19+'Avg Week Yumbe-Koboko'!F19</f>
        <v>0.42857142857142855</v>
      </c>
      <c r="G19" s="49">
        <f>'Avg Week Koboko-Yumbe'!G19+'Avg Week Yumbe-Koboko'!G19</f>
        <v>0.14285714285714285</v>
      </c>
      <c r="H19" s="49">
        <f>'Avg Week Koboko-Yumbe'!H19+'Avg Week Yumbe-Koboko'!H19</f>
        <v>0.42857142857142855</v>
      </c>
      <c r="I19" s="49">
        <f>'Avg Week Koboko-Yumbe'!I19+'Avg Week Yumbe-Koboko'!I19</f>
        <v>0.5714285714285714</v>
      </c>
      <c r="J19" s="49">
        <f>'Avg Week Koboko-Yumbe'!J19+'Avg Week Yumbe-Koboko'!J19</f>
        <v>0.14285714285714285</v>
      </c>
      <c r="K19" s="49">
        <f>'Avg Week Koboko-Yumbe'!K19+'Avg Week Yumbe-Koboko'!K19</f>
        <v>0.14285714285714285</v>
      </c>
      <c r="L19" s="49">
        <f>'Avg Week Koboko-Yumbe'!L19+'Avg Week Yumbe-Koboko'!L19</f>
        <v>0.14285714285714285</v>
      </c>
      <c r="M19" s="49">
        <f>'Avg Week Koboko-Yumbe'!M19+'Avg Week Yumbe-Koboko'!M19</f>
        <v>17.571428571428569</v>
      </c>
      <c r="N19" s="49">
        <f>'Avg Week Koboko-Yumbe'!N19+'Avg Week Yumbe-Koboko'!N19</f>
        <v>0</v>
      </c>
      <c r="O19" s="15">
        <f t="shared" si="0"/>
        <v>9.7142857142857117</v>
      </c>
      <c r="P19" s="15">
        <f t="shared" si="1"/>
        <v>27.285714285714281</v>
      </c>
      <c r="R19" s="1" t="s">
        <v>15</v>
      </c>
      <c r="S19" s="17">
        <f t="shared" ref="S19:AF19" si="11">SUM(C46:C49)</f>
        <v>17.714285714285712</v>
      </c>
      <c r="T19" s="17">
        <f t="shared" si="11"/>
        <v>2.1428571428571428</v>
      </c>
      <c r="U19" s="17">
        <f t="shared" si="11"/>
        <v>10.285714285714285</v>
      </c>
      <c r="V19" s="17">
        <f t="shared" si="11"/>
        <v>2.5714285714285712</v>
      </c>
      <c r="W19" s="17">
        <f t="shared" si="11"/>
        <v>0.2857142857142857</v>
      </c>
      <c r="X19" s="17">
        <f t="shared" si="11"/>
        <v>1</v>
      </c>
      <c r="Y19" s="17">
        <f t="shared" si="11"/>
        <v>1.857142857142857</v>
      </c>
      <c r="Z19" s="17">
        <f t="shared" si="11"/>
        <v>1.1428571428571428</v>
      </c>
      <c r="AA19" s="17">
        <f t="shared" si="11"/>
        <v>0.2857142857142857</v>
      </c>
      <c r="AB19" s="17">
        <f t="shared" si="11"/>
        <v>0.42857142857142855</v>
      </c>
      <c r="AC19" s="17">
        <f t="shared" si="11"/>
        <v>63.142857142857146</v>
      </c>
      <c r="AD19" s="17">
        <f t="shared" si="11"/>
        <v>0</v>
      </c>
      <c r="AE19" s="31">
        <f t="shared" si="11"/>
        <v>37.714285714285715</v>
      </c>
      <c r="AF19" s="31">
        <f t="shared" si="11"/>
        <v>100.85714285714286</v>
      </c>
    </row>
    <row r="20" spans="2:32" ht="23.1" customHeight="1" x14ac:dyDescent="0.25">
      <c r="B20" s="23" t="s">
        <v>47</v>
      </c>
      <c r="C20" s="49">
        <f>'Avg Week Koboko-Yumbe'!C20+'Avg Week Yumbe-Koboko'!C20</f>
        <v>6.1428571428571423</v>
      </c>
      <c r="D20" s="49">
        <f>'Avg Week Koboko-Yumbe'!D20+'Avg Week Yumbe-Koboko'!D20</f>
        <v>0.8571428571428571</v>
      </c>
      <c r="E20" s="49">
        <f>'Avg Week Koboko-Yumbe'!E20+'Avg Week Yumbe-Koboko'!E20</f>
        <v>2.5714285714285712</v>
      </c>
      <c r="F20" s="49">
        <f>'Avg Week Koboko-Yumbe'!F20+'Avg Week Yumbe-Koboko'!F20</f>
        <v>0.71428571428571419</v>
      </c>
      <c r="G20" s="49">
        <f>'Avg Week Koboko-Yumbe'!G20+'Avg Week Yumbe-Koboko'!G20</f>
        <v>0.14285714285714285</v>
      </c>
      <c r="H20" s="49">
        <f>'Avg Week Koboko-Yumbe'!H20+'Avg Week Yumbe-Koboko'!H20</f>
        <v>0.42857142857142855</v>
      </c>
      <c r="I20" s="49">
        <f>'Avg Week Koboko-Yumbe'!I20+'Avg Week Yumbe-Koboko'!I20</f>
        <v>0.5714285714285714</v>
      </c>
      <c r="J20" s="49">
        <f>'Avg Week Koboko-Yumbe'!J20+'Avg Week Yumbe-Koboko'!J20</f>
        <v>0</v>
      </c>
      <c r="K20" s="49">
        <f>'Avg Week Koboko-Yumbe'!K20+'Avg Week Yumbe-Koboko'!K20</f>
        <v>0.14285714285714285</v>
      </c>
      <c r="L20" s="49">
        <f>'Avg Week Koboko-Yumbe'!L20+'Avg Week Yumbe-Koboko'!L20</f>
        <v>0.14285714285714285</v>
      </c>
      <c r="M20" s="49">
        <f>'Avg Week Koboko-Yumbe'!M20+'Avg Week Yumbe-Koboko'!M20</f>
        <v>21.142857142857146</v>
      </c>
      <c r="N20" s="49">
        <f>'Avg Week Koboko-Yumbe'!N20+'Avg Week Yumbe-Koboko'!N20</f>
        <v>0</v>
      </c>
      <c r="O20" s="15">
        <f t="shared" si="0"/>
        <v>11.71428571428571</v>
      </c>
      <c r="P20" s="15">
        <f t="shared" si="1"/>
        <v>32.857142857142854</v>
      </c>
      <c r="R20" s="1" t="s">
        <v>16</v>
      </c>
      <c r="S20" s="17">
        <f t="shared" ref="S20:AF20" si="12">SUM(C50:C53)</f>
        <v>20.142857142857142</v>
      </c>
      <c r="T20" s="17">
        <f t="shared" si="12"/>
        <v>2.1428571428571428</v>
      </c>
      <c r="U20" s="17">
        <f t="shared" si="12"/>
        <v>9.8571428571428559</v>
      </c>
      <c r="V20" s="17">
        <f t="shared" si="12"/>
        <v>1.857142857142857</v>
      </c>
      <c r="W20" s="17">
        <f t="shared" si="12"/>
        <v>0.2857142857142857</v>
      </c>
      <c r="X20" s="17">
        <f t="shared" si="12"/>
        <v>0.8571428571428571</v>
      </c>
      <c r="Y20" s="17">
        <f t="shared" si="12"/>
        <v>2.8571428571428572</v>
      </c>
      <c r="Z20" s="17">
        <f t="shared" si="12"/>
        <v>1</v>
      </c>
      <c r="AA20" s="17">
        <f t="shared" si="12"/>
        <v>0.14285714285714285</v>
      </c>
      <c r="AB20" s="17">
        <f t="shared" si="12"/>
        <v>0.71428571428571419</v>
      </c>
      <c r="AC20" s="17">
        <f t="shared" si="12"/>
        <v>77.285714285714292</v>
      </c>
      <c r="AD20" s="17">
        <f t="shared" si="12"/>
        <v>0.5714285714285714</v>
      </c>
      <c r="AE20" s="31">
        <f t="shared" si="12"/>
        <v>40.428571428571423</v>
      </c>
      <c r="AF20" s="31">
        <f t="shared" si="12"/>
        <v>117.71428571428572</v>
      </c>
    </row>
    <row r="21" spans="2:32" ht="23.1" customHeight="1" x14ac:dyDescent="0.25">
      <c r="B21" s="23" t="s">
        <v>48</v>
      </c>
      <c r="C21" s="49">
        <f>'Avg Week Koboko-Yumbe'!C21+'Avg Week Yumbe-Koboko'!C21</f>
        <v>3.8571428571428568</v>
      </c>
      <c r="D21" s="49">
        <f>'Avg Week Koboko-Yumbe'!D21+'Avg Week Yumbe-Koboko'!D21</f>
        <v>0.42857142857142855</v>
      </c>
      <c r="E21" s="49">
        <f>'Avg Week Koboko-Yumbe'!E21+'Avg Week Yumbe-Koboko'!E21</f>
        <v>1.8571428571428572</v>
      </c>
      <c r="F21" s="49">
        <f>'Avg Week Koboko-Yumbe'!F21+'Avg Week Yumbe-Koboko'!F21</f>
        <v>0.5714285714285714</v>
      </c>
      <c r="G21" s="49">
        <f>'Avg Week Koboko-Yumbe'!G21+'Avg Week Yumbe-Koboko'!G21</f>
        <v>0.14285714285714285</v>
      </c>
      <c r="H21" s="49">
        <f>'Avg Week Koboko-Yumbe'!H21+'Avg Week Yumbe-Koboko'!H21</f>
        <v>0.14285714285714285</v>
      </c>
      <c r="I21" s="49">
        <f>'Avg Week Koboko-Yumbe'!I21+'Avg Week Yumbe-Koboko'!I21</f>
        <v>1.1428571428571428</v>
      </c>
      <c r="J21" s="49">
        <f>'Avg Week Koboko-Yumbe'!J21+'Avg Week Yumbe-Koboko'!J21</f>
        <v>0.14285714285714285</v>
      </c>
      <c r="K21" s="49">
        <f>'Avg Week Koboko-Yumbe'!K21+'Avg Week Yumbe-Koboko'!K21</f>
        <v>0.14285714285714285</v>
      </c>
      <c r="L21" s="49">
        <f>'Avg Week Koboko-Yumbe'!L21+'Avg Week Yumbe-Koboko'!L21</f>
        <v>0.2857142857142857</v>
      </c>
      <c r="M21" s="49">
        <f>'Avg Week Koboko-Yumbe'!M21+'Avg Week Yumbe-Koboko'!M21</f>
        <v>18.714285714285715</v>
      </c>
      <c r="N21" s="49">
        <f>'Avg Week Koboko-Yumbe'!N21+'Avg Week Yumbe-Koboko'!N21</f>
        <v>0.14285714285714285</v>
      </c>
      <c r="O21" s="15">
        <f t="shared" si="0"/>
        <v>8.8571428571428559</v>
      </c>
      <c r="P21" s="15">
        <f t="shared" si="1"/>
        <v>27.571428571428573</v>
      </c>
      <c r="R21" s="1" t="s">
        <v>20</v>
      </c>
      <c r="S21" s="34">
        <f t="shared" ref="S21:AF21" si="13">SUM(C54:C57)</f>
        <v>21.142857142857139</v>
      </c>
      <c r="T21" s="17">
        <f t="shared" si="13"/>
        <v>2.4285714285714284</v>
      </c>
      <c r="U21" s="17">
        <f t="shared" si="13"/>
        <v>11.857142857142858</v>
      </c>
      <c r="V21" s="17">
        <f t="shared" si="13"/>
        <v>2.666666666666667</v>
      </c>
      <c r="W21" s="17">
        <f t="shared" si="13"/>
        <v>1.1428571428571428</v>
      </c>
      <c r="X21" s="17">
        <f t="shared" si="13"/>
        <v>1.7142857142857142</v>
      </c>
      <c r="Y21" s="17">
        <f t="shared" si="13"/>
        <v>3.1428571428571428</v>
      </c>
      <c r="Z21" s="17">
        <f t="shared" si="13"/>
        <v>1</v>
      </c>
      <c r="AA21" s="17">
        <f t="shared" si="13"/>
        <v>0.14285714285714285</v>
      </c>
      <c r="AB21" s="17">
        <f t="shared" si="13"/>
        <v>0.71428571428571419</v>
      </c>
      <c r="AC21" s="17">
        <f t="shared" si="13"/>
        <v>86.285714285714278</v>
      </c>
      <c r="AD21" s="17">
        <f t="shared" si="13"/>
        <v>0.42857142857142855</v>
      </c>
      <c r="AE21" s="31">
        <f t="shared" si="13"/>
        <v>46.38095238095238</v>
      </c>
      <c r="AF21" s="31">
        <f t="shared" si="13"/>
        <v>132.66666666666666</v>
      </c>
    </row>
    <row r="22" spans="2:32" ht="23.1" customHeight="1" x14ac:dyDescent="0.25">
      <c r="B22" s="23" t="s">
        <v>49</v>
      </c>
      <c r="C22" s="49">
        <f>'Avg Week Koboko-Yumbe'!C22+'Avg Week Yumbe-Koboko'!C22</f>
        <v>3.7142857142857144</v>
      </c>
      <c r="D22" s="49">
        <f>'Avg Week Koboko-Yumbe'!D22+'Avg Week Yumbe-Koboko'!D22</f>
        <v>0.8571428571428571</v>
      </c>
      <c r="E22" s="49">
        <f>'Avg Week Koboko-Yumbe'!E22+'Avg Week Yumbe-Koboko'!E22</f>
        <v>2.7142857142857144</v>
      </c>
      <c r="F22" s="49">
        <f>'Avg Week Koboko-Yumbe'!F22+'Avg Week Yumbe-Koboko'!F22</f>
        <v>1</v>
      </c>
      <c r="G22" s="49">
        <f>'Avg Week Koboko-Yumbe'!G22+'Avg Week Yumbe-Koboko'!G22</f>
        <v>0.14285714285714285</v>
      </c>
      <c r="H22" s="49">
        <f>'Avg Week Koboko-Yumbe'!H22+'Avg Week Yumbe-Koboko'!H22</f>
        <v>0.14285714285714285</v>
      </c>
      <c r="I22" s="49">
        <f>'Avg Week Koboko-Yumbe'!I22+'Avg Week Yumbe-Koboko'!I22</f>
        <v>0.71428571428571419</v>
      </c>
      <c r="J22" s="49">
        <f>'Avg Week Koboko-Yumbe'!J22+'Avg Week Yumbe-Koboko'!J22</f>
        <v>0</v>
      </c>
      <c r="K22" s="49">
        <f>'Avg Week Koboko-Yumbe'!K22+'Avg Week Yumbe-Koboko'!K22</f>
        <v>0.14285714285714285</v>
      </c>
      <c r="L22" s="49">
        <f>'Avg Week Koboko-Yumbe'!L22+'Avg Week Yumbe-Koboko'!L22</f>
        <v>0.14285714285714285</v>
      </c>
      <c r="M22" s="49">
        <f>'Avg Week Koboko-Yumbe'!M22+'Avg Week Yumbe-Koboko'!M22</f>
        <v>17.571428571428573</v>
      </c>
      <c r="N22" s="49">
        <f>'Avg Week Koboko-Yumbe'!N22+'Avg Week Yumbe-Koboko'!N22</f>
        <v>0</v>
      </c>
      <c r="O22" s="15">
        <f t="shared" si="0"/>
        <v>9.5714285714285676</v>
      </c>
      <c r="P22" s="15">
        <f t="shared" si="1"/>
        <v>27.142857142857139</v>
      </c>
      <c r="R22" s="1" t="s">
        <v>146</v>
      </c>
      <c r="S22" s="34">
        <f>SUM(C58:C61)</f>
        <v>13</v>
      </c>
      <c r="T22" s="34">
        <f t="shared" ref="T22:AF22" si="14">SUM(D58:D61)</f>
        <v>3</v>
      </c>
      <c r="U22" s="34">
        <f t="shared" si="14"/>
        <v>10.5</v>
      </c>
      <c r="V22" s="34">
        <f t="shared" si="14"/>
        <v>7.5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0.5</v>
      </c>
      <c r="AA22" s="34">
        <f t="shared" si="14"/>
        <v>0</v>
      </c>
      <c r="AB22" s="34">
        <f t="shared" si="14"/>
        <v>0</v>
      </c>
      <c r="AC22" s="34">
        <f t="shared" si="14"/>
        <v>36</v>
      </c>
      <c r="AD22" s="34">
        <f t="shared" si="14"/>
        <v>0.5</v>
      </c>
      <c r="AE22" s="31">
        <f t="shared" si="14"/>
        <v>37</v>
      </c>
      <c r="AF22" s="31">
        <f t="shared" si="14"/>
        <v>73</v>
      </c>
    </row>
    <row r="23" spans="2:32" ht="23.1" customHeight="1" x14ac:dyDescent="0.25">
      <c r="B23" s="23" t="s">
        <v>50</v>
      </c>
      <c r="C23" s="49">
        <f>'Avg Week Koboko-Yumbe'!C23+'Avg Week Yumbe-Koboko'!C23</f>
        <v>5</v>
      </c>
      <c r="D23" s="49">
        <f>'Avg Week Koboko-Yumbe'!D23+'Avg Week Yumbe-Koboko'!D23</f>
        <v>0.71428571428571419</v>
      </c>
      <c r="E23" s="49">
        <f>'Avg Week Koboko-Yumbe'!E23+'Avg Week Yumbe-Koboko'!E23</f>
        <v>2.1428571428571428</v>
      </c>
      <c r="F23" s="49">
        <f>'Avg Week Koboko-Yumbe'!F23+'Avg Week Yumbe-Koboko'!F23</f>
        <v>0.7142857142857143</v>
      </c>
      <c r="G23" s="49">
        <f>'Avg Week Koboko-Yumbe'!G23+'Avg Week Yumbe-Koboko'!G23</f>
        <v>0.14285714285714285</v>
      </c>
      <c r="H23" s="49">
        <f>'Avg Week Koboko-Yumbe'!H23+'Avg Week Yumbe-Koboko'!H23</f>
        <v>0.14285714285714285</v>
      </c>
      <c r="I23" s="49">
        <f>'Avg Week Koboko-Yumbe'!I23+'Avg Week Yumbe-Koboko'!I23</f>
        <v>0.7142857142857143</v>
      </c>
      <c r="J23" s="49">
        <f>'Avg Week Koboko-Yumbe'!J23+'Avg Week Yumbe-Koboko'!J23</f>
        <v>0.2857142857142857</v>
      </c>
      <c r="K23" s="49">
        <f>'Avg Week Koboko-Yumbe'!K23+'Avg Week Yumbe-Koboko'!K23</f>
        <v>0</v>
      </c>
      <c r="L23" s="49">
        <f>'Avg Week Koboko-Yumbe'!L23+'Avg Week Yumbe-Koboko'!L23</f>
        <v>0</v>
      </c>
      <c r="M23" s="49">
        <f>'Avg Week Koboko-Yumbe'!M23+'Avg Week Yumbe-Koboko'!M23</f>
        <v>17.714285714285715</v>
      </c>
      <c r="N23" s="49">
        <f>'Avg Week Koboko-Yumbe'!N23+'Avg Week Yumbe-Koboko'!N23</f>
        <v>0</v>
      </c>
      <c r="O23" s="15">
        <f t="shared" si="0"/>
        <v>9.8571428571428559</v>
      </c>
      <c r="P23" s="15">
        <f t="shared" si="1"/>
        <v>27.571428571428569</v>
      </c>
      <c r="R23" s="1" t="s">
        <v>147</v>
      </c>
      <c r="S23" s="34">
        <f>SUM(C62:C65)</f>
        <v>6.5</v>
      </c>
      <c r="T23" s="34">
        <f t="shared" ref="T23:AF23" si="15">SUM(D62:D65)</f>
        <v>0</v>
      </c>
      <c r="U23" s="34">
        <f t="shared" si="15"/>
        <v>4</v>
      </c>
      <c r="V23" s="34">
        <f t="shared" si="15"/>
        <v>2</v>
      </c>
      <c r="W23" s="34">
        <f t="shared" si="15"/>
        <v>1</v>
      </c>
      <c r="X23" s="34">
        <f t="shared" si="15"/>
        <v>0</v>
      </c>
      <c r="Y23" s="34">
        <f t="shared" si="15"/>
        <v>0.5</v>
      </c>
      <c r="Z23" s="34">
        <f t="shared" si="15"/>
        <v>1.5</v>
      </c>
      <c r="AA23" s="34">
        <f t="shared" si="15"/>
        <v>0.5</v>
      </c>
      <c r="AB23" s="34">
        <f t="shared" si="15"/>
        <v>0</v>
      </c>
      <c r="AC23" s="34">
        <f t="shared" si="15"/>
        <v>17.5</v>
      </c>
      <c r="AD23" s="34">
        <f t="shared" si="15"/>
        <v>0</v>
      </c>
      <c r="AE23" s="31">
        <f t="shared" si="15"/>
        <v>16</v>
      </c>
      <c r="AF23" s="31">
        <f t="shared" si="15"/>
        <v>33.5</v>
      </c>
    </row>
    <row r="24" spans="2:32" ht="23.1" customHeight="1" x14ac:dyDescent="0.25">
      <c r="B24" s="23" t="s">
        <v>51</v>
      </c>
      <c r="C24" s="49">
        <f>'Avg Week Koboko-Yumbe'!C24+'Avg Week Yumbe-Koboko'!C24</f>
        <v>4.8571428571428577</v>
      </c>
      <c r="D24" s="49">
        <f>'Avg Week Koboko-Yumbe'!D24+'Avg Week Yumbe-Koboko'!D24</f>
        <v>0.8571428571428571</v>
      </c>
      <c r="E24" s="49">
        <f>'Avg Week Koboko-Yumbe'!E24+'Avg Week Yumbe-Koboko'!E24</f>
        <v>3.2857142857142856</v>
      </c>
      <c r="F24" s="49">
        <f>'Avg Week Koboko-Yumbe'!F24+'Avg Week Yumbe-Koboko'!F24</f>
        <v>1.5714285714285714</v>
      </c>
      <c r="G24" s="49">
        <f>'Avg Week Koboko-Yumbe'!G24+'Avg Week Yumbe-Koboko'!G24</f>
        <v>0</v>
      </c>
      <c r="H24" s="49">
        <f>'Avg Week Koboko-Yumbe'!H24+'Avg Week Yumbe-Koboko'!H24</f>
        <v>0</v>
      </c>
      <c r="I24" s="49">
        <f>'Avg Week Koboko-Yumbe'!I24+'Avg Week Yumbe-Koboko'!I24</f>
        <v>1</v>
      </c>
      <c r="J24" s="49">
        <f>'Avg Week Koboko-Yumbe'!J24+'Avg Week Yumbe-Koboko'!J24</f>
        <v>0.2857142857142857</v>
      </c>
      <c r="K24" s="49">
        <f>'Avg Week Koboko-Yumbe'!K24+'Avg Week Yumbe-Koboko'!K24</f>
        <v>0</v>
      </c>
      <c r="L24" s="49">
        <f>'Avg Week Koboko-Yumbe'!L24+'Avg Week Yumbe-Koboko'!L24</f>
        <v>0</v>
      </c>
      <c r="M24" s="49">
        <f>'Avg Week Koboko-Yumbe'!M24+'Avg Week Yumbe-Koboko'!M24</f>
        <v>20.571428571428569</v>
      </c>
      <c r="N24" s="49">
        <f>'Avg Week Koboko-Yumbe'!N24+'Avg Week Yumbe-Koboko'!N24</f>
        <v>0</v>
      </c>
      <c r="O24" s="15">
        <f t="shared" si="0"/>
        <v>11.857142857142858</v>
      </c>
      <c r="P24" s="15">
        <f t="shared" si="1"/>
        <v>32.428571428571431</v>
      </c>
      <c r="R24" s="1" t="s">
        <v>148</v>
      </c>
      <c r="S24" s="34">
        <f>SUM(C66:C69)</f>
        <v>2.5</v>
      </c>
      <c r="T24" s="34">
        <f t="shared" ref="T24:AF24" si="16">SUM(D66:D69)</f>
        <v>0</v>
      </c>
      <c r="U24" s="34">
        <f t="shared" si="16"/>
        <v>0.5</v>
      </c>
      <c r="V24" s="34">
        <f t="shared" si="16"/>
        <v>1</v>
      </c>
      <c r="W24" s="34">
        <f t="shared" si="16"/>
        <v>0</v>
      </c>
      <c r="X24" s="34">
        <f t="shared" si="16"/>
        <v>0.5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7.5</v>
      </c>
      <c r="AD24" s="34">
        <f t="shared" si="16"/>
        <v>0</v>
      </c>
      <c r="AE24" s="31">
        <f t="shared" si="16"/>
        <v>5.5</v>
      </c>
      <c r="AF24" s="31">
        <f t="shared" si="16"/>
        <v>13</v>
      </c>
    </row>
    <row r="25" spans="2:32" ht="23.1" customHeight="1" x14ac:dyDescent="0.25">
      <c r="B25" s="23" t="s">
        <v>52</v>
      </c>
      <c r="C25" s="49">
        <f>'Avg Week Koboko-Yumbe'!C25+'Avg Week Yumbe-Koboko'!C25</f>
        <v>4.1428571428571423</v>
      </c>
      <c r="D25" s="49">
        <f>'Avg Week Koboko-Yumbe'!D25+'Avg Week Yumbe-Koboko'!D25</f>
        <v>0.14285714285714285</v>
      </c>
      <c r="E25" s="49">
        <f>'Avg Week Koboko-Yumbe'!E25+'Avg Week Yumbe-Koboko'!E25</f>
        <v>2</v>
      </c>
      <c r="F25" s="49">
        <f>'Avg Week Koboko-Yumbe'!F25+'Avg Week Yumbe-Koboko'!F25</f>
        <v>0.8571428571428571</v>
      </c>
      <c r="G25" s="49">
        <f>'Avg Week Koboko-Yumbe'!G25+'Avg Week Yumbe-Koboko'!G25</f>
        <v>0</v>
      </c>
      <c r="H25" s="49">
        <f>'Avg Week Koboko-Yumbe'!H25+'Avg Week Yumbe-Koboko'!H25</f>
        <v>0</v>
      </c>
      <c r="I25" s="49">
        <f>'Avg Week Koboko-Yumbe'!I25+'Avg Week Yumbe-Koboko'!I25</f>
        <v>0.14285714285714285</v>
      </c>
      <c r="J25" s="49">
        <f>'Avg Week Koboko-Yumbe'!J25+'Avg Week Yumbe-Koboko'!J25</f>
        <v>0</v>
      </c>
      <c r="K25" s="49">
        <f>'Avg Week Koboko-Yumbe'!K25+'Avg Week Yumbe-Koboko'!K25</f>
        <v>0.42857142857142855</v>
      </c>
      <c r="L25" s="49">
        <f>'Avg Week Koboko-Yumbe'!L25+'Avg Week Yumbe-Koboko'!L25</f>
        <v>0</v>
      </c>
      <c r="M25" s="49">
        <f>'Avg Week Koboko-Yumbe'!M25+'Avg Week Yumbe-Koboko'!M25</f>
        <v>18.857142857142854</v>
      </c>
      <c r="N25" s="49">
        <f>'Avg Week Koboko-Yumbe'!N25+'Avg Week Yumbe-Koboko'!N25</f>
        <v>0</v>
      </c>
      <c r="O25" s="15">
        <f t="shared" si="0"/>
        <v>7.7142857142857144</v>
      </c>
      <c r="P25" s="15">
        <f t="shared" si="1"/>
        <v>26.571428571428569</v>
      </c>
      <c r="R25" s="1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1.5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3</v>
      </c>
      <c r="AD25" s="34">
        <f t="shared" si="17"/>
        <v>0</v>
      </c>
      <c r="AE25" s="31">
        <f t="shared" si="17"/>
        <v>2.5</v>
      </c>
      <c r="AF25" s="31">
        <f t="shared" si="17"/>
        <v>5.5</v>
      </c>
    </row>
    <row r="26" spans="2:32" ht="23.1" customHeight="1" x14ac:dyDescent="0.25">
      <c r="B26" s="23" t="s">
        <v>53</v>
      </c>
      <c r="C26" s="49">
        <f>'Avg Week Koboko-Yumbe'!C26+'Avg Week Yumbe-Koboko'!C26</f>
        <v>3.8571428571428568</v>
      </c>
      <c r="D26" s="49">
        <f>'Avg Week Koboko-Yumbe'!D26+'Avg Week Yumbe-Koboko'!D26</f>
        <v>0.42857142857142855</v>
      </c>
      <c r="E26" s="49">
        <f>'Avg Week Koboko-Yumbe'!E26+'Avg Week Yumbe-Koboko'!E26</f>
        <v>1.2857142857142856</v>
      </c>
      <c r="F26" s="49">
        <f>'Avg Week Koboko-Yumbe'!F26+'Avg Week Yumbe-Koboko'!F26</f>
        <v>0.8571428571428571</v>
      </c>
      <c r="G26" s="49">
        <f>'Avg Week Koboko-Yumbe'!G26+'Avg Week Yumbe-Koboko'!G26</f>
        <v>0</v>
      </c>
      <c r="H26" s="49">
        <f>'Avg Week Koboko-Yumbe'!H26+'Avg Week Yumbe-Koboko'!H26</f>
        <v>0.14285714285714285</v>
      </c>
      <c r="I26" s="49">
        <f>'Avg Week Koboko-Yumbe'!I26+'Avg Week Yumbe-Koboko'!I26</f>
        <v>0.71428571428571419</v>
      </c>
      <c r="J26" s="49">
        <f>'Avg Week Koboko-Yumbe'!J26+'Avg Week Yumbe-Koboko'!J26</f>
        <v>0.2857142857142857</v>
      </c>
      <c r="K26" s="49">
        <f>'Avg Week Koboko-Yumbe'!K26+'Avg Week Yumbe-Koboko'!K26</f>
        <v>0</v>
      </c>
      <c r="L26" s="49">
        <f>'Avg Week Koboko-Yumbe'!L26+'Avg Week Yumbe-Koboko'!L26</f>
        <v>0.2857142857142857</v>
      </c>
      <c r="M26" s="49">
        <f>'Avg Week Koboko-Yumbe'!M26+'Avg Week Yumbe-Koboko'!M26</f>
        <v>23.571428571428569</v>
      </c>
      <c r="N26" s="49">
        <f>'Avg Week Koboko-Yumbe'!N26+'Avg Week Yumbe-Koboko'!N26</f>
        <v>0.14285714285714285</v>
      </c>
      <c r="O26" s="15">
        <f t="shared" si="0"/>
        <v>8</v>
      </c>
      <c r="P26" s="15">
        <f t="shared" si="1"/>
        <v>31.571428571428569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0.5</v>
      </c>
      <c r="AC26" s="34">
        <f t="shared" si="18"/>
        <v>2</v>
      </c>
      <c r="AD26" s="34">
        <f t="shared" si="18"/>
        <v>0</v>
      </c>
      <c r="AE26" s="31">
        <f t="shared" si="18"/>
        <v>1.5</v>
      </c>
      <c r="AF26" s="31">
        <f t="shared" si="18"/>
        <v>3.5</v>
      </c>
    </row>
    <row r="27" spans="2:32" ht="23.1" customHeight="1" x14ac:dyDescent="0.25">
      <c r="B27" s="23" t="s">
        <v>54</v>
      </c>
      <c r="C27" s="49">
        <f>'Avg Week Koboko-Yumbe'!C27+'Avg Week Yumbe-Koboko'!C27</f>
        <v>3.4285714285714284</v>
      </c>
      <c r="D27" s="49">
        <f>'Avg Week Koboko-Yumbe'!D27+'Avg Week Yumbe-Koboko'!D27</f>
        <v>0.71428571428571419</v>
      </c>
      <c r="E27" s="49">
        <f>'Avg Week Koboko-Yumbe'!E27+'Avg Week Yumbe-Koboko'!E27</f>
        <v>2.2857142857142856</v>
      </c>
      <c r="F27" s="49">
        <f>'Avg Week Koboko-Yumbe'!F27+'Avg Week Yumbe-Koboko'!F27</f>
        <v>0.14285714285714285</v>
      </c>
      <c r="G27" s="49">
        <f>'Avg Week Koboko-Yumbe'!G27+'Avg Week Yumbe-Koboko'!G27</f>
        <v>0.14285714285714285</v>
      </c>
      <c r="H27" s="49">
        <f>'Avg Week Koboko-Yumbe'!H27+'Avg Week Yumbe-Koboko'!H27</f>
        <v>0</v>
      </c>
      <c r="I27" s="49">
        <f>'Avg Week Koboko-Yumbe'!I27+'Avg Week Yumbe-Koboko'!I27</f>
        <v>0.71428571428571419</v>
      </c>
      <c r="J27" s="49">
        <f>'Avg Week Koboko-Yumbe'!J27+'Avg Week Yumbe-Koboko'!J27</f>
        <v>0</v>
      </c>
      <c r="K27" s="49">
        <f>'Avg Week Koboko-Yumbe'!K27+'Avg Week Yumbe-Koboko'!K27</f>
        <v>0.14285714285714285</v>
      </c>
      <c r="L27" s="49">
        <f>'Avg Week Koboko-Yumbe'!L27+'Avg Week Yumbe-Koboko'!L27</f>
        <v>0</v>
      </c>
      <c r="M27" s="49">
        <f>'Avg Week Koboko-Yumbe'!M27+'Avg Week Yumbe-Koboko'!M27</f>
        <v>17.285714285714285</v>
      </c>
      <c r="N27" s="49">
        <f>'Avg Week Koboko-Yumbe'!N27+'Avg Week Yumbe-Koboko'!N27</f>
        <v>0</v>
      </c>
      <c r="O27" s="15">
        <f t="shared" si="0"/>
        <v>7.5714285714285721</v>
      </c>
      <c r="P27" s="15">
        <f t="shared" si="1"/>
        <v>24.857142857142858</v>
      </c>
      <c r="R27" s="1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0.5</v>
      </c>
      <c r="AB27" s="34">
        <f t="shared" si="19"/>
        <v>0.5</v>
      </c>
      <c r="AC27" s="34">
        <f t="shared" si="19"/>
        <v>1.5</v>
      </c>
      <c r="AD27" s="34">
        <f t="shared" si="19"/>
        <v>0</v>
      </c>
      <c r="AE27" s="31">
        <f t="shared" si="19"/>
        <v>3</v>
      </c>
      <c r="AF27" s="31">
        <f t="shared" si="19"/>
        <v>4.5</v>
      </c>
    </row>
    <row r="28" spans="2:32" ht="23.1" customHeight="1" x14ac:dyDescent="0.25">
      <c r="B28" s="23" t="s">
        <v>55</v>
      </c>
      <c r="C28" s="49">
        <f>'Avg Week Koboko-Yumbe'!C28+'Avg Week Yumbe-Koboko'!C28</f>
        <v>3.5714285714285716</v>
      </c>
      <c r="D28" s="49">
        <f>'Avg Week Koboko-Yumbe'!D28+'Avg Week Yumbe-Koboko'!D28</f>
        <v>0.42857142857142855</v>
      </c>
      <c r="E28" s="49">
        <f>'Avg Week Koboko-Yumbe'!E28+'Avg Week Yumbe-Koboko'!E28</f>
        <v>1.7142857142857142</v>
      </c>
      <c r="F28" s="49">
        <f>'Avg Week Koboko-Yumbe'!F28+'Avg Week Yumbe-Koboko'!F28</f>
        <v>0.42857142857142855</v>
      </c>
      <c r="G28" s="49">
        <f>'Avg Week Koboko-Yumbe'!G28+'Avg Week Yumbe-Koboko'!G28</f>
        <v>0</v>
      </c>
      <c r="H28" s="49">
        <f>'Avg Week Koboko-Yumbe'!H28+'Avg Week Yumbe-Koboko'!H28</f>
        <v>0.42857142857142855</v>
      </c>
      <c r="I28" s="49">
        <f>'Avg Week Koboko-Yumbe'!I28+'Avg Week Yumbe-Koboko'!I28</f>
        <v>0.42857142857142855</v>
      </c>
      <c r="J28" s="49">
        <f>'Avg Week Koboko-Yumbe'!J28+'Avg Week Yumbe-Koboko'!J28</f>
        <v>0.14285714285714285</v>
      </c>
      <c r="K28" s="49">
        <f>'Avg Week Koboko-Yumbe'!K28+'Avg Week Yumbe-Koboko'!K28</f>
        <v>0.14285714285714285</v>
      </c>
      <c r="L28" s="49">
        <f>'Avg Week Koboko-Yumbe'!L28+'Avg Week Yumbe-Koboko'!L28</f>
        <v>0</v>
      </c>
      <c r="M28" s="49">
        <f>'Avg Week Koboko-Yumbe'!M28+'Avg Week Yumbe-Koboko'!M28</f>
        <v>16.571428571428573</v>
      </c>
      <c r="N28" s="49">
        <f>'Avg Week Koboko-Yumbe'!N28+'Avg Week Yumbe-Koboko'!N28</f>
        <v>0.14285714285714285</v>
      </c>
      <c r="O28" s="15">
        <f t="shared" si="0"/>
        <v>7.4285714285714306</v>
      </c>
      <c r="P28" s="15">
        <f t="shared" si="1"/>
        <v>24.000000000000004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0.5</v>
      </c>
      <c r="V28" s="34">
        <f t="shared" si="20"/>
        <v>0</v>
      </c>
      <c r="W28" s="34">
        <f t="shared" si="20"/>
        <v>0.5</v>
      </c>
      <c r="X28" s="34">
        <f t="shared" si="20"/>
        <v>0.5</v>
      </c>
      <c r="Y28" s="34">
        <f t="shared" si="20"/>
        <v>1.5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0.5</v>
      </c>
      <c r="AD28" s="34">
        <f t="shared" si="20"/>
        <v>0</v>
      </c>
      <c r="AE28" s="31">
        <f t="shared" si="20"/>
        <v>3</v>
      </c>
      <c r="AF28" s="31">
        <f t="shared" si="20"/>
        <v>3.5</v>
      </c>
    </row>
    <row r="29" spans="2:32" ht="23.1" customHeight="1" x14ac:dyDescent="0.25">
      <c r="B29" s="23" t="s">
        <v>56</v>
      </c>
      <c r="C29" s="49">
        <f>'Avg Week Koboko-Yumbe'!C29+'Avg Week Yumbe-Koboko'!C29</f>
        <v>2.8571428571428568</v>
      </c>
      <c r="D29" s="49">
        <f>'Avg Week Koboko-Yumbe'!D29+'Avg Week Yumbe-Koboko'!D29</f>
        <v>0.85714285714285721</v>
      </c>
      <c r="E29" s="49">
        <f>'Avg Week Koboko-Yumbe'!E29+'Avg Week Yumbe-Koboko'!E29</f>
        <v>1.8571428571428572</v>
      </c>
      <c r="F29" s="49">
        <f>'Avg Week Koboko-Yumbe'!F29+'Avg Week Yumbe-Koboko'!F29</f>
        <v>0.8571428571428571</v>
      </c>
      <c r="G29" s="49">
        <f>'Avg Week Koboko-Yumbe'!G29+'Avg Week Yumbe-Koboko'!G29</f>
        <v>0</v>
      </c>
      <c r="H29" s="49">
        <f>'Avg Week Koboko-Yumbe'!H29+'Avg Week Yumbe-Koboko'!H29</f>
        <v>0</v>
      </c>
      <c r="I29" s="49">
        <f>'Avg Week Koboko-Yumbe'!I29+'Avg Week Yumbe-Koboko'!I29</f>
        <v>0.8571428571428571</v>
      </c>
      <c r="J29" s="49">
        <f>'Avg Week Koboko-Yumbe'!J29+'Avg Week Yumbe-Koboko'!J29</f>
        <v>0.5714285714285714</v>
      </c>
      <c r="K29" s="49">
        <f>'Avg Week Koboko-Yumbe'!K29+'Avg Week Yumbe-Koboko'!K29</f>
        <v>0</v>
      </c>
      <c r="L29" s="49">
        <f>'Avg Week Koboko-Yumbe'!L29+'Avg Week Yumbe-Koboko'!L29</f>
        <v>0</v>
      </c>
      <c r="M29" s="49">
        <f>'Avg Week Koboko-Yumbe'!M29+'Avg Week Yumbe-Koboko'!M29</f>
        <v>18.428571428571431</v>
      </c>
      <c r="N29" s="49">
        <f>'Avg Week Koboko-Yumbe'!N29+'Avg Week Yumbe-Koboko'!N29</f>
        <v>0</v>
      </c>
      <c r="O29" s="15">
        <f t="shared" si="0"/>
        <v>7.8571428571428559</v>
      </c>
      <c r="P29" s="15">
        <f t="shared" si="1"/>
        <v>26.285714285714285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0.5</v>
      </c>
      <c r="AF29" s="31">
        <f t="shared" si="21"/>
        <v>0.5</v>
      </c>
    </row>
    <row r="30" spans="2:32" ht="23.1" customHeight="1" x14ac:dyDescent="0.25">
      <c r="B30" s="23" t="s">
        <v>57</v>
      </c>
      <c r="C30" s="49">
        <f>'Avg Week Koboko-Yumbe'!C30+'Avg Week Yumbe-Koboko'!C30</f>
        <v>2.7142857142857144</v>
      </c>
      <c r="D30" s="49">
        <f>'Avg Week Koboko-Yumbe'!D30+'Avg Week Yumbe-Koboko'!D30</f>
        <v>0.42857142857142855</v>
      </c>
      <c r="E30" s="49">
        <f>'Avg Week Koboko-Yumbe'!E30+'Avg Week Yumbe-Koboko'!E30</f>
        <v>2.1428571428571428</v>
      </c>
      <c r="F30" s="49">
        <f>'Avg Week Koboko-Yumbe'!F30+'Avg Week Yumbe-Koboko'!F30</f>
        <v>1.4285714285714284</v>
      </c>
      <c r="G30" s="49">
        <f>'Avg Week Koboko-Yumbe'!G30+'Avg Week Yumbe-Koboko'!G30</f>
        <v>0</v>
      </c>
      <c r="H30" s="49">
        <f>'Avg Week Koboko-Yumbe'!H30+'Avg Week Yumbe-Koboko'!H30</f>
        <v>0.14285714285714285</v>
      </c>
      <c r="I30" s="49">
        <f>'Avg Week Koboko-Yumbe'!I30+'Avg Week Yumbe-Koboko'!I30</f>
        <v>1</v>
      </c>
      <c r="J30" s="49">
        <f>'Avg Week Koboko-Yumbe'!J30+'Avg Week Yumbe-Koboko'!J30</f>
        <v>0</v>
      </c>
      <c r="K30" s="49">
        <f>'Avg Week Koboko-Yumbe'!K30+'Avg Week Yumbe-Koboko'!K30</f>
        <v>0</v>
      </c>
      <c r="L30" s="49">
        <f>'Avg Week Koboko-Yumbe'!L30+'Avg Week Yumbe-Koboko'!L30</f>
        <v>0.42857142857142855</v>
      </c>
      <c r="M30" s="49">
        <f>'Avg Week Koboko-Yumbe'!M30+'Avg Week Yumbe-Koboko'!M30</f>
        <v>19.285714285714285</v>
      </c>
      <c r="N30" s="49">
        <f>'Avg Week Koboko-Yumbe'!N30+'Avg Week Yumbe-Koboko'!N30</f>
        <v>0</v>
      </c>
      <c r="O30" s="15">
        <f t="shared" si="0"/>
        <v>8.2857142857142847</v>
      </c>
      <c r="P30" s="15">
        <f t="shared" si="1"/>
        <v>27.571428571428569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0.5</v>
      </c>
      <c r="AD30" s="34">
        <f t="shared" si="22"/>
        <v>0</v>
      </c>
      <c r="AE30" s="31">
        <f t="shared" si="22"/>
        <v>1</v>
      </c>
      <c r="AF30" s="31">
        <f t="shared" si="22"/>
        <v>1.5</v>
      </c>
    </row>
    <row r="31" spans="2:32" ht="23.1" customHeight="1" x14ac:dyDescent="0.25">
      <c r="B31" s="24" t="s">
        <v>58</v>
      </c>
      <c r="C31" s="49">
        <f>'Avg Week Koboko-Yumbe'!C31+'Avg Week Yumbe-Koboko'!C31</f>
        <v>2.5714285714285716</v>
      </c>
      <c r="D31" s="49">
        <f>'Avg Week Koboko-Yumbe'!D31+'Avg Week Yumbe-Koboko'!D31</f>
        <v>0.8571428571428571</v>
      </c>
      <c r="E31" s="49">
        <f>'Avg Week Koboko-Yumbe'!E31+'Avg Week Yumbe-Koboko'!E31</f>
        <v>2</v>
      </c>
      <c r="F31" s="49">
        <f>'Avg Week Koboko-Yumbe'!F31+'Avg Week Yumbe-Koboko'!F31</f>
        <v>0.5714285714285714</v>
      </c>
      <c r="G31" s="49">
        <f>'Avg Week Koboko-Yumbe'!G31+'Avg Week Yumbe-Koboko'!G31</f>
        <v>0</v>
      </c>
      <c r="H31" s="49">
        <f>'Avg Week Koboko-Yumbe'!H31+'Avg Week Yumbe-Koboko'!H31</f>
        <v>0.14285714285714285</v>
      </c>
      <c r="I31" s="49">
        <f>'Avg Week Koboko-Yumbe'!I31+'Avg Week Yumbe-Koboko'!I31</f>
        <v>1.2857142857142856</v>
      </c>
      <c r="J31" s="49">
        <f>'Avg Week Koboko-Yumbe'!J31+'Avg Week Yumbe-Koboko'!J31</f>
        <v>0.14285714285714285</v>
      </c>
      <c r="K31" s="49">
        <f>'Avg Week Koboko-Yumbe'!K31+'Avg Week Yumbe-Koboko'!K31</f>
        <v>0</v>
      </c>
      <c r="L31" s="49">
        <f>'Avg Week Koboko-Yumbe'!L31+'Avg Week Yumbe-Koboko'!L31</f>
        <v>0.14285714285714285</v>
      </c>
      <c r="M31" s="49">
        <f>'Avg Week Koboko-Yumbe'!M31+'Avg Week Yumbe-Koboko'!M31</f>
        <v>18.571428571428569</v>
      </c>
      <c r="N31" s="49">
        <f>'Avg Week Koboko-Yumbe'!N31+'Avg Week Yumbe-Koboko'!N31</f>
        <v>0.14285714285714285</v>
      </c>
      <c r="O31" s="15">
        <f t="shared" si="0"/>
        <v>7.8571428571428585</v>
      </c>
      <c r="P31" s="15">
        <f t="shared" si="1"/>
        <v>26.428571428571427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0.5</v>
      </c>
      <c r="AF31" s="31">
        <f t="shared" si="23"/>
        <v>0.5</v>
      </c>
    </row>
    <row r="32" spans="2:32" ht="23.1" customHeight="1" x14ac:dyDescent="0.25">
      <c r="B32" s="24" t="s">
        <v>59</v>
      </c>
      <c r="C32" s="49">
        <f>'Avg Week Koboko-Yumbe'!C32+'Avg Week Yumbe-Koboko'!C32</f>
        <v>3.7142857142857144</v>
      </c>
      <c r="D32" s="49">
        <f>'Avg Week Koboko-Yumbe'!D32+'Avg Week Yumbe-Koboko'!D32</f>
        <v>0.42857142857142855</v>
      </c>
      <c r="E32" s="49">
        <f>'Avg Week Koboko-Yumbe'!E32+'Avg Week Yumbe-Koboko'!E32</f>
        <v>2.2857142857142856</v>
      </c>
      <c r="F32" s="49">
        <f>'Avg Week Koboko-Yumbe'!F32+'Avg Week Yumbe-Koboko'!F32</f>
        <v>1</v>
      </c>
      <c r="G32" s="49">
        <f>'Avg Week Koboko-Yumbe'!G32+'Avg Week Yumbe-Koboko'!G32</f>
        <v>0</v>
      </c>
      <c r="H32" s="49">
        <f>'Avg Week Koboko-Yumbe'!H32+'Avg Week Yumbe-Koboko'!H32</f>
        <v>0</v>
      </c>
      <c r="I32" s="49">
        <f>'Avg Week Koboko-Yumbe'!I32+'Avg Week Yumbe-Koboko'!I32</f>
        <v>0.42857142857142855</v>
      </c>
      <c r="J32" s="49">
        <f>'Avg Week Koboko-Yumbe'!J32+'Avg Week Yumbe-Koboko'!J32</f>
        <v>0</v>
      </c>
      <c r="K32" s="49">
        <f>'Avg Week Koboko-Yumbe'!K32+'Avg Week Yumbe-Koboko'!K32</f>
        <v>0</v>
      </c>
      <c r="L32" s="49">
        <f>'Avg Week Koboko-Yumbe'!L32+'Avg Week Yumbe-Koboko'!L32</f>
        <v>0.14285714285714285</v>
      </c>
      <c r="M32" s="49">
        <f>'Avg Week Koboko-Yumbe'!M32+'Avg Week Yumbe-Koboko'!M32</f>
        <v>18.142857142857146</v>
      </c>
      <c r="N32" s="49">
        <f>'Avg Week Koboko-Yumbe'!N32+'Avg Week Yumbe-Koboko'!N32</f>
        <v>0</v>
      </c>
      <c r="O32" s="15">
        <f t="shared" si="0"/>
        <v>8</v>
      </c>
      <c r="P32" s="15">
        <f t="shared" si="1"/>
        <v>26.142857142857146</v>
      </c>
      <c r="R32" s="1" t="s">
        <v>156</v>
      </c>
      <c r="S32" s="34">
        <f>SUM(C98:C101)</f>
        <v>4</v>
      </c>
      <c r="T32" s="34">
        <f t="shared" ref="T32:AF32" si="24">SUM(D98:D101)</f>
        <v>0</v>
      </c>
      <c r="U32" s="34">
        <f t="shared" si="24"/>
        <v>0.5</v>
      </c>
      <c r="V32" s="34">
        <f t="shared" si="24"/>
        <v>0</v>
      </c>
      <c r="W32" s="34">
        <f t="shared" si="24"/>
        <v>1</v>
      </c>
      <c r="X32" s="34">
        <f t="shared" si="24"/>
        <v>0.5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6</v>
      </c>
      <c r="AF32" s="31">
        <f t="shared" si="24"/>
        <v>9</v>
      </c>
    </row>
    <row r="33" spans="2:32" ht="23.1" customHeight="1" x14ac:dyDescent="0.25">
      <c r="B33" s="23" t="s">
        <v>60</v>
      </c>
      <c r="C33" s="49">
        <f>'Avg Week Koboko-Yumbe'!C33+'Avg Week Yumbe-Koboko'!C33</f>
        <v>3.7142857142857144</v>
      </c>
      <c r="D33" s="49">
        <f>'Avg Week Koboko-Yumbe'!D33+'Avg Week Yumbe-Koboko'!D33</f>
        <v>0.2857142857142857</v>
      </c>
      <c r="E33" s="49">
        <f>'Avg Week Koboko-Yumbe'!E33+'Avg Week Yumbe-Koboko'!E33</f>
        <v>2</v>
      </c>
      <c r="F33" s="49">
        <f>'Avg Week Koboko-Yumbe'!F33+'Avg Week Yumbe-Koboko'!F33</f>
        <v>0.71428571428571419</v>
      </c>
      <c r="G33" s="49">
        <f>'Avg Week Koboko-Yumbe'!G33+'Avg Week Yumbe-Koboko'!G33</f>
        <v>0</v>
      </c>
      <c r="H33" s="49">
        <f>'Avg Week Koboko-Yumbe'!H33+'Avg Week Yumbe-Koboko'!H33</f>
        <v>0.14285714285714285</v>
      </c>
      <c r="I33" s="49">
        <f>'Avg Week Koboko-Yumbe'!I33+'Avg Week Yumbe-Koboko'!I33</f>
        <v>0.5714285714285714</v>
      </c>
      <c r="J33" s="49">
        <f>'Avg Week Koboko-Yumbe'!J33+'Avg Week Yumbe-Koboko'!J33</f>
        <v>0.14285714285714285</v>
      </c>
      <c r="K33" s="49">
        <f>'Avg Week Koboko-Yumbe'!K33+'Avg Week Yumbe-Koboko'!K33</f>
        <v>0</v>
      </c>
      <c r="L33" s="49">
        <f>'Avg Week Koboko-Yumbe'!L33+'Avg Week Yumbe-Koboko'!L33</f>
        <v>0</v>
      </c>
      <c r="M33" s="49">
        <f>'Avg Week Koboko-Yumbe'!M33+'Avg Week Yumbe-Koboko'!M33</f>
        <v>19.428571428571431</v>
      </c>
      <c r="N33" s="49">
        <f>'Avg Week Koboko-Yumbe'!N33+'Avg Week Yumbe-Koboko'!N33</f>
        <v>0</v>
      </c>
      <c r="O33" s="15">
        <f t="shared" si="0"/>
        <v>7.5714285714285721</v>
      </c>
      <c r="P33" s="15">
        <f t="shared" si="1"/>
        <v>27.000000000000004</v>
      </c>
      <c r="R33" s="1" t="s">
        <v>157</v>
      </c>
      <c r="S33" s="34">
        <f>SUM(C102:C105)</f>
        <v>5.5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0</v>
      </c>
      <c r="W33" s="34">
        <f t="shared" si="25"/>
        <v>0</v>
      </c>
      <c r="X33" s="34">
        <f t="shared" si="25"/>
        <v>2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0.5</v>
      </c>
      <c r="AC33" s="34">
        <f t="shared" si="25"/>
        <v>6.5</v>
      </c>
      <c r="AD33" s="34">
        <f t="shared" si="25"/>
        <v>0.5</v>
      </c>
      <c r="AE33" s="31">
        <f t="shared" si="25"/>
        <v>11.5</v>
      </c>
      <c r="AF33" s="31">
        <f t="shared" si="25"/>
        <v>18</v>
      </c>
    </row>
    <row r="34" spans="2:32" ht="23.1" customHeight="1" x14ac:dyDescent="0.25">
      <c r="B34" s="24" t="s">
        <v>61</v>
      </c>
      <c r="C34" s="49">
        <f>'Avg Week Koboko-Yumbe'!C34+'Avg Week Yumbe-Koboko'!C34</f>
        <v>2.5714285714285712</v>
      </c>
      <c r="D34" s="49">
        <f>'Avg Week Koboko-Yumbe'!D34+'Avg Week Yumbe-Koboko'!D34</f>
        <v>0.14285714285714285</v>
      </c>
      <c r="E34" s="49">
        <f>'Avg Week Koboko-Yumbe'!E34+'Avg Week Yumbe-Koboko'!E34</f>
        <v>1.8571428571428572</v>
      </c>
      <c r="F34" s="49">
        <f>'Avg Week Koboko-Yumbe'!F34+'Avg Week Yumbe-Koboko'!F34</f>
        <v>0.5714285714285714</v>
      </c>
      <c r="G34" s="49">
        <f>'Avg Week Koboko-Yumbe'!G34+'Avg Week Yumbe-Koboko'!G34</f>
        <v>0</v>
      </c>
      <c r="H34" s="49">
        <f>'Avg Week Koboko-Yumbe'!H34+'Avg Week Yumbe-Koboko'!H34</f>
        <v>0</v>
      </c>
      <c r="I34" s="49">
        <f>'Avg Week Koboko-Yumbe'!I34+'Avg Week Yumbe-Koboko'!I34</f>
        <v>0.5714285714285714</v>
      </c>
      <c r="J34" s="49">
        <f>'Avg Week Koboko-Yumbe'!J34+'Avg Week Yumbe-Koboko'!J34</f>
        <v>0.14285714285714285</v>
      </c>
      <c r="K34" s="49">
        <f>'Avg Week Koboko-Yumbe'!K34+'Avg Week Yumbe-Koboko'!K34</f>
        <v>0</v>
      </c>
      <c r="L34" s="49">
        <f>'Avg Week Koboko-Yumbe'!L34+'Avg Week Yumbe-Koboko'!L34</f>
        <v>0</v>
      </c>
      <c r="M34" s="49">
        <f>'Avg Week Koboko-Yumbe'!M34+'Avg Week Yumbe-Koboko'!M34</f>
        <v>16.857142857142854</v>
      </c>
      <c r="N34" s="49">
        <f>'Avg Week Koboko-Yumbe'!N34+'Avg Week Yumbe-Koboko'!N34</f>
        <v>0</v>
      </c>
      <c r="O34" s="15">
        <f t="shared" si="0"/>
        <v>5.8571428571428568</v>
      </c>
      <c r="P34" s="15">
        <f t="shared" si="1"/>
        <v>22.714285714285712</v>
      </c>
      <c r="R34" s="52" t="s">
        <v>90</v>
      </c>
      <c r="S34" s="53">
        <f t="shared" ref="S34:AF34" si="26">MAX(S10:S12)</f>
        <v>18.285714285714285</v>
      </c>
      <c r="T34" s="53">
        <f t="shared" si="26"/>
        <v>2.8571428571428568</v>
      </c>
      <c r="U34" s="53">
        <f t="shared" si="26"/>
        <v>9.2857142857142865</v>
      </c>
      <c r="V34" s="53">
        <f t="shared" si="26"/>
        <v>1.857142857142857</v>
      </c>
      <c r="W34" s="53">
        <f t="shared" si="26"/>
        <v>0.71428571428571419</v>
      </c>
      <c r="X34" s="53">
        <f t="shared" si="26"/>
        <v>2.1428571428571428</v>
      </c>
      <c r="Y34" s="53">
        <f t="shared" si="26"/>
        <v>3.1428571428571428</v>
      </c>
      <c r="Z34" s="53">
        <f t="shared" si="26"/>
        <v>1.8571428571428572</v>
      </c>
      <c r="AA34" s="53">
        <f t="shared" si="26"/>
        <v>0.42857142857142855</v>
      </c>
      <c r="AB34" s="53">
        <f t="shared" si="26"/>
        <v>0.8571428571428571</v>
      </c>
      <c r="AC34" s="53">
        <f t="shared" si="26"/>
        <v>78.142857142857139</v>
      </c>
      <c r="AD34" s="53">
        <f t="shared" si="26"/>
        <v>0.14285714285714285</v>
      </c>
      <c r="AE34" s="40">
        <f t="shared" si="26"/>
        <v>39.999999999999993</v>
      </c>
      <c r="AF34" s="40">
        <f t="shared" si="26"/>
        <v>116.85714285714285</v>
      </c>
    </row>
    <row r="35" spans="2:32" ht="23.1" customHeight="1" x14ac:dyDescent="0.25">
      <c r="B35" s="24" t="s">
        <v>62</v>
      </c>
      <c r="C35" s="49">
        <f>'Avg Week Koboko-Yumbe'!C35+'Avg Week Yumbe-Koboko'!C35</f>
        <v>3.8571428571428577</v>
      </c>
      <c r="D35" s="49">
        <f>'Avg Week Koboko-Yumbe'!D35+'Avg Week Yumbe-Koboko'!D35</f>
        <v>0.71428571428571419</v>
      </c>
      <c r="E35" s="49">
        <f>'Avg Week Koboko-Yumbe'!E35+'Avg Week Yumbe-Koboko'!E35</f>
        <v>2.7142857142857144</v>
      </c>
      <c r="F35" s="49">
        <f>'Avg Week Koboko-Yumbe'!F35+'Avg Week Yumbe-Koboko'!F35</f>
        <v>0.42857142857142855</v>
      </c>
      <c r="G35" s="49">
        <f>'Avg Week Koboko-Yumbe'!G35+'Avg Week Yumbe-Koboko'!G35</f>
        <v>0</v>
      </c>
      <c r="H35" s="49">
        <f>'Avg Week Koboko-Yumbe'!H35+'Avg Week Yumbe-Koboko'!H35</f>
        <v>0.14285714285714285</v>
      </c>
      <c r="I35" s="49">
        <f>'Avg Week Koboko-Yumbe'!I35+'Avg Week Yumbe-Koboko'!I35</f>
        <v>0.71428571428571419</v>
      </c>
      <c r="J35" s="49">
        <f>'Avg Week Koboko-Yumbe'!J35+'Avg Week Yumbe-Koboko'!J35</f>
        <v>0.14285714285714285</v>
      </c>
      <c r="K35" s="49">
        <f>'Avg Week Koboko-Yumbe'!K35+'Avg Week Yumbe-Koboko'!K35</f>
        <v>0</v>
      </c>
      <c r="L35" s="49">
        <f>'Avg Week Koboko-Yumbe'!L35+'Avg Week Yumbe-Koboko'!L35</f>
        <v>0</v>
      </c>
      <c r="M35" s="49">
        <f>'Avg Week Koboko-Yumbe'!M35+'Avg Week Yumbe-Koboko'!M35</f>
        <v>17.571428571428569</v>
      </c>
      <c r="N35" s="49">
        <f>'Avg Week Koboko-Yumbe'!N35+'Avg Week Yumbe-Koboko'!N35</f>
        <v>0</v>
      </c>
      <c r="O35" s="15">
        <f t="shared" si="0"/>
        <v>8.7142857142857153</v>
      </c>
      <c r="P35" s="15">
        <f t="shared" si="1"/>
        <v>26.285714285714285</v>
      </c>
      <c r="R35" s="52" t="s">
        <v>91</v>
      </c>
      <c r="S35" s="53">
        <f t="shared" ref="S35:AF35" si="27">MAX(S13:S18)</f>
        <v>17.714285714285715</v>
      </c>
      <c r="T35" s="53">
        <f t="shared" si="27"/>
        <v>2.5714285714285712</v>
      </c>
      <c r="U35" s="53">
        <f t="shared" si="27"/>
        <v>10.142857142857142</v>
      </c>
      <c r="V35" s="53">
        <f t="shared" si="27"/>
        <v>4.1428571428571423</v>
      </c>
      <c r="W35" s="53">
        <f t="shared" si="27"/>
        <v>0.42857142857142855</v>
      </c>
      <c r="X35" s="53">
        <f t="shared" si="27"/>
        <v>0.5714285714285714</v>
      </c>
      <c r="Y35" s="53">
        <f t="shared" si="27"/>
        <v>3.2857142857142856</v>
      </c>
      <c r="Z35" s="53">
        <f t="shared" si="27"/>
        <v>1</v>
      </c>
      <c r="AA35" s="53">
        <f t="shared" si="27"/>
        <v>0.5714285714285714</v>
      </c>
      <c r="AB35" s="53">
        <f t="shared" si="27"/>
        <v>1.2857142857142856</v>
      </c>
      <c r="AC35" s="53">
        <f t="shared" si="27"/>
        <v>75.857142857142861</v>
      </c>
      <c r="AD35" s="53">
        <f t="shared" si="27"/>
        <v>0.2857142857142857</v>
      </c>
      <c r="AE35" s="40">
        <f t="shared" si="27"/>
        <v>38.999999999999993</v>
      </c>
      <c r="AF35" s="40">
        <f t="shared" si="27"/>
        <v>113.71428571428571</v>
      </c>
    </row>
    <row r="36" spans="2:32" ht="23.1" customHeight="1" x14ac:dyDescent="0.25">
      <c r="B36" s="24" t="s">
        <v>63</v>
      </c>
      <c r="C36" s="49">
        <f>'Avg Week Koboko-Yumbe'!C36+'Avg Week Yumbe-Koboko'!C36</f>
        <v>3.8571428571428568</v>
      </c>
      <c r="D36" s="49">
        <f>'Avg Week Koboko-Yumbe'!D36+'Avg Week Yumbe-Koboko'!D36</f>
        <v>0.42857142857142855</v>
      </c>
      <c r="E36" s="49">
        <f>'Avg Week Koboko-Yumbe'!E36+'Avg Week Yumbe-Koboko'!E36</f>
        <v>1.5714285714285714</v>
      </c>
      <c r="F36" s="49">
        <f>'Avg Week Koboko-Yumbe'!F36+'Avg Week Yumbe-Koboko'!F36</f>
        <v>0.14285714285714285</v>
      </c>
      <c r="G36" s="49">
        <f>'Avg Week Koboko-Yumbe'!G36+'Avg Week Yumbe-Koboko'!G36</f>
        <v>0</v>
      </c>
      <c r="H36" s="49">
        <f>'Avg Week Koboko-Yumbe'!H36+'Avg Week Yumbe-Koboko'!H36</f>
        <v>0.14285714285714285</v>
      </c>
      <c r="I36" s="49">
        <f>'Avg Week Koboko-Yumbe'!I36+'Avg Week Yumbe-Koboko'!I36</f>
        <v>1</v>
      </c>
      <c r="J36" s="49">
        <f>'Avg Week Koboko-Yumbe'!J36+'Avg Week Yumbe-Koboko'!J36</f>
        <v>0.14285714285714285</v>
      </c>
      <c r="K36" s="49">
        <f>'Avg Week Koboko-Yumbe'!K36+'Avg Week Yumbe-Koboko'!K36</f>
        <v>0</v>
      </c>
      <c r="L36" s="49">
        <f>'Avg Week Koboko-Yumbe'!L36+'Avg Week Yumbe-Koboko'!L36</f>
        <v>1</v>
      </c>
      <c r="M36" s="49">
        <f>'Avg Week Koboko-Yumbe'!M36+'Avg Week Yumbe-Koboko'!M36</f>
        <v>13.714285714285715</v>
      </c>
      <c r="N36" s="49">
        <f>'Avg Week Koboko-Yumbe'!N36+'Avg Week Yumbe-Koboko'!N36</f>
        <v>0.14285714285714285</v>
      </c>
      <c r="O36" s="15">
        <f t="shared" si="0"/>
        <v>8.4285714285714288</v>
      </c>
      <c r="P36" s="15">
        <f t="shared" si="1"/>
        <v>22.142857142857142</v>
      </c>
      <c r="R36" s="52" t="s">
        <v>92</v>
      </c>
      <c r="S36" s="53">
        <f t="shared" ref="S36:AF36" si="28">MAX(S19:S21)</f>
        <v>21.142857142857139</v>
      </c>
      <c r="T36" s="53">
        <f t="shared" si="28"/>
        <v>2.4285714285714284</v>
      </c>
      <c r="U36" s="53">
        <f t="shared" si="28"/>
        <v>11.857142857142858</v>
      </c>
      <c r="V36" s="53">
        <f t="shared" si="28"/>
        <v>2.666666666666667</v>
      </c>
      <c r="W36" s="53">
        <f t="shared" si="28"/>
        <v>1.1428571428571428</v>
      </c>
      <c r="X36" s="53">
        <f t="shared" si="28"/>
        <v>1.7142857142857142</v>
      </c>
      <c r="Y36" s="53">
        <f t="shared" si="28"/>
        <v>3.1428571428571428</v>
      </c>
      <c r="Z36" s="53">
        <f t="shared" si="28"/>
        <v>1.1428571428571428</v>
      </c>
      <c r="AA36" s="53">
        <f t="shared" si="28"/>
        <v>0.2857142857142857</v>
      </c>
      <c r="AB36" s="53">
        <f t="shared" si="28"/>
        <v>0.71428571428571419</v>
      </c>
      <c r="AC36" s="53">
        <f t="shared" si="28"/>
        <v>86.285714285714278</v>
      </c>
      <c r="AD36" s="53">
        <f t="shared" si="28"/>
        <v>0.5714285714285714</v>
      </c>
      <c r="AE36" s="40">
        <f t="shared" si="28"/>
        <v>46.38095238095238</v>
      </c>
      <c r="AF36" s="40">
        <f t="shared" si="28"/>
        <v>132.66666666666666</v>
      </c>
    </row>
    <row r="37" spans="2:32" ht="23.1" customHeight="1" x14ac:dyDescent="0.25">
      <c r="B37" s="23" t="s">
        <v>64</v>
      </c>
      <c r="C37" s="49">
        <f>'Avg Week Koboko-Yumbe'!C37+'Avg Week Yumbe-Koboko'!C37</f>
        <v>4.7142857142857144</v>
      </c>
      <c r="D37" s="49">
        <f>'Avg Week Koboko-Yumbe'!D37+'Avg Week Yumbe-Koboko'!D37</f>
        <v>0.5714285714285714</v>
      </c>
      <c r="E37" s="49">
        <f>'Avg Week Koboko-Yumbe'!E37+'Avg Week Yumbe-Koboko'!E37</f>
        <v>2</v>
      </c>
      <c r="F37" s="49">
        <f>'Avg Week Koboko-Yumbe'!F37+'Avg Week Yumbe-Koboko'!F37</f>
        <v>0.42857142857142855</v>
      </c>
      <c r="G37" s="49">
        <f>'Avg Week Koboko-Yumbe'!G37+'Avg Week Yumbe-Koboko'!G37</f>
        <v>0.14285714285714285</v>
      </c>
      <c r="H37" s="49">
        <f>'Avg Week Koboko-Yumbe'!H37+'Avg Week Yumbe-Koboko'!H37</f>
        <v>0</v>
      </c>
      <c r="I37" s="49">
        <f>'Avg Week Koboko-Yumbe'!I37+'Avg Week Yumbe-Koboko'!I37</f>
        <v>0.5714285714285714</v>
      </c>
      <c r="J37" s="49">
        <f>'Avg Week Koboko-Yumbe'!J37+'Avg Week Yumbe-Koboko'!J37</f>
        <v>0.14285714285714285</v>
      </c>
      <c r="K37" s="49">
        <f>'Avg Week Koboko-Yumbe'!K37+'Avg Week Yumbe-Koboko'!K37</f>
        <v>0</v>
      </c>
      <c r="L37" s="49">
        <f>'Avg Week Koboko-Yumbe'!L37+'Avg Week Yumbe-Koboko'!L37</f>
        <v>0.2857142857142857</v>
      </c>
      <c r="M37" s="49">
        <f>'Avg Week Koboko-Yumbe'!M37+'Avg Week Yumbe-Koboko'!M37</f>
        <v>11.857142857142858</v>
      </c>
      <c r="N37" s="49">
        <f>'Avg Week Koboko-Yumbe'!N37+'Avg Week Yumbe-Koboko'!N37</f>
        <v>0.14285714285714285</v>
      </c>
      <c r="O37" s="15">
        <f t="shared" si="0"/>
        <v>9</v>
      </c>
      <c r="P37" s="15">
        <f t="shared" si="1"/>
        <v>20.857142857142858</v>
      </c>
      <c r="R37" s="37" t="s">
        <v>85</v>
      </c>
      <c r="S37" s="35">
        <f t="shared" ref="S37:AF37" si="29">SUM(S10:S12)</f>
        <v>42.714285714285715</v>
      </c>
      <c r="T37" s="16">
        <f t="shared" si="29"/>
        <v>6.4285714285714288</v>
      </c>
      <c r="U37" s="16">
        <f t="shared" si="29"/>
        <v>23.142857142857146</v>
      </c>
      <c r="V37" s="16">
        <f t="shared" si="29"/>
        <v>4.2857142857142856</v>
      </c>
      <c r="W37" s="16">
        <f t="shared" si="29"/>
        <v>1.7142857142857142</v>
      </c>
      <c r="X37" s="16">
        <f t="shared" si="29"/>
        <v>3.7142857142857144</v>
      </c>
      <c r="Y37" s="16">
        <f t="shared" si="29"/>
        <v>7.5714285714285712</v>
      </c>
      <c r="Z37" s="16">
        <f t="shared" si="29"/>
        <v>2.8571428571428568</v>
      </c>
      <c r="AA37" s="16">
        <f t="shared" si="29"/>
        <v>1.1428571428571428</v>
      </c>
      <c r="AB37" s="16">
        <f t="shared" si="29"/>
        <v>1.857142857142857</v>
      </c>
      <c r="AC37" s="16">
        <f t="shared" si="29"/>
        <v>216.14285714285714</v>
      </c>
      <c r="AD37" s="16">
        <f t="shared" si="29"/>
        <v>0.14285714285714285</v>
      </c>
      <c r="AE37" s="32">
        <f t="shared" si="29"/>
        <v>95.571428571428584</v>
      </c>
      <c r="AF37" s="32">
        <f t="shared" si="29"/>
        <v>311.71428571428572</v>
      </c>
    </row>
    <row r="38" spans="2:32" ht="23.1" customHeight="1" x14ac:dyDescent="0.25">
      <c r="B38" s="24" t="s">
        <v>65</v>
      </c>
      <c r="C38" s="49">
        <f>'Avg Week Koboko-Yumbe'!C38+'Avg Week Yumbe-Koboko'!C38</f>
        <v>4.5714285714285712</v>
      </c>
      <c r="D38" s="49">
        <f>'Avg Week Koboko-Yumbe'!D38+'Avg Week Yumbe-Koboko'!D38</f>
        <v>0</v>
      </c>
      <c r="E38" s="49">
        <f>'Avg Week Koboko-Yumbe'!E38+'Avg Week Yumbe-Koboko'!E38</f>
        <v>2</v>
      </c>
      <c r="F38" s="49">
        <f>'Avg Week Koboko-Yumbe'!F38+'Avg Week Yumbe-Koboko'!F38</f>
        <v>0.2857142857142857</v>
      </c>
      <c r="G38" s="49">
        <f>'Avg Week Koboko-Yumbe'!G38+'Avg Week Yumbe-Koboko'!G38</f>
        <v>0</v>
      </c>
      <c r="H38" s="49">
        <f>'Avg Week Koboko-Yumbe'!H38+'Avg Week Yumbe-Koboko'!H38</f>
        <v>0.14285714285714285</v>
      </c>
      <c r="I38" s="49">
        <f>'Avg Week Koboko-Yumbe'!I38+'Avg Week Yumbe-Koboko'!I38</f>
        <v>0.2857142857142857</v>
      </c>
      <c r="J38" s="49">
        <f>'Avg Week Koboko-Yumbe'!J38+'Avg Week Yumbe-Koboko'!J38</f>
        <v>0.2857142857142857</v>
      </c>
      <c r="K38" s="49">
        <f>'Avg Week Koboko-Yumbe'!K38+'Avg Week Yumbe-Koboko'!K38</f>
        <v>0</v>
      </c>
      <c r="L38" s="49">
        <f>'Avg Week Koboko-Yumbe'!L38+'Avg Week Yumbe-Koboko'!L38</f>
        <v>0.14285714285714285</v>
      </c>
      <c r="M38" s="49">
        <f>'Avg Week Koboko-Yumbe'!M38+'Avg Week Yumbe-Koboko'!M38</f>
        <v>12</v>
      </c>
      <c r="N38" s="49">
        <f>'Avg Week Koboko-Yumbe'!N38+'Avg Week Yumbe-Koboko'!N38</f>
        <v>0.14285714285714285</v>
      </c>
      <c r="O38" s="15">
        <f t="shared" si="0"/>
        <v>7.8571428571428577</v>
      </c>
      <c r="P38" s="15">
        <f t="shared" si="1"/>
        <v>19.857142857142858</v>
      </c>
      <c r="R38" s="28" t="s">
        <v>86</v>
      </c>
      <c r="S38" s="16">
        <f t="shared" ref="S38:AF38" si="30">SUM(S13:S18)</f>
        <v>92.142857142857139</v>
      </c>
      <c r="T38" s="16">
        <f t="shared" si="30"/>
        <v>10.714285714285715</v>
      </c>
      <c r="U38" s="16">
        <f t="shared" si="30"/>
        <v>48.999999999999993</v>
      </c>
      <c r="V38" s="16">
        <f t="shared" si="30"/>
        <v>15</v>
      </c>
      <c r="W38" s="16">
        <f t="shared" si="30"/>
        <v>1</v>
      </c>
      <c r="X38" s="16">
        <f t="shared" si="30"/>
        <v>1.9999999999999996</v>
      </c>
      <c r="Y38" s="16">
        <f t="shared" si="30"/>
        <v>16.142857142857142</v>
      </c>
      <c r="Z38" s="16">
        <f t="shared" si="30"/>
        <v>3.1428571428571428</v>
      </c>
      <c r="AA38" s="16">
        <f t="shared" si="30"/>
        <v>1.1428571428571428</v>
      </c>
      <c r="AB38" s="16">
        <f t="shared" si="30"/>
        <v>3.7142857142857144</v>
      </c>
      <c r="AC38" s="16">
        <f t="shared" si="30"/>
        <v>410.14285714285711</v>
      </c>
      <c r="AD38" s="16">
        <f t="shared" si="30"/>
        <v>0.99999999999999989</v>
      </c>
      <c r="AE38" s="32">
        <f t="shared" si="30"/>
        <v>195</v>
      </c>
      <c r="AF38" s="32">
        <f t="shared" si="30"/>
        <v>605.14285714285711</v>
      </c>
    </row>
    <row r="39" spans="2:32" ht="23.1" customHeight="1" x14ac:dyDescent="0.25">
      <c r="B39" s="24" t="s">
        <v>66</v>
      </c>
      <c r="C39" s="49">
        <f>'Avg Week Koboko-Yumbe'!C39+'Avg Week Yumbe-Koboko'!C39</f>
        <v>4</v>
      </c>
      <c r="D39" s="49">
        <f>'Avg Week Koboko-Yumbe'!D39+'Avg Week Yumbe-Koboko'!D39</f>
        <v>0.14285714285714285</v>
      </c>
      <c r="E39" s="49">
        <f>'Avg Week Koboko-Yumbe'!E39+'Avg Week Yumbe-Koboko'!E39</f>
        <v>2.1428571428571428</v>
      </c>
      <c r="F39" s="49">
        <f>'Avg Week Koboko-Yumbe'!F39+'Avg Week Yumbe-Koboko'!F39</f>
        <v>0.2857142857142857</v>
      </c>
      <c r="G39" s="49">
        <f>'Avg Week Koboko-Yumbe'!G39+'Avg Week Yumbe-Koboko'!G39</f>
        <v>0</v>
      </c>
      <c r="H39" s="49">
        <f>'Avg Week Koboko-Yumbe'!H39+'Avg Week Yumbe-Koboko'!H39</f>
        <v>0</v>
      </c>
      <c r="I39" s="49">
        <f>'Avg Week Koboko-Yumbe'!I39+'Avg Week Yumbe-Koboko'!I39</f>
        <v>0.8571428571428571</v>
      </c>
      <c r="J39" s="49">
        <f>'Avg Week Koboko-Yumbe'!J39+'Avg Week Yumbe-Koboko'!J39</f>
        <v>0</v>
      </c>
      <c r="K39" s="49">
        <f>'Avg Week Koboko-Yumbe'!K39+'Avg Week Yumbe-Koboko'!K39</f>
        <v>0</v>
      </c>
      <c r="L39" s="49">
        <f>'Avg Week Koboko-Yumbe'!L39+'Avg Week Yumbe-Koboko'!L39</f>
        <v>0.2857142857142857</v>
      </c>
      <c r="M39" s="49">
        <f>'Avg Week Koboko-Yumbe'!M39+'Avg Week Yumbe-Koboko'!M39</f>
        <v>13.142857142857142</v>
      </c>
      <c r="N39" s="49">
        <f>'Avg Week Koboko-Yumbe'!N39+'Avg Week Yumbe-Koboko'!N39</f>
        <v>0</v>
      </c>
      <c r="O39" s="15">
        <f t="shared" si="0"/>
        <v>7.7142857142857144</v>
      </c>
      <c r="P39" s="15">
        <f t="shared" si="1"/>
        <v>20.857142857142858</v>
      </c>
      <c r="R39" s="29" t="s">
        <v>87</v>
      </c>
      <c r="S39" s="16">
        <f t="shared" ref="S39:AF39" si="31">SUM(S19:S21)</f>
        <v>58.999999999999993</v>
      </c>
      <c r="T39" s="16">
        <f t="shared" si="31"/>
        <v>6.7142857142857135</v>
      </c>
      <c r="U39" s="16">
        <f t="shared" si="31"/>
        <v>31.999999999999996</v>
      </c>
      <c r="V39" s="16">
        <f t="shared" si="31"/>
        <v>7.0952380952380949</v>
      </c>
      <c r="W39" s="16">
        <f t="shared" si="31"/>
        <v>1.7142857142857142</v>
      </c>
      <c r="X39" s="16">
        <f t="shared" si="31"/>
        <v>3.5714285714285712</v>
      </c>
      <c r="Y39" s="16">
        <f t="shared" si="31"/>
        <v>7.8571428571428577</v>
      </c>
      <c r="Z39" s="16">
        <f t="shared" si="31"/>
        <v>3.1428571428571428</v>
      </c>
      <c r="AA39" s="16">
        <f t="shared" si="31"/>
        <v>0.5714285714285714</v>
      </c>
      <c r="AB39" s="16">
        <f t="shared" si="31"/>
        <v>1.857142857142857</v>
      </c>
      <c r="AC39" s="16">
        <f t="shared" si="31"/>
        <v>226.71428571428572</v>
      </c>
      <c r="AD39" s="16">
        <f t="shared" si="31"/>
        <v>1</v>
      </c>
      <c r="AE39" s="32">
        <f t="shared" si="31"/>
        <v>124.52380952380952</v>
      </c>
      <c r="AF39" s="32">
        <f t="shared" si="31"/>
        <v>351.23809523809524</v>
      </c>
    </row>
    <row r="40" spans="2:32" ht="23.1" customHeight="1" x14ac:dyDescent="0.25">
      <c r="B40" s="24" t="s">
        <v>67</v>
      </c>
      <c r="C40" s="49">
        <f>'Avg Week Koboko-Yumbe'!C40+'Avg Week Yumbe-Koboko'!C40</f>
        <v>3.1428571428571428</v>
      </c>
      <c r="D40" s="49">
        <f>'Avg Week Koboko-Yumbe'!D40+'Avg Week Yumbe-Koboko'!D40</f>
        <v>0.42857142857142855</v>
      </c>
      <c r="E40" s="49">
        <f>'Avg Week Koboko-Yumbe'!E40+'Avg Week Yumbe-Koboko'!E40</f>
        <v>1.8571428571428572</v>
      </c>
      <c r="F40" s="49">
        <f>'Avg Week Koboko-Yumbe'!F40+'Avg Week Yumbe-Koboko'!F40</f>
        <v>0.42857142857142855</v>
      </c>
      <c r="G40" s="49">
        <f>'Avg Week Koboko-Yumbe'!G40+'Avg Week Yumbe-Koboko'!G40</f>
        <v>0</v>
      </c>
      <c r="H40" s="49">
        <f>'Avg Week Koboko-Yumbe'!H40+'Avg Week Yumbe-Koboko'!H40</f>
        <v>0</v>
      </c>
      <c r="I40" s="49">
        <f>'Avg Week Koboko-Yumbe'!I40+'Avg Week Yumbe-Koboko'!I40</f>
        <v>0.42857142857142855</v>
      </c>
      <c r="J40" s="49">
        <f>'Avg Week Koboko-Yumbe'!J40+'Avg Week Yumbe-Koboko'!J40</f>
        <v>0.14285714285714285</v>
      </c>
      <c r="K40" s="49">
        <f>'Avg Week Koboko-Yumbe'!K40+'Avg Week Yumbe-Koboko'!K40</f>
        <v>0.14285714285714285</v>
      </c>
      <c r="L40" s="49">
        <f>'Avg Week Koboko-Yumbe'!L40+'Avg Week Yumbe-Koboko'!L40</f>
        <v>0</v>
      </c>
      <c r="M40" s="49">
        <f>'Avg Week Koboko-Yumbe'!M40+'Avg Week Yumbe-Koboko'!M40</f>
        <v>13</v>
      </c>
      <c r="N40" s="49">
        <f>'Avg Week Koboko-Yumbe'!N40+'Avg Week Yumbe-Koboko'!N40</f>
        <v>0.14285714285714285</v>
      </c>
      <c r="O40" s="15">
        <f t="shared" si="0"/>
        <v>6.7142857142857162</v>
      </c>
      <c r="P40" s="15">
        <f t="shared" si="1"/>
        <v>19.714285714285715</v>
      </c>
      <c r="R40" s="5" t="s">
        <v>17</v>
      </c>
      <c r="S40" s="16">
        <f t="shared" ref="S40:AF40" si="32">SUM(S10:S21)</f>
        <v>193.85714285714286</v>
      </c>
      <c r="T40" s="16">
        <f t="shared" si="32"/>
        <v>23.857142857142854</v>
      </c>
      <c r="U40" s="16">
        <f t="shared" si="32"/>
        <v>104.14285714285714</v>
      </c>
      <c r="V40" s="16">
        <f t="shared" si="32"/>
        <v>26.38095238095238</v>
      </c>
      <c r="W40" s="16">
        <f t="shared" si="32"/>
        <v>4.4285714285714279</v>
      </c>
      <c r="X40" s="16">
        <f t="shared" si="32"/>
        <v>9.2857142857142847</v>
      </c>
      <c r="Y40" s="16">
        <f t="shared" si="32"/>
        <v>31.571428571428573</v>
      </c>
      <c r="Z40" s="16">
        <f t="shared" si="32"/>
        <v>9.1428571428571423</v>
      </c>
      <c r="AA40" s="16">
        <f t="shared" si="32"/>
        <v>2.8571428571428568</v>
      </c>
      <c r="AB40" s="16">
        <f t="shared" si="32"/>
        <v>7.4285714285714288</v>
      </c>
      <c r="AC40" s="16">
        <f t="shared" si="32"/>
        <v>853</v>
      </c>
      <c r="AD40" s="16">
        <f t="shared" si="32"/>
        <v>2.1428571428571428</v>
      </c>
      <c r="AE40" s="32">
        <f t="shared" si="32"/>
        <v>415.09523809523807</v>
      </c>
      <c r="AF40" s="32">
        <f t="shared" si="32"/>
        <v>1268.0952380952381</v>
      </c>
    </row>
    <row r="41" spans="2:32" ht="23.1" customHeight="1" x14ac:dyDescent="0.25">
      <c r="B41" s="23" t="s">
        <v>68</v>
      </c>
      <c r="C41" s="49">
        <f>'Avg Week Koboko-Yumbe'!C41+'Avg Week Yumbe-Koboko'!C41</f>
        <v>4.2857142857142856</v>
      </c>
      <c r="D41" s="49">
        <f>'Avg Week Koboko-Yumbe'!D41+'Avg Week Yumbe-Koboko'!D41</f>
        <v>0</v>
      </c>
      <c r="E41" s="49">
        <f>'Avg Week Koboko-Yumbe'!E41+'Avg Week Yumbe-Koboko'!E41</f>
        <v>1.5714285714285714</v>
      </c>
      <c r="F41" s="49">
        <f>'Avg Week Koboko-Yumbe'!F41+'Avg Week Yumbe-Koboko'!F41</f>
        <v>0</v>
      </c>
      <c r="G41" s="49">
        <f>'Avg Week Koboko-Yumbe'!G41+'Avg Week Yumbe-Koboko'!G41</f>
        <v>0</v>
      </c>
      <c r="H41" s="49">
        <f>'Avg Week Koboko-Yumbe'!H41+'Avg Week Yumbe-Koboko'!H41</f>
        <v>0</v>
      </c>
      <c r="I41" s="49">
        <f>'Avg Week Koboko-Yumbe'!I41+'Avg Week Yumbe-Koboko'!I41</f>
        <v>0.42857142857142855</v>
      </c>
      <c r="J41" s="49">
        <f>'Avg Week Koboko-Yumbe'!J41+'Avg Week Yumbe-Koboko'!J41</f>
        <v>0.14285714285714285</v>
      </c>
      <c r="K41" s="49">
        <f>'Avg Week Koboko-Yumbe'!K41+'Avg Week Yumbe-Koboko'!K41</f>
        <v>0</v>
      </c>
      <c r="L41" s="49">
        <f>'Avg Week Koboko-Yumbe'!L41+'Avg Week Yumbe-Koboko'!L41</f>
        <v>0.14285714285714285</v>
      </c>
      <c r="M41" s="49">
        <f>'Avg Week Koboko-Yumbe'!M41+'Avg Week Yumbe-Koboko'!M41</f>
        <v>15.571428571428571</v>
      </c>
      <c r="N41" s="49">
        <f>'Avg Week Koboko-Yumbe'!N41+'Avg Week Yumbe-Koboko'!N41</f>
        <v>0</v>
      </c>
      <c r="O41" s="15">
        <f t="shared" si="0"/>
        <v>6.5714285714285721</v>
      </c>
      <c r="P41" s="15">
        <f t="shared" si="1"/>
        <v>22.142857142857142</v>
      </c>
      <c r="R41" s="5" t="s">
        <v>175</v>
      </c>
      <c r="S41" s="16">
        <f>SUM(S10:S33)</f>
        <v>227.85714285714286</v>
      </c>
      <c r="T41" s="16">
        <f t="shared" ref="T41:AD41" si="33">SUM(T10:T33)</f>
        <v>26.857142857142854</v>
      </c>
      <c r="U41" s="16">
        <f t="shared" si="33"/>
        <v>126.14285714285714</v>
      </c>
      <c r="V41" s="16">
        <f t="shared" si="33"/>
        <v>36.88095238095238</v>
      </c>
      <c r="W41" s="16">
        <f t="shared" si="33"/>
        <v>6.9285714285714279</v>
      </c>
      <c r="X41" s="16">
        <f t="shared" si="33"/>
        <v>12.785714285714285</v>
      </c>
      <c r="Y41" s="16">
        <f t="shared" si="33"/>
        <v>38.571428571428569</v>
      </c>
      <c r="Z41" s="16">
        <f t="shared" si="33"/>
        <v>11.142857142857142</v>
      </c>
      <c r="AA41" s="16">
        <f t="shared" si="33"/>
        <v>3.8571428571428568</v>
      </c>
      <c r="AB41" s="16">
        <f t="shared" si="33"/>
        <v>8.9285714285714288</v>
      </c>
      <c r="AC41" s="16">
        <f t="shared" si="33"/>
        <v>931</v>
      </c>
      <c r="AD41" s="16">
        <f t="shared" si="33"/>
        <v>3.1428571428571428</v>
      </c>
      <c r="AE41" s="32">
        <f>SUM(AE10:AE33)</f>
        <v>503.09523809523807</v>
      </c>
      <c r="AF41" s="32">
        <f>SUM(AF10:AF33)</f>
        <v>1434.0952380952381</v>
      </c>
    </row>
    <row r="42" spans="2:32" ht="23.1" customHeight="1" x14ac:dyDescent="0.25">
      <c r="B42" s="24" t="s">
        <v>69</v>
      </c>
      <c r="C42" s="49">
        <f>'Avg Week Koboko-Yumbe'!C42+'Avg Week Yumbe-Koboko'!C42</f>
        <v>4.7142857142857144</v>
      </c>
      <c r="D42" s="49">
        <f>'Avg Week Koboko-Yumbe'!D42+'Avg Week Yumbe-Koboko'!D42</f>
        <v>0.2857142857142857</v>
      </c>
      <c r="E42" s="49">
        <f>'Avg Week Koboko-Yumbe'!E42+'Avg Week Yumbe-Koboko'!E42</f>
        <v>1.4285714285714284</v>
      </c>
      <c r="F42" s="49">
        <f>'Avg Week Koboko-Yumbe'!F42+'Avg Week Yumbe-Koboko'!F42</f>
        <v>0.2857142857142857</v>
      </c>
      <c r="G42" s="49">
        <f>'Avg Week Koboko-Yumbe'!G42+'Avg Week Yumbe-Koboko'!G42</f>
        <v>0</v>
      </c>
      <c r="H42" s="49">
        <f>'Avg Week Koboko-Yumbe'!H42+'Avg Week Yumbe-Koboko'!H42</f>
        <v>0.14285714285714285</v>
      </c>
      <c r="I42" s="49">
        <f>'Avg Week Koboko-Yumbe'!I42+'Avg Week Yumbe-Koboko'!I42</f>
        <v>1.5714285714285714</v>
      </c>
      <c r="J42" s="49">
        <f>'Avg Week Koboko-Yumbe'!J42+'Avg Week Yumbe-Koboko'!J42</f>
        <v>0.14285714285714285</v>
      </c>
      <c r="K42" s="49">
        <f>'Avg Week Koboko-Yumbe'!K42+'Avg Week Yumbe-Koboko'!K42</f>
        <v>0.14285714285714285</v>
      </c>
      <c r="L42" s="49">
        <f>'Avg Week Koboko-Yumbe'!L42+'Avg Week Yumbe-Koboko'!L42</f>
        <v>0</v>
      </c>
      <c r="M42" s="49">
        <f>'Avg Week Koboko-Yumbe'!M42+'Avg Week Yumbe-Koboko'!M42</f>
        <v>15.714285714285715</v>
      </c>
      <c r="N42" s="49">
        <f>'Avg Week Koboko-Yumbe'!N42+'Avg Week Yumbe-Koboko'!N42</f>
        <v>0</v>
      </c>
      <c r="O42" s="15">
        <f t="shared" si="0"/>
        <v>8.7142857142857135</v>
      </c>
      <c r="P42" s="15">
        <f t="shared" si="1"/>
        <v>24.428571428571431</v>
      </c>
      <c r="R42" s="5" t="s">
        <v>160</v>
      </c>
      <c r="S42" s="48">
        <f>S41/S40</f>
        <v>1.1753868828297716</v>
      </c>
      <c r="T42" s="48">
        <f t="shared" ref="T42:AF42" si="34">T41/T40</f>
        <v>1.125748502994012</v>
      </c>
      <c r="U42" s="48">
        <f t="shared" si="34"/>
        <v>1.2112482853223594</v>
      </c>
      <c r="V42" s="48">
        <f t="shared" si="34"/>
        <v>1.3980144404332131</v>
      </c>
      <c r="W42" s="48">
        <f t="shared" si="34"/>
        <v>1.5645161290322582</v>
      </c>
      <c r="X42" s="48">
        <f t="shared" si="34"/>
        <v>1.3769230769230769</v>
      </c>
      <c r="Y42" s="48">
        <f t="shared" si="34"/>
        <v>1.2217194570135745</v>
      </c>
      <c r="Z42" s="48">
        <f t="shared" si="34"/>
        <v>1.21875</v>
      </c>
      <c r="AA42" s="48">
        <f t="shared" si="34"/>
        <v>1.35</v>
      </c>
      <c r="AB42" s="48">
        <f t="shared" si="34"/>
        <v>1.2019230769230769</v>
      </c>
      <c r="AC42" s="48">
        <f t="shared" si="34"/>
        <v>1.0914419695193436</v>
      </c>
      <c r="AD42" s="48">
        <f t="shared" si="34"/>
        <v>1.4666666666666668</v>
      </c>
      <c r="AE42" s="54">
        <f t="shared" si="34"/>
        <v>1.2119995411265343</v>
      </c>
      <c r="AF42" s="54">
        <f t="shared" si="34"/>
        <v>1.1309049943672549</v>
      </c>
    </row>
    <row r="43" spans="2:32" ht="23.1" customHeight="1" x14ac:dyDescent="0.25">
      <c r="B43" s="23" t="s">
        <v>70</v>
      </c>
      <c r="C43" s="49">
        <f>'Avg Week Koboko-Yumbe'!C43+'Avg Week Yumbe-Koboko'!C43</f>
        <v>3.2857142857142856</v>
      </c>
      <c r="D43" s="49">
        <f>'Avg Week Koboko-Yumbe'!D43+'Avg Week Yumbe-Koboko'!D43</f>
        <v>0.2857142857142857</v>
      </c>
      <c r="E43" s="49">
        <f>'Avg Week Koboko-Yumbe'!E43+'Avg Week Yumbe-Koboko'!E43</f>
        <v>1.7142857142857144</v>
      </c>
      <c r="F43" s="49">
        <f>'Avg Week Koboko-Yumbe'!F43+'Avg Week Yumbe-Koboko'!F43</f>
        <v>0.5714285714285714</v>
      </c>
      <c r="G43" s="49">
        <f>'Avg Week Koboko-Yumbe'!G43+'Avg Week Yumbe-Koboko'!G43</f>
        <v>0</v>
      </c>
      <c r="H43" s="49">
        <f>'Avg Week Koboko-Yumbe'!H43+'Avg Week Yumbe-Koboko'!H43</f>
        <v>0.14285714285714285</v>
      </c>
      <c r="I43" s="49">
        <f>'Avg Week Koboko-Yumbe'!I43+'Avg Week Yumbe-Koboko'!I43</f>
        <v>0.14285714285714285</v>
      </c>
      <c r="J43" s="49">
        <f>'Avg Week Koboko-Yumbe'!J43+'Avg Week Yumbe-Koboko'!J43</f>
        <v>0</v>
      </c>
      <c r="K43" s="49">
        <f>'Avg Week Koboko-Yumbe'!K43+'Avg Week Yumbe-Koboko'!K43</f>
        <v>0</v>
      </c>
      <c r="L43" s="49">
        <f>'Avg Week Koboko-Yumbe'!L43+'Avg Week Yumbe-Koboko'!L43</f>
        <v>0.2857142857142857</v>
      </c>
      <c r="M43" s="49">
        <f>'Avg Week Koboko-Yumbe'!M43+'Avg Week Yumbe-Koboko'!M43</f>
        <v>17.571428571428569</v>
      </c>
      <c r="N43" s="49">
        <f>'Avg Week Koboko-Yumbe'!N43+'Avg Week Yumbe-Koboko'!N43</f>
        <v>0</v>
      </c>
      <c r="O43" s="15">
        <f t="shared" si="0"/>
        <v>6.4285714285714288</v>
      </c>
      <c r="P43" s="15">
        <f t="shared" si="1"/>
        <v>24</v>
      </c>
    </row>
    <row r="44" spans="2:32" ht="23.1" customHeight="1" x14ac:dyDescent="0.25">
      <c r="B44" s="25" t="s">
        <v>71</v>
      </c>
      <c r="C44" s="49">
        <f>'Avg Week Koboko-Yumbe'!C44+'Avg Week Yumbe-Koboko'!C44</f>
        <v>5</v>
      </c>
      <c r="D44" s="49">
        <f>'Avg Week Koboko-Yumbe'!D44+'Avg Week Yumbe-Koboko'!D44</f>
        <v>0.42857142857142855</v>
      </c>
      <c r="E44" s="49">
        <f>'Avg Week Koboko-Yumbe'!E44+'Avg Week Yumbe-Koboko'!E44</f>
        <v>1.8571428571428572</v>
      </c>
      <c r="F44" s="49">
        <f>'Avg Week Koboko-Yumbe'!F44+'Avg Week Yumbe-Koboko'!F44</f>
        <v>0.5714285714285714</v>
      </c>
      <c r="G44" s="49">
        <f>'Avg Week Koboko-Yumbe'!G44+'Avg Week Yumbe-Koboko'!G44</f>
        <v>0.14285714285714285</v>
      </c>
      <c r="H44" s="49">
        <f>'Avg Week Koboko-Yumbe'!H44+'Avg Week Yumbe-Koboko'!H44</f>
        <v>0</v>
      </c>
      <c r="I44" s="49">
        <f>'Avg Week Koboko-Yumbe'!I44+'Avg Week Yumbe-Koboko'!I44</f>
        <v>0.14285714285714285</v>
      </c>
      <c r="J44" s="49">
        <f>'Avg Week Koboko-Yumbe'!J44+'Avg Week Yumbe-Koboko'!J44</f>
        <v>0</v>
      </c>
      <c r="K44" s="49">
        <f>'Avg Week Koboko-Yumbe'!K44+'Avg Week Yumbe-Koboko'!K44</f>
        <v>0</v>
      </c>
      <c r="L44" s="49">
        <f>'Avg Week Koboko-Yumbe'!L44+'Avg Week Yumbe-Koboko'!L44</f>
        <v>0.14285714285714285</v>
      </c>
      <c r="M44" s="49">
        <f>'Avg Week Koboko-Yumbe'!M44+'Avg Week Yumbe-Koboko'!M44</f>
        <v>19.571428571428569</v>
      </c>
      <c r="N44" s="49">
        <f>'Avg Week Koboko-Yumbe'!N44+'Avg Week Yumbe-Koboko'!N44</f>
        <v>0</v>
      </c>
      <c r="O44" s="15">
        <f t="shared" si="0"/>
        <v>8.2857142857142847</v>
      </c>
      <c r="P44" s="15">
        <f t="shared" si="1"/>
        <v>27.857142857142854</v>
      </c>
    </row>
    <row r="45" spans="2:32" ht="23.1" customHeight="1" x14ac:dyDescent="0.25">
      <c r="B45" s="23" t="s">
        <v>72</v>
      </c>
      <c r="C45" s="49">
        <f>'Avg Week Koboko-Yumbe'!C45+'Avg Week Yumbe-Koboko'!C45</f>
        <v>4</v>
      </c>
      <c r="D45" s="49">
        <f>'Avg Week Koboko-Yumbe'!D45+'Avg Week Yumbe-Koboko'!D45</f>
        <v>0.2857142857142857</v>
      </c>
      <c r="E45" s="49">
        <f>'Avg Week Koboko-Yumbe'!E45+'Avg Week Yumbe-Koboko'!E45</f>
        <v>2.5714285714285712</v>
      </c>
      <c r="F45" s="49">
        <f>'Avg Week Koboko-Yumbe'!F45+'Avg Week Yumbe-Koboko'!F45</f>
        <v>0.8571428571428571</v>
      </c>
      <c r="G45" s="49">
        <f>'Avg Week Koboko-Yumbe'!G45+'Avg Week Yumbe-Koboko'!G45</f>
        <v>0.2857142857142857</v>
      </c>
      <c r="H45" s="49">
        <f>'Avg Week Koboko-Yumbe'!H45+'Avg Week Yumbe-Koboko'!H45</f>
        <v>0</v>
      </c>
      <c r="I45" s="49">
        <f>'Avg Week Koboko-Yumbe'!I45+'Avg Week Yumbe-Koboko'!I45</f>
        <v>0.85714285714285721</v>
      </c>
      <c r="J45" s="49">
        <f>'Avg Week Koboko-Yumbe'!J45+'Avg Week Yumbe-Koboko'!J45</f>
        <v>0</v>
      </c>
      <c r="K45" s="49">
        <f>'Avg Week Koboko-Yumbe'!K45+'Avg Week Yumbe-Koboko'!K45</f>
        <v>0</v>
      </c>
      <c r="L45" s="49">
        <f>'Avg Week Koboko-Yumbe'!L45+'Avg Week Yumbe-Koboko'!L45</f>
        <v>0.2857142857142857</v>
      </c>
      <c r="M45" s="49">
        <f>'Avg Week Koboko-Yumbe'!M45+'Avg Week Yumbe-Koboko'!M45</f>
        <v>17.571428571428569</v>
      </c>
      <c r="N45" s="49">
        <f>'Avg Week Koboko-Yumbe'!N45+'Avg Week Yumbe-Koboko'!N45</f>
        <v>0</v>
      </c>
      <c r="O45" s="15">
        <f t="shared" si="0"/>
        <v>9.1428571428571423</v>
      </c>
      <c r="P45" s="15">
        <f t="shared" si="1"/>
        <v>26.714285714285712</v>
      </c>
    </row>
    <row r="46" spans="2:32" ht="23.1" customHeight="1" x14ac:dyDescent="0.25">
      <c r="B46" s="24" t="s">
        <v>73</v>
      </c>
      <c r="C46" s="49">
        <f>'Avg Week Koboko-Yumbe'!C46+'Avg Week Yumbe-Koboko'!C46</f>
        <v>5.5714285714285712</v>
      </c>
      <c r="D46" s="49">
        <f>'Avg Week Koboko-Yumbe'!D46+'Avg Week Yumbe-Koboko'!D46</f>
        <v>0.42857142857142855</v>
      </c>
      <c r="E46" s="49">
        <f>'Avg Week Koboko-Yumbe'!E46+'Avg Week Yumbe-Koboko'!E46</f>
        <v>2.2857142857142856</v>
      </c>
      <c r="F46" s="49">
        <f>'Avg Week Koboko-Yumbe'!F46+'Avg Week Yumbe-Koboko'!F46</f>
        <v>1</v>
      </c>
      <c r="G46" s="49">
        <f>'Avg Week Koboko-Yumbe'!G46+'Avg Week Yumbe-Koboko'!G46</f>
        <v>0</v>
      </c>
      <c r="H46" s="49">
        <f>'Avg Week Koboko-Yumbe'!H46+'Avg Week Yumbe-Koboko'!H46</f>
        <v>0</v>
      </c>
      <c r="I46" s="49">
        <f>'Avg Week Koboko-Yumbe'!I46+'Avg Week Yumbe-Koboko'!I46</f>
        <v>0.14285714285714285</v>
      </c>
      <c r="J46" s="49">
        <f>'Avg Week Koboko-Yumbe'!J46+'Avg Week Yumbe-Koboko'!J46</f>
        <v>0.5714285714285714</v>
      </c>
      <c r="K46" s="49">
        <f>'Avg Week Koboko-Yumbe'!K46+'Avg Week Yumbe-Koboko'!K46</f>
        <v>0.14285714285714285</v>
      </c>
      <c r="L46" s="49">
        <f>'Avg Week Koboko-Yumbe'!L46+'Avg Week Yumbe-Koboko'!L46</f>
        <v>0</v>
      </c>
      <c r="M46" s="49">
        <f>'Avg Week Koboko-Yumbe'!M46+'Avg Week Yumbe-Koboko'!M46</f>
        <v>17.428571428571431</v>
      </c>
      <c r="N46" s="49">
        <f>'Avg Week Koboko-Yumbe'!N46+'Avg Week Yumbe-Koboko'!N46</f>
        <v>0</v>
      </c>
      <c r="O46" s="15">
        <f t="shared" si="0"/>
        <v>10.142857142857141</v>
      </c>
      <c r="P46" s="15">
        <f t="shared" si="1"/>
        <v>27.571428571428569</v>
      </c>
      <c r="R46" s="8"/>
      <c r="T46"/>
    </row>
    <row r="47" spans="2:32" ht="23.1" customHeight="1" x14ac:dyDescent="0.25">
      <c r="B47" s="24" t="s">
        <v>74</v>
      </c>
      <c r="C47" s="49">
        <f>'Avg Week Koboko-Yumbe'!C47+'Avg Week Yumbe-Koboko'!C47</f>
        <v>5</v>
      </c>
      <c r="D47" s="49">
        <f>'Avg Week Koboko-Yumbe'!D47+'Avg Week Yumbe-Koboko'!D47</f>
        <v>0.5714285714285714</v>
      </c>
      <c r="E47" s="49">
        <f>'Avg Week Koboko-Yumbe'!E47+'Avg Week Yumbe-Koboko'!E47</f>
        <v>2.4285714285714288</v>
      </c>
      <c r="F47" s="49">
        <f>'Avg Week Koboko-Yumbe'!F47+'Avg Week Yumbe-Koboko'!F47</f>
        <v>0.2857142857142857</v>
      </c>
      <c r="G47" s="49">
        <f>'Avg Week Koboko-Yumbe'!G47+'Avg Week Yumbe-Koboko'!G47</f>
        <v>0.14285714285714285</v>
      </c>
      <c r="H47" s="49">
        <f>'Avg Week Koboko-Yumbe'!H47+'Avg Week Yumbe-Koboko'!H47</f>
        <v>0.14285714285714285</v>
      </c>
      <c r="I47" s="49">
        <f>'Avg Week Koboko-Yumbe'!I47+'Avg Week Yumbe-Koboko'!I47</f>
        <v>0.2857142857142857</v>
      </c>
      <c r="J47" s="49">
        <f>'Avg Week Koboko-Yumbe'!J47+'Avg Week Yumbe-Koboko'!J47</f>
        <v>0.14285714285714285</v>
      </c>
      <c r="K47" s="49">
        <f>'Avg Week Koboko-Yumbe'!K47+'Avg Week Yumbe-Koboko'!K47</f>
        <v>0.14285714285714285</v>
      </c>
      <c r="L47" s="49">
        <f>'Avg Week Koboko-Yumbe'!L47+'Avg Week Yumbe-Koboko'!L47</f>
        <v>0</v>
      </c>
      <c r="M47" s="49">
        <f>'Avg Week Koboko-Yumbe'!M47+'Avg Week Yumbe-Koboko'!M47</f>
        <v>13.142857142857142</v>
      </c>
      <c r="N47" s="49">
        <f>'Avg Week Koboko-Yumbe'!N47+'Avg Week Yumbe-Koboko'!N47</f>
        <v>0</v>
      </c>
      <c r="O47" s="15">
        <f t="shared" si="0"/>
        <v>9.1428571428571423</v>
      </c>
      <c r="P47" s="15">
        <f t="shared" si="1"/>
        <v>22.285714285714285</v>
      </c>
      <c r="R47" s="8"/>
      <c r="T47"/>
    </row>
    <row r="48" spans="2:32" ht="23.1" customHeight="1" x14ac:dyDescent="0.25">
      <c r="B48" s="24" t="s">
        <v>75</v>
      </c>
      <c r="C48" s="49">
        <f>'Avg Week Koboko-Yumbe'!C48+'Avg Week Yumbe-Koboko'!C48</f>
        <v>3.8571428571428568</v>
      </c>
      <c r="D48" s="49">
        <f>'Avg Week Koboko-Yumbe'!D48+'Avg Week Yumbe-Koboko'!D48</f>
        <v>0.42857142857142855</v>
      </c>
      <c r="E48" s="49">
        <f>'Avg Week Koboko-Yumbe'!E48+'Avg Week Yumbe-Koboko'!E48</f>
        <v>2.2857142857142856</v>
      </c>
      <c r="F48" s="49">
        <f>'Avg Week Koboko-Yumbe'!F48+'Avg Week Yumbe-Koboko'!F48</f>
        <v>0.5714285714285714</v>
      </c>
      <c r="G48" s="49">
        <f>'Avg Week Koboko-Yumbe'!G48+'Avg Week Yumbe-Koboko'!G48</f>
        <v>0.14285714285714285</v>
      </c>
      <c r="H48" s="49">
        <f>'Avg Week Koboko-Yumbe'!H48+'Avg Week Yumbe-Koboko'!H48</f>
        <v>0.2857142857142857</v>
      </c>
      <c r="I48" s="49">
        <f>'Avg Week Koboko-Yumbe'!I48+'Avg Week Yumbe-Koboko'!I48</f>
        <v>0.71428571428571419</v>
      </c>
      <c r="J48" s="49">
        <f>'Avg Week Koboko-Yumbe'!J48+'Avg Week Yumbe-Koboko'!J48</f>
        <v>0.14285714285714285</v>
      </c>
      <c r="K48" s="49">
        <f>'Avg Week Koboko-Yumbe'!K48+'Avg Week Yumbe-Koboko'!K48</f>
        <v>0</v>
      </c>
      <c r="L48" s="49">
        <f>'Avg Week Koboko-Yumbe'!L48+'Avg Week Yumbe-Koboko'!L48</f>
        <v>0.2857142857142857</v>
      </c>
      <c r="M48" s="49">
        <f>'Avg Week Koboko-Yumbe'!M48+'Avg Week Yumbe-Koboko'!M48</f>
        <v>14.571428571428571</v>
      </c>
      <c r="N48" s="49">
        <f>'Avg Week Koboko-Yumbe'!N48+'Avg Week Yumbe-Koboko'!N48</f>
        <v>0</v>
      </c>
      <c r="O48" s="15">
        <f t="shared" si="0"/>
        <v>8.7142857142857135</v>
      </c>
      <c r="P48" s="15">
        <f t="shared" si="1"/>
        <v>23.285714285714285</v>
      </c>
      <c r="R48" s="8"/>
      <c r="T48"/>
    </row>
    <row r="49" spans="2:20" ht="23.1" customHeight="1" x14ac:dyDescent="0.25">
      <c r="B49" s="23" t="s">
        <v>76</v>
      </c>
      <c r="C49" s="49">
        <f>'Avg Week Koboko-Yumbe'!C49+'Avg Week Yumbe-Koboko'!C49</f>
        <v>3.2857142857142856</v>
      </c>
      <c r="D49" s="49">
        <f>'Avg Week Koboko-Yumbe'!D49+'Avg Week Yumbe-Koboko'!D49</f>
        <v>0.71428571428571419</v>
      </c>
      <c r="E49" s="49">
        <f>'Avg Week Koboko-Yumbe'!E49+'Avg Week Yumbe-Koboko'!E49</f>
        <v>3.2857142857142856</v>
      </c>
      <c r="F49" s="49">
        <f>'Avg Week Koboko-Yumbe'!F49+'Avg Week Yumbe-Koboko'!F49</f>
        <v>0.71428571428571419</v>
      </c>
      <c r="G49" s="49">
        <f>'Avg Week Koboko-Yumbe'!G49+'Avg Week Yumbe-Koboko'!G49</f>
        <v>0</v>
      </c>
      <c r="H49" s="49">
        <f>'Avg Week Koboko-Yumbe'!H49+'Avg Week Yumbe-Koboko'!H49</f>
        <v>0.5714285714285714</v>
      </c>
      <c r="I49" s="49">
        <f>'Avg Week Koboko-Yumbe'!I49+'Avg Week Yumbe-Koboko'!I49</f>
        <v>0.71428571428571419</v>
      </c>
      <c r="J49" s="49">
        <f>'Avg Week Koboko-Yumbe'!J49+'Avg Week Yumbe-Koboko'!J49</f>
        <v>0.2857142857142857</v>
      </c>
      <c r="K49" s="49">
        <f>'Avg Week Koboko-Yumbe'!K49+'Avg Week Yumbe-Koboko'!K49</f>
        <v>0</v>
      </c>
      <c r="L49" s="49">
        <f>'Avg Week Koboko-Yumbe'!L49+'Avg Week Yumbe-Koboko'!L49</f>
        <v>0.14285714285714285</v>
      </c>
      <c r="M49" s="49">
        <f>'Avg Week Koboko-Yumbe'!M49+'Avg Week Yumbe-Koboko'!M49</f>
        <v>18</v>
      </c>
      <c r="N49" s="49">
        <f>'Avg Week Koboko-Yumbe'!N49+'Avg Week Yumbe-Koboko'!N49</f>
        <v>0</v>
      </c>
      <c r="O49" s="15">
        <f t="shared" si="0"/>
        <v>9.7142857142857135</v>
      </c>
      <c r="P49" s="15">
        <f t="shared" si="1"/>
        <v>27.714285714285715</v>
      </c>
      <c r="R49" s="8"/>
      <c r="T49"/>
    </row>
    <row r="50" spans="2:20" ht="23.1" customHeight="1" x14ac:dyDescent="0.25">
      <c r="B50" s="24" t="s">
        <v>77</v>
      </c>
      <c r="C50" s="49">
        <f>'Avg Week Koboko-Yumbe'!C50+'Avg Week Yumbe-Koboko'!C50</f>
        <v>5.2857142857142856</v>
      </c>
      <c r="D50" s="49">
        <f>'Avg Week Koboko-Yumbe'!D50+'Avg Week Yumbe-Koboko'!D50</f>
        <v>0.71428571428571419</v>
      </c>
      <c r="E50" s="49">
        <f>'Avg Week Koboko-Yumbe'!E50+'Avg Week Yumbe-Koboko'!E50</f>
        <v>2.5714285714285712</v>
      </c>
      <c r="F50" s="49">
        <f>'Avg Week Koboko-Yumbe'!F50+'Avg Week Yumbe-Koboko'!F50</f>
        <v>0.14285714285714285</v>
      </c>
      <c r="G50" s="49">
        <f>'Avg Week Koboko-Yumbe'!G50+'Avg Week Yumbe-Koboko'!G50</f>
        <v>0</v>
      </c>
      <c r="H50" s="49">
        <f>'Avg Week Koboko-Yumbe'!H50+'Avg Week Yumbe-Koboko'!H50</f>
        <v>0.14285714285714285</v>
      </c>
      <c r="I50" s="49">
        <f>'Avg Week Koboko-Yumbe'!I50+'Avg Week Yumbe-Koboko'!I50</f>
        <v>0.85714285714285721</v>
      </c>
      <c r="J50" s="49">
        <f>'Avg Week Koboko-Yumbe'!J50+'Avg Week Yumbe-Koboko'!J50</f>
        <v>0.2857142857142857</v>
      </c>
      <c r="K50" s="49">
        <f>'Avg Week Koboko-Yumbe'!K50+'Avg Week Yumbe-Koboko'!K50</f>
        <v>0</v>
      </c>
      <c r="L50" s="49">
        <f>'Avg Week Koboko-Yumbe'!L50+'Avg Week Yumbe-Koboko'!L50</f>
        <v>0.14285714285714285</v>
      </c>
      <c r="M50" s="49">
        <f>'Avg Week Koboko-Yumbe'!M50+'Avg Week Yumbe-Koboko'!M50</f>
        <v>23.714285714285715</v>
      </c>
      <c r="N50" s="49">
        <f>'Avg Week Koboko-Yumbe'!N50+'Avg Week Yumbe-Koboko'!N50</f>
        <v>0.14285714285714285</v>
      </c>
      <c r="O50" s="15">
        <f t="shared" si="0"/>
        <v>10.285714285714285</v>
      </c>
      <c r="P50" s="15">
        <f t="shared" si="1"/>
        <v>34.000000000000007</v>
      </c>
      <c r="R50" s="8"/>
      <c r="T50"/>
    </row>
    <row r="51" spans="2:20" ht="23.1" customHeight="1" x14ac:dyDescent="0.25">
      <c r="B51" s="24" t="s">
        <v>78</v>
      </c>
      <c r="C51" s="49">
        <f>'Avg Week Koboko-Yumbe'!C51+'Avg Week Yumbe-Koboko'!C51</f>
        <v>5.1428571428571423</v>
      </c>
      <c r="D51" s="49">
        <f>'Avg Week Koboko-Yumbe'!D51+'Avg Week Yumbe-Koboko'!D51</f>
        <v>0.7142857142857143</v>
      </c>
      <c r="E51" s="49">
        <f>'Avg Week Koboko-Yumbe'!E51+'Avg Week Yumbe-Koboko'!E51</f>
        <v>2.8571428571428568</v>
      </c>
      <c r="F51" s="49">
        <f>'Avg Week Koboko-Yumbe'!F51+'Avg Week Yumbe-Koboko'!F51</f>
        <v>0.14285714285714285</v>
      </c>
      <c r="G51" s="49">
        <f>'Avg Week Koboko-Yumbe'!G51+'Avg Week Yumbe-Koboko'!G51</f>
        <v>0.14285714285714285</v>
      </c>
      <c r="H51" s="49">
        <f>'Avg Week Koboko-Yumbe'!H51+'Avg Week Yumbe-Koboko'!H51</f>
        <v>0.14285714285714285</v>
      </c>
      <c r="I51" s="49">
        <f>'Avg Week Koboko-Yumbe'!I51+'Avg Week Yumbe-Koboko'!I51</f>
        <v>0.42857142857142855</v>
      </c>
      <c r="J51" s="49">
        <f>'Avg Week Koboko-Yumbe'!J51+'Avg Week Yumbe-Koboko'!J51</f>
        <v>0.5714285714285714</v>
      </c>
      <c r="K51" s="49">
        <f>'Avg Week Koboko-Yumbe'!K51+'Avg Week Yumbe-Koboko'!K51</f>
        <v>0</v>
      </c>
      <c r="L51" s="49">
        <f>'Avg Week Koboko-Yumbe'!L51+'Avg Week Yumbe-Koboko'!L51</f>
        <v>0.14285714285714285</v>
      </c>
      <c r="M51" s="49">
        <f>'Avg Week Koboko-Yumbe'!M51+'Avg Week Yumbe-Koboko'!M51</f>
        <v>16.714285714285715</v>
      </c>
      <c r="N51" s="49">
        <f>'Avg Week Koboko-Yumbe'!N51+'Avg Week Yumbe-Koboko'!N51</f>
        <v>0</v>
      </c>
      <c r="O51" s="15">
        <f t="shared" si="0"/>
        <v>10.285714285714283</v>
      </c>
      <c r="P51" s="15">
        <f t="shared" si="1"/>
        <v>27</v>
      </c>
      <c r="R51" s="8"/>
      <c r="T51"/>
    </row>
    <row r="52" spans="2:20" ht="23.1" customHeight="1" x14ac:dyDescent="0.25">
      <c r="B52" s="24" t="s">
        <v>79</v>
      </c>
      <c r="C52" s="49">
        <f>'Avg Week Koboko-Yumbe'!C52+'Avg Week Yumbe-Koboko'!C52</f>
        <v>5</v>
      </c>
      <c r="D52" s="49">
        <f>'Avg Week Koboko-Yumbe'!D52+'Avg Week Yumbe-Koboko'!D52</f>
        <v>0.42857142857142855</v>
      </c>
      <c r="E52" s="49">
        <f>'Avg Week Koboko-Yumbe'!E52+'Avg Week Yumbe-Koboko'!E52</f>
        <v>2.2857142857142856</v>
      </c>
      <c r="F52" s="49">
        <f>'Avg Week Koboko-Yumbe'!F52+'Avg Week Yumbe-Koboko'!F52</f>
        <v>0.8571428571428571</v>
      </c>
      <c r="G52" s="49">
        <f>'Avg Week Koboko-Yumbe'!G52+'Avg Week Yumbe-Koboko'!G52</f>
        <v>0</v>
      </c>
      <c r="H52" s="49">
        <f>'Avg Week Koboko-Yumbe'!H52+'Avg Week Yumbe-Koboko'!H52</f>
        <v>0</v>
      </c>
      <c r="I52" s="49">
        <f>'Avg Week Koboko-Yumbe'!I52+'Avg Week Yumbe-Koboko'!I52</f>
        <v>0.71428571428571419</v>
      </c>
      <c r="J52" s="49">
        <f>'Avg Week Koboko-Yumbe'!J52+'Avg Week Yumbe-Koboko'!J52</f>
        <v>0</v>
      </c>
      <c r="K52" s="49">
        <f>'Avg Week Koboko-Yumbe'!K52+'Avg Week Yumbe-Koboko'!K52</f>
        <v>0.14285714285714285</v>
      </c>
      <c r="L52" s="49">
        <f>'Avg Week Koboko-Yumbe'!L52+'Avg Week Yumbe-Koboko'!L52</f>
        <v>0.14285714285714285</v>
      </c>
      <c r="M52" s="49">
        <f>'Avg Week Koboko-Yumbe'!M52+'Avg Week Yumbe-Koboko'!M52</f>
        <v>15.428571428571429</v>
      </c>
      <c r="N52" s="49">
        <f>'Avg Week Koboko-Yumbe'!N52+'Avg Week Yumbe-Koboko'!N52</f>
        <v>0.14285714285714285</v>
      </c>
      <c r="O52" s="15">
        <f t="shared" si="0"/>
        <v>9.7142857142857117</v>
      </c>
      <c r="P52" s="15">
        <f t="shared" si="1"/>
        <v>25.142857142857142</v>
      </c>
      <c r="R52" s="8"/>
      <c r="T52"/>
    </row>
    <row r="53" spans="2:20" ht="23.1" customHeight="1" x14ac:dyDescent="0.25">
      <c r="B53" s="23" t="s">
        <v>80</v>
      </c>
      <c r="C53" s="49">
        <f>'Avg Week Koboko-Yumbe'!C53+'Avg Week Yumbe-Koboko'!C53</f>
        <v>4.7142857142857144</v>
      </c>
      <c r="D53" s="49">
        <f>'Avg Week Koboko-Yumbe'!D53+'Avg Week Yumbe-Koboko'!D53</f>
        <v>0.2857142857142857</v>
      </c>
      <c r="E53" s="49">
        <f>'Avg Week Koboko-Yumbe'!E53+'Avg Week Yumbe-Koboko'!E53</f>
        <v>2.1428571428571428</v>
      </c>
      <c r="F53" s="49">
        <f>'Avg Week Koboko-Yumbe'!F53+'Avg Week Yumbe-Koboko'!F53</f>
        <v>0.71428571428571419</v>
      </c>
      <c r="G53" s="49">
        <f>'Avg Week Koboko-Yumbe'!G53+'Avg Week Yumbe-Koboko'!G53</f>
        <v>0.14285714285714285</v>
      </c>
      <c r="H53" s="49">
        <f>'Avg Week Koboko-Yumbe'!H53+'Avg Week Yumbe-Koboko'!H53</f>
        <v>0.5714285714285714</v>
      </c>
      <c r="I53" s="49">
        <f>'Avg Week Koboko-Yumbe'!I53+'Avg Week Yumbe-Koboko'!I53</f>
        <v>0.8571428571428571</v>
      </c>
      <c r="J53" s="49">
        <f>'Avg Week Koboko-Yumbe'!J53+'Avg Week Yumbe-Koboko'!J53</f>
        <v>0.14285714285714285</v>
      </c>
      <c r="K53" s="49">
        <f>'Avg Week Koboko-Yumbe'!K53+'Avg Week Yumbe-Koboko'!K53</f>
        <v>0</v>
      </c>
      <c r="L53" s="49">
        <f>'Avg Week Koboko-Yumbe'!L53+'Avg Week Yumbe-Koboko'!L53</f>
        <v>0.2857142857142857</v>
      </c>
      <c r="M53" s="49">
        <f>'Avg Week Koboko-Yumbe'!M53+'Avg Week Yumbe-Koboko'!M53</f>
        <v>21.428571428571431</v>
      </c>
      <c r="N53" s="49">
        <f>'Avg Week Koboko-Yumbe'!N53+'Avg Week Yumbe-Koboko'!N53</f>
        <v>0.2857142857142857</v>
      </c>
      <c r="O53" s="15">
        <f t="shared" si="0"/>
        <v>10.142857142857144</v>
      </c>
      <c r="P53" s="15">
        <f t="shared" si="1"/>
        <v>31.571428571428573</v>
      </c>
      <c r="R53" s="8"/>
      <c r="T53"/>
    </row>
    <row r="54" spans="2:20" ht="23.1" customHeight="1" x14ac:dyDescent="0.25">
      <c r="B54" s="23" t="s">
        <v>81</v>
      </c>
      <c r="C54" s="49">
        <f>'Avg Week Koboko-Yumbe'!C54+'Avg Week Yumbe-Koboko'!C54</f>
        <v>5.2857142857142856</v>
      </c>
      <c r="D54" s="49">
        <f>'Avg Week Koboko-Yumbe'!D54+'Avg Week Yumbe-Koboko'!D54</f>
        <v>0.42857142857142855</v>
      </c>
      <c r="E54" s="49">
        <f>'Avg Week Koboko-Yumbe'!E54+'Avg Week Yumbe-Koboko'!E54</f>
        <v>2.8571428571428572</v>
      </c>
      <c r="F54" s="49">
        <f>'Avg Week Koboko-Yumbe'!F54+'Avg Week Yumbe-Koboko'!F54</f>
        <v>0.61904761904761907</v>
      </c>
      <c r="G54" s="49">
        <f>'Avg Week Koboko-Yumbe'!G54+'Avg Week Yumbe-Koboko'!G54</f>
        <v>0.14285714285714285</v>
      </c>
      <c r="H54" s="49">
        <f>'Avg Week Koboko-Yumbe'!H54+'Avg Week Yumbe-Koboko'!H54</f>
        <v>0.42857142857142855</v>
      </c>
      <c r="I54" s="49">
        <f>'Avg Week Koboko-Yumbe'!I54+'Avg Week Yumbe-Koboko'!I54</f>
        <v>0.2857142857142857</v>
      </c>
      <c r="J54" s="49">
        <f>'Avg Week Koboko-Yumbe'!J54+'Avg Week Yumbe-Koboko'!J54</f>
        <v>0.14285714285714285</v>
      </c>
      <c r="K54" s="49">
        <f>'Avg Week Koboko-Yumbe'!K54+'Avg Week Yumbe-Koboko'!K54</f>
        <v>0.14285714285714285</v>
      </c>
      <c r="L54" s="49">
        <f>'Avg Week Koboko-Yumbe'!L54+'Avg Week Yumbe-Koboko'!L54</f>
        <v>0</v>
      </c>
      <c r="M54" s="49">
        <f>'Avg Week Koboko-Yumbe'!M54+'Avg Week Yumbe-Koboko'!M54</f>
        <v>19.857142857142858</v>
      </c>
      <c r="N54" s="49">
        <f>'Avg Week Koboko-Yumbe'!N54+'Avg Week Yumbe-Koboko'!N54</f>
        <v>0</v>
      </c>
      <c r="O54" s="15">
        <f t="shared" si="0"/>
        <v>10.333333333333332</v>
      </c>
      <c r="P54" s="15">
        <f t="shared" si="1"/>
        <v>30.19047619047619</v>
      </c>
      <c r="R54" s="8"/>
      <c r="T54"/>
    </row>
    <row r="55" spans="2:20" ht="23.1" customHeight="1" x14ac:dyDescent="0.25">
      <c r="B55" s="23" t="s">
        <v>82</v>
      </c>
      <c r="C55" s="49">
        <f>'Avg Week Koboko-Yumbe'!C55+'Avg Week Yumbe-Koboko'!C55</f>
        <v>6</v>
      </c>
      <c r="D55" s="49">
        <f>'Avg Week Koboko-Yumbe'!D55+'Avg Week Yumbe-Koboko'!D55</f>
        <v>0.42857142857142855</v>
      </c>
      <c r="E55" s="49">
        <f>'Avg Week Koboko-Yumbe'!E55+'Avg Week Yumbe-Koboko'!E55</f>
        <v>2.4285714285714288</v>
      </c>
      <c r="F55" s="49">
        <f>'Avg Week Koboko-Yumbe'!F55+'Avg Week Yumbe-Koboko'!F55</f>
        <v>0.47619047619047616</v>
      </c>
      <c r="G55" s="49">
        <f>'Avg Week Koboko-Yumbe'!G55+'Avg Week Yumbe-Koboko'!G55</f>
        <v>0.42857142857142855</v>
      </c>
      <c r="H55" s="49">
        <f>'Avg Week Koboko-Yumbe'!H55+'Avg Week Yumbe-Koboko'!H55</f>
        <v>0.7142857142857143</v>
      </c>
      <c r="I55" s="49">
        <f>'Avg Week Koboko-Yumbe'!I55+'Avg Week Yumbe-Koboko'!I55</f>
        <v>0.5714285714285714</v>
      </c>
      <c r="J55" s="49">
        <f>'Avg Week Koboko-Yumbe'!J55+'Avg Week Yumbe-Koboko'!J55</f>
        <v>0.2857142857142857</v>
      </c>
      <c r="K55" s="49">
        <f>'Avg Week Koboko-Yumbe'!K55+'Avg Week Yumbe-Koboko'!K55</f>
        <v>0</v>
      </c>
      <c r="L55" s="49">
        <f>'Avg Week Koboko-Yumbe'!L55+'Avg Week Yumbe-Koboko'!L55</f>
        <v>0.14285714285714285</v>
      </c>
      <c r="M55" s="49">
        <f>'Avg Week Koboko-Yumbe'!M55+'Avg Week Yumbe-Koboko'!M55</f>
        <v>20.857142857142854</v>
      </c>
      <c r="N55" s="49">
        <f>'Avg Week Koboko-Yumbe'!N55+'Avg Week Yumbe-Koboko'!N55</f>
        <v>0</v>
      </c>
      <c r="O55" s="15">
        <f t="shared" si="0"/>
        <v>11.476190476190476</v>
      </c>
      <c r="P55" s="15">
        <f t="shared" si="1"/>
        <v>32.333333333333329</v>
      </c>
      <c r="R55" s="8"/>
      <c r="T55"/>
    </row>
    <row r="56" spans="2:20" ht="23.1" customHeight="1" x14ac:dyDescent="0.25">
      <c r="B56" s="23" t="s">
        <v>83</v>
      </c>
      <c r="C56" s="49">
        <f>'Avg Week Koboko-Yumbe'!C56+'Avg Week Yumbe-Koboko'!C56</f>
        <v>5.2857142857142865</v>
      </c>
      <c r="D56" s="49">
        <f>'Avg Week Koboko-Yumbe'!D56+'Avg Week Yumbe-Koboko'!D56</f>
        <v>0.42857142857142855</v>
      </c>
      <c r="E56" s="49">
        <f>'Avg Week Koboko-Yumbe'!E56+'Avg Week Yumbe-Koboko'!E56</f>
        <v>3.1428571428571428</v>
      </c>
      <c r="F56" s="49">
        <f>'Avg Week Koboko-Yumbe'!F56+'Avg Week Yumbe-Koboko'!F56</f>
        <v>0.42857142857142855</v>
      </c>
      <c r="G56" s="49">
        <f>'Avg Week Koboko-Yumbe'!G56+'Avg Week Yumbe-Koboko'!G56</f>
        <v>0</v>
      </c>
      <c r="H56" s="49">
        <f>'Avg Week Koboko-Yumbe'!H56+'Avg Week Yumbe-Koboko'!H56</f>
        <v>0.42857142857142855</v>
      </c>
      <c r="I56" s="49">
        <f>'Avg Week Koboko-Yumbe'!I56+'Avg Week Yumbe-Koboko'!I56</f>
        <v>1.1428571428571428</v>
      </c>
      <c r="J56" s="49">
        <f>'Avg Week Koboko-Yumbe'!J56+'Avg Week Yumbe-Koboko'!J56</f>
        <v>0.5714285714285714</v>
      </c>
      <c r="K56" s="49">
        <f>'Avg Week Koboko-Yumbe'!K56+'Avg Week Yumbe-Koboko'!K56</f>
        <v>0</v>
      </c>
      <c r="L56" s="49">
        <f>'Avg Week Koboko-Yumbe'!L56+'Avg Week Yumbe-Koboko'!L56</f>
        <v>0.2857142857142857</v>
      </c>
      <c r="M56" s="49">
        <f>'Avg Week Koboko-Yumbe'!M56+'Avg Week Yumbe-Koboko'!M56</f>
        <v>22.285714285714285</v>
      </c>
      <c r="N56" s="49">
        <f>'Avg Week Koboko-Yumbe'!N56+'Avg Week Yumbe-Koboko'!N56</f>
        <v>0</v>
      </c>
      <c r="O56" s="15">
        <f t="shared" si="0"/>
        <v>11.714285714285715</v>
      </c>
      <c r="P56" s="15">
        <f t="shared" si="1"/>
        <v>34</v>
      </c>
      <c r="R56" s="8"/>
      <c r="T56"/>
    </row>
    <row r="57" spans="2:20" ht="23.1" customHeight="1" x14ac:dyDescent="0.25">
      <c r="B57" s="23" t="s">
        <v>84</v>
      </c>
      <c r="C57" s="49">
        <f>'Avg Week Koboko-Yumbe'!C57+'Avg Week Yumbe-Koboko'!C57</f>
        <v>4.5714285714285712</v>
      </c>
      <c r="D57" s="49">
        <f>'Avg Week Koboko-Yumbe'!D57+'Avg Week Yumbe-Koboko'!D57</f>
        <v>1.1428571428571428</v>
      </c>
      <c r="E57" s="49">
        <f>'Avg Week Koboko-Yumbe'!E57+'Avg Week Yumbe-Koboko'!E57</f>
        <v>3.4285714285714288</v>
      </c>
      <c r="F57" s="49">
        <f>'Avg Week Koboko-Yumbe'!F57+'Avg Week Yumbe-Koboko'!F57</f>
        <v>1.1428571428571428</v>
      </c>
      <c r="G57" s="49">
        <f>'Avg Week Koboko-Yumbe'!G57+'Avg Week Yumbe-Koboko'!G57</f>
        <v>0.5714285714285714</v>
      </c>
      <c r="H57" s="49">
        <f>'Avg Week Koboko-Yumbe'!H57+'Avg Week Yumbe-Koboko'!H57</f>
        <v>0.14285714285714285</v>
      </c>
      <c r="I57" s="49">
        <f>'Avg Week Koboko-Yumbe'!I57+'Avg Week Yumbe-Koboko'!I57</f>
        <v>1.1428571428571428</v>
      </c>
      <c r="J57" s="49">
        <f>'Avg Week Koboko-Yumbe'!J57+'Avg Week Yumbe-Koboko'!J57</f>
        <v>0</v>
      </c>
      <c r="K57" s="49">
        <f>'Avg Week Koboko-Yumbe'!K57+'Avg Week Yumbe-Koboko'!K57</f>
        <v>0</v>
      </c>
      <c r="L57" s="49">
        <f>'Avg Week Koboko-Yumbe'!L57+'Avg Week Yumbe-Koboko'!L57</f>
        <v>0.2857142857142857</v>
      </c>
      <c r="M57" s="49">
        <f>'Avg Week Koboko-Yumbe'!M57+'Avg Week Yumbe-Koboko'!M57</f>
        <v>23.285714285714285</v>
      </c>
      <c r="N57" s="49">
        <f>'Avg Week Koboko-Yumbe'!N57+'Avg Week Yumbe-Koboko'!N57</f>
        <v>0.42857142857142855</v>
      </c>
      <c r="O57" s="15">
        <f t="shared" si="0"/>
        <v>12.857142857142856</v>
      </c>
      <c r="P57" s="15">
        <f t="shared" si="1"/>
        <v>36.142857142857139</v>
      </c>
      <c r="R57" s="8"/>
      <c r="T57"/>
    </row>
    <row r="58" spans="2:20" ht="23.1" customHeight="1" x14ac:dyDescent="0.25">
      <c r="B58" s="23" t="s">
        <v>99</v>
      </c>
      <c r="C58" s="49">
        <f>'Avg Week Koboko-Yumbe'!C58+'Avg Week Yumbe-Koboko'!C58</f>
        <v>2.5</v>
      </c>
      <c r="D58" s="49">
        <f>'Avg Week Koboko-Yumbe'!D58+'Avg Week Yumbe-Koboko'!D58</f>
        <v>2.5</v>
      </c>
      <c r="E58" s="49">
        <f>'Avg Week Koboko-Yumbe'!E58+'Avg Week Yumbe-Koboko'!E58</f>
        <v>5</v>
      </c>
      <c r="F58" s="49">
        <f>'Avg Week Koboko-Yumbe'!F58+'Avg Week Yumbe-Koboko'!F58</f>
        <v>1.5</v>
      </c>
      <c r="G58" s="49">
        <f>'Avg Week Koboko-Yumbe'!G58+'Avg Week Yumbe-Koboko'!G58</f>
        <v>0</v>
      </c>
      <c r="H58" s="49">
        <f>'Avg Week Koboko-Yumbe'!H58+'Avg Week Yumbe-Koboko'!H58</f>
        <v>0</v>
      </c>
      <c r="I58" s="49">
        <f>'Avg Week Koboko-Yumbe'!I58+'Avg Week Yumbe-Koboko'!I58</f>
        <v>0.5</v>
      </c>
      <c r="J58" s="49">
        <f>'Avg Week Koboko-Yumbe'!J58+'Avg Week Yumbe-Koboko'!J58</f>
        <v>0</v>
      </c>
      <c r="K58" s="49">
        <f>'Avg Week Koboko-Yumbe'!K58+'Avg Week Yumbe-Koboko'!K58</f>
        <v>0</v>
      </c>
      <c r="L58" s="49">
        <f>'Avg Week Koboko-Yumbe'!L58+'Avg Week Yumbe-Koboko'!L58</f>
        <v>0</v>
      </c>
      <c r="M58" s="49">
        <f>'Avg Week Koboko-Yumbe'!M58+'Avg Week Yumbe-Koboko'!M58</f>
        <v>6</v>
      </c>
      <c r="N58" s="49">
        <f>'Avg Week Koboko-Yumbe'!N58+'Avg Week Yumbe-Koboko'!N58</f>
        <v>0</v>
      </c>
      <c r="O58" s="15">
        <f t="shared" si="0"/>
        <v>12</v>
      </c>
      <c r="P58" s="15">
        <f t="shared" si="1"/>
        <v>18</v>
      </c>
      <c r="R58" s="8"/>
      <c r="T58"/>
    </row>
    <row r="59" spans="2:20" ht="23.1" customHeight="1" x14ac:dyDescent="0.25">
      <c r="B59" s="23" t="s">
        <v>100</v>
      </c>
      <c r="C59" s="49">
        <f>'Avg Week Koboko-Yumbe'!C59+'Avg Week Yumbe-Koboko'!C59</f>
        <v>7.5</v>
      </c>
      <c r="D59" s="49">
        <f>'Avg Week Koboko-Yumbe'!D59+'Avg Week Yumbe-Koboko'!D59</f>
        <v>0.5</v>
      </c>
      <c r="E59" s="49">
        <f>'Avg Week Koboko-Yumbe'!E59+'Avg Week Yumbe-Koboko'!E59</f>
        <v>2.5</v>
      </c>
      <c r="F59" s="49">
        <f>'Avg Week Koboko-Yumbe'!F59+'Avg Week Yumbe-Koboko'!F59</f>
        <v>3.5</v>
      </c>
      <c r="G59" s="49">
        <f>'Avg Week Koboko-Yumbe'!G59+'Avg Week Yumbe-Koboko'!G59</f>
        <v>0</v>
      </c>
      <c r="H59" s="49">
        <f>'Avg Week Koboko-Yumbe'!H59+'Avg Week Yumbe-Koboko'!H59</f>
        <v>0</v>
      </c>
      <c r="I59" s="49">
        <f>'Avg Week Koboko-Yumbe'!I59+'Avg Week Yumbe-Koboko'!I59</f>
        <v>0</v>
      </c>
      <c r="J59" s="49">
        <f>'Avg Week Koboko-Yumbe'!J59+'Avg Week Yumbe-Koboko'!J59</f>
        <v>0</v>
      </c>
      <c r="K59" s="49">
        <f>'Avg Week Koboko-Yumbe'!K59+'Avg Week Yumbe-Koboko'!K59</f>
        <v>0</v>
      </c>
      <c r="L59" s="49">
        <f>'Avg Week Koboko-Yumbe'!L59+'Avg Week Yumbe-Koboko'!L59</f>
        <v>0</v>
      </c>
      <c r="M59" s="49">
        <f>'Avg Week Koboko-Yumbe'!M59+'Avg Week Yumbe-Koboko'!M59</f>
        <v>10</v>
      </c>
      <c r="N59" s="49">
        <f>'Avg Week Koboko-Yumbe'!N59+'Avg Week Yumbe-Koboko'!N59</f>
        <v>0.5</v>
      </c>
      <c r="O59" s="15">
        <f t="shared" si="0"/>
        <v>14.5</v>
      </c>
      <c r="P59" s="15">
        <f t="shared" si="1"/>
        <v>24.5</v>
      </c>
      <c r="R59" s="8"/>
      <c r="T59"/>
    </row>
    <row r="60" spans="2:20" ht="23.1" customHeight="1" x14ac:dyDescent="0.25">
      <c r="B60" s="23" t="s">
        <v>101</v>
      </c>
      <c r="C60" s="49">
        <f>'Avg Week Koboko-Yumbe'!C60+'Avg Week Yumbe-Koboko'!C60</f>
        <v>1.5</v>
      </c>
      <c r="D60" s="49">
        <f>'Avg Week Koboko-Yumbe'!D60+'Avg Week Yumbe-Koboko'!D60</f>
        <v>0</v>
      </c>
      <c r="E60" s="49">
        <f>'Avg Week Koboko-Yumbe'!E60+'Avg Week Yumbe-Koboko'!E60</f>
        <v>1.5</v>
      </c>
      <c r="F60" s="49">
        <f>'Avg Week Koboko-Yumbe'!F60+'Avg Week Yumbe-Koboko'!F60</f>
        <v>2</v>
      </c>
      <c r="G60" s="49">
        <f>'Avg Week Koboko-Yumbe'!G60+'Avg Week Yumbe-Koboko'!G60</f>
        <v>0</v>
      </c>
      <c r="H60" s="49">
        <f>'Avg Week Koboko-Yumbe'!H60+'Avg Week Yumbe-Koboko'!H60</f>
        <v>0</v>
      </c>
      <c r="I60" s="49">
        <f>'Avg Week Koboko-Yumbe'!I60+'Avg Week Yumbe-Koboko'!I60</f>
        <v>0.5</v>
      </c>
      <c r="J60" s="49">
        <f>'Avg Week Koboko-Yumbe'!J60+'Avg Week Yumbe-Koboko'!J60</f>
        <v>0</v>
      </c>
      <c r="K60" s="49">
        <f>'Avg Week Koboko-Yumbe'!K60+'Avg Week Yumbe-Koboko'!K60</f>
        <v>0</v>
      </c>
      <c r="L60" s="49">
        <f>'Avg Week Koboko-Yumbe'!L60+'Avg Week Yumbe-Koboko'!L60</f>
        <v>0</v>
      </c>
      <c r="M60" s="49">
        <f>'Avg Week Koboko-Yumbe'!M60+'Avg Week Yumbe-Koboko'!M60</f>
        <v>9</v>
      </c>
      <c r="N60" s="49">
        <f>'Avg Week Koboko-Yumbe'!N60+'Avg Week Yumbe-Koboko'!N60</f>
        <v>0</v>
      </c>
      <c r="O60" s="15">
        <f t="shared" si="0"/>
        <v>5.5</v>
      </c>
      <c r="P60" s="15">
        <f t="shared" si="1"/>
        <v>14.5</v>
      </c>
      <c r="R60" s="8"/>
      <c r="T60"/>
    </row>
    <row r="61" spans="2:20" ht="23.1" customHeight="1" x14ac:dyDescent="0.25">
      <c r="B61" s="23" t="s">
        <v>102</v>
      </c>
      <c r="C61" s="49">
        <f>'Avg Week Koboko-Yumbe'!C61+'Avg Week Yumbe-Koboko'!C61</f>
        <v>1.5</v>
      </c>
      <c r="D61" s="49">
        <f>'Avg Week Koboko-Yumbe'!D61+'Avg Week Yumbe-Koboko'!D61</f>
        <v>0</v>
      </c>
      <c r="E61" s="49">
        <f>'Avg Week Koboko-Yumbe'!E61+'Avg Week Yumbe-Koboko'!E61</f>
        <v>1.5</v>
      </c>
      <c r="F61" s="49">
        <f>'Avg Week Koboko-Yumbe'!F61+'Avg Week Yumbe-Koboko'!F61</f>
        <v>0.5</v>
      </c>
      <c r="G61" s="49">
        <f>'Avg Week Koboko-Yumbe'!G61+'Avg Week Yumbe-Koboko'!G61</f>
        <v>0</v>
      </c>
      <c r="H61" s="49">
        <f>'Avg Week Koboko-Yumbe'!H61+'Avg Week Yumbe-Koboko'!H61</f>
        <v>0</v>
      </c>
      <c r="I61" s="49">
        <f>'Avg Week Koboko-Yumbe'!I61+'Avg Week Yumbe-Koboko'!I61</f>
        <v>1</v>
      </c>
      <c r="J61" s="49">
        <f>'Avg Week Koboko-Yumbe'!J61+'Avg Week Yumbe-Koboko'!J61</f>
        <v>0.5</v>
      </c>
      <c r="K61" s="49">
        <f>'Avg Week Koboko-Yumbe'!K61+'Avg Week Yumbe-Koboko'!K61</f>
        <v>0</v>
      </c>
      <c r="L61" s="49">
        <f>'Avg Week Koboko-Yumbe'!L61+'Avg Week Yumbe-Koboko'!L61</f>
        <v>0</v>
      </c>
      <c r="M61" s="49">
        <f>'Avg Week Koboko-Yumbe'!M61+'Avg Week Yumbe-Koboko'!M61</f>
        <v>11</v>
      </c>
      <c r="N61" s="49">
        <f>'Avg Week Koboko-Yumbe'!N61+'Avg Week Yumbe-Koboko'!N61</f>
        <v>0</v>
      </c>
      <c r="O61" s="15">
        <f t="shared" si="0"/>
        <v>5</v>
      </c>
      <c r="P61" s="15">
        <f t="shared" si="1"/>
        <v>16</v>
      </c>
      <c r="R61" s="8"/>
      <c r="T61"/>
    </row>
    <row r="62" spans="2:20" ht="23.1" customHeight="1" x14ac:dyDescent="0.25">
      <c r="B62" s="23" t="s">
        <v>107</v>
      </c>
      <c r="C62" s="49">
        <f>'Avg Week Koboko-Yumbe'!C62+'Avg Week Yumbe-Koboko'!C62</f>
        <v>1</v>
      </c>
      <c r="D62" s="49">
        <f>'Avg Week Koboko-Yumbe'!D62+'Avg Week Yumbe-Koboko'!D62</f>
        <v>0</v>
      </c>
      <c r="E62" s="49">
        <f>'Avg Week Koboko-Yumbe'!E62+'Avg Week Yumbe-Koboko'!E62</f>
        <v>1</v>
      </c>
      <c r="F62" s="49">
        <f>'Avg Week Koboko-Yumbe'!F62+'Avg Week Yumbe-Koboko'!F62</f>
        <v>0.5</v>
      </c>
      <c r="G62" s="49">
        <f>'Avg Week Koboko-Yumbe'!G62+'Avg Week Yumbe-Koboko'!G62</f>
        <v>0</v>
      </c>
      <c r="H62" s="49">
        <f>'Avg Week Koboko-Yumbe'!H62+'Avg Week Yumbe-Koboko'!H62</f>
        <v>0</v>
      </c>
      <c r="I62" s="49">
        <f>'Avg Week Koboko-Yumbe'!I62+'Avg Week Yumbe-Koboko'!I62</f>
        <v>0</v>
      </c>
      <c r="J62" s="49">
        <f>'Avg Week Koboko-Yumbe'!J62+'Avg Week Yumbe-Koboko'!J62</f>
        <v>0</v>
      </c>
      <c r="K62" s="49">
        <f>'Avg Week Koboko-Yumbe'!K62+'Avg Week Yumbe-Koboko'!K62</f>
        <v>0.5</v>
      </c>
      <c r="L62" s="49">
        <f>'Avg Week Koboko-Yumbe'!L62+'Avg Week Yumbe-Koboko'!L62</f>
        <v>0</v>
      </c>
      <c r="M62" s="49">
        <f>'Avg Week Koboko-Yumbe'!M62+'Avg Week Yumbe-Koboko'!M62</f>
        <v>5.5</v>
      </c>
      <c r="N62" s="49">
        <f>'Avg Week Koboko-Yumbe'!N62+'Avg Week Yumbe-Koboko'!N62</f>
        <v>0</v>
      </c>
      <c r="O62" s="15">
        <f t="shared" si="0"/>
        <v>3</v>
      </c>
      <c r="P62" s="15">
        <f t="shared" si="1"/>
        <v>8.5</v>
      </c>
      <c r="R62" s="8"/>
      <c r="T62"/>
    </row>
    <row r="63" spans="2:20" ht="23.1" customHeight="1" x14ac:dyDescent="0.25">
      <c r="B63" s="23" t="s">
        <v>108</v>
      </c>
      <c r="C63" s="49">
        <f>'Avg Week Koboko-Yumbe'!C63+'Avg Week Yumbe-Koboko'!C63</f>
        <v>2</v>
      </c>
      <c r="D63" s="49">
        <f>'Avg Week Koboko-Yumbe'!D63+'Avg Week Yumbe-Koboko'!D63</f>
        <v>0</v>
      </c>
      <c r="E63" s="49">
        <f>'Avg Week Koboko-Yumbe'!E63+'Avg Week Yumbe-Koboko'!E63</f>
        <v>2</v>
      </c>
      <c r="F63" s="49">
        <f>'Avg Week Koboko-Yumbe'!F63+'Avg Week Yumbe-Koboko'!F63</f>
        <v>1</v>
      </c>
      <c r="G63" s="49">
        <f>'Avg Week Koboko-Yumbe'!G63+'Avg Week Yumbe-Koboko'!G63</f>
        <v>0.5</v>
      </c>
      <c r="H63" s="49">
        <f>'Avg Week Koboko-Yumbe'!H63+'Avg Week Yumbe-Koboko'!H63</f>
        <v>0</v>
      </c>
      <c r="I63" s="49">
        <f>'Avg Week Koboko-Yumbe'!I63+'Avg Week Yumbe-Koboko'!I63</f>
        <v>0</v>
      </c>
      <c r="J63" s="49">
        <f>'Avg Week Koboko-Yumbe'!J63+'Avg Week Yumbe-Koboko'!J63</f>
        <v>0</v>
      </c>
      <c r="K63" s="49">
        <f>'Avg Week Koboko-Yumbe'!K63+'Avg Week Yumbe-Koboko'!K63</f>
        <v>0</v>
      </c>
      <c r="L63" s="49">
        <f>'Avg Week Koboko-Yumbe'!L63+'Avg Week Yumbe-Koboko'!L63</f>
        <v>0</v>
      </c>
      <c r="M63" s="49">
        <f>'Avg Week Koboko-Yumbe'!M63+'Avg Week Yumbe-Koboko'!M63</f>
        <v>4</v>
      </c>
      <c r="N63" s="49">
        <f>'Avg Week Koboko-Yumbe'!N63+'Avg Week Yumbe-Koboko'!N63</f>
        <v>0</v>
      </c>
      <c r="O63" s="15">
        <f t="shared" si="0"/>
        <v>5.5</v>
      </c>
      <c r="P63" s="15">
        <f t="shared" si="1"/>
        <v>9.5</v>
      </c>
      <c r="R63" s="8"/>
      <c r="T63"/>
    </row>
    <row r="64" spans="2:20" ht="23.1" customHeight="1" x14ac:dyDescent="0.25">
      <c r="B64" s="23" t="s">
        <v>109</v>
      </c>
      <c r="C64" s="49">
        <f>'Avg Week Koboko-Yumbe'!C64+'Avg Week Yumbe-Koboko'!C64</f>
        <v>1.5</v>
      </c>
      <c r="D64" s="49">
        <f>'Avg Week Koboko-Yumbe'!D64+'Avg Week Yumbe-Koboko'!D64</f>
        <v>0</v>
      </c>
      <c r="E64" s="49">
        <f>'Avg Week Koboko-Yumbe'!E64+'Avg Week Yumbe-Koboko'!E64</f>
        <v>0.5</v>
      </c>
      <c r="F64" s="49">
        <f>'Avg Week Koboko-Yumbe'!F64+'Avg Week Yumbe-Koboko'!F64</f>
        <v>0.5</v>
      </c>
      <c r="G64" s="49">
        <f>'Avg Week Koboko-Yumbe'!G64+'Avg Week Yumbe-Koboko'!G64</f>
        <v>0.5</v>
      </c>
      <c r="H64" s="49">
        <f>'Avg Week Koboko-Yumbe'!H64+'Avg Week Yumbe-Koboko'!H64</f>
        <v>0</v>
      </c>
      <c r="I64" s="49">
        <f>'Avg Week Koboko-Yumbe'!I64+'Avg Week Yumbe-Koboko'!I64</f>
        <v>0.5</v>
      </c>
      <c r="J64" s="49">
        <f>'Avg Week Koboko-Yumbe'!J64+'Avg Week Yumbe-Koboko'!J64</f>
        <v>1</v>
      </c>
      <c r="K64" s="49">
        <f>'Avg Week Koboko-Yumbe'!K64+'Avg Week Yumbe-Koboko'!K64</f>
        <v>0</v>
      </c>
      <c r="L64" s="49">
        <f>'Avg Week Koboko-Yumbe'!L64+'Avg Week Yumbe-Koboko'!L64</f>
        <v>0</v>
      </c>
      <c r="M64" s="49">
        <f>'Avg Week Koboko-Yumbe'!M64+'Avg Week Yumbe-Koboko'!M64</f>
        <v>4.5</v>
      </c>
      <c r="N64" s="49">
        <f>'Avg Week Koboko-Yumbe'!N64+'Avg Week Yumbe-Koboko'!N64</f>
        <v>0</v>
      </c>
      <c r="O64" s="15">
        <f t="shared" si="0"/>
        <v>4.5</v>
      </c>
      <c r="P64" s="15">
        <f t="shared" si="1"/>
        <v>9</v>
      </c>
      <c r="R64" s="8"/>
      <c r="T64"/>
    </row>
    <row r="65" spans="2:20" ht="23.1" customHeight="1" x14ac:dyDescent="0.25">
      <c r="B65" s="23" t="s">
        <v>158</v>
      </c>
      <c r="C65" s="49">
        <f>'Avg Week Koboko-Yumbe'!C65+'Avg Week Yumbe-Koboko'!C65</f>
        <v>2</v>
      </c>
      <c r="D65" s="49">
        <f>'Avg Week Koboko-Yumbe'!D65+'Avg Week Yumbe-Koboko'!D65</f>
        <v>0</v>
      </c>
      <c r="E65" s="49">
        <f>'Avg Week Koboko-Yumbe'!E65+'Avg Week Yumbe-Koboko'!E65</f>
        <v>0.5</v>
      </c>
      <c r="F65" s="49">
        <f>'Avg Week Koboko-Yumbe'!F65+'Avg Week Yumbe-Koboko'!F65</f>
        <v>0</v>
      </c>
      <c r="G65" s="49">
        <f>'Avg Week Koboko-Yumbe'!G65+'Avg Week Yumbe-Koboko'!G65</f>
        <v>0</v>
      </c>
      <c r="H65" s="49">
        <f>'Avg Week Koboko-Yumbe'!H65+'Avg Week Yumbe-Koboko'!H65</f>
        <v>0</v>
      </c>
      <c r="I65" s="49">
        <f>'Avg Week Koboko-Yumbe'!I65+'Avg Week Yumbe-Koboko'!I65</f>
        <v>0</v>
      </c>
      <c r="J65" s="49">
        <f>'Avg Week Koboko-Yumbe'!J65+'Avg Week Yumbe-Koboko'!J65</f>
        <v>0.5</v>
      </c>
      <c r="K65" s="49">
        <f>'Avg Week Koboko-Yumbe'!K65+'Avg Week Yumbe-Koboko'!K65</f>
        <v>0</v>
      </c>
      <c r="L65" s="49">
        <f>'Avg Week Koboko-Yumbe'!L65+'Avg Week Yumbe-Koboko'!L65</f>
        <v>0</v>
      </c>
      <c r="M65" s="49">
        <f>'Avg Week Koboko-Yumbe'!M65+'Avg Week Yumbe-Koboko'!M65</f>
        <v>3.5</v>
      </c>
      <c r="N65" s="49">
        <f>'Avg Week Koboko-Yumbe'!N65+'Avg Week Yumbe-Koboko'!N65</f>
        <v>0</v>
      </c>
      <c r="O65" s="15">
        <f t="shared" si="0"/>
        <v>3</v>
      </c>
      <c r="P65" s="15">
        <f t="shared" si="1"/>
        <v>6.5</v>
      </c>
      <c r="R65" s="8"/>
      <c r="T65"/>
    </row>
    <row r="66" spans="2:20" ht="23.1" customHeight="1" x14ac:dyDescent="0.25">
      <c r="B66" s="23" t="s">
        <v>103</v>
      </c>
      <c r="C66" s="49">
        <f>'Avg Week Koboko-Yumbe'!C66+'Avg Week Yumbe-Koboko'!C66</f>
        <v>1</v>
      </c>
      <c r="D66" s="49">
        <f>'Avg Week Koboko-Yumbe'!D66+'Avg Week Yumbe-Koboko'!D66</f>
        <v>0</v>
      </c>
      <c r="E66" s="49">
        <f>'Avg Week Koboko-Yumbe'!E66+'Avg Week Yumbe-Koboko'!E66</f>
        <v>0</v>
      </c>
      <c r="F66" s="49">
        <f>'Avg Week Koboko-Yumbe'!F66+'Avg Week Yumbe-Koboko'!F66</f>
        <v>1</v>
      </c>
      <c r="G66" s="49">
        <f>'Avg Week Koboko-Yumbe'!G66+'Avg Week Yumbe-Koboko'!G66</f>
        <v>0</v>
      </c>
      <c r="H66" s="49">
        <f>'Avg Week Koboko-Yumbe'!H66+'Avg Week Yumbe-Koboko'!H66</f>
        <v>0</v>
      </c>
      <c r="I66" s="49">
        <f>'Avg Week Koboko-Yumbe'!I66+'Avg Week Yumbe-Koboko'!I66</f>
        <v>0.5</v>
      </c>
      <c r="J66" s="49">
        <f>'Avg Week Koboko-Yumbe'!J66+'Avg Week Yumbe-Koboko'!J66</f>
        <v>0</v>
      </c>
      <c r="K66" s="49">
        <f>'Avg Week Koboko-Yumbe'!K66+'Avg Week Yumbe-Koboko'!K66</f>
        <v>0</v>
      </c>
      <c r="L66" s="49">
        <f>'Avg Week Koboko-Yumbe'!L66+'Avg Week Yumbe-Koboko'!L66</f>
        <v>0</v>
      </c>
      <c r="M66" s="49">
        <f>'Avg Week Koboko-Yumbe'!M66+'Avg Week Yumbe-Koboko'!M66</f>
        <v>1.5</v>
      </c>
      <c r="N66" s="49">
        <f>'Avg Week Koboko-Yumbe'!N66+'Avg Week Yumbe-Koboko'!N66</f>
        <v>0</v>
      </c>
      <c r="O66" s="15">
        <f t="shared" si="0"/>
        <v>2.5</v>
      </c>
      <c r="P66" s="15">
        <f t="shared" si="1"/>
        <v>4</v>
      </c>
      <c r="R66" s="8"/>
      <c r="T66"/>
    </row>
    <row r="67" spans="2:20" ht="23.1" customHeight="1" x14ac:dyDescent="0.25">
      <c r="B67" s="23" t="s">
        <v>104</v>
      </c>
      <c r="C67" s="49">
        <f>'Avg Week Koboko-Yumbe'!C67+'Avg Week Yumbe-Koboko'!C67</f>
        <v>1.5</v>
      </c>
      <c r="D67" s="49">
        <f>'Avg Week Koboko-Yumbe'!D67+'Avg Week Yumbe-Koboko'!D67</f>
        <v>0</v>
      </c>
      <c r="E67" s="49">
        <f>'Avg Week Koboko-Yumbe'!E67+'Avg Week Yumbe-Koboko'!E67</f>
        <v>0</v>
      </c>
      <c r="F67" s="49">
        <f>'Avg Week Koboko-Yumbe'!F67+'Avg Week Yumbe-Koboko'!F67</f>
        <v>0</v>
      </c>
      <c r="G67" s="49">
        <f>'Avg Week Koboko-Yumbe'!G67+'Avg Week Yumbe-Koboko'!G67</f>
        <v>0</v>
      </c>
      <c r="H67" s="49">
        <f>'Avg Week Koboko-Yumbe'!H67+'Avg Week Yumbe-Koboko'!H67</f>
        <v>0.5</v>
      </c>
      <c r="I67" s="49">
        <f>'Avg Week Koboko-Yumbe'!I67+'Avg Week Yumbe-Koboko'!I67</f>
        <v>0.5</v>
      </c>
      <c r="J67" s="49">
        <f>'Avg Week Koboko-Yumbe'!J67+'Avg Week Yumbe-Koboko'!J67</f>
        <v>0</v>
      </c>
      <c r="K67" s="49">
        <f>'Avg Week Koboko-Yumbe'!K67+'Avg Week Yumbe-Koboko'!K67</f>
        <v>0</v>
      </c>
      <c r="L67" s="49">
        <f>'Avg Week Koboko-Yumbe'!L67+'Avg Week Yumbe-Koboko'!L67</f>
        <v>0</v>
      </c>
      <c r="M67" s="49">
        <f>'Avg Week Koboko-Yumbe'!M67+'Avg Week Yumbe-Koboko'!M67</f>
        <v>2</v>
      </c>
      <c r="N67" s="49">
        <f>'Avg Week Koboko-Yumbe'!N67+'Avg Week Yumbe-Koboko'!N67</f>
        <v>0</v>
      </c>
      <c r="O67" s="15">
        <f t="shared" si="0"/>
        <v>2.5</v>
      </c>
      <c r="P67" s="15">
        <f t="shared" si="1"/>
        <v>4.5</v>
      </c>
      <c r="R67" s="8"/>
      <c r="T67"/>
    </row>
    <row r="68" spans="2:20" ht="23.1" customHeight="1" x14ac:dyDescent="0.25">
      <c r="B68" s="23" t="s">
        <v>105</v>
      </c>
      <c r="C68" s="49">
        <f>'Avg Week Koboko-Yumbe'!C68+'Avg Week Yumbe-Koboko'!C68</f>
        <v>0</v>
      </c>
      <c r="D68" s="49">
        <f>'Avg Week Koboko-Yumbe'!D68+'Avg Week Yumbe-Koboko'!D68</f>
        <v>0</v>
      </c>
      <c r="E68" s="49">
        <f>'Avg Week Koboko-Yumbe'!E68+'Avg Week Yumbe-Koboko'!E68</f>
        <v>0</v>
      </c>
      <c r="F68" s="49">
        <f>'Avg Week Koboko-Yumbe'!F68+'Avg Week Yumbe-Koboko'!F68</f>
        <v>0</v>
      </c>
      <c r="G68" s="49">
        <f>'Avg Week Koboko-Yumbe'!G68+'Avg Week Yumbe-Koboko'!G68</f>
        <v>0</v>
      </c>
      <c r="H68" s="49">
        <f>'Avg Week Koboko-Yumbe'!H68+'Avg Week Yumbe-Koboko'!H68</f>
        <v>0</v>
      </c>
      <c r="I68" s="49">
        <f>'Avg Week Koboko-Yumbe'!I68+'Avg Week Yumbe-Koboko'!I68</f>
        <v>0</v>
      </c>
      <c r="J68" s="49">
        <f>'Avg Week Koboko-Yumbe'!J68+'Avg Week Yumbe-Koboko'!J68</f>
        <v>0</v>
      </c>
      <c r="K68" s="49">
        <f>'Avg Week Koboko-Yumbe'!K68+'Avg Week Yumbe-Koboko'!K68</f>
        <v>0</v>
      </c>
      <c r="L68" s="49">
        <f>'Avg Week Koboko-Yumbe'!L68+'Avg Week Yumbe-Koboko'!L68</f>
        <v>0</v>
      </c>
      <c r="M68" s="49">
        <f>'Avg Week Koboko-Yumbe'!M68+'Avg Week Yumbe-Koboko'!M68</f>
        <v>2</v>
      </c>
      <c r="N68" s="49">
        <f>'Avg Week Koboko-Yumbe'!N68+'Avg Week Yumbe-Koboko'!N68</f>
        <v>0</v>
      </c>
      <c r="O68" s="15">
        <f t="shared" si="0"/>
        <v>0</v>
      </c>
      <c r="P68" s="15">
        <f t="shared" si="1"/>
        <v>2</v>
      </c>
      <c r="R68" s="8"/>
      <c r="T68"/>
    </row>
    <row r="69" spans="2:20" ht="23.1" customHeight="1" x14ac:dyDescent="0.25">
      <c r="B69" s="23" t="s">
        <v>106</v>
      </c>
      <c r="C69" s="49">
        <f>'Avg Week Koboko-Yumbe'!C69+'Avg Week Yumbe-Koboko'!C69</f>
        <v>0</v>
      </c>
      <c r="D69" s="49">
        <f>'Avg Week Koboko-Yumbe'!D69+'Avg Week Yumbe-Koboko'!D69</f>
        <v>0</v>
      </c>
      <c r="E69" s="49">
        <f>'Avg Week Koboko-Yumbe'!E69+'Avg Week Yumbe-Koboko'!E69</f>
        <v>0.5</v>
      </c>
      <c r="F69" s="49">
        <f>'Avg Week Koboko-Yumbe'!F69+'Avg Week Yumbe-Koboko'!F69</f>
        <v>0</v>
      </c>
      <c r="G69" s="49">
        <f>'Avg Week Koboko-Yumbe'!G69+'Avg Week Yumbe-Koboko'!G69</f>
        <v>0</v>
      </c>
      <c r="H69" s="49">
        <f>'Avg Week Koboko-Yumbe'!H69+'Avg Week Yumbe-Koboko'!H69</f>
        <v>0</v>
      </c>
      <c r="I69" s="49">
        <f>'Avg Week Koboko-Yumbe'!I69+'Avg Week Yumbe-Koboko'!I69</f>
        <v>0</v>
      </c>
      <c r="J69" s="49">
        <f>'Avg Week Koboko-Yumbe'!J69+'Avg Week Yumbe-Koboko'!J69</f>
        <v>0</v>
      </c>
      <c r="K69" s="49">
        <f>'Avg Week Koboko-Yumbe'!K69+'Avg Week Yumbe-Koboko'!K69</f>
        <v>0</v>
      </c>
      <c r="L69" s="49">
        <f>'Avg Week Koboko-Yumbe'!L69+'Avg Week Yumbe-Koboko'!L69</f>
        <v>0</v>
      </c>
      <c r="M69" s="49">
        <f>'Avg Week Koboko-Yumbe'!M69+'Avg Week Yumbe-Koboko'!M69</f>
        <v>2</v>
      </c>
      <c r="N69" s="49">
        <f>'Avg Week Koboko-Yumbe'!N69+'Avg Week Yumbe-Koboko'!N69</f>
        <v>0</v>
      </c>
      <c r="O69" s="15">
        <f t="shared" si="0"/>
        <v>0.5</v>
      </c>
      <c r="P69" s="15">
        <f t="shared" si="1"/>
        <v>2.5</v>
      </c>
      <c r="R69" s="8"/>
      <c r="T69"/>
    </row>
    <row r="70" spans="2:20" ht="23.1" customHeight="1" x14ac:dyDescent="0.25">
      <c r="B70" s="23" t="s">
        <v>110</v>
      </c>
      <c r="C70" s="49">
        <f>'Avg Week Koboko-Yumbe'!C70+'Avg Week Yumbe-Koboko'!C70</f>
        <v>0</v>
      </c>
      <c r="D70" s="49">
        <f>'Avg Week Koboko-Yumbe'!D70+'Avg Week Yumbe-Koboko'!D70</f>
        <v>0</v>
      </c>
      <c r="E70" s="49">
        <f>'Avg Week Koboko-Yumbe'!E70+'Avg Week Yumbe-Koboko'!E70</f>
        <v>0</v>
      </c>
      <c r="F70" s="49">
        <f>'Avg Week Koboko-Yumbe'!F70+'Avg Week Yumbe-Koboko'!F70</f>
        <v>0</v>
      </c>
      <c r="G70" s="49">
        <f>'Avg Week Koboko-Yumbe'!G70+'Avg Week Yumbe-Koboko'!G70</f>
        <v>0</v>
      </c>
      <c r="H70" s="49">
        <f>'Avg Week Koboko-Yumbe'!H70+'Avg Week Yumbe-Koboko'!H70</f>
        <v>0</v>
      </c>
      <c r="I70" s="49">
        <f>'Avg Week Koboko-Yumbe'!I70+'Avg Week Yumbe-Koboko'!I70</f>
        <v>0</v>
      </c>
      <c r="J70" s="49">
        <f>'Avg Week Koboko-Yumbe'!J70+'Avg Week Yumbe-Koboko'!J70</f>
        <v>0</v>
      </c>
      <c r="K70" s="49">
        <f>'Avg Week Koboko-Yumbe'!K70+'Avg Week Yumbe-Koboko'!K70</f>
        <v>0</v>
      </c>
      <c r="L70" s="49">
        <f>'Avg Week Koboko-Yumbe'!L70+'Avg Week Yumbe-Koboko'!L70</f>
        <v>0</v>
      </c>
      <c r="M70" s="49">
        <f>'Avg Week Koboko-Yumbe'!M70+'Avg Week Yumbe-Koboko'!M70</f>
        <v>1</v>
      </c>
      <c r="N70" s="49">
        <f>'Avg Week Koboko-Yumbe'!N70+'Avg Week Yumbe-Koboko'!N70</f>
        <v>0</v>
      </c>
      <c r="O70" s="15">
        <f t="shared" si="0"/>
        <v>0</v>
      </c>
      <c r="P70" s="15">
        <f t="shared" si="1"/>
        <v>1</v>
      </c>
      <c r="R70" s="8"/>
      <c r="T70"/>
    </row>
    <row r="71" spans="2:20" ht="23.1" customHeight="1" x14ac:dyDescent="0.25">
      <c r="B71" s="23" t="s">
        <v>111</v>
      </c>
      <c r="C71" s="49">
        <f>'Avg Week Koboko-Yumbe'!C71+'Avg Week Yumbe-Koboko'!C71</f>
        <v>0.5</v>
      </c>
      <c r="D71" s="49">
        <f>'Avg Week Koboko-Yumbe'!D71+'Avg Week Yumbe-Koboko'!D71</f>
        <v>0</v>
      </c>
      <c r="E71" s="49">
        <f>'Avg Week Koboko-Yumbe'!E71+'Avg Week Yumbe-Koboko'!E71</f>
        <v>1</v>
      </c>
      <c r="F71" s="49">
        <f>'Avg Week Koboko-Yumbe'!F71+'Avg Week Yumbe-Koboko'!F71</f>
        <v>0</v>
      </c>
      <c r="G71" s="49">
        <f>'Avg Week Koboko-Yumbe'!G71+'Avg Week Yumbe-Koboko'!G71</f>
        <v>0</v>
      </c>
      <c r="H71" s="49">
        <f>'Avg Week Koboko-Yumbe'!H71+'Avg Week Yumbe-Koboko'!H71</f>
        <v>0</v>
      </c>
      <c r="I71" s="49">
        <f>'Avg Week Koboko-Yumbe'!I71+'Avg Week Yumbe-Koboko'!I71</f>
        <v>0</v>
      </c>
      <c r="J71" s="49">
        <f>'Avg Week Koboko-Yumbe'!J71+'Avg Week Yumbe-Koboko'!J71</f>
        <v>0</v>
      </c>
      <c r="K71" s="49">
        <f>'Avg Week Koboko-Yumbe'!K71+'Avg Week Yumbe-Koboko'!K71</f>
        <v>0</v>
      </c>
      <c r="L71" s="49">
        <f>'Avg Week Koboko-Yumbe'!L71+'Avg Week Yumbe-Koboko'!L71</f>
        <v>0</v>
      </c>
      <c r="M71" s="49">
        <f>'Avg Week Koboko-Yumbe'!M71+'Avg Week Yumbe-Koboko'!M71</f>
        <v>0.5</v>
      </c>
      <c r="N71" s="49">
        <f>'Avg Week Koboko-Yumbe'!N71+'Avg Week Yumbe-Koboko'!N71</f>
        <v>0</v>
      </c>
      <c r="O71" s="15">
        <f t="shared" si="0"/>
        <v>1.5</v>
      </c>
      <c r="P71" s="15">
        <f t="shared" si="1"/>
        <v>2</v>
      </c>
      <c r="R71" s="8"/>
      <c r="T71"/>
    </row>
    <row r="72" spans="2:20" ht="23.1" customHeight="1" x14ac:dyDescent="0.25">
      <c r="B72" s="23" t="s">
        <v>112</v>
      </c>
      <c r="C72" s="49">
        <f>'Avg Week Koboko-Yumbe'!C72+'Avg Week Yumbe-Koboko'!C72</f>
        <v>0.5</v>
      </c>
      <c r="D72" s="49">
        <f>'Avg Week Koboko-Yumbe'!D72+'Avg Week Yumbe-Koboko'!D72</f>
        <v>0</v>
      </c>
      <c r="E72" s="49">
        <f>'Avg Week Koboko-Yumbe'!E72+'Avg Week Yumbe-Koboko'!E72</f>
        <v>0.5</v>
      </c>
      <c r="F72" s="49">
        <f>'Avg Week Koboko-Yumbe'!F72+'Avg Week Yumbe-Koboko'!F72</f>
        <v>0</v>
      </c>
      <c r="G72" s="49">
        <f>'Avg Week Koboko-Yumbe'!G72+'Avg Week Yumbe-Koboko'!G72</f>
        <v>0</v>
      </c>
      <c r="H72" s="49">
        <f>'Avg Week Koboko-Yumbe'!H72+'Avg Week Yumbe-Koboko'!H72</f>
        <v>0</v>
      </c>
      <c r="I72" s="49">
        <f>'Avg Week Koboko-Yumbe'!I72+'Avg Week Yumbe-Koboko'!I72</f>
        <v>0</v>
      </c>
      <c r="J72" s="49">
        <f>'Avg Week Koboko-Yumbe'!J72+'Avg Week Yumbe-Koboko'!J72</f>
        <v>0</v>
      </c>
      <c r="K72" s="49">
        <f>'Avg Week Koboko-Yumbe'!K72+'Avg Week Yumbe-Koboko'!K72</f>
        <v>0</v>
      </c>
      <c r="L72" s="49">
        <f>'Avg Week Koboko-Yumbe'!L72+'Avg Week Yumbe-Koboko'!L72</f>
        <v>0</v>
      </c>
      <c r="M72" s="49">
        <f>'Avg Week Koboko-Yumbe'!M72+'Avg Week Yumbe-Koboko'!M72</f>
        <v>1</v>
      </c>
      <c r="N72" s="49">
        <f>'Avg Week Koboko-Yumbe'!N72+'Avg Week Yumbe-Koboko'!N72</f>
        <v>0</v>
      </c>
      <c r="O72" s="15">
        <f t="shared" si="0"/>
        <v>1</v>
      </c>
      <c r="P72" s="15">
        <f t="shared" si="1"/>
        <v>2</v>
      </c>
      <c r="R72" s="8"/>
      <c r="T72"/>
    </row>
    <row r="73" spans="2:20" ht="23.1" customHeight="1" x14ac:dyDescent="0.25">
      <c r="B73" s="23" t="s">
        <v>113</v>
      </c>
      <c r="C73" s="49">
        <f>'Avg Week Koboko-Yumbe'!C73+'Avg Week Yumbe-Koboko'!C73</f>
        <v>0</v>
      </c>
      <c r="D73" s="49">
        <f>'Avg Week Koboko-Yumbe'!D73+'Avg Week Yumbe-Koboko'!D73</f>
        <v>0</v>
      </c>
      <c r="E73" s="49">
        <f>'Avg Week Koboko-Yumbe'!E73+'Avg Week Yumbe-Koboko'!E73</f>
        <v>0</v>
      </c>
      <c r="F73" s="49">
        <f>'Avg Week Koboko-Yumbe'!F73+'Avg Week Yumbe-Koboko'!F73</f>
        <v>0</v>
      </c>
      <c r="G73" s="49">
        <f>'Avg Week Koboko-Yumbe'!G73+'Avg Week Yumbe-Koboko'!G73</f>
        <v>0</v>
      </c>
      <c r="H73" s="49">
        <f>'Avg Week Koboko-Yumbe'!H73+'Avg Week Yumbe-Koboko'!H73</f>
        <v>0</v>
      </c>
      <c r="I73" s="49">
        <f>'Avg Week Koboko-Yumbe'!I73+'Avg Week Yumbe-Koboko'!I73</f>
        <v>0</v>
      </c>
      <c r="J73" s="49">
        <f>'Avg Week Koboko-Yumbe'!J73+'Avg Week Yumbe-Koboko'!J73</f>
        <v>0</v>
      </c>
      <c r="K73" s="49">
        <f>'Avg Week Koboko-Yumbe'!K73+'Avg Week Yumbe-Koboko'!K73</f>
        <v>0</v>
      </c>
      <c r="L73" s="49">
        <f>'Avg Week Koboko-Yumbe'!L73+'Avg Week Yumbe-Koboko'!L73</f>
        <v>0</v>
      </c>
      <c r="M73" s="49">
        <f>'Avg Week Koboko-Yumbe'!M73+'Avg Week Yumbe-Koboko'!M73</f>
        <v>0.5</v>
      </c>
      <c r="N73" s="49">
        <f>'Avg Week Koboko-Yumbe'!N73+'Avg Week Yumbe-Koboko'!N73</f>
        <v>0</v>
      </c>
      <c r="O73" s="15">
        <f t="shared" si="0"/>
        <v>0</v>
      </c>
      <c r="P73" s="15">
        <f t="shared" si="1"/>
        <v>0.5</v>
      </c>
      <c r="R73" s="8"/>
      <c r="T73"/>
    </row>
    <row r="74" spans="2:20" ht="23.1" customHeight="1" x14ac:dyDescent="0.25">
      <c r="B74" s="23" t="s">
        <v>114</v>
      </c>
      <c r="C74" s="49">
        <f>'Avg Week Koboko-Yumbe'!C74+'Avg Week Yumbe-Koboko'!C74</f>
        <v>0</v>
      </c>
      <c r="D74" s="49">
        <f>'Avg Week Koboko-Yumbe'!D74+'Avg Week Yumbe-Koboko'!D74</f>
        <v>0</v>
      </c>
      <c r="E74" s="49">
        <f>'Avg Week Koboko-Yumbe'!E74+'Avg Week Yumbe-Koboko'!E74</f>
        <v>0.5</v>
      </c>
      <c r="F74" s="49">
        <f>'Avg Week Koboko-Yumbe'!F74+'Avg Week Yumbe-Koboko'!F74</f>
        <v>0</v>
      </c>
      <c r="G74" s="49">
        <f>'Avg Week Koboko-Yumbe'!G74+'Avg Week Yumbe-Koboko'!G74</f>
        <v>0</v>
      </c>
      <c r="H74" s="49">
        <f>'Avg Week Koboko-Yumbe'!H74+'Avg Week Yumbe-Koboko'!H74</f>
        <v>0</v>
      </c>
      <c r="I74" s="49">
        <f>'Avg Week Koboko-Yumbe'!I74+'Avg Week Yumbe-Koboko'!I74</f>
        <v>0</v>
      </c>
      <c r="J74" s="49">
        <f>'Avg Week Koboko-Yumbe'!J74+'Avg Week Yumbe-Koboko'!J74</f>
        <v>0</v>
      </c>
      <c r="K74" s="49">
        <f>'Avg Week Koboko-Yumbe'!K74+'Avg Week Yumbe-Koboko'!K74</f>
        <v>0</v>
      </c>
      <c r="L74" s="49">
        <f>'Avg Week Koboko-Yumbe'!L74+'Avg Week Yumbe-Koboko'!L74</f>
        <v>0</v>
      </c>
      <c r="M74" s="49">
        <f>'Avg Week Koboko-Yumbe'!M74+'Avg Week Yumbe-Koboko'!M74</f>
        <v>0</v>
      </c>
      <c r="N74" s="49">
        <f>'Avg Week Koboko-Yumbe'!N74+'Avg Week Yumbe-Koboko'!N74</f>
        <v>0</v>
      </c>
      <c r="O74" s="15">
        <f t="shared" ref="O74:O105" si="35">SUM(C74:L74,N74)</f>
        <v>0.5</v>
      </c>
      <c r="P74" s="15">
        <f t="shared" ref="P74:P105" si="36">SUM(C74:N74)</f>
        <v>0.5</v>
      </c>
      <c r="R74" s="8"/>
      <c r="T74"/>
    </row>
    <row r="75" spans="2:20" ht="23.1" customHeight="1" x14ac:dyDescent="0.25">
      <c r="B75" s="23" t="s">
        <v>115</v>
      </c>
      <c r="C75" s="49">
        <f>'Avg Week Koboko-Yumbe'!C75+'Avg Week Yumbe-Koboko'!C75</f>
        <v>0</v>
      </c>
      <c r="D75" s="49">
        <f>'Avg Week Koboko-Yumbe'!D75+'Avg Week Yumbe-Koboko'!D75</f>
        <v>0</v>
      </c>
      <c r="E75" s="49">
        <f>'Avg Week Koboko-Yumbe'!E75+'Avg Week Yumbe-Koboko'!E75</f>
        <v>0.5</v>
      </c>
      <c r="F75" s="49">
        <f>'Avg Week Koboko-Yumbe'!F75+'Avg Week Yumbe-Koboko'!F75</f>
        <v>0</v>
      </c>
      <c r="G75" s="49">
        <f>'Avg Week Koboko-Yumbe'!G75+'Avg Week Yumbe-Koboko'!G75</f>
        <v>0</v>
      </c>
      <c r="H75" s="49">
        <f>'Avg Week Koboko-Yumbe'!H75+'Avg Week Yumbe-Koboko'!H75</f>
        <v>0</v>
      </c>
      <c r="I75" s="49">
        <f>'Avg Week Koboko-Yumbe'!I75+'Avg Week Yumbe-Koboko'!I75</f>
        <v>0</v>
      </c>
      <c r="J75" s="49">
        <f>'Avg Week Koboko-Yumbe'!J75+'Avg Week Yumbe-Koboko'!J75</f>
        <v>0</v>
      </c>
      <c r="K75" s="49">
        <f>'Avg Week Koboko-Yumbe'!K75+'Avg Week Yumbe-Koboko'!K75</f>
        <v>0</v>
      </c>
      <c r="L75" s="49">
        <f>'Avg Week Koboko-Yumbe'!L75+'Avg Week Yumbe-Koboko'!L75</f>
        <v>0</v>
      </c>
      <c r="M75" s="49">
        <f>'Avg Week Koboko-Yumbe'!M75+'Avg Week Yumbe-Koboko'!M75</f>
        <v>1</v>
      </c>
      <c r="N75" s="49">
        <f>'Avg Week Koboko-Yumbe'!N75+'Avg Week Yumbe-Koboko'!N75</f>
        <v>0</v>
      </c>
      <c r="O75" s="15">
        <f t="shared" si="35"/>
        <v>0.5</v>
      </c>
      <c r="P75" s="15">
        <f t="shared" si="36"/>
        <v>1.5</v>
      </c>
      <c r="R75" s="8"/>
      <c r="T75"/>
    </row>
    <row r="76" spans="2:20" ht="23.1" customHeight="1" x14ac:dyDescent="0.25">
      <c r="B76" s="23" t="s">
        <v>116</v>
      </c>
      <c r="C76" s="49">
        <f>'Avg Week Koboko-Yumbe'!C76+'Avg Week Yumbe-Koboko'!C76</f>
        <v>0</v>
      </c>
      <c r="D76" s="49">
        <f>'Avg Week Koboko-Yumbe'!D76+'Avg Week Yumbe-Koboko'!D76</f>
        <v>0</v>
      </c>
      <c r="E76" s="49">
        <f>'Avg Week Koboko-Yumbe'!E76+'Avg Week Yumbe-Koboko'!E76</f>
        <v>0</v>
      </c>
      <c r="F76" s="49">
        <f>'Avg Week Koboko-Yumbe'!F76+'Avg Week Yumbe-Koboko'!F76</f>
        <v>0</v>
      </c>
      <c r="G76" s="49">
        <f>'Avg Week Koboko-Yumbe'!G76+'Avg Week Yumbe-Koboko'!G76</f>
        <v>0</v>
      </c>
      <c r="H76" s="49">
        <f>'Avg Week Koboko-Yumbe'!H76+'Avg Week Yumbe-Koboko'!H76</f>
        <v>0</v>
      </c>
      <c r="I76" s="49">
        <f>'Avg Week Koboko-Yumbe'!I76+'Avg Week Yumbe-Koboko'!I76</f>
        <v>0</v>
      </c>
      <c r="J76" s="49">
        <f>'Avg Week Koboko-Yumbe'!J76+'Avg Week Yumbe-Koboko'!J76</f>
        <v>0</v>
      </c>
      <c r="K76" s="49">
        <f>'Avg Week Koboko-Yumbe'!K76+'Avg Week Yumbe-Koboko'!K76</f>
        <v>0</v>
      </c>
      <c r="L76" s="49">
        <f>'Avg Week Koboko-Yumbe'!L76+'Avg Week Yumbe-Koboko'!L76</f>
        <v>0</v>
      </c>
      <c r="M76" s="49">
        <f>'Avg Week Koboko-Yumbe'!M76+'Avg Week Yumbe-Koboko'!M76</f>
        <v>1</v>
      </c>
      <c r="N76" s="49">
        <f>'Avg Week Koboko-Yumbe'!N76+'Avg Week Yumbe-Koboko'!N76</f>
        <v>0</v>
      </c>
      <c r="O76" s="15">
        <f t="shared" si="35"/>
        <v>0</v>
      </c>
      <c r="P76" s="15">
        <f t="shared" si="36"/>
        <v>1</v>
      </c>
      <c r="R76" s="8"/>
      <c r="T76"/>
    </row>
    <row r="77" spans="2:20" ht="23.1" customHeight="1" x14ac:dyDescent="0.25">
      <c r="B77" s="23" t="s">
        <v>117</v>
      </c>
      <c r="C77" s="49">
        <f>'Avg Week Koboko-Yumbe'!C77+'Avg Week Yumbe-Koboko'!C77</f>
        <v>0</v>
      </c>
      <c r="D77" s="49">
        <f>'Avg Week Koboko-Yumbe'!D77+'Avg Week Yumbe-Koboko'!D77</f>
        <v>0</v>
      </c>
      <c r="E77" s="49">
        <f>'Avg Week Koboko-Yumbe'!E77+'Avg Week Yumbe-Koboko'!E77</f>
        <v>0</v>
      </c>
      <c r="F77" s="49">
        <f>'Avg Week Koboko-Yumbe'!F77+'Avg Week Yumbe-Koboko'!F77</f>
        <v>0</v>
      </c>
      <c r="G77" s="49">
        <f>'Avg Week Koboko-Yumbe'!G77+'Avg Week Yumbe-Koboko'!G77</f>
        <v>0</v>
      </c>
      <c r="H77" s="49">
        <f>'Avg Week Koboko-Yumbe'!H77+'Avg Week Yumbe-Koboko'!H77</f>
        <v>0</v>
      </c>
      <c r="I77" s="49">
        <f>'Avg Week Koboko-Yumbe'!I77+'Avg Week Yumbe-Koboko'!I77</f>
        <v>0</v>
      </c>
      <c r="J77" s="49">
        <f>'Avg Week Koboko-Yumbe'!J77+'Avg Week Yumbe-Koboko'!J77</f>
        <v>0</v>
      </c>
      <c r="K77" s="49">
        <f>'Avg Week Koboko-Yumbe'!K77+'Avg Week Yumbe-Koboko'!K77</f>
        <v>0</v>
      </c>
      <c r="L77" s="49">
        <f>'Avg Week Koboko-Yumbe'!L77+'Avg Week Yumbe-Koboko'!L77</f>
        <v>0.5</v>
      </c>
      <c r="M77" s="49">
        <f>'Avg Week Koboko-Yumbe'!M77+'Avg Week Yumbe-Koboko'!M77</f>
        <v>0</v>
      </c>
      <c r="N77" s="49">
        <f>'Avg Week Koboko-Yumbe'!N77+'Avg Week Yumbe-Koboko'!N77</f>
        <v>0</v>
      </c>
      <c r="O77" s="15">
        <f t="shared" si="35"/>
        <v>0.5</v>
      </c>
      <c r="P77" s="15">
        <f t="shared" si="36"/>
        <v>0.5</v>
      </c>
      <c r="R77" s="8"/>
      <c r="T77"/>
    </row>
    <row r="78" spans="2:20" ht="23.1" customHeight="1" x14ac:dyDescent="0.25">
      <c r="B78" s="24" t="s">
        <v>118</v>
      </c>
      <c r="C78" s="49">
        <f>'Avg Week Koboko-Yumbe'!C78+'Avg Week Yumbe-Koboko'!C78</f>
        <v>0</v>
      </c>
      <c r="D78" s="49">
        <f>'Avg Week Koboko-Yumbe'!D78+'Avg Week Yumbe-Koboko'!D78</f>
        <v>0</v>
      </c>
      <c r="E78" s="49">
        <f>'Avg Week Koboko-Yumbe'!E78+'Avg Week Yumbe-Koboko'!E78</f>
        <v>0</v>
      </c>
      <c r="F78" s="49">
        <f>'Avg Week Koboko-Yumbe'!F78+'Avg Week Yumbe-Koboko'!F78</f>
        <v>0</v>
      </c>
      <c r="G78" s="49">
        <f>'Avg Week Koboko-Yumbe'!G78+'Avg Week Yumbe-Koboko'!G78</f>
        <v>0</v>
      </c>
      <c r="H78" s="49">
        <f>'Avg Week Koboko-Yumbe'!H78+'Avg Week Yumbe-Koboko'!H78</f>
        <v>0</v>
      </c>
      <c r="I78" s="49">
        <f>'Avg Week Koboko-Yumbe'!I78+'Avg Week Yumbe-Koboko'!I78</f>
        <v>0</v>
      </c>
      <c r="J78" s="49">
        <f>'Avg Week Koboko-Yumbe'!J78+'Avg Week Yumbe-Koboko'!J78</f>
        <v>0</v>
      </c>
      <c r="K78" s="49">
        <f>'Avg Week Koboko-Yumbe'!K78+'Avg Week Yumbe-Koboko'!K78</f>
        <v>0</v>
      </c>
      <c r="L78" s="49">
        <f>'Avg Week Koboko-Yumbe'!L78+'Avg Week Yumbe-Koboko'!L78</f>
        <v>0</v>
      </c>
      <c r="M78" s="49">
        <f>'Avg Week Koboko-Yumbe'!M78+'Avg Week Yumbe-Koboko'!M78</f>
        <v>0.5</v>
      </c>
      <c r="N78" s="49">
        <f>'Avg Week Koboko-Yumbe'!N78+'Avg Week Yumbe-Koboko'!N78</f>
        <v>0</v>
      </c>
      <c r="O78" s="15">
        <f t="shared" si="35"/>
        <v>0</v>
      </c>
      <c r="P78" s="15">
        <f t="shared" si="36"/>
        <v>0.5</v>
      </c>
      <c r="R78" s="8"/>
      <c r="T78"/>
    </row>
    <row r="79" spans="2:20" ht="23.1" customHeight="1" x14ac:dyDescent="0.25">
      <c r="B79" s="23" t="s">
        <v>119</v>
      </c>
      <c r="C79" s="49">
        <f>'Avg Week Koboko-Yumbe'!C79+'Avg Week Yumbe-Koboko'!C79</f>
        <v>0</v>
      </c>
      <c r="D79" s="49">
        <f>'Avg Week Koboko-Yumbe'!D79+'Avg Week Yumbe-Koboko'!D79</f>
        <v>0</v>
      </c>
      <c r="E79" s="49">
        <f>'Avg Week Koboko-Yumbe'!E79+'Avg Week Yumbe-Koboko'!E79</f>
        <v>0</v>
      </c>
      <c r="F79" s="49">
        <f>'Avg Week Koboko-Yumbe'!F79+'Avg Week Yumbe-Koboko'!F79</f>
        <v>0</v>
      </c>
      <c r="G79" s="49">
        <f>'Avg Week Koboko-Yumbe'!G79+'Avg Week Yumbe-Koboko'!G79</f>
        <v>0</v>
      </c>
      <c r="H79" s="49">
        <f>'Avg Week Koboko-Yumbe'!H79+'Avg Week Yumbe-Koboko'!H79</f>
        <v>0</v>
      </c>
      <c r="I79" s="49">
        <f>'Avg Week Koboko-Yumbe'!I79+'Avg Week Yumbe-Koboko'!I79</f>
        <v>0</v>
      </c>
      <c r="J79" s="49">
        <f>'Avg Week Koboko-Yumbe'!J79+'Avg Week Yumbe-Koboko'!J79</f>
        <v>0</v>
      </c>
      <c r="K79" s="49">
        <f>'Avg Week Koboko-Yumbe'!K79+'Avg Week Yumbe-Koboko'!K79</f>
        <v>0.5</v>
      </c>
      <c r="L79" s="49">
        <f>'Avg Week Koboko-Yumbe'!L79+'Avg Week Yumbe-Koboko'!L79</f>
        <v>0</v>
      </c>
      <c r="M79" s="49">
        <f>'Avg Week Koboko-Yumbe'!M79+'Avg Week Yumbe-Koboko'!M79</f>
        <v>0</v>
      </c>
      <c r="N79" s="49">
        <f>'Avg Week Koboko-Yumbe'!N79+'Avg Week Yumbe-Koboko'!N79</f>
        <v>0</v>
      </c>
      <c r="O79" s="15">
        <f t="shared" si="35"/>
        <v>0.5</v>
      </c>
      <c r="P79" s="15">
        <f t="shared" si="36"/>
        <v>0.5</v>
      </c>
      <c r="R79" s="8"/>
      <c r="T79"/>
    </row>
    <row r="80" spans="2:20" ht="23.1" customHeight="1" x14ac:dyDescent="0.25">
      <c r="B80" s="25" t="s">
        <v>120</v>
      </c>
      <c r="C80" s="49">
        <f>'Avg Week Koboko-Yumbe'!C80+'Avg Week Yumbe-Koboko'!C80</f>
        <v>1</v>
      </c>
      <c r="D80" s="49">
        <f>'Avg Week Koboko-Yumbe'!D80+'Avg Week Yumbe-Koboko'!D80</f>
        <v>0</v>
      </c>
      <c r="E80" s="49">
        <f>'Avg Week Koboko-Yumbe'!E80+'Avg Week Yumbe-Koboko'!E80</f>
        <v>0</v>
      </c>
      <c r="F80" s="49">
        <f>'Avg Week Koboko-Yumbe'!F80+'Avg Week Yumbe-Koboko'!F80</f>
        <v>0</v>
      </c>
      <c r="G80" s="49">
        <f>'Avg Week Koboko-Yumbe'!G80+'Avg Week Yumbe-Koboko'!G80</f>
        <v>0</v>
      </c>
      <c r="H80" s="49">
        <f>'Avg Week Koboko-Yumbe'!H80+'Avg Week Yumbe-Koboko'!H80</f>
        <v>0</v>
      </c>
      <c r="I80" s="49">
        <f>'Avg Week Koboko-Yumbe'!I80+'Avg Week Yumbe-Koboko'!I80</f>
        <v>1</v>
      </c>
      <c r="J80" s="49">
        <f>'Avg Week Koboko-Yumbe'!J80+'Avg Week Yumbe-Koboko'!J80</f>
        <v>0</v>
      </c>
      <c r="K80" s="49">
        <f>'Avg Week Koboko-Yumbe'!K80+'Avg Week Yumbe-Koboko'!K80</f>
        <v>0</v>
      </c>
      <c r="L80" s="49">
        <f>'Avg Week Koboko-Yumbe'!L80+'Avg Week Yumbe-Koboko'!L80</f>
        <v>0.5</v>
      </c>
      <c r="M80" s="49">
        <f>'Avg Week Koboko-Yumbe'!M80+'Avg Week Yumbe-Koboko'!M80</f>
        <v>1</v>
      </c>
      <c r="N80" s="49">
        <f>'Avg Week Koboko-Yumbe'!N80+'Avg Week Yumbe-Koboko'!N80</f>
        <v>0</v>
      </c>
      <c r="O80" s="15">
        <f t="shared" si="35"/>
        <v>2.5</v>
      </c>
      <c r="P80" s="15">
        <f t="shared" si="36"/>
        <v>3.5</v>
      </c>
      <c r="R80" s="8"/>
      <c r="T80"/>
    </row>
    <row r="81" spans="2:20" ht="23.1" customHeight="1" x14ac:dyDescent="0.25">
      <c r="B81" s="23" t="s">
        <v>121</v>
      </c>
      <c r="C81" s="49">
        <f>'Avg Week Koboko-Yumbe'!C81+'Avg Week Yumbe-Koboko'!C81</f>
        <v>0</v>
      </c>
      <c r="D81" s="49">
        <f>'Avg Week Koboko-Yumbe'!D81+'Avg Week Yumbe-Koboko'!D81</f>
        <v>0</v>
      </c>
      <c r="E81" s="49">
        <f>'Avg Week Koboko-Yumbe'!E81+'Avg Week Yumbe-Koboko'!E81</f>
        <v>0</v>
      </c>
      <c r="F81" s="49">
        <f>'Avg Week Koboko-Yumbe'!F81+'Avg Week Yumbe-Koboko'!F81</f>
        <v>0</v>
      </c>
      <c r="G81" s="49">
        <f>'Avg Week Koboko-Yumbe'!G81+'Avg Week Yumbe-Koboko'!G81</f>
        <v>0</v>
      </c>
      <c r="H81" s="49">
        <f>'Avg Week Koboko-Yumbe'!H81+'Avg Week Yumbe-Koboko'!H81</f>
        <v>0</v>
      </c>
      <c r="I81" s="49">
        <f>'Avg Week Koboko-Yumbe'!I81+'Avg Week Yumbe-Koboko'!I81</f>
        <v>0</v>
      </c>
      <c r="J81" s="49">
        <f>'Avg Week Koboko-Yumbe'!J81+'Avg Week Yumbe-Koboko'!J81</f>
        <v>0</v>
      </c>
      <c r="K81" s="49">
        <f>'Avg Week Koboko-Yumbe'!K81+'Avg Week Yumbe-Koboko'!K81</f>
        <v>0</v>
      </c>
      <c r="L81" s="49">
        <f>'Avg Week Koboko-Yumbe'!L81+'Avg Week Yumbe-Koboko'!L81</f>
        <v>0</v>
      </c>
      <c r="M81" s="49">
        <f>'Avg Week Koboko-Yumbe'!M81+'Avg Week Yumbe-Koboko'!M81</f>
        <v>0</v>
      </c>
      <c r="N81" s="49">
        <f>'Avg Week Koboko-Yumbe'!N81+'Avg Week Yumbe-Koboko'!N81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'Avg Week Koboko-Yumbe'!C82+'Avg Week Yumbe-Koboko'!C82</f>
        <v>0</v>
      </c>
      <c r="D82" s="49">
        <f>'Avg Week Koboko-Yumbe'!D82+'Avg Week Yumbe-Koboko'!D82</f>
        <v>0</v>
      </c>
      <c r="E82" s="49">
        <f>'Avg Week Koboko-Yumbe'!E82+'Avg Week Yumbe-Koboko'!E82</f>
        <v>0</v>
      </c>
      <c r="F82" s="49">
        <f>'Avg Week Koboko-Yumbe'!F82+'Avg Week Yumbe-Koboko'!F82</f>
        <v>0</v>
      </c>
      <c r="G82" s="49">
        <f>'Avg Week Koboko-Yumbe'!G82+'Avg Week Yumbe-Koboko'!G82</f>
        <v>0.5</v>
      </c>
      <c r="H82" s="49">
        <f>'Avg Week Koboko-Yumbe'!H82+'Avg Week Yumbe-Koboko'!H82</f>
        <v>0.5</v>
      </c>
      <c r="I82" s="49">
        <f>'Avg Week Koboko-Yumbe'!I82+'Avg Week Yumbe-Koboko'!I82</f>
        <v>0</v>
      </c>
      <c r="J82" s="49">
        <f>'Avg Week Koboko-Yumbe'!J82+'Avg Week Yumbe-Koboko'!J82</f>
        <v>0</v>
      </c>
      <c r="K82" s="49">
        <f>'Avg Week Koboko-Yumbe'!K82+'Avg Week Yumbe-Koboko'!K82</f>
        <v>0</v>
      </c>
      <c r="L82" s="49">
        <f>'Avg Week Koboko-Yumbe'!L82+'Avg Week Yumbe-Koboko'!L82</f>
        <v>0</v>
      </c>
      <c r="M82" s="49">
        <f>'Avg Week Koboko-Yumbe'!M82+'Avg Week Yumbe-Koboko'!M82</f>
        <v>0.5</v>
      </c>
      <c r="N82" s="49">
        <f>'Avg Week Koboko-Yumbe'!N82+'Avg Week Yumbe-Koboko'!N82</f>
        <v>0</v>
      </c>
      <c r="O82" s="15">
        <f t="shared" si="35"/>
        <v>1</v>
      </c>
      <c r="P82" s="15">
        <f t="shared" si="36"/>
        <v>1.5</v>
      </c>
      <c r="R82" s="8"/>
      <c r="T82"/>
    </row>
    <row r="83" spans="2:20" ht="23.1" customHeight="1" x14ac:dyDescent="0.25">
      <c r="B83" s="23" t="s">
        <v>123</v>
      </c>
      <c r="C83" s="49">
        <f>'Avg Week Koboko-Yumbe'!C83+'Avg Week Yumbe-Koboko'!C83</f>
        <v>0</v>
      </c>
      <c r="D83" s="49">
        <f>'Avg Week Koboko-Yumbe'!D83+'Avg Week Yumbe-Koboko'!D83</f>
        <v>0</v>
      </c>
      <c r="E83" s="49">
        <f>'Avg Week Koboko-Yumbe'!E83+'Avg Week Yumbe-Koboko'!E83</f>
        <v>0.5</v>
      </c>
      <c r="F83" s="49">
        <f>'Avg Week Koboko-Yumbe'!F83+'Avg Week Yumbe-Koboko'!F83</f>
        <v>0</v>
      </c>
      <c r="G83" s="49">
        <f>'Avg Week Koboko-Yumbe'!G83+'Avg Week Yumbe-Koboko'!G83</f>
        <v>0</v>
      </c>
      <c r="H83" s="49">
        <f>'Avg Week Koboko-Yumbe'!H83+'Avg Week Yumbe-Koboko'!H83</f>
        <v>0</v>
      </c>
      <c r="I83" s="49">
        <f>'Avg Week Koboko-Yumbe'!I83+'Avg Week Yumbe-Koboko'!I83</f>
        <v>0.5</v>
      </c>
      <c r="J83" s="49">
        <f>'Avg Week Koboko-Yumbe'!J83+'Avg Week Yumbe-Koboko'!J83</f>
        <v>0</v>
      </c>
      <c r="K83" s="49">
        <f>'Avg Week Koboko-Yumbe'!K83+'Avg Week Yumbe-Koboko'!K83</f>
        <v>0</v>
      </c>
      <c r="L83" s="49">
        <f>'Avg Week Koboko-Yumbe'!L83+'Avg Week Yumbe-Koboko'!L83</f>
        <v>0</v>
      </c>
      <c r="M83" s="49">
        <f>'Avg Week Koboko-Yumbe'!M83+'Avg Week Yumbe-Koboko'!M83</f>
        <v>0</v>
      </c>
      <c r="N83" s="49">
        <f>'Avg Week Koboko-Yumbe'!N83+'Avg Week Yumbe-Koboko'!N83</f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25" t="s">
        <v>124</v>
      </c>
      <c r="C84" s="49">
        <f>'Avg Week Koboko-Yumbe'!C84+'Avg Week Yumbe-Koboko'!C84</f>
        <v>0</v>
      </c>
      <c r="D84" s="49">
        <f>'Avg Week Koboko-Yumbe'!D84+'Avg Week Yumbe-Koboko'!D84</f>
        <v>0</v>
      </c>
      <c r="E84" s="49">
        <f>'Avg Week Koboko-Yumbe'!E84+'Avg Week Yumbe-Koboko'!E84</f>
        <v>0</v>
      </c>
      <c r="F84" s="49">
        <f>'Avg Week Koboko-Yumbe'!F84+'Avg Week Yumbe-Koboko'!F84</f>
        <v>0</v>
      </c>
      <c r="G84" s="49">
        <f>'Avg Week Koboko-Yumbe'!G84+'Avg Week Yumbe-Koboko'!G84</f>
        <v>0</v>
      </c>
      <c r="H84" s="49">
        <f>'Avg Week Koboko-Yumbe'!H84+'Avg Week Yumbe-Koboko'!H84</f>
        <v>0</v>
      </c>
      <c r="I84" s="49">
        <f>'Avg Week Koboko-Yumbe'!I84+'Avg Week Yumbe-Koboko'!I84</f>
        <v>0.5</v>
      </c>
      <c r="J84" s="49">
        <f>'Avg Week Koboko-Yumbe'!J84+'Avg Week Yumbe-Koboko'!J84</f>
        <v>0</v>
      </c>
      <c r="K84" s="49">
        <f>'Avg Week Koboko-Yumbe'!K84+'Avg Week Yumbe-Koboko'!K84</f>
        <v>0</v>
      </c>
      <c r="L84" s="49">
        <f>'Avg Week Koboko-Yumbe'!L84+'Avg Week Yumbe-Koboko'!L84</f>
        <v>0</v>
      </c>
      <c r="M84" s="49">
        <f>'Avg Week Koboko-Yumbe'!M84+'Avg Week Yumbe-Koboko'!M84</f>
        <v>0</v>
      </c>
      <c r="N84" s="49">
        <f>'Avg Week Koboko-Yumbe'!N84+'Avg Week Yumbe-Koboko'!N84</f>
        <v>0</v>
      </c>
      <c r="O84" s="15">
        <f t="shared" si="35"/>
        <v>0.5</v>
      </c>
      <c r="P84" s="15">
        <f t="shared" si="36"/>
        <v>0.5</v>
      </c>
      <c r="R84" s="8"/>
      <c r="T84"/>
    </row>
    <row r="85" spans="2:20" ht="23.1" customHeight="1" x14ac:dyDescent="0.25">
      <c r="B85" s="23" t="s">
        <v>125</v>
      </c>
      <c r="C85" s="49">
        <f>'Avg Week Koboko-Yumbe'!C85+'Avg Week Yumbe-Koboko'!C85</f>
        <v>0</v>
      </c>
      <c r="D85" s="49">
        <f>'Avg Week Koboko-Yumbe'!D85+'Avg Week Yumbe-Koboko'!D85</f>
        <v>0</v>
      </c>
      <c r="E85" s="49">
        <f>'Avg Week Koboko-Yumbe'!E85+'Avg Week Yumbe-Koboko'!E85</f>
        <v>0</v>
      </c>
      <c r="F85" s="49">
        <f>'Avg Week Koboko-Yumbe'!F85+'Avg Week Yumbe-Koboko'!F85</f>
        <v>0</v>
      </c>
      <c r="G85" s="49">
        <f>'Avg Week Koboko-Yumbe'!G85+'Avg Week Yumbe-Koboko'!G85</f>
        <v>0</v>
      </c>
      <c r="H85" s="49">
        <f>'Avg Week Koboko-Yumbe'!H85+'Avg Week Yumbe-Koboko'!H85</f>
        <v>0</v>
      </c>
      <c r="I85" s="49">
        <f>'Avg Week Koboko-Yumbe'!I85+'Avg Week Yumbe-Koboko'!I85</f>
        <v>0.5</v>
      </c>
      <c r="J85" s="49">
        <f>'Avg Week Koboko-Yumbe'!J85+'Avg Week Yumbe-Koboko'!J85</f>
        <v>0</v>
      </c>
      <c r="K85" s="49">
        <f>'Avg Week Koboko-Yumbe'!K85+'Avg Week Yumbe-Koboko'!K85</f>
        <v>0</v>
      </c>
      <c r="L85" s="49">
        <f>'Avg Week Koboko-Yumbe'!L85+'Avg Week Yumbe-Koboko'!L85</f>
        <v>0</v>
      </c>
      <c r="M85" s="49">
        <f>'Avg Week Koboko-Yumbe'!M85+'Avg Week Yumbe-Koboko'!M85</f>
        <v>0</v>
      </c>
      <c r="N85" s="49">
        <f>'Avg Week Koboko-Yumbe'!N85+'Avg Week Yumbe-Koboko'!N85</f>
        <v>0</v>
      </c>
      <c r="O85" s="15">
        <f t="shared" si="35"/>
        <v>0.5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'Avg Week Koboko-Yumbe'!C86+'Avg Week Yumbe-Koboko'!C86</f>
        <v>0</v>
      </c>
      <c r="D86" s="49">
        <f>'Avg Week Koboko-Yumbe'!D86+'Avg Week Yumbe-Koboko'!D86</f>
        <v>0</v>
      </c>
      <c r="E86" s="49">
        <f>'Avg Week Koboko-Yumbe'!E86+'Avg Week Yumbe-Koboko'!E86</f>
        <v>0</v>
      </c>
      <c r="F86" s="49">
        <f>'Avg Week Koboko-Yumbe'!F86+'Avg Week Yumbe-Koboko'!F86</f>
        <v>0</v>
      </c>
      <c r="G86" s="49">
        <f>'Avg Week Koboko-Yumbe'!G86+'Avg Week Yumbe-Koboko'!G86</f>
        <v>0</v>
      </c>
      <c r="H86" s="49">
        <f>'Avg Week Koboko-Yumbe'!H86+'Avg Week Yumbe-Koboko'!H86</f>
        <v>0</v>
      </c>
      <c r="I86" s="49">
        <f>'Avg Week Koboko-Yumbe'!I86+'Avg Week Yumbe-Koboko'!I86</f>
        <v>0</v>
      </c>
      <c r="J86" s="49">
        <f>'Avg Week Koboko-Yumbe'!J86+'Avg Week Yumbe-Koboko'!J86</f>
        <v>0</v>
      </c>
      <c r="K86" s="49">
        <f>'Avg Week Koboko-Yumbe'!K86+'Avg Week Yumbe-Koboko'!K86</f>
        <v>0</v>
      </c>
      <c r="L86" s="49">
        <f>'Avg Week Koboko-Yumbe'!L86+'Avg Week Yumbe-Koboko'!L86</f>
        <v>0</v>
      </c>
      <c r="M86" s="49">
        <f>'Avg Week Koboko-Yumbe'!M86+'Avg Week Yumbe-Koboko'!M86</f>
        <v>0</v>
      </c>
      <c r="N86" s="49">
        <f>'Avg Week Koboko-Yumbe'!N86+'Avg Week Yumbe-Koboko'!N86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'Avg Week Koboko-Yumbe'!C87+'Avg Week Yumbe-Koboko'!C87</f>
        <v>0</v>
      </c>
      <c r="D87" s="49">
        <f>'Avg Week Koboko-Yumbe'!D87+'Avg Week Yumbe-Koboko'!D87</f>
        <v>0</v>
      </c>
      <c r="E87" s="49">
        <f>'Avg Week Koboko-Yumbe'!E87+'Avg Week Yumbe-Koboko'!E87</f>
        <v>0</v>
      </c>
      <c r="F87" s="49">
        <f>'Avg Week Koboko-Yumbe'!F87+'Avg Week Yumbe-Koboko'!F87</f>
        <v>0</v>
      </c>
      <c r="G87" s="49">
        <f>'Avg Week Koboko-Yumbe'!G87+'Avg Week Yumbe-Koboko'!G87</f>
        <v>0</v>
      </c>
      <c r="H87" s="49">
        <f>'Avg Week Koboko-Yumbe'!H87+'Avg Week Yumbe-Koboko'!H87</f>
        <v>0</v>
      </c>
      <c r="I87" s="49">
        <f>'Avg Week Koboko-Yumbe'!I87+'Avg Week Yumbe-Koboko'!I87</f>
        <v>0</v>
      </c>
      <c r="J87" s="49">
        <f>'Avg Week Koboko-Yumbe'!J87+'Avg Week Yumbe-Koboko'!J87</f>
        <v>0</v>
      </c>
      <c r="K87" s="49">
        <f>'Avg Week Koboko-Yumbe'!K87+'Avg Week Yumbe-Koboko'!K87</f>
        <v>0</v>
      </c>
      <c r="L87" s="49">
        <f>'Avg Week Koboko-Yumbe'!L87+'Avg Week Yumbe-Koboko'!L87</f>
        <v>0</v>
      </c>
      <c r="M87" s="49">
        <f>'Avg Week Koboko-Yumbe'!M87+'Avg Week Yumbe-Koboko'!M87</f>
        <v>0</v>
      </c>
      <c r="N87" s="49">
        <f>'Avg Week Koboko-Yumbe'!N87+'Avg Week Yumbe-Koboko'!N87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'Avg Week Koboko-Yumbe'!C88+'Avg Week Yumbe-Koboko'!C88</f>
        <v>0</v>
      </c>
      <c r="D88" s="49">
        <f>'Avg Week Koboko-Yumbe'!D88+'Avg Week Yumbe-Koboko'!D88</f>
        <v>0</v>
      </c>
      <c r="E88" s="49">
        <f>'Avg Week Koboko-Yumbe'!E88+'Avg Week Yumbe-Koboko'!E88</f>
        <v>0</v>
      </c>
      <c r="F88" s="49">
        <f>'Avg Week Koboko-Yumbe'!F88+'Avg Week Yumbe-Koboko'!F88</f>
        <v>0</v>
      </c>
      <c r="G88" s="49">
        <f>'Avg Week Koboko-Yumbe'!G88+'Avg Week Yumbe-Koboko'!G88</f>
        <v>0</v>
      </c>
      <c r="H88" s="49">
        <f>'Avg Week Koboko-Yumbe'!H88+'Avg Week Yumbe-Koboko'!H88</f>
        <v>0</v>
      </c>
      <c r="I88" s="49">
        <f>'Avg Week Koboko-Yumbe'!I88+'Avg Week Yumbe-Koboko'!I88</f>
        <v>0</v>
      </c>
      <c r="J88" s="49">
        <f>'Avg Week Koboko-Yumbe'!J88+'Avg Week Yumbe-Koboko'!J88</f>
        <v>0</v>
      </c>
      <c r="K88" s="49">
        <f>'Avg Week Koboko-Yumbe'!K88+'Avg Week Yumbe-Koboko'!K88</f>
        <v>0</v>
      </c>
      <c r="L88" s="49">
        <f>'Avg Week Koboko-Yumbe'!L88+'Avg Week Yumbe-Koboko'!L88</f>
        <v>0</v>
      </c>
      <c r="M88" s="49">
        <f>'Avg Week Koboko-Yumbe'!M88+'Avg Week Yumbe-Koboko'!M88</f>
        <v>0</v>
      </c>
      <c r="N88" s="49">
        <f>'Avg Week Koboko-Yumbe'!N88+'Avg Week Yumbe-Koboko'!N88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'Avg Week Koboko-Yumbe'!C89+'Avg Week Yumbe-Koboko'!C89</f>
        <v>0.5</v>
      </c>
      <c r="D89" s="49">
        <f>'Avg Week Koboko-Yumbe'!D89+'Avg Week Yumbe-Koboko'!D89</f>
        <v>0</v>
      </c>
      <c r="E89" s="49">
        <f>'Avg Week Koboko-Yumbe'!E89+'Avg Week Yumbe-Koboko'!E89</f>
        <v>0</v>
      </c>
      <c r="F89" s="49">
        <f>'Avg Week Koboko-Yumbe'!F89+'Avg Week Yumbe-Koboko'!F89</f>
        <v>0</v>
      </c>
      <c r="G89" s="49">
        <f>'Avg Week Koboko-Yumbe'!G89+'Avg Week Yumbe-Koboko'!G89</f>
        <v>0</v>
      </c>
      <c r="H89" s="49">
        <f>'Avg Week Koboko-Yumbe'!H89+'Avg Week Yumbe-Koboko'!H89</f>
        <v>0</v>
      </c>
      <c r="I89" s="49">
        <f>'Avg Week Koboko-Yumbe'!I89+'Avg Week Yumbe-Koboko'!I89</f>
        <v>0</v>
      </c>
      <c r="J89" s="49">
        <f>'Avg Week Koboko-Yumbe'!J89+'Avg Week Yumbe-Koboko'!J89</f>
        <v>0</v>
      </c>
      <c r="K89" s="49">
        <f>'Avg Week Koboko-Yumbe'!K89+'Avg Week Yumbe-Koboko'!K89</f>
        <v>0</v>
      </c>
      <c r="L89" s="49">
        <f>'Avg Week Koboko-Yumbe'!L89+'Avg Week Yumbe-Koboko'!L89</f>
        <v>0</v>
      </c>
      <c r="M89" s="49">
        <f>'Avg Week Koboko-Yumbe'!M89+'Avg Week Yumbe-Koboko'!M89</f>
        <v>0</v>
      </c>
      <c r="N89" s="49">
        <f>'Avg Week Koboko-Yumbe'!N89+'Avg Week Yumbe-Koboko'!N89</f>
        <v>0</v>
      </c>
      <c r="O89" s="15">
        <f t="shared" si="35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'Avg Week Koboko-Yumbe'!C90+'Avg Week Yumbe-Koboko'!C90</f>
        <v>0</v>
      </c>
      <c r="D90" s="49">
        <f>'Avg Week Koboko-Yumbe'!D90+'Avg Week Yumbe-Koboko'!D90</f>
        <v>0</v>
      </c>
      <c r="E90" s="49">
        <f>'Avg Week Koboko-Yumbe'!E90+'Avg Week Yumbe-Koboko'!E90</f>
        <v>0.5</v>
      </c>
      <c r="F90" s="49">
        <f>'Avg Week Koboko-Yumbe'!F90+'Avg Week Yumbe-Koboko'!F90</f>
        <v>0</v>
      </c>
      <c r="G90" s="49">
        <f>'Avg Week Koboko-Yumbe'!G90+'Avg Week Yumbe-Koboko'!G90</f>
        <v>0</v>
      </c>
      <c r="H90" s="49">
        <f>'Avg Week Koboko-Yumbe'!H90+'Avg Week Yumbe-Koboko'!H90</f>
        <v>0</v>
      </c>
      <c r="I90" s="49">
        <f>'Avg Week Koboko-Yumbe'!I90+'Avg Week Yumbe-Koboko'!I90</f>
        <v>0</v>
      </c>
      <c r="J90" s="49">
        <f>'Avg Week Koboko-Yumbe'!J90+'Avg Week Yumbe-Koboko'!J90</f>
        <v>0</v>
      </c>
      <c r="K90" s="49">
        <f>'Avg Week Koboko-Yumbe'!K90+'Avg Week Yumbe-Koboko'!K90</f>
        <v>0</v>
      </c>
      <c r="L90" s="49">
        <f>'Avg Week Koboko-Yumbe'!L90+'Avg Week Yumbe-Koboko'!L90</f>
        <v>0</v>
      </c>
      <c r="M90" s="49">
        <f>'Avg Week Koboko-Yumbe'!M90+'Avg Week Yumbe-Koboko'!M90</f>
        <v>0.5</v>
      </c>
      <c r="N90" s="49">
        <f>'Avg Week Koboko-Yumbe'!N90+'Avg Week Yumbe-Koboko'!N90</f>
        <v>0</v>
      </c>
      <c r="O90" s="15">
        <f t="shared" si="35"/>
        <v>0.5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'Avg Week Koboko-Yumbe'!C91+'Avg Week Yumbe-Koboko'!C91</f>
        <v>0</v>
      </c>
      <c r="D91" s="49">
        <f>'Avg Week Koboko-Yumbe'!D91+'Avg Week Yumbe-Koboko'!D91</f>
        <v>0</v>
      </c>
      <c r="E91" s="49">
        <f>'Avg Week Koboko-Yumbe'!E91+'Avg Week Yumbe-Koboko'!E91</f>
        <v>0</v>
      </c>
      <c r="F91" s="49">
        <f>'Avg Week Koboko-Yumbe'!F91+'Avg Week Yumbe-Koboko'!F91</f>
        <v>0</v>
      </c>
      <c r="G91" s="49">
        <f>'Avg Week Koboko-Yumbe'!G91+'Avg Week Yumbe-Koboko'!G91</f>
        <v>0</v>
      </c>
      <c r="H91" s="49">
        <f>'Avg Week Koboko-Yumbe'!H91+'Avg Week Yumbe-Koboko'!H91</f>
        <v>0</v>
      </c>
      <c r="I91" s="49">
        <f>'Avg Week Koboko-Yumbe'!I91+'Avg Week Yumbe-Koboko'!I91</f>
        <v>0</v>
      </c>
      <c r="J91" s="49">
        <f>'Avg Week Koboko-Yumbe'!J91+'Avg Week Yumbe-Koboko'!J91</f>
        <v>0</v>
      </c>
      <c r="K91" s="49">
        <f>'Avg Week Koboko-Yumbe'!K91+'Avg Week Yumbe-Koboko'!K91</f>
        <v>0</v>
      </c>
      <c r="L91" s="49">
        <f>'Avg Week Koboko-Yumbe'!L91+'Avg Week Yumbe-Koboko'!L91</f>
        <v>0</v>
      </c>
      <c r="M91" s="49">
        <f>'Avg Week Koboko-Yumbe'!M91+'Avg Week Yumbe-Koboko'!M91</f>
        <v>0</v>
      </c>
      <c r="N91" s="49">
        <f>'Avg Week Koboko-Yumbe'!N91+'Avg Week Yumbe-Koboko'!N91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'Avg Week Koboko-Yumbe'!C92+'Avg Week Yumbe-Koboko'!C92</f>
        <v>0</v>
      </c>
      <c r="D92" s="49">
        <f>'Avg Week Koboko-Yumbe'!D92+'Avg Week Yumbe-Koboko'!D92</f>
        <v>0</v>
      </c>
      <c r="E92" s="49">
        <f>'Avg Week Koboko-Yumbe'!E92+'Avg Week Yumbe-Koboko'!E92</f>
        <v>0</v>
      </c>
      <c r="F92" s="49">
        <f>'Avg Week Koboko-Yumbe'!F92+'Avg Week Yumbe-Koboko'!F92</f>
        <v>0</v>
      </c>
      <c r="G92" s="49">
        <f>'Avg Week Koboko-Yumbe'!G92+'Avg Week Yumbe-Koboko'!G92</f>
        <v>0</v>
      </c>
      <c r="H92" s="49">
        <f>'Avg Week Koboko-Yumbe'!H92+'Avg Week Yumbe-Koboko'!H92</f>
        <v>0</v>
      </c>
      <c r="I92" s="49">
        <f>'Avg Week Koboko-Yumbe'!I92+'Avg Week Yumbe-Koboko'!I92</f>
        <v>0</v>
      </c>
      <c r="J92" s="49">
        <f>'Avg Week Koboko-Yumbe'!J92+'Avg Week Yumbe-Koboko'!J92</f>
        <v>0</v>
      </c>
      <c r="K92" s="49">
        <f>'Avg Week Koboko-Yumbe'!K92+'Avg Week Yumbe-Koboko'!K92</f>
        <v>0</v>
      </c>
      <c r="L92" s="49">
        <f>'Avg Week Koboko-Yumbe'!L92+'Avg Week Yumbe-Koboko'!L92</f>
        <v>0</v>
      </c>
      <c r="M92" s="49">
        <f>'Avg Week Koboko-Yumbe'!M92+'Avg Week Yumbe-Koboko'!M92</f>
        <v>0</v>
      </c>
      <c r="N92" s="49">
        <f>'Avg Week Koboko-Yumbe'!N92+'Avg Week Yumbe-Koboko'!N92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'Avg Week Koboko-Yumbe'!C93+'Avg Week Yumbe-Koboko'!C93</f>
        <v>0</v>
      </c>
      <c r="D93" s="49">
        <f>'Avg Week Koboko-Yumbe'!D93+'Avg Week Yumbe-Koboko'!D93</f>
        <v>0</v>
      </c>
      <c r="E93" s="49">
        <f>'Avg Week Koboko-Yumbe'!E93+'Avg Week Yumbe-Koboko'!E93</f>
        <v>0.5</v>
      </c>
      <c r="F93" s="49">
        <f>'Avg Week Koboko-Yumbe'!F93+'Avg Week Yumbe-Koboko'!F93</f>
        <v>0</v>
      </c>
      <c r="G93" s="49">
        <f>'Avg Week Koboko-Yumbe'!G93+'Avg Week Yumbe-Koboko'!G93</f>
        <v>0</v>
      </c>
      <c r="H93" s="49">
        <f>'Avg Week Koboko-Yumbe'!H93+'Avg Week Yumbe-Koboko'!H93</f>
        <v>0</v>
      </c>
      <c r="I93" s="49">
        <f>'Avg Week Koboko-Yumbe'!I93+'Avg Week Yumbe-Koboko'!I93</f>
        <v>0</v>
      </c>
      <c r="J93" s="49">
        <f>'Avg Week Koboko-Yumbe'!J93+'Avg Week Yumbe-Koboko'!J93</f>
        <v>0</v>
      </c>
      <c r="K93" s="49">
        <f>'Avg Week Koboko-Yumbe'!K93+'Avg Week Yumbe-Koboko'!K93</f>
        <v>0</v>
      </c>
      <c r="L93" s="49">
        <f>'Avg Week Koboko-Yumbe'!L93+'Avg Week Yumbe-Koboko'!L93</f>
        <v>0</v>
      </c>
      <c r="M93" s="49">
        <f>'Avg Week Koboko-Yumbe'!M93+'Avg Week Yumbe-Koboko'!M93</f>
        <v>0</v>
      </c>
      <c r="N93" s="49">
        <f>'Avg Week Koboko-Yumbe'!N93+'Avg Week Yumbe-Koboko'!N93</f>
        <v>0</v>
      </c>
      <c r="O93" s="15">
        <f t="shared" si="35"/>
        <v>0.5</v>
      </c>
      <c r="P93" s="15">
        <f t="shared" si="36"/>
        <v>0.5</v>
      </c>
      <c r="R93" s="8"/>
      <c r="T93"/>
    </row>
    <row r="94" spans="2:20" ht="23.1" customHeight="1" x14ac:dyDescent="0.25">
      <c r="B94" s="24" t="s">
        <v>134</v>
      </c>
      <c r="C94" s="49">
        <f>'Avg Week Koboko-Yumbe'!C94+'Avg Week Yumbe-Koboko'!C94</f>
        <v>0</v>
      </c>
      <c r="D94" s="49">
        <f>'Avg Week Koboko-Yumbe'!D94+'Avg Week Yumbe-Koboko'!D94</f>
        <v>0</v>
      </c>
      <c r="E94" s="49">
        <f>'Avg Week Koboko-Yumbe'!E94+'Avg Week Yumbe-Koboko'!E94</f>
        <v>0.5</v>
      </c>
      <c r="F94" s="49">
        <f>'Avg Week Koboko-Yumbe'!F94+'Avg Week Yumbe-Koboko'!F94</f>
        <v>0</v>
      </c>
      <c r="G94" s="49">
        <f>'Avg Week Koboko-Yumbe'!G94+'Avg Week Yumbe-Koboko'!G94</f>
        <v>0</v>
      </c>
      <c r="H94" s="49">
        <f>'Avg Week Koboko-Yumbe'!H94+'Avg Week Yumbe-Koboko'!H94</f>
        <v>0</v>
      </c>
      <c r="I94" s="49">
        <f>'Avg Week Koboko-Yumbe'!I94+'Avg Week Yumbe-Koboko'!I94</f>
        <v>0</v>
      </c>
      <c r="J94" s="49">
        <f>'Avg Week Koboko-Yumbe'!J94+'Avg Week Yumbe-Koboko'!J94</f>
        <v>0</v>
      </c>
      <c r="K94" s="49">
        <f>'Avg Week Koboko-Yumbe'!K94+'Avg Week Yumbe-Koboko'!K94</f>
        <v>0</v>
      </c>
      <c r="L94" s="49">
        <f>'Avg Week Koboko-Yumbe'!L94+'Avg Week Yumbe-Koboko'!L94</f>
        <v>0</v>
      </c>
      <c r="M94" s="49">
        <f>'Avg Week Koboko-Yumbe'!M94+'Avg Week Yumbe-Koboko'!M94</f>
        <v>0</v>
      </c>
      <c r="N94" s="49">
        <f>'Avg Week Koboko-Yumbe'!N94+'Avg Week Yumbe-Koboko'!N94</f>
        <v>0</v>
      </c>
      <c r="O94" s="15">
        <f t="shared" si="35"/>
        <v>0.5</v>
      </c>
      <c r="P94" s="15">
        <f t="shared" si="36"/>
        <v>0.5</v>
      </c>
      <c r="R94" s="8"/>
      <c r="T94"/>
    </row>
    <row r="95" spans="2:20" ht="23.1" customHeight="1" x14ac:dyDescent="0.25">
      <c r="B95" s="23" t="s">
        <v>135</v>
      </c>
      <c r="C95" s="49">
        <f>'Avg Week Koboko-Yumbe'!C95+'Avg Week Yumbe-Koboko'!C95</f>
        <v>0</v>
      </c>
      <c r="D95" s="49">
        <f>'Avg Week Koboko-Yumbe'!D95+'Avg Week Yumbe-Koboko'!D95</f>
        <v>0</v>
      </c>
      <c r="E95" s="49">
        <f>'Avg Week Koboko-Yumbe'!E95+'Avg Week Yumbe-Koboko'!E95</f>
        <v>0</v>
      </c>
      <c r="F95" s="49">
        <f>'Avg Week Koboko-Yumbe'!F95+'Avg Week Yumbe-Koboko'!F95</f>
        <v>0</v>
      </c>
      <c r="G95" s="49">
        <f>'Avg Week Koboko-Yumbe'!G95+'Avg Week Yumbe-Koboko'!G95</f>
        <v>0</v>
      </c>
      <c r="H95" s="49">
        <f>'Avg Week Koboko-Yumbe'!H95+'Avg Week Yumbe-Koboko'!H95</f>
        <v>0</v>
      </c>
      <c r="I95" s="49">
        <f>'Avg Week Koboko-Yumbe'!I95+'Avg Week Yumbe-Koboko'!I95</f>
        <v>0</v>
      </c>
      <c r="J95" s="49">
        <f>'Avg Week Koboko-Yumbe'!J95+'Avg Week Yumbe-Koboko'!J95</f>
        <v>0</v>
      </c>
      <c r="K95" s="49">
        <f>'Avg Week Koboko-Yumbe'!K95+'Avg Week Yumbe-Koboko'!K95</f>
        <v>0</v>
      </c>
      <c r="L95" s="49">
        <f>'Avg Week Koboko-Yumbe'!L95+'Avg Week Yumbe-Koboko'!L95</f>
        <v>0</v>
      </c>
      <c r="M95" s="49">
        <f>'Avg Week Koboko-Yumbe'!M95+'Avg Week Yumbe-Koboko'!M95</f>
        <v>0</v>
      </c>
      <c r="N95" s="49">
        <f>'Avg Week Koboko-Yumbe'!N95+'Avg Week Yumbe-Koboko'!N95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'Avg Week Koboko-Yumbe'!C96+'Avg Week Yumbe-Koboko'!C96</f>
        <v>0</v>
      </c>
      <c r="D96" s="49">
        <f>'Avg Week Koboko-Yumbe'!D96+'Avg Week Yumbe-Koboko'!D96</f>
        <v>0</v>
      </c>
      <c r="E96" s="49">
        <f>'Avg Week Koboko-Yumbe'!E96+'Avg Week Yumbe-Koboko'!E96</f>
        <v>0</v>
      </c>
      <c r="F96" s="49">
        <f>'Avg Week Koboko-Yumbe'!F96+'Avg Week Yumbe-Koboko'!F96</f>
        <v>0</v>
      </c>
      <c r="G96" s="49">
        <f>'Avg Week Koboko-Yumbe'!G96+'Avg Week Yumbe-Koboko'!G96</f>
        <v>0</v>
      </c>
      <c r="H96" s="49">
        <f>'Avg Week Koboko-Yumbe'!H96+'Avg Week Yumbe-Koboko'!H96</f>
        <v>0</v>
      </c>
      <c r="I96" s="49">
        <f>'Avg Week Koboko-Yumbe'!I96+'Avg Week Yumbe-Koboko'!I96</f>
        <v>0</v>
      </c>
      <c r="J96" s="49">
        <f>'Avg Week Koboko-Yumbe'!J96+'Avg Week Yumbe-Koboko'!J96</f>
        <v>0</v>
      </c>
      <c r="K96" s="49">
        <f>'Avg Week Koboko-Yumbe'!K96+'Avg Week Yumbe-Koboko'!K96</f>
        <v>0</v>
      </c>
      <c r="L96" s="49">
        <f>'Avg Week Koboko-Yumbe'!L96+'Avg Week Yumbe-Koboko'!L96</f>
        <v>0</v>
      </c>
      <c r="M96" s="49">
        <f>'Avg Week Koboko-Yumbe'!M96+'Avg Week Yumbe-Koboko'!M96</f>
        <v>0</v>
      </c>
      <c r="N96" s="49">
        <f>'Avg Week Koboko-Yumbe'!N96+'Avg Week Yumbe-Koboko'!N96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'Avg Week Koboko-Yumbe'!C97+'Avg Week Yumbe-Koboko'!C97</f>
        <v>0</v>
      </c>
      <c r="D97" s="49">
        <f>'Avg Week Koboko-Yumbe'!D97+'Avg Week Yumbe-Koboko'!D97</f>
        <v>0</v>
      </c>
      <c r="E97" s="49">
        <f>'Avg Week Koboko-Yumbe'!E97+'Avg Week Yumbe-Koboko'!E97</f>
        <v>0</v>
      </c>
      <c r="F97" s="49">
        <f>'Avg Week Koboko-Yumbe'!F97+'Avg Week Yumbe-Koboko'!F97</f>
        <v>0</v>
      </c>
      <c r="G97" s="49">
        <f>'Avg Week Koboko-Yumbe'!G97+'Avg Week Yumbe-Koboko'!G97</f>
        <v>0</v>
      </c>
      <c r="H97" s="49">
        <f>'Avg Week Koboko-Yumbe'!H97+'Avg Week Yumbe-Koboko'!H97</f>
        <v>0</v>
      </c>
      <c r="I97" s="49">
        <f>'Avg Week Koboko-Yumbe'!I97+'Avg Week Yumbe-Koboko'!I97</f>
        <v>0</v>
      </c>
      <c r="J97" s="49">
        <f>'Avg Week Koboko-Yumbe'!J97+'Avg Week Yumbe-Koboko'!J97</f>
        <v>0</v>
      </c>
      <c r="K97" s="49">
        <f>'Avg Week Koboko-Yumbe'!K97+'Avg Week Yumbe-Koboko'!K97</f>
        <v>0</v>
      </c>
      <c r="L97" s="49">
        <f>'Avg Week Koboko-Yumbe'!L97+'Avg Week Yumbe-Koboko'!L97</f>
        <v>0</v>
      </c>
      <c r="M97" s="49">
        <f>'Avg Week Koboko-Yumbe'!M97+'Avg Week Yumbe-Koboko'!M97</f>
        <v>0</v>
      </c>
      <c r="N97" s="49">
        <f>'Avg Week Koboko-Yumbe'!N97+'Avg Week Yumbe-Koboko'!N97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'Avg Week Koboko-Yumbe'!C98+'Avg Week Yumbe-Koboko'!C98</f>
        <v>1</v>
      </c>
      <c r="D98" s="49">
        <f>'Avg Week Koboko-Yumbe'!D98+'Avg Week Yumbe-Koboko'!D98</f>
        <v>0</v>
      </c>
      <c r="E98" s="49">
        <f>'Avg Week Koboko-Yumbe'!E98+'Avg Week Yumbe-Koboko'!E98</f>
        <v>0</v>
      </c>
      <c r="F98" s="49">
        <f>'Avg Week Koboko-Yumbe'!F98+'Avg Week Yumbe-Koboko'!F98</f>
        <v>0</v>
      </c>
      <c r="G98" s="49">
        <f>'Avg Week Koboko-Yumbe'!G98+'Avg Week Yumbe-Koboko'!G98</f>
        <v>0</v>
      </c>
      <c r="H98" s="49">
        <f>'Avg Week Koboko-Yumbe'!H98+'Avg Week Yumbe-Koboko'!H98</f>
        <v>0</v>
      </c>
      <c r="I98" s="49">
        <f>'Avg Week Koboko-Yumbe'!I98+'Avg Week Yumbe-Koboko'!I98</f>
        <v>0</v>
      </c>
      <c r="J98" s="49">
        <f>'Avg Week Koboko-Yumbe'!J98+'Avg Week Yumbe-Koboko'!J98</f>
        <v>0</v>
      </c>
      <c r="K98" s="49">
        <f>'Avg Week Koboko-Yumbe'!K98+'Avg Week Yumbe-Koboko'!K98</f>
        <v>0</v>
      </c>
      <c r="L98" s="49">
        <f>'Avg Week Koboko-Yumbe'!L98+'Avg Week Yumbe-Koboko'!L98</f>
        <v>0</v>
      </c>
      <c r="M98" s="49">
        <f>'Avg Week Koboko-Yumbe'!M98+'Avg Week Yumbe-Koboko'!M98</f>
        <v>1.5</v>
      </c>
      <c r="N98" s="49">
        <f>'Avg Week Koboko-Yumbe'!N98+'Avg Week Yumbe-Koboko'!N98</f>
        <v>0</v>
      </c>
      <c r="O98" s="15">
        <f t="shared" si="35"/>
        <v>1</v>
      </c>
      <c r="P98" s="15">
        <f t="shared" si="36"/>
        <v>2.5</v>
      </c>
      <c r="R98" s="8"/>
      <c r="T98"/>
    </row>
    <row r="99" spans="2:20" ht="23.1" customHeight="1" x14ac:dyDescent="0.25">
      <c r="B99" s="23" t="s">
        <v>139</v>
      </c>
      <c r="C99" s="49">
        <f>'Avg Week Koboko-Yumbe'!C99+'Avg Week Yumbe-Koboko'!C99</f>
        <v>1.5</v>
      </c>
      <c r="D99" s="49">
        <f>'Avg Week Koboko-Yumbe'!D99+'Avg Week Yumbe-Koboko'!D99</f>
        <v>0</v>
      </c>
      <c r="E99" s="49">
        <f>'Avg Week Koboko-Yumbe'!E99+'Avg Week Yumbe-Koboko'!E99</f>
        <v>0</v>
      </c>
      <c r="F99" s="49">
        <f>'Avg Week Koboko-Yumbe'!F99+'Avg Week Yumbe-Koboko'!F99</f>
        <v>0</v>
      </c>
      <c r="G99" s="49">
        <f>'Avg Week Koboko-Yumbe'!G99+'Avg Week Yumbe-Koboko'!G99</f>
        <v>0</v>
      </c>
      <c r="H99" s="49">
        <f>'Avg Week Koboko-Yumbe'!H99+'Avg Week Yumbe-Koboko'!H99</f>
        <v>0</v>
      </c>
      <c r="I99" s="49">
        <f>'Avg Week Koboko-Yumbe'!I99+'Avg Week Yumbe-Koboko'!I99</f>
        <v>0</v>
      </c>
      <c r="J99" s="49">
        <f>'Avg Week Koboko-Yumbe'!J99+'Avg Week Yumbe-Koboko'!J99</f>
        <v>0</v>
      </c>
      <c r="K99" s="49">
        <f>'Avg Week Koboko-Yumbe'!K99+'Avg Week Yumbe-Koboko'!K99</f>
        <v>0</v>
      </c>
      <c r="L99" s="49">
        <f>'Avg Week Koboko-Yumbe'!L99+'Avg Week Yumbe-Koboko'!L99</f>
        <v>0</v>
      </c>
      <c r="M99" s="49">
        <f>'Avg Week Koboko-Yumbe'!M99+'Avg Week Yumbe-Koboko'!M99</f>
        <v>0.5</v>
      </c>
      <c r="N99" s="49">
        <f>'Avg Week Koboko-Yumbe'!N99+'Avg Week Yumbe-Koboko'!N99</f>
        <v>0</v>
      </c>
      <c r="O99" s="15">
        <f t="shared" si="35"/>
        <v>1.5</v>
      </c>
      <c r="P99" s="15">
        <f t="shared" si="36"/>
        <v>2</v>
      </c>
      <c r="R99" s="8"/>
      <c r="T99"/>
    </row>
    <row r="100" spans="2:20" ht="23.1" customHeight="1" x14ac:dyDescent="0.25">
      <c r="B100" s="25" t="s">
        <v>140</v>
      </c>
      <c r="C100" s="49">
        <f>'Avg Week Koboko-Yumbe'!C100+'Avg Week Yumbe-Koboko'!C100</f>
        <v>0</v>
      </c>
      <c r="D100" s="49">
        <f>'Avg Week Koboko-Yumbe'!D100+'Avg Week Yumbe-Koboko'!D100</f>
        <v>0</v>
      </c>
      <c r="E100" s="49">
        <f>'Avg Week Koboko-Yumbe'!E100+'Avg Week Yumbe-Koboko'!E100</f>
        <v>0</v>
      </c>
      <c r="F100" s="49">
        <f>'Avg Week Koboko-Yumbe'!F100+'Avg Week Yumbe-Koboko'!F100</f>
        <v>0</v>
      </c>
      <c r="G100" s="49">
        <f>'Avg Week Koboko-Yumbe'!G100+'Avg Week Yumbe-Koboko'!G100</f>
        <v>1</v>
      </c>
      <c r="H100" s="49">
        <f>'Avg Week Koboko-Yumbe'!H100+'Avg Week Yumbe-Koboko'!H100</f>
        <v>0</v>
      </c>
      <c r="I100" s="49">
        <f>'Avg Week Koboko-Yumbe'!I100+'Avg Week Yumbe-Koboko'!I100</f>
        <v>0</v>
      </c>
      <c r="J100" s="49">
        <f>'Avg Week Koboko-Yumbe'!J100+'Avg Week Yumbe-Koboko'!J100</f>
        <v>0</v>
      </c>
      <c r="K100" s="49">
        <f>'Avg Week Koboko-Yumbe'!K100+'Avg Week Yumbe-Koboko'!K100</f>
        <v>0</v>
      </c>
      <c r="L100" s="49">
        <f>'Avg Week Koboko-Yumbe'!L100+'Avg Week Yumbe-Koboko'!L100</f>
        <v>0</v>
      </c>
      <c r="M100" s="49">
        <f>'Avg Week Koboko-Yumbe'!M100+'Avg Week Yumbe-Koboko'!M100</f>
        <v>1</v>
      </c>
      <c r="N100" s="49">
        <f>'Avg Week Koboko-Yumbe'!N100+'Avg Week Yumbe-Koboko'!N100</f>
        <v>0</v>
      </c>
      <c r="O100" s="15">
        <f t="shared" si="35"/>
        <v>1</v>
      </c>
      <c r="P100" s="15">
        <f t="shared" si="36"/>
        <v>2</v>
      </c>
      <c r="R100" s="8"/>
      <c r="T100"/>
    </row>
    <row r="101" spans="2:20" ht="23.1" customHeight="1" x14ac:dyDescent="0.25">
      <c r="B101" s="23" t="s">
        <v>141</v>
      </c>
      <c r="C101" s="49">
        <f>'Avg Week Koboko-Yumbe'!C101+'Avg Week Yumbe-Koboko'!C101</f>
        <v>1.5</v>
      </c>
      <c r="D101" s="49">
        <f>'Avg Week Koboko-Yumbe'!D101+'Avg Week Yumbe-Koboko'!D101</f>
        <v>0</v>
      </c>
      <c r="E101" s="49">
        <f>'Avg Week Koboko-Yumbe'!E101+'Avg Week Yumbe-Koboko'!E101</f>
        <v>0.5</v>
      </c>
      <c r="F101" s="49">
        <f>'Avg Week Koboko-Yumbe'!F101+'Avg Week Yumbe-Koboko'!F101</f>
        <v>0</v>
      </c>
      <c r="G101" s="49">
        <f>'Avg Week Koboko-Yumbe'!G101+'Avg Week Yumbe-Koboko'!G101</f>
        <v>0</v>
      </c>
      <c r="H101" s="49">
        <f>'Avg Week Koboko-Yumbe'!H101+'Avg Week Yumbe-Koboko'!H101</f>
        <v>0.5</v>
      </c>
      <c r="I101" s="49">
        <f>'Avg Week Koboko-Yumbe'!I101+'Avg Week Yumbe-Koboko'!I101</f>
        <v>0</v>
      </c>
      <c r="J101" s="49">
        <f>'Avg Week Koboko-Yumbe'!J101+'Avg Week Yumbe-Koboko'!J101</f>
        <v>0</v>
      </c>
      <c r="K101" s="49">
        <f>'Avg Week Koboko-Yumbe'!K101+'Avg Week Yumbe-Koboko'!K101</f>
        <v>0</v>
      </c>
      <c r="L101" s="49">
        <f>'Avg Week Koboko-Yumbe'!L101+'Avg Week Yumbe-Koboko'!L101</f>
        <v>0</v>
      </c>
      <c r="M101" s="49">
        <f>'Avg Week Koboko-Yumbe'!M101+'Avg Week Yumbe-Koboko'!M101</f>
        <v>0</v>
      </c>
      <c r="N101" s="49">
        <f>'Avg Week Koboko-Yumbe'!N101+'Avg Week Yumbe-Koboko'!N101</f>
        <v>0</v>
      </c>
      <c r="O101" s="15">
        <f t="shared" si="35"/>
        <v>2.5</v>
      </c>
      <c r="P101" s="15">
        <f t="shared" si="36"/>
        <v>2.5</v>
      </c>
      <c r="R101" s="8"/>
      <c r="T101"/>
    </row>
    <row r="102" spans="2:20" ht="23.1" customHeight="1" x14ac:dyDescent="0.25">
      <c r="B102" s="24" t="s">
        <v>142</v>
      </c>
      <c r="C102" s="49">
        <f>'Avg Week Koboko-Yumbe'!C102+'Avg Week Yumbe-Koboko'!C102</f>
        <v>1</v>
      </c>
      <c r="D102" s="49">
        <f>'Avg Week Koboko-Yumbe'!D102+'Avg Week Yumbe-Koboko'!D102</f>
        <v>0</v>
      </c>
      <c r="E102" s="49">
        <f>'Avg Week Koboko-Yumbe'!E102+'Avg Week Yumbe-Koboko'!E102</f>
        <v>0</v>
      </c>
      <c r="F102" s="49">
        <f>'Avg Week Koboko-Yumbe'!F102+'Avg Week Yumbe-Koboko'!F102</f>
        <v>0</v>
      </c>
      <c r="G102" s="49">
        <f>'Avg Week Koboko-Yumbe'!G102+'Avg Week Yumbe-Koboko'!G102</f>
        <v>0</v>
      </c>
      <c r="H102" s="49">
        <f>'Avg Week Koboko-Yumbe'!H102+'Avg Week Yumbe-Koboko'!H102</f>
        <v>0.5</v>
      </c>
      <c r="I102" s="49">
        <f>'Avg Week Koboko-Yumbe'!I102+'Avg Week Yumbe-Koboko'!I102</f>
        <v>0.5</v>
      </c>
      <c r="J102" s="49">
        <f>'Avg Week Koboko-Yumbe'!J102+'Avg Week Yumbe-Koboko'!J102</f>
        <v>0</v>
      </c>
      <c r="K102" s="49">
        <f>'Avg Week Koboko-Yumbe'!K102+'Avg Week Yumbe-Koboko'!K102</f>
        <v>0</v>
      </c>
      <c r="L102" s="49">
        <f>'Avg Week Koboko-Yumbe'!L102+'Avg Week Yumbe-Koboko'!L102</f>
        <v>0</v>
      </c>
      <c r="M102" s="49">
        <f>'Avg Week Koboko-Yumbe'!M102+'Avg Week Yumbe-Koboko'!M102</f>
        <v>0.5</v>
      </c>
      <c r="N102" s="49">
        <f>'Avg Week Koboko-Yumbe'!N102+'Avg Week Yumbe-Koboko'!N102</f>
        <v>0</v>
      </c>
      <c r="O102" s="15">
        <f t="shared" si="35"/>
        <v>2</v>
      </c>
      <c r="P102" s="15">
        <f t="shared" si="36"/>
        <v>2.5</v>
      </c>
      <c r="R102" s="8"/>
      <c r="T102"/>
    </row>
    <row r="103" spans="2:20" ht="23.1" customHeight="1" x14ac:dyDescent="0.25">
      <c r="B103" s="23" t="s">
        <v>143</v>
      </c>
      <c r="C103" s="49">
        <f>'Avg Week Koboko-Yumbe'!C103+'Avg Week Yumbe-Koboko'!C103</f>
        <v>0.5</v>
      </c>
      <c r="D103" s="49">
        <f>'Avg Week Koboko-Yumbe'!D103+'Avg Week Yumbe-Koboko'!D103</f>
        <v>0</v>
      </c>
      <c r="E103" s="49">
        <f>'Avg Week Koboko-Yumbe'!E103+'Avg Week Yumbe-Koboko'!E103</f>
        <v>0.5</v>
      </c>
      <c r="F103" s="49">
        <f>'Avg Week Koboko-Yumbe'!F103+'Avg Week Yumbe-Koboko'!F103</f>
        <v>0</v>
      </c>
      <c r="G103" s="49">
        <f>'Avg Week Koboko-Yumbe'!G103+'Avg Week Yumbe-Koboko'!G103</f>
        <v>0</v>
      </c>
      <c r="H103" s="49">
        <f>'Avg Week Koboko-Yumbe'!H103+'Avg Week Yumbe-Koboko'!H103</f>
        <v>0.5</v>
      </c>
      <c r="I103" s="49">
        <f>'Avg Week Koboko-Yumbe'!I103+'Avg Week Yumbe-Koboko'!I103</f>
        <v>0</v>
      </c>
      <c r="J103" s="49">
        <f>'Avg Week Koboko-Yumbe'!J103+'Avg Week Yumbe-Koboko'!J103</f>
        <v>0</v>
      </c>
      <c r="K103" s="49">
        <f>'Avg Week Koboko-Yumbe'!K103+'Avg Week Yumbe-Koboko'!K103</f>
        <v>0</v>
      </c>
      <c r="L103" s="49">
        <f>'Avg Week Koboko-Yumbe'!L103+'Avg Week Yumbe-Koboko'!L103</f>
        <v>0</v>
      </c>
      <c r="M103" s="49">
        <f>'Avg Week Koboko-Yumbe'!M103+'Avg Week Yumbe-Koboko'!M103</f>
        <v>0.5</v>
      </c>
      <c r="N103" s="49">
        <f>'Avg Week Koboko-Yumbe'!N103+'Avg Week Yumbe-Koboko'!N103</f>
        <v>0</v>
      </c>
      <c r="O103" s="15">
        <f t="shared" si="35"/>
        <v>1.5</v>
      </c>
      <c r="P103" s="15">
        <f t="shared" si="36"/>
        <v>2</v>
      </c>
      <c r="R103" s="8"/>
      <c r="T103"/>
    </row>
    <row r="104" spans="2:20" ht="23.1" customHeight="1" x14ac:dyDescent="0.25">
      <c r="B104" s="25" t="s">
        <v>144</v>
      </c>
      <c r="C104" s="49">
        <f>'Avg Week Koboko-Yumbe'!C104+'Avg Week Yumbe-Koboko'!C104</f>
        <v>3.5</v>
      </c>
      <c r="D104" s="49">
        <f>'Avg Week Koboko-Yumbe'!D104+'Avg Week Yumbe-Koboko'!D104</f>
        <v>0</v>
      </c>
      <c r="E104" s="49">
        <f>'Avg Week Koboko-Yumbe'!E104+'Avg Week Yumbe-Koboko'!E104</f>
        <v>0</v>
      </c>
      <c r="F104" s="49">
        <f>'Avg Week Koboko-Yumbe'!F104+'Avg Week Yumbe-Koboko'!F104</f>
        <v>0</v>
      </c>
      <c r="G104" s="49">
        <f>'Avg Week Koboko-Yumbe'!G104+'Avg Week Yumbe-Koboko'!G104</f>
        <v>0</v>
      </c>
      <c r="H104" s="49">
        <f>'Avg Week Koboko-Yumbe'!H104+'Avg Week Yumbe-Koboko'!H104</f>
        <v>0.5</v>
      </c>
      <c r="I104" s="49">
        <f>'Avg Week Koboko-Yumbe'!I104+'Avg Week Yumbe-Koboko'!I104</f>
        <v>0</v>
      </c>
      <c r="J104" s="49">
        <f>'Avg Week Koboko-Yumbe'!J104+'Avg Week Yumbe-Koboko'!J104</f>
        <v>0</v>
      </c>
      <c r="K104" s="49">
        <f>'Avg Week Koboko-Yumbe'!K104+'Avg Week Yumbe-Koboko'!K104</f>
        <v>0</v>
      </c>
      <c r="L104" s="49">
        <f>'Avg Week Koboko-Yumbe'!L104+'Avg Week Yumbe-Koboko'!L104</f>
        <v>0.5</v>
      </c>
      <c r="M104" s="49">
        <f>'Avg Week Koboko-Yumbe'!M104+'Avg Week Yumbe-Koboko'!M104</f>
        <v>2</v>
      </c>
      <c r="N104" s="49">
        <f>'Avg Week Koboko-Yumbe'!N104+'Avg Week Yumbe-Koboko'!N104</f>
        <v>0</v>
      </c>
      <c r="O104" s="15">
        <f t="shared" si="35"/>
        <v>4.5</v>
      </c>
      <c r="P104" s="15">
        <f t="shared" si="36"/>
        <v>6.5</v>
      </c>
      <c r="R104" s="8"/>
      <c r="T104"/>
    </row>
    <row r="105" spans="2:20" ht="23.1" customHeight="1" x14ac:dyDescent="0.25">
      <c r="B105" s="23" t="s">
        <v>145</v>
      </c>
      <c r="C105" s="49">
        <f>'Avg Week Koboko-Yumbe'!C105+'Avg Week Yumbe-Koboko'!C105</f>
        <v>0.5</v>
      </c>
      <c r="D105" s="49">
        <f>'Avg Week Koboko-Yumbe'!D105+'Avg Week Yumbe-Koboko'!D105</f>
        <v>0</v>
      </c>
      <c r="E105" s="49">
        <f>'Avg Week Koboko-Yumbe'!E105+'Avg Week Yumbe-Koboko'!E105</f>
        <v>1.5</v>
      </c>
      <c r="F105" s="49">
        <f>'Avg Week Koboko-Yumbe'!F105+'Avg Week Yumbe-Koboko'!F105</f>
        <v>0</v>
      </c>
      <c r="G105" s="49">
        <f>'Avg Week Koboko-Yumbe'!G105+'Avg Week Yumbe-Koboko'!G105</f>
        <v>0</v>
      </c>
      <c r="H105" s="49">
        <f>'Avg Week Koboko-Yumbe'!H105+'Avg Week Yumbe-Koboko'!H105</f>
        <v>0.5</v>
      </c>
      <c r="I105" s="49">
        <f>'Avg Week Koboko-Yumbe'!I105+'Avg Week Yumbe-Koboko'!I105</f>
        <v>0.5</v>
      </c>
      <c r="J105" s="49">
        <f>'Avg Week Koboko-Yumbe'!J105+'Avg Week Yumbe-Koboko'!J105</f>
        <v>0</v>
      </c>
      <c r="K105" s="49">
        <f>'Avg Week Koboko-Yumbe'!K105+'Avg Week Yumbe-Koboko'!K105</f>
        <v>0</v>
      </c>
      <c r="L105" s="49">
        <f>'Avg Week Koboko-Yumbe'!L105+'Avg Week Yumbe-Koboko'!L105</f>
        <v>0</v>
      </c>
      <c r="M105" s="49">
        <f>'Avg Week Koboko-Yumbe'!M105+'Avg Week Yumbe-Koboko'!M105</f>
        <v>3.5</v>
      </c>
      <c r="N105" s="49">
        <f>'Avg Week Koboko-Yumbe'!N105+'Avg Week Yumbe-Koboko'!N105</f>
        <v>0.5</v>
      </c>
      <c r="O105" s="15">
        <f t="shared" si="35"/>
        <v>3.5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227.85714285714283</v>
      </c>
      <c r="D106" s="16">
        <f t="shared" ref="D106:P106" si="37">SUM(D10:D105)</f>
        <v>26.857142857142847</v>
      </c>
      <c r="E106" s="16">
        <f t="shared" si="37"/>
        <v>126.14285714285717</v>
      </c>
      <c r="F106" s="16">
        <f t="shared" si="37"/>
        <v>36.88095238095238</v>
      </c>
      <c r="G106" s="16">
        <f t="shared" si="37"/>
        <v>6.928571428571427</v>
      </c>
      <c r="H106" s="16">
        <f t="shared" si="37"/>
        <v>12.785714285714288</v>
      </c>
      <c r="I106" s="16">
        <f t="shared" si="37"/>
        <v>38.571428571428569</v>
      </c>
      <c r="J106" s="16">
        <f t="shared" si="37"/>
        <v>11.142857142857146</v>
      </c>
      <c r="K106" s="16">
        <f t="shared" si="37"/>
        <v>3.8571428571428563</v>
      </c>
      <c r="L106" s="16">
        <f t="shared" si="37"/>
        <v>8.9285714285714306</v>
      </c>
      <c r="M106" s="16">
        <f t="shared" si="37"/>
        <v>930.99999999999989</v>
      </c>
      <c r="N106" s="16">
        <f t="shared" si="37"/>
        <v>3.1428571428571423</v>
      </c>
      <c r="O106" s="16">
        <f t="shared" si="37"/>
        <v>503.09523809523824</v>
      </c>
      <c r="P106" s="16">
        <f t="shared" si="37"/>
        <v>1434.0952380952381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0.15888564218355689</v>
      </c>
      <c r="D107" s="43">
        <f t="shared" si="38"/>
        <v>1.872758666489573E-2</v>
      </c>
      <c r="E107" s="43">
        <f t="shared" si="38"/>
        <v>8.7959888431398611E-2</v>
      </c>
      <c r="F107" s="43">
        <f t="shared" si="38"/>
        <v>2.5717226723336432E-2</v>
      </c>
      <c r="G107" s="43">
        <f t="shared" si="38"/>
        <v>4.8313189002523564E-3</v>
      </c>
      <c r="H107" s="43">
        <f t="shared" si="38"/>
        <v>8.9155266303626007E-3</v>
      </c>
      <c r="I107" s="43">
        <f t="shared" si="38"/>
        <v>2.6896002125116215E-2</v>
      </c>
      <c r="J107" s="43">
        <f t="shared" si="38"/>
        <v>7.7699561694780208E-3</v>
      </c>
      <c r="K107" s="43">
        <f t="shared" si="38"/>
        <v>2.689600212511621E-3</v>
      </c>
      <c r="L107" s="43">
        <f t="shared" si="38"/>
        <v>6.2259264178509775E-3</v>
      </c>
      <c r="M107" s="43">
        <f t="shared" si="38"/>
        <v>0.64918979944215693</v>
      </c>
      <c r="N107" s="43">
        <f t="shared" si="38"/>
        <v>2.1915260990835435E-3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0.45291055371509681</v>
      </c>
      <c r="D108" s="44">
        <f t="shared" ref="D108:N108" si="39">D106/$O$106</f>
        <v>5.3383814481779424E-2</v>
      </c>
      <c r="E108" s="44">
        <f t="shared" si="39"/>
        <v>0.25073355418835774</v>
      </c>
      <c r="F108" s="44">
        <f t="shared" si="39"/>
        <v>7.3308092759110252E-2</v>
      </c>
      <c r="G108" s="44">
        <f t="shared" si="39"/>
        <v>1.3771888310459056E-2</v>
      </c>
      <c r="H108" s="44">
        <f t="shared" si="39"/>
        <v>2.5414103170847135E-2</v>
      </c>
      <c r="I108" s="44">
        <f t="shared" si="39"/>
        <v>7.666824420255558E-2</v>
      </c>
      <c r="J108" s="44">
        <f t="shared" si="39"/>
        <v>2.2148603880738287E-2</v>
      </c>
      <c r="K108" s="44">
        <f t="shared" si="39"/>
        <v>7.666824420255557E-3</v>
      </c>
      <c r="L108" s="44">
        <f t="shared" si="39"/>
        <v>1.7747278750591573E-2</v>
      </c>
      <c r="M108" s="44"/>
      <c r="N108" s="44">
        <f t="shared" si="39"/>
        <v>6.2470421202082318E-3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31.07 Koboko-Yumbe</vt:lpstr>
      <vt:lpstr>31.07 Yumbe-Koboko</vt:lpstr>
      <vt:lpstr>01.08 Koboko-Yumbe </vt:lpstr>
      <vt:lpstr>01.08 Yumbe-Koboko</vt:lpstr>
      <vt:lpstr>02.08 Koboko-Yumbe-24h</vt:lpstr>
      <vt:lpstr>02.08 Yumbe-Koboko-24h</vt:lpstr>
      <vt:lpstr>03.08 Koboko-Yumbe-24h</vt:lpstr>
      <vt:lpstr>03.08 Yumbe-Koboko-24h</vt:lpstr>
      <vt:lpstr>04.08 Koboko-Yumbe </vt:lpstr>
      <vt:lpstr>04.08 Yumbe-Koboko</vt:lpstr>
      <vt:lpstr>05.08 Koboko-Yumbe</vt:lpstr>
      <vt:lpstr>05.08 Yumbe-Koboko</vt:lpstr>
      <vt:lpstr>06.08 Koboko-Yumbe</vt:lpstr>
      <vt:lpstr>06.08 Yumbe-Koboko</vt:lpstr>
      <vt:lpstr>Avg Week Koboko-Yumbe</vt:lpstr>
      <vt:lpstr>Avg Week Yumbe-Koboko</vt:lpstr>
      <vt:lpstr>Avg Week Koboko-Yumbe-2Dir</vt:lpstr>
      <vt:lpstr>'01.08 Koboko-Yumbe '!Print_Area</vt:lpstr>
      <vt:lpstr>'01.08 Yumbe-Koboko'!Print_Area</vt:lpstr>
      <vt:lpstr>'02.08 Koboko-Yumbe-24h'!Print_Area</vt:lpstr>
      <vt:lpstr>'02.08 Yumbe-Koboko-24h'!Print_Area</vt:lpstr>
      <vt:lpstr>'03.08 Koboko-Yumbe-24h'!Print_Area</vt:lpstr>
      <vt:lpstr>'03.08 Yumbe-Koboko-24h'!Print_Area</vt:lpstr>
      <vt:lpstr>'04.08 Koboko-Yumbe '!Print_Area</vt:lpstr>
      <vt:lpstr>'04.08 Yumbe-Koboko'!Print_Area</vt:lpstr>
      <vt:lpstr>'05.08 Koboko-Yumbe'!Print_Area</vt:lpstr>
      <vt:lpstr>'05.08 Yumbe-Koboko'!Print_Area</vt:lpstr>
      <vt:lpstr>'06.08 Koboko-Yumbe'!Print_Area</vt:lpstr>
      <vt:lpstr>'06.08 Yumbe-Koboko'!Print_Area</vt:lpstr>
      <vt:lpstr>'31.07 Koboko-Yumbe'!Print_Area</vt:lpstr>
      <vt:lpstr>'31.07 Yumbe-Koboko'!Print_Area</vt:lpstr>
      <vt:lpstr>'Avg Week Koboko-Yumbe'!Print_Area</vt:lpstr>
      <vt:lpstr>'Avg Week Koboko-Yumbe-2Dir'!Print_Area</vt:lpstr>
      <vt:lpstr>'Avg Week Yumbe-Koboko'!Print_Area</vt:lpstr>
      <vt:lpstr>'01.08 Koboko-Yumbe '!Print_Titles</vt:lpstr>
      <vt:lpstr>'01.08 Yumbe-Koboko'!Print_Titles</vt:lpstr>
      <vt:lpstr>'02.08 Koboko-Yumbe-24h'!Print_Titles</vt:lpstr>
      <vt:lpstr>'02.08 Yumbe-Koboko-24h'!Print_Titles</vt:lpstr>
      <vt:lpstr>'03.08 Koboko-Yumbe-24h'!Print_Titles</vt:lpstr>
      <vt:lpstr>'03.08 Yumbe-Koboko-24h'!Print_Titles</vt:lpstr>
      <vt:lpstr>'04.08 Koboko-Yumbe '!Print_Titles</vt:lpstr>
      <vt:lpstr>'04.08 Yumbe-Koboko'!Print_Titles</vt:lpstr>
      <vt:lpstr>'05.08 Koboko-Yumbe'!Print_Titles</vt:lpstr>
      <vt:lpstr>'05.08 Yumbe-Koboko'!Print_Titles</vt:lpstr>
      <vt:lpstr>'06.08 Koboko-Yumbe'!Print_Titles</vt:lpstr>
      <vt:lpstr>'06.08 Yumbe-Koboko'!Print_Titles</vt:lpstr>
      <vt:lpstr>'31.07 Koboko-Yumbe'!Print_Titles</vt:lpstr>
      <vt:lpstr>'31.07 Yumbe-Koboko'!Print_Titles</vt:lpstr>
      <vt:lpstr>'Avg Week Koboko-Yumbe'!Print_Titles</vt:lpstr>
      <vt:lpstr>'Avg Week Koboko-Yumbe-2Dir'!Print_Titles</vt:lpstr>
      <vt:lpstr>'Avg Week Yumbe-Koboko'!Print_Titles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M.R O</cp:lastModifiedBy>
  <cp:lastPrinted>2019-07-25T18:18:41Z</cp:lastPrinted>
  <dcterms:created xsi:type="dcterms:W3CDTF">2010-07-06T07:39:49Z</dcterms:created>
  <dcterms:modified xsi:type="dcterms:W3CDTF">2020-01-15T13:12:07Z</dcterms:modified>
</cp:coreProperties>
</file>