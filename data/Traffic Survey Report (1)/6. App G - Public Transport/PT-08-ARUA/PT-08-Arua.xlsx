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08-ARUA\"/>
    </mc:Choice>
  </mc:AlternateContent>
  <bookViews>
    <workbookView xWindow="-120" yWindow="-120" windowWidth="20730" windowHeight="11160" activeTab="2"/>
  </bookViews>
  <sheets>
    <sheet name="PT-08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'PT-08'!$B$9:$O$41</definedName>
    <definedName name="_xlnm.Print_Area" localSheetId="2">Summary!$A$1:$L$15</definedName>
    <definedName name="Veh_Type">'PT-08'!$C$9:$C$37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3" i="6" l="1"/>
  <c r="F12" i="6"/>
  <c r="F11" i="6"/>
  <c r="F10" i="6"/>
  <c r="L10" i="3"/>
  <c r="L11" i="3"/>
  <c r="L12" i="3"/>
  <c r="L13" i="3"/>
  <c r="J9" i="6" s="1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9" i="3"/>
  <c r="K7" i="6" s="1"/>
  <c r="F14" i="6"/>
  <c r="F9" i="6"/>
  <c r="F8" i="6"/>
  <c r="F7" i="6"/>
  <c r="F6" i="6"/>
  <c r="I6" i="6" l="1"/>
  <c r="G12" i="6"/>
  <c r="K14" i="6"/>
  <c r="I10" i="6"/>
  <c r="G11" i="6"/>
  <c r="K9" i="6"/>
  <c r="I11" i="6"/>
  <c r="J13" i="6"/>
  <c r="K10" i="6"/>
  <c r="I14" i="6"/>
  <c r="G6" i="6"/>
  <c r="G7" i="6"/>
  <c r="J12" i="6"/>
  <c r="J8" i="6"/>
  <c r="K13" i="6"/>
  <c r="I13" i="6"/>
  <c r="I9" i="6"/>
  <c r="G14" i="6"/>
  <c r="G10" i="6"/>
  <c r="J6" i="6"/>
  <c r="J11" i="6"/>
  <c r="J7" i="6"/>
  <c r="K12" i="6"/>
  <c r="K8" i="6"/>
  <c r="I7" i="6"/>
  <c r="G8" i="6"/>
  <c r="I12" i="6"/>
  <c r="I8" i="6"/>
  <c r="G13" i="6"/>
  <c r="G9" i="6"/>
  <c r="J14" i="6"/>
  <c r="J10" i="6"/>
  <c r="K6" i="6"/>
  <c r="K11" i="6"/>
  <c r="D18" i="3" l="1"/>
  <c r="D19" i="3"/>
  <c r="D20" i="3"/>
  <c r="D21" i="3"/>
  <c r="D22" i="3"/>
  <c r="D10" i="3"/>
  <c r="D11" i="3"/>
  <c r="D12" i="3"/>
  <c r="D13" i="3"/>
  <c r="D14" i="3"/>
  <c r="D15" i="3"/>
  <c r="D16" i="3"/>
  <c r="D17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9" i="3"/>
</calcChain>
</file>

<file path=xl/sharedStrings.xml><?xml version="1.0" encoding="utf-8"?>
<sst xmlns="http://schemas.openxmlformats.org/spreadsheetml/2006/main" count="415" uniqueCount="125">
  <si>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</si>
  <si>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</si>
  <si>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</si>
  <si>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</si>
  <si>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</si>
  <si>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</si>
  <si>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</si>
  <si>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</si>
  <si>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</si>
  <si>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</si>
  <si>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</si>
  <si>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</si>
  <si>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</si>
  <si>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</si>
  <si>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</si>
  <si>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</si>
  <si>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</si>
  <si>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</si>
  <si>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</si>
  <si>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</si>
  <si>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</si>
  <si>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</si>
  <si>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</si>
  <si>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</si>
  <si>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</si>
  <si>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</si>
  <si>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</si>
  <si>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</si>
  <si>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</si>
  <si>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</si>
  <si>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</si>
  <si>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</si>
  <si>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</si>
  <si>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</si>
  <si>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</si>
  <si>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</si>
  <si>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</si>
  <si>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</si>
  <si>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</si>
  <si>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</si>
  <si>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</si>
  <si>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</si>
  <si>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</si>
  <si>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</si>
  <si>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</si>
  <si>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</si>
  <si>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</si>
  <si>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</si>
  <si>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</si>
  <si>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</si>
  <si>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</si>
  <si>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</si>
  <si>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</si>
  <si>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</si>
  <si>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</si>
  <si>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</si>
  <si>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</si>
  <si>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</si>
  <si>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</si>
  <si>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</si>
  <si>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</si>
  <si>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</si>
  <si>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22.10.19</t>
  </si>
  <si>
    <t>Damba Micheal</t>
  </si>
  <si>
    <t>Arua Bus park</t>
  </si>
  <si>
    <t>Denis</t>
  </si>
  <si>
    <t>Isaac A.</t>
  </si>
  <si>
    <t>UBF 050H</t>
  </si>
  <si>
    <t xml:space="preserve">in  </t>
  </si>
  <si>
    <t>Kampala</t>
  </si>
  <si>
    <t>Uga</t>
  </si>
  <si>
    <t>Arua</t>
  </si>
  <si>
    <t>UAS 290T</t>
  </si>
  <si>
    <t>UAM 716T</t>
  </si>
  <si>
    <t>Masindi</t>
  </si>
  <si>
    <t>UAW 456W</t>
  </si>
  <si>
    <t>Hoima</t>
  </si>
  <si>
    <t>UAJ 125N</t>
  </si>
  <si>
    <t>Adjumani</t>
  </si>
  <si>
    <t>UAV 251K</t>
  </si>
  <si>
    <t>UAV 633K</t>
  </si>
  <si>
    <t>UBE 612R</t>
  </si>
  <si>
    <t>UBE 103R</t>
  </si>
  <si>
    <t>UBF 980Z</t>
  </si>
  <si>
    <t>UBF 981L</t>
  </si>
  <si>
    <t>UAT 559Y</t>
  </si>
  <si>
    <t>UAY 201T</t>
  </si>
  <si>
    <t>Koboko</t>
  </si>
  <si>
    <t>UAK 011X</t>
  </si>
  <si>
    <t>UAT 204V</t>
  </si>
  <si>
    <t>UAX 717E</t>
  </si>
  <si>
    <t>Lira</t>
  </si>
  <si>
    <t>UAV 333W</t>
  </si>
  <si>
    <t>out</t>
  </si>
  <si>
    <t>UAJ 125R</t>
  </si>
  <si>
    <t>UAU 251K</t>
  </si>
  <si>
    <t>UBF 980L</t>
  </si>
  <si>
    <t>UAU 633K</t>
  </si>
  <si>
    <t>UAM 102H</t>
  </si>
  <si>
    <t>UAX 874X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</si>
  <si>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</si>
  <si>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</si>
  <si>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</si>
  <si>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</si>
  <si>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</si>
  <si>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</si>
  <si>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</si>
  <si>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</si>
  <si>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</si>
  <si>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</si>
  <si>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</si>
  <si>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</si>
  <si>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</si>
  <si>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</si>
  <si>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LIRA</t>
  </si>
  <si>
    <t>TO KAMPALA</t>
  </si>
  <si>
    <t>Journey_Desc</t>
  </si>
  <si>
    <t>ARUA</t>
  </si>
  <si>
    <t>FROM ARUA</t>
  </si>
  <si>
    <t>ADJUMANI</t>
  </si>
  <si>
    <t>HOIMA</t>
  </si>
  <si>
    <t>TO ARUA</t>
  </si>
  <si>
    <t>KOBOKO</t>
  </si>
  <si>
    <t>MASINDI</t>
  </si>
  <si>
    <t>BUS OPERATIONS AT ARUA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</si>
</sst>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164" fontId="6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" fontId="2" fillId="2" borderId="7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6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1" fontId="0" fillId="5" borderId="2" xfId="0" applyNumberFormat="1" applyFill="1" applyBorder="1" applyAlignment="1">
      <alignment horizontal="center" vertical="center"/>
    </xf>
    <xf numFmtId="166" fontId="0" fillId="5" borderId="2" xfId="0" applyNumberFormat="1" applyFill="1" applyBorder="1" applyAlignment="1">
      <alignment vertical="center"/>
    </xf>
    <xf numFmtId="164" fontId="0" fillId="5" borderId="2" xfId="6" applyFont="1" applyFill="1" applyBorder="1" applyAlignment="1">
      <alignment vertical="center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/>
    </xf>
  </cellXfs>
  <cellStyles count="7">
    <cellStyle name="Comma" xfId="1" builtinId="3"/>
    <cellStyle name="Comma [0] 2" xfId="6"/>
    <cellStyle name="Comma 2" xfId="4"/>
    <cellStyle name="Normal" xfId="0" builtinId="0"/>
    <cellStyle name="Normal 2" xfId="3"/>
    <cellStyle name="Normal 3" xfId="5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1"/>
  <sheetViews>
    <sheetView view="pageBreakPreview" topLeftCell="D4" zoomScale="80" zoomScaleNormal="75" zoomScaleSheetLayoutView="80" workbookViewId="0">
      <selection activeCell="A4" sqref="A1:A1048576"/>
    </sheetView>
  </sheetViews>
  <sheetFormatPr defaultRowHeight="12.75" x14ac:dyDescent="0.2"/>
  <cols>
    <col min="1" max="1" width="4.7109375" customWidth="1"/>
    <col min="2" max="2" width="16.42578125" customWidth="1"/>
    <col min="3" max="3" width="11.7109375" customWidth="1"/>
    <col min="4" max="4" width="11.7109375" style="34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18.8554687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64" t="s">
        <v>51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"/>
      <c r="Q1" s="6"/>
      <c r="R1" s="6"/>
      <c r="S1" s="6"/>
      <c r="T1" s="6"/>
      <c r="U1" s="6"/>
      <c r="V1" s="6"/>
    </row>
    <row r="2" spans="1:22" ht="20.25" x14ac:dyDescent="0.2">
      <c r="B2" s="64" t="s">
        <v>61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7"/>
      <c r="Q2" s="7"/>
      <c r="R2" s="7"/>
      <c r="S2" s="7"/>
      <c r="T2" s="7"/>
      <c r="U2" s="7"/>
      <c r="V2" s="7"/>
    </row>
    <row r="3" spans="1:22" ht="15" x14ac:dyDescent="0.2">
      <c r="B3" s="2"/>
      <c r="C3" s="2"/>
      <c r="D3" s="33"/>
      <c r="E3" s="2"/>
      <c r="F3" s="32"/>
      <c r="G3" s="2"/>
      <c r="H3" s="2"/>
      <c r="I3" s="2"/>
      <c r="J3" s="2"/>
      <c r="K3" s="2"/>
      <c r="L3" s="2"/>
      <c r="M3" s="2"/>
      <c r="N3" s="2"/>
      <c r="O3" s="2"/>
    </row>
    <row r="4" spans="1:22" s="39" customFormat="1" ht="15" customHeight="1" x14ac:dyDescent="0.25">
      <c r="B4" s="71" t="s">
        <v>2</v>
      </c>
      <c r="C4" s="72"/>
      <c r="D4" s="40" t="s">
        <v>62</v>
      </c>
      <c r="G4" s="48" t="s">
        <v>58</v>
      </c>
      <c r="H4" s="67" t="s">
        <v>64</v>
      </c>
      <c r="I4" s="68"/>
      <c r="J4" s="42" t="s">
        <v>6</v>
      </c>
      <c r="K4" s="69" t="s">
        <v>66</v>
      </c>
      <c r="L4" s="70"/>
      <c r="M4" s="41"/>
      <c r="N4" s="42" t="s">
        <v>7</v>
      </c>
      <c r="O4" s="43" t="s">
        <v>60</v>
      </c>
      <c r="P4" s="41"/>
      <c r="R4" s="44"/>
      <c r="S4" s="45"/>
    </row>
    <row r="5" spans="1:22" s="39" customFormat="1" ht="15" customHeight="1" x14ac:dyDescent="0.25">
      <c r="B5" s="73" t="s">
        <v>57</v>
      </c>
      <c r="C5" s="74"/>
      <c r="D5" s="67" t="s">
        <v>63</v>
      </c>
      <c r="E5" s="68"/>
      <c r="F5" s="46"/>
      <c r="G5" s="48" t="s">
        <v>38</v>
      </c>
      <c r="H5" s="67" t="s">
        <v>65</v>
      </c>
      <c r="I5" s="68"/>
      <c r="K5" s="47"/>
      <c r="M5" s="47"/>
    </row>
    <row r="6" spans="1:22" ht="13.5" thickBot="1" x14ac:dyDescent="0.25"/>
    <row r="7" spans="1:22" ht="30.75" customHeight="1" x14ac:dyDescent="0.2">
      <c r="A7" s="34"/>
      <c r="B7" s="75" t="s">
        <v>34</v>
      </c>
      <c r="C7" s="65" t="s">
        <v>9</v>
      </c>
      <c r="D7" s="62" t="s">
        <v>55</v>
      </c>
      <c r="E7" s="62" t="s">
        <v>35</v>
      </c>
      <c r="F7" s="62" t="s">
        <v>54</v>
      </c>
      <c r="G7" s="59" t="s">
        <v>12</v>
      </c>
      <c r="H7" s="60"/>
      <c r="I7" s="61"/>
      <c r="J7" s="59" t="s">
        <v>17</v>
      </c>
      <c r="K7" s="60"/>
      <c r="L7" s="61"/>
      <c r="M7" s="65" t="s">
        <v>56</v>
      </c>
      <c r="N7" s="62" t="s">
        <v>59</v>
      </c>
      <c r="O7" s="62" t="s">
        <v>52</v>
      </c>
      <c r="Q7" s="19"/>
    </row>
    <row r="8" spans="1:22" ht="38.25" customHeight="1" x14ac:dyDescent="0.2">
      <c r="A8" s="34"/>
      <c r="B8" s="76"/>
      <c r="C8" s="66"/>
      <c r="D8" s="63"/>
      <c r="E8" s="63"/>
      <c r="F8" s="63"/>
      <c r="G8" s="35" t="s">
        <v>53</v>
      </c>
      <c r="H8" s="35" t="s">
        <v>36</v>
      </c>
      <c r="I8" s="35" t="s">
        <v>37</v>
      </c>
      <c r="J8" s="35" t="s">
        <v>53</v>
      </c>
      <c r="K8" s="35" t="s">
        <v>36</v>
      </c>
      <c r="L8" s="49" t="s">
        <v>116</v>
      </c>
      <c r="M8" s="66"/>
      <c r="N8" s="63"/>
      <c r="O8" s="63"/>
    </row>
    <row r="9" spans="1:22" s="19" customFormat="1" x14ac:dyDescent="0.2">
      <c r="B9" s="27">
        <v>0.29166666666666669</v>
      </c>
      <c r="C9" s="28">
        <v>6</v>
      </c>
      <c r="D9" s="36" t="str">
        <f>IF(C9="", "",VLOOKUP(C9,Key!$A$5:$B$7,2,FALSE))</f>
        <v>Large Bus</v>
      </c>
      <c r="E9" s="28" t="s">
        <v>67</v>
      </c>
      <c r="F9" s="28" t="s">
        <v>68</v>
      </c>
      <c r="G9" s="29" t="s">
        <v>69</v>
      </c>
      <c r="H9" s="29" t="s">
        <v>69</v>
      </c>
      <c r="I9" s="29" t="s">
        <v>70</v>
      </c>
      <c r="J9" s="29" t="s">
        <v>71</v>
      </c>
      <c r="K9" s="30" t="s">
        <v>71</v>
      </c>
      <c r="L9" s="30" t="str">
        <f t="shared" ref="L9:L41" si="0">H9&amp;"-"&amp;K9</f>
        <v>Kampala-Arua</v>
      </c>
      <c r="M9" s="31">
        <v>60</v>
      </c>
      <c r="N9" s="38">
        <v>42000</v>
      </c>
      <c r="O9" s="37">
        <v>8</v>
      </c>
    </row>
    <row r="10" spans="1:22" s="19" customFormat="1" x14ac:dyDescent="0.2">
      <c r="B10" s="27">
        <v>0.33333333333333331</v>
      </c>
      <c r="C10" s="28">
        <v>6</v>
      </c>
      <c r="D10" s="36" t="str">
        <f>IF(C10="", "",VLOOKUP(C10,Key!$A$5:$B$7,2,FALSE))</f>
        <v>Large Bus</v>
      </c>
      <c r="E10" s="28" t="s">
        <v>72</v>
      </c>
      <c r="F10" s="28" t="s">
        <v>68</v>
      </c>
      <c r="G10" s="29" t="s">
        <v>69</v>
      </c>
      <c r="H10" s="29" t="s">
        <v>69</v>
      </c>
      <c r="I10" s="29" t="s">
        <v>70</v>
      </c>
      <c r="J10" s="29" t="s">
        <v>71</v>
      </c>
      <c r="K10" s="30" t="s">
        <v>71</v>
      </c>
      <c r="L10" s="30" t="str">
        <f t="shared" si="0"/>
        <v>Kampala-Arua</v>
      </c>
      <c r="M10" s="31">
        <v>65</v>
      </c>
      <c r="N10" s="38">
        <v>42000</v>
      </c>
      <c r="O10" s="37">
        <v>7</v>
      </c>
    </row>
    <row r="11" spans="1:22" s="19" customFormat="1" x14ac:dyDescent="0.2">
      <c r="B11" s="27">
        <v>0.375</v>
      </c>
      <c r="C11" s="28">
        <v>6</v>
      </c>
      <c r="D11" s="36" t="str">
        <f>IF(C11="", "",VLOOKUP(C11,Key!$A$5:$B$7,2,FALSE))</f>
        <v>Large Bus</v>
      </c>
      <c r="E11" s="28" t="s">
        <v>73</v>
      </c>
      <c r="F11" s="28" t="s">
        <v>68</v>
      </c>
      <c r="G11" s="29" t="s">
        <v>74</v>
      </c>
      <c r="H11" s="29" t="s">
        <v>74</v>
      </c>
      <c r="I11" s="29" t="s">
        <v>70</v>
      </c>
      <c r="J11" s="29" t="s">
        <v>71</v>
      </c>
      <c r="K11" s="30" t="s">
        <v>71</v>
      </c>
      <c r="L11" s="30" t="str">
        <f t="shared" si="0"/>
        <v>Masindi-Arua</v>
      </c>
      <c r="M11" s="31">
        <v>50</v>
      </c>
      <c r="N11" s="38">
        <v>25000</v>
      </c>
      <c r="O11" s="37">
        <v>5</v>
      </c>
    </row>
    <row r="12" spans="1:22" s="19" customFormat="1" x14ac:dyDescent="0.2">
      <c r="B12" s="27">
        <v>0.45833333333333331</v>
      </c>
      <c r="C12" s="28">
        <v>6</v>
      </c>
      <c r="D12" s="36" t="str">
        <f>IF(C12="", "",VLOOKUP(C12,Key!$A$5:$B$7,2,FALSE))</f>
        <v>Large Bus</v>
      </c>
      <c r="E12" s="28" t="s">
        <v>75</v>
      </c>
      <c r="F12" s="28" t="s">
        <v>68</v>
      </c>
      <c r="G12" s="29" t="s">
        <v>76</v>
      </c>
      <c r="H12" s="29" t="s">
        <v>76</v>
      </c>
      <c r="I12" s="29" t="s">
        <v>70</v>
      </c>
      <c r="J12" s="29" t="s">
        <v>71</v>
      </c>
      <c r="K12" s="30" t="s">
        <v>71</v>
      </c>
      <c r="L12" s="30" t="str">
        <f t="shared" si="0"/>
        <v>Hoima-Arua</v>
      </c>
      <c r="M12" s="31">
        <v>67</v>
      </c>
      <c r="N12" s="38">
        <v>30000</v>
      </c>
      <c r="O12" s="37">
        <v>5.5</v>
      </c>
    </row>
    <row r="13" spans="1:22" s="19" customFormat="1" x14ac:dyDescent="0.2">
      <c r="B13" s="27">
        <v>0.47916666666666669</v>
      </c>
      <c r="C13" s="28">
        <v>6</v>
      </c>
      <c r="D13" s="36" t="str">
        <f>IF(C13="", "",VLOOKUP(C13,Key!$A$5:$B$7,2,FALSE))</f>
        <v>Large Bus</v>
      </c>
      <c r="E13" s="28" t="s">
        <v>77</v>
      </c>
      <c r="F13" s="28" t="s">
        <v>68</v>
      </c>
      <c r="G13" s="29" t="s">
        <v>78</v>
      </c>
      <c r="H13" s="29" t="s">
        <v>78</v>
      </c>
      <c r="I13" s="29" t="s">
        <v>70</v>
      </c>
      <c r="J13" s="29" t="s">
        <v>71</v>
      </c>
      <c r="K13" s="30" t="s">
        <v>71</v>
      </c>
      <c r="L13" s="30" t="str">
        <f t="shared" si="0"/>
        <v>Adjumani-Arua</v>
      </c>
      <c r="M13" s="31">
        <v>50</v>
      </c>
      <c r="N13" s="38">
        <v>20000</v>
      </c>
      <c r="O13" s="37">
        <v>4</v>
      </c>
    </row>
    <row r="14" spans="1:22" s="19" customFormat="1" x14ac:dyDescent="0.2">
      <c r="B14" s="27">
        <v>0.60416666666666663</v>
      </c>
      <c r="C14" s="28">
        <v>6</v>
      </c>
      <c r="D14" s="36" t="str">
        <f>IF(C14="", "",VLOOKUP(C14,Key!$A$5:$B$7,2,FALSE))</f>
        <v>Large Bus</v>
      </c>
      <c r="E14" s="28" t="s">
        <v>79</v>
      </c>
      <c r="F14" s="28" t="s">
        <v>68</v>
      </c>
      <c r="G14" s="29" t="s">
        <v>78</v>
      </c>
      <c r="H14" s="29" t="s">
        <v>78</v>
      </c>
      <c r="I14" s="29" t="s">
        <v>70</v>
      </c>
      <c r="J14" s="29" t="s">
        <v>71</v>
      </c>
      <c r="K14" s="30" t="s">
        <v>71</v>
      </c>
      <c r="L14" s="30" t="str">
        <f t="shared" si="0"/>
        <v>Adjumani-Arua</v>
      </c>
      <c r="M14" s="31">
        <v>48</v>
      </c>
      <c r="N14" s="38">
        <v>20000</v>
      </c>
      <c r="O14" s="37">
        <v>4</v>
      </c>
    </row>
    <row r="15" spans="1:22" s="19" customFormat="1" x14ac:dyDescent="0.2">
      <c r="B15" s="27">
        <v>0.60416666666666663</v>
      </c>
      <c r="C15" s="28">
        <v>6</v>
      </c>
      <c r="D15" s="36" t="str">
        <f>IF(C15="", "",VLOOKUP(C15,Key!$A$5:$B$7,2,FALSE))</f>
        <v>Large Bus</v>
      </c>
      <c r="E15" s="28" t="s">
        <v>80</v>
      </c>
      <c r="F15" s="28" t="s">
        <v>68</v>
      </c>
      <c r="G15" s="29" t="s">
        <v>78</v>
      </c>
      <c r="H15" s="29" t="s">
        <v>78</v>
      </c>
      <c r="I15" s="29" t="s">
        <v>70</v>
      </c>
      <c r="J15" s="29" t="s">
        <v>71</v>
      </c>
      <c r="K15" s="30" t="s">
        <v>71</v>
      </c>
      <c r="L15" s="30" t="str">
        <f t="shared" si="0"/>
        <v>Adjumani-Arua</v>
      </c>
      <c r="M15" s="31">
        <v>67</v>
      </c>
      <c r="N15" s="38">
        <v>20000</v>
      </c>
      <c r="O15" s="37">
        <v>4</v>
      </c>
    </row>
    <row r="16" spans="1:22" s="19" customFormat="1" x14ac:dyDescent="0.2">
      <c r="B16" s="27">
        <v>0.30208333333333331</v>
      </c>
      <c r="C16" s="28">
        <v>6</v>
      </c>
      <c r="D16" s="36" t="str">
        <f>IF(C16="", "",VLOOKUP(C16,Key!$A$5:$B$7,2,FALSE))</f>
        <v>Large Bus</v>
      </c>
      <c r="E16" s="28" t="s">
        <v>81</v>
      </c>
      <c r="F16" s="28" t="s">
        <v>68</v>
      </c>
      <c r="G16" s="29" t="s">
        <v>69</v>
      </c>
      <c r="H16" s="29" t="s">
        <v>69</v>
      </c>
      <c r="I16" s="29" t="s">
        <v>70</v>
      </c>
      <c r="J16" s="29" t="s">
        <v>71</v>
      </c>
      <c r="K16" s="30" t="s">
        <v>71</v>
      </c>
      <c r="L16" s="30" t="str">
        <f t="shared" si="0"/>
        <v>Kampala-Arua</v>
      </c>
      <c r="M16" s="31">
        <v>48</v>
      </c>
      <c r="N16" s="38">
        <v>42000</v>
      </c>
      <c r="O16" s="37">
        <v>8</v>
      </c>
    </row>
    <row r="17" spans="2:15" s="19" customFormat="1" x14ac:dyDescent="0.2">
      <c r="B17" s="27">
        <v>0.30555555555555552</v>
      </c>
      <c r="C17" s="28">
        <v>6</v>
      </c>
      <c r="D17" s="36" t="str">
        <f>IF(C17="", "",VLOOKUP(C17,Key!$A$5:$B$7,2,FALSE))</f>
        <v>Large Bus</v>
      </c>
      <c r="E17" s="28" t="s">
        <v>82</v>
      </c>
      <c r="F17" s="28" t="s">
        <v>68</v>
      </c>
      <c r="G17" s="29" t="s">
        <v>69</v>
      </c>
      <c r="H17" s="29" t="s">
        <v>69</v>
      </c>
      <c r="I17" s="29" t="s">
        <v>70</v>
      </c>
      <c r="J17" s="29" t="s">
        <v>71</v>
      </c>
      <c r="K17" s="30" t="s">
        <v>71</v>
      </c>
      <c r="L17" s="30" t="str">
        <f t="shared" si="0"/>
        <v>Kampala-Arua</v>
      </c>
      <c r="M17" s="31">
        <v>60</v>
      </c>
      <c r="N17" s="38">
        <v>40000</v>
      </c>
      <c r="O17" s="37">
        <v>8</v>
      </c>
    </row>
    <row r="18" spans="2:15" s="19" customFormat="1" x14ac:dyDescent="0.2">
      <c r="B18" s="27">
        <v>0.27083333333333331</v>
      </c>
      <c r="C18" s="28">
        <v>6</v>
      </c>
      <c r="D18" s="36" t="str">
        <f>IF(C18="", "",VLOOKUP(C18,Key!$A$5:$B$7,2,FALSE))</f>
        <v>Large Bus</v>
      </c>
      <c r="E18" s="28" t="s">
        <v>83</v>
      </c>
      <c r="F18" s="28" t="s">
        <v>68</v>
      </c>
      <c r="G18" s="29" t="s">
        <v>69</v>
      </c>
      <c r="H18" s="29" t="s">
        <v>69</v>
      </c>
      <c r="I18" s="29" t="s">
        <v>70</v>
      </c>
      <c r="J18" s="29" t="s">
        <v>71</v>
      </c>
      <c r="K18" s="30" t="s">
        <v>71</v>
      </c>
      <c r="L18" s="30" t="str">
        <f t="shared" si="0"/>
        <v>Kampala-Arua</v>
      </c>
      <c r="M18" s="31">
        <v>60</v>
      </c>
      <c r="N18" s="38">
        <v>40000</v>
      </c>
      <c r="O18" s="37">
        <v>8</v>
      </c>
    </row>
    <row r="19" spans="2:15" s="19" customFormat="1" x14ac:dyDescent="0.2">
      <c r="B19" s="27">
        <v>0.25</v>
      </c>
      <c r="C19" s="28">
        <v>6</v>
      </c>
      <c r="D19" s="36" t="str">
        <f>IF(C19="", "",VLOOKUP(C19,Key!$A$5:$B$7,2,FALSE))</f>
        <v>Large Bus</v>
      </c>
      <c r="E19" s="28" t="s">
        <v>84</v>
      </c>
      <c r="F19" s="28" t="s">
        <v>68</v>
      </c>
      <c r="G19" s="29" t="s">
        <v>69</v>
      </c>
      <c r="H19" s="29" t="s">
        <v>69</v>
      </c>
      <c r="I19" s="29" t="s">
        <v>70</v>
      </c>
      <c r="J19" s="29" t="s">
        <v>71</v>
      </c>
      <c r="K19" s="30" t="s">
        <v>71</v>
      </c>
      <c r="L19" s="30" t="str">
        <f t="shared" si="0"/>
        <v>Kampala-Arua</v>
      </c>
      <c r="M19" s="31">
        <v>60</v>
      </c>
      <c r="N19" s="38">
        <v>40000</v>
      </c>
      <c r="O19" s="37">
        <v>8</v>
      </c>
    </row>
    <row r="20" spans="2:15" s="19" customFormat="1" x14ac:dyDescent="0.2">
      <c r="B20" s="27">
        <v>0.375</v>
      </c>
      <c r="C20" s="28">
        <v>6</v>
      </c>
      <c r="D20" s="36" t="str">
        <f>IF(C20="", "",VLOOKUP(C20,Key!$A$5:$B$7,2,FALSE))</f>
        <v>Large Bus</v>
      </c>
      <c r="E20" s="28" t="s">
        <v>85</v>
      </c>
      <c r="F20" s="28" t="s">
        <v>68</v>
      </c>
      <c r="G20" s="29" t="s">
        <v>69</v>
      </c>
      <c r="H20" s="29" t="s">
        <v>69</v>
      </c>
      <c r="I20" s="29" t="s">
        <v>70</v>
      </c>
      <c r="J20" s="29" t="s">
        <v>71</v>
      </c>
      <c r="K20" s="30" t="s">
        <v>71</v>
      </c>
      <c r="L20" s="30" t="str">
        <f t="shared" si="0"/>
        <v>Kampala-Arua</v>
      </c>
      <c r="M20" s="31">
        <v>65</v>
      </c>
      <c r="N20" s="38">
        <v>45000</v>
      </c>
      <c r="O20" s="37">
        <v>9</v>
      </c>
    </row>
    <row r="21" spans="2:15" s="19" customFormat="1" x14ac:dyDescent="0.2">
      <c r="B21" s="27">
        <v>0.4375</v>
      </c>
      <c r="C21" s="28">
        <v>6</v>
      </c>
      <c r="D21" s="36" t="str">
        <f>IF(C21="", "",VLOOKUP(C21,Key!$A$5:$B$7,2,FALSE))</f>
        <v>Large Bus</v>
      </c>
      <c r="E21" s="28" t="s">
        <v>86</v>
      </c>
      <c r="F21" s="28" t="s">
        <v>68</v>
      </c>
      <c r="G21" s="29" t="s">
        <v>87</v>
      </c>
      <c r="H21" s="29" t="s">
        <v>87</v>
      </c>
      <c r="I21" s="29" t="s">
        <v>70</v>
      </c>
      <c r="J21" s="29" t="s">
        <v>71</v>
      </c>
      <c r="K21" s="30" t="s">
        <v>71</v>
      </c>
      <c r="L21" s="30" t="str">
        <f t="shared" si="0"/>
        <v>Koboko-Arua</v>
      </c>
      <c r="M21" s="31">
        <v>40</v>
      </c>
      <c r="N21" s="38">
        <v>7000</v>
      </c>
      <c r="O21" s="37">
        <v>1</v>
      </c>
    </row>
    <row r="22" spans="2:15" s="19" customFormat="1" x14ac:dyDescent="0.2">
      <c r="B22" s="27">
        <v>0.29166666666666669</v>
      </c>
      <c r="C22" s="28">
        <v>6</v>
      </c>
      <c r="D22" s="36" t="str">
        <f>IF(C22="", "",VLOOKUP(C22,Key!$A$5:$B$7,2,FALSE))</f>
        <v>Large Bus</v>
      </c>
      <c r="E22" s="28" t="s">
        <v>88</v>
      </c>
      <c r="F22" s="28" t="s">
        <v>68</v>
      </c>
      <c r="G22" s="29" t="s">
        <v>69</v>
      </c>
      <c r="H22" s="29" t="s">
        <v>69</v>
      </c>
      <c r="I22" s="29" t="s">
        <v>70</v>
      </c>
      <c r="J22" s="29" t="s">
        <v>71</v>
      </c>
      <c r="K22" s="30" t="s">
        <v>71</v>
      </c>
      <c r="L22" s="30" t="str">
        <f t="shared" si="0"/>
        <v>Kampala-Arua</v>
      </c>
      <c r="M22" s="31">
        <v>66</v>
      </c>
      <c r="N22" s="38">
        <v>45000</v>
      </c>
      <c r="O22" s="37">
        <v>8</v>
      </c>
    </row>
    <row r="23" spans="2:15" s="19" customFormat="1" x14ac:dyDescent="0.2">
      <c r="B23" s="27">
        <v>0.30208333333333331</v>
      </c>
      <c r="C23" s="28">
        <v>6</v>
      </c>
      <c r="D23" s="36" t="str">
        <f>IF(C23="", "",VLOOKUP(C23,Key!$A$5:$B$7,2,FALSE))</f>
        <v>Large Bus</v>
      </c>
      <c r="E23" s="28" t="s">
        <v>89</v>
      </c>
      <c r="F23" s="28" t="s">
        <v>68</v>
      </c>
      <c r="G23" s="29" t="s">
        <v>69</v>
      </c>
      <c r="H23" s="29" t="s">
        <v>69</v>
      </c>
      <c r="I23" s="29" t="s">
        <v>70</v>
      </c>
      <c r="J23" s="29" t="s">
        <v>71</v>
      </c>
      <c r="K23" s="30" t="s">
        <v>71</v>
      </c>
      <c r="L23" s="30" t="str">
        <f t="shared" si="0"/>
        <v>Kampala-Arua</v>
      </c>
      <c r="M23" s="31">
        <v>67</v>
      </c>
      <c r="N23" s="38">
        <v>39000</v>
      </c>
      <c r="O23" s="37">
        <v>8</v>
      </c>
    </row>
    <row r="24" spans="2:15" s="19" customFormat="1" x14ac:dyDescent="0.2">
      <c r="B24" s="27">
        <v>0.3125</v>
      </c>
      <c r="C24" s="28">
        <v>6</v>
      </c>
      <c r="D24" s="36" t="str">
        <f>IF(C24="", "",VLOOKUP(C24,Key!$A$5:$B$7,2,FALSE))</f>
        <v>Large Bus</v>
      </c>
      <c r="E24" s="28" t="s">
        <v>90</v>
      </c>
      <c r="F24" s="28" t="s">
        <v>68</v>
      </c>
      <c r="G24" s="29" t="s">
        <v>91</v>
      </c>
      <c r="H24" s="29" t="s">
        <v>91</v>
      </c>
      <c r="I24" s="29" t="s">
        <v>70</v>
      </c>
      <c r="J24" s="29" t="s">
        <v>71</v>
      </c>
      <c r="K24" s="30" t="s">
        <v>71</v>
      </c>
      <c r="L24" s="30" t="str">
        <f t="shared" si="0"/>
        <v>Lira-Arua</v>
      </c>
      <c r="M24" s="31">
        <v>40</v>
      </c>
      <c r="N24" s="38">
        <v>35000</v>
      </c>
      <c r="O24" s="37">
        <v>4.5</v>
      </c>
    </row>
    <row r="25" spans="2:15" s="19" customFormat="1" x14ac:dyDescent="0.2">
      <c r="B25" s="27">
        <v>0.3125</v>
      </c>
      <c r="C25" s="28">
        <v>6</v>
      </c>
      <c r="D25" s="36" t="str">
        <f>IF(C25="", "",VLOOKUP(C25,Key!$A$5:$B$7,2,FALSE))</f>
        <v>Large Bus</v>
      </c>
      <c r="E25" s="28" t="s">
        <v>92</v>
      </c>
      <c r="F25" s="28" t="s">
        <v>93</v>
      </c>
      <c r="G25" s="29" t="s">
        <v>71</v>
      </c>
      <c r="H25" s="29" t="s">
        <v>71</v>
      </c>
      <c r="I25" s="29" t="s">
        <v>70</v>
      </c>
      <c r="J25" s="29" t="s">
        <v>78</v>
      </c>
      <c r="K25" s="30" t="s">
        <v>78</v>
      </c>
      <c r="L25" s="30" t="str">
        <f t="shared" si="0"/>
        <v>Arua-Adjumani</v>
      </c>
      <c r="M25" s="31">
        <v>67</v>
      </c>
      <c r="N25" s="38">
        <v>20000</v>
      </c>
      <c r="O25" s="37">
        <v>4</v>
      </c>
    </row>
    <row r="26" spans="2:15" s="19" customFormat="1" x14ac:dyDescent="0.2">
      <c r="B26" s="27">
        <v>0.31319444444444444</v>
      </c>
      <c r="C26" s="28">
        <v>6</v>
      </c>
      <c r="D26" s="36" t="str">
        <f>IF(C26="", "",VLOOKUP(C26,Key!$A$5:$B$7,2,FALSE))</f>
        <v>Large Bus</v>
      </c>
      <c r="E26" s="28" t="s">
        <v>67</v>
      </c>
      <c r="F26" s="28" t="s">
        <v>93</v>
      </c>
      <c r="G26" s="29" t="s">
        <v>71</v>
      </c>
      <c r="H26" s="29" t="s">
        <v>71</v>
      </c>
      <c r="I26" s="29" t="s">
        <v>70</v>
      </c>
      <c r="J26" s="29" t="s">
        <v>69</v>
      </c>
      <c r="K26" s="30" t="s">
        <v>69</v>
      </c>
      <c r="L26" s="30" t="str">
        <f t="shared" si="0"/>
        <v>Arua-Kampala</v>
      </c>
      <c r="M26" s="31">
        <v>50</v>
      </c>
      <c r="N26" s="38">
        <v>38000</v>
      </c>
      <c r="O26" s="37">
        <v>7.5</v>
      </c>
    </row>
    <row r="27" spans="2:15" s="19" customFormat="1" x14ac:dyDescent="0.2">
      <c r="B27" s="27">
        <v>0.31458333333333333</v>
      </c>
      <c r="C27" s="28">
        <v>6</v>
      </c>
      <c r="D27" s="36" t="str">
        <f>IF(C27="", "",VLOOKUP(C27,Key!$A$5:$B$7,2,FALSE))</f>
        <v>Large Bus</v>
      </c>
      <c r="E27" s="28" t="s">
        <v>75</v>
      </c>
      <c r="F27" s="28" t="s">
        <v>93</v>
      </c>
      <c r="G27" s="29" t="s">
        <v>71</v>
      </c>
      <c r="H27" s="29" t="s">
        <v>71</v>
      </c>
      <c r="I27" s="29" t="s">
        <v>70</v>
      </c>
      <c r="J27" s="29" t="s">
        <v>76</v>
      </c>
      <c r="K27" s="30" t="s">
        <v>76</v>
      </c>
      <c r="L27" s="30" t="str">
        <f t="shared" si="0"/>
        <v>Arua-Hoima</v>
      </c>
      <c r="M27" s="31">
        <v>67</v>
      </c>
      <c r="N27" s="38">
        <v>30000</v>
      </c>
      <c r="O27" s="37">
        <v>5.5</v>
      </c>
    </row>
    <row r="28" spans="2:15" s="19" customFormat="1" x14ac:dyDescent="0.2">
      <c r="B28" s="27">
        <v>0.31527777777777777</v>
      </c>
      <c r="C28" s="28">
        <v>6</v>
      </c>
      <c r="D28" s="36" t="str">
        <f>IF(C28="", "",VLOOKUP(C28,Key!$A$5:$B$7,2,FALSE))</f>
        <v>Large Bus</v>
      </c>
      <c r="E28" s="28" t="s">
        <v>81</v>
      </c>
      <c r="F28" s="28" t="s">
        <v>93</v>
      </c>
      <c r="G28" s="29" t="s">
        <v>71</v>
      </c>
      <c r="H28" s="29" t="s">
        <v>71</v>
      </c>
      <c r="I28" s="29" t="s">
        <v>70</v>
      </c>
      <c r="J28" s="29" t="s">
        <v>69</v>
      </c>
      <c r="K28" s="30" t="s">
        <v>69</v>
      </c>
      <c r="L28" s="30" t="str">
        <f t="shared" si="0"/>
        <v>Arua-Kampala</v>
      </c>
      <c r="M28" s="31">
        <v>66</v>
      </c>
      <c r="N28" s="38">
        <v>38000</v>
      </c>
      <c r="O28" s="37">
        <v>7.5</v>
      </c>
    </row>
    <row r="29" spans="2:15" s="19" customFormat="1" x14ac:dyDescent="0.2">
      <c r="B29" s="27">
        <v>0.41666666666666669</v>
      </c>
      <c r="C29" s="28">
        <v>6</v>
      </c>
      <c r="D29" s="36" t="str">
        <f>IF(C29="", "",VLOOKUP(C29,Key!$A$5:$B$7,2,FALSE))</f>
        <v>Large Bus</v>
      </c>
      <c r="E29" s="28" t="s">
        <v>94</v>
      </c>
      <c r="F29" s="28" t="s">
        <v>93</v>
      </c>
      <c r="G29" s="29" t="s">
        <v>71</v>
      </c>
      <c r="H29" s="29" t="s">
        <v>71</v>
      </c>
      <c r="I29" s="29" t="s">
        <v>70</v>
      </c>
      <c r="J29" s="29" t="s">
        <v>78</v>
      </c>
      <c r="K29" s="30" t="s">
        <v>78</v>
      </c>
      <c r="L29" s="30" t="str">
        <f t="shared" si="0"/>
        <v>Arua-Adjumani</v>
      </c>
      <c r="M29" s="31">
        <v>50</v>
      </c>
      <c r="N29" s="38">
        <v>20000</v>
      </c>
      <c r="O29" s="37">
        <v>4</v>
      </c>
    </row>
    <row r="30" spans="2:15" s="19" customFormat="1" x14ac:dyDescent="0.2">
      <c r="B30" s="27">
        <v>0.42291666666666666</v>
      </c>
      <c r="C30" s="28">
        <v>6</v>
      </c>
      <c r="D30" s="36" t="str">
        <f>IF(C30="", "",VLOOKUP(C30,Key!$A$5:$B$7,2,FALSE))</f>
        <v>Large Bus</v>
      </c>
      <c r="E30" s="28" t="s">
        <v>82</v>
      </c>
      <c r="F30" s="28" t="s">
        <v>93</v>
      </c>
      <c r="G30" s="29" t="s">
        <v>71</v>
      </c>
      <c r="H30" s="29" t="s">
        <v>71</v>
      </c>
      <c r="I30" s="29" t="s">
        <v>70</v>
      </c>
      <c r="J30" s="29" t="s">
        <v>69</v>
      </c>
      <c r="K30" s="30" t="s">
        <v>69</v>
      </c>
      <c r="L30" s="30" t="str">
        <f t="shared" si="0"/>
        <v>Arua-Kampala</v>
      </c>
      <c r="M30" s="31">
        <v>60</v>
      </c>
      <c r="N30" s="38">
        <v>38000</v>
      </c>
      <c r="O30" s="37">
        <v>7.5</v>
      </c>
    </row>
    <row r="31" spans="2:15" s="19" customFormat="1" x14ac:dyDescent="0.2">
      <c r="B31" s="27">
        <v>0.42499999999999999</v>
      </c>
      <c r="C31" s="28">
        <v>6</v>
      </c>
      <c r="D31" s="36" t="str">
        <f>IF(C31="", "",VLOOKUP(C31,Key!$A$5:$B$7,2,FALSE))</f>
        <v>Large Bus</v>
      </c>
      <c r="E31" s="28" t="s">
        <v>95</v>
      </c>
      <c r="F31" s="28" t="s">
        <v>93</v>
      </c>
      <c r="G31" s="29" t="s">
        <v>71</v>
      </c>
      <c r="H31" s="29" t="s">
        <v>71</v>
      </c>
      <c r="I31" s="29" t="s">
        <v>70</v>
      </c>
      <c r="J31" s="29" t="s">
        <v>78</v>
      </c>
      <c r="K31" s="30" t="s">
        <v>78</v>
      </c>
      <c r="L31" s="30" t="str">
        <f t="shared" si="0"/>
        <v>Arua-Adjumani</v>
      </c>
      <c r="M31" s="31">
        <v>48</v>
      </c>
      <c r="N31" s="38">
        <v>20000</v>
      </c>
      <c r="O31" s="37">
        <v>4</v>
      </c>
    </row>
    <row r="32" spans="2:15" s="19" customFormat="1" x14ac:dyDescent="0.2">
      <c r="B32" s="27">
        <v>0.54166666666666663</v>
      </c>
      <c r="C32" s="28">
        <v>6</v>
      </c>
      <c r="D32" s="36" t="str">
        <f>IF(C32="", "",VLOOKUP(C32,Key!$A$5:$B$7,2,FALSE))</f>
        <v>Large Bus</v>
      </c>
      <c r="E32" s="28" t="s">
        <v>96</v>
      </c>
      <c r="F32" s="28" t="s">
        <v>93</v>
      </c>
      <c r="G32" s="29" t="s">
        <v>71</v>
      </c>
      <c r="H32" s="29" t="s">
        <v>71</v>
      </c>
      <c r="I32" s="29" t="s">
        <v>70</v>
      </c>
      <c r="J32" s="29" t="s">
        <v>69</v>
      </c>
      <c r="K32" s="30" t="s">
        <v>69</v>
      </c>
      <c r="L32" s="30" t="str">
        <f t="shared" si="0"/>
        <v>Arua-Kampala</v>
      </c>
      <c r="M32" s="31">
        <v>48</v>
      </c>
      <c r="N32" s="38">
        <v>38000</v>
      </c>
      <c r="O32" s="37">
        <v>7.5</v>
      </c>
    </row>
    <row r="33" spans="2:15" s="19" customFormat="1" x14ac:dyDescent="0.2">
      <c r="B33" s="27">
        <v>0.54652777777777783</v>
      </c>
      <c r="C33" s="28">
        <v>6</v>
      </c>
      <c r="D33" s="36" t="str">
        <f>IF(C33="", "",VLOOKUP(C33,Key!$A$5:$B$7,2,FALSE))</f>
        <v>Large Bus</v>
      </c>
      <c r="E33" s="28" t="s">
        <v>97</v>
      </c>
      <c r="F33" s="28" t="s">
        <v>93</v>
      </c>
      <c r="G33" s="29" t="s">
        <v>71</v>
      </c>
      <c r="H33" s="29" t="s">
        <v>71</v>
      </c>
      <c r="I33" s="29" t="s">
        <v>70</v>
      </c>
      <c r="J33" s="29" t="s">
        <v>78</v>
      </c>
      <c r="K33" s="30" t="s">
        <v>78</v>
      </c>
      <c r="L33" s="30" t="str">
        <f t="shared" si="0"/>
        <v>Arua-Adjumani</v>
      </c>
      <c r="M33" s="31">
        <v>60</v>
      </c>
      <c r="N33" s="38">
        <v>20000</v>
      </c>
      <c r="O33" s="37">
        <v>4</v>
      </c>
    </row>
    <row r="34" spans="2:15" s="19" customFormat="1" x14ac:dyDescent="0.2">
      <c r="B34" s="27">
        <v>0.66666666666666663</v>
      </c>
      <c r="C34" s="28">
        <v>6</v>
      </c>
      <c r="D34" s="36" t="str">
        <f>IF(C34="", "",VLOOKUP(C34,Key!$A$5:$B$7,2,FALSE))</f>
        <v>Large Bus</v>
      </c>
      <c r="E34" s="28" t="s">
        <v>84</v>
      </c>
      <c r="F34" s="28" t="s">
        <v>93</v>
      </c>
      <c r="G34" s="29" t="s">
        <v>71</v>
      </c>
      <c r="H34" s="29" t="s">
        <v>71</v>
      </c>
      <c r="I34" s="29" t="s">
        <v>70</v>
      </c>
      <c r="J34" s="29" t="s">
        <v>69</v>
      </c>
      <c r="K34" s="30" t="s">
        <v>69</v>
      </c>
      <c r="L34" s="30" t="str">
        <f t="shared" si="0"/>
        <v>Arua-Kampala</v>
      </c>
      <c r="M34" s="31">
        <v>40</v>
      </c>
      <c r="N34" s="38">
        <v>37000</v>
      </c>
      <c r="O34" s="37">
        <v>7.5</v>
      </c>
    </row>
    <row r="35" spans="2:15" s="19" customFormat="1" x14ac:dyDescent="0.2">
      <c r="B35" s="27">
        <v>0.67708333333333337</v>
      </c>
      <c r="C35" s="28">
        <v>6</v>
      </c>
      <c r="D35" s="36" t="str">
        <f>IF(C35="", "",VLOOKUP(C35,Key!$A$5:$B$7,2,FALSE))</f>
        <v>Large Bus</v>
      </c>
      <c r="E35" s="28" t="s">
        <v>72</v>
      </c>
      <c r="F35" s="28" t="s">
        <v>93</v>
      </c>
      <c r="G35" s="29" t="s">
        <v>71</v>
      </c>
      <c r="H35" s="29" t="s">
        <v>71</v>
      </c>
      <c r="I35" s="29" t="s">
        <v>70</v>
      </c>
      <c r="J35" s="29" t="s">
        <v>76</v>
      </c>
      <c r="K35" s="30" t="s">
        <v>76</v>
      </c>
      <c r="L35" s="30" t="str">
        <f t="shared" si="0"/>
        <v>Arua-Hoima</v>
      </c>
      <c r="M35" s="31">
        <v>48</v>
      </c>
      <c r="N35" s="38">
        <v>30000</v>
      </c>
      <c r="O35" s="37">
        <v>5.5</v>
      </c>
    </row>
    <row r="36" spans="2:15" s="19" customFormat="1" x14ac:dyDescent="0.2">
      <c r="B36" s="27">
        <v>0.68055555555555547</v>
      </c>
      <c r="C36" s="28">
        <v>6</v>
      </c>
      <c r="D36" s="36" t="str">
        <f>IF(C36="", "",VLOOKUP(C36,Key!$A$5:$B$7,2,FALSE))</f>
        <v>Large Bus</v>
      </c>
      <c r="E36" s="28" t="s">
        <v>85</v>
      </c>
      <c r="F36" s="28" t="s">
        <v>93</v>
      </c>
      <c r="G36" s="29" t="s">
        <v>71</v>
      </c>
      <c r="H36" s="29" t="s">
        <v>71</v>
      </c>
      <c r="I36" s="29" t="s">
        <v>70</v>
      </c>
      <c r="J36" s="29" t="s">
        <v>69</v>
      </c>
      <c r="K36" s="30" t="s">
        <v>69</v>
      </c>
      <c r="L36" s="30" t="str">
        <f t="shared" si="0"/>
        <v>Arua-Kampala</v>
      </c>
      <c r="M36" s="31">
        <v>55</v>
      </c>
      <c r="N36" s="38">
        <v>37000</v>
      </c>
      <c r="O36" s="37">
        <v>7.5</v>
      </c>
    </row>
    <row r="37" spans="2:15" s="19" customFormat="1" x14ac:dyDescent="0.2">
      <c r="B37" s="27">
        <v>0.79027777777777775</v>
      </c>
      <c r="C37" s="28">
        <v>6</v>
      </c>
      <c r="D37" s="36" t="str">
        <f>IF(C37="", "",VLOOKUP(C37,Key!$A$5:$B$7,2,FALSE))</f>
        <v>Large Bus</v>
      </c>
      <c r="E37" s="28" t="s">
        <v>98</v>
      </c>
      <c r="F37" s="28" t="s">
        <v>93</v>
      </c>
      <c r="G37" s="29" t="s">
        <v>71</v>
      </c>
      <c r="H37" s="29" t="s">
        <v>71</v>
      </c>
      <c r="I37" s="29" t="s">
        <v>70</v>
      </c>
      <c r="J37" s="29" t="s">
        <v>69</v>
      </c>
      <c r="K37" s="30" t="s">
        <v>69</v>
      </c>
      <c r="L37" s="30" t="str">
        <f t="shared" si="0"/>
        <v>Arua-Kampala</v>
      </c>
      <c r="M37" s="31">
        <v>60</v>
      </c>
      <c r="N37" s="38">
        <v>37000</v>
      </c>
      <c r="O37" s="37">
        <v>7.5</v>
      </c>
    </row>
    <row r="38" spans="2:15" s="19" customFormat="1" x14ac:dyDescent="0.2">
      <c r="B38" s="27">
        <v>0.79166666666666663</v>
      </c>
      <c r="C38" s="28">
        <v>6</v>
      </c>
      <c r="D38" s="36" t="str">
        <f>IF(C38="", "",VLOOKUP(C38,Key!$A$5:$B$7,2,FALSE))</f>
        <v>Large Bus</v>
      </c>
      <c r="E38" s="28" t="s">
        <v>88</v>
      </c>
      <c r="F38" s="28" t="s">
        <v>93</v>
      </c>
      <c r="G38" s="29" t="s">
        <v>71</v>
      </c>
      <c r="H38" s="29" t="s">
        <v>71</v>
      </c>
      <c r="I38" s="29" t="s">
        <v>70</v>
      </c>
      <c r="J38" s="29" t="s">
        <v>76</v>
      </c>
      <c r="K38" s="30" t="s">
        <v>76</v>
      </c>
      <c r="L38" s="30" t="str">
        <f t="shared" si="0"/>
        <v>Arua-Hoima</v>
      </c>
      <c r="M38" s="31">
        <v>40</v>
      </c>
      <c r="N38" s="38">
        <v>30000</v>
      </c>
      <c r="O38" s="37">
        <v>5.5</v>
      </c>
    </row>
    <row r="39" spans="2:15" s="19" customFormat="1" x14ac:dyDescent="0.2">
      <c r="B39" s="27">
        <v>0.79305555555555562</v>
      </c>
      <c r="C39" s="28">
        <v>6</v>
      </c>
      <c r="D39" s="36" t="str">
        <f>IF(C39="", "",VLOOKUP(C39,Key!$A$5:$B$7,2,FALSE))</f>
        <v>Large Bus</v>
      </c>
      <c r="E39" s="28" t="s">
        <v>90</v>
      </c>
      <c r="F39" s="28" t="s">
        <v>93</v>
      </c>
      <c r="G39" s="29" t="s">
        <v>71</v>
      </c>
      <c r="H39" s="29" t="s">
        <v>71</v>
      </c>
      <c r="I39" s="29" t="s">
        <v>70</v>
      </c>
      <c r="J39" s="29" t="s">
        <v>69</v>
      </c>
      <c r="K39" s="30" t="s">
        <v>69</v>
      </c>
      <c r="L39" s="30" t="str">
        <f t="shared" si="0"/>
        <v>Arua-Kampala</v>
      </c>
      <c r="M39" s="31">
        <v>67</v>
      </c>
      <c r="N39" s="38">
        <v>40000</v>
      </c>
      <c r="O39" s="37">
        <v>7.5</v>
      </c>
    </row>
    <row r="40" spans="2:15" s="19" customFormat="1" x14ac:dyDescent="0.2">
      <c r="B40" s="27">
        <v>0.79513888888888884</v>
      </c>
      <c r="C40" s="28">
        <v>6</v>
      </c>
      <c r="D40" s="36" t="str">
        <f>IF(C40="", "",VLOOKUP(C40,Key!$A$5:$B$7,2,FALSE))</f>
        <v>Large Bus</v>
      </c>
      <c r="E40" s="28" t="s">
        <v>89</v>
      </c>
      <c r="F40" s="28" t="s">
        <v>93</v>
      </c>
      <c r="G40" s="29" t="s">
        <v>71</v>
      </c>
      <c r="H40" s="29" t="s">
        <v>71</v>
      </c>
      <c r="I40" s="29" t="s">
        <v>70</v>
      </c>
      <c r="J40" s="29" t="s">
        <v>78</v>
      </c>
      <c r="K40" s="30" t="s">
        <v>78</v>
      </c>
      <c r="L40" s="30" t="str">
        <f t="shared" si="0"/>
        <v>Arua-Adjumani</v>
      </c>
      <c r="M40" s="31">
        <v>50</v>
      </c>
      <c r="N40" s="38">
        <v>20000</v>
      </c>
      <c r="O40" s="37">
        <v>4</v>
      </c>
    </row>
    <row r="41" spans="2:15" s="19" customFormat="1" x14ac:dyDescent="0.2">
      <c r="B41" s="27">
        <v>0.79652777777777783</v>
      </c>
      <c r="C41" s="28">
        <v>6</v>
      </c>
      <c r="D41" s="36" t="str">
        <f>IF(C41="", "",VLOOKUP(C41,Key!$A$5:$B$7,2,FALSE))</f>
        <v>Large Bus</v>
      </c>
      <c r="E41" s="28" t="s">
        <v>99</v>
      </c>
      <c r="F41" s="28" t="s">
        <v>93</v>
      </c>
      <c r="G41" s="29" t="s">
        <v>71</v>
      </c>
      <c r="H41" s="29" t="s">
        <v>71</v>
      </c>
      <c r="I41" s="29" t="s">
        <v>70</v>
      </c>
      <c r="J41" s="29" t="s">
        <v>69</v>
      </c>
      <c r="K41" s="30" t="s">
        <v>69</v>
      </c>
      <c r="L41" s="30" t="str">
        <f t="shared" si="0"/>
        <v>Arua-Kampala</v>
      </c>
      <c r="M41" s="31">
        <v>67</v>
      </c>
      <c r="N41" s="38">
        <v>40000</v>
      </c>
      <c r="O41" s="37">
        <v>7.5</v>
      </c>
    </row>
  </sheetData>
  <sortState ref="A9:V41">
    <sortCondition ref="A9:A41"/>
  </sortState>
  <mergeCells count="18">
    <mergeCell ref="B7:B8"/>
    <mergeCell ref="C7:C8"/>
    <mergeCell ref="J7:L7"/>
    <mergeCell ref="D7:D8"/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1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1" t="s">
        <v>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2" t="s">
        <v>8</v>
      </c>
      <c r="C7" s="84" t="s">
        <v>9</v>
      </c>
      <c r="D7" s="84" t="s">
        <v>10</v>
      </c>
      <c r="E7" s="84" t="s">
        <v>11</v>
      </c>
      <c r="F7" s="84" t="s">
        <v>12</v>
      </c>
      <c r="G7" s="84"/>
      <c r="H7" s="84" t="s">
        <v>15</v>
      </c>
      <c r="I7" s="84" t="s">
        <v>16</v>
      </c>
      <c r="J7" s="84" t="s">
        <v>17</v>
      </c>
      <c r="K7" s="84"/>
      <c r="L7" s="84" t="s">
        <v>18</v>
      </c>
      <c r="M7" s="84" t="s">
        <v>19</v>
      </c>
      <c r="N7" s="84" t="s">
        <v>20</v>
      </c>
      <c r="O7" s="86" t="s">
        <v>21</v>
      </c>
      <c r="P7" s="77" t="s">
        <v>27</v>
      </c>
      <c r="Q7" s="78"/>
    </row>
    <row r="8" spans="2:25" ht="24.75" customHeight="1" thickBot="1" x14ac:dyDescent="0.25">
      <c r="B8" s="83"/>
      <c r="C8" s="85"/>
      <c r="D8" s="85"/>
      <c r="E8" s="85"/>
      <c r="F8" s="18" t="s">
        <v>13</v>
      </c>
      <c r="G8" s="18" t="s">
        <v>14</v>
      </c>
      <c r="H8" s="85"/>
      <c r="I8" s="85"/>
      <c r="J8" s="18" t="s">
        <v>13</v>
      </c>
      <c r="K8" s="18" t="s">
        <v>14</v>
      </c>
      <c r="L8" s="85"/>
      <c r="M8" s="85"/>
      <c r="N8" s="85"/>
      <c r="O8" s="87"/>
      <c r="P8" s="79"/>
      <c r="Q8" s="80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4"/>
  <sheetViews>
    <sheetView tabSelected="1" view="pageBreakPreview" zoomScale="80" zoomScaleNormal="85" zoomScaleSheetLayoutView="80" workbookViewId="0">
      <selection activeCell="G6" sqref="G6:K14"/>
    </sheetView>
  </sheetViews>
  <sheetFormatPr defaultRowHeight="12.75" x14ac:dyDescent="0.2"/>
  <cols>
    <col min="2" max="2" width="11.140625" customWidth="1"/>
    <col min="3" max="3" width="15.5703125" customWidth="1"/>
    <col min="4" max="4" width="12.140625" customWidth="1"/>
    <col min="5" max="5" width="14.7109375" customWidth="1"/>
    <col min="6" max="6" width="19.28515625" customWidth="1"/>
    <col min="7" max="8" width="10.85546875" customWidth="1"/>
    <col min="9" max="9" width="11.28515625" customWidth="1"/>
    <col min="10" max="10" width="10.140625" customWidth="1"/>
    <col min="11" max="11" width="12.28515625" customWidth="1"/>
    <col min="12" max="12" width="13.5703125" customWidth="1"/>
  </cols>
  <sheetData>
    <row r="2" spans="2:11" ht="15" x14ac:dyDescent="0.25">
      <c r="B2" s="50" t="s">
        <v>124</v>
      </c>
    </row>
    <row r="4" spans="2:11" x14ac:dyDescent="0.2">
      <c r="D4" s="88" t="s">
        <v>100</v>
      </c>
      <c r="E4" s="88"/>
      <c r="F4" s="88"/>
      <c r="G4" s="88"/>
      <c r="H4" s="88"/>
      <c r="I4" s="88"/>
      <c r="J4" s="88" t="s">
        <v>101</v>
      </c>
      <c r="K4" s="88"/>
    </row>
    <row r="5" spans="2:11" s="53" customFormat="1" ht="38.25" x14ac:dyDescent="0.2">
      <c r="B5" s="51" t="s">
        <v>102</v>
      </c>
      <c r="C5" s="51" t="s">
        <v>103</v>
      </c>
      <c r="D5" s="51" t="s">
        <v>104</v>
      </c>
      <c r="E5" s="51" t="s">
        <v>105</v>
      </c>
      <c r="F5" s="51" t="s">
        <v>106</v>
      </c>
      <c r="G5" s="52" t="s">
        <v>107</v>
      </c>
      <c r="H5" s="52" t="s">
        <v>108</v>
      </c>
      <c r="I5" s="52" t="s">
        <v>109</v>
      </c>
      <c r="J5" s="52" t="s">
        <v>110</v>
      </c>
      <c r="K5" s="52" t="s">
        <v>111</v>
      </c>
    </row>
    <row r="6" spans="2:11" ht="15" customHeight="1" x14ac:dyDescent="0.2">
      <c r="B6" s="54" t="s">
        <v>117</v>
      </c>
      <c r="C6" s="54" t="s">
        <v>112</v>
      </c>
      <c r="D6" s="54" t="s">
        <v>113</v>
      </c>
      <c r="E6" s="55" t="s">
        <v>117</v>
      </c>
      <c r="F6" s="55" t="str">
        <f>D6&amp;"-"&amp;E6</f>
        <v>KAMPALA-ARUA</v>
      </c>
      <c r="G6" s="56">
        <f>ROUNDUP(COUNTIF('PT-08'!$L$9:$L$233,Summary!F6),0)</f>
        <v>9</v>
      </c>
      <c r="H6" s="56">
        <v>495</v>
      </c>
      <c r="I6" s="57">
        <f>AVERAGEIF('PT-08'!$L$9:$L$233,Summary!F6,'PT-08'!$O$9:$O$233)</f>
        <v>8</v>
      </c>
      <c r="J6" s="56">
        <f>AVERAGEIF('PT-08'!$L$9:$L$233,Summary!F6,'PT-08'!$M$9:$M$233)</f>
        <v>61.222222222222221</v>
      </c>
      <c r="K6" s="58">
        <f>AVERAGEIF('PT-08'!$L$9:$L$233,Summary!F6,'PT-08'!$N$9:$N$233)</f>
        <v>41666.666666666664</v>
      </c>
    </row>
    <row r="7" spans="2:11" ht="15" customHeight="1" x14ac:dyDescent="0.2">
      <c r="B7" s="54" t="s">
        <v>117</v>
      </c>
      <c r="C7" s="54" t="s">
        <v>115</v>
      </c>
      <c r="D7" s="54" t="s">
        <v>117</v>
      </c>
      <c r="E7" s="54" t="s">
        <v>113</v>
      </c>
      <c r="F7" s="55" t="str">
        <f t="shared" ref="F7:F14" si="0">D7&amp;"-"&amp;E7</f>
        <v>ARUA-KAMPALA</v>
      </c>
      <c r="G7" s="56">
        <f>ROUNDUP(COUNTIF('PT-08'!$L$9:$L$233,Summary!F7),0)</f>
        <v>9</v>
      </c>
      <c r="H7" s="56">
        <v>495</v>
      </c>
      <c r="I7" s="57">
        <f>AVERAGEIF('PT-08'!$L$9:$L$233,Summary!F7,'PT-08'!$O$9:$O$233)</f>
        <v>7.5</v>
      </c>
      <c r="J7" s="56">
        <f>AVERAGEIF('PT-08'!$L$9:$L$233,Summary!F7,'PT-08'!$M$9:$M$233)</f>
        <v>57</v>
      </c>
      <c r="K7" s="58">
        <f>AVERAGEIF('PT-08'!$L$9:$L$233,Summary!F7,'PT-08'!$N$9:$N$233)</f>
        <v>38111.111111111109</v>
      </c>
    </row>
    <row r="8" spans="2:11" ht="15" customHeight="1" x14ac:dyDescent="0.2">
      <c r="B8" s="54" t="s">
        <v>117</v>
      </c>
      <c r="C8" s="54" t="s">
        <v>118</v>
      </c>
      <c r="D8" s="54" t="s">
        <v>117</v>
      </c>
      <c r="E8" s="54" t="s">
        <v>119</v>
      </c>
      <c r="F8" s="55" t="str">
        <f t="shared" si="0"/>
        <v>ARUA-ADJUMANI</v>
      </c>
      <c r="G8" s="56">
        <f>ROUNDUP(COUNTIF('PT-08'!$L$9:$L$233,Summary!F8),0)</f>
        <v>5</v>
      </c>
      <c r="H8" s="56">
        <v>195</v>
      </c>
      <c r="I8" s="57">
        <f>AVERAGEIF('PT-08'!$L$9:$L$233,Summary!F8,'PT-08'!$O$9:$O$233)</f>
        <v>4</v>
      </c>
      <c r="J8" s="56">
        <f>AVERAGEIF('PT-08'!$L$9:$L$233,Summary!F8,'PT-08'!$M$9:$M$233)</f>
        <v>55</v>
      </c>
      <c r="K8" s="58">
        <f>AVERAGEIF('PT-08'!$L$9:$L$233,Summary!F8,'PT-08'!$N$9:$N$233)</f>
        <v>20000</v>
      </c>
    </row>
    <row r="9" spans="2:11" ht="15" customHeight="1" x14ac:dyDescent="0.2">
      <c r="B9" s="54" t="s">
        <v>117</v>
      </c>
      <c r="C9" s="54" t="s">
        <v>118</v>
      </c>
      <c r="D9" s="54" t="s">
        <v>117</v>
      </c>
      <c r="E9" s="54" t="s">
        <v>120</v>
      </c>
      <c r="F9" s="55" t="str">
        <f t="shared" si="0"/>
        <v>ARUA-HOIMA</v>
      </c>
      <c r="G9" s="56">
        <f>ROUNDUP(COUNTIF('PT-08'!$L$9:$L$233,Summary!F9),0)</f>
        <v>3</v>
      </c>
      <c r="H9" s="56">
        <v>271</v>
      </c>
      <c r="I9" s="57">
        <f>AVERAGEIF('PT-08'!$L$9:$L$233,Summary!F9,'PT-08'!$O$9:$O$233)</f>
        <v>5.5</v>
      </c>
      <c r="J9" s="56">
        <f>AVERAGEIF('PT-08'!$L$9:$L$233,Summary!F9,'PT-08'!$M$9:$M$233)</f>
        <v>51.666666666666664</v>
      </c>
      <c r="K9" s="58">
        <f>AVERAGEIF('PT-08'!$L$9:$L$233,Summary!F9,'PT-08'!$N$9:$N$233)</f>
        <v>30000</v>
      </c>
    </row>
    <row r="10" spans="2:11" ht="15" customHeight="1" x14ac:dyDescent="0.2">
      <c r="B10" s="54" t="s">
        <v>117</v>
      </c>
      <c r="C10" s="54" t="s">
        <v>121</v>
      </c>
      <c r="D10" s="54" t="s">
        <v>119</v>
      </c>
      <c r="E10" s="54" t="s">
        <v>117</v>
      </c>
      <c r="F10" s="55" t="str">
        <f t="shared" ref="F10:F13" si="1">D10&amp;"-"&amp;E10</f>
        <v>ADJUMANI-ARUA</v>
      </c>
      <c r="G10" s="56">
        <f>ROUNDUP(COUNTIF('PT-08'!$L$9:$L$233,Summary!F10),0)</f>
        <v>3</v>
      </c>
      <c r="H10" s="56">
        <v>195</v>
      </c>
      <c r="I10" s="57">
        <f>AVERAGEIF('PT-08'!$L$9:$L$233,Summary!F10,'PT-08'!$O$9:$O$233)</f>
        <v>4</v>
      </c>
      <c r="J10" s="56">
        <f>AVERAGEIF('PT-08'!$L$9:$L$233,Summary!F10,'PT-08'!$M$9:$M$233)</f>
        <v>55</v>
      </c>
      <c r="K10" s="58">
        <f>AVERAGEIF('PT-08'!$L$9:$L$233,Summary!F10,'PT-08'!$N$9:$N$233)</f>
        <v>20000</v>
      </c>
    </row>
    <row r="11" spans="2:11" ht="15" customHeight="1" x14ac:dyDescent="0.2">
      <c r="B11" s="54" t="s">
        <v>117</v>
      </c>
      <c r="C11" s="54" t="s">
        <v>121</v>
      </c>
      <c r="D11" s="54" t="s">
        <v>120</v>
      </c>
      <c r="E11" s="54" t="s">
        <v>117</v>
      </c>
      <c r="F11" s="55" t="str">
        <f t="shared" si="1"/>
        <v>HOIMA-ARUA</v>
      </c>
      <c r="G11" s="56">
        <f>ROUNDUP(COUNTIF('PT-08'!$L$9:$L$233,Summary!F11),0)</f>
        <v>1</v>
      </c>
      <c r="H11" s="56">
        <v>271</v>
      </c>
      <c r="I11" s="57">
        <f>AVERAGEIF('PT-08'!$L$9:$L$233,Summary!F11,'PT-08'!$O$9:$O$233)</f>
        <v>5.5</v>
      </c>
      <c r="J11" s="56">
        <f>AVERAGEIF('PT-08'!$L$9:$L$233,Summary!F11,'PT-08'!$M$9:$M$233)</f>
        <v>67</v>
      </c>
      <c r="K11" s="58">
        <f>AVERAGEIF('PT-08'!$L$9:$L$233,Summary!F11,'PT-08'!$N$9:$N$233)</f>
        <v>30000</v>
      </c>
    </row>
    <row r="12" spans="2:11" ht="15" customHeight="1" x14ac:dyDescent="0.2">
      <c r="B12" s="54" t="s">
        <v>117</v>
      </c>
      <c r="C12" s="54" t="s">
        <v>121</v>
      </c>
      <c r="D12" s="54" t="s">
        <v>114</v>
      </c>
      <c r="E12" s="54" t="s">
        <v>117</v>
      </c>
      <c r="F12" s="55" t="str">
        <f t="shared" si="1"/>
        <v>LIRA-ARUA</v>
      </c>
      <c r="G12" s="56">
        <f>ROUNDUP(COUNTIF('PT-08'!$L$9:$L$233,Summary!F12),0)</f>
        <v>1</v>
      </c>
      <c r="H12" s="56">
        <v>314</v>
      </c>
      <c r="I12" s="57">
        <f>AVERAGEIF('PT-08'!$L$9:$L$233,Summary!F12,'PT-08'!$O$9:$O$233)</f>
        <v>4.5</v>
      </c>
      <c r="J12" s="56">
        <f>AVERAGEIF('PT-08'!$L$9:$L$233,Summary!F12,'PT-08'!$M$9:$M$233)</f>
        <v>40</v>
      </c>
      <c r="K12" s="58">
        <f>AVERAGEIF('PT-08'!$L$9:$L$233,Summary!F12,'PT-08'!$N$9:$N$233)</f>
        <v>35000</v>
      </c>
    </row>
    <row r="13" spans="2:11" ht="15" customHeight="1" x14ac:dyDescent="0.2">
      <c r="B13" s="54" t="s">
        <v>117</v>
      </c>
      <c r="C13" s="54" t="s">
        <v>121</v>
      </c>
      <c r="D13" s="54" t="s">
        <v>122</v>
      </c>
      <c r="E13" s="54" t="s">
        <v>117</v>
      </c>
      <c r="F13" s="55" t="str">
        <f t="shared" si="1"/>
        <v>KOBOKO-ARUA</v>
      </c>
      <c r="G13" s="56">
        <f>ROUNDUP(COUNTIF('PT-08'!$L$9:$L$233,Summary!F13),0)</f>
        <v>1</v>
      </c>
      <c r="H13" s="56">
        <v>55</v>
      </c>
      <c r="I13" s="57">
        <f>AVERAGEIF('PT-08'!$L$9:$L$233,Summary!F13,'PT-08'!$O$9:$O$233)</f>
        <v>1</v>
      </c>
      <c r="J13" s="56">
        <f>AVERAGEIF('PT-08'!$L$9:$L$233,Summary!F13,'PT-08'!$M$9:$M$233)</f>
        <v>40</v>
      </c>
      <c r="K13" s="58">
        <f>AVERAGEIF('PT-08'!$L$9:$L$233,Summary!F13,'PT-08'!$N$9:$N$233)</f>
        <v>7000</v>
      </c>
    </row>
    <row r="14" spans="2:11" ht="15" customHeight="1" x14ac:dyDescent="0.2">
      <c r="B14" s="54" t="s">
        <v>117</v>
      </c>
      <c r="C14" s="54" t="s">
        <v>121</v>
      </c>
      <c r="D14" s="54" t="s">
        <v>123</v>
      </c>
      <c r="E14" s="54" t="s">
        <v>117</v>
      </c>
      <c r="F14" s="55" t="str">
        <f t="shared" si="0"/>
        <v>MASINDI-ARUA</v>
      </c>
      <c r="G14" s="56">
        <f>ROUNDUP(COUNTIF('PT-08'!$L$9:$L$233,Summary!F14),0)</f>
        <v>1</v>
      </c>
      <c r="H14" s="56">
        <v>240</v>
      </c>
      <c r="I14" s="57">
        <f>AVERAGEIF('PT-08'!$L$9:$L$233,Summary!F14,'PT-08'!$O$9:$O$233)</f>
        <v>5</v>
      </c>
      <c r="J14" s="56">
        <f>AVERAGEIF('PT-08'!$L$9:$L$233,Summary!F14,'PT-08'!$M$9:$M$233)</f>
        <v>50</v>
      </c>
      <c r="K14" s="58">
        <f>AVERAGEIF('PT-08'!$L$9:$L$233,Summary!F14,'PT-08'!$N$9:$N$233)</f>
        <v>25000</v>
      </c>
    </row>
    <row r="15" spans="2:11" ht="15" customHeight="1" x14ac:dyDescent="0.2"/>
    <row r="16" spans="2:11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</sheetData>
  <mergeCells count="2">
    <mergeCell ref="D4:I4"/>
    <mergeCell ref="J4:K4"/>
  </mergeCells>
  <pageMargins left="0.7" right="0.7" top="0.75" bottom="0.75" header="0.3" footer="0.3"/>
  <pageSetup scale="6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PT-08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2020-03-31T23:17:37Z</dcterms:modified>
</cp:coreProperties>
</file>