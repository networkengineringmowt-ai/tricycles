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DMP ANALYSIS_V5.0\PT-DATA_V1.0\PT-DATA_V1.0\PT-12-MASAKA\"/>
    </mc:Choice>
  </mc:AlternateContent>
  <bookViews>
    <workbookView xWindow="-120" yWindow="-120" windowWidth="20730" windowHeight="11160" activeTab="2"/>
  </bookViews>
  <sheets>
    <sheet name="PT-12" sheetId="3" r:id="rId1"/>
    <sheet name="RSI FORM" sheetId="4" state="hidden" r:id="rId2"/>
    <sheet name="Summary" sheetId="6" r:id="rId3"/>
    <sheet name="Key" sheetId="5" r:id="rId4"/>
  </sheets>
  <definedNames>
    <definedName name="_xlnm._FilterDatabase" localSheetId="0" hidden="1">'PT-12'!$B$9:$O$91</definedName>
    <definedName name="_xlnm.Print_Area" localSheetId="2">Summary!$A$1:$L$23</definedName>
    <definedName name="Veh_Type">'PT-12'!$C$9:$C$37</definedName>
    <definedName name="zones" localSheetId="2">#REF!</definedName>
    <definedName name="zones">#REF!</definedName>
    <definedName name="Zones_Ndeke" localSheetId="2">#REF!</definedName>
    <definedName name="Zones_Ndeke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3" l="1"/>
  <c r="L9" i="3"/>
  <c r="D10" i="3"/>
  <c r="L10" i="3"/>
  <c r="D11" i="3"/>
  <c r="L11" i="3"/>
  <c r="D12" i="3"/>
  <c r="L12" i="3"/>
  <c r="D13" i="3"/>
  <c r="L13" i="3"/>
  <c r="D14" i="3"/>
  <c r="L14" i="3"/>
  <c r="D15" i="3"/>
  <c r="L15" i="3"/>
  <c r="D16" i="3"/>
  <c r="L16" i="3"/>
  <c r="D17" i="3"/>
  <c r="L17" i="3"/>
  <c r="D18" i="3"/>
  <c r="L18" i="3"/>
  <c r="D19" i="3"/>
  <c r="L19" i="3"/>
  <c r="D20" i="3"/>
  <c r="L20" i="3"/>
  <c r="D21" i="3"/>
  <c r="L21" i="3"/>
  <c r="D22" i="3"/>
  <c r="L22" i="3"/>
  <c r="D23" i="3"/>
  <c r="L23" i="3"/>
  <c r="D24" i="3"/>
  <c r="L24" i="3"/>
  <c r="D25" i="3"/>
  <c r="L25" i="3"/>
  <c r="D26" i="3"/>
  <c r="L26" i="3"/>
  <c r="D27" i="3"/>
  <c r="L27" i="3"/>
  <c r="D28" i="3"/>
  <c r="L28" i="3"/>
  <c r="D29" i="3"/>
  <c r="L29" i="3"/>
  <c r="D30" i="3"/>
  <c r="L30" i="3"/>
  <c r="D31" i="3"/>
  <c r="L31" i="3"/>
  <c r="D32" i="3"/>
  <c r="L32" i="3"/>
  <c r="D33" i="3"/>
  <c r="L33" i="3"/>
  <c r="D34" i="3"/>
  <c r="L34" i="3"/>
  <c r="D35" i="3"/>
  <c r="L35" i="3"/>
  <c r="D36" i="3"/>
  <c r="L36" i="3"/>
  <c r="D37" i="3"/>
  <c r="L37" i="3"/>
  <c r="D38" i="3"/>
  <c r="L38" i="3"/>
  <c r="D39" i="3"/>
  <c r="L39" i="3"/>
  <c r="D40" i="3"/>
  <c r="L40" i="3"/>
  <c r="D41" i="3"/>
  <c r="L41" i="3"/>
  <c r="D42" i="3"/>
  <c r="L42" i="3"/>
  <c r="D43" i="3"/>
  <c r="L43" i="3"/>
  <c r="D44" i="3"/>
  <c r="L44" i="3"/>
  <c r="D45" i="3"/>
  <c r="L45" i="3"/>
  <c r="D46" i="3"/>
  <c r="L46" i="3"/>
  <c r="D47" i="3"/>
  <c r="L47" i="3"/>
  <c r="D48" i="3"/>
  <c r="L48" i="3"/>
  <c r="D49" i="3"/>
  <c r="L49" i="3"/>
  <c r="D50" i="3"/>
  <c r="L50" i="3"/>
  <c r="D51" i="3"/>
  <c r="L51" i="3"/>
  <c r="D52" i="3"/>
  <c r="L52" i="3"/>
  <c r="D53" i="3"/>
  <c r="L53" i="3"/>
  <c r="D54" i="3"/>
  <c r="L54" i="3"/>
  <c r="D55" i="3"/>
  <c r="L55" i="3"/>
  <c r="D56" i="3"/>
  <c r="L56" i="3"/>
  <c r="D57" i="3"/>
  <c r="L57" i="3"/>
  <c r="D58" i="3"/>
  <c r="L58" i="3"/>
  <c r="D59" i="3"/>
  <c r="L59" i="3"/>
  <c r="D60" i="3"/>
  <c r="L60" i="3"/>
  <c r="D61" i="3"/>
  <c r="L61" i="3"/>
  <c r="D62" i="3"/>
  <c r="L62" i="3"/>
  <c r="D63" i="3"/>
  <c r="L63" i="3"/>
  <c r="D64" i="3"/>
  <c r="L64" i="3"/>
  <c r="D65" i="3"/>
  <c r="L65" i="3"/>
  <c r="D66" i="3"/>
  <c r="L66" i="3"/>
  <c r="D67" i="3"/>
  <c r="L67" i="3"/>
  <c r="D68" i="3"/>
  <c r="L68" i="3"/>
  <c r="D69" i="3"/>
  <c r="L69" i="3"/>
  <c r="D70" i="3"/>
  <c r="L70" i="3"/>
  <c r="D71" i="3"/>
  <c r="L71" i="3"/>
  <c r="D72" i="3"/>
  <c r="L72" i="3"/>
  <c r="D73" i="3"/>
  <c r="L73" i="3"/>
  <c r="D74" i="3"/>
  <c r="L74" i="3"/>
  <c r="D75" i="3"/>
  <c r="L75" i="3"/>
  <c r="D76" i="3"/>
  <c r="L76" i="3"/>
  <c r="D77" i="3"/>
  <c r="L77" i="3"/>
  <c r="D78" i="3"/>
  <c r="L78" i="3"/>
  <c r="D79" i="3"/>
  <c r="L79" i="3"/>
  <c r="D80" i="3"/>
  <c r="L80" i="3"/>
  <c r="D81" i="3"/>
  <c r="L81" i="3"/>
  <c r="D82" i="3"/>
  <c r="L82" i="3"/>
  <c r="D83" i="3"/>
  <c r="L83" i="3"/>
  <c r="D84" i="3"/>
  <c r="L84" i="3"/>
  <c r="D85" i="3"/>
  <c r="L85" i="3"/>
  <c r="D86" i="3"/>
  <c r="L86" i="3"/>
  <c r="D87" i="3"/>
  <c r="L87" i="3"/>
  <c r="D88" i="3"/>
  <c r="L88" i="3"/>
  <c r="D89" i="3"/>
  <c r="L89" i="3"/>
  <c r="D90" i="3"/>
  <c r="L90" i="3"/>
  <c r="D91" i="3"/>
  <c r="L91" i="3"/>
  <c r="F22" i="6" l="1"/>
  <c r="F12" i="6"/>
  <c r="F20" i="6"/>
  <c r="F21" i="6"/>
  <c r="F14" i="6"/>
  <c r="F15" i="6"/>
  <c r="F19" i="6"/>
  <c r="F18" i="6"/>
  <c r="F17" i="6"/>
  <c r="F16" i="6"/>
  <c r="F13" i="6"/>
  <c r="F11" i="6"/>
  <c r="F10" i="6"/>
  <c r="F9" i="6"/>
  <c r="F8" i="6"/>
  <c r="F7" i="6"/>
  <c r="F6" i="6"/>
  <c r="G12" i="6" l="1"/>
  <c r="K19" i="6"/>
  <c r="K14" i="6"/>
  <c r="K21" i="6"/>
  <c r="K6" i="6"/>
  <c r="K7" i="6"/>
  <c r="K8" i="6"/>
  <c r="J20" i="6"/>
  <c r="K22" i="6"/>
  <c r="I9" i="6"/>
  <c r="I17" i="6"/>
  <c r="G22" i="6"/>
  <c r="I22" i="6"/>
  <c r="J22" i="6"/>
  <c r="J12" i="6"/>
  <c r="K12" i="6"/>
  <c r="I12" i="6"/>
  <c r="K20" i="6"/>
  <c r="G20" i="6"/>
  <c r="I20" i="6"/>
  <c r="G21" i="6"/>
  <c r="I21" i="6"/>
  <c r="J21" i="6"/>
  <c r="K17" i="6"/>
  <c r="G14" i="6"/>
  <c r="G9" i="6"/>
  <c r="G13" i="6"/>
  <c r="G19" i="6"/>
  <c r="G6" i="6"/>
  <c r="K10" i="6"/>
  <c r="I19" i="6"/>
  <c r="K15" i="6"/>
  <c r="K18" i="6"/>
  <c r="G15" i="6"/>
  <c r="J7" i="6"/>
  <c r="J11" i="6"/>
  <c r="J16" i="6"/>
  <c r="J15" i="6"/>
  <c r="I14" i="6"/>
  <c r="J14" i="6"/>
  <c r="I15" i="6"/>
  <c r="G17" i="6"/>
  <c r="G8" i="6"/>
  <c r="I16" i="6"/>
  <c r="I11" i="6"/>
  <c r="I7" i="6"/>
  <c r="J10" i="6"/>
  <c r="K13" i="6"/>
  <c r="K9" i="6"/>
  <c r="G16" i="6"/>
  <c r="G11" i="6"/>
  <c r="G7" i="6"/>
  <c r="J13" i="6"/>
  <c r="J9" i="6"/>
  <c r="G10" i="6"/>
  <c r="I13" i="6"/>
  <c r="J19" i="6"/>
  <c r="J8" i="6"/>
  <c r="K16" i="6"/>
  <c r="K11" i="6"/>
  <c r="J6" i="6"/>
  <c r="I6" i="6"/>
  <c r="I18" i="6"/>
  <c r="J18" i="6"/>
  <c r="G18" i="6"/>
  <c r="J17" i="6"/>
  <c r="I8" i="6" l="1"/>
  <c r="I10" i="6"/>
</calcChain>
</file>

<file path=xl/sharedStrings.xml><?xml version="1.0" encoding="utf-8"?>
<sst xmlns="http://schemas.openxmlformats.org/spreadsheetml/2006/main" count="797" uniqueCount="189">
  <si>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</si>
  <si>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</si>
  <si>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</si>
  <si>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</si>
  <si>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</si>
  <si>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</si>
  <si>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</si>
  <si>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</si>
  <si>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</si>
  <si>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</si>
  <si>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</si>
  <si>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</si>
  <si>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</si>
  <si>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</si>
  <si>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</si>
  <si>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</si>
  <si>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</si>
  <si>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</si>
  <si>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</si>
  <si>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</si>
  <si>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</si>
  <si>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</si>
  <si>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</si>
  <si>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</si>
  <si>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</si>
  <si>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</si>
  <si>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</si>
  <si>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</si>
  <si>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</si>
  <si>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</si>
  <si>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</si>
  <si>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</si>
  <si>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</si>
  <si>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</si>
  <si>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</si>
  <si>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Veh_Reg_No.</t>
  </si>
  <si>
    <t>District</t>
  </si>
  <si>
    <t>Country</t>
  </si>
  <si>
    <t>Supervisor: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</si>
  <si>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</si>
  <si>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</si>
  <si>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</si>
  <si>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</si>
  <si>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</si>
  <si>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</si>
  <si>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</si>
  <si>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</si>
  <si>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</si>
  <si>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</si>
  <si>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</si>
  <si>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</si>
  <si>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Consultancy services for Preparation of Expressway Development Master Plan (EDMP) for Uganda</t>
  </si>
  <si>
    <t>Approx_Journey Time (Hrs)</t>
  </si>
  <si>
    <t>Town</t>
  </si>
  <si>
    <t>IN / OUT</t>
  </si>
  <si>
    <t>Type of Veh.</t>
  </si>
  <si>
    <t>No. Passengers</t>
  </si>
  <si>
    <t>Enumerator:</t>
  </si>
  <si>
    <t>Location</t>
  </si>
  <si>
    <t>Cost of Trip (UGX)</t>
  </si>
  <si>
    <t>Bakole. D.M</t>
  </si>
  <si>
    <t>Public Transport/Bus Surveys</t>
  </si>
  <si>
    <t>18.10.19</t>
  </si>
  <si>
    <t>Julius Rwothomio</t>
  </si>
  <si>
    <t>Around total(Masaka)</t>
  </si>
  <si>
    <t>Dennis</t>
  </si>
  <si>
    <t>Isaac A.</t>
  </si>
  <si>
    <t>UAT 544P</t>
  </si>
  <si>
    <t>out</t>
  </si>
  <si>
    <t>Ntungamo</t>
  </si>
  <si>
    <t>Uga</t>
  </si>
  <si>
    <t>Kampala</t>
  </si>
  <si>
    <t>UBE 987E</t>
  </si>
  <si>
    <t>Ibanda</t>
  </si>
  <si>
    <t>UBB 145N</t>
  </si>
  <si>
    <t>UBB 660U</t>
  </si>
  <si>
    <t>Ishaka</t>
  </si>
  <si>
    <t>Bushenyi</t>
  </si>
  <si>
    <t>UAS 100S</t>
  </si>
  <si>
    <t>Mbarara</t>
  </si>
  <si>
    <t>UAS 505F</t>
  </si>
  <si>
    <t>Rukungiri</t>
  </si>
  <si>
    <t>UBE 963N</t>
  </si>
  <si>
    <t>Kabale</t>
  </si>
  <si>
    <t>UAZ 348X</t>
  </si>
  <si>
    <t>UBE 651X</t>
  </si>
  <si>
    <t>UBF 401T</t>
  </si>
  <si>
    <t>UBF 405R</t>
  </si>
  <si>
    <t>UBE 291Z</t>
  </si>
  <si>
    <t>UAZ 253P</t>
  </si>
  <si>
    <t>UBE 060K</t>
  </si>
  <si>
    <t>UBB 685S</t>
  </si>
  <si>
    <t>RAD 152C</t>
  </si>
  <si>
    <t>Kigali</t>
  </si>
  <si>
    <t>UBE 411F</t>
  </si>
  <si>
    <t>UAM 654T</t>
  </si>
  <si>
    <t>UBB 260B</t>
  </si>
  <si>
    <t>UBB 711B</t>
  </si>
  <si>
    <t>UAZ 483R</t>
  </si>
  <si>
    <t>UBB 291N</t>
  </si>
  <si>
    <t>UAU 646U</t>
  </si>
  <si>
    <t>UAW 942T</t>
  </si>
  <si>
    <t>UBE 129E</t>
  </si>
  <si>
    <t>UAL 464L</t>
  </si>
  <si>
    <t>UBB 418U</t>
  </si>
  <si>
    <t>UBB 541V</t>
  </si>
  <si>
    <t>UAY 545V</t>
  </si>
  <si>
    <t>UAW 246T</t>
  </si>
  <si>
    <t>UAY 433U</t>
  </si>
  <si>
    <t>UAL 814R</t>
  </si>
  <si>
    <t xml:space="preserve">in  </t>
  </si>
  <si>
    <t>kampala</t>
  </si>
  <si>
    <t>UAJ 506S</t>
  </si>
  <si>
    <t>UAM 009H</t>
  </si>
  <si>
    <t>UBE 909Q</t>
  </si>
  <si>
    <t>UAS 711S</t>
  </si>
  <si>
    <t>Katete</t>
  </si>
  <si>
    <t>UAZ 919S</t>
  </si>
  <si>
    <t>UBB 567U</t>
  </si>
  <si>
    <t>UAS 171Q</t>
  </si>
  <si>
    <t>UAZ 712C</t>
  </si>
  <si>
    <t>UAU 754U</t>
  </si>
  <si>
    <t>UAU 780U</t>
  </si>
  <si>
    <t>UAN 542U</t>
  </si>
  <si>
    <t>UAZ 496U</t>
  </si>
  <si>
    <t>UAZ 891V</t>
  </si>
  <si>
    <t>UAZ 086Y</t>
  </si>
  <si>
    <t>UAT 288Y</t>
  </si>
  <si>
    <t>UAW 364Y</t>
  </si>
  <si>
    <t>UAY 828Y</t>
  </si>
  <si>
    <t>UAZ 946V</t>
  </si>
  <si>
    <t>UAZ 026M</t>
  </si>
  <si>
    <t>UAM 701R</t>
  </si>
  <si>
    <t>UAU 671L</t>
  </si>
  <si>
    <t>UAP 729W</t>
  </si>
  <si>
    <t>UBE 644P</t>
  </si>
  <si>
    <t>UAZ 561Z</t>
  </si>
  <si>
    <t>UAZ 110Z</t>
  </si>
  <si>
    <t>UAR 196N</t>
  </si>
  <si>
    <t>UBB 969M</t>
  </si>
  <si>
    <t>UAV 762M</t>
  </si>
  <si>
    <t>UAT 912T</t>
  </si>
  <si>
    <t>UBB 914T</t>
  </si>
  <si>
    <t>UBE 721Y</t>
  </si>
  <si>
    <t>UAY 688R</t>
  </si>
  <si>
    <t>UBE 347P</t>
  </si>
  <si>
    <t>UAJ 687P</t>
  </si>
  <si>
    <t>UAZ 621Z</t>
  </si>
  <si>
    <t>UAZ 542G</t>
  </si>
  <si>
    <t>UAV 822V</t>
  </si>
  <si>
    <t>UBE 120E</t>
  </si>
  <si>
    <t>UAT 467Y</t>
  </si>
  <si>
    <t>UBB 471Y</t>
  </si>
  <si>
    <t>UAX 461X</t>
  </si>
  <si>
    <t>UBD 702B</t>
  </si>
  <si>
    <t>UBE 505R</t>
  </si>
  <si>
    <t>UAZ 941Z</t>
  </si>
  <si>
    <t>UBB 559N</t>
  </si>
  <si>
    <t>UAT 686T</t>
  </si>
  <si>
    <t>UAW 446Y</t>
  </si>
  <si>
    <t>BUS JOURNEY</t>
  </si>
  <si>
    <t>PASSENGER DETAILS</t>
  </si>
  <si>
    <t>STATION</t>
  </si>
  <si>
    <t>DIRECTION</t>
  </si>
  <si>
    <t>ORIGIN</t>
  </si>
  <si>
    <t>DESTINATION</t>
  </si>
  <si>
    <t>ROUTE ID</t>
  </si>
  <si>
    <t>BUS TRIPS / DAY</t>
  </si>
  <si>
    <t>JOURNEY DISTANCE (KM)</t>
  </si>
  <si>
    <t>JOURNEY TIME/ TRIP (HRS)</t>
  </si>
  <si>
    <t>EST. PAX/ BUS</t>
  </si>
  <si>
    <t>AVERAGE PAX FARE (UGX)</t>
  </si>
  <si>
    <t>FROM KAMPALA</t>
  </si>
  <si>
    <t>KAMPALA</t>
  </si>
  <si>
    <t>TO KAMPALA</t>
  </si>
  <si>
    <t>Journey_Desc</t>
  </si>
  <si>
    <t>BUSHENYI</t>
  </si>
  <si>
    <t>IBANDA</t>
  </si>
  <si>
    <t>KABALE</t>
  </si>
  <si>
    <t>RUKUNGIRI</t>
  </si>
  <si>
    <t>ISHAKA</t>
  </si>
  <si>
    <t>KATETE</t>
  </si>
  <si>
    <t>KIGALI</t>
  </si>
  <si>
    <t>MBARARA</t>
  </si>
  <si>
    <t>NTUNGAMO</t>
  </si>
  <si>
    <t>Lyantode</t>
  </si>
  <si>
    <t>LYANTODE</t>
  </si>
  <si>
    <t>MASAKA</t>
  </si>
  <si>
    <t>BUS OPERATIONS AT MASAKA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</si>
</sst>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_-;\-* #,##0_-;_-* &quot;-&quot;_-;_-@_-"/>
    <numFmt numFmtId="165" formatCode="h:mm;@"/>
    <numFmt numFmtId="166" formatCode="0.0"/>
    <numFmt numFmtId="167" formatCode="_(* #,##0_);_(* \(#,##0\);_(* &quot;-&quot;??_);_(@_)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u/>
      <sz val="12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43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/>
    <xf numFmtId="1" fontId="2" fillId="2" borderId="7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wrapText="1"/>
    </xf>
    <xf numFmtId="167" fontId="6" fillId="3" borderId="2" xfId="1" applyNumberFormat="1" applyFont="1" applyFill="1" applyBorder="1" applyAlignment="1">
      <alignment horizontal="right"/>
    </xf>
    <xf numFmtId="0" fontId="10" fillId="0" borderId="0" xfId="0" applyFont="1"/>
    <xf numFmtId="20" fontId="3" fillId="3" borderId="2" xfId="0" applyNumberFormat="1" applyFont="1" applyFill="1" applyBorder="1" applyAlignment="1">
      <alignment vertical="center"/>
    </xf>
    <xf numFmtId="0" fontId="10" fillId="0" borderId="22" xfId="0" applyFont="1" applyFill="1" applyBorder="1" applyAlignment="1"/>
    <xf numFmtId="0" fontId="3" fillId="0" borderId="0" xfId="0" applyFont="1" applyBorder="1" applyAlignment="1">
      <alignment horizontal="right" vertical="center"/>
    </xf>
    <xf numFmtId="0" fontId="10" fillId="3" borderId="20" xfId="0" applyFont="1" applyFill="1" applyBorder="1" applyAlignment="1"/>
    <xf numFmtId="0" fontId="10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" fontId="2" fillId="2" borderId="7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5" borderId="2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1" fontId="0" fillId="5" borderId="2" xfId="0" applyNumberFormat="1" applyFill="1" applyBorder="1" applyAlignment="1">
      <alignment horizontal="center" vertical="center"/>
    </xf>
    <xf numFmtId="166" fontId="0" fillId="5" borderId="2" xfId="0" applyNumberFormat="1" applyFill="1" applyBorder="1" applyAlignment="1">
      <alignment vertical="center"/>
    </xf>
    <xf numFmtId="164" fontId="0" fillId="5" borderId="2" xfId="6" applyFont="1" applyFill="1" applyBorder="1" applyAlignment="1">
      <alignment vertical="center"/>
    </xf>
    <xf numFmtId="2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left"/>
    </xf>
    <xf numFmtId="0" fontId="12" fillId="0" borderId="0" xfId="0" applyFont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1" fontId="2" fillId="2" borderId="7" xfId="0" applyNumberFormat="1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23" xfId="0" applyFont="1" applyBorder="1" applyAlignment="1">
      <alignment horizontal="right"/>
    </xf>
    <xf numFmtId="1" fontId="2" fillId="2" borderId="18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1" fontId="2" fillId="2" borderId="1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</cellXfs>
  <cellStyles count="7">
    <cellStyle name="Comma" xfId="1" builtinId="3"/>
    <cellStyle name="Comma [0] 2" xfId="6"/>
    <cellStyle name="Comma 2" xfId="4"/>
    <cellStyle name="Normal" xfId="0" builtinId="0"/>
    <cellStyle name="Normal 2" xfId="3"/>
    <cellStyle name="Normal 3" xfId="5"/>
    <cellStyle name="Percent 2" xfId="2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view="pageBreakPreview" zoomScale="80" zoomScaleNormal="75" zoomScaleSheetLayoutView="80" workbookViewId="0">
      <selection activeCell="H20" sqref="H20"/>
    </sheetView>
  </sheetViews>
  <sheetFormatPr defaultRowHeight="12.75" x14ac:dyDescent="0.2"/>
  <cols>
    <col min="1" max="1" width="6.85546875" customWidth="1"/>
    <col min="2" max="2" width="16.42578125" customWidth="1"/>
    <col min="3" max="3" width="11.7109375" customWidth="1"/>
    <col min="4" max="4" width="11.7109375" style="34" customWidth="1"/>
    <col min="5" max="5" width="19.28515625" customWidth="1"/>
    <col min="6" max="6" width="11.5703125" customWidth="1"/>
    <col min="7" max="7" width="33.5703125" customWidth="1"/>
    <col min="8" max="8" width="21" customWidth="1"/>
    <col min="9" max="9" width="14.85546875" customWidth="1"/>
    <col min="10" max="10" width="22.5703125" customWidth="1"/>
    <col min="11" max="11" width="16.28515625" customWidth="1"/>
    <col min="12" max="12" width="18.85546875" customWidth="1"/>
    <col min="13" max="13" width="14.7109375" customWidth="1"/>
    <col min="14" max="14" width="16.42578125" customWidth="1"/>
    <col min="15" max="15" width="18.7109375" customWidth="1"/>
  </cols>
  <sheetData>
    <row r="1" spans="1:22" s="1" customFormat="1" ht="20.25" x14ac:dyDescent="0.2">
      <c r="B1" s="60" t="s">
        <v>51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"/>
      <c r="Q1" s="6"/>
      <c r="R1" s="6"/>
      <c r="S1" s="6"/>
      <c r="T1" s="6"/>
      <c r="U1" s="6"/>
      <c r="V1" s="6"/>
    </row>
    <row r="2" spans="1:22" ht="20.25" x14ac:dyDescent="0.2">
      <c r="B2" s="60" t="s">
        <v>61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7"/>
      <c r="Q2" s="7"/>
      <c r="R2" s="7"/>
      <c r="S2" s="7"/>
      <c r="T2" s="7"/>
      <c r="U2" s="7"/>
      <c r="V2" s="7"/>
    </row>
    <row r="3" spans="1:22" ht="15" x14ac:dyDescent="0.2">
      <c r="B3" s="2"/>
      <c r="C3" s="2"/>
      <c r="D3" s="33"/>
      <c r="E3" s="2"/>
      <c r="F3" s="32"/>
      <c r="G3" s="2"/>
      <c r="H3" s="2"/>
      <c r="I3" s="2"/>
      <c r="J3" s="2"/>
      <c r="K3" s="2"/>
      <c r="L3" s="2"/>
      <c r="M3" s="2"/>
      <c r="N3" s="2"/>
      <c r="O3" s="2"/>
    </row>
    <row r="4" spans="1:22" s="38" customFormat="1" ht="15" customHeight="1" x14ac:dyDescent="0.25">
      <c r="B4" s="69" t="s">
        <v>2</v>
      </c>
      <c r="C4" s="70"/>
      <c r="D4" s="39" t="s">
        <v>62</v>
      </c>
      <c r="G4" s="47" t="s">
        <v>58</v>
      </c>
      <c r="H4" s="65" t="s">
        <v>64</v>
      </c>
      <c r="I4" s="66"/>
      <c r="J4" s="41" t="s">
        <v>6</v>
      </c>
      <c r="K4" s="67" t="s">
        <v>66</v>
      </c>
      <c r="L4" s="68"/>
      <c r="M4" s="40"/>
      <c r="N4" s="41" t="s">
        <v>7</v>
      </c>
      <c r="O4" s="42" t="s">
        <v>60</v>
      </c>
      <c r="P4" s="40"/>
      <c r="R4" s="43"/>
      <c r="S4" s="44"/>
    </row>
    <row r="5" spans="1:22" s="38" customFormat="1" ht="15" customHeight="1" x14ac:dyDescent="0.25">
      <c r="B5" s="71" t="s">
        <v>57</v>
      </c>
      <c r="C5" s="72"/>
      <c r="D5" s="65" t="s">
        <v>63</v>
      </c>
      <c r="E5" s="66"/>
      <c r="F5" s="45"/>
      <c r="G5" s="47" t="s">
        <v>38</v>
      </c>
      <c r="H5" s="65" t="s">
        <v>65</v>
      </c>
      <c r="I5" s="66"/>
      <c r="K5" s="46"/>
      <c r="M5" s="46"/>
    </row>
    <row r="6" spans="1:22" ht="13.5" thickBot="1" x14ac:dyDescent="0.25"/>
    <row r="7" spans="1:22" ht="30.75" customHeight="1" x14ac:dyDescent="0.2">
      <c r="A7" s="34"/>
      <c r="B7" s="76" t="s">
        <v>34</v>
      </c>
      <c r="C7" s="63" t="s">
        <v>9</v>
      </c>
      <c r="D7" s="61" t="s">
        <v>55</v>
      </c>
      <c r="E7" s="61" t="s">
        <v>35</v>
      </c>
      <c r="F7" s="61" t="s">
        <v>54</v>
      </c>
      <c r="G7" s="73" t="s">
        <v>12</v>
      </c>
      <c r="H7" s="74"/>
      <c r="I7" s="75"/>
      <c r="J7" s="73" t="s">
        <v>17</v>
      </c>
      <c r="K7" s="74"/>
      <c r="L7" s="75"/>
      <c r="M7" s="63" t="s">
        <v>56</v>
      </c>
      <c r="N7" s="61" t="s">
        <v>59</v>
      </c>
      <c r="O7" s="61" t="s">
        <v>52</v>
      </c>
      <c r="Q7" s="19"/>
    </row>
    <row r="8" spans="1:22" ht="38.25" customHeight="1" x14ac:dyDescent="0.2">
      <c r="A8" s="34"/>
      <c r="B8" s="77"/>
      <c r="C8" s="64"/>
      <c r="D8" s="62"/>
      <c r="E8" s="62"/>
      <c r="F8" s="62"/>
      <c r="G8" s="35" t="s">
        <v>53</v>
      </c>
      <c r="H8" s="35" t="s">
        <v>36</v>
      </c>
      <c r="I8" s="35" t="s">
        <v>37</v>
      </c>
      <c r="J8" s="35" t="s">
        <v>53</v>
      </c>
      <c r="K8" s="35" t="s">
        <v>36</v>
      </c>
      <c r="L8" s="48" t="s">
        <v>175</v>
      </c>
      <c r="M8" s="64"/>
      <c r="N8" s="62"/>
      <c r="O8" s="62"/>
    </row>
    <row r="9" spans="1:22" s="19" customFormat="1" x14ac:dyDescent="0.2">
      <c r="B9" s="27">
        <v>0.58333333333333337</v>
      </c>
      <c r="C9" s="28">
        <v>6</v>
      </c>
      <c r="D9" s="36" t="str">
        <f>IF(C9="", "",VLOOKUP(C9,Key!$A$5:$B$7,2,FALSE))</f>
        <v>Large Bus</v>
      </c>
      <c r="E9" s="28" t="s">
        <v>67</v>
      </c>
      <c r="F9" s="28" t="s">
        <v>68</v>
      </c>
      <c r="G9" s="29" t="s">
        <v>69</v>
      </c>
      <c r="H9" s="29" t="s">
        <v>69</v>
      </c>
      <c r="I9" s="29" t="s">
        <v>70</v>
      </c>
      <c r="J9" s="29" t="s">
        <v>71</v>
      </c>
      <c r="K9" s="30" t="s">
        <v>71</v>
      </c>
      <c r="L9" s="30" t="str">
        <f t="shared" ref="L9:L40" si="0">H9&amp;"-"&amp;K9</f>
        <v>Ntungamo-Kampala</v>
      </c>
      <c r="M9" s="31">
        <v>64</v>
      </c>
      <c r="N9" s="37">
        <v>21000</v>
      </c>
      <c r="O9" s="58">
        <v>5.5</v>
      </c>
    </row>
    <row r="10" spans="1:22" s="19" customFormat="1" x14ac:dyDescent="0.2">
      <c r="B10" s="27">
        <v>0.59652777777777777</v>
      </c>
      <c r="C10" s="28">
        <v>6</v>
      </c>
      <c r="D10" s="36" t="str">
        <f>IF(C10="", "",VLOOKUP(C10,Key!$A$5:$B$7,2,FALSE))</f>
        <v>Large Bus</v>
      </c>
      <c r="E10" s="28" t="s">
        <v>72</v>
      </c>
      <c r="F10" s="28" t="s">
        <v>68</v>
      </c>
      <c r="G10" s="29" t="s">
        <v>73</v>
      </c>
      <c r="H10" s="29" t="s">
        <v>73</v>
      </c>
      <c r="I10" s="29" t="s">
        <v>70</v>
      </c>
      <c r="J10" s="29" t="s">
        <v>71</v>
      </c>
      <c r="K10" s="30" t="s">
        <v>71</v>
      </c>
      <c r="L10" s="30" t="str">
        <f t="shared" si="0"/>
        <v>Ibanda-Kampala</v>
      </c>
      <c r="M10" s="31">
        <v>64</v>
      </c>
      <c r="N10" s="37">
        <v>21000</v>
      </c>
      <c r="O10" s="58">
        <v>5.15</v>
      </c>
    </row>
    <row r="11" spans="1:22" s="19" customFormat="1" x14ac:dyDescent="0.2">
      <c r="B11" s="27">
        <v>0.61527777777777781</v>
      </c>
      <c r="C11" s="28">
        <v>6</v>
      </c>
      <c r="D11" s="36" t="str">
        <f>IF(C11="", "",VLOOKUP(C11,Key!$A$5:$B$7,2,FALSE))</f>
        <v>Large Bus</v>
      </c>
      <c r="E11" s="28" t="s">
        <v>74</v>
      </c>
      <c r="F11" s="28" t="s">
        <v>68</v>
      </c>
      <c r="G11" s="29" t="s">
        <v>73</v>
      </c>
      <c r="H11" s="29" t="s">
        <v>73</v>
      </c>
      <c r="I11" s="29" t="s">
        <v>70</v>
      </c>
      <c r="J11" s="29" t="s">
        <v>71</v>
      </c>
      <c r="K11" s="30" t="s">
        <v>71</v>
      </c>
      <c r="L11" s="30" t="str">
        <f t="shared" si="0"/>
        <v>Ibanda-Kampala</v>
      </c>
      <c r="M11" s="31">
        <v>50</v>
      </c>
      <c r="N11" s="37">
        <v>21000</v>
      </c>
      <c r="O11" s="58">
        <v>5.15</v>
      </c>
    </row>
    <row r="12" spans="1:22" s="19" customFormat="1" x14ac:dyDescent="0.2">
      <c r="B12" s="27">
        <v>0.63680555555555551</v>
      </c>
      <c r="C12" s="28">
        <v>6</v>
      </c>
      <c r="D12" s="36" t="str">
        <f>IF(C12="", "",VLOOKUP(C12,Key!$A$5:$B$7,2,FALSE))</f>
        <v>Large Bus</v>
      </c>
      <c r="E12" s="28" t="s">
        <v>75</v>
      </c>
      <c r="F12" s="28" t="s">
        <v>68</v>
      </c>
      <c r="G12" s="29" t="s">
        <v>76</v>
      </c>
      <c r="H12" s="29" t="s">
        <v>77</v>
      </c>
      <c r="I12" s="29" t="s">
        <v>70</v>
      </c>
      <c r="J12" s="29" t="s">
        <v>71</v>
      </c>
      <c r="K12" s="30" t="s">
        <v>71</v>
      </c>
      <c r="L12" s="30" t="str">
        <f t="shared" si="0"/>
        <v>Bushenyi-Kampala</v>
      </c>
      <c r="M12" s="31">
        <v>64</v>
      </c>
      <c r="N12" s="37">
        <v>21000</v>
      </c>
      <c r="O12" s="58">
        <v>5.5</v>
      </c>
    </row>
    <row r="13" spans="1:22" s="19" customFormat="1" x14ac:dyDescent="0.2">
      <c r="B13" s="27">
        <v>0.64722222222222225</v>
      </c>
      <c r="C13" s="28">
        <v>6</v>
      </c>
      <c r="D13" s="36" t="str">
        <f>IF(C13="", "",VLOOKUP(C13,Key!$A$5:$B$7,2,FALSE))</f>
        <v>Large Bus</v>
      </c>
      <c r="E13" s="28" t="s">
        <v>78</v>
      </c>
      <c r="F13" s="28" t="s">
        <v>68</v>
      </c>
      <c r="G13" s="29" t="s">
        <v>79</v>
      </c>
      <c r="H13" s="29" t="s">
        <v>79</v>
      </c>
      <c r="I13" s="29" t="s">
        <v>70</v>
      </c>
      <c r="J13" s="29" t="s">
        <v>71</v>
      </c>
      <c r="K13" s="30" t="s">
        <v>71</v>
      </c>
      <c r="L13" s="30" t="str">
        <f t="shared" si="0"/>
        <v>Mbarara-Kampala</v>
      </c>
      <c r="M13" s="31">
        <v>64</v>
      </c>
      <c r="N13" s="37">
        <v>20000</v>
      </c>
      <c r="O13" s="58">
        <v>4.75</v>
      </c>
    </row>
    <row r="14" spans="1:22" s="19" customFormat="1" x14ac:dyDescent="0.2">
      <c r="B14" s="27">
        <v>0.65763888888888888</v>
      </c>
      <c r="C14" s="28">
        <v>6</v>
      </c>
      <c r="D14" s="36" t="str">
        <f>IF(C14="", "",VLOOKUP(C14,Key!$A$5:$B$7,2,FALSE))</f>
        <v>Large Bus</v>
      </c>
      <c r="E14" s="28" t="s">
        <v>80</v>
      </c>
      <c r="F14" s="28" t="s">
        <v>68</v>
      </c>
      <c r="G14" s="29" t="s">
        <v>81</v>
      </c>
      <c r="H14" s="29" t="s">
        <v>81</v>
      </c>
      <c r="I14" s="29" t="s">
        <v>70</v>
      </c>
      <c r="J14" s="29" t="s">
        <v>71</v>
      </c>
      <c r="K14" s="30" t="s">
        <v>71</v>
      </c>
      <c r="L14" s="30" t="str">
        <f t="shared" si="0"/>
        <v>Rukungiri-Kampala</v>
      </c>
      <c r="M14" s="31">
        <v>64</v>
      </c>
      <c r="N14" s="37">
        <v>21000</v>
      </c>
      <c r="O14" s="58">
        <v>6.25</v>
      </c>
    </row>
    <row r="15" spans="1:22" s="19" customFormat="1" x14ac:dyDescent="0.2">
      <c r="B15" s="27">
        <v>0.68194444444444446</v>
      </c>
      <c r="C15" s="28">
        <v>6</v>
      </c>
      <c r="D15" s="36" t="str">
        <f>IF(C15="", "",VLOOKUP(C15,Key!$A$5:$B$7,2,FALSE))</f>
        <v>Large Bus</v>
      </c>
      <c r="E15" s="28" t="s">
        <v>82</v>
      </c>
      <c r="F15" s="28" t="s">
        <v>68</v>
      </c>
      <c r="G15" s="29" t="s">
        <v>83</v>
      </c>
      <c r="H15" s="29" t="s">
        <v>83</v>
      </c>
      <c r="I15" s="29" t="s">
        <v>70</v>
      </c>
      <c r="J15" s="29" t="s">
        <v>71</v>
      </c>
      <c r="K15" s="30" t="s">
        <v>71</v>
      </c>
      <c r="L15" s="30" t="str">
        <f t="shared" si="0"/>
        <v>Kabale-Kampala</v>
      </c>
      <c r="M15" s="31">
        <v>64</v>
      </c>
      <c r="N15" s="37">
        <v>35000</v>
      </c>
      <c r="O15" s="58">
        <v>6.75</v>
      </c>
    </row>
    <row r="16" spans="1:22" s="19" customFormat="1" x14ac:dyDescent="0.2">
      <c r="B16" s="27">
        <v>0.68611111111111101</v>
      </c>
      <c r="C16" s="28">
        <v>6</v>
      </c>
      <c r="D16" s="36" t="str">
        <f>IF(C16="", "",VLOOKUP(C16,Key!$A$5:$B$7,2,FALSE))</f>
        <v>Large Bus</v>
      </c>
      <c r="E16" s="28" t="s">
        <v>84</v>
      </c>
      <c r="F16" s="28" t="s">
        <v>68</v>
      </c>
      <c r="G16" s="29" t="s">
        <v>79</v>
      </c>
      <c r="H16" s="29" t="s">
        <v>79</v>
      </c>
      <c r="I16" s="29" t="s">
        <v>70</v>
      </c>
      <c r="J16" s="29" t="s">
        <v>71</v>
      </c>
      <c r="K16" s="30" t="s">
        <v>71</v>
      </c>
      <c r="L16" s="30" t="str">
        <f t="shared" si="0"/>
        <v>Mbarara-Kampala</v>
      </c>
      <c r="M16" s="31">
        <v>64</v>
      </c>
      <c r="N16" s="37">
        <v>20000</v>
      </c>
      <c r="O16" s="58">
        <v>4.75</v>
      </c>
    </row>
    <row r="17" spans="2:15" s="19" customFormat="1" x14ac:dyDescent="0.2">
      <c r="B17" s="27">
        <v>0.69930555555555562</v>
      </c>
      <c r="C17" s="28">
        <v>6</v>
      </c>
      <c r="D17" s="36" t="str">
        <f>IF(C17="", "",VLOOKUP(C17,Key!$A$5:$B$7,2,FALSE))</f>
        <v>Large Bus</v>
      </c>
      <c r="E17" s="28" t="s">
        <v>85</v>
      </c>
      <c r="F17" s="28" t="s">
        <v>68</v>
      </c>
      <c r="G17" s="29" t="s">
        <v>76</v>
      </c>
      <c r="H17" s="29" t="s">
        <v>77</v>
      </c>
      <c r="I17" s="29" t="s">
        <v>70</v>
      </c>
      <c r="J17" s="29" t="s">
        <v>71</v>
      </c>
      <c r="K17" s="30" t="s">
        <v>71</v>
      </c>
      <c r="L17" s="30" t="str">
        <f t="shared" si="0"/>
        <v>Bushenyi-Kampala</v>
      </c>
      <c r="M17" s="31">
        <v>64</v>
      </c>
      <c r="N17" s="37">
        <v>21000</v>
      </c>
      <c r="O17" s="58">
        <v>5.5</v>
      </c>
    </row>
    <row r="18" spans="2:15" s="19" customFormat="1" x14ac:dyDescent="0.2">
      <c r="B18" s="27">
        <v>0.7055555555555556</v>
      </c>
      <c r="C18" s="28">
        <v>6</v>
      </c>
      <c r="D18" s="36" t="str">
        <f>IF(C18="", "",VLOOKUP(C18,Key!$A$5:$B$7,2,FALSE))</f>
        <v>Large Bus</v>
      </c>
      <c r="E18" s="28" t="s">
        <v>86</v>
      </c>
      <c r="F18" s="28" t="s">
        <v>68</v>
      </c>
      <c r="G18" s="29" t="s">
        <v>77</v>
      </c>
      <c r="H18" s="29" t="s">
        <v>77</v>
      </c>
      <c r="I18" s="29" t="s">
        <v>70</v>
      </c>
      <c r="J18" s="29" t="s">
        <v>71</v>
      </c>
      <c r="K18" s="30" t="s">
        <v>71</v>
      </c>
      <c r="L18" s="30" t="str">
        <f t="shared" si="0"/>
        <v>Bushenyi-Kampala</v>
      </c>
      <c r="M18" s="31">
        <v>67</v>
      </c>
      <c r="N18" s="37">
        <v>21000</v>
      </c>
      <c r="O18" s="58">
        <v>5.5</v>
      </c>
    </row>
    <row r="19" spans="2:15" s="19" customFormat="1" x14ac:dyDescent="0.2">
      <c r="B19" s="27">
        <v>0.7090277777777777</v>
      </c>
      <c r="C19" s="28">
        <v>6</v>
      </c>
      <c r="D19" s="36" t="str">
        <f>IF(C19="", "",VLOOKUP(C19,Key!$A$5:$B$7,2,FALSE))</f>
        <v>Large Bus</v>
      </c>
      <c r="E19" s="28" t="s">
        <v>87</v>
      </c>
      <c r="F19" s="28" t="s">
        <v>68</v>
      </c>
      <c r="G19" s="29" t="s">
        <v>83</v>
      </c>
      <c r="H19" s="29" t="s">
        <v>83</v>
      </c>
      <c r="I19" s="29" t="s">
        <v>70</v>
      </c>
      <c r="J19" s="29" t="s">
        <v>71</v>
      </c>
      <c r="K19" s="30" t="s">
        <v>71</v>
      </c>
      <c r="L19" s="30" t="str">
        <f t="shared" si="0"/>
        <v>Kabale-Kampala</v>
      </c>
      <c r="M19" s="31">
        <v>64</v>
      </c>
      <c r="N19" s="37">
        <v>35000</v>
      </c>
      <c r="O19" s="58">
        <v>6.75</v>
      </c>
    </row>
    <row r="20" spans="2:15" s="19" customFormat="1" x14ac:dyDescent="0.2">
      <c r="B20" s="27">
        <v>0.72083333333333333</v>
      </c>
      <c r="C20" s="28">
        <v>6</v>
      </c>
      <c r="D20" s="36" t="str">
        <f>IF(C20="", "",VLOOKUP(C20,Key!$A$5:$B$7,2,FALSE))</f>
        <v>Large Bus</v>
      </c>
      <c r="E20" s="28" t="s">
        <v>88</v>
      </c>
      <c r="F20" s="28" t="s">
        <v>68</v>
      </c>
      <c r="G20" s="29" t="s">
        <v>79</v>
      </c>
      <c r="H20" s="29" t="s">
        <v>79</v>
      </c>
      <c r="I20" s="29" t="s">
        <v>70</v>
      </c>
      <c r="J20" s="29" t="s">
        <v>71</v>
      </c>
      <c r="K20" s="30" t="s">
        <v>71</v>
      </c>
      <c r="L20" s="30" t="str">
        <f t="shared" si="0"/>
        <v>Mbarara-Kampala</v>
      </c>
      <c r="M20" s="31">
        <v>64</v>
      </c>
      <c r="N20" s="37">
        <v>20000</v>
      </c>
      <c r="O20" s="58">
        <v>4.75</v>
      </c>
    </row>
    <row r="21" spans="2:15" s="19" customFormat="1" x14ac:dyDescent="0.2">
      <c r="B21" s="27">
        <v>0.73333333333333339</v>
      </c>
      <c r="C21" s="28">
        <v>6</v>
      </c>
      <c r="D21" s="36" t="str">
        <f>IF(C21="", "",VLOOKUP(C21,Key!$A$5:$B$7,2,FALSE))</f>
        <v>Large Bus</v>
      </c>
      <c r="E21" s="28" t="s">
        <v>89</v>
      </c>
      <c r="F21" s="28" t="s">
        <v>68</v>
      </c>
      <c r="G21" s="29" t="s">
        <v>79</v>
      </c>
      <c r="H21" s="29" t="s">
        <v>79</v>
      </c>
      <c r="I21" s="29" t="s">
        <v>70</v>
      </c>
      <c r="J21" s="29" t="s">
        <v>71</v>
      </c>
      <c r="K21" s="30" t="s">
        <v>71</v>
      </c>
      <c r="L21" s="30" t="str">
        <f t="shared" si="0"/>
        <v>Mbarara-Kampala</v>
      </c>
      <c r="M21" s="31">
        <v>67</v>
      </c>
      <c r="N21" s="37">
        <v>20000</v>
      </c>
      <c r="O21" s="58">
        <v>4.75</v>
      </c>
    </row>
    <row r="22" spans="2:15" s="19" customFormat="1" x14ac:dyDescent="0.2">
      <c r="B22" s="27">
        <v>0.73888888888888893</v>
      </c>
      <c r="C22" s="28">
        <v>6</v>
      </c>
      <c r="D22" s="36" t="str">
        <f>IF(C22="", "",VLOOKUP(C22,Key!$A$5:$B$7,2,FALSE))</f>
        <v>Large Bus</v>
      </c>
      <c r="E22" s="28" t="s">
        <v>90</v>
      </c>
      <c r="F22" s="28" t="s">
        <v>68</v>
      </c>
      <c r="G22" s="29" t="s">
        <v>69</v>
      </c>
      <c r="H22" s="29" t="s">
        <v>69</v>
      </c>
      <c r="I22" s="29" t="s">
        <v>70</v>
      </c>
      <c r="J22" s="29" t="s">
        <v>71</v>
      </c>
      <c r="K22" s="30" t="s">
        <v>71</v>
      </c>
      <c r="L22" s="30" t="str">
        <f t="shared" si="0"/>
        <v>Ntungamo-Kampala</v>
      </c>
      <c r="M22" s="31">
        <v>64</v>
      </c>
      <c r="N22" s="37">
        <v>21000</v>
      </c>
      <c r="O22" s="58">
        <v>5.5</v>
      </c>
    </row>
    <row r="23" spans="2:15" s="19" customFormat="1" x14ac:dyDescent="0.2">
      <c r="B23" s="27">
        <v>0.74722222222222223</v>
      </c>
      <c r="C23" s="28">
        <v>6</v>
      </c>
      <c r="D23" s="36" t="str">
        <f>IF(C23="", "",VLOOKUP(C23,Key!$A$5:$B$7,2,FALSE))</f>
        <v>Large Bus</v>
      </c>
      <c r="E23" s="28" t="s">
        <v>91</v>
      </c>
      <c r="F23" s="28" t="s">
        <v>68</v>
      </c>
      <c r="G23" s="29" t="s">
        <v>79</v>
      </c>
      <c r="H23" s="29" t="s">
        <v>79</v>
      </c>
      <c r="I23" s="29" t="s">
        <v>70</v>
      </c>
      <c r="J23" s="29" t="s">
        <v>71</v>
      </c>
      <c r="K23" s="30" t="s">
        <v>71</v>
      </c>
      <c r="L23" s="30" t="str">
        <f t="shared" si="0"/>
        <v>Mbarara-Kampala</v>
      </c>
      <c r="M23" s="31">
        <v>67</v>
      </c>
      <c r="N23" s="37">
        <v>20000</v>
      </c>
      <c r="O23" s="58">
        <v>4.75</v>
      </c>
    </row>
    <row r="24" spans="2:15" s="19" customFormat="1" x14ac:dyDescent="0.2">
      <c r="B24" s="27">
        <v>0.75277777777777777</v>
      </c>
      <c r="C24" s="28">
        <v>6</v>
      </c>
      <c r="D24" s="36" t="str">
        <f>IF(C24="", "",VLOOKUP(C24,Key!$A$5:$B$7,2,FALSE))</f>
        <v>Large Bus</v>
      </c>
      <c r="E24" s="28" t="s">
        <v>92</v>
      </c>
      <c r="F24" s="28" t="s">
        <v>68</v>
      </c>
      <c r="G24" s="29" t="s">
        <v>93</v>
      </c>
      <c r="H24" s="29" t="s">
        <v>93</v>
      </c>
      <c r="I24" s="29" t="s">
        <v>70</v>
      </c>
      <c r="J24" s="29" t="s">
        <v>71</v>
      </c>
      <c r="K24" s="30" t="s">
        <v>71</v>
      </c>
      <c r="L24" s="30" t="str">
        <f t="shared" si="0"/>
        <v>Kigali-Kampala</v>
      </c>
      <c r="M24" s="31">
        <v>67</v>
      </c>
      <c r="N24" s="37">
        <v>50000</v>
      </c>
      <c r="O24" s="58">
        <v>8.5</v>
      </c>
    </row>
    <row r="25" spans="2:15" s="19" customFormat="1" x14ac:dyDescent="0.2">
      <c r="B25" s="27">
        <v>0.75138888888888899</v>
      </c>
      <c r="C25" s="28">
        <v>6</v>
      </c>
      <c r="D25" s="36" t="str">
        <f>IF(C25="", "",VLOOKUP(C25,Key!$A$5:$B$7,2,FALSE))</f>
        <v>Large Bus</v>
      </c>
      <c r="E25" s="28" t="s">
        <v>94</v>
      </c>
      <c r="F25" s="28" t="s">
        <v>68</v>
      </c>
      <c r="G25" s="29" t="s">
        <v>79</v>
      </c>
      <c r="H25" s="29" t="s">
        <v>79</v>
      </c>
      <c r="I25" s="29" t="s">
        <v>70</v>
      </c>
      <c r="J25" s="29" t="s">
        <v>71</v>
      </c>
      <c r="K25" s="30" t="s">
        <v>71</v>
      </c>
      <c r="L25" s="30" t="str">
        <f t="shared" si="0"/>
        <v>Mbarara-Kampala</v>
      </c>
      <c r="M25" s="31">
        <v>64</v>
      </c>
      <c r="N25" s="37">
        <v>20000</v>
      </c>
      <c r="O25" s="58">
        <v>4.75</v>
      </c>
    </row>
    <row r="26" spans="2:15" s="19" customFormat="1" x14ac:dyDescent="0.2">
      <c r="B26" s="27">
        <v>0.29791666666666666</v>
      </c>
      <c r="C26" s="28">
        <v>6</v>
      </c>
      <c r="D26" s="36" t="str">
        <f>IF(C26="", "",VLOOKUP(C26,Key!$A$5:$B$7,2,FALSE))</f>
        <v>Large Bus</v>
      </c>
      <c r="E26" s="28" t="s">
        <v>95</v>
      </c>
      <c r="F26" s="28" t="s">
        <v>68</v>
      </c>
      <c r="G26" s="29" t="s">
        <v>79</v>
      </c>
      <c r="H26" s="29" t="s">
        <v>79</v>
      </c>
      <c r="I26" s="29" t="s">
        <v>70</v>
      </c>
      <c r="J26" s="29" t="s">
        <v>71</v>
      </c>
      <c r="K26" s="30" t="s">
        <v>71</v>
      </c>
      <c r="L26" s="30" t="str">
        <f t="shared" si="0"/>
        <v>Mbarara-Kampala</v>
      </c>
      <c r="M26" s="31">
        <v>38</v>
      </c>
      <c r="N26" s="37">
        <v>20000</v>
      </c>
      <c r="O26" s="58">
        <v>4.75</v>
      </c>
    </row>
    <row r="27" spans="2:15" s="19" customFormat="1" x14ac:dyDescent="0.2">
      <c r="B27" s="27">
        <v>0.31666666666666665</v>
      </c>
      <c r="C27" s="28">
        <v>6</v>
      </c>
      <c r="D27" s="36" t="str">
        <f>IF(C27="", "",VLOOKUP(C27,Key!$A$5:$B$7,2,FALSE))</f>
        <v>Large Bus</v>
      </c>
      <c r="E27" s="28" t="s">
        <v>96</v>
      </c>
      <c r="F27" s="28" t="s">
        <v>68</v>
      </c>
      <c r="G27" s="29" t="s">
        <v>81</v>
      </c>
      <c r="H27" s="29" t="s">
        <v>81</v>
      </c>
      <c r="I27" s="29" t="s">
        <v>70</v>
      </c>
      <c r="J27" s="29" t="s">
        <v>71</v>
      </c>
      <c r="K27" s="30" t="s">
        <v>71</v>
      </c>
      <c r="L27" s="30" t="str">
        <f t="shared" si="0"/>
        <v>Rukungiri-Kampala</v>
      </c>
      <c r="M27" s="31">
        <v>64</v>
      </c>
      <c r="N27" s="37">
        <v>21000</v>
      </c>
      <c r="O27" s="58">
        <v>6.25</v>
      </c>
    </row>
    <row r="28" spans="2:15" s="19" customFormat="1" x14ac:dyDescent="0.2">
      <c r="B28" s="27">
        <v>0.32430555555555557</v>
      </c>
      <c r="C28" s="28">
        <v>6</v>
      </c>
      <c r="D28" s="36" t="str">
        <f>IF(C28="", "",VLOOKUP(C28,Key!$A$5:$B$7,2,FALSE))</f>
        <v>Large Bus</v>
      </c>
      <c r="E28" s="28" t="s">
        <v>97</v>
      </c>
      <c r="F28" s="28" t="s">
        <v>68</v>
      </c>
      <c r="G28" s="29" t="s">
        <v>77</v>
      </c>
      <c r="H28" s="29" t="s">
        <v>77</v>
      </c>
      <c r="I28" s="29" t="s">
        <v>70</v>
      </c>
      <c r="J28" s="29" t="s">
        <v>71</v>
      </c>
      <c r="K28" s="30" t="s">
        <v>71</v>
      </c>
      <c r="L28" s="30" t="str">
        <f t="shared" si="0"/>
        <v>Bushenyi-Kampala</v>
      </c>
      <c r="M28" s="31">
        <v>30</v>
      </c>
      <c r="N28" s="37">
        <v>21000</v>
      </c>
      <c r="O28" s="58">
        <v>5.5</v>
      </c>
    </row>
    <row r="29" spans="2:15" s="19" customFormat="1" x14ac:dyDescent="0.2">
      <c r="B29" s="27">
        <v>0.34722222222222227</v>
      </c>
      <c r="C29" s="28">
        <v>6</v>
      </c>
      <c r="D29" s="36" t="str">
        <f>IF(C29="", "",VLOOKUP(C29,Key!$A$5:$B$7,2,FALSE))</f>
        <v>Large Bus</v>
      </c>
      <c r="E29" s="28" t="s">
        <v>98</v>
      </c>
      <c r="F29" s="28" t="s">
        <v>68</v>
      </c>
      <c r="G29" s="29" t="s">
        <v>69</v>
      </c>
      <c r="H29" s="29" t="s">
        <v>69</v>
      </c>
      <c r="I29" s="29" t="s">
        <v>70</v>
      </c>
      <c r="J29" s="29" t="s">
        <v>71</v>
      </c>
      <c r="K29" s="30" t="s">
        <v>71</v>
      </c>
      <c r="L29" s="30" t="str">
        <f t="shared" si="0"/>
        <v>Ntungamo-Kampala</v>
      </c>
      <c r="M29" s="31">
        <v>64</v>
      </c>
      <c r="N29" s="37">
        <v>21000</v>
      </c>
      <c r="O29" s="58">
        <v>5.5</v>
      </c>
    </row>
    <row r="30" spans="2:15" s="19" customFormat="1" x14ac:dyDescent="0.2">
      <c r="B30" s="27">
        <v>0.3520833333333333</v>
      </c>
      <c r="C30" s="28">
        <v>6</v>
      </c>
      <c r="D30" s="36" t="str">
        <f>IF(C30="", "",VLOOKUP(C30,Key!$A$5:$B$7,2,FALSE))</f>
        <v>Large Bus</v>
      </c>
      <c r="E30" s="28" t="s">
        <v>99</v>
      </c>
      <c r="F30" s="28" t="s">
        <v>68</v>
      </c>
      <c r="G30" s="29" t="s">
        <v>79</v>
      </c>
      <c r="H30" s="29" t="s">
        <v>79</v>
      </c>
      <c r="I30" s="29" t="s">
        <v>70</v>
      </c>
      <c r="J30" s="29" t="s">
        <v>71</v>
      </c>
      <c r="K30" s="30" t="s">
        <v>71</v>
      </c>
      <c r="L30" s="30" t="str">
        <f t="shared" si="0"/>
        <v>Mbarara-Kampala</v>
      </c>
      <c r="M30" s="31">
        <v>32</v>
      </c>
      <c r="N30" s="37">
        <v>20000</v>
      </c>
      <c r="O30" s="58">
        <v>4.75</v>
      </c>
    </row>
    <row r="31" spans="2:15" s="19" customFormat="1" x14ac:dyDescent="0.2">
      <c r="B31" s="27">
        <v>0.3743055555555555</v>
      </c>
      <c r="C31" s="28">
        <v>6</v>
      </c>
      <c r="D31" s="36" t="str">
        <f>IF(C31="", "",VLOOKUP(C31,Key!$A$5:$B$7,2,FALSE))</f>
        <v>Large Bus</v>
      </c>
      <c r="E31" s="28" t="s">
        <v>101</v>
      </c>
      <c r="F31" s="28" t="s">
        <v>68</v>
      </c>
      <c r="G31" s="29" t="s">
        <v>69</v>
      </c>
      <c r="H31" s="29" t="s">
        <v>69</v>
      </c>
      <c r="I31" s="29" t="s">
        <v>70</v>
      </c>
      <c r="J31" s="29" t="s">
        <v>71</v>
      </c>
      <c r="K31" s="30" t="s">
        <v>71</v>
      </c>
      <c r="L31" s="30" t="str">
        <f t="shared" si="0"/>
        <v>Ntungamo-Kampala</v>
      </c>
      <c r="M31" s="31">
        <v>64</v>
      </c>
      <c r="N31" s="37">
        <v>21000</v>
      </c>
      <c r="O31" s="58">
        <v>5.5</v>
      </c>
    </row>
    <row r="32" spans="2:15" s="19" customFormat="1" x14ac:dyDescent="0.2">
      <c r="B32" s="27">
        <v>0.39305555555555555</v>
      </c>
      <c r="C32" s="28">
        <v>6</v>
      </c>
      <c r="D32" s="36" t="str">
        <f>IF(C32="", "",VLOOKUP(C32,Key!$A$5:$B$7,2,FALSE))</f>
        <v>Large Bus</v>
      </c>
      <c r="E32" s="28" t="s">
        <v>99</v>
      </c>
      <c r="F32" s="28" t="s">
        <v>68</v>
      </c>
      <c r="G32" s="29" t="s">
        <v>79</v>
      </c>
      <c r="H32" s="29" t="s">
        <v>79</v>
      </c>
      <c r="I32" s="29" t="s">
        <v>70</v>
      </c>
      <c r="J32" s="29" t="s">
        <v>71</v>
      </c>
      <c r="K32" s="30" t="s">
        <v>71</v>
      </c>
      <c r="L32" s="30" t="str">
        <f t="shared" si="0"/>
        <v>Mbarara-Kampala</v>
      </c>
      <c r="M32" s="31">
        <v>32</v>
      </c>
      <c r="N32" s="37">
        <v>20000</v>
      </c>
      <c r="O32" s="58">
        <v>4.75</v>
      </c>
    </row>
    <row r="33" spans="2:15" s="19" customFormat="1" x14ac:dyDescent="0.2">
      <c r="B33" s="27">
        <v>0.3972222222222222</v>
      </c>
      <c r="C33" s="28">
        <v>6</v>
      </c>
      <c r="D33" s="36" t="str">
        <f>IF(C33="", "",VLOOKUP(C33,Key!$A$5:$B$7,2,FALSE))</f>
        <v>Large Bus</v>
      </c>
      <c r="E33" s="28" t="s">
        <v>100</v>
      </c>
      <c r="F33" s="28" t="s">
        <v>68</v>
      </c>
      <c r="G33" s="29" t="s">
        <v>76</v>
      </c>
      <c r="H33" s="29" t="s">
        <v>77</v>
      </c>
      <c r="I33" s="29" t="s">
        <v>70</v>
      </c>
      <c r="J33" s="29" t="s">
        <v>71</v>
      </c>
      <c r="K33" s="30" t="s">
        <v>71</v>
      </c>
      <c r="L33" s="30" t="str">
        <f t="shared" si="0"/>
        <v>Bushenyi-Kampala</v>
      </c>
      <c r="M33" s="31">
        <v>64</v>
      </c>
      <c r="N33" s="37">
        <v>21000</v>
      </c>
      <c r="O33" s="58">
        <v>5.5</v>
      </c>
    </row>
    <row r="34" spans="2:15" s="19" customFormat="1" x14ac:dyDescent="0.2">
      <c r="B34" s="27">
        <v>0.41111111111111115</v>
      </c>
      <c r="C34" s="28">
        <v>6</v>
      </c>
      <c r="D34" s="36" t="str">
        <f>IF(C34="", "",VLOOKUP(C34,Key!$A$5:$B$7,2,FALSE))</f>
        <v>Large Bus</v>
      </c>
      <c r="E34" s="28" t="s">
        <v>102</v>
      </c>
      <c r="F34" s="28" t="s">
        <v>68</v>
      </c>
      <c r="G34" s="29" t="s">
        <v>73</v>
      </c>
      <c r="H34" s="29" t="s">
        <v>73</v>
      </c>
      <c r="I34" s="29" t="s">
        <v>70</v>
      </c>
      <c r="J34" s="29" t="s">
        <v>71</v>
      </c>
      <c r="K34" s="30" t="s">
        <v>71</v>
      </c>
      <c r="L34" s="30" t="str">
        <f t="shared" si="0"/>
        <v>Ibanda-Kampala</v>
      </c>
      <c r="M34" s="31">
        <v>64</v>
      </c>
      <c r="N34" s="37">
        <v>21000</v>
      </c>
      <c r="O34" s="58">
        <v>5.15</v>
      </c>
    </row>
    <row r="35" spans="2:15" s="19" customFormat="1" x14ac:dyDescent="0.2">
      <c r="B35" s="27">
        <v>0.43402777777777773</v>
      </c>
      <c r="C35" s="28">
        <v>6</v>
      </c>
      <c r="D35" s="36" t="str">
        <f>IF(C35="", "",VLOOKUP(C35,Key!$A$5:$B$7,2,FALSE))</f>
        <v>Large Bus</v>
      </c>
      <c r="E35" s="28" t="s">
        <v>103</v>
      </c>
      <c r="F35" s="28" t="s">
        <v>68</v>
      </c>
      <c r="G35" s="29" t="s">
        <v>83</v>
      </c>
      <c r="H35" s="29" t="s">
        <v>83</v>
      </c>
      <c r="I35" s="29" t="s">
        <v>70</v>
      </c>
      <c r="J35" s="29" t="s">
        <v>71</v>
      </c>
      <c r="K35" s="30" t="s">
        <v>71</v>
      </c>
      <c r="L35" s="30" t="str">
        <f t="shared" si="0"/>
        <v>Kabale-Kampala</v>
      </c>
      <c r="M35" s="31">
        <v>64</v>
      </c>
      <c r="N35" s="37">
        <v>35000</v>
      </c>
      <c r="O35" s="58">
        <v>6.75</v>
      </c>
    </row>
    <row r="36" spans="2:15" s="19" customFormat="1" x14ac:dyDescent="0.2">
      <c r="B36" s="27">
        <v>0.43541666666666662</v>
      </c>
      <c r="C36" s="28">
        <v>6</v>
      </c>
      <c r="D36" s="36" t="str">
        <f>IF(C36="", "",VLOOKUP(C36,Key!$A$5:$B$7,2,FALSE))</f>
        <v>Large Bus</v>
      </c>
      <c r="E36" s="28" t="s">
        <v>104</v>
      </c>
      <c r="F36" s="28" t="s">
        <v>68</v>
      </c>
      <c r="G36" s="29" t="s">
        <v>79</v>
      </c>
      <c r="H36" s="29" t="s">
        <v>79</v>
      </c>
      <c r="I36" s="29" t="s">
        <v>70</v>
      </c>
      <c r="J36" s="29" t="s">
        <v>71</v>
      </c>
      <c r="K36" s="30" t="s">
        <v>71</v>
      </c>
      <c r="L36" s="30" t="str">
        <f t="shared" si="0"/>
        <v>Mbarara-Kampala</v>
      </c>
      <c r="M36" s="31">
        <v>64</v>
      </c>
      <c r="N36" s="37">
        <v>20000</v>
      </c>
      <c r="O36" s="58">
        <v>4.75</v>
      </c>
    </row>
    <row r="37" spans="2:15" s="19" customFormat="1" x14ac:dyDescent="0.2">
      <c r="B37" s="27">
        <v>0.43958333333333338</v>
      </c>
      <c r="C37" s="28">
        <v>6</v>
      </c>
      <c r="D37" s="36" t="str">
        <f>IF(C37="", "",VLOOKUP(C37,Key!$A$5:$B$7,2,FALSE))</f>
        <v>Large Bus</v>
      </c>
      <c r="E37" s="28" t="s">
        <v>105</v>
      </c>
      <c r="F37" s="28" t="s">
        <v>68</v>
      </c>
      <c r="G37" s="29" t="s">
        <v>73</v>
      </c>
      <c r="H37" s="29" t="s">
        <v>73</v>
      </c>
      <c r="I37" s="29" t="s">
        <v>70</v>
      </c>
      <c r="J37" s="29" t="s">
        <v>71</v>
      </c>
      <c r="K37" s="30" t="s">
        <v>71</v>
      </c>
      <c r="L37" s="30" t="str">
        <f t="shared" si="0"/>
        <v>Ibanda-Kampala</v>
      </c>
      <c r="M37" s="31">
        <v>30</v>
      </c>
      <c r="N37" s="37">
        <v>21000</v>
      </c>
      <c r="O37" s="58">
        <v>5.15</v>
      </c>
    </row>
    <row r="38" spans="2:15" s="19" customFormat="1" x14ac:dyDescent="0.2">
      <c r="B38" s="27">
        <v>0.44375000000000003</v>
      </c>
      <c r="C38" s="28">
        <v>6</v>
      </c>
      <c r="D38" s="36" t="str">
        <f>IF(C38="", "",VLOOKUP(C38,Key!$A$5:$B$7,2,FALSE))</f>
        <v>Large Bus</v>
      </c>
      <c r="E38" s="28" t="s">
        <v>106</v>
      </c>
      <c r="F38" s="28" t="s">
        <v>68</v>
      </c>
      <c r="G38" s="29" t="s">
        <v>76</v>
      </c>
      <c r="H38" s="29" t="s">
        <v>77</v>
      </c>
      <c r="I38" s="29" t="s">
        <v>70</v>
      </c>
      <c r="J38" s="29" t="s">
        <v>71</v>
      </c>
      <c r="K38" s="30" t="s">
        <v>71</v>
      </c>
      <c r="L38" s="30" t="str">
        <f t="shared" si="0"/>
        <v>Bushenyi-Kampala</v>
      </c>
      <c r="M38" s="31">
        <v>64</v>
      </c>
      <c r="N38" s="37">
        <v>21000</v>
      </c>
      <c r="O38" s="58">
        <v>5.5</v>
      </c>
    </row>
    <row r="39" spans="2:15" s="19" customFormat="1" x14ac:dyDescent="0.2">
      <c r="B39" s="27">
        <v>0.45555555555555555</v>
      </c>
      <c r="C39" s="28">
        <v>6</v>
      </c>
      <c r="D39" s="36" t="str">
        <f>IF(C39="", "",VLOOKUP(C39,Key!$A$5:$B$7,2,FALSE))</f>
        <v>Large Bus</v>
      </c>
      <c r="E39" s="28" t="s">
        <v>107</v>
      </c>
      <c r="F39" s="28" t="s">
        <v>68</v>
      </c>
      <c r="G39" s="29" t="s">
        <v>73</v>
      </c>
      <c r="H39" s="29" t="s">
        <v>73</v>
      </c>
      <c r="I39" s="29" t="s">
        <v>70</v>
      </c>
      <c r="J39" s="29" t="s">
        <v>71</v>
      </c>
      <c r="K39" s="30" t="s">
        <v>71</v>
      </c>
      <c r="L39" s="30" t="str">
        <f t="shared" si="0"/>
        <v>Ibanda-Kampala</v>
      </c>
      <c r="M39" s="31">
        <v>64</v>
      </c>
      <c r="N39" s="37">
        <v>21000</v>
      </c>
      <c r="O39" s="58">
        <v>5.15</v>
      </c>
    </row>
    <row r="40" spans="2:15" s="19" customFormat="1" x14ac:dyDescent="0.2">
      <c r="B40" s="27">
        <v>0.46875</v>
      </c>
      <c r="C40" s="28">
        <v>6</v>
      </c>
      <c r="D40" s="36" t="str">
        <f>IF(C40="", "",VLOOKUP(C40,Key!$A$5:$B$7,2,FALSE))</f>
        <v>Large Bus</v>
      </c>
      <c r="E40" s="28" t="s">
        <v>108</v>
      </c>
      <c r="F40" s="28" t="s">
        <v>68</v>
      </c>
      <c r="G40" s="29" t="s">
        <v>83</v>
      </c>
      <c r="H40" s="29" t="s">
        <v>83</v>
      </c>
      <c r="I40" s="29" t="s">
        <v>70</v>
      </c>
      <c r="J40" s="29" t="s">
        <v>71</v>
      </c>
      <c r="K40" s="30" t="s">
        <v>71</v>
      </c>
      <c r="L40" s="30" t="str">
        <f t="shared" si="0"/>
        <v>Kabale-Kampala</v>
      </c>
      <c r="M40" s="31">
        <v>64</v>
      </c>
      <c r="N40" s="37">
        <v>35000</v>
      </c>
      <c r="O40" s="58">
        <v>6.75</v>
      </c>
    </row>
    <row r="41" spans="2:15" s="19" customFormat="1" x14ac:dyDescent="0.2">
      <c r="B41" s="27">
        <v>0.30208333333333331</v>
      </c>
      <c r="C41" s="28">
        <v>6</v>
      </c>
      <c r="D41" s="36" t="str">
        <f>IF(C41="", "",VLOOKUP(C41,Key!$A$5:$B$7,2,FALSE))</f>
        <v>Large Bus</v>
      </c>
      <c r="E41" s="28" t="s">
        <v>109</v>
      </c>
      <c r="F41" s="28" t="s">
        <v>110</v>
      </c>
      <c r="G41" s="29" t="s">
        <v>71</v>
      </c>
      <c r="H41" s="29" t="s">
        <v>111</v>
      </c>
      <c r="I41" s="29" t="s">
        <v>70</v>
      </c>
      <c r="J41" s="29" t="s">
        <v>69</v>
      </c>
      <c r="K41" s="30" t="s">
        <v>69</v>
      </c>
      <c r="L41" s="30" t="str">
        <f t="shared" ref="L41:L72" si="1">H41&amp;"-"&amp;K41</f>
        <v>kampala-Ntungamo</v>
      </c>
      <c r="M41" s="31">
        <v>64</v>
      </c>
      <c r="N41" s="37">
        <v>25000</v>
      </c>
      <c r="O41" s="58">
        <v>5.5</v>
      </c>
    </row>
    <row r="42" spans="2:15" s="19" customFormat="1" x14ac:dyDescent="0.2">
      <c r="B42" s="27">
        <v>0.30833333333333335</v>
      </c>
      <c r="C42" s="28">
        <v>6</v>
      </c>
      <c r="D42" s="36" t="str">
        <f>IF(C42="", "",VLOOKUP(C42,Key!$A$5:$B$7,2,FALSE))</f>
        <v>Large Bus</v>
      </c>
      <c r="E42" s="28" t="s">
        <v>112</v>
      </c>
      <c r="F42" s="28" t="s">
        <v>110</v>
      </c>
      <c r="G42" s="29" t="s">
        <v>71</v>
      </c>
      <c r="H42" s="29" t="s">
        <v>111</v>
      </c>
      <c r="I42" s="29" t="s">
        <v>70</v>
      </c>
      <c r="J42" s="29" t="s">
        <v>76</v>
      </c>
      <c r="K42" s="30" t="s">
        <v>76</v>
      </c>
      <c r="L42" s="30" t="str">
        <f t="shared" si="1"/>
        <v>kampala-Ishaka</v>
      </c>
      <c r="M42" s="31">
        <v>64</v>
      </c>
      <c r="N42" s="37">
        <v>20000</v>
      </c>
      <c r="O42" s="58">
        <v>5.26</v>
      </c>
    </row>
    <row r="43" spans="2:15" s="19" customFormat="1" x14ac:dyDescent="0.2">
      <c r="B43" s="27">
        <v>0.3125</v>
      </c>
      <c r="C43" s="28">
        <v>6</v>
      </c>
      <c r="D43" s="36" t="str">
        <f>IF(C43="", "",VLOOKUP(C43,Key!$A$5:$B$7,2,FALSE))</f>
        <v>Large Bus</v>
      </c>
      <c r="E43" s="28" t="s">
        <v>113</v>
      </c>
      <c r="F43" s="28" t="s">
        <v>110</v>
      </c>
      <c r="G43" s="29" t="s">
        <v>71</v>
      </c>
      <c r="H43" s="29" t="s">
        <v>111</v>
      </c>
      <c r="I43" s="29" t="s">
        <v>70</v>
      </c>
      <c r="J43" s="29" t="s">
        <v>76</v>
      </c>
      <c r="K43" s="30" t="s">
        <v>76</v>
      </c>
      <c r="L43" s="30" t="str">
        <f t="shared" si="1"/>
        <v>kampala-Ishaka</v>
      </c>
      <c r="M43" s="31">
        <v>64</v>
      </c>
      <c r="N43" s="37">
        <v>20000</v>
      </c>
      <c r="O43" s="58">
        <v>5.26</v>
      </c>
    </row>
    <row r="44" spans="2:15" s="19" customFormat="1" x14ac:dyDescent="0.2">
      <c r="B44" s="27">
        <v>0.32430555555555557</v>
      </c>
      <c r="C44" s="28">
        <v>6</v>
      </c>
      <c r="D44" s="36" t="str">
        <f>IF(C44="", "",VLOOKUP(C44,Key!$A$5:$B$7,2,FALSE))</f>
        <v>Large Bus</v>
      </c>
      <c r="E44" s="28" t="s">
        <v>75</v>
      </c>
      <c r="F44" s="28" t="s">
        <v>110</v>
      </c>
      <c r="G44" s="29" t="s">
        <v>71</v>
      </c>
      <c r="H44" s="29" t="s">
        <v>111</v>
      </c>
      <c r="I44" s="29" t="s">
        <v>70</v>
      </c>
      <c r="J44" s="29" t="s">
        <v>185</v>
      </c>
      <c r="K44" s="30" t="s">
        <v>185</v>
      </c>
      <c r="L44" s="30" t="str">
        <f t="shared" si="1"/>
        <v>kampala-Lyantode</v>
      </c>
      <c r="M44" s="31">
        <v>64</v>
      </c>
      <c r="N44" s="37">
        <v>20000</v>
      </c>
      <c r="O44" s="58">
        <v>3.75</v>
      </c>
    </row>
    <row r="45" spans="2:15" s="19" customFormat="1" x14ac:dyDescent="0.2">
      <c r="B45" s="27">
        <v>0.34513888888888888</v>
      </c>
      <c r="C45" s="28">
        <v>6</v>
      </c>
      <c r="D45" s="36" t="str">
        <f>IF(C45="", "",VLOOKUP(C45,Key!$A$5:$B$7,2,FALSE))</f>
        <v>Large Bus</v>
      </c>
      <c r="E45" s="28" t="s">
        <v>114</v>
      </c>
      <c r="F45" s="28" t="s">
        <v>110</v>
      </c>
      <c r="G45" s="29" t="s">
        <v>71</v>
      </c>
      <c r="H45" s="29" t="s">
        <v>111</v>
      </c>
      <c r="I45" s="29" t="s">
        <v>70</v>
      </c>
      <c r="J45" s="29" t="s">
        <v>81</v>
      </c>
      <c r="K45" s="30" t="s">
        <v>179</v>
      </c>
      <c r="L45" s="30" t="str">
        <f t="shared" si="1"/>
        <v>kampala-RUKUNGIRI</v>
      </c>
      <c r="M45" s="31">
        <v>64</v>
      </c>
      <c r="N45" s="37">
        <v>24000</v>
      </c>
      <c r="O45" s="58">
        <v>6.25</v>
      </c>
    </row>
    <row r="46" spans="2:15" s="19" customFormat="1" x14ac:dyDescent="0.2">
      <c r="B46" s="27">
        <v>0.35833333333333334</v>
      </c>
      <c r="C46" s="28">
        <v>6</v>
      </c>
      <c r="D46" s="36" t="str">
        <f>IF(C46="", "",VLOOKUP(C46,Key!$A$5:$B$7,2,FALSE))</f>
        <v>Large Bus</v>
      </c>
      <c r="E46" s="28" t="s">
        <v>115</v>
      </c>
      <c r="F46" s="28" t="s">
        <v>110</v>
      </c>
      <c r="G46" s="29" t="s">
        <v>71</v>
      </c>
      <c r="H46" s="29" t="s">
        <v>111</v>
      </c>
      <c r="I46" s="29" t="s">
        <v>70</v>
      </c>
      <c r="J46" s="29" t="s">
        <v>116</v>
      </c>
      <c r="K46" s="30" t="s">
        <v>116</v>
      </c>
      <c r="L46" s="30" t="str">
        <f t="shared" si="1"/>
        <v>kampala-Katete</v>
      </c>
      <c r="M46" s="31">
        <v>64</v>
      </c>
      <c r="N46" s="37">
        <v>35000</v>
      </c>
      <c r="O46" s="58">
        <v>7.5</v>
      </c>
    </row>
    <row r="47" spans="2:15" s="19" customFormat="1" x14ac:dyDescent="0.2">
      <c r="B47" s="27">
        <v>0.36736111111111108</v>
      </c>
      <c r="C47" s="28">
        <v>6</v>
      </c>
      <c r="D47" s="36" t="str">
        <f>IF(C47="", "",VLOOKUP(C47,Key!$A$5:$B$7,2,FALSE))</f>
        <v>Large Bus</v>
      </c>
      <c r="E47" s="28" t="s">
        <v>117</v>
      </c>
      <c r="F47" s="28" t="s">
        <v>110</v>
      </c>
      <c r="G47" s="29" t="s">
        <v>71</v>
      </c>
      <c r="H47" s="29" t="s">
        <v>111</v>
      </c>
      <c r="I47" s="29" t="s">
        <v>70</v>
      </c>
      <c r="J47" s="29" t="s">
        <v>81</v>
      </c>
      <c r="K47" s="30" t="s">
        <v>179</v>
      </c>
      <c r="L47" s="30" t="str">
        <f t="shared" si="1"/>
        <v>kampala-RUKUNGIRI</v>
      </c>
      <c r="M47" s="31">
        <v>64</v>
      </c>
      <c r="N47" s="37">
        <v>24000</v>
      </c>
      <c r="O47" s="58">
        <v>6.25</v>
      </c>
    </row>
    <row r="48" spans="2:15" s="19" customFormat="1" x14ac:dyDescent="0.2">
      <c r="B48" s="27">
        <v>0.39374999999999999</v>
      </c>
      <c r="C48" s="28">
        <v>6</v>
      </c>
      <c r="D48" s="36" t="str">
        <f>IF(C48="", "",VLOOKUP(C48,Key!$A$5:$B$7,2,FALSE))</f>
        <v>Large Bus</v>
      </c>
      <c r="E48" s="28" t="s">
        <v>118</v>
      </c>
      <c r="F48" s="28" t="s">
        <v>110</v>
      </c>
      <c r="G48" s="29" t="s">
        <v>71</v>
      </c>
      <c r="H48" s="29" t="s">
        <v>111</v>
      </c>
      <c r="I48" s="29" t="s">
        <v>70</v>
      </c>
      <c r="J48" s="29" t="s">
        <v>79</v>
      </c>
      <c r="K48" s="30" t="s">
        <v>79</v>
      </c>
      <c r="L48" s="30" t="str">
        <f t="shared" si="1"/>
        <v>kampala-Mbarara</v>
      </c>
      <c r="M48" s="31">
        <v>50</v>
      </c>
      <c r="N48" s="37">
        <v>20000</v>
      </c>
      <c r="O48" s="58">
        <v>4.75</v>
      </c>
    </row>
    <row r="49" spans="2:15" s="19" customFormat="1" x14ac:dyDescent="0.2">
      <c r="B49" s="27">
        <v>0.3972222222222222</v>
      </c>
      <c r="C49" s="28">
        <v>6</v>
      </c>
      <c r="D49" s="36" t="str">
        <f>IF(C49="", "",VLOOKUP(C49,Key!$A$5:$B$7,2,FALSE))</f>
        <v>Large Bus</v>
      </c>
      <c r="E49" s="28" t="s">
        <v>119</v>
      </c>
      <c r="F49" s="28" t="s">
        <v>110</v>
      </c>
      <c r="G49" s="29" t="s">
        <v>71</v>
      </c>
      <c r="H49" s="29" t="s">
        <v>111</v>
      </c>
      <c r="I49" s="29" t="s">
        <v>70</v>
      </c>
      <c r="J49" s="29" t="s">
        <v>69</v>
      </c>
      <c r="K49" s="30" t="s">
        <v>69</v>
      </c>
      <c r="L49" s="30" t="str">
        <f t="shared" si="1"/>
        <v>kampala-Ntungamo</v>
      </c>
      <c r="M49" s="31">
        <v>32</v>
      </c>
      <c r="N49" s="37">
        <v>25000</v>
      </c>
      <c r="O49" s="58">
        <v>5.5</v>
      </c>
    </row>
    <row r="50" spans="2:15" s="19" customFormat="1" x14ac:dyDescent="0.2">
      <c r="B50" s="27">
        <v>0.4069444444444445</v>
      </c>
      <c r="C50" s="28">
        <v>6</v>
      </c>
      <c r="D50" s="36" t="str">
        <f>IF(C50="", "",VLOOKUP(C50,Key!$A$5:$B$7,2,FALSE))</f>
        <v>Large Bus</v>
      </c>
      <c r="E50" s="28" t="s">
        <v>120</v>
      </c>
      <c r="F50" s="28" t="s">
        <v>110</v>
      </c>
      <c r="G50" s="29" t="s">
        <v>71</v>
      </c>
      <c r="H50" s="29" t="s">
        <v>111</v>
      </c>
      <c r="I50" s="29" t="s">
        <v>70</v>
      </c>
      <c r="J50" s="29" t="s">
        <v>77</v>
      </c>
      <c r="K50" s="30" t="s">
        <v>77</v>
      </c>
      <c r="L50" s="30" t="str">
        <f t="shared" si="1"/>
        <v>kampala-Bushenyi</v>
      </c>
      <c r="M50" s="31">
        <v>64</v>
      </c>
      <c r="N50" s="37">
        <v>24000</v>
      </c>
      <c r="O50" s="58">
        <v>5.5</v>
      </c>
    </row>
    <row r="51" spans="2:15" s="19" customFormat="1" x14ac:dyDescent="0.2">
      <c r="B51" s="27">
        <v>0.43888888888888888</v>
      </c>
      <c r="C51" s="28">
        <v>6</v>
      </c>
      <c r="D51" s="36" t="str">
        <f>IF(C51="", "",VLOOKUP(C51,Key!$A$5:$B$7,2,FALSE))</f>
        <v>Large Bus</v>
      </c>
      <c r="E51" s="28" t="s">
        <v>121</v>
      </c>
      <c r="F51" s="28" t="s">
        <v>110</v>
      </c>
      <c r="G51" s="29" t="s">
        <v>71</v>
      </c>
      <c r="H51" s="29" t="s">
        <v>111</v>
      </c>
      <c r="I51" s="29" t="s">
        <v>70</v>
      </c>
      <c r="J51" s="29" t="s">
        <v>76</v>
      </c>
      <c r="K51" s="30" t="s">
        <v>76</v>
      </c>
      <c r="L51" s="30" t="str">
        <f t="shared" si="1"/>
        <v>kampala-Ishaka</v>
      </c>
      <c r="M51" s="31">
        <v>64</v>
      </c>
      <c r="N51" s="37">
        <v>20000</v>
      </c>
      <c r="O51" s="58">
        <v>5.26</v>
      </c>
    </row>
    <row r="52" spans="2:15" s="19" customFormat="1" x14ac:dyDescent="0.2">
      <c r="B52" s="27">
        <v>0.44236111111111115</v>
      </c>
      <c r="C52" s="28">
        <v>6</v>
      </c>
      <c r="D52" s="36" t="str">
        <f>IF(C52="", "",VLOOKUP(C52,Key!$A$5:$B$7,2,FALSE))</f>
        <v>Large Bus</v>
      </c>
      <c r="E52" s="28" t="s">
        <v>122</v>
      </c>
      <c r="F52" s="28" t="s">
        <v>110</v>
      </c>
      <c r="G52" s="29" t="s">
        <v>71</v>
      </c>
      <c r="H52" s="29" t="s">
        <v>111</v>
      </c>
      <c r="I52" s="29" t="s">
        <v>70</v>
      </c>
      <c r="J52" s="29" t="s">
        <v>83</v>
      </c>
      <c r="K52" s="30" t="s">
        <v>83</v>
      </c>
      <c r="L52" s="30" t="str">
        <f t="shared" si="1"/>
        <v>kampala-Kabale</v>
      </c>
      <c r="M52" s="31">
        <v>64</v>
      </c>
      <c r="N52" s="37">
        <v>35000</v>
      </c>
      <c r="O52" s="58">
        <v>6.75</v>
      </c>
    </row>
    <row r="53" spans="2:15" s="19" customFormat="1" x14ac:dyDescent="0.2">
      <c r="B53" s="27">
        <v>0.44930555555555557</v>
      </c>
      <c r="C53" s="28">
        <v>6</v>
      </c>
      <c r="D53" s="36" t="str">
        <f>IF(C53="", "",VLOOKUP(C53,Key!$A$5:$B$7,2,FALSE))</f>
        <v>Large Bus</v>
      </c>
      <c r="E53" s="28" t="s">
        <v>123</v>
      </c>
      <c r="F53" s="28" t="s">
        <v>110</v>
      </c>
      <c r="G53" s="29" t="s">
        <v>71</v>
      </c>
      <c r="H53" s="29" t="s">
        <v>111</v>
      </c>
      <c r="I53" s="29" t="s">
        <v>70</v>
      </c>
      <c r="J53" s="29" t="s">
        <v>69</v>
      </c>
      <c r="K53" s="30" t="s">
        <v>69</v>
      </c>
      <c r="L53" s="30" t="str">
        <f t="shared" si="1"/>
        <v>kampala-Ntungamo</v>
      </c>
      <c r="M53" s="31">
        <v>64</v>
      </c>
      <c r="N53" s="37">
        <v>25000</v>
      </c>
      <c r="O53" s="58">
        <v>5.5</v>
      </c>
    </row>
    <row r="54" spans="2:15" s="19" customFormat="1" x14ac:dyDescent="0.2">
      <c r="B54" s="27">
        <v>0.48402777777777778</v>
      </c>
      <c r="C54" s="28">
        <v>6</v>
      </c>
      <c r="D54" s="36" t="str">
        <f>IF(C54="", "",VLOOKUP(C54,Key!$A$5:$B$7,2,FALSE))</f>
        <v>Large Bus</v>
      </c>
      <c r="E54" s="28" t="s">
        <v>124</v>
      </c>
      <c r="F54" s="28" t="s">
        <v>110</v>
      </c>
      <c r="G54" s="29" t="s">
        <v>71</v>
      </c>
      <c r="H54" s="29" t="s">
        <v>111</v>
      </c>
      <c r="I54" s="29" t="s">
        <v>70</v>
      </c>
      <c r="J54" s="29" t="s">
        <v>93</v>
      </c>
      <c r="K54" s="30" t="s">
        <v>93</v>
      </c>
      <c r="L54" s="30" t="str">
        <f t="shared" si="1"/>
        <v>kampala-Kigali</v>
      </c>
      <c r="M54" s="31">
        <v>64</v>
      </c>
      <c r="N54" s="37">
        <v>50000</v>
      </c>
      <c r="O54" s="58">
        <v>8.5</v>
      </c>
    </row>
    <row r="55" spans="2:15" s="19" customFormat="1" x14ac:dyDescent="0.2">
      <c r="B55" s="27">
        <v>0.49027777777777781</v>
      </c>
      <c r="C55" s="28">
        <v>6</v>
      </c>
      <c r="D55" s="36" t="str">
        <f>IF(C55="", "",VLOOKUP(C55,Key!$A$5:$B$7,2,FALSE))</f>
        <v>Large Bus</v>
      </c>
      <c r="E55" s="28" t="s">
        <v>125</v>
      </c>
      <c r="F55" s="28" t="s">
        <v>110</v>
      </c>
      <c r="G55" s="29" t="s">
        <v>71</v>
      </c>
      <c r="H55" s="29" t="s">
        <v>111</v>
      </c>
      <c r="I55" s="29" t="s">
        <v>70</v>
      </c>
      <c r="J55" s="29" t="s">
        <v>76</v>
      </c>
      <c r="K55" s="30" t="s">
        <v>76</v>
      </c>
      <c r="L55" s="30" t="str">
        <f t="shared" si="1"/>
        <v>kampala-Ishaka</v>
      </c>
      <c r="M55" s="31">
        <v>64</v>
      </c>
      <c r="N55" s="37">
        <v>20000</v>
      </c>
      <c r="O55" s="58">
        <v>5.26</v>
      </c>
    </row>
    <row r="56" spans="2:15" s="19" customFormat="1" x14ac:dyDescent="0.2">
      <c r="B56" s="27">
        <v>0.49444444444444446</v>
      </c>
      <c r="C56" s="28">
        <v>6</v>
      </c>
      <c r="D56" s="36" t="str">
        <f>IF(C56="", "",VLOOKUP(C56,Key!$A$5:$B$7,2,FALSE))</f>
        <v>Large Bus</v>
      </c>
      <c r="E56" s="28" t="s">
        <v>126</v>
      </c>
      <c r="F56" s="28" t="s">
        <v>110</v>
      </c>
      <c r="G56" s="29" t="s">
        <v>71</v>
      </c>
      <c r="H56" s="29" t="s">
        <v>111</v>
      </c>
      <c r="I56" s="29" t="s">
        <v>70</v>
      </c>
      <c r="J56" s="29" t="s">
        <v>79</v>
      </c>
      <c r="K56" s="30" t="s">
        <v>79</v>
      </c>
      <c r="L56" s="30" t="str">
        <f t="shared" si="1"/>
        <v>kampala-Mbarara</v>
      </c>
      <c r="M56" s="31">
        <v>64</v>
      </c>
      <c r="N56" s="37">
        <v>20000</v>
      </c>
      <c r="O56" s="58">
        <v>4.75</v>
      </c>
    </row>
    <row r="57" spans="2:15" s="19" customFormat="1" x14ac:dyDescent="0.2">
      <c r="B57" s="27">
        <v>0.5</v>
      </c>
      <c r="C57" s="28">
        <v>6</v>
      </c>
      <c r="D57" s="36" t="str">
        <f>IF(C57="", "",VLOOKUP(C57,Key!$A$5:$B$7,2,FALSE))</f>
        <v>Large Bus</v>
      </c>
      <c r="E57" s="28" t="s">
        <v>127</v>
      </c>
      <c r="F57" s="28" t="s">
        <v>110</v>
      </c>
      <c r="G57" s="29" t="s">
        <v>71</v>
      </c>
      <c r="H57" s="29" t="s">
        <v>111</v>
      </c>
      <c r="I57" s="29" t="s">
        <v>70</v>
      </c>
      <c r="J57" s="29" t="s">
        <v>69</v>
      </c>
      <c r="K57" s="30" t="s">
        <v>69</v>
      </c>
      <c r="L57" s="30" t="str">
        <f t="shared" si="1"/>
        <v>kampala-Ntungamo</v>
      </c>
      <c r="M57" s="31">
        <v>64</v>
      </c>
      <c r="N57" s="37">
        <v>25000</v>
      </c>
      <c r="O57" s="58">
        <v>5.5</v>
      </c>
    </row>
    <row r="58" spans="2:15" s="19" customFormat="1" x14ac:dyDescent="0.2">
      <c r="B58" s="27">
        <v>0.50624999999999998</v>
      </c>
      <c r="C58" s="28">
        <v>6</v>
      </c>
      <c r="D58" s="36" t="str">
        <f>IF(C58="", "",VLOOKUP(C58,Key!$A$5:$B$7,2,FALSE))</f>
        <v>Large Bus</v>
      </c>
      <c r="E58" s="28" t="s">
        <v>128</v>
      </c>
      <c r="F58" s="28" t="s">
        <v>110</v>
      </c>
      <c r="G58" s="29" t="s">
        <v>71</v>
      </c>
      <c r="H58" s="29" t="s">
        <v>111</v>
      </c>
      <c r="I58" s="29" t="s">
        <v>70</v>
      </c>
      <c r="J58" s="29" t="s">
        <v>83</v>
      </c>
      <c r="K58" s="30" t="s">
        <v>83</v>
      </c>
      <c r="L58" s="30" t="str">
        <f t="shared" si="1"/>
        <v>kampala-Kabale</v>
      </c>
      <c r="M58" s="31">
        <v>64</v>
      </c>
      <c r="N58" s="37">
        <v>35000</v>
      </c>
      <c r="O58" s="58">
        <v>6.75</v>
      </c>
    </row>
    <row r="59" spans="2:15" s="19" customFormat="1" x14ac:dyDescent="0.2">
      <c r="B59" s="27">
        <v>0.51180555555555551</v>
      </c>
      <c r="C59" s="28">
        <v>6</v>
      </c>
      <c r="D59" s="36" t="str">
        <f>IF(C59="", "",VLOOKUP(C59,Key!$A$5:$B$7,2,FALSE))</f>
        <v>Large Bus</v>
      </c>
      <c r="E59" s="28" t="s">
        <v>129</v>
      </c>
      <c r="F59" s="28" t="s">
        <v>110</v>
      </c>
      <c r="G59" s="29" t="s">
        <v>71</v>
      </c>
      <c r="H59" s="29" t="s">
        <v>111</v>
      </c>
      <c r="I59" s="29" t="s">
        <v>70</v>
      </c>
      <c r="J59" s="29" t="s">
        <v>79</v>
      </c>
      <c r="K59" s="30" t="s">
        <v>79</v>
      </c>
      <c r="L59" s="30" t="str">
        <f t="shared" si="1"/>
        <v>kampala-Mbarara</v>
      </c>
      <c r="M59" s="31">
        <v>64</v>
      </c>
      <c r="N59" s="37">
        <v>20000</v>
      </c>
      <c r="O59" s="58">
        <v>4.75</v>
      </c>
    </row>
    <row r="60" spans="2:15" s="19" customFormat="1" x14ac:dyDescent="0.2">
      <c r="B60" s="27">
        <v>0.52500000000000002</v>
      </c>
      <c r="C60" s="28">
        <v>6</v>
      </c>
      <c r="D60" s="36" t="str">
        <f>IF(C60="", "",VLOOKUP(C60,Key!$A$5:$B$7,2,FALSE))</f>
        <v>Large Bus</v>
      </c>
      <c r="E60" s="28" t="s">
        <v>130</v>
      </c>
      <c r="F60" s="28" t="s">
        <v>110</v>
      </c>
      <c r="G60" s="29" t="s">
        <v>71</v>
      </c>
      <c r="H60" s="29" t="s">
        <v>111</v>
      </c>
      <c r="I60" s="29" t="s">
        <v>70</v>
      </c>
      <c r="J60" s="29" t="s">
        <v>81</v>
      </c>
      <c r="K60" s="30" t="s">
        <v>179</v>
      </c>
      <c r="L60" s="30" t="str">
        <f t="shared" si="1"/>
        <v>kampala-RUKUNGIRI</v>
      </c>
      <c r="M60" s="31">
        <v>64</v>
      </c>
      <c r="N60" s="37">
        <v>24000</v>
      </c>
      <c r="O60" s="58">
        <v>6.25</v>
      </c>
    </row>
    <row r="61" spans="2:15" s="19" customFormat="1" x14ac:dyDescent="0.2">
      <c r="B61" s="27">
        <v>0.53333333333333333</v>
      </c>
      <c r="C61" s="28">
        <v>6</v>
      </c>
      <c r="D61" s="36" t="str">
        <f>IF(C61="", "",VLOOKUP(C61,Key!$A$5:$B$7,2,FALSE))</f>
        <v>Large Bus</v>
      </c>
      <c r="E61" s="28" t="s">
        <v>131</v>
      </c>
      <c r="F61" s="28" t="s">
        <v>110</v>
      </c>
      <c r="G61" s="29" t="s">
        <v>71</v>
      </c>
      <c r="H61" s="29" t="s">
        <v>111</v>
      </c>
      <c r="I61" s="29" t="s">
        <v>70</v>
      </c>
      <c r="J61" s="29" t="s">
        <v>76</v>
      </c>
      <c r="K61" s="30" t="s">
        <v>76</v>
      </c>
      <c r="L61" s="30" t="str">
        <f t="shared" si="1"/>
        <v>kampala-Ishaka</v>
      </c>
      <c r="M61" s="31">
        <v>64</v>
      </c>
      <c r="N61" s="37">
        <v>20000</v>
      </c>
      <c r="O61" s="58">
        <v>5.26</v>
      </c>
    </row>
    <row r="62" spans="2:15" s="19" customFormat="1" x14ac:dyDescent="0.2">
      <c r="B62" s="27">
        <v>0.59791666666666665</v>
      </c>
      <c r="C62" s="28">
        <v>6</v>
      </c>
      <c r="D62" s="36" t="str">
        <f>IF(C62="", "",VLOOKUP(C62,Key!$A$5:$B$7,2,FALSE))</f>
        <v>Large Bus</v>
      </c>
      <c r="E62" s="28" t="s">
        <v>132</v>
      </c>
      <c r="F62" s="28" t="s">
        <v>110</v>
      </c>
      <c r="G62" s="29" t="s">
        <v>71</v>
      </c>
      <c r="H62" s="29" t="s">
        <v>111</v>
      </c>
      <c r="I62" s="29" t="s">
        <v>70</v>
      </c>
      <c r="J62" s="29" t="s">
        <v>76</v>
      </c>
      <c r="K62" s="30" t="s">
        <v>76</v>
      </c>
      <c r="L62" s="30" t="str">
        <f t="shared" si="1"/>
        <v>kampala-Ishaka</v>
      </c>
      <c r="M62" s="31">
        <v>30</v>
      </c>
      <c r="N62" s="37">
        <v>20000</v>
      </c>
      <c r="O62" s="58">
        <v>5.26</v>
      </c>
    </row>
    <row r="63" spans="2:15" s="19" customFormat="1" x14ac:dyDescent="0.2">
      <c r="B63" s="27">
        <v>0.60416666666666663</v>
      </c>
      <c r="C63" s="28">
        <v>6</v>
      </c>
      <c r="D63" s="36" t="str">
        <f>IF(C63="", "",VLOOKUP(C63,Key!$A$5:$B$7,2,FALSE))</f>
        <v>Large Bus</v>
      </c>
      <c r="E63" s="28" t="s">
        <v>133</v>
      </c>
      <c r="F63" s="28" t="s">
        <v>110</v>
      </c>
      <c r="G63" s="29" t="s">
        <v>71</v>
      </c>
      <c r="H63" s="29" t="s">
        <v>111</v>
      </c>
      <c r="I63" s="29" t="s">
        <v>70</v>
      </c>
      <c r="J63" s="29" t="s">
        <v>81</v>
      </c>
      <c r="K63" s="30" t="s">
        <v>179</v>
      </c>
      <c r="L63" s="30" t="str">
        <f t="shared" si="1"/>
        <v>kampala-RUKUNGIRI</v>
      </c>
      <c r="M63" s="31">
        <v>64</v>
      </c>
      <c r="N63" s="37">
        <v>24000</v>
      </c>
      <c r="O63" s="58">
        <v>6.25</v>
      </c>
    </row>
    <row r="64" spans="2:15" s="19" customFormat="1" x14ac:dyDescent="0.2">
      <c r="B64" s="27">
        <v>0.60625000000000007</v>
      </c>
      <c r="C64" s="28">
        <v>6</v>
      </c>
      <c r="D64" s="36" t="str">
        <f>IF(C64="", "",VLOOKUP(C64,Key!$A$5:$B$7,2,FALSE))</f>
        <v>Large Bus</v>
      </c>
      <c r="E64" s="28" t="s">
        <v>134</v>
      </c>
      <c r="F64" s="28" t="s">
        <v>110</v>
      </c>
      <c r="G64" s="29" t="s">
        <v>71</v>
      </c>
      <c r="H64" s="29" t="s">
        <v>111</v>
      </c>
      <c r="I64" s="29" t="s">
        <v>70</v>
      </c>
      <c r="J64" s="29" t="s">
        <v>76</v>
      </c>
      <c r="K64" s="30" t="s">
        <v>76</v>
      </c>
      <c r="L64" s="30" t="str">
        <f t="shared" si="1"/>
        <v>kampala-Ishaka</v>
      </c>
      <c r="M64" s="31">
        <v>64</v>
      </c>
      <c r="N64" s="37">
        <v>20000</v>
      </c>
      <c r="O64" s="58">
        <v>5.26</v>
      </c>
    </row>
    <row r="65" spans="2:15" s="19" customFormat="1" x14ac:dyDescent="0.2">
      <c r="B65" s="27">
        <v>0.61597222222222225</v>
      </c>
      <c r="C65" s="28">
        <v>6</v>
      </c>
      <c r="D65" s="36" t="str">
        <f>IF(C65="", "",VLOOKUP(C65,Key!$A$5:$B$7,2,FALSE))</f>
        <v>Large Bus</v>
      </c>
      <c r="E65" s="28" t="s">
        <v>135</v>
      </c>
      <c r="F65" s="28" t="s">
        <v>110</v>
      </c>
      <c r="G65" s="29" t="s">
        <v>71</v>
      </c>
      <c r="H65" s="29" t="s">
        <v>111</v>
      </c>
      <c r="I65" s="29" t="s">
        <v>70</v>
      </c>
      <c r="J65" s="29" t="s">
        <v>79</v>
      </c>
      <c r="K65" s="30" t="s">
        <v>79</v>
      </c>
      <c r="L65" s="30" t="str">
        <f t="shared" si="1"/>
        <v>kampala-Mbarara</v>
      </c>
      <c r="M65" s="31">
        <v>57</v>
      </c>
      <c r="N65" s="37">
        <v>20000</v>
      </c>
      <c r="O65" s="58">
        <v>4.75</v>
      </c>
    </row>
    <row r="66" spans="2:15" s="19" customFormat="1" x14ac:dyDescent="0.2">
      <c r="B66" s="27">
        <v>0.625</v>
      </c>
      <c r="C66" s="28">
        <v>6</v>
      </c>
      <c r="D66" s="36" t="str">
        <f>IF(C66="", "",VLOOKUP(C66,Key!$A$5:$B$7,2,FALSE))</f>
        <v>Large Bus</v>
      </c>
      <c r="E66" s="28" t="s">
        <v>136</v>
      </c>
      <c r="F66" s="28" t="s">
        <v>110</v>
      </c>
      <c r="G66" s="29" t="s">
        <v>71</v>
      </c>
      <c r="H66" s="29" t="s">
        <v>111</v>
      </c>
      <c r="I66" s="29" t="s">
        <v>70</v>
      </c>
      <c r="J66" s="29" t="s">
        <v>73</v>
      </c>
      <c r="K66" s="30" t="s">
        <v>73</v>
      </c>
      <c r="L66" s="30" t="str">
        <f t="shared" si="1"/>
        <v>kampala-Ibanda</v>
      </c>
      <c r="M66" s="31">
        <v>30</v>
      </c>
      <c r="N66" s="37">
        <v>21000</v>
      </c>
      <c r="O66" s="58">
        <v>5.15</v>
      </c>
    </row>
    <row r="67" spans="2:15" s="19" customFormat="1" x14ac:dyDescent="0.2">
      <c r="B67" s="27">
        <v>0.62569444444444444</v>
      </c>
      <c r="C67" s="28">
        <v>6</v>
      </c>
      <c r="D67" s="36" t="str">
        <f>IF(C67="", "",VLOOKUP(C67,Key!$A$5:$B$7,2,FALSE))</f>
        <v>Large Bus</v>
      </c>
      <c r="E67" s="28" t="s">
        <v>137</v>
      </c>
      <c r="F67" s="28" t="s">
        <v>110</v>
      </c>
      <c r="G67" s="29" t="s">
        <v>71</v>
      </c>
      <c r="H67" s="29" t="s">
        <v>111</v>
      </c>
      <c r="I67" s="29" t="s">
        <v>70</v>
      </c>
      <c r="J67" s="29" t="s">
        <v>69</v>
      </c>
      <c r="K67" s="30" t="s">
        <v>69</v>
      </c>
      <c r="L67" s="30" t="str">
        <f t="shared" si="1"/>
        <v>kampala-Ntungamo</v>
      </c>
      <c r="M67" s="31">
        <v>60</v>
      </c>
      <c r="N67" s="37">
        <v>25000</v>
      </c>
      <c r="O67" s="58">
        <v>5.5</v>
      </c>
    </row>
    <row r="68" spans="2:15" s="19" customFormat="1" x14ac:dyDescent="0.2">
      <c r="B68" s="27">
        <v>0.63541666666666663</v>
      </c>
      <c r="C68" s="28">
        <v>6</v>
      </c>
      <c r="D68" s="36" t="str">
        <f>IF(C68="", "",VLOOKUP(C68,Key!$A$5:$B$7,2,FALSE))</f>
        <v>Large Bus</v>
      </c>
      <c r="E68" s="28" t="s">
        <v>138</v>
      </c>
      <c r="F68" s="28" t="s">
        <v>110</v>
      </c>
      <c r="G68" s="29" t="s">
        <v>71</v>
      </c>
      <c r="H68" s="29" t="s">
        <v>111</v>
      </c>
      <c r="I68" s="29" t="s">
        <v>70</v>
      </c>
      <c r="J68" s="29" t="s">
        <v>76</v>
      </c>
      <c r="K68" s="30" t="s">
        <v>76</v>
      </c>
      <c r="L68" s="30" t="str">
        <f t="shared" si="1"/>
        <v>kampala-Ishaka</v>
      </c>
      <c r="M68" s="31">
        <v>57</v>
      </c>
      <c r="N68" s="37">
        <v>20000</v>
      </c>
      <c r="O68" s="58">
        <v>5.26</v>
      </c>
    </row>
    <row r="69" spans="2:15" s="19" customFormat="1" x14ac:dyDescent="0.2">
      <c r="B69" s="27">
        <v>0.64166666666666672</v>
      </c>
      <c r="C69" s="28">
        <v>6</v>
      </c>
      <c r="D69" s="36" t="str">
        <f>IF(C69="", "",VLOOKUP(C69,Key!$A$5:$B$7,2,FALSE))</f>
        <v>Large Bus</v>
      </c>
      <c r="E69" s="28" t="s">
        <v>139</v>
      </c>
      <c r="F69" s="28" t="s">
        <v>110</v>
      </c>
      <c r="G69" s="29" t="s">
        <v>71</v>
      </c>
      <c r="H69" s="29" t="s">
        <v>111</v>
      </c>
      <c r="I69" s="29" t="s">
        <v>70</v>
      </c>
      <c r="J69" s="29" t="s">
        <v>79</v>
      </c>
      <c r="K69" s="30" t="s">
        <v>79</v>
      </c>
      <c r="L69" s="30" t="str">
        <f t="shared" si="1"/>
        <v>kampala-Mbarara</v>
      </c>
      <c r="M69" s="31">
        <v>57</v>
      </c>
      <c r="N69" s="37">
        <v>20000</v>
      </c>
      <c r="O69" s="58">
        <v>4.75</v>
      </c>
    </row>
    <row r="70" spans="2:15" s="19" customFormat="1" x14ac:dyDescent="0.2">
      <c r="B70" s="27">
        <v>0.65208333333333335</v>
      </c>
      <c r="C70" s="28">
        <v>6</v>
      </c>
      <c r="D70" s="36" t="str">
        <f>IF(C70="", "",VLOOKUP(C70,Key!$A$5:$B$7,2,FALSE))</f>
        <v>Large Bus</v>
      </c>
      <c r="E70" s="28" t="s">
        <v>140</v>
      </c>
      <c r="F70" s="28" t="s">
        <v>110</v>
      </c>
      <c r="G70" s="29" t="s">
        <v>71</v>
      </c>
      <c r="H70" s="29" t="s">
        <v>111</v>
      </c>
      <c r="I70" s="29" t="s">
        <v>70</v>
      </c>
      <c r="J70" s="29" t="s">
        <v>83</v>
      </c>
      <c r="K70" s="30" t="s">
        <v>83</v>
      </c>
      <c r="L70" s="30" t="str">
        <f t="shared" si="1"/>
        <v>kampala-Kabale</v>
      </c>
      <c r="M70" s="31">
        <v>40</v>
      </c>
      <c r="N70" s="37">
        <v>35000</v>
      </c>
      <c r="O70" s="58">
        <v>6.75</v>
      </c>
    </row>
    <row r="71" spans="2:15" s="19" customFormat="1" x14ac:dyDescent="0.2">
      <c r="B71" s="27">
        <v>0.65208333333333335</v>
      </c>
      <c r="C71" s="28">
        <v>6</v>
      </c>
      <c r="D71" s="36" t="str">
        <f>IF(C71="", "",VLOOKUP(C71,Key!$A$5:$B$7,2,FALSE))</f>
        <v>Large Bus</v>
      </c>
      <c r="E71" s="28" t="s">
        <v>141</v>
      </c>
      <c r="F71" s="28" t="s">
        <v>110</v>
      </c>
      <c r="G71" s="29" t="s">
        <v>71</v>
      </c>
      <c r="H71" s="29" t="s">
        <v>111</v>
      </c>
      <c r="I71" s="29" t="s">
        <v>70</v>
      </c>
      <c r="J71" s="29" t="s">
        <v>83</v>
      </c>
      <c r="K71" s="30" t="s">
        <v>83</v>
      </c>
      <c r="L71" s="30" t="str">
        <f t="shared" si="1"/>
        <v>kampala-Kabale</v>
      </c>
      <c r="M71" s="31">
        <v>45</v>
      </c>
      <c r="N71" s="37">
        <v>35000</v>
      </c>
      <c r="O71" s="58">
        <v>6.75</v>
      </c>
    </row>
    <row r="72" spans="2:15" s="19" customFormat="1" x14ac:dyDescent="0.2">
      <c r="B72" s="27">
        <v>0.67361111111111116</v>
      </c>
      <c r="C72" s="28">
        <v>6</v>
      </c>
      <c r="D72" s="36" t="str">
        <f>IF(C72="", "",VLOOKUP(C72,Key!$A$5:$B$7,2,FALSE))</f>
        <v>Large Bus</v>
      </c>
      <c r="E72" s="28" t="s">
        <v>142</v>
      </c>
      <c r="F72" s="28" t="s">
        <v>110</v>
      </c>
      <c r="G72" s="29" t="s">
        <v>71</v>
      </c>
      <c r="H72" s="29" t="s">
        <v>111</v>
      </c>
      <c r="I72" s="29" t="s">
        <v>70</v>
      </c>
      <c r="J72" s="29" t="s">
        <v>69</v>
      </c>
      <c r="K72" s="30" t="s">
        <v>69</v>
      </c>
      <c r="L72" s="30" t="str">
        <f t="shared" si="1"/>
        <v>kampala-Ntungamo</v>
      </c>
      <c r="M72" s="31">
        <v>42</v>
      </c>
      <c r="N72" s="37">
        <v>25000</v>
      </c>
      <c r="O72" s="58">
        <v>5.5</v>
      </c>
    </row>
    <row r="73" spans="2:15" s="19" customFormat="1" x14ac:dyDescent="0.2">
      <c r="B73" s="27">
        <v>0.67847222222222225</v>
      </c>
      <c r="C73" s="28">
        <v>6</v>
      </c>
      <c r="D73" s="36" t="str">
        <f>IF(C73="", "",VLOOKUP(C73,Key!$A$5:$B$7,2,FALSE))</f>
        <v>Large Bus</v>
      </c>
      <c r="E73" s="28" t="s">
        <v>143</v>
      </c>
      <c r="F73" s="28" t="s">
        <v>110</v>
      </c>
      <c r="G73" s="29" t="s">
        <v>71</v>
      </c>
      <c r="H73" s="29" t="s">
        <v>111</v>
      </c>
      <c r="I73" s="29" t="s">
        <v>70</v>
      </c>
      <c r="J73" s="29" t="s">
        <v>81</v>
      </c>
      <c r="K73" s="59" t="s">
        <v>81</v>
      </c>
      <c r="L73" s="30" t="str">
        <f t="shared" ref="L73:L91" si="2">H73&amp;"-"&amp;K73</f>
        <v>kampala-Rukungiri</v>
      </c>
      <c r="M73" s="31">
        <v>60</v>
      </c>
      <c r="N73" s="37">
        <v>24000</v>
      </c>
      <c r="O73" s="58">
        <v>6.25</v>
      </c>
    </row>
    <row r="74" spans="2:15" s="19" customFormat="1" x14ac:dyDescent="0.2">
      <c r="B74" s="27">
        <v>0.69166666666666676</v>
      </c>
      <c r="C74" s="28">
        <v>6</v>
      </c>
      <c r="D74" s="36" t="str">
        <f>IF(C74="", "",VLOOKUP(C74,Key!$A$5:$B$7,2,FALSE))</f>
        <v>Large Bus</v>
      </c>
      <c r="E74" s="28" t="s">
        <v>144</v>
      </c>
      <c r="F74" s="28" t="s">
        <v>110</v>
      </c>
      <c r="G74" s="29" t="s">
        <v>71</v>
      </c>
      <c r="H74" s="29" t="s">
        <v>111</v>
      </c>
      <c r="I74" s="29" t="s">
        <v>70</v>
      </c>
      <c r="J74" s="29" t="s">
        <v>79</v>
      </c>
      <c r="K74" s="30" t="s">
        <v>79</v>
      </c>
      <c r="L74" s="30" t="str">
        <f t="shared" si="2"/>
        <v>kampala-Mbarara</v>
      </c>
      <c r="M74" s="31">
        <v>64</v>
      </c>
      <c r="N74" s="37">
        <v>20000</v>
      </c>
      <c r="O74" s="58">
        <v>4.75</v>
      </c>
    </row>
    <row r="75" spans="2:15" s="19" customFormat="1" x14ac:dyDescent="0.2">
      <c r="B75" s="27">
        <v>0.6958333333333333</v>
      </c>
      <c r="C75" s="28">
        <v>6</v>
      </c>
      <c r="D75" s="36" t="str">
        <f>IF(C75="", "",VLOOKUP(C75,Key!$A$5:$B$7,2,FALSE))</f>
        <v>Large Bus</v>
      </c>
      <c r="E75" s="28" t="s">
        <v>145</v>
      </c>
      <c r="F75" s="28" t="s">
        <v>110</v>
      </c>
      <c r="G75" s="29" t="s">
        <v>71</v>
      </c>
      <c r="H75" s="29" t="s">
        <v>111</v>
      </c>
      <c r="I75" s="29" t="s">
        <v>70</v>
      </c>
      <c r="J75" s="29" t="s">
        <v>83</v>
      </c>
      <c r="K75" s="30" t="s">
        <v>83</v>
      </c>
      <c r="L75" s="30" t="str">
        <f t="shared" si="2"/>
        <v>kampala-Kabale</v>
      </c>
      <c r="M75" s="31">
        <v>64</v>
      </c>
      <c r="N75" s="37">
        <v>35000</v>
      </c>
      <c r="O75" s="58">
        <v>6.75</v>
      </c>
    </row>
    <row r="76" spans="2:15" s="19" customFormat="1" x14ac:dyDescent="0.2">
      <c r="B76" s="27">
        <v>0.70624999999999993</v>
      </c>
      <c r="C76" s="28">
        <v>6</v>
      </c>
      <c r="D76" s="36" t="str">
        <f>IF(C76="", "",VLOOKUP(C76,Key!$A$5:$B$7,2,FALSE))</f>
        <v>Large Bus</v>
      </c>
      <c r="E76" s="28" t="s">
        <v>146</v>
      </c>
      <c r="F76" s="28" t="s">
        <v>110</v>
      </c>
      <c r="G76" s="29" t="s">
        <v>71</v>
      </c>
      <c r="H76" s="29" t="s">
        <v>111</v>
      </c>
      <c r="I76" s="29" t="s">
        <v>70</v>
      </c>
      <c r="J76" s="29" t="s">
        <v>69</v>
      </c>
      <c r="K76" s="30" t="s">
        <v>69</v>
      </c>
      <c r="L76" s="30" t="str">
        <f t="shared" si="2"/>
        <v>kampala-Ntungamo</v>
      </c>
      <c r="M76" s="31">
        <v>64</v>
      </c>
      <c r="N76" s="37">
        <v>25000</v>
      </c>
      <c r="O76" s="58">
        <v>5.5</v>
      </c>
    </row>
    <row r="77" spans="2:15" s="19" customFormat="1" x14ac:dyDescent="0.2">
      <c r="B77" s="27">
        <v>0.71527777777777779</v>
      </c>
      <c r="C77" s="28">
        <v>6</v>
      </c>
      <c r="D77" s="36" t="str">
        <f>IF(C77="", "",VLOOKUP(C77,Key!$A$5:$B$7,2,FALSE))</f>
        <v>Large Bus</v>
      </c>
      <c r="E77" s="28" t="s">
        <v>147</v>
      </c>
      <c r="F77" s="28" t="s">
        <v>110</v>
      </c>
      <c r="G77" s="29" t="s">
        <v>71</v>
      </c>
      <c r="H77" s="29" t="s">
        <v>111</v>
      </c>
      <c r="I77" s="29" t="s">
        <v>70</v>
      </c>
      <c r="J77" s="29" t="s">
        <v>76</v>
      </c>
      <c r="K77" s="30" t="s">
        <v>76</v>
      </c>
      <c r="L77" s="30" t="str">
        <f t="shared" si="2"/>
        <v>kampala-Ishaka</v>
      </c>
      <c r="M77" s="31">
        <v>64</v>
      </c>
      <c r="N77" s="37">
        <v>20000</v>
      </c>
      <c r="O77" s="58">
        <v>5.26</v>
      </c>
    </row>
    <row r="78" spans="2:15" s="19" customFormat="1" x14ac:dyDescent="0.2">
      <c r="B78" s="27">
        <v>0.72499999999999998</v>
      </c>
      <c r="C78" s="28">
        <v>6</v>
      </c>
      <c r="D78" s="36" t="str">
        <f>IF(C78="", "",VLOOKUP(C78,Key!$A$5:$B$7,2,FALSE))</f>
        <v>Large Bus</v>
      </c>
      <c r="E78" s="28" t="s">
        <v>148</v>
      </c>
      <c r="F78" s="28" t="s">
        <v>110</v>
      </c>
      <c r="G78" s="29" t="s">
        <v>71</v>
      </c>
      <c r="H78" s="29" t="s">
        <v>111</v>
      </c>
      <c r="I78" s="29" t="s">
        <v>70</v>
      </c>
      <c r="J78" s="29" t="s">
        <v>73</v>
      </c>
      <c r="K78" s="30" t="s">
        <v>73</v>
      </c>
      <c r="L78" s="30" t="str">
        <f t="shared" si="2"/>
        <v>kampala-Ibanda</v>
      </c>
      <c r="M78" s="31">
        <v>64</v>
      </c>
      <c r="N78" s="37">
        <v>21000</v>
      </c>
      <c r="O78" s="58">
        <v>5.15</v>
      </c>
    </row>
    <row r="79" spans="2:15" s="19" customFormat="1" x14ac:dyDescent="0.2">
      <c r="B79" s="27">
        <v>0.73888888888888893</v>
      </c>
      <c r="C79" s="28">
        <v>6</v>
      </c>
      <c r="D79" s="36" t="str">
        <f>IF(C79="", "",VLOOKUP(C79,Key!$A$5:$B$7,2,FALSE))</f>
        <v>Large Bus</v>
      </c>
      <c r="E79" s="28" t="s">
        <v>67</v>
      </c>
      <c r="F79" s="28" t="s">
        <v>110</v>
      </c>
      <c r="G79" s="29" t="s">
        <v>71</v>
      </c>
      <c r="H79" s="29" t="s">
        <v>111</v>
      </c>
      <c r="I79" s="29" t="s">
        <v>70</v>
      </c>
      <c r="J79" s="29" t="s">
        <v>69</v>
      </c>
      <c r="K79" s="30" t="s">
        <v>69</v>
      </c>
      <c r="L79" s="30" t="str">
        <f t="shared" si="2"/>
        <v>kampala-Ntungamo</v>
      </c>
      <c r="M79" s="31">
        <v>64</v>
      </c>
      <c r="N79" s="37">
        <v>25000</v>
      </c>
      <c r="O79" s="58">
        <v>5.5</v>
      </c>
    </row>
    <row r="80" spans="2:15" s="19" customFormat="1" x14ac:dyDescent="0.2">
      <c r="B80" s="27">
        <v>0.76388888888888884</v>
      </c>
      <c r="C80" s="28">
        <v>6</v>
      </c>
      <c r="D80" s="36" t="str">
        <f>IF(C80="", "",VLOOKUP(C80,Key!$A$5:$B$7,2,FALSE))</f>
        <v>Large Bus</v>
      </c>
      <c r="E80" s="28" t="s">
        <v>67</v>
      </c>
      <c r="F80" s="28" t="s">
        <v>110</v>
      </c>
      <c r="G80" s="29" t="s">
        <v>71</v>
      </c>
      <c r="H80" s="29" t="s">
        <v>111</v>
      </c>
      <c r="I80" s="29" t="s">
        <v>70</v>
      </c>
      <c r="J80" s="29" t="s">
        <v>79</v>
      </c>
      <c r="K80" s="30" t="s">
        <v>79</v>
      </c>
      <c r="L80" s="30" t="str">
        <f t="shared" si="2"/>
        <v>kampala-Mbarara</v>
      </c>
      <c r="M80" s="31">
        <v>50</v>
      </c>
      <c r="N80" s="37">
        <v>20000</v>
      </c>
      <c r="O80" s="58">
        <v>4.75</v>
      </c>
    </row>
    <row r="81" spans="2:15" s="19" customFormat="1" x14ac:dyDescent="0.2">
      <c r="B81" s="27">
        <v>0.76527777777777783</v>
      </c>
      <c r="C81" s="28">
        <v>6</v>
      </c>
      <c r="D81" s="36" t="str">
        <f>IF(C81="", "",VLOOKUP(C81,Key!$A$5:$B$7,2,FALSE))</f>
        <v>Large Bus</v>
      </c>
      <c r="E81" s="28" t="s">
        <v>149</v>
      </c>
      <c r="F81" s="28" t="s">
        <v>110</v>
      </c>
      <c r="G81" s="29" t="s">
        <v>71</v>
      </c>
      <c r="H81" s="29" t="s">
        <v>111</v>
      </c>
      <c r="I81" s="29" t="s">
        <v>70</v>
      </c>
      <c r="J81" s="29" t="s">
        <v>81</v>
      </c>
      <c r="K81" s="30" t="s">
        <v>179</v>
      </c>
      <c r="L81" s="30" t="str">
        <f t="shared" si="2"/>
        <v>kampala-RUKUNGIRI</v>
      </c>
      <c r="M81" s="31">
        <v>58</v>
      </c>
      <c r="N81" s="37">
        <v>24000</v>
      </c>
      <c r="O81" s="58">
        <v>6.25</v>
      </c>
    </row>
    <row r="82" spans="2:15" s="19" customFormat="1" x14ac:dyDescent="0.2">
      <c r="B82" s="27">
        <v>0.77708333333333324</v>
      </c>
      <c r="C82" s="28">
        <v>6</v>
      </c>
      <c r="D82" s="36" t="str">
        <f>IF(C82="", "",VLOOKUP(C82,Key!$A$5:$B$7,2,FALSE))</f>
        <v>Large Bus</v>
      </c>
      <c r="E82" s="28" t="s">
        <v>150</v>
      </c>
      <c r="F82" s="28" t="s">
        <v>110</v>
      </c>
      <c r="G82" s="29" t="s">
        <v>71</v>
      </c>
      <c r="H82" s="29" t="s">
        <v>111</v>
      </c>
      <c r="I82" s="29" t="s">
        <v>70</v>
      </c>
      <c r="J82" s="29" t="s">
        <v>73</v>
      </c>
      <c r="K82" s="30" t="s">
        <v>73</v>
      </c>
      <c r="L82" s="30" t="str">
        <f t="shared" si="2"/>
        <v>kampala-Ibanda</v>
      </c>
      <c r="M82" s="31">
        <v>60</v>
      </c>
      <c r="N82" s="37">
        <v>21000</v>
      </c>
      <c r="O82" s="58">
        <v>5.15</v>
      </c>
    </row>
    <row r="83" spans="2:15" s="19" customFormat="1" x14ac:dyDescent="0.2">
      <c r="B83" s="27">
        <v>0.78749999999999998</v>
      </c>
      <c r="C83" s="28">
        <v>6</v>
      </c>
      <c r="D83" s="36" t="str">
        <f>IF(C83="", "",VLOOKUP(C83,Key!$A$5:$B$7,2,FALSE))</f>
        <v>Large Bus</v>
      </c>
      <c r="E83" s="28" t="s">
        <v>151</v>
      </c>
      <c r="F83" s="28" t="s">
        <v>110</v>
      </c>
      <c r="G83" s="29" t="s">
        <v>71</v>
      </c>
      <c r="H83" s="29" t="s">
        <v>111</v>
      </c>
      <c r="I83" s="29" t="s">
        <v>70</v>
      </c>
      <c r="J83" s="29" t="s">
        <v>81</v>
      </c>
      <c r="K83" s="30" t="s">
        <v>179</v>
      </c>
      <c r="L83" s="30" t="str">
        <f t="shared" si="2"/>
        <v>kampala-RUKUNGIRI</v>
      </c>
      <c r="M83" s="31">
        <v>64</v>
      </c>
      <c r="N83" s="37">
        <v>24000</v>
      </c>
      <c r="O83" s="58">
        <v>6.25</v>
      </c>
    </row>
    <row r="84" spans="2:15" s="19" customFormat="1" x14ac:dyDescent="0.2">
      <c r="B84" s="27">
        <v>0.78749999999999998</v>
      </c>
      <c r="C84" s="28">
        <v>6</v>
      </c>
      <c r="D84" s="36" t="str">
        <f>IF(C84="", "",VLOOKUP(C84,Key!$A$5:$B$7,2,FALSE))</f>
        <v>Large Bus</v>
      </c>
      <c r="E84" s="28" t="s">
        <v>152</v>
      </c>
      <c r="F84" s="28" t="s">
        <v>110</v>
      </c>
      <c r="G84" s="29" t="s">
        <v>71</v>
      </c>
      <c r="H84" s="29" t="s">
        <v>111</v>
      </c>
      <c r="I84" s="29" t="s">
        <v>70</v>
      </c>
      <c r="J84" s="29" t="s">
        <v>69</v>
      </c>
      <c r="K84" s="30" t="s">
        <v>69</v>
      </c>
      <c r="L84" s="30" t="str">
        <f t="shared" si="2"/>
        <v>kampala-Ntungamo</v>
      </c>
      <c r="M84" s="31">
        <v>64</v>
      </c>
      <c r="N84" s="37">
        <v>25000</v>
      </c>
      <c r="O84" s="58">
        <v>5.5</v>
      </c>
    </row>
    <row r="85" spans="2:15" s="19" customFormat="1" x14ac:dyDescent="0.2">
      <c r="B85" s="27">
        <v>0.7895833333333333</v>
      </c>
      <c r="C85" s="28">
        <v>6</v>
      </c>
      <c r="D85" s="36" t="str">
        <f>IF(C85="", "",VLOOKUP(C85,Key!$A$5:$B$7,2,FALSE))</f>
        <v>Large Bus</v>
      </c>
      <c r="E85" s="28" t="s">
        <v>153</v>
      </c>
      <c r="F85" s="28" t="s">
        <v>110</v>
      </c>
      <c r="G85" s="29" t="s">
        <v>71</v>
      </c>
      <c r="H85" s="29" t="s">
        <v>111</v>
      </c>
      <c r="I85" s="29" t="s">
        <v>70</v>
      </c>
      <c r="J85" s="29" t="s">
        <v>83</v>
      </c>
      <c r="K85" s="30" t="s">
        <v>83</v>
      </c>
      <c r="L85" s="30" t="str">
        <f t="shared" si="2"/>
        <v>kampala-Kabale</v>
      </c>
      <c r="M85" s="31">
        <v>55</v>
      </c>
      <c r="N85" s="37">
        <v>35000</v>
      </c>
      <c r="O85" s="58">
        <v>6.75</v>
      </c>
    </row>
    <row r="86" spans="2:15" s="19" customFormat="1" x14ac:dyDescent="0.2">
      <c r="B86" s="27">
        <v>0.7909722222222223</v>
      </c>
      <c r="C86" s="28">
        <v>6</v>
      </c>
      <c r="D86" s="36" t="str">
        <f>IF(C86="", "",VLOOKUP(C86,Key!$A$5:$B$7,2,FALSE))</f>
        <v>Large Bus</v>
      </c>
      <c r="E86" s="28" t="s">
        <v>154</v>
      </c>
      <c r="F86" s="28" t="s">
        <v>110</v>
      </c>
      <c r="G86" s="29" t="s">
        <v>71</v>
      </c>
      <c r="H86" s="29" t="s">
        <v>111</v>
      </c>
      <c r="I86" s="29" t="s">
        <v>70</v>
      </c>
      <c r="J86" s="29" t="s">
        <v>76</v>
      </c>
      <c r="K86" s="30" t="s">
        <v>76</v>
      </c>
      <c r="L86" s="30" t="str">
        <f t="shared" si="2"/>
        <v>kampala-Ishaka</v>
      </c>
      <c r="M86" s="31">
        <v>64</v>
      </c>
      <c r="N86" s="37">
        <v>20000</v>
      </c>
      <c r="O86" s="58">
        <v>5.26</v>
      </c>
    </row>
    <row r="87" spans="2:15" s="19" customFormat="1" x14ac:dyDescent="0.2">
      <c r="B87" s="27">
        <v>0.7909722222222223</v>
      </c>
      <c r="C87" s="28">
        <v>6</v>
      </c>
      <c r="D87" s="36" t="str">
        <f>IF(C87="", "",VLOOKUP(C87,Key!$A$5:$B$7,2,FALSE))</f>
        <v>Large Bus</v>
      </c>
      <c r="E87" s="28" t="s">
        <v>155</v>
      </c>
      <c r="F87" s="28" t="s">
        <v>110</v>
      </c>
      <c r="G87" s="29" t="s">
        <v>71</v>
      </c>
      <c r="H87" s="29" t="s">
        <v>111</v>
      </c>
      <c r="I87" s="29" t="s">
        <v>70</v>
      </c>
      <c r="J87" s="29" t="s">
        <v>69</v>
      </c>
      <c r="K87" s="30" t="s">
        <v>69</v>
      </c>
      <c r="L87" s="30" t="str">
        <f t="shared" si="2"/>
        <v>kampala-Ntungamo</v>
      </c>
      <c r="M87" s="31">
        <v>38</v>
      </c>
      <c r="N87" s="37">
        <v>25000</v>
      </c>
      <c r="O87" s="58">
        <v>5.5</v>
      </c>
    </row>
    <row r="88" spans="2:15" s="19" customFormat="1" x14ac:dyDescent="0.2">
      <c r="B88" s="27">
        <v>0.79166666666666663</v>
      </c>
      <c r="C88" s="28">
        <v>6</v>
      </c>
      <c r="D88" s="36" t="str">
        <f>IF(C88="", "",VLOOKUP(C88,Key!$A$5:$B$7,2,FALSE))</f>
        <v>Large Bus</v>
      </c>
      <c r="E88" s="28" t="s">
        <v>156</v>
      </c>
      <c r="F88" s="28" t="s">
        <v>110</v>
      </c>
      <c r="G88" s="29" t="s">
        <v>71</v>
      </c>
      <c r="H88" s="29" t="s">
        <v>111</v>
      </c>
      <c r="I88" s="29" t="s">
        <v>70</v>
      </c>
      <c r="J88" s="29" t="s">
        <v>76</v>
      </c>
      <c r="K88" s="30" t="s">
        <v>76</v>
      </c>
      <c r="L88" s="30" t="str">
        <f t="shared" si="2"/>
        <v>kampala-Ishaka</v>
      </c>
      <c r="M88" s="31">
        <v>64</v>
      </c>
      <c r="N88" s="37">
        <v>20000</v>
      </c>
      <c r="O88" s="58">
        <v>5.26</v>
      </c>
    </row>
    <row r="89" spans="2:15" s="19" customFormat="1" x14ac:dyDescent="0.2">
      <c r="B89" s="27">
        <v>0.80208333333333337</v>
      </c>
      <c r="C89" s="28">
        <v>6</v>
      </c>
      <c r="D89" s="36" t="str">
        <f>IF(C89="", "",VLOOKUP(C89,Key!$A$5:$B$7,2,FALSE))</f>
        <v>Large Bus</v>
      </c>
      <c r="E89" s="28" t="s">
        <v>157</v>
      </c>
      <c r="F89" s="28" t="s">
        <v>110</v>
      </c>
      <c r="G89" s="29" t="s">
        <v>71</v>
      </c>
      <c r="H89" s="29" t="s">
        <v>111</v>
      </c>
      <c r="I89" s="29" t="s">
        <v>70</v>
      </c>
      <c r="J89" s="29" t="s">
        <v>73</v>
      </c>
      <c r="K89" s="30" t="s">
        <v>73</v>
      </c>
      <c r="L89" s="30" t="str">
        <f t="shared" si="2"/>
        <v>kampala-Ibanda</v>
      </c>
      <c r="M89" s="31">
        <v>64</v>
      </c>
      <c r="N89" s="37">
        <v>21000</v>
      </c>
      <c r="O89" s="58">
        <v>5.15</v>
      </c>
    </row>
    <row r="90" spans="2:15" s="19" customFormat="1" x14ac:dyDescent="0.2">
      <c r="B90" s="27">
        <v>0.8027777777777777</v>
      </c>
      <c r="C90" s="28">
        <v>6</v>
      </c>
      <c r="D90" s="36" t="str">
        <f>IF(C90="", "",VLOOKUP(C90,Key!$A$5:$B$7,2,FALSE))</f>
        <v>Large Bus</v>
      </c>
      <c r="E90" s="28" t="s">
        <v>158</v>
      </c>
      <c r="F90" s="28" t="s">
        <v>110</v>
      </c>
      <c r="G90" s="29" t="s">
        <v>71</v>
      </c>
      <c r="H90" s="29" t="s">
        <v>111</v>
      </c>
      <c r="I90" s="29" t="s">
        <v>70</v>
      </c>
      <c r="J90" s="29" t="s">
        <v>76</v>
      </c>
      <c r="K90" s="30" t="s">
        <v>76</v>
      </c>
      <c r="L90" s="30" t="str">
        <f t="shared" si="2"/>
        <v>kampala-Ishaka</v>
      </c>
      <c r="M90" s="31">
        <v>64</v>
      </c>
      <c r="N90" s="37">
        <v>20000</v>
      </c>
      <c r="O90" s="58">
        <v>5.26</v>
      </c>
    </row>
    <row r="91" spans="2:15" s="19" customFormat="1" x14ac:dyDescent="0.2">
      <c r="B91" s="27">
        <v>0.8125</v>
      </c>
      <c r="C91" s="28">
        <v>6</v>
      </c>
      <c r="D91" s="36" t="str">
        <f>IF(C91="", "",VLOOKUP(C91,Key!$A$5:$B$7,2,FALSE))</f>
        <v>Large Bus</v>
      </c>
      <c r="E91" s="28" t="s">
        <v>159</v>
      </c>
      <c r="F91" s="28" t="s">
        <v>110</v>
      </c>
      <c r="G91" s="29" t="s">
        <v>71</v>
      </c>
      <c r="H91" s="29" t="s">
        <v>111</v>
      </c>
      <c r="I91" s="29" t="s">
        <v>70</v>
      </c>
      <c r="J91" s="29" t="s">
        <v>79</v>
      </c>
      <c r="K91" s="30" t="s">
        <v>79</v>
      </c>
      <c r="L91" s="30" t="str">
        <f t="shared" si="2"/>
        <v>kampala-Mbarara</v>
      </c>
      <c r="M91" s="31">
        <v>64</v>
      </c>
      <c r="N91" s="37">
        <v>20000</v>
      </c>
      <c r="O91" s="58">
        <v>4.75</v>
      </c>
    </row>
  </sheetData>
  <sortState ref="A9:V91">
    <sortCondition ref="A9:A91"/>
  </sortState>
  <mergeCells count="18">
    <mergeCell ref="J7:L7"/>
    <mergeCell ref="D7:D8"/>
    <mergeCell ref="B1:O1"/>
    <mergeCell ref="B2:O2"/>
    <mergeCell ref="E7:E8"/>
    <mergeCell ref="M7:M8"/>
    <mergeCell ref="D5:E5"/>
    <mergeCell ref="O7:O8"/>
    <mergeCell ref="K4:L4"/>
    <mergeCell ref="B4:C4"/>
    <mergeCell ref="B5:C5"/>
    <mergeCell ref="H5:I5"/>
    <mergeCell ref="H4:I4"/>
    <mergeCell ref="G7:I7"/>
    <mergeCell ref="F7:F8"/>
    <mergeCell ref="N7:N8"/>
    <mergeCell ref="B7:B8"/>
    <mergeCell ref="C7:C8"/>
  </mergeCells>
  <pageMargins left="0.2" right="0.2" top="0.15" bottom="0.15" header="0.05" footer="0.3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489"/>
  <sheetViews>
    <sheetView workbookViewId="0">
      <selection activeCell="O4" sqref="O4"/>
    </sheetView>
  </sheetViews>
  <sheetFormatPr defaultRowHeight="12.75" x14ac:dyDescent="0.2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 x14ac:dyDescent="0.2"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6"/>
      <c r="R1" s="6"/>
      <c r="S1" s="6"/>
      <c r="T1" s="6"/>
      <c r="U1" s="6"/>
      <c r="V1" s="6"/>
      <c r="W1" s="6"/>
      <c r="X1" s="6"/>
      <c r="Y1" s="6"/>
    </row>
    <row r="2" spans="2:25" ht="15" x14ac:dyDescent="0.2">
      <c r="B2" s="82" t="s">
        <v>1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7"/>
      <c r="R2" s="7"/>
      <c r="S2" s="7"/>
      <c r="T2" s="7"/>
      <c r="U2" s="7"/>
      <c r="V2" s="7"/>
      <c r="W2" s="7"/>
      <c r="X2" s="7"/>
      <c r="Y2" s="7"/>
    </row>
    <row r="3" spans="2:25" ht="1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 x14ac:dyDescent="0.2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 x14ac:dyDescent="0.25"/>
    <row r="7" spans="2:25" ht="30.75" customHeight="1" x14ac:dyDescent="0.2">
      <c r="B7" s="83" t="s">
        <v>8</v>
      </c>
      <c r="C7" s="85" t="s">
        <v>9</v>
      </c>
      <c r="D7" s="85" t="s">
        <v>10</v>
      </c>
      <c r="E7" s="85" t="s">
        <v>11</v>
      </c>
      <c r="F7" s="85" t="s">
        <v>12</v>
      </c>
      <c r="G7" s="85"/>
      <c r="H7" s="85" t="s">
        <v>15</v>
      </c>
      <c r="I7" s="85" t="s">
        <v>16</v>
      </c>
      <c r="J7" s="85" t="s">
        <v>17</v>
      </c>
      <c r="K7" s="85"/>
      <c r="L7" s="85" t="s">
        <v>18</v>
      </c>
      <c r="M7" s="85" t="s">
        <v>19</v>
      </c>
      <c r="N7" s="85" t="s">
        <v>20</v>
      </c>
      <c r="O7" s="87" t="s">
        <v>21</v>
      </c>
      <c r="P7" s="78" t="s">
        <v>27</v>
      </c>
      <c r="Q7" s="79"/>
    </row>
    <row r="8" spans="2:25" ht="24.75" customHeight="1" thickBot="1" x14ac:dyDescent="0.25">
      <c r="B8" s="84"/>
      <c r="C8" s="86"/>
      <c r="D8" s="86"/>
      <c r="E8" s="86"/>
      <c r="F8" s="18" t="s">
        <v>13</v>
      </c>
      <c r="G8" s="18" t="s">
        <v>14</v>
      </c>
      <c r="H8" s="86"/>
      <c r="I8" s="86"/>
      <c r="J8" s="18" t="s">
        <v>13</v>
      </c>
      <c r="K8" s="18" t="s">
        <v>14</v>
      </c>
      <c r="L8" s="86"/>
      <c r="M8" s="86"/>
      <c r="N8" s="86"/>
      <c r="O8" s="88"/>
      <c r="P8" s="80"/>
      <c r="Q8" s="81"/>
    </row>
    <row r="9" spans="2:25" x14ac:dyDescent="0.2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 x14ac:dyDescent="0.2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 x14ac:dyDescent="0.2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 x14ac:dyDescent="0.2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 x14ac:dyDescent="0.2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 x14ac:dyDescent="0.2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 x14ac:dyDescent="0.2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 x14ac:dyDescent="0.2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 x14ac:dyDescent="0.2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 x14ac:dyDescent="0.2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 x14ac:dyDescent="0.2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 x14ac:dyDescent="0.2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 x14ac:dyDescent="0.2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 x14ac:dyDescent="0.2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 x14ac:dyDescent="0.2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 x14ac:dyDescent="0.2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 x14ac:dyDescent="0.2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 x14ac:dyDescent="0.2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 x14ac:dyDescent="0.2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 x14ac:dyDescent="0.2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 x14ac:dyDescent="0.2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 x14ac:dyDescent="0.2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 x14ac:dyDescent="0.2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 x14ac:dyDescent="0.2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 x14ac:dyDescent="0.2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 x14ac:dyDescent="0.2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 x14ac:dyDescent="0.2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 x14ac:dyDescent="0.2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 x14ac:dyDescent="0.2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 x14ac:dyDescent="0.2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 x14ac:dyDescent="0.2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 x14ac:dyDescent="0.2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 x14ac:dyDescent="0.2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 x14ac:dyDescent="0.2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 x14ac:dyDescent="0.2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 x14ac:dyDescent="0.2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 x14ac:dyDescent="0.2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 x14ac:dyDescent="0.2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 x14ac:dyDescent="0.2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 x14ac:dyDescent="0.2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 x14ac:dyDescent="0.2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 x14ac:dyDescent="0.2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 x14ac:dyDescent="0.2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 x14ac:dyDescent="0.2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 x14ac:dyDescent="0.2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 x14ac:dyDescent="0.2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 x14ac:dyDescent="0.2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 x14ac:dyDescent="0.2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 x14ac:dyDescent="0.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 x14ac:dyDescent="0.2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 x14ac:dyDescent="0.2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 x14ac:dyDescent="0.2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 x14ac:dyDescent="0.2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 x14ac:dyDescent="0.2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 x14ac:dyDescent="0.2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 x14ac:dyDescent="0.2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 x14ac:dyDescent="0.2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 x14ac:dyDescent="0.2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 x14ac:dyDescent="0.2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 x14ac:dyDescent="0.2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 x14ac:dyDescent="0.2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 x14ac:dyDescent="0.2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 x14ac:dyDescent="0.2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 x14ac:dyDescent="0.2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 x14ac:dyDescent="0.2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 x14ac:dyDescent="0.2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 x14ac:dyDescent="0.2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 x14ac:dyDescent="0.2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 x14ac:dyDescent="0.2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 x14ac:dyDescent="0.2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 x14ac:dyDescent="0.2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 x14ac:dyDescent="0.2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 x14ac:dyDescent="0.2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 x14ac:dyDescent="0.2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 x14ac:dyDescent="0.2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 x14ac:dyDescent="0.2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 x14ac:dyDescent="0.2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 x14ac:dyDescent="0.2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 x14ac:dyDescent="0.2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 x14ac:dyDescent="0.2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 x14ac:dyDescent="0.2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 x14ac:dyDescent="0.2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 x14ac:dyDescent="0.2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 x14ac:dyDescent="0.2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 x14ac:dyDescent="0.2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 x14ac:dyDescent="0.2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 x14ac:dyDescent="0.2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 x14ac:dyDescent="0.2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 x14ac:dyDescent="0.2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 x14ac:dyDescent="0.2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 x14ac:dyDescent="0.2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 x14ac:dyDescent="0.2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 x14ac:dyDescent="0.2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 x14ac:dyDescent="0.2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 x14ac:dyDescent="0.2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 x14ac:dyDescent="0.2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 x14ac:dyDescent="0.2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 x14ac:dyDescent="0.2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 x14ac:dyDescent="0.2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 x14ac:dyDescent="0.2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 x14ac:dyDescent="0.2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 x14ac:dyDescent="0.2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 x14ac:dyDescent="0.2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 x14ac:dyDescent="0.2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 x14ac:dyDescent="0.2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 x14ac:dyDescent="0.2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 x14ac:dyDescent="0.2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 x14ac:dyDescent="0.2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 x14ac:dyDescent="0.2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 x14ac:dyDescent="0.2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 x14ac:dyDescent="0.2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 x14ac:dyDescent="0.2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 x14ac:dyDescent="0.2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 x14ac:dyDescent="0.2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 x14ac:dyDescent="0.2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 x14ac:dyDescent="0.2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 x14ac:dyDescent="0.2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 x14ac:dyDescent="0.2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 x14ac:dyDescent="0.2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 x14ac:dyDescent="0.2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 x14ac:dyDescent="0.2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 x14ac:dyDescent="0.2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 x14ac:dyDescent="0.2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 x14ac:dyDescent="0.2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 x14ac:dyDescent="0.2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 x14ac:dyDescent="0.2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 x14ac:dyDescent="0.2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 x14ac:dyDescent="0.2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 x14ac:dyDescent="0.2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 x14ac:dyDescent="0.2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 x14ac:dyDescent="0.2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 x14ac:dyDescent="0.2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 x14ac:dyDescent="0.2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 x14ac:dyDescent="0.2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 x14ac:dyDescent="0.2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 x14ac:dyDescent="0.2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 x14ac:dyDescent="0.2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 x14ac:dyDescent="0.2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 x14ac:dyDescent="0.2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 x14ac:dyDescent="0.2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 x14ac:dyDescent="0.2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 x14ac:dyDescent="0.2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 x14ac:dyDescent="0.2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 x14ac:dyDescent="0.2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 x14ac:dyDescent="0.2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 x14ac:dyDescent="0.2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 x14ac:dyDescent="0.2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 x14ac:dyDescent="0.2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 x14ac:dyDescent="0.2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 x14ac:dyDescent="0.2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 x14ac:dyDescent="0.2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 x14ac:dyDescent="0.2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 x14ac:dyDescent="0.2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 x14ac:dyDescent="0.2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 x14ac:dyDescent="0.2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 x14ac:dyDescent="0.2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 x14ac:dyDescent="0.2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 x14ac:dyDescent="0.2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 x14ac:dyDescent="0.2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 x14ac:dyDescent="0.2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 x14ac:dyDescent="0.2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 x14ac:dyDescent="0.2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 x14ac:dyDescent="0.2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 x14ac:dyDescent="0.2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 x14ac:dyDescent="0.2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 x14ac:dyDescent="0.2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 x14ac:dyDescent="0.2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 x14ac:dyDescent="0.2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 x14ac:dyDescent="0.2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 x14ac:dyDescent="0.2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 x14ac:dyDescent="0.2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 x14ac:dyDescent="0.2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 x14ac:dyDescent="0.2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 x14ac:dyDescent="0.2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 x14ac:dyDescent="0.2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 x14ac:dyDescent="0.2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 x14ac:dyDescent="0.2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 x14ac:dyDescent="0.2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 x14ac:dyDescent="0.2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 x14ac:dyDescent="0.2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 x14ac:dyDescent="0.2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 x14ac:dyDescent="0.2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 x14ac:dyDescent="0.2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 x14ac:dyDescent="0.2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 x14ac:dyDescent="0.2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 x14ac:dyDescent="0.2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 x14ac:dyDescent="0.2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 x14ac:dyDescent="0.2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 x14ac:dyDescent="0.2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 x14ac:dyDescent="0.2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 x14ac:dyDescent="0.2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 x14ac:dyDescent="0.2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 x14ac:dyDescent="0.2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 x14ac:dyDescent="0.2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 x14ac:dyDescent="0.2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 x14ac:dyDescent="0.2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 x14ac:dyDescent="0.2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 x14ac:dyDescent="0.2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 x14ac:dyDescent="0.2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 x14ac:dyDescent="0.2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 x14ac:dyDescent="0.2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 x14ac:dyDescent="0.2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 x14ac:dyDescent="0.2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 x14ac:dyDescent="0.2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 x14ac:dyDescent="0.2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 x14ac:dyDescent="0.2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 x14ac:dyDescent="0.2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 x14ac:dyDescent="0.2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 x14ac:dyDescent="0.2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 x14ac:dyDescent="0.2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 x14ac:dyDescent="0.2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 x14ac:dyDescent="0.2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 x14ac:dyDescent="0.2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 x14ac:dyDescent="0.2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 x14ac:dyDescent="0.2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 x14ac:dyDescent="0.2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 x14ac:dyDescent="0.2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 x14ac:dyDescent="0.2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 x14ac:dyDescent="0.2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 x14ac:dyDescent="0.2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 x14ac:dyDescent="0.2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 x14ac:dyDescent="0.2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 x14ac:dyDescent="0.2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 x14ac:dyDescent="0.2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 x14ac:dyDescent="0.2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 x14ac:dyDescent="0.2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 x14ac:dyDescent="0.2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 x14ac:dyDescent="0.2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 x14ac:dyDescent="0.2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 x14ac:dyDescent="0.2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 x14ac:dyDescent="0.2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 x14ac:dyDescent="0.2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 x14ac:dyDescent="0.2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 x14ac:dyDescent="0.2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 x14ac:dyDescent="0.2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 x14ac:dyDescent="0.2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 x14ac:dyDescent="0.2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 x14ac:dyDescent="0.2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 x14ac:dyDescent="0.2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 x14ac:dyDescent="0.2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 x14ac:dyDescent="0.2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 x14ac:dyDescent="0.2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 x14ac:dyDescent="0.2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 x14ac:dyDescent="0.2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 x14ac:dyDescent="0.2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 x14ac:dyDescent="0.2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 x14ac:dyDescent="0.2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 x14ac:dyDescent="0.2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 x14ac:dyDescent="0.2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 x14ac:dyDescent="0.2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 x14ac:dyDescent="0.2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 x14ac:dyDescent="0.2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 x14ac:dyDescent="0.2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 x14ac:dyDescent="0.2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 x14ac:dyDescent="0.2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 x14ac:dyDescent="0.2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 x14ac:dyDescent="0.2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 x14ac:dyDescent="0.2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 x14ac:dyDescent="0.2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 x14ac:dyDescent="0.2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 x14ac:dyDescent="0.2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 x14ac:dyDescent="0.2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 x14ac:dyDescent="0.2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 x14ac:dyDescent="0.2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 x14ac:dyDescent="0.2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 x14ac:dyDescent="0.2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 x14ac:dyDescent="0.2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 x14ac:dyDescent="0.2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 x14ac:dyDescent="0.2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 x14ac:dyDescent="0.2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 x14ac:dyDescent="0.2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 x14ac:dyDescent="0.2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 x14ac:dyDescent="0.2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 x14ac:dyDescent="0.2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 x14ac:dyDescent="0.2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 x14ac:dyDescent="0.2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 x14ac:dyDescent="0.2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 x14ac:dyDescent="0.2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 x14ac:dyDescent="0.2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 x14ac:dyDescent="0.2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 x14ac:dyDescent="0.2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 x14ac:dyDescent="0.2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 x14ac:dyDescent="0.2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 x14ac:dyDescent="0.2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 x14ac:dyDescent="0.2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 x14ac:dyDescent="0.2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 x14ac:dyDescent="0.2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 x14ac:dyDescent="0.2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 x14ac:dyDescent="0.2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 x14ac:dyDescent="0.2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 x14ac:dyDescent="0.2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 x14ac:dyDescent="0.2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 x14ac:dyDescent="0.2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 x14ac:dyDescent="0.2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 x14ac:dyDescent="0.2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 x14ac:dyDescent="0.2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 x14ac:dyDescent="0.2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 x14ac:dyDescent="0.2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 x14ac:dyDescent="0.2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 x14ac:dyDescent="0.2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 x14ac:dyDescent="0.2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 x14ac:dyDescent="0.2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 x14ac:dyDescent="0.2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 x14ac:dyDescent="0.2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 x14ac:dyDescent="0.2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 x14ac:dyDescent="0.2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 x14ac:dyDescent="0.2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 x14ac:dyDescent="0.2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 x14ac:dyDescent="0.2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 x14ac:dyDescent="0.2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 x14ac:dyDescent="0.2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 x14ac:dyDescent="0.2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 x14ac:dyDescent="0.2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 x14ac:dyDescent="0.2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 x14ac:dyDescent="0.2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 x14ac:dyDescent="0.2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 x14ac:dyDescent="0.2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 x14ac:dyDescent="0.2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 x14ac:dyDescent="0.2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 x14ac:dyDescent="0.2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 x14ac:dyDescent="0.2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 x14ac:dyDescent="0.2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 x14ac:dyDescent="0.2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 x14ac:dyDescent="0.2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 x14ac:dyDescent="0.2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 x14ac:dyDescent="0.2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 x14ac:dyDescent="0.2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 x14ac:dyDescent="0.2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 x14ac:dyDescent="0.2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 x14ac:dyDescent="0.2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 x14ac:dyDescent="0.2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 x14ac:dyDescent="0.2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 x14ac:dyDescent="0.2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 x14ac:dyDescent="0.2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 x14ac:dyDescent="0.2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 x14ac:dyDescent="0.2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 x14ac:dyDescent="0.2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 x14ac:dyDescent="0.2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 x14ac:dyDescent="0.2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 x14ac:dyDescent="0.2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 x14ac:dyDescent="0.2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 x14ac:dyDescent="0.2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 x14ac:dyDescent="0.2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 x14ac:dyDescent="0.2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 x14ac:dyDescent="0.2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 x14ac:dyDescent="0.2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 x14ac:dyDescent="0.2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 x14ac:dyDescent="0.2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 x14ac:dyDescent="0.2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 x14ac:dyDescent="0.2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 x14ac:dyDescent="0.2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 x14ac:dyDescent="0.2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 x14ac:dyDescent="0.2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 x14ac:dyDescent="0.2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 x14ac:dyDescent="0.2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 x14ac:dyDescent="0.2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 x14ac:dyDescent="0.2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 x14ac:dyDescent="0.2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 x14ac:dyDescent="0.2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 x14ac:dyDescent="0.2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 x14ac:dyDescent="0.2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 x14ac:dyDescent="0.2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 x14ac:dyDescent="0.2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 x14ac:dyDescent="0.2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 x14ac:dyDescent="0.2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 x14ac:dyDescent="0.2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 x14ac:dyDescent="0.2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 x14ac:dyDescent="0.2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 x14ac:dyDescent="0.2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 x14ac:dyDescent="0.2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 x14ac:dyDescent="0.2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 x14ac:dyDescent="0.2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 x14ac:dyDescent="0.2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 x14ac:dyDescent="0.2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 x14ac:dyDescent="0.2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 x14ac:dyDescent="0.2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 x14ac:dyDescent="0.2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 x14ac:dyDescent="0.2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 x14ac:dyDescent="0.2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 x14ac:dyDescent="0.2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 x14ac:dyDescent="0.2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 x14ac:dyDescent="0.2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 x14ac:dyDescent="0.2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 x14ac:dyDescent="0.2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 x14ac:dyDescent="0.2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 x14ac:dyDescent="0.2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 x14ac:dyDescent="0.2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 x14ac:dyDescent="0.2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 x14ac:dyDescent="0.2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 x14ac:dyDescent="0.2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 x14ac:dyDescent="0.2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 x14ac:dyDescent="0.2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 x14ac:dyDescent="0.2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 x14ac:dyDescent="0.2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 x14ac:dyDescent="0.2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 x14ac:dyDescent="0.2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 x14ac:dyDescent="0.2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 x14ac:dyDescent="0.2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 x14ac:dyDescent="0.2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 x14ac:dyDescent="0.2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 x14ac:dyDescent="0.2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 x14ac:dyDescent="0.2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 x14ac:dyDescent="0.2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 x14ac:dyDescent="0.2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 x14ac:dyDescent="0.2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 x14ac:dyDescent="0.2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 x14ac:dyDescent="0.2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 x14ac:dyDescent="0.2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 x14ac:dyDescent="0.2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 x14ac:dyDescent="0.2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 x14ac:dyDescent="0.2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 x14ac:dyDescent="0.2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 x14ac:dyDescent="0.2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 x14ac:dyDescent="0.2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 x14ac:dyDescent="0.2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 x14ac:dyDescent="0.2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 x14ac:dyDescent="0.2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 x14ac:dyDescent="0.2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 x14ac:dyDescent="0.2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 x14ac:dyDescent="0.2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 x14ac:dyDescent="0.2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 x14ac:dyDescent="0.2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 x14ac:dyDescent="0.2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 x14ac:dyDescent="0.2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 x14ac:dyDescent="0.2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 x14ac:dyDescent="0.2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 x14ac:dyDescent="0.2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 x14ac:dyDescent="0.2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 x14ac:dyDescent="0.2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 x14ac:dyDescent="0.2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 x14ac:dyDescent="0.2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 x14ac:dyDescent="0.2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 x14ac:dyDescent="0.2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 x14ac:dyDescent="0.2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 x14ac:dyDescent="0.2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 x14ac:dyDescent="0.2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 x14ac:dyDescent="0.2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 x14ac:dyDescent="0.2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 x14ac:dyDescent="0.2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 x14ac:dyDescent="0.2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 x14ac:dyDescent="0.2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 x14ac:dyDescent="0.2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 x14ac:dyDescent="0.2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 x14ac:dyDescent="0.2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 x14ac:dyDescent="0.2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 x14ac:dyDescent="0.2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 x14ac:dyDescent="0.2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 x14ac:dyDescent="0.2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 x14ac:dyDescent="0.2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 x14ac:dyDescent="0.2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 x14ac:dyDescent="0.2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 x14ac:dyDescent="0.2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 x14ac:dyDescent="0.2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 x14ac:dyDescent="0.2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 x14ac:dyDescent="0.2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 x14ac:dyDescent="0.2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 x14ac:dyDescent="0.2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 x14ac:dyDescent="0.2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 x14ac:dyDescent="0.2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 x14ac:dyDescent="0.2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 x14ac:dyDescent="0.2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 x14ac:dyDescent="0.2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 x14ac:dyDescent="0.2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 x14ac:dyDescent="0.2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 x14ac:dyDescent="0.2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 x14ac:dyDescent="0.2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 x14ac:dyDescent="0.2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 x14ac:dyDescent="0.2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 x14ac:dyDescent="0.2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 x14ac:dyDescent="0.2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 x14ac:dyDescent="0.2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 x14ac:dyDescent="0.2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 x14ac:dyDescent="0.2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 x14ac:dyDescent="0.2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 x14ac:dyDescent="0.2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 x14ac:dyDescent="0.2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 x14ac:dyDescent="0.2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 x14ac:dyDescent="0.2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 x14ac:dyDescent="0.2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 x14ac:dyDescent="0.2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 x14ac:dyDescent="0.2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 x14ac:dyDescent="0.2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 x14ac:dyDescent="0.2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 x14ac:dyDescent="0.2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 x14ac:dyDescent="0.2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 x14ac:dyDescent="0.2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 x14ac:dyDescent="0.2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 x14ac:dyDescent="0.2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 x14ac:dyDescent="0.2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 x14ac:dyDescent="0.2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 x14ac:dyDescent="0.2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 x14ac:dyDescent="0.2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 x14ac:dyDescent="0.2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 x14ac:dyDescent="0.2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 x14ac:dyDescent="0.2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 x14ac:dyDescent="0.2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 x14ac:dyDescent="0.2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 x14ac:dyDescent="0.2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 x14ac:dyDescent="0.2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 x14ac:dyDescent="0.2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 x14ac:dyDescent="0.2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 x14ac:dyDescent="0.2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 x14ac:dyDescent="0.2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 x14ac:dyDescent="0.2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 x14ac:dyDescent="0.2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 x14ac:dyDescent="0.2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 x14ac:dyDescent="0.2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 x14ac:dyDescent="0.2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 x14ac:dyDescent="0.2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 x14ac:dyDescent="0.2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 x14ac:dyDescent="0.2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 x14ac:dyDescent="0.2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 x14ac:dyDescent="0.2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 x14ac:dyDescent="0.2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 x14ac:dyDescent="0.2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 x14ac:dyDescent="0.2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 x14ac:dyDescent="0.2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 x14ac:dyDescent="0.2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 x14ac:dyDescent="0.2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 x14ac:dyDescent="0.2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 x14ac:dyDescent="0.2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 x14ac:dyDescent="0.2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 x14ac:dyDescent="0.2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 x14ac:dyDescent="0.2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 x14ac:dyDescent="0.2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 x14ac:dyDescent="0.2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 x14ac:dyDescent="0.2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 x14ac:dyDescent="0.2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 x14ac:dyDescent="0.2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 x14ac:dyDescent="0.2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 x14ac:dyDescent="0.2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 x14ac:dyDescent="0.2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 x14ac:dyDescent="0.2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 x14ac:dyDescent="0.2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 x14ac:dyDescent="0.2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 x14ac:dyDescent="0.2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 x14ac:dyDescent="0.2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 x14ac:dyDescent="0.2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 x14ac:dyDescent="0.2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 x14ac:dyDescent="0.2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 x14ac:dyDescent="0.2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 x14ac:dyDescent="0.2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 x14ac:dyDescent="0.2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 x14ac:dyDescent="0.2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 x14ac:dyDescent="0.2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 x14ac:dyDescent="0.2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 x14ac:dyDescent="0.2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 x14ac:dyDescent="0.2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 x14ac:dyDescent="0.2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 x14ac:dyDescent="0.2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 x14ac:dyDescent="0.2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 x14ac:dyDescent="0.2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 x14ac:dyDescent="0.2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 x14ac:dyDescent="0.2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 x14ac:dyDescent="0.2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 x14ac:dyDescent="0.2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 x14ac:dyDescent="0.2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 x14ac:dyDescent="0.2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 x14ac:dyDescent="0.2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 x14ac:dyDescent="0.2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 x14ac:dyDescent="0.2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 x14ac:dyDescent="0.2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 x14ac:dyDescent="0.2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 x14ac:dyDescent="0.2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 x14ac:dyDescent="0.2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 x14ac:dyDescent="0.2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 x14ac:dyDescent="0.2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 x14ac:dyDescent="0.2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 x14ac:dyDescent="0.2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 x14ac:dyDescent="0.2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 x14ac:dyDescent="0.2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 x14ac:dyDescent="0.2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 x14ac:dyDescent="0.2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 x14ac:dyDescent="0.2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 x14ac:dyDescent="0.2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 x14ac:dyDescent="0.2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 x14ac:dyDescent="0.2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 x14ac:dyDescent="0.2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 x14ac:dyDescent="0.2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 x14ac:dyDescent="0.2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 x14ac:dyDescent="0.2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 x14ac:dyDescent="0.2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 x14ac:dyDescent="0.2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 x14ac:dyDescent="0.2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 x14ac:dyDescent="0.2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 x14ac:dyDescent="0.2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 x14ac:dyDescent="0.2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 x14ac:dyDescent="0.2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 x14ac:dyDescent="0.2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 x14ac:dyDescent="0.2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 x14ac:dyDescent="0.2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 x14ac:dyDescent="0.2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 x14ac:dyDescent="0.2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 x14ac:dyDescent="0.2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 x14ac:dyDescent="0.2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 x14ac:dyDescent="0.2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 x14ac:dyDescent="0.2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 x14ac:dyDescent="0.2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 x14ac:dyDescent="0.2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 x14ac:dyDescent="0.2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 x14ac:dyDescent="0.2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 x14ac:dyDescent="0.2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 x14ac:dyDescent="0.2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 x14ac:dyDescent="0.2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 x14ac:dyDescent="0.2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 x14ac:dyDescent="0.2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 x14ac:dyDescent="0.2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 x14ac:dyDescent="0.2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 x14ac:dyDescent="0.2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 x14ac:dyDescent="0.2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 x14ac:dyDescent="0.2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 x14ac:dyDescent="0.2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 x14ac:dyDescent="0.2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 x14ac:dyDescent="0.2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 x14ac:dyDescent="0.2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 x14ac:dyDescent="0.2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 x14ac:dyDescent="0.2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 x14ac:dyDescent="0.2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 x14ac:dyDescent="0.2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 x14ac:dyDescent="0.2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 x14ac:dyDescent="0.2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 x14ac:dyDescent="0.2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 x14ac:dyDescent="0.2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 x14ac:dyDescent="0.2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 x14ac:dyDescent="0.2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 x14ac:dyDescent="0.2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 x14ac:dyDescent="0.2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 x14ac:dyDescent="0.2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 x14ac:dyDescent="0.2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 x14ac:dyDescent="0.2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 x14ac:dyDescent="0.2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 x14ac:dyDescent="0.2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 x14ac:dyDescent="0.2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 x14ac:dyDescent="0.2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 x14ac:dyDescent="0.2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 x14ac:dyDescent="0.2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 x14ac:dyDescent="0.2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 x14ac:dyDescent="0.2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 x14ac:dyDescent="0.2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 x14ac:dyDescent="0.2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 x14ac:dyDescent="0.2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 x14ac:dyDescent="0.2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 x14ac:dyDescent="0.2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 x14ac:dyDescent="0.2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 x14ac:dyDescent="0.2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 x14ac:dyDescent="0.2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 x14ac:dyDescent="0.2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 x14ac:dyDescent="0.2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 x14ac:dyDescent="0.2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 x14ac:dyDescent="0.2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 x14ac:dyDescent="0.2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 x14ac:dyDescent="0.2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 x14ac:dyDescent="0.2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 x14ac:dyDescent="0.2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 x14ac:dyDescent="0.2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 x14ac:dyDescent="0.2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 x14ac:dyDescent="0.2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 x14ac:dyDescent="0.2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 x14ac:dyDescent="0.2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 x14ac:dyDescent="0.2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 x14ac:dyDescent="0.2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 x14ac:dyDescent="0.2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 x14ac:dyDescent="0.2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 x14ac:dyDescent="0.2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 x14ac:dyDescent="0.2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 x14ac:dyDescent="0.2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 x14ac:dyDescent="0.2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 x14ac:dyDescent="0.2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 x14ac:dyDescent="0.2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 x14ac:dyDescent="0.2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 x14ac:dyDescent="0.2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 x14ac:dyDescent="0.2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 x14ac:dyDescent="0.2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 x14ac:dyDescent="0.2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 x14ac:dyDescent="0.2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 x14ac:dyDescent="0.2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 x14ac:dyDescent="0.2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 x14ac:dyDescent="0.2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 x14ac:dyDescent="0.2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 x14ac:dyDescent="0.2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 x14ac:dyDescent="0.2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 x14ac:dyDescent="0.2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 x14ac:dyDescent="0.2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 x14ac:dyDescent="0.2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 x14ac:dyDescent="0.2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 x14ac:dyDescent="0.2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 x14ac:dyDescent="0.2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 x14ac:dyDescent="0.2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 x14ac:dyDescent="0.2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 x14ac:dyDescent="0.2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 x14ac:dyDescent="0.2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 x14ac:dyDescent="0.2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 x14ac:dyDescent="0.2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 x14ac:dyDescent="0.2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 x14ac:dyDescent="0.2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 x14ac:dyDescent="0.2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 x14ac:dyDescent="0.2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 x14ac:dyDescent="0.2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 x14ac:dyDescent="0.2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 x14ac:dyDescent="0.2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 x14ac:dyDescent="0.2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 x14ac:dyDescent="0.2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 x14ac:dyDescent="0.2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 x14ac:dyDescent="0.2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 x14ac:dyDescent="0.2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 x14ac:dyDescent="0.2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 x14ac:dyDescent="0.2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 x14ac:dyDescent="0.2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 x14ac:dyDescent="0.2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 x14ac:dyDescent="0.2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 x14ac:dyDescent="0.2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 x14ac:dyDescent="0.2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 x14ac:dyDescent="0.2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 x14ac:dyDescent="0.2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 x14ac:dyDescent="0.2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 x14ac:dyDescent="0.2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 x14ac:dyDescent="0.2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 x14ac:dyDescent="0.2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 x14ac:dyDescent="0.2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 x14ac:dyDescent="0.2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 x14ac:dyDescent="0.2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 x14ac:dyDescent="0.2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 x14ac:dyDescent="0.2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 x14ac:dyDescent="0.2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 x14ac:dyDescent="0.2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 x14ac:dyDescent="0.2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 x14ac:dyDescent="0.2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 x14ac:dyDescent="0.2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 x14ac:dyDescent="0.2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 x14ac:dyDescent="0.2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 x14ac:dyDescent="0.2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 x14ac:dyDescent="0.2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 x14ac:dyDescent="0.2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 x14ac:dyDescent="0.2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 x14ac:dyDescent="0.2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 x14ac:dyDescent="0.2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 x14ac:dyDescent="0.2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 x14ac:dyDescent="0.2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 x14ac:dyDescent="0.2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 x14ac:dyDescent="0.2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 x14ac:dyDescent="0.2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 x14ac:dyDescent="0.2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 x14ac:dyDescent="0.2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 x14ac:dyDescent="0.2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 x14ac:dyDescent="0.2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 x14ac:dyDescent="0.2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 x14ac:dyDescent="0.2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 x14ac:dyDescent="0.2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 x14ac:dyDescent="0.2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 x14ac:dyDescent="0.2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 x14ac:dyDescent="0.2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 x14ac:dyDescent="0.2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 x14ac:dyDescent="0.2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 x14ac:dyDescent="0.2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 x14ac:dyDescent="0.2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 x14ac:dyDescent="0.2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 x14ac:dyDescent="0.2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 x14ac:dyDescent="0.2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 x14ac:dyDescent="0.2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 x14ac:dyDescent="0.2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 x14ac:dyDescent="0.2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 x14ac:dyDescent="0.2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 x14ac:dyDescent="0.2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 x14ac:dyDescent="0.2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 x14ac:dyDescent="0.2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 x14ac:dyDescent="0.2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 x14ac:dyDescent="0.2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 x14ac:dyDescent="0.2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 x14ac:dyDescent="0.2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 x14ac:dyDescent="0.2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 x14ac:dyDescent="0.2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 x14ac:dyDescent="0.2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 x14ac:dyDescent="0.2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 x14ac:dyDescent="0.2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 x14ac:dyDescent="0.2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 x14ac:dyDescent="0.2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 x14ac:dyDescent="0.2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 x14ac:dyDescent="0.2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 x14ac:dyDescent="0.2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 x14ac:dyDescent="0.2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 x14ac:dyDescent="0.2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 x14ac:dyDescent="0.2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 x14ac:dyDescent="0.2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 x14ac:dyDescent="0.2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 x14ac:dyDescent="0.2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 x14ac:dyDescent="0.2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 x14ac:dyDescent="0.2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 x14ac:dyDescent="0.2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 x14ac:dyDescent="0.2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 x14ac:dyDescent="0.2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 x14ac:dyDescent="0.2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 x14ac:dyDescent="0.2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 x14ac:dyDescent="0.2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 x14ac:dyDescent="0.2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 x14ac:dyDescent="0.2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 x14ac:dyDescent="0.2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 x14ac:dyDescent="0.2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 x14ac:dyDescent="0.2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 x14ac:dyDescent="0.2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 x14ac:dyDescent="0.2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 x14ac:dyDescent="0.2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 x14ac:dyDescent="0.2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 x14ac:dyDescent="0.2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 x14ac:dyDescent="0.2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 x14ac:dyDescent="0.2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 x14ac:dyDescent="0.2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 x14ac:dyDescent="0.2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 x14ac:dyDescent="0.2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 x14ac:dyDescent="0.2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 x14ac:dyDescent="0.2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 x14ac:dyDescent="0.2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 x14ac:dyDescent="0.2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 x14ac:dyDescent="0.2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 x14ac:dyDescent="0.2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 x14ac:dyDescent="0.2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 x14ac:dyDescent="0.2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 x14ac:dyDescent="0.2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 x14ac:dyDescent="0.2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 x14ac:dyDescent="0.2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 x14ac:dyDescent="0.2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 x14ac:dyDescent="0.2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 x14ac:dyDescent="0.2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 x14ac:dyDescent="0.2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 x14ac:dyDescent="0.2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 x14ac:dyDescent="0.2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 x14ac:dyDescent="0.2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 x14ac:dyDescent="0.2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 x14ac:dyDescent="0.2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 x14ac:dyDescent="0.2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 x14ac:dyDescent="0.2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 x14ac:dyDescent="0.2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 x14ac:dyDescent="0.2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 x14ac:dyDescent="0.2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 x14ac:dyDescent="0.2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 x14ac:dyDescent="0.2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 x14ac:dyDescent="0.2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 x14ac:dyDescent="0.2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 x14ac:dyDescent="0.2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 x14ac:dyDescent="0.2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 x14ac:dyDescent="0.2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 x14ac:dyDescent="0.2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 x14ac:dyDescent="0.2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 x14ac:dyDescent="0.2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 x14ac:dyDescent="0.2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 x14ac:dyDescent="0.2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 x14ac:dyDescent="0.2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 x14ac:dyDescent="0.2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 x14ac:dyDescent="0.2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 x14ac:dyDescent="0.2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 x14ac:dyDescent="0.2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 x14ac:dyDescent="0.2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 x14ac:dyDescent="0.2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 x14ac:dyDescent="0.2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 x14ac:dyDescent="0.2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 x14ac:dyDescent="0.2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 x14ac:dyDescent="0.2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 x14ac:dyDescent="0.2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 x14ac:dyDescent="0.2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 x14ac:dyDescent="0.2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 x14ac:dyDescent="0.2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 x14ac:dyDescent="0.2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 x14ac:dyDescent="0.2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 x14ac:dyDescent="0.2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 x14ac:dyDescent="0.2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 x14ac:dyDescent="0.2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 x14ac:dyDescent="0.2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 x14ac:dyDescent="0.2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 x14ac:dyDescent="0.2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 x14ac:dyDescent="0.2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 x14ac:dyDescent="0.2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 x14ac:dyDescent="0.2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 x14ac:dyDescent="0.2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 x14ac:dyDescent="0.2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 x14ac:dyDescent="0.2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 x14ac:dyDescent="0.2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 x14ac:dyDescent="0.2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 x14ac:dyDescent="0.2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 x14ac:dyDescent="0.2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 x14ac:dyDescent="0.2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 x14ac:dyDescent="0.2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 x14ac:dyDescent="0.2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 x14ac:dyDescent="0.2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 x14ac:dyDescent="0.2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 x14ac:dyDescent="0.2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 x14ac:dyDescent="0.2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 x14ac:dyDescent="0.2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 x14ac:dyDescent="0.2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 x14ac:dyDescent="0.2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 x14ac:dyDescent="0.2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 x14ac:dyDescent="0.2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 x14ac:dyDescent="0.2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 x14ac:dyDescent="0.2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 x14ac:dyDescent="0.2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 x14ac:dyDescent="0.2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 x14ac:dyDescent="0.2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 x14ac:dyDescent="0.2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 x14ac:dyDescent="0.2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 x14ac:dyDescent="0.2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 x14ac:dyDescent="0.2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 x14ac:dyDescent="0.2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 x14ac:dyDescent="0.2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 x14ac:dyDescent="0.2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 x14ac:dyDescent="0.2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 x14ac:dyDescent="0.2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 x14ac:dyDescent="0.2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 x14ac:dyDescent="0.2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 x14ac:dyDescent="0.2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 x14ac:dyDescent="0.2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 x14ac:dyDescent="0.2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 x14ac:dyDescent="0.2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 x14ac:dyDescent="0.2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 x14ac:dyDescent="0.2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 x14ac:dyDescent="0.2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 x14ac:dyDescent="0.2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 x14ac:dyDescent="0.2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 x14ac:dyDescent="0.2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 x14ac:dyDescent="0.2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 x14ac:dyDescent="0.2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 x14ac:dyDescent="0.2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 x14ac:dyDescent="0.2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 x14ac:dyDescent="0.2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 x14ac:dyDescent="0.2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 x14ac:dyDescent="0.2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 x14ac:dyDescent="0.2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 x14ac:dyDescent="0.2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 x14ac:dyDescent="0.2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 x14ac:dyDescent="0.2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 x14ac:dyDescent="0.2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 x14ac:dyDescent="0.2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 x14ac:dyDescent="0.2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 x14ac:dyDescent="0.2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 x14ac:dyDescent="0.2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 x14ac:dyDescent="0.2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 x14ac:dyDescent="0.2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 x14ac:dyDescent="0.2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 x14ac:dyDescent="0.2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 x14ac:dyDescent="0.2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 x14ac:dyDescent="0.2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 x14ac:dyDescent="0.2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 x14ac:dyDescent="0.2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 x14ac:dyDescent="0.2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 x14ac:dyDescent="0.2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 x14ac:dyDescent="0.2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 x14ac:dyDescent="0.2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 x14ac:dyDescent="0.2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 x14ac:dyDescent="0.2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 x14ac:dyDescent="0.2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 x14ac:dyDescent="0.2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 x14ac:dyDescent="0.2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 x14ac:dyDescent="0.2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 x14ac:dyDescent="0.2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 x14ac:dyDescent="0.2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 x14ac:dyDescent="0.2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 x14ac:dyDescent="0.2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 x14ac:dyDescent="0.2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 x14ac:dyDescent="0.2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 x14ac:dyDescent="0.2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 x14ac:dyDescent="0.2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 x14ac:dyDescent="0.2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 x14ac:dyDescent="0.2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 x14ac:dyDescent="0.2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 x14ac:dyDescent="0.2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 x14ac:dyDescent="0.2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 x14ac:dyDescent="0.2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 x14ac:dyDescent="0.2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 x14ac:dyDescent="0.2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 x14ac:dyDescent="0.2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 x14ac:dyDescent="0.2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 x14ac:dyDescent="0.2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 x14ac:dyDescent="0.2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 x14ac:dyDescent="0.2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 x14ac:dyDescent="0.2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 x14ac:dyDescent="0.2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 x14ac:dyDescent="0.2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 x14ac:dyDescent="0.2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 x14ac:dyDescent="0.2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 x14ac:dyDescent="0.2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 x14ac:dyDescent="0.2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 x14ac:dyDescent="0.2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 x14ac:dyDescent="0.2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 x14ac:dyDescent="0.2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 x14ac:dyDescent="0.2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 x14ac:dyDescent="0.2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 x14ac:dyDescent="0.2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 x14ac:dyDescent="0.2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 x14ac:dyDescent="0.2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 x14ac:dyDescent="0.2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 x14ac:dyDescent="0.2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 x14ac:dyDescent="0.2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 x14ac:dyDescent="0.2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 x14ac:dyDescent="0.2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 x14ac:dyDescent="0.2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 x14ac:dyDescent="0.2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 x14ac:dyDescent="0.2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 x14ac:dyDescent="0.2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 x14ac:dyDescent="0.2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 x14ac:dyDescent="0.2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 x14ac:dyDescent="0.2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 x14ac:dyDescent="0.2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 x14ac:dyDescent="0.2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 x14ac:dyDescent="0.2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 x14ac:dyDescent="0.2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 x14ac:dyDescent="0.2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 x14ac:dyDescent="0.2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 x14ac:dyDescent="0.2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 x14ac:dyDescent="0.2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 x14ac:dyDescent="0.2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 x14ac:dyDescent="0.2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 x14ac:dyDescent="0.2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 x14ac:dyDescent="0.2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 x14ac:dyDescent="0.2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 x14ac:dyDescent="0.2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 x14ac:dyDescent="0.2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 x14ac:dyDescent="0.2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 x14ac:dyDescent="0.2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 x14ac:dyDescent="0.2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 x14ac:dyDescent="0.2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 x14ac:dyDescent="0.2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 x14ac:dyDescent="0.2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 x14ac:dyDescent="0.2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 x14ac:dyDescent="0.2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 x14ac:dyDescent="0.2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 x14ac:dyDescent="0.2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 x14ac:dyDescent="0.2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 x14ac:dyDescent="0.2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 x14ac:dyDescent="0.2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 x14ac:dyDescent="0.2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 x14ac:dyDescent="0.2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 x14ac:dyDescent="0.2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 x14ac:dyDescent="0.2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 x14ac:dyDescent="0.2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 x14ac:dyDescent="0.2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 x14ac:dyDescent="0.2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 x14ac:dyDescent="0.2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 x14ac:dyDescent="0.2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 x14ac:dyDescent="0.2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 x14ac:dyDescent="0.2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 x14ac:dyDescent="0.2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 x14ac:dyDescent="0.2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 x14ac:dyDescent="0.2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 x14ac:dyDescent="0.2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 x14ac:dyDescent="0.2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 x14ac:dyDescent="0.2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 x14ac:dyDescent="0.2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 x14ac:dyDescent="0.2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 x14ac:dyDescent="0.2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 x14ac:dyDescent="0.2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 x14ac:dyDescent="0.2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 x14ac:dyDescent="0.2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 x14ac:dyDescent="0.2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 x14ac:dyDescent="0.2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 x14ac:dyDescent="0.2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 x14ac:dyDescent="0.2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 x14ac:dyDescent="0.2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 x14ac:dyDescent="0.2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 x14ac:dyDescent="0.2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 x14ac:dyDescent="0.2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 x14ac:dyDescent="0.2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 x14ac:dyDescent="0.2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 x14ac:dyDescent="0.2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 x14ac:dyDescent="0.2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 x14ac:dyDescent="0.2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 x14ac:dyDescent="0.2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 x14ac:dyDescent="0.2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 x14ac:dyDescent="0.2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 x14ac:dyDescent="0.2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 x14ac:dyDescent="0.2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 x14ac:dyDescent="0.2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 x14ac:dyDescent="0.2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 x14ac:dyDescent="0.2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 x14ac:dyDescent="0.2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 x14ac:dyDescent="0.2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 x14ac:dyDescent="0.2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 x14ac:dyDescent="0.2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 x14ac:dyDescent="0.2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 x14ac:dyDescent="0.2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 x14ac:dyDescent="0.2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 x14ac:dyDescent="0.2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 x14ac:dyDescent="0.2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 x14ac:dyDescent="0.2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 x14ac:dyDescent="0.2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 x14ac:dyDescent="0.2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 x14ac:dyDescent="0.2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 x14ac:dyDescent="0.2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 x14ac:dyDescent="0.2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 x14ac:dyDescent="0.2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 x14ac:dyDescent="0.2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 x14ac:dyDescent="0.2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 x14ac:dyDescent="0.2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 x14ac:dyDescent="0.2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 x14ac:dyDescent="0.2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 x14ac:dyDescent="0.2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 x14ac:dyDescent="0.2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 x14ac:dyDescent="0.2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 x14ac:dyDescent="0.2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 x14ac:dyDescent="0.2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 x14ac:dyDescent="0.2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 x14ac:dyDescent="0.2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 x14ac:dyDescent="0.2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 x14ac:dyDescent="0.2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 x14ac:dyDescent="0.2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 x14ac:dyDescent="0.2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 x14ac:dyDescent="0.2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 x14ac:dyDescent="0.2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 x14ac:dyDescent="0.2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 x14ac:dyDescent="0.2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 x14ac:dyDescent="0.2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 x14ac:dyDescent="0.2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 x14ac:dyDescent="0.2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 x14ac:dyDescent="0.2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 x14ac:dyDescent="0.2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 x14ac:dyDescent="0.2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 x14ac:dyDescent="0.2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 x14ac:dyDescent="0.2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 x14ac:dyDescent="0.2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 x14ac:dyDescent="0.2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 x14ac:dyDescent="0.2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 x14ac:dyDescent="0.2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 x14ac:dyDescent="0.2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 x14ac:dyDescent="0.2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 x14ac:dyDescent="0.2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 x14ac:dyDescent="0.2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 x14ac:dyDescent="0.2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 x14ac:dyDescent="0.2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 x14ac:dyDescent="0.2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 x14ac:dyDescent="0.2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 x14ac:dyDescent="0.2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 x14ac:dyDescent="0.2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 x14ac:dyDescent="0.2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 x14ac:dyDescent="0.2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 x14ac:dyDescent="0.2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 x14ac:dyDescent="0.2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 x14ac:dyDescent="0.2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 x14ac:dyDescent="0.2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 x14ac:dyDescent="0.2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 x14ac:dyDescent="0.2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 x14ac:dyDescent="0.2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 x14ac:dyDescent="0.2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 x14ac:dyDescent="0.2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 x14ac:dyDescent="0.2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 x14ac:dyDescent="0.2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 x14ac:dyDescent="0.2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 x14ac:dyDescent="0.2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 x14ac:dyDescent="0.2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 x14ac:dyDescent="0.2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 x14ac:dyDescent="0.2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 x14ac:dyDescent="0.2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 x14ac:dyDescent="0.2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 x14ac:dyDescent="0.2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 x14ac:dyDescent="0.2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 x14ac:dyDescent="0.2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 x14ac:dyDescent="0.2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 x14ac:dyDescent="0.2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 x14ac:dyDescent="0.2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 x14ac:dyDescent="0.2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 x14ac:dyDescent="0.2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 x14ac:dyDescent="0.2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 x14ac:dyDescent="0.2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 x14ac:dyDescent="0.2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 x14ac:dyDescent="0.2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 x14ac:dyDescent="0.2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 x14ac:dyDescent="0.2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 x14ac:dyDescent="0.2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 x14ac:dyDescent="0.2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 x14ac:dyDescent="0.2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 x14ac:dyDescent="0.2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 x14ac:dyDescent="0.2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 x14ac:dyDescent="0.2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 x14ac:dyDescent="0.2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 x14ac:dyDescent="0.2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 x14ac:dyDescent="0.2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 x14ac:dyDescent="0.2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 x14ac:dyDescent="0.2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 x14ac:dyDescent="0.2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 x14ac:dyDescent="0.2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 x14ac:dyDescent="0.2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 x14ac:dyDescent="0.2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 x14ac:dyDescent="0.2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 x14ac:dyDescent="0.2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 x14ac:dyDescent="0.2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 x14ac:dyDescent="0.2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 x14ac:dyDescent="0.2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 x14ac:dyDescent="0.2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 x14ac:dyDescent="0.2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 x14ac:dyDescent="0.2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 x14ac:dyDescent="0.2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 x14ac:dyDescent="0.2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 x14ac:dyDescent="0.2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 x14ac:dyDescent="0.2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 x14ac:dyDescent="0.2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 x14ac:dyDescent="0.2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 x14ac:dyDescent="0.2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 x14ac:dyDescent="0.2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 x14ac:dyDescent="0.2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 x14ac:dyDescent="0.2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 x14ac:dyDescent="0.2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 x14ac:dyDescent="0.2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 x14ac:dyDescent="0.2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 x14ac:dyDescent="0.2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 x14ac:dyDescent="0.2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 x14ac:dyDescent="0.2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 x14ac:dyDescent="0.2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 x14ac:dyDescent="0.2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 x14ac:dyDescent="0.2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 x14ac:dyDescent="0.2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 x14ac:dyDescent="0.2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 x14ac:dyDescent="0.2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 x14ac:dyDescent="0.2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 x14ac:dyDescent="0.2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 x14ac:dyDescent="0.2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 x14ac:dyDescent="0.2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 x14ac:dyDescent="0.2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 x14ac:dyDescent="0.2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 x14ac:dyDescent="0.2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 x14ac:dyDescent="0.2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 x14ac:dyDescent="0.2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 x14ac:dyDescent="0.2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 x14ac:dyDescent="0.2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 x14ac:dyDescent="0.2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 x14ac:dyDescent="0.2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 x14ac:dyDescent="0.2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 x14ac:dyDescent="0.2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 x14ac:dyDescent="0.2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 x14ac:dyDescent="0.2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 x14ac:dyDescent="0.2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 x14ac:dyDescent="0.2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 x14ac:dyDescent="0.2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 x14ac:dyDescent="0.2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 x14ac:dyDescent="0.2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 x14ac:dyDescent="0.2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 x14ac:dyDescent="0.2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 x14ac:dyDescent="0.2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 x14ac:dyDescent="0.2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 x14ac:dyDescent="0.2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 x14ac:dyDescent="0.2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 x14ac:dyDescent="0.2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 x14ac:dyDescent="0.2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 x14ac:dyDescent="0.2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 x14ac:dyDescent="0.2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 x14ac:dyDescent="0.2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 x14ac:dyDescent="0.2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 x14ac:dyDescent="0.2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 x14ac:dyDescent="0.2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 x14ac:dyDescent="0.2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 x14ac:dyDescent="0.2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 x14ac:dyDescent="0.2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 x14ac:dyDescent="0.2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 x14ac:dyDescent="0.2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 x14ac:dyDescent="0.2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 x14ac:dyDescent="0.2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 x14ac:dyDescent="0.2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 x14ac:dyDescent="0.2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 x14ac:dyDescent="0.2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 x14ac:dyDescent="0.2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 x14ac:dyDescent="0.2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 x14ac:dyDescent="0.2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 x14ac:dyDescent="0.2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 x14ac:dyDescent="0.2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 x14ac:dyDescent="0.2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 x14ac:dyDescent="0.2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 x14ac:dyDescent="0.2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 x14ac:dyDescent="0.2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 x14ac:dyDescent="0.2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 x14ac:dyDescent="0.2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 x14ac:dyDescent="0.2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 x14ac:dyDescent="0.2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 x14ac:dyDescent="0.2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 x14ac:dyDescent="0.2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 x14ac:dyDescent="0.2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 x14ac:dyDescent="0.2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 x14ac:dyDescent="0.2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 x14ac:dyDescent="0.2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 x14ac:dyDescent="0.2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 x14ac:dyDescent="0.2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 x14ac:dyDescent="0.2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 x14ac:dyDescent="0.2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 x14ac:dyDescent="0.2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 x14ac:dyDescent="0.2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 x14ac:dyDescent="0.2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 x14ac:dyDescent="0.2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 x14ac:dyDescent="0.2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 x14ac:dyDescent="0.2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 x14ac:dyDescent="0.2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 x14ac:dyDescent="0.2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2"/>
  <sheetViews>
    <sheetView tabSelected="1" view="pageBreakPreview" zoomScale="60" zoomScaleNormal="85" workbookViewId="0">
      <selection activeCell="L20" sqref="L20"/>
    </sheetView>
  </sheetViews>
  <sheetFormatPr defaultRowHeight="12.75" x14ac:dyDescent="0.2"/>
  <cols>
    <col min="2" max="2" width="11.7109375" customWidth="1"/>
    <col min="3" max="3" width="15.5703125" customWidth="1"/>
    <col min="4" max="4" width="12.140625" customWidth="1"/>
    <col min="5" max="5" width="16.85546875" customWidth="1"/>
    <col min="6" max="6" width="19.28515625" customWidth="1"/>
    <col min="7" max="8" width="10.85546875" customWidth="1"/>
    <col min="9" max="9" width="11.28515625" customWidth="1"/>
    <col min="10" max="10" width="10.140625" customWidth="1"/>
    <col min="11" max="11" width="13" customWidth="1"/>
  </cols>
  <sheetData>
    <row r="2" spans="2:11" ht="15" x14ac:dyDescent="0.25">
      <c r="B2" s="49" t="s">
        <v>188</v>
      </c>
    </row>
    <row r="4" spans="2:11" x14ac:dyDescent="0.2">
      <c r="D4" s="89" t="s">
        <v>160</v>
      </c>
      <c r="E4" s="89"/>
      <c r="F4" s="89"/>
      <c r="G4" s="89"/>
      <c r="H4" s="89"/>
      <c r="I4" s="89"/>
      <c r="J4" s="89" t="s">
        <v>161</v>
      </c>
      <c r="K4" s="89"/>
    </row>
    <row r="5" spans="2:11" s="52" customFormat="1" ht="51" customHeight="1" x14ac:dyDescent="0.2">
      <c r="B5" s="50" t="s">
        <v>162</v>
      </c>
      <c r="C5" s="50" t="s">
        <v>163</v>
      </c>
      <c r="D5" s="50" t="s">
        <v>164</v>
      </c>
      <c r="E5" s="50" t="s">
        <v>165</v>
      </c>
      <c r="F5" s="50" t="s">
        <v>166</v>
      </c>
      <c r="G5" s="51" t="s">
        <v>167</v>
      </c>
      <c r="H5" s="51" t="s">
        <v>168</v>
      </c>
      <c r="I5" s="51" t="s">
        <v>169</v>
      </c>
      <c r="J5" s="51" t="s">
        <v>170</v>
      </c>
      <c r="K5" s="51" t="s">
        <v>171</v>
      </c>
    </row>
    <row r="6" spans="2:11" ht="15" customHeight="1" x14ac:dyDescent="0.2">
      <c r="B6" s="53" t="s">
        <v>187</v>
      </c>
      <c r="C6" s="53" t="s">
        <v>172</v>
      </c>
      <c r="D6" s="53" t="s">
        <v>173</v>
      </c>
      <c r="E6" s="53" t="s">
        <v>179</v>
      </c>
      <c r="F6" s="54" t="str">
        <f>D6&amp;"-"&amp;E6</f>
        <v>KAMPALA-RUKUNGIRI</v>
      </c>
      <c r="G6" s="55">
        <f>ROUNDUP(COUNTIF('PT-12'!$L$9:$L$231,Summary!F6),0)</f>
        <v>7</v>
      </c>
      <c r="H6" s="55">
        <v>382</v>
      </c>
      <c r="I6" s="56">
        <f>AVERAGEIF('PT-12'!$L$9:$L$231,Summary!F6,'PT-12'!$O$9:$O$231)</f>
        <v>6.25</v>
      </c>
      <c r="J6" s="55">
        <f>AVERAGEIF('PT-12'!$L$9:$L$231,Summary!F6,'PT-12'!$M$9:$M$231)</f>
        <v>62.571428571428569</v>
      </c>
      <c r="K6" s="57">
        <f>AVERAGEIF('PT-12'!$L$9:$L$231,Summary!F6,'PT-12'!$N$9:$N$231)</f>
        <v>24000</v>
      </c>
    </row>
    <row r="7" spans="2:11" ht="15" customHeight="1" x14ac:dyDescent="0.2">
      <c r="B7" s="53" t="s">
        <v>187</v>
      </c>
      <c r="C7" s="53" t="s">
        <v>172</v>
      </c>
      <c r="D7" s="53" t="s">
        <v>173</v>
      </c>
      <c r="E7" s="53" t="s">
        <v>176</v>
      </c>
      <c r="F7" s="54" t="str">
        <f t="shared" ref="F7:F22" si="0">D7&amp;"-"&amp;E7</f>
        <v>KAMPALA-BUSHENYI</v>
      </c>
      <c r="G7" s="55">
        <f>ROUNDUP(COUNTIF('PT-12'!$L$9:$L$231,Summary!F7),0)</f>
        <v>1</v>
      </c>
      <c r="H7" s="55">
        <v>331</v>
      </c>
      <c r="I7" s="56">
        <f>AVERAGEIF('PT-12'!$L$9:$L$231,Summary!F7,'PT-12'!$O$9:$O$231)</f>
        <v>5.5</v>
      </c>
      <c r="J7" s="55">
        <f>AVERAGEIF('PT-12'!$L$9:$L$231,Summary!F7,'PT-12'!$M$9:$M$231)</f>
        <v>64</v>
      </c>
      <c r="K7" s="57">
        <f>AVERAGEIF('PT-12'!$L$9:$L$231,Summary!F7,'PT-12'!$N$9:$N$231)</f>
        <v>24000</v>
      </c>
    </row>
    <row r="8" spans="2:11" ht="15" customHeight="1" x14ac:dyDescent="0.2">
      <c r="B8" s="53" t="s">
        <v>187</v>
      </c>
      <c r="C8" s="53" t="s">
        <v>172</v>
      </c>
      <c r="D8" s="53" t="s">
        <v>173</v>
      </c>
      <c r="E8" s="53" t="s">
        <v>177</v>
      </c>
      <c r="F8" s="54" t="str">
        <f t="shared" si="0"/>
        <v>KAMPALA-IBANDA</v>
      </c>
      <c r="G8" s="55">
        <f>ROUNDUP(COUNTIF('PT-12'!$L$9:$L$231,Summary!F8),0)</f>
        <v>4</v>
      </c>
      <c r="H8" s="55">
        <v>310</v>
      </c>
      <c r="I8" s="56">
        <f>AVERAGEIF('PT-12'!$L$9:$L$231,Summary!F8,'PT-12'!$O$9:$O$231)</f>
        <v>5.15</v>
      </c>
      <c r="J8" s="55">
        <f>AVERAGEIF('PT-12'!$L$9:$L$231,Summary!F8,'PT-12'!$M$9:$M$231)</f>
        <v>54.5</v>
      </c>
      <c r="K8" s="57">
        <f>AVERAGEIF('PT-12'!$L$9:$L$231,Summary!F8,'PT-12'!$N$9:$N$231)</f>
        <v>21000</v>
      </c>
    </row>
    <row r="9" spans="2:11" ht="15" customHeight="1" x14ac:dyDescent="0.2">
      <c r="B9" s="53" t="s">
        <v>187</v>
      </c>
      <c r="C9" s="53" t="s">
        <v>172</v>
      </c>
      <c r="D9" s="53" t="s">
        <v>173</v>
      </c>
      <c r="E9" s="53" t="s">
        <v>180</v>
      </c>
      <c r="F9" s="54" t="str">
        <f t="shared" si="0"/>
        <v>KAMPALA-ISHAKA</v>
      </c>
      <c r="G9" s="55">
        <f>ROUNDUP(COUNTIF('PT-12'!$L$9:$L$231,Summary!F9),0)</f>
        <v>12</v>
      </c>
      <c r="H9" s="55">
        <v>328</v>
      </c>
      <c r="I9" s="56">
        <f>AVERAGEIF('PT-12'!$L$9:$L$231,Summary!F9,'PT-12'!$O$9:$O$231)</f>
        <v>5.2599999999999989</v>
      </c>
      <c r="J9" s="55">
        <f>AVERAGEIF('PT-12'!$L$9:$L$231,Summary!F9,'PT-12'!$M$9:$M$231)</f>
        <v>60.583333333333336</v>
      </c>
      <c r="K9" s="57">
        <f>AVERAGEIF('PT-12'!$L$9:$L$231,Summary!F9,'PT-12'!$N$9:$N$231)</f>
        <v>20000</v>
      </c>
    </row>
    <row r="10" spans="2:11" ht="15" customHeight="1" x14ac:dyDescent="0.2">
      <c r="B10" s="53" t="s">
        <v>187</v>
      </c>
      <c r="C10" s="53" t="s">
        <v>172</v>
      </c>
      <c r="D10" s="53" t="s">
        <v>173</v>
      </c>
      <c r="E10" s="53" t="s">
        <v>178</v>
      </c>
      <c r="F10" s="54" t="str">
        <f t="shared" si="0"/>
        <v>KAMPALA-KABALE</v>
      </c>
      <c r="G10" s="55">
        <f>ROUNDUP(COUNTIF('PT-12'!$L$9:$L$231,Summary!F10),0)</f>
        <v>6</v>
      </c>
      <c r="H10" s="55">
        <v>410</v>
      </c>
      <c r="I10" s="56">
        <f>AVERAGEIF('PT-12'!$L$9:$L$231,Summary!F10,'PT-12'!$O$9:$O$231)</f>
        <v>6.75</v>
      </c>
      <c r="J10" s="55">
        <f>AVERAGEIF('PT-12'!$L$9:$L$231,Summary!F10,'PT-12'!$M$9:$M$231)</f>
        <v>55.333333333333336</v>
      </c>
      <c r="K10" s="57">
        <f>AVERAGEIF('PT-12'!$L$9:$L$231,Summary!F10,'PT-12'!$N$9:$N$231)</f>
        <v>35000</v>
      </c>
    </row>
    <row r="11" spans="2:11" ht="15" customHeight="1" x14ac:dyDescent="0.2">
      <c r="B11" s="53" t="s">
        <v>187</v>
      </c>
      <c r="C11" s="53" t="s">
        <v>172</v>
      </c>
      <c r="D11" s="53" t="s">
        <v>173</v>
      </c>
      <c r="E11" s="53" t="s">
        <v>181</v>
      </c>
      <c r="F11" s="54" t="str">
        <f t="shared" si="0"/>
        <v>KAMPALA-KATETE</v>
      </c>
      <c r="G11" s="55">
        <f>ROUNDUP(COUNTIF('PT-12'!$L$9:$L$231,Summary!F11),0)</f>
        <v>1</v>
      </c>
      <c r="H11" s="55">
        <v>418</v>
      </c>
      <c r="I11" s="56">
        <f>AVERAGEIF('PT-12'!$L$9:$L$231,Summary!F11,'PT-12'!$O$9:$O$231)</f>
        <v>7.5</v>
      </c>
      <c r="J11" s="55">
        <f>AVERAGEIF('PT-12'!$L$9:$L$231,Summary!F11,'PT-12'!$M$9:$M$231)</f>
        <v>64</v>
      </c>
      <c r="K11" s="57">
        <f>AVERAGEIF('PT-12'!$L$9:$L$231,Summary!F11,'PT-12'!$N$9:$N$231)</f>
        <v>35000</v>
      </c>
    </row>
    <row r="12" spans="2:11" ht="15" customHeight="1" x14ac:dyDescent="0.2">
      <c r="B12" s="53" t="s">
        <v>187</v>
      </c>
      <c r="C12" s="53" t="s">
        <v>172</v>
      </c>
      <c r="D12" s="53" t="s">
        <v>173</v>
      </c>
      <c r="E12" s="53" t="s">
        <v>182</v>
      </c>
      <c r="F12" s="54" t="str">
        <f t="shared" si="0"/>
        <v>KAMPALA-KIGALI</v>
      </c>
      <c r="G12" s="55">
        <f>ROUNDUP(COUNTIF('PT-12'!$L$9:$L$231,Summary!F12),0)</f>
        <v>1</v>
      </c>
      <c r="H12" s="55">
        <v>510</v>
      </c>
      <c r="I12" s="56">
        <f>AVERAGEIF('PT-12'!$L$9:$L$231,Summary!F12,'PT-12'!$O$9:$O$231)</f>
        <v>8.5</v>
      </c>
      <c r="J12" s="55">
        <f>AVERAGEIF('PT-12'!$L$9:$L$231,Summary!F12,'PT-12'!$M$9:$M$231)</f>
        <v>64</v>
      </c>
      <c r="K12" s="57">
        <f>AVERAGEIF('PT-12'!$L$9:$L$231,Summary!F12,'PT-12'!$N$9:$N$231)</f>
        <v>50000</v>
      </c>
    </row>
    <row r="13" spans="2:11" ht="15" customHeight="1" x14ac:dyDescent="0.2">
      <c r="B13" s="53" t="s">
        <v>187</v>
      </c>
      <c r="C13" s="53" t="s">
        <v>172</v>
      </c>
      <c r="D13" s="53" t="s">
        <v>173</v>
      </c>
      <c r="E13" s="53" t="s">
        <v>183</v>
      </c>
      <c r="F13" s="54" t="str">
        <f t="shared" si="0"/>
        <v>KAMPALA-MBARARA</v>
      </c>
      <c r="G13" s="55">
        <f>ROUNDUP(COUNTIF('PT-12'!$L$9:$L$231,Summary!F13),0)</f>
        <v>8</v>
      </c>
      <c r="H13" s="55">
        <v>270</v>
      </c>
      <c r="I13" s="56">
        <f>AVERAGEIF('PT-12'!$L$9:$L$231,Summary!F13,'PT-12'!$O$9:$O$231)</f>
        <v>4.75</v>
      </c>
      <c r="J13" s="55">
        <f>AVERAGEIF('PT-12'!$L$9:$L$231,Summary!F13,'PT-12'!$M$9:$M$231)</f>
        <v>58.75</v>
      </c>
      <c r="K13" s="57">
        <f>AVERAGEIF('PT-12'!$L$9:$L$231,Summary!F13,'PT-12'!$N$9:$N$231)</f>
        <v>20000</v>
      </c>
    </row>
    <row r="14" spans="2:11" ht="15" customHeight="1" x14ac:dyDescent="0.2">
      <c r="B14" s="53" t="s">
        <v>187</v>
      </c>
      <c r="C14" s="53" t="s">
        <v>172</v>
      </c>
      <c r="D14" s="53" t="s">
        <v>173</v>
      </c>
      <c r="E14" s="53" t="s">
        <v>184</v>
      </c>
      <c r="F14" s="54" t="str">
        <f t="shared" ref="F14" si="1">D14&amp;"-"&amp;E14</f>
        <v>KAMPALA-NTUNGAMO</v>
      </c>
      <c r="G14" s="55">
        <f>ROUNDUP(COUNTIF('PT-12'!$L$9:$L$231,Summary!F14),0)</f>
        <v>10</v>
      </c>
      <c r="H14" s="55">
        <v>332</v>
      </c>
      <c r="I14" s="56">
        <f>AVERAGEIF('PT-12'!$L$9:$L$231,Summary!F14,'PT-12'!$O$9:$O$231)</f>
        <v>5.5</v>
      </c>
      <c r="J14" s="55">
        <f>AVERAGEIF('PT-12'!$L$9:$L$231,Summary!F14,'PT-12'!$M$9:$M$231)</f>
        <v>55.6</v>
      </c>
      <c r="K14" s="57">
        <f>AVERAGEIF('PT-12'!$L$9:$L$231,Summary!F14,'PT-12'!$N$9:$N$231)</f>
        <v>25000</v>
      </c>
    </row>
    <row r="15" spans="2:11" ht="15" customHeight="1" x14ac:dyDescent="0.2">
      <c r="B15" s="53" t="s">
        <v>187</v>
      </c>
      <c r="C15" s="53" t="s">
        <v>172</v>
      </c>
      <c r="D15" s="53" t="s">
        <v>173</v>
      </c>
      <c r="E15" s="53" t="s">
        <v>186</v>
      </c>
      <c r="F15" s="54" t="str">
        <f t="shared" si="0"/>
        <v>KAMPALA-LYANTODE</v>
      </c>
      <c r="G15" s="55">
        <f>ROUNDUP(COUNTIF('PT-12'!$L$9:$L$231,Summary!F15),0)</f>
        <v>1</v>
      </c>
      <c r="H15" s="55">
        <v>203</v>
      </c>
      <c r="I15" s="56">
        <f>AVERAGEIF('PT-12'!$L$9:$L$231,Summary!F15,'PT-12'!$O$9:$O$231)</f>
        <v>3.75</v>
      </c>
      <c r="J15" s="55">
        <f>AVERAGEIF('PT-12'!$L$9:$L$231,Summary!F15,'PT-12'!$M$9:$M$231)</f>
        <v>64</v>
      </c>
      <c r="K15" s="57">
        <f>AVERAGEIF('PT-12'!$L$9:$L$231,Summary!F15,'PT-12'!$N$9:$N$231)</f>
        <v>20000</v>
      </c>
    </row>
    <row r="16" spans="2:11" ht="15" customHeight="1" x14ac:dyDescent="0.2">
      <c r="B16" s="53" t="s">
        <v>187</v>
      </c>
      <c r="C16" s="53" t="s">
        <v>174</v>
      </c>
      <c r="D16" s="53" t="s">
        <v>176</v>
      </c>
      <c r="E16" s="53" t="s">
        <v>173</v>
      </c>
      <c r="F16" s="54" t="str">
        <f t="shared" si="0"/>
        <v>BUSHENYI-KAMPALA</v>
      </c>
      <c r="G16" s="55">
        <f>ROUNDUP(COUNTIF('PT-12'!$L$9:$L$231,Summary!F16),0)</f>
        <v>6</v>
      </c>
      <c r="H16" s="55">
        <v>331</v>
      </c>
      <c r="I16" s="56">
        <f>AVERAGEIF('PT-12'!$L$9:$L$231,Summary!F16,'PT-12'!$O$9:$O$231)</f>
        <v>5.5</v>
      </c>
      <c r="J16" s="55">
        <f>AVERAGEIF('PT-12'!$L$9:$L$231,Summary!F16,'PT-12'!$M$9:$M$231)</f>
        <v>58.833333333333336</v>
      </c>
      <c r="K16" s="57">
        <f>AVERAGEIF('PT-12'!$L$9:$L$231,Summary!F16,'PT-12'!$N$9:$N$231)</f>
        <v>21000</v>
      </c>
    </row>
    <row r="17" spans="2:11" ht="15" customHeight="1" x14ac:dyDescent="0.2">
      <c r="B17" s="53" t="s">
        <v>187</v>
      </c>
      <c r="C17" s="53" t="s">
        <v>174</v>
      </c>
      <c r="D17" s="53" t="s">
        <v>177</v>
      </c>
      <c r="E17" s="53" t="s">
        <v>173</v>
      </c>
      <c r="F17" s="54" t="str">
        <f t="shared" si="0"/>
        <v>IBANDA-KAMPALA</v>
      </c>
      <c r="G17" s="55">
        <f>ROUNDUP(COUNTIF('PT-12'!$L$9:$L$231,Summary!F17),0)</f>
        <v>5</v>
      </c>
      <c r="H17" s="55">
        <v>310</v>
      </c>
      <c r="I17" s="56">
        <f>AVERAGEIF('PT-12'!$L$9:$L$231,Summary!F17,'PT-12'!$O$9:$O$231)</f>
        <v>5.15</v>
      </c>
      <c r="J17" s="55">
        <f>AVERAGEIF('PT-12'!$L$9:$L$231,Summary!F17,'PT-12'!$M$9:$M$231)</f>
        <v>54.4</v>
      </c>
      <c r="K17" s="57">
        <f>AVERAGEIF('PT-12'!$L$9:$L$231,Summary!F17,'PT-12'!$N$9:$N$231)</f>
        <v>21000</v>
      </c>
    </row>
    <row r="18" spans="2:11" ht="15" customHeight="1" x14ac:dyDescent="0.2">
      <c r="B18" s="53" t="s">
        <v>187</v>
      </c>
      <c r="C18" s="53" t="s">
        <v>174</v>
      </c>
      <c r="D18" s="53" t="s">
        <v>178</v>
      </c>
      <c r="E18" s="53" t="s">
        <v>173</v>
      </c>
      <c r="F18" s="54" t="str">
        <f t="shared" si="0"/>
        <v>KABALE-KAMPALA</v>
      </c>
      <c r="G18" s="55">
        <f>ROUNDUP(COUNTIF('PT-12'!$L$9:$L$231,Summary!F18),0)</f>
        <v>4</v>
      </c>
      <c r="H18" s="55">
        <v>410</v>
      </c>
      <c r="I18" s="56">
        <f>AVERAGEIF('PT-12'!$L$9:$L$231,Summary!F18,'PT-12'!$O$9:$O$231)</f>
        <v>6.75</v>
      </c>
      <c r="J18" s="55">
        <f>AVERAGEIF('PT-12'!$L$9:$L$231,Summary!F18,'PT-12'!$M$9:$M$231)</f>
        <v>64</v>
      </c>
      <c r="K18" s="57">
        <f>AVERAGEIF('PT-12'!$L$9:$L$231,Summary!F18,'PT-12'!$N$9:$N$231)</f>
        <v>35000</v>
      </c>
    </row>
    <row r="19" spans="2:11" ht="15" customHeight="1" x14ac:dyDescent="0.2">
      <c r="B19" s="53" t="s">
        <v>187</v>
      </c>
      <c r="C19" s="53" t="s">
        <v>174</v>
      </c>
      <c r="D19" s="53" t="s">
        <v>183</v>
      </c>
      <c r="E19" s="53" t="s">
        <v>173</v>
      </c>
      <c r="F19" s="54" t="str">
        <f t="shared" si="0"/>
        <v>MBARARA-KAMPALA</v>
      </c>
      <c r="G19" s="55">
        <f>ROUNDUP(COUNTIF('PT-12'!$L$9:$L$231,Summary!F19),0)</f>
        <v>10</v>
      </c>
      <c r="H19" s="55">
        <v>270</v>
      </c>
      <c r="I19" s="56">
        <f>AVERAGEIF('PT-12'!$L$9:$L$231,Summary!F19,'PT-12'!$O$9:$O$231)</f>
        <v>4.75</v>
      </c>
      <c r="J19" s="55">
        <f>AVERAGEIF('PT-12'!$L$9:$L$231,Summary!F19,'PT-12'!$M$9:$M$231)</f>
        <v>55.6</v>
      </c>
      <c r="K19" s="57">
        <f>AVERAGEIF('PT-12'!$L$9:$L$231,Summary!F19,'PT-12'!$N$9:$N$231)</f>
        <v>20000</v>
      </c>
    </row>
    <row r="20" spans="2:11" ht="15" customHeight="1" x14ac:dyDescent="0.2">
      <c r="B20" s="53" t="s">
        <v>187</v>
      </c>
      <c r="C20" s="53" t="s">
        <v>174</v>
      </c>
      <c r="D20" s="53" t="s">
        <v>182</v>
      </c>
      <c r="E20" s="53" t="s">
        <v>173</v>
      </c>
      <c r="F20" s="54" t="str">
        <f t="shared" ref="F20" si="2">D20&amp;"-"&amp;E20</f>
        <v>KIGALI-KAMPALA</v>
      </c>
      <c r="G20" s="55">
        <f>ROUNDUP(COUNTIF('PT-12'!$L$9:$L$231,Summary!F20),0)</f>
        <v>1</v>
      </c>
      <c r="H20" s="55">
        <v>510</v>
      </c>
      <c r="I20" s="56">
        <f>AVERAGEIF('PT-12'!$L$9:$L$231,Summary!F20,'PT-12'!$O$9:$O$231)</f>
        <v>8.5</v>
      </c>
      <c r="J20" s="55">
        <f>AVERAGEIF('PT-12'!$L$9:$L$231,Summary!F20,'PT-12'!$M$9:$M$231)</f>
        <v>67</v>
      </c>
      <c r="K20" s="57">
        <f>AVERAGEIF('PT-12'!$L$9:$L$231,Summary!F20,'PT-12'!$N$9:$N$231)</f>
        <v>50000</v>
      </c>
    </row>
    <row r="21" spans="2:11" ht="15" customHeight="1" x14ac:dyDescent="0.2">
      <c r="B21" s="53" t="s">
        <v>187</v>
      </c>
      <c r="C21" s="53" t="s">
        <v>174</v>
      </c>
      <c r="D21" s="53" t="s">
        <v>184</v>
      </c>
      <c r="E21" s="53" t="s">
        <v>173</v>
      </c>
      <c r="F21" s="54" t="str">
        <f t="shared" si="0"/>
        <v>NTUNGAMO-KAMPALA</v>
      </c>
      <c r="G21" s="55">
        <f>ROUNDUP(COUNTIF('PT-12'!$L$9:$L$231,Summary!F21),0)</f>
        <v>4</v>
      </c>
      <c r="H21" s="55">
        <v>332</v>
      </c>
      <c r="I21" s="56">
        <f>AVERAGEIF('PT-12'!$L$9:$L$231,Summary!F21,'PT-12'!$O$9:$O$231)</f>
        <v>5.5</v>
      </c>
      <c r="J21" s="55">
        <f>AVERAGEIF('PT-12'!$L$9:$L$231,Summary!F21,'PT-12'!$M$9:$M$231)</f>
        <v>64</v>
      </c>
      <c r="K21" s="57">
        <f>AVERAGEIF('PT-12'!$L$9:$L$231,Summary!F21,'PT-12'!$N$9:$N$231)</f>
        <v>21000</v>
      </c>
    </row>
    <row r="22" spans="2:11" ht="15" customHeight="1" x14ac:dyDescent="0.2">
      <c r="B22" s="53" t="s">
        <v>187</v>
      </c>
      <c r="C22" s="53" t="s">
        <v>174</v>
      </c>
      <c r="D22" s="53" t="s">
        <v>179</v>
      </c>
      <c r="E22" s="53" t="s">
        <v>173</v>
      </c>
      <c r="F22" s="54" t="str">
        <f t="shared" si="0"/>
        <v>RUKUNGIRI-KAMPALA</v>
      </c>
      <c r="G22" s="55">
        <f>ROUNDUP(COUNTIF('PT-12'!$L$9:$L$231,Summary!F22),0)</f>
        <v>2</v>
      </c>
      <c r="H22" s="55">
        <v>382</v>
      </c>
      <c r="I22" s="56">
        <f>AVERAGEIF('PT-12'!$L$9:$L$231,Summary!F22,'PT-12'!$O$9:$O$231)</f>
        <v>6.25</v>
      </c>
      <c r="J22" s="55">
        <f>AVERAGEIF('PT-12'!$L$9:$L$231,Summary!F22,'PT-12'!$M$9:$M$231)</f>
        <v>64</v>
      </c>
      <c r="K22" s="57">
        <f>AVERAGEIF('PT-12'!$L$9:$L$231,Summary!F22,'PT-12'!$N$9:$N$231)</f>
        <v>21000</v>
      </c>
    </row>
    <row r="23" spans="2:11" ht="15" customHeight="1" x14ac:dyDescent="0.2"/>
    <row r="24" spans="2:11" ht="15" customHeight="1" x14ac:dyDescent="0.2"/>
    <row r="25" spans="2:11" ht="15" customHeight="1" x14ac:dyDescent="0.2"/>
    <row r="26" spans="2:11" ht="15" customHeight="1" x14ac:dyDescent="0.2"/>
    <row r="27" spans="2:11" ht="15" customHeight="1" x14ac:dyDescent="0.2"/>
    <row r="28" spans="2:11" ht="15" customHeight="1" x14ac:dyDescent="0.2"/>
    <row r="29" spans="2:11" ht="15" customHeight="1" x14ac:dyDescent="0.2"/>
    <row r="30" spans="2:11" ht="15" customHeight="1" x14ac:dyDescent="0.2"/>
    <row r="31" spans="2:11" ht="15" customHeight="1" x14ac:dyDescent="0.2"/>
    <row r="32" spans="2:11" ht="15" customHeight="1" x14ac:dyDescent="0.2"/>
  </sheetData>
  <mergeCells count="2">
    <mergeCell ref="D4:I4"/>
    <mergeCell ref="J4:K4"/>
  </mergeCells>
  <pageMargins left="0.7" right="0.7" top="0.75" bottom="0.75" header="0.3" footer="0.3"/>
  <pageSetup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D19" sqref="D19"/>
    </sheetView>
  </sheetViews>
  <sheetFormatPr defaultRowHeight="12.75" x14ac:dyDescent="0.2"/>
  <cols>
    <col min="1" max="1" width="4.28515625" customWidth="1"/>
    <col min="2" max="2" width="25.5703125" bestFit="1" customWidth="1"/>
    <col min="3" max="3" width="4.5703125" customWidth="1"/>
    <col min="4" max="4" width="18.42578125" customWidth="1"/>
    <col min="5" max="5" width="4.85546875" customWidth="1"/>
    <col min="6" max="6" width="24.28515625" customWidth="1"/>
    <col min="7" max="7" width="5.140625" customWidth="1"/>
    <col min="8" max="8" width="47.85546875" customWidth="1"/>
  </cols>
  <sheetData>
    <row r="1" spans="1:13" ht="30.75" customHeight="1" x14ac:dyDescent="0.2">
      <c r="A1" s="25"/>
      <c r="B1" s="23" t="s">
        <v>33</v>
      </c>
      <c r="C1" s="23"/>
      <c r="D1" s="24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>
        <v>1</v>
      </c>
      <c r="B2" s="22" t="s">
        <v>39</v>
      </c>
      <c r="C2" s="10"/>
      <c r="F2" s="19"/>
      <c r="H2" s="19"/>
    </row>
    <row r="3" spans="1:13" x14ac:dyDescent="0.2">
      <c r="A3">
        <v>2</v>
      </c>
      <c r="B3" s="22" t="s">
        <v>40</v>
      </c>
      <c r="C3" s="10"/>
      <c r="F3" s="19"/>
      <c r="H3" s="19"/>
    </row>
    <row r="4" spans="1:13" x14ac:dyDescent="0.2">
      <c r="A4">
        <v>3</v>
      </c>
      <c r="B4" s="22" t="s">
        <v>41</v>
      </c>
      <c r="C4" s="10"/>
      <c r="F4" s="19"/>
      <c r="H4" s="19"/>
    </row>
    <row r="5" spans="1:13" x14ac:dyDescent="0.2">
      <c r="A5">
        <v>4</v>
      </c>
      <c r="B5" s="22" t="s">
        <v>42</v>
      </c>
      <c r="C5" s="10"/>
      <c r="F5" s="19"/>
      <c r="H5" s="26"/>
    </row>
    <row r="6" spans="1:13" x14ac:dyDescent="0.2">
      <c r="A6">
        <v>5</v>
      </c>
      <c r="B6" s="22" t="s">
        <v>43</v>
      </c>
      <c r="C6" s="10"/>
      <c r="F6" s="19"/>
      <c r="H6" s="19"/>
    </row>
    <row r="7" spans="1:13" x14ac:dyDescent="0.2">
      <c r="A7">
        <v>6</v>
      </c>
      <c r="B7" s="22" t="s">
        <v>44</v>
      </c>
      <c r="C7" s="10"/>
      <c r="F7" s="19"/>
      <c r="H7" s="19"/>
    </row>
    <row r="8" spans="1:13" x14ac:dyDescent="0.2">
      <c r="A8">
        <v>7</v>
      </c>
      <c r="B8" s="22" t="s">
        <v>45</v>
      </c>
      <c r="C8" s="10"/>
      <c r="H8" s="19"/>
    </row>
    <row r="9" spans="1:13" x14ac:dyDescent="0.2">
      <c r="A9">
        <v>8</v>
      </c>
      <c r="B9" s="22" t="s">
        <v>46</v>
      </c>
      <c r="C9" s="10"/>
      <c r="H9" s="19"/>
    </row>
    <row r="10" spans="1:13" x14ac:dyDescent="0.2">
      <c r="A10">
        <v>9</v>
      </c>
      <c r="B10" s="22" t="s">
        <v>47</v>
      </c>
      <c r="C10" s="10"/>
      <c r="H10" s="19"/>
    </row>
    <row r="11" spans="1:13" x14ac:dyDescent="0.2">
      <c r="A11">
        <v>10</v>
      </c>
      <c r="B11" s="22" t="s">
        <v>48</v>
      </c>
      <c r="C11" s="10"/>
      <c r="H11" s="26"/>
    </row>
    <row r="12" spans="1:13" x14ac:dyDescent="0.2">
      <c r="A12">
        <v>11</v>
      </c>
      <c r="B12" s="22" t="s">
        <v>50</v>
      </c>
      <c r="C12" s="10"/>
      <c r="H12" s="19"/>
    </row>
    <row r="13" spans="1:13" x14ac:dyDescent="0.2">
      <c r="A13">
        <v>12</v>
      </c>
      <c r="B13" s="22" t="s">
        <v>49</v>
      </c>
      <c r="C13" s="10"/>
      <c r="H13" s="19"/>
    </row>
    <row r="14" spans="1:13" x14ac:dyDescent="0.2">
      <c r="C14" s="10"/>
    </row>
    <row r="15" spans="1:13" x14ac:dyDescent="0.2">
      <c r="B15" s="1"/>
      <c r="C15" s="10"/>
    </row>
    <row r="16" spans="1:13" x14ac:dyDescent="0.2">
      <c r="C16" s="10"/>
    </row>
    <row r="17" spans="3:3" x14ac:dyDescent="0.2">
      <c r="C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PT-12</vt:lpstr>
      <vt:lpstr>RSI FORM</vt:lpstr>
      <vt:lpstr>Summary</vt:lpstr>
      <vt:lpstr>Key</vt:lpstr>
      <vt:lpstr>Summary!Print_Area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Mr.&amp;Mrs.O</cp:lastModifiedBy>
  <cp:lastPrinted>2019-07-30T09:53:06Z</cp:lastPrinted>
  <dcterms:created xsi:type="dcterms:W3CDTF">2010-10-20T14:55:17Z</dcterms:created>
  <dcterms:modified xsi:type="dcterms:W3CDTF">2020-03-31T23:29:17Z</dcterms:modified>
</cp:coreProperties>
</file>