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DMP ANALYSIS_V5.0\PT-DATA_V1.0\PT-DATA_V1.0\PT-04-TORORO\"/>
    </mc:Choice>
  </mc:AlternateContent>
  <bookViews>
    <workbookView xWindow="-120" yWindow="-120" windowWidth="20730" windowHeight="11160" activeTab="2"/>
  </bookViews>
  <sheets>
    <sheet name="PT-04" sheetId="3" r:id="rId1"/>
    <sheet name="RSI FORM" sheetId="4" state="hidden" r:id="rId2"/>
    <sheet name="Summary" sheetId="6" r:id="rId3"/>
    <sheet name="Key" sheetId="5" r:id="rId4"/>
  </sheets>
  <definedNames>
    <definedName name="_xlnm._FilterDatabase" localSheetId="0" hidden="1">'PT-04'!$B$10:$O$107</definedName>
    <definedName name="_xlnm.Print_Area" localSheetId="2">Summary!$A$1:$L$22</definedName>
    <definedName name="Veh_Type">'PT-04'!$C$10:$C$38</definedName>
    <definedName name="zones">#REF!</definedName>
    <definedName name="Zones_Ndeke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8" i="6" l="1"/>
  <c r="F18" i="6"/>
  <c r="F20" i="6"/>
  <c r="F19" i="6"/>
  <c r="F17" i="6"/>
  <c r="F21" i="6"/>
  <c r="F13" i="6"/>
  <c r="F14" i="6"/>
  <c r="F15" i="6"/>
  <c r="F16" i="6"/>
  <c r="F7" i="6"/>
  <c r="L288" i="3" l="1"/>
  <c r="L115" i="3"/>
  <c r="L51" i="3"/>
  <c r="L306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G20" i="6" s="1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7" i="3"/>
  <c r="L9" i="3"/>
  <c r="G19" i="6" s="1"/>
  <c r="F12" i="6"/>
  <c r="F11" i="6"/>
  <c r="F10" i="6"/>
  <c r="F9" i="6"/>
  <c r="F6" i="6"/>
  <c r="K20" i="6" l="1"/>
  <c r="I19" i="6"/>
  <c r="J20" i="6"/>
  <c r="G18" i="6"/>
  <c r="I8" i="6"/>
  <c r="G8" i="6"/>
  <c r="I18" i="6"/>
  <c r="I20" i="6"/>
  <c r="K8" i="6"/>
  <c r="J18" i="6"/>
  <c r="J8" i="6"/>
  <c r="K18" i="6"/>
  <c r="J19" i="6"/>
  <c r="K7" i="6"/>
  <c r="K9" i="6"/>
  <c r="K10" i="6"/>
  <c r="K11" i="6"/>
  <c r="K12" i="6"/>
  <c r="K13" i="6"/>
  <c r="K14" i="6"/>
  <c r="K15" i="6"/>
  <c r="K16" i="6"/>
  <c r="K17" i="6"/>
  <c r="J21" i="6"/>
  <c r="I9" i="6"/>
  <c r="I11" i="6"/>
  <c r="I12" i="6"/>
  <c r="I14" i="6"/>
  <c r="I16" i="6"/>
  <c r="J10" i="6"/>
  <c r="J11" i="6"/>
  <c r="J14" i="6"/>
  <c r="I21" i="6"/>
  <c r="G7" i="6"/>
  <c r="G9" i="6"/>
  <c r="G10" i="6"/>
  <c r="G11" i="6"/>
  <c r="G12" i="6"/>
  <c r="G13" i="6"/>
  <c r="G14" i="6"/>
  <c r="G15" i="6"/>
  <c r="G16" i="6"/>
  <c r="G17" i="6"/>
  <c r="K19" i="6"/>
  <c r="K21" i="6"/>
  <c r="I7" i="6"/>
  <c r="I10" i="6"/>
  <c r="I13" i="6"/>
  <c r="I15" i="6"/>
  <c r="I17" i="6"/>
  <c r="G21" i="6"/>
  <c r="J7" i="6"/>
  <c r="J12" i="6"/>
  <c r="J15" i="6"/>
  <c r="J9" i="6"/>
  <c r="J13" i="6"/>
  <c r="J16" i="6"/>
  <c r="J17" i="6"/>
  <c r="K6" i="6"/>
  <c r="G6" i="6"/>
  <c r="I6" i="6"/>
  <c r="J6" i="6"/>
  <c r="D19" i="3"/>
  <c r="D20" i="3"/>
  <c r="D21" i="3"/>
  <c r="D22" i="3"/>
  <c r="D23" i="3"/>
  <c r="D11" i="3"/>
  <c r="D12" i="3"/>
  <c r="D13" i="3"/>
  <c r="D14" i="3"/>
  <c r="D15" i="3"/>
  <c r="D16" i="3"/>
  <c r="D17" i="3"/>
  <c r="D18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10" i="3"/>
</calcChain>
</file>

<file path=xl/sharedStrings.xml><?xml version="1.0" encoding="utf-8"?>
<sst xmlns="http://schemas.openxmlformats.org/spreadsheetml/2006/main" count="1657" uniqueCount="100">
  <si>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</si>
  <si>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</si>
  <si>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</si>
  <si>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</si>
  <si>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</si>
  <si>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</si>
  <si>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</si>
  <si>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</si>
  <si>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</si>
  <si>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</si>
  <si>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</si>
  <si>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</si>
  <si>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</si>
  <si>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</si>
  <si>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</si>
  <si>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</si>
  <si>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</si>
  <si>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</si>
  <si>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</si>
  <si>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</si>
  <si>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</si>
  <si>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</si>
  <si>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</si>
  <si>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</si>
  <si>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</si>
  <si>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</si>
  <si>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</si>
  <si>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</si>
  <si>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</si>
  <si>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</si>
  <si>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</si>
  <si>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</si>
  <si>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</si>
  <si>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</si>
  <si>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</si>
  <si>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Veh_Reg_No.</t>
  </si>
  <si>
    <t>District</t>
  </si>
  <si>
    <t>Country</t>
  </si>
  <si>
    <t>Supervisor: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</si>
  <si>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</si>
  <si>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</si>
  <si>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</si>
  <si>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</si>
  <si>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</si>
  <si>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</si>
  <si>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</si>
  <si>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</si>
  <si>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</si>
  <si>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</si>
  <si>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</si>
  <si>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</si>
  <si>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Consultancy services for Preparation of Expressway Development Master Plan (EDMP) for Uganda</t>
  </si>
  <si>
    <t>Approx_Journey Time (Hrs)</t>
  </si>
  <si>
    <t>01.08.19</t>
  </si>
  <si>
    <t>Town</t>
  </si>
  <si>
    <t>IN / OUT</t>
  </si>
  <si>
    <t>Type of Veh.</t>
  </si>
  <si>
    <t>No. Passengers</t>
  </si>
  <si>
    <t>Enumerator:</t>
  </si>
  <si>
    <t>Location</t>
  </si>
  <si>
    <t>Cost of Trip (UGX)</t>
  </si>
  <si>
    <t>Bakole. D.M</t>
  </si>
  <si>
    <t>Public Transport/Bus Surveys</t>
  </si>
  <si>
    <t>OUT</t>
  </si>
  <si>
    <t>IN</t>
  </si>
  <si>
    <t>TORORO</t>
  </si>
  <si>
    <t>MBALE</t>
  </si>
  <si>
    <t>JINJA</t>
  </si>
  <si>
    <t>KAMPALA</t>
  </si>
  <si>
    <t>BUSIA</t>
  </si>
  <si>
    <t>BIGILI</t>
  </si>
  <si>
    <t>BUGIRI</t>
  </si>
  <si>
    <t>BUGILI</t>
  </si>
  <si>
    <t>IGANGA</t>
  </si>
  <si>
    <t>LIRA</t>
  </si>
  <si>
    <t>MAGALE</t>
  </si>
  <si>
    <t>BUSELE</t>
  </si>
  <si>
    <t>BUTALEJA</t>
  </si>
  <si>
    <t>MAGODIES</t>
  </si>
  <si>
    <t>BUSOLE</t>
  </si>
  <si>
    <t>BUS JOURNEY</t>
  </si>
  <si>
    <t>PASSENGER DETAILS</t>
  </si>
  <si>
    <t>STATION</t>
  </si>
  <si>
    <t>DIRECTION</t>
  </si>
  <si>
    <t>ORIGIN</t>
  </si>
  <si>
    <t>DESTINATION</t>
  </si>
  <si>
    <t>ROUTE ID</t>
  </si>
  <si>
    <t>BUS TRIPS / DAY</t>
  </si>
  <si>
    <t>JOURNEY DISTANCE (KM)</t>
  </si>
  <si>
    <t>JOURNEY TIME/ TRIP (HRS)</t>
  </si>
  <si>
    <t>EST. PAX/ BUS</t>
  </si>
  <si>
    <t>AVERAGE PAX FARE (UGX)</t>
  </si>
  <si>
    <t>FROM KAMPALA</t>
  </si>
  <si>
    <t>TO KAMPALA</t>
  </si>
  <si>
    <t>Journey_Desc</t>
  </si>
  <si>
    <t>TO TORORO</t>
  </si>
  <si>
    <t>BUS OPERATIONS AT TORORO</t>
  </si>
  <si>
    <t>FROM TORORO</t>
  </si>
  <si>
    <t>TO MBALE</t>
  </si>
  <si>
    <t>FROM LIRA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</si>
</sst>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-* #,##0_-;\-* #,##0_-;_-* &quot;-&quot;_-;_-@_-"/>
    <numFmt numFmtId="165" formatCode="h:mm;@"/>
    <numFmt numFmtId="166" formatCode="0.0"/>
    <numFmt numFmtId="167" formatCode="_(* #,##0_);_(* \(#,##0\);_(* &quot;-&quot;??_);_(@_)"/>
    <numFmt numFmtId="168" formatCode="mm/dd/yy;@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b/>
      <u/>
      <sz val="12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" fillId="0" borderId="0"/>
    <xf numFmtId="43" fontId="6" fillId="0" borderId="0" applyFont="0" applyFill="0" applyBorder="0" applyAlignment="0" applyProtection="0"/>
    <xf numFmtId="0" fontId="1" fillId="0" borderId="0"/>
    <xf numFmtId="164" fontId="6" fillId="0" borderId="0" applyFont="0" applyFill="0" applyBorder="0" applyAlignment="0" applyProtection="0"/>
  </cellStyleXfs>
  <cellXfs count="96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/>
    <xf numFmtId="0" fontId="5" fillId="0" borderId="0" xfId="0" applyFont="1" applyBorder="1" applyAlignment="1">
      <alignment horizontal="left" vertical="center"/>
    </xf>
    <xf numFmtId="0" fontId="0" fillId="0" borderId="0" xfId="0" applyBorder="1"/>
    <xf numFmtId="1" fontId="6" fillId="0" borderId="2" xfId="0" applyNumberFormat="1" applyFont="1" applyBorder="1"/>
    <xf numFmtId="1" fontId="0" fillId="0" borderId="2" xfId="0" applyNumberFormat="1" applyBorder="1"/>
    <xf numFmtId="1" fontId="6" fillId="0" borderId="2" xfId="0" applyNumberFormat="1" applyFont="1" applyBorder="1" applyAlignment="1">
      <alignment horizontal="center"/>
    </xf>
    <xf numFmtId="0" fontId="0" fillId="0" borderId="2" xfId="0" applyBorder="1"/>
    <xf numFmtId="1" fontId="6" fillId="0" borderId="3" xfId="0" applyNumberFormat="1" applyFont="1" applyBorder="1"/>
    <xf numFmtId="1" fontId="0" fillId="0" borderId="3" xfId="0" applyNumberFormat="1" applyBorder="1"/>
    <xf numFmtId="1" fontId="6" fillId="0" borderId="3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vertical="center" wrapText="1"/>
    </xf>
    <xf numFmtId="0" fontId="6" fillId="0" borderId="0" xfId="0" applyFont="1"/>
    <xf numFmtId="14" fontId="5" fillId="0" borderId="1" xfId="0" applyNumberFormat="1" applyFont="1" applyBorder="1" applyAlignment="1">
      <alignment vertical="center"/>
    </xf>
    <xf numFmtId="1" fontId="8" fillId="0" borderId="2" xfId="0" applyNumberFormat="1" applyFont="1" applyBorder="1" applyAlignment="1">
      <alignment horizontal="center"/>
    </xf>
    <xf numFmtId="0" fontId="6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/>
    <xf numFmtId="1" fontId="6" fillId="3" borderId="2" xfId="0" applyNumberFormat="1" applyFont="1" applyFill="1" applyBorder="1" applyAlignment="1">
      <alignment horizontal="center" wrapText="1"/>
    </xf>
    <xf numFmtId="1" fontId="6" fillId="3" borderId="2" xfId="0" applyNumberFormat="1" applyFont="1" applyFill="1" applyBorder="1" applyAlignment="1">
      <alignment horizontal="center"/>
    </xf>
    <xf numFmtId="0" fontId="6" fillId="3" borderId="2" xfId="0" applyFont="1" applyFill="1" applyBorder="1"/>
    <xf numFmtId="0" fontId="6" fillId="3" borderId="2" xfId="0" applyFont="1" applyFill="1" applyBorder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/>
    <xf numFmtId="1" fontId="6" fillId="2" borderId="2" xfId="0" applyNumberFormat="1" applyFont="1" applyFill="1" applyBorder="1" applyAlignment="1">
      <alignment horizontal="center" wrapText="1"/>
    </xf>
    <xf numFmtId="166" fontId="6" fillId="3" borderId="2" xfId="0" applyNumberFormat="1" applyFont="1" applyFill="1" applyBorder="1" applyAlignment="1">
      <alignment horizontal="center"/>
    </xf>
    <xf numFmtId="167" fontId="6" fillId="3" borderId="2" xfId="1" applyNumberFormat="1" applyFont="1" applyFill="1" applyBorder="1" applyAlignment="1">
      <alignment horizontal="right"/>
    </xf>
    <xf numFmtId="0" fontId="10" fillId="0" borderId="0" xfId="0" applyFont="1"/>
    <xf numFmtId="20" fontId="3" fillId="3" borderId="2" xfId="0" applyNumberFormat="1" applyFont="1" applyFill="1" applyBorder="1" applyAlignment="1">
      <alignment vertical="center"/>
    </xf>
    <xf numFmtId="0" fontId="10" fillId="0" borderId="21" xfId="0" applyFont="1" applyFill="1" applyBorder="1" applyAlignment="1"/>
    <xf numFmtId="0" fontId="3" fillId="0" borderId="0" xfId="0" applyFont="1" applyBorder="1" applyAlignment="1">
      <alignment horizontal="right" vertical="center"/>
    </xf>
    <xf numFmtId="0" fontId="10" fillId="3" borderId="19" xfId="0" applyFont="1" applyFill="1" applyBorder="1" applyAlignment="1"/>
    <xf numFmtId="0" fontId="10" fillId="0" borderId="0" xfId="0" applyFont="1" applyBorder="1"/>
    <xf numFmtId="0" fontId="10" fillId="0" borderId="0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2" fillId="3" borderId="2" xfId="0" applyNumberFormat="1" applyFont="1" applyFill="1" applyBorder="1" applyAlignment="1">
      <alignment horizontal="center"/>
    </xf>
    <xf numFmtId="1" fontId="2" fillId="2" borderId="7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165" fontId="6" fillId="3" borderId="2" xfId="0" applyNumberFormat="1" applyFont="1" applyFill="1" applyBorder="1" applyAlignment="1">
      <alignment horizontal="left"/>
    </xf>
    <xf numFmtId="1" fontId="6" fillId="3" borderId="2" xfId="0" applyNumberFormat="1" applyFont="1" applyFill="1" applyBorder="1" applyAlignment="1">
      <alignment horizontal="left" wrapText="1"/>
    </xf>
    <xf numFmtId="1" fontId="6" fillId="2" borderId="2" xfId="0" applyNumberFormat="1" applyFont="1" applyFill="1" applyBorder="1" applyAlignment="1">
      <alignment horizontal="left" wrapText="1"/>
    </xf>
    <xf numFmtId="1" fontId="6" fillId="3" borderId="2" xfId="0" applyNumberFormat="1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167" fontId="6" fillId="3" borderId="2" xfId="1" applyNumberFormat="1" applyFont="1" applyFill="1" applyBorder="1" applyAlignment="1">
      <alignment horizontal="left"/>
    </xf>
    <xf numFmtId="166" fontId="6" fillId="3" borderId="2" xfId="0" applyNumberFormat="1" applyFont="1" applyFill="1" applyBorder="1" applyAlignment="1">
      <alignment horizontal="left"/>
    </xf>
    <xf numFmtId="168" fontId="2" fillId="3" borderId="2" xfId="0" applyNumberFormat="1" applyFont="1" applyFill="1" applyBorder="1" applyAlignment="1">
      <alignment horizontal="left"/>
    </xf>
    <xf numFmtId="0" fontId="6" fillId="0" borderId="0" xfId="0" applyFont="1" applyAlignment="1">
      <alignment horizontal="right"/>
    </xf>
    <xf numFmtId="0" fontId="4" fillId="0" borderId="0" xfId="0" applyFont="1"/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5" borderId="2" xfId="0" applyFont="1" applyFill="1" applyBorder="1" applyAlignment="1">
      <alignment vertical="center"/>
    </xf>
    <xf numFmtId="0" fontId="0" fillId="5" borderId="2" xfId="0" applyFill="1" applyBorder="1" applyAlignment="1">
      <alignment vertical="center"/>
    </xf>
    <xf numFmtId="1" fontId="0" fillId="5" borderId="2" xfId="0" applyNumberFormat="1" applyFill="1" applyBorder="1" applyAlignment="1">
      <alignment horizontal="center" vertical="center"/>
    </xf>
    <xf numFmtId="166" fontId="0" fillId="5" borderId="2" xfId="0" applyNumberFormat="1" applyFill="1" applyBorder="1" applyAlignment="1">
      <alignment vertical="center"/>
    </xf>
    <xf numFmtId="164" fontId="0" fillId="5" borderId="2" xfId="6" applyFont="1" applyFill="1" applyBorder="1" applyAlignment="1">
      <alignment vertical="center"/>
    </xf>
    <xf numFmtId="1" fontId="2" fillId="2" borderId="23" xfId="0" applyNumberFormat="1" applyFont="1" applyFill="1" applyBorder="1" applyAlignment="1">
      <alignment horizontal="center" vertical="center" wrapText="1"/>
    </xf>
    <xf numFmtId="1" fontId="2" fillId="2" borderId="24" xfId="0" applyNumberFormat="1" applyFont="1" applyFill="1" applyBorder="1" applyAlignment="1">
      <alignment horizontal="center" vertical="center" wrapText="1"/>
    </xf>
    <xf numFmtId="1" fontId="2" fillId="2" borderId="10" xfId="0" applyNumberFormat="1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1" fontId="2" fillId="2" borderId="17" xfId="0" applyNumberFormat="1" applyFont="1" applyFill="1" applyBorder="1" applyAlignment="1">
      <alignment horizontal="center" vertical="center" wrapText="1"/>
    </xf>
    <xf numFmtId="1" fontId="2" fillId="2" borderId="18" xfId="0" applyNumberFormat="1" applyFont="1" applyFill="1" applyBorder="1" applyAlignment="1">
      <alignment horizontal="center" vertical="center" wrapText="1"/>
    </xf>
    <xf numFmtId="1" fontId="2" fillId="2" borderId="1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3" fillId="3" borderId="19" xfId="0" applyFont="1" applyFill="1" applyBorder="1" applyAlignment="1">
      <alignment horizontal="left" vertical="center"/>
    </xf>
    <xf numFmtId="0" fontId="3" fillId="3" borderId="20" xfId="0" applyFont="1" applyFill="1" applyBorder="1" applyAlignment="1">
      <alignment horizontal="left" vertical="center"/>
    </xf>
    <xf numFmtId="0" fontId="10" fillId="3" borderId="19" xfId="0" applyFont="1" applyFill="1" applyBorder="1" applyAlignment="1">
      <alignment horizontal="left"/>
    </xf>
    <xf numFmtId="0" fontId="10" fillId="3" borderId="20" xfId="0" applyFont="1" applyFill="1" applyBorder="1" applyAlignment="1">
      <alignment horizontal="left"/>
    </xf>
    <xf numFmtId="0" fontId="3" fillId="0" borderId="0" xfId="0" applyFont="1" applyAlignment="1">
      <alignment horizontal="right" vertical="center"/>
    </xf>
    <xf numFmtId="0" fontId="3" fillId="0" borderId="22" xfId="0" applyFont="1" applyBorder="1" applyAlignment="1">
      <alignment horizontal="right" vertical="center"/>
    </xf>
    <xf numFmtId="0" fontId="3" fillId="0" borderId="0" xfId="0" applyFont="1" applyAlignment="1">
      <alignment horizontal="right"/>
    </xf>
    <xf numFmtId="0" fontId="3" fillId="0" borderId="22" xfId="0" applyFont="1" applyBorder="1" applyAlignment="1">
      <alignment horizontal="right"/>
    </xf>
    <xf numFmtId="1" fontId="2" fillId="0" borderId="12" xfId="0" applyNumberFormat="1" applyFont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 wrapText="1"/>
    </xf>
    <xf numFmtId="1" fontId="2" fillId="0" borderId="14" xfId="0" applyNumberFormat="1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/>
    </xf>
  </cellXfs>
  <cellStyles count="7">
    <cellStyle name="Comma" xfId="1" builtinId="3"/>
    <cellStyle name="Comma [0] 2" xfId="6"/>
    <cellStyle name="Comma 2" xfId="4"/>
    <cellStyle name="Normal" xfId="0" builtinId="0"/>
    <cellStyle name="Normal 2" xfId="3"/>
    <cellStyle name="Normal 3" xfId="5"/>
    <cellStyle name="Percent 2" xfId="2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7"/>
  <sheetViews>
    <sheetView view="pageBreakPreview" zoomScale="75" zoomScaleNormal="75" zoomScaleSheetLayoutView="75" workbookViewId="0">
      <selection activeCell="J21" sqref="J21"/>
    </sheetView>
  </sheetViews>
  <sheetFormatPr defaultRowHeight="12.75" x14ac:dyDescent="0.2"/>
  <cols>
    <col min="1" max="1" width="4.85546875" customWidth="1"/>
    <col min="2" max="2" width="16.42578125" customWidth="1"/>
    <col min="3" max="3" width="11.7109375" customWidth="1"/>
    <col min="4" max="4" width="18" style="32" customWidth="1"/>
    <col min="5" max="5" width="19.28515625" customWidth="1"/>
    <col min="6" max="6" width="11.5703125" customWidth="1"/>
    <col min="7" max="7" width="33.5703125" customWidth="1"/>
    <col min="8" max="8" width="21" customWidth="1"/>
    <col min="9" max="9" width="14.85546875" customWidth="1"/>
    <col min="10" max="10" width="22.5703125" customWidth="1"/>
    <col min="11" max="11" width="16.28515625" customWidth="1"/>
    <col min="12" max="12" width="21.85546875" customWidth="1"/>
    <col min="13" max="13" width="14.7109375" customWidth="1"/>
    <col min="14" max="14" width="16.42578125" customWidth="1"/>
    <col min="15" max="15" width="18.7109375" customWidth="1"/>
  </cols>
  <sheetData>
    <row r="1" spans="1:21" s="1" customFormat="1" ht="20.25" x14ac:dyDescent="0.2">
      <c r="B1" s="75" t="s">
        <v>51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6"/>
      <c r="Q1" s="6"/>
      <c r="R1" s="6"/>
      <c r="S1" s="6"/>
      <c r="T1" s="6"/>
      <c r="U1" s="6"/>
    </row>
    <row r="2" spans="1:21" ht="20.25" x14ac:dyDescent="0.2">
      <c r="B2" s="75" t="s">
        <v>62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"/>
      <c r="Q2" s="7"/>
      <c r="R2" s="7"/>
      <c r="S2" s="7"/>
      <c r="T2" s="7"/>
      <c r="U2" s="7"/>
    </row>
    <row r="3" spans="1:21" ht="15" x14ac:dyDescent="0.2">
      <c r="B3" s="48"/>
      <c r="C3" s="48"/>
      <c r="D3" s="31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</row>
    <row r="4" spans="1:21" s="36" customFormat="1" ht="15" customHeight="1" x14ac:dyDescent="0.25">
      <c r="B4" s="80" t="s">
        <v>2</v>
      </c>
      <c r="C4" s="81"/>
      <c r="D4" s="37" t="s">
        <v>53</v>
      </c>
      <c r="G4" s="47" t="s">
        <v>59</v>
      </c>
      <c r="H4" s="76"/>
      <c r="I4" s="77"/>
      <c r="J4" s="39" t="s">
        <v>6</v>
      </c>
      <c r="K4" s="78"/>
      <c r="L4" s="79"/>
      <c r="M4" s="38"/>
      <c r="N4" s="39" t="s">
        <v>7</v>
      </c>
      <c r="O4" s="40" t="s">
        <v>61</v>
      </c>
      <c r="P4" s="38"/>
      <c r="Q4" s="41"/>
      <c r="R4" s="42"/>
    </row>
    <row r="5" spans="1:21" s="36" customFormat="1" ht="15" customHeight="1" x14ac:dyDescent="0.25">
      <c r="B5" s="82" t="s">
        <v>58</v>
      </c>
      <c r="C5" s="83"/>
      <c r="D5" s="76"/>
      <c r="E5" s="77"/>
      <c r="F5" s="43"/>
      <c r="G5" s="47" t="s">
        <v>38</v>
      </c>
      <c r="H5" s="76"/>
      <c r="I5" s="77"/>
      <c r="K5" s="44"/>
      <c r="M5" s="44"/>
    </row>
    <row r="6" spans="1:21" ht="13.5" thickBot="1" x14ac:dyDescent="0.25"/>
    <row r="7" spans="1:21" ht="30.75" customHeight="1" x14ac:dyDescent="0.2">
      <c r="A7" s="32"/>
      <c r="B7" s="68" t="s">
        <v>34</v>
      </c>
      <c r="C7" s="70" t="s">
        <v>9</v>
      </c>
      <c r="D7" s="70" t="s">
        <v>56</v>
      </c>
      <c r="E7" s="70" t="s">
        <v>35</v>
      </c>
      <c r="F7" s="70" t="s">
        <v>55</v>
      </c>
      <c r="G7" s="72" t="s">
        <v>12</v>
      </c>
      <c r="H7" s="73"/>
      <c r="I7" s="74"/>
      <c r="J7" s="72" t="s">
        <v>17</v>
      </c>
      <c r="K7" s="73"/>
      <c r="L7" s="74"/>
      <c r="M7" s="70" t="s">
        <v>57</v>
      </c>
      <c r="N7" s="70" t="s">
        <v>60</v>
      </c>
      <c r="O7" s="70" t="s">
        <v>52</v>
      </c>
    </row>
    <row r="8" spans="1:21" ht="38.25" customHeight="1" x14ac:dyDescent="0.2">
      <c r="A8" s="32"/>
      <c r="B8" s="69"/>
      <c r="C8" s="71"/>
      <c r="D8" s="71"/>
      <c r="E8" s="71"/>
      <c r="F8" s="71"/>
      <c r="G8" s="46" t="s">
        <v>54</v>
      </c>
      <c r="H8" s="46" t="s">
        <v>36</v>
      </c>
      <c r="I8" s="46" t="s">
        <v>37</v>
      </c>
      <c r="J8" s="46" t="s">
        <v>54</v>
      </c>
      <c r="K8" s="46" t="s">
        <v>36</v>
      </c>
      <c r="L8" s="46" t="s">
        <v>94</v>
      </c>
      <c r="M8" s="71"/>
      <c r="N8" s="71"/>
      <c r="O8" s="71"/>
    </row>
    <row r="9" spans="1:21" s="19" customFormat="1" x14ac:dyDescent="0.2">
      <c r="A9" s="58"/>
      <c r="B9" s="45">
        <v>43692</v>
      </c>
      <c r="C9" s="27"/>
      <c r="D9" s="33"/>
      <c r="E9" s="27"/>
      <c r="F9" s="27"/>
      <c r="G9" s="28"/>
      <c r="H9" s="28"/>
      <c r="I9" s="28"/>
      <c r="J9" s="28"/>
      <c r="K9" s="29"/>
      <c r="L9" s="29" t="str">
        <f t="shared" ref="L9:L72" si="0">H9&amp;"-"&amp;K9</f>
        <v>-</v>
      </c>
      <c r="M9" s="30"/>
      <c r="N9" s="35"/>
      <c r="O9" s="34"/>
    </row>
    <row r="10" spans="1:21" s="49" customFormat="1" x14ac:dyDescent="0.2">
      <c r="A10" s="58"/>
      <c r="B10" s="50">
        <v>0.33333333333333331</v>
      </c>
      <c r="C10" s="51">
        <v>4</v>
      </c>
      <c r="D10" s="52" t="str">
        <f>IF(C10="", "",VLOOKUP(C10,Key!$A$5:$B$7,2,FALSE))</f>
        <v>Minibus, matatu</v>
      </c>
      <c r="E10" s="51"/>
      <c r="F10" s="51" t="s">
        <v>63</v>
      </c>
      <c r="G10" s="53" t="s">
        <v>65</v>
      </c>
      <c r="H10" s="53" t="s">
        <v>65</v>
      </c>
      <c r="I10" s="53"/>
      <c r="J10" s="53" t="s">
        <v>68</v>
      </c>
      <c r="K10" s="54" t="s">
        <v>68</v>
      </c>
      <c r="L10" s="29" t="str">
        <f t="shared" si="0"/>
        <v>TORORO-KAMPALA</v>
      </c>
      <c r="M10" s="54">
        <v>14</v>
      </c>
      <c r="N10" s="55">
        <v>18000</v>
      </c>
      <c r="O10" s="56">
        <v>4.8</v>
      </c>
    </row>
    <row r="11" spans="1:21" s="49" customFormat="1" x14ac:dyDescent="0.2">
      <c r="A11" s="58"/>
      <c r="B11" s="50">
        <v>0.34375</v>
      </c>
      <c r="C11" s="51">
        <v>4</v>
      </c>
      <c r="D11" s="52" t="str">
        <f>IF(C11="", "",VLOOKUP(C11,Key!$A$5:$B$7,2,FALSE))</f>
        <v>Minibus, matatu</v>
      </c>
      <c r="E11" s="51"/>
      <c r="F11" s="51" t="s">
        <v>64</v>
      </c>
      <c r="G11" s="53" t="s">
        <v>66</v>
      </c>
      <c r="H11" s="53" t="s">
        <v>66</v>
      </c>
      <c r="I11" s="53"/>
      <c r="J11" s="53" t="s">
        <v>65</v>
      </c>
      <c r="K11" s="54" t="s">
        <v>65</v>
      </c>
      <c r="L11" s="29" t="str">
        <f t="shared" si="0"/>
        <v>MBALE-TORORO</v>
      </c>
      <c r="M11" s="54">
        <v>14</v>
      </c>
      <c r="N11" s="55">
        <v>5000</v>
      </c>
      <c r="O11" s="56">
        <v>1.89</v>
      </c>
    </row>
    <row r="12" spans="1:21" s="49" customFormat="1" x14ac:dyDescent="0.2">
      <c r="A12" s="58"/>
      <c r="B12" s="50">
        <v>0.35486111111111113</v>
      </c>
      <c r="C12" s="51">
        <v>4</v>
      </c>
      <c r="D12" s="52" t="str">
        <f>IF(C12="", "",VLOOKUP(C12,Key!$A$5:$B$7,2,FALSE))</f>
        <v>Minibus, matatu</v>
      </c>
      <c r="E12" s="51"/>
      <c r="F12" s="51" t="s">
        <v>64</v>
      </c>
      <c r="G12" s="53" t="s">
        <v>65</v>
      </c>
      <c r="H12" s="53" t="s">
        <v>65</v>
      </c>
      <c r="I12" s="53"/>
      <c r="J12" s="53" t="s">
        <v>68</v>
      </c>
      <c r="K12" s="54" t="s">
        <v>68</v>
      </c>
      <c r="L12" s="29" t="str">
        <f t="shared" si="0"/>
        <v>TORORO-KAMPALA</v>
      </c>
      <c r="M12" s="54">
        <v>14</v>
      </c>
      <c r="N12" s="55">
        <v>18000</v>
      </c>
      <c r="O12" s="56">
        <v>4.8</v>
      </c>
    </row>
    <row r="13" spans="1:21" s="49" customFormat="1" x14ac:dyDescent="0.2">
      <c r="A13" s="58"/>
      <c r="B13" s="50">
        <v>0.375</v>
      </c>
      <c r="C13" s="51">
        <v>4</v>
      </c>
      <c r="D13" s="52" t="str">
        <f>IF(C13="", "",VLOOKUP(C13,Key!$A$5:$B$7,2,FALSE))</f>
        <v>Minibus, matatu</v>
      </c>
      <c r="E13" s="51"/>
      <c r="F13" s="51" t="s">
        <v>64</v>
      </c>
      <c r="G13" s="53" t="s">
        <v>65</v>
      </c>
      <c r="H13" s="53" t="s">
        <v>65</v>
      </c>
      <c r="I13" s="53"/>
      <c r="J13" s="53" t="s">
        <v>67</v>
      </c>
      <c r="K13" s="54" t="s">
        <v>67</v>
      </c>
      <c r="L13" s="29" t="str">
        <f t="shared" si="0"/>
        <v>TORORO-JINJA</v>
      </c>
      <c r="M13" s="54">
        <v>14</v>
      </c>
      <c r="N13" s="55">
        <v>13000</v>
      </c>
      <c r="O13" s="56">
        <v>2.25</v>
      </c>
    </row>
    <row r="14" spans="1:21" s="49" customFormat="1" x14ac:dyDescent="0.2">
      <c r="A14" s="58"/>
      <c r="B14" s="50">
        <v>0.38263888888888892</v>
      </c>
      <c r="C14" s="51">
        <v>4</v>
      </c>
      <c r="D14" s="52" t="str">
        <f>IF(C14="", "",VLOOKUP(C14,Key!$A$5:$B$7,2,FALSE))</f>
        <v>Minibus, matatu</v>
      </c>
      <c r="E14" s="51"/>
      <c r="F14" s="51" t="s">
        <v>64</v>
      </c>
      <c r="G14" s="53" t="s">
        <v>67</v>
      </c>
      <c r="H14" s="53" t="s">
        <v>67</v>
      </c>
      <c r="I14" s="53"/>
      <c r="J14" s="53" t="s">
        <v>65</v>
      </c>
      <c r="K14" s="54" t="s">
        <v>65</v>
      </c>
      <c r="L14" s="29" t="str">
        <f t="shared" si="0"/>
        <v>JINJA-TORORO</v>
      </c>
      <c r="M14" s="54">
        <v>14</v>
      </c>
      <c r="N14" s="55">
        <v>13000</v>
      </c>
      <c r="O14" s="56">
        <v>2.25</v>
      </c>
    </row>
    <row r="15" spans="1:21" s="49" customFormat="1" x14ac:dyDescent="0.2">
      <c r="A15" s="58"/>
      <c r="B15" s="50">
        <v>0.3840277777777778</v>
      </c>
      <c r="C15" s="51">
        <v>4</v>
      </c>
      <c r="D15" s="52" t="str">
        <f>IF(C15="", "",VLOOKUP(C15,Key!$A$5:$B$7,2,FALSE))</f>
        <v>Minibus, matatu</v>
      </c>
      <c r="E15" s="51"/>
      <c r="F15" s="51" t="s">
        <v>64</v>
      </c>
      <c r="G15" s="53" t="s">
        <v>66</v>
      </c>
      <c r="H15" s="53" t="s">
        <v>66</v>
      </c>
      <c r="I15" s="53"/>
      <c r="J15" s="53" t="s">
        <v>65</v>
      </c>
      <c r="K15" s="54" t="s">
        <v>65</v>
      </c>
      <c r="L15" s="29" t="str">
        <f t="shared" si="0"/>
        <v>MBALE-TORORO</v>
      </c>
      <c r="M15" s="54">
        <v>14</v>
      </c>
      <c r="N15" s="55">
        <v>5000</v>
      </c>
      <c r="O15" s="56">
        <v>1.89</v>
      </c>
    </row>
    <row r="16" spans="1:21" s="49" customFormat="1" x14ac:dyDescent="0.2">
      <c r="A16" s="58"/>
      <c r="B16" s="50">
        <v>0.38680555555555557</v>
      </c>
      <c r="C16" s="51">
        <v>4</v>
      </c>
      <c r="D16" s="52" t="str">
        <f>IF(C16="", "",VLOOKUP(C16,Key!$A$5:$B$7,2,FALSE))</f>
        <v>Minibus, matatu</v>
      </c>
      <c r="E16" s="51"/>
      <c r="F16" s="51" t="s">
        <v>64</v>
      </c>
      <c r="G16" s="53" t="s">
        <v>67</v>
      </c>
      <c r="H16" s="53" t="s">
        <v>67</v>
      </c>
      <c r="I16" s="53"/>
      <c r="J16" s="53" t="s">
        <v>65</v>
      </c>
      <c r="K16" s="54" t="s">
        <v>65</v>
      </c>
      <c r="L16" s="29" t="str">
        <f t="shared" si="0"/>
        <v>JINJA-TORORO</v>
      </c>
      <c r="M16" s="54">
        <v>14</v>
      </c>
      <c r="N16" s="55">
        <v>13000</v>
      </c>
      <c r="O16" s="56">
        <v>2.25</v>
      </c>
    </row>
    <row r="17" spans="1:15" s="49" customFormat="1" x14ac:dyDescent="0.2">
      <c r="A17" s="58"/>
      <c r="B17" s="50">
        <v>0.39305555555555555</v>
      </c>
      <c r="C17" s="51">
        <v>4</v>
      </c>
      <c r="D17" s="52" t="str">
        <f>IF(C17="", "",VLOOKUP(C17,Key!$A$5:$B$7,2,FALSE))</f>
        <v>Minibus, matatu</v>
      </c>
      <c r="E17" s="51"/>
      <c r="F17" s="51" t="s">
        <v>63</v>
      </c>
      <c r="G17" s="53" t="s">
        <v>65</v>
      </c>
      <c r="H17" s="53" t="s">
        <v>65</v>
      </c>
      <c r="I17" s="53"/>
      <c r="J17" s="53" t="s">
        <v>66</v>
      </c>
      <c r="K17" s="54" t="s">
        <v>66</v>
      </c>
      <c r="L17" s="29" t="str">
        <f t="shared" si="0"/>
        <v>TORORO-MBALE</v>
      </c>
      <c r="M17" s="54">
        <v>14</v>
      </c>
      <c r="N17" s="55">
        <v>5000</v>
      </c>
      <c r="O17" s="56">
        <v>1.9</v>
      </c>
    </row>
    <row r="18" spans="1:15" s="49" customFormat="1" x14ac:dyDescent="0.2">
      <c r="A18" s="58"/>
      <c r="B18" s="50">
        <v>0.39652777777777781</v>
      </c>
      <c r="C18" s="51">
        <v>4</v>
      </c>
      <c r="D18" s="52" t="str">
        <f>IF(C18="", "",VLOOKUP(C18,Key!$A$5:$B$7,2,FALSE))</f>
        <v>Minibus, matatu</v>
      </c>
      <c r="E18" s="51"/>
      <c r="F18" s="51" t="s">
        <v>64</v>
      </c>
      <c r="G18" s="53" t="s">
        <v>67</v>
      </c>
      <c r="H18" s="53" t="s">
        <v>67</v>
      </c>
      <c r="I18" s="53"/>
      <c r="J18" s="53" t="s">
        <v>65</v>
      </c>
      <c r="K18" s="54" t="s">
        <v>65</v>
      </c>
      <c r="L18" s="29" t="str">
        <f t="shared" si="0"/>
        <v>JINJA-TORORO</v>
      </c>
      <c r="M18" s="54">
        <v>14</v>
      </c>
      <c r="N18" s="55">
        <v>13000</v>
      </c>
      <c r="O18" s="56">
        <v>2.25</v>
      </c>
    </row>
    <row r="19" spans="1:15" s="49" customFormat="1" x14ac:dyDescent="0.2">
      <c r="A19" s="58"/>
      <c r="B19" s="50">
        <v>0.40069444444444446</v>
      </c>
      <c r="C19" s="51">
        <v>4</v>
      </c>
      <c r="D19" s="52" t="str">
        <f>IF(C19="", "",VLOOKUP(C19,Key!$A$5:$B$7,2,FALSE))</f>
        <v>Minibus, matatu</v>
      </c>
      <c r="E19" s="51"/>
      <c r="F19" s="51" t="s">
        <v>64</v>
      </c>
      <c r="G19" s="53" t="s">
        <v>67</v>
      </c>
      <c r="H19" s="53" t="s">
        <v>67</v>
      </c>
      <c r="I19" s="53"/>
      <c r="J19" s="53" t="s">
        <v>65</v>
      </c>
      <c r="K19" s="54" t="s">
        <v>65</v>
      </c>
      <c r="L19" s="29" t="str">
        <f t="shared" si="0"/>
        <v>JINJA-TORORO</v>
      </c>
      <c r="M19" s="54">
        <v>14</v>
      </c>
      <c r="N19" s="55">
        <v>13000</v>
      </c>
      <c r="O19" s="56">
        <v>2.25</v>
      </c>
    </row>
    <row r="20" spans="1:15" s="49" customFormat="1" x14ac:dyDescent="0.2">
      <c r="A20" s="58"/>
      <c r="B20" s="50">
        <v>0.40277777777777773</v>
      </c>
      <c r="C20" s="51">
        <v>4</v>
      </c>
      <c r="D20" s="52" t="str">
        <f>IF(C20="", "",VLOOKUP(C20,Key!$A$5:$B$7,2,FALSE))</f>
        <v>Minibus, matatu</v>
      </c>
      <c r="E20" s="51"/>
      <c r="F20" s="51" t="s">
        <v>64</v>
      </c>
      <c r="G20" s="53" t="s">
        <v>67</v>
      </c>
      <c r="H20" s="53" t="s">
        <v>67</v>
      </c>
      <c r="I20" s="53"/>
      <c r="J20" s="53" t="s">
        <v>65</v>
      </c>
      <c r="K20" s="54" t="s">
        <v>65</v>
      </c>
      <c r="L20" s="29" t="str">
        <f t="shared" si="0"/>
        <v>JINJA-TORORO</v>
      </c>
      <c r="M20" s="54">
        <v>14</v>
      </c>
      <c r="N20" s="55">
        <v>13000</v>
      </c>
      <c r="O20" s="56">
        <v>2.25</v>
      </c>
    </row>
    <row r="21" spans="1:15" s="49" customFormat="1" x14ac:dyDescent="0.2">
      <c r="A21" s="58"/>
      <c r="B21" s="50">
        <v>0.40625</v>
      </c>
      <c r="C21" s="51">
        <v>4</v>
      </c>
      <c r="D21" s="52" t="str">
        <f>IF(C21="", "",VLOOKUP(C21,Key!$A$5:$B$7,2,FALSE))</f>
        <v>Minibus, matatu</v>
      </c>
      <c r="E21" s="51"/>
      <c r="F21" s="51" t="s">
        <v>64</v>
      </c>
      <c r="G21" s="53" t="s">
        <v>68</v>
      </c>
      <c r="H21" s="53" t="s">
        <v>68</v>
      </c>
      <c r="I21" s="53"/>
      <c r="J21" s="53" t="s">
        <v>65</v>
      </c>
      <c r="K21" s="54" t="s">
        <v>65</v>
      </c>
      <c r="L21" s="29" t="str">
        <f t="shared" si="0"/>
        <v>KAMPALA-TORORO</v>
      </c>
      <c r="M21" s="54">
        <v>14</v>
      </c>
      <c r="N21" s="55">
        <v>18000</v>
      </c>
      <c r="O21" s="56">
        <v>4.8</v>
      </c>
    </row>
    <row r="22" spans="1:15" s="49" customFormat="1" x14ac:dyDescent="0.2">
      <c r="A22" s="58"/>
      <c r="B22" s="50">
        <v>0.40763888888888888</v>
      </c>
      <c r="C22" s="51">
        <v>4</v>
      </c>
      <c r="D22" s="52" t="str">
        <f>IF(C22="", "",VLOOKUP(C22,Key!$A$5:$B$7,2,FALSE))</f>
        <v>Minibus, matatu</v>
      </c>
      <c r="E22" s="51"/>
      <c r="F22" s="51" t="s">
        <v>64</v>
      </c>
      <c r="G22" s="53" t="s">
        <v>68</v>
      </c>
      <c r="H22" s="53" t="s">
        <v>68</v>
      </c>
      <c r="I22" s="53"/>
      <c r="J22" s="53" t="s">
        <v>65</v>
      </c>
      <c r="K22" s="54" t="s">
        <v>65</v>
      </c>
      <c r="L22" s="29" t="str">
        <f t="shared" si="0"/>
        <v>KAMPALA-TORORO</v>
      </c>
      <c r="M22" s="54">
        <v>14</v>
      </c>
      <c r="N22" s="55">
        <v>18000</v>
      </c>
      <c r="O22" s="56">
        <v>4.8</v>
      </c>
    </row>
    <row r="23" spans="1:15" s="49" customFormat="1" x14ac:dyDescent="0.2">
      <c r="A23" s="58"/>
      <c r="B23" s="50">
        <v>0.41041666666666665</v>
      </c>
      <c r="C23" s="51">
        <v>4</v>
      </c>
      <c r="D23" s="52" t="str">
        <f>IF(C23="", "",VLOOKUP(C23,Key!$A$5:$B$7,2,FALSE))</f>
        <v>Minibus, matatu</v>
      </c>
      <c r="E23" s="51"/>
      <c r="F23" s="51" t="s">
        <v>64</v>
      </c>
      <c r="G23" s="53" t="s">
        <v>66</v>
      </c>
      <c r="H23" s="53" t="s">
        <v>66</v>
      </c>
      <c r="I23" s="53"/>
      <c r="J23" s="53" t="s">
        <v>67</v>
      </c>
      <c r="K23" s="54" t="s">
        <v>67</v>
      </c>
      <c r="L23" s="29" t="str">
        <f t="shared" si="0"/>
        <v>MBALE-JINJA</v>
      </c>
      <c r="M23" s="54">
        <v>14</v>
      </c>
      <c r="N23" s="55">
        <v>15000</v>
      </c>
      <c r="O23" s="56">
        <v>2.4500000000000002</v>
      </c>
    </row>
    <row r="24" spans="1:15" s="49" customFormat="1" x14ac:dyDescent="0.2">
      <c r="A24" s="58"/>
      <c r="B24" s="50">
        <v>0.41666666666666669</v>
      </c>
      <c r="C24" s="51">
        <v>4</v>
      </c>
      <c r="D24" s="52" t="str">
        <f>IF(C24="", "",VLOOKUP(C24,Key!$A$5:$B$7,2,FALSE))</f>
        <v>Minibus, matatu</v>
      </c>
      <c r="E24" s="51"/>
      <c r="F24" s="51" t="s">
        <v>64</v>
      </c>
      <c r="G24" s="53" t="s">
        <v>68</v>
      </c>
      <c r="H24" s="53" t="s">
        <v>68</v>
      </c>
      <c r="I24" s="53"/>
      <c r="J24" s="53" t="s">
        <v>65</v>
      </c>
      <c r="K24" s="54" t="s">
        <v>65</v>
      </c>
      <c r="L24" s="29" t="str">
        <f t="shared" si="0"/>
        <v>KAMPALA-TORORO</v>
      </c>
      <c r="M24" s="54">
        <v>14</v>
      </c>
      <c r="N24" s="55">
        <v>18000</v>
      </c>
      <c r="O24" s="56">
        <v>4.8</v>
      </c>
    </row>
    <row r="25" spans="1:15" s="49" customFormat="1" x14ac:dyDescent="0.2">
      <c r="A25" s="58"/>
      <c r="B25" s="50">
        <v>0.41805555555555557</v>
      </c>
      <c r="C25" s="51">
        <v>4</v>
      </c>
      <c r="D25" s="52" t="str">
        <f>IF(C25="", "",VLOOKUP(C25,Key!$A$5:$B$7,2,FALSE))</f>
        <v>Minibus, matatu</v>
      </c>
      <c r="E25" s="51"/>
      <c r="F25" s="51" t="s">
        <v>64</v>
      </c>
      <c r="G25" s="53" t="s">
        <v>66</v>
      </c>
      <c r="H25" s="53" t="s">
        <v>66</v>
      </c>
      <c r="I25" s="53"/>
      <c r="J25" s="53" t="s">
        <v>65</v>
      </c>
      <c r="K25" s="54" t="s">
        <v>65</v>
      </c>
      <c r="L25" s="29" t="str">
        <f t="shared" si="0"/>
        <v>MBALE-TORORO</v>
      </c>
      <c r="M25" s="54">
        <v>14</v>
      </c>
      <c r="N25" s="55">
        <v>5000</v>
      </c>
      <c r="O25" s="56">
        <v>1.89</v>
      </c>
    </row>
    <row r="26" spans="1:15" s="49" customFormat="1" x14ac:dyDescent="0.2">
      <c r="A26" s="58"/>
      <c r="B26" s="50">
        <v>0.42152777777777778</v>
      </c>
      <c r="C26" s="51">
        <v>4</v>
      </c>
      <c r="D26" s="52" t="str">
        <f>IF(C26="", "",VLOOKUP(C26,Key!$A$5:$B$7,2,FALSE))</f>
        <v>Minibus, matatu</v>
      </c>
      <c r="E26" s="51"/>
      <c r="F26" s="51" t="s">
        <v>63</v>
      </c>
      <c r="G26" s="53" t="s">
        <v>65</v>
      </c>
      <c r="H26" s="53" t="s">
        <v>65</v>
      </c>
      <c r="I26" s="53"/>
      <c r="J26" s="53" t="s">
        <v>67</v>
      </c>
      <c r="K26" s="54" t="s">
        <v>67</v>
      </c>
      <c r="L26" s="29" t="str">
        <f t="shared" si="0"/>
        <v>TORORO-JINJA</v>
      </c>
      <c r="M26" s="54">
        <v>14</v>
      </c>
      <c r="N26" s="55">
        <v>13000</v>
      </c>
      <c r="O26" s="56">
        <v>2.25</v>
      </c>
    </row>
    <row r="27" spans="1:15" s="49" customFormat="1" x14ac:dyDescent="0.2">
      <c r="A27" s="58"/>
      <c r="B27" s="50">
        <v>0.42430555555555555</v>
      </c>
      <c r="C27" s="51">
        <v>4</v>
      </c>
      <c r="D27" s="52" t="str">
        <f>IF(C27="", "",VLOOKUP(C27,Key!$A$5:$B$7,2,FALSE))</f>
        <v>Minibus, matatu</v>
      </c>
      <c r="E27" s="51"/>
      <c r="F27" s="51" t="s">
        <v>64</v>
      </c>
      <c r="G27" s="53" t="s">
        <v>66</v>
      </c>
      <c r="H27" s="53" t="s">
        <v>66</v>
      </c>
      <c r="I27" s="53"/>
      <c r="J27" s="53" t="s">
        <v>65</v>
      </c>
      <c r="K27" s="54" t="s">
        <v>65</v>
      </c>
      <c r="L27" s="29" t="str">
        <f t="shared" si="0"/>
        <v>MBALE-TORORO</v>
      </c>
      <c r="M27" s="54">
        <v>14</v>
      </c>
      <c r="N27" s="55">
        <v>5000</v>
      </c>
      <c r="O27" s="56">
        <v>1.89</v>
      </c>
    </row>
    <row r="28" spans="1:15" s="49" customFormat="1" x14ac:dyDescent="0.2">
      <c r="A28" s="58"/>
      <c r="B28" s="50">
        <v>0.42708333333333331</v>
      </c>
      <c r="C28" s="51">
        <v>4</v>
      </c>
      <c r="D28" s="52" t="str">
        <f>IF(C28="", "",VLOOKUP(C28,Key!$A$5:$B$7,2,FALSE))</f>
        <v>Minibus, matatu</v>
      </c>
      <c r="E28" s="51"/>
      <c r="F28" s="51" t="s">
        <v>64</v>
      </c>
      <c r="G28" s="53" t="s">
        <v>66</v>
      </c>
      <c r="H28" s="53" t="s">
        <v>66</v>
      </c>
      <c r="I28" s="53"/>
      <c r="J28" s="53" t="s">
        <v>67</v>
      </c>
      <c r="K28" s="54" t="s">
        <v>67</v>
      </c>
      <c r="L28" s="29" t="str">
        <f t="shared" si="0"/>
        <v>MBALE-JINJA</v>
      </c>
      <c r="M28" s="54">
        <v>14</v>
      </c>
      <c r="N28" s="55">
        <v>15000</v>
      </c>
      <c r="O28" s="56">
        <v>2.4500000000000002</v>
      </c>
    </row>
    <row r="29" spans="1:15" s="49" customFormat="1" x14ac:dyDescent="0.2">
      <c r="A29" s="58"/>
      <c r="B29" s="50">
        <v>0.43472222222222223</v>
      </c>
      <c r="C29" s="51">
        <v>4</v>
      </c>
      <c r="D29" s="52" t="str">
        <f>IF(C29="", "",VLOOKUP(C29,Key!$A$5:$B$7,2,FALSE))</f>
        <v>Minibus, matatu</v>
      </c>
      <c r="E29" s="51"/>
      <c r="F29" s="51" t="s">
        <v>63</v>
      </c>
      <c r="G29" s="53" t="s">
        <v>65</v>
      </c>
      <c r="H29" s="53" t="s">
        <v>65</v>
      </c>
      <c r="I29" s="53"/>
      <c r="J29" s="53" t="s">
        <v>66</v>
      </c>
      <c r="K29" s="54" t="s">
        <v>66</v>
      </c>
      <c r="L29" s="29" t="str">
        <f t="shared" si="0"/>
        <v>TORORO-MBALE</v>
      </c>
      <c r="M29" s="54">
        <v>14</v>
      </c>
      <c r="N29" s="55">
        <v>5000</v>
      </c>
      <c r="O29" s="56">
        <v>1.9</v>
      </c>
    </row>
    <row r="30" spans="1:15" s="49" customFormat="1" x14ac:dyDescent="0.2">
      <c r="A30" s="58"/>
      <c r="B30" s="50">
        <v>0.4368055555555555</v>
      </c>
      <c r="C30" s="51">
        <v>4</v>
      </c>
      <c r="D30" s="52" t="str">
        <f>IF(C30="", "",VLOOKUP(C30,Key!$A$5:$B$7,2,FALSE))</f>
        <v>Minibus, matatu</v>
      </c>
      <c r="E30" s="51"/>
      <c r="F30" s="51" t="s">
        <v>64</v>
      </c>
      <c r="G30" s="53" t="s">
        <v>66</v>
      </c>
      <c r="H30" s="53" t="s">
        <v>66</v>
      </c>
      <c r="I30" s="53"/>
      <c r="J30" s="53" t="s">
        <v>65</v>
      </c>
      <c r="K30" s="54" t="s">
        <v>65</v>
      </c>
      <c r="L30" s="29" t="str">
        <f t="shared" si="0"/>
        <v>MBALE-TORORO</v>
      </c>
      <c r="M30" s="54">
        <v>14</v>
      </c>
      <c r="N30" s="55">
        <v>5000</v>
      </c>
      <c r="O30" s="56">
        <v>1.89</v>
      </c>
    </row>
    <row r="31" spans="1:15" s="49" customFormat="1" x14ac:dyDescent="0.2">
      <c r="A31" s="58"/>
      <c r="B31" s="50">
        <v>0.4375</v>
      </c>
      <c r="C31" s="51">
        <v>4</v>
      </c>
      <c r="D31" s="52" t="str">
        <f>IF(C31="", "",VLOOKUP(C31,Key!$A$5:$B$7,2,FALSE))</f>
        <v>Minibus, matatu</v>
      </c>
      <c r="E31" s="51"/>
      <c r="F31" s="51" t="s">
        <v>64</v>
      </c>
      <c r="G31" s="53" t="s">
        <v>68</v>
      </c>
      <c r="H31" s="53" t="s">
        <v>68</v>
      </c>
      <c r="I31" s="53"/>
      <c r="J31" s="53" t="s">
        <v>65</v>
      </c>
      <c r="K31" s="54" t="s">
        <v>65</v>
      </c>
      <c r="L31" s="29" t="str">
        <f t="shared" si="0"/>
        <v>KAMPALA-TORORO</v>
      </c>
      <c r="M31" s="54">
        <v>14</v>
      </c>
      <c r="N31" s="55">
        <v>18000</v>
      </c>
      <c r="O31" s="56">
        <v>4.8</v>
      </c>
    </row>
    <row r="32" spans="1:15" s="49" customFormat="1" x14ac:dyDescent="0.2">
      <c r="A32" s="58"/>
      <c r="B32" s="50">
        <v>0.44236111111111115</v>
      </c>
      <c r="C32" s="51">
        <v>4</v>
      </c>
      <c r="D32" s="52" t="str">
        <f>IF(C32="", "",VLOOKUP(C32,Key!$A$5:$B$7,2,FALSE))</f>
        <v>Minibus, matatu</v>
      </c>
      <c r="E32" s="51"/>
      <c r="F32" s="51" t="s">
        <v>64</v>
      </c>
      <c r="G32" s="53" t="s">
        <v>68</v>
      </c>
      <c r="H32" s="53" t="s">
        <v>68</v>
      </c>
      <c r="I32" s="53"/>
      <c r="J32" s="53" t="s">
        <v>65</v>
      </c>
      <c r="K32" s="54" t="s">
        <v>65</v>
      </c>
      <c r="L32" s="29" t="str">
        <f t="shared" si="0"/>
        <v>KAMPALA-TORORO</v>
      </c>
      <c r="M32" s="54">
        <v>14</v>
      </c>
      <c r="N32" s="55">
        <v>18000</v>
      </c>
      <c r="O32" s="56">
        <v>4.8</v>
      </c>
    </row>
    <row r="33" spans="1:15" s="49" customFormat="1" x14ac:dyDescent="0.2">
      <c r="A33" s="58"/>
      <c r="B33" s="50">
        <v>0.44375000000000003</v>
      </c>
      <c r="C33" s="51">
        <v>4</v>
      </c>
      <c r="D33" s="52" t="str">
        <f>IF(C33="", "",VLOOKUP(C33,Key!$A$5:$B$7,2,FALSE))</f>
        <v>Minibus, matatu</v>
      </c>
      <c r="E33" s="51"/>
      <c r="F33" s="51" t="s">
        <v>64</v>
      </c>
      <c r="G33" s="53" t="s">
        <v>69</v>
      </c>
      <c r="H33" s="53" t="s">
        <v>69</v>
      </c>
      <c r="I33" s="53"/>
      <c r="J33" s="53" t="s">
        <v>65</v>
      </c>
      <c r="K33" s="54" t="s">
        <v>65</v>
      </c>
      <c r="L33" s="29" t="str">
        <f t="shared" si="0"/>
        <v>BUSIA-TORORO</v>
      </c>
      <c r="M33" s="54">
        <v>14</v>
      </c>
      <c r="N33" s="55">
        <v>5000</v>
      </c>
      <c r="O33" s="56">
        <v>1.25</v>
      </c>
    </row>
    <row r="34" spans="1:15" s="49" customFormat="1" x14ac:dyDescent="0.2">
      <c r="A34" s="58"/>
      <c r="B34" s="50">
        <v>0.44930555555555557</v>
      </c>
      <c r="C34" s="51">
        <v>4</v>
      </c>
      <c r="D34" s="52" t="str">
        <f>IF(C34="", "",VLOOKUP(C34,Key!$A$5:$B$7,2,FALSE))</f>
        <v>Minibus, matatu</v>
      </c>
      <c r="E34" s="51"/>
      <c r="F34" s="51" t="s">
        <v>64</v>
      </c>
      <c r="G34" s="53" t="s">
        <v>70</v>
      </c>
      <c r="H34" s="53" t="s">
        <v>71</v>
      </c>
      <c r="I34" s="53"/>
      <c r="J34" s="53" t="s">
        <v>65</v>
      </c>
      <c r="K34" s="54" t="s">
        <v>65</v>
      </c>
      <c r="L34" s="29" t="str">
        <f t="shared" si="0"/>
        <v>BUGIRI-TORORO</v>
      </c>
      <c r="M34" s="54">
        <v>14</v>
      </c>
      <c r="N34" s="55">
        <v>6000</v>
      </c>
      <c r="O34" s="56">
        <v>1.25</v>
      </c>
    </row>
    <row r="35" spans="1:15" s="49" customFormat="1" x14ac:dyDescent="0.2">
      <c r="A35" s="58"/>
      <c r="B35" s="50">
        <v>0.45833333333333331</v>
      </c>
      <c r="C35" s="51">
        <v>4</v>
      </c>
      <c r="D35" s="52" t="str">
        <f>IF(C35="", "",VLOOKUP(C35,Key!$A$5:$B$7,2,FALSE))</f>
        <v>Minibus, matatu</v>
      </c>
      <c r="E35" s="51"/>
      <c r="F35" s="51" t="s">
        <v>64</v>
      </c>
      <c r="G35" s="53" t="s">
        <v>66</v>
      </c>
      <c r="H35" s="53" t="s">
        <v>66</v>
      </c>
      <c r="I35" s="53"/>
      <c r="J35" s="53" t="s">
        <v>65</v>
      </c>
      <c r="K35" s="54" t="s">
        <v>65</v>
      </c>
      <c r="L35" s="29" t="str">
        <f t="shared" si="0"/>
        <v>MBALE-TORORO</v>
      </c>
      <c r="M35" s="54">
        <v>14</v>
      </c>
      <c r="N35" s="55">
        <v>5000</v>
      </c>
      <c r="O35" s="56">
        <v>1.89</v>
      </c>
    </row>
    <row r="36" spans="1:15" s="49" customFormat="1" x14ac:dyDescent="0.2">
      <c r="A36" s="58"/>
      <c r="B36" s="50">
        <v>0.46875</v>
      </c>
      <c r="C36" s="51">
        <v>4</v>
      </c>
      <c r="D36" s="52" t="str">
        <f>IF(C36="", "",VLOOKUP(C36,Key!$A$5:$B$7,2,FALSE))</f>
        <v>Minibus, matatu</v>
      </c>
      <c r="E36" s="51"/>
      <c r="F36" s="51" t="s">
        <v>63</v>
      </c>
      <c r="G36" s="53" t="s">
        <v>65</v>
      </c>
      <c r="H36" s="53" t="s">
        <v>65</v>
      </c>
      <c r="I36" s="53"/>
      <c r="J36" s="53" t="s">
        <v>67</v>
      </c>
      <c r="K36" s="54" t="s">
        <v>67</v>
      </c>
      <c r="L36" s="29" t="str">
        <f t="shared" si="0"/>
        <v>TORORO-JINJA</v>
      </c>
      <c r="M36" s="54">
        <v>14</v>
      </c>
      <c r="N36" s="55">
        <v>13000</v>
      </c>
      <c r="O36" s="56">
        <v>2.25</v>
      </c>
    </row>
    <row r="37" spans="1:15" s="49" customFormat="1" x14ac:dyDescent="0.2">
      <c r="A37" s="58"/>
      <c r="B37" s="50">
        <v>0.47222222222222227</v>
      </c>
      <c r="C37" s="51">
        <v>4</v>
      </c>
      <c r="D37" s="52" t="str">
        <f>IF(C37="", "",VLOOKUP(C37,Key!$A$5:$B$7,2,FALSE))</f>
        <v>Minibus, matatu</v>
      </c>
      <c r="E37" s="51"/>
      <c r="F37" s="51" t="s">
        <v>63</v>
      </c>
      <c r="G37" s="53" t="s">
        <v>65</v>
      </c>
      <c r="H37" s="53" t="s">
        <v>65</v>
      </c>
      <c r="I37" s="53"/>
      <c r="J37" s="53" t="s">
        <v>68</v>
      </c>
      <c r="K37" s="54" t="s">
        <v>68</v>
      </c>
      <c r="L37" s="29" t="str">
        <f t="shared" si="0"/>
        <v>TORORO-KAMPALA</v>
      </c>
      <c r="M37" s="54">
        <v>14</v>
      </c>
      <c r="N37" s="55">
        <v>18000</v>
      </c>
      <c r="O37" s="56">
        <v>4.8</v>
      </c>
    </row>
    <row r="38" spans="1:15" s="49" customFormat="1" x14ac:dyDescent="0.2">
      <c r="A38" s="58"/>
      <c r="B38" s="50">
        <v>0.48333333333333334</v>
      </c>
      <c r="C38" s="51">
        <v>4</v>
      </c>
      <c r="D38" s="52" t="str">
        <f>IF(C38="", "",VLOOKUP(C38,Key!$A$5:$B$7,2,FALSE))</f>
        <v>Minibus, matatu</v>
      </c>
      <c r="E38" s="51"/>
      <c r="F38" s="51" t="s">
        <v>64</v>
      </c>
      <c r="G38" s="53" t="s">
        <v>68</v>
      </c>
      <c r="H38" s="53" t="s">
        <v>68</v>
      </c>
      <c r="I38" s="53"/>
      <c r="J38" s="53" t="s">
        <v>65</v>
      </c>
      <c r="K38" s="54" t="s">
        <v>65</v>
      </c>
      <c r="L38" s="29" t="str">
        <f t="shared" si="0"/>
        <v>KAMPALA-TORORO</v>
      </c>
      <c r="M38" s="54">
        <v>14</v>
      </c>
      <c r="N38" s="55">
        <v>18000</v>
      </c>
      <c r="O38" s="56">
        <v>4.8</v>
      </c>
    </row>
    <row r="39" spans="1:15" s="49" customFormat="1" x14ac:dyDescent="0.2">
      <c r="A39" s="58"/>
      <c r="B39" s="50">
        <v>0.4861111111111111</v>
      </c>
      <c r="C39" s="51">
        <v>4</v>
      </c>
      <c r="D39" s="52" t="str">
        <f>IF(C39="", "",VLOOKUP(C39,Key!$A$5:$B$7,2,FALSE))</f>
        <v>Minibus, matatu</v>
      </c>
      <c r="E39" s="51"/>
      <c r="F39" s="51" t="s">
        <v>64</v>
      </c>
      <c r="G39" s="53" t="s">
        <v>68</v>
      </c>
      <c r="H39" s="53" t="s">
        <v>68</v>
      </c>
      <c r="I39" s="53"/>
      <c r="J39" s="53" t="s">
        <v>65</v>
      </c>
      <c r="K39" s="54" t="s">
        <v>65</v>
      </c>
      <c r="L39" s="29" t="str">
        <f t="shared" si="0"/>
        <v>KAMPALA-TORORO</v>
      </c>
      <c r="M39" s="54">
        <v>14</v>
      </c>
      <c r="N39" s="55">
        <v>18000</v>
      </c>
      <c r="O39" s="56">
        <v>4.8</v>
      </c>
    </row>
    <row r="40" spans="1:15" s="49" customFormat="1" x14ac:dyDescent="0.2">
      <c r="A40" s="58"/>
      <c r="B40" s="50">
        <v>0.49027777777777781</v>
      </c>
      <c r="C40" s="51">
        <v>4</v>
      </c>
      <c r="D40" s="52" t="str">
        <f>IF(C40="", "",VLOOKUP(C40,Key!$A$5:$B$7,2,FALSE))</f>
        <v>Minibus, matatu</v>
      </c>
      <c r="E40" s="51"/>
      <c r="F40" s="51" t="s">
        <v>64</v>
      </c>
      <c r="G40" s="53" t="s">
        <v>66</v>
      </c>
      <c r="H40" s="53" t="s">
        <v>66</v>
      </c>
      <c r="I40" s="53"/>
      <c r="J40" s="53" t="s">
        <v>65</v>
      </c>
      <c r="K40" s="54" t="s">
        <v>65</v>
      </c>
      <c r="L40" s="29" t="str">
        <f t="shared" si="0"/>
        <v>MBALE-TORORO</v>
      </c>
      <c r="M40" s="54">
        <v>14</v>
      </c>
      <c r="N40" s="55">
        <v>5000</v>
      </c>
      <c r="O40" s="56">
        <v>1.89</v>
      </c>
    </row>
    <row r="41" spans="1:15" s="49" customFormat="1" x14ac:dyDescent="0.2">
      <c r="A41" s="58"/>
      <c r="B41" s="50">
        <v>0.49305555555555558</v>
      </c>
      <c r="C41" s="51">
        <v>4</v>
      </c>
      <c r="D41" s="52" t="str">
        <f>IF(C41="", "",VLOOKUP(C41,Key!$A$5:$B$7,2,FALSE))</f>
        <v>Minibus, matatu</v>
      </c>
      <c r="E41" s="51"/>
      <c r="F41" s="51" t="s">
        <v>63</v>
      </c>
      <c r="G41" s="53" t="s">
        <v>65</v>
      </c>
      <c r="H41" s="53" t="s">
        <v>65</v>
      </c>
      <c r="I41" s="53"/>
      <c r="J41" s="53" t="s">
        <v>67</v>
      </c>
      <c r="K41" s="54" t="s">
        <v>67</v>
      </c>
      <c r="L41" s="29" t="str">
        <f t="shared" si="0"/>
        <v>TORORO-JINJA</v>
      </c>
      <c r="M41" s="54">
        <v>14</v>
      </c>
      <c r="N41" s="55">
        <v>13000</v>
      </c>
      <c r="O41" s="56">
        <v>2.25</v>
      </c>
    </row>
    <row r="42" spans="1:15" s="49" customFormat="1" x14ac:dyDescent="0.2">
      <c r="A42" s="58"/>
      <c r="B42" s="50">
        <v>0.5</v>
      </c>
      <c r="C42" s="51">
        <v>4</v>
      </c>
      <c r="D42" s="52" t="str">
        <f>IF(C42="", "",VLOOKUP(C42,Key!$A$5:$B$7,2,FALSE))</f>
        <v>Minibus, matatu</v>
      </c>
      <c r="E42" s="51"/>
      <c r="F42" s="51" t="s">
        <v>64</v>
      </c>
      <c r="G42" s="53" t="s">
        <v>68</v>
      </c>
      <c r="H42" s="53" t="s">
        <v>68</v>
      </c>
      <c r="I42" s="53"/>
      <c r="J42" s="53" t="s">
        <v>65</v>
      </c>
      <c r="K42" s="54" t="s">
        <v>65</v>
      </c>
      <c r="L42" s="29" t="str">
        <f t="shared" si="0"/>
        <v>KAMPALA-TORORO</v>
      </c>
      <c r="M42" s="54">
        <v>14</v>
      </c>
      <c r="N42" s="55">
        <v>18000</v>
      </c>
      <c r="O42" s="56">
        <v>4.8</v>
      </c>
    </row>
    <row r="43" spans="1:15" s="49" customFormat="1" x14ac:dyDescent="0.2">
      <c r="A43" s="58"/>
      <c r="B43" s="50">
        <v>0.50138888888888888</v>
      </c>
      <c r="C43" s="51">
        <v>4</v>
      </c>
      <c r="D43" s="52" t="str">
        <f>IF(C43="", "",VLOOKUP(C43,Key!$A$5:$B$7,2,FALSE))</f>
        <v>Minibus, matatu</v>
      </c>
      <c r="E43" s="51"/>
      <c r="F43" s="51" t="s">
        <v>64</v>
      </c>
      <c r="G43" s="53" t="s">
        <v>68</v>
      </c>
      <c r="H43" s="53" t="s">
        <v>68</v>
      </c>
      <c r="I43" s="53"/>
      <c r="J43" s="53" t="s">
        <v>65</v>
      </c>
      <c r="K43" s="54" t="s">
        <v>65</v>
      </c>
      <c r="L43" s="29" t="str">
        <f t="shared" si="0"/>
        <v>KAMPALA-TORORO</v>
      </c>
      <c r="M43" s="54">
        <v>14</v>
      </c>
      <c r="N43" s="55">
        <v>18000</v>
      </c>
      <c r="O43" s="56">
        <v>4.8</v>
      </c>
    </row>
    <row r="44" spans="1:15" s="49" customFormat="1" x14ac:dyDescent="0.2">
      <c r="A44" s="58"/>
      <c r="B44" s="50">
        <v>0.50138888888888888</v>
      </c>
      <c r="C44" s="51">
        <v>4</v>
      </c>
      <c r="D44" s="52" t="str">
        <f>IF(C44="", "",VLOOKUP(C44,Key!$A$5:$B$7,2,FALSE))</f>
        <v>Minibus, matatu</v>
      </c>
      <c r="E44" s="51"/>
      <c r="F44" s="51" t="s">
        <v>63</v>
      </c>
      <c r="G44" s="53" t="s">
        <v>65</v>
      </c>
      <c r="H44" s="53" t="s">
        <v>65</v>
      </c>
      <c r="I44" s="53"/>
      <c r="J44" s="53" t="s">
        <v>68</v>
      </c>
      <c r="K44" s="54" t="s">
        <v>68</v>
      </c>
      <c r="L44" s="29" t="str">
        <f t="shared" si="0"/>
        <v>TORORO-KAMPALA</v>
      </c>
      <c r="M44" s="54">
        <v>14</v>
      </c>
      <c r="N44" s="55">
        <v>18000</v>
      </c>
      <c r="O44" s="56">
        <v>4.8</v>
      </c>
    </row>
    <row r="45" spans="1:15" s="49" customFormat="1" x14ac:dyDescent="0.2">
      <c r="A45" s="58"/>
      <c r="B45" s="50">
        <v>0.50486111111111109</v>
      </c>
      <c r="C45" s="51">
        <v>4</v>
      </c>
      <c r="D45" s="52" t="str">
        <f>IF(C45="", "",VLOOKUP(C45,Key!$A$5:$B$7,2,FALSE))</f>
        <v>Minibus, matatu</v>
      </c>
      <c r="E45" s="51"/>
      <c r="F45" s="51" t="s">
        <v>64</v>
      </c>
      <c r="G45" s="53" t="s">
        <v>66</v>
      </c>
      <c r="H45" s="53" t="s">
        <v>66</v>
      </c>
      <c r="I45" s="53"/>
      <c r="J45" s="53" t="s">
        <v>65</v>
      </c>
      <c r="K45" s="54" t="s">
        <v>65</v>
      </c>
      <c r="L45" s="29" t="str">
        <f t="shared" si="0"/>
        <v>MBALE-TORORO</v>
      </c>
      <c r="M45" s="54">
        <v>14</v>
      </c>
      <c r="N45" s="55">
        <v>5000</v>
      </c>
      <c r="O45" s="56">
        <v>1.89</v>
      </c>
    </row>
    <row r="46" spans="1:15" s="49" customFormat="1" x14ac:dyDescent="0.2">
      <c r="A46" s="58"/>
      <c r="B46" s="50">
        <v>0.50624999999999998</v>
      </c>
      <c r="C46" s="51">
        <v>4</v>
      </c>
      <c r="D46" s="52" t="str">
        <f>IF(C46="", "",VLOOKUP(C46,Key!$A$5:$B$7,2,FALSE))</f>
        <v>Minibus, matatu</v>
      </c>
      <c r="E46" s="51"/>
      <c r="F46" s="51" t="s">
        <v>64</v>
      </c>
      <c r="G46" s="53" t="s">
        <v>66</v>
      </c>
      <c r="H46" s="53" t="s">
        <v>66</v>
      </c>
      <c r="I46" s="53"/>
      <c r="J46" s="53" t="s">
        <v>65</v>
      </c>
      <c r="K46" s="54" t="s">
        <v>65</v>
      </c>
      <c r="L46" s="29" t="str">
        <f t="shared" si="0"/>
        <v>MBALE-TORORO</v>
      </c>
      <c r="M46" s="54">
        <v>14</v>
      </c>
      <c r="N46" s="55">
        <v>5000</v>
      </c>
      <c r="O46" s="56">
        <v>1.89</v>
      </c>
    </row>
    <row r="47" spans="1:15" s="49" customFormat="1" x14ac:dyDescent="0.2">
      <c r="A47" s="58"/>
      <c r="B47" s="50">
        <v>0.50763888888888886</v>
      </c>
      <c r="C47" s="51">
        <v>4</v>
      </c>
      <c r="D47" s="52" t="str">
        <f>IF(C47="", "",VLOOKUP(C47,Key!$A$5:$B$7,2,FALSE))</f>
        <v>Minibus, matatu</v>
      </c>
      <c r="E47" s="51"/>
      <c r="F47" s="51" t="s">
        <v>64</v>
      </c>
      <c r="G47" s="53" t="s">
        <v>66</v>
      </c>
      <c r="H47" s="53" t="s">
        <v>66</v>
      </c>
      <c r="I47" s="53"/>
      <c r="J47" s="53" t="s">
        <v>65</v>
      </c>
      <c r="K47" s="54" t="s">
        <v>65</v>
      </c>
      <c r="L47" s="29" t="str">
        <f t="shared" si="0"/>
        <v>MBALE-TORORO</v>
      </c>
      <c r="M47" s="54">
        <v>14</v>
      </c>
      <c r="N47" s="55">
        <v>5000</v>
      </c>
      <c r="O47" s="56">
        <v>1.89</v>
      </c>
    </row>
    <row r="48" spans="1:15" s="49" customFormat="1" x14ac:dyDescent="0.2">
      <c r="A48" s="58"/>
      <c r="B48" s="50">
        <v>0.50902777777777775</v>
      </c>
      <c r="C48" s="51">
        <v>4</v>
      </c>
      <c r="D48" s="52" t="str">
        <f>IF(C48="", "",VLOOKUP(C48,Key!$A$5:$B$7,2,FALSE))</f>
        <v>Minibus, matatu</v>
      </c>
      <c r="E48" s="51"/>
      <c r="F48" s="51" t="s">
        <v>64</v>
      </c>
      <c r="G48" s="53" t="s">
        <v>68</v>
      </c>
      <c r="H48" s="53" t="s">
        <v>68</v>
      </c>
      <c r="I48" s="53"/>
      <c r="J48" s="53" t="s">
        <v>65</v>
      </c>
      <c r="K48" s="54" t="s">
        <v>65</v>
      </c>
      <c r="L48" s="29" t="str">
        <f t="shared" si="0"/>
        <v>KAMPALA-TORORO</v>
      </c>
      <c r="M48" s="54">
        <v>14</v>
      </c>
      <c r="N48" s="55">
        <v>5000</v>
      </c>
      <c r="O48" s="56">
        <v>4.8</v>
      </c>
    </row>
    <row r="49" spans="1:15" s="49" customFormat="1" x14ac:dyDescent="0.2">
      <c r="A49" s="58"/>
      <c r="B49" s="50">
        <v>0.51041666666666663</v>
      </c>
      <c r="C49" s="51">
        <v>4</v>
      </c>
      <c r="D49" s="52" t="str">
        <f>IF(C49="", "",VLOOKUP(C49,Key!$A$5:$B$7,2,FALSE))</f>
        <v>Minibus, matatu</v>
      </c>
      <c r="E49" s="51"/>
      <c r="F49" s="51" t="s">
        <v>64</v>
      </c>
      <c r="G49" s="53" t="s">
        <v>66</v>
      </c>
      <c r="H49" s="53" t="s">
        <v>66</v>
      </c>
      <c r="I49" s="53"/>
      <c r="J49" s="53" t="s">
        <v>65</v>
      </c>
      <c r="K49" s="54" t="s">
        <v>65</v>
      </c>
      <c r="L49" s="29" t="str">
        <f t="shared" si="0"/>
        <v>MBALE-TORORO</v>
      </c>
      <c r="M49" s="54">
        <v>14</v>
      </c>
      <c r="N49" s="55">
        <v>5000</v>
      </c>
      <c r="O49" s="56">
        <v>1.89</v>
      </c>
    </row>
    <row r="50" spans="1:15" s="49" customFormat="1" x14ac:dyDescent="0.2">
      <c r="A50" s="58"/>
      <c r="B50" s="50">
        <v>0.51250000000000007</v>
      </c>
      <c r="C50" s="51">
        <v>4</v>
      </c>
      <c r="D50" s="52" t="str">
        <f>IF(C50="", "",VLOOKUP(C50,Key!$A$5:$B$7,2,FALSE))</f>
        <v>Minibus, matatu</v>
      </c>
      <c r="E50" s="51"/>
      <c r="F50" s="51" t="s">
        <v>64</v>
      </c>
      <c r="G50" s="53" t="s">
        <v>69</v>
      </c>
      <c r="H50" s="53" t="s">
        <v>69</v>
      </c>
      <c r="I50" s="53"/>
      <c r="J50" s="53" t="s">
        <v>65</v>
      </c>
      <c r="K50" s="54" t="s">
        <v>65</v>
      </c>
      <c r="L50" s="29" t="str">
        <f t="shared" si="0"/>
        <v>BUSIA-TORORO</v>
      </c>
      <c r="M50" s="54">
        <v>14</v>
      </c>
      <c r="N50" s="55">
        <v>5000</v>
      </c>
      <c r="O50" s="56">
        <v>1.25</v>
      </c>
    </row>
    <row r="51" spans="1:15" s="49" customFormat="1" x14ac:dyDescent="0.2">
      <c r="A51" s="58"/>
      <c r="B51" s="50">
        <v>0.51458333333333328</v>
      </c>
      <c r="C51" s="51">
        <v>4</v>
      </c>
      <c r="D51" s="52" t="str">
        <f>IF(C51="", "",VLOOKUP(C51,Key!$A$5:$B$7,2,FALSE))</f>
        <v>Minibus, matatu</v>
      </c>
      <c r="E51" s="51"/>
      <c r="F51" s="51" t="s">
        <v>64</v>
      </c>
      <c r="G51" s="53" t="s">
        <v>66</v>
      </c>
      <c r="H51" s="53" t="s">
        <v>66</v>
      </c>
      <c r="I51" s="53"/>
      <c r="J51" s="53" t="s">
        <v>67</v>
      </c>
      <c r="K51" s="54" t="s">
        <v>67</v>
      </c>
      <c r="L51" s="29" t="str">
        <f t="shared" si="0"/>
        <v>MBALE-JINJA</v>
      </c>
      <c r="M51" s="54">
        <v>14</v>
      </c>
      <c r="N51" s="55">
        <v>15000</v>
      </c>
      <c r="O51" s="56">
        <v>2.4500000000000002</v>
      </c>
    </row>
    <row r="52" spans="1:15" s="49" customFormat="1" x14ac:dyDescent="0.2">
      <c r="A52" s="58"/>
      <c r="B52" s="50">
        <v>0.52152777777777781</v>
      </c>
      <c r="C52" s="51">
        <v>4</v>
      </c>
      <c r="D52" s="52" t="str">
        <f>IF(C52="", "",VLOOKUP(C52,Key!$A$5:$B$7,2,FALSE))</f>
        <v>Minibus, matatu</v>
      </c>
      <c r="E52" s="51"/>
      <c r="F52" s="51" t="s">
        <v>64</v>
      </c>
      <c r="G52" s="53" t="s">
        <v>68</v>
      </c>
      <c r="H52" s="53" t="s">
        <v>68</v>
      </c>
      <c r="I52" s="53"/>
      <c r="J52" s="53" t="s">
        <v>65</v>
      </c>
      <c r="K52" s="54" t="s">
        <v>65</v>
      </c>
      <c r="L52" s="29" t="str">
        <f t="shared" si="0"/>
        <v>KAMPALA-TORORO</v>
      </c>
      <c r="M52" s="54">
        <v>14</v>
      </c>
      <c r="N52" s="55">
        <v>18000</v>
      </c>
      <c r="O52" s="56">
        <v>4.8</v>
      </c>
    </row>
    <row r="53" spans="1:15" s="49" customFormat="1" x14ac:dyDescent="0.2">
      <c r="A53" s="58"/>
      <c r="B53" s="50">
        <v>0.52500000000000002</v>
      </c>
      <c r="C53" s="51">
        <v>4</v>
      </c>
      <c r="D53" s="52" t="str">
        <f>IF(C53="", "",VLOOKUP(C53,Key!$A$5:$B$7,2,FALSE))</f>
        <v>Minibus, matatu</v>
      </c>
      <c r="E53" s="51"/>
      <c r="F53" s="51" t="s">
        <v>64</v>
      </c>
      <c r="G53" s="53" t="s">
        <v>66</v>
      </c>
      <c r="H53" s="53" t="s">
        <v>66</v>
      </c>
      <c r="I53" s="53"/>
      <c r="J53" s="53" t="s">
        <v>65</v>
      </c>
      <c r="K53" s="54" t="s">
        <v>65</v>
      </c>
      <c r="L53" s="29" t="str">
        <f t="shared" si="0"/>
        <v>MBALE-TORORO</v>
      </c>
      <c r="M53" s="54">
        <v>14</v>
      </c>
      <c r="N53" s="55">
        <v>5000</v>
      </c>
      <c r="O53" s="56">
        <v>1.89</v>
      </c>
    </row>
    <row r="54" spans="1:15" s="49" customFormat="1" x14ac:dyDescent="0.2">
      <c r="A54" s="58"/>
      <c r="B54" s="50">
        <v>0.52777777777777779</v>
      </c>
      <c r="C54" s="51">
        <v>4</v>
      </c>
      <c r="D54" s="52" t="str">
        <f>IF(C54="", "",VLOOKUP(C54,Key!$A$5:$B$7,2,FALSE))</f>
        <v>Minibus, matatu</v>
      </c>
      <c r="E54" s="51"/>
      <c r="F54" s="51" t="s">
        <v>64</v>
      </c>
      <c r="G54" s="53" t="s">
        <v>68</v>
      </c>
      <c r="H54" s="53" t="s">
        <v>68</v>
      </c>
      <c r="I54" s="53"/>
      <c r="J54" s="53" t="s">
        <v>65</v>
      </c>
      <c r="K54" s="54" t="s">
        <v>65</v>
      </c>
      <c r="L54" s="29" t="str">
        <f t="shared" si="0"/>
        <v>KAMPALA-TORORO</v>
      </c>
      <c r="M54" s="54">
        <v>14</v>
      </c>
      <c r="N54" s="55">
        <v>18000</v>
      </c>
      <c r="O54" s="56">
        <v>4.8</v>
      </c>
    </row>
    <row r="55" spans="1:15" s="49" customFormat="1" x14ac:dyDescent="0.2">
      <c r="A55" s="58"/>
      <c r="B55" s="50">
        <v>0.52847222222222223</v>
      </c>
      <c r="C55" s="51">
        <v>4</v>
      </c>
      <c r="D55" s="52" t="str">
        <f>IF(C55="", "",VLOOKUP(C55,Key!$A$5:$B$7,2,FALSE))</f>
        <v>Minibus, matatu</v>
      </c>
      <c r="E55" s="51"/>
      <c r="F55" s="51" t="s">
        <v>64</v>
      </c>
      <c r="G55" s="53" t="s">
        <v>66</v>
      </c>
      <c r="H55" s="53" t="s">
        <v>66</v>
      </c>
      <c r="I55" s="53"/>
      <c r="J55" s="53" t="s">
        <v>65</v>
      </c>
      <c r="K55" s="54" t="s">
        <v>65</v>
      </c>
      <c r="L55" s="29" t="str">
        <f t="shared" si="0"/>
        <v>MBALE-TORORO</v>
      </c>
      <c r="M55" s="54">
        <v>14</v>
      </c>
      <c r="N55" s="55">
        <v>5000</v>
      </c>
      <c r="O55" s="56">
        <v>1.89</v>
      </c>
    </row>
    <row r="56" spans="1:15" s="49" customFormat="1" x14ac:dyDescent="0.2">
      <c r="A56" s="58"/>
      <c r="B56" s="50">
        <v>0.52986111111111112</v>
      </c>
      <c r="C56" s="51">
        <v>4</v>
      </c>
      <c r="D56" s="52" t="str">
        <f>IF(C56="", "",VLOOKUP(C56,Key!$A$5:$B$7,2,FALSE))</f>
        <v>Minibus, matatu</v>
      </c>
      <c r="E56" s="51"/>
      <c r="F56" s="51" t="s">
        <v>64</v>
      </c>
      <c r="G56" s="53" t="s">
        <v>67</v>
      </c>
      <c r="H56" s="53" t="s">
        <v>67</v>
      </c>
      <c r="I56" s="53"/>
      <c r="J56" s="53" t="s">
        <v>65</v>
      </c>
      <c r="K56" s="54" t="s">
        <v>65</v>
      </c>
      <c r="L56" s="29" t="str">
        <f t="shared" si="0"/>
        <v>JINJA-TORORO</v>
      </c>
      <c r="M56" s="54">
        <v>14</v>
      </c>
      <c r="N56" s="55">
        <v>13000</v>
      </c>
      <c r="O56" s="56">
        <v>2.25</v>
      </c>
    </row>
    <row r="57" spans="1:15" s="49" customFormat="1" x14ac:dyDescent="0.2">
      <c r="A57" s="58"/>
      <c r="B57" s="50">
        <v>0.53055555555555556</v>
      </c>
      <c r="C57" s="51">
        <v>4</v>
      </c>
      <c r="D57" s="52" t="str">
        <f>IF(C57="", "",VLOOKUP(C57,Key!$A$5:$B$7,2,FALSE))</f>
        <v>Minibus, matatu</v>
      </c>
      <c r="E57" s="51"/>
      <c r="F57" s="51" t="s">
        <v>64</v>
      </c>
      <c r="G57" s="53" t="s">
        <v>66</v>
      </c>
      <c r="H57" s="53" t="s">
        <v>66</v>
      </c>
      <c r="I57" s="53"/>
      <c r="J57" s="53" t="s">
        <v>65</v>
      </c>
      <c r="K57" s="54" t="s">
        <v>65</v>
      </c>
      <c r="L57" s="29" t="str">
        <f t="shared" si="0"/>
        <v>MBALE-TORORO</v>
      </c>
      <c r="M57" s="54">
        <v>14</v>
      </c>
      <c r="N57" s="55">
        <v>10000</v>
      </c>
      <c r="O57" s="56">
        <v>1.89</v>
      </c>
    </row>
    <row r="58" spans="1:15" s="49" customFormat="1" x14ac:dyDescent="0.2">
      <c r="A58" s="58"/>
      <c r="B58" s="50">
        <v>0.53263888888888888</v>
      </c>
      <c r="C58" s="51">
        <v>4</v>
      </c>
      <c r="D58" s="52" t="str">
        <f>IF(C58="", "",VLOOKUP(C58,Key!$A$5:$B$7,2,FALSE))</f>
        <v>Minibus, matatu</v>
      </c>
      <c r="E58" s="51"/>
      <c r="F58" s="51" t="s">
        <v>64</v>
      </c>
      <c r="G58" s="53" t="s">
        <v>66</v>
      </c>
      <c r="H58" s="53" t="s">
        <v>66</v>
      </c>
      <c r="I58" s="53"/>
      <c r="J58" s="53" t="s">
        <v>65</v>
      </c>
      <c r="K58" s="54" t="s">
        <v>65</v>
      </c>
      <c r="L58" s="29" t="str">
        <f t="shared" si="0"/>
        <v>MBALE-TORORO</v>
      </c>
      <c r="M58" s="54">
        <v>14</v>
      </c>
      <c r="N58" s="55">
        <v>10000</v>
      </c>
      <c r="O58" s="56">
        <v>1.89</v>
      </c>
    </row>
    <row r="59" spans="1:15" s="49" customFormat="1" x14ac:dyDescent="0.2">
      <c r="A59" s="58"/>
      <c r="B59" s="50">
        <v>0.53472222222222221</v>
      </c>
      <c r="C59" s="51">
        <v>4</v>
      </c>
      <c r="D59" s="52" t="str">
        <f>IF(C59="", "",VLOOKUP(C59,Key!$A$5:$B$7,2,FALSE))</f>
        <v>Minibus, matatu</v>
      </c>
      <c r="E59" s="51"/>
      <c r="F59" s="51" t="s">
        <v>64</v>
      </c>
      <c r="G59" s="53" t="s">
        <v>66</v>
      </c>
      <c r="H59" s="53" t="s">
        <v>66</v>
      </c>
      <c r="I59" s="53"/>
      <c r="J59" s="53" t="s">
        <v>67</v>
      </c>
      <c r="K59" s="54" t="s">
        <v>67</v>
      </c>
      <c r="L59" s="29" t="str">
        <f t="shared" si="0"/>
        <v>MBALE-JINJA</v>
      </c>
      <c r="M59" s="54">
        <v>14</v>
      </c>
      <c r="N59" s="55">
        <v>15000</v>
      </c>
      <c r="O59" s="56">
        <v>2.4500000000000002</v>
      </c>
    </row>
    <row r="60" spans="1:15" s="49" customFormat="1" x14ac:dyDescent="0.2">
      <c r="A60" s="58"/>
      <c r="B60" s="50">
        <v>0.54166666666666663</v>
      </c>
      <c r="C60" s="51">
        <v>4</v>
      </c>
      <c r="D60" s="52" t="str">
        <f>IF(C60="", "",VLOOKUP(C60,Key!$A$5:$B$7,2,FALSE))</f>
        <v>Minibus, matatu</v>
      </c>
      <c r="E60" s="51"/>
      <c r="F60" s="51" t="s">
        <v>64</v>
      </c>
      <c r="G60" s="53" t="s">
        <v>72</v>
      </c>
      <c r="H60" s="53" t="s">
        <v>71</v>
      </c>
      <c r="I60" s="53"/>
      <c r="J60" s="53" t="s">
        <v>65</v>
      </c>
      <c r="K60" s="54" t="s">
        <v>65</v>
      </c>
      <c r="L60" s="29" t="str">
        <f t="shared" si="0"/>
        <v>BUGIRI-TORORO</v>
      </c>
      <c r="M60" s="54">
        <v>14</v>
      </c>
      <c r="N60" s="55">
        <v>6000</v>
      </c>
      <c r="O60" s="56">
        <v>1.25</v>
      </c>
    </row>
    <row r="61" spans="1:15" s="49" customFormat="1" x14ac:dyDescent="0.2">
      <c r="A61" s="58"/>
      <c r="B61" s="50">
        <v>0.54375000000000007</v>
      </c>
      <c r="C61" s="51">
        <v>4</v>
      </c>
      <c r="D61" s="52" t="str">
        <f>IF(C61="", "",VLOOKUP(C61,Key!$A$5:$B$7,2,FALSE))</f>
        <v>Minibus, matatu</v>
      </c>
      <c r="E61" s="51"/>
      <c r="F61" s="51" t="s">
        <v>64</v>
      </c>
      <c r="G61" s="53" t="s">
        <v>66</v>
      </c>
      <c r="H61" s="53" t="s">
        <v>66</v>
      </c>
      <c r="I61" s="53"/>
      <c r="J61" s="53" t="s">
        <v>67</v>
      </c>
      <c r="K61" s="54" t="s">
        <v>67</v>
      </c>
      <c r="L61" s="29" t="str">
        <f t="shared" si="0"/>
        <v>MBALE-JINJA</v>
      </c>
      <c r="M61" s="54">
        <v>14</v>
      </c>
      <c r="N61" s="55">
        <v>15000</v>
      </c>
      <c r="O61" s="56">
        <v>2.4500000000000002</v>
      </c>
    </row>
    <row r="62" spans="1:15" s="49" customFormat="1" x14ac:dyDescent="0.2">
      <c r="A62" s="58"/>
      <c r="B62" s="50">
        <v>0.54513888888888895</v>
      </c>
      <c r="C62" s="51">
        <v>4</v>
      </c>
      <c r="D62" s="52" t="str">
        <f>IF(C62="", "",VLOOKUP(C62,Key!$A$5:$B$7,2,FALSE))</f>
        <v>Minibus, matatu</v>
      </c>
      <c r="E62" s="51"/>
      <c r="F62" s="51" t="s">
        <v>63</v>
      </c>
      <c r="G62" s="53" t="s">
        <v>65</v>
      </c>
      <c r="H62" s="53" t="s">
        <v>65</v>
      </c>
      <c r="I62" s="53"/>
      <c r="J62" s="53" t="s">
        <v>67</v>
      </c>
      <c r="K62" s="54" t="s">
        <v>67</v>
      </c>
      <c r="L62" s="29" t="str">
        <f t="shared" si="0"/>
        <v>TORORO-JINJA</v>
      </c>
      <c r="M62" s="54">
        <v>14</v>
      </c>
      <c r="N62" s="55">
        <v>13000</v>
      </c>
      <c r="O62" s="56">
        <v>2.25</v>
      </c>
    </row>
    <row r="63" spans="1:15" s="49" customFormat="1" x14ac:dyDescent="0.2">
      <c r="A63" s="58"/>
      <c r="B63" s="50">
        <v>0.54583333333333328</v>
      </c>
      <c r="C63" s="51">
        <v>4</v>
      </c>
      <c r="D63" s="52" t="str">
        <f>IF(C63="", "",VLOOKUP(C63,Key!$A$5:$B$7,2,FALSE))</f>
        <v>Minibus, matatu</v>
      </c>
      <c r="E63" s="51"/>
      <c r="F63" s="51" t="s">
        <v>64</v>
      </c>
      <c r="G63" s="53" t="s">
        <v>67</v>
      </c>
      <c r="H63" s="53" t="s">
        <v>67</v>
      </c>
      <c r="I63" s="53"/>
      <c r="J63" s="53" t="s">
        <v>65</v>
      </c>
      <c r="K63" s="54" t="s">
        <v>65</v>
      </c>
      <c r="L63" s="29" t="str">
        <f t="shared" si="0"/>
        <v>JINJA-TORORO</v>
      </c>
      <c r="M63" s="54">
        <v>14</v>
      </c>
      <c r="N63" s="55">
        <v>13000</v>
      </c>
      <c r="O63" s="56">
        <v>2.25</v>
      </c>
    </row>
    <row r="64" spans="1:15" s="49" customFormat="1" x14ac:dyDescent="0.2">
      <c r="A64" s="58"/>
      <c r="B64" s="50">
        <v>0.54722222222222217</v>
      </c>
      <c r="C64" s="51">
        <v>4</v>
      </c>
      <c r="D64" s="52" t="str">
        <f>IF(C64="", "",VLOOKUP(C64,Key!$A$5:$B$7,2,FALSE))</f>
        <v>Minibus, matatu</v>
      </c>
      <c r="E64" s="51"/>
      <c r="F64" s="51" t="s">
        <v>64</v>
      </c>
      <c r="G64" s="53" t="s">
        <v>67</v>
      </c>
      <c r="H64" s="53" t="s">
        <v>67</v>
      </c>
      <c r="I64" s="53"/>
      <c r="J64" s="53" t="s">
        <v>65</v>
      </c>
      <c r="K64" s="54" t="s">
        <v>65</v>
      </c>
      <c r="L64" s="29" t="str">
        <f t="shared" si="0"/>
        <v>JINJA-TORORO</v>
      </c>
      <c r="M64" s="54">
        <v>14</v>
      </c>
      <c r="N64" s="55">
        <v>13000</v>
      </c>
      <c r="O64" s="56">
        <v>2.25</v>
      </c>
    </row>
    <row r="65" spans="1:15" s="49" customFormat="1" x14ac:dyDescent="0.2">
      <c r="A65" s="58"/>
      <c r="B65" s="50">
        <v>0.54861111111111105</v>
      </c>
      <c r="C65" s="51">
        <v>4</v>
      </c>
      <c r="D65" s="52" t="str">
        <f>IF(C65="", "",VLOOKUP(C65,Key!$A$5:$B$7,2,FALSE))</f>
        <v>Minibus, matatu</v>
      </c>
      <c r="E65" s="51"/>
      <c r="F65" s="51" t="s">
        <v>64</v>
      </c>
      <c r="G65" s="53" t="s">
        <v>68</v>
      </c>
      <c r="H65" s="53" t="s">
        <v>68</v>
      </c>
      <c r="I65" s="53"/>
      <c r="J65" s="53" t="s">
        <v>65</v>
      </c>
      <c r="K65" s="54" t="s">
        <v>65</v>
      </c>
      <c r="L65" s="29" t="str">
        <f t="shared" si="0"/>
        <v>KAMPALA-TORORO</v>
      </c>
      <c r="M65" s="54">
        <v>14</v>
      </c>
      <c r="N65" s="55">
        <v>18000</v>
      </c>
      <c r="O65" s="56">
        <v>4.8</v>
      </c>
    </row>
    <row r="66" spans="1:15" s="49" customFormat="1" x14ac:dyDescent="0.2">
      <c r="A66" s="58"/>
      <c r="B66" s="50">
        <v>0.55208333333333337</v>
      </c>
      <c r="C66" s="51">
        <v>4</v>
      </c>
      <c r="D66" s="52" t="str">
        <f>IF(C66="", "",VLOOKUP(C66,Key!$A$5:$B$7,2,FALSE))</f>
        <v>Minibus, matatu</v>
      </c>
      <c r="E66" s="51"/>
      <c r="F66" s="51" t="s">
        <v>64</v>
      </c>
      <c r="G66" s="53" t="s">
        <v>66</v>
      </c>
      <c r="H66" s="53" t="s">
        <v>66</v>
      </c>
      <c r="I66" s="53"/>
      <c r="J66" s="53" t="s">
        <v>65</v>
      </c>
      <c r="K66" s="54" t="s">
        <v>65</v>
      </c>
      <c r="L66" s="29" t="str">
        <f t="shared" si="0"/>
        <v>MBALE-TORORO</v>
      </c>
      <c r="M66" s="54">
        <v>14</v>
      </c>
      <c r="N66" s="55">
        <v>5000</v>
      </c>
      <c r="O66" s="56">
        <v>1.89</v>
      </c>
    </row>
    <row r="67" spans="1:15" s="49" customFormat="1" x14ac:dyDescent="0.2">
      <c r="A67" s="58"/>
      <c r="B67" s="50">
        <v>0.55347222222222225</v>
      </c>
      <c r="C67" s="51">
        <v>4</v>
      </c>
      <c r="D67" s="52" t="str">
        <f>IF(C67="", "",VLOOKUP(C67,Key!$A$5:$B$7,2,FALSE))</f>
        <v>Minibus, matatu</v>
      </c>
      <c r="E67" s="51"/>
      <c r="F67" s="51" t="s">
        <v>64</v>
      </c>
      <c r="G67" s="53" t="s">
        <v>68</v>
      </c>
      <c r="H67" s="53" t="s">
        <v>68</v>
      </c>
      <c r="I67" s="53"/>
      <c r="J67" s="53" t="s">
        <v>65</v>
      </c>
      <c r="K67" s="54" t="s">
        <v>65</v>
      </c>
      <c r="L67" s="29" t="str">
        <f t="shared" si="0"/>
        <v>KAMPALA-TORORO</v>
      </c>
      <c r="M67" s="54">
        <v>14</v>
      </c>
      <c r="N67" s="55">
        <v>18000</v>
      </c>
      <c r="O67" s="56">
        <v>4.8</v>
      </c>
    </row>
    <row r="68" spans="1:15" s="49" customFormat="1" x14ac:dyDescent="0.2">
      <c r="A68" s="58"/>
      <c r="B68" s="50">
        <v>0.55555555555555558</v>
      </c>
      <c r="C68" s="51">
        <v>4</v>
      </c>
      <c r="D68" s="52" t="str">
        <f>IF(C68="", "",VLOOKUP(C68,Key!$A$5:$B$7,2,FALSE))</f>
        <v>Minibus, matatu</v>
      </c>
      <c r="E68" s="51"/>
      <c r="F68" s="51" t="s">
        <v>64</v>
      </c>
      <c r="G68" s="53" t="s">
        <v>66</v>
      </c>
      <c r="H68" s="53" t="s">
        <v>66</v>
      </c>
      <c r="I68" s="53"/>
      <c r="J68" s="53" t="s">
        <v>65</v>
      </c>
      <c r="K68" s="54" t="s">
        <v>65</v>
      </c>
      <c r="L68" s="29" t="str">
        <f t="shared" si="0"/>
        <v>MBALE-TORORO</v>
      </c>
      <c r="M68" s="54">
        <v>14</v>
      </c>
      <c r="N68" s="55">
        <v>5000</v>
      </c>
      <c r="O68" s="56">
        <v>1.89</v>
      </c>
    </row>
    <row r="69" spans="1:15" s="49" customFormat="1" x14ac:dyDescent="0.2">
      <c r="A69" s="58"/>
      <c r="B69" s="50">
        <v>0.55625000000000002</v>
      </c>
      <c r="C69" s="51">
        <v>4</v>
      </c>
      <c r="D69" s="52" t="str">
        <f>IF(C69="", "",VLOOKUP(C69,Key!$A$5:$B$7,2,FALSE))</f>
        <v>Minibus, matatu</v>
      </c>
      <c r="E69" s="51"/>
      <c r="F69" s="51" t="s">
        <v>64</v>
      </c>
      <c r="G69" s="53" t="s">
        <v>66</v>
      </c>
      <c r="H69" s="53" t="s">
        <v>66</v>
      </c>
      <c r="I69" s="53"/>
      <c r="J69" s="53" t="s">
        <v>65</v>
      </c>
      <c r="K69" s="54" t="s">
        <v>65</v>
      </c>
      <c r="L69" s="29" t="str">
        <f t="shared" si="0"/>
        <v>MBALE-TORORO</v>
      </c>
      <c r="M69" s="54">
        <v>14</v>
      </c>
      <c r="N69" s="55">
        <v>5000</v>
      </c>
      <c r="O69" s="56">
        <v>1.89</v>
      </c>
    </row>
    <row r="70" spans="1:15" s="49" customFormat="1" x14ac:dyDescent="0.2">
      <c r="A70" s="58"/>
      <c r="B70" s="50">
        <v>0.56111111111111112</v>
      </c>
      <c r="C70" s="51">
        <v>4</v>
      </c>
      <c r="D70" s="52" t="str">
        <f>IF(C70="", "",VLOOKUP(C70,Key!$A$5:$B$7,2,FALSE))</f>
        <v>Minibus, matatu</v>
      </c>
      <c r="E70" s="51"/>
      <c r="F70" s="51" t="s">
        <v>64</v>
      </c>
      <c r="G70" s="53" t="s">
        <v>66</v>
      </c>
      <c r="H70" s="53" t="s">
        <v>66</v>
      </c>
      <c r="I70" s="53"/>
      <c r="J70" s="53" t="s">
        <v>65</v>
      </c>
      <c r="K70" s="54" t="s">
        <v>65</v>
      </c>
      <c r="L70" s="29" t="str">
        <f t="shared" si="0"/>
        <v>MBALE-TORORO</v>
      </c>
      <c r="M70" s="54">
        <v>14</v>
      </c>
      <c r="N70" s="55">
        <v>5000</v>
      </c>
      <c r="O70" s="56">
        <v>1.89</v>
      </c>
    </row>
    <row r="71" spans="1:15" s="49" customFormat="1" x14ac:dyDescent="0.2">
      <c r="A71" s="58"/>
      <c r="B71" s="50">
        <v>0.5625</v>
      </c>
      <c r="C71" s="51">
        <v>4</v>
      </c>
      <c r="D71" s="52" t="str">
        <f>IF(C71="", "",VLOOKUP(C71,Key!$A$5:$B$7,2,FALSE))</f>
        <v>Minibus, matatu</v>
      </c>
      <c r="E71" s="51"/>
      <c r="F71" s="51" t="s">
        <v>64</v>
      </c>
      <c r="G71" s="53" t="s">
        <v>72</v>
      </c>
      <c r="H71" s="53" t="s">
        <v>71</v>
      </c>
      <c r="I71" s="53"/>
      <c r="J71" s="53" t="s">
        <v>65</v>
      </c>
      <c r="K71" s="54" t="s">
        <v>65</v>
      </c>
      <c r="L71" s="29" t="str">
        <f t="shared" si="0"/>
        <v>BUGIRI-TORORO</v>
      </c>
      <c r="M71" s="54">
        <v>14</v>
      </c>
      <c r="N71" s="55">
        <v>6000</v>
      </c>
      <c r="O71" s="56">
        <v>1.25</v>
      </c>
    </row>
    <row r="72" spans="1:15" s="49" customFormat="1" x14ac:dyDescent="0.2">
      <c r="A72" s="58"/>
      <c r="B72" s="50">
        <v>0.56458333333333333</v>
      </c>
      <c r="C72" s="51">
        <v>4</v>
      </c>
      <c r="D72" s="52" t="str">
        <f>IF(C72="", "",VLOOKUP(C72,Key!$A$5:$B$7,2,FALSE))</f>
        <v>Minibus, matatu</v>
      </c>
      <c r="E72" s="51"/>
      <c r="F72" s="51" t="s">
        <v>64</v>
      </c>
      <c r="G72" s="53" t="s">
        <v>68</v>
      </c>
      <c r="H72" s="53" t="s">
        <v>68</v>
      </c>
      <c r="I72" s="53"/>
      <c r="J72" s="53" t="s">
        <v>65</v>
      </c>
      <c r="K72" s="54" t="s">
        <v>65</v>
      </c>
      <c r="L72" s="29" t="str">
        <f t="shared" si="0"/>
        <v>KAMPALA-TORORO</v>
      </c>
      <c r="M72" s="54">
        <v>14</v>
      </c>
      <c r="N72" s="55">
        <v>18000</v>
      </c>
      <c r="O72" s="56">
        <v>4.8</v>
      </c>
    </row>
    <row r="73" spans="1:15" s="49" customFormat="1" x14ac:dyDescent="0.2">
      <c r="A73" s="58"/>
      <c r="B73" s="50">
        <v>0.56527777777777777</v>
      </c>
      <c r="C73" s="51">
        <v>4</v>
      </c>
      <c r="D73" s="52" t="str">
        <f>IF(C73="", "",VLOOKUP(C73,Key!$A$5:$B$7,2,FALSE))</f>
        <v>Minibus, matatu</v>
      </c>
      <c r="E73" s="51"/>
      <c r="F73" s="51" t="s">
        <v>64</v>
      </c>
      <c r="G73" s="53" t="s">
        <v>68</v>
      </c>
      <c r="H73" s="53" t="s">
        <v>68</v>
      </c>
      <c r="I73" s="53"/>
      <c r="J73" s="53" t="s">
        <v>65</v>
      </c>
      <c r="K73" s="54" t="s">
        <v>65</v>
      </c>
      <c r="L73" s="29" t="str">
        <f t="shared" ref="L73:L136" si="1">H73&amp;"-"&amp;K73</f>
        <v>KAMPALA-TORORO</v>
      </c>
      <c r="M73" s="54">
        <v>14</v>
      </c>
      <c r="N73" s="55">
        <v>18000</v>
      </c>
      <c r="O73" s="56">
        <v>4.8</v>
      </c>
    </row>
    <row r="74" spans="1:15" s="49" customFormat="1" x14ac:dyDescent="0.2">
      <c r="A74" s="58"/>
      <c r="B74" s="50">
        <v>0.56736111111111109</v>
      </c>
      <c r="C74" s="51">
        <v>4</v>
      </c>
      <c r="D74" s="52" t="str">
        <f>IF(C74="", "",VLOOKUP(C74,Key!$A$5:$B$7,2,FALSE))</f>
        <v>Minibus, matatu</v>
      </c>
      <c r="E74" s="51"/>
      <c r="F74" s="51" t="s">
        <v>64</v>
      </c>
      <c r="G74" s="53" t="s">
        <v>72</v>
      </c>
      <c r="H74" s="53" t="s">
        <v>71</v>
      </c>
      <c r="I74" s="53"/>
      <c r="J74" s="53" t="s">
        <v>65</v>
      </c>
      <c r="K74" s="54" t="s">
        <v>65</v>
      </c>
      <c r="L74" s="29" t="str">
        <f t="shared" si="1"/>
        <v>BUGIRI-TORORO</v>
      </c>
      <c r="M74" s="54">
        <v>14</v>
      </c>
      <c r="N74" s="55">
        <v>6000</v>
      </c>
      <c r="O74" s="56">
        <v>1.25</v>
      </c>
    </row>
    <row r="75" spans="1:15" s="49" customFormat="1" x14ac:dyDescent="0.2">
      <c r="A75" s="58"/>
      <c r="B75" s="50">
        <v>0.56944444444444442</v>
      </c>
      <c r="C75" s="51">
        <v>4</v>
      </c>
      <c r="D75" s="52" t="str">
        <f>IF(C75="", "",VLOOKUP(C75,Key!$A$5:$B$7,2,FALSE))</f>
        <v>Minibus, matatu</v>
      </c>
      <c r="E75" s="51"/>
      <c r="F75" s="51" t="s">
        <v>64</v>
      </c>
      <c r="G75" s="53" t="s">
        <v>68</v>
      </c>
      <c r="H75" s="53" t="s">
        <v>68</v>
      </c>
      <c r="I75" s="53"/>
      <c r="J75" s="53" t="s">
        <v>65</v>
      </c>
      <c r="K75" s="54" t="s">
        <v>65</v>
      </c>
      <c r="L75" s="29" t="str">
        <f t="shared" si="1"/>
        <v>KAMPALA-TORORO</v>
      </c>
      <c r="M75" s="54">
        <v>14</v>
      </c>
      <c r="N75" s="55">
        <v>18000</v>
      </c>
      <c r="O75" s="56">
        <v>4.8</v>
      </c>
    </row>
    <row r="76" spans="1:15" s="49" customFormat="1" x14ac:dyDescent="0.2">
      <c r="A76" s="58"/>
      <c r="B76" s="50">
        <v>0.5708333333333333</v>
      </c>
      <c r="C76" s="51">
        <v>4</v>
      </c>
      <c r="D76" s="52" t="str">
        <f>IF(C76="", "",VLOOKUP(C76,Key!$A$5:$B$7,2,FALSE))</f>
        <v>Minibus, matatu</v>
      </c>
      <c r="E76" s="51"/>
      <c r="F76" s="51" t="s">
        <v>64</v>
      </c>
      <c r="G76" s="53" t="s">
        <v>67</v>
      </c>
      <c r="H76" s="53" t="s">
        <v>67</v>
      </c>
      <c r="I76" s="53"/>
      <c r="J76" s="53" t="s">
        <v>65</v>
      </c>
      <c r="K76" s="54" t="s">
        <v>65</v>
      </c>
      <c r="L76" s="29" t="str">
        <f t="shared" si="1"/>
        <v>JINJA-TORORO</v>
      </c>
      <c r="M76" s="54">
        <v>14</v>
      </c>
      <c r="N76" s="55">
        <v>13000</v>
      </c>
      <c r="O76" s="56">
        <v>2.25</v>
      </c>
    </row>
    <row r="77" spans="1:15" s="49" customFormat="1" x14ac:dyDescent="0.2">
      <c r="A77" s="58"/>
      <c r="B77" s="50">
        <v>0.57361111111111118</v>
      </c>
      <c r="C77" s="51">
        <v>4</v>
      </c>
      <c r="D77" s="52" t="str">
        <f>IF(C77="", "",VLOOKUP(C77,Key!$A$5:$B$7,2,FALSE))</f>
        <v>Minibus, matatu</v>
      </c>
      <c r="E77" s="51"/>
      <c r="F77" s="51" t="s">
        <v>64</v>
      </c>
      <c r="G77" s="53" t="s">
        <v>69</v>
      </c>
      <c r="H77" s="53" t="s">
        <v>69</v>
      </c>
      <c r="I77" s="53"/>
      <c r="J77" s="53" t="s">
        <v>65</v>
      </c>
      <c r="K77" s="54" t="s">
        <v>65</v>
      </c>
      <c r="L77" s="29" t="str">
        <f t="shared" si="1"/>
        <v>BUSIA-TORORO</v>
      </c>
      <c r="M77" s="54">
        <v>14</v>
      </c>
      <c r="N77" s="55">
        <v>6000</v>
      </c>
      <c r="O77" s="56">
        <v>1.25</v>
      </c>
    </row>
    <row r="78" spans="1:15" s="49" customFormat="1" x14ac:dyDescent="0.2">
      <c r="A78" s="58"/>
      <c r="B78" s="50">
        <v>0.57638888888888895</v>
      </c>
      <c r="C78" s="51">
        <v>4</v>
      </c>
      <c r="D78" s="52" t="str">
        <f>IF(C78="", "",VLOOKUP(C78,Key!$A$5:$B$7,2,FALSE))</f>
        <v>Minibus, matatu</v>
      </c>
      <c r="E78" s="51"/>
      <c r="F78" s="51" t="s">
        <v>64</v>
      </c>
      <c r="G78" s="53" t="s">
        <v>69</v>
      </c>
      <c r="H78" s="53" t="s">
        <v>69</v>
      </c>
      <c r="I78" s="53"/>
      <c r="J78" s="53" t="s">
        <v>65</v>
      </c>
      <c r="K78" s="54" t="s">
        <v>65</v>
      </c>
      <c r="L78" s="29" t="str">
        <f t="shared" si="1"/>
        <v>BUSIA-TORORO</v>
      </c>
      <c r="M78" s="54">
        <v>14</v>
      </c>
      <c r="N78" s="55">
        <v>5000</v>
      </c>
      <c r="O78" s="56">
        <v>1.25</v>
      </c>
    </row>
    <row r="79" spans="1:15" s="49" customFormat="1" x14ac:dyDescent="0.2">
      <c r="A79" s="58"/>
      <c r="B79" s="50">
        <v>0.58333333333333337</v>
      </c>
      <c r="C79" s="51">
        <v>4</v>
      </c>
      <c r="D79" s="52" t="str">
        <f>IF(C79="", "",VLOOKUP(C79,Key!$A$5:$B$7,2,FALSE))</f>
        <v>Minibus, matatu</v>
      </c>
      <c r="E79" s="51"/>
      <c r="F79" s="51" t="s">
        <v>63</v>
      </c>
      <c r="G79" s="53" t="s">
        <v>65</v>
      </c>
      <c r="H79" s="53" t="s">
        <v>65</v>
      </c>
      <c r="I79" s="53"/>
      <c r="J79" s="53" t="s">
        <v>67</v>
      </c>
      <c r="K79" s="54" t="s">
        <v>67</v>
      </c>
      <c r="L79" s="29" t="str">
        <f t="shared" si="1"/>
        <v>TORORO-JINJA</v>
      </c>
      <c r="M79" s="54">
        <v>14</v>
      </c>
      <c r="N79" s="55">
        <v>13000</v>
      </c>
      <c r="O79" s="56">
        <v>2.25</v>
      </c>
    </row>
    <row r="80" spans="1:15" s="49" customFormat="1" x14ac:dyDescent="0.2">
      <c r="A80" s="58"/>
      <c r="B80" s="50">
        <v>0.58402777777777781</v>
      </c>
      <c r="C80" s="51">
        <v>4</v>
      </c>
      <c r="D80" s="52" t="str">
        <f>IF(C80="", "",VLOOKUP(C80,Key!$A$5:$B$7,2,FALSE))</f>
        <v>Minibus, matatu</v>
      </c>
      <c r="E80" s="51"/>
      <c r="F80" s="51" t="s">
        <v>64</v>
      </c>
      <c r="G80" s="53" t="s">
        <v>66</v>
      </c>
      <c r="H80" s="53" t="s">
        <v>66</v>
      </c>
      <c r="I80" s="53"/>
      <c r="J80" s="53" t="s">
        <v>65</v>
      </c>
      <c r="K80" s="54" t="s">
        <v>65</v>
      </c>
      <c r="L80" s="29" t="str">
        <f t="shared" si="1"/>
        <v>MBALE-TORORO</v>
      </c>
      <c r="M80" s="54">
        <v>14</v>
      </c>
      <c r="N80" s="55">
        <v>5000</v>
      </c>
      <c r="O80" s="56">
        <v>1.89</v>
      </c>
    </row>
    <row r="81" spans="1:15" s="49" customFormat="1" x14ac:dyDescent="0.2">
      <c r="A81" s="58"/>
      <c r="B81" s="50">
        <v>0.58472222222222225</v>
      </c>
      <c r="C81" s="51">
        <v>4</v>
      </c>
      <c r="D81" s="52" t="str">
        <f>IF(C81="", "",VLOOKUP(C81,Key!$A$5:$B$7,2,FALSE))</f>
        <v>Minibus, matatu</v>
      </c>
      <c r="E81" s="51"/>
      <c r="F81" s="51" t="s">
        <v>64</v>
      </c>
      <c r="G81" s="53" t="s">
        <v>66</v>
      </c>
      <c r="H81" s="53" t="s">
        <v>66</v>
      </c>
      <c r="I81" s="53"/>
      <c r="J81" s="53" t="s">
        <v>65</v>
      </c>
      <c r="K81" s="54" t="s">
        <v>65</v>
      </c>
      <c r="L81" s="29" t="str">
        <f t="shared" si="1"/>
        <v>MBALE-TORORO</v>
      </c>
      <c r="M81" s="54">
        <v>14</v>
      </c>
      <c r="N81" s="55">
        <v>5000</v>
      </c>
      <c r="O81" s="56">
        <v>1.89</v>
      </c>
    </row>
    <row r="82" spans="1:15" s="49" customFormat="1" x14ac:dyDescent="0.2">
      <c r="A82" s="58"/>
      <c r="B82" s="50">
        <v>0.58680555555555558</v>
      </c>
      <c r="C82" s="51">
        <v>4</v>
      </c>
      <c r="D82" s="52" t="str">
        <f>IF(C82="", "",VLOOKUP(C82,Key!$A$5:$B$7,2,FALSE))</f>
        <v>Minibus, matatu</v>
      </c>
      <c r="E82" s="51"/>
      <c r="F82" s="51" t="s">
        <v>64</v>
      </c>
      <c r="G82" s="53" t="s">
        <v>66</v>
      </c>
      <c r="H82" s="53" t="s">
        <v>66</v>
      </c>
      <c r="I82" s="53"/>
      <c r="J82" s="53" t="s">
        <v>65</v>
      </c>
      <c r="K82" s="54" t="s">
        <v>65</v>
      </c>
      <c r="L82" s="29" t="str">
        <f t="shared" si="1"/>
        <v>MBALE-TORORO</v>
      </c>
      <c r="M82" s="54">
        <v>14</v>
      </c>
      <c r="N82" s="55">
        <v>5000</v>
      </c>
      <c r="O82" s="56">
        <v>1.89</v>
      </c>
    </row>
    <row r="83" spans="1:15" s="49" customFormat="1" x14ac:dyDescent="0.2">
      <c r="A83" s="58"/>
      <c r="B83" s="50">
        <v>0.58958333333333335</v>
      </c>
      <c r="C83" s="51">
        <v>4</v>
      </c>
      <c r="D83" s="52" t="str">
        <f>IF(C83="", "",VLOOKUP(C83,Key!$A$5:$B$7,2,FALSE))</f>
        <v>Minibus, matatu</v>
      </c>
      <c r="E83" s="51"/>
      <c r="F83" s="51" t="s">
        <v>64</v>
      </c>
      <c r="G83" s="53" t="s">
        <v>69</v>
      </c>
      <c r="H83" s="53" t="s">
        <v>69</v>
      </c>
      <c r="I83" s="53"/>
      <c r="J83" s="53" t="s">
        <v>65</v>
      </c>
      <c r="K83" s="54" t="s">
        <v>65</v>
      </c>
      <c r="L83" s="29" t="str">
        <f t="shared" si="1"/>
        <v>BUSIA-TORORO</v>
      </c>
      <c r="M83" s="54">
        <v>14</v>
      </c>
      <c r="N83" s="55">
        <v>5000</v>
      </c>
      <c r="O83" s="56">
        <v>1.25</v>
      </c>
    </row>
    <row r="84" spans="1:15" s="49" customFormat="1" x14ac:dyDescent="0.2">
      <c r="A84" s="58"/>
      <c r="B84" s="50">
        <v>0.59027777777777779</v>
      </c>
      <c r="C84" s="51">
        <v>4</v>
      </c>
      <c r="D84" s="52" t="str">
        <f>IF(C84="", "",VLOOKUP(C84,Key!$A$5:$B$7,2,FALSE))</f>
        <v>Minibus, matatu</v>
      </c>
      <c r="E84" s="51"/>
      <c r="F84" s="51" t="s">
        <v>64</v>
      </c>
      <c r="G84" s="53" t="s">
        <v>67</v>
      </c>
      <c r="H84" s="53" t="s">
        <v>67</v>
      </c>
      <c r="I84" s="53"/>
      <c r="J84" s="53" t="s">
        <v>65</v>
      </c>
      <c r="K84" s="54" t="s">
        <v>65</v>
      </c>
      <c r="L84" s="29" t="str">
        <f t="shared" si="1"/>
        <v>JINJA-TORORO</v>
      </c>
      <c r="M84" s="54">
        <v>14</v>
      </c>
      <c r="N84" s="55">
        <v>13000</v>
      </c>
      <c r="O84" s="56">
        <v>2.25</v>
      </c>
    </row>
    <row r="85" spans="1:15" s="49" customFormat="1" x14ac:dyDescent="0.2">
      <c r="A85" s="58"/>
      <c r="B85" s="50">
        <v>0.59236111111111112</v>
      </c>
      <c r="C85" s="51">
        <v>4</v>
      </c>
      <c r="D85" s="52" t="str">
        <f>IF(C85="", "",VLOOKUP(C85,Key!$A$5:$B$7,2,FALSE))</f>
        <v>Minibus, matatu</v>
      </c>
      <c r="E85" s="51"/>
      <c r="F85" s="51" t="s">
        <v>64</v>
      </c>
      <c r="G85" s="53" t="s">
        <v>69</v>
      </c>
      <c r="H85" s="53" t="s">
        <v>69</v>
      </c>
      <c r="I85" s="53"/>
      <c r="J85" s="53" t="s">
        <v>65</v>
      </c>
      <c r="K85" s="54" t="s">
        <v>65</v>
      </c>
      <c r="L85" s="29" t="str">
        <f t="shared" si="1"/>
        <v>BUSIA-TORORO</v>
      </c>
      <c r="M85" s="54">
        <v>14</v>
      </c>
      <c r="N85" s="55">
        <v>5000</v>
      </c>
      <c r="O85" s="56">
        <v>1.25</v>
      </c>
    </row>
    <row r="86" spans="1:15" s="49" customFormat="1" x14ac:dyDescent="0.2">
      <c r="A86" s="58"/>
      <c r="B86" s="50">
        <v>0.59375</v>
      </c>
      <c r="C86" s="51">
        <v>4</v>
      </c>
      <c r="D86" s="52" t="str">
        <f>IF(C86="", "",VLOOKUP(C86,Key!$A$5:$B$7,2,FALSE))</f>
        <v>Minibus, matatu</v>
      </c>
      <c r="E86" s="51"/>
      <c r="F86" s="51" t="s">
        <v>64</v>
      </c>
      <c r="G86" s="53" t="s">
        <v>67</v>
      </c>
      <c r="H86" s="53" t="s">
        <v>67</v>
      </c>
      <c r="I86" s="53"/>
      <c r="J86" s="53" t="s">
        <v>65</v>
      </c>
      <c r="K86" s="54" t="s">
        <v>65</v>
      </c>
      <c r="L86" s="29" t="str">
        <f t="shared" si="1"/>
        <v>JINJA-TORORO</v>
      </c>
      <c r="M86" s="54">
        <v>14</v>
      </c>
      <c r="N86" s="55">
        <v>13000</v>
      </c>
      <c r="O86" s="56">
        <v>2.25</v>
      </c>
    </row>
    <row r="87" spans="1:15" s="49" customFormat="1" x14ac:dyDescent="0.2">
      <c r="A87" s="58"/>
      <c r="B87" s="50">
        <v>0.59444444444444444</v>
      </c>
      <c r="C87" s="51">
        <v>4</v>
      </c>
      <c r="D87" s="52" t="str">
        <f>IF(C87="", "",VLOOKUP(C87,Key!$A$5:$B$7,2,FALSE))</f>
        <v>Minibus, matatu</v>
      </c>
      <c r="E87" s="51"/>
      <c r="F87" s="51" t="s">
        <v>64</v>
      </c>
      <c r="G87" s="53" t="s">
        <v>67</v>
      </c>
      <c r="H87" s="53" t="s">
        <v>67</v>
      </c>
      <c r="I87" s="53"/>
      <c r="J87" s="53" t="s">
        <v>65</v>
      </c>
      <c r="K87" s="54" t="s">
        <v>65</v>
      </c>
      <c r="L87" s="29" t="str">
        <f t="shared" si="1"/>
        <v>JINJA-TORORO</v>
      </c>
      <c r="M87" s="54">
        <v>14</v>
      </c>
      <c r="N87" s="55">
        <v>13000</v>
      </c>
      <c r="O87" s="56">
        <v>2.25</v>
      </c>
    </row>
    <row r="88" spans="1:15" s="49" customFormat="1" x14ac:dyDescent="0.2">
      <c r="A88" s="58"/>
      <c r="B88" s="50">
        <v>0.59652777777777777</v>
      </c>
      <c r="C88" s="51">
        <v>4</v>
      </c>
      <c r="D88" s="52" t="str">
        <f>IF(C88="", "",VLOOKUP(C88,Key!$A$5:$B$7,2,FALSE))</f>
        <v>Minibus, matatu</v>
      </c>
      <c r="E88" s="51"/>
      <c r="F88" s="51" t="s">
        <v>64</v>
      </c>
      <c r="G88" s="53" t="s">
        <v>66</v>
      </c>
      <c r="H88" s="53" t="s">
        <v>66</v>
      </c>
      <c r="I88" s="53"/>
      <c r="J88" s="53" t="s">
        <v>65</v>
      </c>
      <c r="K88" s="54" t="s">
        <v>65</v>
      </c>
      <c r="L88" s="29" t="str">
        <f t="shared" si="1"/>
        <v>MBALE-TORORO</v>
      </c>
      <c r="M88" s="54">
        <v>14</v>
      </c>
      <c r="N88" s="55">
        <v>5000</v>
      </c>
      <c r="O88" s="56">
        <v>1.89</v>
      </c>
    </row>
    <row r="89" spans="1:15" s="49" customFormat="1" x14ac:dyDescent="0.2">
      <c r="A89" s="58"/>
      <c r="B89" s="50">
        <v>0.59722222222222221</v>
      </c>
      <c r="C89" s="51">
        <v>4</v>
      </c>
      <c r="D89" s="52" t="str">
        <f>IF(C89="", "",VLOOKUP(C89,Key!$A$5:$B$7,2,FALSE))</f>
        <v>Minibus, matatu</v>
      </c>
      <c r="E89" s="51"/>
      <c r="F89" s="51" t="s">
        <v>64</v>
      </c>
      <c r="G89" s="53" t="s">
        <v>66</v>
      </c>
      <c r="H89" s="53" t="s">
        <v>66</v>
      </c>
      <c r="I89" s="53"/>
      <c r="J89" s="53" t="s">
        <v>65</v>
      </c>
      <c r="K89" s="54" t="s">
        <v>65</v>
      </c>
      <c r="L89" s="29" t="str">
        <f t="shared" si="1"/>
        <v>MBALE-TORORO</v>
      </c>
      <c r="M89" s="54">
        <v>14</v>
      </c>
      <c r="N89" s="55">
        <v>5000</v>
      </c>
      <c r="O89" s="56">
        <v>1.89</v>
      </c>
    </row>
    <row r="90" spans="1:15" s="49" customFormat="1" x14ac:dyDescent="0.2">
      <c r="A90" s="58"/>
      <c r="B90" s="57">
        <v>43693</v>
      </c>
      <c r="C90" s="51"/>
      <c r="D90" s="52"/>
      <c r="E90" s="51"/>
      <c r="F90" s="51"/>
      <c r="G90" s="53"/>
      <c r="H90" s="53"/>
      <c r="I90" s="53"/>
      <c r="J90" s="53"/>
      <c r="K90" s="54"/>
      <c r="L90" s="29" t="str">
        <f t="shared" si="1"/>
        <v>-</v>
      </c>
      <c r="M90" s="54"/>
      <c r="N90" s="55"/>
      <c r="O90" s="56"/>
    </row>
    <row r="91" spans="1:15" s="49" customFormat="1" x14ac:dyDescent="0.2">
      <c r="A91" s="58"/>
      <c r="B91" s="50">
        <v>0.32291666666666669</v>
      </c>
      <c r="C91" s="51">
        <v>4</v>
      </c>
      <c r="D91" s="52" t="str">
        <f>IF(C91="", "",VLOOKUP(C91,Key!$A$5:$B$7,2,FALSE))</f>
        <v>Minibus, matatu</v>
      </c>
      <c r="E91" s="51"/>
      <c r="F91" s="51" t="s">
        <v>64</v>
      </c>
      <c r="G91" s="53" t="s">
        <v>73</v>
      </c>
      <c r="H91" s="53" t="s">
        <v>73</v>
      </c>
      <c r="I91" s="53"/>
      <c r="J91" s="53" t="s">
        <v>65</v>
      </c>
      <c r="K91" s="54" t="s">
        <v>65</v>
      </c>
      <c r="L91" s="29" t="str">
        <f t="shared" si="1"/>
        <v>IGANGA-TORORO</v>
      </c>
      <c r="M91" s="54">
        <v>14</v>
      </c>
      <c r="N91" s="55">
        <v>10000</v>
      </c>
      <c r="O91" s="56">
        <v>1.8</v>
      </c>
    </row>
    <row r="92" spans="1:15" s="49" customFormat="1" x14ac:dyDescent="0.2">
      <c r="A92" s="58"/>
      <c r="B92" s="50">
        <v>0.33333333333333331</v>
      </c>
      <c r="C92" s="51">
        <v>4</v>
      </c>
      <c r="D92" s="52" t="str">
        <f>IF(C92="", "",VLOOKUP(C92,Key!$A$5:$B$7,2,FALSE))</f>
        <v>Minibus, matatu</v>
      </c>
      <c r="E92" s="51"/>
      <c r="F92" s="51" t="s">
        <v>64</v>
      </c>
      <c r="G92" s="53" t="s">
        <v>66</v>
      </c>
      <c r="H92" s="53" t="s">
        <v>66</v>
      </c>
      <c r="I92" s="53"/>
      <c r="J92" s="53" t="s">
        <v>65</v>
      </c>
      <c r="K92" s="54" t="s">
        <v>65</v>
      </c>
      <c r="L92" s="29" t="str">
        <f t="shared" si="1"/>
        <v>MBALE-TORORO</v>
      </c>
      <c r="M92" s="54">
        <v>14</v>
      </c>
      <c r="N92" s="55">
        <v>5000</v>
      </c>
      <c r="O92" s="56">
        <v>1.89</v>
      </c>
    </row>
    <row r="93" spans="1:15" s="49" customFormat="1" x14ac:dyDescent="0.2">
      <c r="A93" s="58"/>
      <c r="B93" s="50">
        <v>0.3833333333333333</v>
      </c>
      <c r="C93" s="51">
        <v>4</v>
      </c>
      <c r="D93" s="52" t="str">
        <f>IF(C93="", "",VLOOKUP(C93,Key!$A$5:$B$7,2,FALSE))</f>
        <v>Minibus, matatu</v>
      </c>
      <c r="E93" s="51"/>
      <c r="F93" s="51" t="s">
        <v>64</v>
      </c>
      <c r="G93" s="53" t="s">
        <v>66</v>
      </c>
      <c r="H93" s="53" t="s">
        <v>66</v>
      </c>
      <c r="I93" s="53"/>
      <c r="J93" s="53" t="s">
        <v>65</v>
      </c>
      <c r="K93" s="54" t="s">
        <v>65</v>
      </c>
      <c r="L93" s="29" t="str">
        <f t="shared" si="1"/>
        <v>MBALE-TORORO</v>
      </c>
      <c r="M93" s="54">
        <v>14</v>
      </c>
      <c r="N93" s="55">
        <v>5000</v>
      </c>
      <c r="O93" s="56">
        <v>1.89</v>
      </c>
    </row>
    <row r="94" spans="1:15" s="49" customFormat="1" x14ac:dyDescent="0.2">
      <c r="A94" s="58"/>
      <c r="B94" s="50">
        <v>0.3840277777777778</v>
      </c>
      <c r="C94" s="51">
        <v>4</v>
      </c>
      <c r="D94" s="52" t="str">
        <f>IF(C94="", "",VLOOKUP(C94,Key!$A$5:$B$7,2,FALSE))</f>
        <v>Minibus, matatu</v>
      </c>
      <c r="E94" s="51"/>
      <c r="F94" s="51" t="s">
        <v>64</v>
      </c>
      <c r="G94" s="53" t="s">
        <v>67</v>
      </c>
      <c r="H94" s="53" t="s">
        <v>67</v>
      </c>
      <c r="I94" s="53"/>
      <c r="J94" s="53" t="s">
        <v>65</v>
      </c>
      <c r="K94" s="54" t="s">
        <v>65</v>
      </c>
      <c r="L94" s="29" t="str">
        <f t="shared" si="1"/>
        <v>JINJA-TORORO</v>
      </c>
      <c r="M94" s="54">
        <v>14</v>
      </c>
      <c r="N94" s="55">
        <v>13000</v>
      </c>
      <c r="O94" s="56">
        <v>2.25</v>
      </c>
    </row>
    <row r="95" spans="1:15" s="49" customFormat="1" x14ac:dyDescent="0.2">
      <c r="A95" s="58"/>
      <c r="B95" s="50">
        <v>0.38472222222222219</v>
      </c>
      <c r="C95" s="51">
        <v>4</v>
      </c>
      <c r="D95" s="52" t="str">
        <f>IF(C95="", "",VLOOKUP(C95,Key!$A$5:$B$7,2,FALSE))</f>
        <v>Minibus, matatu</v>
      </c>
      <c r="E95" s="51"/>
      <c r="F95" s="51" t="s">
        <v>63</v>
      </c>
      <c r="G95" s="53" t="s">
        <v>65</v>
      </c>
      <c r="H95" s="53" t="s">
        <v>65</v>
      </c>
      <c r="I95" s="53"/>
      <c r="J95" s="53" t="s">
        <v>67</v>
      </c>
      <c r="K95" s="54" t="s">
        <v>67</v>
      </c>
      <c r="L95" s="29" t="str">
        <f t="shared" si="1"/>
        <v>TORORO-JINJA</v>
      </c>
      <c r="M95" s="54">
        <v>14</v>
      </c>
      <c r="N95" s="55">
        <v>13000</v>
      </c>
      <c r="O95" s="56">
        <v>2.25</v>
      </c>
    </row>
    <row r="96" spans="1:15" s="49" customFormat="1" x14ac:dyDescent="0.2">
      <c r="A96" s="58"/>
      <c r="B96" s="50">
        <v>0.39583333333333331</v>
      </c>
      <c r="C96" s="51">
        <v>4</v>
      </c>
      <c r="D96" s="52" t="str">
        <f>IF(C96="", "",VLOOKUP(C96,Key!$A$5:$B$7,2,FALSE))</f>
        <v>Minibus, matatu</v>
      </c>
      <c r="E96" s="51"/>
      <c r="F96" s="51" t="s">
        <v>64</v>
      </c>
      <c r="G96" s="53" t="s">
        <v>69</v>
      </c>
      <c r="H96" s="53" t="s">
        <v>69</v>
      </c>
      <c r="I96" s="53"/>
      <c r="J96" s="53" t="s">
        <v>65</v>
      </c>
      <c r="K96" s="54" t="s">
        <v>65</v>
      </c>
      <c r="L96" s="29" t="str">
        <f t="shared" si="1"/>
        <v>BUSIA-TORORO</v>
      </c>
      <c r="M96" s="54">
        <v>14</v>
      </c>
      <c r="N96" s="55">
        <v>5000</v>
      </c>
      <c r="O96" s="56">
        <v>1.25</v>
      </c>
    </row>
    <row r="97" spans="1:15" s="49" customFormat="1" x14ac:dyDescent="0.2">
      <c r="A97" s="58"/>
      <c r="B97" s="50">
        <v>0.39652777777777781</v>
      </c>
      <c r="C97" s="51">
        <v>4</v>
      </c>
      <c r="D97" s="52" t="str">
        <f>IF(C97="", "",VLOOKUP(C97,Key!$A$5:$B$7,2,FALSE))</f>
        <v>Minibus, matatu</v>
      </c>
      <c r="E97" s="51"/>
      <c r="F97" s="51" t="s">
        <v>64</v>
      </c>
      <c r="G97" s="53" t="s">
        <v>69</v>
      </c>
      <c r="H97" s="53" t="s">
        <v>69</v>
      </c>
      <c r="I97" s="53"/>
      <c r="J97" s="53" t="s">
        <v>65</v>
      </c>
      <c r="K97" s="54" t="s">
        <v>65</v>
      </c>
      <c r="L97" s="29" t="str">
        <f t="shared" si="1"/>
        <v>BUSIA-TORORO</v>
      </c>
      <c r="M97" s="54">
        <v>14</v>
      </c>
      <c r="N97" s="55">
        <v>5000</v>
      </c>
      <c r="O97" s="56">
        <v>1.25</v>
      </c>
    </row>
    <row r="98" spans="1:15" s="49" customFormat="1" x14ac:dyDescent="0.2">
      <c r="A98" s="58"/>
      <c r="B98" s="50">
        <v>0.40416666666666662</v>
      </c>
      <c r="C98" s="51">
        <v>4</v>
      </c>
      <c r="D98" s="52" t="str">
        <f>IF(C98="", "",VLOOKUP(C98,Key!$A$5:$B$7,2,FALSE))</f>
        <v>Minibus, matatu</v>
      </c>
      <c r="E98" s="51"/>
      <c r="F98" s="51" t="s">
        <v>64</v>
      </c>
      <c r="G98" s="53" t="s">
        <v>69</v>
      </c>
      <c r="H98" s="53" t="s">
        <v>69</v>
      </c>
      <c r="I98" s="53"/>
      <c r="J98" s="53" t="s">
        <v>65</v>
      </c>
      <c r="K98" s="54" t="s">
        <v>65</v>
      </c>
      <c r="L98" s="29" t="str">
        <f t="shared" si="1"/>
        <v>BUSIA-TORORO</v>
      </c>
      <c r="M98" s="54">
        <v>14</v>
      </c>
      <c r="N98" s="55">
        <v>5000</v>
      </c>
      <c r="O98" s="56">
        <v>1.25</v>
      </c>
    </row>
    <row r="99" spans="1:15" s="49" customFormat="1" x14ac:dyDescent="0.2">
      <c r="A99" s="58"/>
      <c r="B99" s="50">
        <v>0.40972222222222227</v>
      </c>
      <c r="C99" s="51">
        <v>4</v>
      </c>
      <c r="D99" s="52" t="str">
        <f>IF(C99="", "",VLOOKUP(C99,Key!$A$5:$B$7,2,FALSE))</f>
        <v>Minibus, matatu</v>
      </c>
      <c r="E99" s="51"/>
      <c r="F99" s="51" t="s">
        <v>64</v>
      </c>
      <c r="G99" s="53" t="s">
        <v>69</v>
      </c>
      <c r="H99" s="53" t="s">
        <v>69</v>
      </c>
      <c r="I99" s="53"/>
      <c r="J99" s="53" t="s">
        <v>65</v>
      </c>
      <c r="K99" s="54" t="s">
        <v>65</v>
      </c>
      <c r="L99" s="29" t="str">
        <f t="shared" si="1"/>
        <v>BUSIA-TORORO</v>
      </c>
      <c r="M99" s="54">
        <v>14</v>
      </c>
      <c r="N99" s="55">
        <v>5000</v>
      </c>
      <c r="O99" s="56">
        <v>1.25</v>
      </c>
    </row>
    <row r="100" spans="1:15" s="49" customFormat="1" x14ac:dyDescent="0.2">
      <c r="A100" s="58"/>
      <c r="B100" s="50">
        <v>0.41666666666666669</v>
      </c>
      <c r="C100" s="51">
        <v>4</v>
      </c>
      <c r="D100" s="52" t="str">
        <f>IF(C100="", "",VLOOKUP(C100,Key!$A$5:$B$7,2,FALSE))</f>
        <v>Minibus, matatu</v>
      </c>
      <c r="E100" s="51"/>
      <c r="F100" s="51" t="s">
        <v>64</v>
      </c>
      <c r="G100" s="53" t="s">
        <v>69</v>
      </c>
      <c r="H100" s="53" t="s">
        <v>69</v>
      </c>
      <c r="I100" s="53"/>
      <c r="J100" s="53" t="s">
        <v>65</v>
      </c>
      <c r="K100" s="54" t="s">
        <v>65</v>
      </c>
      <c r="L100" s="29" t="str">
        <f t="shared" si="1"/>
        <v>BUSIA-TORORO</v>
      </c>
      <c r="M100" s="54">
        <v>14</v>
      </c>
      <c r="N100" s="55">
        <v>5000</v>
      </c>
      <c r="O100" s="56">
        <v>1.25</v>
      </c>
    </row>
    <row r="101" spans="1:15" s="49" customFormat="1" x14ac:dyDescent="0.2">
      <c r="A101" s="58"/>
      <c r="B101" s="50">
        <v>0.41736111111111113</v>
      </c>
      <c r="C101" s="51">
        <v>4</v>
      </c>
      <c r="D101" s="52" t="str">
        <f>IF(C101="", "",VLOOKUP(C101,Key!$A$5:$B$7,2,FALSE))</f>
        <v>Minibus, matatu</v>
      </c>
      <c r="E101" s="51"/>
      <c r="F101" s="51" t="s">
        <v>64</v>
      </c>
      <c r="G101" s="53" t="s">
        <v>69</v>
      </c>
      <c r="H101" s="53" t="s">
        <v>69</v>
      </c>
      <c r="I101" s="53"/>
      <c r="J101" s="53" t="s">
        <v>65</v>
      </c>
      <c r="K101" s="54" t="s">
        <v>65</v>
      </c>
      <c r="L101" s="29" t="str">
        <f t="shared" si="1"/>
        <v>BUSIA-TORORO</v>
      </c>
      <c r="M101" s="54">
        <v>14</v>
      </c>
      <c r="N101" s="55">
        <v>5000</v>
      </c>
      <c r="O101" s="56">
        <v>1.25</v>
      </c>
    </row>
    <row r="102" spans="1:15" s="49" customFormat="1" x14ac:dyDescent="0.2">
      <c r="A102" s="58"/>
      <c r="B102" s="50">
        <v>0.4201388888888889</v>
      </c>
      <c r="C102" s="51">
        <v>4</v>
      </c>
      <c r="D102" s="52" t="str">
        <f>IF(C102="", "",VLOOKUP(C102,Key!$A$5:$B$7,2,FALSE))</f>
        <v>Minibus, matatu</v>
      </c>
      <c r="E102" s="51"/>
      <c r="F102" s="51" t="s">
        <v>64</v>
      </c>
      <c r="G102" s="53" t="s">
        <v>67</v>
      </c>
      <c r="H102" s="53" t="s">
        <v>67</v>
      </c>
      <c r="I102" s="53"/>
      <c r="J102" s="53" t="s">
        <v>65</v>
      </c>
      <c r="K102" s="54" t="s">
        <v>65</v>
      </c>
      <c r="L102" s="29" t="str">
        <f t="shared" si="1"/>
        <v>JINJA-TORORO</v>
      </c>
      <c r="M102" s="54">
        <v>14</v>
      </c>
      <c r="N102" s="55">
        <v>13000</v>
      </c>
      <c r="O102" s="56">
        <v>2.25</v>
      </c>
    </row>
    <row r="103" spans="1:15" s="49" customFormat="1" x14ac:dyDescent="0.2">
      <c r="A103" s="58"/>
      <c r="B103" s="50">
        <v>0.42222222222222222</v>
      </c>
      <c r="C103" s="51">
        <v>4</v>
      </c>
      <c r="D103" s="52" t="str">
        <f>IF(C103="", "",VLOOKUP(C103,Key!$A$5:$B$7,2,FALSE))</f>
        <v>Minibus, matatu</v>
      </c>
      <c r="E103" s="51"/>
      <c r="F103" s="51" t="s">
        <v>64</v>
      </c>
      <c r="G103" s="53" t="s">
        <v>69</v>
      </c>
      <c r="H103" s="53" t="s">
        <v>69</v>
      </c>
      <c r="I103" s="53"/>
      <c r="J103" s="53" t="s">
        <v>65</v>
      </c>
      <c r="K103" s="54" t="s">
        <v>65</v>
      </c>
      <c r="L103" s="29" t="str">
        <f t="shared" si="1"/>
        <v>BUSIA-TORORO</v>
      </c>
      <c r="M103" s="54">
        <v>14</v>
      </c>
      <c r="N103" s="55">
        <v>5000</v>
      </c>
      <c r="O103" s="56">
        <v>1.25</v>
      </c>
    </row>
    <row r="104" spans="1:15" s="49" customFormat="1" x14ac:dyDescent="0.2">
      <c r="A104" s="58"/>
      <c r="B104" s="50">
        <v>0.42430555555555555</v>
      </c>
      <c r="C104" s="51">
        <v>4</v>
      </c>
      <c r="D104" s="52" t="str">
        <f>IF(C104="", "",VLOOKUP(C104,Key!$A$5:$B$7,2,FALSE))</f>
        <v>Minibus, matatu</v>
      </c>
      <c r="E104" s="51"/>
      <c r="F104" s="51" t="s">
        <v>64</v>
      </c>
      <c r="G104" s="53" t="s">
        <v>69</v>
      </c>
      <c r="H104" s="53" t="s">
        <v>69</v>
      </c>
      <c r="I104" s="53"/>
      <c r="J104" s="53" t="s">
        <v>65</v>
      </c>
      <c r="K104" s="54" t="s">
        <v>65</v>
      </c>
      <c r="L104" s="29" t="str">
        <f t="shared" si="1"/>
        <v>BUSIA-TORORO</v>
      </c>
      <c r="M104" s="54">
        <v>14</v>
      </c>
      <c r="N104" s="55">
        <v>5000</v>
      </c>
      <c r="O104" s="56">
        <v>1.25</v>
      </c>
    </row>
    <row r="105" spans="1:15" s="49" customFormat="1" x14ac:dyDescent="0.2">
      <c r="A105" s="58"/>
      <c r="B105" s="50">
        <v>0.42708333333333331</v>
      </c>
      <c r="C105" s="51">
        <v>4</v>
      </c>
      <c r="D105" s="52" t="str">
        <f>IF(C105="", "",VLOOKUP(C105,Key!$A$5:$B$7,2,FALSE))</f>
        <v>Minibus, matatu</v>
      </c>
      <c r="E105" s="51"/>
      <c r="F105" s="51" t="s">
        <v>64</v>
      </c>
      <c r="G105" s="53" t="s">
        <v>68</v>
      </c>
      <c r="H105" s="53" t="s">
        <v>68</v>
      </c>
      <c r="I105" s="53"/>
      <c r="J105" s="53" t="s">
        <v>65</v>
      </c>
      <c r="K105" s="54" t="s">
        <v>65</v>
      </c>
      <c r="L105" s="29" t="str">
        <f t="shared" si="1"/>
        <v>KAMPALA-TORORO</v>
      </c>
      <c r="M105" s="54">
        <v>14</v>
      </c>
      <c r="N105" s="55">
        <v>18000</v>
      </c>
      <c r="O105" s="56">
        <v>4.8</v>
      </c>
    </row>
    <row r="106" spans="1:15" s="49" customFormat="1" x14ac:dyDescent="0.2">
      <c r="A106" s="58"/>
      <c r="B106" s="50">
        <v>0.43124999999999997</v>
      </c>
      <c r="C106" s="51">
        <v>4</v>
      </c>
      <c r="D106" s="52" t="str">
        <f>IF(C106="", "",VLOOKUP(C106,Key!$A$5:$B$7,2,FALSE))</f>
        <v>Minibus, matatu</v>
      </c>
      <c r="E106" s="51"/>
      <c r="F106" s="51" t="s">
        <v>63</v>
      </c>
      <c r="G106" s="53" t="s">
        <v>65</v>
      </c>
      <c r="H106" s="53" t="s">
        <v>65</v>
      </c>
      <c r="I106" s="53"/>
      <c r="J106" s="53" t="s">
        <v>66</v>
      </c>
      <c r="K106" s="54" t="s">
        <v>66</v>
      </c>
      <c r="L106" s="29" t="str">
        <f t="shared" si="1"/>
        <v>TORORO-MBALE</v>
      </c>
      <c r="M106" s="54">
        <v>14</v>
      </c>
      <c r="N106" s="55">
        <v>5000</v>
      </c>
      <c r="O106" s="56">
        <v>1.9</v>
      </c>
    </row>
    <row r="107" spans="1:15" s="49" customFormat="1" x14ac:dyDescent="0.2">
      <c r="A107" s="58"/>
      <c r="B107" s="50">
        <v>0.43402777777777773</v>
      </c>
      <c r="C107" s="51">
        <v>4</v>
      </c>
      <c r="D107" s="52" t="str">
        <f>IF(C107="", "",VLOOKUP(C107,Key!$A$5:$B$7,2,FALSE))</f>
        <v>Minibus, matatu</v>
      </c>
      <c r="E107" s="51"/>
      <c r="F107" s="51" t="s">
        <v>64</v>
      </c>
      <c r="G107" s="53" t="s">
        <v>66</v>
      </c>
      <c r="H107" s="53" t="s">
        <v>66</v>
      </c>
      <c r="I107" s="53"/>
      <c r="J107" s="53" t="s">
        <v>65</v>
      </c>
      <c r="K107" s="54" t="s">
        <v>65</v>
      </c>
      <c r="L107" s="29" t="str">
        <f t="shared" si="1"/>
        <v>MBALE-TORORO</v>
      </c>
      <c r="M107" s="54">
        <v>14</v>
      </c>
      <c r="N107" s="55">
        <v>5000</v>
      </c>
      <c r="O107" s="56">
        <v>1.89</v>
      </c>
    </row>
    <row r="108" spans="1:15" s="49" customFormat="1" x14ac:dyDescent="0.2">
      <c r="A108" s="58"/>
      <c r="B108" s="50">
        <v>0.4375</v>
      </c>
      <c r="C108" s="51">
        <v>4</v>
      </c>
      <c r="D108" s="52" t="str">
        <f>IF(C108="", "",VLOOKUP(C108,Key!$A$5:$B$7,2,FALSE))</f>
        <v>Minibus, matatu</v>
      </c>
      <c r="E108" s="51"/>
      <c r="F108" s="51" t="s">
        <v>64</v>
      </c>
      <c r="G108" s="53" t="s">
        <v>68</v>
      </c>
      <c r="H108" s="53" t="s">
        <v>68</v>
      </c>
      <c r="I108" s="53"/>
      <c r="J108" s="53" t="s">
        <v>65</v>
      </c>
      <c r="K108" s="54" t="s">
        <v>65</v>
      </c>
      <c r="L108" s="29" t="str">
        <f t="shared" si="1"/>
        <v>KAMPALA-TORORO</v>
      </c>
      <c r="M108" s="54">
        <v>14</v>
      </c>
      <c r="N108" s="55">
        <v>18000</v>
      </c>
      <c r="O108" s="56">
        <v>4.8</v>
      </c>
    </row>
    <row r="109" spans="1:15" s="49" customFormat="1" x14ac:dyDescent="0.2">
      <c r="A109" s="58"/>
      <c r="B109" s="50">
        <v>0.4465277777777778</v>
      </c>
      <c r="C109" s="51">
        <v>4</v>
      </c>
      <c r="D109" s="52" t="str">
        <f>IF(C109="", "",VLOOKUP(C109,Key!$A$5:$B$7,2,FALSE))</f>
        <v>Minibus, matatu</v>
      </c>
      <c r="E109" s="51"/>
      <c r="F109" s="51" t="s">
        <v>64</v>
      </c>
      <c r="G109" s="53" t="s">
        <v>68</v>
      </c>
      <c r="H109" s="53" t="s">
        <v>68</v>
      </c>
      <c r="I109" s="53"/>
      <c r="J109" s="53" t="s">
        <v>65</v>
      </c>
      <c r="K109" s="54" t="s">
        <v>65</v>
      </c>
      <c r="L109" s="29" t="str">
        <f t="shared" si="1"/>
        <v>KAMPALA-TORORO</v>
      </c>
      <c r="M109" s="54">
        <v>14</v>
      </c>
      <c r="N109" s="55">
        <v>18000</v>
      </c>
      <c r="O109" s="56">
        <v>4.8</v>
      </c>
    </row>
    <row r="110" spans="1:15" s="49" customFormat="1" x14ac:dyDescent="0.2">
      <c r="A110" s="58"/>
      <c r="B110" s="50">
        <v>0.45694444444444443</v>
      </c>
      <c r="C110" s="51">
        <v>4</v>
      </c>
      <c r="D110" s="52" t="str">
        <f>IF(C110="", "",VLOOKUP(C110,Key!$A$5:$B$7,2,FALSE))</f>
        <v>Minibus, matatu</v>
      </c>
      <c r="E110" s="51"/>
      <c r="F110" s="51" t="s">
        <v>64</v>
      </c>
      <c r="G110" s="53" t="s">
        <v>68</v>
      </c>
      <c r="H110" s="53" t="s">
        <v>68</v>
      </c>
      <c r="I110" s="53"/>
      <c r="J110" s="53" t="s">
        <v>65</v>
      </c>
      <c r="K110" s="54" t="s">
        <v>65</v>
      </c>
      <c r="L110" s="29" t="str">
        <f t="shared" si="1"/>
        <v>KAMPALA-TORORO</v>
      </c>
      <c r="M110" s="54">
        <v>14</v>
      </c>
      <c r="N110" s="55">
        <v>18000</v>
      </c>
      <c r="O110" s="56">
        <v>4.8</v>
      </c>
    </row>
    <row r="111" spans="1:15" s="49" customFormat="1" x14ac:dyDescent="0.2">
      <c r="A111" s="58"/>
      <c r="B111" s="50">
        <v>0.45833333333333331</v>
      </c>
      <c r="C111" s="51">
        <v>4</v>
      </c>
      <c r="D111" s="52" t="str">
        <f>IF(C111="", "",VLOOKUP(C111,Key!$A$5:$B$7,2,FALSE))</f>
        <v>Minibus, matatu</v>
      </c>
      <c r="E111" s="51"/>
      <c r="F111" s="51" t="s">
        <v>64</v>
      </c>
      <c r="G111" s="53" t="s">
        <v>68</v>
      </c>
      <c r="H111" s="53" t="s">
        <v>68</v>
      </c>
      <c r="I111" s="53"/>
      <c r="J111" s="53" t="s">
        <v>65</v>
      </c>
      <c r="K111" s="54" t="s">
        <v>65</v>
      </c>
      <c r="L111" s="29" t="str">
        <f t="shared" si="1"/>
        <v>KAMPALA-TORORO</v>
      </c>
      <c r="M111" s="54">
        <v>14</v>
      </c>
      <c r="N111" s="55">
        <v>18000</v>
      </c>
      <c r="O111" s="56">
        <v>4.8</v>
      </c>
    </row>
    <row r="112" spans="1:15" s="49" customFormat="1" x14ac:dyDescent="0.2">
      <c r="A112" s="58"/>
      <c r="B112" s="50">
        <v>0.46249999999999997</v>
      </c>
      <c r="C112" s="51">
        <v>4</v>
      </c>
      <c r="D112" s="52" t="str">
        <f>IF(C112="", "",VLOOKUP(C112,Key!$A$5:$B$7,2,FALSE))</f>
        <v>Minibus, matatu</v>
      </c>
      <c r="E112" s="51"/>
      <c r="F112" s="51" t="s">
        <v>64</v>
      </c>
      <c r="G112" s="53" t="s">
        <v>68</v>
      </c>
      <c r="H112" s="53" t="s">
        <v>68</v>
      </c>
      <c r="I112" s="53"/>
      <c r="J112" s="53" t="s">
        <v>65</v>
      </c>
      <c r="K112" s="54" t="s">
        <v>65</v>
      </c>
      <c r="L112" s="29" t="str">
        <f t="shared" si="1"/>
        <v>KAMPALA-TORORO</v>
      </c>
      <c r="M112" s="54">
        <v>14</v>
      </c>
      <c r="N112" s="55">
        <v>18000</v>
      </c>
      <c r="O112" s="56">
        <v>4.8</v>
      </c>
    </row>
    <row r="113" spans="1:15" s="49" customFormat="1" x14ac:dyDescent="0.2">
      <c r="A113" s="58"/>
      <c r="B113" s="50">
        <v>0.46527777777777773</v>
      </c>
      <c r="C113" s="51">
        <v>4</v>
      </c>
      <c r="D113" s="52" t="str">
        <f>IF(C113="", "",VLOOKUP(C113,Key!$A$5:$B$7,2,FALSE))</f>
        <v>Minibus, matatu</v>
      </c>
      <c r="E113" s="51"/>
      <c r="F113" s="51" t="s">
        <v>64</v>
      </c>
      <c r="G113" s="53" t="s">
        <v>66</v>
      </c>
      <c r="H113" s="53" t="s">
        <v>66</v>
      </c>
      <c r="I113" s="53"/>
      <c r="J113" s="53" t="s">
        <v>65</v>
      </c>
      <c r="K113" s="54" t="s">
        <v>65</v>
      </c>
      <c r="L113" s="29" t="str">
        <f t="shared" si="1"/>
        <v>MBALE-TORORO</v>
      </c>
      <c r="M113" s="54">
        <v>14</v>
      </c>
      <c r="N113" s="55">
        <v>5000</v>
      </c>
      <c r="O113" s="56">
        <v>1.89</v>
      </c>
    </row>
    <row r="114" spans="1:15" s="49" customFormat="1" x14ac:dyDescent="0.2">
      <c r="A114" s="58"/>
      <c r="B114" s="50">
        <v>0.46666666666666662</v>
      </c>
      <c r="C114" s="51">
        <v>4</v>
      </c>
      <c r="D114" s="52" t="str">
        <f>IF(C114="", "",VLOOKUP(C114,Key!$A$5:$B$7,2,FALSE))</f>
        <v>Minibus, matatu</v>
      </c>
      <c r="E114" s="51"/>
      <c r="F114" s="51" t="s">
        <v>63</v>
      </c>
      <c r="G114" s="53" t="s">
        <v>65</v>
      </c>
      <c r="H114" s="53" t="s">
        <v>65</v>
      </c>
      <c r="I114" s="53"/>
      <c r="J114" s="53" t="s">
        <v>68</v>
      </c>
      <c r="K114" s="54" t="s">
        <v>68</v>
      </c>
      <c r="L114" s="29" t="str">
        <f t="shared" si="1"/>
        <v>TORORO-KAMPALA</v>
      </c>
      <c r="M114" s="54">
        <v>14</v>
      </c>
      <c r="N114" s="55">
        <v>18000</v>
      </c>
      <c r="O114" s="56">
        <v>4.8</v>
      </c>
    </row>
    <row r="115" spans="1:15" s="49" customFormat="1" x14ac:dyDescent="0.2">
      <c r="A115" s="58"/>
      <c r="B115" s="50">
        <v>0.47430555555555554</v>
      </c>
      <c r="C115" s="51">
        <v>4</v>
      </c>
      <c r="D115" s="52" t="str">
        <f>IF(C115="", "",VLOOKUP(C115,Key!$A$5:$B$7,2,FALSE))</f>
        <v>Minibus, matatu</v>
      </c>
      <c r="E115" s="51"/>
      <c r="F115" s="51" t="s">
        <v>64</v>
      </c>
      <c r="G115" s="53" t="s">
        <v>66</v>
      </c>
      <c r="H115" s="53" t="s">
        <v>66</v>
      </c>
      <c r="I115" s="53"/>
      <c r="J115" s="53" t="s">
        <v>67</v>
      </c>
      <c r="K115" s="54" t="s">
        <v>67</v>
      </c>
      <c r="L115" s="29" t="str">
        <f t="shared" si="1"/>
        <v>MBALE-JINJA</v>
      </c>
      <c r="M115" s="54">
        <v>14</v>
      </c>
      <c r="N115" s="55">
        <v>15000</v>
      </c>
      <c r="O115" s="56">
        <v>2.4500000000000002</v>
      </c>
    </row>
    <row r="116" spans="1:15" s="49" customFormat="1" x14ac:dyDescent="0.2">
      <c r="A116" s="58"/>
      <c r="B116" s="50">
        <v>0.47638888888888892</v>
      </c>
      <c r="C116" s="51">
        <v>4</v>
      </c>
      <c r="D116" s="52" t="str">
        <f>IF(C116="", "",VLOOKUP(C116,Key!$A$5:$B$7,2,FALSE))</f>
        <v>Minibus, matatu</v>
      </c>
      <c r="E116" s="51"/>
      <c r="F116" s="51" t="s">
        <v>64</v>
      </c>
      <c r="G116" s="53" t="s">
        <v>67</v>
      </c>
      <c r="H116" s="53" t="s">
        <v>67</v>
      </c>
      <c r="I116" s="53"/>
      <c r="J116" s="53" t="s">
        <v>65</v>
      </c>
      <c r="K116" s="54" t="s">
        <v>65</v>
      </c>
      <c r="L116" s="29" t="str">
        <f t="shared" si="1"/>
        <v>JINJA-TORORO</v>
      </c>
      <c r="M116" s="54">
        <v>14</v>
      </c>
      <c r="N116" s="55">
        <v>13000</v>
      </c>
      <c r="O116" s="56">
        <v>2.25</v>
      </c>
    </row>
    <row r="117" spans="1:15" s="49" customFormat="1" x14ac:dyDescent="0.2">
      <c r="A117" s="58"/>
      <c r="B117" s="50">
        <v>0.4770833333333333</v>
      </c>
      <c r="C117" s="51">
        <v>4</v>
      </c>
      <c r="D117" s="52" t="str">
        <f>IF(C117="", "",VLOOKUP(C117,Key!$A$5:$B$7,2,FALSE))</f>
        <v>Minibus, matatu</v>
      </c>
      <c r="E117" s="51"/>
      <c r="F117" s="51" t="s">
        <v>64</v>
      </c>
      <c r="G117" s="53" t="s">
        <v>67</v>
      </c>
      <c r="H117" s="53" t="s">
        <v>67</v>
      </c>
      <c r="I117" s="53"/>
      <c r="J117" s="53" t="s">
        <v>65</v>
      </c>
      <c r="K117" s="54" t="s">
        <v>65</v>
      </c>
      <c r="L117" s="29" t="str">
        <f t="shared" si="1"/>
        <v>JINJA-TORORO</v>
      </c>
      <c r="M117" s="54">
        <v>14</v>
      </c>
      <c r="N117" s="55">
        <v>13000</v>
      </c>
      <c r="O117" s="56">
        <v>2.25</v>
      </c>
    </row>
    <row r="118" spans="1:15" s="49" customFormat="1" x14ac:dyDescent="0.2">
      <c r="A118" s="58"/>
      <c r="B118" s="50">
        <v>0.4826388888888889</v>
      </c>
      <c r="C118" s="51">
        <v>4</v>
      </c>
      <c r="D118" s="52" t="str">
        <f>IF(C118="", "",VLOOKUP(C118,Key!$A$5:$B$7,2,FALSE))</f>
        <v>Minibus, matatu</v>
      </c>
      <c r="E118" s="51"/>
      <c r="F118" s="51" t="s">
        <v>63</v>
      </c>
      <c r="G118" s="53" t="s">
        <v>65</v>
      </c>
      <c r="H118" s="53" t="s">
        <v>65</v>
      </c>
      <c r="I118" s="53"/>
      <c r="J118" s="53" t="s">
        <v>66</v>
      </c>
      <c r="K118" s="54" t="s">
        <v>66</v>
      </c>
      <c r="L118" s="29" t="str">
        <f t="shared" si="1"/>
        <v>TORORO-MBALE</v>
      </c>
      <c r="M118" s="54">
        <v>14</v>
      </c>
      <c r="N118" s="55">
        <v>5000</v>
      </c>
      <c r="O118" s="56">
        <v>1.9</v>
      </c>
    </row>
    <row r="119" spans="1:15" s="49" customFormat="1" x14ac:dyDescent="0.2">
      <c r="A119" s="58"/>
      <c r="B119" s="50">
        <v>0.48402777777777778</v>
      </c>
      <c r="C119" s="51">
        <v>4</v>
      </c>
      <c r="D119" s="52" t="str">
        <f>IF(C119="", "",VLOOKUP(C119,Key!$A$5:$B$7,2,FALSE))</f>
        <v>Minibus, matatu</v>
      </c>
      <c r="E119" s="51"/>
      <c r="F119" s="51" t="s">
        <v>64</v>
      </c>
      <c r="G119" s="53" t="s">
        <v>66</v>
      </c>
      <c r="H119" s="53" t="s">
        <v>66</v>
      </c>
      <c r="I119" s="53"/>
      <c r="J119" s="53" t="s">
        <v>65</v>
      </c>
      <c r="K119" s="54" t="s">
        <v>65</v>
      </c>
      <c r="L119" s="29" t="str">
        <f t="shared" si="1"/>
        <v>MBALE-TORORO</v>
      </c>
      <c r="M119" s="54">
        <v>14</v>
      </c>
      <c r="N119" s="55">
        <v>5000</v>
      </c>
      <c r="O119" s="56">
        <v>1.89</v>
      </c>
    </row>
    <row r="120" spans="1:15" s="49" customFormat="1" x14ac:dyDescent="0.2">
      <c r="A120" s="58"/>
      <c r="B120" s="50">
        <v>0.4861111111111111</v>
      </c>
      <c r="C120" s="51">
        <v>4</v>
      </c>
      <c r="D120" s="52" t="str">
        <f>IF(C120="", "",VLOOKUP(C120,Key!$A$5:$B$7,2,FALSE))</f>
        <v>Minibus, matatu</v>
      </c>
      <c r="E120" s="51"/>
      <c r="F120" s="51" t="s">
        <v>64</v>
      </c>
      <c r="G120" s="53" t="s">
        <v>67</v>
      </c>
      <c r="H120" s="53" t="s">
        <v>67</v>
      </c>
      <c r="I120" s="53"/>
      <c r="J120" s="53" t="s">
        <v>65</v>
      </c>
      <c r="K120" s="54" t="s">
        <v>65</v>
      </c>
      <c r="L120" s="29" t="str">
        <f t="shared" si="1"/>
        <v>JINJA-TORORO</v>
      </c>
      <c r="M120" s="54">
        <v>14</v>
      </c>
      <c r="N120" s="55">
        <v>13000</v>
      </c>
      <c r="O120" s="56">
        <v>2.25</v>
      </c>
    </row>
    <row r="121" spans="1:15" s="49" customFormat="1" x14ac:dyDescent="0.2">
      <c r="A121" s="58"/>
      <c r="B121" s="50">
        <v>0.48749999999999999</v>
      </c>
      <c r="C121" s="51">
        <v>4</v>
      </c>
      <c r="D121" s="52" t="str">
        <f>IF(C121="", "",VLOOKUP(C121,Key!$A$5:$B$7,2,FALSE))</f>
        <v>Minibus, matatu</v>
      </c>
      <c r="E121" s="51"/>
      <c r="F121" s="51" t="s">
        <v>64</v>
      </c>
      <c r="G121" s="53" t="s">
        <v>66</v>
      </c>
      <c r="H121" s="53" t="s">
        <v>66</v>
      </c>
      <c r="I121" s="53"/>
      <c r="J121" s="53" t="s">
        <v>65</v>
      </c>
      <c r="K121" s="54" t="s">
        <v>65</v>
      </c>
      <c r="L121" s="29" t="str">
        <f t="shared" si="1"/>
        <v>MBALE-TORORO</v>
      </c>
      <c r="M121" s="54">
        <v>14</v>
      </c>
      <c r="N121" s="55">
        <v>5000</v>
      </c>
      <c r="O121" s="56">
        <v>1.89</v>
      </c>
    </row>
    <row r="122" spans="1:15" s="49" customFormat="1" x14ac:dyDescent="0.2">
      <c r="A122" s="58"/>
      <c r="B122" s="50">
        <v>0.48958333333333331</v>
      </c>
      <c r="C122" s="51">
        <v>4</v>
      </c>
      <c r="D122" s="52" t="str">
        <f>IF(C122="", "",VLOOKUP(C122,Key!$A$5:$B$7,2,FALSE))</f>
        <v>Minibus, matatu</v>
      </c>
      <c r="E122" s="51"/>
      <c r="F122" s="51" t="s">
        <v>64</v>
      </c>
      <c r="G122" s="53" t="s">
        <v>66</v>
      </c>
      <c r="H122" s="53" t="s">
        <v>66</v>
      </c>
      <c r="I122" s="53"/>
      <c r="J122" s="53" t="s">
        <v>65</v>
      </c>
      <c r="K122" s="54" t="s">
        <v>65</v>
      </c>
      <c r="L122" s="29" t="str">
        <f t="shared" si="1"/>
        <v>MBALE-TORORO</v>
      </c>
      <c r="M122" s="54">
        <v>14</v>
      </c>
      <c r="N122" s="55">
        <v>5000</v>
      </c>
      <c r="O122" s="56">
        <v>1.89</v>
      </c>
    </row>
    <row r="123" spans="1:15" s="49" customFormat="1" x14ac:dyDescent="0.2">
      <c r="A123" s="58"/>
      <c r="B123" s="50">
        <v>0.49027777777777781</v>
      </c>
      <c r="C123" s="51">
        <v>4</v>
      </c>
      <c r="D123" s="52" t="str">
        <f>IF(C123="", "",VLOOKUP(C123,Key!$A$5:$B$7,2,FALSE))</f>
        <v>Minibus, matatu</v>
      </c>
      <c r="E123" s="51"/>
      <c r="F123" s="51" t="s">
        <v>64</v>
      </c>
      <c r="G123" s="53" t="s">
        <v>73</v>
      </c>
      <c r="H123" s="53" t="s">
        <v>73</v>
      </c>
      <c r="I123" s="53"/>
      <c r="J123" s="53" t="s">
        <v>65</v>
      </c>
      <c r="K123" s="54" t="s">
        <v>65</v>
      </c>
      <c r="L123" s="29" t="str">
        <f t="shared" si="1"/>
        <v>IGANGA-TORORO</v>
      </c>
      <c r="M123" s="54">
        <v>14</v>
      </c>
      <c r="N123" s="55">
        <v>10000</v>
      </c>
      <c r="O123" s="56">
        <v>1.8</v>
      </c>
    </row>
    <row r="124" spans="1:15" s="49" customFormat="1" x14ac:dyDescent="0.2">
      <c r="A124" s="58"/>
      <c r="B124" s="50">
        <v>0.49305555555555558</v>
      </c>
      <c r="C124" s="51">
        <v>4</v>
      </c>
      <c r="D124" s="52" t="str">
        <f>IF(C124="", "",VLOOKUP(C124,Key!$A$5:$B$7,2,FALSE))</f>
        <v>Minibus, matatu</v>
      </c>
      <c r="E124" s="51"/>
      <c r="F124" s="51" t="s">
        <v>64</v>
      </c>
      <c r="G124" s="53" t="s">
        <v>66</v>
      </c>
      <c r="H124" s="53" t="s">
        <v>66</v>
      </c>
      <c r="I124" s="53"/>
      <c r="J124" s="53" t="s">
        <v>65</v>
      </c>
      <c r="K124" s="54" t="s">
        <v>65</v>
      </c>
      <c r="L124" s="29" t="str">
        <f t="shared" si="1"/>
        <v>MBALE-TORORO</v>
      </c>
      <c r="M124" s="54">
        <v>14</v>
      </c>
      <c r="N124" s="55">
        <v>5000</v>
      </c>
      <c r="O124" s="56">
        <v>1.89</v>
      </c>
    </row>
    <row r="125" spans="1:15" s="49" customFormat="1" x14ac:dyDescent="0.2">
      <c r="A125" s="58"/>
      <c r="B125" s="50">
        <v>0.49374999999999997</v>
      </c>
      <c r="C125" s="51">
        <v>4</v>
      </c>
      <c r="D125" s="52" t="str">
        <f>IF(C125="", "",VLOOKUP(C125,Key!$A$5:$B$7,2,FALSE))</f>
        <v>Minibus, matatu</v>
      </c>
      <c r="E125" s="51"/>
      <c r="F125" s="51" t="s">
        <v>64</v>
      </c>
      <c r="G125" s="53" t="s">
        <v>67</v>
      </c>
      <c r="H125" s="53" t="s">
        <v>67</v>
      </c>
      <c r="I125" s="53"/>
      <c r="J125" s="53" t="s">
        <v>65</v>
      </c>
      <c r="K125" s="54" t="s">
        <v>65</v>
      </c>
      <c r="L125" s="29" t="str">
        <f t="shared" si="1"/>
        <v>JINJA-TORORO</v>
      </c>
      <c r="M125" s="54">
        <v>14</v>
      </c>
      <c r="N125" s="55">
        <v>13000</v>
      </c>
      <c r="O125" s="56">
        <v>2.25</v>
      </c>
    </row>
    <row r="126" spans="1:15" s="49" customFormat="1" x14ac:dyDescent="0.2">
      <c r="A126" s="58"/>
      <c r="B126" s="50">
        <v>0.49444444444444446</v>
      </c>
      <c r="C126" s="51">
        <v>4</v>
      </c>
      <c r="D126" s="52" t="str">
        <f>IF(C126="", "",VLOOKUP(C126,Key!$A$5:$B$7,2,FALSE))</f>
        <v>Minibus, matatu</v>
      </c>
      <c r="E126" s="51"/>
      <c r="F126" s="51" t="s">
        <v>64</v>
      </c>
      <c r="G126" s="53" t="s">
        <v>66</v>
      </c>
      <c r="H126" s="53" t="s">
        <v>66</v>
      </c>
      <c r="I126" s="53"/>
      <c r="J126" s="53" t="s">
        <v>65</v>
      </c>
      <c r="K126" s="54" t="s">
        <v>65</v>
      </c>
      <c r="L126" s="29" t="str">
        <f t="shared" si="1"/>
        <v>MBALE-TORORO</v>
      </c>
      <c r="M126" s="54">
        <v>14</v>
      </c>
      <c r="N126" s="55">
        <v>5000</v>
      </c>
      <c r="O126" s="56">
        <v>1.89</v>
      </c>
    </row>
    <row r="127" spans="1:15" s="49" customFormat="1" x14ac:dyDescent="0.2">
      <c r="A127" s="58"/>
      <c r="B127" s="50">
        <v>0.49722222222222223</v>
      </c>
      <c r="C127" s="51">
        <v>4</v>
      </c>
      <c r="D127" s="52" t="str">
        <f>IF(C127="", "",VLOOKUP(C127,Key!$A$5:$B$7,2,FALSE))</f>
        <v>Minibus, matatu</v>
      </c>
      <c r="E127" s="51"/>
      <c r="F127" s="51" t="s">
        <v>64</v>
      </c>
      <c r="G127" s="53" t="s">
        <v>66</v>
      </c>
      <c r="H127" s="53" t="s">
        <v>66</v>
      </c>
      <c r="I127" s="53"/>
      <c r="J127" s="53" t="s">
        <v>65</v>
      </c>
      <c r="K127" s="54" t="s">
        <v>65</v>
      </c>
      <c r="L127" s="29" t="str">
        <f t="shared" si="1"/>
        <v>MBALE-TORORO</v>
      </c>
      <c r="M127" s="54">
        <v>14</v>
      </c>
      <c r="N127" s="55">
        <v>5000</v>
      </c>
      <c r="O127" s="56">
        <v>1.89</v>
      </c>
    </row>
    <row r="128" spans="1:15" s="49" customFormat="1" x14ac:dyDescent="0.2">
      <c r="A128" s="58"/>
      <c r="B128" s="50">
        <v>0.4993055555555555</v>
      </c>
      <c r="C128" s="51">
        <v>4</v>
      </c>
      <c r="D128" s="52" t="str">
        <f>IF(C128="", "",VLOOKUP(C128,Key!$A$5:$B$7,2,FALSE))</f>
        <v>Minibus, matatu</v>
      </c>
      <c r="E128" s="51"/>
      <c r="F128" s="51" t="s">
        <v>64</v>
      </c>
      <c r="G128" s="53" t="s">
        <v>73</v>
      </c>
      <c r="H128" s="53" t="s">
        <v>73</v>
      </c>
      <c r="I128" s="53"/>
      <c r="J128" s="53" t="s">
        <v>65</v>
      </c>
      <c r="K128" s="54" t="s">
        <v>65</v>
      </c>
      <c r="L128" s="29" t="str">
        <f t="shared" si="1"/>
        <v>IGANGA-TORORO</v>
      </c>
      <c r="M128" s="54">
        <v>14</v>
      </c>
      <c r="N128" s="55">
        <v>10000</v>
      </c>
      <c r="O128" s="56">
        <v>1.8</v>
      </c>
    </row>
    <row r="129" spans="1:15" s="49" customFormat="1" x14ac:dyDescent="0.2">
      <c r="A129" s="58"/>
      <c r="B129" s="50">
        <v>0.5</v>
      </c>
      <c r="C129" s="51">
        <v>4</v>
      </c>
      <c r="D129" s="52" t="str">
        <f>IF(C129="", "",VLOOKUP(C129,Key!$A$5:$B$7,2,FALSE))</f>
        <v>Minibus, matatu</v>
      </c>
      <c r="E129" s="51"/>
      <c r="F129" s="51" t="s">
        <v>64</v>
      </c>
      <c r="G129" s="53" t="s">
        <v>73</v>
      </c>
      <c r="H129" s="53" t="s">
        <v>73</v>
      </c>
      <c r="I129" s="53"/>
      <c r="J129" s="53" t="s">
        <v>65</v>
      </c>
      <c r="K129" s="54" t="s">
        <v>65</v>
      </c>
      <c r="L129" s="29" t="str">
        <f t="shared" si="1"/>
        <v>IGANGA-TORORO</v>
      </c>
      <c r="M129" s="54">
        <v>14</v>
      </c>
      <c r="N129" s="55">
        <v>10000</v>
      </c>
      <c r="O129" s="56">
        <v>1.8</v>
      </c>
    </row>
    <row r="130" spans="1:15" s="49" customFormat="1" x14ac:dyDescent="0.2">
      <c r="A130" s="58"/>
      <c r="B130" s="50">
        <v>0.50486111111111109</v>
      </c>
      <c r="C130" s="51">
        <v>4</v>
      </c>
      <c r="D130" s="52" t="str">
        <f>IF(C130="", "",VLOOKUP(C130,Key!$A$5:$B$7,2,FALSE))</f>
        <v>Minibus, matatu</v>
      </c>
      <c r="E130" s="51"/>
      <c r="F130" s="51" t="s">
        <v>64</v>
      </c>
      <c r="G130" s="53" t="s">
        <v>68</v>
      </c>
      <c r="H130" s="53" t="s">
        <v>68</v>
      </c>
      <c r="I130" s="53"/>
      <c r="J130" s="53" t="s">
        <v>65</v>
      </c>
      <c r="K130" s="54" t="s">
        <v>65</v>
      </c>
      <c r="L130" s="29" t="str">
        <f t="shared" si="1"/>
        <v>KAMPALA-TORORO</v>
      </c>
      <c r="M130" s="54">
        <v>14</v>
      </c>
      <c r="N130" s="55">
        <v>18000</v>
      </c>
      <c r="O130" s="56">
        <v>4.8</v>
      </c>
    </row>
    <row r="131" spans="1:15" s="49" customFormat="1" x14ac:dyDescent="0.2">
      <c r="A131" s="58"/>
      <c r="B131" s="50">
        <v>0.50694444444444442</v>
      </c>
      <c r="C131" s="51">
        <v>4</v>
      </c>
      <c r="D131" s="52" t="str">
        <f>IF(C131="", "",VLOOKUP(C131,Key!$A$5:$B$7,2,FALSE))</f>
        <v>Minibus, matatu</v>
      </c>
      <c r="E131" s="51"/>
      <c r="F131" s="51" t="s">
        <v>64</v>
      </c>
      <c r="G131" s="53" t="s">
        <v>67</v>
      </c>
      <c r="H131" s="53" t="s">
        <v>67</v>
      </c>
      <c r="I131" s="53"/>
      <c r="J131" s="53" t="s">
        <v>65</v>
      </c>
      <c r="K131" s="54" t="s">
        <v>65</v>
      </c>
      <c r="L131" s="29" t="str">
        <f t="shared" si="1"/>
        <v>JINJA-TORORO</v>
      </c>
      <c r="M131" s="54">
        <v>14</v>
      </c>
      <c r="N131" s="55">
        <v>13000</v>
      </c>
      <c r="O131" s="56">
        <v>2.25</v>
      </c>
    </row>
    <row r="132" spans="1:15" s="49" customFormat="1" x14ac:dyDescent="0.2">
      <c r="A132" s="58"/>
      <c r="B132" s="50">
        <v>0.51041666666666663</v>
      </c>
      <c r="C132" s="51">
        <v>4</v>
      </c>
      <c r="D132" s="52" t="str">
        <f>IF(C132="", "",VLOOKUP(C132,Key!$A$5:$B$7,2,FALSE))</f>
        <v>Minibus, matatu</v>
      </c>
      <c r="E132" s="51"/>
      <c r="F132" s="51" t="s">
        <v>64</v>
      </c>
      <c r="G132" s="53" t="s">
        <v>67</v>
      </c>
      <c r="H132" s="53" t="s">
        <v>67</v>
      </c>
      <c r="I132" s="53"/>
      <c r="J132" s="53" t="s">
        <v>65</v>
      </c>
      <c r="K132" s="54" t="s">
        <v>65</v>
      </c>
      <c r="L132" s="29" t="str">
        <f t="shared" si="1"/>
        <v>JINJA-TORORO</v>
      </c>
      <c r="M132" s="54">
        <v>14</v>
      </c>
      <c r="N132" s="55">
        <v>13000</v>
      </c>
      <c r="O132" s="56">
        <v>2.25</v>
      </c>
    </row>
    <row r="133" spans="1:15" s="49" customFormat="1" x14ac:dyDescent="0.2">
      <c r="A133" s="58"/>
      <c r="B133" s="50">
        <v>0.51458333333333328</v>
      </c>
      <c r="C133" s="51">
        <v>4</v>
      </c>
      <c r="D133" s="52" t="str">
        <f>IF(C133="", "",VLOOKUP(C133,Key!$A$5:$B$7,2,FALSE))</f>
        <v>Minibus, matatu</v>
      </c>
      <c r="E133" s="51"/>
      <c r="F133" s="51" t="s">
        <v>63</v>
      </c>
      <c r="G133" s="53" t="s">
        <v>65</v>
      </c>
      <c r="H133" s="53" t="s">
        <v>65</v>
      </c>
      <c r="I133" s="53"/>
      <c r="J133" s="53" t="s">
        <v>67</v>
      </c>
      <c r="K133" s="54" t="s">
        <v>67</v>
      </c>
      <c r="L133" s="29" t="str">
        <f t="shared" si="1"/>
        <v>TORORO-JINJA</v>
      </c>
      <c r="M133" s="54">
        <v>14</v>
      </c>
      <c r="N133" s="55">
        <v>13000</v>
      </c>
      <c r="O133" s="56">
        <v>2.25</v>
      </c>
    </row>
    <row r="134" spans="1:15" s="49" customFormat="1" x14ac:dyDescent="0.2">
      <c r="A134" s="58"/>
      <c r="B134" s="50">
        <v>0.51458333333333328</v>
      </c>
      <c r="C134" s="51">
        <v>4</v>
      </c>
      <c r="D134" s="52" t="str">
        <f>IF(C134="", "",VLOOKUP(C134,Key!$A$5:$B$7,2,FALSE))</f>
        <v>Minibus, matatu</v>
      </c>
      <c r="E134" s="51"/>
      <c r="F134" s="51" t="s">
        <v>63</v>
      </c>
      <c r="G134" s="53" t="s">
        <v>65</v>
      </c>
      <c r="H134" s="53" t="s">
        <v>65</v>
      </c>
      <c r="I134" s="53"/>
      <c r="J134" s="53" t="s">
        <v>67</v>
      </c>
      <c r="K134" s="54" t="s">
        <v>67</v>
      </c>
      <c r="L134" s="29" t="str">
        <f t="shared" si="1"/>
        <v>TORORO-JINJA</v>
      </c>
      <c r="M134" s="54">
        <v>14</v>
      </c>
      <c r="N134" s="55">
        <v>13000</v>
      </c>
      <c r="O134" s="56">
        <v>2.25</v>
      </c>
    </row>
    <row r="135" spans="1:15" s="49" customFormat="1" x14ac:dyDescent="0.2">
      <c r="A135" s="58"/>
      <c r="B135" s="50">
        <v>0.52500000000000002</v>
      </c>
      <c r="C135" s="51">
        <v>4</v>
      </c>
      <c r="D135" s="52" t="str">
        <f>IF(C135="", "",VLOOKUP(C135,Key!$A$5:$B$7,2,FALSE))</f>
        <v>Minibus, matatu</v>
      </c>
      <c r="E135" s="51"/>
      <c r="F135" s="51" t="s">
        <v>64</v>
      </c>
      <c r="G135" s="53" t="s">
        <v>66</v>
      </c>
      <c r="H135" s="53" t="s">
        <v>66</v>
      </c>
      <c r="I135" s="53"/>
      <c r="J135" s="53" t="s">
        <v>65</v>
      </c>
      <c r="K135" s="54" t="s">
        <v>65</v>
      </c>
      <c r="L135" s="29" t="str">
        <f t="shared" si="1"/>
        <v>MBALE-TORORO</v>
      </c>
      <c r="M135" s="54">
        <v>14</v>
      </c>
      <c r="N135" s="55">
        <v>5000</v>
      </c>
      <c r="O135" s="56">
        <v>1.89</v>
      </c>
    </row>
    <row r="136" spans="1:15" s="49" customFormat="1" x14ac:dyDescent="0.2">
      <c r="A136" s="58"/>
      <c r="B136" s="50">
        <v>0.52500000000000002</v>
      </c>
      <c r="C136" s="51">
        <v>4</v>
      </c>
      <c r="D136" s="52" t="str">
        <f>IF(C136="", "",VLOOKUP(C136,Key!$A$5:$B$7,2,FALSE))</f>
        <v>Minibus, matatu</v>
      </c>
      <c r="E136" s="51"/>
      <c r="F136" s="51" t="s">
        <v>64</v>
      </c>
      <c r="G136" s="53" t="s">
        <v>67</v>
      </c>
      <c r="H136" s="53" t="s">
        <v>67</v>
      </c>
      <c r="I136" s="53"/>
      <c r="J136" s="53" t="s">
        <v>65</v>
      </c>
      <c r="K136" s="54" t="s">
        <v>65</v>
      </c>
      <c r="L136" s="29" t="str">
        <f t="shared" si="1"/>
        <v>JINJA-TORORO</v>
      </c>
      <c r="M136" s="54">
        <v>14</v>
      </c>
      <c r="N136" s="55">
        <v>13000</v>
      </c>
      <c r="O136" s="56">
        <v>2.25</v>
      </c>
    </row>
    <row r="137" spans="1:15" s="49" customFormat="1" x14ac:dyDescent="0.2">
      <c r="A137" s="58"/>
      <c r="B137" s="50">
        <v>0.52569444444444446</v>
      </c>
      <c r="C137" s="51">
        <v>4</v>
      </c>
      <c r="D137" s="52" t="str">
        <f>IF(C137="", "",VLOOKUP(C137,Key!$A$5:$B$7,2,FALSE))</f>
        <v>Minibus, matatu</v>
      </c>
      <c r="E137" s="53"/>
      <c r="F137" s="53" t="s">
        <v>64</v>
      </c>
      <c r="G137" s="53" t="s">
        <v>67</v>
      </c>
      <c r="H137" s="54" t="s">
        <v>67</v>
      </c>
      <c r="I137" s="53"/>
      <c r="J137" s="53" t="s">
        <v>65</v>
      </c>
      <c r="K137" s="54" t="s">
        <v>65</v>
      </c>
      <c r="L137" s="29" t="str">
        <f t="shared" ref="L137:L200" si="2">H137&amp;"-"&amp;K137</f>
        <v>JINJA-TORORO</v>
      </c>
      <c r="M137" s="54">
        <v>14</v>
      </c>
      <c r="N137" s="55">
        <v>13000</v>
      </c>
      <c r="O137" s="56">
        <v>2.25</v>
      </c>
    </row>
    <row r="138" spans="1:15" s="49" customFormat="1" x14ac:dyDescent="0.2">
      <c r="A138" s="58"/>
      <c r="B138" s="50">
        <v>0.52569444444444446</v>
      </c>
      <c r="C138" s="51">
        <v>4</v>
      </c>
      <c r="D138" s="52" t="str">
        <f>IF(C138="", "",VLOOKUP(C138,Key!$A$5:$B$7,2,FALSE))</f>
        <v>Minibus, matatu</v>
      </c>
      <c r="E138" s="53"/>
      <c r="F138" s="53" t="s">
        <v>64</v>
      </c>
      <c r="G138" s="53" t="s">
        <v>68</v>
      </c>
      <c r="H138" s="54" t="s">
        <v>68</v>
      </c>
      <c r="I138" s="53"/>
      <c r="J138" s="53" t="s">
        <v>65</v>
      </c>
      <c r="K138" s="54" t="s">
        <v>65</v>
      </c>
      <c r="L138" s="29" t="str">
        <f t="shared" si="2"/>
        <v>KAMPALA-TORORO</v>
      </c>
      <c r="M138" s="54">
        <v>14</v>
      </c>
      <c r="N138" s="55">
        <v>18000</v>
      </c>
      <c r="O138" s="56">
        <v>4.8</v>
      </c>
    </row>
    <row r="139" spans="1:15" s="49" customFormat="1" x14ac:dyDescent="0.2">
      <c r="A139" s="58"/>
      <c r="B139" s="50">
        <v>0.52638888888888891</v>
      </c>
      <c r="C139" s="51">
        <v>4</v>
      </c>
      <c r="D139" s="52" t="str">
        <f>IF(C139="", "",VLOOKUP(C139,Key!$A$5:$B$7,2,FALSE))</f>
        <v>Minibus, matatu</v>
      </c>
      <c r="E139" s="53"/>
      <c r="F139" s="53" t="s">
        <v>64</v>
      </c>
      <c r="G139" s="53" t="s">
        <v>66</v>
      </c>
      <c r="H139" s="54" t="s">
        <v>66</v>
      </c>
      <c r="I139" s="53"/>
      <c r="J139" s="53" t="s">
        <v>65</v>
      </c>
      <c r="K139" s="54" t="s">
        <v>65</v>
      </c>
      <c r="L139" s="29" t="str">
        <f t="shared" si="2"/>
        <v>MBALE-TORORO</v>
      </c>
      <c r="M139" s="54">
        <v>14</v>
      </c>
      <c r="N139" s="55">
        <v>5000</v>
      </c>
      <c r="O139" s="56">
        <v>1.89</v>
      </c>
    </row>
    <row r="140" spans="1:15" s="49" customFormat="1" x14ac:dyDescent="0.2">
      <c r="A140" s="58"/>
      <c r="B140" s="50">
        <v>0.52777777777777779</v>
      </c>
      <c r="C140" s="51">
        <v>4</v>
      </c>
      <c r="D140" s="52" t="str">
        <f>IF(C140="", "",VLOOKUP(C140,Key!$A$5:$B$7,2,FALSE))</f>
        <v>Minibus, matatu</v>
      </c>
      <c r="E140" s="53"/>
      <c r="F140" s="53" t="s">
        <v>64</v>
      </c>
      <c r="G140" s="53" t="s">
        <v>66</v>
      </c>
      <c r="H140" s="54" t="s">
        <v>66</v>
      </c>
      <c r="I140" s="53"/>
      <c r="J140" s="53" t="s">
        <v>65</v>
      </c>
      <c r="K140" s="54" t="s">
        <v>65</v>
      </c>
      <c r="L140" s="29" t="str">
        <f t="shared" si="2"/>
        <v>MBALE-TORORO</v>
      </c>
      <c r="M140" s="54">
        <v>14</v>
      </c>
      <c r="N140" s="55">
        <v>5000</v>
      </c>
      <c r="O140" s="56">
        <v>1.89</v>
      </c>
    </row>
    <row r="141" spans="1:15" s="49" customFormat="1" x14ac:dyDescent="0.2">
      <c r="A141" s="58"/>
      <c r="B141" s="50">
        <v>0.52986111111111112</v>
      </c>
      <c r="C141" s="51">
        <v>4</v>
      </c>
      <c r="D141" s="52" t="str">
        <f>IF(C141="", "",VLOOKUP(C141,Key!$A$5:$B$7,2,FALSE))</f>
        <v>Minibus, matatu</v>
      </c>
      <c r="E141" s="53"/>
      <c r="F141" s="53" t="s">
        <v>64</v>
      </c>
      <c r="G141" s="53" t="s">
        <v>68</v>
      </c>
      <c r="H141" s="54" t="s">
        <v>68</v>
      </c>
      <c r="I141" s="53"/>
      <c r="J141" s="53" t="s">
        <v>65</v>
      </c>
      <c r="K141" s="54" t="s">
        <v>65</v>
      </c>
      <c r="L141" s="29" t="str">
        <f t="shared" si="2"/>
        <v>KAMPALA-TORORO</v>
      </c>
      <c r="M141" s="54">
        <v>14</v>
      </c>
      <c r="N141" s="55">
        <v>18000</v>
      </c>
      <c r="O141" s="56">
        <v>4.8</v>
      </c>
    </row>
    <row r="142" spans="1:15" s="49" customFormat="1" x14ac:dyDescent="0.2">
      <c r="A142" s="58"/>
      <c r="B142" s="50">
        <v>0.53333333333333333</v>
      </c>
      <c r="C142" s="51">
        <v>4</v>
      </c>
      <c r="D142" s="52" t="str">
        <f>IF(C142="", "",VLOOKUP(C142,Key!$A$5:$B$7,2,FALSE))</f>
        <v>Minibus, matatu</v>
      </c>
      <c r="E142" s="53"/>
      <c r="F142" s="53" t="s">
        <v>64</v>
      </c>
      <c r="G142" s="53" t="s">
        <v>68</v>
      </c>
      <c r="H142" s="54" t="s">
        <v>68</v>
      </c>
      <c r="I142" s="53"/>
      <c r="J142" s="53" t="s">
        <v>65</v>
      </c>
      <c r="K142" s="54" t="s">
        <v>65</v>
      </c>
      <c r="L142" s="29" t="str">
        <f t="shared" si="2"/>
        <v>KAMPALA-TORORO</v>
      </c>
      <c r="M142" s="54">
        <v>14</v>
      </c>
      <c r="N142" s="55">
        <v>18000</v>
      </c>
      <c r="O142" s="56">
        <v>4.8</v>
      </c>
    </row>
    <row r="143" spans="1:15" s="49" customFormat="1" x14ac:dyDescent="0.2">
      <c r="A143" s="58"/>
      <c r="B143" s="50">
        <v>0.53402777777777777</v>
      </c>
      <c r="C143" s="51">
        <v>4</v>
      </c>
      <c r="D143" s="52" t="str">
        <f>IF(C143="", "",VLOOKUP(C143,Key!$A$5:$B$7,2,FALSE))</f>
        <v>Minibus, matatu</v>
      </c>
      <c r="E143" s="53"/>
      <c r="F143" s="53" t="s">
        <v>64</v>
      </c>
      <c r="G143" s="53" t="s">
        <v>73</v>
      </c>
      <c r="H143" s="54" t="s">
        <v>73</v>
      </c>
      <c r="I143" s="53"/>
      <c r="J143" s="53" t="s">
        <v>65</v>
      </c>
      <c r="K143" s="54" t="s">
        <v>65</v>
      </c>
      <c r="L143" s="29" t="str">
        <f t="shared" si="2"/>
        <v>IGANGA-TORORO</v>
      </c>
      <c r="M143" s="54">
        <v>14</v>
      </c>
      <c r="N143" s="55">
        <v>10000</v>
      </c>
      <c r="O143" s="56">
        <v>1.8</v>
      </c>
    </row>
    <row r="144" spans="1:15" s="49" customFormat="1" x14ac:dyDescent="0.2">
      <c r="A144" s="58"/>
      <c r="B144" s="50">
        <v>0.53472222222222221</v>
      </c>
      <c r="C144" s="51">
        <v>4</v>
      </c>
      <c r="D144" s="52" t="str">
        <f>IF(C144="", "",VLOOKUP(C144,Key!$A$5:$B$7,2,FALSE))</f>
        <v>Minibus, matatu</v>
      </c>
      <c r="E144" s="53"/>
      <c r="F144" s="53" t="s">
        <v>64</v>
      </c>
      <c r="G144" s="53" t="s">
        <v>73</v>
      </c>
      <c r="H144" s="54" t="s">
        <v>73</v>
      </c>
      <c r="I144" s="53"/>
      <c r="J144" s="53" t="s">
        <v>65</v>
      </c>
      <c r="K144" s="54" t="s">
        <v>65</v>
      </c>
      <c r="L144" s="29" t="str">
        <f t="shared" si="2"/>
        <v>IGANGA-TORORO</v>
      </c>
      <c r="M144" s="54">
        <v>14</v>
      </c>
      <c r="N144" s="55">
        <v>10000</v>
      </c>
      <c r="O144" s="56">
        <v>1.8</v>
      </c>
    </row>
    <row r="145" spans="1:15" s="49" customFormat="1" x14ac:dyDescent="0.2">
      <c r="A145" s="58"/>
      <c r="B145" s="50">
        <v>0.54027777777777775</v>
      </c>
      <c r="C145" s="51">
        <v>4</v>
      </c>
      <c r="D145" s="52" t="str">
        <f>IF(C145="", "",VLOOKUP(C145,Key!$A$5:$B$7,2,FALSE))</f>
        <v>Minibus, matatu</v>
      </c>
      <c r="E145" s="53"/>
      <c r="F145" s="53" t="s">
        <v>64</v>
      </c>
      <c r="G145" s="53" t="s">
        <v>66</v>
      </c>
      <c r="H145" s="54" t="s">
        <v>66</v>
      </c>
      <c r="I145" s="53"/>
      <c r="J145" s="53" t="s">
        <v>65</v>
      </c>
      <c r="K145" s="54" t="s">
        <v>65</v>
      </c>
      <c r="L145" s="29" t="str">
        <f t="shared" si="2"/>
        <v>MBALE-TORORO</v>
      </c>
      <c r="M145" s="54">
        <v>14</v>
      </c>
      <c r="N145" s="55">
        <v>5000</v>
      </c>
      <c r="O145" s="56">
        <v>1.89</v>
      </c>
    </row>
    <row r="146" spans="1:15" s="49" customFormat="1" x14ac:dyDescent="0.2">
      <c r="A146" s="58"/>
      <c r="B146" s="50">
        <v>0.54166666666666663</v>
      </c>
      <c r="C146" s="51">
        <v>4</v>
      </c>
      <c r="D146" s="52" t="str">
        <f>IF(C146="", "",VLOOKUP(C146,Key!$A$5:$B$7,2,FALSE))</f>
        <v>Minibus, matatu</v>
      </c>
      <c r="E146" s="53"/>
      <c r="F146" s="53" t="s">
        <v>64</v>
      </c>
      <c r="G146" s="53" t="s">
        <v>66</v>
      </c>
      <c r="H146" s="54" t="s">
        <v>66</v>
      </c>
      <c r="I146" s="53"/>
      <c r="J146" s="53" t="s">
        <v>65</v>
      </c>
      <c r="K146" s="54" t="s">
        <v>65</v>
      </c>
      <c r="L146" s="29" t="str">
        <f t="shared" si="2"/>
        <v>MBALE-TORORO</v>
      </c>
      <c r="M146" s="54">
        <v>14</v>
      </c>
      <c r="N146" s="55">
        <v>5000</v>
      </c>
      <c r="O146" s="56">
        <v>1.89</v>
      </c>
    </row>
    <row r="147" spans="1:15" s="49" customFormat="1" x14ac:dyDescent="0.2">
      <c r="A147" s="58"/>
      <c r="B147" s="50">
        <v>0.54652777777777783</v>
      </c>
      <c r="C147" s="51">
        <v>4</v>
      </c>
      <c r="D147" s="52" t="str">
        <f>IF(C147="", "",VLOOKUP(C147,Key!$A$5:$B$7,2,FALSE))</f>
        <v>Minibus, matatu</v>
      </c>
      <c r="E147" s="53"/>
      <c r="F147" s="53" t="s">
        <v>64</v>
      </c>
      <c r="G147" s="53" t="s">
        <v>66</v>
      </c>
      <c r="H147" s="54" t="s">
        <v>66</v>
      </c>
      <c r="I147" s="53"/>
      <c r="J147" s="53" t="s">
        <v>65</v>
      </c>
      <c r="K147" s="54" t="s">
        <v>65</v>
      </c>
      <c r="L147" s="29" t="str">
        <f t="shared" si="2"/>
        <v>MBALE-TORORO</v>
      </c>
      <c r="M147" s="54">
        <v>14</v>
      </c>
      <c r="N147" s="55">
        <v>5000</v>
      </c>
      <c r="O147" s="56">
        <v>1.89</v>
      </c>
    </row>
    <row r="148" spans="1:15" s="49" customFormat="1" x14ac:dyDescent="0.2">
      <c r="A148" s="58"/>
      <c r="B148" s="50">
        <v>0.55486111111111114</v>
      </c>
      <c r="C148" s="51">
        <v>4</v>
      </c>
      <c r="D148" s="52" t="str">
        <f>IF(C148="", "",VLOOKUP(C148,Key!$A$5:$B$7,2,FALSE))</f>
        <v>Minibus, matatu</v>
      </c>
      <c r="E148" s="53"/>
      <c r="F148" s="53" t="s">
        <v>64</v>
      </c>
      <c r="G148" s="53" t="s">
        <v>66</v>
      </c>
      <c r="H148" s="54" t="s">
        <v>66</v>
      </c>
      <c r="I148" s="53"/>
      <c r="J148" s="53" t="s">
        <v>65</v>
      </c>
      <c r="K148" s="54" t="s">
        <v>65</v>
      </c>
      <c r="L148" s="29" t="str">
        <f t="shared" si="2"/>
        <v>MBALE-TORORO</v>
      </c>
      <c r="M148" s="54">
        <v>14</v>
      </c>
      <c r="N148" s="55">
        <v>5000</v>
      </c>
      <c r="O148" s="56">
        <v>1.89</v>
      </c>
    </row>
    <row r="149" spans="1:15" s="49" customFormat="1" x14ac:dyDescent="0.2">
      <c r="A149" s="58"/>
      <c r="B149" s="50">
        <v>0.56805555555555554</v>
      </c>
      <c r="C149" s="51">
        <v>4</v>
      </c>
      <c r="D149" s="52" t="str">
        <f>IF(C149="", "",VLOOKUP(C149,Key!$A$5:$B$7,2,FALSE))</f>
        <v>Minibus, matatu</v>
      </c>
      <c r="E149" s="53"/>
      <c r="F149" s="53" t="s">
        <v>64</v>
      </c>
      <c r="G149" s="53" t="s">
        <v>66</v>
      </c>
      <c r="H149" s="54" t="s">
        <v>66</v>
      </c>
      <c r="I149" s="53"/>
      <c r="J149" s="53" t="s">
        <v>65</v>
      </c>
      <c r="K149" s="54" t="s">
        <v>65</v>
      </c>
      <c r="L149" s="29" t="str">
        <f t="shared" si="2"/>
        <v>MBALE-TORORO</v>
      </c>
      <c r="M149" s="54">
        <v>14</v>
      </c>
      <c r="N149" s="55">
        <v>5000</v>
      </c>
      <c r="O149" s="56">
        <v>1.89</v>
      </c>
    </row>
    <row r="150" spans="1:15" s="49" customFormat="1" x14ac:dyDescent="0.2">
      <c r="A150" s="58"/>
      <c r="B150" s="50">
        <v>0.58333333333333337</v>
      </c>
      <c r="C150" s="51">
        <v>4</v>
      </c>
      <c r="D150" s="52" t="str">
        <f>IF(C150="", "",VLOOKUP(C150,Key!$A$5:$B$7,2,FALSE))</f>
        <v>Minibus, matatu</v>
      </c>
      <c r="E150" s="53"/>
      <c r="F150" s="53" t="s">
        <v>64</v>
      </c>
      <c r="G150" s="53" t="s">
        <v>67</v>
      </c>
      <c r="H150" s="54" t="s">
        <v>67</v>
      </c>
      <c r="I150" s="53"/>
      <c r="J150" s="53" t="s">
        <v>65</v>
      </c>
      <c r="K150" s="54" t="s">
        <v>65</v>
      </c>
      <c r="L150" s="29" t="str">
        <f t="shared" si="2"/>
        <v>JINJA-TORORO</v>
      </c>
      <c r="M150" s="54">
        <v>14</v>
      </c>
      <c r="N150" s="55">
        <v>13000</v>
      </c>
      <c r="O150" s="56">
        <v>2.25</v>
      </c>
    </row>
    <row r="151" spans="1:15" s="49" customFormat="1" x14ac:dyDescent="0.2">
      <c r="A151" s="58"/>
      <c r="B151" s="50">
        <v>0.59930555555555554</v>
      </c>
      <c r="C151" s="51">
        <v>4</v>
      </c>
      <c r="D151" s="52" t="str">
        <f>IF(C151="", "",VLOOKUP(C151,Key!$A$5:$B$7,2,FALSE))</f>
        <v>Minibus, matatu</v>
      </c>
      <c r="E151" s="53"/>
      <c r="F151" s="53" t="s">
        <v>64</v>
      </c>
      <c r="G151" s="53" t="s">
        <v>67</v>
      </c>
      <c r="H151" s="54" t="s">
        <v>67</v>
      </c>
      <c r="I151" s="53"/>
      <c r="J151" s="53" t="s">
        <v>65</v>
      </c>
      <c r="K151" s="54" t="s">
        <v>65</v>
      </c>
      <c r="L151" s="29" t="str">
        <f t="shared" si="2"/>
        <v>JINJA-TORORO</v>
      </c>
      <c r="M151" s="54">
        <v>14</v>
      </c>
      <c r="N151" s="55">
        <v>13000</v>
      </c>
      <c r="O151" s="56">
        <v>2.25</v>
      </c>
    </row>
    <row r="152" spans="1:15" s="49" customFormat="1" x14ac:dyDescent="0.2">
      <c r="A152" s="58"/>
      <c r="B152" s="50">
        <v>0.6</v>
      </c>
      <c r="C152" s="51">
        <v>4</v>
      </c>
      <c r="D152" s="52" t="str">
        <f>IF(C152="", "",VLOOKUP(C152,Key!$A$5:$B$7,2,FALSE))</f>
        <v>Minibus, matatu</v>
      </c>
      <c r="E152" s="53"/>
      <c r="F152" s="53" t="s">
        <v>64</v>
      </c>
      <c r="G152" s="53" t="s">
        <v>66</v>
      </c>
      <c r="H152" s="54" t="s">
        <v>66</v>
      </c>
      <c r="I152" s="53"/>
      <c r="J152" s="53" t="s">
        <v>65</v>
      </c>
      <c r="K152" s="54" t="s">
        <v>65</v>
      </c>
      <c r="L152" s="29" t="str">
        <f t="shared" si="2"/>
        <v>MBALE-TORORO</v>
      </c>
      <c r="M152" s="54">
        <v>14</v>
      </c>
      <c r="N152" s="55">
        <v>5000</v>
      </c>
      <c r="O152" s="56">
        <v>1.89</v>
      </c>
    </row>
    <row r="153" spans="1:15" s="49" customFormat="1" x14ac:dyDescent="0.2">
      <c r="A153" s="58"/>
      <c r="B153" s="50">
        <v>0.6020833333333333</v>
      </c>
      <c r="C153" s="51">
        <v>4</v>
      </c>
      <c r="D153" s="52" t="str">
        <f>IF(C153="", "",VLOOKUP(C153,Key!$A$5:$B$7,2,FALSE))</f>
        <v>Minibus, matatu</v>
      </c>
      <c r="E153" s="53"/>
      <c r="F153" s="53" t="s">
        <v>64</v>
      </c>
      <c r="G153" s="53" t="s">
        <v>68</v>
      </c>
      <c r="H153" s="54" t="s">
        <v>68</v>
      </c>
      <c r="I153" s="53"/>
      <c r="J153" s="53" t="s">
        <v>65</v>
      </c>
      <c r="K153" s="54" t="s">
        <v>65</v>
      </c>
      <c r="L153" s="29" t="str">
        <f t="shared" si="2"/>
        <v>KAMPALA-TORORO</v>
      </c>
      <c r="M153" s="54">
        <v>14</v>
      </c>
      <c r="N153" s="55">
        <v>18000</v>
      </c>
      <c r="O153" s="56">
        <v>4.8</v>
      </c>
    </row>
    <row r="154" spans="1:15" s="49" customFormat="1" x14ac:dyDescent="0.2">
      <c r="A154" s="58"/>
      <c r="B154" s="50">
        <v>0.60416666666666663</v>
      </c>
      <c r="C154" s="51">
        <v>4</v>
      </c>
      <c r="D154" s="52" t="str">
        <f>IF(C154="", "",VLOOKUP(C154,Key!$A$5:$B$7,2,FALSE))</f>
        <v>Minibus, matatu</v>
      </c>
      <c r="E154" s="53"/>
      <c r="F154" s="53" t="s">
        <v>64</v>
      </c>
      <c r="G154" s="53" t="s">
        <v>67</v>
      </c>
      <c r="H154" s="54" t="s">
        <v>67</v>
      </c>
      <c r="I154" s="53"/>
      <c r="J154" s="53" t="s">
        <v>65</v>
      </c>
      <c r="K154" s="54" t="s">
        <v>65</v>
      </c>
      <c r="L154" s="29" t="str">
        <f t="shared" si="2"/>
        <v>JINJA-TORORO</v>
      </c>
      <c r="M154" s="54">
        <v>14</v>
      </c>
      <c r="N154" s="55">
        <v>13000</v>
      </c>
      <c r="O154" s="56">
        <v>2.25</v>
      </c>
    </row>
    <row r="155" spans="1:15" s="49" customFormat="1" x14ac:dyDescent="0.2">
      <c r="A155" s="58"/>
      <c r="B155" s="50">
        <v>0.625</v>
      </c>
      <c r="C155" s="51">
        <v>4</v>
      </c>
      <c r="D155" s="52" t="str">
        <f>IF(C155="", "",VLOOKUP(C155,Key!$A$5:$B$7,2,FALSE))</f>
        <v>Minibus, matatu</v>
      </c>
      <c r="E155" s="53"/>
      <c r="F155" s="53" t="s">
        <v>63</v>
      </c>
      <c r="G155" s="53" t="s">
        <v>65</v>
      </c>
      <c r="H155" s="53" t="s">
        <v>65</v>
      </c>
      <c r="I155" s="53"/>
      <c r="J155" s="53" t="s">
        <v>66</v>
      </c>
      <c r="K155" s="54" t="s">
        <v>66</v>
      </c>
      <c r="L155" s="29" t="str">
        <f t="shared" si="2"/>
        <v>TORORO-MBALE</v>
      </c>
      <c r="M155" s="54">
        <v>14</v>
      </c>
      <c r="N155" s="55">
        <v>5000</v>
      </c>
      <c r="O155" s="56">
        <v>1.9</v>
      </c>
    </row>
    <row r="156" spans="1:15" s="49" customFormat="1" x14ac:dyDescent="0.2">
      <c r="A156" s="58"/>
      <c r="B156" s="50">
        <v>0.63541666666666663</v>
      </c>
      <c r="C156" s="51">
        <v>4</v>
      </c>
      <c r="D156" s="52" t="str">
        <f>IF(C156="", "",VLOOKUP(C156,Key!$A$5:$B$7,2,FALSE))</f>
        <v>Minibus, matatu</v>
      </c>
      <c r="E156" s="53"/>
      <c r="F156" s="53" t="s">
        <v>64</v>
      </c>
      <c r="G156" s="53" t="s">
        <v>65</v>
      </c>
      <c r="H156" s="53" t="s">
        <v>65</v>
      </c>
      <c r="I156" s="53"/>
      <c r="J156" s="53" t="s">
        <v>66</v>
      </c>
      <c r="K156" s="54" t="s">
        <v>66</v>
      </c>
      <c r="L156" s="29" t="str">
        <f t="shared" si="2"/>
        <v>TORORO-MBALE</v>
      </c>
      <c r="M156" s="54">
        <v>14</v>
      </c>
      <c r="N156" s="55">
        <v>5000</v>
      </c>
      <c r="O156" s="56">
        <v>1.9</v>
      </c>
    </row>
    <row r="157" spans="1:15" s="49" customFormat="1" x14ac:dyDescent="0.2">
      <c r="A157" s="58"/>
      <c r="B157" s="50">
        <v>0.6430555555555556</v>
      </c>
      <c r="C157" s="51">
        <v>4</v>
      </c>
      <c r="D157" s="52" t="str">
        <f>IF(C157="", "",VLOOKUP(C157,Key!$A$5:$B$7,2,FALSE))</f>
        <v>Minibus, matatu</v>
      </c>
      <c r="E157" s="53"/>
      <c r="F157" s="53" t="s">
        <v>64</v>
      </c>
      <c r="G157" s="53" t="s">
        <v>67</v>
      </c>
      <c r="H157" s="54" t="s">
        <v>67</v>
      </c>
      <c r="I157" s="53"/>
      <c r="J157" s="53" t="s">
        <v>65</v>
      </c>
      <c r="K157" s="54" t="s">
        <v>65</v>
      </c>
      <c r="L157" s="29" t="str">
        <f t="shared" si="2"/>
        <v>JINJA-TORORO</v>
      </c>
      <c r="M157" s="54">
        <v>14</v>
      </c>
      <c r="N157" s="55">
        <v>13000</v>
      </c>
      <c r="O157" s="56">
        <v>2.25</v>
      </c>
    </row>
    <row r="158" spans="1:15" s="49" customFormat="1" x14ac:dyDescent="0.2">
      <c r="A158" s="58"/>
      <c r="B158" s="50">
        <v>0.64652777777777781</v>
      </c>
      <c r="C158" s="51">
        <v>4</v>
      </c>
      <c r="D158" s="52" t="str">
        <f>IF(C158="", "",VLOOKUP(C158,Key!$A$5:$B$7,2,FALSE))</f>
        <v>Minibus, matatu</v>
      </c>
      <c r="E158" s="53"/>
      <c r="F158" s="53" t="s">
        <v>64</v>
      </c>
      <c r="G158" s="53" t="s">
        <v>66</v>
      </c>
      <c r="H158" s="54" t="s">
        <v>66</v>
      </c>
      <c r="I158" s="53"/>
      <c r="J158" s="53" t="s">
        <v>65</v>
      </c>
      <c r="K158" s="54" t="s">
        <v>65</v>
      </c>
      <c r="L158" s="29" t="str">
        <f t="shared" si="2"/>
        <v>MBALE-TORORO</v>
      </c>
      <c r="M158" s="54">
        <v>14</v>
      </c>
      <c r="N158" s="55">
        <v>5000</v>
      </c>
      <c r="O158" s="56">
        <v>1.89</v>
      </c>
    </row>
    <row r="159" spans="1:15" s="49" customFormat="1" x14ac:dyDescent="0.2">
      <c r="A159" s="58"/>
      <c r="B159" s="50">
        <v>0.65</v>
      </c>
      <c r="C159" s="51">
        <v>4</v>
      </c>
      <c r="D159" s="52" t="str">
        <f>IF(C159="", "",VLOOKUP(C159,Key!$A$5:$B$7,2,FALSE))</f>
        <v>Minibus, matatu</v>
      </c>
      <c r="E159" s="53"/>
      <c r="F159" s="53" t="s">
        <v>64</v>
      </c>
      <c r="G159" s="53" t="s">
        <v>68</v>
      </c>
      <c r="H159" s="54" t="s">
        <v>68</v>
      </c>
      <c r="I159" s="53"/>
      <c r="J159" s="53" t="s">
        <v>65</v>
      </c>
      <c r="K159" s="54" t="s">
        <v>65</v>
      </c>
      <c r="L159" s="29" t="str">
        <f t="shared" si="2"/>
        <v>KAMPALA-TORORO</v>
      </c>
      <c r="M159" s="54">
        <v>14</v>
      </c>
      <c r="N159" s="55">
        <v>18000</v>
      </c>
      <c r="O159" s="56">
        <v>4.8</v>
      </c>
    </row>
    <row r="160" spans="1:15" s="49" customFormat="1" x14ac:dyDescent="0.2">
      <c r="A160" s="58"/>
      <c r="B160" s="50">
        <v>0.65694444444444444</v>
      </c>
      <c r="C160" s="51">
        <v>4</v>
      </c>
      <c r="D160" s="52" t="str">
        <f>IF(C160="", "",VLOOKUP(C160,Key!$A$5:$B$7,2,FALSE))</f>
        <v>Minibus, matatu</v>
      </c>
      <c r="E160" s="53"/>
      <c r="F160" s="53" t="s">
        <v>64</v>
      </c>
      <c r="G160" s="53" t="s">
        <v>67</v>
      </c>
      <c r="H160" s="54" t="s">
        <v>67</v>
      </c>
      <c r="I160" s="53"/>
      <c r="J160" s="53" t="s">
        <v>65</v>
      </c>
      <c r="K160" s="54" t="s">
        <v>65</v>
      </c>
      <c r="L160" s="29" t="str">
        <f t="shared" si="2"/>
        <v>JINJA-TORORO</v>
      </c>
      <c r="M160" s="54">
        <v>14</v>
      </c>
      <c r="N160" s="55">
        <v>13000</v>
      </c>
      <c r="O160" s="56">
        <v>2.25</v>
      </c>
    </row>
    <row r="161" spans="1:15" s="49" customFormat="1" x14ac:dyDescent="0.2">
      <c r="A161" s="58"/>
      <c r="B161" s="50">
        <v>0.66041666666666665</v>
      </c>
      <c r="C161" s="51">
        <v>4</v>
      </c>
      <c r="D161" s="52" t="str">
        <f>IF(C161="", "",VLOOKUP(C161,Key!$A$5:$B$7,2,FALSE))</f>
        <v>Minibus, matatu</v>
      </c>
      <c r="E161" s="53"/>
      <c r="F161" s="53" t="s">
        <v>64</v>
      </c>
      <c r="G161" s="53" t="s">
        <v>68</v>
      </c>
      <c r="H161" s="54" t="s">
        <v>68</v>
      </c>
      <c r="I161" s="53"/>
      <c r="J161" s="53" t="s">
        <v>65</v>
      </c>
      <c r="K161" s="54" t="s">
        <v>65</v>
      </c>
      <c r="L161" s="29" t="str">
        <f t="shared" si="2"/>
        <v>KAMPALA-TORORO</v>
      </c>
      <c r="M161" s="54">
        <v>14</v>
      </c>
      <c r="N161" s="55">
        <v>18000</v>
      </c>
      <c r="O161" s="56">
        <v>4.8</v>
      </c>
    </row>
    <row r="162" spans="1:15" s="49" customFormat="1" x14ac:dyDescent="0.2">
      <c r="A162" s="58"/>
      <c r="B162" s="50">
        <v>0.66319444444444442</v>
      </c>
      <c r="C162" s="51">
        <v>4</v>
      </c>
      <c r="D162" s="52" t="str">
        <f>IF(C162="", "",VLOOKUP(C162,Key!$A$5:$B$7,2,FALSE))</f>
        <v>Minibus, matatu</v>
      </c>
      <c r="E162" s="53"/>
      <c r="F162" s="53" t="s">
        <v>64</v>
      </c>
      <c r="G162" s="53" t="s">
        <v>68</v>
      </c>
      <c r="H162" s="54" t="s">
        <v>68</v>
      </c>
      <c r="I162" s="53"/>
      <c r="J162" s="53" t="s">
        <v>65</v>
      </c>
      <c r="K162" s="54" t="s">
        <v>65</v>
      </c>
      <c r="L162" s="29" t="str">
        <f t="shared" si="2"/>
        <v>KAMPALA-TORORO</v>
      </c>
      <c r="M162" s="54">
        <v>14</v>
      </c>
      <c r="N162" s="55">
        <v>18000</v>
      </c>
      <c r="O162" s="56">
        <v>4.8</v>
      </c>
    </row>
    <row r="163" spans="1:15" s="49" customFormat="1" x14ac:dyDescent="0.2">
      <c r="A163" s="58"/>
      <c r="B163" s="50">
        <v>0.67013888888888884</v>
      </c>
      <c r="C163" s="51">
        <v>6</v>
      </c>
      <c r="D163" s="52" t="str">
        <f>IF(C163="", "",VLOOKUP(C163,Key!$A$5:$B$7,2,FALSE))</f>
        <v>Large Bus</v>
      </c>
      <c r="E163" s="53"/>
      <c r="F163" s="53" t="s">
        <v>64</v>
      </c>
      <c r="G163" s="53" t="s">
        <v>74</v>
      </c>
      <c r="H163" s="54" t="s">
        <v>74</v>
      </c>
      <c r="I163" s="53"/>
      <c r="J163" s="53" t="s">
        <v>69</v>
      </c>
      <c r="K163" s="54" t="s">
        <v>69</v>
      </c>
      <c r="L163" s="29" t="str">
        <f t="shared" si="2"/>
        <v>LIRA-BUSIA</v>
      </c>
      <c r="M163" s="54">
        <v>67</v>
      </c>
      <c r="N163" s="55">
        <v>25000</v>
      </c>
      <c r="O163" s="56">
        <v>5.25</v>
      </c>
    </row>
    <row r="164" spans="1:15" s="49" customFormat="1" x14ac:dyDescent="0.2">
      <c r="A164" s="58"/>
      <c r="B164" s="50">
        <v>0.69861111111111107</v>
      </c>
      <c r="C164" s="51">
        <v>4</v>
      </c>
      <c r="D164" s="52" t="str">
        <f>IF(C164="", "",VLOOKUP(C164,Key!$A$5:$B$7,2,FALSE))</f>
        <v>Minibus, matatu</v>
      </c>
      <c r="E164" s="53"/>
      <c r="F164" s="53" t="s">
        <v>64</v>
      </c>
      <c r="G164" s="53" t="s">
        <v>67</v>
      </c>
      <c r="H164" s="54" t="s">
        <v>67</v>
      </c>
      <c r="I164" s="53"/>
      <c r="J164" s="53" t="s">
        <v>65</v>
      </c>
      <c r="K164" s="54" t="s">
        <v>65</v>
      </c>
      <c r="L164" s="29" t="str">
        <f t="shared" si="2"/>
        <v>JINJA-TORORO</v>
      </c>
      <c r="M164" s="54">
        <v>14</v>
      </c>
      <c r="N164" s="55">
        <v>13000</v>
      </c>
      <c r="O164" s="56">
        <v>2.25</v>
      </c>
    </row>
    <row r="165" spans="1:15" s="49" customFormat="1" x14ac:dyDescent="0.2">
      <c r="A165" s="58"/>
      <c r="B165" s="50">
        <v>0.70138888888888884</v>
      </c>
      <c r="C165" s="51">
        <v>4</v>
      </c>
      <c r="D165" s="52" t="str">
        <f>IF(C165="", "",VLOOKUP(C165,Key!$A$5:$B$7,2,FALSE))</f>
        <v>Minibus, matatu</v>
      </c>
      <c r="E165" s="53"/>
      <c r="F165" s="53" t="s">
        <v>64</v>
      </c>
      <c r="G165" s="53" t="s">
        <v>66</v>
      </c>
      <c r="H165" s="54" t="s">
        <v>66</v>
      </c>
      <c r="I165" s="53"/>
      <c r="J165" s="53" t="s">
        <v>65</v>
      </c>
      <c r="K165" s="54" t="s">
        <v>65</v>
      </c>
      <c r="L165" s="29" t="str">
        <f t="shared" si="2"/>
        <v>MBALE-TORORO</v>
      </c>
      <c r="M165" s="54">
        <v>14</v>
      </c>
      <c r="N165" s="55">
        <v>5000</v>
      </c>
      <c r="O165" s="56">
        <v>1.89</v>
      </c>
    </row>
    <row r="166" spans="1:15" s="49" customFormat="1" x14ac:dyDescent="0.2">
      <c r="A166" s="58"/>
      <c r="B166" s="50">
        <v>0.70208333333333339</v>
      </c>
      <c r="C166" s="51">
        <v>4</v>
      </c>
      <c r="D166" s="52" t="str">
        <f>IF(C166="", "",VLOOKUP(C166,Key!$A$5:$B$7,2,FALSE))</f>
        <v>Minibus, matatu</v>
      </c>
      <c r="E166" s="53"/>
      <c r="F166" s="53" t="s">
        <v>64</v>
      </c>
      <c r="G166" s="53" t="s">
        <v>67</v>
      </c>
      <c r="H166" s="54" t="s">
        <v>67</v>
      </c>
      <c r="I166" s="53"/>
      <c r="J166" s="53" t="s">
        <v>65</v>
      </c>
      <c r="K166" s="54" t="s">
        <v>65</v>
      </c>
      <c r="L166" s="29" t="str">
        <f t="shared" si="2"/>
        <v>JINJA-TORORO</v>
      </c>
      <c r="M166" s="54">
        <v>14</v>
      </c>
      <c r="N166" s="55">
        <v>13000</v>
      </c>
      <c r="O166" s="56">
        <v>2.25</v>
      </c>
    </row>
    <row r="167" spans="1:15" s="49" customFormat="1" x14ac:dyDescent="0.2">
      <c r="A167" s="58"/>
      <c r="B167" s="50">
        <v>0.70833333333333337</v>
      </c>
      <c r="C167" s="51">
        <v>4</v>
      </c>
      <c r="D167" s="52" t="str">
        <f>IF(C167="", "",VLOOKUP(C167,Key!$A$5:$B$7,2,FALSE))</f>
        <v>Minibus, matatu</v>
      </c>
      <c r="E167" s="53"/>
      <c r="F167" s="53" t="s">
        <v>63</v>
      </c>
      <c r="G167" s="53" t="s">
        <v>65</v>
      </c>
      <c r="H167" s="54" t="s">
        <v>65</v>
      </c>
      <c r="I167" s="53"/>
      <c r="J167" s="53" t="s">
        <v>68</v>
      </c>
      <c r="K167" s="54" t="s">
        <v>68</v>
      </c>
      <c r="L167" s="29" t="str">
        <f t="shared" si="2"/>
        <v>TORORO-KAMPALA</v>
      </c>
      <c r="M167" s="54">
        <v>14</v>
      </c>
      <c r="N167" s="55">
        <v>18000</v>
      </c>
      <c r="O167" s="56">
        <v>4.8</v>
      </c>
    </row>
    <row r="168" spans="1:15" s="49" customFormat="1" x14ac:dyDescent="0.2">
      <c r="A168" s="58"/>
      <c r="B168" s="50">
        <v>0.70972222222222225</v>
      </c>
      <c r="C168" s="51">
        <v>6</v>
      </c>
      <c r="D168" s="52" t="str">
        <f>IF(C168="", "",VLOOKUP(C168,Key!$A$5:$B$7,2,FALSE))</f>
        <v>Large Bus</v>
      </c>
      <c r="E168" s="53"/>
      <c r="F168" s="53" t="s">
        <v>64</v>
      </c>
      <c r="G168" s="53" t="s">
        <v>74</v>
      </c>
      <c r="H168" s="54" t="s">
        <v>74</v>
      </c>
      <c r="I168" s="53"/>
      <c r="J168" s="53" t="s">
        <v>69</v>
      </c>
      <c r="K168" s="54" t="s">
        <v>69</v>
      </c>
      <c r="L168" s="29" t="str">
        <f t="shared" si="2"/>
        <v>LIRA-BUSIA</v>
      </c>
      <c r="M168" s="54">
        <v>60</v>
      </c>
      <c r="N168" s="55">
        <v>25000</v>
      </c>
      <c r="O168" s="56">
        <v>5.25</v>
      </c>
    </row>
    <row r="169" spans="1:15" s="49" customFormat="1" x14ac:dyDescent="0.2">
      <c r="A169" s="58"/>
      <c r="B169" s="50">
        <v>0.75</v>
      </c>
      <c r="C169" s="51">
        <v>4</v>
      </c>
      <c r="D169" s="52" t="str">
        <f>IF(C169="", "",VLOOKUP(C169,Key!$A$5:$B$7,2,FALSE))</f>
        <v>Minibus, matatu</v>
      </c>
      <c r="E169" s="53"/>
      <c r="F169" s="53" t="s">
        <v>64</v>
      </c>
      <c r="G169" s="53" t="s">
        <v>67</v>
      </c>
      <c r="H169" s="54" t="s">
        <v>67</v>
      </c>
      <c r="I169" s="53"/>
      <c r="J169" s="53" t="s">
        <v>65</v>
      </c>
      <c r="K169" s="54" t="s">
        <v>65</v>
      </c>
      <c r="L169" s="29" t="str">
        <f t="shared" si="2"/>
        <v>JINJA-TORORO</v>
      </c>
      <c r="M169" s="54">
        <v>14</v>
      </c>
      <c r="N169" s="55">
        <v>13000</v>
      </c>
      <c r="O169" s="56">
        <v>2.25</v>
      </c>
    </row>
    <row r="170" spans="1:15" s="49" customFormat="1" x14ac:dyDescent="0.2">
      <c r="A170" s="58"/>
      <c r="B170" s="50">
        <v>0.75347222222222221</v>
      </c>
      <c r="C170" s="51">
        <v>4</v>
      </c>
      <c r="D170" s="52" t="str">
        <f>IF(C170="", "",VLOOKUP(C170,Key!$A$5:$B$7,2,FALSE))</f>
        <v>Minibus, matatu</v>
      </c>
      <c r="E170" s="53"/>
      <c r="F170" s="53" t="s">
        <v>63</v>
      </c>
      <c r="G170" s="53" t="s">
        <v>65</v>
      </c>
      <c r="H170" s="54" t="s">
        <v>65</v>
      </c>
      <c r="I170" s="53"/>
      <c r="J170" s="53" t="s">
        <v>68</v>
      </c>
      <c r="K170" s="54" t="s">
        <v>68</v>
      </c>
      <c r="L170" s="29" t="str">
        <f t="shared" si="2"/>
        <v>TORORO-KAMPALA</v>
      </c>
      <c r="M170" s="54">
        <v>14</v>
      </c>
      <c r="N170" s="55">
        <v>18000</v>
      </c>
      <c r="O170" s="56">
        <v>4.8</v>
      </c>
    </row>
    <row r="171" spans="1:15" s="49" customFormat="1" x14ac:dyDescent="0.2">
      <c r="A171" s="58"/>
      <c r="B171" s="50">
        <v>0.75555555555555554</v>
      </c>
      <c r="C171" s="51">
        <v>4</v>
      </c>
      <c r="D171" s="52" t="str">
        <f>IF(C171="", "",VLOOKUP(C171,Key!$A$5:$B$7,2,FALSE))</f>
        <v>Minibus, matatu</v>
      </c>
      <c r="E171" s="53"/>
      <c r="F171" s="53" t="s">
        <v>63</v>
      </c>
      <c r="G171" s="53" t="s">
        <v>65</v>
      </c>
      <c r="H171" s="54" t="s">
        <v>65</v>
      </c>
      <c r="I171" s="53"/>
      <c r="J171" s="53" t="s">
        <v>67</v>
      </c>
      <c r="K171" s="54" t="s">
        <v>67</v>
      </c>
      <c r="L171" s="29" t="str">
        <f t="shared" si="2"/>
        <v>TORORO-JINJA</v>
      </c>
      <c r="M171" s="54">
        <v>14</v>
      </c>
      <c r="N171" s="55">
        <v>13000</v>
      </c>
      <c r="O171" s="56">
        <v>2.25</v>
      </c>
    </row>
    <row r="172" spans="1:15" s="49" customFormat="1" x14ac:dyDescent="0.2">
      <c r="A172" s="58"/>
      <c r="B172" s="50">
        <v>0.86249999999999993</v>
      </c>
      <c r="C172" s="51">
        <v>6</v>
      </c>
      <c r="D172" s="52" t="str">
        <f>IF(C172="", "",VLOOKUP(C172,Key!$A$5:$B$7,2,FALSE))</f>
        <v>Large Bus</v>
      </c>
      <c r="E172" s="53"/>
      <c r="F172" s="53" t="s">
        <v>63</v>
      </c>
      <c r="G172" s="53" t="s">
        <v>74</v>
      </c>
      <c r="H172" s="54" t="s">
        <v>74</v>
      </c>
      <c r="I172" s="53"/>
      <c r="J172" s="53" t="s">
        <v>69</v>
      </c>
      <c r="K172" s="54" t="s">
        <v>69</v>
      </c>
      <c r="L172" s="29" t="str">
        <f t="shared" si="2"/>
        <v>LIRA-BUSIA</v>
      </c>
      <c r="M172" s="54">
        <v>53</v>
      </c>
      <c r="N172" s="55">
        <v>25000</v>
      </c>
      <c r="O172" s="56">
        <v>5.25</v>
      </c>
    </row>
    <row r="173" spans="1:15" s="49" customFormat="1" x14ac:dyDescent="0.2">
      <c r="A173" s="58"/>
      <c r="B173" s="57">
        <v>43694</v>
      </c>
      <c r="C173" s="51"/>
      <c r="D173" s="52"/>
      <c r="E173" s="53"/>
      <c r="F173" s="53"/>
      <c r="G173" s="53"/>
      <c r="H173" s="54"/>
      <c r="I173" s="53"/>
      <c r="J173" s="53"/>
      <c r="K173" s="54"/>
      <c r="L173" s="29" t="str">
        <f t="shared" si="2"/>
        <v>-</v>
      </c>
      <c r="M173" s="54"/>
      <c r="N173" s="55"/>
      <c r="O173" s="56"/>
    </row>
    <row r="174" spans="1:15" s="49" customFormat="1" x14ac:dyDescent="0.2">
      <c r="A174" s="58"/>
      <c r="B174" s="50">
        <v>0.31666666666666665</v>
      </c>
      <c r="C174" s="51">
        <v>4</v>
      </c>
      <c r="D174" s="52" t="str">
        <f>IF(C174="", "",VLOOKUP(C174,Key!$A$5:$B$7,2,FALSE))</f>
        <v>Minibus, matatu</v>
      </c>
      <c r="E174" s="53"/>
      <c r="F174" s="53" t="s">
        <v>63</v>
      </c>
      <c r="G174" s="53" t="s">
        <v>65</v>
      </c>
      <c r="H174" s="54" t="s">
        <v>65</v>
      </c>
      <c r="I174" s="53"/>
      <c r="J174" s="53" t="s">
        <v>68</v>
      </c>
      <c r="K174" s="54" t="s">
        <v>68</v>
      </c>
      <c r="L174" s="29" t="str">
        <f t="shared" si="2"/>
        <v>TORORO-KAMPALA</v>
      </c>
      <c r="M174" s="54">
        <v>14</v>
      </c>
      <c r="N174" s="55">
        <v>18000</v>
      </c>
      <c r="O174" s="56">
        <v>4.8</v>
      </c>
    </row>
    <row r="175" spans="1:15" s="49" customFormat="1" x14ac:dyDescent="0.2">
      <c r="A175" s="58"/>
      <c r="B175" s="50">
        <v>0.32569444444444445</v>
      </c>
      <c r="C175" s="51">
        <v>4</v>
      </c>
      <c r="D175" s="52" t="str">
        <f>IF(C175="", "",VLOOKUP(C175,Key!$A$5:$B$7,2,FALSE))</f>
        <v>Minibus, matatu</v>
      </c>
      <c r="E175" s="53"/>
      <c r="F175" s="53" t="s">
        <v>64</v>
      </c>
      <c r="G175" s="53" t="s">
        <v>66</v>
      </c>
      <c r="H175" s="54" t="s">
        <v>66</v>
      </c>
      <c r="I175" s="53"/>
      <c r="J175" s="53" t="s">
        <v>65</v>
      </c>
      <c r="K175" s="54" t="s">
        <v>65</v>
      </c>
      <c r="L175" s="29" t="str">
        <f t="shared" si="2"/>
        <v>MBALE-TORORO</v>
      </c>
      <c r="M175" s="54">
        <v>14</v>
      </c>
      <c r="N175" s="55">
        <v>5000</v>
      </c>
      <c r="O175" s="56">
        <v>1.89</v>
      </c>
    </row>
    <row r="176" spans="1:15" s="49" customFormat="1" x14ac:dyDescent="0.2">
      <c r="A176" s="58"/>
      <c r="B176" s="50">
        <v>0.33333333333333331</v>
      </c>
      <c r="C176" s="51">
        <v>4</v>
      </c>
      <c r="D176" s="52" t="str">
        <f>IF(C176="", "",VLOOKUP(C176,Key!$A$5:$B$7,2,FALSE))</f>
        <v>Minibus, matatu</v>
      </c>
      <c r="E176" s="53"/>
      <c r="F176" s="53" t="s">
        <v>64</v>
      </c>
      <c r="G176" s="53" t="s">
        <v>66</v>
      </c>
      <c r="H176" s="54" t="s">
        <v>66</v>
      </c>
      <c r="I176" s="53"/>
      <c r="J176" s="53" t="s">
        <v>65</v>
      </c>
      <c r="K176" s="54" t="s">
        <v>65</v>
      </c>
      <c r="L176" s="29" t="str">
        <f t="shared" si="2"/>
        <v>MBALE-TORORO</v>
      </c>
      <c r="M176" s="54">
        <v>14</v>
      </c>
      <c r="N176" s="55">
        <v>5000</v>
      </c>
      <c r="O176" s="56">
        <v>1.89</v>
      </c>
    </row>
    <row r="177" spans="1:15" s="49" customFormat="1" x14ac:dyDescent="0.2">
      <c r="A177" s="58"/>
      <c r="B177" s="50">
        <v>0.35069444444444442</v>
      </c>
      <c r="C177" s="51">
        <v>4</v>
      </c>
      <c r="D177" s="52" t="str">
        <f>IF(C177="", "",VLOOKUP(C177,Key!$A$5:$B$7,2,FALSE))</f>
        <v>Minibus, matatu</v>
      </c>
      <c r="E177" s="53"/>
      <c r="F177" s="53" t="s">
        <v>64</v>
      </c>
      <c r="G177" s="53" t="s">
        <v>67</v>
      </c>
      <c r="H177" s="54" t="s">
        <v>67</v>
      </c>
      <c r="I177" s="53"/>
      <c r="J177" s="53" t="s">
        <v>65</v>
      </c>
      <c r="K177" s="54" t="s">
        <v>65</v>
      </c>
      <c r="L177" s="29" t="str">
        <f t="shared" si="2"/>
        <v>JINJA-TORORO</v>
      </c>
      <c r="M177" s="54">
        <v>14</v>
      </c>
      <c r="N177" s="55">
        <v>13000</v>
      </c>
      <c r="O177" s="56">
        <v>2.25</v>
      </c>
    </row>
    <row r="178" spans="1:15" s="49" customFormat="1" x14ac:dyDescent="0.2">
      <c r="A178" s="58"/>
      <c r="B178" s="50">
        <v>0.35416666666666669</v>
      </c>
      <c r="C178" s="51">
        <v>4</v>
      </c>
      <c r="D178" s="52" t="str">
        <f>IF(C178="", "",VLOOKUP(C178,Key!$A$5:$B$7,2,FALSE))</f>
        <v>Minibus, matatu</v>
      </c>
      <c r="E178" s="53"/>
      <c r="F178" s="53" t="s">
        <v>64</v>
      </c>
      <c r="G178" s="53" t="s">
        <v>68</v>
      </c>
      <c r="H178" s="54" t="s">
        <v>68</v>
      </c>
      <c r="I178" s="53"/>
      <c r="J178" s="53" t="s">
        <v>65</v>
      </c>
      <c r="K178" s="54" t="s">
        <v>65</v>
      </c>
      <c r="L178" s="29" t="str">
        <f t="shared" si="2"/>
        <v>KAMPALA-TORORO</v>
      </c>
      <c r="M178" s="54">
        <v>14</v>
      </c>
      <c r="N178" s="55">
        <v>18000</v>
      </c>
      <c r="O178" s="56">
        <v>4.8</v>
      </c>
    </row>
    <row r="179" spans="1:15" s="49" customFormat="1" x14ac:dyDescent="0.2">
      <c r="A179" s="58"/>
      <c r="B179" s="50">
        <v>0.3576388888888889</v>
      </c>
      <c r="C179" s="51">
        <v>4</v>
      </c>
      <c r="D179" s="52" t="str">
        <f>IF(C179="", "",VLOOKUP(C179,Key!$A$5:$B$7,2,FALSE))</f>
        <v>Minibus, matatu</v>
      </c>
      <c r="E179" s="53"/>
      <c r="F179" s="53" t="s">
        <v>64</v>
      </c>
      <c r="G179" s="53" t="s">
        <v>65</v>
      </c>
      <c r="H179" s="54" t="s">
        <v>65</v>
      </c>
      <c r="I179" s="53"/>
      <c r="J179" s="53" t="s">
        <v>67</v>
      </c>
      <c r="K179" s="54" t="s">
        <v>67</v>
      </c>
      <c r="L179" s="29" t="str">
        <f t="shared" si="2"/>
        <v>TORORO-JINJA</v>
      </c>
      <c r="M179" s="54">
        <v>14</v>
      </c>
      <c r="N179" s="55">
        <v>13000</v>
      </c>
      <c r="O179" s="56">
        <v>2.25</v>
      </c>
    </row>
    <row r="180" spans="1:15" s="49" customFormat="1" x14ac:dyDescent="0.2">
      <c r="A180" s="58"/>
      <c r="B180" s="50">
        <v>0.36527777777777781</v>
      </c>
      <c r="C180" s="51">
        <v>4</v>
      </c>
      <c r="D180" s="52" t="str">
        <f>IF(C180="", "",VLOOKUP(C180,Key!$A$5:$B$7,2,FALSE))</f>
        <v>Minibus, matatu</v>
      </c>
      <c r="E180" s="53"/>
      <c r="F180" s="53" t="s">
        <v>64</v>
      </c>
      <c r="G180" s="53" t="s">
        <v>67</v>
      </c>
      <c r="H180" s="54" t="s">
        <v>67</v>
      </c>
      <c r="I180" s="53"/>
      <c r="J180" s="53" t="s">
        <v>65</v>
      </c>
      <c r="K180" s="54" t="s">
        <v>65</v>
      </c>
      <c r="L180" s="29" t="str">
        <f t="shared" si="2"/>
        <v>JINJA-TORORO</v>
      </c>
      <c r="M180" s="54">
        <v>14</v>
      </c>
      <c r="N180" s="55">
        <v>13000</v>
      </c>
      <c r="O180" s="56">
        <v>2.25</v>
      </c>
    </row>
    <row r="181" spans="1:15" s="49" customFormat="1" x14ac:dyDescent="0.2">
      <c r="A181" s="58"/>
      <c r="B181" s="50">
        <v>0.37222222222222223</v>
      </c>
      <c r="C181" s="51">
        <v>4</v>
      </c>
      <c r="D181" s="52" t="str">
        <f>IF(C181="", "",VLOOKUP(C181,Key!$A$5:$B$7,2,FALSE))</f>
        <v>Minibus, matatu</v>
      </c>
      <c r="E181" s="53"/>
      <c r="F181" s="53" t="s">
        <v>64</v>
      </c>
      <c r="G181" s="53" t="s">
        <v>66</v>
      </c>
      <c r="H181" s="54" t="s">
        <v>66</v>
      </c>
      <c r="I181" s="53"/>
      <c r="J181" s="53" t="s">
        <v>65</v>
      </c>
      <c r="K181" s="54" t="s">
        <v>65</v>
      </c>
      <c r="L181" s="29" t="str">
        <f t="shared" si="2"/>
        <v>MBALE-TORORO</v>
      </c>
      <c r="M181" s="54">
        <v>14</v>
      </c>
      <c r="N181" s="55">
        <v>5000</v>
      </c>
      <c r="O181" s="56">
        <v>1.89</v>
      </c>
    </row>
    <row r="182" spans="1:15" s="49" customFormat="1" x14ac:dyDescent="0.2">
      <c r="A182" s="58"/>
      <c r="B182" s="50">
        <v>0.375</v>
      </c>
      <c r="C182" s="51">
        <v>4</v>
      </c>
      <c r="D182" s="52" t="str">
        <f>IF(C182="", "",VLOOKUP(C182,Key!$A$5:$B$7,2,FALSE))</f>
        <v>Minibus, matatu</v>
      </c>
      <c r="E182" s="53"/>
      <c r="F182" s="53" t="s">
        <v>64</v>
      </c>
      <c r="G182" s="53" t="s">
        <v>67</v>
      </c>
      <c r="H182" s="54" t="s">
        <v>67</v>
      </c>
      <c r="I182" s="53"/>
      <c r="J182" s="53" t="s">
        <v>65</v>
      </c>
      <c r="K182" s="54" t="s">
        <v>65</v>
      </c>
      <c r="L182" s="29" t="str">
        <f t="shared" si="2"/>
        <v>JINJA-TORORO</v>
      </c>
      <c r="M182" s="54">
        <v>14</v>
      </c>
      <c r="N182" s="55">
        <v>13000</v>
      </c>
      <c r="O182" s="56">
        <v>2.25</v>
      </c>
    </row>
    <row r="183" spans="1:15" s="49" customFormat="1" x14ac:dyDescent="0.2">
      <c r="A183" s="58"/>
      <c r="B183" s="50">
        <v>0.38194444444444442</v>
      </c>
      <c r="C183" s="51">
        <v>4</v>
      </c>
      <c r="D183" s="52" t="str">
        <f>IF(C183="", "",VLOOKUP(C183,Key!$A$5:$B$7,2,FALSE))</f>
        <v>Minibus, matatu</v>
      </c>
      <c r="E183" s="53"/>
      <c r="F183" s="53" t="s">
        <v>64</v>
      </c>
      <c r="G183" s="53" t="s">
        <v>66</v>
      </c>
      <c r="H183" s="54" t="s">
        <v>66</v>
      </c>
      <c r="I183" s="53"/>
      <c r="J183" s="53" t="s">
        <v>65</v>
      </c>
      <c r="K183" s="54" t="s">
        <v>65</v>
      </c>
      <c r="L183" s="29" t="str">
        <f t="shared" si="2"/>
        <v>MBALE-TORORO</v>
      </c>
      <c r="M183" s="54">
        <v>14</v>
      </c>
      <c r="N183" s="55">
        <v>5000</v>
      </c>
      <c r="O183" s="56">
        <v>1.89</v>
      </c>
    </row>
    <row r="184" spans="1:15" s="49" customFormat="1" x14ac:dyDescent="0.2">
      <c r="A184" s="58"/>
      <c r="B184" s="50">
        <v>0.38541666666666669</v>
      </c>
      <c r="C184" s="51">
        <v>4</v>
      </c>
      <c r="D184" s="52" t="str">
        <f>IF(C184="", "",VLOOKUP(C184,Key!$A$5:$B$7,2,FALSE))</f>
        <v>Minibus, matatu</v>
      </c>
      <c r="E184" s="53"/>
      <c r="F184" s="53" t="s">
        <v>64</v>
      </c>
      <c r="G184" s="53" t="s">
        <v>66</v>
      </c>
      <c r="H184" s="54" t="s">
        <v>66</v>
      </c>
      <c r="I184" s="53"/>
      <c r="J184" s="53" t="s">
        <v>65</v>
      </c>
      <c r="K184" s="54" t="s">
        <v>65</v>
      </c>
      <c r="L184" s="29" t="str">
        <f t="shared" si="2"/>
        <v>MBALE-TORORO</v>
      </c>
      <c r="M184" s="54">
        <v>14</v>
      </c>
      <c r="N184" s="55">
        <v>5000</v>
      </c>
      <c r="O184" s="56">
        <v>1.89</v>
      </c>
    </row>
    <row r="185" spans="1:15" s="49" customFormat="1" x14ac:dyDescent="0.2">
      <c r="A185" s="58"/>
      <c r="B185" s="50">
        <v>0.39305555555555555</v>
      </c>
      <c r="C185" s="51">
        <v>4</v>
      </c>
      <c r="D185" s="52" t="str">
        <f>IF(C185="", "",VLOOKUP(C185,Key!$A$5:$B$7,2,FALSE))</f>
        <v>Minibus, matatu</v>
      </c>
      <c r="E185" s="53"/>
      <c r="F185" s="53" t="s">
        <v>64</v>
      </c>
      <c r="G185" s="53" t="s">
        <v>69</v>
      </c>
      <c r="H185" s="54" t="s">
        <v>69</v>
      </c>
      <c r="I185" s="53"/>
      <c r="J185" s="53" t="s">
        <v>65</v>
      </c>
      <c r="K185" s="54" t="s">
        <v>65</v>
      </c>
      <c r="L185" s="29" t="str">
        <f t="shared" si="2"/>
        <v>BUSIA-TORORO</v>
      </c>
      <c r="M185" s="54">
        <v>14</v>
      </c>
      <c r="N185" s="55">
        <v>5000</v>
      </c>
      <c r="O185" s="56">
        <v>1.25</v>
      </c>
    </row>
    <row r="186" spans="1:15" s="49" customFormat="1" x14ac:dyDescent="0.2">
      <c r="A186" s="58"/>
      <c r="B186" s="50">
        <v>0.40138888888888885</v>
      </c>
      <c r="C186" s="51">
        <v>4</v>
      </c>
      <c r="D186" s="52" t="str">
        <f>IF(C186="", "",VLOOKUP(C186,Key!$A$5:$B$7,2,FALSE))</f>
        <v>Minibus, matatu</v>
      </c>
      <c r="E186" s="53"/>
      <c r="F186" s="53" t="s">
        <v>64</v>
      </c>
      <c r="G186" s="53" t="s">
        <v>69</v>
      </c>
      <c r="H186" s="54" t="s">
        <v>69</v>
      </c>
      <c r="I186" s="53"/>
      <c r="J186" s="53" t="s">
        <v>65</v>
      </c>
      <c r="K186" s="54" t="s">
        <v>65</v>
      </c>
      <c r="L186" s="29" t="str">
        <f t="shared" si="2"/>
        <v>BUSIA-TORORO</v>
      </c>
      <c r="M186" s="54">
        <v>14</v>
      </c>
      <c r="N186" s="55">
        <v>5000</v>
      </c>
      <c r="O186" s="56">
        <v>1.25</v>
      </c>
    </row>
    <row r="187" spans="1:15" s="49" customFormat="1" x14ac:dyDescent="0.2">
      <c r="A187" s="58"/>
      <c r="B187" s="50">
        <v>0.40486111111111112</v>
      </c>
      <c r="C187" s="51">
        <v>4</v>
      </c>
      <c r="D187" s="52" t="str">
        <f>IF(C187="", "",VLOOKUP(C187,Key!$A$5:$B$7,2,FALSE))</f>
        <v>Minibus, matatu</v>
      </c>
      <c r="E187" s="53"/>
      <c r="F187" s="53" t="s">
        <v>64</v>
      </c>
      <c r="G187" s="53" t="s">
        <v>66</v>
      </c>
      <c r="H187" s="54" t="s">
        <v>66</v>
      </c>
      <c r="I187" s="53"/>
      <c r="J187" s="53" t="s">
        <v>65</v>
      </c>
      <c r="K187" s="54" t="s">
        <v>65</v>
      </c>
      <c r="L187" s="29" t="str">
        <f t="shared" si="2"/>
        <v>MBALE-TORORO</v>
      </c>
      <c r="M187" s="54">
        <v>14</v>
      </c>
      <c r="N187" s="55">
        <v>5000</v>
      </c>
      <c r="O187" s="56">
        <v>1.89</v>
      </c>
    </row>
    <row r="188" spans="1:15" s="49" customFormat="1" x14ac:dyDescent="0.2">
      <c r="A188" s="58"/>
      <c r="B188" s="50">
        <v>0.40972222222222227</v>
      </c>
      <c r="C188" s="51">
        <v>4</v>
      </c>
      <c r="D188" s="52" t="str">
        <f>IF(C188="", "",VLOOKUP(C188,Key!$A$5:$B$7,2,FALSE))</f>
        <v>Minibus, matatu</v>
      </c>
      <c r="E188" s="53"/>
      <c r="F188" s="53" t="s">
        <v>64</v>
      </c>
      <c r="G188" s="53" t="s">
        <v>69</v>
      </c>
      <c r="H188" s="54" t="s">
        <v>69</v>
      </c>
      <c r="I188" s="53"/>
      <c r="J188" s="53" t="s">
        <v>65</v>
      </c>
      <c r="K188" s="54" t="s">
        <v>65</v>
      </c>
      <c r="L188" s="29" t="str">
        <f t="shared" si="2"/>
        <v>BUSIA-TORORO</v>
      </c>
      <c r="M188" s="54">
        <v>14</v>
      </c>
      <c r="N188" s="55">
        <v>5000</v>
      </c>
      <c r="O188" s="56">
        <v>1.25</v>
      </c>
    </row>
    <row r="189" spans="1:15" s="49" customFormat="1" x14ac:dyDescent="0.2">
      <c r="A189" s="58"/>
      <c r="B189" s="50">
        <v>0.41319444444444442</v>
      </c>
      <c r="C189" s="51">
        <v>4</v>
      </c>
      <c r="D189" s="52" t="str">
        <f>IF(C189="", "",VLOOKUP(C189,Key!$A$5:$B$7,2,FALSE))</f>
        <v>Minibus, matatu</v>
      </c>
      <c r="E189" s="53"/>
      <c r="F189" s="53" t="s">
        <v>64</v>
      </c>
      <c r="G189" s="53" t="s">
        <v>69</v>
      </c>
      <c r="H189" s="54" t="s">
        <v>69</v>
      </c>
      <c r="I189" s="53"/>
      <c r="J189" s="53" t="s">
        <v>65</v>
      </c>
      <c r="K189" s="54" t="s">
        <v>65</v>
      </c>
      <c r="L189" s="29" t="str">
        <f t="shared" si="2"/>
        <v>BUSIA-TORORO</v>
      </c>
      <c r="M189" s="54">
        <v>14</v>
      </c>
      <c r="N189" s="55">
        <v>5000</v>
      </c>
      <c r="O189" s="56">
        <v>1.25</v>
      </c>
    </row>
    <row r="190" spans="1:15" s="49" customFormat="1" x14ac:dyDescent="0.2">
      <c r="A190" s="58"/>
      <c r="B190" s="50">
        <v>0.42708333333333331</v>
      </c>
      <c r="C190" s="51">
        <v>4</v>
      </c>
      <c r="D190" s="52" t="str">
        <f>IF(C190="", "",VLOOKUP(C190,Key!$A$5:$B$7,2,FALSE))</f>
        <v>Minibus, matatu</v>
      </c>
      <c r="E190" s="53"/>
      <c r="F190" s="53" t="s">
        <v>64</v>
      </c>
      <c r="G190" s="53" t="s">
        <v>68</v>
      </c>
      <c r="H190" s="54" t="s">
        <v>68</v>
      </c>
      <c r="I190" s="53"/>
      <c r="J190" s="53" t="s">
        <v>65</v>
      </c>
      <c r="K190" s="54" t="s">
        <v>65</v>
      </c>
      <c r="L190" s="29" t="str">
        <f t="shared" si="2"/>
        <v>KAMPALA-TORORO</v>
      </c>
      <c r="M190" s="54">
        <v>14</v>
      </c>
      <c r="N190" s="55">
        <v>18000</v>
      </c>
      <c r="O190" s="56">
        <v>4.8</v>
      </c>
    </row>
    <row r="191" spans="1:15" s="49" customFormat="1" x14ac:dyDescent="0.2">
      <c r="A191" s="58"/>
      <c r="B191" s="50">
        <v>0.43541666666666662</v>
      </c>
      <c r="C191" s="51">
        <v>4</v>
      </c>
      <c r="D191" s="52" t="str">
        <f>IF(C191="", "",VLOOKUP(C191,Key!$A$5:$B$7,2,FALSE))</f>
        <v>Minibus, matatu</v>
      </c>
      <c r="E191" s="53"/>
      <c r="F191" s="53" t="s">
        <v>64</v>
      </c>
      <c r="G191" s="53" t="s">
        <v>66</v>
      </c>
      <c r="H191" s="54" t="s">
        <v>66</v>
      </c>
      <c r="I191" s="53"/>
      <c r="J191" s="53" t="s">
        <v>65</v>
      </c>
      <c r="K191" s="54" t="s">
        <v>65</v>
      </c>
      <c r="L191" s="29" t="str">
        <f t="shared" si="2"/>
        <v>MBALE-TORORO</v>
      </c>
      <c r="M191" s="54">
        <v>14</v>
      </c>
      <c r="N191" s="55">
        <v>5000</v>
      </c>
      <c r="O191" s="56">
        <v>1.89</v>
      </c>
    </row>
    <row r="192" spans="1:15" s="49" customFormat="1" x14ac:dyDescent="0.2">
      <c r="A192" s="58"/>
      <c r="B192" s="50">
        <v>0.4368055555555555</v>
      </c>
      <c r="C192" s="51">
        <v>4</v>
      </c>
      <c r="D192" s="52" t="str">
        <f>IF(C192="", "",VLOOKUP(C192,Key!$A$5:$B$7,2,FALSE))</f>
        <v>Minibus, matatu</v>
      </c>
      <c r="E192" s="53"/>
      <c r="F192" s="53" t="s">
        <v>64</v>
      </c>
      <c r="G192" s="53" t="s">
        <v>67</v>
      </c>
      <c r="H192" s="54" t="s">
        <v>67</v>
      </c>
      <c r="I192" s="53"/>
      <c r="J192" s="53" t="s">
        <v>65</v>
      </c>
      <c r="K192" s="54" t="s">
        <v>65</v>
      </c>
      <c r="L192" s="29" t="str">
        <f t="shared" si="2"/>
        <v>JINJA-TORORO</v>
      </c>
      <c r="M192" s="54">
        <v>14</v>
      </c>
      <c r="N192" s="55">
        <v>13000</v>
      </c>
      <c r="O192" s="56">
        <v>2.25</v>
      </c>
    </row>
    <row r="193" spans="1:15" s="49" customFormat="1" x14ac:dyDescent="0.2">
      <c r="A193" s="58"/>
      <c r="B193" s="50">
        <v>0.4375</v>
      </c>
      <c r="C193" s="51">
        <v>4</v>
      </c>
      <c r="D193" s="52" t="str">
        <f>IF(C193="", "",VLOOKUP(C193,Key!$A$5:$B$7,2,FALSE))</f>
        <v>Minibus, matatu</v>
      </c>
      <c r="E193" s="53"/>
      <c r="F193" s="53" t="s">
        <v>64</v>
      </c>
      <c r="G193" s="53" t="s">
        <v>66</v>
      </c>
      <c r="H193" s="54" t="s">
        <v>66</v>
      </c>
      <c r="I193" s="53"/>
      <c r="J193" s="53" t="s">
        <v>65</v>
      </c>
      <c r="K193" s="54" t="s">
        <v>65</v>
      </c>
      <c r="L193" s="29" t="str">
        <f t="shared" si="2"/>
        <v>MBALE-TORORO</v>
      </c>
      <c r="M193" s="54">
        <v>14</v>
      </c>
      <c r="N193" s="55">
        <v>5000</v>
      </c>
      <c r="O193" s="56">
        <v>1.89</v>
      </c>
    </row>
    <row r="194" spans="1:15" s="49" customFormat="1" x14ac:dyDescent="0.2">
      <c r="A194" s="58"/>
      <c r="B194" s="50">
        <v>0.44027777777777777</v>
      </c>
      <c r="C194" s="51">
        <v>4</v>
      </c>
      <c r="D194" s="52" t="str">
        <f>IF(C194="", "",VLOOKUP(C194,Key!$A$5:$B$7,2,FALSE))</f>
        <v>Minibus, matatu</v>
      </c>
      <c r="E194" s="53"/>
      <c r="F194" s="53" t="s">
        <v>64</v>
      </c>
      <c r="G194" s="53" t="s">
        <v>66</v>
      </c>
      <c r="H194" s="54" t="s">
        <v>66</v>
      </c>
      <c r="I194" s="53"/>
      <c r="J194" s="53" t="s">
        <v>65</v>
      </c>
      <c r="K194" s="54" t="s">
        <v>65</v>
      </c>
      <c r="L194" s="29" t="str">
        <f t="shared" si="2"/>
        <v>MBALE-TORORO</v>
      </c>
      <c r="M194" s="54">
        <v>14</v>
      </c>
      <c r="N194" s="55">
        <v>5000</v>
      </c>
      <c r="O194" s="56">
        <v>1.89</v>
      </c>
    </row>
    <row r="195" spans="1:15" s="49" customFormat="1" x14ac:dyDescent="0.2">
      <c r="A195" s="58"/>
      <c r="B195" s="50">
        <v>0.44305555555555554</v>
      </c>
      <c r="C195" s="51">
        <v>4</v>
      </c>
      <c r="D195" s="52" t="str">
        <f>IF(C195="", "",VLOOKUP(C195,Key!$A$5:$B$7,2,FALSE))</f>
        <v>Minibus, matatu</v>
      </c>
      <c r="E195" s="53"/>
      <c r="F195" s="53" t="s">
        <v>64</v>
      </c>
      <c r="G195" s="53" t="s">
        <v>66</v>
      </c>
      <c r="H195" s="54" t="s">
        <v>66</v>
      </c>
      <c r="I195" s="53"/>
      <c r="J195" s="53" t="s">
        <v>65</v>
      </c>
      <c r="K195" s="54" t="s">
        <v>65</v>
      </c>
      <c r="L195" s="29" t="str">
        <f t="shared" si="2"/>
        <v>MBALE-TORORO</v>
      </c>
      <c r="M195" s="54">
        <v>14</v>
      </c>
      <c r="N195" s="55">
        <v>5000</v>
      </c>
      <c r="O195" s="56">
        <v>1.89</v>
      </c>
    </row>
    <row r="196" spans="1:15" s="49" customFormat="1" x14ac:dyDescent="0.2">
      <c r="A196" s="58"/>
      <c r="B196" s="50">
        <v>0.44722222222222219</v>
      </c>
      <c r="C196" s="51">
        <v>4</v>
      </c>
      <c r="D196" s="52" t="str">
        <f>IF(C196="", "",VLOOKUP(C196,Key!$A$5:$B$7,2,FALSE))</f>
        <v>Minibus, matatu</v>
      </c>
      <c r="E196" s="53"/>
      <c r="F196" s="53" t="s">
        <v>64</v>
      </c>
      <c r="G196" s="53" t="s">
        <v>66</v>
      </c>
      <c r="H196" s="54" t="s">
        <v>66</v>
      </c>
      <c r="I196" s="53"/>
      <c r="J196" s="53" t="s">
        <v>65</v>
      </c>
      <c r="K196" s="54" t="s">
        <v>65</v>
      </c>
      <c r="L196" s="29" t="str">
        <f t="shared" si="2"/>
        <v>MBALE-TORORO</v>
      </c>
      <c r="M196" s="54">
        <v>14</v>
      </c>
      <c r="N196" s="55">
        <v>5000</v>
      </c>
      <c r="O196" s="56">
        <v>1.89</v>
      </c>
    </row>
    <row r="197" spans="1:15" s="49" customFormat="1" x14ac:dyDescent="0.2">
      <c r="A197" s="58"/>
      <c r="B197" s="50">
        <v>0.4513888888888889</v>
      </c>
      <c r="C197" s="51">
        <v>4</v>
      </c>
      <c r="D197" s="52" t="str">
        <f>IF(C197="", "",VLOOKUP(C197,Key!$A$5:$B$7,2,FALSE))</f>
        <v>Minibus, matatu</v>
      </c>
      <c r="E197" s="53"/>
      <c r="F197" s="53" t="s">
        <v>64</v>
      </c>
      <c r="G197" s="53" t="s">
        <v>68</v>
      </c>
      <c r="H197" s="54" t="s">
        <v>68</v>
      </c>
      <c r="I197" s="53"/>
      <c r="J197" s="53" t="s">
        <v>65</v>
      </c>
      <c r="K197" s="54" t="s">
        <v>65</v>
      </c>
      <c r="L197" s="29" t="str">
        <f t="shared" si="2"/>
        <v>KAMPALA-TORORO</v>
      </c>
      <c r="M197" s="54">
        <v>14</v>
      </c>
      <c r="N197" s="55">
        <v>18000</v>
      </c>
      <c r="O197" s="56">
        <v>4.8</v>
      </c>
    </row>
    <row r="198" spans="1:15" s="49" customFormat="1" x14ac:dyDescent="0.2">
      <c r="A198" s="58"/>
      <c r="B198" s="50">
        <v>0.45347222222222222</v>
      </c>
      <c r="C198" s="51">
        <v>4</v>
      </c>
      <c r="D198" s="52" t="str">
        <f>IF(C198="", "",VLOOKUP(C198,Key!$A$5:$B$7,2,FALSE))</f>
        <v>Minibus, matatu</v>
      </c>
      <c r="E198" s="53"/>
      <c r="F198" s="53" t="s">
        <v>64</v>
      </c>
      <c r="G198" s="53" t="s">
        <v>68</v>
      </c>
      <c r="H198" s="54" t="s">
        <v>68</v>
      </c>
      <c r="I198" s="53"/>
      <c r="J198" s="53" t="s">
        <v>65</v>
      </c>
      <c r="K198" s="54" t="s">
        <v>65</v>
      </c>
      <c r="L198" s="29" t="str">
        <f t="shared" si="2"/>
        <v>KAMPALA-TORORO</v>
      </c>
      <c r="M198" s="54">
        <v>14</v>
      </c>
      <c r="N198" s="55">
        <v>18000</v>
      </c>
      <c r="O198" s="56">
        <v>4.8</v>
      </c>
    </row>
    <row r="199" spans="1:15" s="49" customFormat="1" x14ac:dyDescent="0.2">
      <c r="A199" s="58"/>
      <c r="B199" s="50">
        <v>0.45624999999999999</v>
      </c>
      <c r="C199" s="51">
        <v>4</v>
      </c>
      <c r="D199" s="52" t="str">
        <f>IF(C199="", "",VLOOKUP(C199,Key!$A$5:$B$7,2,FALSE))</f>
        <v>Minibus, matatu</v>
      </c>
      <c r="E199" s="53"/>
      <c r="F199" s="53" t="s">
        <v>64</v>
      </c>
      <c r="G199" s="53" t="s">
        <v>69</v>
      </c>
      <c r="H199" s="54" t="s">
        <v>69</v>
      </c>
      <c r="I199" s="53"/>
      <c r="J199" s="53" t="s">
        <v>65</v>
      </c>
      <c r="K199" s="54" t="s">
        <v>65</v>
      </c>
      <c r="L199" s="29" t="str">
        <f t="shared" si="2"/>
        <v>BUSIA-TORORO</v>
      </c>
      <c r="M199" s="54">
        <v>14</v>
      </c>
      <c r="N199" s="55">
        <v>5000</v>
      </c>
      <c r="O199" s="56">
        <v>1.25</v>
      </c>
    </row>
    <row r="200" spans="1:15" s="49" customFormat="1" x14ac:dyDescent="0.2">
      <c r="A200" s="58"/>
      <c r="B200" s="50">
        <v>0.45833333333333331</v>
      </c>
      <c r="C200" s="51">
        <v>4</v>
      </c>
      <c r="D200" s="52" t="str">
        <f>IF(C200="", "",VLOOKUP(C200,Key!$A$5:$B$7,2,FALSE))</f>
        <v>Minibus, matatu</v>
      </c>
      <c r="E200" s="53"/>
      <c r="F200" s="53" t="s">
        <v>64</v>
      </c>
      <c r="G200" s="53" t="s">
        <v>73</v>
      </c>
      <c r="H200" s="54" t="s">
        <v>73</v>
      </c>
      <c r="I200" s="53"/>
      <c r="J200" s="53" t="s">
        <v>65</v>
      </c>
      <c r="K200" s="54" t="s">
        <v>65</v>
      </c>
      <c r="L200" s="29" t="str">
        <f t="shared" si="2"/>
        <v>IGANGA-TORORO</v>
      </c>
      <c r="M200" s="54">
        <v>14</v>
      </c>
      <c r="N200" s="55">
        <v>10000</v>
      </c>
      <c r="O200" s="56">
        <v>1.8</v>
      </c>
    </row>
    <row r="201" spans="1:15" s="49" customFormat="1" x14ac:dyDescent="0.2">
      <c r="A201" s="58"/>
      <c r="B201" s="50">
        <v>0.47430555555555554</v>
      </c>
      <c r="C201" s="51">
        <v>4</v>
      </c>
      <c r="D201" s="52" t="str">
        <f>IF(C201="", "",VLOOKUP(C201,Key!$A$5:$B$7,2,FALSE))</f>
        <v>Minibus, matatu</v>
      </c>
      <c r="E201" s="53"/>
      <c r="F201" s="53" t="s">
        <v>64</v>
      </c>
      <c r="G201" s="53" t="s">
        <v>68</v>
      </c>
      <c r="H201" s="54" t="s">
        <v>68</v>
      </c>
      <c r="I201" s="53"/>
      <c r="J201" s="53" t="s">
        <v>65</v>
      </c>
      <c r="K201" s="54" t="s">
        <v>65</v>
      </c>
      <c r="L201" s="29" t="str">
        <f t="shared" ref="L201:L264" si="3">H201&amp;"-"&amp;K201</f>
        <v>KAMPALA-TORORO</v>
      </c>
      <c r="M201" s="54">
        <v>14</v>
      </c>
      <c r="N201" s="55">
        <v>18000</v>
      </c>
      <c r="O201" s="56">
        <v>4.8</v>
      </c>
    </row>
    <row r="202" spans="1:15" s="49" customFormat="1" x14ac:dyDescent="0.2">
      <c r="A202" s="58"/>
      <c r="B202" s="50">
        <v>0.47916666666666669</v>
      </c>
      <c r="C202" s="51">
        <v>4</v>
      </c>
      <c r="D202" s="52" t="str">
        <f>IF(C202="", "",VLOOKUP(C202,Key!$A$5:$B$7,2,FALSE))</f>
        <v>Minibus, matatu</v>
      </c>
      <c r="E202" s="53"/>
      <c r="F202" s="53" t="s">
        <v>64</v>
      </c>
      <c r="G202" s="53" t="s">
        <v>68</v>
      </c>
      <c r="H202" s="54" t="s">
        <v>68</v>
      </c>
      <c r="I202" s="53"/>
      <c r="J202" s="53" t="s">
        <v>65</v>
      </c>
      <c r="K202" s="54" t="s">
        <v>65</v>
      </c>
      <c r="L202" s="29" t="str">
        <f t="shared" si="3"/>
        <v>KAMPALA-TORORO</v>
      </c>
      <c r="M202" s="54">
        <v>14</v>
      </c>
      <c r="N202" s="55">
        <v>18000</v>
      </c>
      <c r="O202" s="56">
        <v>4.8</v>
      </c>
    </row>
    <row r="203" spans="1:15" s="49" customFormat="1" x14ac:dyDescent="0.2">
      <c r="A203" s="58"/>
      <c r="B203" s="50">
        <v>0.48541666666666666</v>
      </c>
      <c r="C203" s="51">
        <v>4</v>
      </c>
      <c r="D203" s="52" t="str">
        <f>IF(C203="", "",VLOOKUP(C203,Key!$A$5:$B$7,2,FALSE))</f>
        <v>Minibus, matatu</v>
      </c>
      <c r="E203" s="53"/>
      <c r="F203" s="53" t="s">
        <v>64</v>
      </c>
      <c r="G203" s="53" t="s">
        <v>69</v>
      </c>
      <c r="H203" s="54" t="s">
        <v>69</v>
      </c>
      <c r="I203" s="53"/>
      <c r="J203" s="53" t="s">
        <v>65</v>
      </c>
      <c r="K203" s="54" t="s">
        <v>65</v>
      </c>
      <c r="L203" s="29" t="str">
        <f t="shared" si="3"/>
        <v>BUSIA-TORORO</v>
      </c>
      <c r="M203" s="54">
        <v>14</v>
      </c>
      <c r="N203" s="55">
        <v>5000</v>
      </c>
      <c r="O203" s="56">
        <v>1.25</v>
      </c>
    </row>
    <row r="204" spans="1:15" s="49" customFormat="1" x14ac:dyDescent="0.2">
      <c r="A204" s="58"/>
      <c r="B204" s="50">
        <v>0.48958333333333331</v>
      </c>
      <c r="C204" s="51">
        <v>4</v>
      </c>
      <c r="D204" s="52" t="str">
        <f>IF(C204="", "",VLOOKUP(C204,Key!$A$5:$B$7,2,FALSE))</f>
        <v>Minibus, matatu</v>
      </c>
      <c r="E204" s="53"/>
      <c r="F204" s="53" t="s">
        <v>64</v>
      </c>
      <c r="G204" s="53" t="s">
        <v>73</v>
      </c>
      <c r="H204" s="54" t="s">
        <v>73</v>
      </c>
      <c r="I204" s="53"/>
      <c r="J204" s="53" t="s">
        <v>65</v>
      </c>
      <c r="K204" s="54" t="s">
        <v>65</v>
      </c>
      <c r="L204" s="29" t="str">
        <f t="shared" si="3"/>
        <v>IGANGA-TORORO</v>
      </c>
      <c r="M204" s="54">
        <v>14</v>
      </c>
      <c r="N204" s="55">
        <v>10000</v>
      </c>
      <c r="O204" s="56">
        <v>1.8</v>
      </c>
    </row>
    <row r="205" spans="1:15" s="49" customFormat="1" x14ac:dyDescent="0.2">
      <c r="A205" s="58"/>
      <c r="B205" s="50">
        <v>0.49305555555555558</v>
      </c>
      <c r="C205" s="51">
        <v>4</v>
      </c>
      <c r="D205" s="52" t="str">
        <f>IF(C205="", "",VLOOKUP(C205,Key!$A$5:$B$7,2,FALSE))</f>
        <v>Minibus, matatu</v>
      </c>
      <c r="E205" s="53"/>
      <c r="F205" s="53" t="s">
        <v>64</v>
      </c>
      <c r="G205" s="53" t="s">
        <v>66</v>
      </c>
      <c r="H205" s="54" t="s">
        <v>66</v>
      </c>
      <c r="I205" s="53"/>
      <c r="J205" s="53" t="s">
        <v>65</v>
      </c>
      <c r="K205" s="54" t="s">
        <v>65</v>
      </c>
      <c r="L205" s="29" t="str">
        <f t="shared" si="3"/>
        <v>MBALE-TORORO</v>
      </c>
      <c r="M205" s="54">
        <v>14</v>
      </c>
      <c r="N205" s="55">
        <v>5000</v>
      </c>
      <c r="O205" s="56">
        <v>1.89</v>
      </c>
    </row>
    <row r="206" spans="1:15" s="49" customFormat="1" x14ac:dyDescent="0.2">
      <c r="A206" s="58"/>
      <c r="B206" s="50">
        <v>0.49513888888888885</v>
      </c>
      <c r="C206" s="51">
        <v>4</v>
      </c>
      <c r="D206" s="52" t="str">
        <f>IF(C206="", "",VLOOKUP(C206,Key!$A$5:$B$7,2,FALSE))</f>
        <v>Minibus, matatu</v>
      </c>
      <c r="E206" s="53"/>
      <c r="F206" s="53" t="s">
        <v>64</v>
      </c>
      <c r="G206" s="53" t="s">
        <v>68</v>
      </c>
      <c r="H206" s="54" t="s">
        <v>68</v>
      </c>
      <c r="I206" s="53"/>
      <c r="J206" s="53" t="s">
        <v>65</v>
      </c>
      <c r="K206" s="54" t="s">
        <v>65</v>
      </c>
      <c r="L206" s="29" t="str">
        <f t="shared" si="3"/>
        <v>KAMPALA-TORORO</v>
      </c>
      <c r="M206" s="54">
        <v>14</v>
      </c>
      <c r="N206" s="55">
        <v>18000</v>
      </c>
      <c r="O206" s="56">
        <v>4.8</v>
      </c>
    </row>
    <row r="207" spans="1:15" s="49" customFormat="1" x14ac:dyDescent="0.2">
      <c r="A207" s="58"/>
      <c r="B207" s="50">
        <v>0.49722222222222223</v>
      </c>
      <c r="C207" s="51">
        <v>4</v>
      </c>
      <c r="D207" s="52" t="str">
        <f>IF(C207="", "",VLOOKUP(C207,Key!$A$5:$B$7,2,FALSE))</f>
        <v>Minibus, matatu</v>
      </c>
      <c r="E207" s="53"/>
      <c r="F207" s="53" t="s">
        <v>64</v>
      </c>
      <c r="G207" s="53" t="s">
        <v>66</v>
      </c>
      <c r="H207" s="54" t="s">
        <v>66</v>
      </c>
      <c r="I207" s="53"/>
      <c r="J207" s="53" t="s">
        <v>65</v>
      </c>
      <c r="K207" s="54" t="s">
        <v>65</v>
      </c>
      <c r="L207" s="29" t="str">
        <f t="shared" si="3"/>
        <v>MBALE-TORORO</v>
      </c>
      <c r="M207" s="54">
        <v>14</v>
      </c>
      <c r="N207" s="55">
        <v>5000</v>
      </c>
      <c r="O207" s="56">
        <v>1.89</v>
      </c>
    </row>
    <row r="208" spans="1:15" s="49" customFormat="1" x14ac:dyDescent="0.2">
      <c r="A208" s="58"/>
      <c r="B208" s="50">
        <v>0.5</v>
      </c>
      <c r="C208" s="51">
        <v>4</v>
      </c>
      <c r="D208" s="52" t="str">
        <f>IF(C208="", "",VLOOKUP(C208,Key!$A$5:$B$7,2,FALSE))</f>
        <v>Minibus, matatu</v>
      </c>
      <c r="E208" s="53"/>
      <c r="F208" s="53" t="s">
        <v>64</v>
      </c>
      <c r="G208" s="53" t="s">
        <v>68</v>
      </c>
      <c r="H208" s="54" t="s">
        <v>68</v>
      </c>
      <c r="I208" s="53"/>
      <c r="J208" s="53" t="s">
        <v>65</v>
      </c>
      <c r="K208" s="54" t="s">
        <v>65</v>
      </c>
      <c r="L208" s="29" t="str">
        <f t="shared" si="3"/>
        <v>KAMPALA-TORORO</v>
      </c>
      <c r="M208" s="54">
        <v>14</v>
      </c>
      <c r="N208" s="55">
        <v>18000</v>
      </c>
      <c r="O208" s="56">
        <v>4.8</v>
      </c>
    </row>
    <row r="209" spans="1:15" s="49" customFormat="1" x14ac:dyDescent="0.2">
      <c r="A209" s="58"/>
      <c r="B209" s="50">
        <v>0.50694444444444442</v>
      </c>
      <c r="C209" s="51">
        <v>4</v>
      </c>
      <c r="D209" s="52" t="str">
        <f>IF(C209="", "",VLOOKUP(C209,Key!$A$5:$B$7,2,FALSE))</f>
        <v>Minibus, matatu</v>
      </c>
      <c r="E209" s="53"/>
      <c r="F209" s="53" t="s">
        <v>64</v>
      </c>
      <c r="G209" s="53" t="s">
        <v>66</v>
      </c>
      <c r="H209" s="54" t="s">
        <v>66</v>
      </c>
      <c r="I209" s="53"/>
      <c r="J209" s="53" t="s">
        <v>65</v>
      </c>
      <c r="K209" s="54" t="s">
        <v>65</v>
      </c>
      <c r="L209" s="29" t="str">
        <f t="shared" si="3"/>
        <v>MBALE-TORORO</v>
      </c>
      <c r="M209" s="54">
        <v>14</v>
      </c>
      <c r="N209" s="55">
        <v>5000</v>
      </c>
      <c r="O209" s="56">
        <v>1.89</v>
      </c>
    </row>
    <row r="210" spans="1:15" s="49" customFormat="1" x14ac:dyDescent="0.2">
      <c r="A210" s="58"/>
      <c r="B210" s="50">
        <v>0.51041666666666663</v>
      </c>
      <c r="C210" s="51">
        <v>4</v>
      </c>
      <c r="D210" s="52" t="str">
        <f>IF(C210="", "",VLOOKUP(C210,Key!$A$5:$B$7,2,FALSE))</f>
        <v>Minibus, matatu</v>
      </c>
      <c r="E210" s="53"/>
      <c r="F210" s="53" t="s">
        <v>64</v>
      </c>
      <c r="G210" s="53" t="s">
        <v>69</v>
      </c>
      <c r="H210" s="54" t="s">
        <v>69</v>
      </c>
      <c r="I210" s="53"/>
      <c r="J210" s="53" t="s">
        <v>65</v>
      </c>
      <c r="K210" s="54" t="s">
        <v>65</v>
      </c>
      <c r="L210" s="29" t="str">
        <f t="shared" si="3"/>
        <v>BUSIA-TORORO</v>
      </c>
      <c r="M210" s="54">
        <v>14</v>
      </c>
      <c r="N210" s="55">
        <v>5000</v>
      </c>
      <c r="O210" s="56">
        <v>1.25</v>
      </c>
    </row>
    <row r="211" spans="1:15" s="49" customFormat="1" x14ac:dyDescent="0.2">
      <c r="A211" s="58"/>
      <c r="B211" s="50">
        <v>0.5180555555555556</v>
      </c>
      <c r="C211" s="51">
        <v>4</v>
      </c>
      <c r="D211" s="52" t="str">
        <f>IF(C211="", "",VLOOKUP(C211,Key!$A$5:$B$7,2,FALSE))</f>
        <v>Minibus, matatu</v>
      </c>
      <c r="E211" s="53"/>
      <c r="F211" s="53" t="s">
        <v>64</v>
      </c>
      <c r="G211" s="53" t="s">
        <v>66</v>
      </c>
      <c r="H211" s="54" t="s">
        <v>66</v>
      </c>
      <c r="I211" s="53"/>
      <c r="J211" s="53" t="s">
        <v>65</v>
      </c>
      <c r="K211" s="54" t="s">
        <v>65</v>
      </c>
      <c r="L211" s="29" t="str">
        <f t="shared" si="3"/>
        <v>MBALE-TORORO</v>
      </c>
      <c r="M211" s="54">
        <v>14</v>
      </c>
      <c r="N211" s="55">
        <v>5000</v>
      </c>
      <c r="O211" s="56">
        <v>1.89</v>
      </c>
    </row>
    <row r="212" spans="1:15" s="49" customFormat="1" x14ac:dyDescent="0.2">
      <c r="A212" s="58"/>
      <c r="B212" s="50">
        <v>0.51874999999999993</v>
      </c>
      <c r="C212" s="51">
        <v>4</v>
      </c>
      <c r="D212" s="52" t="str">
        <f>IF(C212="", "",VLOOKUP(C212,Key!$A$5:$B$7,2,FALSE))</f>
        <v>Minibus, matatu</v>
      </c>
      <c r="E212" s="53"/>
      <c r="F212" s="53" t="s">
        <v>64</v>
      </c>
      <c r="G212" s="53" t="s">
        <v>66</v>
      </c>
      <c r="H212" s="54" t="s">
        <v>66</v>
      </c>
      <c r="I212" s="53"/>
      <c r="J212" s="53" t="s">
        <v>65</v>
      </c>
      <c r="K212" s="54" t="s">
        <v>65</v>
      </c>
      <c r="L212" s="29" t="str">
        <f t="shared" si="3"/>
        <v>MBALE-TORORO</v>
      </c>
      <c r="M212" s="54">
        <v>14</v>
      </c>
      <c r="N212" s="55">
        <v>5000</v>
      </c>
      <c r="O212" s="56">
        <v>1.89</v>
      </c>
    </row>
    <row r="213" spans="1:15" s="49" customFormat="1" x14ac:dyDescent="0.2">
      <c r="A213" s="58"/>
      <c r="B213" s="50">
        <v>0.52222222222222225</v>
      </c>
      <c r="C213" s="51">
        <v>4</v>
      </c>
      <c r="D213" s="52" t="str">
        <f>IF(C213="", "",VLOOKUP(C213,Key!$A$5:$B$7,2,FALSE))</f>
        <v>Minibus, matatu</v>
      </c>
      <c r="E213" s="53"/>
      <c r="F213" s="53" t="s">
        <v>64</v>
      </c>
      <c r="G213" s="53" t="s">
        <v>69</v>
      </c>
      <c r="H213" s="54" t="s">
        <v>69</v>
      </c>
      <c r="I213" s="53"/>
      <c r="J213" s="53" t="s">
        <v>65</v>
      </c>
      <c r="K213" s="54" t="s">
        <v>65</v>
      </c>
      <c r="L213" s="29" t="str">
        <f t="shared" si="3"/>
        <v>BUSIA-TORORO</v>
      </c>
      <c r="M213" s="54">
        <v>14</v>
      </c>
      <c r="N213" s="55">
        <v>5000</v>
      </c>
      <c r="O213" s="56">
        <v>1.25</v>
      </c>
    </row>
    <row r="214" spans="1:15" s="49" customFormat="1" x14ac:dyDescent="0.2">
      <c r="A214" s="58"/>
      <c r="B214" s="50">
        <v>0.52361111111111114</v>
      </c>
      <c r="C214" s="51">
        <v>4</v>
      </c>
      <c r="D214" s="52" t="str">
        <f>IF(C214="", "",VLOOKUP(C214,Key!$A$5:$B$7,2,FALSE))</f>
        <v>Minibus, matatu</v>
      </c>
      <c r="E214" s="53"/>
      <c r="F214" s="53" t="s">
        <v>64</v>
      </c>
      <c r="G214" s="53" t="s">
        <v>69</v>
      </c>
      <c r="H214" s="54" t="s">
        <v>69</v>
      </c>
      <c r="I214" s="53"/>
      <c r="J214" s="53" t="s">
        <v>65</v>
      </c>
      <c r="K214" s="54" t="s">
        <v>65</v>
      </c>
      <c r="L214" s="29" t="str">
        <f t="shared" si="3"/>
        <v>BUSIA-TORORO</v>
      </c>
      <c r="M214" s="54">
        <v>14</v>
      </c>
      <c r="N214" s="55">
        <v>5000</v>
      </c>
      <c r="O214" s="56">
        <v>1.25</v>
      </c>
    </row>
    <row r="215" spans="1:15" s="49" customFormat="1" x14ac:dyDescent="0.2">
      <c r="A215" s="58"/>
      <c r="B215" s="50">
        <v>0.52777777777777779</v>
      </c>
      <c r="C215" s="51">
        <v>4</v>
      </c>
      <c r="D215" s="52" t="str">
        <f>IF(C215="", "",VLOOKUP(C215,Key!$A$5:$B$7,2,FALSE))</f>
        <v>Minibus, matatu</v>
      </c>
      <c r="E215" s="53"/>
      <c r="F215" s="53" t="s">
        <v>64</v>
      </c>
      <c r="G215" s="53" t="s">
        <v>69</v>
      </c>
      <c r="H215" s="54" t="s">
        <v>69</v>
      </c>
      <c r="I215" s="53"/>
      <c r="J215" s="53" t="s">
        <v>65</v>
      </c>
      <c r="K215" s="54" t="s">
        <v>65</v>
      </c>
      <c r="L215" s="29" t="str">
        <f t="shared" si="3"/>
        <v>BUSIA-TORORO</v>
      </c>
      <c r="M215" s="54">
        <v>14</v>
      </c>
      <c r="N215" s="55">
        <v>5000</v>
      </c>
      <c r="O215" s="56">
        <v>1.25</v>
      </c>
    </row>
    <row r="216" spans="1:15" s="49" customFormat="1" x14ac:dyDescent="0.2">
      <c r="A216" s="58"/>
      <c r="B216" s="50">
        <v>0.54166666666666663</v>
      </c>
      <c r="C216" s="51">
        <v>4</v>
      </c>
      <c r="D216" s="52" t="str">
        <f>IF(C216="", "",VLOOKUP(C216,Key!$A$5:$B$7,2,FALSE))</f>
        <v>Minibus, matatu</v>
      </c>
      <c r="E216" s="53"/>
      <c r="F216" s="53" t="s">
        <v>64</v>
      </c>
      <c r="G216" s="53" t="s">
        <v>67</v>
      </c>
      <c r="H216" s="54" t="s">
        <v>67</v>
      </c>
      <c r="I216" s="53"/>
      <c r="J216" s="53" t="s">
        <v>65</v>
      </c>
      <c r="K216" s="54" t="s">
        <v>65</v>
      </c>
      <c r="L216" s="29" t="str">
        <f t="shared" si="3"/>
        <v>JINJA-TORORO</v>
      </c>
      <c r="M216" s="54">
        <v>14</v>
      </c>
      <c r="N216" s="55">
        <v>13000</v>
      </c>
      <c r="O216" s="56">
        <v>2.25</v>
      </c>
    </row>
    <row r="217" spans="1:15" s="49" customFormat="1" x14ac:dyDescent="0.2">
      <c r="A217" s="58"/>
      <c r="B217" s="50">
        <v>0.55972222222222223</v>
      </c>
      <c r="C217" s="51">
        <v>4</v>
      </c>
      <c r="D217" s="52" t="str">
        <f>IF(C217="", "",VLOOKUP(C217,Key!$A$5:$B$7,2,FALSE))</f>
        <v>Minibus, matatu</v>
      </c>
      <c r="E217" s="53"/>
      <c r="F217" s="53" t="s">
        <v>64</v>
      </c>
      <c r="G217" s="53" t="s">
        <v>67</v>
      </c>
      <c r="H217" s="54" t="s">
        <v>67</v>
      </c>
      <c r="I217" s="53"/>
      <c r="J217" s="53" t="s">
        <v>65</v>
      </c>
      <c r="K217" s="54" t="s">
        <v>65</v>
      </c>
      <c r="L217" s="29" t="str">
        <f t="shared" si="3"/>
        <v>JINJA-TORORO</v>
      </c>
      <c r="M217" s="54">
        <v>14</v>
      </c>
      <c r="N217" s="55">
        <v>13000</v>
      </c>
      <c r="O217" s="56">
        <v>2.25</v>
      </c>
    </row>
    <row r="218" spans="1:15" s="49" customFormat="1" x14ac:dyDescent="0.2">
      <c r="A218" s="58"/>
      <c r="B218" s="50">
        <v>0.57430555555555551</v>
      </c>
      <c r="C218" s="51">
        <v>4</v>
      </c>
      <c r="D218" s="52" t="str">
        <f>IF(C218="", "",VLOOKUP(C218,Key!$A$5:$B$7,2,FALSE))</f>
        <v>Minibus, matatu</v>
      </c>
      <c r="E218" s="53"/>
      <c r="F218" s="53" t="s">
        <v>64</v>
      </c>
      <c r="G218" s="53" t="s">
        <v>67</v>
      </c>
      <c r="H218" s="54" t="s">
        <v>67</v>
      </c>
      <c r="I218" s="53"/>
      <c r="J218" s="53" t="s">
        <v>65</v>
      </c>
      <c r="K218" s="54" t="s">
        <v>65</v>
      </c>
      <c r="L218" s="29" t="str">
        <f t="shared" si="3"/>
        <v>JINJA-TORORO</v>
      </c>
      <c r="M218" s="54">
        <v>14</v>
      </c>
      <c r="N218" s="55">
        <v>13000</v>
      </c>
      <c r="O218" s="56">
        <v>2.25</v>
      </c>
    </row>
    <row r="219" spans="1:15" s="49" customFormat="1" x14ac:dyDescent="0.2">
      <c r="A219" s="58"/>
      <c r="B219" s="50">
        <v>0.58333333333333337</v>
      </c>
      <c r="C219" s="51">
        <v>4</v>
      </c>
      <c r="D219" s="52" t="str">
        <f>IF(C219="", "",VLOOKUP(C219,Key!$A$5:$B$7,2,FALSE))</f>
        <v>Minibus, matatu</v>
      </c>
      <c r="E219" s="53"/>
      <c r="F219" s="53" t="s">
        <v>64</v>
      </c>
      <c r="G219" s="53" t="s">
        <v>66</v>
      </c>
      <c r="H219" s="54" t="s">
        <v>66</v>
      </c>
      <c r="I219" s="53"/>
      <c r="J219" s="53" t="s">
        <v>65</v>
      </c>
      <c r="K219" s="54" t="s">
        <v>65</v>
      </c>
      <c r="L219" s="29" t="str">
        <f t="shared" si="3"/>
        <v>MBALE-TORORO</v>
      </c>
      <c r="M219" s="54">
        <v>14</v>
      </c>
      <c r="N219" s="55">
        <v>5000</v>
      </c>
      <c r="O219" s="56">
        <v>1.89</v>
      </c>
    </row>
    <row r="220" spans="1:15" s="49" customFormat="1" x14ac:dyDescent="0.2">
      <c r="A220" s="58"/>
      <c r="B220" s="50">
        <v>0.58680555555555558</v>
      </c>
      <c r="C220" s="51">
        <v>4</v>
      </c>
      <c r="D220" s="52" t="str">
        <f>IF(C220="", "",VLOOKUP(C220,Key!$A$5:$B$7,2,FALSE))</f>
        <v>Minibus, matatu</v>
      </c>
      <c r="E220" s="53"/>
      <c r="F220" s="53" t="s">
        <v>64</v>
      </c>
      <c r="G220" s="53" t="s">
        <v>66</v>
      </c>
      <c r="H220" s="54" t="s">
        <v>66</v>
      </c>
      <c r="I220" s="53"/>
      <c r="J220" s="53" t="s">
        <v>65</v>
      </c>
      <c r="K220" s="54" t="s">
        <v>65</v>
      </c>
      <c r="L220" s="29" t="str">
        <f t="shared" si="3"/>
        <v>MBALE-TORORO</v>
      </c>
      <c r="M220" s="54">
        <v>14</v>
      </c>
      <c r="N220" s="55">
        <v>5000</v>
      </c>
      <c r="O220" s="56">
        <v>1.89</v>
      </c>
    </row>
    <row r="221" spans="1:15" s="49" customFormat="1" x14ac:dyDescent="0.2">
      <c r="A221" s="58"/>
      <c r="B221" s="50">
        <v>0.60138888888888886</v>
      </c>
      <c r="C221" s="51">
        <v>4</v>
      </c>
      <c r="D221" s="52" t="str">
        <f>IF(C221="", "",VLOOKUP(C221,Key!$A$5:$B$7,2,FALSE))</f>
        <v>Minibus, matatu</v>
      </c>
      <c r="E221" s="53"/>
      <c r="F221" s="53" t="s">
        <v>64</v>
      </c>
      <c r="G221" s="53" t="s">
        <v>67</v>
      </c>
      <c r="H221" s="54" t="s">
        <v>67</v>
      </c>
      <c r="I221" s="53"/>
      <c r="J221" s="53" t="s">
        <v>65</v>
      </c>
      <c r="K221" s="54" t="s">
        <v>65</v>
      </c>
      <c r="L221" s="29" t="str">
        <f t="shared" si="3"/>
        <v>JINJA-TORORO</v>
      </c>
      <c r="M221" s="54">
        <v>14</v>
      </c>
      <c r="N221" s="55">
        <v>13000</v>
      </c>
      <c r="O221" s="56">
        <v>2.25</v>
      </c>
    </row>
    <row r="222" spans="1:15" s="49" customFormat="1" x14ac:dyDescent="0.2">
      <c r="A222" s="58"/>
      <c r="B222" s="50">
        <v>0.60416666666666663</v>
      </c>
      <c r="C222" s="51">
        <v>4</v>
      </c>
      <c r="D222" s="52" t="str">
        <f>IF(C222="", "",VLOOKUP(C222,Key!$A$5:$B$7,2,FALSE))</f>
        <v>Minibus, matatu</v>
      </c>
      <c r="E222" s="53"/>
      <c r="F222" s="53" t="s">
        <v>64</v>
      </c>
      <c r="G222" s="53" t="s">
        <v>68</v>
      </c>
      <c r="H222" s="54" t="s">
        <v>68</v>
      </c>
      <c r="I222" s="53"/>
      <c r="J222" s="53" t="s">
        <v>65</v>
      </c>
      <c r="K222" s="54" t="s">
        <v>65</v>
      </c>
      <c r="L222" s="29" t="str">
        <f t="shared" si="3"/>
        <v>KAMPALA-TORORO</v>
      </c>
      <c r="M222" s="54">
        <v>14</v>
      </c>
      <c r="N222" s="55">
        <v>18000</v>
      </c>
      <c r="O222" s="56">
        <v>4.8</v>
      </c>
    </row>
    <row r="223" spans="1:15" s="49" customFormat="1" x14ac:dyDescent="0.2">
      <c r="A223" s="58"/>
      <c r="B223" s="50">
        <v>0.61458333333333337</v>
      </c>
      <c r="C223" s="51">
        <v>4</v>
      </c>
      <c r="D223" s="52" t="str">
        <f>IF(C223="", "",VLOOKUP(C223,Key!$A$5:$B$7,2,FALSE))</f>
        <v>Minibus, matatu</v>
      </c>
      <c r="E223" s="53"/>
      <c r="F223" s="53" t="s">
        <v>64</v>
      </c>
      <c r="G223" s="53" t="s">
        <v>67</v>
      </c>
      <c r="H223" s="54" t="s">
        <v>67</v>
      </c>
      <c r="I223" s="53"/>
      <c r="J223" s="53" t="s">
        <v>65</v>
      </c>
      <c r="K223" s="54" t="s">
        <v>65</v>
      </c>
      <c r="L223" s="29" t="str">
        <f t="shared" si="3"/>
        <v>JINJA-TORORO</v>
      </c>
      <c r="M223" s="54">
        <v>14</v>
      </c>
      <c r="N223" s="55">
        <v>13000</v>
      </c>
      <c r="O223" s="56">
        <v>2.25</v>
      </c>
    </row>
    <row r="224" spans="1:15" s="49" customFormat="1" x14ac:dyDescent="0.2">
      <c r="A224" s="58"/>
      <c r="B224" s="50">
        <v>0.625</v>
      </c>
      <c r="C224" s="51">
        <v>4</v>
      </c>
      <c r="D224" s="52" t="str">
        <f>IF(C224="", "",VLOOKUP(C224,Key!$A$5:$B$7,2,FALSE))</f>
        <v>Minibus, matatu</v>
      </c>
      <c r="E224" s="53"/>
      <c r="F224" s="53" t="s">
        <v>64</v>
      </c>
      <c r="G224" s="53" t="s">
        <v>66</v>
      </c>
      <c r="H224" s="54" t="s">
        <v>66</v>
      </c>
      <c r="I224" s="53"/>
      <c r="J224" s="53" t="s">
        <v>65</v>
      </c>
      <c r="K224" s="54" t="s">
        <v>65</v>
      </c>
      <c r="L224" s="29" t="str">
        <f t="shared" si="3"/>
        <v>MBALE-TORORO</v>
      </c>
      <c r="M224" s="54">
        <v>14</v>
      </c>
      <c r="N224" s="55">
        <v>5000</v>
      </c>
      <c r="O224" s="56">
        <v>1.89</v>
      </c>
    </row>
    <row r="225" spans="1:15" s="49" customFormat="1" x14ac:dyDescent="0.2">
      <c r="A225" s="58"/>
      <c r="B225" s="50">
        <v>0.65</v>
      </c>
      <c r="C225" s="51">
        <v>4</v>
      </c>
      <c r="D225" s="52" t="str">
        <f>IF(C225="", "",VLOOKUP(C225,Key!$A$5:$B$7,2,FALSE))</f>
        <v>Minibus, matatu</v>
      </c>
      <c r="E225" s="53"/>
      <c r="F225" s="53" t="s">
        <v>64</v>
      </c>
      <c r="G225" s="53" t="s">
        <v>66</v>
      </c>
      <c r="H225" s="54" t="s">
        <v>66</v>
      </c>
      <c r="I225" s="53"/>
      <c r="J225" s="53" t="s">
        <v>65</v>
      </c>
      <c r="K225" s="54" t="s">
        <v>65</v>
      </c>
      <c r="L225" s="29" t="str">
        <f t="shared" si="3"/>
        <v>MBALE-TORORO</v>
      </c>
      <c r="M225" s="54">
        <v>14</v>
      </c>
      <c r="N225" s="55">
        <v>5000</v>
      </c>
      <c r="O225" s="56">
        <v>1.89</v>
      </c>
    </row>
    <row r="226" spans="1:15" s="49" customFormat="1" x14ac:dyDescent="0.2">
      <c r="A226" s="58"/>
      <c r="B226" s="50">
        <v>0.65763888888888888</v>
      </c>
      <c r="C226" s="51">
        <v>4</v>
      </c>
      <c r="D226" s="52" t="str">
        <f>IF(C226="", "",VLOOKUP(C226,Key!$A$5:$B$7,2,FALSE))</f>
        <v>Minibus, matatu</v>
      </c>
      <c r="E226" s="53"/>
      <c r="F226" s="53" t="s">
        <v>64</v>
      </c>
      <c r="G226" s="53" t="s">
        <v>67</v>
      </c>
      <c r="H226" s="54" t="s">
        <v>67</v>
      </c>
      <c r="I226" s="53"/>
      <c r="J226" s="53" t="s">
        <v>65</v>
      </c>
      <c r="K226" s="54" t="s">
        <v>65</v>
      </c>
      <c r="L226" s="29" t="str">
        <f t="shared" si="3"/>
        <v>JINJA-TORORO</v>
      </c>
      <c r="M226" s="54">
        <v>14</v>
      </c>
      <c r="N226" s="55">
        <v>13000</v>
      </c>
      <c r="O226" s="56">
        <v>2.25</v>
      </c>
    </row>
    <row r="227" spans="1:15" s="49" customFormat="1" x14ac:dyDescent="0.2">
      <c r="A227" s="58"/>
      <c r="B227" s="50">
        <v>0.66666666666666663</v>
      </c>
      <c r="C227" s="51">
        <v>4</v>
      </c>
      <c r="D227" s="52" t="str">
        <f>IF(C227="", "",VLOOKUP(C227,Key!$A$5:$B$7,2,FALSE))</f>
        <v>Minibus, matatu</v>
      </c>
      <c r="E227" s="53"/>
      <c r="F227" s="53" t="s">
        <v>64</v>
      </c>
      <c r="G227" s="53" t="s">
        <v>67</v>
      </c>
      <c r="H227" s="54" t="s">
        <v>67</v>
      </c>
      <c r="I227" s="53"/>
      <c r="J227" s="53" t="s">
        <v>65</v>
      </c>
      <c r="K227" s="54" t="s">
        <v>65</v>
      </c>
      <c r="L227" s="29" t="str">
        <f t="shared" si="3"/>
        <v>JINJA-TORORO</v>
      </c>
      <c r="M227" s="54">
        <v>14</v>
      </c>
      <c r="N227" s="55">
        <v>13000</v>
      </c>
      <c r="O227" s="56">
        <v>2.25</v>
      </c>
    </row>
    <row r="228" spans="1:15" s="49" customFormat="1" x14ac:dyDescent="0.2">
      <c r="A228" s="58"/>
      <c r="B228" s="50">
        <v>0.68541666666666667</v>
      </c>
      <c r="C228" s="51">
        <v>4</v>
      </c>
      <c r="D228" s="52" t="str">
        <f>IF(C228="", "",VLOOKUP(C228,Key!$A$5:$B$7,2,FALSE))</f>
        <v>Minibus, matatu</v>
      </c>
      <c r="E228" s="53"/>
      <c r="F228" s="53" t="s">
        <v>64</v>
      </c>
      <c r="G228" s="53" t="s">
        <v>67</v>
      </c>
      <c r="H228" s="54" t="s">
        <v>67</v>
      </c>
      <c r="I228" s="53"/>
      <c r="J228" s="53" t="s">
        <v>65</v>
      </c>
      <c r="K228" s="54" t="s">
        <v>65</v>
      </c>
      <c r="L228" s="29" t="str">
        <f t="shared" si="3"/>
        <v>JINJA-TORORO</v>
      </c>
      <c r="M228" s="54">
        <v>14</v>
      </c>
      <c r="N228" s="55">
        <v>13000</v>
      </c>
      <c r="O228" s="56">
        <v>2.25</v>
      </c>
    </row>
    <row r="229" spans="1:15" s="49" customFormat="1" x14ac:dyDescent="0.2">
      <c r="A229" s="58"/>
      <c r="B229" s="50">
        <v>0.69374999999999998</v>
      </c>
      <c r="C229" s="51">
        <v>4</v>
      </c>
      <c r="D229" s="52" t="str">
        <f>IF(C229="", "",VLOOKUP(C229,Key!$A$5:$B$7,2,FALSE))</f>
        <v>Minibus, matatu</v>
      </c>
      <c r="E229" s="53"/>
      <c r="F229" s="53" t="s">
        <v>64</v>
      </c>
      <c r="G229" s="53" t="s">
        <v>68</v>
      </c>
      <c r="H229" s="54" t="s">
        <v>68</v>
      </c>
      <c r="I229" s="53"/>
      <c r="J229" s="53" t="s">
        <v>65</v>
      </c>
      <c r="K229" s="54" t="s">
        <v>65</v>
      </c>
      <c r="L229" s="29" t="str">
        <f t="shared" si="3"/>
        <v>KAMPALA-TORORO</v>
      </c>
      <c r="M229" s="54">
        <v>14</v>
      </c>
      <c r="N229" s="55">
        <v>18000</v>
      </c>
      <c r="O229" s="56">
        <v>4.8</v>
      </c>
    </row>
    <row r="230" spans="1:15" s="49" customFormat="1" x14ac:dyDescent="0.2">
      <c r="A230" s="58"/>
      <c r="B230" s="50">
        <v>0.70277777777777783</v>
      </c>
      <c r="C230" s="51">
        <v>4</v>
      </c>
      <c r="D230" s="52" t="str">
        <f>IF(C230="", "",VLOOKUP(C230,Key!$A$5:$B$7,2,FALSE))</f>
        <v>Minibus, matatu</v>
      </c>
      <c r="E230" s="53"/>
      <c r="F230" s="53" t="s">
        <v>64</v>
      </c>
      <c r="G230" s="53" t="s">
        <v>67</v>
      </c>
      <c r="H230" s="54" t="s">
        <v>67</v>
      </c>
      <c r="I230" s="53"/>
      <c r="J230" s="53" t="s">
        <v>65</v>
      </c>
      <c r="K230" s="54" t="s">
        <v>65</v>
      </c>
      <c r="L230" s="29" t="str">
        <f t="shared" si="3"/>
        <v>JINJA-TORORO</v>
      </c>
      <c r="M230" s="54">
        <v>14</v>
      </c>
      <c r="N230" s="55">
        <v>13000</v>
      </c>
      <c r="O230" s="56">
        <v>2.25</v>
      </c>
    </row>
    <row r="231" spans="1:15" s="49" customFormat="1" x14ac:dyDescent="0.2">
      <c r="A231" s="58"/>
      <c r="B231" s="50">
        <v>0.71319444444444446</v>
      </c>
      <c r="C231" s="51">
        <v>4</v>
      </c>
      <c r="D231" s="52" t="str">
        <f>IF(C231="", "",VLOOKUP(C231,Key!$A$5:$B$7,2,FALSE))</f>
        <v>Minibus, matatu</v>
      </c>
      <c r="E231" s="53"/>
      <c r="F231" s="53" t="s">
        <v>64</v>
      </c>
      <c r="G231" s="53" t="s">
        <v>75</v>
      </c>
      <c r="H231" s="54" t="s">
        <v>69</v>
      </c>
      <c r="I231" s="53"/>
      <c r="J231" s="53" t="s">
        <v>68</v>
      </c>
      <c r="K231" s="54" t="s">
        <v>68</v>
      </c>
      <c r="L231" s="29" t="str">
        <f t="shared" si="3"/>
        <v>BUSIA-KAMPALA</v>
      </c>
      <c r="M231" s="54">
        <v>14</v>
      </c>
      <c r="N231" s="55">
        <v>20000</v>
      </c>
      <c r="O231" s="56">
        <v>4.25</v>
      </c>
    </row>
    <row r="232" spans="1:15" s="49" customFormat="1" x14ac:dyDescent="0.2">
      <c r="A232" s="58"/>
      <c r="B232" s="50">
        <v>0.77500000000000002</v>
      </c>
      <c r="C232" s="51">
        <v>4</v>
      </c>
      <c r="D232" s="52" t="str">
        <f>IF(C232="", "",VLOOKUP(C232,Key!$A$5:$B$7,2,FALSE))</f>
        <v>Minibus, matatu</v>
      </c>
      <c r="E232" s="53"/>
      <c r="F232" s="53" t="s">
        <v>64</v>
      </c>
      <c r="G232" s="53" t="s">
        <v>68</v>
      </c>
      <c r="H232" s="54" t="s">
        <v>68</v>
      </c>
      <c r="I232" s="53"/>
      <c r="J232" s="53" t="s">
        <v>65</v>
      </c>
      <c r="K232" s="54" t="s">
        <v>65</v>
      </c>
      <c r="L232" s="29" t="str">
        <f t="shared" si="3"/>
        <v>KAMPALA-TORORO</v>
      </c>
      <c r="M232" s="54">
        <v>14</v>
      </c>
      <c r="N232" s="55">
        <v>18000</v>
      </c>
      <c r="O232" s="56">
        <v>4.8</v>
      </c>
    </row>
    <row r="233" spans="1:15" s="49" customFormat="1" x14ac:dyDescent="0.2">
      <c r="A233" s="58"/>
      <c r="B233" s="57">
        <v>43695</v>
      </c>
      <c r="C233" s="51"/>
      <c r="D233" s="52"/>
      <c r="E233" s="53"/>
      <c r="F233" s="53"/>
      <c r="G233" s="53"/>
      <c r="H233" s="54"/>
      <c r="I233" s="53"/>
      <c r="J233" s="53"/>
      <c r="K233" s="54"/>
      <c r="L233" s="29" t="str">
        <f t="shared" si="3"/>
        <v>-</v>
      </c>
      <c r="M233" s="54"/>
      <c r="N233" s="55"/>
      <c r="O233" s="56"/>
    </row>
    <row r="234" spans="1:15" s="49" customFormat="1" x14ac:dyDescent="0.2">
      <c r="A234" s="58"/>
      <c r="B234" s="50">
        <v>0.16319444444444445</v>
      </c>
      <c r="C234" s="51">
        <v>4</v>
      </c>
      <c r="D234" s="52" t="str">
        <f>IF(C234="", "",VLOOKUP(C234,Key!$A$5:$B$7,2,FALSE))</f>
        <v>Minibus, matatu</v>
      </c>
      <c r="E234" s="53"/>
      <c r="F234" s="53" t="s">
        <v>64</v>
      </c>
      <c r="G234" s="53" t="s">
        <v>67</v>
      </c>
      <c r="H234" s="54" t="s">
        <v>67</v>
      </c>
      <c r="I234" s="53"/>
      <c r="J234" s="53" t="s">
        <v>65</v>
      </c>
      <c r="K234" s="54" t="s">
        <v>65</v>
      </c>
      <c r="L234" s="29" t="str">
        <f t="shared" si="3"/>
        <v>JINJA-TORORO</v>
      </c>
      <c r="M234" s="54">
        <v>14</v>
      </c>
      <c r="N234" s="55">
        <v>13000</v>
      </c>
      <c r="O234" s="56">
        <v>2.25</v>
      </c>
    </row>
    <row r="235" spans="1:15" s="49" customFormat="1" x14ac:dyDescent="0.2">
      <c r="A235" s="58"/>
      <c r="B235" s="50">
        <v>0.16388888888888889</v>
      </c>
      <c r="C235" s="51">
        <v>4</v>
      </c>
      <c r="D235" s="52" t="str">
        <f>IF(C235="", "",VLOOKUP(C235,Key!$A$5:$B$7,2,FALSE))</f>
        <v>Minibus, matatu</v>
      </c>
      <c r="E235" s="53"/>
      <c r="F235" s="53" t="s">
        <v>64</v>
      </c>
      <c r="G235" s="53" t="s">
        <v>68</v>
      </c>
      <c r="H235" s="54" t="s">
        <v>68</v>
      </c>
      <c r="I235" s="53"/>
      <c r="J235" s="53" t="s">
        <v>65</v>
      </c>
      <c r="K235" s="54" t="s">
        <v>65</v>
      </c>
      <c r="L235" s="29" t="str">
        <f t="shared" si="3"/>
        <v>KAMPALA-TORORO</v>
      </c>
      <c r="M235" s="54">
        <v>14</v>
      </c>
      <c r="N235" s="55">
        <v>18000</v>
      </c>
      <c r="O235" s="56">
        <v>4.8</v>
      </c>
    </row>
    <row r="236" spans="1:15" s="49" customFormat="1" x14ac:dyDescent="0.2">
      <c r="A236" s="58"/>
      <c r="B236" s="50">
        <v>0.35416666666666669</v>
      </c>
      <c r="C236" s="51">
        <v>4</v>
      </c>
      <c r="D236" s="52" t="str">
        <f>IF(C236="", "",VLOOKUP(C236,Key!$A$5:$B$7,2,FALSE))</f>
        <v>Minibus, matatu</v>
      </c>
      <c r="E236" s="53"/>
      <c r="F236" s="53" t="s">
        <v>64</v>
      </c>
      <c r="G236" s="53" t="s">
        <v>66</v>
      </c>
      <c r="H236" s="54" t="s">
        <v>66</v>
      </c>
      <c r="I236" s="53"/>
      <c r="J236" s="53" t="s">
        <v>65</v>
      </c>
      <c r="K236" s="54" t="s">
        <v>65</v>
      </c>
      <c r="L236" s="29" t="str">
        <f t="shared" si="3"/>
        <v>MBALE-TORORO</v>
      </c>
      <c r="M236" s="54">
        <v>14</v>
      </c>
      <c r="N236" s="55">
        <v>5000</v>
      </c>
      <c r="O236" s="56">
        <v>1.89</v>
      </c>
    </row>
    <row r="237" spans="1:15" s="49" customFormat="1" x14ac:dyDescent="0.2">
      <c r="A237" s="58"/>
      <c r="B237" s="50">
        <v>0.3611111111111111</v>
      </c>
      <c r="C237" s="51">
        <v>4</v>
      </c>
      <c r="D237" s="52" t="str">
        <f>IF(C237="", "",VLOOKUP(C237,Key!$A$5:$B$7,2,FALSE))</f>
        <v>Minibus, matatu</v>
      </c>
      <c r="E237" s="53"/>
      <c r="F237" s="53" t="s">
        <v>63</v>
      </c>
      <c r="G237" s="53" t="s">
        <v>65</v>
      </c>
      <c r="H237" s="54" t="s">
        <v>65</v>
      </c>
      <c r="I237" s="53"/>
      <c r="J237" s="53" t="s">
        <v>67</v>
      </c>
      <c r="K237" s="54" t="s">
        <v>67</v>
      </c>
      <c r="L237" s="29" t="str">
        <f t="shared" si="3"/>
        <v>TORORO-JINJA</v>
      </c>
      <c r="M237" s="54">
        <v>14</v>
      </c>
      <c r="N237" s="55">
        <v>13000</v>
      </c>
      <c r="O237" s="56">
        <v>2.25</v>
      </c>
    </row>
    <row r="238" spans="1:15" s="49" customFormat="1" x14ac:dyDescent="0.2">
      <c r="A238" s="58"/>
      <c r="B238" s="50">
        <v>0.36319444444444443</v>
      </c>
      <c r="C238" s="51">
        <v>4</v>
      </c>
      <c r="D238" s="52" t="str">
        <f>IF(C238="", "",VLOOKUP(C238,Key!$A$5:$B$7,2,FALSE))</f>
        <v>Minibus, matatu</v>
      </c>
      <c r="E238" s="53"/>
      <c r="F238" s="53" t="s">
        <v>64</v>
      </c>
      <c r="G238" s="53" t="s">
        <v>66</v>
      </c>
      <c r="H238" s="54" t="s">
        <v>66</v>
      </c>
      <c r="I238" s="53"/>
      <c r="J238" s="53" t="s">
        <v>65</v>
      </c>
      <c r="K238" s="54" t="s">
        <v>65</v>
      </c>
      <c r="L238" s="29" t="str">
        <f t="shared" si="3"/>
        <v>MBALE-TORORO</v>
      </c>
      <c r="M238" s="54">
        <v>14</v>
      </c>
      <c r="N238" s="55">
        <v>5000</v>
      </c>
      <c r="O238" s="56">
        <v>1.89</v>
      </c>
    </row>
    <row r="239" spans="1:15" s="49" customFormat="1" x14ac:dyDescent="0.2">
      <c r="A239" s="58"/>
      <c r="B239" s="50">
        <v>0.37847222222222227</v>
      </c>
      <c r="C239" s="51">
        <v>4</v>
      </c>
      <c r="D239" s="52" t="str">
        <f>IF(C239="", "",VLOOKUP(C239,Key!$A$5:$B$7,2,FALSE))</f>
        <v>Minibus, matatu</v>
      </c>
      <c r="E239" s="53"/>
      <c r="F239" s="53" t="s">
        <v>64</v>
      </c>
      <c r="G239" s="53" t="s">
        <v>66</v>
      </c>
      <c r="H239" s="54" t="s">
        <v>66</v>
      </c>
      <c r="I239" s="53"/>
      <c r="J239" s="53" t="s">
        <v>65</v>
      </c>
      <c r="K239" s="54" t="s">
        <v>65</v>
      </c>
      <c r="L239" s="29" t="str">
        <f t="shared" si="3"/>
        <v>MBALE-TORORO</v>
      </c>
      <c r="M239" s="54">
        <v>14</v>
      </c>
      <c r="N239" s="55">
        <v>5000</v>
      </c>
      <c r="O239" s="56">
        <v>1.89</v>
      </c>
    </row>
    <row r="240" spans="1:15" s="49" customFormat="1" x14ac:dyDescent="0.2">
      <c r="A240" s="58"/>
      <c r="B240" s="50">
        <v>0.38541666666666669</v>
      </c>
      <c r="C240" s="51">
        <v>4</v>
      </c>
      <c r="D240" s="52" t="str">
        <f>IF(C240="", "",VLOOKUP(C240,Key!$A$5:$B$7,2,FALSE))</f>
        <v>Minibus, matatu</v>
      </c>
      <c r="E240" s="53"/>
      <c r="F240" s="53" t="s">
        <v>64</v>
      </c>
      <c r="G240" s="53" t="s">
        <v>66</v>
      </c>
      <c r="H240" s="54" t="s">
        <v>66</v>
      </c>
      <c r="I240" s="53"/>
      <c r="J240" s="53" t="s">
        <v>65</v>
      </c>
      <c r="K240" s="54" t="s">
        <v>65</v>
      </c>
      <c r="L240" s="29" t="str">
        <f t="shared" si="3"/>
        <v>MBALE-TORORO</v>
      </c>
      <c r="M240" s="54">
        <v>14</v>
      </c>
      <c r="N240" s="55">
        <v>5000</v>
      </c>
      <c r="O240" s="56">
        <v>1.89</v>
      </c>
    </row>
    <row r="241" spans="1:15" s="49" customFormat="1" x14ac:dyDescent="0.2">
      <c r="A241" s="58"/>
      <c r="B241" s="50">
        <v>0.38958333333333334</v>
      </c>
      <c r="C241" s="51">
        <v>4</v>
      </c>
      <c r="D241" s="52" t="str">
        <f>IF(C241="", "",VLOOKUP(C241,Key!$A$5:$B$7,2,FALSE))</f>
        <v>Minibus, matatu</v>
      </c>
      <c r="E241" s="53"/>
      <c r="F241" s="53" t="s">
        <v>64</v>
      </c>
      <c r="G241" s="53" t="s">
        <v>67</v>
      </c>
      <c r="H241" s="54" t="s">
        <v>67</v>
      </c>
      <c r="I241" s="53"/>
      <c r="J241" s="53" t="s">
        <v>65</v>
      </c>
      <c r="K241" s="54" t="s">
        <v>65</v>
      </c>
      <c r="L241" s="29" t="str">
        <f t="shared" si="3"/>
        <v>JINJA-TORORO</v>
      </c>
      <c r="M241" s="54">
        <v>14</v>
      </c>
      <c r="N241" s="55">
        <v>13000</v>
      </c>
      <c r="O241" s="56">
        <v>2.25</v>
      </c>
    </row>
    <row r="242" spans="1:15" s="49" customFormat="1" x14ac:dyDescent="0.2">
      <c r="A242" s="58"/>
      <c r="B242" s="50">
        <v>0.39999999999999997</v>
      </c>
      <c r="C242" s="51">
        <v>4</v>
      </c>
      <c r="D242" s="52" t="str">
        <f>IF(C242="", "",VLOOKUP(C242,Key!$A$5:$B$7,2,FALSE))</f>
        <v>Minibus, matatu</v>
      </c>
      <c r="E242" s="53"/>
      <c r="F242" s="53" t="s">
        <v>64</v>
      </c>
      <c r="G242" s="53" t="s">
        <v>66</v>
      </c>
      <c r="H242" s="54" t="s">
        <v>66</v>
      </c>
      <c r="I242" s="53"/>
      <c r="J242" s="53" t="s">
        <v>65</v>
      </c>
      <c r="K242" s="54" t="s">
        <v>65</v>
      </c>
      <c r="L242" s="29" t="str">
        <f t="shared" si="3"/>
        <v>MBALE-TORORO</v>
      </c>
      <c r="M242" s="54">
        <v>14</v>
      </c>
      <c r="N242" s="55">
        <v>5000</v>
      </c>
      <c r="O242" s="56">
        <v>1.89</v>
      </c>
    </row>
    <row r="243" spans="1:15" s="49" customFormat="1" x14ac:dyDescent="0.2">
      <c r="A243" s="58"/>
      <c r="B243" s="50">
        <v>0.4055555555555555</v>
      </c>
      <c r="C243" s="51">
        <v>4</v>
      </c>
      <c r="D243" s="52" t="str">
        <f>IF(C243="", "",VLOOKUP(C243,Key!$A$5:$B$7,2,FALSE))</f>
        <v>Minibus, matatu</v>
      </c>
      <c r="E243" s="53"/>
      <c r="F243" s="53" t="s">
        <v>64</v>
      </c>
      <c r="G243" s="53" t="s">
        <v>66</v>
      </c>
      <c r="H243" s="54" t="s">
        <v>66</v>
      </c>
      <c r="I243" s="53"/>
      <c r="J243" s="53" t="s">
        <v>65</v>
      </c>
      <c r="K243" s="54" t="s">
        <v>65</v>
      </c>
      <c r="L243" s="29" t="str">
        <f t="shared" si="3"/>
        <v>MBALE-TORORO</v>
      </c>
      <c r="M243" s="54">
        <v>14</v>
      </c>
      <c r="N243" s="55">
        <v>5000</v>
      </c>
      <c r="O243" s="56">
        <v>1.89</v>
      </c>
    </row>
    <row r="244" spans="1:15" s="49" customFormat="1" x14ac:dyDescent="0.2">
      <c r="A244" s="58"/>
      <c r="B244" s="50">
        <v>0.41111111111111115</v>
      </c>
      <c r="C244" s="51">
        <v>4</v>
      </c>
      <c r="D244" s="52" t="str">
        <f>IF(C244="", "",VLOOKUP(C244,Key!$A$5:$B$7,2,FALSE))</f>
        <v>Minibus, matatu</v>
      </c>
      <c r="E244" s="53"/>
      <c r="F244" s="53" t="s">
        <v>64</v>
      </c>
      <c r="G244" s="53" t="s">
        <v>66</v>
      </c>
      <c r="H244" s="54" t="s">
        <v>66</v>
      </c>
      <c r="I244" s="53"/>
      <c r="J244" s="53" t="s">
        <v>65</v>
      </c>
      <c r="K244" s="54" t="s">
        <v>65</v>
      </c>
      <c r="L244" s="29" t="str">
        <f t="shared" si="3"/>
        <v>MBALE-TORORO</v>
      </c>
      <c r="M244" s="54">
        <v>14</v>
      </c>
      <c r="N244" s="55">
        <v>5000</v>
      </c>
      <c r="O244" s="56">
        <v>1.89</v>
      </c>
    </row>
    <row r="245" spans="1:15" s="49" customFormat="1" x14ac:dyDescent="0.2">
      <c r="A245" s="58"/>
      <c r="B245" s="50">
        <v>0.41666666666666669</v>
      </c>
      <c r="C245" s="51">
        <v>4</v>
      </c>
      <c r="D245" s="52" t="str">
        <f>IF(C245="", "",VLOOKUP(C245,Key!$A$5:$B$7,2,FALSE))</f>
        <v>Minibus, matatu</v>
      </c>
      <c r="E245" s="53"/>
      <c r="F245" s="53" t="s">
        <v>64</v>
      </c>
      <c r="G245" s="53" t="s">
        <v>67</v>
      </c>
      <c r="H245" s="54" t="s">
        <v>67</v>
      </c>
      <c r="I245" s="53"/>
      <c r="J245" s="53" t="s">
        <v>65</v>
      </c>
      <c r="K245" s="54" t="s">
        <v>65</v>
      </c>
      <c r="L245" s="29" t="str">
        <f t="shared" si="3"/>
        <v>JINJA-TORORO</v>
      </c>
      <c r="M245" s="54">
        <v>14</v>
      </c>
      <c r="N245" s="55">
        <v>13000</v>
      </c>
      <c r="O245" s="56">
        <v>2.25</v>
      </c>
    </row>
    <row r="246" spans="1:15" s="49" customFormat="1" x14ac:dyDescent="0.2">
      <c r="A246" s="58"/>
      <c r="B246" s="50">
        <v>0.41875000000000001</v>
      </c>
      <c r="C246" s="51">
        <v>4</v>
      </c>
      <c r="D246" s="52" t="str">
        <f>IF(C246="", "",VLOOKUP(C246,Key!$A$5:$B$7,2,FALSE))</f>
        <v>Minibus, matatu</v>
      </c>
      <c r="E246" s="53"/>
      <c r="F246" s="53" t="s">
        <v>64</v>
      </c>
      <c r="G246" s="53" t="s">
        <v>68</v>
      </c>
      <c r="H246" s="54" t="s">
        <v>68</v>
      </c>
      <c r="I246" s="53"/>
      <c r="J246" s="53" t="s">
        <v>65</v>
      </c>
      <c r="K246" s="54" t="s">
        <v>65</v>
      </c>
      <c r="L246" s="29" t="str">
        <f t="shared" si="3"/>
        <v>KAMPALA-TORORO</v>
      </c>
      <c r="M246" s="54">
        <v>14</v>
      </c>
      <c r="N246" s="55">
        <v>18000</v>
      </c>
      <c r="O246" s="56">
        <v>4.8</v>
      </c>
    </row>
    <row r="247" spans="1:15" s="49" customFormat="1" x14ac:dyDescent="0.2">
      <c r="A247" s="58"/>
      <c r="B247" s="50">
        <v>0.42152777777777778</v>
      </c>
      <c r="C247" s="51">
        <v>4</v>
      </c>
      <c r="D247" s="52" t="str">
        <f>IF(C247="", "",VLOOKUP(C247,Key!$A$5:$B$7,2,FALSE))</f>
        <v>Minibus, matatu</v>
      </c>
      <c r="E247" s="53"/>
      <c r="F247" s="53" t="s">
        <v>63</v>
      </c>
      <c r="G247" s="53" t="s">
        <v>65</v>
      </c>
      <c r="H247" s="53" t="s">
        <v>65</v>
      </c>
      <c r="I247" s="53"/>
      <c r="J247" s="53" t="s">
        <v>66</v>
      </c>
      <c r="K247" s="54" t="s">
        <v>66</v>
      </c>
      <c r="L247" s="29" t="str">
        <f t="shared" si="3"/>
        <v>TORORO-MBALE</v>
      </c>
      <c r="M247" s="54">
        <v>14</v>
      </c>
      <c r="N247" s="55">
        <v>5000</v>
      </c>
      <c r="O247" s="56">
        <v>1.9</v>
      </c>
    </row>
    <row r="248" spans="1:15" s="49" customFormat="1" x14ac:dyDescent="0.2">
      <c r="A248" s="58"/>
      <c r="B248" s="50">
        <v>0.43263888888888885</v>
      </c>
      <c r="C248" s="51">
        <v>4</v>
      </c>
      <c r="D248" s="52" t="str">
        <f>IF(C248="", "",VLOOKUP(C248,Key!$A$5:$B$7,2,FALSE))</f>
        <v>Minibus, matatu</v>
      </c>
      <c r="E248" s="53"/>
      <c r="F248" s="53" t="s">
        <v>64</v>
      </c>
      <c r="G248" s="53" t="s">
        <v>73</v>
      </c>
      <c r="H248" s="54" t="s">
        <v>73</v>
      </c>
      <c r="I248" s="53"/>
      <c r="J248" s="53" t="s">
        <v>65</v>
      </c>
      <c r="K248" s="54" t="s">
        <v>65</v>
      </c>
      <c r="L248" s="29" t="str">
        <f t="shared" si="3"/>
        <v>IGANGA-TORORO</v>
      </c>
      <c r="M248" s="54">
        <v>14</v>
      </c>
      <c r="N248" s="55">
        <v>10000</v>
      </c>
      <c r="O248" s="56">
        <v>1.8</v>
      </c>
    </row>
    <row r="249" spans="1:15" s="49" customFormat="1" x14ac:dyDescent="0.2">
      <c r="A249" s="58"/>
      <c r="B249" s="50">
        <v>0.4381944444444445</v>
      </c>
      <c r="C249" s="51">
        <v>4</v>
      </c>
      <c r="D249" s="52" t="str">
        <f>IF(C249="", "",VLOOKUP(C249,Key!$A$5:$B$7,2,FALSE))</f>
        <v>Minibus, matatu</v>
      </c>
      <c r="E249" s="53"/>
      <c r="F249" s="53" t="s">
        <v>64</v>
      </c>
      <c r="G249" s="53" t="s">
        <v>67</v>
      </c>
      <c r="H249" s="54" t="s">
        <v>67</v>
      </c>
      <c r="I249" s="53"/>
      <c r="J249" s="53" t="s">
        <v>65</v>
      </c>
      <c r="K249" s="54" t="s">
        <v>65</v>
      </c>
      <c r="L249" s="29" t="str">
        <f t="shared" si="3"/>
        <v>JINJA-TORORO</v>
      </c>
      <c r="M249" s="54">
        <v>14</v>
      </c>
      <c r="N249" s="55">
        <v>13000</v>
      </c>
      <c r="O249" s="56">
        <v>2.25</v>
      </c>
    </row>
    <row r="250" spans="1:15" s="49" customFormat="1" x14ac:dyDescent="0.2">
      <c r="A250" s="58"/>
      <c r="B250" s="50">
        <v>0.43888888888888888</v>
      </c>
      <c r="C250" s="51">
        <v>4</v>
      </c>
      <c r="D250" s="52" t="str">
        <f>IF(C250="", "",VLOOKUP(C250,Key!$A$5:$B$7,2,FALSE))</f>
        <v>Minibus, matatu</v>
      </c>
      <c r="E250" s="53"/>
      <c r="F250" s="53" t="s">
        <v>64</v>
      </c>
      <c r="G250" s="53" t="s">
        <v>66</v>
      </c>
      <c r="H250" s="54" t="s">
        <v>66</v>
      </c>
      <c r="I250" s="53"/>
      <c r="J250" s="53" t="s">
        <v>65</v>
      </c>
      <c r="K250" s="54" t="s">
        <v>65</v>
      </c>
      <c r="L250" s="29" t="str">
        <f t="shared" si="3"/>
        <v>MBALE-TORORO</v>
      </c>
      <c r="M250" s="54">
        <v>14</v>
      </c>
      <c r="N250" s="55">
        <v>5000</v>
      </c>
      <c r="O250" s="56">
        <v>1.89</v>
      </c>
    </row>
    <row r="251" spans="1:15" s="49" customFormat="1" x14ac:dyDescent="0.2">
      <c r="A251" s="58"/>
      <c r="B251" s="50">
        <v>0.4548611111111111</v>
      </c>
      <c r="C251" s="51">
        <v>4</v>
      </c>
      <c r="D251" s="52" t="str">
        <f>IF(C251="", "",VLOOKUP(C251,Key!$A$5:$B$7,2,FALSE))</f>
        <v>Minibus, matatu</v>
      </c>
      <c r="E251" s="53"/>
      <c r="F251" s="53" t="s">
        <v>64</v>
      </c>
      <c r="G251" s="53" t="s">
        <v>67</v>
      </c>
      <c r="H251" s="54" t="s">
        <v>67</v>
      </c>
      <c r="I251" s="53"/>
      <c r="J251" s="53" t="s">
        <v>65</v>
      </c>
      <c r="K251" s="54" t="s">
        <v>65</v>
      </c>
      <c r="L251" s="29" t="str">
        <f t="shared" si="3"/>
        <v>JINJA-TORORO</v>
      </c>
      <c r="M251" s="54">
        <v>14</v>
      </c>
      <c r="N251" s="55">
        <v>13000</v>
      </c>
      <c r="O251" s="56">
        <v>2.25</v>
      </c>
    </row>
    <row r="252" spans="1:15" s="49" customFormat="1" x14ac:dyDescent="0.2">
      <c r="A252" s="58"/>
      <c r="B252" s="50">
        <v>0.45833333333333331</v>
      </c>
      <c r="C252" s="51">
        <v>4</v>
      </c>
      <c r="D252" s="52" t="str">
        <f>IF(C252="", "",VLOOKUP(C252,Key!$A$5:$B$7,2,FALSE))</f>
        <v>Minibus, matatu</v>
      </c>
      <c r="E252" s="53"/>
      <c r="F252" s="53" t="s">
        <v>64</v>
      </c>
      <c r="G252" s="53" t="s">
        <v>68</v>
      </c>
      <c r="H252" s="54" t="s">
        <v>68</v>
      </c>
      <c r="I252" s="53"/>
      <c r="J252" s="53" t="s">
        <v>65</v>
      </c>
      <c r="K252" s="54" t="s">
        <v>65</v>
      </c>
      <c r="L252" s="29" t="str">
        <f t="shared" si="3"/>
        <v>KAMPALA-TORORO</v>
      </c>
      <c r="M252" s="54">
        <v>14</v>
      </c>
      <c r="N252" s="55">
        <v>18000</v>
      </c>
      <c r="O252" s="56">
        <v>4.8</v>
      </c>
    </row>
    <row r="253" spans="1:15" s="49" customFormat="1" x14ac:dyDescent="0.2">
      <c r="A253" s="58"/>
      <c r="B253" s="50">
        <v>0.4770833333333333</v>
      </c>
      <c r="C253" s="51">
        <v>4</v>
      </c>
      <c r="D253" s="52" t="str">
        <f>IF(C253="", "",VLOOKUP(C253,Key!$A$5:$B$7,2,FALSE))</f>
        <v>Minibus, matatu</v>
      </c>
      <c r="E253" s="53"/>
      <c r="F253" s="53" t="s">
        <v>64</v>
      </c>
      <c r="G253" s="53" t="s">
        <v>66</v>
      </c>
      <c r="H253" s="54" t="s">
        <v>66</v>
      </c>
      <c r="I253" s="53"/>
      <c r="J253" s="53" t="s">
        <v>65</v>
      </c>
      <c r="K253" s="54" t="s">
        <v>65</v>
      </c>
      <c r="L253" s="29" t="str">
        <f t="shared" si="3"/>
        <v>MBALE-TORORO</v>
      </c>
      <c r="M253" s="54">
        <v>14</v>
      </c>
      <c r="N253" s="55">
        <v>5000</v>
      </c>
      <c r="O253" s="56">
        <v>1.89</v>
      </c>
    </row>
    <row r="254" spans="1:15" s="49" customFormat="1" x14ac:dyDescent="0.2">
      <c r="A254" s="58"/>
      <c r="B254" s="50">
        <v>0.48125000000000001</v>
      </c>
      <c r="C254" s="51">
        <v>4</v>
      </c>
      <c r="D254" s="52" t="str">
        <f>IF(C254="", "",VLOOKUP(C254,Key!$A$5:$B$7,2,FALSE))</f>
        <v>Minibus, matatu</v>
      </c>
      <c r="E254" s="53"/>
      <c r="F254" s="53" t="s">
        <v>64</v>
      </c>
      <c r="G254" s="53" t="s">
        <v>68</v>
      </c>
      <c r="H254" s="54" t="s">
        <v>68</v>
      </c>
      <c r="I254" s="53"/>
      <c r="J254" s="53" t="s">
        <v>65</v>
      </c>
      <c r="K254" s="54" t="s">
        <v>65</v>
      </c>
      <c r="L254" s="29" t="str">
        <f t="shared" si="3"/>
        <v>KAMPALA-TORORO</v>
      </c>
      <c r="M254" s="54">
        <v>14</v>
      </c>
      <c r="N254" s="55">
        <v>18000</v>
      </c>
      <c r="O254" s="56">
        <v>4.8</v>
      </c>
    </row>
    <row r="255" spans="1:15" s="49" customFormat="1" x14ac:dyDescent="0.2">
      <c r="A255" s="58"/>
      <c r="B255" s="50">
        <v>0.49236111111111108</v>
      </c>
      <c r="C255" s="51">
        <v>4</v>
      </c>
      <c r="D255" s="52" t="str">
        <f>IF(C255="", "",VLOOKUP(C255,Key!$A$5:$B$7,2,FALSE))</f>
        <v>Minibus, matatu</v>
      </c>
      <c r="E255" s="53"/>
      <c r="F255" s="53" t="s">
        <v>64</v>
      </c>
      <c r="G255" s="53" t="s">
        <v>66</v>
      </c>
      <c r="H255" s="54" t="s">
        <v>66</v>
      </c>
      <c r="I255" s="53"/>
      <c r="J255" s="53" t="s">
        <v>65</v>
      </c>
      <c r="K255" s="54" t="s">
        <v>65</v>
      </c>
      <c r="L255" s="29" t="str">
        <f t="shared" si="3"/>
        <v>MBALE-TORORO</v>
      </c>
      <c r="M255" s="54">
        <v>14</v>
      </c>
      <c r="N255" s="55">
        <v>5000</v>
      </c>
      <c r="O255" s="56">
        <v>1.89</v>
      </c>
    </row>
    <row r="256" spans="1:15" s="49" customFormat="1" x14ac:dyDescent="0.2">
      <c r="A256" s="58"/>
      <c r="B256" s="50">
        <v>0.49791666666666662</v>
      </c>
      <c r="C256" s="51">
        <v>4</v>
      </c>
      <c r="D256" s="52" t="str">
        <f>IF(C256="", "",VLOOKUP(C256,Key!$A$5:$B$7,2,FALSE))</f>
        <v>Minibus, matatu</v>
      </c>
      <c r="E256" s="53"/>
      <c r="F256" s="53" t="s">
        <v>64</v>
      </c>
      <c r="G256" s="53" t="s">
        <v>67</v>
      </c>
      <c r="H256" s="54" t="s">
        <v>67</v>
      </c>
      <c r="I256" s="53"/>
      <c r="J256" s="53" t="s">
        <v>65</v>
      </c>
      <c r="K256" s="54" t="s">
        <v>65</v>
      </c>
      <c r="L256" s="29" t="str">
        <f t="shared" si="3"/>
        <v>JINJA-TORORO</v>
      </c>
      <c r="M256" s="54">
        <v>14</v>
      </c>
      <c r="N256" s="55">
        <v>13000</v>
      </c>
      <c r="O256" s="56">
        <v>2.25</v>
      </c>
    </row>
    <row r="257" spans="1:15" s="49" customFormat="1" x14ac:dyDescent="0.2">
      <c r="A257" s="58"/>
      <c r="B257" s="50">
        <v>0.51041666666666663</v>
      </c>
      <c r="C257" s="51">
        <v>4</v>
      </c>
      <c r="D257" s="52" t="str">
        <f>IF(C257="", "",VLOOKUP(C257,Key!$A$5:$B$7,2,FALSE))</f>
        <v>Minibus, matatu</v>
      </c>
      <c r="E257" s="53"/>
      <c r="F257" s="53" t="s">
        <v>64</v>
      </c>
      <c r="G257" s="53" t="s">
        <v>66</v>
      </c>
      <c r="H257" s="54" t="s">
        <v>66</v>
      </c>
      <c r="I257" s="53"/>
      <c r="J257" s="53" t="s">
        <v>65</v>
      </c>
      <c r="K257" s="54" t="s">
        <v>65</v>
      </c>
      <c r="L257" s="29" t="str">
        <f t="shared" si="3"/>
        <v>MBALE-TORORO</v>
      </c>
      <c r="M257" s="54">
        <v>14</v>
      </c>
      <c r="N257" s="55">
        <v>5000</v>
      </c>
      <c r="O257" s="56">
        <v>1.89</v>
      </c>
    </row>
    <row r="258" spans="1:15" s="49" customFormat="1" x14ac:dyDescent="0.2">
      <c r="A258" s="58"/>
      <c r="B258" s="50">
        <v>0.51736111111111105</v>
      </c>
      <c r="C258" s="51">
        <v>4</v>
      </c>
      <c r="D258" s="52" t="str">
        <f>IF(C258="", "",VLOOKUP(C258,Key!$A$5:$B$7,2,FALSE))</f>
        <v>Minibus, matatu</v>
      </c>
      <c r="E258" s="53"/>
      <c r="F258" s="53" t="s">
        <v>64</v>
      </c>
      <c r="G258" s="53" t="s">
        <v>68</v>
      </c>
      <c r="H258" s="54" t="s">
        <v>68</v>
      </c>
      <c r="I258" s="53"/>
      <c r="J258" s="53" t="s">
        <v>65</v>
      </c>
      <c r="K258" s="54" t="s">
        <v>65</v>
      </c>
      <c r="L258" s="29" t="str">
        <f t="shared" si="3"/>
        <v>KAMPALA-TORORO</v>
      </c>
      <c r="M258" s="54">
        <v>14</v>
      </c>
      <c r="N258" s="55">
        <v>5000</v>
      </c>
      <c r="O258" s="56">
        <v>4.8</v>
      </c>
    </row>
    <row r="259" spans="1:15" s="49" customFormat="1" x14ac:dyDescent="0.2">
      <c r="A259" s="58"/>
      <c r="B259" s="50">
        <v>0.51874999999999993</v>
      </c>
      <c r="C259" s="51">
        <v>4</v>
      </c>
      <c r="D259" s="52" t="str">
        <f>IF(C259="", "",VLOOKUP(C259,Key!$A$5:$B$7,2,FALSE))</f>
        <v>Minibus, matatu</v>
      </c>
      <c r="E259" s="53"/>
      <c r="F259" s="53" t="s">
        <v>64</v>
      </c>
      <c r="G259" s="53" t="s">
        <v>72</v>
      </c>
      <c r="H259" s="54" t="s">
        <v>66</v>
      </c>
      <c r="I259" s="53"/>
      <c r="J259" s="53" t="s">
        <v>65</v>
      </c>
      <c r="K259" s="54" t="s">
        <v>65</v>
      </c>
      <c r="L259" s="29" t="str">
        <f t="shared" si="3"/>
        <v>MBALE-TORORO</v>
      </c>
      <c r="M259" s="54">
        <v>14</v>
      </c>
      <c r="N259" s="55">
        <v>5000</v>
      </c>
      <c r="O259" s="56">
        <v>1.89</v>
      </c>
    </row>
    <row r="260" spans="1:15" s="49" customFormat="1" x14ac:dyDescent="0.2">
      <c r="A260" s="58"/>
      <c r="B260" s="50">
        <v>0.52500000000000002</v>
      </c>
      <c r="C260" s="51">
        <v>4</v>
      </c>
      <c r="D260" s="52" t="str">
        <f>IF(C260="", "",VLOOKUP(C260,Key!$A$5:$B$7,2,FALSE))</f>
        <v>Minibus, matatu</v>
      </c>
      <c r="E260" s="53"/>
      <c r="F260" s="53" t="s">
        <v>64</v>
      </c>
      <c r="G260" s="53" t="s">
        <v>76</v>
      </c>
      <c r="H260" s="54" t="s">
        <v>77</v>
      </c>
      <c r="I260" s="53"/>
      <c r="J260" s="53" t="s">
        <v>65</v>
      </c>
      <c r="K260" s="54" t="s">
        <v>65</v>
      </c>
      <c r="L260" s="29" t="str">
        <f t="shared" si="3"/>
        <v>BUTALEJA-TORORO</v>
      </c>
      <c r="M260" s="54">
        <v>14</v>
      </c>
      <c r="N260" s="55">
        <v>5000</v>
      </c>
      <c r="O260" s="56">
        <v>1.25</v>
      </c>
    </row>
    <row r="261" spans="1:15" s="49" customFormat="1" x14ac:dyDescent="0.2">
      <c r="A261" s="58"/>
      <c r="B261" s="50">
        <v>0.53055555555555556</v>
      </c>
      <c r="C261" s="51">
        <v>4</v>
      </c>
      <c r="D261" s="52" t="str">
        <f>IF(C261="", "",VLOOKUP(C261,Key!$A$5:$B$7,2,FALSE))</f>
        <v>Minibus, matatu</v>
      </c>
      <c r="E261" s="53"/>
      <c r="F261" s="53" t="s">
        <v>64</v>
      </c>
      <c r="G261" s="53" t="s">
        <v>66</v>
      </c>
      <c r="H261" s="54" t="s">
        <v>66</v>
      </c>
      <c r="I261" s="53"/>
      <c r="J261" s="53" t="s">
        <v>65</v>
      </c>
      <c r="K261" s="54" t="s">
        <v>65</v>
      </c>
      <c r="L261" s="29" t="str">
        <f t="shared" si="3"/>
        <v>MBALE-TORORO</v>
      </c>
      <c r="M261" s="54">
        <v>14</v>
      </c>
      <c r="N261" s="55">
        <v>5000</v>
      </c>
      <c r="O261" s="56">
        <v>1.89</v>
      </c>
    </row>
    <row r="262" spans="1:15" s="49" customFormat="1" x14ac:dyDescent="0.2">
      <c r="A262" s="58"/>
      <c r="B262" s="50">
        <v>0.53472222222222221</v>
      </c>
      <c r="C262" s="51">
        <v>4</v>
      </c>
      <c r="D262" s="52" t="str">
        <f>IF(C262="", "",VLOOKUP(C262,Key!$A$5:$B$7,2,FALSE))</f>
        <v>Minibus, matatu</v>
      </c>
      <c r="E262" s="53"/>
      <c r="F262" s="53" t="s">
        <v>64</v>
      </c>
      <c r="G262" s="53" t="s">
        <v>76</v>
      </c>
      <c r="H262" s="54" t="s">
        <v>77</v>
      </c>
      <c r="I262" s="53"/>
      <c r="J262" s="53" t="s">
        <v>65</v>
      </c>
      <c r="K262" s="54" t="s">
        <v>65</v>
      </c>
      <c r="L262" s="29" t="str">
        <f t="shared" si="3"/>
        <v>BUTALEJA-TORORO</v>
      </c>
      <c r="M262" s="54">
        <v>14</v>
      </c>
      <c r="N262" s="55">
        <v>5000</v>
      </c>
      <c r="O262" s="56">
        <v>1.25</v>
      </c>
    </row>
    <row r="263" spans="1:15" s="49" customFormat="1" x14ac:dyDescent="0.2">
      <c r="A263" s="58"/>
      <c r="B263" s="50">
        <v>0.54097222222222219</v>
      </c>
      <c r="C263" s="51">
        <v>4</v>
      </c>
      <c r="D263" s="52" t="str">
        <f>IF(C263="", "",VLOOKUP(C263,Key!$A$5:$B$7,2,FALSE))</f>
        <v>Minibus, matatu</v>
      </c>
      <c r="E263" s="53"/>
      <c r="F263" s="53" t="s">
        <v>64</v>
      </c>
      <c r="G263" s="53" t="s">
        <v>66</v>
      </c>
      <c r="H263" s="54" t="s">
        <v>66</v>
      </c>
      <c r="I263" s="53"/>
      <c r="J263" s="53" t="s">
        <v>65</v>
      </c>
      <c r="K263" s="54" t="s">
        <v>65</v>
      </c>
      <c r="L263" s="29" t="str">
        <f t="shared" si="3"/>
        <v>MBALE-TORORO</v>
      </c>
      <c r="M263" s="54">
        <v>14</v>
      </c>
      <c r="N263" s="55">
        <v>5000</v>
      </c>
      <c r="O263" s="56">
        <v>1.89</v>
      </c>
    </row>
    <row r="264" spans="1:15" s="49" customFormat="1" x14ac:dyDescent="0.2">
      <c r="A264" s="58"/>
      <c r="B264" s="50">
        <v>0.54166666666666663</v>
      </c>
      <c r="C264" s="51">
        <v>4</v>
      </c>
      <c r="D264" s="52" t="str">
        <f>IF(C264="", "",VLOOKUP(C264,Key!$A$5:$B$7,2,FALSE))</f>
        <v>Minibus, matatu</v>
      </c>
      <c r="E264" s="53"/>
      <c r="F264" s="53" t="s">
        <v>64</v>
      </c>
      <c r="G264" s="53" t="s">
        <v>66</v>
      </c>
      <c r="H264" s="54" t="s">
        <v>66</v>
      </c>
      <c r="I264" s="53"/>
      <c r="J264" s="53" t="s">
        <v>65</v>
      </c>
      <c r="K264" s="54" t="s">
        <v>65</v>
      </c>
      <c r="L264" s="29" t="str">
        <f t="shared" si="3"/>
        <v>MBALE-TORORO</v>
      </c>
      <c r="M264" s="54">
        <v>14</v>
      </c>
      <c r="N264" s="55">
        <v>5000</v>
      </c>
      <c r="O264" s="56">
        <v>1.89</v>
      </c>
    </row>
    <row r="265" spans="1:15" s="49" customFormat="1" x14ac:dyDescent="0.2">
      <c r="A265" s="58"/>
      <c r="B265" s="50">
        <v>0.55208333333333337</v>
      </c>
      <c r="C265" s="51">
        <v>4</v>
      </c>
      <c r="D265" s="52" t="str">
        <f>IF(C265="", "",VLOOKUP(C265,Key!$A$5:$B$7,2,FALSE))</f>
        <v>Minibus, matatu</v>
      </c>
      <c r="E265" s="53"/>
      <c r="F265" s="53" t="s">
        <v>64</v>
      </c>
      <c r="G265" s="53" t="s">
        <v>72</v>
      </c>
      <c r="H265" s="54" t="s">
        <v>66</v>
      </c>
      <c r="I265" s="53"/>
      <c r="J265" s="53" t="s">
        <v>65</v>
      </c>
      <c r="K265" s="54" t="s">
        <v>65</v>
      </c>
      <c r="L265" s="29" t="str">
        <f t="shared" ref="L265:L328" si="4">H265&amp;"-"&amp;K265</f>
        <v>MBALE-TORORO</v>
      </c>
      <c r="M265" s="54">
        <v>14</v>
      </c>
      <c r="N265" s="55">
        <v>5000</v>
      </c>
      <c r="O265" s="56">
        <v>1.89</v>
      </c>
    </row>
    <row r="266" spans="1:15" s="49" customFormat="1" x14ac:dyDescent="0.2">
      <c r="A266" s="58"/>
      <c r="B266" s="50">
        <v>0.55347222222222225</v>
      </c>
      <c r="C266" s="51">
        <v>4</v>
      </c>
      <c r="D266" s="52" t="str">
        <f>IF(C266="", "",VLOOKUP(C266,Key!$A$5:$B$7,2,FALSE))</f>
        <v>Minibus, matatu</v>
      </c>
      <c r="E266" s="53"/>
      <c r="F266" s="53" t="s">
        <v>64</v>
      </c>
      <c r="G266" s="53" t="s">
        <v>76</v>
      </c>
      <c r="H266" s="54" t="s">
        <v>77</v>
      </c>
      <c r="I266" s="53"/>
      <c r="J266" s="53" t="s">
        <v>65</v>
      </c>
      <c r="K266" s="54" t="s">
        <v>65</v>
      </c>
      <c r="L266" s="29" t="str">
        <f t="shared" si="4"/>
        <v>BUTALEJA-TORORO</v>
      </c>
      <c r="M266" s="54">
        <v>14</v>
      </c>
      <c r="N266" s="55">
        <v>5000</v>
      </c>
      <c r="O266" s="56">
        <v>1.25</v>
      </c>
    </row>
    <row r="267" spans="1:15" s="49" customFormat="1" x14ac:dyDescent="0.2">
      <c r="A267" s="58"/>
      <c r="B267" s="50">
        <v>0.55555555555555558</v>
      </c>
      <c r="C267" s="51">
        <v>4</v>
      </c>
      <c r="D267" s="52" t="str">
        <f>IF(C267="", "",VLOOKUP(C267,Key!$A$5:$B$7,2,FALSE))</f>
        <v>Minibus, matatu</v>
      </c>
      <c r="E267" s="53"/>
      <c r="F267" s="53" t="s">
        <v>63</v>
      </c>
      <c r="G267" s="53" t="s">
        <v>65</v>
      </c>
      <c r="H267" s="53" t="s">
        <v>65</v>
      </c>
      <c r="I267" s="53"/>
      <c r="J267" s="53" t="s">
        <v>66</v>
      </c>
      <c r="K267" s="54" t="s">
        <v>66</v>
      </c>
      <c r="L267" s="29" t="str">
        <f t="shared" si="4"/>
        <v>TORORO-MBALE</v>
      </c>
      <c r="M267" s="54">
        <v>14</v>
      </c>
      <c r="N267" s="55">
        <v>5000</v>
      </c>
      <c r="O267" s="56">
        <v>1.9</v>
      </c>
    </row>
    <row r="268" spans="1:15" s="49" customFormat="1" x14ac:dyDescent="0.2">
      <c r="A268" s="58"/>
      <c r="B268" s="50">
        <v>0.56666666666666665</v>
      </c>
      <c r="C268" s="51">
        <v>4</v>
      </c>
      <c r="D268" s="52" t="str">
        <f>IF(C268="", "",VLOOKUP(C268,Key!$A$5:$B$7,2,FALSE))</f>
        <v>Minibus, matatu</v>
      </c>
      <c r="E268" s="53"/>
      <c r="F268" s="53" t="s">
        <v>63</v>
      </c>
      <c r="G268" s="53" t="s">
        <v>65</v>
      </c>
      <c r="H268" s="54" t="s">
        <v>65</v>
      </c>
      <c r="I268" s="53"/>
      <c r="J268" s="53" t="s">
        <v>68</v>
      </c>
      <c r="K268" s="54" t="s">
        <v>68</v>
      </c>
      <c r="L268" s="29" t="str">
        <f t="shared" si="4"/>
        <v>TORORO-KAMPALA</v>
      </c>
      <c r="M268" s="54">
        <v>14</v>
      </c>
      <c r="N268" s="55">
        <v>18000</v>
      </c>
      <c r="O268" s="56">
        <v>4.8</v>
      </c>
    </row>
    <row r="269" spans="1:15" s="49" customFormat="1" x14ac:dyDescent="0.2">
      <c r="A269" s="58"/>
      <c r="B269" s="50">
        <v>0.58333333333333337</v>
      </c>
      <c r="C269" s="51">
        <v>4</v>
      </c>
      <c r="D269" s="52" t="str">
        <f>IF(C269="", "",VLOOKUP(C269,Key!$A$5:$B$7,2,FALSE))</f>
        <v>Minibus, matatu</v>
      </c>
      <c r="E269" s="53"/>
      <c r="F269" s="53" t="s">
        <v>64</v>
      </c>
      <c r="G269" s="53" t="s">
        <v>65</v>
      </c>
      <c r="H269" s="53" t="s">
        <v>65</v>
      </c>
      <c r="I269" s="53"/>
      <c r="J269" s="53" t="s">
        <v>66</v>
      </c>
      <c r="K269" s="54" t="s">
        <v>66</v>
      </c>
      <c r="L269" s="29" t="str">
        <f t="shared" si="4"/>
        <v>TORORO-MBALE</v>
      </c>
      <c r="M269" s="54">
        <v>14</v>
      </c>
      <c r="N269" s="55">
        <v>5000</v>
      </c>
      <c r="O269" s="56">
        <v>1.9</v>
      </c>
    </row>
    <row r="270" spans="1:15" s="49" customFormat="1" x14ac:dyDescent="0.2">
      <c r="A270" s="58"/>
      <c r="B270" s="50">
        <v>0.59027777777777779</v>
      </c>
      <c r="C270" s="51">
        <v>4</v>
      </c>
      <c r="D270" s="52" t="str">
        <f>IF(C270="", "",VLOOKUP(C270,Key!$A$5:$B$7,2,FALSE))</f>
        <v>Minibus, matatu</v>
      </c>
      <c r="E270" s="53"/>
      <c r="F270" s="53" t="s">
        <v>64</v>
      </c>
      <c r="G270" s="53" t="s">
        <v>68</v>
      </c>
      <c r="H270" s="54" t="s">
        <v>68</v>
      </c>
      <c r="I270" s="53"/>
      <c r="J270" s="53" t="s">
        <v>65</v>
      </c>
      <c r="K270" s="54" t="s">
        <v>65</v>
      </c>
      <c r="L270" s="29" t="str">
        <f t="shared" si="4"/>
        <v>KAMPALA-TORORO</v>
      </c>
      <c r="M270" s="54">
        <v>14</v>
      </c>
      <c r="N270" s="55">
        <v>18000</v>
      </c>
      <c r="O270" s="56">
        <v>4.8</v>
      </c>
    </row>
    <row r="271" spans="1:15" s="49" customFormat="1" x14ac:dyDescent="0.2">
      <c r="A271" s="58"/>
      <c r="B271" s="50">
        <v>0.59236111111111112</v>
      </c>
      <c r="C271" s="51">
        <v>4</v>
      </c>
      <c r="D271" s="52" t="str">
        <f>IF(C271="", "",VLOOKUP(C271,Key!$A$5:$B$7,2,FALSE))</f>
        <v>Minibus, matatu</v>
      </c>
      <c r="E271" s="53"/>
      <c r="F271" s="53" t="s">
        <v>64</v>
      </c>
      <c r="G271" s="53" t="s">
        <v>66</v>
      </c>
      <c r="H271" s="54" t="s">
        <v>66</v>
      </c>
      <c r="I271" s="53"/>
      <c r="J271" s="53" t="s">
        <v>65</v>
      </c>
      <c r="K271" s="54" t="s">
        <v>65</v>
      </c>
      <c r="L271" s="29" t="str">
        <f t="shared" si="4"/>
        <v>MBALE-TORORO</v>
      </c>
      <c r="M271" s="54">
        <v>14</v>
      </c>
      <c r="N271" s="55">
        <v>5000</v>
      </c>
      <c r="O271" s="56">
        <v>1.89</v>
      </c>
    </row>
    <row r="272" spans="1:15" s="49" customFormat="1" x14ac:dyDescent="0.2">
      <c r="A272" s="58"/>
      <c r="B272" s="50">
        <v>0.60138888888888886</v>
      </c>
      <c r="C272" s="51">
        <v>4</v>
      </c>
      <c r="D272" s="52" t="str">
        <f>IF(C272="", "",VLOOKUP(C272,Key!$A$5:$B$7,2,FALSE))</f>
        <v>Minibus, matatu</v>
      </c>
      <c r="E272" s="53"/>
      <c r="F272" s="53" t="s">
        <v>64</v>
      </c>
      <c r="G272" s="53" t="s">
        <v>66</v>
      </c>
      <c r="H272" s="54" t="s">
        <v>66</v>
      </c>
      <c r="I272" s="53"/>
      <c r="J272" s="53" t="s">
        <v>65</v>
      </c>
      <c r="K272" s="54" t="s">
        <v>65</v>
      </c>
      <c r="L272" s="29" t="str">
        <f t="shared" si="4"/>
        <v>MBALE-TORORO</v>
      </c>
      <c r="M272" s="54">
        <v>14</v>
      </c>
      <c r="N272" s="55">
        <v>5000</v>
      </c>
      <c r="O272" s="56">
        <v>1.89</v>
      </c>
    </row>
    <row r="273" spans="1:15" s="49" customFormat="1" x14ac:dyDescent="0.2">
      <c r="A273" s="58"/>
      <c r="B273" s="50">
        <v>0.60416666666666663</v>
      </c>
      <c r="C273" s="51">
        <v>4</v>
      </c>
      <c r="D273" s="52" t="str">
        <f>IF(C273="", "",VLOOKUP(C273,Key!$A$5:$B$7,2,FALSE))</f>
        <v>Minibus, matatu</v>
      </c>
      <c r="E273" s="53"/>
      <c r="F273" s="53" t="s">
        <v>64</v>
      </c>
      <c r="G273" s="53" t="s">
        <v>68</v>
      </c>
      <c r="H273" s="54" t="s">
        <v>68</v>
      </c>
      <c r="I273" s="53"/>
      <c r="J273" s="53" t="s">
        <v>65</v>
      </c>
      <c r="K273" s="54" t="s">
        <v>65</v>
      </c>
      <c r="L273" s="29" t="str">
        <f t="shared" si="4"/>
        <v>KAMPALA-TORORO</v>
      </c>
      <c r="M273" s="54">
        <v>14</v>
      </c>
      <c r="N273" s="55">
        <v>18000</v>
      </c>
      <c r="O273" s="56">
        <v>4.8</v>
      </c>
    </row>
    <row r="274" spans="1:15" s="49" customFormat="1" x14ac:dyDescent="0.2">
      <c r="A274" s="58"/>
      <c r="B274" s="50">
        <v>0.61597222222222225</v>
      </c>
      <c r="C274" s="51">
        <v>4</v>
      </c>
      <c r="D274" s="52" t="str">
        <f>IF(C274="", "",VLOOKUP(C274,Key!$A$5:$B$7,2,FALSE))</f>
        <v>Minibus, matatu</v>
      </c>
      <c r="E274" s="53"/>
      <c r="F274" s="53" t="s">
        <v>64</v>
      </c>
      <c r="G274" s="53" t="s">
        <v>72</v>
      </c>
      <c r="H274" s="54" t="s">
        <v>66</v>
      </c>
      <c r="I274" s="53"/>
      <c r="J274" s="53" t="s">
        <v>65</v>
      </c>
      <c r="K274" s="54" t="s">
        <v>65</v>
      </c>
      <c r="L274" s="29" t="str">
        <f t="shared" si="4"/>
        <v>MBALE-TORORO</v>
      </c>
      <c r="M274" s="54">
        <v>14</v>
      </c>
      <c r="N274" s="55">
        <v>5000</v>
      </c>
      <c r="O274" s="56">
        <v>1.89</v>
      </c>
    </row>
    <row r="275" spans="1:15" s="49" customFormat="1" x14ac:dyDescent="0.2">
      <c r="A275" s="58"/>
      <c r="B275" s="50">
        <v>0.625</v>
      </c>
      <c r="C275" s="51">
        <v>4</v>
      </c>
      <c r="D275" s="52" t="str">
        <f>IF(C275="", "",VLOOKUP(C275,Key!$A$5:$B$7,2,FALSE))</f>
        <v>Minibus, matatu</v>
      </c>
      <c r="E275" s="53"/>
      <c r="F275" s="53" t="s">
        <v>64</v>
      </c>
      <c r="G275" s="53" t="s">
        <v>66</v>
      </c>
      <c r="H275" s="54" t="s">
        <v>66</v>
      </c>
      <c r="I275" s="53"/>
      <c r="J275" s="53" t="s">
        <v>65</v>
      </c>
      <c r="K275" s="54" t="s">
        <v>65</v>
      </c>
      <c r="L275" s="29" t="str">
        <f t="shared" si="4"/>
        <v>MBALE-TORORO</v>
      </c>
      <c r="M275" s="54">
        <v>14</v>
      </c>
      <c r="N275" s="55">
        <v>5000</v>
      </c>
      <c r="O275" s="56">
        <v>1.89</v>
      </c>
    </row>
    <row r="276" spans="1:15" s="49" customFormat="1" x14ac:dyDescent="0.2">
      <c r="A276" s="58"/>
      <c r="B276" s="50">
        <v>0.625</v>
      </c>
      <c r="C276" s="51">
        <v>4</v>
      </c>
      <c r="D276" s="52" t="str">
        <f>IF(C276="", "",VLOOKUP(C276,Key!$A$5:$B$7,2,FALSE))</f>
        <v>Minibus, matatu</v>
      </c>
      <c r="E276" s="53"/>
      <c r="F276" s="53" t="s">
        <v>64</v>
      </c>
      <c r="G276" s="53" t="s">
        <v>78</v>
      </c>
      <c r="H276" s="54" t="s">
        <v>66</v>
      </c>
      <c r="I276" s="53"/>
      <c r="J276" s="53" t="s">
        <v>65</v>
      </c>
      <c r="K276" s="54" t="s">
        <v>65</v>
      </c>
      <c r="L276" s="29" t="str">
        <f t="shared" si="4"/>
        <v>MBALE-TORORO</v>
      </c>
      <c r="M276" s="54">
        <v>14</v>
      </c>
      <c r="N276" s="55">
        <v>5000</v>
      </c>
      <c r="O276" s="56">
        <v>1.89</v>
      </c>
    </row>
    <row r="277" spans="1:15" s="49" customFormat="1" x14ac:dyDescent="0.2">
      <c r="A277" s="58"/>
      <c r="B277" s="50">
        <v>0.63680555555555551</v>
      </c>
      <c r="C277" s="51">
        <v>4</v>
      </c>
      <c r="D277" s="52" t="str">
        <f>IF(C277="", "",VLOOKUP(C277,Key!$A$5:$B$7,2,FALSE))</f>
        <v>Minibus, matatu</v>
      </c>
      <c r="E277" s="53"/>
      <c r="F277" s="53" t="s">
        <v>64</v>
      </c>
      <c r="G277" s="53" t="s">
        <v>68</v>
      </c>
      <c r="H277" s="54" t="s">
        <v>68</v>
      </c>
      <c r="I277" s="53"/>
      <c r="J277" s="53" t="s">
        <v>65</v>
      </c>
      <c r="K277" s="54" t="s">
        <v>65</v>
      </c>
      <c r="L277" s="29" t="str">
        <f t="shared" si="4"/>
        <v>KAMPALA-TORORO</v>
      </c>
      <c r="M277" s="54">
        <v>14</v>
      </c>
      <c r="N277" s="55">
        <v>18000</v>
      </c>
      <c r="O277" s="56">
        <v>4.8</v>
      </c>
    </row>
    <row r="278" spans="1:15" s="49" customFormat="1" x14ac:dyDescent="0.2">
      <c r="A278" s="58"/>
      <c r="B278" s="50">
        <v>0.64027777777777783</v>
      </c>
      <c r="C278" s="51">
        <v>4</v>
      </c>
      <c r="D278" s="52" t="str">
        <f>IF(C278="", "",VLOOKUP(C278,Key!$A$5:$B$7,2,FALSE))</f>
        <v>Minibus, matatu</v>
      </c>
      <c r="E278" s="53"/>
      <c r="F278" s="53" t="s">
        <v>64</v>
      </c>
      <c r="G278" s="53" t="s">
        <v>67</v>
      </c>
      <c r="H278" s="54" t="s">
        <v>67</v>
      </c>
      <c r="I278" s="53"/>
      <c r="J278" s="53" t="s">
        <v>65</v>
      </c>
      <c r="K278" s="54" t="s">
        <v>65</v>
      </c>
      <c r="L278" s="29" t="str">
        <f t="shared" si="4"/>
        <v>JINJA-TORORO</v>
      </c>
      <c r="M278" s="54">
        <v>14</v>
      </c>
      <c r="N278" s="55">
        <v>13000</v>
      </c>
      <c r="O278" s="56">
        <v>2.25</v>
      </c>
    </row>
    <row r="279" spans="1:15" s="49" customFormat="1" x14ac:dyDescent="0.2">
      <c r="A279" s="58"/>
      <c r="B279" s="50">
        <v>0.65069444444444446</v>
      </c>
      <c r="C279" s="51">
        <v>4</v>
      </c>
      <c r="D279" s="52" t="str">
        <f>IF(C279="", "",VLOOKUP(C279,Key!$A$5:$B$7,2,FALSE))</f>
        <v>Minibus, matatu</v>
      </c>
      <c r="E279" s="53"/>
      <c r="F279" s="53" t="s">
        <v>64</v>
      </c>
      <c r="G279" s="53" t="s">
        <v>68</v>
      </c>
      <c r="H279" s="54" t="s">
        <v>68</v>
      </c>
      <c r="I279" s="53"/>
      <c r="J279" s="53" t="s">
        <v>65</v>
      </c>
      <c r="K279" s="54" t="s">
        <v>65</v>
      </c>
      <c r="L279" s="29" t="str">
        <f t="shared" si="4"/>
        <v>KAMPALA-TORORO</v>
      </c>
      <c r="M279" s="54">
        <v>14</v>
      </c>
      <c r="N279" s="55">
        <v>18000</v>
      </c>
      <c r="O279" s="56">
        <v>4.8</v>
      </c>
    </row>
    <row r="280" spans="1:15" s="49" customFormat="1" x14ac:dyDescent="0.2">
      <c r="A280" s="58"/>
      <c r="B280" s="50">
        <v>0.65555555555555556</v>
      </c>
      <c r="C280" s="51">
        <v>4</v>
      </c>
      <c r="D280" s="52" t="str">
        <f>IF(C280="", "",VLOOKUP(C280,Key!$A$5:$B$7,2,FALSE))</f>
        <v>Minibus, matatu</v>
      </c>
      <c r="E280" s="53"/>
      <c r="F280" s="53" t="s">
        <v>64</v>
      </c>
      <c r="G280" s="53" t="s">
        <v>66</v>
      </c>
      <c r="H280" s="54" t="s">
        <v>66</v>
      </c>
      <c r="I280" s="53"/>
      <c r="J280" s="53" t="s">
        <v>69</v>
      </c>
      <c r="K280" s="54" t="s">
        <v>69</v>
      </c>
      <c r="L280" s="29" t="str">
        <f t="shared" si="4"/>
        <v>MBALE-BUSIA</v>
      </c>
      <c r="M280" s="54">
        <v>14</v>
      </c>
      <c r="N280" s="55">
        <v>6000</v>
      </c>
      <c r="O280" s="56">
        <v>1.8</v>
      </c>
    </row>
    <row r="281" spans="1:15" s="49" customFormat="1" x14ac:dyDescent="0.2">
      <c r="A281" s="58"/>
      <c r="B281" s="50">
        <v>0.65902777777777777</v>
      </c>
      <c r="C281" s="51">
        <v>4</v>
      </c>
      <c r="D281" s="52" t="str">
        <f>IF(C281="", "",VLOOKUP(C281,Key!$A$5:$B$7,2,FALSE))</f>
        <v>Minibus, matatu</v>
      </c>
      <c r="E281" s="53"/>
      <c r="F281" s="53" t="s">
        <v>64</v>
      </c>
      <c r="G281" s="53" t="s">
        <v>65</v>
      </c>
      <c r="H281" s="54" t="s">
        <v>65</v>
      </c>
      <c r="I281" s="53"/>
      <c r="J281" s="53" t="s">
        <v>69</v>
      </c>
      <c r="K281" s="54" t="s">
        <v>69</v>
      </c>
      <c r="L281" s="29" t="str">
        <f t="shared" si="4"/>
        <v>TORORO-BUSIA</v>
      </c>
      <c r="M281" s="54">
        <v>14</v>
      </c>
      <c r="N281" s="55">
        <v>6000</v>
      </c>
      <c r="O281" s="56">
        <v>0.5</v>
      </c>
    </row>
    <row r="282" spans="1:15" s="49" customFormat="1" x14ac:dyDescent="0.2">
      <c r="A282" s="58"/>
      <c r="B282" s="50">
        <v>0.66666666666666663</v>
      </c>
      <c r="C282" s="51">
        <v>4</v>
      </c>
      <c r="D282" s="52" t="str">
        <f>IF(C282="", "",VLOOKUP(C282,Key!$A$5:$B$7,2,FALSE))</f>
        <v>Minibus, matatu</v>
      </c>
      <c r="E282" s="53"/>
      <c r="F282" s="53" t="s">
        <v>64</v>
      </c>
      <c r="G282" s="53" t="s">
        <v>68</v>
      </c>
      <c r="H282" s="54" t="s">
        <v>68</v>
      </c>
      <c r="I282" s="53"/>
      <c r="J282" s="53" t="s">
        <v>65</v>
      </c>
      <c r="K282" s="54" t="s">
        <v>65</v>
      </c>
      <c r="L282" s="29" t="str">
        <f t="shared" si="4"/>
        <v>KAMPALA-TORORO</v>
      </c>
      <c r="M282" s="54">
        <v>14</v>
      </c>
      <c r="N282" s="55">
        <v>18000</v>
      </c>
      <c r="O282" s="56">
        <v>4.8</v>
      </c>
    </row>
    <row r="283" spans="1:15" s="49" customFormat="1" x14ac:dyDescent="0.2">
      <c r="A283" s="58"/>
      <c r="B283" s="50">
        <v>0.68402777777777779</v>
      </c>
      <c r="C283" s="51">
        <v>4</v>
      </c>
      <c r="D283" s="52" t="str">
        <f>IF(C283="", "",VLOOKUP(C283,Key!$A$5:$B$7,2,FALSE))</f>
        <v>Minibus, matatu</v>
      </c>
      <c r="E283" s="53"/>
      <c r="F283" s="53" t="s">
        <v>64</v>
      </c>
      <c r="G283" s="53" t="s">
        <v>68</v>
      </c>
      <c r="H283" s="54" t="s">
        <v>68</v>
      </c>
      <c r="I283" s="53"/>
      <c r="J283" s="53" t="s">
        <v>65</v>
      </c>
      <c r="K283" s="54" t="s">
        <v>65</v>
      </c>
      <c r="L283" s="29" t="str">
        <f t="shared" si="4"/>
        <v>KAMPALA-TORORO</v>
      </c>
      <c r="M283" s="54">
        <v>14</v>
      </c>
      <c r="N283" s="55">
        <v>18000</v>
      </c>
      <c r="O283" s="56">
        <v>4.8</v>
      </c>
    </row>
    <row r="284" spans="1:15" s="49" customFormat="1" x14ac:dyDescent="0.2">
      <c r="A284" s="58"/>
      <c r="B284" s="50">
        <v>0.70833333333333337</v>
      </c>
      <c r="C284" s="51">
        <v>4</v>
      </c>
      <c r="D284" s="52" t="str">
        <f>IF(C284="", "",VLOOKUP(C284,Key!$A$5:$B$7,2,FALSE))</f>
        <v>Minibus, matatu</v>
      </c>
      <c r="E284" s="53"/>
      <c r="F284" s="53" t="s">
        <v>64</v>
      </c>
      <c r="G284" s="53" t="s">
        <v>69</v>
      </c>
      <c r="H284" s="54" t="s">
        <v>69</v>
      </c>
      <c r="I284" s="53"/>
      <c r="J284" s="53" t="s">
        <v>65</v>
      </c>
      <c r="K284" s="54" t="s">
        <v>65</v>
      </c>
      <c r="L284" s="29" t="str">
        <f t="shared" si="4"/>
        <v>BUSIA-TORORO</v>
      </c>
      <c r="M284" s="54">
        <v>14</v>
      </c>
      <c r="N284" s="55">
        <v>5000</v>
      </c>
      <c r="O284" s="56">
        <v>1.25</v>
      </c>
    </row>
    <row r="285" spans="1:15" s="49" customFormat="1" x14ac:dyDescent="0.2">
      <c r="A285" s="58"/>
      <c r="B285" s="50">
        <v>0.75</v>
      </c>
      <c r="C285" s="51">
        <v>6</v>
      </c>
      <c r="D285" s="52" t="str">
        <f>IF(C285="", "",VLOOKUP(C285,Key!$A$5:$B$7,2,FALSE))</f>
        <v>Large Bus</v>
      </c>
      <c r="E285" s="53"/>
      <c r="F285" s="53" t="s">
        <v>63</v>
      </c>
      <c r="G285" s="53" t="s">
        <v>74</v>
      </c>
      <c r="H285" s="54" t="s">
        <v>74</v>
      </c>
      <c r="I285" s="53"/>
      <c r="J285" s="53" t="s">
        <v>68</v>
      </c>
      <c r="K285" s="54" t="s">
        <v>68</v>
      </c>
      <c r="L285" s="29" t="str">
        <f t="shared" si="4"/>
        <v>LIRA-KAMPALA</v>
      </c>
      <c r="M285" s="54">
        <v>46</v>
      </c>
      <c r="N285" s="55">
        <v>25000</v>
      </c>
      <c r="O285" s="56">
        <v>5.25</v>
      </c>
    </row>
    <row r="286" spans="1:15" s="49" customFormat="1" x14ac:dyDescent="0.2">
      <c r="A286" s="58"/>
      <c r="B286" s="50">
        <v>0.77569444444444446</v>
      </c>
      <c r="C286" s="51">
        <v>6</v>
      </c>
      <c r="D286" s="52" t="str">
        <f>IF(C286="", "",VLOOKUP(C286,Key!$A$5:$B$7,2,FALSE))</f>
        <v>Large Bus</v>
      </c>
      <c r="E286" s="53"/>
      <c r="F286" s="53"/>
      <c r="G286" s="53" t="s">
        <v>74</v>
      </c>
      <c r="H286" s="54" t="s">
        <v>74</v>
      </c>
      <c r="I286" s="53"/>
      <c r="J286" s="53" t="s">
        <v>69</v>
      </c>
      <c r="K286" s="54" t="s">
        <v>69</v>
      </c>
      <c r="L286" s="29" t="str">
        <f t="shared" si="4"/>
        <v>LIRA-BUSIA</v>
      </c>
      <c r="M286" s="54">
        <v>46</v>
      </c>
      <c r="N286" s="55">
        <v>25000</v>
      </c>
      <c r="O286" s="56">
        <v>5.25</v>
      </c>
    </row>
    <row r="287" spans="1:15" s="49" customFormat="1" x14ac:dyDescent="0.2">
      <c r="A287" s="58"/>
      <c r="B287" s="57">
        <v>43696</v>
      </c>
      <c r="C287" s="51"/>
      <c r="D287" s="52"/>
      <c r="E287" s="53"/>
      <c r="F287" s="53"/>
      <c r="G287" s="53"/>
      <c r="H287" s="54"/>
      <c r="I287" s="53"/>
      <c r="J287" s="53"/>
      <c r="K287" s="54"/>
      <c r="L287" s="29" t="str">
        <f t="shared" si="4"/>
        <v>-</v>
      </c>
      <c r="M287" s="54"/>
      <c r="N287" s="55"/>
      <c r="O287" s="56"/>
    </row>
    <row r="288" spans="1:15" s="49" customFormat="1" x14ac:dyDescent="0.2">
      <c r="A288" s="58"/>
      <c r="B288" s="50">
        <v>0.35416666666666669</v>
      </c>
      <c r="C288" s="51">
        <v>6</v>
      </c>
      <c r="D288" s="52" t="str">
        <f>IF(C288="", "",VLOOKUP(C288,Key!$A$5:$B$7,2,FALSE))</f>
        <v>Large Bus</v>
      </c>
      <c r="E288" s="53"/>
      <c r="F288" s="53"/>
      <c r="G288" s="53" t="s">
        <v>66</v>
      </c>
      <c r="H288" s="54" t="s">
        <v>66</v>
      </c>
      <c r="I288" s="53"/>
      <c r="J288" s="53" t="s">
        <v>65</v>
      </c>
      <c r="K288" s="54" t="s">
        <v>65</v>
      </c>
      <c r="L288" s="29" t="str">
        <f t="shared" si="4"/>
        <v>MBALE-TORORO</v>
      </c>
      <c r="M288" s="54">
        <v>14</v>
      </c>
      <c r="N288" s="55">
        <v>5000</v>
      </c>
      <c r="O288" s="56">
        <v>2.89</v>
      </c>
    </row>
    <row r="289" spans="1:15" s="49" customFormat="1" x14ac:dyDescent="0.2">
      <c r="A289" s="58"/>
      <c r="B289" s="50">
        <v>0.35902777777777778</v>
      </c>
      <c r="C289" s="51">
        <v>4</v>
      </c>
      <c r="D289" s="52" t="str">
        <f>IF(C289="", "",VLOOKUP(C289,Key!$A$5:$B$7,2,FALSE))</f>
        <v>Minibus, matatu</v>
      </c>
      <c r="E289" s="53"/>
      <c r="F289" s="53"/>
      <c r="G289" s="53" t="s">
        <v>68</v>
      </c>
      <c r="H289" s="54" t="s">
        <v>68</v>
      </c>
      <c r="I289" s="53"/>
      <c r="J289" s="53" t="s">
        <v>65</v>
      </c>
      <c r="K289" s="54" t="s">
        <v>65</v>
      </c>
      <c r="L289" s="29" t="str">
        <f t="shared" si="4"/>
        <v>KAMPALA-TORORO</v>
      </c>
      <c r="M289" s="54">
        <v>14</v>
      </c>
      <c r="N289" s="55">
        <v>18000</v>
      </c>
      <c r="O289" s="56">
        <v>4.8</v>
      </c>
    </row>
    <row r="290" spans="1:15" s="49" customFormat="1" x14ac:dyDescent="0.2">
      <c r="A290" s="58"/>
      <c r="B290" s="50">
        <v>0.375</v>
      </c>
      <c r="C290" s="51">
        <v>4</v>
      </c>
      <c r="D290" s="52" t="str">
        <f>IF(C290="", "",VLOOKUP(C290,Key!$A$5:$B$7,2,FALSE))</f>
        <v>Minibus, matatu</v>
      </c>
      <c r="E290" s="53"/>
      <c r="F290" s="53"/>
      <c r="G290" s="53" t="s">
        <v>69</v>
      </c>
      <c r="H290" s="54" t="s">
        <v>69</v>
      </c>
      <c r="I290" s="53"/>
      <c r="J290" s="53" t="s">
        <v>65</v>
      </c>
      <c r="K290" s="54" t="s">
        <v>65</v>
      </c>
      <c r="L290" s="29" t="str">
        <f t="shared" si="4"/>
        <v>BUSIA-TORORO</v>
      </c>
      <c r="M290" s="54">
        <v>14</v>
      </c>
      <c r="N290" s="55">
        <v>5000</v>
      </c>
      <c r="O290" s="56">
        <v>1.25</v>
      </c>
    </row>
    <row r="291" spans="1:15" s="49" customFormat="1" x14ac:dyDescent="0.2">
      <c r="A291" s="58"/>
      <c r="B291" s="50">
        <v>0.38541666666666669</v>
      </c>
      <c r="C291" s="51">
        <v>4</v>
      </c>
      <c r="D291" s="52" t="str">
        <f>IF(C291="", "",VLOOKUP(C291,Key!$A$5:$B$7,2,FALSE))</f>
        <v>Minibus, matatu</v>
      </c>
      <c r="E291" s="53"/>
      <c r="F291" s="53"/>
      <c r="G291" s="53" t="s">
        <v>68</v>
      </c>
      <c r="H291" s="54" t="s">
        <v>68</v>
      </c>
      <c r="I291" s="53"/>
      <c r="J291" s="53" t="s">
        <v>65</v>
      </c>
      <c r="K291" s="54" t="s">
        <v>65</v>
      </c>
      <c r="L291" s="29" t="str">
        <f t="shared" si="4"/>
        <v>KAMPALA-TORORO</v>
      </c>
      <c r="M291" s="54">
        <v>14</v>
      </c>
      <c r="N291" s="55">
        <v>18000</v>
      </c>
      <c r="O291" s="56">
        <v>4.8</v>
      </c>
    </row>
    <row r="292" spans="1:15" s="49" customFormat="1" x14ac:dyDescent="0.2">
      <c r="A292" s="58"/>
      <c r="B292" s="50">
        <v>0.38958333333333334</v>
      </c>
      <c r="C292" s="51">
        <v>4</v>
      </c>
      <c r="D292" s="52" t="str">
        <f>IF(C292="", "",VLOOKUP(C292,Key!$A$5:$B$7,2,FALSE))</f>
        <v>Minibus, matatu</v>
      </c>
      <c r="E292" s="53"/>
      <c r="F292" s="53"/>
      <c r="G292" s="53" t="s">
        <v>66</v>
      </c>
      <c r="H292" s="54" t="s">
        <v>66</v>
      </c>
      <c r="I292" s="53"/>
      <c r="J292" s="53" t="s">
        <v>65</v>
      </c>
      <c r="K292" s="54" t="s">
        <v>65</v>
      </c>
      <c r="L292" s="29" t="str">
        <f t="shared" si="4"/>
        <v>MBALE-TORORO</v>
      </c>
      <c r="M292" s="54">
        <v>14</v>
      </c>
      <c r="N292" s="55">
        <v>5000</v>
      </c>
      <c r="O292" s="56">
        <v>1.89</v>
      </c>
    </row>
    <row r="293" spans="1:15" s="49" customFormat="1" x14ac:dyDescent="0.2">
      <c r="A293" s="58"/>
      <c r="B293" s="50">
        <v>0.40069444444444446</v>
      </c>
      <c r="C293" s="51">
        <v>4</v>
      </c>
      <c r="D293" s="52" t="str">
        <f>IF(C293="", "",VLOOKUP(C293,Key!$A$5:$B$7,2,FALSE))</f>
        <v>Minibus, matatu</v>
      </c>
      <c r="E293" s="53"/>
      <c r="F293" s="53"/>
      <c r="G293" s="53" t="s">
        <v>73</v>
      </c>
      <c r="H293" s="54" t="s">
        <v>73</v>
      </c>
      <c r="I293" s="53"/>
      <c r="J293" s="53" t="s">
        <v>65</v>
      </c>
      <c r="K293" s="54" t="s">
        <v>65</v>
      </c>
      <c r="L293" s="29" t="str">
        <f t="shared" si="4"/>
        <v>IGANGA-TORORO</v>
      </c>
      <c r="M293" s="54">
        <v>14</v>
      </c>
      <c r="N293" s="55">
        <v>10000</v>
      </c>
      <c r="O293" s="56">
        <v>1.8</v>
      </c>
    </row>
    <row r="294" spans="1:15" s="49" customFormat="1" x14ac:dyDescent="0.2">
      <c r="A294" s="58"/>
      <c r="B294" s="50">
        <v>0.4055555555555555</v>
      </c>
      <c r="C294" s="51">
        <v>4</v>
      </c>
      <c r="D294" s="52" t="str">
        <f>IF(C294="", "",VLOOKUP(C294,Key!$A$5:$B$7,2,FALSE))</f>
        <v>Minibus, matatu</v>
      </c>
      <c r="E294" s="53"/>
      <c r="F294" s="53"/>
      <c r="G294" s="53" t="s">
        <v>67</v>
      </c>
      <c r="H294" s="54" t="s">
        <v>67</v>
      </c>
      <c r="I294" s="53"/>
      <c r="J294" s="53" t="s">
        <v>65</v>
      </c>
      <c r="K294" s="54" t="s">
        <v>65</v>
      </c>
      <c r="L294" s="29" t="str">
        <f t="shared" si="4"/>
        <v>JINJA-TORORO</v>
      </c>
      <c r="M294" s="54">
        <v>14</v>
      </c>
      <c r="N294" s="55">
        <v>13000</v>
      </c>
      <c r="O294" s="56">
        <v>2.25</v>
      </c>
    </row>
    <row r="295" spans="1:15" s="49" customFormat="1" x14ac:dyDescent="0.2">
      <c r="A295" s="58"/>
      <c r="B295" s="50">
        <v>0.41388888888888892</v>
      </c>
      <c r="C295" s="51">
        <v>4</v>
      </c>
      <c r="D295" s="52" t="str">
        <f>IF(C295="", "",VLOOKUP(C295,Key!$A$5:$B$7,2,FALSE))</f>
        <v>Minibus, matatu</v>
      </c>
      <c r="E295" s="53"/>
      <c r="F295" s="53"/>
      <c r="G295" s="53" t="s">
        <v>73</v>
      </c>
      <c r="H295" s="54" t="s">
        <v>73</v>
      </c>
      <c r="I295" s="53"/>
      <c r="J295" s="53" t="s">
        <v>66</v>
      </c>
      <c r="K295" s="54" t="s">
        <v>66</v>
      </c>
      <c r="L295" s="29" t="str">
        <f t="shared" si="4"/>
        <v>IGANGA-MBALE</v>
      </c>
      <c r="M295" s="54">
        <v>14</v>
      </c>
      <c r="N295" s="55">
        <v>8000</v>
      </c>
      <c r="O295" s="56">
        <v>1.72</v>
      </c>
    </row>
    <row r="296" spans="1:15" s="49" customFormat="1" x14ac:dyDescent="0.2">
      <c r="A296" s="58"/>
      <c r="B296" s="50">
        <v>0.41597222222222219</v>
      </c>
      <c r="C296" s="51">
        <v>4</v>
      </c>
      <c r="D296" s="52" t="str">
        <f>IF(C296="", "",VLOOKUP(C296,Key!$A$5:$B$7,2,FALSE))</f>
        <v>Minibus, matatu</v>
      </c>
      <c r="E296" s="53"/>
      <c r="F296" s="53"/>
      <c r="G296" s="53" t="s">
        <v>66</v>
      </c>
      <c r="H296" s="54" t="s">
        <v>66</v>
      </c>
      <c r="I296" s="53"/>
      <c r="J296" s="53" t="s">
        <v>65</v>
      </c>
      <c r="K296" s="54" t="s">
        <v>65</v>
      </c>
      <c r="L296" s="29" t="str">
        <f t="shared" si="4"/>
        <v>MBALE-TORORO</v>
      </c>
      <c r="M296" s="54">
        <v>14</v>
      </c>
      <c r="N296" s="55">
        <v>5000</v>
      </c>
      <c r="O296" s="56">
        <v>1.89</v>
      </c>
    </row>
    <row r="297" spans="1:15" s="49" customFormat="1" x14ac:dyDescent="0.2">
      <c r="A297" s="58"/>
      <c r="B297" s="50">
        <v>0.41736111111111113</v>
      </c>
      <c r="C297" s="51">
        <v>4</v>
      </c>
      <c r="D297" s="52" t="str">
        <f>IF(C297="", "",VLOOKUP(C297,Key!$A$5:$B$7,2,FALSE))</f>
        <v>Minibus, matatu</v>
      </c>
      <c r="E297" s="53"/>
      <c r="F297" s="53"/>
      <c r="G297" s="53" t="s">
        <v>65</v>
      </c>
      <c r="H297" s="54" t="s">
        <v>65</v>
      </c>
      <c r="I297" s="53"/>
      <c r="J297" s="53" t="s">
        <v>67</v>
      </c>
      <c r="K297" s="54" t="s">
        <v>67</v>
      </c>
      <c r="L297" s="29" t="str">
        <f t="shared" si="4"/>
        <v>TORORO-JINJA</v>
      </c>
      <c r="M297" s="54">
        <v>14</v>
      </c>
      <c r="N297" s="55">
        <v>13000</v>
      </c>
      <c r="O297" s="56">
        <v>2.25</v>
      </c>
    </row>
    <row r="298" spans="1:15" s="49" customFormat="1" x14ac:dyDescent="0.2">
      <c r="A298" s="58"/>
      <c r="B298" s="50">
        <v>0.4368055555555555</v>
      </c>
      <c r="C298" s="51">
        <v>4</v>
      </c>
      <c r="D298" s="52" t="str">
        <f>IF(C298="", "",VLOOKUP(C298,Key!$A$5:$B$7,2,FALSE))</f>
        <v>Minibus, matatu</v>
      </c>
      <c r="E298" s="53"/>
      <c r="F298" s="53"/>
      <c r="G298" s="53" t="s">
        <v>68</v>
      </c>
      <c r="H298" s="54" t="s">
        <v>68</v>
      </c>
      <c r="I298" s="53"/>
      <c r="J298" s="53" t="s">
        <v>65</v>
      </c>
      <c r="K298" s="54" t="s">
        <v>65</v>
      </c>
      <c r="L298" s="29" t="str">
        <f t="shared" si="4"/>
        <v>KAMPALA-TORORO</v>
      </c>
      <c r="M298" s="54">
        <v>14</v>
      </c>
      <c r="N298" s="55">
        <v>18000</v>
      </c>
      <c r="O298" s="56">
        <v>4.8</v>
      </c>
    </row>
    <row r="299" spans="1:15" s="49" customFormat="1" x14ac:dyDescent="0.2">
      <c r="A299" s="58"/>
      <c r="B299" s="50">
        <v>0.44305555555555554</v>
      </c>
      <c r="C299" s="51">
        <v>4</v>
      </c>
      <c r="D299" s="52" t="str">
        <f>IF(C299="", "",VLOOKUP(C299,Key!$A$5:$B$7,2,FALSE))</f>
        <v>Minibus, matatu</v>
      </c>
      <c r="E299" s="53"/>
      <c r="F299" s="53"/>
      <c r="G299" s="53" t="s">
        <v>67</v>
      </c>
      <c r="H299" s="54" t="s">
        <v>67</v>
      </c>
      <c r="I299" s="53"/>
      <c r="J299" s="53" t="s">
        <v>65</v>
      </c>
      <c r="K299" s="54" t="s">
        <v>65</v>
      </c>
      <c r="L299" s="29" t="str">
        <f t="shared" si="4"/>
        <v>JINJA-TORORO</v>
      </c>
      <c r="M299" s="54">
        <v>14</v>
      </c>
      <c r="N299" s="55">
        <v>13000</v>
      </c>
      <c r="O299" s="56">
        <v>2.25</v>
      </c>
    </row>
    <row r="300" spans="1:15" s="49" customFormat="1" x14ac:dyDescent="0.2">
      <c r="A300" s="58"/>
      <c r="B300" s="50">
        <v>0.45277777777777778</v>
      </c>
      <c r="C300" s="51">
        <v>4</v>
      </c>
      <c r="D300" s="52" t="str">
        <f>IF(C300="", "",VLOOKUP(C300,Key!$A$5:$B$7,2,FALSE))</f>
        <v>Minibus, matatu</v>
      </c>
      <c r="E300" s="53"/>
      <c r="F300" s="53"/>
      <c r="G300" s="53" t="s">
        <v>79</v>
      </c>
      <c r="H300" s="54" t="s">
        <v>77</v>
      </c>
      <c r="I300" s="53"/>
      <c r="J300" s="53" t="s">
        <v>65</v>
      </c>
      <c r="K300" s="54" t="s">
        <v>65</v>
      </c>
      <c r="L300" s="29" t="str">
        <f t="shared" si="4"/>
        <v>BUTALEJA-TORORO</v>
      </c>
      <c r="M300" s="54">
        <v>14</v>
      </c>
      <c r="N300" s="55">
        <v>5000</v>
      </c>
      <c r="O300" s="56">
        <v>1.25</v>
      </c>
    </row>
    <row r="301" spans="1:15" s="49" customFormat="1" x14ac:dyDescent="0.2">
      <c r="A301" s="58"/>
      <c r="B301" s="50">
        <v>0.46875</v>
      </c>
      <c r="C301" s="51">
        <v>4</v>
      </c>
      <c r="D301" s="52" t="str">
        <f>IF(C301="", "",VLOOKUP(C301,Key!$A$5:$B$7,2,FALSE))</f>
        <v>Minibus, matatu</v>
      </c>
      <c r="E301" s="53"/>
      <c r="F301" s="53"/>
      <c r="G301" s="53" t="s">
        <v>69</v>
      </c>
      <c r="H301" s="54" t="s">
        <v>69</v>
      </c>
      <c r="I301" s="53"/>
      <c r="J301" s="53" t="s">
        <v>65</v>
      </c>
      <c r="K301" s="54" t="s">
        <v>65</v>
      </c>
      <c r="L301" s="29" t="str">
        <f t="shared" si="4"/>
        <v>BUSIA-TORORO</v>
      </c>
      <c r="M301" s="54">
        <v>14</v>
      </c>
      <c r="N301" s="55">
        <v>5000</v>
      </c>
      <c r="O301" s="56">
        <v>1.25</v>
      </c>
    </row>
    <row r="302" spans="1:15" s="49" customFormat="1" x14ac:dyDescent="0.2">
      <c r="A302" s="58"/>
      <c r="B302" s="50">
        <v>0.4770833333333333</v>
      </c>
      <c r="C302" s="51">
        <v>4</v>
      </c>
      <c r="D302" s="52" t="str">
        <f>IF(C302="", "",VLOOKUP(C302,Key!$A$5:$B$7,2,FALSE))</f>
        <v>Minibus, matatu</v>
      </c>
      <c r="E302" s="53"/>
      <c r="F302" s="53"/>
      <c r="G302" s="53" t="s">
        <v>67</v>
      </c>
      <c r="H302" s="54" t="s">
        <v>67</v>
      </c>
      <c r="I302" s="53"/>
      <c r="J302" s="53" t="s">
        <v>65</v>
      </c>
      <c r="K302" s="54" t="s">
        <v>65</v>
      </c>
      <c r="L302" s="29" t="str">
        <f t="shared" si="4"/>
        <v>JINJA-TORORO</v>
      </c>
      <c r="M302" s="54">
        <v>14</v>
      </c>
      <c r="N302" s="55">
        <v>13000</v>
      </c>
      <c r="O302" s="56">
        <v>2.25</v>
      </c>
    </row>
    <row r="303" spans="1:15" s="49" customFormat="1" x14ac:dyDescent="0.2">
      <c r="A303" s="58"/>
      <c r="B303" s="50">
        <v>0.48749999999999999</v>
      </c>
      <c r="C303" s="51">
        <v>4</v>
      </c>
      <c r="D303" s="52" t="str">
        <f>IF(C303="", "",VLOOKUP(C303,Key!$A$5:$B$7,2,FALSE))</f>
        <v>Minibus, matatu</v>
      </c>
      <c r="E303" s="53"/>
      <c r="F303" s="53"/>
      <c r="G303" s="53" t="s">
        <v>65</v>
      </c>
      <c r="H303" s="54" t="s">
        <v>65</v>
      </c>
      <c r="I303" s="53"/>
      <c r="J303" s="53" t="s">
        <v>67</v>
      </c>
      <c r="K303" s="54" t="s">
        <v>67</v>
      </c>
      <c r="L303" s="29" t="str">
        <f t="shared" si="4"/>
        <v>TORORO-JINJA</v>
      </c>
      <c r="M303" s="54">
        <v>14</v>
      </c>
      <c r="N303" s="55">
        <v>13000</v>
      </c>
      <c r="O303" s="56">
        <v>2.25</v>
      </c>
    </row>
    <row r="304" spans="1:15" s="49" customFormat="1" x14ac:dyDescent="0.2">
      <c r="A304" s="58"/>
      <c r="B304" s="50">
        <v>0.5</v>
      </c>
      <c r="C304" s="51">
        <v>4</v>
      </c>
      <c r="D304" s="52" t="str">
        <f>IF(C304="", "",VLOOKUP(C304,Key!$A$5:$B$7,2,FALSE))</f>
        <v>Minibus, matatu</v>
      </c>
      <c r="E304" s="53"/>
      <c r="F304" s="53"/>
      <c r="G304" s="53" t="s">
        <v>68</v>
      </c>
      <c r="H304" s="54" t="s">
        <v>68</v>
      </c>
      <c r="I304" s="53"/>
      <c r="J304" s="53" t="s">
        <v>65</v>
      </c>
      <c r="K304" s="54" t="s">
        <v>65</v>
      </c>
      <c r="L304" s="29" t="str">
        <f t="shared" si="4"/>
        <v>KAMPALA-TORORO</v>
      </c>
      <c r="M304" s="54">
        <v>14</v>
      </c>
      <c r="N304" s="55">
        <v>18000</v>
      </c>
      <c r="O304" s="56">
        <v>4.8</v>
      </c>
    </row>
    <row r="305" spans="1:15" s="49" customFormat="1" x14ac:dyDescent="0.2">
      <c r="A305" s="58"/>
      <c r="B305" s="50">
        <v>0.52500000000000002</v>
      </c>
      <c r="C305" s="51">
        <v>4</v>
      </c>
      <c r="D305" s="52" t="str">
        <f>IF(C305="", "",VLOOKUP(C305,Key!$A$5:$B$7,2,FALSE))</f>
        <v>Minibus, matatu</v>
      </c>
      <c r="E305" s="53"/>
      <c r="F305" s="53"/>
      <c r="G305" s="53" t="s">
        <v>69</v>
      </c>
      <c r="H305" s="54" t="s">
        <v>69</v>
      </c>
      <c r="I305" s="53"/>
      <c r="J305" s="53" t="s">
        <v>65</v>
      </c>
      <c r="K305" s="54" t="s">
        <v>65</v>
      </c>
      <c r="L305" s="29" t="str">
        <f t="shared" si="4"/>
        <v>BUSIA-TORORO</v>
      </c>
      <c r="M305" s="54">
        <v>14</v>
      </c>
      <c r="N305" s="55">
        <v>5000</v>
      </c>
      <c r="O305" s="56">
        <v>1.25</v>
      </c>
    </row>
    <row r="306" spans="1:15" s="49" customFormat="1" x14ac:dyDescent="0.2">
      <c r="A306" s="58"/>
      <c r="B306" s="50">
        <v>0.54166666666666663</v>
      </c>
      <c r="C306" s="51">
        <v>6</v>
      </c>
      <c r="D306" s="52" t="str">
        <f>IF(C306="", "",VLOOKUP(C306,Key!$A$5:$B$7,2,FALSE))</f>
        <v>Large Bus</v>
      </c>
      <c r="E306" s="53"/>
      <c r="F306" s="53"/>
      <c r="G306" s="53" t="s">
        <v>66</v>
      </c>
      <c r="H306" s="54" t="s">
        <v>66</v>
      </c>
      <c r="I306" s="53"/>
      <c r="J306" s="53" t="s">
        <v>67</v>
      </c>
      <c r="K306" s="54" t="s">
        <v>67</v>
      </c>
      <c r="L306" s="29" t="str">
        <f t="shared" si="4"/>
        <v>MBALE-JINJA</v>
      </c>
      <c r="M306" s="54">
        <v>14</v>
      </c>
      <c r="N306" s="55">
        <v>15000</v>
      </c>
      <c r="O306" s="56">
        <v>2.4500000000000002</v>
      </c>
    </row>
    <row r="307" spans="1:15" s="49" customFormat="1" x14ac:dyDescent="0.2">
      <c r="A307" s="58"/>
      <c r="B307" s="50">
        <v>0.57708333333333328</v>
      </c>
      <c r="C307" s="51">
        <v>4</v>
      </c>
      <c r="D307" s="52" t="str">
        <f>IF(C307="", "",VLOOKUP(C307,Key!$A$5:$B$7,2,FALSE))</f>
        <v>Minibus, matatu</v>
      </c>
      <c r="E307" s="53"/>
      <c r="F307" s="53"/>
      <c r="G307" s="53" t="s">
        <v>68</v>
      </c>
      <c r="H307" s="54" t="s">
        <v>68</v>
      </c>
      <c r="I307" s="53"/>
      <c r="J307" s="53" t="s">
        <v>65</v>
      </c>
      <c r="K307" s="54" t="s">
        <v>65</v>
      </c>
      <c r="L307" s="29" t="str">
        <f t="shared" si="4"/>
        <v>KAMPALA-TORORO</v>
      </c>
      <c r="M307" s="54">
        <v>14</v>
      </c>
      <c r="N307" s="55">
        <v>18000</v>
      </c>
      <c r="O307" s="56">
        <v>4.8</v>
      </c>
    </row>
  </sheetData>
  <sortState ref="A9:U307">
    <sortCondition ref="A9:A307"/>
  </sortState>
  <mergeCells count="18">
    <mergeCell ref="F7:F8"/>
    <mergeCell ref="N7:N8"/>
    <mergeCell ref="B7:B8"/>
    <mergeCell ref="C7:C8"/>
    <mergeCell ref="J7:L7"/>
    <mergeCell ref="D7:D8"/>
    <mergeCell ref="B1:O1"/>
    <mergeCell ref="B2:O2"/>
    <mergeCell ref="E7:E8"/>
    <mergeCell ref="M7:M8"/>
    <mergeCell ref="D5:E5"/>
    <mergeCell ref="O7:O8"/>
    <mergeCell ref="K4:L4"/>
    <mergeCell ref="B4:C4"/>
    <mergeCell ref="B5:C5"/>
    <mergeCell ref="H5:I5"/>
    <mergeCell ref="H4:I4"/>
    <mergeCell ref="G7:I7"/>
  </mergeCells>
  <pageMargins left="0.2" right="0.2" top="0.15" bottom="0.15" header="0.05" footer="0.3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1489"/>
  <sheetViews>
    <sheetView workbookViewId="0">
      <selection activeCell="O4" sqref="O4"/>
    </sheetView>
  </sheetViews>
  <sheetFormatPr defaultRowHeight="12.75" x14ac:dyDescent="0.2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 x14ac:dyDescent="0.2">
      <c r="B1" s="88" t="s">
        <v>0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6"/>
      <c r="R1" s="6"/>
      <c r="S1" s="6"/>
      <c r="T1" s="6"/>
      <c r="U1" s="6"/>
      <c r="V1" s="6"/>
      <c r="W1" s="6"/>
      <c r="X1" s="6"/>
      <c r="Y1" s="6"/>
    </row>
    <row r="2" spans="2:25" ht="15" x14ac:dyDescent="0.2">
      <c r="B2" s="88" t="s">
        <v>1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7"/>
      <c r="R2" s="7"/>
      <c r="S2" s="7"/>
      <c r="T2" s="7"/>
      <c r="U2" s="7"/>
      <c r="V2" s="7"/>
      <c r="W2" s="7"/>
      <c r="X2" s="7"/>
      <c r="Y2" s="7"/>
    </row>
    <row r="3" spans="2:25" ht="15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 x14ac:dyDescent="0.2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 x14ac:dyDescent="0.25"/>
    <row r="7" spans="2:25" ht="30.75" customHeight="1" x14ac:dyDescent="0.2">
      <c r="B7" s="89" t="s">
        <v>8</v>
      </c>
      <c r="C7" s="91" t="s">
        <v>9</v>
      </c>
      <c r="D7" s="91" t="s">
        <v>10</v>
      </c>
      <c r="E7" s="91" t="s">
        <v>11</v>
      </c>
      <c r="F7" s="91" t="s">
        <v>12</v>
      </c>
      <c r="G7" s="91"/>
      <c r="H7" s="91" t="s">
        <v>15</v>
      </c>
      <c r="I7" s="91" t="s">
        <v>16</v>
      </c>
      <c r="J7" s="91" t="s">
        <v>17</v>
      </c>
      <c r="K7" s="91"/>
      <c r="L7" s="91" t="s">
        <v>18</v>
      </c>
      <c r="M7" s="91" t="s">
        <v>19</v>
      </c>
      <c r="N7" s="91" t="s">
        <v>20</v>
      </c>
      <c r="O7" s="93" t="s">
        <v>21</v>
      </c>
      <c r="P7" s="84" t="s">
        <v>27</v>
      </c>
      <c r="Q7" s="85"/>
    </row>
    <row r="8" spans="2:25" ht="24.75" customHeight="1" thickBot="1" x14ac:dyDescent="0.25">
      <c r="B8" s="90"/>
      <c r="C8" s="92"/>
      <c r="D8" s="92"/>
      <c r="E8" s="92"/>
      <c r="F8" s="18" t="s">
        <v>13</v>
      </c>
      <c r="G8" s="18" t="s">
        <v>14</v>
      </c>
      <c r="H8" s="92"/>
      <c r="I8" s="92"/>
      <c r="J8" s="18" t="s">
        <v>13</v>
      </c>
      <c r="K8" s="18" t="s">
        <v>14</v>
      </c>
      <c r="L8" s="92"/>
      <c r="M8" s="92"/>
      <c r="N8" s="92"/>
      <c r="O8" s="94"/>
      <c r="P8" s="86"/>
      <c r="Q8" s="87"/>
    </row>
    <row r="9" spans="2:25" x14ac:dyDescent="0.2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 x14ac:dyDescent="0.2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 x14ac:dyDescent="0.2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 x14ac:dyDescent="0.2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 x14ac:dyDescent="0.2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 x14ac:dyDescent="0.2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 x14ac:dyDescent="0.2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 x14ac:dyDescent="0.2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 x14ac:dyDescent="0.2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 x14ac:dyDescent="0.2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 x14ac:dyDescent="0.2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 x14ac:dyDescent="0.2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 x14ac:dyDescent="0.2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 x14ac:dyDescent="0.2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 x14ac:dyDescent="0.2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 x14ac:dyDescent="0.2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 x14ac:dyDescent="0.2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 x14ac:dyDescent="0.2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 x14ac:dyDescent="0.2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 x14ac:dyDescent="0.2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 x14ac:dyDescent="0.2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 x14ac:dyDescent="0.2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 x14ac:dyDescent="0.2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 x14ac:dyDescent="0.2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 x14ac:dyDescent="0.2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 x14ac:dyDescent="0.2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 x14ac:dyDescent="0.2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 x14ac:dyDescent="0.2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 x14ac:dyDescent="0.2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 x14ac:dyDescent="0.2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 x14ac:dyDescent="0.2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 x14ac:dyDescent="0.2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 x14ac:dyDescent="0.2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 x14ac:dyDescent="0.2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 x14ac:dyDescent="0.2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 x14ac:dyDescent="0.2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 x14ac:dyDescent="0.2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 x14ac:dyDescent="0.2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 x14ac:dyDescent="0.2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 x14ac:dyDescent="0.2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 x14ac:dyDescent="0.2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 x14ac:dyDescent="0.2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 x14ac:dyDescent="0.2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 x14ac:dyDescent="0.2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 x14ac:dyDescent="0.2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 x14ac:dyDescent="0.2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 x14ac:dyDescent="0.2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 x14ac:dyDescent="0.2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 x14ac:dyDescent="0.2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 x14ac:dyDescent="0.2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 x14ac:dyDescent="0.2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 x14ac:dyDescent="0.2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 x14ac:dyDescent="0.2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 x14ac:dyDescent="0.2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 x14ac:dyDescent="0.2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 x14ac:dyDescent="0.2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 x14ac:dyDescent="0.2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 x14ac:dyDescent="0.2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 x14ac:dyDescent="0.2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 x14ac:dyDescent="0.2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 x14ac:dyDescent="0.2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 x14ac:dyDescent="0.2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 x14ac:dyDescent="0.2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 x14ac:dyDescent="0.2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 x14ac:dyDescent="0.2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 x14ac:dyDescent="0.2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 x14ac:dyDescent="0.2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 x14ac:dyDescent="0.2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 x14ac:dyDescent="0.2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 x14ac:dyDescent="0.2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 x14ac:dyDescent="0.2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 x14ac:dyDescent="0.2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 x14ac:dyDescent="0.2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 x14ac:dyDescent="0.2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 x14ac:dyDescent="0.2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 x14ac:dyDescent="0.2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 x14ac:dyDescent="0.2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 x14ac:dyDescent="0.2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 x14ac:dyDescent="0.2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 x14ac:dyDescent="0.2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 x14ac:dyDescent="0.2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 x14ac:dyDescent="0.2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 x14ac:dyDescent="0.2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 x14ac:dyDescent="0.2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 x14ac:dyDescent="0.2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 x14ac:dyDescent="0.2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 x14ac:dyDescent="0.2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 x14ac:dyDescent="0.2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 x14ac:dyDescent="0.2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 x14ac:dyDescent="0.2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 x14ac:dyDescent="0.2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 x14ac:dyDescent="0.2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 x14ac:dyDescent="0.2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 x14ac:dyDescent="0.2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 x14ac:dyDescent="0.2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 x14ac:dyDescent="0.2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 x14ac:dyDescent="0.2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 x14ac:dyDescent="0.2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 x14ac:dyDescent="0.2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 x14ac:dyDescent="0.2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 x14ac:dyDescent="0.2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 x14ac:dyDescent="0.2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 x14ac:dyDescent="0.2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 x14ac:dyDescent="0.2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 x14ac:dyDescent="0.2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 x14ac:dyDescent="0.2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 x14ac:dyDescent="0.2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 x14ac:dyDescent="0.2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 x14ac:dyDescent="0.2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 x14ac:dyDescent="0.2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 x14ac:dyDescent="0.2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 x14ac:dyDescent="0.2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 x14ac:dyDescent="0.2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 x14ac:dyDescent="0.2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 x14ac:dyDescent="0.2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 x14ac:dyDescent="0.2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 x14ac:dyDescent="0.2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 x14ac:dyDescent="0.2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 x14ac:dyDescent="0.2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 x14ac:dyDescent="0.2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 x14ac:dyDescent="0.2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 x14ac:dyDescent="0.2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 x14ac:dyDescent="0.2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 x14ac:dyDescent="0.2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 x14ac:dyDescent="0.2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 x14ac:dyDescent="0.2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 x14ac:dyDescent="0.2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 x14ac:dyDescent="0.2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 x14ac:dyDescent="0.2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 x14ac:dyDescent="0.2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 x14ac:dyDescent="0.2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 x14ac:dyDescent="0.2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 x14ac:dyDescent="0.2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 x14ac:dyDescent="0.2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 x14ac:dyDescent="0.2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 x14ac:dyDescent="0.2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 x14ac:dyDescent="0.2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 x14ac:dyDescent="0.2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 x14ac:dyDescent="0.2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 x14ac:dyDescent="0.2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 x14ac:dyDescent="0.2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 x14ac:dyDescent="0.2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 x14ac:dyDescent="0.2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 x14ac:dyDescent="0.2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 x14ac:dyDescent="0.2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 x14ac:dyDescent="0.2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 x14ac:dyDescent="0.2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 x14ac:dyDescent="0.2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 x14ac:dyDescent="0.2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 x14ac:dyDescent="0.2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 x14ac:dyDescent="0.2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 x14ac:dyDescent="0.2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 x14ac:dyDescent="0.2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 x14ac:dyDescent="0.2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 x14ac:dyDescent="0.2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 x14ac:dyDescent="0.2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 x14ac:dyDescent="0.2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 x14ac:dyDescent="0.2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 x14ac:dyDescent="0.2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 x14ac:dyDescent="0.2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 x14ac:dyDescent="0.2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 x14ac:dyDescent="0.2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 x14ac:dyDescent="0.2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 x14ac:dyDescent="0.2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 x14ac:dyDescent="0.2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 x14ac:dyDescent="0.2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 x14ac:dyDescent="0.2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 x14ac:dyDescent="0.2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 x14ac:dyDescent="0.2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 x14ac:dyDescent="0.2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 x14ac:dyDescent="0.2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 x14ac:dyDescent="0.2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 x14ac:dyDescent="0.2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 x14ac:dyDescent="0.2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 x14ac:dyDescent="0.2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 x14ac:dyDescent="0.2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 x14ac:dyDescent="0.2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 x14ac:dyDescent="0.2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 x14ac:dyDescent="0.2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 x14ac:dyDescent="0.2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 x14ac:dyDescent="0.2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 x14ac:dyDescent="0.2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 x14ac:dyDescent="0.2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 x14ac:dyDescent="0.2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 x14ac:dyDescent="0.2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 x14ac:dyDescent="0.2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 x14ac:dyDescent="0.2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 x14ac:dyDescent="0.2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 x14ac:dyDescent="0.2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 x14ac:dyDescent="0.2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 x14ac:dyDescent="0.2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 x14ac:dyDescent="0.2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 x14ac:dyDescent="0.2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 x14ac:dyDescent="0.2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 x14ac:dyDescent="0.2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 x14ac:dyDescent="0.2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 x14ac:dyDescent="0.2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 x14ac:dyDescent="0.2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 x14ac:dyDescent="0.2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 x14ac:dyDescent="0.2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 x14ac:dyDescent="0.2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 x14ac:dyDescent="0.2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 x14ac:dyDescent="0.2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 x14ac:dyDescent="0.2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 x14ac:dyDescent="0.2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 x14ac:dyDescent="0.2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 x14ac:dyDescent="0.2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 x14ac:dyDescent="0.2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 x14ac:dyDescent="0.2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 x14ac:dyDescent="0.2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 x14ac:dyDescent="0.2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 x14ac:dyDescent="0.2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 x14ac:dyDescent="0.2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 x14ac:dyDescent="0.2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 x14ac:dyDescent="0.2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 x14ac:dyDescent="0.2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 x14ac:dyDescent="0.2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 x14ac:dyDescent="0.2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 x14ac:dyDescent="0.2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 x14ac:dyDescent="0.2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 x14ac:dyDescent="0.2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 x14ac:dyDescent="0.2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 x14ac:dyDescent="0.2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 x14ac:dyDescent="0.2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 x14ac:dyDescent="0.2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 x14ac:dyDescent="0.2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 x14ac:dyDescent="0.2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 x14ac:dyDescent="0.2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 x14ac:dyDescent="0.2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 x14ac:dyDescent="0.2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 x14ac:dyDescent="0.2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 x14ac:dyDescent="0.2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 x14ac:dyDescent="0.2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 x14ac:dyDescent="0.2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 x14ac:dyDescent="0.2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 x14ac:dyDescent="0.2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 x14ac:dyDescent="0.2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 x14ac:dyDescent="0.2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 x14ac:dyDescent="0.2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 x14ac:dyDescent="0.2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 x14ac:dyDescent="0.2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 x14ac:dyDescent="0.2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 x14ac:dyDescent="0.2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 x14ac:dyDescent="0.2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 x14ac:dyDescent="0.2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 x14ac:dyDescent="0.2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 x14ac:dyDescent="0.2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 x14ac:dyDescent="0.2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 x14ac:dyDescent="0.2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 x14ac:dyDescent="0.2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 x14ac:dyDescent="0.2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 x14ac:dyDescent="0.2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 x14ac:dyDescent="0.2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 x14ac:dyDescent="0.2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 x14ac:dyDescent="0.2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 x14ac:dyDescent="0.2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 x14ac:dyDescent="0.2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 x14ac:dyDescent="0.2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 x14ac:dyDescent="0.2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 x14ac:dyDescent="0.2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 x14ac:dyDescent="0.2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 x14ac:dyDescent="0.2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 x14ac:dyDescent="0.2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 x14ac:dyDescent="0.2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 x14ac:dyDescent="0.2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 x14ac:dyDescent="0.2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 x14ac:dyDescent="0.2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 x14ac:dyDescent="0.2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 x14ac:dyDescent="0.2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 x14ac:dyDescent="0.2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 x14ac:dyDescent="0.2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 x14ac:dyDescent="0.2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 x14ac:dyDescent="0.2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 x14ac:dyDescent="0.2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 x14ac:dyDescent="0.2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 x14ac:dyDescent="0.2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 x14ac:dyDescent="0.2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 x14ac:dyDescent="0.2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 x14ac:dyDescent="0.2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 x14ac:dyDescent="0.2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 x14ac:dyDescent="0.2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 x14ac:dyDescent="0.2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 x14ac:dyDescent="0.2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 x14ac:dyDescent="0.2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 x14ac:dyDescent="0.2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 x14ac:dyDescent="0.2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 x14ac:dyDescent="0.2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 x14ac:dyDescent="0.2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 x14ac:dyDescent="0.2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 x14ac:dyDescent="0.2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 x14ac:dyDescent="0.2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 x14ac:dyDescent="0.2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 x14ac:dyDescent="0.2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 x14ac:dyDescent="0.2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 x14ac:dyDescent="0.2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 x14ac:dyDescent="0.2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 x14ac:dyDescent="0.2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 x14ac:dyDescent="0.2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 x14ac:dyDescent="0.2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 x14ac:dyDescent="0.2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 x14ac:dyDescent="0.2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 x14ac:dyDescent="0.2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 x14ac:dyDescent="0.2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 x14ac:dyDescent="0.2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 x14ac:dyDescent="0.2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 x14ac:dyDescent="0.2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 x14ac:dyDescent="0.2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 x14ac:dyDescent="0.2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 x14ac:dyDescent="0.2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 x14ac:dyDescent="0.2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 x14ac:dyDescent="0.2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 x14ac:dyDescent="0.2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 x14ac:dyDescent="0.2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 x14ac:dyDescent="0.2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 x14ac:dyDescent="0.2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 x14ac:dyDescent="0.2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 x14ac:dyDescent="0.2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 x14ac:dyDescent="0.2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 x14ac:dyDescent="0.2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 x14ac:dyDescent="0.2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 x14ac:dyDescent="0.2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 x14ac:dyDescent="0.2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 x14ac:dyDescent="0.2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 x14ac:dyDescent="0.2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 x14ac:dyDescent="0.2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 x14ac:dyDescent="0.2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 x14ac:dyDescent="0.2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 x14ac:dyDescent="0.2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 x14ac:dyDescent="0.2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 x14ac:dyDescent="0.2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 x14ac:dyDescent="0.2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 x14ac:dyDescent="0.2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 x14ac:dyDescent="0.2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 x14ac:dyDescent="0.2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 x14ac:dyDescent="0.2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 x14ac:dyDescent="0.2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 x14ac:dyDescent="0.2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 x14ac:dyDescent="0.2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 x14ac:dyDescent="0.2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 x14ac:dyDescent="0.2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 x14ac:dyDescent="0.2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 x14ac:dyDescent="0.2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 x14ac:dyDescent="0.2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 x14ac:dyDescent="0.2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 x14ac:dyDescent="0.2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 x14ac:dyDescent="0.2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 x14ac:dyDescent="0.2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 x14ac:dyDescent="0.2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 x14ac:dyDescent="0.2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 x14ac:dyDescent="0.2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 x14ac:dyDescent="0.2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 x14ac:dyDescent="0.2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 x14ac:dyDescent="0.2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 x14ac:dyDescent="0.2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 x14ac:dyDescent="0.2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 x14ac:dyDescent="0.2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 x14ac:dyDescent="0.2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 x14ac:dyDescent="0.2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 x14ac:dyDescent="0.2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 x14ac:dyDescent="0.2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 x14ac:dyDescent="0.2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 x14ac:dyDescent="0.2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 x14ac:dyDescent="0.2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 x14ac:dyDescent="0.2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 x14ac:dyDescent="0.2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 x14ac:dyDescent="0.2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 x14ac:dyDescent="0.2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 x14ac:dyDescent="0.2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 x14ac:dyDescent="0.2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 x14ac:dyDescent="0.2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 x14ac:dyDescent="0.2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 x14ac:dyDescent="0.2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 x14ac:dyDescent="0.2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 x14ac:dyDescent="0.2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 x14ac:dyDescent="0.2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 x14ac:dyDescent="0.2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 x14ac:dyDescent="0.2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 x14ac:dyDescent="0.2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 x14ac:dyDescent="0.2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 x14ac:dyDescent="0.2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 x14ac:dyDescent="0.2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 x14ac:dyDescent="0.2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 x14ac:dyDescent="0.2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 x14ac:dyDescent="0.2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 x14ac:dyDescent="0.2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 x14ac:dyDescent="0.2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 x14ac:dyDescent="0.2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 x14ac:dyDescent="0.2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 x14ac:dyDescent="0.2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 x14ac:dyDescent="0.2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 x14ac:dyDescent="0.2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 x14ac:dyDescent="0.2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 x14ac:dyDescent="0.2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 x14ac:dyDescent="0.2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 x14ac:dyDescent="0.2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 x14ac:dyDescent="0.2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 x14ac:dyDescent="0.2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 x14ac:dyDescent="0.2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 x14ac:dyDescent="0.2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 x14ac:dyDescent="0.2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 x14ac:dyDescent="0.2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 x14ac:dyDescent="0.2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 x14ac:dyDescent="0.2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 x14ac:dyDescent="0.2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 x14ac:dyDescent="0.2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 x14ac:dyDescent="0.2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 x14ac:dyDescent="0.2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 x14ac:dyDescent="0.2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 x14ac:dyDescent="0.2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 x14ac:dyDescent="0.2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 x14ac:dyDescent="0.2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 x14ac:dyDescent="0.2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 x14ac:dyDescent="0.2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 x14ac:dyDescent="0.2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 x14ac:dyDescent="0.2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 x14ac:dyDescent="0.2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 x14ac:dyDescent="0.2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 x14ac:dyDescent="0.2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 x14ac:dyDescent="0.2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 x14ac:dyDescent="0.2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 x14ac:dyDescent="0.2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 x14ac:dyDescent="0.2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 x14ac:dyDescent="0.2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 x14ac:dyDescent="0.2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 x14ac:dyDescent="0.2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 x14ac:dyDescent="0.2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 x14ac:dyDescent="0.2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 x14ac:dyDescent="0.2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 x14ac:dyDescent="0.2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 x14ac:dyDescent="0.2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 x14ac:dyDescent="0.2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 x14ac:dyDescent="0.2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 x14ac:dyDescent="0.2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 x14ac:dyDescent="0.2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 x14ac:dyDescent="0.2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 x14ac:dyDescent="0.2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 x14ac:dyDescent="0.2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 x14ac:dyDescent="0.2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 x14ac:dyDescent="0.2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 x14ac:dyDescent="0.2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 x14ac:dyDescent="0.2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 x14ac:dyDescent="0.2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 x14ac:dyDescent="0.2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 x14ac:dyDescent="0.2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 x14ac:dyDescent="0.2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 x14ac:dyDescent="0.2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 x14ac:dyDescent="0.2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 x14ac:dyDescent="0.2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 x14ac:dyDescent="0.2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 x14ac:dyDescent="0.2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 x14ac:dyDescent="0.2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 x14ac:dyDescent="0.2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 x14ac:dyDescent="0.2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 x14ac:dyDescent="0.2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 x14ac:dyDescent="0.2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 x14ac:dyDescent="0.2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 x14ac:dyDescent="0.2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 x14ac:dyDescent="0.2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 x14ac:dyDescent="0.2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 x14ac:dyDescent="0.2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 x14ac:dyDescent="0.2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 x14ac:dyDescent="0.2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 x14ac:dyDescent="0.2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 x14ac:dyDescent="0.2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 x14ac:dyDescent="0.2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 x14ac:dyDescent="0.2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 x14ac:dyDescent="0.2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 x14ac:dyDescent="0.2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 x14ac:dyDescent="0.2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 x14ac:dyDescent="0.2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 x14ac:dyDescent="0.2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 x14ac:dyDescent="0.2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 x14ac:dyDescent="0.2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 x14ac:dyDescent="0.2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 x14ac:dyDescent="0.2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 x14ac:dyDescent="0.2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 x14ac:dyDescent="0.2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 x14ac:dyDescent="0.2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 x14ac:dyDescent="0.2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 x14ac:dyDescent="0.2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 x14ac:dyDescent="0.2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 x14ac:dyDescent="0.2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 x14ac:dyDescent="0.2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 x14ac:dyDescent="0.2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 x14ac:dyDescent="0.2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 x14ac:dyDescent="0.2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 x14ac:dyDescent="0.2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 x14ac:dyDescent="0.2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 x14ac:dyDescent="0.2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 x14ac:dyDescent="0.2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 x14ac:dyDescent="0.2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 x14ac:dyDescent="0.2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 x14ac:dyDescent="0.2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 x14ac:dyDescent="0.2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 x14ac:dyDescent="0.2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 x14ac:dyDescent="0.2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 x14ac:dyDescent="0.2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 x14ac:dyDescent="0.2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 x14ac:dyDescent="0.2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 x14ac:dyDescent="0.2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 x14ac:dyDescent="0.2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 x14ac:dyDescent="0.2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 x14ac:dyDescent="0.2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 x14ac:dyDescent="0.2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 x14ac:dyDescent="0.2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 x14ac:dyDescent="0.2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 x14ac:dyDescent="0.2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 x14ac:dyDescent="0.2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 x14ac:dyDescent="0.2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 x14ac:dyDescent="0.2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 x14ac:dyDescent="0.2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 x14ac:dyDescent="0.2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 x14ac:dyDescent="0.2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 x14ac:dyDescent="0.2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 x14ac:dyDescent="0.2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 x14ac:dyDescent="0.2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 x14ac:dyDescent="0.2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 x14ac:dyDescent="0.2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 x14ac:dyDescent="0.2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 x14ac:dyDescent="0.2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 x14ac:dyDescent="0.2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 x14ac:dyDescent="0.2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 x14ac:dyDescent="0.2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 x14ac:dyDescent="0.2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 x14ac:dyDescent="0.2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 x14ac:dyDescent="0.2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 x14ac:dyDescent="0.2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 x14ac:dyDescent="0.2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 x14ac:dyDescent="0.2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 x14ac:dyDescent="0.2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 x14ac:dyDescent="0.2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 x14ac:dyDescent="0.2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 x14ac:dyDescent="0.2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 x14ac:dyDescent="0.2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 x14ac:dyDescent="0.2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 x14ac:dyDescent="0.2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 x14ac:dyDescent="0.2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 x14ac:dyDescent="0.2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 x14ac:dyDescent="0.2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 x14ac:dyDescent="0.2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 x14ac:dyDescent="0.2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 x14ac:dyDescent="0.2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 x14ac:dyDescent="0.2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 x14ac:dyDescent="0.2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 x14ac:dyDescent="0.2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 x14ac:dyDescent="0.2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 x14ac:dyDescent="0.2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 x14ac:dyDescent="0.2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 x14ac:dyDescent="0.2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 x14ac:dyDescent="0.2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 x14ac:dyDescent="0.2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 x14ac:dyDescent="0.2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 x14ac:dyDescent="0.2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 x14ac:dyDescent="0.2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 x14ac:dyDescent="0.2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 x14ac:dyDescent="0.2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 x14ac:dyDescent="0.2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 x14ac:dyDescent="0.2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 x14ac:dyDescent="0.2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 x14ac:dyDescent="0.2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 x14ac:dyDescent="0.2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 x14ac:dyDescent="0.2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 x14ac:dyDescent="0.2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 x14ac:dyDescent="0.2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 x14ac:dyDescent="0.2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 x14ac:dyDescent="0.2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 x14ac:dyDescent="0.2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 x14ac:dyDescent="0.2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 x14ac:dyDescent="0.2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 x14ac:dyDescent="0.2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 x14ac:dyDescent="0.2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 x14ac:dyDescent="0.2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 x14ac:dyDescent="0.2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 x14ac:dyDescent="0.2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 x14ac:dyDescent="0.2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 x14ac:dyDescent="0.2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 x14ac:dyDescent="0.2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 x14ac:dyDescent="0.2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 x14ac:dyDescent="0.2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 x14ac:dyDescent="0.2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 x14ac:dyDescent="0.2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 x14ac:dyDescent="0.2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 x14ac:dyDescent="0.2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 x14ac:dyDescent="0.2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 x14ac:dyDescent="0.2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 x14ac:dyDescent="0.2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 x14ac:dyDescent="0.2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 x14ac:dyDescent="0.2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 x14ac:dyDescent="0.2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 x14ac:dyDescent="0.2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 x14ac:dyDescent="0.2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 x14ac:dyDescent="0.2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 x14ac:dyDescent="0.2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 x14ac:dyDescent="0.2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 x14ac:dyDescent="0.2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 x14ac:dyDescent="0.2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 x14ac:dyDescent="0.2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 x14ac:dyDescent="0.2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 x14ac:dyDescent="0.2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 x14ac:dyDescent="0.2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 x14ac:dyDescent="0.2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 x14ac:dyDescent="0.2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 x14ac:dyDescent="0.2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 x14ac:dyDescent="0.2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 x14ac:dyDescent="0.2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 x14ac:dyDescent="0.2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 x14ac:dyDescent="0.2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 x14ac:dyDescent="0.2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 x14ac:dyDescent="0.2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 x14ac:dyDescent="0.2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 x14ac:dyDescent="0.2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 x14ac:dyDescent="0.2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 x14ac:dyDescent="0.2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 x14ac:dyDescent="0.2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 x14ac:dyDescent="0.2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 x14ac:dyDescent="0.2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 x14ac:dyDescent="0.2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 x14ac:dyDescent="0.2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 x14ac:dyDescent="0.2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 x14ac:dyDescent="0.2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 x14ac:dyDescent="0.2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 x14ac:dyDescent="0.2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 x14ac:dyDescent="0.2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 x14ac:dyDescent="0.2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 x14ac:dyDescent="0.2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 x14ac:dyDescent="0.2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 x14ac:dyDescent="0.2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 x14ac:dyDescent="0.2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 x14ac:dyDescent="0.2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 x14ac:dyDescent="0.2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 x14ac:dyDescent="0.2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 x14ac:dyDescent="0.2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 x14ac:dyDescent="0.2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 x14ac:dyDescent="0.2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 x14ac:dyDescent="0.2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 x14ac:dyDescent="0.2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 x14ac:dyDescent="0.2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 x14ac:dyDescent="0.2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 x14ac:dyDescent="0.2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 x14ac:dyDescent="0.2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 x14ac:dyDescent="0.2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 x14ac:dyDescent="0.2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 x14ac:dyDescent="0.2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 x14ac:dyDescent="0.2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 x14ac:dyDescent="0.2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 x14ac:dyDescent="0.2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 x14ac:dyDescent="0.2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 x14ac:dyDescent="0.2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 x14ac:dyDescent="0.2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 x14ac:dyDescent="0.2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 x14ac:dyDescent="0.2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 x14ac:dyDescent="0.2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 x14ac:dyDescent="0.2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 x14ac:dyDescent="0.2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 x14ac:dyDescent="0.2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 x14ac:dyDescent="0.2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 x14ac:dyDescent="0.2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 x14ac:dyDescent="0.2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 x14ac:dyDescent="0.2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 x14ac:dyDescent="0.2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 x14ac:dyDescent="0.2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 x14ac:dyDescent="0.2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 x14ac:dyDescent="0.2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 x14ac:dyDescent="0.2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 x14ac:dyDescent="0.2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 x14ac:dyDescent="0.2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 x14ac:dyDescent="0.2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 x14ac:dyDescent="0.2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 x14ac:dyDescent="0.2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 x14ac:dyDescent="0.2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 x14ac:dyDescent="0.2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 x14ac:dyDescent="0.2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 x14ac:dyDescent="0.2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 x14ac:dyDescent="0.2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 x14ac:dyDescent="0.2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 x14ac:dyDescent="0.2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 x14ac:dyDescent="0.2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 x14ac:dyDescent="0.2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 x14ac:dyDescent="0.2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 x14ac:dyDescent="0.2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 x14ac:dyDescent="0.2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 x14ac:dyDescent="0.2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 x14ac:dyDescent="0.2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 x14ac:dyDescent="0.2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 x14ac:dyDescent="0.2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 x14ac:dyDescent="0.2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 x14ac:dyDescent="0.2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 x14ac:dyDescent="0.2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 x14ac:dyDescent="0.2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 x14ac:dyDescent="0.2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 x14ac:dyDescent="0.2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 x14ac:dyDescent="0.2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 x14ac:dyDescent="0.2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 x14ac:dyDescent="0.2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 x14ac:dyDescent="0.2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 x14ac:dyDescent="0.2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 x14ac:dyDescent="0.2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 x14ac:dyDescent="0.2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 x14ac:dyDescent="0.2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 x14ac:dyDescent="0.2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 x14ac:dyDescent="0.2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 x14ac:dyDescent="0.2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 x14ac:dyDescent="0.2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 x14ac:dyDescent="0.2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 x14ac:dyDescent="0.2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 x14ac:dyDescent="0.2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 x14ac:dyDescent="0.2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 x14ac:dyDescent="0.2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 x14ac:dyDescent="0.2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 x14ac:dyDescent="0.2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 x14ac:dyDescent="0.2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 x14ac:dyDescent="0.2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 x14ac:dyDescent="0.2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 x14ac:dyDescent="0.2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 x14ac:dyDescent="0.2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 x14ac:dyDescent="0.2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 x14ac:dyDescent="0.2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 x14ac:dyDescent="0.2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 x14ac:dyDescent="0.2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 x14ac:dyDescent="0.2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 x14ac:dyDescent="0.2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 x14ac:dyDescent="0.2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 x14ac:dyDescent="0.2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 x14ac:dyDescent="0.2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 x14ac:dyDescent="0.2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 x14ac:dyDescent="0.2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 x14ac:dyDescent="0.2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 x14ac:dyDescent="0.2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 x14ac:dyDescent="0.2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 x14ac:dyDescent="0.2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 x14ac:dyDescent="0.2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 x14ac:dyDescent="0.2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 x14ac:dyDescent="0.2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 x14ac:dyDescent="0.2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 x14ac:dyDescent="0.2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 x14ac:dyDescent="0.2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 x14ac:dyDescent="0.2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 x14ac:dyDescent="0.2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 x14ac:dyDescent="0.2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 x14ac:dyDescent="0.2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 x14ac:dyDescent="0.2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 x14ac:dyDescent="0.2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 x14ac:dyDescent="0.2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 x14ac:dyDescent="0.2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 x14ac:dyDescent="0.2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 x14ac:dyDescent="0.2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 x14ac:dyDescent="0.2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 x14ac:dyDescent="0.2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 x14ac:dyDescent="0.2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 x14ac:dyDescent="0.2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 x14ac:dyDescent="0.2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 x14ac:dyDescent="0.2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 x14ac:dyDescent="0.2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 x14ac:dyDescent="0.2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 x14ac:dyDescent="0.2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 x14ac:dyDescent="0.2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 x14ac:dyDescent="0.2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 x14ac:dyDescent="0.2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 x14ac:dyDescent="0.2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 x14ac:dyDescent="0.2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 x14ac:dyDescent="0.2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 x14ac:dyDescent="0.2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 x14ac:dyDescent="0.2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 x14ac:dyDescent="0.2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 x14ac:dyDescent="0.2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 x14ac:dyDescent="0.2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 x14ac:dyDescent="0.2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 x14ac:dyDescent="0.2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 x14ac:dyDescent="0.2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 x14ac:dyDescent="0.2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 x14ac:dyDescent="0.2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 x14ac:dyDescent="0.2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 x14ac:dyDescent="0.2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 x14ac:dyDescent="0.2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 x14ac:dyDescent="0.2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 x14ac:dyDescent="0.2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 x14ac:dyDescent="0.2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 x14ac:dyDescent="0.2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 x14ac:dyDescent="0.2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 x14ac:dyDescent="0.2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 x14ac:dyDescent="0.2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 x14ac:dyDescent="0.2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 x14ac:dyDescent="0.2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 x14ac:dyDescent="0.2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 x14ac:dyDescent="0.2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 x14ac:dyDescent="0.2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 x14ac:dyDescent="0.2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 x14ac:dyDescent="0.2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 x14ac:dyDescent="0.2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 x14ac:dyDescent="0.2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 x14ac:dyDescent="0.2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 x14ac:dyDescent="0.2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 x14ac:dyDescent="0.2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 x14ac:dyDescent="0.2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 x14ac:dyDescent="0.2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 x14ac:dyDescent="0.2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 x14ac:dyDescent="0.2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 x14ac:dyDescent="0.2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 x14ac:dyDescent="0.2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 x14ac:dyDescent="0.2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 x14ac:dyDescent="0.2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 x14ac:dyDescent="0.2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 x14ac:dyDescent="0.2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 x14ac:dyDescent="0.2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 x14ac:dyDescent="0.2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 x14ac:dyDescent="0.2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 x14ac:dyDescent="0.2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 x14ac:dyDescent="0.2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 x14ac:dyDescent="0.2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 x14ac:dyDescent="0.2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 x14ac:dyDescent="0.2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 x14ac:dyDescent="0.2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 x14ac:dyDescent="0.2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 x14ac:dyDescent="0.2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 x14ac:dyDescent="0.2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 x14ac:dyDescent="0.2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 x14ac:dyDescent="0.2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 x14ac:dyDescent="0.2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 x14ac:dyDescent="0.2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 x14ac:dyDescent="0.2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 x14ac:dyDescent="0.2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 x14ac:dyDescent="0.2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 x14ac:dyDescent="0.2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 x14ac:dyDescent="0.2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 x14ac:dyDescent="0.2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 x14ac:dyDescent="0.2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 x14ac:dyDescent="0.2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 x14ac:dyDescent="0.2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 x14ac:dyDescent="0.2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 x14ac:dyDescent="0.2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 x14ac:dyDescent="0.2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 x14ac:dyDescent="0.2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 x14ac:dyDescent="0.2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 x14ac:dyDescent="0.2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 x14ac:dyDescent="0.2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 x14ac:dyDescent="0.2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 x14ac:dyDescent="0.2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 x14ac:dyDescent="0.2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 x14ac:dyDescent="0.2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 x14ac:dyDescent="0.2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 x14ac:dyDescent="0.2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 x14ac:dyDescent="0.2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 x14ac:dyDescent="0.2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 x14ac:dyDescent="0.2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 x14ac:dyDescent="0.2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 x14ac:dyDescent="0.2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 x14ac:dyDescent="0.2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 x14ac:dyDescent="0.2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 x14ac:dyDescent="0.2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 x14ac:dyDescent="0.2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 x14ac:dyDescent="0.2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 x14ac:dyDescent="0.2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 x14ac:dyDescent="0.2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 x14ac:dyDescent="0.2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 x14ac:dyDescent="0.2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 x14ac:dyDescent="0.2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 x14ac:dyDescent="0.2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 x14ac:dyDescent="0.2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 x14ac:dyDescent="0.2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 x14ac:dyDescent="0.2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 x14ac:dyDescent="0.2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 x14ac:dyDescent="0.2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 x14ac:dyDescent="0.2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 x14ac:dyDescent="0.2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 x14ac:dyDescent="0.2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 x14ac:dyDescent="0.2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 x14ac:dyDescent="0.2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 x14ac:dyDescent="0.2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 x14ac:dyDescent="0.2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 x14ac:dyDescent="0.2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 x14ac:dyDescent="0.2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 x14ac:dyDescent="0.2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 x14ac:dyDescent="0.2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 x14ac:dyDescent="0.2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 x14ac:dyDescent="0.2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 x14ac:dyDescent="0.2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 x14ac:dyDescent="0.2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 x14ac:dyDescent="0.2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 x14ac:dyDescent="0.2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 x14ac:dyDescent="0.2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 x14ac:dyDescent="0.2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 x14ac:dyDescent="0.2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 x14ac:dyDescent="0.2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 x14ac:dyDescent="0.2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 x14ac:dyDescent="0.2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 x14ac:dyDescent="0.2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 x14ac:dyDescent="0.2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 x14ac:dyDescent="0.2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 x14ac:dyDescent="0.2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 x14ac:dyDescent="0.2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 x14ac:dyDescent="0.2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 x14ac:dyDescent="0.2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 x14ac:dyDescent="0.2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 x14ac:dyDescent="0.2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 x14ac:dyDescent="0.2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 x14ac:dyDescent="0.2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 x14ac:dyDescent="0.2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 x14ac:dyDescent="0.2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 x14ac:dyDescent="0.2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 x14ac:dyDescent="0.2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 x14ac:dyDescent="0.2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 x14ac:dyDescent="0.2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 x14ac:dyDescent="0.2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 x14ac:dyDescent="0.2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 x14ac:dyDescent="0.2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 x14ac:dyDescent="0.2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 x14ac:dyDescent="0.2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 x14ac:dyDescent="0.2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 x14ac:dyDescent="0.2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 x14ac:dyDescent="0.2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 x14ac:dyDescent="0.2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 x14ac:dyDescent="0.2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 x14ac:dyDescent="0.2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 x14ac:dyDescent="0.2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 x14ac:dyDescent="0.2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 x14ac:dyDescent="0.2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 x14ac:dyDescent="0.2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 x14ac:dyDescent="0.2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 x14ac:dyDescent="0.2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 x14ac:dyDescent="0.2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 x14ac:dyDescent="0.2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 x14ac:dyDescent="0.2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 x14ac:dyDescent="0.2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 x14ac:dyDescent="0.2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 x14ac:dyDescent="0.2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 x14ac:dyDescent="0.2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 x14ac:dyDescent="0.2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 x14ac:dyDescent="0.2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 x14ac:dyDescent="0.2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 x14ac:dyDescent="0.2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 x14ac:dyDescent="0.2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 x14ac:dyDescent="0.2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 x14ac:dyDescent="0.2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 x14ac:dyDescent="0.2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 x14ac:dyDescent="0.2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 x14ac:dyDescent="0.2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 x14ac:dyDescent="0.2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 x14ac:dyDescent="0.2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 x14ac:dyDescent="0.2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 x14ac:dyDescent="0.2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 x14ac:dyDescent="0.2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 x14ac:dyDescent="0.2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 x14ac:dyDescent="0.2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 x14ac:dyDescent="0.2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 x14ac:dyDescent="0.2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 x14ac:dyDescent="0.2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 x14ac:dyDescent="0.2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 x14ac:dyDescent="0.2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 x14ac:dyDescent="0.2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 x14ac:dyDescent="0.2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 x14ac:dyDescent="0.2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 x14ac:dyDescent="0.2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 x14ac:dyDescent="0.2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 x14ac:dyDescent="0.2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 x14ac:dyDescent="0.2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 x14ac:dyDescent="0.2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 x14ac:dyDescent="0.2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 x14ac:dyDescent="0.2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 x14ac:dyDescent="0.2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 x14ac:dyDescent="0.2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 x14ac:dyDescent="0.2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 x14ac:dyDescent="0.2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 x14ac:dyDescent="0.2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 x14ac:dyDescent="0.2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 x14ac:dyDescent="0.2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 x14ac:dyDescent="0.2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 x14ac:dyDescent="0.2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 x14ac:dyDescent="0.2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 x14ac:dyDescent="0.2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 x14ac:dyDescent="0.2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 x14ac:dyDescent="0.2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 x14ac:dyDescent="0.2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 x14ac:dyDescent="0.2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 x14ac:dyDescent="0.2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 x14ac:dyDescent="0.2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 x14ac:dyDescent="0.2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 x14ac:dyDescent="0.2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 x14ac:dyDescent="0.2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 x14ac:dyDescent="0.2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 x14ac:dyDescent="0.2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 x14ac:dyDescent="0.2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 x14ac:dyDescent="0.2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 x14ac:dyDescent="0.2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 x14ac:dyDescent="0.2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 x14ac:dyDescent="0.2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 x14ac:dyDescent="0.2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 x14ac:dyDescent="0.2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 x14ac:dyDescent="0.2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 x14ac:dyDescent="0.2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 x14ac:dyDescent="0.2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 x14ac:dyDescent="0.2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 x14ac:dyDescent="0.2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 x14ac:dyDescent="0.2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 x14ac:dyDescent="0.2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 x14ac:dyDescent="0.2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 x14ac:dyDescent="0.2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 x14ac:dyDescent="0.2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 x14ac:dyDescent="0.2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 x14ac:dyDescent="0.2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 x14ac:dyDescent="0.2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 x14ac:dyDescent="0.2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 x14ac:dyDescent="0.2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 x14ac:dyDescent="0.2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 x14ac:dyDescent="0.2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 x14ac:dyDescent="0.2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 x14ac:dyDescent="0.2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 x14ac:dyDescent="0.2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 x14ac:dyDescent="0.2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 x14ac:dyDescent="0.2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 x14ac:dyDescent="0.2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 x14ac:dyDescent="0.2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 x14ac:dyDescent="0.2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 x14ac:dyDescent="0.2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 x14ac:dyDescent="0.2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 x14ac:dyDescent="0.2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 x14ac:dyDescent="0.2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 x14ac:dyDescent="0.2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 x14ac:dyDescent="0.2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 x14ac:dyDescent="0.2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 x14ac:dyDescent="0.2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 x14ac:dyDescent="0.2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 x14ac:dyDescent="0.2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 x14ac:dyDescent="0.2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 x14ac:dyDescent="0.2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 x14ac:dyDescent="0.2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 x14ac:dyDescent="0.2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 x14ac:dyDescent="0.2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 x14ac:dyDescent="0.2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 x14ac:dyDescent="0.2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 x14ac:dyDescent="0.2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 x14ac:dyDescent="0.2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 x14ac:dyDescent="0.2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 x14ac:dyDescent="0.2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 x14ac:dyDescent="0.2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 x14ac:dyDescent="0.2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 x14ac:dyDescent="0.2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 x14ac:dyDescent="0.2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 x14ac:dyDescent="0.2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 x14ac:dyDescent="0.2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 x14ac:dyDescent="0.2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 x14ac:dyDescent="0.2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 x14ac:dyDescent="0.2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 x14ac:dyDescent="0.2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 x14ac:dyDescent="0.2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 x14ac:dyDescent="0.2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 x14ac:dyDescent="0.2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 x14ac:dyDescent="0.2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 x14ac:dyDescent="0.2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 x14ac:dyDescent="0.2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 x14ac:dyDescent="0.2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 x14ac:dyDescent="0.2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 x14ac:dyDescent="0.2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 x14ac:dyDescent="0.2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 x14ac:dyDescent="0.2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 x14ac:dyDescent="0.2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 x14ac:dyDescent="0.2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 x14ac:dyDescent="0.2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 x14ac:dyDescent="0.2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 x14ac:dyDescent="0.2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 x14ac:dyDescent="0.2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 x14ac:dyDescent="0.2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 x14ac:dyDescent="0.2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 x14ac:dyDescent="0.2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 x14ac:dyDescent="0.2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 x14ac:dyDescent="0.2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 x14ac:dyDescent="0.2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 x14ac:dyDescent="0.2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 x14ac:dyDescent="0.2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 x14ac:dyDescent="0.2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 x14ac:dyDescent="0.2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 x14ac:dyDescent="0.2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 x14ac:dyDescent="0.2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 x14ac:dyDescent="0.2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 x14ac:dyDescent="0.2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 x14ac:dyDescent="0.2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 x14ac:dyDescent="0.2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 x14ac:dyDescent="0.2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 x14ac:dyDescent="0.2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 x14ac:dyDescent="0.2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 x14ac:dyDescent="0.2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 x14ac:dyDescent="0.2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 x14ac:dyDescent="0.2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 x14ac:dyDescent="0.2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 x14ac:dyDescent="0.2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 x14ac:dyDescent="0.2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 x14ac:dyDescent="0.2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 x14ac:dyDescent="0.2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 x14ac:dyDescent="0.2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 x14ac:dyDescent="0.2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 x14ac:dyDescent="0.2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 x14ac:dyDescent="0.2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 x14ac:dyDescent="0.2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 x14ac:dyDescent="0.2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 x14ac:dyDescent="0.2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 x14ac:dyDescent="0.2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 x14ac:dyDescent="0.2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 x14ac:dyDescent="0.2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 x14ac:dyDescent="0.2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 x14ac:dyDescent="0.2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 x14ac:dyDescent="0.2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 x14ac:dyDescent="0.2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 x14ac:dyDescent="0.2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 x14ac:dyDescent="0.2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 x14ac:dyDescent="0.2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 x14ac:dyDescent="0.2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 x14ac:dyDescent="0.2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 x14ac:dyDescent="0.2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 x14ac:dyDescent="0.2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 x14ac:dyDescent="0.2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 x14ac:dyDescent="0.2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 x14ac:dyDescent="0.2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 x14ac:dyDescent="0.2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 x14ac:dyDescent="0.2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 x14ac:dyDescent="0.2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 x14ac:dyDescent="0.2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 x14ac:dyDescent="0.2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 x14ac:dyDescent="0.2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 x14ac:dyDescent="0.2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 x14ac:dyDescent="0.2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 x14ac:dyDescent="0.2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 x14ac:dyDescent="0.2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 x14ac:dyDescent="0.2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 x14ac:dyDescent="0.2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 x14ac:dyDescent="0.2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 x14ac:dyDescent="0.2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 x14ac:dyDescent="0.2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 x14ac:dyDescent="0.2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 x14ac:dyDescent="0.2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 x14ac:dyDescent="0.2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 x14ac:dyDescent="0.2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 x14ac:dyDescent="0.2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 x14ac:dyDescent="0.2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 x14ac:dyDescent="0.2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 x14ac:dyDescent="0.2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 x14ac:dyDescent="0.2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 x14ac:dyDescent="0.2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 x14ac:dyDescent="0.2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 x14ac:dyDescent="0.2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 x14ac:dyDescent="0.2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 x14ac:dyDescent="0.2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 x14ac:dyDescent="0.2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 x14ac:dyDescent="0.2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 x14ac:dyDescent="0.2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 x14ac:dyDescent="0.2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 x14ac:dyDescent="0.2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 x14ac:dyDescent="0.2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 x14ac:dyDescent="0.2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 x14ac:dyDescent="0.2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 x14ac:dyDescent="0.2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 x14ac:dyDescent="0.2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 x14ac:dyDescent="0.2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 x14ac:dyDescent="0.2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 x14ac:dyDescent="0.2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 x14ac:dyDescent="0.2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 x14ac:dyDescent="0.2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 x14ac:dyDescent="0.2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 x14ac:dyDescent="0.2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 x14ac:dyDescent="0.2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 x14ac:dyDescent="0.2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 x14ac:dyDescent="0.2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 x14ac:dyDescent="0.2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 x14ac:dyDescent="0.2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 x14ac:dyDescent="0.2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 x14ac:dyDescent="0.2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 x14ac:dyDescent="0.2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 x14ac:dyDescent="0.2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 x14ac:dyDescent="0.2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 x14ac:dyDescent="0.2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 x14ac:dyDescent="0.2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 x14ac:dyDescent="0.2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 x14ac:dyDescent="0.2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 x14ac:dyDescent="0.2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 x14ac:dyDescent="0.2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 x14ac:dyDescent="0.2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 x14ac:dyDescent="0.2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 x14ac:dyDescent="0.2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 x14ac:dyDescent="0.2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 x14ac:dyDescent="0.2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 x14ac:dyDescent="0.2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 x14ac:dyDescent="0.2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 x14ac:dyDescent="0.2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 x14ac:dyDescent="0.2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 x14ac:dyDescent="0.2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 x14ac:dyDescent="0.2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 x14ac:dyDescent="0.2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 x14ac:dyDescent="0.2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 x14ac:dyDescent="0.2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 x14ac:dyDescent="0.2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 x14ac:dyDescent="0.2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 x14ac:dyDescent="0.2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 x14ac:dyDescent="0.2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 x14ac:dyDescent="0.2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 x14ac:dyDescent="0.2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 x14ac:dyDescent="0.2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 x14ac:dyDescent="0.2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 x14ac:dyDescent="0.2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 x14ac:dyDescent="0.2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 x14ac:dyDescent="0.2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 x14ac:dyDescent="0.2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 x14ac:dyDescent="0.2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 x14ac:dyDescent="0.2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 x14ac:dyDescent="0.2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 x14ac:dyDescent="0.2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 x14ac:dyDescent="0.2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 x14ac:dyDescent="0.2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 x14ac:dyDescent="0.2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 x14ac:dyDescent="0.2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 x14ac:dyDescent="0.2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 x14ac:dyDescent="0.2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 x14ac:dyDescent="0.2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 x14ac:dyDescent="0.2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 x14ac:dyDescent="0.2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 x14ac:dyDescent="0.2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 x14ac:dyDescent="0.2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 x14ac:dyDescent="0.2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 x14ac:dyDescent="0.2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 x14ac:dyDescent="0.2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 x14ac:dyDescent="0.2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 x14ac:dyDescent="0.2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 x14ac:dyDescent="0.2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 x14ac:dyDescent="0.2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 x14ac:dyDescent="0.2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 x14ac:dyDescent="0.2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 x14ac:dyDescent="0.2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 x14ac:dyDescent="0.2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 x14ac:dyDescent="0.2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 x14ac:dyDescent="0.2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 x14ac:dyDescent="0.2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 x14ac:dyDescent="0.2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 x14ac:dyDescent="0.2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 x14ac:dyDescent="0.2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 x14ac:dyDescent="0.2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 x14ac:dyDescent="0.2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 x14ac:dyDescent="0.2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 x14ac:dyDescent="0.2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 x14ac:dyDescent="0.2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 x14ac:dyDescent="0.2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 x14ac:dyDescent="0.2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 x14ac:dyDescent="0.2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 x14ac:dyDescent="0.2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 x14ac:dyDescent="0.2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 x14ac:dyDescent="0.2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 x14ac:dyDescent="0.2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 x14ac:dyDescent="0.2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 x14ac:dyDescent="0.2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 x14ac:dyDescent="0.2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 x14ac:dyDescent="0.2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 x14ac:dyDescent="0.2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 x14ac:dyDescent="0.2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 x14ac:dyDescent="0.2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 x14ac:dyDescent="0.2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 x14ac:dyDescent="0.2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 x14ac:dyDescent="0.2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 x14ac:dyDescent="0.2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 x14ac:dyDescent="0.2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 x14ac:dyDescent="0.2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 x14ac:dyDescent="0.2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 x14ac:dyDescent="0.2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 x14ac:dyDescent="0.2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 x14ac:dyDescent="0.2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 x14ac:dyDescent="0.2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 x14ac:dyDescent="0.2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 x14ac:dyDescent="0.2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 x14ac:dyDescent="0.2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 x14ac:dyDescent="0.2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 x14ac:dyDescent="0.2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 x14ac:dyDescent="0.2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 x14ac:dyDescent="0.2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 x14ac:dyDescent="0.2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 x14ac:dyDescent="0.2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 x14ac:dyDescent="0.2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 x14ac:dyDescent="0.2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 x14ac:dyDescent="0.2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 x14ac:dyDescent="0.2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 x14ac:dyDescent="0.2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 x14ac:dyDescent="0.2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 x14ac:dyDescent="0.2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 x14ac:dyDescent="0.2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 x14ac:dyDescent="0.2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 x14ac:dyDescent="0.2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 x14ac:dyDescent="0.2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 x14ac:dyDescent="0.2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 x14ac:dyDescent="0.2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 x14ac:dyDescent="0.2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 x14ac:dyDescent="0.2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 x14ac:dyDescent="0.2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 x14ac:dyDescent="0.2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 x14ac:dyDescent="0.2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 x14ac:dyDescent="0.2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 x14ac:dyDescent="0.2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 x14ac:dyDescent="0.2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 x14ac:dyDescent="0.2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 x14ac:dyDescent="0.2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 x14ac:dyDescent="0.2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 x14ac:dyDescent="0.2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 x14ac:dyDescent="0.2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 x14ac:dyDescent="0.2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 x14ac:dyDescent="0.2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 x14ac:dyDescent="0.2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 x14ac:dyDescent="0.2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 x14ac:dyDescent="0.2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 x14ac:dyDescent="0.2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 x14ac:dyDescent="0.2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 x14ac:dyDescent="0.2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 x14ac:dyDescent="0.2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 x14ac:dyDescent="0.2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 x14ac:dyDescent="0.2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 x14ac:dyDescent="0.2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 x14ac:dyDescent="0.2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 x14ac:dyDescent="0.2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 x14ac:dyDescent="0.2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 x14ac:dyDescent="0.2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 x14ac:dyDescent="0.2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 x14ac:dyDescent="0.2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 x14ac:dyDescent="0.2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 x14ac:dyDescent="0.2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 x14ac:dyDescent="0.2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 x14ac:dyDescent="0.2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 x14ac:dyDescent="0.2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 x14ac:dyDescent="0.2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 x14ac:dyDescent="0.2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 x14ac:dyDescent="0.2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 x14ac:dyDescent="0.2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 x14ac:dyDescent="0.2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 x14ac:dyDescent="0.2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 x14ac:dyDescent="0.2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 x14ac:dyDescent="0.2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 x14ac:dyDescent="0.2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 x14ac:dyDescent="0.2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 x14ac:dyDescent="0.2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 x14ac:dyDescent="0.2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 x14ac:dyDescent="0.2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 x14ac:dyDescent="0.2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 x14ac:dyDescent="0.2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 x14ac:dyDescent="0.2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 x14ac:dyDescent="0.2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 x14ac:dyDescent="0.2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 x14ac:dyDescent="0.2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 x14ac:dyDescent="0.2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 x14ac:dyDescent="0.2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 x14ac:dyDescent="0.2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 x14ac:dyDescent="0.2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 x14ac:dyDescent="0.2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 x14ac:dyDescent="0.2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 x14ac:dyDescent="0.2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 x14ac:dyDescent="0.2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 x14ac:dyDescent="0.2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 x14ac:dyDescent="0.2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 x14ac:dyDescent="0.2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 x14ac:dyDescent="0.2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 x14ac:dyDescent="0.2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 x14ac:dyDescent="0.2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 x14ac:dyDescent="0.2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 x14ac:dyDescent="0.2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 x14ac:dyDescent="0.2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 x14ac:dyDescent="0.2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 x14ac:dyDescent="0.2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 x14ac:dyDescent="0.2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 x14ac:dyDescent="0.2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 x14ac:dyDescent="0.2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 x14ac:dyDescent="0.2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 x14ac:dyDescent="0.2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 x14ac:dyDescent="0.2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 x14ac:dyDescent="0.2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 x14ac:dyDescent="0.2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 x14ac:dyDescent="0.2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 x14ac:dyDescent="0.2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 x14ac:dyDescent="0.2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 x14ac:dyDescent="0.2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 x14ac:dyDescent="0.2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 x14ac:dyDescent="0.2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 x14ac:dyDescent="0.2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 x14ac:dyDescent="0.2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 x14ac:dyDescent="0.2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 x14ac:dyDescent="0.2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 x14ac:dyDescent="0.2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 x14ac:dyDescent="0.2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 x14ac:dyDescent="0.2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 x14ac:dyDescent="0.2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 x14ac:dyDescent="0.2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 x14ac:dyDescent="0.2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 x14ac:dyDescent="0.2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 x14ac:dyDescent="0.2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 x14ac:dyDescent="0.2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 x14ac:dyDescent="0.2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 x14ac:dyDescent="0.2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 x14ac:dyDescent="0.2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 x14ac:dyDescent="0.2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 x14ac:dyDescent="0.2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 x14ac:dyDescent="0.2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 x14ac:dyDescent="0.2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 x14ac:dyDescent="0.2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 x14ac:dyDescent="0.2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 x14ac:dyDescent="0.2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 x14ac:dyDescent="0.2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 x14ac:dyDescent="0.2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 x14ac:dyDescent="0.2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 x14ac:dyDescent="0.2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 x14ac:dyDescent="0.2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 x14ac:dyDescent="0.2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 x14ac:dyDescent="0.2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 x14ac:dyDescent="0.2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 x14ac:dyDescent="0.2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 x14ac:dyDescent="0.2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 x14ac:dyDescent="0.2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 x14ac:dyDescent="0.2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 x14ac:dyDescent="0.2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 x14ac:dyDescent="0.2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 x14ac:dyDescent="0.2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 x14ac:dyDescent="0.2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 x14ac:dyDescent="0.2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 x14ac:dyDescent="0.2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 x14ac:dyDescent="0.2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 x14ac:dyDescent="0.2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 x14ac:dyDescent="0.2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 x14ac:dyDescent="0.2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 x14ac:dyDescent="0.2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 x14ac:dyDescent="0.2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 x14ac:dyDescent="0.2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 x14ac:dyDescent="0.2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 x14ac:dyDescent="0.2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 x14ac:dyDescent="0.2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 x14ac:dyDescent="0.2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 x14ac:dyDescent="0.2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 x14ac:dyDescent="0.2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 x14ac:dyDescent="0.2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 x14ac:dyDescent="0.2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 x14ac:dyDescent="0.2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 x14ac:dyDescent="0.2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 x14ac:dyDescent="0.2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 x14ac:dyDescent="0.2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 x14ac:dyDescent="0.2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 x14ac:dyDescent="0.2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 x14ac:dyDescent="0.2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 x14ac:dyDescent="0.2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 x14ac:dyDescent="0.2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 x14ac:dyDescent="0.2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 x14ac:dyDescent="0.2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 x14ac:dyDescent="0.2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 x14ac:dyDescent="0.2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 x14ac:dyDescent="0.2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 x14ac:dyDescent="0.2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 x14ac:dyDescent="0.2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 x14ac:dyDescent="0.2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 x14ac:dyDescent="0.2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 x14ac:dyDescent="0.2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 x14ac:dyDescent="0.2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 x14ac:dyDescent="0.2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 x14ac:dyDescent="0.2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 x14ac:dyDescent="0.2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 x14ac:dyDescent="0.2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 x14ac:dyDescent="0.2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 x14ac:dyDescent="0.2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 x14ac:dyDescent="0.2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 x14ac:dyDescent="0.2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 x14ac:dyDescent="0.2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 x14ac:dyDescent="0.2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 x14ac:dyDescent="0.2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 x14ac:dyDescent="0.2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 x14ac:dyDescent="0.2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 x14ac:dyDescent="0.2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 x14ac:dyDescent="0.2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 x14ac:dyDescent="0.2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 x14ac:dyDescent="0.2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 x14ac:dyDescent="0.2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 x14ac:dyDescent="0.2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 x14ac:dyDescent="0.2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 x14ac:dyDescent="0.2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 x14ac:dyDescent="0.2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 x14ac:dyDescent="0.2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 x14ac:dyDescent="0.2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 x14ac:dyDescent="0.2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 x14ac:dyDescent="0.2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 x14ac:dyDescent="0.2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 x14ac:dyDescent="0.2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 x14ac:dyDescent="0.2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 x14ac:dyDescent="0.2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 x14ac:dyDescent="0.2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 x14ac:dyDescent="0.2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 x14ac:dyDescent="0.2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 x14ac:dyDescent="0.2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1"/>
  <sheetViews>
    <sheetView tabSelected="1" view="pageBreakPreview" zoomScale="70" zoomScaleNormal="85" zoomScaleSheetLayoutView="70" workbookViewId="0">
      <selection activeCell="F11" sqref="F11"/>
    </sheetView>
  </sheetViews>
  <sheetFormatPr defaultRowHeight="12.75" x14ac:dyDescent="0.2"/>
  <cols>
    <col min="1" max="1" width="5.28515625" customWidth="1"/>
    <col min="2" max="2" width="11" customWidth="1"/>
    <col min="3" max="3" width="18.28515625" customWidth="1"/>
    <col min="4" max="4" width="12.140625" customWidth="1"/>
    <col min="5" max="5" width="16.7109375" customWidth="1"/>
    <col min="6" max="6" width="21.5703125" customWidth="1"/>
    <col min="7" max="8" width="10.85546875" customWidth="1"/>
    <col min="9" max="9" width="11.28515625" customWidth="1"/>
    <col min="10" max="10" width="10.140625" customWidth="1"/>
    <col min="11" max="11" width="14.28515625" customWidth="1"/>
    <col min="12" max="12" width="5.85546875" customWidth="1"/>
  </cols>
  <sheetData>
    <row r="2" spans="2:11" ht="15" x14ac:dyDescent="0.25">
      <c r="B2" s="59" t="s">
        <v>96</v>
      </c>
    </row>
    <row r="4" spans="2:11" x14ac:dyDescent="0.2">
      <c r="D4" s="95" t="s">
        <v>80</v>
      </c>
      <c r="E4" s="95"/>
      <c r="F4" s="95"/>
      <c r="G4" s="95"/>
      <c r="H4" s="95"/>
      <c r="I4" s="95"/>
      <c r="J4" s="95" t="s">
        <v>81</v>
      </c>
      <c r="K4" s="95"/>
    </row>
    <row r="5" spans="2:11" s="62" customFormat="1" ht="49.5" customHeight="1" x14ac:dyDescent="0.2">
      <c r="B5" s="60" t="s">
        <v>82</v>
      </c>
      <c r="C5" s="60" t="s">
        <v>83</v>
      </c>
      <c r="D5" s="60" t="s">
        <v>84</v>
      </c>
      <c r="E5" s="60" t="s">
        <v>85</v>
      </c>
      <c r="F5" s="60" t="s">
        <v>86</v>
      </c>
      <c r="G5" s="61" t="s">
        <v>87</v>
      </c>
      <c r="H5" s="61" t="s">
        <v>88</v>
      </c>
      <c r="I5" s="61" t="s">
        <v>89</v>
      </c>
      <c r="J5" s="61" t="s">
        <v>90</v>
      </c>
      <c r="K5" s="61" t="s">
        <v>91</v>
      </c>
    </row>
    <row r="6" spans="2:11" ht="15" customHeight="1" x14ac:dyDescent="0.2">
      <c r="B6" s="63" t="s">
        <v>65</v>
      </c>
      <c r="C6" s="63" t="s">
        <v>92</v>
      </c>
      <c r="D6" s="63" t="s">
        <v>68</v>
      </c>
      <c r="E6" s="63" t="s">
        <v>65</v>
      </c>
      <c r="F6" s="64" t="str">
        <f>D6&amp;"-"&amp;E6</f>
        <v>KAMPALA-TORORO</v>
      </c>
      <c r="G6" s="65">
        <f>ROUNDUP(COUNTIF('PT-04'!$L$9:$L$3233,Summary!F6)/5,0)</f>
        <v>12</v>
      </c>
      <c r="H6" s="65">
        <v>210</v>
      </c>
      <c r="I6" s="66">
        <f>AVERAGEIF('PT-04'!$L$9:$L$3233,Summary!F6,'PT-04'!$O$9:$O$3233)</f>
        <v>4.8000000000000052</v>
      </c>
      <c r="J6" s="65">
        <f>AVERAGEIF('PT-04'!$L$9:$L$3233,Summary!F6,'PT-04'!$M$9:$M$3233)</f>
        <v>14</v>
      </c>
      <c r="K6" s="67">
        <f>AVERAGEIF('PT-04'!$L$9:$L$3233,Summary!F6,'PT-04'!$N$9:$N$3233)</f>
        <v>17551.724137931036</v>
      </c>
    </row>
    <row r="7" spans="2:11" ht="15" customHeight="1" x14ac:dyDescent="0.2">
      <c r="B7" s="63" t="s">
        <v>65</v>
      </c>
      <c r="C7" s="63" t="s">
        <v>93</v>
      </c>
      <c r="D7" s="63" t="s">
        <v>65</v>
      </c>
      <c r="E7" s="63" t="s">
        <v>68</v>
      </c>
      <c r="F7" s="64" t="str">
        <f t="shared" ref="F7:F8" si="0">D7&amp;"-"&amp;E7</f>
        <v>TORORO-KAMPALA</v>
      </c>
      <c r="G7" s="65">
        <f>ROUNDUP(COUNTIF('PT-04'!$L$9:$L$3233,Summary!F7)/5,0)</f>
        <v>2</v>
      </c>
      <c r="H7" s="65">
        <v>210</v>
      </c>
      <c r="I7" s="66">
        <f>AVERAGEIF('PT-04'!$L$9:$L$3233,Summary!F7,'PT-04'!$O$9:$O$3233)</f>
        <v>4.8</v>
      </c>
      <c r="J7" s="65">
        <f>AVERAGEIF('PT-04'!$L$9:$L$3233,Summary!F7,'PT-04'!$M$9:$M$3233)</f>
        <v>14</v>
      </c>
      <c r="K7" s="67">
        <f>AVERAGEIF('PT-04'!$L$9:$L$3233,Summary!F7,'PT-04'!$N$9:$N$3233)</f>
        <v>18000</v>
      </c>
    </row>
    <row r="8" spans="2:11" ht="15" customHeight="1" x14ac:dyDescent="0.2">
      <c r="B8" s="63" t="s">
        <v>65</v>
      </c>
      <c r="C8" s="63" t="s">
        <v>93</v>
      </c>
      <c r="D8" s="63" t="s">
        <v>69</v>
      </c>
      <c r="E8" s="63" t="s">
        <v>68</v>
      </c>
      <c r="F8" s="64" t="str">
        <f t="shared" si="0"/>
        <v>BUSIA-KAMPALA</v>
      </c>
      <c r="G8" s="65">
        <f>ROUNDUP(COUNTIF('PT-04'!$L$9:$L$3233,Summary!F8)/5,0)</f>
        <v>1</v>
      </c>
      <c r="H8" s="65">
        <v>194</v>
      </c>
      <c r="I8" s="66">
        <f>AVERAGEIF('PT-04'!$L$9:$L$3233,Summary!F8,'PT-04'!$O$9:$O$3233)</f>
        <v>4.25</v>
      </c>
      <c r="J8" s="65">
        <f>AVERAGEIF('PT-04'!$L$9:$L$3233,Summary!F8,'PT-04'!$M$9:$M$3233)</f>
        <v>14</v>
      </c>
      <c r="K8" s="67">
        <f>AVERAGEIF('PT-04'!$L$9:$L$3233,Summary!F8,'PT-04'!$N$9:$N$3233)</f>
        <v>20000</v>
      </c>
    </row>
    <row r="9" spans="2:11" ht="15" customHeight="1" x14ac:dyDescent="0.2">
      <c r="B9" s="63" t="s">
        <v>65</v>
      </c>
      <c r="C9" s="63" t="s">
        <v>93</v>
      </c>
      <c r="D9" s="63" t="s">
        <v>74</v>
      </c>
      <c r="E9" s="63" t="s">
        <v>68</v>
      </c>
      <c r="F9" s="64" t="str">
        <f t="shared" ref="F9:F15" si="1">D9&amp;"-"&amp;E9</f>
        <v>LIRA-KAMPALA</v>
      </c>
      <c r="G9" s="65">
        <f>ROUNDUP(COUNTIF('PT-04'!$L$9:$L$3233,Summary!F9)/5,0)</f>
        <v>1</v>
      </c>
      <c r="H9" s="65">
        <v>337</v>
      </c>
      <c r="I9" s="66">
        <f>AVERAGEIF('PT-04'!$L$9:$L$3233,Summary!F9,'PT-04'!$O$9:$O$3233)</f>
        <v>5.25</v>
      </c>
      <c r="J9" s="65">
        <f>AVERAGEIF('PT-04'!$L$9:$L$3233,Summary!F9,'PT-04'!$M$9:$M$3233)</f>
        <v>46</v>
      </c>
      <c r="K9" s="67">
        <f>AVERAGEIF('PT-04'!$L$9:$L$3233,Summary!F9,'PT-04'!$N$9:$N$3233)</f>
        <v>25000</v>
      </c>
    </row>
    <row r="10" spans="2:11" ht="15" customHeight="1" x14ac:dyDescent="0.2">
      <c r="B10" s="63" t="s">
        <v>65</v>
      </c>
      <c r="C10" s="63" t="s">
        <v>95</v>
      </c>
      <c r="D10" s="63" t="s">
        <v>71</v>
      </c>
      <c r="E10" s="63" t="s">
        <v>65</v>
      </c>
      <c r="F10" s="64" t="str">
        <f t="shared" si="1"/>
        <v>BUGIRI-TORORO</v>
      </c>
      <c r="G10" s="65">
        <f>ROUNDUP(COUNTIF('PT-04'!$L$9:$L$3233,Summary!F10)/5,0)</f>
        <v>1</v>
      </c>
      <c r="H10" s="65">
        <v>59</v>
      </c>
      <c r="I10" s="66">
        <f>AVERAGEIF('PT-04'!$L$9:$L$3233,Summary!F10,'PT-04'!$O$9:$O$3233)</f>
        <v>1.25</v>
      </c>
      <c r="J10" s="65">
        <f>AVERAGEIF('PT-04'!$L$9:$L$3233,Summary!F10,'PT-04'!$M$9:$M$3233)</f>
        <v>14</v>
      </c>
      <c r="K10" s="67">
        <f>AVERAGEIF('PT-04'!$L$9:$L$3233,Summary!F10,'PT-04'!$N$9:$N$3233)</f>
        <v>6000</v>
      </c>
    </row>
    <row r="11" spans="2:11" ht="15" customHeight="1" x14ac:dyDescent="0.2">
      <c r="B11" s="63" t="s">
        <v>65</v>
      </c>
      <c r="C11" s="63" t="s">
        <v>95</v>
      </c>
      <c r="D11" s="63" t="s">
        <v>69</v>
      </c>
      <c r="E11" s="63" t="s">
        <v>65</v>
      </c>
      <c r="F11" s="64" t="str">
        <f t="shared" si="1"/>
        <v>BUSIA-TORORO</v>
      </c>
      <c r="G11" s="65">
        <f>ROUNDUP(COUNTIF('PT-04'!$L$9:$L$3233,Summary!F11)/5,0)</f>
        <v>6</v>
      </c>
      <c r="H11" s="65">
        <v>52</v>
      </c>
      <c r="I11" s="66">
        <f>AVERAGEIF('PT-04'!$L$9:$L$3233,Summary!F11,'PT-04'!$O$9:$O$3233)</f>
        <v>1.25</v>
      </c>
      <c r="J11" s="65">
        <f>AVERAGEIF('PT-04'!$L$9:$L$3233,Summary!F11,'PT-04'!$M$9:$M$3233)</f>
        <v>14</v>
      </c>
      <c r="K11" s="67">
        <f>AVERAGEIF('PT-04'!$L$9:$L$3233,Summary!F11,'PT-04'!$N$9:$N$3233)</f>
        <v>5035.7142857142853</v>
      </c>
    </row>
    <row r="12" spans="2:11" ht="15" customHeight="1" x14ac:dyDescent="0.2">
      <c r="B12" s="63" t="s">
        <v>65</v>
      </c>
      <c r="C12" s="63" t="s">
        <v>95</v>
      </c>
      <c r="D12" s="63" t="s">
        <v>77</v>
      </c>
      <c r="E12" s="63" t="s">
        <v>65</v>
      </c>
      <c r="F12" s="64" t="str">
        <f t="shared" si="1"/>
        <v>BUTALEJA-TORORO</v>
      </c>
      <c r="G12" s="65">
        <f>ROUNDUP(COUNTIF('PT-04'!$L$9:$L$3233,Summary!F12)/5,0)</f>
        <v>1</v>
      </c>
      <c r="H12" s="65">
        <v>52</v>
      </c>
      <c r="I12" s="66">
        <f>AVERAGEIF('PT-04'!$L$9:$L$3233,Summary!F12,'PT-04'!$O$9:$O$3233)</f>
        <v>1.25</v>
      </c>
      <c r="J12" s="65">
        <f>AVERAGEIF('PT-04'!$L$9:$L$3233,Summary!F12,'PT-04'!$M$9:$M$3233)</f>
        <v>14</v>
      </c>
      <c r="K12" s="67">
        <f>AVERAGEIF('PT-04'!$L$9:$L$3233,Summary!F12,'PT-04'!$N$9:$N$3233)</f>
        <v>5000</v>
      </c>
    </row>
    <row r="13" spans="2:11" ht="15" customHeight="1" x14ac:dyDescent="0.2">
      <c r="B13" s="63" t="s">
        <v>65</v>
      </c>
      <c r="C13" s="63" t="s">
        <v>95</v>
      </c>
      <c r="D13" s="63" t="s">
        <v>73</v>
      </c>
      <c r="E13" s="63" t="s">
        <v>65</v>
      </c>
      <c r="F13" s="64" t="str">
        <f t="shared" si="1"/>
        <v>IGANGA-TORORO</v>
      </c>
      <c r="G13" s="65">
        <f>ROUNDUP(COUNTIF('PT-04'!$L$9:$L$3233,Summary!F13)/5,0)</f>
        <v>2</v>
      </c>
      <c r="H13" s="65">
        <v>93</v>
      </c>
      <c r="I13" s="66">
        <f>AVERAGEIF('PT-04'!$L$9:$L$3233,Summary!F13,'PT-04'!$O$9:$O$3233)</f>
        <v>1.8000000000000003</v>
      </c>
      <c r="J13" s="65">
        <f>AVERAGEIF('PT-04'!$L$9:$L$3233,Summary!F13,'PT-04'!$M$9:$M$3233)</f>
        <v>14</v>
      </c>
      <c r="K13" s="67">
        <f>AVERAGEIF('PT-04'!$L$9:$L$3233,Summary!F13,'PT-04'!$N$9:$N$3233)</f>
        <v>10000</v>
      </c>
    </row>
    <row r="14" spans="2:11" ht="15" customHeight="1" x14ac:dyDescent="0.2">
      <c r="B14" s="63" t="s">
        <v>65</v>
      </c>
      <c r="C14" s="63" t="s">
        <v>95</v>
      </c>
      <c r="D14" s="63" t="s">
        <v>67</v>
      </c>
      <c r="E14" s="63" t="s">
        <v>65</v>
      </c>
      <c r="F14" s="64" t="str">
        <f t="shared" ref="F14" si="2">D14&amp;"-"&amp;E14</f>
        <v>JINJA-TORORO</v>
      </c>
      <c r="G14" s="65">
        <f>ROUNDUP(COUNTIF('PT-04'!$L$9:$L$3233,Summary!F14)/5,0)</f>
        <v>11</v>
      </c>
      <c r="H14" s="65">
        <v>131</v>
      </c>
      <c r="I14" s="66">
        <f>AVERAGEIF('PT-04'!$L$9:$L$3233,Summary!F14,'PT-04'!$O$9:$O$3233)</f>
        <v>2.25</v>
      </c>
      <c r="J14" s="65">
        <f>AVERAGEIF('PT-04'!$L$9:$L$3233,Summary!F14,'PT-04'!$M$9:$M$3233)</f>
        <v>14</v>
      </c>
      <c r="K14" s="67">
        <f>AVERAGEIF('PT-04'!$L$9:$L$3233,Summary!F14,'PT-04'!$N$9:$N$3233)</f>
        <v>13000</v>
      </c>
    </row>
    <row r="15" spans="2:11" ht="15" customHeight="1" x14ac:dyDescent="0.2">
      <c r="B15" s="63" t="s">
        <v>65</v>
      </c>
      <c r="C15" s="63" t="s">
        <v>95</v>
      </c>
      <c r="D15" s="63" t="s">
        <v>66</v>
      </c>
      <c r="E15" s="63" t="s">
        <v>65</v>
      </c>
      <c r="F15" s="64" t="str">
        <f t="shared" si="1"/>
        <v>MBALE-TORORO</v>
      </c>
      <c r="G15" s="65">
        <f>ROUNDUP(COUNTIF('PT-04'!$L$9:$L$3233,Summary!F15)/5,0)</f>
        <v>18</v>
      </c>
      <c r="H15" s="65">
        <v>51</v>
      </c>
      <c r="I15" s="66">
        <f>AVERAGEIF('PT-04'!$L$9:$L$3233,Summary!F15,'PT-04'!$O$9:$O$3233)</f>
        <v>1.9012359550561766</v>
      </c>
      <c r="J15" s="65">
        <f>AVERAGEIF('PT-04'!$L$9:$L$3233,Summary!F15,'PT-04'!$M$9:$M$3233)</f>
        <v>14</v>
      </c>
      <c r="K15" s="67">
        <f>AVERAGEIF('PT-04'!$L$9:$L$3233,Summary!F15,'PT-04'!$N$9:$N$3233)</f>
        <v>5112.3595505617977</v>
      </c>
    </row>
    <row r="16" spans="2:11" ht="15" customHeight="1" x14ac:dyDescent="0.2">
      <c r="B16" s="63" t="s">
        <v>65</v>
      </c>
      <c r="C16" s="63" t="s">
        <v>97</v>
      </c>
      <c r="D16" s="63" t="s">
        <v>65</v>
      </c>
      <c r="E16" s="63" t="s">
        <v>69</v>
      </c>
      <c r="F16" s="64" t="str">
        <f t="shared" ref="F16:F21" si="3">D16&amp;"-"&amp;E16</f>
        <v>TORORO-BUSIA</v>
      </c>
      <c r="G16" s="65">
        <f>ROUNDUP(COUNTIF('PT-04'!$L$9:$L$3233,Summary!F16)/5,0)</f>
        <v>1</v>
      </c>
      <c r="H16" s="65">
        <v>52</v>
      </c>
      <c r="I16" s="66">
        <f>AVERAGEIF('PT-04'!$L$9:$L$3233,Summary!F16,'PT-04'!$O$9:$O$3233)</f>
        <v>0.5</v>
      </c>
      <c r="J16" s="65">
        <f>AVERAGEIF('PT-04'!$L$9:$L$3233,Summary!F16,'PT-04'!$M$9:$M$3233)</f>
        <v>14</v>
      </c>
      <c r="K16" s="67">
        <f>AVERAGEIF('PT-04'!$L$9:$L$3233,Summary!F16,'PT-04'!$N$9:$N$3233)</f>
        <v>6000</v>
      </c>
    </row>
    <row r="17" spans="2:11" ht="15" customHeight="1" x14ac:dyDescent="0.2">
      <c r="B17" s="63" t="s">
        <v>65</v>
      </c>
      <c r="C17" s="63" t="s">
        <v>97</v>
      </c>
      <c r="D17" s="63" t="s">
        <v>65</v>
      </c>
      <c r="E17" s="63" t="s">
        <v>67</v>
      </c>
      <c r="F17" s="64" t="str">
        <f t="shared" ref="F17:F18" si="4">D17&amp;"-"&amp;E17</f>
        <v>TORORO-JINJA</v>
      </c>
      <c r="G17" s="65">
        <f>ROUNDUP(COUNTIF('PT-04'!$L$9:$L$3233,Summary!F17)/5,0)</f>
        <v>3</v>
      </c>
      <c r="H17" s="65">
        <v>131</v>
      </c>
      <c r="I17" s="66">
        <f>AVERAGEIF('PT-04'!$L$9:$L$3233,Summary!F17,'PT-04'!$O$9:$O$3233)</f>
        <v>2.25</v>
      </c>
      <c r="J17" s="65">
        <f>AVERAGEIF('PT-04'!$L$9:$L$3233,Summary!F17,'PT-04'!$M$9:$M$3233)</f>
        <v>14</v>
      </c>
      <c r="K17" s="67">
        <f>AVERAGEIF('PT-04'!$L$9:$L$3233,Summary!F17,'PT-04'!$N$9:$N$3233)</f>
        <v>13000</v>
      </c>
    </row>
    <row r="18" spans="2:11" ht="15" customHeight="1" x14ac:dyDescent="0.2">
      <c r="B18" s="63" t="s">
        <v>65</v>
      </c>
      <c r="C18" s="63" t="s">
        <v>97</v>
      </c>
      <c r="D18" s="63" t="s">
        <v>66</v>
      </c>
      <c r="E18" s="63" t="s">
        <v>69</v>
      </c>
      <c r="F18" s="64" t="str">
        <f t="shared" si="4"/>
        <v>MBALE-BUSIA</v>
      </c>
      <c r="G18" s="65">
        <f>ROUNDUP(COUNTIF('PT-04'!$L$9:$L$3233,Summary!F18)/5,0)</f>
        <v>1</v>
      </c>
      <c r="H18" s="65">
        <v>98</v>
      </c>
      <c r="I18" s="66">
        <f>AVERAGEIF('PT-04'!$L$9:$L$3233,Summary!F18,'PT-04'!$O$9:$O$3233)</f>
        <v>1.8</v>
      </c>
      <c r="J18" s="65">
        <f>AVERAGEIF('PT-04'!$L$9:$L$3233,Summary!F18,'PT-04'!$M$9:$M$3233)</f>
        <v>14</v>
      </c>
      <c r="K18" s="67">
        <f>AVERAGEIF('PT-04'!$L$9:$L$3233,Summary!F18,'PT-04'!$N$9:$N$3233)</f>
        <v>6000</v>
      </c>
    </row>
    <row r="19" spans="2:11" ht="15" customHeight="1" x14ac:dyDescent="0.2">
      <c r="B19" s="63" t="s">
        <v>65</v>
      </c>
      <c r="C19" s="63" t="s">
        <v>97</v>
      </c>
      <c r="D19" s="63" t="s">
        <v>66</v>
      </c>
      <c r="E19" s="63" t="s">
        <v>67</v>
      </c>
      <c r="F19" s="64" t="str">
        <f t="shared" ref="F19" si="5">D19&amp;"-"&amp;E19</f>
        <v>MBALE-JINJA</v>
      </c>
      <c r="G19" s="65">
        <f>ROUNDUP(COUNTIF('PT-04'!$L$9:$L$3233,Summary!F19)/5,0)</f>
        <v>2</v>
      </c>
      <c r="H19" s="65">
        <v>145</v>
      </c>
      <c r="I19" s="66">
        <f>AVERAGEIF('PT-04'!$L$9:$L$3233,Summary!F19,'PT-04'!$O$9:$O$3233)</f>
        <v>2.4499999999999997</v>
      </c>
      <c r="J19" s="65">
        <f>AVERAGEIF('PT-04'!$L$9:$L$3233,Summary!F19,'PT-04'!$M$9:$M$3233)</f>
        <v>14</v>
      </c>
      <c r="K19" s="67">
        <f>AVERAGEIF('PT-04'!$L$9:$L$3233,Summary!F19,'PT-04'!$N$9:$N$3233)</f>
        <v>15000</v>
      </c>
    </row>
    <row r="20" spans="2:11" ht="15" customHeight="1" x14ac:dyDescent="0.2">
      <c r="B20" s="63" t="s">
        <v>65</v>
      </c>
      <c r="C20" s="63" t="s">
        <v>98</v>
      </c>
      <c r="D20" s="63" t="s">
        <v>73</v>
      </c>
      <c r="E20" s="63" t="s">
        <v>66</v>
      </c>
      <c r="F20" s="64" t="str">
        <f t="shared" ref="F20" si="6">D20&amp;"-"&amp;E20</f>
        <v>IGANGA-MBALE</v>
      </c>
      <c r="G20" s="65">
        <f>ROUNDUP(COUNTIF('PT-04'!$L$9:$L$3233,Summary!F20)/5,0)</f>
        <v>1</v>
      </c>
      <c r="H20" s="65">
        <v>108</v>
      </c>
      <c r="I20" s="66">
        <f>AVERAGEIF('PT-04'!$L$9:$L$3233,Summary!F20,'PT-04'!$O$9:$O$3233)</f>
        <v>1.72</v>
      </c>
      <c r="J20" s="65">
        <f>AVERAGEIF('PT-04'!$L$9:$L$3233,Summary!F20,'PT-04'!$M$9:$M$3233)</f>
        <v>14</v>
      </c>
      <c r="K20" s="67">
        <f>AVERAGEIF('PT-04'!$L$9:$L$3233,Summary!F20,'PT-04'!$N$9:$N$3233)</f>
        <v>8000</v>
      </c>
    </row>
    <row r="21" spans="2:11" ht="15" customHeight="1" x14ac:dyDescent="0.2">
      <c r="B21" s="63" t="s">
        <v>65</v>
      </c>
      <c r="C21" s="63" t="s">
        <v>99</v>
      </c>
      <c r="D21" s="63" t="s">
        <v>74</v>
      </c>
      <c r="E21" s="63" t="s">
        <v>69</v>
      </c>
      <c r="F21" s="64" t="str">
        <f t="shared" si="3"/>
        <v>LIRA-BUSIA</v>
      </c>
      <c r="G21" s="65">
        <f>ROUNDUP(COUNTIF('PT-04'!$L$9:$L$3233,Summary!F21)/5,0)</f>
        <v>1</v>
      </c>
      <c r="H21" s="65">
        <v>324</v>
      </c>
      <c r="I21" s="66">
        <f>AVERAGEIF('PT-04'!$L$9:$L$3233,Summary!F21,'PT-04'!$O$9:$O$3233)</f>
        <v>5.25</v>
      </c>
      <c r="J21" s="65">
        <f>AVERAGEIF('PT-04'!$L$9:$L$3233,Summary!F21,'PT-04'!$M$9:$M$3233)</f>
        <v>56.5</v>
      </c>
      <c r="K21" s="67">
        <f>AVERAGEIF('PT-04'!$L$9:$L$3233,Summary!F21,'PT-04'!$N$9:$N$3233)</f>
        <v>25000</v>
      </c>
    </row>
    <row r="22" spans="2:11" ht="15" customHeight="1" x14ac:dyDescent="0.2"/>
    <row r="23" spans="2:11" ht="15" customHeight="1" x14ac:dyDescent="0.2"/>
    <row r="24" spans="2:11" ht="15" customHeight="1" x14ac:dyDescent="0.2"/>
    <row r="25" spans="2:11" ht="15" customHeight="1" x14ac:dyDescent="0.2"/>
    <row r="26" spans="2:11" ht="15" customHeight="1" x14ac:dyDescent="0.2"/>
    <row r="27" spans="2:11" ht="15" customHeight="1" x14ac:dyDescent="0.2"/>
    <row r="28" spans="2:11" ht="15" customHeight="1" x14ac:dyDescent="0.2"/>
    <row r="29" spans="2:11" ht="15" customHeight="1" x14ac:dyDescent="0.2"/>
    <row r="30" spans="2:11" ht="15" customHeight="1" x14ac:dyDescent="0.2"/>
    <row r="31" spans="2:11" ht="15" customHeight="1" x14ac:dyDescent="0.2"/>
  </sheetData>
  <mergeCells count="2">
    <mergeCell ref="D4:I4"/>
    <mergeCell ref="J4:K4"/>
  </mergeCells>
  <pageMargins left="0.7" right="0.7" top="0.75" bottom="0.75" header="0.3" footer="0.3"/>
  <pageSetup scale="6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selection activeCell="D19" sqref="D19"/>
    </sheetView>
  </sheetViews>
  <sheetFormatPr defaultRowHeight="12.75" x14ac:dyDescent="0.2"/>
  <cols>
    <col min="1" max="1" width="4.28515625" customWidth="1"/>
    <col min="2" max="2" width="25.5703125" bestFit="1" customWidth="1"/>
    <col min="3" max="3" width="4.5703125" customWidth="1"/>
    <col min="4" max="4" width="18.42578125" customWidth="1"/>
    <col min="5" max="5" width="4.85546875" customWidth="1"/>
    <col min="6" max="6" width="24.28515625" customWidth="1"/>
    <col min="7" max="7" width="5.140625" customWidth="1"/>
    <col min="8" max="8" width="47.85546875" customWidth="1"/>
  </cols>
  <sheetData>
    <row r="1" spans="1:13" ht="30.75" customHeight="1" x14ac:dyDescent="0.2">
      <c r="A1" s="25"/>
      <c r="B1" s="23" t="s">
        <v>33</v>
      </c>
      <c r="C1" s="23"/>
      <c r="D1" s="24"/>
      <c r="E1" s="25"/>
      <c r="F1" s="25"/>
      <c r="G1" s="25"/>
      <c r="H1" s="25"/>
      <c r="I1" s="25"/>
      <c r="J1" s="25"/>
      <c r="K1" s="25"/>
      <c r="L1" s="25"/>
      <c r="M1" s="25"/>
    </row>
    <row r="2" spans="1:13" x14ac:dyDescent="0.2">
      <c r="A2">
        <v>1</v>
      </c>
      <c r="B2" s="22" t="s">
        <v>39</v>
      </c>
      <c r="C2" s="10"/>
      <c r="F2" s="19"/>
      <c r="H2" s="19"/>
    </row>
    <row r="3" spans="1:13" x14ac:dyDescent="0.2">
      <c r="A3">
        <v>2</v>
      </c>
      <c r="B3" s="22" t="s">
        <v>40</v>
      </c>
      <c r="C3" s="10"/>
      <c r="F3" s="19"/>
      <c r="H3" s="19"/>
    </row>
    <row r="4" spans="1:13" x14ac:dyDescent="0.2">
      <c r="A4">
        <v>3</v>
      </c>
      <c r="B4" s="22" t="s">
        <v>41</v>
      </c>
      <c r="C4" s="10"/>
      <c r="F4" s="19"/>
      <c r="H4" s="19"/>
    </row>
    <row r="5" spans="1:13" x14ac:dyDescent="0.2">
      <c r="A5">
        <v>4</v>
      </c>
      <c r="B5" s="22" t="s">
        <v>42</v>
      </c>
      <c r="C5" s="10"/>
      <c r="F5" s="19"/>
      <c r="H5" s="26"/>
    </row>
    <row r="6" spans="1:13" x14ac:dyDescent="0.2">
      <c r="A6">
        <v>5</v>
      </c>
      <c r="B6" s="22" t="s">
        <v>43</v>
      </c>
      <c r="C6" s="10"/>
      <c r="F6" s="19"/>
      <c r="H6" s="19"/>
    </row>
    <row r="7" spans="1:13" x14ac:dyDescent="0.2">
      <c r="A7">
        <v>6</v>
      </c>
      <c r="B7" s="22" t="s">
        <v>44</v>
      </c>
      <c r="C7" s="10"/>
      <c r="F7" s="19"/>
      <c r="H7" s="19"/>
    </row>
    <row r="8" spans="1:13" x14ac:dyDescent="0.2">
      <c r="A8">
        <v>7</v>
      </c>
      <c r="B8" s="22" t="s">
        <v>45</v>
      </c>
      <c r="C8" s="10"/>
      <c r="H8" s="19"/>
    </row>
    <row r="9" spans="1:13" x14ac:dyDescent="0.2">
      <c r="A9">
        <v>8</v>
      </c>
      <c r="B9" s="22" t="s">
        <v>46</v>
      </c>
      <c r="C9" s="10"/>
      <c r="H9" s="19"/>
    </row>
    <row r="10" spans="1:13" x14ac:dyDescent="0.2">
      <c r="A10">
        <v>9</v>
      </c>
      <c r="B10" s="22" t="s">
        <v>47</v>
      </c>
      <c r="C10" s="10"/>
      <c r="H10" s="19"/>
    </row>
    <row r="11" spans="1:13" x14ac:dyDescent="0.2">
      <c r="A11">
        <v>10</v>
      </c>
      <c r="B11" s="22" t="s">
        <v>48</v>
      </c>
      <c r="C11" s="10"/>
      <c r="H11" s="26"/>
    </row>
    <row r="12" spans="1:13" x14ac:dyDescent="0.2">
      <c r="A12">
        <v>11</v>
      </c>
      <c r="B12" s="22" t="s">
        <v>50</v>
      </c>
      <c r="C12" s="10"/>
      <c r="H12" s="19"/>
    </row>
    <row r="13" spans="1:13" x14ac:dyDescent="0.2">
      <c r="A13">
        <v>12</v>
      </c>
      <c r="B13" s="22" t="s">
        <v>49</v>
      </c>
      <c r="C13" s="10"/>
      <c r="H13" s="19"/>
    </row>
    <row r="14" spans="1:13" x14ac:dyDescent="0.2">
      <c r="C14" s="10"/>
    </row>
    <row r="15" spans="1:13" x14ac:dyDescent="0.2">
      <c r="B15" s="1"/>
      <c r="C15" s="10"/>
    </row>
    <row r="16" spans="1:13" x14ac:dyDescent="0.2">
      <c r="C16" s="10"/>
    </row>
    <row r="17" spans="3:3" x14ac:dyDescent="0.2">
      <c r="C1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PT-04</vt:lpstr>
      <vt:lpstr>RSI FORM</vt:lpstr>
      <vt:lpstr>Summary</vt:lpstr>
      <vt:lpstr>Key</vt:lpstr>
      <vt:lpstr>Summary!Print_Area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Mr.&amp;Mrs.O</cp:lastModifiedBy>
  <cp:lastPrinted>2019-07-30T09:53:06Z</cp:lastPrinted>
  <dcterms:created xsi:type="dcterms:W3CDTF">2010-10-20T14:55:17Z</dcterms:created>
  <dcterms:modified xsi:type="dcterms:W3CDTF">2020-03-31T23:05:36Z</dcterms:modified>
</cp:coreProperties>
</file>