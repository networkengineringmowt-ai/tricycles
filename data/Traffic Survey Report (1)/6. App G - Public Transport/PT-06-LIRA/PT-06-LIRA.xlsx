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6-LIRA\"/>
    </mc:Choice>
  </mc:AlternateContent>
  <bookViews>
    <workbookView xWindow="-120" yWindow="-120" windowWidth="20730" windowHeight="11160" activeTab="2"/>
  </bookViews>
  <sheets>
    <sheet name="PT-06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'PT-06'!$B$10:$O$108</definedName>
    <definedName name="_xlnm.Print_Area" localSheetId="2">Summary!$A$1:$L$21</definedName>
    <definedName name="Veh_Type">'PT-06'!$C$10:$C$38</definedName>
    <definedName name="zones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24" i="3" l="1"/>
  <c r="L150" i="3"/>
  <c r="L210" i="3"/>
  <c r="F20" i="6" l="1"/>
  <c r="F17" i="6"/>
  <c r="F19" i="6"/>
  <c r="F14" i="6"/>
  <c r="F15" i="6"/>
  <c r="F16" i="6"/>
  <c r="F18" i="6"/>
  <c r="F13" i="6"/>
  <c r="F12" i="6"/>
  <c r="F11" i="6"/>
  <c r="F10" i="6"/>
  <c r="F9" i="6"/>
  <c r="F8" i="6"/>
  <c r="F7" i="6"/>
  <c r="F6" i="6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1" i="3"/>
  <c r="L152" i="3"/>
  <c r="L153" i="3"/>
  <c r="L154" i="3"/>
  <c r="L155" i="3"/>
  <c r="L156" i="3"/>
  <c r="L157" i="3"/>
  <c r="L158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K6" i="6" l="1"/>
  <c r="G6" i="6"/>
  <c r="G10" i="6"/>
  <c r="G18" i="6"/>
  <c r="G19" i="6"/>
  <c r="G9" i="6"/>
  <c r="G14" i="6"/>
  <c r="G7" i="6"/>
  <c r="G11" i="6"/>
  <c r="G16" i="6"/>
  <c r="G17" i="6"/>
  <c r="G13" i="6"/>
  <c r="G8" i="6"/>
  <c r="G12" i="6"/>
  <c r="G15" i="6"/>
  <c r="G20" i="6"/>
  <c r="K10" i="6"/>
  <c r="K8" i="6"/>
  <c r="I20" i="6"/>
  <c r="J14" i="6"/>
  <c r="K18" i="6"/>
  <c r="K14" i="6"/>
  <c r="I7" i="6"/>
  <c r="I10" i="6"/>
  <c r="I17" i="6"/>
  <c r="J6" i="6"/>
  <c r="J17" i="6"/>
  <c r="J13" i="6"/>
  <c r="J9" i="6"/>
  <c r="K17" i="6"/>
  <c r="K13" i="6"/>
  <c r="K9" i="6"/>
  <c r="I13" i="6"/>
  <c r="J18" i="6"/>
  <c r="J7" i="6"/>
  <c r="K7" i="6"/>
  <c r="I11" i="6"/>
  <c r="I16" i="6"/>
  <c r="J20" i="6"/>
  <c r="J16" i="6"/>
  <c r="J12" i="6"/>
  <c r="K20" i="6"/>
  <c r="K16" i="6"/>
  <c r="K12" i="6"/>
  <c r="J10" i="6"/>
  <c r="I12" i="6"/>
  <c r="J19" i="6"/>
  <c r="J15" i="6"/>
  <c r="J11" i="6"/>
  <c r="J8" i="6"/>
  <c r="K19" i="6"/>
  <c r="K15" i="6"/>
  <c r="K11" i="6"/>
  <c r="I6" i="6"/>
  <c r="I19" i="6"/>
  <c r="I15" i="6"/>
  <c r="I8" i="6"/>
  <c r="I9" i="6"/>
  <c r="I18" i="6"/>
  <c r="I14" i="6"/>
  <c r="D19" i="3"/>
  <c r="D20" i="3"/>
  <c r="D21" i="3"/>
  <c r="D22" i="3"/>
  <c r="D23" i="3"/>
  <c r="D11" i="3"/>
  <c r="D12" i="3"/>
  <c r="D13" i="3"/>
  <c r="D14" i="3"/>
  <c r="D15" i="3"/>
  <c r="D16" i="3"/>
  <c r="D17" i="3"/>
  <c r="D18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10" i="3"/>
</calcChain>
</file>

<file path=xl/sharedStrings.xml><?xml version="1.0" encoding="utf-8"?>
<sst xmlns="http://schemas.openxmlformats.org/spreadsheetml/2006/main" count="1366" uniqueCount="96">
  <si>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</si>
  <si>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</si>
  <si>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</si>
  <si>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</si>
  <si>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</si>
  <si>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</si>
  <si>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</si>
  <si>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</si>
  <si>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</si>
  <si>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</si>
  <si>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</si>
  <si>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</si>
  <si>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</si>
  <si>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</si>
  <si>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</si>
  <si>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</si>
  <si>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</si>
  <si>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</si>
  <si>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</si>
  <si>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</si>
  <si>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</si>
  <si>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</si>
  <si>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</si>
  <si>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</si>
  <si>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</si>
  <si>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</si>
  <si>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</si>
  <si>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</si>
  <si>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</si>
  <si>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</si>
  <si>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</si>
  <si>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</si>
  <si>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</si>
  <si>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</si>
  <si>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</si>
  <si>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</si>
  <si>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</si>
  <si>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</si>
  <si>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</si>
  <si>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</si>
  <si>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</si>
  <si>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</si>
  <si>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</si>
  <si>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</si>
  <si>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</si>
  <si>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</si>
  <si>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</si>
  <si>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</si>
  <si>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</si>
  <si>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</si>
  <si>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</si>
  <si>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</si>
  <si>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</si>
  <si>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01.08.19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</si>
  <si>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</si>
  <si>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</si>
  <si>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</si>
  <si>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</si>
  <si>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</si>
  <si>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</si>
  <si>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</si>
  <si>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</si>
  <si>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</si>
  <si>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IN</t>
  </si>
  <si>
    <t>OUT</t>
  </si>
  <si>
    <t>KAMPALA</t>
  </si>
  <si>
    <t>LIRA</t>
  </si>
  <si>
    <t>APAC</t>
  </si>
  <si>
    <t>ABIM</t>
  </si>
  <si>
    <t>GULU</t>
  </si>
  <si>
    <t>BUSIA</t>
  </si>
  <si>
    <t>PADER</t>
  </si>
  <si>
    <t>AGAGO</t>
  </si>
  <si>
    <t>DOKOLO</t>
  </si>
  <si>
    <t>LIRA BUS PARK</t>
  </si>
  <si>
    <t>Shakirah M</t>
  </si>
  <si>
    <t>Journey_Desc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</si>
  <si>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</si>
  <si>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</si>
  <si>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</si>
  <si>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</si>
  <si>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</si>
  <si>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</si>
  <si>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</si>
  <si>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</si>
  <si>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</si>
  <si>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</si>
  <si>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</si>
  <si>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</si>
  <si>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</si>
  <si>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TO KAMPALA</t>
  </si>
  <si>
    <t>FROM LIRA</t>
  </si>
  <si>
    <t>TO LIRA</t>
  </si>
  <si>
    <t>FROM BUSIA</t>
  </si>
  <si>
    <t>FROM GULU</t>
  </si>
  <si>
    <t>BUS OPERATIONS AT LIRA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</si>
</sst>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  <numFmt numFmtId="168" formatCode="mm/dd/yy;@"/>
  </numFmts>
  <fonts count="1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0" fontId="6" fillId="0" borderId="0"/>
    <xf numFmtId="164" fontId="6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68" fontId="2" fillId="3" borderId="2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6" applyFont="1"/>
    <xf numFmtId="0" fontId="6" fillId="0" borderId="0" xfId="6"/>
    <xf numFmtId="0" fontId="2" fillId="4" borderId="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horizontal="center" vertical="center" wrapText="1"/>
    </xf>
    <xf numFmtId="0" fontId="6" fillId="0" borderId="0" xfId="6" applyAlignment="1">
      <alignment vertical="center"/>
    </xf>
    <xf numFmtId="0" fontId="6" fillId="5" borderId="2" xfId="6" applyFill="1" applyBorder="1" applyAlignment="1">
      <alignment vertical="center"/>
    </xf>
    <xf numFmtId="1" fontId="6" fillId="5" borderId="2" xfId="6" applyNumberFormat="1" applyFill="1" applyBorder="1" applyAlignment="1">
      <alignment horizontal="center" vertical="center"/>
    </xf>
    <xf numFmtId="166" fontId="6" fillId="5" borderId="2" xfId="6" applyNumberFormat="1" applyFill="1" applyBorder="1" applyAlignment="1">
      <alignment vertical="center"/>
    </xf>
    <xf numFmtId="164" fontId="0" fillId="5" borderId="2" xfId="7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/>
    </xf>
  </cellXfs>
  <cellStyles count="8">
    <cellStyle name="Comma" xfId="1" builtinId="3"/>
    <cellStyle name="Comma [0] 2" xfId="7"/>
    <cellStyle name="Comma 2" xfId="4"/>
    <cellStyle name="Normal" xfId="0" builtinId="0"/>
    <cellStyle name="Normal 2" xfId="3"/>
    <cellStyle name="Normal 3" xfId="5"/>
    <cellStyle name="Normal 4" xfId="6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45"/>
  <sheetViews>
    <sheetView view="pageBreakPreview" topLeftCell="A223" zoomScale="80" zoomScaleNormal="70" zoomScaleSheetLayoutView="80" workbookViewId="0">
      <selection sqref="A1:A1048576"/>
    </sheetView>
  </sheetViews>
  <sheetFormatPr defaultRowHeight="12.75" x14ac:dyDescent="0.2"/>
  <cols>
    <col min="1" max="1" width="4.42578125" customWidth="1"/>
    <col min="2" max="2" width="16.42578125" customWidth="1"/>
    <col min="3" max="3" width="11.7109375" customWidth="1"/>
    <col min="4" max="4" width="11.7109375" style="33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22.570312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5" t="s">
        <v>51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"/>
      <c r="Q1" s="6"/>
      <c r="R1" s="6"/>
      <c r="S1" s="6"/>
      <c r="T1" s="6"/>
      <c r="U1" s="6"/>
      <c r="V1" s="6"/>
    </row>
    <row r="2" spans="1:22" ht="20.25" x14ac:dyDescent="0.2">
      <c r="B2" s="65" t="s">
        <v>62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2"/>
      <c r="E3" s="2"/>
      <c r="F3" s="31"/>
      <c r="G3" s="2"/>
      <c r="H3" s="2"/>
      <c r="I3" s="2"/>
      <c r="J3" s="2"/>
      <c r="K3" s="2"/>
      <c r="L3" s="2"/>
      <c r="M3" s="2"/>
      <c r="N3" s="2"/>
      <c r="O3" s="2"/>
    </row>
    <row r="4" spans="1:22" s="38" customFormat="1" ht="15" customHeight="1" x14ac:dyDescent="0.25">
      <c r="B4" s="72" t="s">
        <v>2</v>
      </c>
      <c r="C4" s="73"/>
      <c r="D4" s="39" t="s">
        <v>53</v>
      </c>
      <c r="G4" s="47" t="s">
        <v>59</v>
      </c>
      <c r="H4" s="68" t="s">
        <v>74</v>
      </c>
      <c r="I4" s="69"/>
      <c r="J4" s="41" t="s">
        <v>6</v>
      </c>
      <c r="K4" s="70" t="s">
        <v>75</v>
      </c>
      <c r="L4" s="71"/>
      <c r="M4" s="40"/>
      <c r="N4" s="41" t="s">
        <v>7</v>
      </c>
      <c r="O4" s="42" t="s">
        <v>61</v>
      </c>
      <c r="P4" s="40"/>
      <c r="R4" s="43"/>
      <c r="S4" s="44"/>
    </row>
    <row r="5" spans="1:22" s="38" customFormat="1" ht="15" customHeight="1" x14ac:dyDescent="0.25">
      <c r="B5" s="74" t="s">
        <v>58</v>
      </c>
      <c r="C5" s="75"/>
      <c r="D5" s="68"/>
      <c r="E5" s="69"/>
      <c r="F5" s="45"/>
      <c r="G5" s="47" t="s">
        <v>38</v>
      </c>
      <c r="H5" s="68"/>
      <c r="I5" s="69"/>
      <c r="K5" s="46"/>
      <c r="M5" s="46"/>
    </row>
    <row r="6" spans="1:22" ht="13.5" thickBot="1" x14ac:dyDescent="0.25"/>
    <row r="7" spans="1:22" ht="30.75" customHeight="1" x14ac:dyDescent="0.2">
      <c r="A7" s="33"/>
      <c r="B7" s="76" t="s">
        <v>34</v>
      </c>
      <c r="C7" s="66" t="s">
        <v>9</v>
      </c>
      <c r="D7" s="63" t="s">
        <v>56</v>
      </c>
      <c r="E7" s="63" t="s">
        <v>35</v>
      </c>
      <c r="F7" s="63" t="s">
        <v>55</v>
      </c>
      <c r="G7" s="60" t="s">
        <v>12</v>
      </c>
      <c r="H7" s="61"/>
      <c r="I7" s="62"/>
      <c r="J7" s="60" t="s">
        <v>17</v>
      </c>
      <c r="K7" s="61"/>
      <c r="L7" s="62"/>
      <c r="M7" s="66" t="s">
        <v>57</v>
      </c>
      <c r="N7" s="63" t="s">
        <v>60</v>
      </c>
      <c r="O7" s="63" t="s">
        <v>52</v>
      </c>
      <c r="Q7" s="19"/>
    </row>
    <row r="8" spans="1:22" ht="38.25" customHeight="1" x14ac:dyDescent="0.2">
      <c r="A8" s="33"/>
      <c r="B8" s="77"/>
      <c r="C8" s="67"/>
      <c r="D8" s="64"/>
      <c r="E8" s="64"/>
      <c r="F8" s="64"/>
      <c r="G8" s="34" t="s">
        <v>54</v>
      </c>
      <c r="H8" s="34" t="s">
        <v>36</v>
      </c>
      <c r="I8" s="34" t="s">
        <v>37</v>
      </c>
      <c r="J8" s="34" t="s">
        <v>54</v>
      </c>
      <c r="K8" s="34" t="s">
        <v>36</v>
      </c>
      <c r="L8" s="49" t="s">
        <v>76</v>
      </c>
      <c r="M8" s="67"/>
      <c r="N8" s="64"/>
      <c r="O8" s="64"/>
    </row>
    <row r="9" spans="1:22" s="19" customFormat="1" x14ac:dyDescent="0.2">
      <c r="B9" s="48">
        <v>43697</v>
      </c>
      <c r="C9" s="27"/>
      <c r="D9" s="35"/>
      <c r="E9" s="27"/>
      <c r="F9" s="27"/>
      <c r="G9" s="28"/>
      <c r="H9" s="28"/>
      <c r="I9" s="28"/>
      <c r="J9" s="28"/>
      <c r="K9" s="29"/>
      <c r="L9" s="29"/>
      <c r="M9" s="30"/>
      <c r="N9" s="37"/>
      <c r="O9" s="36"/>
    </row>
    <row r="10" spans="1:22" s="19" customFormat="1" x14ac:dyDescent="0.2">
      <c r="B10" s="59">
        <v>0.29166666666666669</v>
      </c>
      <c r="C10" s="27">
        <v>6</v>
      </c>
      <c r="D10" s="35" t="str">
        <f>IF(C10="", "",VLOOKUP(C10,Key!$A$5:$B$7,2,FALSE))</f>
        <v>Large Bus</v>
      </c>
      <c r="E10" s="27"/>
      <c r="F10" s="27" t="s">
        <v>63</v>
      </c>
      <c r="G10" s="28" t="s">
        <v>65</v>
      </c>
      <c r="H10" s="28" t="s">
        <v>65</v>
      </c>
      <c r="I10" s="28"/>
      <c r="J10" s="28" t="s">
        <v>66</v>
      </c>
      <c r="K10" s="29" t="s">
        <v>66</v>
      </c>
      <c r="L10" s="29" t="str">
        <f t="shared" ref="L10:L39" si="0">H10&amp;"-"&amp;K10</f>
        <v>KAMPALA-LIRA</v>
      </c>
      <c r="M10" s="30">
        <v>52</v>
      </c>
      <c r="N10" s="37">
        <v>25000</v>
      </c>
      <c r="O10" s="36">
        <v>5</v>
      </c>
    </row>
    <row r="11" spans="1:22" s="19" customFormat="1" x14ac:dyDescent="0.2">
      <c r="B11" s="59">
        <v>0.33333333333333331</v>
      </c>
      <c r="C11" s="27">
        <v>6</v>
      </c>
      <c r="D11" s="35" t="str">
        <f>IF(C11="", "",VLOOKUP(C11,Key!$A$5:$B$7,2,FALSE))</f>
        <v>Large Bus</v>
      </c>
      <c r="E11" s="27"/>
      <c r="F11" s="27" t="s">
        <v>64</v>
      </c>
      <c r="G11" s="28" t="s">
        <v>66</v>
      </c>
      <c r="H11" s="28" t="s">
        <v>66</v>
      </c>
      <c r="I11" s="28"/>
      <c r="J11" s="28" t="s">
        <v>65</v>
      </c>
      <c r="K11" s="29" t="s">
        <v>65</v>
      </c>
      <c r="L11" s="29" t="str">
        <f t="shared" si="0"/>
        <v>LIRA-KAMPALA</v>
      </c>
      <c r="M11" s="30">
        <v>52</v>
      </c>
      <c r="N11" s="37">
        <v>25000</v>
      </c>
      <c r="O11" s="36">
        <v>5</v>
      </c>
    </row>
    <row r="12" spans="1:22" s="19" customFormat="1" x14ac:dyDescent="0.2">
      <c r="B12" s="59">
        <v>0.34375</v>
      </c>
      <c r="C12" s="27">
        <v>6</v>
      </c>
      <c r="D12" s="35" t="str">
        <f>IF(C12="", "",VLOOKUP(C12,Key!$A$5:$B$7,2,FALSE))</f>
        <v>Large Bus</v>
      </c>
      <c r="E12" s="27"/>
      <c r="F12" s="27" t="s">
        <v>63</v>
      </c>
      <c r="G12" s="28" t="s">
        <v>67</v>
      </c>
      <c r="H12" s="28" t="s">
        <v>67</v>
      </c>
      <c r="I12" s="28"/>
      <c r="J12" s="28" t="s">
        <v>65</v>
      </c>
      <c r="K12" s="29" t="s">
        <v>65</v>
      </c>
      <c r="L12" s="29" t="str">
        <f t="shared" si="0"/>
        <v>APAC-KAMPALA</v>
      </c>
      <c r="M12" s="30">
        <v>52</v>
      </c>
      <c r="N12" s="37">
        <v>20000</v>
      </c>
      <c r="O12" s="36">
        <v>4.25</v>
      </c>
    </row>
    <row r="13" spans="1:22" s="19" customFormat="1" x14ac:dyDescent="0.2">
      <c r="B13" s="59">
        <v>0.35416666666666669</v>
      </c>
      <c r="C13" s="27">
        <v>6</v>
      </c>
      <c r="D13" s="35" t="str">
        <f>IF(C13="", "",VLOOKUP(C13,Key!$A$5:$B$7,2,FALSE))</f>
        <v>Large Bus</v>
      </c>
      <c r="E13" s="27"/>
      <c r="F13" s="27" t="s">
        <v>64</v>
      </c>
      <c r="G13" s="28" t="s">
        <v>66</v>
      </c>
      <c r="H13" s="28" t="s">
        <v>66</v>
      </c>
      <c r="I13" s="28"/>
      <c r="J13" s="28" t="s">
        <v>65</v>
      </c>
      <c r="K13" s="29" t="s">
        <v>65</v>
      </c>
      <c r="L13" s="29" t="str">
        <f t="shared" si="0"/>
        <v>LIRA-KAMPALA</v>
      </c>
      <c r="M13" s="30">
        <v>66</v>
      </c>
      <c r="N13" s="37">
        <v>25000</v>
      </c>
      <c r="O13" s="36">
        <v>5</v>
      </c>
    </row>
    <row r="14" spans="1:22" s="19" customFormat="1" x14ac:dyDescent="0.2">
      <c r="B14" s="59">
        <v>0.41666666666666669</v>
      </c>
      <c r="C14" s="27">
        <v>6</v>
      </c>
      <c r="D14" s="35" t="str">
        <f>IF(C14="", "",VLOOKUP(C14,Key!$A$5:$B$7,2,FALSE))</f>
        <v>Large Bus</v>
      </c>
      <c r="E14" s="27"/>
      <c r="F14" s="27" t="s">
        <v>63</v>
      </c>
      <c r="G14" s="28" t="s">
        <v>67</v>
      </c>
      <c r="H14" s="28" t="s">
        <v>67</v>
      </c>
      <c r="I14" s="28"/>
      <c r="J14" s="28" t="s">
        <v>65</v>
      </c>
      <c r="K14" s="29" t="s">
        <v>65</v>
      </c>
      <c r="L14" s="29" t="str">
        <f t="shared" si="0"/>
        <v>APAC-KAMPALA</v>
      </c>
      <c r="M14" s="30">
        <v>66</v>
      </c>
      <c r="N14" s="37">
        <v>20000</v>
      </c>
      <c r="O14" s="36">
        <v>4.25</v>
      </c>
    </row>
    <row r="15" spans="1:22" s="19" customFormat="1" x14ac:dyDescent="0.2">
      <c r="B15" s="59">
        <v>0.5</v>
      </c>
      <c r="C15" s="27">
        <v>6</v>
      </c>
      <c r="D15" s="35" t="str">
        <f>IF(C15="", "",VLOOKUP(C15,Key!$A$5:$B$7,2,FALSE))</f>
        <v>Large Bus</v>
      </c>
      <c r="E15" s="27"/>
      <c r="F15" s="27" t="s">
        <v>64</v>
      </c>
      <c r="G15" s="28" t="s">
        <v>66</v>
      </c>
      <c r="H15" s="28" t="s">
        <v>66</v>
      </c>
      <c r="I15" s="28"/>
      <c r="J15" s="28" t="s">
        <v>65</v>
      </c>
      <c r="K15" s="29" t="s">
        <v>65</v>
      </c>
      <c r="L15" s="29" t="str">
        <f t="shared" si="0"/>
        <v>LIRA-KAMPALA</v>
      </c>
      <c r="M15" s="30">
        <v>62</v>
      </c>
      <c r="N15" s="37">
        <v>25000</v>
      </c>
      <c r="O15" s="36">
        <v>5</v>
      </c>
    </row>
    <row r="16" spans="1:22" s="19" customFormat="1" x14ac:dyDescent="0.2">
      <c r="B16" s="59">
        <v>0.52083333333333337</v>
      </c>
      <c r="C16" s="27">
        <v>6</v>
      </c>
      <c r="D16" s="35" t="str">
        <f>IF(C16="", "",VLOOKUP(C16,Key!$A$5:$B$7,2,FALSE))</f>
        <v>Large Bus</v>
      </c>
      <c r="E16" s="27"/>
      <c r="F16" s="27" t="s">
        <v>64</v>
      </c>
      <c r="G16" s="28" t="s">
        <v>66</v>
      </c>
      <c r="H16" s="28" t="s">
        <v>66</v>
      </c>
      <c r="I16" s="28"/>
      <c r="J16" s="28" t="s">
        <v>65</v>
      </c>
      <c r="K16" s="29" t="s">
        <v>65</v>
      </c>
      <c r="L16" s="29" t="str">
        <f t="shared" si="0"/>
        <v>LIRA-KAMPALA</v>
      </c>
      <c r="M16" s="30">
        <v>45</v>
      </c>
      <c r="N16" s="37">
        <v>25000</v>
      </c>
      <c r="O16" s="36">
        <v>5</v>
      </c>
    </row>
    <row r="17" spans="2:15" s="19" customFormat="1" x14ac:dyDescent="0.2">
      <c r="B17" s="59">
        <v>0.5708333333333333</v>
      </c>
      <c r="C17" s="27">
        <v>6</v>
      </c>
      <c r="D17" s="35" t="str">
        <f>IF(C17="", "",VLOOKUP(C17,Key!$A$5:$B$7,2,FALSE))</f>
        <v>Large Bus</v>
      </c>
      <c r="E17" s="27"/>
      <c r="F17" s="27" t="s">
        <v>64</v>
      </c>
      <c r="G17" s="28" t="s">
        <v>66</v>
      </c>
      <c r="H17" s="28" t="s">
        <v>66</v>
      </c>
      <c r="I17" s="28"/>
      <c r="J17" s="28" t="s">
        <v>65</v>
      </c>
      <c r="K17" s="29" t="s">
        <v>65</v>
      </c>
      <c r="L17" s="29" t="str">
        <f t="shared" si="0"/>
        <v>LIRA-KAMPALA</v>
      </c>
      <c r="M17" s="30">
        <v>16</v>
      </c>
      <c r="N17" s="37">
        <v>25000</v>
      </c>
      <c r="O17" s="36">
        <v>5</v>
      </c>
    </row>
    <row r="18" spans="2:15" s="19" customFormat="1" x14ac:dyDescent="0.2">
      <c r="B18" s="59">
        <v>0.41666666666666669</v>
      </c>
      <c r="C18" s="27">
        <v>6</v>
      </c>
      <c r="D18" s="35" t="str">
        <f>IF(C18="", "",VLOOKUP(C18,Key!$A$5:$B$7,2,FALSE))</f>
        <v>Large Bus</v>
      </c>
      <c r="E18" s="27"/>
      <c r="F18" s="27" t="s">
        <v>64</v>
      </c>
      <c r="G18" s="28" t="s">
        <v>67</v>
      </c>
      <c r="H18" s="28" t="s">
        <v>67</v>
      </c>
      <c r="I18" s="28"/>
      <c r="J18" s="28" t="s">
        <v>65</v>
      </c>
      <c r="K18" s="29" t="s">
        <v>65</v>
      </c>
      <c r="L18" s="29" t="str">
        <f t="shared" si="0"/>
        <v>APAC-KAMPALA</v>
      </c>
      <c r="M18" s="30">
        <v>50</v>
      </c>
      <c r="N18" s="37">
        <v>20000</v>
      </c>
      <c r="O18" s="36">
        <v>4.25</v>
      </c>
    </row>
    <row r="19" spans="2:15" s="19" customFormat="1" x14ac:dyDescent="0.2">
      <c r="B19" s="59">
        <v>0.4375</v>
      </c>
      <c r="C19" s="27">
        <v>6</v>
      </c>
      <c r="D19" s="35" t="str">
        <f>IF(C19="", "",VLOOKUP(C19,Key!$A$5:$B$7,2,FALSE))</f>
        <v>Large Bus</v>
      </c>
      <c r="E19" s="27"/>
      <c r="F19" s="27" t="s">
        <v>63</v>
      </c>
      <c r="G19" s="28" t="s">
        <v>65</v>
      </c>
      <c r="H19" s="28" t="s">
        <v>65</v>
      </c>
      <c r="I19" s="28"/>
      <c r="J19" s="28" t="s">
        <v>66</v>
      </c>
      <c r="K19" s="29" t="s">
        <v>66</v>
      </c>
      <c r="L19" s="29" t="str">
        <f t="shared" si="0"/>
        <v>KAMPALA-LIRA</v>
      </c>
      <c r="M19" s="30">
        <v>50</v>
      </c>
      <c r="N19" s="37">
        <v>25000</v>
      </c>
      <c r="O19" s="36">
        <v>5</v>
      </c>
    </row>
    <row r="20" spans="2:15" s="19" customFormat="1" x14ac:dyDescent="0.2">
      <c r="B20" s="59">
        <v>0.9375</v>
      </c>
      <c r="C20" s="27">
        <v>6</v>
      </c>
      <c r="D20" s="35" t="str">
        <f>IF(C20="", "",VLOOKUP(C20,Key!$A$5:$B$7,2,FALSE))</f>
        <v>Large Bus</v>
      </c>
      <c r="E20" s="27"/>
      <c r="F20" s="27" t="s">
        <v>64</v>
      </c>
      <c r="G20" s="28" t="s">
        <v>66</v>
      </c>
      <c r="H20" s="28" t="s">
        <v>66</v>
      </c>
      <c r="I20" s="28"/>
      <c r="J20" s="28" t="s">
        <v>65</v>
      </c>
      <c r="K20" s="29" t="s">
        <v>65</v>
      </c>
      <c r="L20" s="29" t="str">
        <f t="shared" si="0"/>
        <v>LIRA-KAMPALA</v>
      </c>
      <c r="M20" s="30">
        <v>65</v>
      </c>
      <c r="N20" s="37">
        <v>25000</v>
      </c>
      <c r="O20" s="36">
        <v>5</v>
      </c>
    </row>
    <row r="21" spans="2:15" s="19" customFormat="1" x14ac:dyDescent="0.2">
      <c r="B21" s="59">
        <v>0.47916666666666669</v>
      </c>
      <c r="C21" s="27">
        <v>6</v>
      </c>
      <c r="D21" s="35" t="str">
        <f>IF(C21="", "",VLOOKUP(C21,Key!$A$5:$B$7,2,FALSE))</f>
        <v>Large Bus</v>
      </c>
      <c r="E21" s="27"/>
      <c r="F21" s="27" t="s">
        <v>64</v>
      </c>
      <c r="G21" s="28" t="s">
        <v>66</v>
      </c>
      <c r="H21" s="28" t="s">
        <v>66</v>
      </c>
      <c r="I21" s="28"/>
      <c r="J21" s="28" t="s">
        <v>65</v>
      </c>
      <c r="K21" s="29" t="s">
        <v>65</v>
      </c>
      <c r="L21" s="29" t="str">
        <f t="shared" si="0"/>
        <v>LIRA-KAMPALA</v>
      </c>
      <c r="M21" s="30">
        <v>38</v>
      </c>
      <c r="N21" s="37">
        <v>25000</v>
      </c>
      <c r="O21" s="36">
        <v>5</v>
      </c>
    </row>
    <row r="22" spans="2:15" s="19" customFormat="1" x14ac:dyDescent="0.2">
      <c r="B22" s="59">
        <v>0</v>
      </c>
      <c r="C22" s="27">
        <v>6</v>
      </c>
      <c r="D22" s="35" t="str">
        <f>IF(C22="", "",VLOOKUP(C22,Key!$A$5:$B$7,2,FALSE))</f>
        <v>Large Bus</v>
      </c>
      <c r="E22" s="27"/>
      <c r="F22" s="27" t="s">
        <v>64</v>
      </c>
      <c r="G22" s="28" t="s">
        <v>66</v>
      </c>
      <c r="H22" s="28" t="s">
        <v>66</v>
      </c>
      <c r="I22" s="28"/>
      <c r="J22" s="28" t="s">
        <v>65</v>
      </c>
      <c r="K22" s="29" t="s">
        <v>65</v>
      </c>
      <c r="L22" s="29" t="str">
        <f t="shared" si="0"/>
        <v>LIRA-KAMPALA</v>
      </c>
      <c r="M22" s="30">
        <v>65</v>
      </c>
      <c r="N22" s="37">
        <v>25000</v>
      </c>
      <c r="O22" s="36">
        <v>5</v>
      </c>
    </row>
    <row r="23" spans="2:15" s="19" customFormat="1" x14ac:dyDescent="0.2">
      <c r="B23" s="59">
        <v>0</v>
      </c>
      <c r="C23" s="27">
        <v>6</v>
      </c>
      <c r="D23" s="35" t="str">
        <f>IF(C23="", "",VLOOKUP(C23,Key!$A$5:$B$7,2,FALSE))</f>
        <v>Large Bus</v>
      </c>
      <c r="E23" s="27"/>
      <c r="F23" s="27" t="s">
        <v>64</v>
      </c>
      <c r="G23" s="28" t="s">
        <v>66</v>
      </c>
      <c r="H23" s="28" t="s">
        <v>66</v>
      </c>
      <c r="I23" s="28"/>
      <c r="J23" s="28" t="s">
        <v>65</v>
      </c>
      <c r="K23" s="29" t="s">
        <v>65</v>
      </c>
      <c r="L23" s="29" t="str">
        <f t="shared" si="0"/>
        <v>LIRA-KAMPALA</v>
      </c>
      <c r="M23" s="30">
        <v>31</v>
      </c>
      <c r="N23" s="37">
        <v>25000</v>
      </c>
      <c r="O23" s="36">
        <v>5</v>
      </c>
    </row>
    <row r="24" spans="2:15" s="19" customFormat="1" x14ac:dyDescent="0.2">
      <c r="B24" s="59">
        <v>2.0833333333333332E-2</v>
      </c>
      <c r="C24" s="27">
        <v>6</v>
      </c>
      <c r="D24" s="35" t="str">
        <f>IF(C24="", "",VLOOKUP(C24,Key!$A$5:$B$7,2,FALSE))</f>
        <v>Large Bus</v>
      </c>
      <c r="E24" s="27"/>
      <c r="F24" s="27" t="s">
        <v>64</v>
      </c>
      <c r="G24" s="28" t="s">
        <v>66</v>
      </c>
      <c r="H24" s="28" t="s">
        <v>66</v>
      </c>
      <c r="I24" s="28"/>
      <c r="J24" s="28" t="s">
        <v>65</v>
      </c>
      <c r="K24" s="29" t="s">
        <v>65</v>
      </c>
      <c r="L24" s="29" t="str">
        <f t="shared" si="0"/>
        <v>LIRA-KAMPALA</v>
      </c>
      <c r="M24" s="30">
        <v>50</v>
      </c>
      <c r="N24" s="37">
        <v>25000</v>
      </c>
      <c r="O24" s="36">
        <v>5</v>
      </c>
    </row>
    <row r="25" spans="2:15" s="19" customFormat="1" x14ac:dyDescent="0.2">
      <c r="B25" s="59">
        <v>3.1944444444444449E-2</v>
      </c>
      <c r="C25" s="27">
        <v>6</v>
      </c>
      <c r="D25" s="35" t="str">
        <f>IF(C25="", "",VLOOKUP(C25,Key!$A$5:$B$7,2,FALSE))</f>
        <v>Large Bus</v>
      </c>
      <c r="E25" s="27"/>
      <c r="F25" s="27" t="s">
        <v>64</v>
      </c>
      <c r="G25" s="28" t="s">
        <v>67</v>
      </c>
      <c r="H25" s="28" t="s">
        <v>67</v>
      </c>
      <c r="I25" s="28"/>
      <c r="J25" s="28" t="s">
        <v>65</v>
      </c>
      <c r="K25" s="29" t="s">
        <v>65</v>
      </c>
      <c r="L25" s="29" t="str">
        <f t="shared" si="0"/>
        <v>APAC-KAMPALA</v>
      </c>
      <c r="M25" s="30">
        <v>43</v>
      </c>
      <c r="N25" s="37">
        <v>20000</v>
      </c>
      <c r="O25" s="36">
        <v>4.25</v>
      </c>
    </row>
    <row r="26" spans="2:15" s="19" customFormat="1" x14ac:dyDescent="0.2">
      <c r="B26" s="59">
        <v>0.54166666666666663</v>
      </c>
      <c r="C26" s="27">
        <v>6</v>
      </c>
      <c r="D26" s="35" t="str">
        <f>IF(C26="", "",VLOOKUP(C26,Key!$A$5:$B$7,2,FALSE))</f>
        <v>Large Bus</v>
      </c>
      <c r="E26" s="27"/>
      <c r="F26" s="27" t="s">
        <v>64</v>
      </c>
      <c r="G26" s="28" t="s">
        <v>66</v>
      </c>
      <c r="H26" s="28" t="s">
        <v>66</v>
      </c>
      <c r="I26" s="28"/>
      <c r="J26" s="28" t="s">
        <v>65</v>
      </c>
      <c r="K26" s="29" t="s">
        <v>65</v>
      </c>
      <c r="L26" s="29" t="str">
        <f t="shared" si="0"/>
        <v>LIRA-KAMPALA</v>
      </c>
      <c r="M26" s="30">
        <v>65</v>
      </c>
      <c r="N26" s="37">
        <v>25000</v>
      </c>
      <c r="O26" s="36">
        <v>5</v>
      </c>
    </row>
    <row r="27" spans="2:15" s="19" customFormat="1" x14ac:dyDescent="0.2">
      <c r="B27" s="59">
        <v>0.66666666666666663</v>
      </c>
      <c r="C27" s="27">
        <v>6</v>
      </c>
      <c r="D27" s="35" t="str">
        <f>IF(C27="", "",VLOOKUP(C27,Key!$A$5:$B$7,2,FALSE))</f>
        <v>Large Bus</v>
      </c>
      <c r="E27" s="27"/>
      <c r="F27" s="27" t="s">
        <v>63</v>
      </c>
      <c r="G27" s="28" t="s">
        <v>65</v>
      </c>
      <c r="H27" s="28" t="s">
        <v>65</v>
      </c>
      <c r="I27" s="28"/>
      <c r="J27" s="28" t="s">
        <v>66</v>
      </c>
      <c r="K27" s="29" t="s">
        <v>66</v>
      </c>
      <c r="L27" s="29" t="str">
        <f t="shared" si="0"/>
        <v>KAMPALA-LIRA</v>
      </c>
      <c r="M27" s="30">
        <v>65</v>
      </c>
      <c r="N27" s="37">
        <v>25000</v>
      </c>
      <c r="O27" s="36">
        <v>5</v>
      </c>
    </row>
    <row r="28" spans="2:15" s="19" customFormat="1" x14ac:dyDescent="0.2">
      <c r="B28" s="59">
        <v>0.75</v>
      </c>
      <c r="C28" s="27">
        <v>6</v>
      </c>
      <c r="D28" s="35" t="str">
        <f>IF(C28="", "",VLOOKUP(C28,Key!$A$5:$B$7,2,FALSE))</f>
        <v>Large Bus</v>
      </c>
      <c r="E28" s="27"/>
      <c r="F28" s="27" t="s">
        <v>63</v>
      </c>
      <c r="G28" s="28" t="s">
        <v>65</v>
      </c>
      <c r="H28" s="28" t="s">
        <v>65</v>
      </c>
      <c r="I28" s="28"/>
      <c r="J28" s="28" t="s">
        <v>66</v>
      </c>
      <c r="K28" s="29" t="s">
        <v>66</v>
      </c>
      <c r="L28" s="29" t="str">
        <f t="shared" si="0"/>
        <v>KAMPALA-LIRA</v>
      </c>
      <c r="M28" s="30">
        <v>65</v>
      </c>
      <c r="N28" s="37">
        <v>25000</v>
      </c>
      <c r="O28" s="36">
        <v>5</v>
      </c>
    </row>
    <row r="29" spans="2:15" s="19" customFormat="1" x14ac:dyDescent="0.2">
      <c r="B29" s="59">
        <v>4.1666666666666664E-2</v>
      </c>
      <c r="C29" s="27">
        <v>6</v>
      </c>
      <c r="D29" s="35" t="str">
        <f>IF(C29="", "",VLOOKUP(C29,Key!$A$5:$B$7,2,FALSE))</f>
        <v>Large Bus</v>
      </c>
      <c r="E29" s="27"/>
      <c r="F29" s="27" t="s">
        <v>64</v>
      </c>
      <c r="G29" s="28" t="s">
        <v>66</v>
      </c>
      <c r="H29" s="28" t="s">
        <v>66</v>
      </c>
      <c r="I29" s="28"/>
      <c r="J29" s="28" t="s">
        <v>65</v>
      </c>
      <c r="K29" s="29" t="s">
        <v>65</v>
      </c>
      <c r="L29" s="29" t="str">
        <f t="shared" si="0"/>
        <v>LIRA-KAMPALA</v>
      </c>
      <c r="M29" s="30">
        <v>62</v>
      </c>
      <c r="N29" s="37">
        <v>25000</v>
      </c>
      <c r="O29" s="36">
        <v>5</v>
      </c>
    </row>
    <row r="30" spans="2:15" s="19" customFormat="1" x14ac:dyDescent="0.2">
      <c r="B30" s="59">
        <v>0.1875</v>
      </c>
      <c r="C30" s="27">
        <v>6</v>
      </c>
      <c r="D30" s="35" t="str">
        <f>IF(C30="", "",VLOOKUP(C30,Key!$A$5:$B$7,2,FALSE))</f>
        <v>Large Bus</v>
      </c>
      <c r="E30" s="27"/>
      <c r="F30" s="27" t="s">
        <v>63</v>
      </c>
      <c r="G30" s="28" t="s">
        <v>67</v>
      </c>
      <c r="H30" s="28" t="s">
        <v>67</v>
      </c>
      <c r="I30" s="28"/>
      <c r="J30" s="28" t="s">
        <v>65</v>
      </c>
      <c r="K30" s="29" t="s">
        <v>65</v>
      </c>
      <c r="L30" s="29" t="str">
        <f t="shared" si="0"/>
        <v>APAC-KAMPALA</v>
      </c>
      <c r="M30" s="30">
        <v>62</v>
      </c>
      <c r="N30" s="37">
        <v>20000</v>
      </c>
      <c r="O30" s="36">
        <v>4.25</v>
      </c>
    </row>
    <row r="31" spans="2:15" s="19" customFormat="1" x14ac:dyDescent="0.2">
      <c r="B31" s="59">
        <v>0.60486111111111118</v>
      </c>
      <c r="C31" s="27">
        <v>6</v>
      </c>
      <c r="D31" s="35" t="str">
        <f>IF(C31="", "",VLOOKUP(C31,Key!$A$5:$B$7,2,FALSE))</f>
        <v>Large Bus</v>
      </c>
      <c r="E31" s="27"/>
      <c r="F31" s="27" t="s">
        <v>64</v>
      </c>
      <c r="G31" s="28" t="s">
        <v>66</v>
      </c>
      <c r="H31" s="28" t="s">
        <v>66</v>
      </c>
      <c r="I31" s="28"/>
      <c r="J31" s="28" t="s">
        <v>65</v>
      </c>
      <c r="K31" s="29" t="s">
        <v>65</v>
      </c>
      <c r="L31" s="29" t="str">
        <f t="shared" si="0"/>
        <v>LIRA-KAMPALA</v>
      </c>
      <c r="M31" s="30">
        <v>35</v>
      </c>
      <c r="N31" s="37">
        <v>25000</v>
      </c>
      <c r="O31" s="36">
        <v>5</v>
      </c>
    </row>
    <row r="32" spans="2:15" s="19" customFormat="1" x14ac:dyDescent="0.2">
      <c r="B32" s="59">
        <v>0.67083333333333339</v>
      </c>
      <c r="C32" s="27">
        <v>6</v>
      </c>
      <c r="D32" s="35" t="str">
        <f>IF(C32="", "",VLOOKUP(C32,Key!$A$5:$B$7,2,FALSE))</f>
        <v>Large Bus</v>
      </c>
      <c r="E32" s="27"/>
      <c r="F32" s="27" t="s">
        <v>64</v>
      </c>
      <c r="G32" s="28" t="s">
        <v>66</v>
      </c>
      <c r="H32" s="28" t="s">
        <v>66</v>
      </c>
      <c r="I32" s="28"/>
      <c r="J32" s="28" t="s">
        <v>65</v>
      </c>
      <c r="K32" s="29" t="s">
        <v>65</v>
      </c>
      <c r="L32" s="29" t="str">
        <f t="shared" si="0"/>
        <v>LIRA-KAMPALA</v>
      </c>
      <c r="M32" s="30">
        <v>51</v>
      </c>
      <c r="N32" s="37">
        <v>25000</v>
      </c>
      <c r="O32" s="36">
        <v>5</v>
      </c>
    </row>
    <row r="33" spans="2:15" s="19" customFormat="1" x14ac:dyDescent="0.2">
      <c r="B33" s="59">
        <v>0.22916666666666666</v>
      </c>
      <c r="C33" s="27">
        <v>6</v>
      </c>
      <c r="D33" s="35" t="str">
        <f>IF(C33="", "",VLOOKUP(C33,Key!$A$5:$B$7,2,FALSE))</f>
        <v>Large Bus</v>
      </c>
      <c r="E33" s="27"/>
      <c r="F33" s="27" t="s">
        <v>63</v>
      </c>
      <c r="G33" s="28" t="s">
        <v>65</v>
      </c>
      <c r="H33" s="28" t="s">
        <v>65</v>
      </c>
      <c r="I33" s="28"/>
      <c r="J33" s="28" t="s">
        <v>69</v>
      </c>
      <c r="K33" s="29" t="s">
        <v>69</v>
      </c>
      <c r="L33" s="29" t="str">
        <f t="shared" si="0"/>
        <v>KAMPALA-GULU</v>
      </c>
      <c r="M33" s="30">
        <v>44</v>
      </c>
      <c r="N33" s="37">
        <v>25000</v>
      </c>
      <c r="O33" s="36">
        <v>5</v>
      </c>
    </row>
    <row r="34" spans="2:15" s="19" customFormat="1" x14ac:dyDescent="0.2">
      <c r="B34" s="59">
        <v>0.23680555555555557</v>
      </c>
      <c r="C34" s="27">
        <v>6</v>
      </c>
      <c r="D34" s="35" t="str">
        <f>IF(C34="", "",VLOOKUP(C34,Key!$A$5:$B$7,2,FALSE))</f>
        <v>Large Bus</v>
      </c>
      <c r="E34" s="27"/>
      <c r="F34" s="27" t="s">
        <v>64</v>
      </c>
      <c r="G34" s="28" t="s">
        <v>67</v>
      </c>
      <c r="H34" s="28" t="s">
        <v>67</v>
      </c>
      <c r="I34" s="28"/>
      <c r="J34" s="28" t="s">
        <v>65</v>
      </c>
      <c r="K34" s="29" t="s">
        <v>65</v>
      </c>
      <c r="L34" s="29" t="str">
        <f t="shared" si="0"/>
        <v>APAC-KAMPALA</v>
      </c>
      <c r="M34" s="30">
        <v>32</v>
      </c>
      <c r="N34" s="37">
        <v>20000</v>
      </c>
      <c r="O34" s="36">
        <v>4.25</v>
      </c>
    </row>
    <row r="35" spans="2:15" s="19" customFormat="1" x14ac:dyDescent="0.2">
      <c r="B35" s="59">
        <v>0.25</v>
      </c>
      <c r="C35" s="27">
        <v>6</v>
      </c>
      <c r="D35" s="35" t="str">
        <f>IF(C35="", "",VLOOKUP(C35,Key!$A$5:$B$7,2,FALSE))</f>
        <v>Large Bus</v>
      </c>
      <c r="E35" s="27"/>
      <c r="F35" s="27" t="s">
        <v>64</v>
      </c>
      <c r="G35" s="28" t="s">
        <v>66</v>
      </c>
      <c r="H35" s="28" t="s">
        <v>66</v>
      </c>
      <c r="I35" s="28"/>
      <c r="J35" s="28" t="s">
        <v>65</v>
      </c>
      <c r="K35" s="29" t="s">
        <v>65</v>
      </c>
      <c r="L35" s="29" t="str">
        <f t="shared" si="0"/>
        <v>LIRA-KAMPALA</v>
      </c>
      <c r="M35" s="30">
        <v>50</v>
      </c>
      <c r="N35" s="37">
        <v>25000</v>
      </c>
      <c r="O35" s="36">
        <v>5</v>
      </c>
    </row>
    <row r="36" spans="2:15" s="19" customFormat="1" x14ac:dyDescent="0.2">
      <c r="B36" s="59">
        <v>0.30486111111111108</v>
      </c>
      <c r="C36" s="27">
        <v>6</v>
      </c>
      <c r="D36" s="35" t="str">
        <f>IF(C36="", "",VLOOKUP(C36,Key!$A$5:$B$7,2,FALSE))</f>
        <v>Large Bus</v>
      </c>
      <c r="E36" s="27"/>
      <c r="F36" s="27" t="s">
        <v>63</v>
      </c>
      <c r="G36" s="28" t="s">
        <v>65</v>
      </c>
      <c r="H36" s="28" t="s">
        <v>65</v>
      </c>
      <c r="I36" s="28"/>
      <c r="J36" s="28" t="s">
        <v>67</v>
      </c>
      <c r="K36" s="29" t="s">
        <v>67</v>
      </c>
      <c r="L36" s="29" t="str">
        <f t="shared" si="0"/>
        <v>KAMPALA-APAC</v>
      </c>
      <c r="M36" s="30">
        <v>16</v>
      </c>
      <c r="N36" s="37">
        <v>20000</v>
      </c>
      <c r="O36" s="36">
        <v>4.5</v>
      </c>
    </row>
    <row r="37" spans="2:15" s="19" customFormat="1" x14ac:dyDescent="0.2">
      <c r="B37" s="59">
        <v>0.34722222222222227</v>
      </c>
      <c r="C37" s="27">
        <v>6</v>
      </c>
      <c r="D37" s="35" t="str">
        <f>IF(C37="", "",VLOOKUP(C37,Key!$A$5:$B$7,2,FALSE))</f>
        <v>Large Bus</v>
      </c>
      <c r="E37" s="27"/>
      <c r="F37" s="27" t="s">
        <v>64</v>
      </c>
      <c r="G37" s="28" t="s">
        <v>66</v>
      </c>
      <c r="H37" s="28" t="s">
        <v>66</v>
      </c>
      <c r="I37" s="28"/>
      <c r="J37" s="28" t="s">
        <v>65</v>
      </c>
      <c r="K37" s="29" t="s">
        <v>65</v>
      </c>
      <c r="L37" s="29" t="str">
        <f t="shared" si="0"/>
        <v>LIRA-KAMPALA</v>
      </c>
      <c r="M37" s="30">
        <v>65</v>
      </c>
      <c r="N37" s="37">
        <v>25000</v>
      </c>
      <c r="O37" s="36">
        <v>5</v>
      </c>
    </row>
    <row r="38" spans="2:15" s="19" customFormat="1" x14ac:dyDescent="0.2">
      <c r="B38" s="59">
        <v>0.35416666666666669</v>
      </c>
      <c r="C38" s="27">
        <v>6</v>
      </c>
      <c r="D38" s="35" t="str">
        <f>IF(C38="", "",VLOOKUP(C38,Key!$A$5:$B$7,2,FALSE))</f>
        <v>Large Bus</v>
      </c>
      <c r="E38" s="27"/>
      <c r="F38" s="27" t="s">
        <v>64</v>
      </c>
      <c r="G38" s="28" t="s">
        <v>67</v>
      </c>
      <c r="H38" s="28" t="s">
        <v>67</v>
      </c>
      <c r="I38" s="28"/>
      <c r="J38" s="28" t="s">
        <v>65</v>
      </c>
      <c r="K38" s="29" t="s">
        <v>65</v>
      </c>
      <c r="L38" s="29" t="str">
        <f t="shared" si="0"/>
        <v>APAC-KAMPALA</v>
      </c>
      <c r="M38" s="30">
        <v>50</v>
      </c>
      <c r="N38" s="37">
        <v>20000</v>
      </c>
      <c r="O38" s="36">
        <v>4.25</v>
      </c>
    </row>
    <row r="39" spans="2:15" s="19" customFormat="1" x14ac:dyDescent="0.2">
      <c r="B39" s="59">
        <v>0.37638888888888888</v>
      </c>
      <c r="C39" s="27">
        <v>6</v>
      </c>
      <c r="D39" s="35" t="str">
        <f>IF(C39="", "",VLOOKUP(C39,Key!$A$5:$B$7,2,FALSE))</f>
        <v>Large Bus</v>
      </c>
      <c r="E39" s="27"/>
      <c r="F39" s="27" t="s">
        <v>64</v>
      </c>
      <c r="G39" s="28" t="s">
        <v>66</v>
      </c>
      <c r="H39" s="28" t="s">
        <v>66</v>
      </c>
      <c r="I39" s="28"/>
      <c r="J39" s="28" t="s">
        <v>65</v>
      </c>
      <c r="K39" s="29" t="s">
        <v>65</v>
      </c>
      <c r="L39" s="29" t="str">
        <f t="shared" si="0"/>
        <v>LIRA-KAMPALA</v>
      </c>
      <c r="M39" s="30">
        <v>42</v>
      </c>
      <c r="N39" s="37">
        <v>25000</v>
      </c>
      <c r="O39" s="36">
        <v>5</v>
      </c>
    </row>
    <row r="40" spans="2:15" s="19" customFormat="1" x14ac:dyDescent="0.2">
      <c r="B40" s="48">
        <v>43698</v>
      </c>
      <c r="C40" s="27"/>
      <c r="D40" s="35"/>
      <c r="E40" s="27"/>
      <c r="F40" s="27"/>
      <c r="G40" s="28"/>
      <c r="H40" s="28"/>
      <c r="I40" s="28"/>
      <c r="J40" s="28"/>
      <c r="K40" s="29"/>
      <c r="L40" s="29"/>
      <c r="M40" s="30"/>
      <c r="N40" s="37"/>
      <c r="O40" s="36"/>
    </row>
    <row r="41" spans="2:15" s="19" customFormat="1" x14ac:dyDescent="0.2">
      <c r="B41" s="59">
        <v>0.29166666666666669</v>
      </c>
      <c r="C41" s="27">
        <v>6</v>
      </c>
      <c r="D41" s="35" t="str">
        <f>IF(C41="", "",VLOOKUP(C41,Key!$A$5:$B$7,2,FALSE))</f>
        <v>Large Bus</v>
      </c>
      <c r="E41" s="27"/>
      <c r="F41" s="27" t="s">
        <v>63</v>
      </c>
      <c r="G41" s="28" t="s">
        <v>65</v>
      </c>
      <c r="H41" s="28" t="s">
        <v>65</v>
      </c>
      <c r="I41" s="28"/>
      <c r="J41" s="28" t="s">
        <v>66</v>
      </c>
      <c r="K41" s="29" t="s">
        <v>66</v>
      </c>
      <c r="L41" s="29" t="str">
        <f t="shared" ref="L41:L72" si="1">H41&amp;"-"&amp;K41</f>
        <v>KAMPALA-LIRA</v>
      </c>
      <c r="M41" s="30">
        <v>42</v>
      </c>
      <c r="N41" s="37">
        <v>25000</v>
      </c>
      <c r="O41" s="36">
        <v>5</v>
      </c>
    </row>
    <row r="42" spans="2:15" s="19" customFormat="1" x14ac:dyDescent="0.2">
      <c r="B42" s="59">
        <v>0.33333333333333331</v>
      </c>
      <c r="C42" s="27">
        <v>6</v>
      </c>
      <c r="D42" s="35" t="str">
        <f>IF(C42="", "",VLOOKUP(C42,Key!$A$5:$B$7,2,FALSE))</f>
        <v>Large Bus</v>
      </c>
      <c r="E42" s="27"/>
      <c r="F42" s="27" t="s">
        <v>64</v>
      </c>
      <c r="G42" s="28" t="s">
        <v>66</v>
      </c>
      <c r="H42" s="28" t="s">
        <v>66</v>
      </c>
      <c r="I42" s="28"/>
      <c r="J42" s="28" t="s">
        <v>65</v>
      </c>
      <c r="K42" s="29" t="s">
        <v>65</v>
      </c>
      <c r="L42" s="29" t="str">
        <f t="shared" si="1"/>
        <v>LIRA-KAMPALA</v>
      </c>
      <c r="M42" s="30">
        <v>42</v>
      </c>
      <c r="N42" s="37">
        <v>25000</v>
      </c>
      <c r="O42" s="36">
        <v>5</v>
      </c>
    </row>
    <row r="43" spans="2:15" s="19" customFormat="1" x14ac:dyDescent="0.2">
      <c r="B43" s="59">
        <v>0.47916666666666669</v>
      </c>
      <c r="C43" s="27">
        <v>6</v>
      </c>
      <c r="D43" s="35" t="str">
        <f>IF(C43="", "",VLOOKUP(C43,Key!$A$5:$B$7,2,FALSE))</f>
        <v>Large Bus</v>
      </c>
      <c r="E43" s="27"/>
      <c r="F43" s="27" t="s">
        <v>63</v>
      </c>
      <c r="G43" s="28" t="s">
        <v>65</v>
      </c>
      <c r="H43" s="28" t="s">
        <v>65</v>
      </c>
      <c r="I43" s="28"/>
      <c r="J43" s="28" t="s">
        <v>66</v>
      </c>
      <c r="K43" s="29" t="s">
        <v>66</v>
      </c>
      <c r="L43" s="29" t="str">
        <f t="shared" si="1"/>
        <v>KAMPALA-LIRA</v>
      </c>
      <c r="M43" s="30">
        <v>42</v>
      </c>
      <c r="N43" s="37">
        <v>25000</v>
      </c>
      <c r="O43" s="36">
        <v>5</v>
      </c>
    </row>
    <row r="44" spans="2:15" s="19" customFormat="1" x14ac:dyDescent="0.2">
      <c r="B44" s="59">
        <v>0.5</v>
      </c>
      <c r="C44" s="27">
        <v>6</v>
      </c>
      <c r="D44" s="35" t="str">
        <f>IF(C44="", "",VLOOKUP(C44,Key!$A$5:$B$7,2,FALSE))</f>
        <v>Large Bus</v>
      </c>
      <c r="E44" s="27"/>
      <c r="F44" s="27" t="s">
        <v>64</v>
      </c>
      <c r="G44" s="28" t="s">
        <v>66</v>
      </c>
      <c r="H44" s="28" t="s">
        <v>66</v>
      </c>
      <c r="I44" s="28"/>
      <c r="J44" s="28" t="s">
        <v>65</v>
      </c>
      <c r="K44" s="29" t="s">
        <v>65</v>
      </c>
      <c r="L44" s="29" t="str">
        <f t="shared" si="1"/>
        <v>LIRA-KAMPALA</v>
      </c>
      <c r="M44" s="30">
        <v>45</v>
      </c>
      <c r="N44" s="37">
        <v>25000</v>
      </c>
      <c r="O44" s="36">
        <v>5</v>
      </c>
    </row>
    <row r="45" spans="2:15" s="19" customFormat="1" x14ac:dyDescent="0.2">
      <c r="B45" s="59">
        <v>0.52083333333333337</v>
      </c>
      <c r="C45" s="27">
        <v>6</v>
      </c>
      <c r="D45" s="35" t="str">
        <f>IF(C45="", "",VLOOKUP(C45,Key!$A$5:$B$7,2,FALSE))</f>
        <v>Large Bus</v>
      </c>
      <c r="E45" s="27"/>
      <c r="F45" s="27" t="s">
        <v>64</v>
      </c>
      <c r="G45" s="28" t="s">
        <v>66</v>
      </c>
      <c r="H45" s="28" t="s">
        <v>66</v>
      </c>
      <c r="I45" s="28"/>
      <c r="J45" s="28" t="s">
        <v>65</v>
      </c>
      <c r="K45" s="29" t="s">
        <v>65</v>
      </c>
      <c r="L45" s="29" t="str">
        <f t="shared" si="1"/>
        <v>LIRA-KAMPALA</v>
      </c>
      <c r="M45" s="30">
        <v>38</v>
      </c>
      <c r="N45" s="37">
        <v>25000</v>
      </c>
      <c r="O45" s="36">
        <v>5</v>
      </c>
    </row>
    <row r="46" spans="2:15" s="19" customFormat="1" x14ac:dyDescent="0.2">
      <c r="B46" s="59">
        <v>0.6875</v>
      </c>
      <c r="C46" s="27">
        <v>6</v>
      </c>
      <c r="D46" s="35" t="str">
        <f>IF(C46="", "",VLOOKUP(C46,Key!$A$5:$B$7,2,FALSE))</f>
        <v>Large Bus</v>
      </c>
      <c r="E46" s="27"/>
      <c r="F46" s="27" t="s">
        <v>64</v>
      </c>
      <c r="G46" s="28" t="s">
        <v>65</v>
      </c>
      <c r="H46" s="28" t="s">
        <v>65</v>
      </c>
      <c r="I46" s="28"/>
      <c r="J46" s="28" t="s">
        <v>67</v>
      </c>
      <c r="K46" s="29" t="s">
        <v>67</v>
      </c>
      <c r="L46" s="29" t="str">
        <f t="shared" si="1"/>
        <v>KAMPALA-APAC</v>
      </c>
      <c r="M46" s="30">
        <v>38</v>
      </c>
      <c r="N46" s="37">
        <v>20000</v>
      </c>
      <c r="O46" s="36">
        <v>4.5</v>
      </c>
    </row>
    <row r="47" spans="2:15" s="19" customFormat="1" x14ac:dyDescent="0.2">
      <c r="B47" s="59">
        <v>0.54166666666666663</v>
      </c>
      <c r="C47" s="27">
        <v>6</v>
      </c>
      <c r="D47" s="35" t="str">
        <f>IF(C47="", "",VLOOKUP(C47,Key!$A$5:$B$7,2,FALSE))</f>
        <v>Large Bus</v>
      </c>
      <c r="E47" s="27"/>
      <c r="F47" s="27" t="s">
        <v>64</v>
      </c>
      <c r="G47" s="28" t="s">
        <v>66</v>
      </c>
      <c r="H47" s="28" t="s">
        <v>66</v>
      </c>
      <c r="I47" s="28"/>
      <c r="J47" s="28" t="s">
        <v>65</v>
      </c>
      <c r="K47" s="29" t="s">
        <v>65</v>
      </c>
      <c r="L47" s="29" t="str">
        <f t="shared" si="1"/>
        <v>LIRA-KAMPALA</v>
      </c>
      <c r="M47" s="30">
        <v>65</v>
      </c>
      <c r="N47" s="37">
        <v>25000</v>
      </c>
      <c r="O47" s="36">
        <v>5</v>
      </c>
    </row>
    <row r="48" spans="2:15" s="19" customFormat="1" x14ac:dyDescent="0.2">
      <c r="B48" s="59">
        <v>0.55972222222222223</v>
      </c>
      <c r="C48" s="27">
        <v>6</v>
      </c>
      <c r="D48" s="35" t="str">
        <f>IF(C48="", "",VLOOKUP(C48,Key!$A$5:$B$7,2,FALSE))</f>
        <v>Large Bus</v>
      </c>
      <c r="E48" s="27"/>
      <c r="F48" s="27" t="s">
        <v>64</v>
      </c>
      <c r="G48" s="28" t="s">
        <v>66</v>
      </c>
      <c r="H48" s="28" t="s">
        <v>66</v>
      </c>
      <c r="I48" s="28"/>
      <c r="J48" s="28" t="s">
        <v>65</v>
      </c>
      <c r="K48" s="29" t="s">
        <v>65</v>
      </c>
      <c r="L48" s="29" t="str">
        <f t="shared" si="1"/>
        <v>LIRA-KAMPALA</v>
      </c>
      <c r="M48" s="30">
        <v>42</v>
      </c>
      <c r="N48" s="37">
        <v>25000</v>
      </c>
      <c r="O48" s="36">
        <v>5</v>
      </c>
    </row>
    <row r="49" spans="2:15" s="19" customFormat="1" x14ac:dyDescent="0.2">
      <c r="B49" s="59">
        <v>0.41666666666666669</v>
      </c>
      <c r="C49" s="27">
        <v>6</v>
      </c>
      <c r="D49" s="35" t="str">
        <f>IF(C49="", "",VLOOKUP(C49,Key!$A$5:$B$7,2,FALSE))</f>
        <v>Large Bus</v>
      </c>
      <c r="E49" s="27"/>
      <c r="F49" s="27" t="s">
        <v>63</v>
      </c>
      <c r="G49" s="28" t="s">
        <v>65</v>
      </c>
      <c r="H49" s="28" t="s">
        <v>65</v>
      </c>
      <c r="I49" s="28"/>
      <c r="J49" s="28" t="s">
        <v>66</v>
      </c>
      <c r="K49" s="29" t="s">
        <v>66</v>
      </c>
      <c r="L49" s="29" t="str">
        <f t="shared" si="1"/>
        <v>KAMPALA-LIRA</v>
      </c>
      <c r="M49" s="30">
        <v>42</v>
      </c>
      <c r="N49" s="37">
        <v>25000</v>
      </c>
      <c r="O49" s="36">
        <v>5</v>
      </c>
    </row>
    <row r="50" spans="2:15" s="19" customFormat="1" x14ac:dyDescent="0.2">
      <c r="B50" s="59">
        <v>0.91666666666666663</v>
      </c>
      <c r="C50" s="27">
        <v>6</v>
      </c>
      <c r="D50" s="35" t="str">
        <f>IF(C50="", "",VLOOKUP(C50,Key!$A$5:$B$7,2,FALSE))</f>
        <v>Large Bus</v>
      </c>
      <c r="E50" s="27"/>
      <c r="F50" s="27" t="s">
        <v>64</v>
      </c>
      <c r="G50" s="28" t="s">
        <v>66</v>
      </c>
      <c r="H50" s="28" t="s">
        <v>66</v>
      </c>
      <c r="I50" s="28"/>
      <c r="J50" s="28" t="s">
        <v>65</v>
      </c>
      <c r="K50" s="29" t="s">
        <v>65</v>
      </c>
      <c r="L50" s="29" t="str">
        <f t="shared" si="1"/>
        <v>LIRA-KAMPALA</v>
      </c>
      <c r="M50" s="30">
        <v>42</v>
      </c>
      <c r="N50" s="37">
        <v>25000</v>
      </c>
      <c r="O50" s="36">
        <v>5</v>
      </c>
    </row>
    <row r="51" spans="2:15" s="19" customFormat="1" x14ac:dyDescent="0.2">
      <c r="B51" s="59">
        <v>0.42986111111111108</v>
      </c>
      <c r="C51" s="27">
        <v>6</v>
      </c>
      <c r="D51" s="35" t="str">
        <f>IF(C51="", "",VLOOKUP(C51,Key!$A$5:$B$7,2,FALSE))</f>
        <v>Large Bus</v>
      </c>
      <c r="E51" s="27"/>
      <c r="F51" s="27" t="s">
        <v>63</v>
      </c>
      <c r="G51" s="28" t="s">
        <v>68</v>
      </c>
      <c r="H51" s="28" t="s">
        <v>68</v>
      </c>
      <c r="I51" s="28"/>
      <c r="J51" s="28" t="s">
        <v>65</v>
      </c>
      <c r="K51" s="29" t="s">
        <v>65</v>
      </c>
      <c r="L51" s="29" t="str">
        <f t="shared" si="1"/>
        <v>ABIM-KAMPALA</v>
      </c>
      <c r="M51" s="30">
        <v>42</v>
      </c>
      <c r="N51" s="37">
        <v>35000</v>
      </c>
      <c r="O51" s="36">
        <v>7.5</v>
      </c>
    </row>
    <row r="52" spans="2:15" s="19" customFormat="1" x14ac:dyDescent="0.2">
      <c r="B52" s="59">
        <v>0.4375</v>
      </c>
      <c r="C52" s="27">
        <v>6</v>
      </c>
      <c r="D52" s="35" t="str">
        <f>IF(C52="", "",VLOOKUP(C52,Key!$A$5:$B$7,2,FALSE))</f>
        <v>Large Bus</v>
      </c>
      <c r="E52" s="27"/>
      <c r="F52" s="27" t="s">
        <v>63</v>
      </c>
      <c r="G52" s="28" t="s">
        <v>69</v>
      </c>
      <c r="H52" s="28" t="s">
        <v>69</v>
      </c>
      <c r="I52" s="28"/>
      <c r="J52" s="28" t="s">
        <v>70</v>
      </c>
      <c r="K52" s="29" t="s">
        <v>70</v>
      </c>
      <c r="L52" s="29" t="str">
        <f t="shared" si="1"/>
        <v>GULU-BUSIA</v>
      </c>
      <c r="M52" s="30">
        <v>42</v>
      </c>
      <c r="N52" s="37">
        <v>27000</v>
      </c>
      <c r="O52" s="36">
        <v>6.5</v>
      </c>
    </row>
    <row r="53" spans="2:15" s="19" customFormat="1" x14ac:dyDescent="0.2">
      <c r="B53" s="59">
        <v>0.9375</v>
      </c>
      <c r="C53" s="27">
        <v>6</v>
      </c>
      <c r="D53" s="35" t="str">
        <f>IF(C53="", "",VLOOKUP(C53,Key!$A$5:$B$7,2,FALSE))</f>
        <v>Large Bus</v>
      </c>
      <c r="E53" s="27"/>
      <c r="F53" s="27" t="s">
        <v>63</v>
      </c>
      <c r="G53" s="28" t="s">
        <v>67</v>
      </c>
      <c r="H53" s="28" t="s">
        <v>67</v>
      </c>
      <c r="I53" s="28"/>
      <c r="J53" s="28" t="s">
        <v>65</v>
      </c>
      <c r="K53" s="29" t="s">
        <v>65</v>
      </c>
      <c r="L53" s="29" t="str">
        <f t="shared" si="1"/>
        <v>APAC-KAMPALA</v>
      </c>
      <c r="M53" s="30">
        <v>42</v>
      </c>
      <c r="N53" s="37">
        <v>20000</v>
      </c>
      <c r="O53" s="36">
        <v>4.25</v>
      </c>
    </row>
    <row r="54" spans="2:15" s="19" customFormat="1" x14ac:dyDescent="0.2">
      <c r="B54" s="59">
        <v>0.9375</v>
      </c>
      <c r="C54" s="27">
        <v>6</v>
      </c>
      <c r="D54" s="35" t="str">
        <f>IF(C54="", "",VLOOKUP(C54,Key!$A$5:$B$7,2,FALSE))</f>
        <v>Large Bus</v>
      </c>
      <c r="E54" s="27"/>
      <c r="F54" s="27" t="s">
        <v>64</v>
      </c>
      <c r="G54" s="28" t="s">
        <v>67</v>
      </c>
      <c r="H54" s="28" t="s">
        <v>67</v>
      </c>
      <c r="I54" s="28"/>
      <c r="J54" s="28" t="s">
        <v>65</v>
      </c>
      <c r="K54" s="29" t="s">
        <v>65</v>
      </c>
      <c r="L54" s="29" t="str">
        <f t="shared" si="1"/>
        <v>APAC-KAMPALA</v>
      </c>
      <c r="M54" s="30">
        <v>42</v>
      </c>
      <c r="N54" s="37">
        <v>20000</v>
      </c>
      <c r="O54" s="36">
        <v>4.25</v>
      </c>
    </row>
    <row r="55" spans="2:15" s="19" customFormat="1" x14ac:dyDescent="0.2">
      <c r="B55" s="59">
        <v>0.44097222222222227</v>
      </c>
      <c r="C55" s="27">
        <v>6</v>
      </c>
      <c r="D55" s="35" t="str">
        <f>IF(C55="", "",VLOOKUP(C55,Key!$A$5:$B$7,2,FALSE))</f>
        <v>Large Bus</v>
      </c>
      <c r="E55" s="27"/>
      <c r="F55" s="27" t="s">
        <v>64</v>
      </c>
      <c r="G55" s="28" t="s">
        <v>69</v>
      </c>
      <c r="H55" s="28" t="s">
        <v>69</v>
      </c>
      <c r="I55" s="28"/>
      <c r="J55" s="28" t="s">
        <v>70</v>
      </c>
      <c r="K55" s="29" t="s">
        <v>70</v>
      </c>
      <c r="L55" s="29" t="str">
        <f t="shared" si="1"/>
        <v>GULU-BUSIA</v>
      </c>
      <c r="M55" s="30">
        <v>42</v>
      </c>
      <c r="N55" s="37">
        <v>27000</v>
      </c>
      <c r="O55" s="36">
        <v>6.5</v>
      </c>
    </row>
    <row r="56" spans="2:15" s="19" customFormat="1" x14ac:dyDescent="0.2">
      <c r="B56" s="59">
        <v>0.4375</v>
      </c>
      <c r="C56" s="27">
        <v>6</v>
      </c>
      <c r="D56" s="35" t="str">
        <f>IF(C56="", "",VLOOKUP(C56,Key!$A$5:$B$7,2,FALSE))</f>
        <v>Large Bus</v>
      </c>
      <c r="E56" s="27"/>
      <c r="F56" s="27" t="s">
        <v>64</v>
      </c>
      <c r="G56" s="28" t="s">
        <v>68</v>
      </c>
      <c r="H56" s="28" t="s">
        <v>68</v>
      </c>
      <c r="I56" s="28"/>
      <c r="J56" s="28" t="s">
        <v>65</v>
      </c>
      <c r="K56" s="29" t="s">
        <v>65</v>
      </c>
      <c r="L56" s="29" t="str">
        <f t="shared" si="1"/>
        <v>ABIM-KAMPALA</v>
      </c>
      <c r="M56" s="30">
        <v>42</v>
      </c>
      <c r="N56" s="37">
        <v>35000</v>
      </c>
      <c r="O56" s="36">
        <v>7.5</v>
      </c>
    </row>
    <row r="57" spans="2:15" s="19" customFormat="1" x14ac:dyDescent="0.2">
      <c r="B57" s="59">
        <v>0.46319444444444446</v>
      </c>
      <c r="C57" s="27">
        <v>6</v>
      </c>
      <c r="D57" s="35" t="str">
        <f>IF(C57="", "",VLOOKUP(C57,Key!$A$5:$B$7,2,FALSE))</f>
        <v>Large Bus</v>
      </c>
      <c r="E57" s="27"/>
      <c r="F57" s="27" t="s">
        <v>64</v>
      </c>
      <c r="G57" s="28" t="s">
        <v>66</v>
      </c>
      <c r="H57" s="28" t="s">
        <v>66</v>
      </c>
      <c r="I57" s="28"/>
      <c r="J57" s="28" t="s">
        <v>69</v>
      </c>
      <c r="K57" s="29" t="s">
        <v>69</v>
      </c>
      <c r="L57" s="29" t="str">
        <f t="shared" si="1"/>
        <v>LIRA-GULU</v>
      </c>
      <c r="M57" s="30">
        <v>30</v>
      </c>
      <c r="N57" s="37">
        <v>10000</v>
      </c>
      <c r="O57" s="36">
        <v>2</v>
      </c>
    </row>
    <row r="58" spans="2:15" s="19" customFormat="1" x14ac:dyDescent="0.2">
      <c r="B58" s="59">
        <v>0.47638888888888892</v>
      </c>
      <c r="C58" s="27">
        <v>6</v>
      </c>
      <c r="D58" s="35" t="str">
        <f>IF(C58="", "",VLOOKUP(C58,Key!$A$5:$B$7,2,FALSE))</f>
        <v>Large Bus</v>
      </c>
      <c r="E58" s="27"/>
      <c r="F58" s="27" t="s">
        <v>64</v>
      </c>
      <c r="G58" s="28" t="s">
        <v>66</v>
      </c>
      <c r="H58" s="28" t="s">
        <v>66</v>
      </c>
      <c r="I58" s="28"/>
      <c r="J58" s="28" t="s">
        <v>65</v>
      </c>
      <c r="K58" s="29" t="s">
        <v>65</v>
      </c>
      <c r="L58" s="29" t="str">
        <f t="shared" si="1"/>
        <v>LIRA-KAMPALA</v>
      </c>
      <c r="M58" s="30">
        <v>41</v>
      </c>
      <c r="N58" s="37">
        <v>25000</v>
      </c>
      <c r="O58" s="36">
        <v>5</v>
      </c>
    </row>
    <row r="59" spans="2:15" s="19" customFormat="1" x14ac:dyDescent="0.2">
      <c r="B59" s="59">
        <v>0.9784722222222223</v>
      </c>
      <c r="C59" s="27">
        <v>6</v>
      </c>
      <c r="D59" s="35" t="str">
        <f>IF(C59="", "",VLOOKUP(C59,Key!$A$5:$B$7,2,FALSE))</f>
        <v>Large Bus</v>
      </c>
      <c r="E59" s="27"/>
      <c r="F59" s="27" t="s">
        <v>63</v>
      </c>
      <c r="G59" s="28" t="s">
        <v>65</v>
      </c>
      <c r="H59" s="28" t="s">
        <v>65</v>
      </c>
      <c r="I59" s="28"/>
      <c r="J59" s="28" t="s">
        <v>66</v>
      </c>
      <c r="K59" s="29" t="s">
        <v>66</v>
      </c>
      <c r="L59" s="29" t="str">
        <f t="shared" si="1"/>
        <v>KAMPALA-LIRA</v>
      </c>
      <c r="M59" s="30">
        <v>41</v>
      </c>
      <c r="N59" s="37">
        <v>25000</v>
      </c>
      <c r="O59" s="36">
        <v>5</v>
      </c>
    </row>
    <row r="60" spans="2:15" s="19" customFormat="1" x14ac:dyDescent="0.2">
      <c r="B60" s="59">
        <v>0.4993055555555555</v>
      </c>
      <c r="C60" s="27">
        <v>6</v>
      </c>
      <c r="D60" s="35" t="str">
        <f>IF(C60="", "",VLOOKUP(C60,Key!$A$5:$B$7,2,FALSE))</f>
        <v>Large Bus</v>
      </c>
      <c r="E60" s="27"/>
      <c r="F60" s="27" t="s">
        <v>64</v>
      </c>
      <c r="G60" s="28" t="s">
        <v>66</v>
      </c>
      <c r="H60" s="28" t="s">
        <v>66</v>
      </c>
      <c r="I60" s="28"/>
      <c r="J60" s="28" t="s">
        <v>65</v>
      </c>
      <c r="K60" s="29" t="s">
        <v>65</v>
      </c>
      <c r="L60" s="29" t="str">
        <f t="shared" si="1"/>
        <v>LIRA-KAMPALA</v>
      </c>
      <c r="M60" s="30">
        <v>41</v>
      </c>
      <c r="N60" s="37">
        <v>25000</v>
      </c>
      <c r="O60" s="36">
        <v>5</v>
      </c>
    </row>
    <row r="61" spans="2:15" s="19" customFormat="1" x14ac:dyDescent="0.2">
      <c r="B61" s="59">
        <v>0</v>
      </c>
      <c r="C61" s="27">
        <v>6</v>
      </c>
      <c r="D61" s="35" t="str">
        <f>IF(C61="", "",VLOOKUP(C61,Key!$A$5:$B$7,2,FALSE))</f>
        <v>Large Bus</v>
      </c>
      <c r="E61" s="27"/>
      <c r="F61" s="27" t="s">
        <v>64</v>
      </c>
      <c r="G61" s="28" t="s">
        <v>67</v>
      </c>
      <c r="H61" s="28" t="s">
        <v>67</v>
      </c>
      <c r="I61" s="28"/>
      <c r="J61" s="28" t="s">
        <v>65</v>
      </c>
      <c r="K61" s="29" t="s">
        <v>65</v>
      </c>
      <c r="L61" s="29" t="str">
        <f t="shared" si="1"/>
        <v>APAC-KAMPALA</v>
      </c>
      <c r="M61" s="30">
        <v>41</v>
      </c>
      <c r="N61" s="37">
        <v>20000</v>
      </c>
      <c r="O61" s="36">
        <v>4.25</v>
      </c>
    </row>
    <row r="62" spans="2:15" s="19" customFormat="1" x14ac:dyDescent="0.2">
      <c r="B62" s="59">
        <v>0</v>
      </c>
      <c r="C62" s="27">
        <v>6</v>
      </c>
      <c r="D62" s="35" t="str">
        <f>IF(C62="", "",VLOOKUP(C62,Key!$A$5:$B$7,2,FALSE))</f>
        <v>Large Bus</v>
      </c>
      <c r="E62" s="27"/>
      <c r="F62" s="27" t="s">
        <v>64</v>
      </c>
      <c r="G62" s="28" t="s">
        <v>67</v>
      </c>
      <c r="H62" s="28" t="s">
        <v>67</v>
      </c>
      <c r="I62" s="28"/>
      <c r="J62" s="28" t="s">
        <v>65</v>
      </c>
      <c r="K62" s="29" t="s">
        <v>65</v>
      </c>
      <c r="L62" s="29" t="str">
        <f t="shared" si="1"/>
        <v>APAC-KAMPALA</v>
      </c>
      <c r="M62" s="30">
        <v>30</v>
      </c>
      <c r="N62" s="37">
        <v>20000</v>
      </c>
      <c r="O62" s="36">
        <v>4.25</v>
      </c>
    </row>
    <row r="63" spans="2:15" s="19" customFormat="1" x14ac:dyDescent="0.2">
      <c r="B63" s="59">
        <v>2.0833333333333333E-3</v>
      </c>
      <c r="C63" s="27">
        <v>6</v>
      </c>
      <c r="D63" s="35" t="str">
        <f>IF(C63="", "",VLOOKUP(C63,Key!$A$5:$B$7,2,FALSE))</f>
        <v>Large Bus</v>
      </c>
      <c r="E63" s="27"/>
      <c r="F63" s="27" t="s">
        <v>64</v>
      </c>
      <c r="G63" s="28" t="s">
        <v>66</v>
      </c>
      <c r="H63" s="28" t="s">
        <v>66</v>
      </c>
      <c r="I63" s="28"/>
      <c r="J63" s="28" t="s">
        <v>65</v>
      </c>
      <c r="K63" s="29" t="s">
        <v>65</v>
      </c>
      <c r="L63" s="29" t="str">
        <f t="shared" si="1"/>
        <v>LIRA-KAMPALA</v>
      </c>
      <c r="M63" s="30">
        <v>30</v>
      </c>
      <c r="N63" s="37">
        <v>25000</v>
      </c>
      <c r="O63" s="36">
        <v>5</v>
      </c>
    </row>
    <row r="64" spans="2:15" s="19" customFormat="1" x14ac:dyDescent="0.2">
      <c r="B64" s="59">
        <v>0.50694444444444442</v>
      </c>
      <c r="C64" s="27">
        <v>6</v>
      </c>
      <c r="D64" s="35" t="str">
        <f>IF(C64="", "",VLOOKUP(C64,Key!$A$5:$B$7,2,FALSE))</f>
        <v>Large Bus</v>
      </c>
      <c r="E64" s="27"/>
      <c r="F64" s="27" t="s">
        <v>64</v>
      </c>
      <c r="G64" s="28" t="s">
        <v>66</v>
      </c>
      <c r="H64" s="28" t="s">
        <v>66</v>
      </c>
      <c r="I64" s="28"/>
      <c r="J64" s="28" t="s">
        <v>65</v>
      </c>
      <c r="K64" s="29" t="s">
        <v>65</v>
      </c>
      <c r="L64" s="29" t="str">
        <f t="shared" si="1"/>
        <v>LIRA-KAMPALA</v>
      </c>
      <c r="M64" s="30">
        <v>30</v>
      </c>
      <c r="N64" s="37">
        <v>25000</v>
      </c>
      <c r="O64" s="36">
        <v>5</v>
      </c>
    </row>
    <row r="65" spans="2:15" s="19" customFormat="1" x14ac:dyDescent="0.2">
      <c r="B65" s="59">
        <v>2.0833333333333332E-2</v>
      </c>
      <c r="C65" s="27">
        <v>6</v>
      </c>
      <c r="D65" s="35" t="str">
        <f>IF(C65="", "",VLOOKUP(C65,Key!$A$5:$B$7,2,FALSE))</f>
        <v>Large Bus</v>
      </c>
      <c r="E65" s="27"/>
      <c r="F65" s="27" t="s">
        <v>64</v>
      </c>
      <c r="G65" s="28" t="s">
        <v>66</v>
      </c>
      <c r="H65" s="28" t="s">
        <v>66</v>
      </c>
      <c r="I65" s="28"/>
      <c r="J65" s="28" t="s">
        <v>65</v>
      </c>
      <c r="K65" s="29" t="s">
        <v>65</v>
      </c>
      <c r="L65" s="29" t="str">
        <f t="shared" si="1"/>
        <v>LIRA-KAMPALA</v>
      </c>
      <c r="M65" s="30">
        <v>65</v>
      </c>
      <c r="N65" s="37">
        <v>25000</v>
      </c>
      <c r="O65" s="36">
        <v>5</v>
      </c>
    </row>
    <row r="66" spans="2:15" s="19" customFormat="1" x14ac:dyDescent="0.2">
      <c r="B66" s="59">
        <v>0.52083333333333337</v>
      </c>
      <c r="C66" s="27">
        <v>6</v>
      </c>
      <c r="D66" s="35" t="str">
        <f>IF(C66="", "",VLOOKUP(C66,Key!$A$5:$B$7,2,FALSE))</f>
        <v>Large Bus</v>
      </c>
      <c r="E66" s="27"/>
      <c r="F66" s="27" t="s">
        <v>64</v>
      </c>
      <c r="G66" s="28" t="s">
        <v>66</v>
      </c>
      <c r="H66" s="28" t="s">
        <v>66</v>
      </c>
      <c r="I66" s="28"/>
      <c r="J66" s="28" t="s">
        <v>69</v>
      </c>
      <c r="K66" s="29" t="s">
        <v>69</v>
      </c>
      <c r="L66" s="29" t="str">
        <f t="shared" si="1"/>
        <v>LIRA-GULU</v>
      </c>
      <c r="M66" s="30">
        <v>30</v>
      </c>
      <c r="N66" s="37">
        <v>10000</v>
      </c>
      <c r="O66" s="36">
        <v>2</v>
      </c>
    </row>
    <row r="67" spans="2:15" s="19" customFormat="1" x14ac:dyDescent="0.2">
      <c r="B67" s="59">
        <v>0.52083333333333337</v>
      </c>
      <c r="C67" s="27">
        <v>6</v>
      </c>
      <c r="D67" s="35" t="str">
        <f>IF(C67="", "",VLOOKUP(C67,Key!$A$5:$B$7,2,FALSE))</f>
        <v>Large Bus</v>
      </c>
      <c r="E67" s="27"/>
      <c r="F67" s="27" t="s">
        <v>63</v>
      </c>
      <c r="G67" s="28" t="s">
        <v>65</v>
      </c>
      <c r="H67" s="28" t="s">
        <v>65</v>
      </c>
      <c r="I67" s="28"/>
      <c r="J67" s="28" t="s">
        <v>66</v>
      </c>
      <c r="K67" s="29" t="s">
        <v>66</v>
      </c>
      <c r="L67" s="29" t="str">
        <f t="shared" si="1"/>
        <v>KAMPALA-LIRA</v>
      </c>
      <c r="M67" s="30">
        <v>56</v>
      </c>
      <c r="N67" s="37">
        <v>25000</v>
      </c>
      <c r="O67" s="36">
        <v>5</v>
      </c>
    </row>
    <row r="68" spans="2:15" s="19" customFormat="1" x14ac:dyDescent="0.2">
      <c r="B68" s="59">
        <v>3.1944444444444449E-2</v>
      </c>
      <c r="C68" s="27">
        <v>6</v>
      </c>
      <c r="D68" s="35" t="str">
        <f>IF(C68="", "",VLOOKUP(C68,Key!$A$5:$B$7,2,FALSE))</f>
        <v>Large Bus</v>
      </c>
      <c r="E68" s="27"/>
      <c r="F68" s="27" t="s">
        <v>64</v>
      </c>
      <c r="G68" s="28" t="s">
        <v>66</v>
      </c>
      <c r="H68" s="28" t="s">
        <v>66</v>
      </c>
      <c r="I68" s="28"/>
      <c r="J68" s="28" t="s">
        <v>65</v>
      </c>
      <c r="K68" s="29" t="s">
        <v>65</v>
      </c>
      <c r="L68" s="29" t="str">
        <f t="shared" si="1"/>
        <v>LIRA-KAMPALA</v>
      </c>
      <c r="M68" s="30">
        <v>56</v>
      </c>
      <c r="N68" s="37">
        <v>25000</v>
      </c>
      <c r="O68" s="36">
        <v>5</v>
      </c>
    </row>
    <row r="69" spans="2:15" s="19" customFormat="1" x14ac:dyDescent="0.2">
      <c r="B69" s="59">
        <v>0.58124999999999993</v>
      </c>
      <c r="C69" s="27">
        <v>6</v>
      </c>
      <c r="D69" s="35" t="str">
        <f>IF(C69="", "",VLOOKUP(C69,Key!$A$5:$B$7,2,FALSE))</f>
        <v>Large Bus</v>
      </c>
      <c r="E69" s="27"/>
      <c r="F69" s="27" t="s">
        <v>64</v>
      </c>
      <c r="G69" s="28" t="s">
        <v>66</v>
      </c>
      <c r="H69" s="28" t="s">
        <v>66</v>
      </c>
      <c r="I69" s="28"/>
      <c r="J69" s="28" t="s">
        <v>69</v>
      </c>
      <c r="K69" s="29" t="s">
        <v>69</v>
      </c>
      <c r="L69" s="29" t="str">
        <f t="shared" si="1"/>
        <v>LIRA-GULU</v>
      </c>
      <c r="M69" s="30">
        <v>30</v>
      </c>
      <c r="N69" s="37">
        <v>10000</v>
      </c>
      <c r="O69" s="36">
        <v>2</v>
      </c>
    </row>
    <row r="70" spans="2:15" s="19" customFormat="1" x14ac:dyDescent="0.2">
      <c r="B70" s="59">
        <v>0.58333333333333337</v>
      </c>
      <c r="C70" s="27">
        <v>6</v>
      </c>
      <c r="D70" s="35" t="str">
        <f>IF(C70="", "",VLOOKUP(C70,Key!$A$5:$B$7,2,FALSE))</f>
        <v>Large Bus</v>
      </c>
      <c r="E70" s="27"/>
      <c r="F70" s="27" t="s">
        <v>64</v>
      </c>
      <c r="G70" s="28" t="s">
        <v>66</v>
      </c>
      <c r="H70" s="28" t="s">
        <v>66</v>
      </c>
      <c r="I70" s="28"/>
      <c r="J70" s="28" t="s">
        <v>67</v>
      </c>
      <c r="K70" s="29" t="s">
        <v>67</v>
      </c>
      <c r="L70" s="29" t="str">
        <f t="shared" si="1"/>
        <v>LIRA-APAC</v>
      </c>
      <c r="M70" s="30">
        <v>42</v>
      </c>
      <c r="N70" s="37">
        <v>6000</v>
      </c>
      <c r="O70" s="36">
        <v>1</v>
      </c>
    </row>
    <row r="71" spans="2:15" s="19" customFormat="1" x14ac:dyDescent="0.2">
      <c r="B71" s="59">
        <v>0.67708333333333337</v>
      </c>
      <c r="C71" s="27">
        <v>6</v>
      </c>
      <c r="D71" s="35" t="str">
        <f>IF(C71="", "",VLOOKUP(C71,Key!$A$5:$B$7,2,FALSE))</f>
        <v>Large Bus</v>
      </c>
      <c r="E71" s="27"/>
      <c r="F71" s="27" t="s">
        <v>63</v>
      </c>
      <c r="G71" s="28" t="s">
        <v>65</v>
      </c>
      <c r="H71" s="28" t="s">
        <v>65</v>
      </c>
      <c r="I71" s="28"/>
      <c r="J71" s="28" t="s">
        <v>67</v>
      </c>
      <c r="K71" s="29" t="s">
        <v>67</v>
      </c>
      <c r="L71" s="29" t="str">
        <f t="shared" si="1"/>
        <v>KAMPALA-APAC</v>
      </c>
      <c r="M71" s="30">
        <v>42</v>
      </c>
      <c r="N71" s="37">
        <v>20000</v>
      </c>
      <c r="O71" s="36">
        <v>4.5</v>
      </c>
    </row>
    <row r="72" spans="2:15" s="19" customFormat="1" x14ac:dyDescent="0.2">
      <c r="B72" s="59">
        <v>0.75</v>
      </c>
      <c r="C72" s="27">
        <v>6</v>
      </c>
      <c r="D72" s="35" t="str">
        <f>IF(C72="", "",VLOOKUP(C72,Key!$A$5:$B$7,2,FALSE))</f>
        <v>Large Bus</v>
      </c>
      <c r="E72" s="27"/>
      <c r="F72" s="27" t="s">
        <v>63</v>
      </c>
      <c r="G72" s="28" t="s">
        <v>65</v>
      </c>
      <c r="H72" s="28" t="s">
        <v>65</v>
      </c>
      <c r="I72" s="28"/>
      <c r="J72" s="28" t="s">
        <v>66</v>
      </c>
      <c r="K72" s="29" t="s">
        <v>66</v>
      </c>
      <c r="L72" s="29" t="str">
        <f t="shared" si="1"/>
        <v>KAMPALA-LIRA</v>
      </c>
      <c r="M72" s="30">
        <v>42</v>
      </c>
      <c r="N72" s="37">
        <v>25000</v>
      </c>
      <c r="O72" s="36">
        <v>5</v>
      </c>
    </row>
    <row r="73" spans="2:15" s="19" customFormat="1" x14ac:dyDescent="0.2">
      <c r="B73" s="59">
        <v>0.79166666666666663</v>
      </c>
      <c r="C73" s="27">
        <v>6</v>
      </c>
      <c r="D73" s="35" t="str">
        <f>IF(C73="", "",VLOOKUP(C73,Key!$A$5:$B$7,2,FALSE))</f>
        <v>Large Bus</v>
      </c>
      <c r="E73" s="27"/>
      <c r="F73" s="27" t="s">
        <v>63</v>
      </c>
      <c r="G73" s="28" t="s">
        <v>66</v>
      </c>
      <c r="H73" s="28" t="s">
        <v>66</v>
      </c>
      <c r="I73" s="28"/>
      <c r="J73" s="28" t="s">
        <v>65</v>
      </c>
      <c r="K73" s="29" t="s">
        <v>65</v>
      </c>
      <c r="L73" s="29" t="str">
        <f t="shared" ref="L73:L104" si="2">H73&amp;"-"&amp;K73</f>
        <v>LIRA-KAMPALA</v>
      </c>
      <c r="M73" s="30">
        <v>42</v>
      </c>
      <c r="N73" s="37">
        <v>25000</v>
      </c>
      <c r="O73" s="36">
        <v>5</v>
      </c>
    </row>
    <row r="74" spans="2:15" s="19" customFormat="1" x14ac:dyDescent="0.2">
      <c r="B74" s="59">
        <v>0.58611111111111114</v>
      </c>
      <c r="C74" s="27">
        <v>6</v>
      </c>
      <c r="D74" s="35" t="str">
        <f>IF(C74="", "",VLOOKUP(C74,Key!$A$5:$B$7,2,FALSE))</f>
        <v>Large Bus</v>
      </c>
      <c r="E74" s="27"/>
      <c r="F74" s="27" t="s">
        <v>64</v>
      </c>
      <c r="G74" s="28" t="s">
        <v>66</v>
      </c>
      <c r="H74" s="28" t="s">
        <v>66</v>
      </c>
      <c r="I74" s="28"/>
      <c r="J74" s="28" t="s">
        <v>65</v>
      </c>
      <c r="K74" s="29" t="s">
        <v>65</v>
      </c>
      <c r="L74" s="29" t="str">
        <f t="shared" si="2"/>
        <v>LIRA-KAMPALA</v>
      </c>
      <c r="M74" s="30">
        <v>42</v>
      </c>
      <c r="N74" s="37">
        <v>25000</v>
      </c>
      <c r="O74" s="36">
        <v>5</v>
      </c>
    </row>
    <row r="75" spans="2:15" s="19" customFormat="1" x14ac:dyDescent="0.2">
      <c r="B75" s="59">
        <v>0.625</v>
      </c>
      <c r="C75" s="27">
        <v>6</v>
      </c>
      <c r="D75" s="35" t="str">
        <f>IF(C75="", "",VLOOKUP(C75,Key!$A$5:$B$7,2,FALSE))</f>
        <v>Large Bus</v>
      </c>
      <c r="E75" s="27"/>
      <c r="F75" s="27" t="s">
        <v>63</v>
      </c>
      <c r="G75" s="28" t="s">
        <v>65</v>
      </c>
      <c r="H75" s="28" t="s">
        <v>65</v>
      </c>
      <c r="I75" s="28"/>
      <c r="J75" s="28" t="s">
        <v>66</v>
      </c>
      <c r="K75" s="29" t="s">
        <v>66</v>
      </c>
      <c r="L75" s="29" t="str">
        <f t="shared" si="2"/>
        <v>KAMPALA-LIRA</v>
      </c>
      <c r="M75" s="30">
        <v>42</v>
      </c>
      <c r="N75" s="37">
        <v>25000</v>
      </c>
      <c r="O75" s="36">
        <v>5</v>
      </c>
    </row>
    <row r="76" spans="2:15" s="19" customFormat="1" x14ac:dyDescent="0.2">
      <c r="B76" s="59">
        <v>0.68472222222222223</v>
      </c>
      <c r="C76" s="27">
        <v>6</v>
      </c>
      <c r="D76" s="35" t="str">
        <f>IF(C76="", "",VLOOKUP(C76,Key!$A$5:$B$7,2,FALSE))</f>
        <v>Large Bus</v>
      </c>
      <c r="E76" s="27"/>
      <c r="F76" s="27" t="s">
        <v>64</v>
      </c>
      <c r="G76" s="28" t="s">
        <v>67</v>
      </c>
      <c r="H76" s="28" t="s">
        <v>67</v>
      </c>
      <c r="I76" s="28"/>
      <c r="J76" s="28" t="s">
        <v>65</v>
      </c>
      <c r="K76" s="29" t="s">
        <v>65</v>
      </c>
      <c r="L76" s="29" t="str">
        <f t="shared" si="2"/>
        <v>APAC-KAMPALA</v>
      </c>
      <c r="M76" s="30">
        <v>28</v>
      </c>
      <c r="N76" s="37">
        <v>20000</v>
      </c>
      <c r="O76" s="36">
        <v>4.25</v>
      </c>
    </row>
    <row r="77" spans="2:15" s="19" customFormat="1" x14ac:dyDescent="0.2">
      <c r="B77" s="59">
        <v>0.72916666666666663</v>
      </c>
      <c r="C77" s="27">
        <v>6</v>
      </c>
      <c r="D77" s="35" t="str">
        <f>IF(C77="", "",VLOOKUP(C77,Key!$A$5:$B$7,2,FALSE))</f>
        <v>Large Bus</v>
      </c>
      <c r="E77" s="27"/>
      <c r="F77" s="27" t="s">
        <v>64</v>
      </c>
      <c r="G77" s="28" t="s">
        <v>66</v>
      </c>
      <c r="H77" s="28" t="s">
        <v>66</v>
      </c>
      <c r="I77" s="28"/>
      <c r="J77" s="28" t="s">
        <v>65</v>
      </c>
      <c r="K77" s="29" t="s">
        <v>65</v>
      </c>
      <c r="L77" s="29" t="str">
        <f t="shared" si="2"/>
        <v>LIRA-KAMPALA</v>
      </c>
      <c r="M77" s="30">
        <v>42</v>
      </c>
      <c r="N77" s="37">
        <v>25000</v>
      </c>
      <c r="O77" s="36">
        <v>5</v>
      </c>
    </row>
    <row r="78" spans="2:15" s="19" customFormat="1" x14ac:dyDescent="0.2">
      <c r="B78" s="59">
        <v>0.73333333333333339</v>
      </c>
      <c r="C78" s="27">
        <v>6</v>
      </c>
      <c r="D78" s="35" t="str">
        <f>IF(C78="", "",VLOOKUP(C78,Key!$A$5:$B$7,2,FALSE))</f>
        <v>Large Bus</v>
      </c>
      <c r="E78" s="27"/>
      <c r="F78" s="27" t="s">
        <v>63</v>
      </c>
      <c r="G78" s="28" t="s">
        <v>65</v>
      </c>
      <c r="H78" s="28" t="s">
        <v>65</v>
      </c>
      <c r="I78" s="28"/>
      <c r="J78" s="28" t="s">
        <v>67</v>
      </c>
      <c r="K78" s="29" t="s">
        <v>67</v>
      </c>
      <c r="L78" s="29" t="str">
        <f t="shared" si="2"/>
        <v>KAMPALA-APAC</v>
      </c>
      <c r="M78" s="30">
        <v>46</v>
      </c>
      <c r="N78" s="37">
        <v>20000</v>
      </c>
      <c r="O78" s="36">
        <v>4.5</v>
      </c>
    </row>
    <row r="79" spans="2:15" s="19" customFormat="1" x14ac:dyDescent="0.2">
      <c r="B79" s="59">
        <v>0.23541666666666669</v>
      </c>
      <c r="C79" s="27">
        <v>6</v>
      </c>
      <c r="D79" s="35" t="str">
        <f>IF(C79="", "",VLOOKUP(C79,Key!$A$5:$B$7,2,FALSE))</f>
        <v>Large Bus</v>
      </c>
      <c r="E79" s="27"/>
      <c r="F79" s="27" t="s">
        <v>64</v>
      </c>
      <c r="G79" s="28" t="s">
        <v>67</v>
      </c>
      <c r="H79" s="28" t="s">
        <v>67</v>
      </c>
      <c r="I79" s="28"/>
      <c r="J79" s="28" t="s">
        <v>65</v>
      </c>
      <c r="K79" s="29" t="s">
        <v>65</v>
      </c>
      <c r="L79" s="29" t="str">
        <f t="shared" si="2"/>
        <v>APAC-KAMPALA</v>
      </c>
      <c r="M79" s="30">
        <v>46</v>
      </c>
      <c r="N79" s="37">
        <v>20000</v>
      </c>
      <c r="O79" s="36">
        <v>4.25</v>
      </c>
    </row>
    <row r="80" spans="2:15" s="19" customFormat="1" x14ac:dyDescent="0.2">
      <c r="B80" s="59">
        <v>0.25</v>
      </c>
      <c r="C80" s="27">
        <v>6</v>
      </c>
      <c r="D80" s="35" t="str">
        <f>IF(C80="", "",VLOOKUP(C80,Key!$A$5:$B$7,2,FALSE))</f>
        <v>Large Bus</v>
      </c>
      <c r="E80" s="27"/>
      <c r="F80" s="27" t="s">
        <v>63</v>
      </c>
      <c r="G80" s="28" t="s">
        <v>65</v>
      </c>
      <c r="H80" s="28" t="s">
        <v>65</v>
      </c>
      <c r="I80" s="28"/>
      <c r="J80" s="28" t="s">
        <v>66</v>
      </c>
      <c r="K80" s="29" t="s">
        <v>66</v>
      </c>
      <c r="L80" s="29" t="str">
        <f t="shared" si="2"/>
        <v>KAMPALA-LIRA</v>
      </c>
      <c r="M80" s="30">
        <v>46</v>
      </c>
      <c r="N80" s="37">
        <v>25000</v>
      </c>
      <c r="O80" s="36">
        <v>5</v>
      </c>
    </row>
    <row r="81" spans="2:15" s="19" customFormat="1" x14ac:dyDescent="0.2">
      <c r="B81" s="59">
        <v>0.25</v>
      </c>
      <c r="C81" s="27">
        <v>6</v>
      </c>
      <c r="D81" s="35" t="str">
        <f>IF(C81="", "",VLOOKUP(C81,Key!$A$5:$B$7,2,FALSE))</f>
        <v>Large Bus</v>
      </c>
      <c r="E81" s="27"/>
      <c r="F81" s="27" t="s">
        <v>63</v>
      </c>
      <c r="G81" s="28" t="s">
        <v>65</v>
      </c>
      <c r="H81" s="28" t="s">
        <v>65</v>
      </c>
      <c r="I81" s="28"/>
      <c r="J81" s="28" t="s">
        <v>66</v>
      </c>
      <c r="K81" s="29" t="s">
        <v>66</v>
      </c>
      <c r="L81" s="29" t="str">
        <f t="shared" si="2"/>
        <v>KAMPALA-LIRA</v>
      </c>
      <c r="M81" s="30">
        <v>46</v>
      </c>
      <c r="N81" s="37">
        <v>25000</v>
      </c>
      <c r="O81" s="36">
        <v>5</v>
      </c>
    </row>
    <row r="82" spans="2:15" s="19" customFormat="1" x14ac:dyDescent="0.2">
      <c r="B82" s="59">
        <v>0.27083333333333331</v>
      </c>
      <c r="C82" s="27">
        <v>6</v>
      </c>
      <c r="D82" s="35" t="str">
        <f>IF(C82="", "",VLOOKUP(C82,Key!$A$5:$B$7,2,FALSE))</f>
        <v>Large Bus</v>
      </c>
      <c r="E82" s="27"/>
      <c r="F82" s="27" t="s">
        <v>64</v>
      </c>
      <c r="G82" s="28" t="s">
        <v>66</v>
      </c>
      <c r="H82" s="28" t="s">
        <v>66</v>
      </c>
      <c r="I82" s="28"/>
      <c r="J82" s="28" t="s">
        <v>65</v>
      </c>
      <c r="K82" s="29" t="s">
        <v>65</v>
      </c>
      <c r="L82" s="29" t="str">
        <f t="shared" si="2"/>
        <v>LIRA-KAMPALA</v>
      </c>
      <c r="M82" s="30">
        <v>46</v>
      </c>
      <c r="N82" s="37">
        <v>25000</v>
      </c>
      <c r="O82" s="36">
        <v>5</v>
      </c>
    </row>
    <row r="83" spans="2:15" s="19" customFormat="1" x14ac:dyDescent="0.2">
      <c r="B83" s="59">
        <v>0.29166666666666669</v>
      </c>
      <c r="C83" s="27">
        <v>6</v>
      </c>
      <c r="D83" s="35" t="str">
        <f>IF(C83="", "",VLOOKUP(C83,Key!$A$5:$B$7,2,FALSE))</f>
        <v>Large Bus</v>
      </c>
      <c r="E83" s="27"/>
      <c r="F83" s="27" t="s">
        <v>63</v>
      </c>
      <c r="G83" s="28" t="s">
        <v>65</v>
      </c>
      <c r="H83" s="28" t="s">
        <v>65</v>
      </c>
      <c r="I83" s="28"/>
      <c r="J83" s="28" t="s">
        <v>67</v>
      </c>
      <c r="K83" s="29" t="s">
        <v>67</v>
      </c>
      <c r="L83" s="29" t="str">
        <f t="shared" si="2"/>
        <v>KAMPALA-APAC</v>
      </c>
      <c r="M83" s="30">
        <v>46</v>
      </c>
      <c r="N83" s="37">
        <v>20000</v>
      </c>
      <c r="O83" s="36">
        <v>4.5</v>
      </c>
    </row>
    <row r="84" spans="2:15" s="19" customFormat="1" x14ac:dyDescent="0.2">
      <c r="B84" s="59">
        <v>0.8041666666666667</v>
      </c>
      <c r="C84" s="27">
        <v>6</v>
      </c>
      <c r="D84" s="35" t="str">
        <f>IF(C84="", "",VLOOKUP(C84,Key!$A$5:$B$7,2,FALSE))</f>
        <v>Large Bus</v>
      </c>
      <c r="E84" s="27"/>
      <c r="F84" s="27" t="s">
        <v>63</v>
      </c>
      <c r="G84" s="28" t="s">
        <v>65</v>
      </c>
      <c r="H84" s="28" t="s">
        <v>65</v>
      </c>
      <c r="I84" s="28"/>
      <c r="J84" s="28" t="s">
        <v>66</v>
      </c>
      <c r="K84" s="29" t="s">
        <v>66</v>
      </c>
      <c r="L84" s="29" t="str">
        <f t="shared" si="2"/>
        <v>KAMPALA-LIRA</v>
      </c>
      <c r="M84" s="30">
        <v>46</v>
      </c>
      <c r="N84" s="37">
        <v>25000</v>
      </c>
      <c r="O84" s="36">
        <v>5</v>
      </c>
    </row>
    <row r="85" spans="2:15" s="19" customFormat="1" x14ac:dyDescent="0.2">
      <c r="B85" s="59">
        <v>0.33333333333333331</v>
      </c>
      <c r="C85" s="27">
        <v>6</v>
      </c>
      <c r="D85" s="35" t="str">
        <f>IF(C85="", "",VLOOKUP(C85,Key!$A$5:$B$7,2,FALSE))</f>
        <v>Large Bus</v>
      </c>
      <c r="E85" s="27"/>
      <c r="F85" s="27" t="s">
        <v>64</v>
      </c>
      <c r="G85" s="28" t="s">
        <v>66</v>
      </c>
      <c r="H85" s="28" t="s">
        <v>66</v>
      </c>
      <c r="I85" s="28"/>
      <c r="J85" s="28" t="s">
        <v>65</v>
      </c>
      <c r="K85" s="29" t="s">
        <v>65</v>
      </c>
      <c r="L85" s="29" t="str">
        <f t="shared" si="2"/>
        <v>LIRA-KAMPALA</v>
      </c>
      <c r="M85" s="30">
        <v>50</v>
      </c>
      <c r="N85" s="37">
        <v>25000</v>
      </c>
      <c r="O85" s="36">
        <v>5</v>
      </c>
    </row>
    <row r="86" spans="2:15" s="19" customFormat="1" x14ac:dyDescent="0.2">
      <c r="B86" s="59">
        <v>0.35347222222222219</v>
      </c>
      <c r="C86" s="27">
        <v>6</v>
      </c>
      <c r="D86" s="35" t="str">
        <f>IF(C86="", "",VLOOKUP(C86,Key!$A$5:$B$7,2,FALSE))</f>
        <v>Large Bus</v>
      </c>
      <c r="E86" s="27"/>
      <c r="F86" s="27" t="s">
        <v>64</v>
      </c>
      <c r="G86" s="28" t="s">
        <v>66</v>
      </c>
      <c r="H86" s="28" t="s">
        <v>66</v>
      </c>
      <c r="I86" s="28"/>
      <c r="J86" s="28" t="s">
        <v>65</v>
      </c>
      <c r="K86" s="29" t="s">
        <v>65</v>
      </c>
      <c r="L86" s="29" t="str">
        <f t="shared" si="2"/>
        <v>LIRA-KAMPALA</v>
      </c>
      <c r="M86" s="30">
        <v>50</v>
      </c>
      <c r="N86" s="37">
        <v>25000</v>
      </c>
      <c r="O86" s="36">
        <v>5</v>
      </c>
    </row>
    <row r="87" spans="2:15" s="19" customFormat="1" x14ac:dyDescent="0.2">
      <c r="B87" s="59">
        <v>0.36458333333333331</v>
      </c>
      <c r="C87" s="27">
        <v>6</v>
      </c>
      <c r="D87" s="35" t="str">
        <f>IF(C87="", "",VLOOKUP(C87,Key!$A$5:$B$7,2,FALSE))</f>
        <v>Large Bus</v>
      </c>
      <c r="E87" s="27"/>
      <c r="F87" s="27" t="s">
        <v>63</v>
      </c>
      <c r="G87" s="28" t="s">
        <v>67</v>
      </c>
      <c r="H87" s="28" t="s">
        <v>67</v>
      </c>
      <c r="I87" s="28"/>
      <c r="J87" s="28" t="s">
        <v>65</v>
      </c>
      <c r="K87" s="29" t="s">
        <v>65</v>
      </c>
      <c r="L87" s="29" t="str">
        <f t="shared" si="2"/>
        <v>APAC-KAMPALA</v>
      </c>
      <c r="M87" s="30">
        <v>50</v>
      </c>
      <c r="N87" s="37">
        <v>20000</v>
      </c>
      <c r="O87" s="36">
        <v>4.25</v>
      </c>
    </row>
    <row r="88" spans="2:15" s="19" customFormat="1" x14ac:dyDescent="0.2">
      <c r="B88" s="59">
        <v>0.375</v>
      </c>
      <c r="C88" s="27">
        <v>6</v>
      </c>
      <c r="D88" s="35" t="str">
        <f>IF(C88="", "",VLOOKUP(C88,Key!$A$5:$B$7,2,FALSE))</f>
        <v>Large Bus</v>
      </c>
      <c r="E88" s="27"/>
      <c r="F88" s="27" t="s">
        <v>63</v>
      </c>
      <c r="G88" s="28" t="s">
        <v>65</v>
      </c>
      <c r="H88" s="28" t="s">
        <v>65</v>
      </c>
      <c r="I88" s="28"/>
      <c r="J88" s="28" t="s">
        <v>66</v>
      </c>
      <c r="K88" s="29" t="s">
        <v>66</v>
      </c>
      <c r="L88" s="29" t="str">
        <f t="shared" si="2"/>
        <v>KAMPALA-LIRA</v>
      </c>
      <c r="M88" s="30">
        <v>50</v>
      </c>
      <c r="N88" s="37">
        <v>25000</v>
      </c>
      <c r="O88" s="36">
        <v>5</v>
      </c>
    </row>
    <row r="89" spans="2:15" s="19" customFormat="1" x14ac:dyDescent="0.2">
      <c r="B89" s="59">
        <v>0.39166666666666666</v>
      </c>
      <c r="C89" s="27">
        <v>6</v>
      </c>
      <c r="D89" s="35" t="str">
        <f>IF(C89="", "",VLOOKUP(C89,Key!$A$5:$B$7,2,FALSE))</f>
        <v>Large Bus</v>
      </c>
      <c r="E89" s="27"/>
      <c r="F89" s="27" t="s">
        <v>63</v>
      </c>
      <c r="G89" s="28" t="s">
        <v>69</v>
      </c>
      <c r="H89" s="28" t="s">
        <v>69</v>
      </c>
      <c r="I89" s="28"/>
      <c r="J89" s="28" t="s">
        <v>70</v>
      </c>
      <c r="K89" s="29" t="s">
        <v>70</v>
      </c>
      <c r="L89" s="29" t="str">
        <f t="shared" si="2"/>
        <v>GULU-BUSIA</v>
      </c>
      <c r="M89" s="30">
        <v>50</v>
      </c>
      <c r="N89" s="37">
        <v>27000</v>
      </c>
      <c r="O89" s="36">
        <v>6.5</v>
      </c>
    </row>
    <row r="90" spans="2:15" s="19" customFormat="1" x14ac:dyDescent="0.2">
      <c r="B90" s="59">
        <v>0.39374999999999999</v>
      </c>
      <c r="C90" s="27">
        <v>6</v>
      </c>
      <c r="D90" s="35" t="str">
        <f>IF(C90="", "",VLOOKUP(C90,Key!$A$5:$B$7,2,FALSE))</f>
        <v>Large Bus</v>
      </c>
      <c r="E90" s="27"/>
      <c r="F90" s="27" t="s">
        <v>64</v>
      </c>
      <c r="G90" s="28" t="s">
        <v>69</v>
      </c>
      <c r="H90" s="28" t="s">
        <v>69</v>
      </c>
      <c r="I90" s="28"/>
      <c r="J90" s="28" t="s">
        <v>70</v>
      </c>
      <c r="K90" s="29" t="s">
        <v>70</v>
      </c>
      <c r="L90" s="29" t="str">
        <f t="shared" si="2"/>
        <v>GULU-BUSIA</v>
      </c>
      <c r="M90" s="30">
        <v>50</v>
      </c>
      <c r="N90" s="37">
        <v>27000</v>
      </c>
      <c r="O90" s="36">
        <v>6.5</v>
      </c>
    </row>
    <row r="91" spans="2:15" s="19" customFormat="1" x14ac:dyDescent="0.2">
      <c r="B91" s="59">
        <v>0.39652777777777781</v>
      </c>
      <c r="C91" s="27">
        <v>6</v>
      </c>
      <c r="D91" s="35" t="str">
        <f>IF(C91="", "",VLOOKUP(C91,Key!$A$5:$B$7,2,FALSE))</f>
        <v>Large Bus</v>
      </c>
      <c r="E91" s="27"/>
      <c r="F91" s="27" t="s">
        <v>64</v>
      </c>
      <c r="G91" s="28" t="s">
        <v>67</v>
      </c>
      <c r="H91" s="28" t="s">
        <v>67</v>
      </c>
      <c r="I91" s="28"/>
      <c r="J91" s="28" t="s">
        <v>65</v>
      </c>
      <c r="K91" s="29" t="s">
        <v>65</v>
      </c>
      <c r="L91" s="29" t="str">
        <f t="shared" si="2"/>
        <v>APAC-KAMPALA</v>
      </c>
      <c r="M91" s="30">
        <v>50</v>
      </c>
      <c r="N91" s="37">
        <v>20000</v>
      </c>
      <c r="O91" s="36">
        <v>4.25</v>
      </c>
    </row>
    <row r="92" spans="2:15" s="19" customFormat="1" x14ac:dyDescent="0.2">
      <c r="B92" s="59">
        <v>0.3972222222222222</v>
      </c>
      <c r="C92" s="27">
        <v>6</v>
      </c>
      <c r="D92" s="35" t="str">
        <f>IF(C92="", "",VLOOKUP(C92,Key!$A$5:$B$7,2,FALSE))</f>
        <v>Large Bus</v>
      </c>
      <c r="E92" s="27"/>
      <c r="F92" s="27" t="s">
        <v>63</v>
      </c>
      <c r="G92" s="28" t="s">
        <v>65</v>
      </c>
      <c r="H92" s="28" t="s">
        <v>65</v>
      </c>
      <c r="I92" s="28"/>
      <c r="J92" s="28" t="s">
        <v>66</v>
      </c>
      <c r="K92" s="29" t="s">
        <v>66</v>
      </c>
      <c r="L92" s="29" t="str">
        <f t="shared" si="2"/>
        <v>KAMPALA-LIRA</v>
      </c>
      <c r="M92" s="30">
        <v>50</v>
      </c>
      <c r="N92" s="37">
        <v>25000</v>
      </c>
      <c r="O92" s="36">
        <v>5</v>
      </c>
    </row>
    <row r="93" spans="2:15" s="19" customFormat="1" x14ac:dyDescent="0.2">
      <c r="B93" s="59">
        <v>0.39999999999999997</v>
      </c>
      <c r="C93" s="27">
        <v>6</v>
      </c>
      <c r="D93" s="35" t="str">
        <f>IF(C93="", "",VLOOKUP(C93,Key!$A$5:$B$7,2,FALSE))</f>
        <v>Large Bus</v>
      </c>
      <c r="E93" s="27"/>
      <c r="F93" s="27" t="s">
        <v>64</v>
      </c>
      <c r="G93" s="28" t="s">
        <v>66</v>
      </c>
      <c r="H93" s="28" t="s">
        <v>66</v>
      </c>
      <c r="I93" s="28"/>
      <c r="J93" s="28" t="s">
        <v>65</v>
      </c>
      <c r="K93" s="29" t="s">
        <v>65</v>
      </c>
      <c r="L93" s="29" t="str">
        <f t="shared" si="2"/>
        <v>LIRA-KAMPALA</v>
      </c>
      <c r="M93" s="30">
        <v>50</v>
      </c>
      <c r="N93" s="37">
        <v>25000</v>
      </c>
      <c r="O93" s="36">
        <v>5</v>
      </c>
    </row>
    <row r="94" spans="2:15" s="19" customFormat="1" x14ac:dyDescent="0.2">
      <c r="B94" s="59">
        <v>0.40277777777777801</v>
      </c>
      <c r="C94" s="27">
        <v>6</v>
      </c>
      <c r="D94" s="35" t="str">
        <f>IF(C94="", "",VLOOKUP(C94,Key!$A$5:$B$7,2,FALSE))</f>
        <v>Large Bus</v>
      </c>
      <c r="E94" s="27"/>
      <c r="F94" s="27" t="s">
        <v>64</v>
      </c>
      <c r="G94" s="28" t="s">
        <v>66</v>
      </c>
      <c r="H94" s="28" t="s">
        <v>66</v>
      </c>
      <c r="I94" s="28"/>
      <c r="J94" s="28" t="s">
        <v>65</v>
      </c>
      <c r="K94" s="29" t="s">
        <v>65</v>
      </c>
      <c r="L94" s="29" t="str">
        <f t="shared" si="2"/>
        <v>LIRA-KAMPALA</v>
      </c>
      <c r="M94" s="30">
        <v>45</v>
      </c>
      <c r="N94" s="37">
        <v>25000</v>
      </c>
      <c r="O94" s="36">
        <v>5</v>
      </c>
    </row>
    <row r="95" spans="2:15" s="19" customFormat="1" x14ac:dyDescent="0.2">
      <c r="B95" s="48">
        <v>43699</v>
      </c>
      <c r="C95" s="27"/>
      <c r="D95" s="35"/>
      <c r="E95" s="27"/>
      <c r="F95" s="27"/>
      <c r="G95" s="28"/>
      <c r="H95" s="28"/>
      <c r="I95" s="28"/>
      <c r="J95" s="28"/>
      <c r="K95" s="37"/>
      <c r="L95" s="37"/>
      <c r="M95" s="37"/>
      <c r="N95" s="37"/>
      <c r="O95" s="36"/>
    </row>
    <row r="96" spans="2:15" s="19" customFormat="1" x14ac:dyDescent="0.2">
      <c r="B96" s="59">
        <v>0.1875</v>
      </c>
      <c r="C96" s="27">
        <v>6</v>
      </c>
      <c r="D96" s="35" t="str">
        <f>IF(C96="", "",VLOOKUP(C96,Key!$A$5:$B$7,2,FALSE))</f>
        <v>Large Bus</v>
      </c>
      <c r="E96" s="27"/>
      <c r="F96" s="27" t="s">
        <v>63</v>
      </c>
      <c r="G96" s="28" t="s">
        <v>67</v>
      </c>
      <c r="H96" s="28" t="s">
        <v>67</v>
      </c>
      <c r="I96" s="28"/>
      <c r="J96" s="28" t="s">
        <v>65</v>
      </c>
      <c r="K96" s="29" t="s">
        <v>65</v>
      </c>
      <c r="L96" s="29" t="str">
        <f t="shared" ref="L96:L127" si="3">H96&amp;"-"&amp;K96</f>
        <v>APAC-KAMPALA</v>
      </c>
      <c r="M96" s="30">
        <v>45</v>
      </c>
      <c r="N96" s="37">
        <v>20000</v>
      </c>
      <c r="O96" s="36">
        <v>4.25</v>
      </c>
    </row>
    <row r="97" spans="2:15" s="19" customFormat="1" x14ac:dyDescent="0.2">
      <c r="B97" s="59">
        <v>0.29166666666666669</v>
      </c>
      <c r="C97" s="27">
        <v>6</v>
      </c>
      <c r="D97" s="35" t="str">
        <f>IF(C97="", "",VLOOKUP(C97,Key!$A$5:$B$7,2,FALSE))</f>
        <v>Large Bus</v>
      </c>
      <c r="E97" s="27"/>
      <c r="F97" s="27" t="s">
        <v>63</v>
      </c>
      <c r="G97" s="28" t="s">
        <v>65</v>
      </c>
      <c r="H97" s="28" t="s">
        <v>65</v>
      </c>
      <c r="I97" s="28"/>
      <c r="J97" s="28" t="s">
        <v>66</v>
      </c>
      <c r="K97" s="29" t="s">
        <v>66</v>
      </c>
      <c r="L97" s="29" t="str">
        <f t="shared" si="3"/>
        <v>KAMPALA-LIRA</v>
      </c>
      <c r="M97" s="30">
        <v>45</v>
      </c>
      <c r="N97" s="37">
        <v>25000</v>
      </c>
      <c r="O97" s="36">
        <v>5</v>
      </c>
    </row>
    <row r="98" spans="2:15" s="19" customFormat="1" x14ac:dyDescent="0.2">
      <c r="B98" s="59">
        <v>0.33333333333333331</v>
      </c>
      <c r="C98" s="27">
        <v>6</v>
      </c>
      <c r="D98" s="35" t="str">
        <f>IF(C98="", "",VLOOKUP(C98,Key!$A$5:$B$7,2,FALSE))</f>
        <v>Large Bus</v>
      </c>
      <c r="E98" s="27"/>
      <c r="F98" s="27" t="s">
        <v>64</v>
      </c>
      <c r="G98" s="28" t="s">
        <v>66</v>
      </c>
      <c r="H98" s="28" t="s">
        <v>66</v>
      </c>
      <c r="I98" s="28"/>
      <c r="J98" s="28" t="s">
        <v>65</v>
      </c>
      <c r="K98" s="29" t="s">
        <v>65</v>
      </c>
      <c r="L98" s="29" t="str">
        <f t="shared" si="3"/>
        <v>LIRA-KAMPALA</v>
      </c>
      <c r="M98" s="30">
        <v>45</v>
      </c>
      <c r="N98" s="37">
        <v>25000</v>
      </c>
      <c r="O98" s="36">
        <v>5</v>
      </c>
    </row>
    <row r="99" spans="2:15" s="19" customFormat="1" x14ac:dyDescent="0.2">
      <c r="B99" s="59">
        <v>0.33333333333333331</v>
      </c>
      <c r="C99" s="27">
        <v>6</v>
      </c>
      <c r="D99" s="35" t="str">
        <f>IF(C99="", "",VLOOKUP(C99,Key!$A$5:$B$7,2,FALSE))</f>
        <v>Large Bus</v>
      </c>
      <c r="E99" s="27"/>
      <c r="F99" s="27" t="s">
        <v>63</v>
      </c>
      <c r="G99" s="28" t="s">
        <v>67</v>
      </c>
      <c r="H99" s="28" t="s">
        <v>67</v>
      </c>
      <c r="I99" s="28"/>
      <c r="J99" s="28" t="s">
        <v>65</v>
      </c>
      <c r="K99" s="29" t="s">
        <v>65</v>
      </c>
      <c r="L99" s="29" t="str">
        <f t="shared" si="3"/>
        <v>APAC-KAMPALA</v>
      </c>
      <c r="M99" s="30">
        <v>45</v>
      </c>
      <c r="N99" s="37">
        <v>20000</v>
      </c>
      <c r="O99" s="36">
        <v>4.25</v>
      </c>
    </row>
    <row r="100" spans="2:15" s="19" customFormat="1" x14ac:dyDescent="0.2">
      <c r="B100" s="59">
        <v>0.375</v>
      </c>
      <c r="C100" s="27">
        <v>6</v>
      </c>
      <c r="D100" s="35" t="str">
        <f>IF(C100="", "",VLOOKUP(C100,Key!$A$5:$B$7,2,FALSE))</f>
        <v>Large Bus</v>
      </c>
      <c r="E100" s="27"/>
      <c r="F100" s="27" t="s">
        <v>64</v>
      </c>
      <c r="G100" s="28" t="s">
        <v>66</v>
      </c>
      <c r="H100" s="28" t="s">
        <v>66</v>
      </c>
      <c r="I100" s="28"/>
      <c r="J100" s="28" t="s">
        <v>70</v>
      </c>
      <c r="K100" s="29" t="s">
        <v>70</v>
      </c>
      <c r="L100" s="29" t="str">
        <f t="shared" si="3"/>
        <v>LIRA-BUSIA</v>
      </c>
      <c r="M100" s="30">
        <v>64</v>
      </c>
      <c r="N100" s="37">
        <v>25000</v>
      </c>
      <c r="O100" s="36">
        <v>5.5</v>
      </c>
    </row>
    <row r="101" spans="2:15" s="19" customFormat="1" x14ac:dyDescent="0.2">
      <c r="B101" s="59">
        <v>0.41666666666666669</v>
      </c>
      <c r="C101" s="27">
        <v>6</v>
      </c>
      <c r="D101" s="35" t="str">
        <f>IF(C101="", "",VLOOKUP(C101,Key!$A$5:$B$7,2,FALSE))</f>
        <v>Large Bus</v>
      </c>
      <c r="E101" s="27"/>
      <c r="F101" s="27" t="s">
        <v>64</v>
      </c>
      <c r="G101" s="28" t="s">
        <v>66</v>
      </c>
      <c r="H101" s="28" t="s">
        <v>66</v>
      </c>
      <c r="I101" s="28"/>
      <c r="J101" s="28" t="s">
        <v>65</v>
      </c>
      <c r="K101" s="29" t="s">
        <v>65</v>
      </c>
      <c r="L101" s="29" t="str">
        <f t="shared" si="3"/>
        <v>LIRA-KAMPALA</v>
      </c>
      <c r="M101" s="30">
        <v>50</v>
      </c>
      <c r="N101" s="37">
        <v>25000</v>
      </c>
      <c r="O101" s="36">
        <v>5</v>
      </c>
    </row>
    <row r="102" spans="2:15" s="19" customFormat="1" x14ac:dyDescent="0.2">
      <c r="B102" s="59">
        <v>0.44791666666666669</v>
      </c>
      <c r="C102" s="27">
        <v>6</v>
      </c>
      <c r="D102" s="35" t="str">
        <f>IF(C102="", "",VLOOKUP(C102,Key!$A$5:$B$7,2,FALSE))</f>
        <v>Large Bus</v>
      </c>
      <c r="E102" s="27"/>
      <c r="F102" s="27" t="s">
        <v>64</v>
      </c>
      <c r="G102" s="28" t="s">
        <v>66</v>
      </c>
      <c r="H102" s="28" t="s">
        <v>66</v>
      </c>
      <c r="I102" s="28"/>
      <c r="J102" s="28" t="s">
        <v>65</v>
      </c>
      <c r="K102" s="29" t="s">
        <v>65</v>
      </c>
      <c r="L102" s="29" t="str">
        <f t="shared" si="3"/>
        <v>LIRA-KAMPALA</v>
      </c>
      <c r="M102" s="30">
        <v>65</v>
      </c>
      <c r="N102" s="37">
        <v>25000</v>
      </c>
      <c r="O102" s="36">
        <v>5</v>
      </c>
    </row>
    <row r="103" spans="2:15" s="19" customFormat="1" x14ac:dyDescent="0.2">
      <c r="B103" s="59">
        <v>0.47916666666666669</v>
      </c>
      <c r="C103" s="27">
        <v>6</v>
      </c>
      <c r="D103" s="35" t="str">
        <f>IF(C103="", "",VLOOKUP(C103,Key!$A$5:$B$7,2,FALSE))</f>
        <v>Large Bus</v>
      </c>
      <c r="E103" s="27"/>
      <c r="F103" s="27" t="s">
        <v>64</v>
      </c>
      <c r="G103" s="28" t="s">
        <v>66</v>
      </c>
      <c r="H103" s="28" t="s">
        <v>66</v>
      </c>
      <c r="I103" s="28"/>
      <c r="J103" s="28" t="s">
        <v>65</v>
      </c>
      <c r="K103" s="29" t="s">
        <v>65</v>
      </c>
      <c r="L103" s="29" t="str">
        <f t="shared" si="3"/>
        <v>LIRA-KAMPALA</v>
      </c>
      <c r="M103" s="30">
        <v>65</v>
      </c>
      <c r="N103" s="37">
        <v>25000</v>
      </c>
      <c r="O103" s="36">
        <v>5</v>
      </c>
    </row>
    <row r="104" spans="2:15" s="19" customFormat="1" x14ac:dyDescent="0.2">
      <c r="B104" s="59">
        <v>0.4861111111111111</v>
      </c>
      <c r="C104" s="27">
        <v>6</v>
      </c>
      <c r="D104" s="35" t="str">
        <f>IF(C104="", "",VLOOKUP(C104,Key!$A$5:$B$7,2,FALSE))</f>
        <v>Large Bus</v>
      </c>
      <c r="E104" s="27"/>
      <c r="F104" s="27" t="s">
        <v>64</v>
      </c>
      <c r="G104" s="28" t="s">
        <v>66</v>
      </c>
      <c r="H104" s="28" t="s">
        <v>66</v>
      </c>
      <c r="I104" s="28"/>
      <c r="J104" s="28" t="s">
        <v>65</v>
      </c>
      <c r="K104" s="29" t="s">
        <v>65</v>
      </c>
      <c r="L104" s="29" t="str">
        <f t="shared" si="3"/>
        <v>LIRA-KAMPALA</v>
      </c>
      <c r="M104" s="30">
        <v>65</v>
      </c>
      <c r="N104" s="37">
        <v>25000</v>
      </c>
      <c r="O104" s="36">
        <v>5</v>
      </c>
    </row>
    <row r="105" spans="2:15" s="19" customFormat="1" x14ac:dyDescent="0.2">
      <c r="B105" s="59">
        <v>0.5</v>
      </c>
      <c r="C105" s="27">
        <v>6</v>
      </c>
      <c r="D105" s="35" t="str">
        <f>IF(C105="", "",VLOOKUP(C105,Key!$A$5:$B$7,2,FALSE))</f>
        <v>Large Bus</v>
      </c>
      <c r="E105" s="27"/>
      <c r="F105" s="27" t="s">
        <v>64</v>
      </c>
      <c r="G105" s="28" t="s">
        <v>66</v>
      </c>
      <c r="H105" s="28" t="s">
        <v>66</v>
      </c>
      <c r="I105" s="28"/>
      <c r="J105" s="28" t="s">
        <v>65</v>
      </c>
      <c r="K105" s="29" t="s">
        <v>65</v>
      </c>
      <c r="L105" s="29" t="str">
        <f t="shared" si="3"/>
        <v>LIRA-KAMPALA</v>
      </c>
      <c r="M105" s="30">
        <v>65</v>
      </c>
      <c r="N105" s="37">
        <v>25000</v>
      </c>
      <c r="O105" s="36">
        <v>5</v>
      </c>
    </row>
    <row r="106" spans="2:15" s="19" customFormat="1" x14ac:dyDescent="0.2">
      <c r="B106" s="59">
        <v>0.5</v>
      </c>
      <c r="C106" s="27">
        <v>6</v>
      </c>
      <c r="D106" s="35" t="str">
        <f>IF(C106="", "",VLOOKUP(C106,Key!$A$5:$B$7,2,FALSE))</f>
        <v>Large Bus</v>
      </c>
      <c r="E106" s="27"/>
      <c r="F106" s="27" t="s">
        <v>64</v>
      </c>
      <c r="G106" s="28" t="s">
        <v>66</v>
      </c>
      <c r="H106" s="28" t="s">
        <v>66</v>
      </c>
      <c r="I106" s="28"/>
      <c r="J106" s="28" t="s">
        <v>65</v>
      </c>
      <c r="K106" s="29" t="s">
        <v>65</v>
      </c>
      <c r="L106" s="29" t="str">
        <f t="shared" si="3"/>
        <v>LIRA-KAMPALA</v>
      </c>
      <c r="M106" s="30">
        <v>43</v>
      </c>
      <c r="N106" s="37">
        <v>25000</v>
      </c>
      <c r="O106" s="36">
        <v>5</v>
      </c>
    </row>
    <row r="107" spans="2:15" s="19" customFormat="1" x14ac:dyDescent="0.2">
      <c r="B107" s="59">
        <v>0.51041666666666663</v>
      </c>
      <c r="C107" s="27">
        <v>6</v>
      </c>
      <c r="D107" s="35" t="str">
        <f>IF(C107="", "",VLOOKUP(C107,Key!$A$5:$B$7,2,FALSE))</f>
        <v>Large Bus</v>
      </c>
      <c r="E107" s="27"/>
      <c r="F107" s="27" t="s">
        <v>63</v>
      </c>
      <c r="G107" s="28" t="s">
        <v>65</v>
      </c>
      <c r="H107" s="28" t="s">
        <v>65</v>
      </c>
      <c r="I107" s="28"/>
      <c r="J107" s="28" t="s">
        <v>67</v>
      </c>
      <c r="K107" s="29" t="s">
        <v>67</v>
      </c>
      <c r="L107" s="29" t="str">
        <f t="shared" si="3"/>
        <v>KAMPALA-APAC</v>
      </c>
      <c r="M107" s="30">
        <v>43</v>
      </c>
      <c r="N107" s="37">
        <v>20000</v>
      </c>
      <c r="O107" s="36">
        <v>4.5</v>
      </c>
    </row>
    <row r="108" spans="2:15" s="19" customFormat="1" ht="12" customHeight="1" x14ac:dyDescent="0.2">
      <c r="B108" s="59">
        <v>0.51111111111111118</v>
      </c>
      <c r="C108" s="27">
        <v>6</v>
      </c>
      <c r="D108" s="35" t="str">
        <f>IF(C108="", "",VLOOKUP(C108,Key!$A$5:$B$7,2,FALSE))</f>
        <v>Large Bus</v>
      </c>
      <c r="E108" s="27"/>
      <c r="F108" s="27" t="s">
        <v>63</v>
      </c>
      <c r="G108" s="28" t="s">
        <v>70</v>
      </c>
      <c r="H108" s="28" t="s">
        <v>70</v>
      </c>
      <c r="I108" s="28"/>
      <c r="J108" s="28" t="s">
        <v>69</v>
      </c>
      <c r="K108" s="29" t="s">
        <v>69</v>
      </c>
      <c r="L108" s="29" t="str">
        <f t="shared" si="3"/>
        <v>BUSIA-GULU</v>
      </c>
      <c r="M108" s="30">
        <v>43</v>
      </c>
      <c r="N108" s="37">
        <v>30000</v>
      </c>
      <c r="O108" s="36">
        <v>7</v>
      </c>
    </row>
    <row r="109" spans="2:15" s="19" customFormat="1" x14ac:dyDescent="0.2">
      <c r="B109" s="59">
        <v>0.51388888888888895</v>
      </c>
      <c r="C109" s="27">
        <v>6</v>
      </c>
      <c r="D109" s="35" t="str">
        <f>IF(C109="", "",VLOOKUP(C109,Key!$A$5:$B$7,2,FALSE))</f>
        <v>Large Bus</v>
      </c>
      <c r="E109" s="27"/>
      <c r="F109" s="27" t="s">
        <v>63</v>
      </c>
      <c r="G109" s="28" t="s">
        <v>65</v>
      </c>
      <c r="H109" s="28" t="s">
        <v>65</v>
      </c>
      <c r="I109" s="28"/>
      <c r="J109" s="28" t="s">
        <v>66</v>
      </c>
      <c r="K109" s="29" t="s">
        <v>66</v>
      </c>
      <c r="L109" s="29" t="str">
        <f t="shared" si="3"/>
        <v>KAMPALA-LIRA</v>
      </c>
      <c r="M109" s="30">
        <v>43</v>
      </c>
      <c r="N109" s="37">
        <v>25000</v>
      </c>
      <c r="O109" s="36">
        <v>5</v>
      </c>
    </row>
    <row r="110" spans="2:15" s="19" customFormat="1" x14ac:dyDescent="0.2">
      <c r="B110" s="59">
        <v>0.52083333333333337</v>
      </c>
      <c r="C110" s="27">
        <v>6</v>
      </c>
      <c r="D110" s="35" t="str">
        <f>IF(C110="", "",VLOOKUP(C110,Key!$A$5:$B$7,2,FALSE))</f>
        <v>Large Bus</v>
      </c>
      <c r="E110" s="27"/>
      <c r="F110" s="27" t="s">
        <v>64</v>
      </c>
      <c r="G110" s="28" t="s">
        <v>66</v>
      </c>
      <c r="H110" s="28" t="s">
        <v>66</v>
      </c>
      <c r="I110" s="28"/>
      <c r="J110" s="28" t="s">
        <v>65</v>
      </c>
      <c r="K110" s="29" t="s">
        <v>65</v>
      </c>
      <c r="L110" s="29" t="str">
        <f t="shared" si="3"/>
        <v>LIRA-KAMPALA</v>
      </c>
      <c r="M110" s="30">
        <v>45</v>
      </c>
      <c r="N110" s="37">
        <v>25000</v>
      </c>
      <c r="O110" s="36">
        <v>5</v>
      </c>
    </row>
    <row r="111" spans="2:15" s="19" customFormat="1" x14ac:dyDescent="0.2">
      <c r="B111" s="59">
        <v>0.56041666666666667</v>
      </c>
      <c r="C111" s="27">
        <v>6</v>
      </c>
      <c r="D111" s="35" t="str">
        <f>IF(C111="", "",VLOOKUP(C111,Key!$A$5:$B$7,2,FALSE))</f>
        <v>Large Bus</v>
      </c>
      <c r="E111" s="27"/>
      <c r="F111" s="27" t="s">
        <v>64</v>
      </c>
      <c r="G111" s="28" t="s">
        <v>65</v>
      </c>
      <c r="H111" s="28" t="s">
        <v>65</v>
      </c>
      <c r="I111" s="28"/>
      <c r="J111" s="28" t="s">
        <v>68</v>
      </c>
      <c r="K111" s="29" t="s">
        <v>68</v>
      </c>
      <c r="L111" s="29" t="str">
        <f t="shared" si="3"/>
        <v>KAMPALA-ABIM</v>
      </c>
      <c r="M111" s="30">
        <v>45</v>
      </c>
      <c r="N111" s="37">
        <v>35000</v>
      </c>
      <c r="O111" s="36">
        <v>7.5</v>
      </c>
    </row>
    <row r="112" spans="2:15" s="19" customFormat="1" x14ac:dyDescent="0.2">
      <c r="B112" s="59">
        <v>0.6875</v>
      </c>
      <c r="C112" s="27">
        <v>6</v>
      </c>
      <c r="D112" s="35" t="str">
        <f>IF(C112="", "",VLOOKUP(C112,Key!$A$5:$B$7,2,FALSE))</f>
        <v>Large Bus</v>
      </c>
      <c r="E112" s="27"/>
      <c r="F112" s="27" t="s">
        <v>63</v>
      </c>
      <c r="G112" s="28" t="s">
        <v>65</v>
      </c>
      <c r="H112" s="28" t="s">
        <v>65</v>
      </c>
      <c r="I112" s="28"/>
      <c r="J112" s="28" t="s">
        <v>66</v>
      </c>
      <c r="K112" s="29" t="s">
        <v>66</v>
      </c>
      <c r="L112" s="29" t="str">
        <f t="shared" si="3"/>
        <v>KAMPALA-LIRA</v>
      </c>
      <c r="M112" s="30">
        <v>45</v>
      </c>
      <c r="N112" s="37">
        <v>25000</v>
      </c>
      <c r="O112" s="36">
        <v>5</v>
      </c>
    </row>
    <row r="113" spans="2:15" s="19" customFormat="1" x14ac:dyDescent="0.2">
      <c r="B113" s="59">
        <v>0.72152777777777777</v>
      </c>
      <c r="C113" s="27">
        <v>6</v>
      </c>
      <c r="D113" s="35" t="str">
        <f>IF(C113="", "",VLOOKUP(C113,Key!$A$5:$B$7,2,FALSE))</f>
        <v>Large Bus</v>
      </c>
      <c r="E113" s="27"/>
      <c r="F113" s="27" t="s">
        <v>63</v>
      </c>
      <c r="G113" s="28" t="s">
        <v>65</v>
      </c>
      <c r="H113" s="28" t="s">
        <v>65</v>
      </c>
      <c r="I113" s="28"/>
      <c r="J113" s="28" t="s">
        <v>66</v>
      </c>
      <c r="K113" s="29" t="s">
        <v>66</v>
      </c>
      <c r="L113" s="29" t="str">
        <f t="shared" si="3"/>
        <v>KAMPALA-LIRA</v>
      </c>
      <c r="M113" s="30">
        <v>45</v>
      </c>
      <c r="N113" s="37">
        <v>25000</v>
      </c>
      <c r="O113" s="36">
        <v>5</v>
      </c>
    </row>
    <row r="114" spans="2:15" s="19" customFormat="1" x14ac:dyDescent="0.2">
      <c r="B114" s="59">
        <v>0.72499999999999998</v>
      </c>
      <c r="C114" s="27">
        <v>6</v>
      </c>
      <c r="D114" s="35" t="str">
        <f>IF(C114="", "",VLOOKUP(C114,Key!$A$5:$B$7,2,FALSE))</f>
        <v>Large Bus</v>
      </c>
      <c r="E114" s="27"/>
      <c r="F114" s="27" t="s">
        <v>63</v>
      </c>
      <c r="G114" s="28" t="s">
        <v>66</v>
      </c>
      <c r="H114" s="28" t="s">
        <v>66</v>
      </c>
      <c r="I114" s="28"/>
      <c r="J114" s="28" t="s">
        <v>65</v>
      </c>
      <c r="K114" s="29" t="s">
        <v>65</v>
      </c>
      <c r="L114" s="29" t="str">
        <f t="shared" si="3"/>
        <v>LIRA-KAMPALA</v>
      </c>
      <c r="M114" s="30">
        <v>45</v>
      </c>
      <c r="N114" s="37">
        <v>25000</v>
      </c>
      <c r="O114" s="36">
        <v>5</v>
      </c>
    </row>
    <row r="115" spans="2:15" s="19" customFormat="1" x14ac:dyDescent="0.2">
      <c r="B115" s="59">
        <v>0.73749999999999993</v>
      </c>
      <c r="C115" s="27">
        <v>6</v>
      </c>
      <c r="D115" s="35" t="str">
        <f>IF(C115="", "",VLOOKUP(C115,Key!$A$5:$B$7,2,FALSE))</f>
        <v>Large Bus</v>
      </c>
      <c r="E115" s="27"/>
      <c r="F115" s="27" t="s">
        <v>63</v>
      </c>
      <c r="G115" s="28" t="s">
        <v>65</v>
      </c>
      <c r="H115" s="28" t="s">
        <v>65</v>
      </c>
      <c r="I115" s="28"/>
      <c r="J115" s="28" t="s">
        <v>66</v>
      </c>
      <c r="K115" s="29" t="s">
        <v>66</v>
      </c>
      <c r="L115" s="29" t="str">
        <f t="shared" si="3"/>
        <v>KAMPALA-LIRA</v>
      </c>
      <c r="M115" s="30">
        <v>45</v>
      </c>
      <c r="N115" s="37">
        <v>25000</v>
      </c>
      <c r="O115" s="36">
        <v>5</v>
      </c>
    </row>
    <row r="116" spans="2:15" s="19" customFormat="1" x14ac:dyDescent="0.2">
      <c r="B116" s="59">
        <v>0.75</v>
      </c>
      <c r="C116" s="27">
        <v>6</v>
      </c>
      <c r="D116" s="35" t="str">
        <f>IF(C116="", "",VLOOKUP(C116,Key!$A$5:$B$7,2,FALSE))</f>
        <v>Large Bus</v>
      </c>
      <c r="E116" s="27"/>
      <c r="F116" s="27" t="s">
        <v>63</v>
      </c>
      <c r="G116" s="28" t="s">
        <v>65</v>
      </c>
      <c r="H116" s="28" t="s">
        <v>65</v>
      </c>
      <c r="I116" s="28"/>
      <c r="J116" s="28" t="s">
        <v>66</v>
      </c>
      <c r="K116" s="29" t="s">
        <v>66</v>
      </c>
      <c r="L116" s="29" t="str">
        <f t="shared" si="3"/>
        <v>KAMPALA-LIRA</v>
      </c>
      <c r="M116" s="30">
        <v>45</v>
      </c>
      <c r="N116" s="37">
        <v>25000</v>
      </c>
      <c r="O116" s="36">
        <v>5</v>
      </c>
    </row>
    <row r="117" spans="2:15" s="19" customFormat="1" x14ac:dyDescent="0.2">
      <c r="B117" s="59">
        <v>0.77083333333333337</v>
      </c>
      <c r="C117" s="27">
        <v>6</v>
      </c>
      <c r="D117" s="35" t="str">
        <f>IF(C117="", "",VLOOKUP(C117,Key!$A$5:$B$7,2,FALSE))</f>
        <v>Large Bus</v>
      </c>
      <c r="E117" s="27"/>
      <c r="F117" s="27" t="s">
        <v>63</v>
      </c>
      <c r="G117" s="28" t="s">
        <v>66</v>
      </c>
      <c r="H117" s="28" t="s">
        <v>66</v>
      </c>
      <c r="I117" s="28"/>
      <c r="J117" s="28" t="s">
        <v>65</v>
      </c>
      <c r="K117" s="29" t="s">
        <v>65</v>
      </c>
      <c r="L117" s="29" t="str">
        <f t="shared" si="3"/>
        <v>LIRA-KAMPALA</v>
      </c>
      <c r="M117" s="30">
        <v>45</v>
      </c>
      <c r="N117" s="37">
        <v>25000</v>
      </c>
      <c r="O117" s="36">
        <v>5</v>
      </c>
    </row>
    <row r="118" spans="2:15" s="19" customFormat="1" x14ac:dyDescent="0.2">
      <c r="B118" s="59">
        <v>0.84513888888888899</v>
      </c>
      <c r="C118" s="27">
        <v>6</v>
      </c>
      <c r="D118" s="35" t="str">
        <f>IF(C118="", "",VLOOKUP(C118,Key!$A$5:$B$7,2,FALSE))</f>
        <v>Large Bus</v>
      </c>
      <c r="E118" s="27"/>
      <c r="F118" s="27" t="s">
        <v>63</v>
      </c>
      <c r="G118" s="28" t="s">
        <v>66</v>
      </c>
      <c r="H118" s="28" t="s">
        <v>66</v>
      </c>
      <c r="I118" s="28"/>
      <c r="J118" s="28" t="s">
        <v>65</v>
      </c>
      <c r="K118" s="29" t="s">
        <v>65</v>
      </c>
      <c r="L118" s="29" t="str">
        <f t="shared" si="3"/>
        <v>LIRA-KAMPALA</v>
      </c>
      <c r="M118" s="30">
        <v>50</v>
      </c>
      <c r="N118" s="37">
        <v>25000</v>
      </c>
      <c r="O118" s="36">
        <v>5</v>
      </c>
    </row>
    <row r="119" spans="2:15" s="19" customFormat="1" x14ac:dyDescent="0.2">
      <c r="B119" s="59">
        <v>0.91666666666666663</v>
      </c>
      <c r="C119" s="27">
        <v>6</v>
      </c>
      <c r="D119" s="35" t="str">
        <f>IF(C119="", "",VLOOKUP(C119,Key!$A$5:$B$7,2,FALSE))</f>
        <v>Large Bus</v>
      </c>
      <c r="E119" s="27"/>
      <c r="F119" s="27" t="s">
        <v>63</v>
      </c>
      <c r="G119" s="28" t="s">
        <v>67</v>
      </c>
      <c r="H119" s="28" t="s">
        <v>67</v>
      </c>
      <c r="I119" s="28"/>
      <c r="J119" s="28" t="s">
        <v>65</v>
      </c>
      <c r="K119" s="29" t="s">
        <v>65</v>
      </c>
      <c r="L119" s="29" t="str">
        <f t="shared" si="3"/>
        <v>APAC-KAMPALA</v>
      </c>
      <c r="M119" s="30">
        <v>42</v>
      </c>
      <c r="N119" s="37">
        <v>20000</v>
      </c>
      <c r="O119" s="36">
        <v>4.25</v>
      </c>
    </row>
    <row r="120" spans="2:15" s="19" customFormat="1" x14ac:dyDescent="0.2">
      <c r="B120" s="59">
        <v>0.5493055555555556</v>
      </c>
      <c r="C120" s="27">
        <v>6</v>
      </c>
      <c r="D120" s="35" t="str">
        <f>IF(C120="", "",VLOOKUP(C120,Key!$A$5:$B$7,2,FALSE))</f>
        <v>Large Bus</v>
      </c>
      <c r="E120" s="27"/>
      <c r="F120" s="27" t="s">
        <v>64</v>
      </c>
      <c r="G120" s="28" t="s">
        <v>66</v>
      </c>
      <c r="H120" s="28" t="s">
        <v>66</v>
      </c>
      <c r="I120" s="28"/>
      <c r="J120" s="28" t="s">
        <v>65</v>
      </c>
      <c r="K120" s="29" t="s">
        <v>65</v>
      </c>
      <c r="L120" s="29" t="str">
        <f t="shared" si="3"/>
        <v>LIRA-KAMPALA</v>
      </c>
      <c r="M120" s="30">
        <v>49</v>
      </c>
      <c r="N120" s="37">
        <v>25000</v>
      </c>
      <c r="O120" s="36">
        <v>5</v>
      </c>
    </row>
    <row r="121" spans="2:15" s="19" customFormat="1" x14ac:dyDescent="0.2">
      <c r="B121" s="59">
        <v>0.55208333333333337</v>
      </c>
      <c r="C121" s="27">
        <v>6</v>
      </c>
      <c r="D121" s="35" t="str">
        <f>IF(C121="", "",VLOOKUP(C121,Key!$A$5:$B$7,2,FALSE))</f>
        <v>Large Bus</v>
      </c>
      <c r="E121" s="27"/>
      <c r="F121" s="27" t="s">
        <v>63</v>
      </c>
      <c r="G121" s="28" t="s">
        <v>65</v>
      </c>
      <c r="H121" s="28" t="s">
        <v>65</v>
      </c>
      <c r="I121" s="28"/>
      <c r="J121" s="28" t="s">
        <v>66</v>
      </c>
      <c r="K121" s="29" t="s">
        <v>66</v>
      </c>
      <c r="L121" s="29" t="str">
        <f t="shared" si="3"/>
        <v>KAMPALA-LIRA</v>
      </c>
      <c r="M121" s="30">
        <v>49</v>
      </c>
      <c r="N121" s="37">
        <v>25000</v>
      </c>
      <c r="O121" s="36">
        <v>5</v>
      </c>
    </row>
    <row r="122" spans="2:15" s="19" customFormat="1" x14ac:dyDescent="0.2">
      <c r="B122" s="59">
        <v>0.42430555555555555</v>
      </c>
      <c r="C122" s="27">
        <v>6</v>
      </c>
      <c r="D122" s="35" t="str">
        <f>IF(C122="", "",VLOOKUP(C122,Key!$A$5:$B$7,2,FALSE))</f>
        <v>Large Bus</v>
      </c>
      <c r="E122" s="27"/>
      <c r="F122" s="27" t="s">
        <v>64</v>
      </c>
      <c r="G122" s="28" t="s">
        <v>66</v>
      </c>
      <c r="H122" s="28" t="s">
        <v>66</v>
      </c>
      <c r="I122" s="28"/>
      <c r="J122" s="28" t="s">
        <v>65</v>
      </c>
      <c r="K122" s="29" t="s">
        <v>65</v>
      </c>
      <c r="L122" s="29" t="str">
        <f t="shared" si="3"/>
        <v>LIRA-KAMPALA</v>
      </c>
      <c r="M122" s="30">
        <v>34</v>
      </c>
      <c r="N122" s="37">
        <v>25000</v>
      </c>
      <c r="O122" s="36">
        <v>5</v>
      </c>
    </row>
    <row r="123" spans="2:15" s="19" customFormat="1" x14ac:dyDescent="0.2">
      <c r="B123" s="59">
        <v>0.45833333333333331</v>
      </c>
      <c r="C123" s="27">
        <v>6</v>
      </c>
      <c r="D123" s="35" t="str">
        <f>IF(C123="", "",VLOOKUP(C123,Key!$A$5:$B$7,2,FALSE))</f>
        <v>Large Bus</v>
      </c>
      <c r="E123" s="27"/>
      <c r="F123" s="27" t="s">
        <v>63</v>
      </c>
      <c r="G123" s="28" t="s">
        <v>66</v>
      </c>
      <c r="H123" s="28" t="s">
        <v>66</v>
      </c>
      <c r="I123" s="28"/>
      <c r="J123" s="28" t="s">
        <v>65</v>
      </c>
      <c r="K123" s="29" t="s">
        <v>65</v>
      </c>
      <c r="L123" s="29" t="str">
        <f t="shared" si="3"/>
        <v>LIRA-KAMPALA</v>
      </c>
      <c r="M123" s="30">
        <v>34</v>
      </c>
      <c r="N123" s="37">
        <v>25000</v>
      </c>
      <c r="O123" s="36">
        <v>5</v>
      </c>
    </row>
    <row r="124" spans="2:15" s="19" customFormat="1" x14ac:dyDescent="0.2">
      <c r="B124" s="59">
        <v>0.48125000000000001</v>
      </c>
      <c r="C124" s="27">
        <v>6</v>
      </c>
      <c r="D124" s="35" t="str">
        <f>IF(C124="", "",VLOOKUP(C124,Key!$A$5:$B$7,2,FALSE))</f>
        <v>Large Bus</v>
      </c>
      <c r="E124" s="27"/>
      <c r="F124" s="27" t="s">
        <v>63</v>
      </c>
      <c r="G124" s="28" t="s">
        <v>65</v>
      </c>
      <c r="H124" s="28" t="s">
        <v>65</v>
      </c>
      <c r="I124" s="28"/>
      <c r="J124" s="28" t="s">
        <v>69</v>
      </c>
      <c r="K124" s="29" t="s">
        <v>69</v>
      </c>
      <c r="L124" s="29" t="str">
        <f t="shared" si="3"/>
        <v>KAMPALA-GULU</v>
      </c>
      <c r="M124" s="30">
        <v>34</v>
      </c>
      <c r="N124" s="37">
        <v>25000</v>
      </c>
      <c r="O124" s="36">
        <v>5</v>
      </c>
    </row>
    <row r="125" spans="2:15" s="19" customFormat="1" x14ac:dyDescent="0.2">
      <c r="B125" s="59">
        <v>0.49027777777777781</v>
      </c>
      <c r="C125" s="27">
        <v>6</v>
      </c>
      <c r="D125" s="35" t="str">
        <f>IF(C125="", "",VLOOKUP(C125,Key!$A$5:$B$7,2,FALSE))</f>
        <v>Large Bus</v>
      </c>
      <c r="E125" s="27"/>
      <c r="F125" s="27" t="s">
        <v>63</v>
      </c>
      <c r="G125" s="28" t="s">
        <v>67</v>
      </c>
      <c r="H125" s="28" t="s">
        <v>67</v>
      </c>
      <c r="I125" s="28"/>
      <c r="J125" s="28" t="s">
        <v>65</v>
      </c>
      <c r="K125" s="29" t="s">
        <v>65</v>
      </c>
      <c r="L125" s="29" t="str">
        <f t="shared" si="3"/>
        <v>APAC-KAMPALA</v>
      </c>
      <c r="M125" s="30">
        <v>26</v>
      </c>
      <c r="N125" s="37">
        <v>20000</v>
      </c>
      <c r="O125" s="36">
        <v>4.25</v>
      </c>
    </row>
    <row r="126" spans="2:15" s="19" customFormat="1" x14ac:dyDescent="0.2">
      <c r="B126" s="59">
        <v>0.9902777777777777</v>
      </c>
      <c r="C126" s="27">
        <v>6</v>
      </c>
      <c r="D126" s="35" t="str">
        <f>IF(C126="", "",VLOOKUP(C126,Key!$A$5:$B$7,2,FALSE))</f>
        <v>Large Bus</v>
      </c>
      <c r="E126" s="27"/>
      <c r="F126" s="27" t="s">
        <v>64</v>
      </c>
      <c r="G126" s="28" t="s">
        <v>66</v>
      </c>
      <c r="H126" s="28" t="s">
        <v>66</v>
      </c>
      <c r="I126" s="28"/>
      <c r="J126" s="28" t="s">
        <v>65</v>
      </c>
      <c r="K126" s="29" t="s">
        <v>65</v>
      </c>
      <c r="L126" s="29" t="str">
        <f t="shared" si="3"/>
        <v>LIRA-KAMPALA</v>
      </c>
      <c r="M126" s="30">
        <v>46</v>
      </c>
      <c r="N126" s="37">
        <v>25000</v>
      </c>
      <c r="O126" s="36">
        <v>5</v>
      </c>
    </row>
    <row r="127" spans="2:15" s="19" customFormat="1" x14ac:dyDescent="0.2">
      <c r="B127" s="59">
        <v>0</v>
      </c>
      <c r="C127" s="27">
        <v>6</v>
      </c>
      <c r="D127" s="35" t="str">
        <f>IF(C127="", "",VLOOKUP(C127,Key!$A$5:$B$7,2,FALSE))</f>
        <v>Large Bus</v>
      </c>
      <c r="E127" s="27"/>
      <c r="F127" s="27" t="s">
        <v>64</v>
      </c>
      <c r="G127" s="28" t="s">
        <v>67</v>
      </c>
      <c r="H127" s="28" t="s">
        <v>67</v>
      </c>
      <c r="I127" s="28"/>
      <c r="J127" s="28" t="s">
        <v>65</v>
      </c>
      <c r="K127" s="29" t="s">
        <v>65</v>
      </c>
      <c r="L127" s="29" t="str">
        <f t="shared" si="3"/>
        <v>APAC-KAMPALA</v>
      </c>
      <c r="M127" s="30">
        <v>24</v>
      </c>
      <c r="N127" s="37">
        <v>20000</v>
      </c>
      <c r="O127" s="36">
        <v>4.25</v>
      </c>
    </row>
    <row r="128" spans="2:15" s="19" customFormat="1" x14ac:dyDescent="0.2">
      <c r="B128" s="59">
        <v>0</v>
      </c>
      <c r="C128" s="27">
        <v>6</v>
      </c>
      <c r="D128" s="35" t="str">
        <f>IF(C128="", "",VLOOKUP(C128,Key!$A$5:$B$7,2,FALSE))</f>
        <v>Large Bus</v>
      </c>
      <c r="E128" s="27"/>
      <c r="F128" s="27" t="s">
        <v>64</v>
      </c>
      <c r="G128" s="28" t="s">
        <v>66</v>
      </c>
      <c r="H128" s="28" t="s">
        <v>66</v>
      </c>
      <c r="I128" s="28"/>
      <c r="J128" s="28" t="s">
        <v>65</v>
      </c>
      <c r="K128" s="29" t="s">
        <v>65</v>
      </c>
      <c r="L128" s="29" t="str">
        <f t="shared" ref="L128:L159" si="4">H128&amp;"-"&amp;K128</f>
        <v>LIRA-KAMPALA</v>
      </c>
      <c r="M128" s="30">
        <v>65</v>
      </c>
      <c r="N128" s="37">
        <v>25000</v>
      </c>
      <c r="O128" s="36">
        <v>5</v>
      </c>
    </row>
    <row r="129" spans="2:15" s="19" customFormat="1" x14ac:dyDescent="0.2">
      <c r="B129" s="59">
        <v>0</v>
      </c>
      <c r="C129" s="27">
        <v>6</v>
      </c>
      <c r="D129" s="35" t="str">
        <f>IF(C129="", "",VLOOKUP(C129,Key!$A$5:$B$7,2,FALSE))</f>
        <v>Large Bus</v>
      </c>
      <c r="E129" s="27"/>
      <c r="F129" s="27" t="s">
        <v>64</v>
      </c>
      <c r="G129" s="28" t="s">
        <v>66</v>
      </c>
      <c r="H129" s="28" t="s">
        <v>66</v>
      </c>
      <c r="I129" s="28"/>
      <c r="J129" s="28" t="s">
        <v>65</v>
      </c>
      <c r="K129" s="29" t="s">
        <v>65</v>
      </c>
      <c r="L129" s="29" t="str">
        <f t="shared" si="4"/>
        <v>LIRA-KAMPALA</v>
      </c>
      <c r="M129" s="30">
        <v>65</v>
      </c>
      <c r="N129" s="37">
        <v>25000</v>
      </c>
      <c r="O129" s="36">
        <v>5</v>
      </c>
    </row>
    <row r="130" spans="2:15" s="19" customFormat="1" x14ac:dyDescent="0.2">
      <c r="B130" s="59">
        <v>0</v>
      </c>
      <c r="C130" s="27">
        <v>6</v>
      </c>
      <c r="D130" s="35" t="str">
        <f>IF(C130="", "",VLOOKUP(C130,Key!$A$5:$B$7,2,FALSE))</f>
        <v>Large Bus</v>
      </c>
      <c r="E130" s="27"/>
      <c r="F130" s="27" t="s">
        <v>64</v>
      </c>
      <c r="G130" s="28" t="s">
        <v>66</v>
      </c>
      <c r="H130" s="28" t="s">
        <v>66</v>
      </c>
      <c r="I130" s="28"/>
      <c r="J130" s="28" t="s">
        <v>65</v>
      </c>
      <c r="K130" s="29" t="s">
        <v>65</v>
      </c>
      <c r="L130" s="29" t="str">
        <f t="shared" si="4"/>
        <v>LIRA-KAMPALA</v>
      </c>
      <c r="M130" s="30">
        <v>65</v>
      </c>
      <c r="N130" s="37">
        <v>25000</v>
      </c>
      <c r="O130" s="36">
        <v>5</v>
      </c>
    </row>
    <row r="131" spans="2:15" s="19" customFormat="1" x14ac:dyDescent="0.2">
      <c r="B131" s="59">
        <v>0</v>
      </c>
      <c r="C131" s="27">
        <v>6</v>
      </c>
      <c r="D131" s="35" t="str">
        <f>IF(C131="", "",VLOOKUP(C131,Key!$A$5:$B$7,2,FALSE))</f>
        <v>Large Bus</v>
      </c>
      <c r="E131" s="27"/>
      <c r="F131" s="27" t="s">
        <v>64</v>
      </c>
      <c r="G131" s="28" t="s">
        <v>66</v>
      </c>
      <c r="H131" s="28" t="s">
        <v>66</v>
      </c>
      <c r="I131" s="28"/>
      <c r="J131" s="28" t="s">
        <v>65</v>
      </c>
      <c r="K131" s="29" t="s">
        <v>65</v>
      </c>
      <c r="L131" s="29" t="str">
        <f t="shared" si="4"/>
        <v>LIRA-KAMPALA</v>
      </c>
      <c r="M131" s="30">
        <v>50</v>
      </c>
      <c r="N131" s="37">
        <v>25000</v>
      </c>
      <c r="O131" s="36">
        <v>5</v>
      </c>
    </row>
    <row r="132" spans="2:15" s="19" customFormat="1" x14ac:dyDescent="0.2">
      <c r="B132" s="59">
        <v>6.9444444444444441E-3</v>
      </c>
      <c r="C132" s="27">
        <v>6</v>
      </c>
      <c r="D132" s="35" t="str">
        <f>IF(C132="", "",VLOOKUP(C132,Key!$A$5:$B$7,2,FALSE))</f>
        <v>Large Bus</v>
      </c>
      <c r="E132" s="27"/>
      <c r="F132" s="27" t="s">
        <v>64</v>
      </c>
      <c r="G132" s="28" t="s">
        <v>66</v>
      </c>
      <c r="H132" s="28" t="s">
        <v>66</v>
      </c>
      <c r="I132" s="28"/>
      <c r="J132" s="28" t="s">
        <v>65</v>
      </c>
      <c r="K132" s="29" t="s">
        <v>65</v>
      </c>
      <c r="L132" s="29" t="str">
        <f t="shared" si="4"/>
        <v>LIRA-KAMPALA</v>
      </c>
      <c r="M132" s="30">
        <v>50</v>
      </c>
      <c r="N132" s="37">
        <v>25000</v>
      </c>
      <c r="O132" s="36">
        <v>5</v>
      </c>
    </row>
    <row r="133" spans="2:15" s="19" customFormat="1" x14ac:dyDescent="0.2">
      <c r="B133" s="59">
        <v>0.51458333333333328</v>
      </c>
      <c r="C133" s="27">
        <v>6</v>
      </c>
      <c r="D133" s="35" t="str">
        <f>IF(C133="", "",VLOOKUP(C133,Key!$A$5:$B$7,2,FALSE))</f>
        <v>Large Bus</v>
      </c>
      <c r="E133" s="27"/>
      <c r="F133" s="27" t="s">
        <v>63</v>
      </c>
      <c r="G133" s="28" t="s">
        <v>65</v>
      </c>
      <c r="H133" s="28" t="s">
        <v>65</v>
      </c>
      <c r="I133" s="28"/>
      <c r="J133" s="28" t="s">
        <v>68</v>
      </c>
      <c r="K133" s="29" t="s">
        <v>68</v>
      </c>
      <c r="L133" s="29" t="str">
        <f t="shared" si="4"/>
        <v>KAMPALA-ABIM</v>
      </c>
      <c r="M133" s="30">
        <v>50</v>
      </c>
      <c r="N133" s="37">
        <v>35000</v>
      </c>
      <c r="O133" s="36">
        <v>7.5</v>
      </c>
    </row>
    <row r="134" spans="2:15" s="19" customFormat="1" x14ac:dyDescent="0.2">
      <c r="B134" s="59">
        <v>2.2916666666666669E-2</v>
      </c>
      <c r="C134" s="27">
        <v>6</v>
      </c>
      <c r="D134" s="35" t="str">
        <f>IF(C134="", "",VLOOKUP(C134,Key!$A$5:$B$7,2,FALSE))</f>
        <v>Large Bus</v>
      </c>
      <c r="E134" s="27"/>
      <c r="F134" s="27" t="s">
        <v>64</v>
      </c>
      <c r="G134" s="28" t="s">
        <v>67</v>
      </c>
      <c r="H134" s="28" t="s">
        <v>67</v>
      </c>
      <c r="I134" s="28"/>
      <c r="J134" s="28" t="s">
        <v>65</v>
      </c>
      <c r="K134" s="29" t="s">
        <v>65</v>
      </c>
      <c r="L134" s="29" t="str">
        <f t="shared" si="4"/>
        <v>APAC-KAMPALA</v>
      </c>
      <c r="M134" s="30">
        <v>50</v>
      </c>
      <c r="N134" s="37">
        <v>20000</v>
      </c>
      <c r="O134" s="36">
        <v>4.25</v>
      </c>
    </row>
    <row r="135" spans="2:15" s="19" customFormat="1" x14ac:dyDescent="0.2">
      <c r="B135" s="59">
        <v>3.125E-2</v>
      </c>
      <c r="C135" s="27">
        <v>6</v>
      </c>
      <c r="D135" s="35" t="str">
        <f>IF(C135="", "",VLOOKUP(C135,Key!$A$5:$B$7,2,FALSE))</f>
        <v>Large Bus</v>
      </c>
      <c r="E135" s="27"/>
      <c r="F135" s="27" t="s">
        <v>63</v>
      </c>
      <c r="G135" s="28" t="s">
        <v>65</v>
      </c>
      <c r="H135" s="28" t="s">
        <v>65</v>
      </c>
      <c r="I135" s="28"/>
      <c r="J135" s="28" t="s">
        <v>66</v>
      </c>
      <c r="K135" s="29" t="s">
        <v>66</v>
      </c>
      <c r="L135" s="29" t="str">
        <f t="shared" si="4"/>
        <v>KAMPALA-LIRA</v>
      </c>
      <c r="M135" s="30">
        <v>50</v>
      </c>
      <c r="N135" s="37">
        <v>25000</v>
      </c>
      <c r="O135" s="36">
        <v>5</v>
      </c>
    </row>
    <row r="136" spans="2:15" s="19" customFormat="1" x14ac:dyDescent="0.2">
      <c r="B136" s="59">
        <v>0.52083333333333337</v>
      </c>
      <c r="C136" s="27">
        <v>6</v>
      </c>
      <c r="D136" s="35" t="str">
        <f>IF(C136="", "",VLOOKUP(C136,Key!$A$5:$B$7,2,FALSE))</f>
        <v>Large Bus</v>
      </c>
      <c r="E136" s="27"/>
      <c r="F136" s="27" t="s">
        <v>64</v>
      </c>
      <c r="G136" s="28" t="s">
        <v>66</v>
      </c>
      <c r="H136" s="28" t="s">
        <v>66</v>
      </c>
      <c r="I136" s="28"/>
      <c r="J136" s="28" t="s">
        <v>65</v>
      </c>
      <c r="K136" s="29" t="s">
        <v>65</v>
      </c>
      <c r="L136" s="29" t="str">
        <f t="shared" si="4"/>
        <v>LIRA-KAMPALA</v>
      </c>
      <c r="M136" s="30">
        <v>65</v>
      </c>
      <c r="N136" s="37">
        <v>25000</v>
      </c>
      <c r="O136" s="36">
        <v>5</v>
      </c>
    </row>
    <row r="137" spans="2:15" s="19" customFormat="1" x14ac:dyDescent="0.2">
      <c r="B137" s="59">
        <v>0.54166666666666663</v>
      </c>
      <c r="C137" s="27">
        <v>6</v>
      </c>
      <c r="D137" s="35" t="str">
        <f>IF(C137="", "",VLOOKUP(C137,Key!$A$5:$B$7,2,FALSE))</f>
        <v>Large Bus</v>
      </c>
      <c r="E137" s="27"/>
      <c r="F137" s="27" t="s">
        <v>64</v>
      </c>
      <c r="G137" s="28" t="s">
        <v>66</v>
      </c>
      <c r="H137" s="28" t="s">
        <v>66</v>
      </c>
      <c r="I137" s="28"/>
      <c r="J137" s="28" t="s">
        <v>65</v>
      </c>
      <c r="K137" s="29" t="s">
        <v>65</v>
      </c>
      <c r="L137" s="29" t="str">
        <f t="shared" si="4"/>
        <v>LIRA-KAMPALA</v>
      </c>
      <c r="M137" s="30">
        <v>65</v>
      </c>
      <c r="N137" s="37">
        <v>25000</v>
      </c>
      <c r="O137" s="36">
        <v>5</v>
      </c>
    </row>
    <row r="138" spans="2:15" s="19" customFormat="1" x14ac:dyDescent="0.2">
      <c r="B138" s="59">
        <v>0.68055555555555547</v>
      </c>
      <c r="C138" s="27">
        <v>6</v>
      </c>
      <c r="D138" s="35" t="str">
        <f>IF(C138="", "",VLOOKUP(C138,Key!$A$5:$B$7,2,FALSE))</f>
        <v>Large Bus</v>
      </c>
      <c r="E138" s="28"/>
      <c r="F138" s="28" t="s">
        <v>63</v>
      </c>
      <c r="G138" s="28" t="s">
        <v>65</v>
      </c>
      <c r="H138" s="29" t="s">
        <v>65</v>
      </c>
      <c r="I138" s="28"/>
      <c r="J138" s="28" t="s">
        <v>67</v>
      </c>
      <c r="K138" s="29" t="s">
        <v>67</v>
      </c>
      <c r="L138" s="29" t="str">
        <f t="shared" si="4"/>
        <v>KAMPALA-APAC</v>
      </c>
      <c r="M138" s="30">
        <v>65</v>
      </c>
      <c r="N138" s="37">
        <v>20000</v>
      </c>
      <c r="O138" s="36">
        <v>4.5</v>
      </c>
    </row>
    <row r="139" spans="2:15" s="19" customFormat="1" x14ac:dyDescent="0.2">
      <c r="B139" s="59">
        <v>0.69930555555555562</v>
      </c>
      <c r="C139" s="27">
        <v>6</v>
      </c>
      <c r="D139" s="35" t="str">
        <f>IF(C139="", "",VLOOKUP(C139,Key!$A$5:$B$7,2,FALSE))</f>
        <v>Large Bus</v>
      </c>
      <c r="E139" s="28"/>
      <c r="F139" s="28" t="s">
        <v>64</v>
      </c>
      <c r="G139" s="28" t="s">
        <v>65</v>
      </c>
      <c r="H139" s="29" t="s">
        <v>65</v>
      </c>
      <c r="I139" s="28"/>
      <c r="J139" s="28" t="s">
        <v>67</v>
      </c>
      <c r="K139" s="29" t="s">
        <v>67</v>
      </c>
      <c r="L139" s="29" t="str">
        <f t="shared" si="4"/>
        <v>KAMPALA-APAC</v>
      </c>
      <c r="M139" s="30">
        <v>65</v>
      </c>
      <c r="N139" s="37">
        <v>20000</v>
      </c>
      <c r="O139" s="36">
        <v>4.5</v>
      </c>
    </row>
    <row r="140" spans="2:15" s="19" customFormat="1" x14ac:dyDescent="0.2">
      <c r="B140" s="59">
        <v>0.75</v>
      </c>
      <c r="C140" s="27">
        <v>6</v>
      </c>
      <c r="D140" s="35" t="str">
        <f>IF(C140="", "",VLOOKUP(C140,Key!$A$5:$B$7,2,FALSE))</f>
        <v>Large Bus</v>
      </c>
      <c r="E140" s="28"/>
      <c r="F140" s="28" t="s">
        <v>64</v>
      </c>
      <c r="G140" s="28" t="s">
        <v>66</v>
      </c>
      <c r="H140" s="29" t="s">
        <v>66</v>
      </c>
      <c r="I140" s="28"/>
      <c r="J140" s="28" t="s">
        <v>65</v>
      </c>
      <c r="K140" s="29" t="s">
        <v>65</v>
      </c>
      <c r="L140" s="29" t="str">
        <f t="shared" si="4"/>
        <v>LIRA-KAMPALA</v>
      </c>
      <c r="M140" s="30">
        <v>65</v>
      </c>
      <c r="N140" s="37">
        <v>25000</v>
      </c>
      <c r="O140" s="36">
        <v>5</v>
      </c>
    </row>
    <row r="141" spans="2:15" s="19" customFormat="1" x14ac:dyDescent="0.2">
      <c r="B141" s="59">
        <v>0.60763888888888895</v>
      </c>
      <c r="C141" s="27">
        <v>6</v>
      </c>
      <c r="D141" s="35" t="str">
        <f>IF(C141="", "",VLOOKUP(C141,Key!$A$5:$B$7,2,FALSE))</f>
        <v>Large Bus</v>
      </c>
      <c r="E141" s="28"/>
      <c r="F141" s="28" t="s">
        <v>64</v>
      </c>
      <c r="G141" s="28" t="s">
        <v>66</v>
      </c>
      <c r="H141" s="29" t="s">
        <v>66</v>
      </c>
      <c r="I141" s="28"/>
      <c r="J141" s="28" t="s">
        <v>65</v>
      </c>
      <c r="K141" s="29" t="s">
        <v>65</v>
      </c>
      <c r="L141" s="29" t="str">
        <f t="shared" si="4"/>
        <v>LIRA-KAMPALA</v>
      </c>
      <c r="M141" s="30">
        <v>65</v>
      </c>
      <c r="N141" s="37">
        <v>25000</v>
      </c>
      <c r="O141" s="36">
        <v>5</v>
      </c>
    </row>
    <row r="142" spans="2:15" s="19" customFormat="1" x14ac:dyDescent="0.2">
      <c r="B142" s="59">
        <v>0.65902777777777777</v>
      </c>
      <c r="C142" s="27">
        <v>6</v>
      </c>
      <c r="D142" s="35" t="str">
        <f>IF(C142="", "",VLOOKUP(C142,Key!$A$5:$B$7,2,FALSE))</f>
        <v>Large Bus</v>
      </c>
      <c r="E142" s="28"/>
      <c r="F142" s="28" t="s">
        <v>63</v>
      </c>
      <c r="G142" s="28" t="s">
        <v>67</v>
      </c>
      <c r="H142" s="29" t="s">
        <v>67</v>
      </c>
      <c r="I142" s="28"/>
      <c r="J142" s="28" t="s">
        <v>66</v>
      </c>
      <c r="K142" s="29" t="s">
        <v>66</v>
      </c>
      <c r="L142" s="29" t="str">
        <f t="shared" si="4"/>
        <v>APAC-LIRA</v>
      </c>
      <c r="M142" s="30">
        <v>65</v>
      </c>
      <c r="N142" s="37">
        <v>6000</v>
      </c>
      <c r="O142" s="36">
        <v>1</v>
      </c>
    </row>
    <row r="143" spans="2:15" s="19" customFormat="1" x14ac:dyDescent="0.2">
      <c r="B143" s="59">
        <v>0.7055555555555556</v>
      </c>
      <c r="C143" s="27">
        <v>6</v>
      </c>
      <c r="D143" s="35" t="str">
        <f>IF(C143="", "",VLOOKUP(C143,Key!$A$5:$B$7,2,FALSE))</f>
        <v>Large Bus</v>
      </c>
      <c r="E143" s="28"/>
      <c r="F143" s="28" t="s">
        <v>63</v>
      </c>
      <c r="G143" s="28" t="s">
        <v>66</v>
      </c>
      <c r="H143" s="29" t="s">
        <v>66</v>
      </c>
      <c r="I143" s="28"/>
      <c r="J143" s="28" t="s">
        <v>65</v>
      </c>
      <c r="K143" s="29" t="s">
        <v>65</v>
      </c>
      <c r="L143" s="29" t="str">
        <f t="shared" si="4"/>
        <v>LIRA-KAMPALA</v>
      </c>
      <c r="M143" s="30">
        <v>65</v>
      </c>
      <c r="N143" s="37">
        <v>25000</v>
      </c>
      <c r="O143" s="36">
        <v>5</v>
      </c>
    </row>
    <row r="144" spans="2:15" s="19" customFormat="1" x14ac:dyDescent="0.2">
      <c r="B144" s="59">
        <v>0.72222222222222221</v>
      </c>
      <c r="C144" s="27">
        <v>6</v>
      </c>
      <c r="D144" s="35" t="str">
        <f>IF(C144="", "",VLOOKUP(C144,Key!$A$5:$B$7,2,FALSE))</f>
        <v>Large Bus</v>
      </c>
      <c r="E144" s="28"/>
      <c r="F144" s="28" t="s">
        <v>64</v>
      </c>
      <c r="G144" s="28" t="s">
        <v>66</v>
      </c>
      <c r="H144" s="29" t="s">
        <v>66</v>
      </c>
      <c r="I144" s="28"/>
      <c r="J144" s="28" t="s">
        <v>65</v>
      </c>
      <c r="K144" s="29" t="s">
        <v>65</v>
      </c>
      <c r="L144" s="29" t="str">
        <f t="shared" si="4"/>
        <v>LIRA-KAMPALA</v>
      </c>
      <c r="M144" s="30">
        <v>65</v>
      </c>
      <c r="N144" s="37">
        <v>25000</v>
      </c>
      <c r="O144" s="36">
        <v>5</v>
      </c>
    </row>
    <row r="145" spans="2:15" s="19" customFormat="1" x14ac:dyDescent="0.2">
      <c r="B145" s="59">
        <v>0.22916666666666666</v>
      </c>
      <c r="C145" s="27">
        <v>6</v>
      </c>
      <c r="D145" s="35" t="str">
        <f>IF(C145="", "",VLOOKUP(C145,Key!$A$5:$B$7,2,FALSE))</f>
        <v>Large Bus</v>
      </c>
      <c r="E145" s="28"/>
      <c r="F145" s="28" t="s">
        <v>64</v>
      </c>
      <c r="G145" s="28" t="s">
        <v>67</v>
      </c>
      <c r="H145" s="29" t="s">
        <v>67</v>
      </c>
      <c r="I145" s="28"/>
      <c r="J145" s="28" t="s">
        <v>65</v>
      </c>
      <c r="K145" s="29" t="s">
        <v>65</v>
      </c>
      <c r="L145" s="29" t="str">
        <f t="shared" si="4"/>
        <v>APAC-KAMPALA</v>
      </c>
      <c r="M145" s="30">
        <v>40</v>
      </c>
      <c r="N145" s="37">
        <v>20000</v>
      </c>
      <c r="O145" s="36">
        <v>4.25</v>
      </c>
    </row>
    <row r="146" spans="2:15" s="19" customFormat="1" x14ac:dyDescent="0.2">
      <c r="B146" s="59">
        <v>0.25</v>
      </c>
      <c r="C146" s="27">
        <v>6</v>
      </c>
      <c r="D146" s="35" t="str">
        <f>IF(C146="", "",VLOOKUP(C146,Key!$A$5:$B$7,2,FALSE))</f>
        <v>Large Bus</v>
      </c>
      <c r="E146" s="28"/>
      <c r="F146" s="28" t="s">
        <v>63</v>
      </c>
      <c r="G146" s="28" t="s">
        <v>65</v>
      </c>
      <c r="H146" s="29" t="s">
        <v>65</v>
      </c>
      <c r="I146" s="28"/>
      <c r="J146" s="28" t="s">
        <v>66</v>
      </c>
      <c r="K146" s="29" t="s">
        <v>66</v>
      </c>
      <c r="L146" s="29" t="str">
        <f t="shared" si="4"/>
        <v>KAMPALA-LIRA</v>
      </c>
      <c r="M146" s="30">
        <v>40</v>
      </c>
      <c r="N146" s="37">
        <v>25000</v>
      </c>
      <c r="O146" s="36">
        <v>5</v>
      </c>
    </row>
    <row r="147" spans="2:15" s="19" customFormat="1" x14ac:dyDescent="0.2">
      <c r="B147" s="59">
        <v>0.75069444444444444</v>
      </c>
      <c r="C147" s="27">
        <v>6</v>
      </c>
      <c r="D147" s="35" t="str">
        <f>IF(C147="", "",VLOOKUP(C147,Key!$A$5:$B$7,2,FALSE))</f>
        <v>Large Bus</v>
      </c>
      <c r="E147" s="28"/>
      <c r="F147" s="28" t="s">
        <v>63</v>
      </c>
      <c r="G147" s="28" t="s">
        <v>67</v>
      </c>
      <c r="H147" s="29" t="s">
        <v>67</v>
      </c>
      <c r="I147" s="28"/>
      <c r="J147" s="28" t="s">
        <v>65</v>
      </c>
      <c r="K147" s="29" t="s">
        <v>65</v>
      </c>
      <c r="L147" s="29" t="str">
        <f t="shared" si="4"/>
        <v>APAC-KAMPALA</v>
      </c>
      <c r="M147" s="30">
        <v>40</v>
      </c>
      <c r="N147" s="37">
        <v>20000</v>
      </c>
      <c r="O147" s="36">
        <v>4.25</v>
      </c>
    </row>
    <row r="148" spans="2:15" s="19" customFormat="1" x14ac:dyDescent="0.2">
      <c r="B148" s="59">
        <v>0.79791666666666661</v>
      </c>
      <c r="C148" s="27">
        <v>6</v>
      </c>
      <c r="D148" s="35" t="str">
        <f>IF(C148="", "",VLOOKUP(C148,Key!$A$5:$B$7,2,FALSE))</f>
        <v>Large Bus</v>
      </c>
      <c r="E148" s="28"/>
      <c r="F148" s="28" t="s">
        <v>63</v>
      </c>
      <c r="G148" s="28" t="s">
        <v>67</v>
      </c>
      <c r="H148" s="29" t="s">
        <v>67</v>
      </c>
      <c r="I148" s="28"/>
      <c r="J148" s="28" t="s">
        <v>66</v>
      </c>
      <c r="K148" s="29" t="s">
        <v>66</v>
      </c>
      <c r="L148" s="29" t="str">
        <f t="shared" si="4"/>
        <v>APAC-LIRA</v>
      </c>
      <c r="M148" s="30">
        <v>40</v>
      </c>
      <c r="N148" s="37">
        <v>6000</v>
      </c>
      <c r="O148" s="36">
        <v>1</v>
      </c>
    </row>
    <row r="149" spans="2:15" s="19" customFormat="1" x14ac:dyDescent="0.2">
      <c r="B149" s="59">
        <v>0.3125</v>
      </c>
      <c r="C149" s="27">
        <v>6</v>
      </c>
      <c r="D149" s="35" t="str">
        <f>IF(C149="", "",VLOOKUP(C149,Key!$A$5:$B$7,2,FALSE))</f>
        <v>Large Bus</v>
      </c>
      <c r="E149" s="28"/>
      <c r="F149" s="28" t="s">
        <v>64</v>
      </c>
      <c r="G149" s="28" t="s">
        <v>66</v>
      </c>
      <c r="H149" s="29" t="s">
        <v>66</v>
      </c>
      <c r="I149" s="28"/>
      <c r="J149" s="28" t="s">
        <v>65</v>
      </c>
      <c r="K149" s="29" t="s">
        <v>65</v>
      </c>
      <c r="L149" s="29" t="str">
        <f t="shared" si="4"/>
        <v>LIRA-KAMPALA</v>
      </c>
      <c r="M149" s="30">
        <v>46</v>
      </c>
      <c r="N149" s="37">
        <v>25000</v>
      </c>
      <c r="O149" s="36">
        <v>5</v>
      </c>
    </row>
    <row r="150" spans="2:15" s="19" customFormat="1" x14ac:dyDescent="0.2">
      <c r="B150" s="59">
        <v>0.31597222222222221</v>
      </c>
      <c r="C150" s="27">
        <v>6</v>
      </c>
      <c r="D150" s="35" t="str">
        <f>IF(C150="", "",VLOOKUP(C150,Key!$A$5:$B$7,2,FALSE))</f>
        <v>Large Bus</v>
      </c>
      <c r="E150" s="28"/>
      <c r="F150" s="28" t="s">
        <v>63</v>
      </c>
      <c r="G150" s="28" t="s">
        <v>65</v>
      </c>
      <c r="H150" s="29" t="s">
        <v>65</v>
      </c>
      <c r="I150" s="28"/>
      <c r="J150" s="28" t="s">
        <v>69</v>
      </c>
      <c r="K150" s="29" t="s">
        <v>69</v>
      </c>
      <c r="L150" s="29" t="str">
        <f t="shared" si="4"/>
        <v>KAMPALA-GULU</v>
      </c>
      <c r="M150" s="30">
        <v>30</v>
      </c>
      <c r="N150" s="37">
        <v>25000</v>
      </c>
      <c r="O150" s="36">
        <v>5</v>
      </c>
    </row>
    <row r="151" spans="2:15" s="19" customFormat="1" x14ac:dyDescent="0.2">
      <c r="B151" s="59">
        <v>0.34375</v>
      </c>
      <c r="C151" s="27">
        <v>6</v>
      </c>
      <c r="D151" s="35" t="str">
        <f>IF(C151="", "",VLOOKUP(C151,Key!$A$5:$B$7,2,FALSE))</f>
        <v>Large Bus</v>
      </c>
      <c r="E151" s="28"/>
      <c r="F151" s="28" t="s">
        <v>64</v>
      </c>
      <c r="G151" s="28" t="s">
        <v>66</v>
      </c>
      <c r="H151" s="29" t="s">
        <v>66</v>
      </c>
      <c r="I151" s="28"/>
      <c r="J151" s="28" t="s">
        <v>65</v>
      </c>
      <c r="K151" s="29" t="s">
        <v>65</v>
      </c>
      <c r="L151" s="29" t="str">
        <f t="shared" si="4"/>
        <v>LIRA-KAMPALA</v>
      </c>
      <c r="M151" s="30">
        <v>30</v>
      </c>
      <c r="N151" s="37">
        <v>25000</v>
      </c>
      <c r="O151" s="36">
        <v>5</v>
      </c>
    </row>
    <row r="152" spans="2:15" s="19" customFormat="1" x14ac:dyDescent="0.2">
      <c r="B152" s="59">
        <v>0.34722222222222227</v>
      </c>
      <c r="C152" s="27">
        <v>6</v>
      </c>
      <c r="D152" s="35" t="str">
        <f>IF(C152="", "",VLOOKUP(C152,Key!$A$5:$B$7,2,FALSE))</f>
        <v>Large Bus</v>
      </c>
      <c r="E152" s="28"/>
      <c r="F152" s="28" t="s">
        <v>64</v>
      </c>
      <c r="G152" s="28" t="s">
        <v>67</v>
      </c>
      <c r="H152" s="29" t="s">
        <v>67</v>
      </c>
      <c r="I152" s="28"/>
      <c r="J152" s="28" t="s">
        <v>65</v>
      </c>
      <c r="K152" s="29" t="s">
        <v>65</v>
      </c>
      <c r="L152" s="29" t="str">
        <f t="shared" si="4"/>
        <v>APAC-KAMPALA</v>
      </c>
      <c r="M152" s="30">
        <v>30</v>
      </c>
      <c r="N152" s="37">
        <v>20000</v>
      </c>
      <c r="O152" s="36">
        <v>4.25</v>
      </c>
    </row>
    <row r="153" spans="2:15" s="19" customFormat="1" x14ac:dyDescent="0.2">
      <c r="B153" s="59">
        <v>0.35486111111111113</v>
      </c>
      <c r="C153" s="27">
        <v>6</v>
      </c>
      <c r="D153" s="35" t="str">
        <f>IF(C153="", "",VLOOKUP(C153,Key!$A$5:$B$7,2,FALSE))</f>
        <v>Large Bus</v>
      </c>
      <c r="E153" s="28"/>
      <c r="F153" s="28" t="s">
        <v>64</v>
      </c>
      <c r="G153" s="28" t="s">
        <v>67</v>
      </c>
      <c r="H153" s="29" t="s">
        <v>67</v>
      </c>
      <c r="I153" s="28"/>
      <c r="J153" s="28" t="s">
        <v>65</v>
      </c>
      <c r="K153" s="29" t="s">
        <v>65</v>
      </c>
      <c r="L153" s="29" t="str">
        <f t="shared" si="4"/>
        <v>APAC-KAMPALA</v>
      </c>
      <c r="M153" s="30">
        <v>30</v>
      </c>
      <c r="N153" s="37">
        <v>20000</v>
      </c>
      <c r="O153" s="36">
        <v>4.25</v>
      </c>
    </row>
    <row r="154" spans="2:15" s="19" customFormat="1" x14ac:dyDescent="0.2">
      <c r="B154" s="59">
        <v>0.3576388888888889</v>
      </c>
      <c r="C154" s="27">
        <v>6</v>
      </c>
      <c r="D154" s="35" t="str">
        <f>IF(C154="", "",VLOOKUP(C154,Key!$A$5:$B$7,2,FALSE))</f>
        <v>Large Bus</v>
      </c>
      <c r="E154" s="28"/>
      <c r="F154" s="28" t="s">
        <v>63</v>
      </c>
      <c r="G154" s="28" t="s">
        <v>67</v>
      </c>
      <c r="H154" s="29" t="s">
        <v>67</v>
      </c>
      <c r="I154" s="28"/>
      <c r="J154" s="28" t="s">
        <v>65</v>
      </c>
      <c r="K154" s="29" t="s">
        <v>65</v>
      </c>
      <c r="L154" s="29" t="str">
        <f t="shared" si="4"/>
        <v>APAC-KAMPALA</v>
      </c>
      <c r="M154" s="30">
        <v>30</v>
      </c>
      <c r="N154" s="37">
        <v>20000</v>
      </c>
      <c r="O154" s="36">
        <v>4.25</v>
      </c>
    </row>
    <row r="155" spans="2:15" s="19" customFormat="1" x14ac:dyDescent="0.2">
      <c r="B155" s="59">
        <v>0.375</v>
      </c>
      <c r="C155" s="27">
        <v>6</v>
      </c>
      <c r="D155" s="35" t="str">
        <f>IF(C155="", "",VLOOKUP(C155,Key!$A$5:$B$7,2,FALSE))</f>
        <v>Large Bus</v>
      </c>
      <c r="E155" s="28"/>
      <c r="F155" s="28" t="s">
        <v>64</v>
      </c>
      <c r="G155" s="28" t="s">
        <v>66</v>
      </c>
      <c r="H155" s="29" t="s">
        <v>66</v>
      </c>
      <c r="I155" s="28"/>
      <c r="J155" s="28" t="s">
        <v>65</v>
      </c>
      <c r="K155" s="29" t="s">
        <v>65</v>
      </c>
      <c r="L155" s="29" t="str">
        <f t="shared" si="4"/>
        <v>LIRA-KAMPALA</v>
      </c>
      <c r="M155" s="30">
        <v>65</v>
      </c>
      <c r="N155" s="37">
        <v>25000</v>
      </c>
      <c r="O155" s="36">
        <v>5</v>
      </c>
    </row>
    <row r="156" spans="2:15" s="19" customFormat="1" x14ac:dyDescent="0.2">
      <c r="B156" s="59">
        <v>0.39374999999999999</v>
      </c>
      <c r="C156" s="27">
        <v>6</v>
      </c>
      <c r="D156" s="35" t="str">
        <f>IF(C156="", "",VLOOKUP(C156,Key!$A$5:$B$7,2,FALSE))</f>
        <v>Large Bus</v>
      </c>
      <c r="E156" s="28"/>
      <c r="F156" s="28" t="s">
        <v>64</v>
      </c>
      <c r="G156" s="28" t="s">
        <v>67</v>
      </c>
      <c r="H156" s="29" t="s">
        <v>67</v>
      </c>
      <c r="I156" s="28"/>
      <c r="J156" s="28" t="s">
        <v>65</v>
      </c>
      <c r="K156" s="29" t="s">
        <v>65</v>
      </c>
      <c r="L156" s="29" t="str">
        <f t="shared" si="4"/>
        <v>APAC-KAMPALA</v>
      </c>
      <c r="M156" s="30">
        <v>65</v>
      </c>
      <c r="N156" s="37">
        <v>20000</v>
      </c>
      <c r="O156" s="36">
        <v>4.25</v>
      </c>
    </row>
    <row r="157" spans="2:15" s="19" customFormat="1" x14ac:dyDescent="0.2">
      <c r="B157" s="59">
        <v>0.39583333333333331</v>
      </c>
      <c r="C157" s="27">
        <v>6</v>
      </c>
      <c r="D157" s="35" t="str">
        <f>IF(C157="", "",VLOOKUP(C157,Key!$A$5:$B$7,2,FALSE))</f>
        <v>Large Bus</v>
      </c>
      <c r="E157" s="28"/>
      <c r="F157" s="28" t="s">
        <v>63</v>
      </c>
      <c r="G157" s="28" t="s">
        <v>69</v>
      </c>
      <c r="H157" s="29" t="s">
        <v>69</v>
      </c>
      <c r="I157" s="28"/>
      <c r="J157" s="28" t="s">
        <v>70</v>
      </c>
      <c r="K157" s="29" t="s">
        <v>70</v>
      </c>
      <c r="L157" s="29" t="str">
        <f t="shared" si="4"/>
        <v>GULU-BUSIA</v>
      </c>
      <c r="M157" s="30">
        <v>65</v>
      </c>
      <c r="N157" s="37">
        <v>27000</v>
      </c>
      <c r="O157" s="36">
        <v>6.5</v>
      </c>
    </row>
    <row r="158" spans="2:15" s="19" customFormat="1" x14ac:dyDescent="0.2">
      <c r="B158" s="59">
        <v>0.3979166666666667</v>
      </c>
      <c r="C158" s="27">
        <v>6</v>
      </c>
      <c r="D158" s="35" t="str">
        <f>IF(C158="", "",VLOOKUP(C158,Key!$A$5:$B$7,2,FALSE))</f>
        <v>Large Bus</v>
      </c>
      <c r="E158" s="28"/>
      <c r="F158" s="28" t="s">
        <v>63</v>
      </c>
      <c r="G158" s="28" t="s">
        <v>65</v>
      </c>
      <c r="H158" s="29" t="s">
        <v>65</v>
      </c>
      <c r="I158" s="28"/>
      <c r="J158" s="28" t="s">
        <v>66</v>
      </c>
      <c r="K158" s="29" t="s">
        <v>66</v>
      </c>
      <c r="L158" s="29" t="str">
        <f t="shared" si="4"/>
        <v>KAMPALA-LIRA</v>
      </c>
      <c r="M158" s="30">
        <v>65</v>
      </c>
      <c r="N158" s="37">
        <v>25000</v>
      </c>
      <c r="O158" s="36">
        <v>5</v>
      </c>
    </row>
    <row r="159" spans="2:15" s="19" customFormat="1" x14ac:dyDescent="0.2">
      <c r="B159" s="48">
        <v>43700</v>
      </c>
      <c r="C159" s="27"/>
      <c r="D159" s="35"/>
      <c r="E159" s="28"/>
      <c r="F159" s="28"/>
      <c r="G159" s="28"/>
      <c r="H159" s="29"/>
      <c r="I159" s="28"/>
      <c r="J159" s="28"/>
      <c r="K159" s="37"/>
      <c r="L159" s="37"/>
      <c r="M159" s="37"/>
      <c r="N159" s="37"/>
      <c r="O159" s="36"/>
    </row>
    <row r="160" spans="2:15" s="19" customFormat="1" x14ac:dyDescent="0.2">
      <c r="B160" s="59">
        <v>0.22569444444444445</v>
      </c>
      <c r="C160" s="27">
        <v>6</v>
      </c>
      <c r="D160" s="35" t="str">
        <f>IF(C160="", "",VLOOKUP(C160,Key!$A$5:$B$7,2,FALSE))</f>
        <v>Large Bus</v>
      </c>
      <c r="E160" s="28"/>
      <c r="F160" s="28" t="s">
        <v>64</v>
      </c>
      <c r="G160" s="28" t="s">
        <v>66</v>
      </c>
      <c r="H160" s="29" t="s">
        <v>66</v>
      </c>
      <c r="I160" s="28"/>
      <c r="J160" s="28" t="s">
        <v>65</v>
      </c>
      <c r="K160" s="29" t="s">
        <v>65</v>
      </c>
      <c r="L160" s="29" t="str">
        <f t="shared" ref="L160:L179" si="5">H160&amp;"-"&amp;K160</f>
        <v>LIRA-KAMPALA</v>
      </c>
      <c r="M160" s="30">
        <v>45</v>
      </c>
      <c r="N160" s="37">
        <v>25000</v>
      </c>
      <c r="O160" s="36">
        <v>5</v>
      </c>
    </row>
    <row r="161" spans="2:15" s="19" customFormat="1" x14ac:dyDescent="0.2">
      <c r="B161" s="59">
        <v>0.29166666666666669</v>
      </c>
      <c r="C161" s="27">
        <v>6</v>
      </c>
      <c r="D161" s="35" t="str">
        <f>IF(C161="", "",VLOOKUP(C161,Key!$A$5:$B$7,2,FALSE))</f>
        <v>Large Bus</v>
      </c>
      <c r="E161" s="28"/>
      <c r="F161" s="28" t="s">
        <v>63</v>
      </c>
      <c r="G161" s="28" t="s">
        <v>65</v>
      </c>
      <c r="H161" s="29" t="s">
        <v>65</v>
      </c>
      <c r="I161" s="28"/>
      <c r="J161" s="28" t="s">
        <v>66</v>
      </c>
      <c r="K161" s="29" t="s">
        <v>66</v>
      </c>
      <c r="L161" s="29" t="str">
        <f t="shared" si="5"/>
        <v>KAMPALA-LIRA</v>
      </c>
      <c r="M161" s="30">
        <v>45</v>
      </c>
      <c r="N161" s="37">
        <v>25000</v>
      </c>
      <c r="O161" s="36">
        <v>5</v>
      </c>
    </row>
    <row r="162" spans="2:15" s="19" customFormat="1" x14ac:dyDescent="0.2">
      <c r="B162" s="59">
        <v>0.33333333333333331</v>
      </c>
      <c r="C162" s="27">
        <v>6</v>
      </c>
      <c r="D162" s="35" t="str">
        <f>IF(C162="", "",VLOOKUP(C162,Key!$A$5:$B$7,2,FALSE))</f>
        <v>Large Bus</v>
      </c>
      <c r="E162" s="28"/>
      <c r="F162" s="28" t="s">
        <v>64</v>
      </c>
      <c r="G162" s="28" t="s">
        <v>66</v>
      </c>
      <c r="H162" s="29" t="s">
        <v>66</v>
      </c>
      <c r="I162" s="28"/>
      <c r="J162" s="28" t="s">
        <v>65</v>
      </c>
      <c r="K162" s="29" t="s">
        <v>65</v>
      </c>
      <c r="L162" s="29" t="str">
        <f t="shared" si="5"/>
        <v>LIRA-KAMPALA</v>
      </c>
      <c r="M162" s="30">
        <v>48</v>
      </c>
      <c r="N162" s="37">
        <v>25000</v>
      </c>
      <c r="O162" s="36">
        <v>5</v>
      </c>
    </row>
    <row r="163" spans="2:15" s="19" customFormat="1" x14ac:dyDescent="0.2">
      <c r="B163" s="59">
        <v>0.33333333333333331</v>
      </c>
      <c r="C163" s="27">
        <v>6</v>
      </c>
      <c r="D163" s="35" t="str">
        <f>IF(C163="", "",VLOOKUP(C163,Key!$A$5:$B$7,2,FALSE))</f>
        <v>Large Bus</v>
      </c>
      <c r="E163" s="28"/>
      <c r="F163" s="28" t="s">
        <v>63</v>
      </c>
      <c r="G163" s="28" t="s">
        <v>67</v>
      </c>
      <c r="H163" s="29" t="s">
        <v>67</v>
      </c>
      <c r="I163" s="28"/>
      <c r="J163" s="28" t="s">
        <v>65</v>
      </c>
      <c r="K163" s="29" t="s">
        <v>65</v>
      </c>
      <c r="L163" s="29" t="str">
        <f t="shared" si="5"/>
        <v>APAC-KAMPALA</v>
      </c>
      <c r="M163" s="30">
        <v>48</v>
      </c>
      <c r="N163" s="37">
        <v>20000</v>
      </c>
      <c r="O163" s="36">
        <v>4.25</v>
      </c>
    </row>
    <row r="164" spans="2:15" s="19" customFormat="1" x14ac:dyDescent="0.2">
      <c r="B164" s="59">
        <v>0.375</v>
      </c>
      <c r="C164" s="27">
        <v>6</v>
      </c>
      <c r="D164" s="35" t="str">
        <f>IF(C164="", "",VLOOKUP(C164,Key!$A$5:$B$7,2,FALSE))</f>
        <v>Large Bus</v>
      </c>
      <c r="E164" s="28"/>
      <c r="F164" s="28" t="s">
        <v>63</v>
      </c>
      <c r="G164" s="28" t="s">
        <v>65</v>
      </c>
      <c r="H164" s="29" t="s">
        <v>65</v>
      </c>
      <c r="I164" s="28"/>
      <c r="J164" s="28" t="s">
        <v>66</v>
      </c>
      <c r="K164" s="29" t="s">
        <v>66</v>
      </c>
      <c r="L164" s="29" t="str">
        <f t="shared" si="5"/>
        <v>KAMPALA-LIRA</v>
      </c>
      <c r="M164" s="30">
        <v>48</v>
      </c>
      <c r="N164" s="37">
        <v>25000</v>
      </c>
      <c r="O164" s="36">
        <v>5</v>
      </c>
    </row>
    <row r="165" spans="2:15" s="19" customFormat="1" x14ac:dyDescent="0.2">
      <c r="B165" s="59">
        <v>0.4375</v>
      </c>
      <c r="C165" s="27">
        <v>6</v>
      </c>
      <c r="D165" s="35" t="str">
        <f>IF(C165="", "",VLOOKUP(C165,Key!$A$5:$B$7,2,FALSE))</f>
        <v>Large Bus</v>
      </c>
      <c r="E165" s="28"/>
      <c r="F165" s="28" t="s">
        <v>63</v>
      </c>
      <c r="G165" s="28" t="s">
        <v>65</v>
      </c>
      <c r="H165" s="29" t="s">
        <v>65</v>
      </c>
      <c r="I165" s="28"/>
      <c r="J165" s="28" t="s">
        <v>66</v>
      </c>
      <c r="K165" s="29" t="s">
        <v>66</v>
      </c>
      <c r="L165" s="29" t="str">
        <f t="shared" si="5"/>
        <v>KAMPALA-LIRA</v>
      </c>
      <c r="M165" s="30">
        <v>48</v>
      </c>
      <c r="N165" s="37">
        <v>25000</v>
      </c>
      <c r="O165" s="36">
        <v>5</v>
      </c>
    </row>
    <row r="166" spans="2:15" s="19" customFormat="1" x14ac:dyDescent="0.2">
      <c r="B166" s="59">
        <v>0.47916666666666669</v>
      </c>
      <c r="C166" s="27">
        <v>6</v>
      </c>
      <c r="D166" s="35" t="str">
        <f>IF(C166="", "",VLOOKUP(C166,Key!$A$5:$B$7,2,FALSE))</f>
        <v>Large Bus</v>
      </c>
      <c r="E166" s="28"/>
      <c r="F166" s="28" t="s">
        <v>64</v>
      </c>
      <c r="G166" s="28" t="s">
        <v>66</v>
      </c>
      <c r="H166" s="29" t="s">
        <v>66</v>
      </c>
      <c r="I166" s="28"/>
      <c r="J166" s="28" t="s">
        <v>65</v>
      </c>
      <c r="K166" s="29" t="s">
        <v>65</v>
      </c>
      <c r="L166" s="29" t="str">
        <f t="shared" si="5"/>
        <v>LIRA-KAMPALA</v>
      </c>
      <c r="M166" s="30">
        <v>60</v>
      </c>
      <c r="N166" s="37">
        <v>25000</v>
      </c>
      <c r="O166" s="36">
        <v>5</v>
      </c>
    </row>
    <row r="167" spans="2:15" s="19" customFormat="1" x14ac:dyDescent="0.2">
      <c r="B167" s="59">
        <v>0.5</v>
      </c>
      <c r="C167" s="27">
        <v>6</v>
      </c>
      <c r="D167" s="35" t="str">
        <f>IF(C167="", "",VLOOKUP(C167,Key!$A$5:$B$7,2,FALSE))</f>
        <v>Large Bus</v>
      </c>
      <c r="E167" s="28"/>
      <c r="F167" s="28" t="s">
        <v>64</v>
      </c>
      <c r="G167" s="28" t="s">
        <v>66</v>
      </c>
      <c r="H167" s="29" t="s">
        <v>66</v>
      </c>
      <c r="I167" s="28"/>
      <c r="J167" s="28" t="s">
        <v>65</v>
      </c>
      <c r="K167" s="29" t="s">
        <v>65</v>
      </c>
      <c r="L167" s="29" t="str">
        <f t="shared" si="5"/>
        <v>LIRA-KAMPALA</v>
      </c>
      <c r="M167" s="30">
        <v>64</v>
      </c>
      <c r="N167" s="37">
        <v>25000</v>
      </c>
      <c r="O167" s="36">
        <v>5</v>
      </c>
    </row>
    <row r="168" spans="2:15" s="19" customFormat="1" x14ac:dyDescent="0.2">
      <c r="B168" s="59">
        <v>0.51041666666666663</v>
      </c>
      <c r="C168" s="27">
        <v>6</v>
      </c>
      <c r="D168" s="35" t="str">
        <f>IF(C168="", "",VLOOKUP(C168,Key!$A$5:$B$7,2,FALSE))</f>
        <v>Large Bus</v>
      </c>
      <c r="E168" s="28"/>
      <c r="F168" s="28" t="s">
        <v>63</v>
      </c>
      <c r="G168" s="28" t="s">
        <v>65</v>
      </c>
      <c r="H168" s="29" t="s">
        <v>65</v>
      </c>
      <c r="I168" s="28"/>
      <c r="J168" s="28" t="s">
        <v>66</v>
      </c>
      <c r="K168" s="29" t="s">
        <v>66</v>
      </c>
      <c r="L168" s="29" t="str">
        <f t="shared" si="5"/>
        <v>KAMPALA-LIRA</v>
      </c>
      <c r="M168" s="30">
        <v>58</v>
      </c>
      <c r="N168" s="37">
        <v>25000</v>
      </c>
      <c r="O168" s="36">
        <v>5</v>
      </c>
    </row>
    <row r="169" spans="2:15" s="19" customFormat="1" x14ac:dyDescent="0.2">
      <c r="B169" s="59">
        <v>0.52083333333333337</v>
      </c>
      <c r="C169" s="27">
        <v>6</v>
      </c>
      <c r="D169" s="35" t="str">
        <f>IF(C169="", "",VLOOKUP(C169,Key!$A$5:$B$7,2,FALSE))</f>
        <v>Large Bus</v>
      </c>
      <c r="E169" s="28"/>
      <c r="F169" s="28" t="s">
        <v>64</v>
      </c>
      <c r="G169" s="28" t="s">
        <v>66</v>
      </c>
      <c r="H169" s="29" t="s">
        <v>66</v>
      </c>
      <c r="I169" s="28"/>
      <c r="J169" s="28" t="s">
        <v>65</v>
      </c>
      <c r="K169" s="29" t="s">
        <v>65</v>
      </c>
      <c r="L169" s="29" t="str">
        <f t="shared" si="5"/>
        <v>LIRA-KAMPALA</v>
      </c>
      <c r="M169" s="30">
        <v>58</v>
      </c>
      <c r="N169" s="37">
        <v>25000</v>
      </c>
      <c r="O169" s="36">
        <v>5</v>
      </c>
    </row>
    <row r="170" spans="2:15" s="19" customFormat="1" x14ac:dyDescent="0.2">
      <c r="B170" s="59">
        <v>0.54236111111111118</v>
      </c>
      <c r="C170" s="27">
        <v>6</v>
      </c>
      <c r="D170" s="35" t="str">
        <f>IF(C170="", "",VLOOKUP(C170,Key!$A$5:$B$7,2,FALSE))</f>
        <v>Large Bus</v>
      </c>
      <c r="E170" s="28"/>
      <c r="F170" s="28" t="s">
        <v>63</v>
      </c>
      <c r="G170" s="28" t="s">
        <v>70</v>
      </c>
      <c r="H170" s="29" t="s">
        <v>70</v>
      </c>
      <c r="I170" s="28"/>
      <c r="J170" s="28" t="s">
        <v>66</v>
      </c>
      <c r="K170" s="29" t="s">
        <v>66</v>
      </c>
      <c r="L170" s="29" t="str">
        <f t="shared" si="5"/>
        <v>BUSIA-LIRA</v>
      </c>
      <c r="M170" s="30">
        <v>58</v>
      </c>
      <c r="N170" s="37">
        <v>25000</v>
      </c>
      <c r="O170" s="36">
        <v>5.5</v>
      </c>
    </row>
    <row r="171" spans="2:15" s="19" customFormat="1" x14ac:dyDescent="0.2">
      <c r="B171" s="59">
        <v>0.54375000000000007</v>
      </c>
      <c r="C171" s="27">
        <v>6</v>
      </c>
      <c r="D171" s="35" t="str">
        <f>IF(C171="", "",VLOOKUP(C171,Key!$A$5:$B$7,2,FALSE))</f>
        <v>Large Bus</v>
      </c>
      <c r="E171" s="28"/>
      <c r="F171" s="28" t="s">
        <v>64</v>
      </c>
      <c r="G171" s="28" t="s">
        <v>66</v>
      </c>
      <c r="H171" s="29" t="s">
        <v>66</v>
      </c>
      <c r="I171" s="28"/>
      <c r="J171" s="28" t="s">
        <v>65</v>
      </c>
      <c r="K171" s="29" t="s">
        <v>65</v>
      </c>
      <c r="L171" s="29" t="str">
        <f t="shared" si="5"/>
        <v>LIRA-KAMPALA</v>
      </c>
      <c r="M171" s="30">
        <v>58</v>
      </c>
      <c r="N171" s="37">
        <v>25000</v>
      </c>
      <c r="O171" s="36">
        <v>5</v>
      </c>
    </row>
    <row r="172" spans="2:15" s="19" customFormat="1" x14ac:dyDescent="0.2">
      <c r="B172" s="59">
        <v>0.55972222222222223</v>
      </c>
      <c r="C172" s="27">
        <v>6</v>
      </c>
      <c r="D172" s="35" t="str">
        <f>IF(C172="", "",VLOOKUP(C172,Key!$A$5:$B$7,2,FALSE))</f>
        <v>Large Bus</v>
      </c>
      <c r="E172" s="28"/>
      <c r="F172" s="28" t="s">
        <v>64</v>
      </c>
      <c r="G172" s="28" t="s">
        <v>66</v>
      </c>
      <c r="H172" s="29" t="s">
        <v>66</v>
      </c>
      <c r="I172" s="28"/>
      <c r="J172" s="28" t="s">
        <v>69</v>
      </c>
      <c r="K172" s="29" t="s">
        <v>69</v>
      </c>
      <c r="L172" s="29" t="str">
        <f t="shared" si="5"/>
        <v>LIRA-GULU</v>
      </c>
      <c r="M172" s="30">
        <v>66</v>
      </c>
      <c r="N172" s="37">
        <v>10000</v>
      </c>
      <c r="O172" s="36">
        <v>2</v>
      </c>
    </row>
    <row r="173" spans="2:15" s="19" customFormat="1" x14ac:dyDescent="0.2">
      <c r="B173" s="59">
        <v>0.58194444444444449</v>
      </c>
      <c r="C173" s="27">
        <v>6</v>
      </c>
      <c r="D173" s="35" t="str">
        <f>IF(C173="", "",VLOOKUP(C173,Key!$A$5:$B$7,2,FALSE))</f>
        <v>Large Bus</v>
      </c>
      <c r="E173" s="28"/>
      <c r="F173" s="28" t="s">
        <v>64</v>
      </c>
      <c r="G173" s="28" t="s">
        <v>66</v>
      </c>
      <c r="H173" s="29" t="s">
        <v>66</v>
      </c>
      <c r="I173" s="28"/>
      <c r="J173" s="28" t="s">
        <v>65</v>
      </c>
      <c r="K173" s="29" t="s">
        <v>65</v>
      </c>
      <c r="L173" s="29" t="str">
        <f t="shared" si="5"/>
        <v>LIRA-KAMPALA</v>
      </c>
      <c r="M173" s="30">
        <v>60</v>
      </c>
      <c r="N173" s="37">
        <v>25000</v>
      </c>
      <c r="O173" s="36">
        <v>5</v>
      </c>
    </row>
    <row r="174" spans="2:15" s="19" customFormat="1" x14ac:dyDescent="0.2">
      <c r="B174" s="59">
        <v>0.4236111111111111</v>
      </c>
      <c r="C174" s="27">
        <v>6</v>
      </c>
      <c r="D174" s="35" t="str">
        <f>IF(C174="", "",VLOOKUP(C174,Key!$A$5:$B$7,2,FALSE))</f>
        <v>Large Bus</v>
      </c>
      <c r="E174" s="28"/>
      <c r="F174" s="28" t="s">
        <v>64</v>
      </c>
      <c r="G174" s="28" t="s">
        <v>66</v>
      </c>
      <c r="H174" s="29" t="s">
        <v>66</v>
      </c>
      <c r="I174" s="28"/>
      <c r="J174" s="28" t="s">
        <v>65</v>
      </c>
      <c r="K174" s="29" t="s">
        <v>65</v>
      </c>
      <c r="L174" s="29" t="str">
        <f t="shared" si="5"/>
        <v>LIRA-KAMPALA</v>
      </c>
      <c r="M174" s="30">
        <v>38</v>
      </c>
      <c r="N174" s="37">
        <v>25000</v>
      </c>
      <c r="O174" s="36">
        <v>5</v>
      </c>
    </row>
    <row r="175" spans="2:15" s="19" customFormat="1" x14ac:dyDescent="0.2">
      <c r="B175" s="59">
        <v>0.43194444444444446</v>
      </c>
      <c r="C175" s="27">
        <v>6</v>
      </c>
      <c r="D175" s="35" t="str">
        <f>IF(C175="", "",VLOOKUP(C175,Key!$A$5:$B$7,2,FALSE))</f>
        <v>Large Bus</v>
      </c>
      <c r="E175" s="28"/>
      <c r="F175" s="28" t="s">
        <v>63</v>
      </c>
      <c r="G175" s="28" t="s">
        <v>66</v>
      </c>
      <c r="H175" s="29" t="s">
        <v>66</v>
      </c>
      <c r="I175" s="28"/>
      <c r="J175" s="28" t="s">
        <v>65</v>
      </c>
      <c r="K175" s="29" t="s">
        <v>65</v>
      </c>
      <c r="L175" s="29" t="str">
        <f t="shared" si="5"/>
        <v>LIRA-KAMPALA</v>
      </c>
      <c r="M175" s="30">
        <v>38</v>
      </c>
      <c r="N175" s="37">
        <v>25000</v>
      </c>
      <c r="O175" s="36">
        <v>5</v>
      </c>
    </row>
    <row r="176" spans="2:15" s="19" customFormat="1" x14ac:dyDescent="0.2">
      <c r="B176" s="59">
        <v>0.4375</v>
      </c>
      <c r="C176" s="27">
        <v>6</v>
      </c>
      <c r="D176" s="35" t="str">
        <f>IF(C176="", "",VLOOKUP(C176,Key!$A$5:$B$7,2,FALSE))</f>
        <v>Large Bus</v>
      </c>
      <c r="E176" s="28"/>
      <c r="F176" s="28" t="s">
        <v>64</v>
      </c>
      <c r="G176" s="28" t="s">
        <v>66</v>
      </c>
      <c r="H176" s="29" t="s">
        <v>66</v>
      </c>
      <c r="I176" s="28"/>
      <c r="J176" s="28" t="s">
        <v>65</v>
      </c>
      <c r="K176" s="29" t="s">
        <v>65</v>
      </c>
      <c r="L176" s="29" t="str">
        <f t="shared" si="5"/>
        <v>LIRA-KAMPALA</v>
      </c>
      <c r="M176" s="30">
        <v>60</v>
      </c>
      <c r="N176" s="37">
        <v>25000</v>
      </c>
      <c r="O176" s="36">
        <v>5</v>
      </c>
    </row>
    <row r="177" spans="2:15" s="19" customFormat="1" x14ac:dyDescent="0.2">
      <c r="B177" s="59">
        <v>0.41944444444444445</v>
      </c>
      <c r="C177" s="27">
        <v>6</v>
      </c>
      <c r="D177" s="35" t="str">
        <f>IF(C177="", "",VLOOKUP(C177,Key!$A$5:$B$7,2,FALSE))</f>
        <v>Large Bus</v>
      </c>
      <c r="E177" s="28"/>
      <c r="F177" s="28" t="s">
        <v>64</v>
      </c>
      <c r="G177" s="28" t="s">
        <v>67</v>
      </c>
      <c r="H177" s="29" t="s">
        <v>67</v>
      </c>
      <c r="I177" s="28"/>
      <c r="J177" s="28" t="s">
        <v>65</v>
      </c>
      <c r="K177" s="29" t="s">
        <v>65</v>
      </c>
      <c r="L177" s="29" t="str">
        <f t="shared" si="5"/>
        <v>APAC-KAMPALA</v>
      </c>
      <c r="M177" s="30">
        <v>60</v>
      </c>
      <c r="N177" s="37">
        <v>20000</v>
      </c>
      <c r="O177" s="36">
        <v>4.25</v>
      </c>
    </row>
    <row r="178" spans="2:15" s="19" customFormat="1" x14ac:dyDescent="0.2">
      <c r="B178" s="59">
        <v>0.45833333333333331</v>
      </c>
      <c r="C178" s="27">
        <v>6</v>
      </c>
      <c r="D178" s="35" t="str">
        <f>IF(C178="", "",VLOOKUP(C178,Key!$A$5:$B$7,2,FALSE))</f>
        <v>Large Bus</v>
      </c>
      <c r="E178" s="28"/>
      <c r="F178" s="28" t="s">
        <v>64</v>
      </c>
      <c r="G178" s="28" t="s">
        <v>66</v>
      </c>
      <c r="H178" s="29" t="s">
        <v>66</v>
      </c>
      <c r="I178" s="28"/>
      <c r="J178" s="28" t="s">
        <v>65</v>
      </c>
      <c r="K178" s="29" t="s">
        <v>65</v>
      </c>
      <c r="L178" s="29" t="str">
        <f t="shared" si="5"/>
        <v>LIRA-KAMPALA</v>
      </c>
      <c r="M178" s="30">
        <v>60</v>
      </c>
      <c r="N178" s="37">
        <v>25000</v>
      </c>
      <c r="O178" s="36">
        <v>5</v>
      </c>
    </row>
    <row r="179" spans="2:15" s="19" customFormat="1" x14ac:dyDescent="0.2">
      <c r="B179" s="59">
        <v>0.47916666666666669</v>
      </c>
      <c r="C179" s="27">
        <v>6</v>
      </c>
      <c r="D179" s="35" t="str">
        <f>IF(C179="", "",VLOOKUP(C179,Key!$A$5:$B$7,2,FALSE))</f>
        <v>Large Bus</v>
      </c>
      <c r="E179" s="28"/>
      <c r="F179" s="28" t="s">
        <v>63</v>
      </c>
      <c r="G179" s="28" t="s">
        <v>65</v>
      </c>
      <c r="H179" s="29" t="s">
        <v>65</v>
      </c>
      <c r="I179" s="28"/>
      <c r="J179" s="28" t="s">
        <v>67</v>
      </c>
      <c r="K179" s="29" t="s">
        <v>67</v>
      </c>
      <c r="L179" s="29" t="str">
        <f t="shared" si="5"/>
        <v>KAMPALA-APAC</v>
      </c>
      <c r="M179" s="30">
        <v>60</v>
      </c>
      <c r="N179" s="37">
        <v>20000</v>
      </c>
      <c r="O179" s="36">
        <v>4.5</v>
      </c>
    </row>
    <row r="180" spans="2:15" s="19" customFormat="1" x14ac:dyDescent="0.2">
      <c r="B180" s="48">
        <v>43701</v>
      </c>
      <c r="C180" s="27"/>
      <c r="D180" s="35"/>
      <c r="E180" s="28"/>
      <c r="F180" s="28"/>
      <c r="G180" s="28"/>
      <c r="H180" s="29"/>
      <c r="I180" s="28"/>
      <c r="J180" s="28"/>
      <c r="K180" s="37"/>
      <c r="L180" s="37"/>
      <c r="M180" s="37"/>
      <c r="N180" s="37"/>
      <c r="O180" s="36"/>
    </row>
    <row r="181" spans="2:15" s="19" customFormat="1" x14ac:dyDescent="0.2">
      <c r="B181" s="59">
        <v>0.48055555555555557</v>
      </c>
      <c r="C181" s="27">
        <v>6</v>
      </c>
      <c r="D181" s="35" t="str">
        <f>IF(C181="", "",VLOOKUP(C181,Key!$A$5:$B$7,2,FALSE))</f>
        <v>Large Bus</v>
      </c>
      <c r="E181" s="28"/>
      <c r="F181" s="28" t="s">
        <v>64</v>
      </c>
      <c r="G181" s="28" t="s">
        <v>67</v>
      </c>
      <c r="H181" s="29" t="s">
        <v>67</v>
      </c>
      <c r="I181" s="28"/>
      <c r="J181" s="28" t="s">
        <v>65</v>
      </c>
      <c r="K181" s="29" t="s">
        <v>65</v>
      </c>
      <c r="L181" s="29" t="str">
        <f t="shared" ref="L181:L212" si="6">H181&amp;"-"&amp;K181</f>
        <v>APAC-KAMPALA</v>
      </c>
      <c r="M181" s="30">
        <v>54</v>
      </c>
      <c r="N181" s="37">
        <v>20000</v>
      </c>
      <c r="O181" s="36">
        <v>4.25</v>
      </c>
    </row>
    <row r="182" spans="2:15" s="19" customFormat="1" x14ac:dyDescent="0.2">
      <c r="B182" s="59">
        <v>0.48125000000000001</v>
      </c>
      <c r="C182" s="27">
        <v>6</v>
      </c>
      <c r="D182" s="35" t="str">
        <f>IF(C182="", "",VLOOKUP(C182,Key!$A$5:$B$7,2,FALSE))</f>
        <v>Large Bus</v>
      </c>
      <c r="E182" s="28"/>
      <c r="F182" s="28" t="s">
        <v>64</v>
      </c>
      <c r="G182" s="28" t="s">
        <v>66</v>
      </c>
      <c r="H182" s="29" t="s">
        <v>66</v>
      </c>
      <c r="I182" s="28"/>
      <c r="J182" s="28" t="s">
        <v>65</v>
      </c>
      <c r="K182" s="29" t="s">
        <v>65</v>
      </c>
      <c r="L182" s="29" t="str">
        <f t="shared" si="6"/>
        <v>LIRA-KAMPALA</v>
      </c>
      <c r="M182" s="30">
        <v>46</v>
      </c>
      <c r="N182" s="37">
        <v>25000</v>
      </c>
      <c r="O182" s="36">
        <v>5</v>
      </c>
    </row>
    <row r="183" spans="2:15" s="19" customFormat="1" x14ac:dyDescent="0.2">
      <c r="B183" s="59">
        <v>0.48541666666666666</v>
      </c>
      <c r="C183" s="27">
        <v>6</v>
      </c>
      <c r="D183" s="35" t="str">
        <f>IF(C183="", "",VLOOKUP(C183,Key!$A$5:$B$7,2,FALSE))</f>
        <v>Large Bus</v>
      </c>
      <c r="E183" s="28"/>
      <c r="F183" s="28" t="s">
        <v>64</v>
      </c>
      <c r="G183" s="28" t="s">
        <v>66</v>
      </c>
      <c r="H183" s="29" t="s">
        <v>66</v>
      </c>
      <c r="I183" s="28"/>
      <c r="J183" s="28" t="s">
        <v>65</v>
      </c>
      <c r="K183" s="29" t="s">
        <v>65</v>
      </c>
      <c r="L183" s="29" t="str">
        <f t="shared" si="6"/>
        <v>LIRA-KAMPALA</v>
      </c>
      <c r="M183" s="30">
        <v>24</v>
      </c>
      <c r="N183" s="37">
        <v>25000</v>
      </c>
      <c r="O183" s="36">
        <v>5</v>
      </c>
    </row>
    <row r="184" spans="2:15" s="19" customFormat="1" x14ac:dyDescent="0.2">
      <c r="B184" s="59">
        <v>0.48749999999999999</v>
      </c>
      <c r="C184" s="27">
        <v>6</v>
      </c>
      <c r="D184" s="35" t="str">
        <f>IF(C184="", "",VLOOKUP(C184,Key!$A$5:$B$7,2,FALSE))</f>
        <v>Large Bus</v>
      </c>
      <c r="E184" s="28"/>
      <c r="F184" s="28" t="s">
        <v>64</v>
      </c>
      <c r="G184" s="28" t="s">
        <v>66</v>
      </c>
      <c r="H184" s="29" t="s">
        <v>66</v>
      </c>
      <c r="I184" s="28"/>
      <c r="J184" s="28" t="s">
        <v>65</v>
      </c>
      <c r="K184" s="29" t="s">
        <v>65</v>
      </c>
      <c r="L184" s="29" t="str">
        <f t="shared" si="6"/>
        <v>LIRA-KAMPALA</v>
      </c>
      <c r="M184" s="30">
        <v>52</v>
      </c>
      <c r="N184" s="37">
        <v>25000</v>
      </c>
      <c r="O184" s="36">
        <v>5</v>
      </c>
    </row>
    <row r="185" spans="2:15" s="19" customFormat="1" x14ac:dyDescent="0.2">
      <c r="B185" s="59">
        <v>0.48888888888888887</v>
      </c>
      <c r="C185" s="27">
        <v>6</v>
      </c>
      <c r="D185" s="35" t="str">
        <f>IF(C185="", "",VLOOKUP(C185,Key!$A$5:$B$7,2,FALSE))</f>
        <v>Large Bus</v>
      </c>
      <c r="E185" s="28"/>
      <c r="F185" s="28" t="s">
        <v>63</v>
      </c>
      <c r="G185" s="28" t="s">
        <v>65</v>
      </c>
      <c r="H185" s="29" t="s">
        <v>65</v>
      </c>
      <c r="I185" s="28"/>
      <c r="J185" s="28" t="s">
        <v>66</v>
      </c>
      <c r="K185" s="29" t="s">
        <v>66</v>
      </c>
      <c r="L185" s="29" t="str">
        <f t="shared" si="6"/>
        <v>KAMPALA-LIRA</v>
      </c>
      <c r="M185" s="30">
        <v>52</v>
      </c>
      <c r="N185" s="37">
        <v>25000</v>
      </c>
      <c r="O185" s="36">
        <v>5</v>
      </c>
    </row>
    <row r="186" spans="2:15" s="19" customFormat="1" x14ac:dyDescent="0.2">
      <c r="B186" s="59">
        <v>0</v>
      </c>
      <c r="C186" s="27">
        <v>6</v>
      </c>
      <c r="D186" s="35" t="str">
        <f>IF(C186="", "",VLOOKUP(C186,Key!$A$5:$B$7,2,FALSE))</f>
        <v>Large Bus</v>
      </c>
      <c r="E186" s="28"/>
      <c r="F186" s="28" t="s">
        <v>64</v>
      </c>
      <c r="G186" s="28" t="s">
        <v>67</v>
      </c>
      <c r="H186" s="29" t="s">
        <v>67</v>
      </c>
      <c r="I186" s="28"/>
      <c r="J186" s="28" t="s">
        <v>65</v>
      </c>
      <c r="K186" s="29" t="s">
        <v>65</v>
      </c>
      <c r="L186" s="29" t="str">
        <f t="shared" si="6"/>
        <v>APAC-KAMPALA</v>
      </c>
      <c r="M186" s="30">
        <v>42</v>
      </c>
      <c r="N186" s="37">
        <v>20000</v>
      </c>
      <c r="O186" s="36">
        <v>4.25</v>
      </c>
    </row>
    <row r="187" spans="2:15" s="19" customFormat="1" x14ac:dyDescent="0.2">
      <c r="B187" s="59">
        <v>0</v>
      </c>
      <c r="C187" s="27">
        <v>6</v>
      </c>
      <c r="D187" s="35" t="str">
        <f>IF(C187="", "",VLOOKUP(C187,Key!$A$5:$B$7,2,FALSE))</f>
        <v>Large Bus</v>
      </c>
      <c r="E187" s="28"/>
      <c r="F187" s="28" t="s">
        <v>64</v>
      </c>
      <c r="G187" s="28" t="s">
        <v>66</v>
      </c>
      <c r="H187" s="29" t="s">
        <v>66</v>
      </c>
      <c r="I187" s="28"/>
      <c r="J187" s="28" t="s">
        <v>65</v>
      </c>
      <c r="K187" s="29" t="s">
        <v>65</v>
      </c>
      <c r="L187" s="29" t="str">
        <f t="shared" si="6"/>
        <v>LIRA-KAMPALA</v>
      </c>
      <c r="M187" s="30">
        <v>50</v>
      </c>
      <c r="N187" s="37">
        <v>25000</v>
      </c>
      <c r="O187" s="36">
        <v>5</v>
      </c>
    </row>
    <row r="188" spans="2:15" s="19" customFormat="1" x14ac:dyDescent="0.2">
      <c r="B188" s="59">
        <v>0</v>
      </c>
      <c r="C188" s="27">
        <v>6</v>
      </c>
      <c r="D188" s="35" t="str">
        <f>IF(C188="", "",VLOOKUP(C188,Key!$A$5:$B$7,2,FALSE))</f>
        <v>Large Bus</v>
      </c>
      <c r="E188" s="28"/>
      <c r="F188" s="28" t="s">
        <v>64</v>
      </c>
      <c r="G188" s="28" t="s">
        <v>66</v>
      </c>
      <c r="H188" s="29" t="s">
        <v>66</v>
      </c>
      <c r="I188" s="28"/>
      <c r="J188" s="28" t="s">
        <v>65</v>
      </c>
      <c r="K188" s="29" t="s">
        <v>65</v>
      </c>
      <c r="L188" s="29" t="str">
        <f t="shared" si="6"/>
        <v>LIRA-KAMPALA</v>
      </c>
      <c r="M188" s="30">
        <v>30</v>
      </c>
      <c r="N188" s="37">
        <v>25000</v>
      </c>
      <c r="O188" s="36">
        <v>5</v>
      </c>
    </row>
    <row r="189" spans="2:15" s="19" customFormat="1" x14ac:dyDescent="0.2">
      <c r="B189" s="59">
        <v>0.50069444444444444</v>
      </c>
      <c r="C189" s="27">
        <v>6</v>
      </c>
      <c r="D189" s="35" t="str">
        <f>IF(C189="", "",VLOOKUP(C189,Key!$A$5:$B$7,2,FALSE))</f>
        <v>Large Bus</v>
      </c>
      <c r="E189" s="28"/>
      <c r="F189" s="28" t="s">
        <v>64</v>
      </c>
      <c r="G189" s="28" t="s">
        <v>66</v>
      </c>
      <c r="H189" s="29" t="s">
        <v>66</v>
      </c>
      <c r="I189" s="28"/>
      <c r="J189" s="28" t="s">
        <v>65</v>
      </c>
      <c r="K189" s="29" t="s">
        <v>65</v>
      </c>
      <c r="L189" s="29" t="str">
        <f t="shared" si="6"/>
        <v>LIRA-KAMPALA</v>
      </c>
      <c r="M189" s="30">
        <v>59</v>
      </c>
      <c r="N189" s="37">
        <v>25000</v>
      </c>
      <c r="O189" s="36">
        <v>5</v>
      </c>
    </row>
    <row r="190" spans="2:15" s="19" customFormat="1" x14ac:dyDescent="0.2">
      <c r="B190" s="59">
        <v>9.7222222222222224E-3</v>
      </c>
      <c r="C190" s="27">
        <v>6</v>
      </c>
      <c r="D190" s="35" t="str">
        <f>IF(C190="", "",VLOOKUP(C190,Key!$A$5:$B$7,2,FALSE))</f>
        <v>Large Bus</v>
      </c>
      <c r="E190" s="28"/>
      <c r="F190" s="28" t="s">
        <v>64</v>
      </c>
      <c r="G190" s="28" t="s">
        <v>66</v>
      </c>
      <c r="H190" s="29" t="s">
        <v>66</v>
      </c>
      <c r="I190" s="28"/>
      <c r="J190" s="28" t="s">
        <v>65</v>
      </c>
      <c r="K190" s="29" t="s">
        <v>65</v>
      </c>
      <c r="L190" s="29" t="str">
        <f t="shared" si="6"/>
        <v>LIRA-KAMPALA</v>
      </c>
      <c r="M190" s="30">
        <v>65</v>
      </c>
      <c r="N190" s="37">
        <v>25000</v>
      </c>
      <c r="O190" s="36">
        <v>5</v>
      </c>
    </row>
    <row r="191" spans="2:15" s="19" customFormat="1" x14ac:dyDescent="0.2">
      <c r="B191" s="59">
        <v>0.51041666666666663</v>
      </c>
      <c r="C191" s="27">
        <v>6</v>
      </c>
      <c r="D191" s="35" t="str">
        <f>IF(C191="", "",VLOOKUP(C191,Key!$A$5:$B$7,2,FALSE))</f>
        <v>Large Bus</v>
      </c>
      <c r="E191" s="28"/>
      <c r="F191" s="28" t="s">
        <v>63</v>
      </c>
      <c r="G191" s="28" t="s">
        <v>66</v>
      </c>
      <c r="H191" s="29" t="s">
        <v>66</v>
      </c>
      <c r="I191" s="28"/>
      <c r="J191" s="28" t="s">
        <v>65</v>
      </c>
      <c r="K191" s="29" t="s">
        <v>65</v>
      </c>
      <c r="L191" s="29" t="str">
        <f t="shared" si="6"/>
        <v>LIRA-KAMPALA</v>
      </c>
      <c r="M191" s="30">
        <v>36</v>
      </c>
      <c r="N191" s="37">
        <v>25000</v>
      </c>
      <c r="O191" s="36">
        <v>5</v>
      </c>
    </row>
    <row r="192" spans="2:15" s="19" customFormat="1" x14ac:dyDescent="0.2">
      <c r="B192" s="59">
        <v>2.0833333333333332E-2</v>
      </c>
      <c r="C192" s="27">
        <v>6</v>
      </c>
      <c r="D192" s="35" t="str">
        <f>IF(C192="", "",VLOOKUP(C192,Key!$A$5:$B$7,2,FALSE))</f>
        <v>Large Bus</v>
      </c>
      <c r="E192" s="28"/>
      <c r="F192" s="28" t="s">
        <v>64</v>
      </c>
      <c r="G192" s="28" t="s">
        <v>66</v>
      </c>
      <c r="H192" s="29" t="s">
        <v>66</v>
      </c>
      <c r="I192" s="28"/>
      <c r="J192" s="28" t="s">
        <v>65</v>
      </c>
      <c r="K192" s="29" t="s">
        <v>65</v>
      </c>
      <c r="L192" s="29" t="str">
        <f t="shared" si="6"/>
        <v>LIRA-KAMPALA</v>
      </c>
      <c r="M192" s="30">
        <v>65</v>
      </c>
      <c r="N192" s="37">
        <v>25000</v>
      </c>
      <c r="O192" s="36">
        <v>5</v>
      </c>
    </row>
    <row r="193" spans="2:15" s="19" customFormat="1" x14ac:dyDescent="0.2">
      <c r="B193" s="59">
        <v>0.52152777777777781</v>
      </c>
      <c r="C193" s="27">
        <v>6</v>
      </c>
      <c r="D193" s="35" t="str">
        <f>IF(C193="", "",VLOOKUP(C193,Key!$A$5:$B$7,2,FALSE))</f>
        <v>Large Bus</v>
      </c>
      <c r="E193" s="28"/>
      <c r="F193" s="28" t="s">
        <v>64</v>
      </c>
      <c r="G193" s="28" t="s">
        <v>70</v>
      </c>
      <c r="H193" s="29" t="s">
        <v>70</v>
      </c>
      <c r="I193" s="28"/>
      <c r="J193" s="28" t="s">
        <v>69</v>
      </c>
      <c r="K193" s="29" t="s">
        <v>69</v>
      </c>
      <c r="L193" s="29" t="str">
        <f t="shared" si="6"/>
        <v>BUSIA-GULU</v>
      </c>
      <c r="M193" s="30">
        <v>66</v>
      </c>
      <c r="N193" s="37">
        <v>30000</v>
      </c>
      <c r="O193" s="36">
        <v>7</v>
      </c>
    </row>
    <row r="194" spans="2:15" s="19" customFormat="1" x14ac:dyDescent="0.2">
      <c r="B194" s="59">
        <v>3.125E-2</v>
      </c>
      <c r="C194" s="27">
        <v>6</v>
      </c>
      <c r="D194" s="35" t="str">
        <f>IF(C194="", "",VLOOKUP(C194,Key!$A$5:$B$7,2,FALSE))</f>
        <v>Large Bus</v>
      </c>
      <c r="E194" s="28"/>
      <c r="F194" s="28" t="s">
        <v>63</v>
      </c>
      <c r="G194" s="28" t="s">
        <v>65</v>
      </c>
      <c r="H194" s="29" t="s">
        <v>65</v>
      </c>
      <c r="I194" s="28"/>
      <c r="J194" s="28" t="s">
        <v>66</v>
      </c>
      <c r="K194" s="29" t="s">
        <v>66</v>
      </c>
      <c r="L194" s="29" t="str">
        <f t="shared" si="6"/>
        <v>KAMPALA-LIRA</v>
      </c>
      <c r="M194" s="30">
        <v>66</v>
      </c>
      <c r="N194" s="37">
        <v>25000</v>
      </c>
      <c r="O194" s="36">
        <v>5</v>
      </c>
    </row>
    <row r="195" spans="2:15" s="19" customFormat="1" x14ac:dyDescent="0.2">
      <c r="B195" s="59">
        <v>3.125E-2</v>
      </c>
      <c r="C195" s="27">
        <v>6</v>
      </c>
      <c r="D195" s="35" t="str">
        <f>IF(C195="", "",VLOOKUP(C195,Key!$A$5:$B$7,2,FALSE))</f>
        <v>Large Bus</v>
      </c>
      <c r="E195" s="28"/>
      <c r="F195" s="28" t="s">
        <v>64</v>
      </c>
      <c r="G195" s="28" t="s">
        <v>67</v>
      </c>
      <c r="H195" s="29" t="s">
        <v>67</v>
      </c>
      <c r="I195" s="28"/>
      <c r="J195" s="28" t="s">
        <v>65</v>
      </c>
      <c r="K195" s="29" t="s">
        <v>65</v>
      </c>
      <c r="L195" s="29" t="str">
        <f t="shared" si="6"/>
        <v>APAC-KAMPALA</v>
      </c>
      <c r="M195" s="30">
        <v>26</v>
      </c>
      <c r="N195" s="37">
        <v>20000</v>
      </c>
      <c r="O195" s="36">
        <v>4.25</v>
      </c>
    </row>
    <row r="196" spans="2:15" s="19" customFormat="1" x14ac:dyDescent="0.2">
      <c r="B196" s="59">
        <v>4.1666666666666666E-3</v>
      </c>
      <c r="C196" s="27">
        <v>6</v>
      </c>
      <c r="D196" s="35" t="str">
        <f>IF(C196="", "",VLOOKUP(C196,Key!$A$5:$B$7,2,FALSE))</f>
        <v>Large Bus</v>
      </c>
      <c r="E196" s="28"/>
      <c r="F196" s="28" t="s">
        <v>64</v>
      </c>
      <c r="G196" s="28" t="s">
        <v>66</v>
      </c>
      <c r="H196" s="29" t="s">
        <v>66</v>
      </c>
      <c r="I196" s="28"/>
      <c r="J196" s="28" t="s">
        <v>65</v>
      </c>
      <c r="K196" s="29" t="s">
        <v>65</v>
      </c>
      <c r="L196" s="29" t="str">
        <f t="shared" si="6"/>
        <v>LIRA-KAMPALA</v>
      </c>
      <c r="M196" s="30">
        <v>16</v>
      </c>
      <c r="N196" s="37">
        <v>25000</v>
      </c>
      <c r="O196" s="36">
        <v>5</v>
      </c>
    </row>
    <row r="197" spans="2:15" s="19" customFormat="1" x14ac:dyDescent="0.2">
      <c r="B197" s="59">
        <v>0.54166666666666663</v>
      </c>
      <c r="C197" s="27">
        <v>6</v>
      </c>
      <c r="D197" s="35" t="str">
        <f>IF(C197="", "",VLOOKUP(C197,Key!$A$5:$B$7,2,FALSE))</f>
        <v>Large Bus</v>
      </c>
      <c r="E197" s="28"/>
      <c r="F197" s="28" t="s">
        <v>64</v>
      </c>
      <c r="G197" s="28" t="s">
        <v>66</v>
      </c>
      <c r="H197" s="29" t="s">
        <v>66</v>
      </c>
      <c r="I197" s="28"/>
      <c r="J197" s="28" t="s">
        <v>65</v>
      </c>
      <c r="K197" s="29" t="s">
        <v>65</v>
      </c>
      <c r="L197" s="29" t="str">
        <f t="shared" si="6"/>
        <v>LIRA-KAMPALA</v>
      </c>
      <c r="M197" s="30">
        <v>17</v>
      </c>
      <c r="N197" s="37">
        <v>25000</v>
      </c>
      <c r="O197" s="36">
        <v>5</v>
      </c>
    </row>
    <row r="198" spans="2:15" s="19" customFormat="1" x14ac:dyDescent="0.2">
      <c r="B198" s="59">
        <v>0.54166666666666663</v>
      </c>
      <c r="C198" s="27">
        <v>6</v>
      </c>
      <c r="D198" s="35" t="str">
        <f>IF(C198="", "",VLOOKUP(C198,Key!$A$5:$B$7,2,FALSE))</f>
        <v>Large Bus</v>
      </c>
      <c r="E198" s="28"/>
      <c r="F198" s="28" t="s">
        <v>64</v>
      </c>
      <c r="G198" s="28" t="s">
        <v>66</v>
      </c>
      <c r="H198" s="29" t="s">
        <v>66</v>
      </c>
      <c r="I198" s="28"/>
      <c r="J198" s="28" t="s">
        <v>65</v>
      </c>
      <c r="K198" s="29" t="s">
        <v>65</v>
      </c>
      <c r="L198" s="29" t="str">
        <f t="shared" si="6"/>
        <v>LIRA-KAMPALA</v>
      </c>
      <c r="M198" s="30">
        <v>36</v>
      </c>
      <c r="N198" s="37">
        <v>25000</v>
      </c>
      <c r="O198" s="36">
        <v>5</v>
      </c>
    </row>
    <row r="199" spans="2:15" s="19" customFormat="1" x14ac:dyDescent="0.2">
      <c r="B199" s="59">
        <v>0.55972222222222223</v>
      </c>
      <c r="C199" s="27">
        <v>6</v>
      </c>
      <c r="D199" s="35" t="str">
        <f>IF(C199="", "",VLOOKUP(C199,Key!$A$5:$B$7,2,FALSE))</f>
        <v>Large Bus</v>
      </c>
      <c r="E199" s="28"/>
      <c r="F199" s="28" t="s">
        <v>63</v>
      </c>
      <c r="G199" s="28" t="s">
        <v>65</v>
      </c>
      <c r="H199" s="29" t="s">
        <v>65</v>
      </c>
      <c r="I199" s="28"/>
      <c r="J199" s="28" t="s">
        <v>67</v>
      </c>
      <c r="K199" s="29" t="s">
        <v>67</v>
      </c>
      <c r="L199" s="29" t="str">
        <f t="shared" si="6"/>
        <v>KAMPALA-APAC</v>
      </c>
      <c r="M199" s="30">
        <v>32</v>
      </c>
      <c r="N199" s="37">
        <v>20000</v>
      </c>
      <c r="O199" s="36">
        <v>4.5</v>
      </c>
    </row>
    <row r="200" spans="2:15" s="19" customFormat="1" x14ac:dyDescent="0.2">
      <c r="B200" s="59">
        <v>0.58263888888888882</v>
      </c>
      <c r="C200" s="27">
        <v>6</v>
      </c>
      <c r="D200" s="35" t="str">
        <f>IF(C200="", "",VLOOKUP(C200,Key!$A$5:$B$7,2,FALSE))</f>
        <v>Large Bus</v>
      </c>
      <c r="E200" s="28"/>
      <c r="F200" s="28" t="s">
        <v>64</v>
      </c>
      <c r="G200" s="28" t="s">
        <v>66</v>
      </c>
      <c r="H200" s="29" t="s">
        <v>66</v>
      </c>
      <c r="I200" s="28"/>
      <c r="J200" s="28" t="s">
        <v>65</v>
      </c>
      <c r="K200" s="29" t="s">
        <v>65</v>
      </c>
      <c r="L200" s="29" t="str">
        <f t="shared" si="6"/>
        <v>LIRA-KAMPALA</v>
      </c>
      <c r="M200" s="30">
        <v>43</v>
      </c>
      <c r="N200" s="37">
        <v>25000</v>
      </c>
      <c r="O200" s="36">
        <v>5</v>
      </c>
    </row>
    <row r="201" spans="2:15" s="19" customFormat="1" x14ac:dyDescent="0.2">
      <c r="B201" s="59">
        <v>0.58333333333333337</v>
      </c>
      <c r="C201" s="27">
        <v>6</v>
      </c>
      <c r="D201" s="35" t="str">
        <f>IF(C201="", "",VLOOKUP(C201,Key!$A$5:$B$7,2,FALSE))</f>
        <v>Large Bus</v>
      </c>
      <c r="E201" s="28"/>
      <c r="F201" s="28" t="s">
        <v>64</v>
      </c>
      <c r="G201" s="28" t="s">
        <v>65</v>
      </c>
      <c r="H201" s="29" t="s">
        <v>65</v>
      </c>
      <c r="I201" s="28"/>
      <c r="J201" s="28" t="s">
        <v>67</v>
      </c>
      <c r="K201" s="29" t="s">
        <v>67</v>
      </c>
      <c r="L201" s="29" t="str">
        <f t="shared" si="6"/>
        <v>KAMPALA-APAC</v>
      </c>
      <c r="M201" s="30">
        <v>32</v>
      </c>
      <c r="N201" s="37">
        <v>20000</v>
      </c>
      <c r="O201" s="36">
        <v>4.5</v>
      </c>
    </row>
    <row r="202" spans="2:15" s="19" customFormat="1" x14ac:dyDescent="0.2">
      <c r="B202" s="59">
        <v>0.59930555555555554</v>
      </c>
      <c r="C202" s="27">
        <v>6</v>
      </c>
      <c r="D202" s="35" t="str">
        <f>IF(C202="", "",VLOOKUP(C202,Key!$A$5:$B$7,2,FALSE))</f>
        <v>Large Bus</v>
      </c>
      <c r="E202" s="28"/>
      <c r="F202" s="28" t="s">
        <v>64</v>
      </c>
      <c r="G202" s="28" t="s">
        <v>66</v>
      </c>
      <c r="H202" s="29" t="s">
        <v>66</v>
      </c>
      <c r="I202" s="28"/>
      <c r="J202" s="28" t="s">
        <v>65</v>
      </c>
      <c r="K202" s="29" t="s">
        <v>65</v>
      </c>
      <c r="L202" s="29" t="str">
        <f t="shared" si="6"/>
        <v>LIRA-KAMPALA</v>
      </c>
      <c r="M202" s="30">
        <v>65</v>
      </c>
      <c r="N202" s="37">
        <v>25000</v>
      </c>
      <c r="O202" s="36">
        <v>5</v>
      </c>
    </row>
    <row r="203" spans="2:15" s="19" customFormat="1" x14ac:dyDescent="0.2">
      <c r="B203" s="59">
        <v>0.59930555555555554</v>
      </c>
      <c r="C203" s="27">
        <v>6</v>
      </c>
      <c r="D203" s="35" t="str">
        <f>IF(C203="", "",VLOOKUP(C203,Key!$A$5:$B$7,2,FALSE))</f>
        <v>Large Bus</v>
      </c>
      <c r="E203" s="28"/>
      <c r="F203" s="28" t="s">
        <v>64</v>
      </c>
      <c r="G203" s="28" t="s">
        <v>67</v>
      </c>
      <c r="H203" s="29" t="s">
        <v>67</v>
      </c>
      <c r="I203" s="28"/>
      <c r="J203" s="28" t="s">
        <v>65</v>
      </c>
      <c r="K203" s="29" t="s">
        <v>65</v>
      </c>
      <c r="L203" s="29" t="str">
        <f t="shared" si="6"/>
        <v>APAC-KAMPALA</v>
      </c>
      <c r="M203" s="30">
        <v>44</v>
      </c>
      <c r="N203" s="37">
        <v>20000</v>
      </c>
      <c r="O203" s="36">
        <v>4.25</v>
      </c>
    </row>
    <row r="204" spans="2:15" s="19" customFormat="1" x14ac:dyDescent="0.2">
      <c r="B204" s="59">
        <v>0.62291666666666667</v>
      </c>
      <c r="C204" s="27">
        <v>6</v>
      </c>
      <c r="D204" s="35" t="str">
        <f>IF(C204="", "",VLOOKUP(C204,Key!$A$5:$B$7,2,FALSE))</f>
        <v>Large Bus</v>
      </c>
      <c r="E204" s="28"/>
      <c r="F204" s="28" t="s">
        <v>63</v>
      </c>
      <c r="G204" s="28" t="s">
        <v>65</v>
      </c>
      <c r="H204" s="29" t="s">
        <v>65</v>
      </c>
      <c r="I204" s="28"/>
      <c r="J204" s="28" t="s">
        <v>67</v>
      </c>
      <c r="K204" s="29" t="s">
        <v>67</v>
      </c>
      <c r="L204" s="29" t="str">
        <f t="shared" si="6"/>
        <v>KAMPALA-APAC</v>
      </c>
      <c r="M204" s="30">
        <v>44</v>
      </c>
      <c r="N204" s="37">
        <v>20000</v>
      </c>
      <c r="O204" s="36">
        <v>4.5</v>
      </c>
    </row>
    <row r="205" spans="2:15" s="19" customFormat="1" x14ac:dyDescent="0.2">
      <c r="B205" s="59">
        <v>0.69374999999999998</v>
      </c>
      <c r="C205" s="27">
        <v>6</v>
      </c>
      <c r="D205" s="35" t="str">
        <f>IF(C205="", "",VLOOKUP(C205,Key!$A$5:$B$7,2,FALSE))</f>
        <v>Large Bus</v>
      </c>
      <c r="E205" s="28"/>
      <c r="F205" s="28" t="s">
        <v>63</v>
      </c>
      <c r="G205" s="28" t="s">
        <v>65</v>
      </c>
      <c r="H205" s="29" t="s">
        <v>65</v>
      </c>
      <c r="I205" s="28"/>
      <c r="J205" s="28" t="s">
        <v>67</v>
      </c>
      <c r="K205" s="29" t="s">
        <v>67</v>
      </c>
      <c r="L205" s="29" t="str">
        <f t="shared" si="6"/>
        <v>KAMPALA-APAC</v>
      </c>
      <c r="M205" s="30">
        <v>44</v>
      </c>
      <c r="N205" s="37">
        <v>20000</v>
      </c>
      <c r="O205" s="36">
        <v>4.5</v>
      </c>
    </row>
    <row r="206" spans="2:15" s="19" customFormat="1" x14ac:dyDescent="0.2">
      <c r="B206" s="59">
        <v>0.70833333333333337</v>
      </c>
      <c r="C206" s="27">
        <v>6</v>
      </c>
      <c r="D206" s="35" t="str">
        <f>IF(C206="", "",VLOOKUP(C206,Key!$A$5:$B$7,2,FALSE))</f>
        <v>Large Bus</v>
      </c>
      <c r="E206" s="28"/>
      <c r="F206" s="28" t="s">
        <v>64</v>
      </c>
      <c r="G206" s="28" t="s">
        <v>65</v>
      </c>
      <c r="H206" s="29" t="s">
        <v>65</v>
      </c>
      <c r="I206" s="28"/>
      <c r="J206" s="28" t="s">
        <v>67</v>
      </c>
      <c r="K206" s="29" t="s">
        <v>67</v>
      </c>
      <c r="L206" s="29" t="str">
        <f t="shared" si="6"/>
        <v>KAMPALA-APAC</v>
      </c>
      <c r="M206" s="30">
        <v>44</v>
      </c>
      <c r="N206" s="37">
        <v>20000</v>
      </c>
      <c r="O206" s="36">
        <v>4.5</v>
      </c>
    </row>
    <row r="207" spans="2:15" s="19" customFormat="1" x14ac:dyDescent="0.2">
      <c r="B207" s="59">
        <v>0.73263888888888884</v>
      </c>
      <c r="C207" s="27">
        <v>6</v>
      </c>
      <c r="D207" s="35" t="str">
        <f>IF(C207="", "",VLOOKUP(C207,Key!$A$5:$B$7,2,FALSE))</f>
        <v>Large Bus</v>
      </c>
      <c r="E207" s="28"/>
      <c r="F207" s="28" t="s">
        <v>63</v>
      </c>
      <c r="G207" s="28" t="s">
        <v>65</v>
      </c>
      <c r="H207" s="29" t="s">
        <v>65</v>
      </c>
      <c r="I207" s="28"/>
      <c r="J207" s="28" t="s">
        <v>66</v>
      </c>
      <c r="K207" s="29" t="s">
        <v>66</v>
      </c>
      <c r="L207" s="29" t="str">
        <f t="shared" si="6"/>
        <v>KAMPALA-LIRA</v>
      </c>
      <c r="M207" s="30">
        <v>44</v>
      </c>
      <c r="N207" s="37">
        <v>25000</v>
      </c>
      <c r="O207" s="36">
        <v>5</v>
      </c>
    </row>
    <row r="208" spans="2:15" s="19" customFormat="1" x14ac:dyDescent="0.2">
      <c r="B208" s="59">
        <v>0.73958333333333337</v>
      </c>
      <c r="C208" s="27">
        <v>6</v>
      </c>
      <c r="D208" s="35" t="str">
        <f>IF(C208="", "",VLOOKUP(C208,Key!$A$5:$B$7,2,FALSE))</f>
        <v>Large Bus</v>
      </c>
      <c r="E208" s="28"/>
      <c r="F208" s="28" t="s">
        <v>63</v>
      </c>
      <c r="G208" s="28" t="s">
        <v>65</v>
      </c>
      <c r="H208" s="29" t="s">
        <v>65</v>
      </c>
      <c r="I208" s="28"/>
      <c r="J208" s="28" t="s">
        <v>66</v>
      </c>
      <c r="K208" s="29" t="s">
        <v>66</v>
      </c>
      <c r="L208" s="29" t="str">
        <f t="shared" si="6"/>
        <v>KAMPALA-LIRA</v>
      </c>
      <c r="M208" s="30">
        <v>44</v>
      </c>
      <c r="N208" s="37">
        <v>25000</v>
      </c>
      <c r="O208" s="36">
        <v>5</v>
      </c>
    </row>
    <row r="209" spans="2:15" s="19" customFormat="1" x14ac:dyDescent="0.2">
      <c r="B209" s="59">
        <v>0.77083333333333337</v>
      </c>
      <c r="C209" s="27">
        <v>6</v>
      </c>
      <c r="D209" s="35" t="str">
        <f>IF(C209="", "",VLOOKUP(C209,Key!$A$5:$B$7,2,FALSE))</f>
        <v>Large Bus</v>
      </c>
      <c r="E209" s="28"/>
      <c r="F209" s="28" t="s">
        <v>63</v>
      </c>
      <c r="G209" s="28" t="s">
        <v>66</v>
      </c>
      <c r="H209" s="29" t="s">
        <v>66</v>
      </c>
      <c r="I209" s="28"/>
      <c r="J209" s="28" t="s">
        <v>65</v>
      </c>
      <c r="K209" s="29" t="s">
        <v>65</v>
      </c>
      <c r="L209" s="29" t="str">
        <f t="shared" si="6"/>
        <v>LIRA-KAMPALA</v>
      </c>
      <c r="M209" s="30">
        <v>48</v>
      </c>
      <c r="N209" s="37">
        <v>25000</v>
      </c>
      <c r="O209" s="36">
        <v>5</v>
      </c>
    </row>
    <row r="210" spans="2:15" s="19" customFormat="1" x14ac:dyDescent="0.2">
      <c r="B210" s="59">
        <v>0.60416666666666663</v>
      </c>
      <c r="C210" s="27">
        <v>6</v>
      </c>
      <c r="D210" s="35" t="str">
        <f>IF(C210="", "",VLOOKUP(C210,Key!$A$5:$B$7,2,FALSE))</f>
        <v>Large Bus</v>
      </c>
      <c r="E210" s="28"/>
      <c r="F210" s="28" t="s">
        <v>64</v>
      </c>
      <c r="G210" s="28" t="s">
        <v>65</v>
      </c>
      <c r="H210" s="29" t="s">
        <v>65</v>
      </c>
      <c r="I210" s="28"/>
      <c r="J210" s="28" t="s">
        <v>69</v>
      </c>
      <c r="K210" s="29" t="s">
        <v>69</v>
      </c>
      <c r="L210" s="29" t="str">
        <f t="shared" si="6"/>
        <v>KAMPALA-GULU</v>
      </c>
      <c r="M210" s="30">
        <v>51</v>
      </c>
      <c r="N210" s="37">
        <v>25000</v>
      </c>
      <c r="O210" s="36">
        <v>5</v>
      </c>
    </row>
    <row r="211" spans="2:15" s="19" customFormat="1" x14ac:dyDescent="0.2">
      <c r="B211" s="59">
        <v>0.2388888888888889</v>
      </c>
      <c r="C211" s="27">
        <v>6</v>
      </c>
      <c r="D211" s="35" t="str">
        <f>IF(C211="", "",VLOOKUP(C211,Key!$A$5:$B$7,2,FALSE))</f>
        <v>Large Bus</v>
      </c>
      <c r="E211" s="28"/>
      <c r="F211" s="28" t="s">
        <v>64</v>
      </c>
      <c r="G211" s="28" t="s">
        <v>67</v>
      </c>
      <c r="H211" s="29" t="s">
        <v>67</v>
      </c>
      <c r="I211" s="28"/>
      <c r="J211" s="28" t="s">
        <v>65</v>
      </c>
      <c r="K211" s="29" t="s">
        <v>65</v>
      </c>
      <c r="L211" s="29" t="str">
        <f t="shared" si="6"/>
        <v>APAC-KAMPALA</v>
      </c>
      <c r="M211" s="30">
        <v>50</v>
      </c>
      <c r="N211" s="37">
        <v>20000</v>
      </c>
      <c r="O211" s="36">
        <v>4.25</v>
      </c>
    </row>
    <row r="212" spans="2:15" s="19" customFormat="1" x14ac:dyDescent="0.2">
      <c r="B212" s="59">
        <v>0.74097222222222225</v>
      </c>
      <c r="C212" s="27">
        <v>6</v>
      </c>
      <c r="D212" s="35" t="str">
        <f>IF(C212="", "",VLOOKUP(C212,Key!$A$5:$B$7,2,FALSE))</f>
        <v>Large Bus</v>
      </c>
      <c r="E212" s="28"/>
      <c r="F212" s="28" t="s">
        <v>63</v>
      </c>
      <c r="G212" s="28" t="s">
        <v>67</v>
      </c>
      <c r="H212" s="29" t="s">
        <v>67</v>
      </c>
      <c r="I212" s="28"/>
      <c r="J212" s="28" t="s">
        <v>66</v>
      </c>
      <c r="K212" s="29" t="s">
        <v>66</v>
      </c>
      <c r="L212" s="29" t="str">
        <f t="shared" si="6"/>
        <v>APAC-LIRA</v>
      </c>
      <c r="M212" s="30">
        <v>50</v>
      </c>
      <c r="N212" s="37">
        <v>6000</v>
      </c>
      <c r="O212" s="36">
        <v>1</v>
      </c>
    </row>
    <row r="213" spans="2:15" s="19" customFormat="1" x14ac:dyDescent="0.2">
      <c r="B213" s="59">
        <v>0.29444444444444445</v>
      </c>
      <c r="C213" s="27">
        <v>6</v>
      </c>
      <c r="D213" s="35" t="str">
        <f>IF(C213="", "",VLOOKUP(C213,Key!$A$5:$B$7,2,FALSE))</f>
        <v>Large Bus</v>
      </c>
      <c r="E213" s="28"/>
      <c r="F213" s="28" t="s">
        <v>63</v>
      </c>
      <c r="G213" s="28" t="s">
        <v>65</v>
      </c>
      <c r="H213" s="29" t="s">
        <v>65</v>
      </c>
      <c r="I213" s="28"/>
      <c r="J213" s="28" t="s">
        <v>66</v>
      </c>
      <c r="K213" s="29" t="s">
        <v>66</v>
      </c>
      <c r="L213" s="29" t="str">
        <f t="shared" ref="L213:L244" si="7">H213&amp;"-"&amp;K213</f>
        <v>KAMPALA-LIRA</v>
      </c>
      <c r="M213" s="30">
        <v>50</v>
      </c>
      <c r="N213" s="37">
        <v>25000</v>
      </c>
      <c r="O213" s="36">
        <v>5</v>
      </c>
    </row>
    <row r="214" spans="2:15" s="19" customFormat="1" x14ac:dyDescent="0.2">
      <c r="B214" s="59">
        <v>0.81874999999999998</v>
      </c>
      <c r="C214" s="27">
        <v>6</v>
      </c>
      <c r="D214" s="35" t="str">
        <f>IF(C214="", "",VLOOKUP(C214,Key!$A$5:$B$7,2,FALSE))</f>
        <v>Large Bus</v>
      </c>
      <c r="E214" s="28"/>
      <c r="F214" s="28" t="s">
        <v>63</v>
      </c>
      <c r="G214" s="28" t="s">
        <v>67</v>
      </c>
      <c r="H214" s="29" t="s">
        <v>67</v>
      </c>
      <c r="I214" s="28"/>
      <c r="J214" s="28" t="s">
        <v>65</v>
      </c>
      <c r="K214" s="29" t="s">
        <v>65</v>
      </c>
      <c r="L214" s="29" t="str">
        <f t="shared" si="7"/>
        <v>APAC-KAMPALA</v>
      </c>
      <c r="M214" s="30">
        <v>50</v>
      </c>
      <c r="N214" s="37">
        <v>20000</v>
      </c>
      <c r="O214" s="36">
        <v>4.25</v>
      </c>
    </row>
    <row r="215" spans="2:15" s="19" customFormat="1" x14ac:dyDescent="0.2">
      <c r="B215" s="59">
        <v>0.33333333333333331</v>
      </c>
      <c r="C215" s="27">
        <v>6</v>
      </c>
      <c r="D215" s="35" t="str">
        <f>IF(C215="", "",VLOOKUP(C215,Key!$A$5:$B$7,2,FALSE))</f>
        <v>Large Bus</v>
      </c>
      <c r="E215" s="28"/>
      <c r="F215" s="28" t="s">
        <v>64</v>
      </c>
      <c r="G215" s="28" t="s">
        <v>66</v>
      </c>
      <c r="H215" s="29" t="s">
        <v>66</v>
      </c>
      <c r="I215" s="28"/>
      <c r="J215" s="28" t="s">
        <v>65</v>
      </c>
      <c r="K215" s="29" t="s">
        <v>65</v>
      </c>
      <c r="L215" s="29" t="str">
        <f t="shared" si="7"/>
        <v>LIRA-KAMPALA</v>
      </c>
      <c r="M215" s="30">
        <v>50</v>
      </c>
      <c r="N215" s="37">
        <v>25000</v>
      </c>
      <c r="O215" s="36">
        <v>5</v>
      </c>
    </row>
    <row r="216" spans="2:15" s="19" customFormat="1" x14ac:dyDescent="0.2">
      <c r="B216" s="59">
        <v>0.33333333333333331</v>
      </c>
      <c r="C216" s="27">
        <v>6</v>
      </c>
      <c r="D216" s="35" t="str">
        <f>IF(C216="", "",VLOOKUP(C216,Key!$A$5:$B$7,2,FALSE))</f>
        <v>Large Bus</v>
      </c>
      <c r="E216" s="28"/>
      <c r="F216" s="28" t="s">
        <v>63</v>
      </c>
      <c r="G216" s="28" t="s">
        <v>65</v>
      </c>
      <c r="H216" s="29" t="s">
        <v>65</v>
      </c>
      <c r="I216" s="28"/>
      <c r="J216" s="28" t="s">
        <v>66</v>
      </c>
      <c r="K216" s="29" t="s">
        <v>66</v>
      </c>
      <c r="L216" s="29" t="str">
        <f t="shared" si="7"/>
        <v>KAMPALA-LIRA</v>
      </c>
      <c r="M216" s="30">
        <v>50</v>
      </c>
      <c r="N216" s="37">
        <v>25000</v>
      </c>
      <c r="O216" s="36">
        <v>5</v>
      </c>
    </row>
    <row r="217" spans="2:15" s="19" customFormat="1" x14ac:dyDescent="0.2">
      <c r="B217" s="59">
        <v>0.34722222222222227</v>
      </c>
      <c r="C217" s="27">
        <v>6</v>
      </c>
      <c r="D217" s="35" t="str">
        <f>IF(C217="", "",VLOOKUP(C217,Key!$A$5:$B$7,2,FALSE))</f>
        <v>Large Bus</v>
      </c>
      <c r="E217" s="28"/>
      <c r="F217" s="28" t="s">
        <v>64</v>
      </c>
      <c r="G217" s="28" t="s">
        <v>67</v>
      </c>
      <c r="H217" s="29" t="s">
        <v>67</v>
      </c>
      <c r="I217" s="28"/>
      <c r="J217" s="28" t="s">
        <v>65</v>
      </c>
      <c r="K217" s="29" t="s">
        <v>65</v>
      </c>
      <c r="L217" s="29" t="str">
        <f t="shared" si="7"/>
        <v>APAC-KAMPALA</v>
      </c>
      <c r="M217" s="30">
        <v>20</v>
      </c>
      <c r="N217" s="37">
        <v>20000</v>
      </c>
      <c r="O217" s="36">
        <v>4.25</v>
      </c>
    </row>
    <row r="218" spans="2:15" s="19" customFormat="1" x14ac:dyDescent="0.2">
      <c r="B218" s="59">
        <v>0.35416666666666669</v>
      </c>
      <c r="C218" s="27">
        <v>6</v>
      </c>
      <c r="D218" s="35" t="str">
        <f>IF(C218="", "",VLOOKUP(C218,Key!$A$5:$B$7,2,FALSE))</f>
        <v>Large Bus</v>
      </c>
      <c r="E218" s="28"/>
      <c r="F218" s="28" t="s">
        <v>64</v>
      </c>
      <c r="G218" s="28" t="s">
        <v>67</v>
      </c>
      <c r="H218" s="29" t="s">
        <v>67</v>
      </c>
      <c r="I218" s="28"/>
      <c r="J218" s="28" t="s">
        <v>65</v>
      </c>
      <c r="K218" s="29" t="s">
        <v>65</v>
      </c>
      <c r="L218" s="29" t="str">
        <f t="shared" si="7"/>
        <v>APAC-KAMPALA</v>
      </c>
      <c r="M218" s="30">
        <v>40</v>
      </c>
      <c r="N218" s="37">
        <v>20000</v>
      </c>
      <c r="O218" s="36">
        <v>4.25</v>
      </c>
    </row>
    <row r="219" spans="2:15" s="19" customFormat="1" x14ac:dyDescent="0.2">
      <c r="B219" s="59">
        <v>0.8666666666666667</v>
      </c>
      <c r="C219" s="27">
        <v>6</v>
      </c>
      <c r="D219" s="35" t="str">
        <f>IF(C219="", "",VLOOKUP(C219,Key!$A$5:$B$7,2,FALSE))</f>
        <v>Large Bus</v>
      </c>
      <c r="E219" s="28"/>
      <c r="F219" s="28" t="s">
        <v>63</v>
      </c>
      <c r="G219" s="28" t="s">
        <v>66</v>
      </c>
      <c r="H219" s="29" t="s">
        <v>66</v>
      </c>
      <c r="I219" s="28"/>
      <c r="J219" s="28" t="s">
        <v>65</v>
      </c>
      <c r="K219" s="29" t="s">
        <v>65</v>
      </c>
      <c r="L219" s="29" t="str">
        <f t="shared" si="7"/>
        <v>LIRA-KAMPALA</v>
      </c>
      <c r="M219" s="30">
        <v>40</v>
      </c>
      <c r="N219" s="37">
        <v>25000</v>
      </c>
      <c r="O219" s="36">
        <v>5</v>
      </c>
    </row>
    <row r="220" spans="2:15" s="19" customFormat="1" x14ac:dyDescent="0.2">
      <c r="B220" s="59">
        <v>0.375</v>
      </c>
      <c r="C220" s="27">
        <v>6</v>
      </c>
      <c r="D220" s="35" t="str">
        <f>IF(C220="", "",VLOOKUP(C220,Key!$A$5:$B$7,2,FALSE))</f>
        <v>Large Bus</v>
      </c>
      <c r="E220" s="28"/>
      <c r="F220" s="28" t="s">
        <v>63</v>
      </c>
      <c r="G220" s="28" t="s">
        <v>67</v>
      </c>
      <c r="H220" s="29" t="s">
        <v>67</v>
      </c>
      <c r="I220" s="28"/>
      <c r="J220" s="28" t="s">
        <v>65</v>
      </c>
      <c r="K220" s="29" t="s">
        <v>65</v>
      </c>
      <c r="L220" s="29" t="str">
        <f t="shared" si="7"/>
        <v>APAC-KAMPALA</v>
      </c>
      <c r="M220" s="30">
        <v>40</v>
      </c>
      <c r="N220" s="37">
        <v>20000</v>
      </c>
      <c r="O220" s="36">
        <v>4.25</v>
      </c>
    </row>
    <row r="221" spans="2:15" s="19" customFormat="1" x14ac:dyDescent="0.2">
      <c r="B221" s="59">
        <v>0.38541666666666669</v>
      </c>
      <c r="C221" s="27">
        <v>6</v>
      </c>
      <c r="D221" s="35" t="str">
        <f>IF(C221="", "",VLOOKUP(C221,Key!$A$5:$B$7,2,FALSE))</f>
        <v>Large Bus</v>
      </c>
      <c r="E221" s="28"/>
      <c r="F221" s="28" t="s">
        <v>64</v>
      </c>
      <c r="G221" s="28" t="s">
        <v>66</v>
      </c>
      <c r="H221" s="29" t="s">
        <v>66</v>
      </c>
      <c r="I221" s="28"/>
      <c r="J221" s="28" t="s">
        <v>65</v>
      </c>
      <c r="K221" s="29" t="s">
        <v>65</v>
      </c>
      <c r="L221" s="29" t="str">
        <f t="shared" si="7"/>
        <v>LIRA-KAMPALA</v>
      </c>
      <c r="M221" s="30">
        <v>60</v>
      </c>
      <c r="N221" s="37">
        <v>25000</v>
      </c>
      <c r="O221" s="36">
        <v>5</v>
      </c>
    </row>
    <row r="222" spans="2:15" s="19" customFormat="1" x14ac:dyDescent="0.2">
      <c r="B222" s="59">
        <v>0.39583333333333331</v>
      </c>
      <c r="C222" s="27">
        <v>6</v>
      </c>
      <c r="D222" s="35" t="str">
        <f>IF(C222="", "",VLOOKUP(C222,Key!$A$5:$B$7,2,FALSE))</f>
        <v>Large Bus</v>
      </c>
      <c r="E222" s="28"/>
      <c r="F222" s="28" t="s">
        <v>63</v>
      </c>
      <c r="G222" s="28" t="s">
        <v>69</v>
      </c>
      <c r="H222" s="29" t="s">
        <v>69</v>
      </c>
      <c r="I222" s="28"/>
      <c r="J222" s="28" t="s">
        <v>70</v>
      </c>
      <c r="K222" s="29" t="s">
        <v>70</v>
      </c>
      <c r="L222" s="29" t="str">
        <f t="shared" si="7"/>
        <v>GULU-BUSIA</v>
      </c>
      <c r="M222" s="30">
        <v>46</v>
      </c>
      <c r="N222" s="37">
        <v>27000</v>
      </c>
      <c r="O222" s="36">
        <v>6.5</v>
      </c>
    </row>
    <row r="223" spans="2:15" s="19" customFormat="1" x14ac:dyDescent="0.2">
      <c r="B223" s="59">
        <v>0.40625</v>
      </c>
      <c r="C223" s="27">
        <v>6</v>
      </c>
      <c r="D223" s="35" t="str">
        <f>IF(C223="", "",VLOOKUP(C223,Key!$A$5:$B$7,2,FALSE))</f>
        <v>Large Bus</v>
      </c>
      <c r="E223" s="28"/>
      <c r="F223" s="28" t="s">
        <v>64</v>
      </c>
      <c r="G223" s="28" t="s">
        <v>66</v>
      </c>
      <c r="H223" s="29" t="s">
        <v>66</v>
      </c>
      <c r="I223" s="28"/>
      <c r="J223" s="28" t="s">
        <v>65</v>
      </c>
      <c r="K223" s="29" t="s">
        <v>65</v>
      </c>
      <c r="L223" s="29" t="str">
        <f t="shared" si="7"/>
        <v>LIRA-KAMPALA</v>
      </c>
      <c r="M223" s="30">
        <v>46</v>
      </c>
      <c r="N223" s="37">
        <v>25000</v>
      </c>
      <c r="O223" s="36">
        <v>5</v>
      </c>
    </row>
    <row r="224" spans="2:15" s="19" customFormat="1" x14ac:dyDescent="0.2">
      <c r="B224" s="59">
        <v>0.41666666666666702</v>
      </c>
      <c r="C224" s="27">
        <v>6</v>
      </c>
      <c r="D224" s="35" t="str">
        <f>IF(C224="", "",VLOOKUP(C224,Key!$A$5:$B$7,2,FALSE))</f>
        <v>Large Bus</v>
      </c>
      <c r="E224" s="28"/>
      <c r="F224" s="28" t="s">
        <v>63</v>
      </c>
      <c r="G224" s="28" t="s">
        <v>67</v>
      </c>
      <c r="H224" s="29" t="s">
        <v>67</v>
      </c>
      <c r="I224" s="28"/>
      <c r="J224" s="28" t="s">
        <v>65</v>
      </c>
      <c r="K224" s="29" t="s">
        <v>65</v>
      </c>
      <c r="L224" s="29" t="str">
        <f t="shared" si="7"/>
        <v>APAC-KAMPALA</v>
      </c>
      <c r="M224" s="30">
        <v>54</v>
      </c>
      <c r="N224" s="37">
        <v>20000</v>
      </c>
      <c r="O224" s="36">
        <v>4.25</v>
      </c>
    </row>
    <row r="225" spans="2:15" s="19" customFormat="1" x14ac:dyDescent="0.2">
      <c r="B225" s="59">
        <v>0.4201388888888889</v>
      </c>
      <c r="C225" s="27">
        <v>6</v>
      </c>
      <c r="D225" s="35" t="str">
        <f>IF(C225="", "",VLOOKUP(C225,Key!$A$5:$B$7,2,FALSE))</f>
        <v>Large Bus</v>
      </c>
      <c r="E225" s="28"/>
      <c r="F225" s="28" t="s">
        <v>63</v>
      </c>
      <c r="G225" s="28" t="s">
        <v>71</v>
      </c>
      <c r="H225" s="29" t="s">
        <v>71</v>
      </c>
      <c r="I225" s="28"/>
      <c r="J225" s="28" t="s">
        <v>65</v>
      </c>
      <c r="K225" s="29" t="s">
        <v>65</v>
      </c>
      <c r="L225" s="29" t="str">
        <f t="shared" si="7"/>
        <v>PADER-KAMPALA</v>
      </c>
      <c r="M225" s="30">
        <v>44</v>
      </c>
      <c r="N225" s="37">
        <v>30000</v>
      </c>
      <c r="O225" s="36">
        <v>6.5</v>
      </c>
    </row>
    <row r="226" spans="2:15" s="19" customFormat="1" x14ac:dyDescent="0.2">
      <c r="B226" s="59">
        <v>0.42430555555555555</v>
      </c>
      <c r="C226" s="27">
        <v>6</v>
      </c>
      <c r="D226" s="35" t="str">
        <f>IF(C226="", "",VLOOKUP(C226,Key!$A$5:$B$7,2,FALSE))</f>
        <v>Large Bus</v>
      </c>
      <c r="E226" s="28"/>
      <c r="F226" s="28" t="s">
        <v>64</v>
      </c>
      <c r="G226" s="28" t="s">
        <v>66</v>
      </c>
      <c r="H226" s="29" t="s">
        <v>66</v>
      </c>
      <c r="I226" s="28"/>
      <c r="J226" s="28" t="s">
        <v>65</v>
      </c>
      <c r="K226" s="29" t="s">
        <v>65</v>
      </c>
      <c r="L226" s="29" t="str">
        <f t="shared" si="7"/>
        <v>LIRA-KAMPALA</v>
      </c>
      <c r="M226" s="30">
        <v>44</v>
      </c>
      <c r="N226" s="37">
        <v>25000</v>
      </c>
      <c r="O226" s="36">
        <v>5</v>
      </c>
    </row>
    <row r="227" spans="2:15" s="19" customFormat="1" x14ac:dyDescent="0.2">
      <c r="B227" s="59">
        <v>0.4375</v>
      </c>
      <c r="C227" s="27">
        <v>6</v>
      </c>
      <c r="D227" s="35" t="str">
        <f>IF(C227="", "",VLOOKUP(C227,Key!$A$5:$B$7,2,FALSE))</f>
        <v>Large Bus</v>
      </c>
      <c r="E227" s="28"/>
      <c r="F227" s="28" t="s">
        <v>64</v>
      </c>
      <c r="G227" s="28" t="s">
        <v>69</v>
      </c>
      <c r="H227" s="29" t="s">
        <v>69</v>
      </c>
      <c r="I227" s="28"/>
      <c r="J227" s="28" t="s">
        <v>70</v>
      </c>
      <c r="K227" s="29" t="s">
        <v>70</v>
      </c>
      <c r="L227" s="29" t="str">
        <f t="shared" si="7"/>
        <v>GULU-BUSIA</v>
      </c>
      <c r="M227" s="30">
        <v>38</v>
      </c>
      <c r="N227" s="37">
        <v>27000</v>
      </c>
      <c r="O227" s="36">
        <v>6.5</v>
      </c>
    </row>
    <row r="228" spans="2:15" s="19" customFormat="1" x14ac:dyDescent="0.2">
      <c r="B228" s="59">
        <v>0.45833333333333331</v>
      </c>
      <c r="C228" s="27">
        <v>6</v>
      </c>
      <c r="D228" s="35" t="str">
        <f>IF(C228="", "",VLOOKUP(C228,Key!$A$5:$B$7,2,FALSE))</f>
        <v>Large Bus</v>
      </c>
      <c r="E228" s="28"/>
      <c r="F228" s="28" t="s">
        <v>63</v>
      </c>
      <c r="G228" s="28" t="s">
        <v>68</v>
      </c>
      <c r="H228" s="29" t="s">
        <v>68</v>
      </c>
      <c r="I228" s="28"/>
      <c r="J228" s="28" t="s">
        <v>65</v>
      </c>
      <c r="K228" s="29" t="s">
        <v>65</v>
      </c>
      <c r="L228" s="29" t="str">
        <f t="shared" si="7"/>
        <v>ABIM-KAMPALA</v>
      </c>
      <c r="M228" s="30">
        <v>30</v>
      </c>
      <c r="N228" s="37">
        <v>35000</v>
      </c>
      <c r="O228" s="36">
        <v>7.5</v>
      </c>
    </row>
    <row r="229" spans="2:15" s="19" customFormat="1" x14ac:dyDescent="0.2">
      <c r="B229" s="59">
        <v>0</v>
      </c>
      <c r="C229" s="27">
        <v>6</v>
      </c>
      <c r="D229" s="35" t="str">
        <f>IF(C229="", "",VLOOKUP(C229,Key!$A$5:$B$7,2,FALSE))</f>
        <v>Large Bus</v>
      </c>
      <c r="E229" s="28"/>
      <c r="F229" s="28" t="s">
        <v>64</v>
      </c>
      <c r="G229" s="28" t="s">
        <v>71</v>
      </c>
      <c r="H229" s="29" t="s">
        <v>71</v>
      </c>
      <c r="I229" s="28"/>
      <c r="J229" s="28" t="s">
        <v>65</v>
      </c>
      <c r="K229" s="29" t="s">
        <v>65</v>
      </c>
      <c r="L229" s="29" t="str">
        <f t="shared" si="7"/>
        <v>PADER-KAMPALA</v>
      </c>
      <c r="M229" s="30">
        <v>48</v>
      </c>
      <c r="N229" s="37">
        <v>30000</v>
      </c>
      <c r="O229" s="36">
        <v>6.5</v>
      </c>
    </row>
    <row r="230" spans="2:15" s="19" customFormat="1" x14ac:dyDescent="0.2">
      <c r="B230" s="59">
        <v>0</v>
      </c>
      <c r="C230" s="27">
        <v>6</v>
      </c>
      <c r="D230" s="35" t="str">
        <f>IF(C230="", "",VLOOKUP(C230,Key!$A$5:$B$7,2,FALSE))</f>
        <v>Large Bus</v>
      </c>
      <c r="E230" s="28"/>
      <c r="F230" s="28" t="s">
        <v>64</v>
      </c>
      <c r="G230" s="28" t="s">
        <v>66</v>
      </c>
      <c r="H230" s="29" t="s">
        <v>66</v>
      </c>
      <c r="I230" s="28"/>
      <c r="J230" s="28" t="s">
        <v>65</v>
      </c>
      <c r="K230" s="29" t="s">
        <v>65</v>
      </c>
      <c r="L230" s="29" t="str">
        <f t="shared" si="7"/>
        <v>LIRA-KAMPALA</v>
      </c>
      <c r="M230" s="30">
        <v>48</v>
      </c>
      <c r="N230" s="37">
        <v>25000</v>
      </c>
      <c r="O230" s="36">
        <v>5</v>
      </c>
    </row>
    <row r="231" spans="2:15" s="19" customFormat="1" x14ac:dyDescent="0.2">
      <c r="B231" s="59">
        <v>0</v>
      </c>
      <c r="C231" s="27">
        <v>6</v>
      </c>
      <c r="D231" s="35" t="str">
        <f>IF(C231="", "",VLOOKUP(C231,Key!$A$5:$B$7,2,FALSE))</f>
        <v>Large Bus</v>
      </c>
      <c r="E231" s="28"/>
      <c r="F231" s="28" t="s">
        <v>64</v>
      </c>
      <c r="G231" s="28" t="s">
        <v>67</v>
      </c>
      <c r="H231" s="29" t="s">
        <v>67</v>
      </c>
      <c r="I231" s="28"/>
      <c r="J231" s="28" t="s">
        <v>65</v>
      </c>
      <c r="K231" s="29" t="s">
        <v>65</v>
      </c>
      <c r="L231" s="29" t="str">
        <f t="shared" si="7"/>
        <v>APAC-KAMPALA</v>
      </c>
      <c r="M231" s="30">
        <v>54</v>
      </c>
      <c r="N231" s="37">
        <v>20000</v>
      </c>
      <c r="O231" s="36">
        <v>4.25</v>
      </c>
    </row>
    <row r="232" spans="2:15" s="19" customFormat="1" x14ac:dyDescent="0.2">
      <c r="B232" s="59">
        <v>0.51041666666666663</v>
      </c>
      <c r="C232" s="27">
        <v>6</v>
      </c>
      <c r="D232" s="35" t="str">
        <f>IF(C232="", "",VLOOKUP(C232,Key!$A$5:$B$7,2,FALSE))</f>
        <v>Large Bus</v>
      </c>
      <c r="E232" s="28"/>
      <c r="F232" s="28" t="s">
        <v>63</v>
      </c>
      <c r="G232" s="28" t="s">
        <v>69</v>
      </c>
      <c r="H232" s="29" t="s">
        <v>69</v>
      </c>
      <c r="I232" s="28"/>
      <c r="J232" s="28" t="s">
        <v>70</v>
      </c>
      <c r="K232" s="29" t="s">
        <v>70</v>
      </c>
      <c r="L232" s="29" t="str">
        <f t="shared" si="7"/>
        <v>GULU-BUSIA</v>
      </c>
      <c r="M232" s="30">
        <v>21</v>
      </c>
      <c r="N232" s="37">
        <v>27000</v>
      </c>
      <c r="O232" s="36">
        <v>6.5</v>
      </c>
    </row>
    <row r="233" spans="2:15" s="19" customFormat="1" x14ac:dyDescent="0.2">
      <c r="B233" s="59">
        <v>0.51250000000000007</v>
      </c>
      <c r="C233" s="27">
        <v>6</v>
      </c>
      <c r="D233" s="35" t="str">
        <f>IF(C233="", "",VLOOKUP(C233,Key!$A$5:$B$7,2,FALSE))</f>
        <v>Large Bus</v>
      </c>
      <c r="E233" s="28"/>
      <c r="F233" s="28" t="s">
        <v>64</v>
      </c>
      <c r="G233" s="28" t="s">
        <v>66</v>
      </c>
      <c r="H233" s="29" t="s">
        <v>66</v>
      </c>
      <c r="I233" s="28"/>
      <c r="J233" s="28" t="s">
        <v>65</v>
      </c>
      <c r="K233" s="29" t="s">
        <v>65</v>
      </c>
      <c r="L233" s="29" t="str">
        <f t="shared" si="7"/>
        <v>LIRA-KAMPALA</v>
      </c>
      <c r="M233" s="30">
        <v>43</v>
      </c>
      <c r="N233" s="37">
        <v>25000</v>
      </c>
      <c r="O233" s="36">
        <v>5</v>
      </c>
    </row>
    <row r="234" spans="2:15" s="19" customFormat="1" x14ac:dyDescent="0.2">
      <c r="B234" s="59">
        <v>0.54861111111111105</v>
      </c>
      <c r="C234" s="27">
        <v>6</v>
      </c>
      <c r="D234" s="35" t="str">
        <f>IF(C234="", "",VLOOKUP(C234,Key!$A$5:$B$7,2,FALSE))</f>
        <v>Large Bus</v>
      </c>
      <c r="E234" s="28"/>
      <c r="F234" s="28" t="s">
        <v>63</v>
      </c>
      <c r="G234" s="28" t="s">
        <v>65</v>
      </c>
      <c r="H234" s="29" t="s">
        <v>65</v>
      </c>
      <c r="I234" s="28"/>
      <c r="J234" s="28" t="s">
        <v>66</v>
      </c>
      <c r="K234" s="29" t="s">
        <v>66</v>
      </c>
      <c r="L234" s="29" t="str">
        <f t="shared" si="7"/>
        <v>KAMPALA-LIRA</v>
      </c>
      <c r="M234" s="30">
        <v>43</v>
      </c>
      <c r="N234" s="37">
        <v>25000</v>
      </c>
      <c r="O234" s="36">
        <v>5</v>
      </c>
    </row>
    <row r="235" spans="2:15" s="19" customFormat="1" x14ac:dyDescent="0.2">
      <c r="B235" s="59">
        <v>0.55208333333333337</v>
      </c>
      <c r="C235" s="27">
        <v>6</v>
      </c>
      <c r="D235" s="35" t="str">
        <f>IF(C235="", "",VLOOKUP(C235,Key!$A$5:$B$7,2,FALSE))</f>
        <v>Large Bus</v>
      </c>
      <c r="E235" s="28"/>
      <c r="F235" s="28" t="s">
        <v>64</v>
      </c>
      <c r="G235" s="28" t="s">
        <v>66</v>
      </c>
      <c r="H235" s="29" t="s">
        <v>66</v>
      </c>
      <c r="I235" s="28"/>
      <c r="J235" s="28" t="s">
        <v>65</v>
      </c>
      <c r="K235" s="29" t="s">
        <v>65</v>
      </c>
      <c r="L235" s="29" t="str">
        <f t="shared" si="7"/>
        <v>LIRA-KAMPALA</v>
      </c>
      <c r="M235" s="30">
        <v>41</v>
      </c>
      <c r="N235" s="37">
        <v>25000</v>
      </c>
      <c r="O235" s="36">
        <v>5</v>
      </c>
    </row>
    <row r="236" spans="2:15" s="19" customFormat="1" x14ac:dyDescent="0.2">
      <c r="B236" s="59">
        <v>0.55763888888888891</v>
      </c>
      <c r="C236" s="27">
        <v>6</v>
      </c>
      <c r="D236" s="35" t="str">
        <f>IF(C236="", "",VLOOKUP(C236,Key!$A$5:$B$7,2,FALSE))</f>
        <v>Large Bus</v>
      </c>
      <c r="E236" s="28"/>
      <c r="F236" s="28" t="s">
        <v>63</v>
      </c>
      <c r="G236" s="28" t="s">
        <v>70</v>
      </c>
      <c r="H236" s="29" t="s">
        <v>70</v>
      </c>
      <c r="I236" s="28"/>
      <c r="J236" s="28" t="s">
        <v>69</v>
      </c>
      <c r="K236" s="29" t="s">
        <v>69</v>
      </c>
      <c r="L236" s="29" t="str">
        <f t="shared" si="7"/>
        <v>BUSIA-GULU</v>
      </c>
      <c r="M236" s="30">
        <v>29</v>
      </c>
      <c r="N236" s="37">
        <v>30000</v>
      </c>
      <c r="O236" s="36">
        <v>7</v>
      </c>
    </row>
    <row r="237" spans="2:15" s="19" customFormat="1" x14ac:dyDescent="0.2">
      <c r="B237" s="59">
        <v>0.58611111111111114</v>
      </c>
      <c r="C237" s="27">
        <v>6</v>
      </c>
      <c r="D237" s="35" t="str">
        <f>IF(C237="", "",VLOOKUP(C237,Key!$A$5:$B$7,2,FALSE))</f>
        <v>Large Bus</v>
      </c>
      <c r="E237" s="28"/>
      <c r="F237" s="28" t="s">
        <v>63</v>
      </c>
      <c r="G237" s="28" t="s">
        <v>72</v>
      </c>
      <c r="H237" s="29" t="s">
        <v>72</v>
      </c>
      <c r="I237" s="28"/>
      <c r="J237" s="28" t="s">
        <v>66</v>
      </c>
      <c r="K237" s="29" t="s">
        <v>66</v>
      </c>
      <c r="L237" s="29" t="str">
        <f t="shared" si="7"/>
        <v>AGAGO-LIRA</v>
      </c>
      <c r="M237" s="30">
        <v>29</v>
      </c>
      <c r="N237" s="37">
        <v>15000</v>
      </c>
      <c r="O237" s="36">
        <v>2.25</v>
      </c>
    </row>
    <row r="238" spans="2:15" s="19" customFormat="1" x14ac:dyDescent="0.2">
      <c r="B238" s="59">
        <v>0.58750000000000002</v>
      </c>
      <c r="C238" s="27">
        <v>6</v>
      </c>
      <c r="D238" s="35" t="str">
        <f>IF(C238="", "",VLOOKUP(C238,Key!$A$5:$B$7,2,FALSE))</f>
        <v>Large Bus</v>
      </c>
      <c r="E238" s="28"/>
      <c r="F238" s="28" t="s">
        <v>64</v>
      </c>
      <c r="G238" s="28" t="s">
        <v>70</v>
      </c>
      <c r="H238" s="29" t="s">
        <v>70</v>
      </c>
      <c r="I238" s="28"/>
      <c r="J238" s="28" t="s">
        <v>69</v>
      </c>
      <c r="K238" s="29" t="s">
        <v>69</v>
      </c>
      <c r="L238" s="29" t="str">
        <f t="shared" si="7"/>
        <v>BUSIA-GULU</v>
      </c>
      <c r="M238" s="30">
        <v>29</v>
      </c>
      <c r="N238" s="37">
        <v>30000</v>
      </c>
      <c r="O238" s="36">
        <v>7</v>
      </c>
    </row>
    <row r="239" spans="2:15" s="19" customFormat="1" x14ac:dyDescent="0.2">
      <c r="B239" s="59">
        <v>0.72083333333333333</v>
      </c>
      <c r="C239" s="27">
        <v>6</v>
      </c>
      <c r="D239" s="35" t="str">
        <f>IF(C239="", "",VLOOKUP(C239,Key!$A$5:$B$7,2,FALSE))</f>
        <v>Large Bus</v>
      </c>
      <c r="E239" s="28"/>
      <c r="F239" s="28" t="s">
        <v>63</v>
      </c>
      <c r="G239" s="28" t="s">
        <v>73</v>
      </c>
      <c r="H239" s="29" t="s">
        <v>73</v>
      </c>
      <c r="I239" s="28"/>
      <c r="J239" s="28" t="s">
        <v>66</v>
      </c>
      <c r="K239" s="29" t="s">
        <v>66</v>
      </c>
      <c r="L239" s="29" t="str">
        <f t="shared" si="7"/>
        <v>DOKOLO-LIRA</v>
      </c>
      <c r="M239" s="30">
        <v>29</v>
      </c>
      <c r="N239" s="37">
        <v>8000</v>
      </c>
      <c r="O239" s="36">
        <v>1</v>
      </c>
    </row>
    <row r="240" spans="2:15" s="19" customFormat="1" x14ac:dyDescent="0.2">
      <c r="B240" s="59">
        <v>0.72916666666666663</v>
      </c>
      <c r="C240" s="27">
        <v>6</v>
      </c>
      <c r="D240" s="35" t="str">
        <f>IF(C240="", "",VLOOKUP(C240,Key!$A$5:$B$7,2,FALSE))</f>
        <v>Large Bus</v>
      </c>
      <c r="E240" s="28"/>
      <c r="F240" s="28" t="s">
        <v>64</v>
      </c>
      <c r="G240" s="28" t="s">
        <v>66</v>
      </c>
      <c r="H240" s="29" t="s">
        <v>66</v>
      </c>
      <c r="I240" s="28"/>
      <c r="J240" s="28" t="s">
        <v>67</v>
      </c>
      <c r="K240" s="29" t="s">
        <v>67</v>
      </c>
      <c r="L240" s="29" t="str">
        <f t="shared" si="7"/>
        <v>LIRA-APAC</v>
      </c>
      <c r="M240" s="30">
        <v>40</v>
      </c>
      <c r="N240" s="37">
        <v>6000</v>
      </c>
      <c r="O240" s="36">
        <v>1</v>
      </c>
    </row>
    <row r="241" spans="2:15" s="19" customFormat="1" x14ac:dyDescent="0.2">
      <c r="B241" s="59">
        <v>0.75</v>
      </c>
      <c r="C241" s="27">
        <v>6</v>
      </c>
      <c r="D241" s="35" t="str">
        <f>IF(C241="", "",VLOOKUP(C241,Key!$A$5:$B$7,2,FALSE))</f>
        <v>Large Bus</v>
      </c>
      <c r="E241" s="28"/>
      <c r="F241" s="28" t="s">
        <v>63</v>
      </c>
      <c r="G241" s="28" t="s">
        <v>66</v>
      </c>
      <c r="H241" s="29" t="s">
        <v>66</v>
      </c>
      <c r="I241" s="28"/>
      <c r="J241" s="28" t="s">
        <v>65</v>
      </c>
      <c r="K241" s="29" t="s">
        <v>65</v>
      </c>
      <c r="L241" s="29" t="str">
        <f t="shared" si="7"/>
        <v>LIRA-KAMPALA</v>
      </c>
      <c r="M241" s="30">
        <v>40</v>
      </c>
      <c r="N241" s="37">
        <v>25000</v>
      </c>
      <c r="O241" s="36">
        <v>5</v>
      </c>
    </row>
    <row r="242" spans="2:15" s="19" customFormat="1" x14ac:dyDescent="0.2">
      <c r="B242" s="59">
        <v>0.79166666666666663</v>
      </c>
      <c r="C242" s="27">
        <v>6</v>
      </c>
      <c r="D242" s="35" t="str">
        <f>IF(C242="", "",VLOOKUP(C242,Key!$A$5:$B$7,2,FALSE))</f>
        <v>Large Bus</v>
      </c>
      <c r="E242" s="28"/>
      <c r="F242" s="28" t="s">
        <v>63</v>
      </c>
      <c r="G242" s="28" t="s">
        <v>66</v>
      </c>
      <c r="H242" s="29" t="s">
        <v>66</v>
      </c>
      <c r="I242" s="28"/>
      <c r="J242" s="28" t="s">
        <v>65</v>
      </c>
      <c r="K242" s="29" t="s">
        <v>65</v>
      </c>
      <c r="L242" s="29" t="str">
        <f t="shared" si="7"/>
        <v>LIRA-KAMPALA</v>
      </c>
      <c r="M242" s="30">
        <v>40</v>
      </c>
      <c r="N242" s="37">
        <v>25000</v>
      </c>
      <c r="O242" s="36">
        <v>5</v>
      </c>
    </row>
    <row r="243" spans="2:15" s="19" customFormat="1" x14ac:dyDescent="0.2">
      <c r="B243" s="59">
        <v>0.8027777777777777</v>
      </c>
      <c r="C243" s="27">
        <v>6</v>
      </c>
      <c r="D243" s="35" t="str">
        <f>IF(C243="", "",VLOOKUP(C243,Key!$A$5:$B$7,2,FALSE))</f>
        <v>Large Bus</v>
      </c>
      <c r="E243" s="28"/>
      <c r="F243" s="28" t="s">
        <v>63</v>
      </c>
      <c r="G243" s="28" t="s">
        <v>66</v>
      </c>
      <c r="H243" s="29" t="s">
        <v>66</v>
      </c>
      <c r="I243" s="28"/>
      <c r="J243" s="28" t="s">
        <v>65</v>
      </c>
      <c r="K243" s="29" t="s">
        <v>65</v>
      </c>
      <c r="L243" s="29" t="str">
        <f t="shared" si="7"/>
        <v>LIRA-KAMPALA</v>
      </c>
      <c r="M243" s="30">
        <v>40</v>
      </c>
      <c r="N243" s="37">
        <v>25000</v>
      </c>
      <c r="O243" s="36">
        <v>5</v>
      </c>
    </row>
    <row r="244" spans="2:15" s="19" customFormat="1" x14ac:dyDescent="0.2">
      <c r="B244" s="59">
        <v>0.35000000000000003</v>
      </c>
      <c r="C244" s="27">
        <v>6</v>
      </c>
      <c r="D244" s="35" t="str">
        <f>IF(C244="", "",VLOOKUP(C244,Key!$A$5:$B$7,2,FALSE))</f>
        <v>Large Bus</v>
      </c>
      <c r="E244" s="28"/>
      <c r="F244" s="28" t="s">
        <v>63</v>
      </c>
      <c r="G244" s="28" t="s">
        <v>67</v>
      </c>
      <c r="H244" s="29" t="s">
        <v>67</v>
      </c>
      <c r="I244" s="28"/>
      <c r="J244" s="28" t="s">
        <v>65</v>
      </c>
      <c r="K244" s="29" t="s">
        <v>65</v>
      </c>
      <c r="L244" s="29" t="str">
        <f t="shared" si="7"/>
        <v>APAC-KAMPALA</v>
      </c>
      <c r="M244" s="30">
        <v>40</v>
      </c>
      <c r="N244" s="37">
        <v>20000</v>
      </c>
      <c r="O244" s="36">
        <v>4.25</v>
      </c>
    </row>
    <row r="245" spans="2:15" s="19" customFormat="1" x14ac:dyDescent="0.2">
      <c r="B245" s="59">
        <v>0.375</v>
      </c>
      <c r="C245" s="27">
        <v>6</v>
      </c>
      <c r="D245" s="35" t="str">
        <f>IF(C245="", "",VLOOKUP(C245,Key!$A$5:$B$7,2,FALSE))</f>
        <v>Large Bus</v>
      </c>
      <c r="E245" s="28"/>
      <c r="F245" s="28" t="s">
        <v>64</v>
      </c>
      <c r="G245" s="28" t="s">
        <v>67</v>
      </c>
      <c r="H245" s="29" t="s">
        <v>67</v>
      </c>
      <c r="I245" s="28"/>
      <c r="J245" s="28" t="s">
        <v>65</v>
      </c>
      <c r="K245" s="29" t="s">
        <v>65</v>
      </c>
      <c r="L245" s="29" t="str">
        <f t="shared" ref="L245:L276" si="8">H245&amp;"-"&amp;K245</f>
        <v>APAC-KAMPALA</v>
      </c>
      <c r="M245" s="30">
        <v>40</v>
      </c>
      <c r="N245" s="37">
        <v>20000</v>
      </c>
      <c r="O245" s="36">
        <v>4.25</v>
      </c>
    </row>
  </sheetData>
  <sortState ref="A9:V245">
    <sortCondition ref="A9:A245"/>
  </sortState>
  <mergeCells count="18"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</mergeCells>
  <phoneticPr fontId="13" type="noConversion"/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2" t="s">
        <v>0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2" t="s">
        <v>1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3" t="s">
        <v>8</v>
      </c>
      <c r="C7" s="85" t="s">
        <v>9</v>
      </c>
      <c r="D7" s="85" t="s">
        <v>10</v>
      </c>
      <c r="E7" s="85" t="s">
        <v>11</v>
      </c>
      <c r="F7" s="85" t="s">
        <v>12</v>
      </c>
      <c r="G7" s="85"/>
      <c r="H7" s="85" t="s">
        <v>15</v>
      </c>
      <c r="I7" s="85" t="s">
        <v>16</v>
      </c>
      <c r="J7" s="85" t="s">
        <v>17</v>
      </c>
      <c r="K7" s="85"/>
      <c r="L7" s="85" t="s">
        <v>18</v>
      </c>
      <c r="M7" s="85" t="s">
        <v>19</v>
      </c>
      <c r="N7" s="85" t="s">
        <v>20</v>
      </c>
      <c r="O7" s="87" t="s">
        <v>21</v>
      </c>
      <c r="P7" s="78" t="s">
        <v>27</v>
      </c>
      <c r="Q7" s="79"/>
    </row>
    <row r="8" spans="2:25" ht="24.75" customHeight="1" thickBot="1" x14ac:dyDescent="0.25">
      <c r="B8" s="84"/>
      <c r="C8" s="86"/>
      <c r="D8" s="86"/>
      <c r="E8" s="86"/>
      <c r="F8" s="18" t="s">
        <v>13</v>
      </c>
      <c r="G8" s="18" t="s">
        <v>14</v>
      </c>
      <c r="H8" s="86"/>
      <c r="I8" s="86"/>
      <c r="J8" s="18" t="s">
        <v>13</v>
      </c>
      <c r="K8" s="18" t="s">
        <v>14</v>
      </c>
      <c r="L8" s="86"/>
      <c r="M8" s="86"/>
      <c r="N8" s="86"/>
      <c r="O8" s="88"/>
      <c r="P8" s="80"/>
      <c r="Q8" s="81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0"/>
  <sheetViews>
    <sheetView tabSelected="1" view="pageBreakPreview" zoomScale="60" zoomScaleNormal="85" workbookViewId="0">
      <selection activeCell="L9" sqref="L9"/>
    </sheetView>
  </sheetViews>
  <sheetFormatPr defaultRowHeight="12.75" x14ac:dyDescent="0.2"/>
  <cols>
    <col min="1" max="1" width="9.140625" style="51"/>
    <col min="2" max="2" width="12.28515625" style="51" customWidth="1"/>
    <col min="3" max="3" width="15.5703125" style="51" customWidth="1"/>
    <col min="4" max="4" width="12.140625" style="51" customWidth="1"/>
    <col min="5" max="5" width="17.140625" style="51" customWidth="1"/>
    <col min="6" max="6" width="19.28515625" style="51" customWidth="1"/>
    <col min="7" max="8" width="10.85546875" style="51" customWidth="1"/>
    <col min="9" max="9" width="11.28515625" style="51" customWidth="1"/>
    <col min="10" max="10" width="10.140625" style="51" customWidth="1"/>
    <col min="11" max="11" width="12.28515625" style="51" customWidth="1"/>
    <col min="12" max="12" width="13.5703125" style="51" customWidth="1"/>
    <col min="13" max="16384" width="9.140625" style="51"/>
  </cols>
  <sheetData>
    <row r="2" spans="2:11" ht="15" x14ac:dyDescent="0.25">
      <c r="B2" s="50" t="s">
        <v>95</v>
      </c>
    </row>
    <row r="4" spans="2:11" x14ac:dyDescent="0.2">
      <c r="D4" s="89" t="s">
        <v>77</v>
      </c>
      <c r="E4" s="89"/>
      <c r="F4" s="89"/>
      <c r="G4" s="89"/>
      <c r="H4" s="89"/>
      <c r="I4" s="89"/>
      <c r="J4" s="89" t="s">
        <v>78</v>
      </c>
      <c r="K4" s="89"/>
    </row>
    <row r="5" spans="2:11" s="54" customFormat="1" ht="53.25" customHeight="1" x14ac:dyDescent="0.2">
      <c r="B5" s="52" t="s">
        <v>79</v>
      </c>
      <c r="C5" s="52" t="s">
        <v>80</v>
      </c>
      <c r="D5" s="52" t="s">
        <v>81</v>
      </c>
      <c r="E5" s="52" t="s">
        <v>82</v>
      </c>
      <c r="F5" s="52" t="s">
        <v>83</v>
      </c>
      <c r="G5" s="53" t="s">
        <v>84</v>
      </c>
      <c r="H5" s="53" t="s">
        <v>85</v>
      </c>
      <c r="I5" s="53" t="s">
        <v>86</v>
      </c>
      <c r="J5" s="53" t="s">
        <v>87</v>
      </c>
      <c r="K5" s="53" t="s">
        <v>88</v>
      </c>
    </row>
    <row r="6" spans="2:11" ht="15" customHeight="1" x14ac:dyDescent="0.2">
      <c r="B6" s="55" t="s">
        <v>66</v>
      </c>
      <c r="C6" s="55" t="s">
        <v>89</v>
      </c>
      <c r="D6" s="55" t="s">
        <v>65</v>
      </c>
      <c r="E6" s="55" t="s">
        <v>68</v>
      </c>
      <c r="F6" s="55" t="str">
        <f>D6&amp;"-"&amp;E6</f>
        <v>KAMPALA-ABIM</v>
      </c>
      <c r="G6" s="56">
        <f>ROUNDUP(COUNTIF('PT-06'!$L$10:$L$433,Summary!F6)/5,0)</f>
        <v>1</v>
      </c>
      <c r="H6" s="56">
        <v>458</v>
      </c>
      <c r="I6" s="57">
        <f>AVERAGEIF('PT-06'!$L$10:$L$433,Summary!F6,'PT-06'!$O$10:$O$433)</f>
        <v>7.5</v>
      </c>
      <c r="J6" s="56">
        <f>AVERAGEIF('PT-06'!$L$10:$L$433,Summary!F6,'PT-06'!$M$10:$M$433)</f>
        <v>47.5</v>
      </c>
      <c r="K6" s="58">
        <f>AVERAGEIF('PT-06'!$L$10:$L$433,Summary!F6,'PT-06'!$N$10:$N$433)</f>
        <v>35000</v>
      </c>
    </row>
    <row r="7" spans="2:11" ht="15" customHeight="1" x14ac:dyDescent="0.2">
      <c r="B7" s="55" t="s">
        <v>66</v>
      </c>
      <c r="C7" s="55" t="s">
        <v>89</v>
      </c>
      <c r="D7" s="55" t="s">
        <v>65</v>
      </c>
      <c r="E7" s="55" t="s">
        <v>67</v>
      </c>
      <c r="F7" s="55" t="str">
        <f t="shared" ref="F7:F17" si="0">D7&amp;"-"&amp;E7</f>
        <v>KAMPALA-APAC</v>
      </c>
      <c r="G7" s="56">
        <f>ROUNDUP(COUNTIF('PT-06'!$L$10:$L$433,Summary!F7)/5,0)</f>
        <v>3</v>
      </c>
      <c r="H7" s="56">
        <v>268</v>
      </c>
      <c r="I7" s="57">
        <f>AVERAGEIF('PT-06'!$L$10:$L$433,Summary!F7,'PT-06'!$O$10:$O$433)</f>
        <v>4.5</v>
      </c>
      <c r="J7" s="56">
        <f>AVERAGEIF('PT-06'!$L$10:$L$433,Summary!F7,'PT-06'!$M$10:$M$433)</f>
        <v>44.071428571428569</v>
      </c>
      <c r="K7" s="58">
        <f>AVERAGEIF('PT-06'!$L$10:$L$433,Summary!F7,'PT-06'!$N$10:$N$433)</f>
        <v>20000</v>
      </c>
    </row>
    <row r="8" spans="2:11" ht="15" customHeight="1" x14ac:dyDescent="0.2">
      <c r="B8" s="55" t="s">
        <v>66</v>
      </c>
      <c r="C8" s="55" t="s">
        <v>89</v>
      </c>
      <c r="D8" s="55" t="s">
        <v>65</v>
      </c>
      <c r="E8" s="55" t="s">
        <v>69</v>
      </c>
      <c r="F8" s="55" t="str">
        <f t="shared" si="0"/>
        <v>KAMPALA-GULU</v>
      </c>
      <c r="G8" s="56">
        <f>ROUNDUP(COUNTIF('PT-06'!$L$10:$L$433,Summary!F8)/5,0)</f>
        <v>1</v>
      </c>
      <c r="H8" s="56">
        <v>334</v>
      </c>
      <c r="I8" s="57">
        <f>AVERAGEIF('PT-06'!$L$10:$L$433,Summary!F8,'PT-06'!$O$10:$O$433)</f>
        <v>5</v>
      </c>
      <c r="J8" s="56">
        <f>AVERAGEIF('PT-06'!$L$10:$L$433,Summary!F8,'PT-06'!$M$10:$M$433)</f>
        <v>39.75</v>
      </c>
      <c r="K8" s="58">
        <f>AVERAGEIF('PT-06'!$L$10:$L$433,Summary!F8,'PT-06'!$N$10:$N$433)</f>
        <v>25000</v>
      </c>
    </row>
    <row r="9" spans="2:11" ht="15" customHeight="1" x14ac:dyDescent="0.2">
      <c r="B9" s="55" t="s">
        <v>66</v>
      </c>
      <c r="C9" s="55" t="s">
        <v>89</v>
      </c>
      <c r="D9" s="55" t="s">
        <v>65</v>
      </c>
      <c r="E9" s="55" t="s">
        <v>66</v>
      </c>
      <c r="F9" s="55" t="str">
        <f t="shared" si="0"/>
        <v>KAMPALA-LIRA</v>
      </c>
      <c r="G9" s="56">
        <f>ROUNDUP(COUNTIF('PT-06'!$L$10:$L$433,Summary!F9)/5,0)</f>
        <v>8</v>
      </c>
      <c r="H9" s="56">
        <v>337</v>
      </c>
      <c r="I9" s="57">
        <f>AVERAGEIF('PT-06'!$L$10:$L$433,Summary!F9,'PT-06'!$O$10:$O$433)</f>
        <v>5</v>
      </c>
      <c r="J9" s="56">
        <f>AVERAGEIF('PT-06'!$L$10:$L$433,Summary!F9,'PT-06'!$M$10:$M$433)</f>
        <v>48.567567567567565</v>
      </c>
      <c r="K9" s="58">
        <f>AVERAGEIF('PT-06'!$L$10:$L$433,Summary!F9,'PT-06'!$N$10:$N$433)</f>
        <v>25000</v>
      </c>
    </row>
    <row r="10" spans="2:11" ht="15" customHeight="1" x14ac:dyDescent="0.2">
      <c r="B10" s="55" t="s">
        <v>66</v>
      </c>
      <c r="C10" s="55" t="s">
        <v>90</v>
      </c>
      <c r="D10" s="55" t="s">
        <v>66</v>
      </c>
      <c r="E10" s="55" t="s">
        <v>65</v>
      </c>
      <c r="F10" s="55" t="str">
        <f t="shared" si="0"/>
        <v>LIRA-KAMPALA</v>
      </c>
      <c r="G10" s="56">
        <f>ROUNDUP(COUNTIF('PT-06'!$L$10:$L$433,Summary!F10)/5,0)</f>
        <v>21</v>
      </c>
      <c r="H10" s="56">
        <v>337</v>
      </c>
      <c r="I10" s="57">
        <f>AVERAGEIF('PT-06'!$L$10:$L$433,Summary!F10,'PT-06'!$O$10:$O$433)</f>
        <v>5</v>
      </c>
      <c r="J10" s="56">
        <f>AVERAGEIF('PT-06'!$L$10:$L$433,Summary!F10,'PT-06'!$M$10:$M$433)</f>
        <v>49.213592233009706</v>
      </c>
      <c r="K10" s="58">
        <f>AVERAGEIF('PT-06'!$L$10:$L$433,Summary!F10,'PT-06'!$N$10:$N$433)</f>
        <v>25000</v>
      </c>
    </row>
    <row r="11" spans="2:11" ht="15" customHeight="1" x14ac:dyDescent="0.2">
      <c r="B11" s="55" t="s">
        <v>66</v>
      </c>
      <c r="C11" s="55" t="s">
        <v>90</v>
      </c>
      <c r="D11" s="55" t="s">
        <v>71</v>
      </c>
      <c r="E11" s="55" t="s">
        <v>65</v>
      </c>
      <c r="F11" s="55" t="str">
        <f t="shared" si="0"/>
        <v>PADER-KAMPALA</v>
      </c>
      <c r="G11" s="56">
        <f>ROUNDUP(COUNTIF('PT-06'!$L$10:$L$433,Summary!F11)/5,0)</f>
        <v>1</v>
      </c>
      <c r="H11" s="56">
        <v>408</v>
      </c>
      <c r="I11" s="57">
        <f>AVERAGEIF('PT-06'!$L$10:$L$433,Summary!F11,'PT-06'!$O$10:$O$433)</f>
        <v>6.5</v>
      </c>
      <c r="J11" s="56">
        <f>AVERAGEIF('PT-06'!$L$10:$L$433,Summary!F11,'PT-06'!$M$10:$M$433)</f>
        <v>46</v>
      </c>
      <c r="K11" s="58">
        <f>AVERAGEIF('PT-06'!$L$10:$L$433,Summary!F11,'PT-06'!$N$10:$N$433)</f>
        <v>30000</v>
      </c>
    </row>
    <row r="12" spans="2:11" ht="15" customHeight="1" x14ac:dyDescent="0.2">
      <c r="B12" s="55" t="s">
        <v>66</v>
      </c>
      <c r="C12" s="55" t="s">
        <v>90</v>
      </c>
      <c r="D12" s="55" t="s">
        <v>68</v>
      </c>
      <c r="E12" s="55" t="s">
        <v>65</v>
      </c>
      <c r="F12" s="55" t="str">
        <f t="shared" si="0"/>
        <v>ABIM-KAMPALA</v>
      </c>
      <c r="G12" s="56">
        <f>ROUNDUP(COUNTIF('PT-06'!$L$10:$L$433,Summary!F12)/5,0)</f>
        <v>1</v>
      </c>
      <c r="H12" s="56">
        <v>458</v>
      </c>
      <c r="I12" s="57">
        <f>AVERAGEIF('PT-06'!$L$10:$L$433,Summary!F12,'PT-06'!$O$10:$O$433)</f>
        <v>7.5</v>
      </c>
      <c r="J12" s="56">
        <f>AVERAGEIF('PT-06'!$L$10:$L$433,Summary!F12,'PT-06'!$M$10:$M$433)</f>
        <v>38</v>
      </c>
      <c r="K12" s="58">
        <f>AVERAGEIF('PT-06'!$L$10:$L$433,Summary!F12,'PT-06'!$N$10:$N$433)</f>
        <v>35000</v>
      </c>
    </row>
    <row r="13" spans="2:11" ht="15" customHeight="1" x14ac:dyDescent="0.2">
      <c r="B13" s="55" t="s">
        <v>66</v>
      </c>
      <c r="C13" s="55" t="s">
        <v>90</v>
      </c>
      <c r="D13" s="55" t="s">
        <v>67</v>
      </c>
      <c r="E13" s="55" t="s">
        <v>65</v>
      </c>
      <c r="F13" s="55" t="str">
        <f t="shared" si="0"/>
        <v>APAC-KAMPALA</v>
      </c>
      <c r="G13" s="56">
        <f>ROUNDUP(COUNTIF('PT-06'!$L$10:$L$433,Summary!F13)/5,0)</f>
        <v>9</v>
      </c>
      <c r="H13" s="56">
        <v>268</v>
      </c>
      <c r="I13" s="57">
        <f>AVERAGEIF('PT-06'!$L$10:$L$433,Summary!F13,'PT-06'!$O$10:$O$433)</f>
        <v>4.25</v>
      </c>
      <c r="J13" s="56">
        <f>AVERAGEIF('PT-06'!$L$10:$L$433,Summary!F13,'PT-06'!$M$10:$M$433)</f>
        <v>43.166666666666664</v>
      </c>
      <c r="K13" s="58">
        <f>AVERAGEIF('PT-06'!$L$10:$L$433,Summary!F13,'PT-06'!$N$10:$N$433)</f>
        <v>20000</v>
      </c>
    </row>
    <row r="14" spans="2:11" ht="15" customHeight="1" x14ac:dyDescent="0.2">
      <c r="B14" s="55" t="s">
        <v>66</v>
      </c>
      <c r="C14" s="55" t="s">
        <v>91</v>
      </c>
      <c r="D14" s="55" t="s">
        <v>66</v>
      </c>
      <c r="E14" s="55" t="s">
        <v>67</v>
      </c>
      <c r="F14" s="55" t="str">
        <f t="shared" si="0"/>
        <v>LIRA-APAC</v>
      </c>
      <c r="G14" s="56">
        <f>ROUNDUP(COUNTIF('PT-06'!$L$10:$L$433,Summary!F14)/5,0)</f>
        <v>1</v>
      </c>
      <c r="H14" s="56">
        <v>61</v>
      </c>
      <c r="I14" s="57">
        <f>AVERAGEIF('PT-06'!$L$10:$L$433,Summary!F14,'PT-06'!$O$10:$O$433)</f>
        <v>1</v>
      </c>
      <c r="J14" s="56">
        <f>AVERAGEIF('PT-06'!$L$10:$L$433,Summary!F14,'PT-06'!$M$10:$M$433)</f>
        <v>41</v>
      </c>
      <c r="K14" s="58">
        <f>AVERAGEIF('PT-06'!$L$10:$L$433,Summary!F14,'PT-06'!$N$10:$N$433)</f>
        <v>6000</v>
      </c>
    </row>
    <row r="15" spans="2:11" ht="15" customHeight="1" x14ac:dyDescent="0.2">
      <c r="B15" s="55" t="s">
        <v>66</v>
      </c>
      <c r="C15" s="55" t="s">
        <v>91</v>
      </c>
      <c r="D15" s="55" t="s">
        <v>66</v>
      </c>
      <c r="E15" s="55" t="s">
        <v>70</v>
      </c>
      <c r="F15" s="55" t="str">
        <f t="shared" ref="F15" si="1">D15&amp;"-"&amp;E15</f>
        <v>LIRA-BUSIA</v>
      </c>
      <c r="G15" s="56">
        <f>ROUNDUP(COUNTIF('PT-06'!$L$10:$L$433,Summary!F15)/5,0)</f>
        <v>1</v>
      </c>
      <c r="H15" s="56">
        <v>324</v>
      </c>
      <c r="I15" s="57">
        <f>AVERAGEIF('PT-06'!$L$10:$L$433,Summary!F15,'PT-06'!$O$10:$O$433)</f>
        <v>5.5</v>
      </c>
      <c r="J15" s="56">
        <f>AVERAGEIF('PT-06'!$L$10:$L$433,Summary!F15,'PT-06'!$M$10:$M$433)</f>
        <v>64</v>
      </c>
      <c r="K15" s="58">
        <f>AVERAGEIF('PT-06'!$L$10:$L$433,Summary!F15,'PT-06'!$N$10:$N$433)</f>
        <v>25000</v>
      </c>
    </row>
    <row r="16" spans="2:11" ht="15" customHeight="1" x14ac:dyDescent="0.2">
      <c r="B16" s="55" t="s">
        <v>66</v>
      </c>
      <c r="C16" s="55" t="s">
        <v>91</v>
      </c>
      <c r="D16" s="55" t="s">
        <v>66</v>
      </c>
      <c r="E16" s="55" t="s">
        <v>69</v>
      </c>
      <c r="F16" s="55" t="str">
        <f t="shared" si="0"/>
        <v>LIRA-GULU</v>
      </c>
      <c r="G16" s="56">
        <f>ROUNDUP(COUNTIF('PT-06'!$L$10:$L$433,Summary!F16)/5,0)</f>
        <v>1</v>
      </c>
      <c r="H16" s="56">
        <v>101</v>
      </c>
      <c r="I16" s="57">
        <f>AVERAGEIF('PT-06'!$L$10:$L$433,Summary!F16,'PT-06'!$O$10:$O$433)</f>
        <v>2</v>
      </c>
      <c r="J16" s="56">
        <f>AVERAGEIF('PT-06'!$L$10:$L$433,Summary!F16,'PT-06'!$M$10:$M$433)</f>
        <v>39</v>
      </c>
      <c r="K16" s="58">
        <f>AVERAGEIF('PT-06'!$L$10:$L$433,Summary!F16,'PT-06'!$N$10:$N$433)</f>
        <v>10000</v>
      </c>
    </row>
    <row r="17" spans="2:11" ht="15" customHeight="1" x14ac:dyDescent="0.2">
      <c r="B17" s="55" t="s">
        <v>66</v>
      </c>
      <c r="C17" s="55" t="s">
        <v>92</v>
      </c>
      <c r="D17" s="55" t="s">
        <v>72</v>
      </c>
      <c r="E17" s="55" t="s">
        <v>66</v>
      </c>
      <c r="F17" s="55" t="str">
        <f t="shared" si="0"/>
        <v>AGAGO-LIRA</v>
      </c>
      <c r="G17" s="56">
        <f>ROUNDUP(COUNTIF('PT-06'!$L$10:$L$433,Summary!F17)/5,0)</f>
        <v>1</v>
      </c>
      <c r="H17" s="56">
        <v>114</v>
      </c>
      <c r="I17" s="57">
        <f>AVERAGEIF('PT-06'!$L$10:$L$433,Summary!F17,'PT-06'!$O$10:$O$433)</f>
        <v>2.25</v>
      </c>
      <c r="J17" s="56">
        <f>AVERAGEIF('PT-06'!$L$10:$L$433,Summary!F17,'PT-06'!$M$10:$M$433)</f>
        <v>29</v>
      </c>
      <c r="K17" s="58">
        <f>AVERAGEIF('PT-06'!$L$10:$L$433,Summary!F17,'PT-06'!$N$10:$N$433)</f>
        <v>15000</v>
      </c>
    </row>
    <row r="18" spans="2:11" ht="15" customHeight="1" x14ac:dyDescent="0.2">
      <c r="B18" s="55" t="s">
        <v>66</v>
      </c>
      <c r="C18" s="55" t="s">
        <v>92</v>
      </c>
      <c r="D18" s="55" t="s">
        <v>73</v>
      </c>
      <c r="E18" s="55" t="s">
        <v>66</v>
      </c>
      <c r="F18" s="55" t="str">
        <f t="shared" ref="F18:F20" si="2">D18&amp;"-"&amp;E18</f>
        <v>DOKOLO-LIRA</v>
      </c>
      <c r="G18" s="56">
        <f>ROUNDUP(COUNTIF('PT-06'!$L$10:$L$433,Summary!F18)/5,0)</f>
        <v>1</v>
      </c>
      <c r="H18" s="56">
        <v>47</v>
      </c>
      <c r="I18" s="57">
        <f>AVERAGEIF('PT-06'!$L$10:$L$433,Summary!F18,'PT-06'!$O$10:$O$433)</f>
        <v>1</v>
      </c>
      <c r="J18" s="56">
        <f>AVERAGEIF('PT-06'!$L$10:$L$433,Summary!F18,'PT-06'!$M$10:$M$433)</f>
        <v>29</v>
      </c>
      <c r="K18" s="58">
        <f>AVERAGEIF('PT-06'!$L$10:$L$433,Summary!F18,'PT-06'!$N$10:$N$433)</f>
        <v>8000</v>
      </c>
    </row>
    <row r="19" spans="2:11" ht="15" customHeight="1" x14ac:dyDescent="0.2">
      <c r="B19" s="55" t="s">
        <v>66</v>
      </c>
      <c r="C19" s="55" t="s">
        <v>93</v>
      </c>
      <c r="D19" s="55" t="s">
        <v>70</v>
      </c>
      <c r="E19" s="55" t="s">
        <v>69</v>
      </c>
      <c r="F19" s="55" t="str">
        <f t="shared" si="2"/>
        <v>BUSIA-GULU</v>
      </c>
      <c r="G19" s="56">
        <f>ROUNDUP(COUNTIF('PT-06'!$L$10:$L$433,Summary!F19)/5,0)</f>
        <v>1</v>
      </c>
      <c r="H19" s="56">
        <v>424</v>
      </c>
      <c r="I19" s="57">
        <f>AVERAGEIF('PT-06'!$L$10:$L$433,Summary!F19,'PT-06'!$O$10:$O$433)</f>
        <v>7</v>
      </c>
      <c r="J19" s="56">
        <f>AVERAGEIF('PT-06'!$L$10:$L$433,Summary!F19,'PT-06'!$M$10:$M$433)</f>
        <v>41.75</v>
      </c>
      <c r="K19" s="58">
        <f>AVERAGEIF('PT-06'!$L$10:$L$433,Summary!F19,'PT-06'!$N$10:$N$433)</f>
        <v>30000</v>
      </c>
    </row>
    <row r="20" spans="2:11" ht="15" customHeight="1" x14ac:dyDescent="0.2">
      <c r="B20" s="55" t="s">
        <v>66</v>
      </c>
      <c r="C20" s="55" t="s">
        <v>94</v>
      </c>
      <c r="D20" s="55" t="s">
        <v>69</v>
      </c>
      <c r="E20" s="55" t="s">
        <v>70</v>
      </c>
      <c r="F20" s="55" t="str">
        <f t="shared" si="2"/>
        <v>GULU-BUSIA</v>
      </c>
      <c r="G20" s="56">
        <f>ROUNDUP(COUNTIF('PT-06'!$L$10:$L$433,Summary!F20)/5,0)</f>
        <v>2</v>
      </c>
      <c r="H20" s="56">
        <v>424</v>
      </c>
      <c r="I20" s="57">
        <f>AVERAGEIF('PT-06'!$L$10:$L$433,Summary!F20,'PT-06'!$O$10:$O$433)</f>
        <v>6.5</v>
      </c>
      <c r="J20" s="56">
        <f>AVERAGEIF('PT-06'!$L$10:$L$433,Summary!F20,'PT-06'!$M$10:$M$433)</f>
        <v>44.25</v>
      </c>
      <c r="K20" s="58">
        <f>AVERAGEIF('PT-06'!$L$10:$L$433,Summary!F20,'PT-06'!$N$10:$N$433)</f>
        <v>27000</v>
      </c>
    </row>
    <row r="21" spans="2:11" ht="15" customHeight="1" x14ac:dyDescent="0.2"/>
    <row r="22" spans="2:11" ht="15" customHeight="1" x14ac:dyDescent="0.2"/>
    <row r="23" spans="2:11" ht="15" customHeight="1" x14ac:dyDescent="0.2"/>
    <row r="24" spans="2:11" ht="15" customHeight="1" x14ac:dyDescent="0.2"/>
    <row r="25" spans="2:11" ht="15" customHeight="1" x14ac:dyDescent="0.2"/>
    <row r="26" spans="2:11" ht="15" customHeight="1" x14ac:dyDescent="0.2"/>
    <row r="27" spans="2:11" ht="15" customHeight="1" x14ac:dyDescent="0.2"/>
    <row r="28" spans="2:11" ht="15" customHeight="1" x14ac:dyDescent="0.2"/>
    <row r="29" spans="2:11" ht="15" customHeight="1" x14ac:dyDescent="0.2"/>
    <row r="30" spans="2:11" ht="15" customHeight="1" x14ac:dyDescent="0.2"/>
  </sheetData>
  <mergeCells count="2">
    <mergeCell ref="D4:I4"/>
    <mergeCell ref="J4:K4"/>
  </mergeCells>
  <pageMargins left="0.7" right="0.7" top="0.75" bottom="0.75" header="0.3" footer="0.3"/>
  <pageSetup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PT-06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2020-03-31T23:12:17Z</dcterms:modified>
</cp:coreProperties>
</file>