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18-RUKUNGIRI\"/>
    </mc:Choice>
  </mc:AlternateContent>
  <bookViews>
    <workbookView xWindow="-120" yWindow="-120" windowWidth="20730" windowHeight="11160" activeTab="2"/>
  </bookViews>
  <sheets>
    <sheet name="PT-18" sheetId="3" r:id="rId1"/>
    <sheet name="RSI FORM" sheetId="4" state="hidden" r:id="rId2"/>
    <sheet name="Summary" sheetId="6" r:id="rId3"/>
    <sheet name="Key" sheetId="5" r:id="rId4"/>
  </sheets>
  <definedNames>
    <definedName name="_xlnm._FilterDatabase" localSheetId="0" hidden="1">'PT-18'!$B$9:$O$23</definedName>
    <definedName name="_xlnm.Print_Area" localSheetId="2">Summary!$A$1:$L$11</definedName>
    <definedName name="Veh_Type">'PT-18'!$C$9:$C$23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3" l="1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9" i="3"/>
  <c r="F10" i="6"/>
  <c r="F9" i="6"/>
  <c r="F8" i="6"/>
  <c r="J8" i="6" s="1"/>
  <c r="F7" i="6"/>
  <c r="F6" i="6"/>
  <c r="K6" i="6" s="1"/>
  <c r="J9" i="6" l="1"/>
  <c r="J10" i="6"/>
  <c r="J7" i="6"/>
  <c r="I10" i="6"/>
  <c r="G8" i="6"/>
  <c r="I8" i="6"/>
  <c r="I7" i="6"/>
  <c r="G7" i="6"/>
  <c r="I9" i="6"/>
  <c r="G9" i="6"/>
  <c r="K10" i="6"/>
  <c r="K9" i="6"/>
  <c r="K8" i="6"/>
  <c r="K7" i="6"/>
  <c r="G10" i="6"/>
  <c r="G6" i="6"/>
  <c r="I6" i="6"/>
  <c r="J6" i="6"/>
  <c r="D18" i="3" l="1"/>
  <c r="D19" i="3"/>
  <c r="D20" i="3"/>
  <c r="D21" i="3"/>
  <c r="D22" i="3"/>
  <c r="D10" i="3"/>
  <c r="D11" i="3"/>
  <c r="D12" i="3"/>
  <c r="D13" i="3"/>
  <c r="D14" i="3"/>
  <c r="D15" i="3"/>
  <c r="D16" i="3"/>
  <c r="D17" i="3"/>
  <c r="D23" i="3"/>
  <c r="D9" i="3"/>
</calcChain>
</file>

<file path=xl/sharedStrings.xml><?xml version="1.0" encoding="utf-8"?>
<sst xmlns="http://schemas.openxmlformats.org/spreadsheetml/2006/main" count="273" uniqueCount="117">
  <si>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</si>
  <si>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</si>
  <si>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</si>
  <si>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</si>
  <si>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</si>
  <si>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</si>
  <si>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</si>
  <si>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</si>
  <si>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</si>
  <si>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</si>
  <si>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</si>
  <si>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</si>
  <si>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</si>
  <si>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</si>
  <si>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</si>
  <si>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</si>
  <si>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</si>
  <si>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</si>
  <si>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</si>
  <si>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</si>
  <si>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</si>
  <si>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</si>
  <si>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</si>
  <si>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</si>
  <si>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</si>
  <si>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</si>
  <si>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</si>
  <si>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</si>
  <si>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</si>
  <si>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</si>
  <si>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</si>
  <si>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</si>
  <si>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</si>
  <si>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</si>
  <si>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</si>
  <si>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</si>
  <si>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</si>
  <si>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</si>
  <si>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</si>
  <si>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</si>
  <si>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</si>
  <si>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</si>
  <si>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</si>
  <si>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</si>
  <si>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</si>
  <si>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</si>
  <si>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</si>
  <si>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</si>
  <si>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</si>
  <si>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</si>
  <si>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</si>
  <si>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</si>
  <si>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</si>
  <si>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</si>
  <si>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</si>
  <si>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</si>
  <si>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</si>
  <si>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</si>
  <si>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</si>
  <si>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</si>
  <si>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</si>
  <si>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</si>
  <si>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22.10.19</t>
  </si>
  <si>
    <t>Rukungiri park</t>
  </si>
  <si>
    <t>Denis</t>
  </si>
  <si>
    <t>Teddy Anne Amukun</t>
  </si>
  <si>
    <t>Isaac A.</t>
  </si>
  <si>
    <t>UBB 786H</t>
  </si>
  <si>
    <t>out</t>
  </si>
  <si>
    <t>Rukungiri</t>
  </si>
  <si>
    <t>Uga</t>
  </si>
  <si>
    <t>Kampala</t>
  </si>
  <si>
    <t>UBF 783U</t>
  </si>
  <si>
    <t>UBF 052G</t>
  </si>
  <si>
    <t>UBB 785H</t>
  </si>
  <si>
    <t>UBA 828R</t>
  </si>
  <si>
    <t>Mbarara</t>
  </si>
  <si>
    <t>UAR 772W</t>
  </si>
  <si>
    <t xml:space="preserve">in  </t>
  </si>
  <si>
    <t>Kagambo</t>
  </si>
  <si>
    <t>Ntungamo</t>
  </si>
  <si>
    <t>UBB 038M</t>
  </si>
  <si>
    <t>in</t>
  </si>
  <si>
    <t>UBE 071B</t>
  </si>
  <si>
    <t>UBE 354L</t>
  </si>
  <si>
    <t>Bwindi</t>
  </si>
  <si>
    <t>Kanungu</t>
  </si>
  <si>
    <t>UBD 206E</t>
  </si>
  <si>
    <t>UBF 053G</t>
  </si>
  <si>
    <t>UAY 024B</t>
  </si>
  <si>
    <t>Kabale</t>
  </si>
  <si>
    <t>UBF 960J</t>
  </si>
  <si>
    <t>UAT 171F</t>
  </si>
  <si>
    <t>UAU 671L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</si>
  <si>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</si>
  <si>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</si>
  <si>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</si>
  <si>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</si>
  <si>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</si>
  <si>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</si>
  <si>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</si>
  <si>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</si>
  <si>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</si>
  <si>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</si>
  <si>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</si>
  <si>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</si>
  <si>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</si>
  <si>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KAMPALA</t>
  </si>
  <si>
    <t>TO KAMPALA</t>
  </si>
  <si>
    <t>Journey_Desc</t>
  </si>
  <si>
    <t>BUS OPERATIONS AT RUKUNGIRI</t>
  </si>
  <si>
    <t>RUKUNGIRI</t>
  </si>
  <si>
    <t>TO RUKUNGIRI</t>
  </si>
  <si>
    <t>KABALE</t>
  </si>
  <si>
    <t>NTUNGAMO</t>
  </si>
  <si>
    <t>FROM RUKUNGIRI</t>
  </si>
  <si>
    <t>MBARARA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</si>
</sst>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7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0" fillId="0" borderId="0" xfId="0" applyFill="1"/>
    <xf numFmtId="1" fontId="6" fillId="2" borderId="2" xfId="0" applyNumberFormat="1" applyFont="1" applyFill="1" applyBorder="1" applyAlignment="1">
      <alignment horizontal="center" wrapText="1"/>
    </xf>
    <xf numFmtId="166" fontId="6" fillId="3" borderId="2" xfId="0" applyNumberFormat="1" applyFont="1" applyFill="1" applyBorder="1" applyAlignment="1">
      <alignment horizontal="center"/>
    </xf>
    <xf numFmtId="0" fontId="9" fillId="0" borderId="0" xfId="0" applyFont="1"/>
    <xf numFmtId="20" fontId="3" fillId="3" borderId="2" xfId="0" applyNumberFormat="1" applyFont="1" applyFill="1" applyBorder="1" applyAlignment="1">
      <alignment vertical="center"/>
    </xf>
    <xf numFmtId="0" fontId="9" fillId="0" borderId="22" xfId="0" applyFont="1" applyFill="1" applyBorder="1" applyAlignment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 wrapText="1"/>
    </xf>
    <xf numFmtId="167" fontId="6" fillId="3" borderId="2" xfId="3" applyNumberFormat="1" applyFont="1" applyFill="1" applyBorder="1" applyAlignment="1">
      <alignment horizontal="right"/>
    </xf>
    <xf numFmtId="0" fontId="9" fillId="0" borderId="22" xfId="0" applyFont="1" applyBorder="1"/>
    <xf numFmtId="0" fontId="9" fillId="3" borderId="20" xfId="0" applyFont="1" applyFill="1" applyBorder="1"/>
    <xf numFmtId="0" fontId="4" fillId="0" borderId="0" xfId="5" applyFont="1"/>
    <xf numFmtId="0" fontId="6" fillId="0" borderId="0" xfId="5"/>
    <xf numFmtId="0" fontId="2" fillId="4" borderId="2" xfId="5" applyFont="1" applyFill="1" applyBorder="1" applyAlignment="1">
      <alignment vertical="center" wrapText="1"/>
    </xf>
    <xf numFmtId="0" fontId="2" fillId="4" borderId="2" xfId="5" applyFont="1" applyFill="1" applyBorder="1" applyAlignment="1">
      <alignment horizontal="center" vertical="center" wrapText="1"/>
    </xf>
    <xf numFmtId="0" fontId="6" fillId="0" borderId="0" xfId="5" applyAlignment="1">
      <alignment vertical="center"/>
    </xf>
    <xf numFmtId="0" fontId="6" fillId="5" borderId="2" xfId="5" applyFill="1" applyBorder="1" applyAlignment="1">
      <alignment vertical="center"/>
    </xf>
    <xf numFmtId="1" fontId="6" fillId="5" borderId="2" xfId="5" applyNumberFormat="1" applyFill="1" applyBorder="1" applyAlignment="1">
      <alignment horizontal="center" vertical="center"/>
    </xf>
    <xf numFmtId="166" fontId="6" fillId="5" borderId="2" xfId="5" applyNumberFormat="1" applyFill="1" applyBorder="1" applyAlignment="1">
      <alignment vertical="center"/>
    </xf>
    <xf numFmtId="164" fontId="0" fillId="5" borderId="2" xfId="6" applyFont="1" applyFill="1" applyBorder="1" applyAlignment="1">
      <alignment vertical="center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/>
    </xf>
    <xf numFmtId="0" fontId="9" fillId="3" borderId="2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right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4" borderId="7" xfId="5" applyFont="1" applyFill="1" applyBorder="1" applyAlignment="1">
      <alignment horizontal="center"/>
    </xf>
  </cellXfs>
  <cellStyles count="7">
    <cellStyle name="Comma [0] 2" xfId="6"/>
    <cellStyle name="Comma 2" xfId="3"/>
    <cellStyle name="Normal" xfId="0" builtinId="0"/>
    <cellStyle name="Normal 2" xfId="2"/>
    <cellStyle name="Normal 3" xfId="4"/>
    <cellStyle name="Normal 4" xfId="5"/>
    <cellStyle name="Percent 2" xfId="1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view="pageBreakPreview" zoomScale="75" zoomScaleNormal="75" zoomScaleSheetLayoutView="75" workbookViewId="0">
      <selection sqref="A1:A1048576"/>
    </sheetView>
  </sheetViews>
  <sheetFormatPr defaultRowHeight="12.75" x14ac:dyDescent="0.2"/>
  <cols>
    <col min="1" max="1" width="4.28515625" customWidth="1"/>
    <col min="2" max="2" width="16.42578125" customWidth="1"/>
    <col min="3" max="3" width="11.7109375" customWidth="1"/>
    <col min="4" max="4" width="15.7109375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24.7109375" customWidth="1"/>
    <col min="13" max="13" width="14.7109375" customWidth="1"/>
    <col min="14" max="14" width="16.42578125" customWidth="1"/>
    <col min="15" max="15" width="18.7109375" customWidth="1"/>
  </cols>
  <sheetData>
    <row r="1" spans="1:22" s="1" customFormat="1" ht="20.25" x14ac:dyDescent="0.2">
      <c r="B1" s="68" t="s">
        <v>51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"/>
      <c r="Q1" s="6"/>
      <c r="R1" s="6"/>
      <c r="S1" s="6"/>
      <c r="T1" s="6"/>
      <c r="U1" s="6"/>
      <c r="V1" s="6"/>
    </row>
    <row r="2" spans="1:22" ht="20.25" x14ac:dyDescent="0.2">
      <c r="B2" s="68" t="s">
        <v>61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7"/>
      <c r="Q2" s="7"/>
      <c r="R2" s="7"/>
      <c r="S2" s="7"/>
      <c r="T2" s="7"/>
      <c r="U2" s="7"/>
      <c r="V2" s="7"/>
    </row>
    <row r="3" spans="1:22" ht="15" x14ac:dyDescent="0.2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22" s="35" customFormat="1" ht="15" customHeight="1" x14ac:dyDescent="0.25">
      <c r="B4" s="73" t="s">
        <v>2</v>
      </c>
      <c r="C4" s="74"/>
      <c r="D4" s="36" t="s">
        <v>62</v>
      </c>
      <c r="G4" s="44" t="s">
        <v>58</v>
      </c>
      <c r="H4" s="69" t="s">
        <v>63</v>
      </c>
      <c r="I4" s="70"/>
      <c r="J4" s="43" t="s">
        <v>6</v>
      </c>
      <c r="K4" s="71" t="s">
        <v>66</v>
      </c>
      <c r="L4" s="72"/>
      <c r="M4" s="48"/>
      <c r="N4" s="43" t="s">
        <v>7</v>
      </c>
      <c r="O4" s="49" t="s">
        <v>60</v>
      </c>
      <c r="P4" s="37"/>
      <c r="R4" s="38"/>
      <c r="S4" s="39"/>
    </row>
    <row r="5" spans="1:22" s="35" customFormat="1" ht="15" customHeight="1" x14ac:dyDescent="0.25">
      <c r="B5" s="75" t="s">
        <v>57</v>
      </c>
      <c r="C5" s="76"/>
      <c r="D5" s="69" t="s">
        <v>65</v>
      </c>
      <c r="E5" s="70"/>
      <c r="F5" s="40"/>
      <c r="G5" s="44" t="s">
        <v>38</v>
      </c>
      <c r="H5" s="69" t="s">
        <v>64</v>
      </c>
      <c r="I5" s="70"/>
      <c r="K5" s="41"/>
      <c r="M5" s="41"/>
    </row>
    <row r="6" spans="1:22" ht="13.5" thickBot="1" x14ac:dyDescent="0.25"/>
    <row r="7" spans="1:22" ht="30.75" customHeight="1" x14ac:dyDescent="0.2">
      <c r="A7" s="32"/>
      <c r="B7" s="59" t="s">
        <v>34</v>
      </c>
      <c r="C7" s="61" t="s">
        <v>9</v>
      </c>
      <c r="D7" s="66" t="s">
        <v>55</v>
      </c>
      <c r="E7" s="66" t="s">
        <v>35</v>
      </c>
      <c r="F7" s="66" t="s">
        <v>54</v>
      </c>
      <c r="G7" s="63" t="s">
        <v>12</v>
      </c>
      <c r="H7" s="64"/>
      <c r="I7" s="65"/>
      <c r="J7" s="63" t="s">
        <v>17</v>
      </c>
      <c r="K7" s="64"/>
      <c r="L7" s="65"/>
      <c r="M7" s="61" t="s">
        <v>56</v>
      </c>
      <c r="N7" s="66" t="s">
        <v>59</v>
      </c>
      <c r="O7" s="66" t="s">
        <v>52</v>
      </c>
      <c r="Q7" s="19"/>
    </row>
    <row r="8" spans="1:22" ht="38.25" customHeight="1" x14ac:dyDescent="0.2">
      <c r="A8" s="32"/>
      <c r="B8" s="60"/>
      <c r="C8" s="62"/>
      <c r="D8" s="67"/>
      <c r="E8" s="67"/>
      <c r="F8" s="67"/>
      <c r="G8" s="42" t="s">
        <v>53</v>
      </c>
      <c r="H8" s="42" t="s">
        <v>36</v>
      </c>
      <c r="I8" s="42" t="s">
        <v>37</v>
      </c>
      <c r="J8" s="42" t="s">
        <v>53</v>
      </c>
      <c r="K8" s="42" t="s">
        <v>36</v>
      </c>
      <c r="L8" s="46" t="s">
        <v>109</v>
      </c>
      <c r="M8" s="62"/>
      <c r="N8" s="67"/>
      <c r="O8" s="67"/>
    </row>
    <row r="9" spans="1:22" s="19" customFormat="1" x14ac:dyDescent="0.2">
      <c r="B9" s="27">
        <v>0.27083333333333331</v>
      </c>
      <c r="C9" s="28">
        <v>6</v>
      </c>
      <c r="D9" s="33" t="str">
        <f>IF(C9="", "",VLOOKUP(C9,Key!$A$5:$B$7,2,FALSE))</f>
        <v>Large Bus</v>
      </c>
      <c r="E9" s="28" t="s">
        <v>67</v>
      </c>
      <c r="F9" s="28" t="s">
        <v>68</v>
      </c>
      <c r="G9" s="29" t="s">
        <v>69</v>
      </c>
      <c r="H9" s="29" t="s">
        <v>69</v>
      </c>
      <c r="I9" s="29" t="s">
        <v>70</v>
      </c>
      <c r="J9" s="29" t="s">
        <v>71</v>
      </c>
      <c r="K9" s="30" t="s">
        <v>71</v>
      </c>
      <c r="L9" s="30" t="str">
        <f t="shared" ref="L9:L23" si="0">H9&amp;"-"&amp;K9</f>
        <v>Rukungiri-Kampala</v>
      </c>
      <c r="M9" s="31">
        <v>8</v>
      </c>
      <c r="N9" s="47">
        <v>25000</v>
      </c>
      <c r="O9" s="34">
        <v>5.5</v>
      </c>
    </row>
    <row r="10" spans="1:22" s="19" customFormat="1" x14ac:dyDescent="0.2">
      <c r="B10" s="27">
        <v>0.34791666666666665</v>
      </c>
      <c r="C10" s="28">
        <v>6</v>
      </c>
      <c r="D10" s="33" t="str">
        <f>IF(C10="", "",VLOOKUP(C10,Key!$A$5:$B$7,2,FALSE))</f>
        <v>Large Bus</v>
      </c>
      <c r="E10" s="28" t="s">
        <v>72</v>
      </c>
      <c r="F10" s="28" t="s">
        <v>68</v>
      </c>
      <c r="G10" s="29" t="s">
        <v>69</v>
      </c>
      <c r="H10" s="29" t="s">
        <v>69</v>
      </c>
      <c r="I10" s="29" t="s">
        <v>70</v>
      </c>
      <c r="J10" s="29" t="s">
        <v>71</v>
      </c>
      <c r="K10" s="30" t="s">
        <v>71</v>
      </c>
      <c r="L10" s="30" t="str">
        <f t="shared" si="0"/>
        <v>Rukungiri-Kampala</v>
      </c>
      <c r="M10" s="31">
        <v>32</v>
      </c>
      <c r="N10" s="47">
        <v>25000</v>
      </c>
      <c r="O10" s="34">
        <v>5.5</v>
      </c>
    </row>
    <row r="11" spans="1:22" s="19" customFormat="1" x14ac:dyDescent="0.2">
      <c r="B11" s="27">
        <v>0.40416666666666662</v>
      </c>
      <c r="C11" s="28">
        <v>6</v>
      </c>
      <c r="D11" s="33" t="str">
        <f>IF(C11="", "",VLOOKUP(C11,Key!$A$5:$B$7,2,FALSE))</f>
        <v>Large Bus</v>
      </c>
      <c r="E11" s="28" t="s">
        <v>73</v>
      </c>
      <c r="F11" s="28" t="s">
        <v>68</v>
      </c>
      <c r="G11" s="29" t="s">
        <v>69</v>
      </c>
      <c r="H11" s="29" t="s">
        <v>69</v>
      </c>
      <c r="I11" s="29" t="s">
        <v>70</v>
      </c>
      <c r="J11" s="29" t="s">
        <v>71</v>
      </c>
      <c r="K11" s="30" t="s">
        <v>71</v>
      </c>
      <c r="L11" s="30" t="str">
        <f t="shared" si="0"/>
        <v>Rukungiri-Kampala</v>
      </c>
      <c r="M11" s="31">
        <v>21</v>
      </c>
      <c r="N11" s="47">
        <v>25000</v>
      </c>
      <c r="O11" s="34">
        <v>5.5</v>
      </c>
    </row>
    <row r="12" spans="1:22" s="19" customFormat="1" x14ac:dyDescent="0.2">
      <c r="B12" s="27">
        <v>0.48819444444444443</v>
      </c>
      <c r="C12" s="28">
        <v>6</v>
      </c>
      <c r="D12" s="33" t="str">
        <f>IF(C12="", "",VLOOKUP(C12,Key!$A$5:$B$7,2,FALSE))</f>
        <v>Large Bus</v>
      </c>
      <c r="E12" s="28" t="s">
        <v>74</v>
      </c>
      <c r="F12" s="28" t="s">
        <v>68</v>
      </c>
      <c r="G12" s="29" t="s">
        <v>69</v>
      </c>
      <c r="H12" s="29" t="s">
        <v>69</v>
      </c>
      <c r="I12" s="29" t="s">
        <v>70</v>
      </c>
      <c r="J12" s="29" t="s">
        <v>71</v>
      </c>
      <c r="K12" s="30" t="s">
        <v>71</v>
      </c>
      <c r="L12" s="30" t="str">
        <f t="shared" si="0"/>
        <v>Rukungiri-Kampala</v>
      </c>
      <c r="M12" s="31">
        <v>19</v>
      </c>
      <c r="N12" s="47">
        <v>25000</v>
      </c>
      <c r="O12" s="34">
        <v>5.5</v>
      </c>
    </row>
    <row r="13" spans="1:22" s="19" customFormat="1" x14ac:dyDescent="0.2">
      <c r="B13" s="27">
        <v>0.4916666666666667</v>
      </c>
      <c r="C13" s="28">
        <v>4</v>
      </c>
      <c r="D13" s="33" t="str">
        <f>IF(C13="", "",VLOOKUP(C13,Key!$A$5:$B$7,2,FALSE))</f>
        <v>Minibus, matatu</v>
      </c>
      <c r="E13" s="28" t="s">
        <v>75</v>
      </c>
      <c r="F13" s="28" t="s">
        <v>68</v>
      </c>
      <c r="G13" s="29" t="s">
        <v>69</v>
      </c>
      <c r="H13" s="29" t="s">
        <v>69</v>
      </c>
      <c r="I13" s="29" t="s">
        <v>70</v>
      </c>
      <c r="J13" s="29" t="s">
        <v>76</v>
      </c>
      <c r="K13" s="30" t="s">
        <v>76</v>
      </c>
      <c r="L13" s="30" t="str">
        <f t="shared" si="0"/>
        <v>Rukungiri-Mbarara</v>
      </c>
      <c r="M13" s="31">
        <v>6</v>
      </c>
      <c r="N13" s="47">
        <v>12000</v>
      </c>
      <c r="O13" s="34">
        <v>2.25</v>
      </c>
    </row>
    <row r="14" spans="1:22" s="19" customFormat="1" x14ac:dyDescent="0.2">
      <c r="B14" s="27">
        <v>0.51111111111111118</v>
      </c>
      <c r="C14" s="28">
        <v>4</v>
      </c>
      <c r="D14" s="33" t="str">
        <f>IF(C14="", "",VLOOKUP(C14,Key!$A$5:$B$7,2,FALSE))</f>
        <v>Minibus, matatu</v>
      </c>
      <c r="E14" s="28" t="s">
        <v>77</v>
      </c>
      <c r="F14" s="28" t="s">
        <v>78</v>
      </c>
      <c r="G14" s="29" t="s">
        <v>79</v>
      </c>
      <c r="H14" s="29" t="s">
        <v>80</v>
      </c>
      <c r="I14" s="29" t="s">
        <v>70</v>
      </c>
      <c r="J14" s="29" t="s">
        <v>69</v>
      </c>
      <c r="K14" s="30" t="s">
        <v>69</v>
      </c>
      <c r="L14" s="30" t="str">
        <f t="shared" si="0"/>
        <v>Ntungamo-Rukungiri</v>
      </c>
      <c r="M14" s="31">
        <v>10</v>
      </c>
      <c r="N14" s="47">
        <v>6000</v>
      </c>
      <c r="O14" s="34">
        <v>1</v>
      </c>
    </row>
    <row r="15" spans="1:22" s="19" customFormat="1" x14ac:dyDescent="0.2">
      <c r="B15" s="27">
        <v>0.51180555555555551</v>
      </c>
      <c r="C15" s="28">
        <v>4</v>
      </c>
      <c r="D15" s="33" t="str">
        <f>IF(C15="", "",VLOOKUP(C15,Key!$A$5:$B$7,2,FALSE))</f>
        <v>Minibus, matatu</v>
      </c>
      <c r="E15" s="28" t="s">
        <v>81</v>
      </c>
      <c r="F15" s="28" t="s">
        <v>82</v>
      </c>
      <c r="G15" s="29" t="s">
        <v>80</v>
      </c>
      <c r="H15" s="29" t="s">
        <v>80</v>
      </c>
      <c r="I15" s="29" t="s">
        <v>70</v>
      </c>
      <c r="J15" s="29" t="s">
        <v>69</v>
      </c>
      <c r="K15" s="30" t="s">
        <v>69</v>
      </c>
      <c r="L15" s="30" t="str">
        <f t="shared" si="0"/>
        <v>Ntungamo-Rukungiri</v>
      </c>
      <c r="M15" s="31">
        <v>2</v>
      </c>
      <c r="N15" s="47">
        <v>6000</v>
      </c>
      <c r="O15" s="34">
        <v>1</v>
      </c>
    </row>
    <row r="16" spans="1:22" s="19" customFormat="1" x14ac:dyDescent="0.2">
      <c r="B16" s="27">
        <v>0.5229166666666667</v>
      </c>
      <c r="C16" s="28">
        <v>4</v>
      </c>
      <c r="D16" s="33" t="str">
        <f>IF(C16="", "",VLOOKUP(C16,Key!$A$5:$B$7,2,FALSE))</f>
        <v>Minibus, matatu</v>
      </c>
      <c r="E16" s="28" t="s">
        <v>83</v>
      </c>
      <c r="F16" s="28" t="s">
        <v>68</v>
      </c>
      <c r="G16" s="29" t="s">
        <v>69</v>
      </c>
      <c r="H16" s="29" t="s">
        <v>69</v>
      </c>
      <c r="I16" s="29" t="s">
        <v>70</v>
      </c>
      <c r="J16" s="29" t="s">
        <v>76</v>
      </c>
      <c r="K16" s="30" t="s">
        <v>76</v>
      </c>
      <c r="L16" s="30" t="str">
        <f t="shared" si="0"/>
        <v>Rukungiri-Mbarara</v>
      </c>
      <c r="M16" s="31">
        <v>3</v>
      </c>
      <c r="N16" s="47">
        <v>13000</v>
      </c>
      <c r="O16" s="34">
        <v>2.25</v>
      </c>
    </row>
    <row r="17" spans="2:15" s="19" customFormat="1" x14ac:dyDescent="0.2">
      <c r="B17" s="27">
        <v>0.52777777777777779</v>
      </c>
      <c r="C17" s="28">
        <v>4</v>
      </c>
      <c r="D17" s="33" t="str">
        <f>IF(C17="", "",VLOOKUP(C17,Key!$A$5:$B$7,2,FALSE))</f>
        <v>Minibus, matatu</v>
      </c>
      <c r="E17" s="28" t="s">
        <v>84</v>
      </c>
      <c r="F17" s="28" t="s">
        <v>82</v>
      </c>
      <c r="G17" s="29" t="s">
        <v>85</v>
      </c>
      <c r="H17" s="29" t="s">
        <v>86</v>
      </c>
      <c r="I17" s="29" t="s">
        <v>70</v>
      </c>
      <c r="J17" s="29" t="s">
        <v>69</v>
      </c>
      <c r="K17" s="30" t="s">
        <v>69</v>
      </c>
      <c r="L17" s="30" t="str">
        <f t="shared" si="0"/>
        <v>Kanungu-Rukungiri</v>
      </c>
      <c r="M17" s="31">
        <v>5</v>
      </c>
      <c r="N17" s="47">
        <v>25000</v>
      </c>
      <c r="O17" s="34">
        <v>5.5</v>
      </c>
    </row>
    <row r="18" spans="2:15" s="19" customFormat="1" x14ac:dyDescent="0.2">
      <c r="B18" s="27">
        <v>0.53055555555555556</v>
      </c>
      <c r="C18" s="28">
        <v>4</v>
      </c>
      <c r="D18" s="33" t="str">
        <f>IF(C18="", "",VLOOKUP(C18,Key!$A$5:$B$7,2,FALSE))</f>
        <v>Minibus, matatu</v>
      </c>
      <c r="E18" s="28" t="s">
        <v>87</v>
      </c>
      <c r="F18" s="28" t="s">
        <v>68</v>
      </c>
      <c r="G18" s="29" t="s">
        <v>69</v>
      </c>
      <c r="H18" s="29" t="s">
        <v>69</v>
      </c>
      <c r="I18" s="29" t="s">
        <v>70</v>
      </c>
      <c r="J18" s="29" t="s">
        <v>71</v>
      </c>
      <c r="K18" s="30" t="s">
        <v>71</v>
      </c>
      <c r="L18" s="30" t="str">
        <f t="shared" si="0"/>
        <v>Rukungiri-Kampala</v>
      </c>
      <c r="M18" s="31">
        <v>2</v>
      </c>
      <c r="N18" s="47">
        <v>25000</v>
      </c>
      <c r="O18" s="34">
        <v>5.5</v>
      </c>
    </row>
    <row r="19" spans="2:15" s="19" customFormat="1" x14ac:dyDescent="0.2">
      <c r="B19" s="27">
        <v>0.58124999999999993</v>
      </c>
      <c r="C19" s="28">
        <v>6</v>
      </c>
      <c r="D19" s="33" t="str">
        <f>IF(C19="", "",VLOOKUP(C19,Key!$A$5:$B$7,2,FALSE))</f>
        <v>Large Bus</v>
      </c>
      <c r="E19" s="28" t="s">
        <v>88</v>
      </c>
      <c r="F19" s="28" t="s">
        <v>82</v>
      </c>
      <c r="G19" s="29" t="s">
        <v>71</v>
      </c>
      <c r="H19" s="29" t="s">
        <v>71</v>
      </c>
      <c r="I19" s="29" t="s">
        <v>70</v>
      </c>
      <c r="J19" s="29" t="s">
        <v>69</v>
      </c>
      <c r="K19" s="30" t="s">
        <v>69</v>
      </c>
      <c r="L19" s="30" t="str">
        <f t="shared" si="0"/>
        <v>Kampala-Rukungiri</v>
      </c>
      <c r="M19" s="31">
        <v>26</v>
      </c>
      <c r="N19" s="47">
        <v>25000</v>
      </c>
      <c r="O19" s="34">
        <v>5.5</v>
      </c>
    </row>
    <row r="20" spans="2:15" s="19" customFormat="1" x14ac:dyDescent="0.2">
      <c r="B20" s="27">
        <v>0.59930555555555554</v>
      </c>
      <c r="C20" s="28">
        <v>4</v>
      </c>
      <c r="D20" s="33" t="str">
        <f>IF(C20="", "",VLOOKUP(C20,Key!$A$5:$B$7,2,FALSE))</f>
        <v>Minibus, matatu</v>
      </c>
      <c r="E20" s="28" t="s">
        <v>89</v>
      </c>
      <c r="F20" s="28" t="s">
        <v>82</v>
      </c>
      <c r="G20" s="29" t="s">
        <v>90</v>
      </c>
      <c r="H20" s="29" t="s">
        <v>90</v>
      </c>
      <c r="I20" s="29" t="s">
        <v>70</v>
      </c>
      <c r="J20" s="29" t="s">
        <v>69</v>
      </c>
      <c r="K20" s="30" t="s">
        <v>69</v>
      </c>
      <c r="L20" s="30" t="str">
        <f t="shared" si="0"/>
        <v>Kabale-Rukungiri</v>
      </c>
      <c r="M20" s="31">
        <v>3</v>
      </c>
      <c r="N20" s="47">
        <v>15000</v>
      </c>
      <c r="O20" s="34">
        <v>2.5</v>
      </c>
    </row>
    <row r="21" spans="2:15" s="19" customFormat="1" x14ac:dyDescent="0.2">
      <c r="B21" s="27">
        <v>0.62152777777777779</v>
      </c>
      <c r="C21" s="28">
        <v>6</v>
      </c>
      <c r="D21" s="33" t="str">
        <f>IF(C21="", "",VLOOKUP(C21,Key!$A$5:$B$7,2,FALSE))</f>
        <v>Large Bus</v>
      </c>
      <c r="E21" s="28" t="s">
        <v>91</v>
      </c>
      <c r="F21" s="28" t="s">
        <v>82</v>
      </c>
      <c r="G21" s="29" t="s">
        <v>71</v>
      </c>
      <c r="H21" s="29" t="s">
        <v>71</v>
      </c>
      <c r="I21" s="29" t="s">
        <v>70</v>
      </c>
      <c r="J21" s="29" t="s">
        <v>69</v>
      </c>
      <c r="K21" s="30" t="s">
        <v>69</v>
      </c>
      <c r="L21" s="30" t="str">
        <f t="shared" si="0"/>
        <v>Kampala-Rukungiri</v>
      </c>
      <c r="M21" s="31">
        <v>45</v>
      </c>
      <c r="N21" s="47">
        <v>25000</v>
      </c>
      <c r="O21" s="34">
        <v>5.5</v>
      </c>
    </row>
    <row r="22" spans="2:15" s="19" customFormat="1" x14ac:dyDescent="0.2">
      <c r="B22" s="27">
        <v>0.68333333333333324</v>
      </c>
      <c r="C22" s="28">
        <v>6</v>
      </c>
      <c r="D22" s="33" t="str">
        <f>IF(C22="", "",VLOOKUP(C22,Key!$A$5:$B$7,2,FALSE))</f>
        <v>Large Bus</v>
      </c>
      <c r="E22" s="28" t="s">
        <v>92</v>
      </c>
      <c r="F22" s="28" t="s">
        <v>82</v>
      </c>
      <c r="G22" s="29" t="s">
        <v>71</v>
      </c>
      <c r="H22" s="29" t="s">
        <v>71</v>
      </c>
      <c r="I22" s="29" t="s">
        <v>70</v>
      </c>
      <c r="J22" s="29" t="s">
        <v>69</v>
      </c>
      <c r="K22" s="30" t="s">
        <v>69</v>
      </c>
      <c r="L22" s="30" t="str">
        <f t="shared" si="0"/>
        <v>Kampala-Rukungiri</v>
      </c>
      <c r="M22" s="31">
        <v>23</v>
      </c>
      <c r="N22" s="47">
        <v>25000</v>
      </c>
      <c r="O22" s="34">
        <v>5.5</v>
      </c>
    </row>
    <row r="23" spans="2:15" s="19" customFormat="1" x14ac:dyDescent="0.2">
      <c r="B23" s="27">
        <v>0.7402777777777777</v>
      </c>
      <c r="C23" s="28">
        <v>6</v>
      </c>
      <c r="D23" s="33" t="str">
        <f>IF(C23="", "",VLOOKUP(C23,Key!$A$5:$B$7,2,FALSE))</f>
        <v>Large Bus</v>
      </c>
      <c r="E23" s="28" t="s">
        <v>93</v>
      </c>
      <c r="F23" s="28" t="s">
        <v>82</v>
      </c>
      <c r="G23" s="29" t="s">
        <v>71</v>
      </c>
      <c r="H23" s="29" t="s">
        <v>71</v>
      </c>
      <c r="I23" s="29" t="s">
        <v>70</v>
      </c>
      <c r="J23" s="29" t="s">
        <v>69</v>
      </c>
      <c r="K23" s="30" t="s">
        <v>69</v>
      </c>
      <c r="L23" s="30" t="str">
        <f t="shared" si="0"/>
        <v>Kampala-Rukungiri</v>
      </c>
      <c r="M23" s="31">
        <v>11</v>
      </c>
      <c r="N23" s="47">
        <v>25000</v>
      </c>
      <c r="O23" s="34">
        <v>5.5</v>
      </c>
    </row>
  </sheetData>
  <sortState ref="A9:V23">
    <sortCondition ref="A9:A23"/>
  </sortState>
  <mergeCells count="18">
    <mergeCell ref="F7:F8"/>
    <mergeCell ref="N7:N8"/>
    <mergeCell ref="B7:B8"/>
    <mergeCell ref="C7:C8"/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1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2" t="s">
        <v>8</v>
      </c>
      <c r="C7" s="84" t="s">
        <v>9</v>
      </c>
      <c r="D7" s="84" t="s">
        <v>10</v>
      </c>
      <c r="E7" s="84" t="s">
        <v>11</v>
      </c>
      <c r="F7" s="84" t="s">
        <v>12</v>
      </c>
      <c r="G7" s="84"/>
      <c r="H7" s="84" t="s">
        <v>15</v>
      </c>
      <c r="I7" s="84" t="s">
        <v>16</v>
      </c>
      <c r="J7" s="84" t="s">
        <v>17</v>
      </c>
      <c r="K7" s="84"/>
      <c r="L7" s="84" t="s">
        <v>18</v>
      </c>
      <c r="M7" s="84" t="s">
        <v>19</v>
      </c>
      <c r="N7" s="84" t="s">
        <v>20</v>
      </c>
      <c r="O7" s="86" t="s">
        <v>21</v>
      </c>
      <c r="P7" s="77" t="s">
        <v>27</v>
      </c>
      <c r="Q7" s="78"/>
    </row>
    <row r="8" spans="2:25" ht="24.75" customHeight="1" thickBot="1" x14ac:dyDescent="0.25">
      <c r="B8" s="83"/>
      <c r="C8" s="85"/>
      <c r="D8" s="85"/>
      <c r="E8" s="85"/>
      <c r="F8" s="18" t="s">
        <v>13</v>
      </c>
      <c r="G8" s="18" t="s">
        <v>14</v>
      </c>
      <c r="H8" s="85"/>
      <c r="I8" s="85"/>
      <c r="J8" s="18" t="s">
        <v>13</v>
      </c>
      <c r="K8" s="18" t="s">
        <v>14</v>
      </c>
      <c r="L8" s="85"/>
      <c r="M8" s="85"/>
      <c r="N8" s="85"/>
      <c r="O8" s="87"/>
      <c r="P8" s="79"/>
      <c r="Q8" s="80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"/>
  <sheetViews>
    <sheetView tabSelected="1" view="pageBreakPreview" zoomScale="60" zoomScaleNormal="85" workbookViewId="0">
      <selection activeCell="K16" sqref="K16"/>
    </sheetView>
  </sheetViews>
  <sheetFormatPr defaultRowHeight="12.75" x14ac:dyDescent="0.2"/>
  <cols>
    <col min="1" max="1" width="9.140625" style="51"/>
    <col min="2" max="2" width="13.7109375" style="51" customWidth="1"/>
    <col min="3" max="3" width="19.42578125" style="51" customWidth="1"/>
    <col min="4" max="4" width="14.5703125" style="51" customWidth="1"/>
    <col min="5" max="5" width="18.28515625" style="51" customWidth="1"/>
    <col min="6" max="6" width="25.140625" style="51" customWidth="1"/>
    <col min="7" max="8" width="10.85546875" style="51" customWidth="1"/>
    <col min="9" max="9" width="11.28515625" style="51" customWidth="1"/>
    <col min="10" max="10" width="10.140625" style="51" customWidth="1"/>
    <col min="11" max="11" width="12.28515625" style="51" customWidth="1"/>
    <col min="12" max="12" width="5.7109375" style="51" customWidth="1"/>
    <col min="13" max="16384" width="9.140625" style="51"/>
  </cols>
  <sheetData>
    <row r="2" spans="2:11" ht="15" x14ac:dyDescent="0.25">
      <c r="B2" s="50" t="s">
        <v>110</v>
      </c>
    </row>
    <row r="4" spans="2:11" x14ac:dyDescent="0.2">
      <c r="D4" s="88" t="s">
        <v>94</v>
      </c>
      <c r="E4" s="88"/>
      <c r="F4" s="88"/>
      <c r="G4" s="88"/>
      <c r="H4" s="88"/>
      <c r="I4" s="88"/>
      <c r="J4" s="88" t="s">
        <v>95</v>
      </c>
      <c r="K4" s="88"/>
    </row>
    <row r="5" spans="2:11" s="54" customFormat="1" ht="51.75" customHeight="1" x14ac:dyDescent="0.2">
      <c r="B5" s="52" t="s">
        <v>96</v>
      </c>
      <c r="C5" s="52" t="s">
        <v>97</v>
      </c>
      <c r="D5" s="52" t="s">
        <v>98</v>
      </c>
      <c r="E5" s="52" t="s">
        <v>99</v>
      </c>
      <c r="F5" s="52" t="s">
        <v>100</v>
      </c>
      <c r="G5" s="53" t="s">
        <v>101</v>
      </c>
      <c r="H5" s="53" t="s">
        <v>102</v>
      </c>
      <c r="I5" s="53" t="s">
        <v>103</v>
      </c>
      <c r="J5" s="53" t="s">
        <v>104</v>
      </c>
      <c r="K5" s="53" t="s">
        <v>105</v>
      </c>
    </row>
    <row r="6" spans="2:11" ht="15" customHeight="1" x14ac:dyDescent="0.2">
      <c r="B6" s="55" t="s">
        <v>111</v>
      </c>
      <c r="C6" s="55" t="s">
        <v>106</v>
      </c>
      <c r="D6" s="55" t="s">
        <v>107</v>
      </c>
      <c r="E6" s="55" t="s">
        <v>111</v>
      </c>
      <c r="F6" s="55" t="str">
        <f>D6&amp;"-"&amp;E6</f>
        <v>KAMPALA-RUKUNGIRI</v>
      </c>
      <c r="G6" s="56">
        <f>ROUNDUP(COUNTIF('PT-18'!$L$9:$L$233,Summary!F6),0)</f>
        <v>4</v>
      </c>
      <c r="H6" s="56">
        <v>331</v>
      </c>
      <c r="I6" s="57">
        <f>AVERAGEIF('PT-18'!$L$9:$L$233,Summary!F6,'PT-18'!$O$9:$O$233)</f>
        <v>5.5</v>
      </c>
      <c r="J6" s="56">
        <f>AVERAGEIF('PT-18'!$L$9:$L$233,Summary!F6,'PT-18'!$M$9:$M$233)</f>
        <v>26.25</v>
      </c>
      <c r="K6" s="58">
        <f>AVERAGEIF('PT-18'!$L$9:$L$233,Summary!F6,'PT-18'!$N$9:$N$233)</f>
        <v>25000</v>
      </c>
    </row>
    <row r="7" spans="2:11" ht="15" customHeight="1" x14ac:dyDescent="0.2">
      <c r="B7" s="55" t="s">
        <v>111</v>
      </c>
      <c r="C7" s="55" t="s">
        <v>108</v>
      </c>
      <c r="D7" s="55" t="s">
        <v>111</v>
      </c>
      <c r="E7" s="55" t="s">
        <v>107</v>
      </c>
      <c r="F7" s="55" t="str">
        <f t="shared" ref="F7:F10" si="0">D7&amp;"-"&amp;E7</f>
        <v>RUKUNGIRI-KAMPALA</v>
      </c>
      <c r="G7" s="56">
        <f>ROUNDUP(COUNTIF('PT-18'!$L$9:$L$233,Summary!F7),0)</f>
        <v>5</v>
      </c>
      <c r="H7" s="56">
        <v>331</v>
      </c>
      <c r="I7" s="57">
        <f>AVERAGEIF('PT-18'!$L$9:$L$233,Summary!F7,'PT-18'!$O$9:$O$233)</f>
        <v>5.5</v>
      </c>
      <c r="J7" s="56">
        <f>AVERAGEIF('PT-18'!$L$9:$L$233,Summary!F7,'PT-18'!$M$9:$M$233)</f>
        <v>16.399999999999999</v>
      </c>
      <c r="K7" s="58">
        <f>AVERAGEIF('PT-18'!$L$9:$L$233,Summary!F7,'PT-18'!$N$9:$N$233)</f>
        <v>25000</v>
      </c>
    </row>
    <row r="8" spans="2:11" ht="15" customHeight="1" x14ac:dyDescent="0.2">
      <c r="B8" s="55" t="s">
        <v>111</v>
      </c>
      <c r="C8" s="55" t="s">
        <v>112</v>
      </c>
      <c r="D8" s="55" t="s">
        <v>113</v>
      </c>
      <c r="E8" s="55" t="s">
        <v>111</v>
      </c>
      <c r="F8" s="55" t="str">
        <f t="shared" si="0"/>
        <v>KABALE-RUKUNGIRI</v>
      </c>
      <c r="G8" s="56">
        <f>ROUNDUP(COUNTIF('PT-18'!$L$9:$L$233,Summary!F8),0)</f>
        <v>1</v>
      </c>
      <c r="H8" s="56">
        <v>127</v>
      </c>
      <c r="I8" s="57">
        <f>AVERAGEIF('PT-18'!$L$9:$L$233,Summary!F8,'PT-18'!$O$9:$O$233)</f>
        <v>2.5</v>
      </c>
      <c r="J8" s="56">
        <f>AVERAGEIF('PT-18'!$L$9:$L$233,Summary!F8,'PT-18'!$M$9:$M$233)</f>
        <v>3</v>
      </c>
      <c r="K8" s="58">
        <f>AVERAGEIF('PT-18'!$L$9:$L$233,Summary!F8,'PT-18'!$N$9:$N$233)</f>
        <v>15000</v>
      </c>
    </row>
    <row r="9" spans="2:11" ht="15" customHeight="1" x14ac:dyDescent="0.2">
      <c r="B9" s="55" t="s">
        <v>111</v>
      </c>
      <c r="C9" s="55" t="s">
        <v>112</v>
      </c>
      <c r="D9" s="55" t="s">
        <v>114</v>
      </c>
      <c r="E9" s="55" t="s">
        <v>111</v>
      </c>
      <c r="F9" s="55" t="str">
        <f t="shared" si="0"/>
        <v>NTUNGAMO-RUKUNGIRI</v>
      </c>
      <c r="G9" s="56">
        <f>ROUNDUP(COUNTIF('PT-18'!$L$9:$L$233,Summary!F9),0)</f>
        <v>2</v>
      </c>
      <c r="H9" s="56">
        <v>50</v>
      </c>
      <c r="I9" s="57">
        <f>AVERAGEIF('PT-18'!$L$9:$L$233,Summary!F9,'PT-18'!$O$9:$O$233)</f>
        <v>1</v>
      </c>
      <c r="J9" s="56">
        <f>AVERAGEIF('PT-18'!$L$9:$L$233,Summary!F9,'PT-18'!$M$9:$M$233)</f>
        <v>6</v>
      </c>
      <c r="K9" s="58">
        <f>AVERAGEIF('PT-18'!$L$9:$L$233,Summary!F9,'PT-18'!$N$9:$N$233)</f>
        <v>6000</v>
      </c>
    </row>
    <row r="10" spans="2:11" ht="15" customHeight="1" x14ac:dyDescent="0.2">
      <c r="B10" s="55" t="s">
        <v>111</v>
      </c>
      <c r="C10" s="55" t="s">
        <v>115</v>
      </c>
      <c r="D10" s="55" t="s">
        <v>111</v>
      </c>
      <c r="E10" s="55" t="s">
        <v>116</v>
      </c>
      <c r="F10" s="55" t="str">
        <f t="shared" si="0"/>
        <v>RUKUNGIRI-MBARARA</v>
      </c>
      <c r="G10" s="56">
        <f>ROUNDUP(COUNTIF('PT-18'!$L$9:$L$233,Summary!F10),0)</f>
        <v>2</v>
      </c>
      <c r="H10" s="56">
        <v>115</v>
      </c>
      <c r="I10" s="57">
        <f>AVERAGEIF('PT-18'!$L$9:$L$233,Summary!F10,'PT-18'!$O$9:$O$233)</f>
        <v>2.25</v>
      </c>
      <c r="J10" s="56">
        <f>AVERAGEIF('PT-18'!$L$9:$L$233,Summary!F10,'PT-18'!$M$9:$M$233)</f>
        <v>4.5</v>
      </c>
      <c r="K10" s="58">
        <f>AVERAGEIF('PT-18'!$L$9:$L$233,Summary!F10,'PT-18'!$N$9:$N$233)</f>
        <v>12500</v>
      </c>
    </row>
    <row r="11" spans="2:11" ht="15" customHeight="1" x14ac:dyDescent="0.2"/>
    <row r="12" spans="2:11" ht="15" customHeight="1" x14ac:dyDescent="0.2"/>
    <row r="13" spans="2:11" ht="15" customHeight="1" x14ac:dyDescent="0.2"/>
    <row r="14" spans="2:11" ht="15" customHeight="1" x14ac:dyDescent="0.2"/>
    <row r="15" spans="2:11" ht="15" customHeight="1" x14ac:dyDescent="0.2"/>
    <row r="16" spans="2:1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</sheetData>
  <mergeCells count="2">
    <mergeCell ref="D4:I4"/>
    <mergeCell ref="J4:K4"/>
  </mergeCells>
  <pageMargins left="0.7" right="0.7" top="0.75" bottom="0.75" header="0.3" footer="0.3"/>
  <pageSetup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PT-18</vt:lpstr>
      <vt:lpstr>RSI FORM</vt:lpstr>
      <vt:lpstr>Summary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2020-03-31T23:56:32Z</dcterms:modified>
</cp:coreProperties>
</file>