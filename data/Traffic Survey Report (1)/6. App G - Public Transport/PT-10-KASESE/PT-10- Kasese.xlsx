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10-KASESE\"/>
    </mc:Choice>
  </mc:AlternateContent>
  <bookViews>
    <workbookView xWindow="2475" yWindow="3045" windowWidth="15375" windowHeight="7875" activeTab="2"/>
  </bookViews>
  <sheets>
    <sheet name="PT-10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'PT-10'!$B$9:$O$26</definedName>
    <definedName name="_xlnm.Print_Area" localSheetId="2">Summary!$A$1:$L$8</definedName>
    <definedName name="Veh_Type">'PT-10'!$C$9:$C$26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6" i="6" l="1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9" i="3"/>
  <c r="K7" i="6" s="1"/>
  <c r="F7" i="6"/>
  <c r="F6" i="6"/>
  <c r="G6" i="6" l="1"/>
  <c r="J7" i="6"/>
  <c r="I6" i="6"/>
  <c r="K6" i="6"/>
  <c r="I7" i="6"/>
  <c r="G7" i="6"/>
  <c r="D18" i="3" l="1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9" i="3"/>
</calcChain>
</file>

<file path=xl/sharedStrings.xml><?xml version="1.0" encoding="utf-8"?>
<sst xmlns="http://schemas.openxmlformats.org/spreadsheetml/2006/main" count="264" uniqueCount="92">
  <si>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</si>
  <si>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</si>
  <si>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</si>
  <si>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</si>
  <si>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</si>
  <si>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</si>
  <si>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</si>
  <si>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</si>
  <si>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</si>
  <si>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</si>
  <si>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</si>
  <si>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</si>
  <si>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</si>
  <si>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</si>
  <si>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</si>
  <si>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</si>
  <si>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</si>
  <si>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</si>
  <si>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</si>
  <si>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</si>
  <si>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</si>
  <si>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</si>
  <si>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</si>
  <si>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</si>
  <si>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</si>
  <si>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</si>
  <si>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</si>
  <si>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</si>
  <si>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</si>
  <si>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</si>
  <si>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</si>
  <si>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</si>
  <si>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</si>
  <si>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</si>
  <si>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</si>
  <si>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</si>
  <si>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</si>
  <si>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</si>
  <si>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</si>
  <si>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</si>
  <si>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</si>
  <si>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</si>
  <si>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</si>
  <si>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</si>
  <si>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</si>
  <si>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</si>
  <si>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</si>
  <si>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</si>
  <si>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</si>
  <si>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</si>
  <si>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</si>
  <si>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</si>
  <si>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</si>
  <si>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</si>
  <si>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</si>
  <si>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</si>
  <si>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</si>
  <si>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</si>
  <si>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</si>
  <si>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</si>
  <si>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</si>
  <si>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</si>
  <si>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22.10.19</t>
  </si>
  <si>
    <t>Anna Muwugumya</t>
  </si>
  <si>
    <t>Kasese Town bus park</t>
  </si>
  <si>
    <t>Isaac A.</t>
  </si>
  <si>
    <t>Dennis</t>
  </si>
  <si>
    <t xml:space="preserve">in  </t>
  </si>
  <si>
    <t>Bwera</t>
  </si>
  <si>
    <t>Kasese</t>
  </si>
  <si>
    <t>Uga</t>
  </si>
  <si>
    <t>Kampala</t>
  </si>
  <si>
    <t>out</t>
  </si>
  <si>
    <t>in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</si>
  <si>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</si>
  <si>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</si>
  <si>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</si>
  <si>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</si>
  <si>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</si>
  <si>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</si>
  <si>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</si>
  <si>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</si>
  <si>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</si>
  <si>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</si>
  <si>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</si>
  <si>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</si>
  <si>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</si>
  <si>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</si>
  <si>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TO KAMPALA</t>
  </si>
  <si>
    <t>Journey_Desc</t>
  </si>
  <si>
    <t>KASESE</t>
  </si>
  <si>
    <t>BUS OPERATIONS AT KASESE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</si>
</sst>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164" fontId="6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6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</cellXfs>
  <cellStyles count="7">
    <cellStyle name="Comma" xfId="1" builtinId="3"/>
    <cellStyle name="Comma [0] 2" xfId="6"/>
    <cellStyle name="Comma 2" xfId="4"/>
    <cellStyle name="Normal" xfId="0" builtinId="0"/>
    <cellStyle name="Normal 2" xfId="3"/>
    <cellStyle name="Normal 3" xfId="5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6"/>
  <sheetViews>
    <sheetView view="pageBreakPreview" topLeftCell="A7" zoomScale="75" zoomScaleNormal="75" zoomScaleSheetLayoutView="75" workbookViewId="0">
      <selection activeCell="N21" sqref="N21"/>
    </sheetView>
  </sheetViews>
  <sheetFormatPr defaultRowHeight="12.75" x14ac:dyDescent="0.2"/>
  <cols>
    <col min="1" max="1" width="8.8554687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59" t="s">
        <v>51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6"/>
      <c r="Q1" s="6"/>
      <c r="R1" s="6"/>
      <c r="S1" s="6"/>
      <c r="T1" s="6"/>
      <c r="U1" s="6"/>
      <c r="V1" s="6"/>
    </row>
    <row r="2" spans="1:22" ht="20.25" x14ac:dyDescent="0.2">
      <c r="B2" s="59" t="s">
        <v>61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68" t="s">
        <v>2</v>
      </c>
      <c r="C4" s="69"/>
      <c r="D4" s="40" t="s">
        <v>62</v>
      </c>
      <c r="G4" s="48" t="s">
        <v>58</v>
      </c>
      <c r="H4" s="64" t="s">
        <v>64</v>
      </c>
      <c r="I4" s="65"/>
      <c r="J4" s="42" t="s">
        <v>6</v>
      </c>
      <c r="K4" s="66" t="s">
        <v>65</v>
      </c>
      <c r="L4" s="67"/>
      <c r="M4" s="41"/>
      <c r="N4" s="42" t="s">
        <v>7</v>
      </c>
      <c r="O4" s="43" t="s">
        <v>60</v>
      </c>
      <c r="P4" s="41"/>
      <c r="R4" s="44"/>
      <c r="S4" s="45"/>
    </row>
    <row r="5" spans="1:22" s="39" customFormat="1" ht="15" customHeight="1" x14ac:dyDescent="0.25">
      <c r="B5" s="70" t="s">
        <v>57</v>
      </c>
      <c r="C5" s="71"/>
      <c r="D5" s="64" t="s">
        <v>63</v>
      </c>
      <c r="E5" s="65"/>
      <c r="F5" s="46"/>
      <c r="G5" s="48" t="s">
        <v>38</v>
      </c>
      <c r="H5" s="64" t="s">
        <v>66</v>
      </c>
      <c r="I5" s="65"/>
      <c r="K5" s="47"/>
      <c r="M5" s="47"/>
    </row>
    <row r="6" spans="1:22" ht="13.5" thickBot="1" x14ac:dyDescent="0.25"/>
    <row r="7" spans="1:22" ht="30.75" customHeight="1" x14ac:dyDescent="0.2">
      <c r="A7" s="34"/>
      <c r="B7" s="75" t="s">
        <v>34</v>
      </c>
      <c r="C7" s="62" t="s">
        <v>9</v>
      </c>
      <c r="D7" s="60" t="s">
        <v>55</v>
      </c>
      <c r="E7" s="60" t="s">
        <v>35</v>
      </c>
      <c r="F7" s="60" t="s">
        <v>54</v>
      </c>
      <c r="G7" s="72" t="s">
        <v>12</v>
      </c>
      <c r="H7" s="73"/>
      <c r="I7" s="74"/>
      <c r="J7" s="72" t="s">
        <v>17</v>
      </c>
      <c r="K7" s="73"/>
      <c r="L7" s="74"/>
      <c r="M7" s="62" t="s">
        <v>56</v>
      </c>
      <c r="N7" s="60" t="s">
        <v>59</v>
      </c>
      <c r="O7" s="60" t="s">
        <v>52</v>
      </c>
      <c r="Q7" s="19"/>
    </row>
    <row r="8" spans="1:22" ht="38.25" customHeight="1" x14ac:dyDescent="0.2">
      <c r="A8" s="34"/>
      <c r="B8" s="76"/>
      <c r="C8" s="63"/>
      <c r="D8" s="61"/>
      <c r="E8" s="61"/>
      <c r="F8" s="61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49" t="s">
        <v>89</v>
      </c>
      <c r="M8" s="63"/>
      <c r="N8" s="61"/>
      <c r="O8" s="61"/>
    </row>
    <row r="9" spans="1:22" s="19" customFormat="1" x14ac:dyDescent="0.2">
      <c r="B9" s="27">
        <v>0.29583333333333334</v>
      </c>
      <c r="C9" s="28">
        <v>6</v>
      </c>
      <c r="D9" s="36" t="str">
        <f>IF(C9="", "",VLOOKUP(C9,Key!$A$5:$B$7,2,FALSE))</f>
        <v>Large Bus</v>
      </c>
      <c r="E9" s="28"/>
      <c r="F9" s="28" t="s">
        <v>67</v>
      </c>
      <c r="G9" s="29" t="s">
        <v>68</v>
      </c>
      <c r="H9" s="29" t="s">
        <v>69</v>
      </c>
      <c r="I9" s="29" t="s">
        <v>70</v>
      </c>
      <c r="J9" s="29" t="s">
        <v>71</v>
      </c>
      <c r="K9" s="30" t="s">
        <v>71</v>
      </c>
      <c r="L9" s="30" t="str">
        <f t="shared" ref="L9:L26" si="0">H9&amp;"-"&amp;K9</f>
        <v>Kasese-Kampala</v>
      </c>
      <c r="M9" s="31">
        <v>50</v>
      </c>
      <c r="N9" s="38">
        <v>30000</v>
      </c>
      <c r="O9" s="37">
        <v>7</v>
      </c>
      <c r="P9"/>
    </row>
    <row r="10" spans="1:22" x14ac:dyDescent="0.2">
      <c r="B10" s="27">
        <v>0.31180555555555556</v>
      </c>
      <c r="C10" s="28">
        <v>6</v>
      </c>
      <c r="D10" s="36" t="str">
        <f>IF(C10="", "",VLOOKUP(C10,Key!$A$5:$B$7,2,FALSE))</f>
        <v>Large Bus</v>
      </c>
      <c r="E10" s="28"/>
      <c r="F10" s="28" t="s">
        <v>72</v>
      </c>
      <c r="G10" s="29" t="s">
        <v>69</v>
      </c>
      <c r="H10" s="29" t="s">
        <v>69</v>
      </c>
      <c r="I10" s="29" t="s">
        <v>70</v>
      </c>
      <c r="J10" s="29" t="s">
        <v>71</v>
      </c>
      <c r="K10" s="30" t="s">
        <v>71</v>
      </c>
      <c r="L10" s="30" t="str">
        <f t="shared" si="0"/>
        <v>Kasese-Kampala</v>
      </c>
      <c r="M10" s="31">
        <v>40</v>
      </c>
      <c r="N10" s="38">
        <v>30000</v>
      </c>
      <c r="O10" s="37">
        <v>7</v>
      </c>
    </row>
    <row r="11" spans="1:22" x14ac:dyDescent="0.2">
      <c r="B11" s="27">
        <v>0.34166666666666662</v>
      </c>
      <c r="C11" s="28">
        <v>6</v>
      </c>
      <c r="D11" s="36" t="str">
        <f>IF(C11="", "",VLOOKUP(C11,Key!$A$5:$B$7,2,FALSE))</f>
        <v>Large Bus</v>
      </c>
      <c r="E11" s="28"/>
      <c r="F11" s="28" t="s">
        <v>73</v>
      </c>
      <c r="G11" s="29" t="s">
        <v>69</v>
      </c>
      <c r="H11" s="29" t="s">
        <v>69</v>
      </c>
      <c r="I11" s="29" t="s">
        <v>70</v>
      </c>
      <c r="J11" s="29" t="s">
        <v>71</v>
      </c>
      <c r="K11" s="30" t="s">
        <v>71</v>
      </c>
      <c r="L11" s="30" t="str">
        <f t="shared" si="0"/>
        <v>Kasese-Kampala</v>
      </c>
      <c r="M11" s="31">
        <v>45</v>
      </c>
      <c r="N11" s="38">
        <v>30000</v>
      </c>
      <c r="O11" s="37">
        <v>7</v>
      </c>
    </row>
    <row r="12" spans="1:22" x14ac:dyDescent="0.2">
      <c r="A12" s="19"/>
      <c r="B12" s="27">
        <v>0.34861111111111115</v>
      </c>
      <c r="C12" s="28">
        <v>6</v>
      </c>
      <c r="D12" s="36" t="str">
        <f>IF(C12="", "",VLOOKUP(C12,Key!$A$5:$B$7,2,FALSE))</f>
        <v>Large Bus</v>
      </c>
      <c r="E12" s="28"/>
      <c r="F12" s="28" t="s">
        <v>73</v>
      </c>
      <c r="G12" s="29" t="s">
        <v>68</v>
      </c>
      <c r="H12" s="29" t="s">
        <v>69</v>
      </c>
      <c r="I12" s="29" t="s">
        <v>70</v>
      </c>
      <c r="J12" s="29" t="s">
        <v>71</v>
      </c>
      <c r="K12" s="30" t="s">
        <v>71</v>
      </c>
      <c r="L12" s="30" t="str">
        <f t="shared" si="0"/>
        <v>Kasese-Kampala</v>
      </c>
      <c r="M12" s="31">
        <v>38</v>
      </c>
      <c r="N12" s="38">
        <v>30000</v>
      </c>
      <c r="O12" s="37">
        <v>7</v>
      </c>
    </row>
    <row r="13" spans="1:22" x14ac:dyDescent="0.2">
      <c r="B13" s="27">
        <v>0.3756944444444445</v>
      </c>
      <c r="C13" s="28">
        <v>6</v>
      </c>
      <c r="D13" s="36" t="str">
        <f>IF(C13="", "",VLOOKUP(C13,Key!$A$5:$B$7,2,FALSE))</f>
        <v>Large Bus</v>
      </c>
      <c r="E13" s="28"/>
      <c r="F13" s="28" t="s">
        <v>73</v>
      </c>
      <c r="G13" s="29" t="s">
        <v>68</v>
      </c>
      <c r="H13" s="29" t="s">
        <v>69</v>
      </c>
      <c r="I13" s="29" t="s">
        <v>70</v>
      </c>
      <c r="J13" s="29" t="s">
        <v>71</v>
      </c>
      <c r="K13" s="30" t="s">
        <v>71</v>
      </c>
      <c r="L13" s="30" t="str">
        <f t="shared" si="0"/>
        <v>Kasese-Kampala</v>
      </c>
      <c r="M13" s="31">
        <v>40</v>
      </c>
      <c r="N13" s="38">
        <v>30000</v>
      </c>
      <c r="O13" s="37">
        <v>7</v>
      </c>
    </row>
    <row r="14" spans="1:22" x14ac:dyDescent="0.2">
      <c r="B14" s="27">
        <v>0.39930555555555558</v>
      </c>
      <c r="C14" s="28">
        <v>6</v>
      </c>
      <c r="D14" s="36" t="str">
        <f>IF(C14="", "",VLOOKUP(C14,Key!$A$5:$B$7,2,FALSE))</f>
        <v>Large Bus</v>
      </c>
      <c r="E14" s="28"/>
      <c r="F14" s="28" t="s">
        <v>72</v>
      </c>
      <c r="G14" s="29" t="s">
        <v>69</v>
      </c>
      <c r="H14" s="29" t="s">
        <v>69</v>
      </c>
      <c r="I14" s="29" t="s">
        <v>70</v>
      </c>
      <c r="J14" s="29" t="s">
        <v>71</v>
      </c>
      <c r="K14" s="30" t="s">
        <v>71</v>
      </c>
      <c r="L14" s="30" t="str">
        <f t="shared" si="0"/>
        <v>Kasese-Kampala</v>
      </c>
      <c r="M14" s="31">
        <v>42</v>
      </c>
      <c r="N14" s="38">
        <v>30000</v>
      </c>
      <c r="O14" s="37">
        <v>7</v>
      </c>
    </row>
    <row r="15" spans="1:22" x14ac:dyDescent="0.2">
      <c r="A15" s="19"/>
      <c r="B15" s="27">
        <v>0.40416666666666662</v>
      </c>
      <c r="C15" s="28">
        <v>6</v>
      </c>
      <c r="D15" s="36" t="str">
        <f>IF(C15="", "",VLOOKUP(C15,Key!$A$5:$B$7,2,FALSE))</f>
        <v>Large Bus</v>
      </c>
      <c r="E15" s="28"/>
      <c r="F15" s="28" t="s">
        <v>73</v>
      </c>
      <c r="G15" s="29" t="s">
        <v>69</v>
      </c>
      <c r="H15" s="29" t="s">
        <v>69</v>
      </c>
      <c r="I15" s="29" t="s">
        <v>70</v>
      </c>
      <c r="J15" s="29" t="s">
        <v>71</v>
      </c>
      <c r="K15" s="30" t="s">
        <v>71</v>
      </c>
      <c r="L15" s="30" t="str">
        <f t="shared" si="0"/>
        <v>Kasese-Kampala</v>
      </c>
      <c r="M15" s="31">
        <v>44</v>
      </c>
      <c r="N15" s="38">
        <v>30000</v>
      </c>
      <c r="O15" s="37">
        <v>7</v>
      </c>
    </row>
    <row r="16" spans="1:22" x14ac:dyDescent="0.2">
      <c r="B16" s="27">
        <v>0.44444444444444442</v>
      </c>
      <c r="C16" s="28">
        <v>6</v>
      </c>
      <c r="D16" s="36" t="str">
        <f>IF(C16="", "",VLOOKUP(C16,Key!$A$5:$B$7,2,FALSE))</f>
        <v>Large Bus</v>
      </c>
      <c r="E16" s="28"/>
      <c r="F16" s="28" t="s">
        <v>72</v>
      </c>
      <c r="G16" s="29" t="s">
        <v>69</v>
      </c>
      <c r="H16" s="29" t="s">
        <v>69</v>
      </c>
      <c r="I16" s="29" t="s">
        <v>70</v>
      </c>
      <c r="J16" s="29" t="s">
        <v>71</v>
      </c>
      <c r="K16" s="30" t="s">
        <v>71</v>
      </c>
      <c r="L16" s="30" t="str">
        <f t="shared" si="0"/>
        <v>Kasese-Kampala</v>
      </c>
      <c r="M16" s="31">
        <v>50</v>
      </c>
      <c r="N16" s="38">
        <v>30000</v>
      </c>
      <c r="O16" s="37">
        <v>7</v>
      </c>
    </row>
    <row r="17" spans="1:15" x14ac:dyDescent="0.2">
      <c r="B17" s="27">
        <v>0.4597222222222222</v>
      </c>
      <c r="C17" s="28">
        <v>6</v>
      </c>
      <c r="D17" s="36" t="str">
        <f>IF(C17="", "",VLOOKUP(C17,Key!$A$5:$B$7,2,FALSE))</f>
        <v>Large Bus</v>
      </c>
      <c r="E17" s="28"/>
      <c r="F17" s="28" t="s">
        <v>73</v>
      </c>
      <c r="G17" s="29" t="s">
        <v>68</v>
      </c>
      <c r="H17" s="29" t="s">
        <v>69</v>
      </c>
      <c r="I17" s="29" t="s">
        <v>70</v>
      </c>
      <c r="J17" s="29" t="s">
        <v>71</v>
      </c>
      <c r="K17" s="30" t="s">
        <v>71</v>
      </c>
      <c r="L17" s="30" t="str">
        <f t="shared" si="0"/>
        <v>Kasese-Kampala</v>
      </c>
      <c r="M17" s="31">
        <v>30</v>
      </c>
      <c r="N17" s="38">
        <v>30000</v>
      </c>
      <c r="O17" s="37">
        <v>7</v>
      </c>
    </row>
    <row r="18" spans="1:15" x14ac:dyDescent="0.2">
      <c r="A18" s="19"/>
      <c r="B18" s="27">
        <v>0.51111111111111118</v>
      </c>
      <c r="C18" s="28">
        <v>6</v>
      </c>
      <c r="D18" s="36" t="str">
        <f>IF(C18="", "",VLOOKUP(C18,Key!$A$5:$B$7,2,FALSE))</f>
        <v>Large Bus</v>
      </c>
      <c r="E18" s="28"/>
      <c r="F18" s="28" t="s">
        <v>73</v>
      </c>
      <c r="G18" s="29" t="s">
        <v>71</v>
      </c>
      <c r="H18" s="29" t="s">
        <v>71</v>
      </c>
      <c r="I18" s="29" t="s">
        <v>70</v>
      </c>
      <c r="J18" s="29" t="s">
        <v>68</v>
      </c>
      <c r="K18" s="30" t="s">
        <v>69</v>
      </c>
      <c r="L18" s="30" t="str">
        <f t="shared" si="0"/>
        <v>Kampala-Kasese</v>
      </c>
      <c r="M18" s="31">
        <v>55</v>
      </c>
      <c r="N18" s="38">
        <v>35000</v>
      </c>
      <c r="O18" s="37">
        <v>7</v>
      </c>
    </row>
    <row r="19" spans="1:15" x14ac:dyDescent="0.2">
      <c r="B19" s="27">
        <v>0.56180555555555556</v>
      </c>
      <c r="C19" s="28">
        <v>6</v>
      </c>
      <c r="D19" s="36" t="str">
        <f>IF(C19="", "",VLOOKUP(C19,Key!$A$5:$B$7,2,FALSE))</f>
        <v>Large Bus</v>
      </c>
      <c r="E19" s="28"/>
      <c r="F19" s="28" t="s">
        <v>73</v>
      </c>
      <c r="G19" s="29" t="s">
        <v>71</v>
      </c>
      <c r="H19" s="29" t="s">
        <v>71</v>
      </c>
      <c r="I19" s="29" t="s">
        <v>70</v>
      </c>
      <c r="J19" s="29" t="s">
        <v>68</v>
      </c>
      <c r="K19" s="30" t="s">
        <v>69</v>
      </c>
      <c r="L19" s="30" t="str">
        <f t="shared" si="0"/>
        <v>Kampala-Kasese</v>
      </c>
      <c r="M19" s="31">
        <v>60</v>
      </c>
      <c r="N19" s="38">
        <v>35000</v>
      </c>
      <c r="O19" s="37">
        <v>7</v>
      </c>
    </row>
    <row r="20" spans="1:15" x14ac:dyDescent="0.2">
      <c r="B20" s="27">
        <v>0.61041666666666672</v>
      </c>
      <c r="C20" s="28">
        <v>6</v>
      </c>
      <c r="D20" s="36" t="str">
        <f>IF(C20="", "",VLOOKUP(C20,Key!$A$5:$B$7,2,FALSE))</f>
        <v>Large Bus</v>
      </c>
      <c r="E20" s="28"/>
      <c r="F20" s="28" t="s">
        <v>72</v>
      </c>
      <c r="G20" s="29" t="s">
        <v>69</v>
      </c>
      <c r="H20" s="29" t="s">
        <v>69</v>
      </c>
      <c r="I20" s="29" t="s">
        <v>70</v>
      </c>
      <c r="J20" s="29" t="s">
        <v>71</v>
      </c>
      <c r="K20" s="30" t="s">
        <v>71</v>
      </c>
      <c r="L20" s="30" t="str">
        <f t="shared" si="0"/>
        <v>Kasese-Kampala</v>
      </c>
      <c r="M20" s="31">
        <v>40</v>
      </c>
      <c r="N20" s="38">
        <v>30000</v>
      </c>
      <c r="O20" s="37">
        <v>7</v>
      </c>
    </row>
    <row r="21" spans="1:15" x14ac:dyDescent="0.2">
      <c r="A21" s="19"/>
      <c r="B21" s="27">
        <v>0.63194444444444442</v>
      </c>
      <c r="C21" s="28">
        <v>6</v>
      </c>
      <c r="D21" s="36" t="str">
        <f>IF(C21="", "",VLOOKUP(C21,Key!$A$5:$B$7,2,FALSE))</f>
        <v>Large Bus</v>
      </c>
      <c r="E21" s="28"/>
      <c r="F21" s="28" t="s">
        <v>73</v>
      </c>
      <c r="G21" s="29" t="s">
        <v>69</v>
      </c>
      <c r="H21" s="29" t="s">
        <v>69</v>
      </c>
      <c r="I21" s="29" t="s">
        <v>70</v>
      </c>
      <c r="J21" s="29" t="s">
        <v>71</v>
      </c>
      <c r="K21" s="30" t="s">
        <v>71</v>
      </c>
      <c r="L21" s="30" t="str">
        <f t="shared" si="0"/>
        <v>Kasese-Kampala</v>
      </c>
      <c r="M21" s="31">
        <v>30</v>
      </c>
      <c r="N21" s="38">
        <v>30000</v>
      </c>
      <c r="O21" s="37">
        <v>7</v>
      </c>
    </row>
    <row r="22" spans="1:15" x14ac:dyDescent="0.2">
      <c r="B22" s="27">
        <v>0.67083333333333339</v>
      </c>
      <c r="C22" s="28">
        <v>6</v>
      </c>
      <c r="D22" s="36" t="str">
        <f>IF(C22="", "",VLOOKUP(C22,Key!$A$5:$B$7,2,FALSE))</f>
        <v>Large Bus</v>
      </c>
      <c r="E22" s="28"/>
      <c r="F22" s="28" t="s">
        <v>73</v>
      </c>
      <c r="G22" s="29" t="s">
        <v>68</v>
      </c>
      <c r="H22" s="29" t="s">
        <v>69</v>
      </c>
      <c r="I22" s="29" t="s">
        <v>70</v>
      </c>
      <c r="J22" s="29" t="s">
        <v>71</v>
      </c>
      <c r="K22" s="30" t="s">
        <v>71</v>
      </c>
      <c r="L22" s="30" t="str">
        <f t="shared" si="0"/>
        <v>Kasese-Kampala</v>
      </c>
      <c r="M22" s="31">
        <v>40</v>
      </c>
      <c r="N22" s="38">
        <v>30000</v>
      </c>
      <c r="O22" s="37">
        <v>7</v>
      </c>
    </row>
    <row r="23" spans="1:15" x14ac:dyDescent="0.2">
      <c r="B23" s="27">
        <v>0.67847222222222225</v>
      </c>
      <c r="C23" s="28">
        <v>6</v>
      </c>
      <c r="D23" s="36" t="str">
        <f>IF(C23="", "",VLOOKUP(C23,Key!$A$5:$B$7,2,FALSE))</f>
        <v>Large Bus</v>
      </c>
      <c r="E23" s="28"/>
      <c r="F23" s="28" t="s">
        <v>72</v>
      </c>
      <c r="G23" s="29" t="s">
        <v>69</v>
      </c>
      <c r="H23" s="29" t="s">
        <v>69</v>
      </c>
      <c r="I23" s="29" t="s">
        <v>70</v>
      </c>
      <c r="J23" s="29" t="s">
        <v>71</v>
      </c>
      <c r="K23" s="30" t="s">
        <v>71</v>
      </c>
      <c r="L23" s="30" t="str">
        <f t="shared" si="0"/>
        <v>Kasese-Kampala</v>
      </c>
      <c r="M23" s="31">
        <v>41</v>
      </c>
      <c r="N23" s="38">
        <v>30000</v>
      </c>
      <c r="O23" s="37">
        <v>7</v>
      </c>
    </row>
    <row r="24" spans="1:15" x14ac:dyDescent="0.2">
      <c r="A24" s="19"/>
      <c r="B24" s="27">
        <v>0.5708333333333333</v>
      </c>
      <c r="C24" s="28">
        <v>6</v>
      </c>
      <c r="D24" s="36" t="str">
        <f>IF(C24="", "",VLOOKUP(C24,Key!$A$5:$B$7,2,FALSE))</f>
        <v>Large Bus</v>
      </c>
      <c r="E24" s="28"/>
      <c r="F24" s="28" t="s">
        <v>72</v>
      </c>
      <c r="G24" s="29" t="s">
        <v>69</v>
      </c>
      <c r="H24" s="29" t="s">
        <v>69</v>
      </c>
      <c r="I24" s="29" t="s">
        <v>70</v>
      </c>
      <c r="J24" s="29" t="s">
        <v>71</v>
      </c>
      <c r="K24" s="30" t="s">
        <v>71</v>
      </c>
      <c r="L24" s="30" t="str">
        <f t="shared" si="0"/>
        <v>Kasese-Kampala</v>
      </c>
      <c r="M24" s="31">
        <v>30</v>
      </c>
      <c r="N24" s="38">
        <v>30000</v>
      </c>
      <c r="O24" s="37">
        <v>7</v>
      </c>
    </row>
    <row r="25" spans="1:15" x14ac:dyDescent="0.2">
      <c r="B25" s="27">
        <v>0.72499999999999998</v>
      </c>
      <c r="C25" s="28">
        <v>6</v>
      </c>
      <c r="D25" s="36" t="str">
        <f>IF(C25="", "",VLOOKUP(C25,Key!$A$5:$B$7,2,FALSE))</f>
        <v>Large Bus</v>
      </c>
      <c r="E25" s="28"/>
      <c r="F25" s="28" t="s">
        <v>73</v>
      </c>
      <c r="G25" s="29" t="s">
        <v>68</v>
      </c>
      <c r="H25" s="29" t="s">
        <v>69</v>
      </c>
      <c r="I25" s="29" t="s">
        <v>70</v>
      </c>
      <c r="J25" s="29" t="s">
        <v>71</v>
      </c>
      <c r="K25" s="30" t="s">
        <v>71</v>
      </c>
      <c r="L25" s="30" t="str">
        <f t="shared" si="0"/>
        <v>Kasese-Kampala</v>
      </c>
      <c r="M25" s="31">
        <v>30</v>
      </c>
      <c r="N25" s="38">
        <v>30000</v>
      </c>
      <c r="O25" s="37">
        <v>7</v>
      </c>
    </row>
    <row r="26" spans="1:15" x14ac:dyDescent="0.2">
      <c r="B26" s="27">
        <v>0.72986111111111107</v>
      </c>
      <c r="C26" s="28">
        <v>6</v>
      </c>
      <c r="D26" s="36" t="str">
        <f>IF(C26="", "",VLOOKUP(C26,Key!$A$5:$B$7,2,FALSE))</f>
        <v>Large Bus</v>
      </c>
      <c r="E26" s="28"/>
      <c r="F26" s="28" t="s">
        <v>72</v>
      </c>
      <c r="G26" s="29" t="s">
        <v>69</v>
      </c>
      <c r="H26" s="29" t="s">
        <v>69</v>
      </c>
      <c r="I26" s="29" t="s">
        <v>70</v>
      </c>
      <c r="J26" s="29" t="s">
        <v>71</v>
      </c>
      <c r="K26" s="30" t="s">
        <v>71</v>
      </c>
      <c r="L26" s="30" t="str">
        <f t="shared" si="0"/>
        <v>Kasese-Kampala</v>
      </c>
      <c r="M26" s="31">
        <v>35</v>
      </c>
      <c r="N26" s="38">
        <v>30000</v>
      </c>
      <c r="O26" s="37">
        <v>7</v>
      </c>
    </row>
  </sheetData>
  <sortState ref="A9:V26">
    <sortCondition ref="A9:A26"/>
  </sortState>
  <mergeCells count="18"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  <mergeCell ref="B7:B8"/>
    <mergeCell ref="C7:C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1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1" t="s">
        <v>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84" t="s">
        <v>9</v>
      </c>
      <c r="D7" s="84" t="s">
        <v>10</v>
      </c>
      <c r="E7" s="84" t="s">
        <v>11</v>
      </c>
      <c r="F7" s="84" t="s">
        <v>12</v>
      </c>
      <c r="G7" s="84"/>
      <c r="H7" s="84" t="s">
        <v>15</v>
      </c>
      <c r="I7" s="84" t="s">
        <v>16</v>
      </c>
      <c r="J7" s="84" t="s">
        <v>17</v>
      </c>
      <c r="K7" s="84"/>
      <c r="L7" s="84" t="s">
        <v>18</v>
      </c>
      <c r="M7" s="84" t="s">
        <v>19</v>
      </c>
      <c r="N7" s="84" t="s">
        <v>20</v>
      </c>
      <c r="O7" s="86" t="s">
        <v>21</v>
      </c>
      <c r="P7" s="77" t="s">
        <v>27</v>
      </c>
      <c r="Q7" s="78"/>
    </row>
    <row r="8" spans="2:25" ht="24.75" customHeight="1" thickBot="1" x14ac:dyDescent="0.25">
      <c r="B8" s="83"/>
      <c r="C8" s="85"/>
      <c r="D8" s="85"/>
      <c r="E8" s="85"/>
      <c r="F8" s="18" t="s">
        <v>13</v>
      </c>
      <c r="G8" s="18" t="s">
        <v>14</v>
      </c>
      <c r="H8" s="85"/>
      <c r="I8" s="85"/>
      <c r="J8" s="18" t="s">
        <v>13</v>
      </c>
      <c r="K8" s="18" t="s">
        <v>14</v>
      </c>
      <c r="L8" s="85"/>
      <c r="M8" s="85"/>
      <c r="N8" s="85"/>
      <c r="O8" s="87"/>
      <c r="P8" s="79"/>
      <c r="Q8" s="8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"/>
  <sheetViews>
    <sheetView tabSelected="1" view="pageBreakPreview" zoomScale="60" zoomScaleNormal="85" workbookViewId="0">
      <selection activeCell="K21" sqref="K21"/>
    </sheetView>
  </sheetViews>
  <sheetFormatPr defaultRowHeight="12.75" x14ac:dyDescent="0.2"/>
  <cols>
    <col min="2" max="2" width="11.5703125" customWidth="1"/>
    <col min="3" max="3" width="15.5703125" customWidth="1"/>
    <col min="4" max="4" width="12.140625" customWidth="1"/>
    <col min="5" max="5" width="17.5703125" customWidth="1"/>
    <col min="6" max="6" width="19.28515625" customWidth="1"/>
    <col min="7" max="8" width="10.85546875" customWidth="1"/>
    <col min="9" max="9" width="11.28515625" customWidth="1"/>
    <col min="10" max="10" width="10.140625" customWidth="1"/>
    <col min="11" max="11" width="14.5703125" customWidth="1"/>
    <col min="12" max="12" width="13.5703125" customWidth="1"/>
  </cols>
  <sheetData>
    <row r="2" spans="2:11" ht="15" x14ac:dyDescent="0.25">
      <c r="B2" s="50" t="s">
        <v>91</v>
      </c>
    </row>
    <row r="4" spans="2:11" x14ac:dyDescent="0.2">
      <c r="D4" s="88" t="s">
        <v>74</v>
      </c>
      <c r="E4" s="88"/>
      <c r="F4" s="88"/>
      <c r="G4" s="88"/>
      <c r="H4" s="88"/>
      <c r="I4" s="88"/>
      <c r="J4" s="88" t="s">
        <v>75</v>
      </c>
      <c r="K4" s="88"/>
    </row>
    <row r="5" spans="2:11" s="53" customFormat="1" ht="51" customHeight="1" x14ac:dyDescent="0.2">
      <c r="B5" s="51" t="s">
        <v>76</v>
      </c>
      <c r="C5" s="51" t="s">
        <v>77</v>
      </c>
      <c r="D5" s="51" t="s">
        <v>78</v>
      </c>
      <c r="E5" s="51" t="s">
        <v>79</v>
      </c>
      <c r="F5" s="51" t="s">
        <v>80</v>
      </c>
      <c r="G5" s="52" t="s">
        <v>81</v>
      </c>
      <c r="H5" s="52" t="s">
        <v>82</v>
      </c>
      <c r="I5" s="52" t="s">
        <v>83</v>
      </c>
      <c r="J5" s="52" t="s">
        <v>84</v>
      </c>
      <c r="K5" s="52" t="s">
        <v>85</v>
      </c>
    </row>
    <row r="6" spans="2:11" ht="15" customHeight="1" x14ac:dyDescent="0.2">
      <c r="B6" s="54" t="s">
        <v>90</v>
      </c>
      <c r="C6" s="54" t="s">
        <v>86</v>
      </c>
      <c r="D6" s="54" t="s">
        <v>87</v>
      </c>
      <c r="E6" s="55" t="s">
        <v>90</v>
      </c>
      <c r="F6" s="55" t="str">
        <f>D6&amp;"-"&amp;E6</f>
        <v>KAMPALA-KASESE</v>
      </c>
      <c r="G6" s="56">
        <f>ROUNDUP(COUNTIF('PT-10'!$L$9:$L$233,Summary!F6),0)</f>
        <v>2</v>
      </c>
      <c r="H6" s="56">
        <v>369</v>
      </c>
      <c r="I6" s="57">
        <f>AVERAGEIF('PT-10'!$L$9:$L$233,Summary!F6,'PT-10'!$O$9:$O$233)</f>
        <v>7</v>
      </c>
      <c r="J6" s="56">
        <f>AVERAGEIF('PT-10'!$L$9:$L$233,Summary!F6,'PT-10'!$M$9:$M$233)</f>
        <v>57.5</v>
      </c>
      <c r="K6" s="58">
        <f>AVERAGEIF('PT-10'!$L$9:$L$233,Summary!F6,'PT-10'!$N$9:$N$233)</f>
        <v>35000</v>
      </c>
    </row>
    <row r="7" spans="2:11" ht="15" customHeight="1" x14ac:dyDescent="0.2">
      <c r="B7" s="54" t="s">
        <v>90</v>
      </c>
      <c r="C7" s="54" t="s">
        <v>88</v>
      </c>
      <c r="D7" s="55" t="s">
        <v>90</v>
      </c>
      <c r="E7" s="54" t="s">
        <v>87</v>
      </c>
      <c r="F7" s="55" t="str">
        <f t="shared" ref="F7" si="0">D7&amp;"-"&amp;E7</f>
        <v>KASESE-KAMPALA</v>
      </c>
      <c r="G7" s="56">
        <f>ROUNDUP(COUNTIF('PT-10'!$L$9:$L$233,Summary!F7),0)</f>
        <v>16</v>
      </c>
      <c r="H7" s="56">
        <v>369</v>
      </c>
      <c r="I7" s="57">
        <f>AVERAGEIF('PT-10'!$L$9:$L$233,Summary!F7,'PT-10'!$O$9:$O$233)</f>
        <v>7</v>
      </c>
      <c r="J7" s="56">
        <f>AVERAGEIF('PT-10'!$L$9:$L$233,Summary!F7,'PT-10'!$M$9:$M$233)</f>
        <v>39.0625</v>
      </c>
      <c r="K7" s="58">
        <f>AVERAGEIF('PT-10'!$L$9:$L$233,Summary!F7,'PT-10'!$N$9:$N$233)</f>
        <v>30000</v>
      </c>
    </row>
    <row r="8" spans="2:11" ht="15" customHeight="1" x14ac:dyDescent="0.2"/>
    <row r="9" spans="2:11" ht="15" customHeight="1" x14ac:dyDescent="0.2"/>
    <row r="10" spans="2:11" ht="15" customHeight="1" x14ac:dyDescent="0.2"/>
    <row r="11" spans="2:11" ht="15" customHeight="1" x14ac:dyDescent="0.2"/>
    <row r="12" spans="2:11" ht="15" customHeight="1" x14ac:dyDescent="0.2"/>
    <row r="13" spans="2:11" ht="15" customHeight="1" x14ac:dyDescent="0.2"/>
    <row r="14" spans="2:11" ht="15" customHeight="1" x14ac:dyDescent="0.2"/>
    <row r="15" spans="2:11" ht="15" customHeight="1" x14ac:dyDescent="0.2"/>
    <row r="16" spans="2:11" ht="15" customHeight="1" x14ac:dyDescent="0.2"/>
    <row r="17" ht="15" customHeight="1" x14ac:dyDescent="0.2"/>
  </sheetData>
  <mergeCells count="2">
    <mergeCell ref="D4:I4"/>
    <mergeCell ref="J4:K4"/>
  </mergeCells>
  <pageMargins left="0.7" right="0.7" top="0.75" bottom="0.75" header="0.3" footer="0.3"/>
  <pageSetup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PT-10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2020-03-31T23:21:59Z</dcterms:modified>
</cp:coreProperties>
</file>