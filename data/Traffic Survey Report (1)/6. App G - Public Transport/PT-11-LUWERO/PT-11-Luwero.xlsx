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11-LUWERO\"/>
    </mc:Choice>
  </mc:AlternateContent>
  <bookViews>
    <workbookView xWindow="1170" yWindow="1170" windowWidth="15375" windowHeight="7875" activeTab="2"/>
  </bookViews>
  <sheets>
    <sheet name="PT-11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'PT-11'!$B$9:$O$70</definedName>
    <definedName name="_xlnm.Print_Area" localSheetId="2">Summary!$A$1:$L$30</definedName>
    <definedName name="Veh_Type">'PT-11'!$C$9:$C$37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3" i="6" l="1"/>
  <c r="F24" i="6"/>
  <c r="F25" i="6"/>
  <c r="F26" i="6"/>
  <c r="F27" i="6"/>
  <c r="F28" i="6"/>
  <c r="F29" i="6"/>
  <c r="F14" i="6"/>
  <c r="F19" i="6"/>
  <c r="F20" i="6"/>
  <c r="F21" i="6"/>
  <c r="F22" i="6"/>
  <c r="F30" i="6"/>
  <c r="F18" i="6"/>
  <c r="F17" i="6"/>
  <c r="F16" i="6"/>
  <c r="F15" i="6"/>
  <c r="F13" i="6"/>
  <c r="F12" i="6"/>
  <c r="F11" i="6"/>
  <c r="F10" i="6"/>
  <c r="F9" i="6"/>
  <c r="F8" i="6"/>
  <c r="F7" i="6"/>
  <c r="F6" i="6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9" i="3"/>
  <c r="K26" i="6" l="1"/>
  <c r="K29" i="6"/>
  <c r="K25" i="6"/>
  <c r="K14" i="6"/>
  <c r="K28" i="6"/>
  <c r="K24" i="6"/>
  <c r="K27" i="6"/>
  <c r="K23" i="6"/>
  <c r="G19" i="6"/>
  <c r="G29" i="6"/>
  <c r="G28" i="6"/>
  <c r="G27" i="6"/>
  <c r="G26" i="6"/>
  <c r="G25" i="6"/>
  <c r="G24" i="6"/>
  <c r="G23" i="6"/>
  <c r="I23" i="6"/>
  <c r="J23" i="6"/>
  <c r="I24" i="6"/>
  <c r="J24" i="6"/>
  <c r="I25" i="6"/>
  <c r="J25" i="6"/>
  <c r="I26" i="6"/>
  <c r="J26" i="6"/>
  <c r="I27" i="6"/>
  <c r="J27" i="6"/>
  <c r="I28" i="6"/>
  <c r="J28" i="6"/>
  <c r="I29" i="6"/>
  <c r="J29" i="6"/>
  <c r="G14" i="6"/>
  <c r="I14" i="6"/>
  <c r="J14" i="6"/>
  <c r="K7" i="6"/>
  <c r="K8" i="6"/>
  <c r="K13" i="6"/>
  <c r="I6" i="6"/>
  <c r="K10" i="6"/>
  <c r="I18" i="6"/>
  <c r="K21" i="6"/>
  <c r="K11" i="6"/>
  <c r="J15" i="6"/>
  <c r="J30" i="6"/>
  <c r="K20" i="6"/>
  <c r="I12" i="6"/>
  <c r="G16" i="6"/>
  <c r="K22" i="6"/>
  <c r="K19" i="6"/>
  <c r="K9" i="6"/>
  <c r="J17" i="6"/>
  <c r="G22" i="6"/>
  <c r="J12" i="6"/>
  <c r="K12" i="6"/>
  <c r="G12" i="6"/>
  <c r="J8" i="6"/>
  <c r="G8" i="6"/>
  <c r="I8" i="6"/>
  <c r="G20" i="6"/>
  <c r="J20" i="6"/>
  <c r="G21" i="6"/>
  <c r="I19" i="6"/>
  <c r="J19" i="6"/>
  <c r="I20" i="6"/>
  <c r="I21" i="6"/>
  <c r="J21" i="6"/>
  <c r="I22" i="6"/>
  <c r="J22" i="6"/>
  <c r="J18" i="6"/>
  <c r="I16" i="6"/>
  <c r="K30" i="6"/>
  <c r="G30" i="6"/>
  <c r="J16" i="6"/>
  <c r="K18" i="6"/>
  <c r="G18" i="6"/>
  <c r="I30" i="6"/>
  <c r="K16" i="6"/>
  <c r="I17" i="6"/>
  <c r="K17" i="6"/>
  <c r="G17" i="6"/>
  <c r="G15" i="6"/>
  <c r="K15" i="6"/>
  <c r="G11" i="6"/>
  <c r="I11" i="6"/>
  <c r="J11" i="6"/>
  <c r="G10" i="6"/>
  <c r="I10" i="6"/>
  <c r="J10" i="6"/>
  <c r="G13" i="6"/>
  <c r="G9" i="6"/>
  <c r="I13" i="6"/>
  <c r="I9" i="6"/>
  <c r="J13" i="6"/>
  <c r="J9" i="6"/>
  <c r="G7" i="6"/>
  <c r="I7" i="6"/>
  <c r="J7" i="6"/>
  <c r="G6" i="6"/>
  <c r="J6" i="6"/>
  <c r="K6" i="6"/>
  <c r="D18" i="3" l="1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9" i="3"/>
  <c r="I15" i="6"/>
</calcChain>
</file>

<file path=xl/sharedStrings.xml><?xml version="1.0" encoding="utf-8"?>
<sst xmlns="http://schemas.openxmlformats.org/spreadsheetml/2006/main" count="682" uniqueCount="197">
  <si>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</si>
  <si>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</si>
  <si>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</si>
  <si>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</si>
  <si>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</si>
  <si>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</si>
  <si>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</si>
  <si>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</si>
  <si>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</si>
  <si>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</si>
  <si>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</si>
  <si>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</si>
  <si>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</si>
  <si>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</si>
  <si>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</si>
  <si>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</si>
  <si>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</si>
  <si>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</si>
  <si>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</si>
  <si>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</si>
  <si>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</si>
  <si>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</si>
  <si>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</si>
  <si>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</si>
  <si>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</si>
  <si>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</si>
  <si>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</si>
  <si>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</si>
  <si>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</si>
  <si>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</si>
  <si>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</si>
  <si>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</si>
  <si>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</si>
  <si>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</si>
  <si>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</si>
  <si>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</si>
  <si>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</si>
  <si>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</si>
  <si>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</si>
  <si>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</si>
  <si>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</si>
  <si>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</si>
  <si>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</si>
  <si>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</si>
  <si>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</si>
  <si>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</si>
  <si>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</si>
  <si>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</si>
  <si>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</si>
  <si>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</si>
  <si>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</si>
  <si>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</si>
  <si>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</si>
  <si>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</si>
  <si>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</si>
  <si>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</si>
  <si>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</si>
  <si>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</si>
  <si>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</si>
  <si>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</si>
  <si>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</si>
  <si>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</si>
  <si>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24.10.19</t>
  </si>
  <si>
    <t>Damba Micheal</t>
  </si>
  <si>
    <t>Denis</t>
  </si>
  <si>
    <t>Luwero</t>
  </si>
  <si>
    <t>Isaac A.</t>
  </si>
  <si>
    <t>UBF 265V</t>
  </si>
  <si>
    <t>out</t>
  </si>
  <si>
    <t>Uga</t>
  </si>
  <si>
    <t>Kampala</t>
  </si>
  <si>
    <t>UBE 907N</t>
  </si>
  <si>
    <t>Onyo</t>
  </si>
  <si>
    <t>Nebbi</t>
  </si>
  <si>
    <t>UAZ 272A</t>
  </si>
  <si>
    <t>Mejeri</t>
  </si>
  <si>
    <t>Nakasongola</t>
  </si>
  <si>
    <t>UAZ 332K</t>
  </si>
  <si>
    <t>Old taxi park</t>
  </si>
  <si>
    <t>UBD 883K</t>
  </si>
  <si>
    <t>Karuma</t>
  </si>
  <si>
    <t>Kiryandongo</t>
  </si>
  <si>
    <t>UAZ 138S</t>
  </si>
  <si>
    <t>Lugazi</t>
  </si>
  <si>
    <t>Buikwe</t>
  </si>
  <si>
    <t>UAW 138S</t>
  </si>
  <si>
    <t>Natete</t>
  </si>
  <si>
    <t>UAZ 467N</t>
  </si>
  <si>
    <t>Bwaise</t>
  </si>
  <si>
    <t>Matugga</t>
  </si>
  <si>
    <t>Wakiso</t>
  </si>
  <si>
    <t>UBE 409E</t>
  </si>
  <si>
    <t>Nakawa</t>
  </si>
  <si>
    <t>UAZ 473J</t>
  </si>
  <si>
    <t>UBA 965I</t>
  </si>
  <si>
    <t>UAN 103X</t>
  </si>
  <si>
    <t>UBD 760W</t>
  </si>
  <si>
    <t>UAU 276W</t>
  </si>
  <si>
    <t>UBB 910Y</t>
  </si>
  <si>
    <t>Arua</t>
  </si>
  <si>
    <t>UAW 701R</t>
  </si>
  <si>
    <t>UED 131M</t>
  </si>
  <si>
    <t>UAX 207A</t>
  </si>
  <si>
    <t>UAY 220U</t>
  </si>
  <si>
    <t>Nansana</t>
  </si>
  <si>
    <t>UBA 008B</t>
  </si>
  <si>
    <t>Busega</t>
  </si>
  <si>
    <t>UBA 130D</t>
  </si>
  <si>
    <t>UBD 755D</t>
  </si>
  <si>
    <t xml:space="preserve">in  </t>
  </si>
  <si>
    <t>UAT 084E</t>
  </si>
  <si>
    <t>UBA 918F</t>
  </si>
  <si>
    <t>UAZ 671Z</t>
  </si>
  <si>
    <t>UAT 086F</t>
  </si>
  <si>
    <t>Lira</t>
  </si>
  <si>
    <t>UAY 377M</t>
  </si>
  <si>
    <t>Paidha</t>
  </si>
  <si>
    <t>UBB 909Y</t>
  </si>
  <si>
    <t>UAT 390K</t>
  </si>
  <si>
    <t>UBA 067M</t>
  </si>
  <si>
    <t>Kawempe</t>
  </si>
  <si>
    <t>UBA 067L</t>
  </si>
  <si>
    <t>Mbale</t>
  </si>
  <si>
    <t>UAZ 722M</t>
  </si>
  <si>
    <t>UBA 130M</t>
  </si>
  <si>
    <t>Old Taxi park</t>
  </si>
  <si>
    <t>UBE 408H</t>
  </si>
  <si>
    <t>Koboko</t>
  </si>
  <si>
    <t>UAX 915H</t>
  </si>
  <si>
    <t>Gulu</t>
  </si>
  <si>
    <t>UBD 787G</t>
  </si>
  <si>
    <t>Yumbe</t>
  </si>
  <si>
    <t>New park</t>
  </si>
  <si>
    <t>UBA 741U</t>
  </si>
  <si>
    <t>UBD 858U</t>
  </si>
  <si>
    <t>Masaka</t>
  </si>
  <si>
    <t>UBB 073H</t>
  </si>
  <si>
    <t>Kitgum</t>
  </si>
  <si>
    <t>UBE 902I</t>
  </si>
  <si>
    <t>UBA 119M</t>
  </si>
  <si>
    <t>UBA 197V</t>
  </si>
  <si>
    <t>UBF 226W</t>
  </si>
  <si>
    <t>Ntinda</t>
  </si>
  <si>
    <t>UBA 203H</t>
  </si>
  <si>
    <t>Oriyo</t>
  </si>
  <si>
    <t>Pakwach</t>
  </si>
  <si>
    <t>Dima</t>
  </si>
  <si>
    <t>UBA 760G</t>
  </si>
  <si>
    <t>Migera</t>
  </si>
  <si>
    <t>UAX 093M</t>
  </si>
  <si>
    <t>Bondo</t>
  </si>
  <si>
    <t>Ssemuto</t>
  </si>
  <si>
    <t>UBB 284H</t>
  </si>
  <si>
    <t>Soroti</t>
  </si>
  <si>
    <t>Kachumbala</t>
  </si>
  <si>
    <t>Kumi</t>
  </si>
  <si>
    <t>UBE 750C</t>
  </si>
  <si>
    <t>Gomba</t>
  </si>
  <si>
    <t>UBD 777D</t>
  </si>
  <si>
    <t>UBF 121H</t>
  </si>
  <si>
    <t>Journey_Desc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</si>
  <si>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</si>
  <si>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</si>
  <si>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</si>
  <si>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</si>
  <si>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</si>
  <si>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</si>
  <si>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</si>
  <si>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</si>
  <si>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</si>
  <si>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</si>
  <si>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</si>
  <si>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</si>
  <si>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</si>
  <si>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</si>
  <si>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MBALE</t>
  </si>
  <si>
    <t>SOROTI</t>
  </si>
  <si>
    <t>LIRA</t>
  </si>
  <si>
    <t>TO KAMPALA</t>
  </si>
  <si>
    <t>LUWERO</t>
  </si>
  <si>
    <t>FROM LUWERO</t>
  </si>
  <si>
    <t>TO LUWERO</t>
  </si>
  <si>
    <t>ARUA</t>
  </si>
  <si>
    <t>GULU</t>
  </si>
  <si>
    <t>KIRYANDONGO</t>
  </si>
  <si>
    <t>KITGUM</t>
  </si>
  <si>
    <t>KOBOKO</t>
  </si>
  <si>
    <t>KUMI</t>
  </si>
  <si>
    <t>BUIKWE</t>
  </si>
  <si>
    <t>NAKASONGOLA</t>
  </si>
  <si>
    <t>NEBBI</t>
  </si>
  <si>
    <t>PAKWACH</t>
  </si>
  <si>
    <t>WAKISO</t>
  </si>
  <si>
    <t>MASAKA</t>
  </si>
  <si>
    <t>PAIDHA</t>
  </si>
  <si>
    <t>YUMBE</t>
  </si>
  <si>
    <t>BUS OPERATIONS AT LUWERO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</si>
</sst>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9" fontId="6" fillId="0" borderId="0" applyFont="0" applyFill="0" applyBorder="0" applyAlignment="0" applyProtection="0"/>
    <xf numFmtId="0" fontId="8" fillId="0" borderId="0"/>
    <xf numFmtId="43" fontId="6" fillId="0" borderId="0" applyFont="0" applyFill="0" applyBorder="0" applyAlignment="0" applyProtection="0"/>
    <xf numFmtId="0" fontId="1" fillId="0" borderId="0"/>
    <xf numFmtId="164" fontId="12" fillId="0" borderId="0" applyFont="0" applyFill="0" applyBorder="0" applyAlignment="0" applyProtection="0"/>
    <xf numFmtId="164" fontId="6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0" fillId="0" borderId="0" xfId="0" applyFill="1"/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0" fontId="9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 wrapText="1"/>
    </xf>
    <xf numFmtId="0" fontId="9" fillId="0" borderId="22" xfId="0" applyFont="1" applyBorder="1"/>
    <xf numFmtId="0" fontId="9" fillId="3" borderId="20" xfId="0" applyFont="1" applyFill="1" applyBorder="1"/>
    <xf numFmtId="0" fontId="4" fillId="0" borderId="0" xfId="0" applyFon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64" fontId="0" fillId="5" borderId="2" xfId="6" applyFont="1" applyFill="1" applyBorder="1" applyAlignment="1">
      <alignment vertical="center"/>
    </xf>
    <xf numFmtId="164" fontId="6" fillId="3" borderId="2" xfId="5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9" fillId="3" borderId="20" xfId="0" applyFont="1" applyFill="1" applyBorder="1" applyAlignment="1">
      <alignment horizontal="left"/>
    </xf>
    <xf numFmtId="0" fontId="9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/>
    </xf>
  </cellXfs>
  <cellStyles count="7">
    <cellStyle name="Comma [0]" xfId="5" builtinId="6"/>
    <cellStyle name="Comma [0] 2" xfId="6"/>
    <cellStyle name="Comma 2" xfId="3"/>
    <cellStyle name="Normal" xfId="0" builtinId="0"/>
    <cellStyle name="Normal 2" xfId="2"/>
    <cellStyle name="Normal 3" xfId="4"/>
    <cellStyle name="Percent 2" xfId="1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0"/>
  <sheetViews>
    <sheetView view="pageBreakPreview" zoomScale="80" zoomScaleNormal="75" zoomScaleSheetLayoutView="80" workbookViewId="0">
      <selection activeCell="G18" sqref="G18"/>
    </sheetView>
  </sheetViews>
  <sheetFormatPr defaultRowHeight="12.75" x14ac:dyDescent="0.2"/>
  <cols>
    <col min="1" max="1" width="5.85546875" customWidth="1"/>
    <col min="2" max="2" width="16.42578125" style="19" customWidth="1"/>
    <col min="3" max="3" width="11.7109375" style="19" customWidth="1"/>
    <col min="4" max="4" width="17.5703125" style="19" customWidth="1"/>
    <col min="5" max="5" width="19.28515625" style="19" customWidth="1"/>
    <col min="6" max="6" width="11.5703125" style="19" customWidth="1"/>
    <col min="7" max="7" width="33.5703125" style="19" customWidth="1"/>
    <col min="8" max="8" width="21" style="19" customWidth="1"/>
    <col min="9" max="9" width="14.85546875" style="19" customWidth="1"/>
    <col min="10" max="10" width="22.5703125" style="19" customWidth="1"/>
    <col min="11" max="11" width="16.28515625" style="19" customWidth="1"/>
    <col min="12" max="12" width="22.5703125" style="19" customWidth="1"/>
    <col min="13" max="13" width="14.7109375" style="19" customWidth="1"/>
    <col min="14" max="14" width="16.42578125" style="19" customWidth="1"/>
    <col min="15" max="15" width="18.7109375" style="19" customWidth="1"/>
  </cols>
  <sheetData>
    <row r="1" spans="1:15" s="1" customFormat="1" ht="20.25" x14ac:dyDescent="0.2">
      <c r="B1" s="65" t="s">
        <v>51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20.25" x14ac:dyDescent="0.2">
      <c r="B2" s="65" t="s">
        <v>61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5" ht="15" x14ac:dyDescent="0.2"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s="35" customFormat="1" ht="15" customHeight="1" x14ac:dyDescent="0.25">
      <c r="B4" s="70" t="s">
        <v>2</v>
      </c>
      <c r="C4" s="71"/>
      <c r="D4" s="36" t="s">
        <v>62</v>
      </c>
      <c r="G4" s="41" t="s">
        <v>58</v>
      </c>
      <c r="H4" s="66" t="s">
        <v>65</v>
      </c>
      <c r="I4" s="67"/>
      <c r="J4" s="40" t="s">
        <v>6</v>
      </c>
      <c r="K4" s="68" t="s">
        <v>66</v>
      </c>
      <c r="L4" s="69"/>
      <c r="M4" s="44"/>
      <c r="N4" s="40" t="s">
        <v>7</v>
      </c>
      <c r="O4" s="45" t="s">
        <v>60</v>
      </c>
    </row>
    <row r="5" spans="1:15" s="35" customFormat="1" ht="15" customHeight="1" x14ac:dyDescent="0.25">
      <c r="B5" s="72" t="s">
        <v>57</v>
      </c>
      <c r="C5" s="73"/>
      <c r="D5" s="66" t="s">
        <v>63</v>
      </c>
      <c r="E5" s="67"/>
      <c r="F5" s="37"/>
      <c r="G5" s="41" t="s">
        <v>38</v>
      </c>
      <c r="H5" s="66" t="s">
        <v>64</v>
      </c>
      <c r="I5" s="67"/>
      <c r="K5" s="38"/>
      <c r="M5" s="38"/>
    </row>
    <row r="6" spans="1:15" ht="13.5" thickBot="1" x14ac:dyDescent="0.25"/>
    <row r="7" spans="1:15" ht="30.75" customHeight="1" x14ac:dyDescent="0.2">
      <c r="A7" s="32"/>
      <c r="B7" s="58" t="s">
        <v>34</v>
      </c>
      <c r="C7" s="60" t="s">
        <v>9</v>
      </c>
      <c r="D7" s="56" t="s">
        <v>55</v>
      </c>
      <c r="E7" s="56" t="s">
        <v>35</v>
      </c>
      <c r="F7" s="56" t="s">
        <v>54</v>
      </c>
      <c r="G7" s="62" t="s">
        <v>12</v>
      </c>
      <c r="H7" s="63"/>
      <c r="I7" s="64"/>
      <c r="J7" s="62" t="s">
        <v>17</v>
      </c>
      <c r="K7" s="63"/>
      <c r="L7" s="64"/>
      <c r="M7" s="60" t="s">
        <v>56</v>
      </c>
      <c r="N7" s="56" t="s">
        <v>59</v>
      </c>
      <c r="O7" s="56" t="s">
        <v>52</v>
      </c>
    </row>
    <row r="8" spans="1:15" ht="38.25" customHeight="1" x14ac:dyDescent="0.2">
      <c r="A8" s="32"/>
      <c r="B8" s="59"/>
      <c r="C8" s="61"/>
      <c r="D8" s="57"/>
      <c r="E8" s="57"/>
      <c r="F8" s="57"/>
      <c r="G8" s="39" t="s">
        <v>53</v>
      </c>
      <c r="H8" s="39" t="s">
        <v>36</v>
      </c>
      <c r="I8" s="39" t="s">
        <v>37</v>
      </c>
      <c r="J8" s="39" t="s">
        <v>53</v>
      </c>
      <c r="K8" s="39" t="s">
        <v>36</v>
      </c>
      <c r="L8" s="43" t="s">
        <v>160</v>
      </c>
      <c r="M8" s="61"/>
      <c r="N8" s="57"/>
      <c r="O8" s="57"/>
    </row>
    <row r="9" spans="1:15" s="19" customFormat="1" x14ac:dyDescent="0.2">
      <c r="B9" s="27">
        <v>0.375</v>
      </c>
      <c r="C9" s="28">
        <v>4</v>
      </c>
      <c r="D9" s="33" t="str">
        <f>IF(C9="", "",VLOOKUP(C9,Key!$A$5:$B$7,2,FALSE))</f>
        <v>Minibus, matatu</v>
      </c>
      <c r="E9" s="28" t="s">
        <v>67</v>
      </c>
      <c r="F9" s="28" t="s">
        <v>68</v>
      </c>
      <c r="G9" s="29" t="s">
        <v>65</v>
      </c>
      <c r="H9" s="29" t="s">
        <v>65</v>
      </c>
      <c r="I9" s="29" t="s">
        <v>69</v>
      </c>
      <c r="J9" s="29" t="s">
        <v>70</v>
      </c>
      <c r="K9" s="30" t="s">
        <v>70</v>
      </c>
      <c r="L9" s="30" t="str">
        <f t="shared" ref="L9:L40" si="0">H9&amp;"-"&amp;K9</f>
        <v>Luwero-Kampala</v>
      </c>
      <c r="M9" s="31">
        <v>14</v>
      </c>
      <c r="N9" s="55">
        <v>5000</v>
      </c>
      <c r="O9" s="34">
        <v>1.5</v>
      </c>
    </row>
    <row r="10" spans="1:15" s="19" customFormat="1" x14ac:dyDescent="0.2">
      <c r="B10" s="27">
        <v>0.3888888888888889</v>
      </c>
      <c r="C10" s="28">
        <v>4</v>
      </c>
      <c r="D10" s="33" t="str">
        <f>IF(C10="", "",VLOOKUP(C10,Key!$A$5:$B$7,2,FALSE))</f>
        <v>Minibus, matatu</v>
      </c>
      <c r="E10" s="28" t="s">
        <v>71</v>
      </c>
      <c r="F10" s="28" t="s">
        <v>68</v>
      </c>
      <c r="G10" s="29" t="s">
        <v>65</v>
      </c>
      <c r="H10" s="29" t="s">
        <v>65</v>
      </c>
      <c r="I10" s="29" t="s">
        <v>69</v>
      </c>
      <c r="J10" s="29" t="s">
        <v>72</v>
      </c>
      <c r="K10" s="30" t="s">
        <v>73</v>
      </c>
      <c r="L10" s="30" t="str">
        <f t="shared" si="0"/>
        <v>Luwero-Nebbi</v>
      </c>
      <c r="M10" s="31">
        <v>14</v>
      </c>
      <c r="N10" s="55">
        <v>30000</v>
      </c>
      <c r="O10" s="34">
        <v>4.7</v>
      </c>
    </row>
    <row r="11" spans="1:15" s="19" customFormat="1" x14ac:dyDescent="0.2">
      <c r="B11" s="27">
        <v>0.41666666666666669</v>
      </c>
      <c r="C11" s="28">
        <v>4</v>
      </c>
      <c r="D11" s="33" t="str">
        <f>IF(C11="", "",VLOOKUP(C11,Key!$A$5:$B$7,2,FALSE))</f>
        <v>Minibus, matatu</v>
      </c>
      <c r="E11" s="28" t="s">
        <v>74</v>
      </c>
      <c r="F11" s="28" t="s">
        <v>68</v>
      </c>
      <c r="G11" s="29" t="s">
        <v>65</v>
      </c>
      <c r="H11" s="29" t="s">
        <v>65</v>
      </c>
      <c r="I11" s="29" t="s">
        <v>69</v>
      </c>
      <c r="J11" s="29" t="s">
        <v>75</v>
      </c>
      <c r="K11" s="30" t="s">
        <v>76</v>
      </c>
      <c r="L11" s="30" t="str">
        <f t="shared" si="0"/>
        <v>Luwero-Nakasongola</v>
      </c>
      <c r="M11" s="31">
        <v>14</v>
      </c>
      <c r="N11" s="55">
        <v>5000</v>
      </c>
      <c r="O11" s="34">
        <v>1</v>
      </c>
    </row>
    <row r="12" spans="1:15" s="19" customFormat="1" x14ac:dyDescent="0.2">
      <c r="B12" s="27">
        <v>0.44791666666666669</v>
      </c>
      <c r="C12" s="28">
        <v>4</v>
      </c>
      <c r="D12" s="33" t="str">
        <f>IF(C12="", "",VLOOKUP(C12,Key!$A$5:$B$7,2,FALSE))</f>
        <v>Minibus, matatu</v>
      </c>
      <c r="E12" s="28" t="s">
        <v>77</v>
      </c>
      <c r="F12" s="28" t="s">
        <v>68</v>
      </c>
      <c r="G12" s="29" t="s">
        <v>65</v>
      </c>
      <c r="H12" s="29" t="s">
        <v>65</v>
      </c>
      <c r="I12" s="29" t="s">
        <v>69</v>
      </c>
      <c r="J12" s="29" t="s">
        <v>78</v>
      </c>
      <c r="K12" s="30" t="s">
        <v>70</v>
      </c>
      <c r="L12" s="30" t="str">
        <f t="shared" si="0"/>
        <v>Luwero-Kampala</v>
      </c>
      <c r="M12" s="31">
        <v>14</v>
      </c>
      <c r="N12" s="55">
        <v>5000</v>
      </c>
      <c r="O12" s="34">
        <v>1.5</v>
      </c>
    </row>
    <row r="13" spans="1:15" s="19" customFormat="1" x14ac:dyDescent="0.2">
      <c r="B13" s="27">
        <v>0.47916666666666669</v>
      </c>
      <c r="C13" s="28">
        <v>4</v>
      </c>
      <c r="D13" s="33" t="str">
        <f>IF(C13="", "",VLOOKUP(C13,Key!$A$5:$B$7,2,FALSE))</f>
        <v>Minibus, matatu</v>
      </c>
      <c r="E13" s="28" t="s">
        <v>79</v>
      </c>
      <c r="F13" s="28" t="s">
        <v>68</v>
      </c>
      <c r="G13" s="29" t="s">
        <v>65</v>
      </c>
      <c r="H13" s="29" t="s">
        <v>65</v>
      </c>
      <c r="I13" s="29" t="s">
        <v>69</v>
      </c>
      <c r="J13" s="29" t="s">
        <v>80</v>
      </c>
      <c r="K13" s="30" t="s">
        <v>81</v>
      </c>
      <c r="L13" s="30" t="str">
        <f t="shared" si="0"/>
        <v>Luwero-Kiryandongo</v>
      </c>
      <c r="M13" s="31">
        <v>14</v>
      </c>
      <c r="N13" s="55">
        <v>15000</v>
      </c>
      <c r="O13" s="34">
        <v>2.5</v>
      </c>
    </row>
    <row r="14" spans="1:15" s="19" customFormat="1" x14ac:dyDescent="0.2">
      <c r="B14" s="27">
        <v>0.5</v>
      </c>
      <c r="C14" s="28">
        <v>4</v>
      </c>
      <c r="D14" s="33" t="str">
        <f>IF(C14="", "",VLOOKUP(C14,Key!$A$5:$B$7,2,FALSE))</f>
        <v>Minibus, matatu</v>
      </c>
      <c r="E14" s="28" t="s">
        <v>82</v>
      </c>
      <c r="F14" s="28" t="s">
        <v>68</v>
      </c>
      <c r="G14" s="29" t="s">
        <v>65</v>
      </c>
      <c r="H14" s="29" t="s">
        <v>65</v>
      </c>
      <c r="I14" s="29" t="s">
        <v>69</v>
      </c>
      <c r="J14" s="29" t="s">
        <v>83</v>
      </c>
      <c r="K14" s="30" t="s">
        <v>84</v>
      </c>
      <c r="L14" s="30" t="str">
        <f t="shared" si="0"/>
        <v>Luwero-Buikwe</v>
      </c>
      <c r="M14" s="31">
        <v>14</v>
      </c>
      <c r="N14" s="55">
        <v>10000</v>
      </c>
      <c r="O14" s="34">
        <v>2.25</v>
      </c>
    </row>
    <row r="15" spans="1:15" s="19" customFormat="1" x14ac:dyDescent="0.2">
      <c r="B15" s="27">
        <v>0.54166666666666663</v>
      </c>
      <c r="C15" s="28">
        <v>4</v>
      </c>
      <c r="D15" s="33" t="str">
        <f>IF(C15="", "",VLOOKUP(C15,Key!$A$5:$B$7,2,FALSE))</f>
        <v>Minibus, matatu</v>
      </c>
      <c r="E15" s="28" t="s">
        <v>85</v>
      </c>
      <c r="F15" s="28" t="s">
        <v>68</v>
      </c>
      <c r="G15" s="29" t="s">
        <v>65</v>
      </c>
      <c r="H15" s="29" t="s">
        <v>65</v>
      </c>
      <c r="I15" s="29" t="s">
        <v>69</v>
      </c>
      <c r="J15" s="29" t="s">
        <v>86</v>
      </c>
      <c r="K15" s="30" t="s">
        <v>70</v>
      </c>
      <c r="L15" s="30" t="str">
        <f t="shared" si="0"/>
        <v>Luwero-Kampala</v>
      </c>
      <c r="M15" s="31">
        <v>14</v>
      </c>
      <c r="N15" s="55">
        <v>5000</v>
      </c>
      <c r="O15" s="34">
        <v>1.5</v>
      </c>
    </row>
    <row r="16" spans="1:15" s="19" customFormat="1" x14ac:dyDescent="0.2">
      <c r="B16" s="27">
        <v>0.5625</v>
      </c>
      <c r="C16" s="28">
        <v>4</v>
      </c>
      <c r="D16" s="33" t="str">
        <f>IF(C16="", "",VLOOKUP(C16,Key!$A$5:$B$7,2,FALSE))</f>
        <v>Minibus, matatu</v>
      </c>
      <c r="E16" s="28" t="s">
        <v>87</v>
      </c>
      <c r="F16" s="28" t="s">
        <v>68</v>
      </c>
      <c r="G16" s="29" t="s">
        <v>65</v>
      </c>
      <c r="H16" s="29" t="s">
        <v>65</v>
      </c>
      <c r="I16" s="29" t="s">
        <v>69</v>
      </c>
      <c r="J16" s="29" t="s">
        <v>88</v>
      </c>
      <c r="K16" s="30" t="s">
        <v>70</v>
      </c>
      <c r="L16" s="30" t="str">
        <f t="shared" si="0"/>
        <v>Luwero-Kampala</v>
      </c>
      <c r="M16" s="31">
        <v>14</v>
      </c>
      <c r="N16" s="55">
        <v>5000</v>
      </c>
      <c r="O16" s="34">
        <v>1.5</v>
      </c>
    </row>
    <row r="17" spans="2:15" s="19" customFormat="1" x14ac:dyDescent="0.2">
      <c r="B17" s="27">
        <v>0.58333333333333337</v>
      </c>
      <c r="C17" s="28">
        <v>4</v>
      </c>
      <c r="D17" s="33" t="str">
        <f>IF(C17="", "",VLOOKUP(C17,Key!$A$5:$B$7,2,FALSE))</f>
        <v>Minibus, matatu</v>
      </c>
      <c r="E17" s="28" t="s">
        <v>71</v>
      </c>
      <c r="F17" s="28" t="s">
        <v>68</v>
      </c>
      <c r="G17" s="29" t="s">
        <v>65</v>
      </c>
      <c r="H17" s="29" t="s">
        <v>65</v>
      </c>
      <c r="I17" s="29" t="s">
        <v>69</v>
      </c>
      <c r="J17" s="29" t="s">
        <v>89</v>
      </c>
      <c r="K17" s="30" t="s">
        <v>90</v>
      </c>
      <c r="L17" s="30" t="str">
        <f t="shared" si="0"/>
        <v>Luwero-Wakiso</v>
      </c>
      <c r="M17" s="31">
        <v>14</v>
      </c>
      <c r="N17" s="55">
        <v>5000</v>
      </c>
      <c r="O17" s="34">
        <v>1.5</v>
      </c>
    </row>
    <row r="18" spans="2:15" s="19" customFormat="1" x14ac:dyDescent="0.2">
      <c r="B18" s="27">
        <v>0.61458333333333337</v>
      </c>
      <c r="C18" s="28">
        <v>4</v>
      </c>
      <c r="D18" s="33" t="str">
        <f>IF(C18="", "",VLOOKUP(C18,Key!$A$5:$B$7,2,FALSE))</f>
        <v>Minibus, matatu</v>
      </c>
      <c r="E18" s="28" t="s">
        <v>91</v>
      </c>
      <c r="F18" s="28" t="s">
        <v>68</v>
      </c>
      <c r="G18" s="29" t="s">
        <v>65</v>
      </c>
      <c r="H18" s="29" t="s">
        <v>65</v>
      </c>
      <c r="I18" s="29" t="s">
        <v>69</v>
      </c>
      <c r="J18" s="29" t="s">
        <v>92</v>
      </c>
      <c r="K18" s="30" t="s">
        <v>70</v>
      </c>
      <c r="L18" s="30" t="str">
        <f t="shared" si="0"/>
        <v>Luwero-Kampala</v>
      </c>
      <c r="M18" s="31">
        <v>14</v>
      </c>
      <c r="N18" s="55">
        <v>5000</v>
      </c>
      <c r="O18" s="34">
        <v>1.5</v>
      </c>
    </row>
    <row r="19" spans="2:15" s="19" customFormat="1" x14ac:dyDescent="0.2">
      <c r="B19" s="27">
        <v>0.63541666666666663</v>
      </c>
      <c r="C19" s="28">
        <v>4</v>
      </c>
      <c r="D19" s="33" t="str">
        <f>IF(C19="", "",VLOOKUP(C19,Key!$A$5:$B$7,2,FALSE))</f>
        <v>Minibus, matatu</v>
      </c>
      <c r="E19" s="28" t="s">
        <v>94</v>
      </c>
      <c r="F19" s="28" t="s">
        <v>68</v>
      </c>
      <c r="G19" s="29" t="s">
        <v>65</v>
      </c>
      <c r="H19" s="29" t="s">
        <v>65</v>
      </c>
      <c r="I19" s="29" t="s">
        <v>69</v>
      </c>
      <c r="J19" s="29" t="s">
        <v>70</v>
      </c>
      <c r="K19" s="30" t="s">
        <v>70</v>
      </c>
      <c r="L19" s="30" t="str">
        <f t="shared" si="0"/>
        <v>Luwero-Kampala</v>
      </c>
      <c r="M19" s="31">
        <v>14</v>
      </c>
      <c r="N19" s="55">
        <v>5000</v>
      </c>
      <c r="O19" s="34">
        <v>1.5</v>
      </c>
    </row>
    <row r="20" spans="2:15" s="19" customFormat="1" x14ac:dyDescent="0.2">
      <c r="B20" s="27">
        <v>0.66666666666666663</v>
      </c>
      <c r="C20" s="28">
        <v>4</v>
      </c>
      <c r="D20" s="33" t="str">
        <f>IF(C20="", "",VLOOKUP(C20,Key!$A$5:$B$7,2,FALSE))</f>
        <v>Minibus, matatu</v>
      </c>
      <c r="E20" s="28" t="s">
        <v>93</v>
      </c>
      <c r="F20" s="28" t="s">
        <v>68</v>
      </c>
      <c r="G20" s="29" t="s">
        <v>65</v>
      </c>
      <c r="H20" s="29" t="s">
        <v>65</v>
      </c>
      <c r="I20" s="29" t="s">
        <v>69</v>
      </c>
      <c r="J20" s="29" t="s">
        <v>70</v>
      </c>
      <c r="K20" s="30" t="s">
        <v>70</v>
      </c>
      <c r="L20" s="30" t="str">
        <f t="shared" si="0"/>
        <v>Luwero-Kampala</v>
      </c>
      <c r="M20" s="31">
        <v>14</v>
      </c>
      <c r="N20" s="55">
        <v>5000</v>
      </c>
      <c r="O20" s="34">
        <v>1.5</v>
      </c>
    </row>
    <row r="21" spans="2:15" s="19" customFormat="1" x14ac:dyDescent="0.2">
      <c r="B21" s="27">
        <v>0.68055555555555547</v>
      </c>
      <c r="C21" s="28">
        <v>4</v>
      </c>
      <c r="D21" s="33" t="str">
        <f>IF(C21="", "",VLOOKUP(C21,Key!$A$5:$B$7,2,FALSE))</f>
        <v>Minibus, matatu</v>
      </c>
      <c r="E21" s="28" t="s">
        <v>95</v>
      </c>
      <c r="F21" s="28" t="s">
        <v>68</v>
      </c>
      <c r="G21" s="29" t="s">
        <v>65</v>
      </c>
      <c r="H21" s="29" t="s">
        <v>65</v>
      </c>
      <c r="I21" s="29" t="s">
        <v>69</v>
      </c>
      <c r="J21" s="29" t="s">
        <v>92</v>
      </c>
      <c r="K21" s="30" t="s">
        <v>70</v>
      </c>
      <c r="L21" s="30" t="str">
        <f t="shared" si="0"/>
        <v>Luwero-Kampala</v>
      </c>
      <c r="M21" s="31">
        <v>14</v>
      </c>
      <c r="N21" s="55">
        <v>5000</v>
      </c>
      <c r="O21" s="34">
        <v>1.5</v>
      </c>
    </row>
    <row r="22" spans="2:15" s="19" customFormat="1" x14ac:dyDescent="0.2">
      <c r="B22" s="27">
        <v>0.69791666666666663</v>
      </c>
      <c r="C22" s="28">
        <v>4</v>
      </c>
      <c r="D22" s="33" t="str">
        <f>IF(C22="", "",VLOOKUP(C22,Key!$A$5:$B$7,2,FALSE))</f>
        <v>Minibus, matatu</v>
      </c>
      <c r="E22" s="28" t="s">
        <v>96</v>
      </c>
      <c r="F22" s="28" t="s">
        <v>68</v>
      </c>
      <c r="G22" s="29" t="s">
        <v>65</v>
      </c>
      <c r="H22" s="29" t="s">
        <v>65</v>
      </c>
      <c r="I22" s="29" t="s">
        <v>69</v>
      </c>
      <c r="J22" s="29" t="s">
        <v>75</v>
      </c>
      <c r="K22" s="30" t="s">
        <v>76</v>
      </c>
      <c r="L22" s="30" t="str">
        <f t="shared" si="0"/>
        <v>Luwero-Nakasongola</v>
      </c>
      <c r="M22" s="31">
        <v>14</v>
      </c>
      <c r="N22" s="55">
        <v>5000</v>
      </c>
      <c r="O22" s="34">
        <v>1</v>
      </c>
    </row>
    <row r="23" spans="2:15" s="19" customFormat="1" x14ac:dyDescent="0.2">
      <c r="B23" s="27">
        <v>0.70833333333333337</v>
      </c>
      <c r="C23" s="28">
        <v>4</v>
      </c>
      <c r="D23" s="33" t="str">
        <f>IF(C23="", "",VLOOKUP(C23,Key!$A$5:$B$7,2,FALSE))</f>
        <v>Minibus, matatu</v>
      </c>
      <c r="E23" s="28" t="s">
        <v>97</v>
      </c>
      <c r="F23" s="28" t="s">
        <v>68</v>
      </c>
      <c r="G23" s="29" t="s">
        <v>65</v>
      </c>
      <c r="H23" s="29" t="s">
        <v>65</v>
      </c>
      <c r="I23" s="29" t="s">
        <v>69</v>
      </c>
      <c r="J23" s="29" t="s">
        <v>70</v>
      </c>
      <c r="K23" s="30" t="s">
        <v>70</v>
      </c>
      <c r="L23" s="30" t="str">
        <f t="shared" si="0"/>
        <v>Luwero-Kampala</v>
      </c>
      <c r="M23" s="31">
        <v>14</v>
      </c>
      <c r="N23" s="55">
        <v>5000</v>
      </c>
      <c r="O23" s="34">
        <v>1.5</v>
      </c>
    </row>
    <row r="24" spans="2:15" s="19" customFormat="1" x14ac:dyDescent="0.2">
      <c r="B24" s="27">
        <v>0.71875</v>
      </c>
      <c r="C24" s="28">
        <v>4</v>
      </c>
      <c r="D24" s="33" t="str">
        <f>IF(C24="", "",VLOOKUP(C24,Key!$A$5:$B$7,2,FALSE))</f>
        <v>Minibus, matatu</v>
      </c>
      <c r="E24" s="28" t="s">
        <v>98</v>
      </c>
      <c r="F24" s="28" t="s">
        <v>68</v>
      </c>
      <c r="G24" s="29" t="s">
        <v>65</v>
      </c>
      <c r="H24" s="29" t="s">
        <v>65</v>
      </c>
      <c r="I24" s="29" t="s">
        <v>69</v>
      </c>
      <c r="J24" s="29" t="s">
        <v>99</v>
      </c>
      <c r="K24" s="30" t="s">
        <v>99</v>
      </c>
      <c r="L24" s="30" t="str">
        <f t="shared" si="0"/>
        <v>Luwero-Arua</v>
      </c>
      <c r="M24" s="31">
        <v>14</v>
      </c>
      <c r="N24" s="55">
        <v>35000</v>
      </c>
      <c r="O24" s="34">
        <v>6.5</v>
      </c>
    </row>
    <row r="25" spans="2:15" s="19" customFormat="1" x14ac:dyDescent="0.2">
      <c r="B25" s="27">
        <v>0.72222222222222221</v>
      </c>
      <c r="C25" s="28">
        <v>4</v>
      </c>
      <c r="D25" s="33" t="str">
        <f>IF(C25="", "",VLOOKUP(C25,Key!$A$5:$B$7,2,FALSE))</f>
        <v>Minibus, matatu</v>
      </c>
      <c r="E25" s="28" t="s">
        <v>101</v>
      </c>
      <c r="F25" s="28" t="s">
        <v>68</v>
      </c>
      <c r="G25" s="29" t="s">
        <v>65</v>
      </c>
      <c r="H25" s="29" t="s">
        <v>65</v>
      </c>
      <c r="I25" s="29" t="s">
        <v>69</v>
      </c>
      <c r="J25" s="29" t="s">
        <v>73</v>
      </c>
      <c r="K25" s="30" t="s">
        <v>73</v>
      </c>
      <c r="L25" s="30" t="str">
        <f t="shared" si="0"/>
        <v>Luwero-Nebbi</v>
      </c>
      <c r="M25" s="31">
        <v>14</v>
      </c>
      <c r="N25" s="55">
        <v>30000</v>
      </c>
      <c r="O25" s="34">
        <v>4.7</v>
      </c>
    </row>
    <row r="26" spans="2:15" s="19" customFormat="1" x14ac:dyDescent="0.2">
      <c r="B26" s="27">
        <v>0.73263888888888884</v>
      </c>
      <c r="C26" s="28">
        <v>4</v>
      </c>
      <c r="D26" s="33" t="str">
        <f>IF(C26="", "",VLOOKUP(C26,Key!$A$5:$B$7,2,FALSE))</f>
        <v>Minibus, matatu</v>
      </c>
      <c r="E26" s="28" t="s">
        <v>102</v>
      </c>
      <c r="F26" s="28" t="s">
        <v>68</v>
      </c>
      <c r="G26" s="29" t="s">
        <v>65</v>
      </c>
      <c r="H26" s="29" t="s">
        <v>65</v>
      </c>
      <c r="I26" s="29" t="s">
        <v>69</v>
      </c>
      <c r="J26" s="29" t="s">
        <v>70</v>
      </c>
      <c r="K26" s="30" t="s">
        <v>70</v>
      </c>
      <c r="L26" s="30" t="str">
        <f t="shared" si="0"/>
        <v>Luwero-Kampala</v>
      </c>
      <c r="M26" s="31">
        <v>14</v>
      </c>
      <c r="N26" s="55">
        <v>5000</v>
      </c>
      <c r="O26" s="34">
        <v>1.5</v>
      </c>
    </row>
    <row r="27" spans="2:15" s="19" customFormat="1" x14ac:dyDescent="0.2">
      <c r="B27" s="27">
        <v>0.75</v>
      </c>
      <c r="C27" s="28">
        <v>4</v>
      </c>
      <c r="D27" s="33" t="str">
        <f>IF(C27="", "",VLOOKUP(C27,Key!$A$5:$B$7,2,FALSE))</f>
        <v>Minibus, matatu</v>
      </c>
      <c r="E27" s="28" t="s">
        <v>100</v>
      </c>
      <c r="F27" s="28" t="s">
        <v>68</v>
      </c>
      <c r="G27" s="29" t="s">
        <v>65</v>
      </c>
      <c r="H27" s="29" t="s">
        <v>65</v>
      </c>
      <c r="I27" s="29" t="s">
        <v>69</v>
      </c>
      <c r="J27" s="29" t="s">
        <v>145</v>
      </c>
      <c r="K27" s="30" t="s">
        <v>145</v>
      </c>
      <c r="L27" s="30" t="str">
        <f t="shared" si="0"/>
        <v>Luwero-Pakwach</v>
      </c>
      <c r="M27" s="31">
        <v>14</v>
      </c>
      <c r="N27" s="55">
        <v>30000</v>
      </c>
      <c r="O27" s="34">
        <v>4.42</v>
      </c>
    </row>
    <row r="28" spans="2:15" s="19" customFormat="1" x14ac:dyDescent="0.2">
      <c r="B28" s="27">
        <v>0.76388888888888884</v>
      </c>
      <c r="C28" s="28">
        <v>4</v>
      </c>
      <c r="D28" s="33" t="str">
        <f>IF(C28="", "",VLOOKUP(C28,Key!$A$5:$B$7,2,FALSE))</f>
        <v>Minibus, matatu</v>
      </c>
      <c r="E28" s="28" t="s">
        <v>107</v>
      </c>
      <c r="F28" s="28" t="s">
        <v>68</v>
      </c>
      <c r="G28" s="29" t="s">
        <v>65</v>
      </c>
      <c r="H28" s="29" t="s">
        <v>65</v>
      </c>
      <c r="I28" s="29" t="s">
        <v>69</v>
      </c>
      <c r="J28" s="29" t="s">
        <v>104</v>
      </c>
      <c r="K28" s="30" t="s">
        <v>90</v>
      </c>
      <c r="L28" s="30" t="str">
        <f t="shared" si="0"/>
        <v>Luwero-Wakiso</v>
      </c>
      <c r="M28" s="31">
        <v>14</v>
      </c>
      <c r="N28" s="55">
        <v>5000</v>
      </c>
      <c r="O28" s="34">
        <v>1.5</v>
      </c>
    </row>
    <row r="29" spans="2:15" s="19" customFormat="1" x14ac:dyDescent="0.2">
      <c r="B29" s="27">
        <v>0.77083333333333337</v>
      </c>
      <c r="C29" s="28">
        <v>4</v>
      </c>
      <c r="D29" s="33" t="str">
        <f>IF(C29="", "",VLOOKUP(C29,Key!$A$5:$B$7,2,FALSE))</f>
        <v>Minibus, matatu</v>
      </c>
      <c r="E29" s="28" t="s">
        <v>103</v>
      </c>
      <c r="F29" s="28" t="s">
        <v>68</v>
      </c>
      <c r="G29" s="29" t="s">
        <v>65</v>
      </c>
      <c r="H29" s="29" t="s">
        <v>65</v>
      </c>
      <c r="I29" s="29" t="s">
        <v>69</v>
      </c>
      <c r="J29" s="29" t="s">
        <v>106</v>
      </c>
      <c r="K29" s="30" t="s">
        <v>90</v>
      </c>
      <c r="L29" s="30" t="str">
        <f t="shared" si="0"/>
        <v>Luwero-Wakiso</v>
      </c>
      <c r="M29" s="31">
        <v>14</v>
      </c>
      <c r="N29" s="55">
        <v>5000</v>
      </c>
      <c r="O29" s="34">
        <v>1.5</v>
      </c>
    </row>
    <row r="30" spans="2:15" s="19" customFormat="1" x14ac:dyDescent="0.2">
      <c r="B30" s="27">
        <v>0.78125</v>
      </c>
      <c r="C30" s="28">
        <v>4</v>
      </c>
      <c r="D30" s="33" t="str">
        <f>IF(C30="", "",VLOOKUP(C30,Key!$A$5:$B$7,2,FALSE))</f>
        <v>Minibus, matatu</v>
      </c>
      <c r="E30" s="28" t="s">
        <v>105</v>
      </c>
      <c r="F30" s="28" t="s">
        <v>68</v>
      </c>
      <c r="G30" s="29" t="s">
        <v>65</v>
      </c>
      <c r="H30" s="29" t="s">
        <v>65</v>
      </c>
      <c r="I30" s="29" t="s">
        <v>69</v>
      </c>
      <c r="J30" s="29" t="s">
        <v>70</v>
      </c>
      <c r="K30" s="30" t="s">
        <v>70</v>
      </c>
      <c r="L30" s="30" t="str">
        <f t="shared" si="0"/>
        <v>Luwero-Kampala</v>
      </c>
      <c r="M30" s="31">
        <v>14</v>
      </c>
      <c r="N30" s="55">
        <v>5000</v>
      </c>
      <c r="O30" s="34">
        <v>1.5</v>
      </c>
    </row>
    <row r="31" spans="2:15" s="19" customFormat="1" x14ac:dyDescent="0.2">
      <c r="B31" s="27">
        <v>0.29166666666666669</v>
      </c>
      <c r="C31" s="28">
        <v>4</v>
      </c>
      <c r="D31" s="33" t="str">
        <f>IF(C31="", "",VLOOKUP(C31,Key!$A$5:$B$7,2,FALSE))</f>
        <v>Minibus, matatu</v>
      </c>
      <c r="E31" s="28" t="s">
        <v>108</v>
      </c>
      <c r="F31" s="28" t="s">
        <v>109</v>
      </c>
      <c r="G31" s="29" t="s">
        <v>99</v>
      </c>
      <c r="H31" s="29" t="s">
        <v>99</v>
      </c>
      <c r="I31" s="29" t="s">
        <v>69</v>
      </c>
      <c r="J31" s="29" t="s">
        <v>65</v>
      </c>
      <c r="K31" s="30" t="s">
        <v>65</v>
      </c>
      <c r="L31" s="30" t="str">
        <f t="shared" si="0"/>
        <v>Arua-Luwero</v>
      </c>
      <c r="M31" s="31">
        <v>14</v>
      </c>
      <c r="N31" s="55">
        <v>35000</v>
      </c>
      <c r="O31" s="34">
        <v>6.5</v>
      </c>
    </row>
    <row r="32" spans="2:15" s="19" customFormat="1" x14ac:dyDescent="0.2">
      <c r="B32" s="27">
        <v>0.3125</v>
      </c>
      <c r="C32" s="28">
        <v>4</v>
      </c>
      <c r="D32" s="33" t="str">
        <f>IF(C32="", "",VLOOKUP(C32,Key!$A$5:$B$7,2,FALSE))</f>
        <v>Minibus, matatu</v>
      </c>
      <c r="E32" s="28" t="s">
        <v>110</v>
      </c>
      <c r="F32" s="28" t="s">
        <v>109</v>
      </c>
      <c r="G32" s="29" t="s">
        <v>73</v>
      </c>
      <c r="H32" s="29" t="s">
        <v>73</v>
      </c>
      <c r="I32" s="29" t="s">
        <v>69</v>
      </c>
      <c r="J32" s="29" t="s">
        <v>65</v>
      </c>
      <c r="K32" s="30" t="s">
        <v>65</v>
      </c>
      <c r="L32" s="30" t="str">
        <f t="shared" si="0"/>
        <v>Nebbi-Luwero</v>
      </c>
      <c r="M32" s="31">
        <v>14</v>
      </c>
      <c r="N32" s="55">
        <v>30000</v>
      </c>
      <c r="O32" s="34">
        <v>4.4000000000000004</v>
      </c>
    </row>
    <row r="33" spans="2:15" s="19" customFormat="1" x14ac:dyDescent="0.2">
      <c r="B33" s="27">
        <v>0.32291666666666669</v>
      </c>
      <c r="C33" s="28">
        <v>4</v>
      </c>
      <c r="D33" s="33" t="str">
        <f>IF(C33="", "",VLOOKUP(C33,Key!$A$5:$B$7,2,FALSE))</f>
        <v>Minibus, matatu</v>
      </c>
      <c r="E33" s="28" t="s">
        <v>111</v>
      </c>
      <c r="F33" s="28" t="s">
        <v>109</v>
      </c>
      <c r="G33" s="29" t="s">
        <v>70</v>
      </c>
      <c r="H33" s="29" t="s">
        <v>70</v>
      </c>
      <c r="I33" s="29" t="s">
        <v>69</v>
      </c>
      <c r="J33" s="29" t="s">
        <v>65</v>
      </c>
      <c r="K33" s="30" t="s">
        <v>65</v>
      </c>
      <c r="L33" s="30" t="str">
        <f t="shared" si="0"/>
        <v>Kampala-Luwero</v>
      </c>
      <c r="M33" s="31">
        <v>14</v>
      </c>
      <c r="N33" s="55">
        <v>6000</v>
      </c>
      <c r="O33" s="34">
        <v>1.5</v>
      </c>
    </row>
    <row r="34" spans="2:15" s="19" customFormat="1" x14ac:dyDescent="0.2">
      <c r="B34" s="27">
        <v>0.33333333333333331</v>
      </c>
      <c r="C34" s="28">
        <v>4</v>
      </c>
      <c r="D34" s="33" t="str">
        <f>IF(C34="", "",VLOOKUP(C34,Key!$A$5:$B$7,2,FALSE))</f>
        <v>Minibus, matatu</v>
      </c>
      <c r="E34" s="28" t="s">
        <v>74</v>
      </c>
      <c r="F34" s="28" t="s">
        <v>109</v>
      </c>
      <c r="G34" s="29" t="s">
        <v>70</v>
      </c>
      <c r="H34" s="29" t="s">
        <v>70</v>
      </c>
      <c r="I34" s="29" t="s">
        <v>69</v>
      </c>
      <c r="J34" s="29" t="s">
        <v>65</v>
      </c>
      <c r="K34" s="30" t="s">
        <v>65</v>
      </c>
      <c r="L34" s="30" t="str">
        <f t="shared" si="0"/>
        <v>Kampala-Luwero</v>
      </c>
      <c r="M34" s="31">
        <v>14</v>
      </c>
      <c r="N34" s="55">
        <v>6000</v>
      </c>
      <c r="O34" s="34">
        <v>1.5</v>
      </c>
    </row>
    <row r="35" spans="2:15" s="19" customFormat="1" x14ac:dyDescent="0.2">
      <c r="B35" s="27">
        <v>0.33680555555555558</v>
      </c>
      <c r="C35" s="28">
        <v>4</v>
      </c>
      <c r="D35" s="33" t="str">
        <f>IF(C35="", "",VLOOKUP(C35,Key!$A$5:$B$7,2,FALSE))</f>
        <v>Minibus, matatu</v>
      </c>
      <c r="E35" s="28" t="s">
        <v>112</v>
      </c>
      <c r="F35" s="28" t="s">
        <v>109</v>
      </c>
      <c r="G35" s="29" t="s">
        <v>75</v>
      </c>
      <c r="H35" s="29" t="s">
        <v>81</v>
      </c>
      <c r="I35" s="29" t="s">
        <v>69</v>
      </c>
      <c r="J35" s="29" t="s">
        <v>65</v>
      </c>
      <c r="K35" s="30" t="s">
        <v>65</v>
      </c>
      <c r="L35" s="30" t="str">
        <f t="shared" si="0"/>
        <v>Kiryandongo-Luwero</v>
      </c>
      <c r="M35" s="31">
        <v>14</v>
      </c>
      <c r="N35" s="55">
        <v>15000</v>
      </c>
      <c r="O35" s="34">
        <v>2.5</v>
      </c>
    </row>
    <row r="36" spans="2:15" s="19" customFormat="1" x14ac:dyDescent="0.2">
      <c r="B36" s="27">
        <v>0.35416666666666669</v>
      </c>
      <c r="C36" s="28">
        <v>4</v>
      </c>
      <c r="D36" s="33" t="str">
        <f>IF(C36="", "",VLOOKUP(C36,Key!$A$5:$B$7,2,FALSE))</f>
        <v>Minibus, matatu</v>
      </c>
      <c r="E36" s="28" t="s">
        <v>113</v>
      </c>
      <c r="F36" s="28" t="s">
        <v>109</v>
      </c>
      <c r="G36" s="29" t="s">
        <v>114</v>
      </c>
      <c r="H36" s="29" t="s">
        <v>114</v>
      </c>
      <c r="I36" s="29" t="s">
        <v>69</v>
      </c>
      <c r="J36" s="29" t="s">
        <v>65</v>
      </c>
      <c r="K36" s="30" t="s">
        <v>65</v>
      </c>
      <c r="L36" s="30" t="str">
        <f t="shared" si="0"/>
        <v>Lira-Luwero</v>
      </c>
      <c r="M36" s="31">
        <v>14</v>
      </c>
      <c r="N36" s="55">
        <v>28000</v>
      </c>
      <c r="O36" s="34">
        <v>4.25</v>
      </c>
    </row>
    <row r="37" spans="2:15" s="19" customFormat="1" x14ac:dyDescent="0.2">
      <c r="B37" s="27">
        <v>0.3611111111111111</v>
      </c>
      <c r="C37" s="28">
        <v>4</v>
      </c>
      <c r="D37" s="33" t="str">
        <f>IF(C37="", "",VLOOKUP(C37,Key!$A$5:$B$7,2,FALSE))</f>
        <v>Minibus, matatu</v>
      </c>
      <c r="E37" s="28" t="s">
        <v>115</v>
      </c>
      <c r="F37" s="28" t="s">
        <v>109</v>
      </c>
      <c r="G37" s="29" t="s">
        <v>116</v>
      </c>
      <c r="H37" s="29" t="s">
        <v>116</v>
      </c>
      <c r="I37" s="29" t="s">
        <v>69</v>
      </c>
      <c r="J37" s="29" t="s">
        <v>65</v>
      </c>
      <c r="K37" s="30" t="s">
        <v>65</v>
      </c>
      <c r="L37" s="30" t="str">
        <f t="shared" si="0"/>
        <v>Paidha-Luwero</v>
      </c>
      <c r="M37" s="31">
        <v>14</v>
      </c>
      <c r="N37" s="55">
        <v>35000</v>
      </c>
      <c r="O37" s="34">
        <v>4.42</v>
      </c>
    </row>
    <row r="38" spans="2:15" s="19" customFormat="1" x14ac:dyDescent="0.2">
      <c r="B38" s="27">
        <v>0.375</v>
      </c>
      <c r="C38" s="28">
        <v>4</v>
      </c>
      <c r="D38" s="33" t="str">
        <f>IF(C38="", "",VLOOKUP(C38,Key!$A$5:$B$7,2,FALSE))</f>
        <v>Minibus, matatu</v>
      </c>
      <c r="E38" s="28" t="s">
        <v>117</v>
      </c>
      <c r="F38" s="28" t="s">
        <v>109</v>
      </c>
      <c r="G38" s="29" t="s">
        <v>80</v>
      </c>
      <c r="H38" s="29" t="s">
        <v>81</v>
      </c>
      <c r="I38" s="29" t="s">
        <v>69</v>
      </c>
      <c r="J38" s="29" t="s">
        <v>65</v>
      </c>
      <c r="K38" s="30" t="s">
        <v>65</v>
      </c>
      <c r="L38" s="30" t="str">
        <f t="shared" si="0"/>
        <v>Kiryandongo-Luwero</v>
      </c>
      <c r="M38" s="31">
        <v>14</v>
      </c>
      <c r="N38" s="55">
        <v>15000</v>
      </c>
      <c r="O38" s="34">
        <v>2.5</v>
      </c>
    </row>
    <row r="39" spans="2:15" s="19" customFormat="1" x14ac:dyDescent="0.2">
      <c r="B39" s="27">
        <v>0.39583333333333331</v>
      </c>
      <c r="C39" s="28">
        <v>4</v>
      </c>
      <c r="D39" s="33" t="str">
        <f>IF(C39="", "",VLOOKUP(C39,Key!$A$5:$B$7,2,FALSE))</f>
        <v>Minibus, matatu</v>
      </c>
      <c r="E39" s="28" t="s">
        <v>118</v>
      </c>
      <c r="F39" s="28" t="s">
        <v>109</v>
      </c>
      <c r="G39" s="29" t="s">
        <v>88</v>
      </c>
      <c r="H39" s="29" t="s">
        <v>70</v>
      </c>
      <c r="I39" s="29" t="s">
        <v>69</v>
      </c>
      <c r="J39" s="29" t="s">
        <v>65</v>
      </c>
      <c r="K39" s="30" t="s">
        <v>65</v>
      </c>
      <c r="L39" s="30" t="str">
        <f t="shared" si="0"/>
        <v>Kampala-Luwero</v>
      </c>
      <c r="M39" s="31">
        <v>14</v>
      </c>
      <c r="N39" s="55">
        <v>6000</v>
      </c>
      <c r="O39" s="34">
        <v>1.5</v>
      </c>
    </row>
    <row r="40" spans="2:15" s="19" customFormat="1" x14ac:dyDescent="0.2">
      <c r="B40" s="27">
        <v>0.41666666666666669</v>
      </c>
      <c r="C40" s="28">
        <v>4</v>
      </c>
      <c r="D40" s="33" t="str">
        <f>IF(C40="", "",VLOOKUP(C40,Key!$A$5:$B$7,2,FALSE))</f>
        <v>Minibus, matatu</v>
      </c>
      <c r="E40" s="28" t="s">
        <v>119</v>
      </c>
      <c r="F40" s="28" t="s">
        <v>109</v>
      </c>
      <c r="G40" s="29" t="s">
        <v>122</v>
      </c>
      <c r="H40" s="29" t="s">
        <v>122</v>
      </c>
      <c r="I40" s="29" t="s">
        <v>69</v>
      </c>
      <c r="J40" s="29" t="s">
        <v>65</v>
      </c>
      <c r="K40" s="30" t="s">
        <v>65</v>
      </c>
      <c r="L40" s="30" t="str">
        <f t="shared" si="0"/>
        <v>Mbale-Luwero</v>
      </c>
      <c r="M40" s="31">
        <v>14</v>
      </c>
      <c r="N40" s="55">
        <v>20000</v>
      </c>
      <c r="O40" s="34">
        <v>4.25</v>
      </c>
    </row>
    <row r="41" spans="2:15" s="19" customFormat="1" x14ac:dyDescent="0.2">
      <c r="B41" s="27">
        <v>0.42708333333333331</v>
      </c>
      <c r="C41" s="28">
        <v>4</v>
      </c>
      <c r="D41" s="33" t="str">
        <f>IF(C41="", "",VLOOKUP(C41,Key!$A$5:$B$7,2,FALSE))</f>
        <v>Minibus, matatu</v>
      </c>
      <c r="E41" s="28" t="s">
        <v>121</v>
      </c>
      <c r="F41" s="28" t="s">
        <v>109</v>
      </c>
      <c r="G41" s="29" t="s">
        <v>76</v>
      </c>
      <c r="H41" s="29" t="s">
        <v>76</v>
      </c>
      <c r="I41" s="29" t="s">
        <v>69</v>
      </c>
      <c r="J41" s="29" t="s">
        <v>65</v>
      </c>
      <c r="K41" s="30" t="s">
        <v>65</v>
      </c>
      <c r="L41" s="30" t="str">
        <f t="shared" ref="L41:L70" si="1">H41&amp;"-"&amp;K41</f>
        <v>Nakasongola-Luwero</v>
      </c>
      <c r="M41" s="31">
        <v>14</v>
      </c>
      <c r="N41" s="55">
        <v>5000</v>
      </c>
      <c r="O41" s="34">
        <v>1</v>
      </c>
    </row>
    <row r="42" spans="2:15" s="19" customFormat="1" x14ac:dyDescent="0.2">
      <c r="B42" s="27">
        <v>0.43402777777777773</v>
      </c>
      <c r="C42" s="28">
        <v>4</v>
      </c>
      <c r="D42" s="33" t="str">
        <f>IF(C42="", "",VLOOKUP(C42,Key!$A$5:$B$7,2,FALSE))</f>
        <v>Minibus, matatu</v>
      </c>
      <c r="E42" s="28" t="s">
        <v>123</v>
      </c>
      <c r="F42" s="28" t="s">
        <v>109</v>
      </c>
      <c r="G42" s="29" t="s">
        <v>120</v>
      </c>
      <c r="H42" s="29" t="s">
        <v>70</v>
      </c>
      <c r="I42" s="29" t="s">
        <v>69</v>
      </c>
      <c r="J42" s="29" t="s">
        <v>65</v>
      </c>
      <c r="K42" s="30" t="s">
        <v>65</v>
      </c>
      <c r="L42" s="30" t="str">
        <f t="shared" si="1"/>
        <v>Kampala-Luwero</v>
      </c>
      <c r="M42" s="31">
        <v>14</v>
      </c>
      <c r="N42" s="55">
        <v>6000</v>
      </c>
      <c r="O42" s="34">
        <v>1.5</v>
      </c>
    </row>
    <row r="43" spans="2:15" s="19" customFormat="1" x14ac:dyDescent="0.2">
      <c r="B43" s="27">
        <v>0.44097222222222227</v>
      </c>
      <c r="C43" s="28">
        <v>4</v>
      </c>
      <c r="D43" s="33" t="str">
        <f>IF(C43="", "",VLOOKUP(C43,Key!$A$5:$B$7,2,FALSE))</f>
        <v>Minibus, matatu</v>
      </c>
      <c r="E43" s="28" t="s">
        <v>124</v>
      </c>
      <c r="F43" s="28" t="s">
        <v>109</v>
      </c>
      <c r="G43" s="29" t="s">
        <v>125</v>
      </c>
      <c r="H43" s="29" t="s">
        <v>70</v>
      </c>
      <c r="I43" s="29" t="s">
        <v>69</v>
      </c>
      <c r="J43" s="29" t="s">
        <v>65</v>
      </c>
      <c r="K43" s="30" t="s">
        <v>65</v>
      </c>
      <c r="L43" s="30" t="str">
        <f t="shared" si="1"/>
        <v>Kampala-Luwero</v>
      </c>
      <c r="M43" s="31">
        <v>14</v>
      </c>
      <c r="N43" s="55">
        <v>6000</v>
      </c>
      <c r="O43" s="34">
        <v>1.5</v>
      </c>
    </row>
    <row r="44" spans="2:15" s="19" customFormat="1" x14ac:dyDescent="0.2">
      <c r="B44" s="27">
        <v>0.44444444444444442</v>
      </c>
      <c r="C44" s="28">
        <v>4</v>
      </c>
      <c r="D44" s="33" t="str">
        <f>IF(C44="", "",VLOOKUP(C44,Key!$A$5:$B$7,2,FALSE))</f>
        <v>Minibus, matatu</v>
      </c>
      <c r="E44" s="28" t="s">
        <v>126</v>
      </c>
      <c r="F44" s="28" t="s">
        <v>109</v>
      </c>
      <c r="G44" s="29" t="s">
        <v>127</v>
      </c>
      <c r="H44" s="29" t="s">
        <v>127</v>
      </c>
      <c r="I44" s="29" t="s">
        <v>69</v>
      </c>
      <c r="J44" s="29" t="s">
        <v>65</v>
      </c>
      <c r="K44" s="30" t="s">
        <v>65</v>
      </c>
      <c r="L44" s="30" t="str">
        <f t="shared" si="1"/>
        <v>Koboko-Luwero</v>
      </c>
      <c r="M44" s="31">
        <v>14</v>
      </c>
      <c r="N44" s="55">
        <v>45000</v>
      </c>
      <c r="O44" s="34">
        <v>7.25</v>
      </c>
    </row>
    <row r="45" spans="2:15" s="19" customFormat="1" x14ac:dyDescent="0.2">
      <c r="B45" s="27">
        <v>0.4465277777777778</v>
      </c>
      <c r="C45" s="28">
        <v>4</v>
      </c>
      <c r="D45" s="33" t="str">
        <f>IF(C45="", "",VLOOKUP(C45,Key!$A$5:$B$7,2,FALSE))</f>
        <v>Minibus, matatu</v>
      </c>
      <c r="E45" s="28" t="s">
        <v>128</v>
      </c>
      <c r="F45" s="28" t="s">
        <v>109</v>
      </c>
      <c r="G45" s="29" t="s">
        <v>129</v>
      </c>
      <c r="H45" s="29" t="s">
        <v>129</v>
      </c>
      <c r="I45" s="29" t="s">
        <v>69</v>
      </c>
      <c r="J45" s="29" t="s">
        <v>65</v>
      </c>
      <c r="K45" s="30" t="s">
        <v>65</v>
      </c>
      <c r="L45" s="30" t="str">
        <f t="shared" si="1"/>
        <v>Gulu-Luwero</v>
      </c>
      <c r="M45" s="31">
        <v>14</v>
      </c>
      <c r="N45" s="55">
        <v>25000</v>
      </c>
      <c r="O45" s="34">
        <v>4</v>
      </c>
    </row>
    <row r="46" spans="2:15" s="19" customFormat="1" x14ac:dyDescent="0.2">
      <c r="B46" s="27">
        <v>0.44930555555555557</v>
      </c>
      <c r="C46" s="28">
        <v>4</v>
      </c>
      <c r="D46" s="33" t="str">
        <f>IF(C46="", "",VLOOKUP(C46,Key!$A$5:$B$7,2,FALSE))</f>
        <v>Minibus, matatu</v>
      </c>
      <c r="E46" s="28" t="s">
        <v>130</v>
      </c>
      <c r="F46" s="28" t="s">
        <v>109</v>
      </c>
      <c r="G46" s="29" t="s">
        <v>131</v>
      </c>
      <c r="H46" s="29" t="s">
        <v>131</v>
      </c>
      <c r="I46" s="29" t="s">
        <v>69</v>
      </c>
      <c r="J46" s="29" t="s">
        <v>65</v>
      </c>
      <c r="K46" s="30" t="s">
        <v>65</v>
      </c>
      <c r="L46" s="30" t="str">
        <f t="shared" si="1"/>
        <v>Yumbe-Luwero</v>
      </c>
      <c r="M46" s="31">
        <v>14</v>
      </c>
      <c r="N46" s="55">
        <v>40000</v>
      </c>
      <c r="O46" s="34">
        <v>7.5</v>
      </c>
    </row>
    <row r="47" spans="2:15" s="19" customFormat="1" x14ac:dyDescent="0.2">
      <c r="B47" s="27">
        <v>0.45347222222222222</v>
      </c>
      <c r="C47" s="28">
        <v>4</v>
      </c>
      <c r="D47" s="33" t="str">
        <f>IF(C47="", "",VLOOKUP(C47,Key!$A$5:$B$7,2,FALSE))</f>
        <v>Minibus, matatu</v>
      </c>
      <c r="E47" s="28" t="s">
        <v>103</v>
      </c>
      <c r="F47" s="28" t="s">
        <v>109</v>
      </c>
      <c r="G47" s="29" t="s">
        <v>132</v>
      </c>
      <c r="H47" s="29" t="s">
        <v>70</v>
      </c>
      <c r="I47" s="29" t="s">
        <v>69</v>
      </c>
      <c r="J47" s="29" t="s">
        <v>65</v>
      </c>
      <c r="K47" s="30" t="s">
        <v>65</v>
      </c>
      <c r="L47" s="30" t="str">
        <f t="shared" si="1"/>
        <v>Kampala-Luwero</v>
      </c>
      <c r="M47" s="31">
        <v>14</v>
      </c>
      <c r="N47" s="55">
        <v>6000</v>
      </c>
      <c r="O47" s="34">
        <v>1.5</v>
      </c>
    </row>
    <row r="48" spans="2:15" s="19" customFormat="1" x14ac:dyDescent="0.2">
      <c r="B48" s="27">
        <v>0.45902777777777781</v>
      </c>
      <c r="C48" s="28">
        <v>4</v>
      </c>
      <c r="D48" s="33" t="str">
        <f>IF(C48="", "",VLOOKUP(C48,Key!$A$5:$B$7,2,FALSE))</f>
        <v>Minibus, matatu</v>
      </c>
      <c r="E48" s="28" t="s">
        <v>133</v>
      </c>
      <c r="F48" s="28" t="s">
        <v>109</v>
      </c>
      <c r="G48" s="29" t="s">
        <v>145</v>
      </c>
      <c r="H48" s="29" t="s">
        <v>145</v>
      </c>
      <c r="I48" s="29" t="s">
        <v>69</v>
      </c>
      <c r="J48" s="29" t="s">
        <v>65</v>
      </c>
      <c r="K48" s="30" t="s">
        <v>65</v>
      </c>
      <c r="L48" s="30" t="str">
        <f t="shared" si="1"/>
        <v>Pakwach-Luwero</v>
      </c>
      <c r="M48" s="31">
        <v>14</v>
      </c>
      <c r="N48" s="55">
        <v>30000</v>
      </c>
      <c r="O48" s="34">
        <v>4.42</v>
      </c>
    </row>
    <row r="49" spans="2:15" s="19" customFormat="1" x14ac:dyDescent="0.2">
      <c r="B49" s="27">
        <v>0.46527777777777773</v>
      </c>
      <c r="C49" s="28">
        <v>4</v>
      </c>
      <c r="D49" s="33" t="str">
        <f>IF(C49="", "",VLOOKUP(C49,Key!$A$5:$B$7,2,FALSE))</f>
        <v>Minibus, matatu</v>
      </c>
      <c r="E49" s="28" t="s">
        <v>134</v>
      </c>
      <c r="F49" s="28" t="s">
        <v>109</v>
      </c>
      <c r="G49" s="29" t="s">
        <v>135</v>
      </c>
      <c r="H49" s="29" t="s">
        <v>135</v>
      </c>
      <c r="I49" s="29" t="s">
        <v>69</v>
      </c>
      <c r="J49" s="29" t="s">
        <v>65</v>
      </c>
      <c r="K49" s="30" t="s">
        <v>65</v>
      </c>
      <c r="L49" s="30" t="str">
        <f t="shared" si="1"/>
        <v>Masaka-Luwero</v>
      </c>
      <c r="M49" s="31">
        <v>14</v>
      </c>
      <c r="N49" s="55">
        <v>15000</v>
      </c>
      <c r="O49" s="34">
        <v>4</v>
      </c>
    </row>
    <row r="50" spans="2:15" s="19" customFormat="1" x14ac:dyDescent="0.2">
      <c r="B50" s="27">
        <v>0.47222222222222227</v>
      </c>
      <c r="C50" s="28">
        <v>4</v>
      </c>
      <c r="D50" s="33" t="str">
        <f>IF(C50="", "",VLOOKUP(C50,Key!$A$5:$B$7,2,FALSE))</f>
        <v>Minibus, matatu</v>
      </c>
      <c r="E50" s="28" t="s">
        <v>136</v>
      </c>
      <c r="F50" s="28" t="s">
        <v>109</v>
      </c>
      <c r="G50" s="29" t="s">
        <v>80</v>
      </c>
      <c r="H50" s="29" t="s">
        <v>81</v>
      </c>
      <c r="I50" s="29" t="s">
        <v>69</v>
      </c>
      <c r="J50" s="29" t="s">
        <v>65</v>
      </c>
      <c r="K50" s="30" t="s">
        <v>65</v>
      </c>
      <c r="L50" s="30" t="str">
        <f t="shared" si="1"/>
        <v>Kiryandongo-Luwero</v>
      </c>
      <c r="M50" s="31">
        <v>13</v>
      </c>
      <c r="N50" s="55">
        <v>15000</v>
      </c>
      <c r="O50" s="34">
        <v>2.5</v>
      </c>
    </row>
    <row r="51" spans="2:15" s="19" customFormat="1" x14ac:dyDescent="0.2">
      <c r="B51" s="27">
        <v>0.47638888888888892</v>
      </c>
      <c r="C51" s="28">
        <v>4</v>
      </c>
      <c r="D51" s="33" t="str">
        <f>IF(C51="", "",VLOOKUP(C51,Key!$A$5:$B$7,2,FALSE))</f>
        <v>Minibus, matatu</v>
      </c>
      <c r="E51" s="28" t="s">
        <v>105</v>
      </c>
      <c r="F51" s="28" t="s">
        <v>109</v>
      </c>
      <c r="G51" s="29" t="s">
        <v>137</v>
      </c>
      <c r="H51" s="29" t="s">
        <v>137</v>
      </c>
      <c r="I51" s="29" t="s">
        <v>69</v>
      </c>
      <c r="J51" s="29" t="s">
        <v>65</v>
      </c>
      <c r="K51" s="30" t="s">
        <v>65</v>
      </c>
      <c r="L51" s="30" t="str">
        <f t="shared" si="1"/>
        <v>Kitgum-Luwero</v>
      </c>
      <c r="M51" s="31">
        <v>14</v>
      </c>
      <c r="N51" s="55">
        <v>30000</v>
      </c>
      <c r="O51" s="34">
        <v>5.25</v>
      </c>
    </row>
    <row r="52" spans="2:15" s="19" customFormat="1" x14ac:dyDescent="0.2">
      <c r="B52" s="27">
        <v>0.47361111111111115</v>
      </c>
      <c r="C52" s="28">
        <v>4</v>
      </c>
      <c r="D52" s="33" t="str">
        <f>IF(C52="", "",VLOOKUP(C52,Key!$A$5:$B$7,2,FALSE))</f>
        <v>Minibus, matatu</v>
      </c>
      <c r="E52" s="28" t="s">
        <v>138</v>
      </c>
      <c r="F52" s="28" t="s">
        <v>109</v>
      </c>
      <c r="G52" s="29" t="s">
        <v>89</v>
      </c>
      <c r="H52" s="29" t="s">
        <v>90</v>
      </c>
      <c r="I52" s="29" t="s">
        <v>69</v>
      </c>
      <c r="J52" s="29" t="s">
        <v>65</v>
      </c>
      <c r="K52" s="30" t="s">
        <v>65</v>
      </c>
      <c r="L52" s="30" t="str">
        <f t="shared" si="1"/>
        <v>Wakiso-Luwero</v>
      </c>
      <c r="M52" s="31">
        <v>14</v>
      </c>
      <c r="N52" s="55">
        <v>5000</v>
      </c>
      <c r="O52" s="34">
        <v>1.5</v>
      </c>
    </row>
    <row r="53" spans="2:15" s="19" customFormat="1" x14ac:dyDescent="0.2">
      <c r="B53" s="27">
        <v>0.4826388888888889</v>
      </c>
      <c r="C53" s="28">
        <v>4</v>
      </c>
      <c r="D53" s="33" t="str">
        <f>IF(C53="", "",VLOOKUP(C53,Key!$A$5:$B$7,2,FALSE))</f>
        <v>Minibus, matatu</v>
      </c>
      <c r="E53" s="28" t="s">
        <v>139</v>
      </c>
      <c r="F53" s="28" t="s">
        <v>109</v>
      </c>
      <c r="G53" s="29" t="s">
        <v>80</v>
      </c>
      <c r="H53" s="29" t="s">
        <v>81</v>
      </c>
      <c r="I53" s="29" t="s">
        <v>69</v>
      </c>
      <c r="J53" s="29" t="s">
        <v>65</v>
      </c>
      <c r="K53" s="30" t="s">
        <v>65</v>
      </c>
      <c r="L53" s="30" t="str">
        <f t="shared" si="1"/>
        <v>Kiryandongo-Luwero</v>
      </c>
      <c r="M53" s="31">
        <v>14</v>
      </c>
      <c r="N53" s="55">
        <v>15000</v>
      </c>
      <c r="O53" s="34">
        <v>2.5</v>
      </c>
    </row>
    <row r="54" spans="2:15" s="19" customFormat="1" x14ac:dyDescent="0.2">
      <c r="B54" s="27">
        <v>0.48749999999999999</v>
      </c>
      <c r="C54" s="28">
        <v>4</v>
      </c>
      <c r="D54" s="33" t="str">
        <f>IF(C54="", "",VLOOKUP(C54,Key!$A$5:$B$7,2,FALSE))</f>
        <v>Minibus, matatu</v>
      </c>
      <c r="E54" s="28" t="s">
        <v>128</v>
      </c>
      <c r="F54" s="28" t="s">
        <v>109</v>
      </c>
      <c r="G54" s="29" t="s">
        <v>106</v>
      </c>
      <c r="H54" s="29" t="s">
        <v>90</v>
      </c>
      <c r="I54" s="29" t="s">
        <v>69</v>
      </c>
      <c r="J54" s="29" t="s">
        <v>65</v>
      </c>
      <c r="K54" s="30" t="s">
        <v>65</v>
      </c>
      <c r="L54" s="30" t="str">
        <f t="shared" si="1"/>
        <v>Wakiso-Luwero</v>
      </c>
      <c r="M54" s="31">
        <v>14</v>
      </c>
      <c r="N54" s="55">
        <v>5000</v>
      </c>
      <c r="O54" s="34">
        <v>1.5</v>
      </c>
    </row>
    <row r="55" spans="2:15" s="19" customFormat="1" x14ac:dyDescent="0.2">
      <c r="B55" s="27">
        <v>0.49305555555555558</v>
      </c>
      <c r="C55" s="28">
        <v>4</v>
      </c>
      <c r="D55" s="33" t="str">
        <f>IF(C55="", "",VLOOKUP(C55,Key!$A$5:$B$7,2,FALSE))</f>
        <v>Minibus, matatu</v>
      </c>
      <c r="E55" s="28" t="s">
        <v>140</v>
      </c>
      <c r="F55" s="28" t="s">
        <v>109</v>
      </c>
      <c r="G55" s="29" t="s">
        <v>86</v>
      </c>
      <c r="H55" s="29" t="s">
        <v>70</v>
      </c>
      <c r="I55" s="29" t="s">
        <v>69</v>
      </c>
      <c r="J55" s="29" t="s">
        <v>65</v>
      </c>
      <c r="K55" s="30" t="s">
        <v>65</v>
      </c>
      <c r="L55" s="30" t="str">
        <f t="shared" si="1"/>
        <v>Kampala-Luwero</v>
      </c>
      <c r="M55" s="31">
        <v>14</v>
      </c>
      <c r="N55" s="55">
        <v>6000</v>
      </c>
      <c r="O55" s="34">
        <v>1.5</v>
      </c>
    </row>
    <row r="56" spans="2:15" s="19" customFormat="1" x14ac:dyDescent="0.2">
      <c r="B56" s="27">
        <v>0.5</v>
      </c>
      <c r="C56" s="28">
        <v>4</v>
      </c>
      <c r="D56" s="33" t="str">
        <f>IF(C56="", "",VLOOKUP(C56,Key!$A$5:$B$7,2,FALSE))</f>
        <v>Minibus, matatu</v>
      </c>
      <c r="E56" s="28" t="s">
        <v>141</v>
      </c>
      <c r="F56" s="28" t="s">
        <v>109</v>
      </c>
      <c r="G56" s="29" t="s">
        <v>142</v>
      </c>
      <c r="H56" s="29" t="s">
        <v>70</v>
      </c>
      <c r="I56" s="29" t="s">
        <v>69</v>
      </c>
      <c r="J56" s="29" t="s">
        <v>65</v>
      </c>
      <c r="K56" s="30" t="s">
        <v>65</v>
      </c>
      <c r="L56" s="30" t="str">
        <f t="shared" si="1"/>
        <v>Kampala-Luwero</v>
      </c>
      <c r="M56" s="31">
        <v>8</v>
      </c>
      <c r="N56" s="55">
        <v>6000</v>
      </c>
      <c r="O56" s="34">
        <v>1.5</v>
      </c>
    </row>
    <row r="57" spans="2:15" s="19" customFormat="1" x14ac:dyDescent="0.2">
      <c r="B57" s="27">
        <v>0.50694444444444442</v>
      </c>
      <c r="C57" s="28">
        <v>4</v>
      </c>
      <c r="D57" s="33" t="str">
        <f>IF(C57="", "",VLOOKUP(C57,Key!$A$5:$B$7,2,FALSE))</f>
        <v>Minibus, matatu</v>
      </c>
      <c r="E57" s="28" t="s">
        <v>143</v>
      </c>
      <c r="F57" s="28" t="s">
        <v>109</v>
      </c>
      <c r="G57" s="29" t="s">
        <v>144</v>
      </c>
      <c r="H57" s="29" t="s">
        <v>145</v>
      </c>
      <c r="I57" s="29" t="s">
        <v>69</v>
      </c>
      <c r="J57" s="29" t="s">
        <v>65</v>
      </c>
      <c r="K57" s="30" t="s">
        <v>65</v>
      </c>
      <c r="L57" s="30" t="str">
        <f t="shared" si="1"/>
        <v>Pakwach-Luwero</v>
      </c>
      <c r="M57" s="31">
        <v>10</v>
      </c>
      <c r="N57" s="55">
        <v>30000</v>
      </c>
      <c r="O57" s="34">
        <v>4.42</v>
      </c>
    </row>
    <row r="58" spans="2:15" s="19" customFormat="1" x14ac:dyDescent="0.2">
      <c r="B58" s="27">
        <v>0.51388888888888895</v>
      </c>
      <c r="C58" s="28">
        <v>4</v>
      </c>
      <c r="D58" s="33" t="str">
        <f>IF(C58="", "",VLOOKUP(C58,Key!$A$5:$B$7,2,FALSE))</f>
        <v>Minibus, matatu</v>
      </c>
      <c r="E58" s="28" t="s">
        <v>98</v>
      </c>
      <c r="F58" s="28" t="s">
        <v>109</v>
      </c>
      <c r="G58" s="29" t="s">
        <v>146</v>
      </c>
      <c r="H58" s="29" t="s">
        <v>81</v>
      </c>
      <c r="I58" s="29" t="s">
        <v>69</v>
      </c>
      <c r="J58" s="29" t="s">
        <v>65</v>
      </c>
      <c r="K58" s="30" t="s">
        <v>65</v>
      </c>
      <c r="L58" s="30" t="str">
        <f t="shared" si="1"/>
        <v>Kiryandongo-Luwero</v>
      </c>
      <c r="M58" s="31">
        <v>14</v>
      </c>
      <c r="N58" s="55">
        <v>15000</v>
      </c>
      <c r="O58" s="34">
        <v>2.5</v>
      </c>
    </row>
    <row r="59" spans="2:15" s="19" customFormat="1" x14ac:dyDescent="0.2">
      <c r="B59" s="27">
        <v>0.52430555555555558</v>
      </c>
      <c r="C59" s="28">
        <v>4</v>
      </c>
      <c r="D59" s="33" t="str">
        <f>IF(C59="", "",VLOOKUP(C59,Key!$A$5:$B$7,2,FALSE))</f>
        <v>Minibus, matatu</v>
      </c>
      <c r="E59" s="28" t="s">
        <v>147</v>
      </c>
      <c r="F59" s="28" t="s">
        <v>109</v>
      </c>
      <c r="G59" s="29" t="s">
        <v>148</v>
      </c>
      <c r="H59" s="29" t="s">
        <v>76</v>
      </c>
      <c r="I59" s="29" t="s">
        <v>69</v>
      </c>
      <c r="J59" s="29" t="s">
        <v>65</v>
      </c>
      <c r="K59" s="30" t="s">
        <v>65</v>
      </c>
      <c r="L59" s="30" t="str">
        <f t="shared" si="1"/>
        <v>Nakasongola-Luwero</v>
      </c>
      <c r="M59" s="31">
        <v>14</v>
      </c>
      <c r="N59" s="55">
        <v>5000</v>
      </c>
      <c r="O59" s="34">
        <v>1</v>
      </c>
    </row>
    <row r="60" spans="2:15" s="19" customFormat="1" x14ac:dyDescent="0.2">
      <c r="B60" s="27">
        <v>0.52916666666666667</v>
      </c>
      <c r="C60" s="28">
        <v>4</v>
      </c>
      <c r="D60" s="33" t="str">
        <f>IF(C60="", "",VLOOKUP(C60,Key!$A$5:$B$7,2,FALSE))</f>
        <v>Minibus, matatu</v>
      </c>
      <c r="E60" s="28" t="s">
        <v>149</v>
      </c>
      <c r="F60" s="28" t="s">
        <v>109</v>
      </c>
      <c r="G60" s="29" t="s">
        <v>150</v>
      </c>
      <c r="H60" s="29" t="s">
        <v>99</v>
      </c>
      <c r="I60" s="29" t="s">
        <v>69</v>
      </c>
      <c r="J60" s="29" t="s">
        <v>65</v>
      </c>
      <c r="K60" s="30" t="s">
        <v>65</v>
      </c>
      <c r="L60" s="30" t="str">
        <f t="shared" si="1"/>
        <v>Arua-Luwero</v>
      </c>
      <c r="M60" s="31">
        <v>14</v>
      </c>
      <c r="N60" s="55">
        <v>35000</v>
      </c>
      <c r="O60" s="34">
        <v>6.5</v>
      </c>
    </row>
    <row r="61" spans="2:15" s="19" customFormat="1" x14ac:dyDescent="0.2">
      <c r="B61" s="27">
        <v>0.53333333333333333</v>
      </c>
      <c r="C61" s="28">
        <v>4</v>
      </c>
      <c r="D61" s="33" t="str">
        <f>IF(C61="", "",VLOOKUP(C61,Key!$A$5:$B$7,2,FALSE))</f>
        <v>Minibus, matatu</v>
      </c>
      <c r="E61" s="28" t="s">
        <v>79</v>
      </c>
      <c r="F61" s="28" t="s">
        <v>109</v>
      </c>
      <c r="G61" s="29" t="s">
        <v>151</v>
      </c>
      <c r="H61" s="29" t="s">
        <v>90</v>
      </c>
      <c r="I61" s="29" t="s">
        <v>69</v>
      </c>
      <c r="J61" s="29" t="s">
        <v>65</v>
      </c>
      <c r="K61" s="30" t="s">
        <v>65</v>
      </c>
      <c r="L61" s="30" t="str">
        <f t="shared" si="1"/>
        <v>Wakiso-Luwero</v>
      </c>
      <c r="M61" s="31">
        <v>14</v>
      </c>
      <c r="N61" s="55">
        <v>5000</v>
      </c>
      <c r="O61" s="34">
        <v>1.5</v>
      </c>
    </row>
    <row r="62" spans="2:15" s="19" customFormat="1" x14ac:dyDescent="0.2">
      <c r="B62" s="27">
        <v>0.53819444444444442</v>
      </c>
      <c r="C62" s="28">
        <v>4</v>
      </c>
      <c r="D62" s="33" t="str">
        <f>IF(C62="", "",VLOOKUP(C62,Key!$A$5:$B$7,2,FALSE))</f>
        <v>Minibus, matatu</v>
      </c>
      <c r="E62" s="28" t="s">
        <v>152</v>
      </c>
      <c r="F62" s="28" t="s">
        <v>109</v>
      </c>
      <c r="G62" s="29" t="s">
        <v>153</v>
      </c>
      <c r="H62" s="29" t="s">
        <v>153</v>
      </c>
      <c r="I62" s="29" t="s">
        <v>69</v>
      </c>
      <c r="J62" s="29" t="s">
        <v>65</v>
      </c>
      <c r="K62" s="30" t="s">
        <v>65</v>
      </c>
      <c r="L62" s="30" t="str">
        <f t="shared" si="1"/>
        <v>Soroti-Luwero</v>
      </c>
      <c r="M62" s="31">
        <v>14</v>
      </c>
      <c r="N62" s="55">
        <v>30000</v>
      </c>
      <c r="O62" s="34">
        <v>5.4</v>
      </c>
    </row>
    <row r="63" spans="2:15" s="19" customFormat="1" x14ac:dyDescent="0.2">
      <c r="B63" s="27">
        <v>0.54652777777777783</v>
      </c>
      <c r="C63" s="28">
        <v>4</v>
      </c>
      <c r="D63" s="33" t="str">
        <f>IF(C63="", "",VLOOKUP(C63,Key!$A$5:$B$7,2,FALSE))</f>
        <v>Minibus, matatu</v>
      </c>
      <c r="E63" s="28" t="s">
        <v>102</v>
      </c>
      <c r="F63" s="28" t="s">
        <v>109</v>
      </c>
      <c r="G63" s="29" t="s">
        <v>154</v>
      </c>
      <c r="H63" s="29" t="s">
        <v>155</v>
      </c>
      <c r="I63" s="29" t="s">
        <v>69</v>
      </c>
      <c r="J63" s="29" t="s">
        <v>65</v>
      </c>
      <c r="K63" s="30" t="s">
        <v>65</v>
      </c>
      <c r="L63" s="30" t="str">
        <f t="shared" si="1"/>
        <v>Kumi-Luwero</v>
      </c>
      <c r="M63" s="31">
        <v>14</v>
      </c>
      <c r="N63" s="55">
        <v>25000</v>
      </c>
      <c r="O63" s="34">
        <v>5</v>
      </c>
    </row>
    <row r="64" spans="2:15" s="19" customFormat="1" x14ac:dyDescent="0.2">
      <c r="B64" s="27">
        <v>0.54999999999999993</v>
      </c>
      <c r="C64" s="28">
        <v>4</v>
      </c>
      <c r="D64" s="33" t="str">
        <f>IF(C64="", "",VLOOKUP(C64,Key!$A$5:$B$7,2,FALSE))</f>
        <v>Minibus, matatu</v>
      </c>
      <c r="E64" s="28" t="s">
        <v>156</v>
      </c>
      <c r="F64" s="28" t="s">
        <v>109</v>
      </c>
      <c r="G64" s="29" t="s">
        <v>157</v>
      </c>
      <c r="H64" s="29" t="s">
        <v>90</v>
      </c>
      <c r="I64" s="29" t="s">
        <v>69</v>
      </c>
      <c r="J64" s="29" t="s">
        <v>65</v>
      </c>
      <c r="K64" s="30" t="s">
        <v>65</v>
      </c>
      <c r="L64" s="30" t="str">
        <f t="shared" si="1"/>
        <v>Wakiso-Luwero</v>
      </c>
      <c r="M64" s="31">
        <v>14</v>
      </c>
      <c r="N64" s="55">
        <v>5000</v>
      </c>
      <c r="O64" s="34">
        <v>1.5</v>
      </c>
    </row>
    <row r="65" spans="2:15" s="19" customFormat="1" x14ac:dyDescent="0.2">
      <c r="B65" s="27">
        <v>0.55555555555555558</v>
      </c>
      <c r="C65" s="28">
        <v>4</v>
      </c>
      <c r="D65" s="33" t="str">
        <f>IF(C65="", "",VLOOKUP(C65,Key!$A$5:$B$7,2,FALSE))</f>
        <v>Minibus, matatu</v>
      </c>
      <c r="E65" s="28" t="s">
        <v>156</v>
      </c>
      <c r="F65" s="28" t="s">
        <v>109</v>
      </c>
      <c r="G65" s="29" t="s">
        <v>125</v>
      </c>
      <c r="H65" s="29" t="s">
        <v>70</v>
      </c>
      <c r="I65" s="29" t="s">
        <v>69</v>
      </c>
      <c r="J65" s="29" t="s">
        <v>65</v>
      </c>
      <c r="K65" s="30" t="s">
        <v>65</v>
      </c>
      <c r="L65" s="30" t="str">
        <f t="shared" si="1"/>
        <v>Kampala-Luwero</v>
      </c>
      <c r="M65" s="31">
        <v>14</v>
      </c>
      <c r="N65" s="55">
        <v>6000</v>
      </c>
      <c r="O65" s="34">
        <v>1.5</v>
      </c>
    </row>
    <row r="66" spans="2:15" s="19" customFormat="1" x14ac:dyDescent="0.2">
      <c r="B66" s="27">
        <v>0.55902777777777779</v>
      </c>
      <c r="C66" s="28">
        <v>4</v>
      </c>
      <c r="D66" s="33" t="str">
        <f>IF(C66="", "",VLOOKUP(C66,Key!$A$5:$B$7,2,FALSE))</f>
        <v>Minibus, matatu</v>
      </c>
      <c r="E66" s="28" t="s">
        <v>93</v>
      </c>
      <c r="F66" s="28" t="s">
        <v>109</v>
      </c>
      <c r="G66" s="29" t="s">
        <v>132</v>
      </c>
      <c r="H66" s="29" t="s">
        <v>70</v>
      </c>
      <c r="I66" s="29" t="s">
        <v>69</v>
      </c>
      <c r="J66" s="29" t="s">
        <v>65</v>
      </c>
      <c r="K66" s="30" t="s">
        <v>65</v>
      </c>
      <c r="L66" s="30" t="str">
        <f t="shared" si="1"/>
        <v>Kampala-Luwero</v>
      </c>
      <c r="M66" s="31">
        <v>14</v>
      </c>
      <c r="N66" s="55">
        <v>6000</v>
      </c>
      <c r="O66" s="34">
        <v>1.5</v>
      </c>
    </row>
    <row r="67" spans="2:15" s="19" customFormat="1" x14ac:dyDescent="0.2">
      <c r="B67" s="27">
        <v>0.56111111111111112</v>
      </c>
      <c r="C67" s="28">
        <v>4</v>
      </c>
      <c r="D67" s="33" t="str">
        <f>IF(C67="", "",VLOOKUP(C67,Key!$A$5:$B$7,2,FALSE))</f>
        <v>Minibus, matatu</v>
      </c>
      <c r="E67" s="28" t="s">
        <v>100</v>
      </c>
      <c r="F67" s="28" t="s">
        <v>109</v>
      </c>
      <c r="G67" s="29" t="s">
        <v>151</v>
      </c>
      <c r="H67" s="29" t="s">
        <v>90</v>
      </c>
      <c r="I67" s="29" t="s">
        <v>69</v>
      </c>
      <c r="J67" s="29" t="s">
        <v>65</v>
      </c>
      <c r="K67" s="30" t="s">
        <v>65</v>
      </c>
      <c r="L67" s="30" t="str">
        <f t="shared" si="1"/>
        <v>Wakiso-Luwero</v>
      </c>
      <c r="M67" s="31">
        <v>14</v>
      </c>
      <c r="N67" s="55">
        <v>5000</v>
      </c>
      <c r="O67" s="34">
        <v>1.5</v>
      </c>
    </row>
    <row r="68" spans="2:15" s="19" customFormat="1" x14ac:dyDescent="0.2">
      <c r="B68" s="27">
        <v>0.58333333333333337</v>
      </c>
      <c r="C68" s="28">
        <v>4</v>
      </c>
      <c r="D68" s="33" t="str">
        <f>IF(C68="", "",VLOOKUP(C68,Key!$A$5:$B$7,2,FALSE))</f>
        <v>Minibus, matatu</v>
      </c>
      <c r="E68" s="28" t="s">
        <v>91</v>
      </c>
      <c r="F68" s="28" t="s">
        <v>109</v>
      </c>
      <c r="G68" s="29" t="s">
        <v>92</v>
      </c>
      <c r="H68" s="29" t="s">
        <v>70</v>
      </c>
      <c r="I68" s="29" t="s">
        <v>69</v>
      </c>
      <c r="J68" s="29" t="s">
        <v>65</v>
      </c>
      <c r="K68" s="30" t="s">
        <v>65</v>
      </c>
      <c r="L68" s="30" t="str">
        <f t="shared" si="1"/>
        <v>Kampala-Luwero</v>
      </c>
      <c r="M68" s="31">
        <v>14</v>
      </c>
      <c r="N68" s="55">
        <v>6000</v>
      </c>
      <c r="O68" s="34">
        <v>1.5</v>
      </c>
    </row>
    <row r="69" spans="2:15" s="19" customFormat="1" x14ac:dyDescent="0.2">
      <c r="B69" s="27">
        <v>0.59375</v>
      </c>
      <c r="C69" s="28">
        <v>4</v>
      </c>
      <c r="D69" s="33" t="str">
        <f>IF(C69="", "",VLOOKUP(C69,Key!$A$5:$B$7,2,FALSE))</f>
        <v>Minibus, matatu</v>
      </c>
      <c r="E69" s="28" t="s">
        <v>158</v>
      </c>
      <c r="F69" s="28" t="s">
        <v>109</v>
      </c>
      <c r="G69" s="29" t="s">
        <v>70</v>
      </c>
      <c r="H69" s="29" t="s">
        <v>70</v>
      </c>
      <c r="I69" s="29" t="s">
        <v>69</v>
      </c>
      <c r="J69" s="29" t="s">
        <v>65</v>
      </c>
      <c r="K69" s="30" t="s">
        <v>65</v>
      </c>
      <c r="L69" s="30" t="str">
        <f t="shared" si="1"/>
        <v>Kampala-Luwero</v>
      </c>
      <c r="M69" s="31">
        <v>14</v>
      </c>
      <c r="N69" s="55">
        <v>6000</v>
      </c>
      <c r="O69" s="34">
        <v>1.5</v>
      </c>
    </row>
    <row r="70" spans="2:15" s="19" customFormat="1" x14ac:dyDescent="0.2">
      <c r="B70" s="27">
        <v>0.60416666666666663</v>
      </c>
      <c r="C70" s="28">
        <v>4</v>
      </c>
      <c r="D70" s="33" t="str">
        <f>IF(C70="", "",VLOOKUP(C70,Key!$A$5:$B$7,2,FALSE))</f>
        <v>Minibus, matatu</v>
      </c>
      <c r="E70" s="28" t="s">
        <v>159</v>
      </c>
      <c r="F70" s="28" t="s">
        <v>109</v>
      </c>
      <c r="G70" s="29" t="s">
        <v>70</v>
      </c>
      <c r="H70" s="29" t="s">
        <v>70</v>
      </c>
      <c r="I70" s="29" t="s">
        <v>69</v>
      </c>
      <c r="J70" s="29" t="s">
        <v>65</v>
      </c>
      <c r="K70" s="30" t="s">
        <v>65</v>
      </c>
      <c r="L70" s="30" t="str">
        <f t="shared" si="1"/>
        <v>Kampala-Luwero</v>
      </c>
      <c r="M70" s="31">
        <v>14</v>
      </c>
      <c r="N70" s="55">
        <v>6000</v>
      </c>
      <c r="O70" s="34">
        <v>1.5</v>
      </c>
    </row>
  </sheetData>
  <sortState ref="A9:O70">
    <sortCondition ref="A9:A70"/>
  </sortState>
  <mergeCells count="18"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  <mergeCell ref="B7:B8"/>
    <mergeCell ref="C7:C8"/>
    <mergeCell ref="J7:L7"/>
    <mergeCell ref="D7:D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78" t="s">
        <v>0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78" t="s">
        <v>1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9" t="s">
        <v>8</v>
      </c>
      <c r="C7" s="81" t="s">
        <v>9</v>
      </c>
      <c r="D7" s="81" t="s">
        <v>10</v>
      </c>
      <c r="E7" s="81" t="s">
        <v>11</v>
      </c>
      <c r="F7" s="81" t="s">
        <v>12</v>
      </c>
      <c r="G7" s="81"/>
      <c r="H7" s="81" t="s">
        <v>15</v>
      </c>
      <c r="I7" s="81" t="s">
        <v>16</v>
      </c>
      <c r="J7" s="81" t="s">
        <v>17</v>
      </c>
      <c r="K7" s="81"/>
      <c r="L7" s="81" t="s">
        <v>18</v>
      </c>
      <c r="M7" s="81" t="s">
        <v>19</v>
      </c>
      <c r="N7" s="81" t="s">
        <v>20</v>
      </c>
      <c r="O7" s="83" t="s">
        <v>21</v>
      </c>
      <c r="P7" s="74" t="s">
        <v>27</v>
      </c>
      <c r="Q7" s="75"/>
    </row>
    <row r="8" spans="2:25" ht="24.75" customHeight="1" thickBot="1" x14ac:dyDescent="0.25">
      <c r="B8" s="80"/>
      <c r="C8" s="82"/>
      <c r="D8" s="82"/>
      <c r="E8" s="82"/>
      <c r="F8" s="18" t="s">
        <v>13</v>
      </c>
      <c r="G8" s="18" t="s">
        <v>14</v>
      </c>
      <c r="H8" s="82"/>
      <c r="I8" s="82"/>
      <c r="J8" s="18" t="s">
        <v>13</v>
      </c>
      <c r="K8" s="18" t="s">
        <v>14</v>
      </c>
      <c r="L8" s="82"/>
      <c r="M8" s="82"/>
      <c r="N8" s="82"/>
      <c r="O8" s="84"/>
      <c r="P8" s="76"/>
      <c r="Q8" s="77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40"/>
  <sheetViews>
    <sheetView tabSelected="1" view="pageBreakPreview" topLeftCell="A4" zoomScale="60" zoomScaleNormal="85" workbookViewId="0">
      <selection activeCell="I20" sqref="I20"/>
    </sheetView>
  </sheetViews>
  <sheetFormatPr defaultRowHeight="12.75" x14ac:dyDescent="0.2"/>
  <cols>
    <col min="2" max="2" width="11.42578125" customWidth="1"/>
    <col min="3" max="3" width="15.5703125" customWidth="1"/>
    <col min="4" max="4" width="15.85546875" customWidth="1"/>
    <col min="5" max="5" width="16.85546875" customWidth="1"/>
    <col min="6" max="6" width="19.28515625" customWidth="1"/>
    <col min="7" max="8" width="10.85546875" customWidth="1"/>
    <col min="9" max="9" width="11.28515625" customWidth="1"/>
    <col min="10" max="10" width="10.140625" customWidth="1"/>
    <col min="11" max="11" width="15" customWidth="1"/>
  </cols>
  <sheetData>
    <row r="2" spans="2:11" ht="15" x14ac:dyDescent="0.25">
      <c r="B2" s="46" t="s">
        <v>196</v>
      </c>
    </row>
    <row r="4" spans="2:11" x14ac:dyDescent="0.2">
      <c r="D4" s="85" t="s">
        <v>161</v>
      </c>
      <c r="E4" s="85"/>
      <c r="F4" s="85"/>
      <c r="G4" s="85"/>
      <c r="H4" s="85"/>
      <c r="I4" s="85"/>
      <c r="J4" s="85" t="s">
        <v>162</v>
      </c>
      <c r="K4" s="85"/>
    </row>
    <row r="5" spans="2:11" s="49" customFormat="1" ht="49.5" customHeight="1" x14ac:dyDescent="0.2">
      <c r="B5" s="47" t="s">
        <v>163</v>
      </c>
      <c r="C5" s="47" t="s">
        <v>164</v>
      </c>
      <c r="D5" s="47" t="s">
        <v>165</v>
      </c>
      <c r="E5" s="47" t="s">
        <v>166</v>
      </c>
      <c r="F5" s="47" t="s">
        <v>167</v>
      </c>
      <c r="G5" s="48" t="s">
        <v>168</v>
      </c>
      <c r="H5" s="48" t="s">
        <v>169</v>
      </c>
      <c r="I5" s="48" t="s">
        <v>170</v>
      </c>
      <c r="J5" s="48" t="s">
        <v>171</v>
      </c>
      <c r="K5" s="48" t="s">
        <v>172</v>
      </c>
    </row>
    <row r="6" spans="2:11" ht="15" customHeight="1" x14ac:dyDescent="0.2">
      <c r="B6" s="50" t="s">
        <v>179</v>
      </c>
      <c r="C6" s="50" t="s">
        <v>173</v>
      </c>
      <c r="D6" s="50" t="s">
        <v>174</v>
      </c>
      <c r="E6" s="50" t="s">
        <v>179</v>
      </c>
      <c r="F6" s="51" t="str">
        <f>D6&amp;"-"&amp;E6</f>
        <v>KAMPALA-LUWERO</v>
      </c>
      <c r="G6" s="52">
        <f>ROUNDUP(COUNTIF('PT-11'!$L$9:$L$233,Summary!F6),0)</f>
        <v>13</v>
      </c>
      <c r="H6" s="52">
        <v>64</v>
      </c>
      <c r="I6" s="53">
        <f>AVERAGEIF('PT-11'!$L$9:$L$233,Summary!F6,'PT-11'!$O$9:$O$233)</f>
        <v>1.5</v>
      </c>
      <c r="J6" s="52">
        <f>AVERAGEIF('PT-11'!$L$9:$L$233,Summary!F6,'PT-11'!$M$9:$M$233)</f>
        <v>13.538461538461538</v>
      </c>
      <c r="K6" s="54">
        <f>AVERAGEIF('PT-11'!$L$9:$L$233,Summary!F6,'PT-11'!$N$9:$N$233)</f>
        <v>6000</v>
      </c>
    </row>
    <row r="7" spans="2:11" ht="15" customHeight="1" x14ac:dyDescent="0.2">
      <c r="B7" s="50" t="s">
        <v>179</v>
      </c>
      <c r="C7" s="50" t="s">
        <v>178</v>
      </c>
      <c r="D7" s="50" t="s">
        <v>179</v>
      </c>
      <c r="E7" s="50" t="s">
        <v>174</v>
      </c>
      <c r="F7" s="51" t="str">
        <f t="shared" ref="F7:F30" si="0">D7&amp;"-"&amp;E7</f>
        <v>LUWERO-KAMPALA</v>
      </c>
      <c r="G7" s="52">
        <f>ROUNDUP(COUNTIF('PT-11'!$L$9:$L$233,Summary!F7),0)</f>
        <v>11</v>
      </c>
      <c r="H7" s="52">
        <v>64</v>
      </c>
      <c r="I7" s="53">
        <f>AVERAGEIF('PT-11'!$L$9:$L$233,Summary!F7,'PT-11'!$O$9:$O$233)</f>
        <v>1.5</v>
      </c>
      <c r="J7" s="52">
        <f>AVERAGEIF('PT-11'!$L$9:$L$233,Summary!F7,'PT-11'!$M$9:$M$233)</f>
        <v>14</v>
      </c>
      <c r="K7" s="54">
        <f>AVERAGEIF('PT-11'!$L$9:$L$233,Summary!F7,'PT-11'!$N$9:$N$233)</f>
        <v>5000</v>
      </c>
    </row>
    <row r="8" spans="2:11" ht="15" customHeight="1" x14ac:dyDescent="0.2">
      <c r="B8" s="50" t="s">
        <v>179</v>
      </c>
      <c r="C8" s="50" t="s">
        <v>180</v>
      </c>
      <c r="D8" s="50" t="s">
        <v>179</v>
      </c>
      <c r="E8" s="50" t="s">
        <v>182</v>
      </c>
      <c r="F8" s="51" t="str">
        <f t="shared" si="0"/>
        <v>LUWERO-ARUA</v>
      </c>
      <c r="G8" s="52">
        <f>ROUNDUP(COUNTIF('PT-11'!$L$9:$L$233,Summary!F8),0)</f>
        <v>1</v>
      </c>
      <c r="H8" s="52">
        <v>449</v>
      </c>
      <c r="I8" s="53">
        <f>AVERAGEIF('PT-11'!$L$9:$L$233,Summary!F8,'PT-11'!$O$9:$O$233)</f>
        <v>6.5</v>
      </c>
      <c r="J8" s="52">
        <f>AVERAGEIF('PT-11'!$L$9:$L$233,Summary!F8,'PT-11'!$M$9:$M$233)</f>
        <v>14</v>
      </c>
      <c r="K8" s="54">
        <f>AVERAGEIF('PT-11'!$L$9:$L$233,Summary!F8,'PT-11'!$N$9:$N$233)</f>
        <v>35000</v>
      </c>
    </row>
    <row r="9" spans="2:11" ht="15" customHeight="1" x14ac:dyDescent="0.2">
      <c r="B9" s="50" t="s">
        <v>179</v>
      </c>
      <c r="C9" s="50" t="s">
        <v>180</v>
      </c>
      <c r="D9" s="50" t="s">
        <v>179</v>
      </c>
      <c r="E9" s="50" t="s">
        <v>188</v>
      </c>
      <c r="F9" s="51" t="str">
        <f t="shared" si="0"/>
        <v>LUWERO-BUIKWE</v>
      </c>
      <c r="G9" s="52">
        <f>ROUNDUP(COUNTIF('PT-11'!$L$9:$L$233,Summary!F9),0)</f>
        <v>1</v>
      </c>
      <c r="H9" s="52">
        <v>96</v>
      </c>
      <c r="I9" s="53">
        <f>AVERAGEIF('PT-11'!$L$9:$L$233,Summary!F9,'PT-11'!$O$9:$O$233)</f>
        <v>2.25</v>
      </c>
      <c r="J9" s="52">
        <f>AVERAGEIF('PT-11'!$L$9:$L$233,Summary!F9,'PT-11'!$M$9:$M$233)</f>
        <v>14</v>
      </c>
      <c r="K9" s="54">
        <f>AVERAGEIF('PT-11'!$L$9:$L$233,Summary!F9,'PT-11'!$N$9:$N$233)</f>
        <v>10000</v>
      </c>
    </row>
    <row r="10" spans="2:11" ht="15" customHeight="1" x14ac:dyDescent="0.2">
      <c r="B10" s="50" t="s">
        <v>179</v>
      </c>
      <c r="C10" s="50" t="s">
        <v>180</v>
      </c>
      <c r="D10" s="50" t="s">
        <v>179</v>
      </c>
      <c r="E10" s="50" t="s">
        <v>184</v>
      </c>
      <c r="F10" s="51" t="str">
        <f t="shared" si="0"/>
        <v>LUWERO-KIRYANDONGO</v>
      </c>
      <c r="G10" s="52">
        <f>ROUNDUP(COUNTIF('PT-11'!$L$9:$L$233,Summary!F10),0)</f>
        <v>1</v>
      </c>
      <c r="H10" s="52">
        <v>176</v>
      </c>
      <c r="I10" s="53">
        <f>AVERAGEIF('PT-11'!$L$9:$L$233,Summary!F10,'PT-11'!$O$9:$O$233)</f>
        <v>2.5</v>
      </c>
      <c r="J10" s="52">
        <f>AVERAGEIF('PT-11'!$L$9:$L$233,Summary!F10,'PT-11'!$M$9:$M$233)</f>
        <v>14</v>
      </c>
      <c r="K10" s="54">
        <f>AVERAGEIF('PT-11'!$L$9:$L$233,Summary!F10,'PT-11'!$N$9:$N$233)</f>
        <v>15000</v>
      </c>
    </row>
    <row r="11" spans="2:11" ht="15" customHeight="1" x14ac:dyDescent="0.2">
      <c r="B11" s="50" t="s">
        <v>179</v>
      </c>
      <c r="C11" s="50" t="s">
        <v>180</v>
      </c>
      <c r="D11" s="50" t="s">
        <v>179</v>
      </c>
      <c r="E11" s="50" t="s">
        <v>189</v>
      </c>
      <c r="F11" s="51" t="str">
        <f t="shared" si="0"/>
        <v>LUWERO-NAKASONGOLA</v>
      </c>
      <c r="G11" s="52">
        <f>ROUNDUP(COUNTIF('PT-11'!$L$9:$L$233,Summary!F11),0)</f>
        <v>2</v>
      </c>
      <c r="H11" s="52">
        <v>69</v>
      </c>
      <c r="I11" s="53">
        <f>AVERAGEIF('PT-11'!$L$9:$L$233,Summary!F11,'PT-11'!$O$9:$O$233)</f>
        <v>1</v>
      </c>
      <c r="J11" s="52">
        <f>AVERAGEIF('PT-11'!$L$9:$L$233,Summary!F11,'PT-11'!$M$9:$M$233)</f>
        <v>14</v>
      </c>
      <c r="K11" s="54">
        <f>AVERAGEIF('PT-11'!$L$9:$L$233,Summary!F11,'PT-11'!$N$9:$N$233)</f>
        <v>5000</v>
      </c>
    </row>
    <row r="12" spans="2:11" ht="15" customHeight="1" x14ac:dyDescent="0.2">
      <c r="B12" s="50" t="s">
        <v>179</v>
      </c>
      <c r="C12" s="50" t="s">
        <v>180</v>
      </c>
      <c r="D12" s="50" t="s">
        <v>179</v>
      </c>
      <c r="E12" s="50" t="s">
        <v>190</v>
      </c>
      <c r="F12" s="51" t="str">
        <f t="shared" si="0"/>
        <v>LUWERO-NEBBI</v>
      </c>
      <c r="G12" s="52">
        <f>ROUNDUP(COUNTIF('PT-11'!$L$9:$L$233,Summary!F12),0)</f>
        <v>2</v>
      </c>
      <c r="H12" s="52">
        <v>341</v>
      </c>
      <c r="I12" s="53">
        <f>AVERAGEIF('PT-11'!$L$9:$L$233,Summary!F12,'PT-11'!$O$9:$O$233)</f>
        <v>4.7</v>
      </c>
      <c r="J12" s="52">
        <f>AVERAGEIF('PT-11'!$L$9:$L$233,Summary!F12,'PT-11'!$M$9:$M$233)</f>
        <v>14</v>
      </c>
      <c r="K12" s="54">
        <f>AVERAGEIF('PT-11'!$L$9:$L$233,Summary!F12,'PT-11'!$N$9:$N$233)</f>
        <v>30000</v>
      </c>
    </row>
    <row r="13" spans="2:11" ht="15" customHeight="1" x14ac:dyDescent="0.2">
      <c r="B13" s="50" t="s">
        <v>179</v>
      </c>
      <c r="C13" s="50" t="s">
        <v>180</v>
      </c>
      <c r="D13" s="50" t="s">
        <v>179</v>
      </c>
      <c r="E13" s="50" t="s">
        <v>191</v>
      </c>
      <c r="F13" s="51" t="str">
        <f t="shared" si="0"/>
        <v>LUWERO-PAKWACH</v>
      </c>
      <c r="G13" s="52">
        <f>ROUNDUP(COUNTIF('PT-11'!$L$9:$L$233,Summary!F13),0)</f>
        <v>1</v>
      </c>
      <c r="H13" s="52">
        <v>321</v>
      </c>
      <c r="I13" s="53">
        <f>AVERAGEIF('PT-11'!$L$9:$L$233,Summary!F13,'PT-11'!$O$9:$O$233)</f>
        <v>4.42</v>
      </c>
      <c r="J13" s="52">
        <f>AVERAGEIF('PT-11'!$L$9:$L$233,Summary!F13,'PT-11'!$M$9:$M$233)</f>
        <v>14</v>
      </c>
      <c r="K13" s="54">
        <f>AVERAGEIF('PT-11'!$L$9:$L$233,Summary!F13,'PT-11'!$N$9:$N$233)</f>
        <v>30000</v>
      </c>
    </row>
    <row r="14" spans="2:11" ht="15" customHeight="1" x14ac:dyDescent="0.2">
      <c r="B14" s="50" t="s">
        <v>179</v>
      </c>
      <c r="C14" s="50" t="s">
        <v>180</v>
      </c>
      <c r="D14" s="50" t="s">
        <v>179</v>
      </c>
      <c r="E14" s="50" t="s">
        <v>192</v>
      </c>
      <c r="F14" s="51" t="str">
        <f t="shared" ref="F14" si="1">D14&amp;"-"&amp;E14</f>
        <v>LUWERO-WAKISO</v>
      </c>
      <c r="G14" s="52">
        <f>ROUNDUP(COUNTIF('PT-11'!$L$9:$L$233,Summary!F14),0)</f>
        <v>3</v>
      </c>
      <c r="H14" s="52">
        <v>58</v>
      </c>
      <c r="I14" s="53">
        <f>AVERAGEIF('PT-11'!$L$9:$L$233,Summary!F14,'PT-11'!$O$9:$O$233)</f>
        <v>1.5</v>
      </c>
      <c r="J14" s="52">
        <f>AVERAGEIF('PT-11'!$L$9:$L$233,Summary!F14,'PT-11'!$M$9:$M$233)</f>
        <v>14</v>
      </c>
      <c r="K14" s="54">
        <f>AVERAGEIF('PT-11'!$L$9:$L$233,Summary!F14,'PT-11'!$N$9:$N$233)</f>
        <v>5000</v>
      </c>
    </row>
    <row r="15" spans="2:11" ht="15" customHeight="1" x14ac:dyDescent="0.2">
      <c r="B15" s="50" t="s">
        <v>179</v>
      </c>
      <c r="C15" s="50" t="s">
        <v>181</v>
      </c>
      <c r="D15" s="50" t="s">
        <v>182</v>
      </c>
      <c r="E15" s="50" t="s">
        <v>179</v>
      </c>
      <c r="F15" s="51" t="str">
        <f t="shared" si="0"/>
        <v>ARUA-LUWERO</v>
      </c>
      <c r="G15" s="52">
        <f>ROUNDUP(COUNTIF('PT-11'!$L$9:$L$233,Summary!F15),0)</f>
        <v>2</v>
      </c>
      <c r="H15" s="52">
        <v>449</v>
      </c>
      <c r="I15" s="53">
        <f>AVERAGEIF('PT-11'!$L$9:$L$233,Summary!F15,'PT-11'!$O$9:$O$233)</f>
        <v>6.5</v>
      </c>
      <c r="J15" s="52">
        <f>AVERAGEIF('PT-11'!$L$9:$L$233,Summary!F15,'PT-11'!$M$9:$M$233)</f>
        <v>14</v>
      </c>
      <c r="K15" s="54">
        <f>AVERAGEIF('PT-11'!$L$9:$L$233,Summary!F15,'PT-11'!$N$9:$N$233)</f>
        <v>35000</v>
      </c>
    </row>
    <row r="16" spans="2:11" ht="15" customHeight="1" x14ac:dyDescent="0.2">
      <c r="B16" s="50" t="s">
        <v>179</v>
      </c>
      <c r="C16" s="50" t="s">
        <v>181</v>
      </c>
      <c r="D16" s="50" t="s">
        <v>183</v>
      </c>
      <c r="E16" s="50" t="s">
        <v>179</v>
      </c>
      <c r="F16" s="51" t="str">
        <f t="shared" si="0"/>
        <v>GULU-LUWERO</v>
      </c>
      <c r="G16" s="52">
        <f>ROUNDUP(COUNTIF('PT-11'!$L$9:$L$233,Summary!F16),0)</f>
        <v>1</v>
      </c>
      <c r="H16" s="52">
        <v>288</v>
      </c>
      <c r="I16" s="53">
        <f>AVERAGEIF('PT-11'!$L$9:$L$233,Summary!F16,'PT-11'!$O$9:$O$233)</f>
        <v>4</v>
      </c>
      <c r="J16" s="52">
        <f>AVERAGEIF('PT-11'!$L$9:$L$233,Summary!F16,'PT-11'!$M$9:$M$233)</f>
        <v>14</v>
      </c>
      <c r="K16" s="54">
        <f>AVERAGEIF('PT-11'!$L$9:$L$233,Summary!F16,'PT-11'!$N$9:$N$233)</f>
        <v>25000</v>
      </c>
    </row>
    <row r="17" spans="2:11" ht="15" customHeight="1" x14ac:dyDescent="0.2">
      <c r="B17" s="50" t="s">
        <v>179</v>
      </c>
      <c r="C17" s="50" t="s">
        <v>181</v>
      </c>
      <c r="D17" s="50" t="s">
        <v>184</v>
      </c>
      <c r="E17" s="50" t="s">
        <v>179</v>
      </c>
      <c r="F17" s="51" t="str">
        <f t="shared" si="0"/>
        <v>KIRYANDONGO-LUWERO</v>
      </c>
      <c r="G17" s="52">
        <f>ROUNDUP(COUNTIF('PT-11'!$L$9:$L$233,Summary!F17),0)</f>
        <v>5</v>
      </c>
      <c r="H17" s="52">
        <v>176</v>
      </c>
      <c r="I17" s="53">
        <f>AVERAGEIF('PT-11'!$L$9:$L$233,Summary!F17,'PT-11'!$O$9:$O$233)</f>
        <v>2.5</v>
      </c>
      <c r="J17" s="52">
        <f>AVERAGEIF('PT-11'!$L$9:$L$233,Summary!F17,'PT-11'!$M$9:$M$233)</f>
        <v>13.8</v>
      </c>
      <c r="K17" s="54">
        <f>AVERAGEIF('PT-11'!$L$9:$L$233,Summary!F17,'PT-11'!$N$9:$N$233)</f>
        <v>15000</v>
      </c>
    </row>
    <row r="18" spans="2:11" ht="15" customHeight="1" x14ac:dyDescent="0.2">
      <c r="B18" s="50" t="s">
        <v>179</v>
      </c>
      <c r="C18" s="50" t="s">
        <v>181</v>
      </c>
      <c r="D18" s="50" t="s">
        <v>185</v>
      </c>
      <c r="E18" s="50" t="s">
        <v>179</v>
      </c>
      <c r="F18" s="51" t="str">
        <f t="shared" si="0"/>
        <v>KITGUM-LUWERO</v>
      </c>
      <c r="G18" s="52">
        <f>ROUNDUP(COUNTIF('PT-11'!$L$9:$L$233,Summary!F18),0)</f>
        <v>1</v>
      </c>
      <c r="H18" s="52">
        <v>389</v>
      </c>
      <c r="I18" s="53">
        <f>AVERAGEIF('PT-11'!$L$9:$L$233,Summary!F18,'PT-11'!$O$9:$O$233)</f>
        <v>5.25</v>
      </c>
      <c r="J18" s="52">
        <f>AVERAGEIF('PT-11'!$L$9:$L$233,Summary!F18,'PT-11'!$M$9:$M$233)</f>
        <v>14</v>
      </c>
      <c r="K18" s="54">
        <f>AVERAGEIF('PT-11'!$L$9:$L$233,Summary!F18,'PT-11'!$N$9:$N$233)</f>
        <v>30000</v>
      </c>
    </row>
    <row r="19" spans="2:11" ht="15" customHeight="1" x14ac:dyDescent="0.2">
      <c r="B19" s="50" t="s">
        <v>179</v>
      </c>
      <c r="C19" s="50" t="s">
        <v>181</v>
      </c>
      <c r="D19" s="50" t="s">
        <v>186</v>
      </c>
      <c r="E19" s="50" t="s">
        <v>179</v>
      </c>
      <c r="F19" s="51" t="str">
        <f t="shared" si="0"/>
        <v>KOBOKO-LUWERO</v>
      </c>
      <c r="G19" s="52">
        <f>ROUNDUP(COUNTIF('PT-11'!$L$9:$L$233,Summary!F19),0)</f>
        <v>1</v>
      </c>
      <c r="H19" s="52">
        <v>503</v>
      </c>
      <c r="I19" s="53">
        <f>AVERAGEIF('PT-11'!$L$9:$L$233,Summary!F19,'PT-11'!$O$9:$O$233)</f>
        <v>7.25</v>
      </c>
      <c r="J19" s="52">
        <f>AVERAGEIF('PT-11'!$L$9:$L$233,Summary!F19,'PT-11'!$M$9:$M$233)</f>
        <v>14</v>
      </c>
      <c r="K19" s="54">
        <f>AVERAGEIF('PT-11'!$L$9:$L$233,Summary!F19,'PT-11'!$N$9:$N$233)</f>
        <v>45000</v>
      </c>
    </row>
    <row r="20" spans="2:11" ht="15" customHeight="1" x14ac:dyDescent="0.2">
      <c r="B20" s="50" t="s">
        <v>179</v>
      </c>
      <c r="C20" s="50" t="s">
        <v>181</v>
      </c>
      <c r="D20" s="50" t="s">
        <v>187</v>
      </c>
      <c r="E20" s="50" t="s">
        <v>179</v>
      </c>
      <c r="F20" s="51" t="str">
        <f t="shared" ref="F20" si="2">D20&amp;"-"&amp;E20</f>
        <v>KUMI-LUWERO</v>
      </c>
      <c r="G20" s="52">
        <f>ROUNDUP(COUNTIF('PT-11'!$L$9:$L$233,Summary!F20),0)</f>
        <v>1</v>
      </c>
      <c r="H20" s="52">
        <v>260</v>
      </c>
      <c r="I20" s="53">
        <f>AVERAGEIF('PT-11'!$L$9:$L$233,Summary!F20,'PT-11'!$O$9:$O$233)</f>
        <v>5</v>
      </c>
      <c r="J20" s="52">
        <f>AVERAGEIF('PT-11'!$L$9:$L$233,Summary!F20,'PT-11'!$M$9:$M$233)</f>
        <v>14</v>
      </c>
      <c r="K20" s="54">
        <f>AVERAGEIF('PT-11'!$L$9:$L$233,Summary!F20,'PT-11'!$N$9:$N$233)</f>
        <v>25000</v>
      </c>
    </row>
    <row r="21" spans="2:11" ht="15" customHeight="1" x14ac:dyDescent="0.2">
      <c r="B21" s="50" t="s">
        <v>179</v>
      </c>
      <c r="C21" s="50" t="s">
        <v>181</v>
      </c>
      <c r="D21" s="50" t="s">
        <v>177</v>
      </c>
      <c r="E21" s="50" t="s">
        <v>179</v>
      </c>
      <c r="F21" s="51" t="str">
        <f t="shared" si="0"/>
        <v>LIRA-LUWERO</v>
      </c>
      <c r="G21" s="52">
        <f>ROUNDUP(COUNTIF('PT-11'!$L$9:$L$233,Summary!F21),0)</f>
        <v>1</v>
      </c>
      <c r="H21" s="52">
        <v>291</v>
      </c>
      <c r="I21" s="53">
        <f>AVERAGEIF('PT-11'!$L$9:$L$233,Summary!F21,'PT-11'!$O$9:$O$233)</f>
        <v>4.25</v>
      </c>
      <c r="J21" s="52">
        <f>AVERAGEIF('PT-11'!$L$9:$L$233,Summary!F21,'PT-11'!$M$9:$M$233)</f>
        <v>14</v>
      </c>
      <c r="K21" s="54">
        <f>AVERAGEIF('PT-11'!$L$9:$L$233,Summary!F21,'PT-11'!$N$9:$N$233)</f>
        <v>28000</v>
      </c>
    </row>
    <row r="22" spans="2:11" ht="15" customHeight="1" x14ac:dyDescent="0.2">
      <c r="B22" s="50" t="s">
        <v>179</v>
      </c>
      <c r="C22" s="50" t="s">
        <v>181</v>
      </c>
      <c r="D22" s="50" t="s">
        <v>193</v>
      </c>
      <c r="E22" s="50" t="s">
        <v>179</v>
      </c>
      <c r="F22" s="51" t="str">
        <f t="shared" ref="F22:F29" si="3">D22&amp;"-"&amp;E22</f>
        <v>MASAKA-LUWERO</v>
      </c>
      <c r="G22" s="52">
        <f>ROUNDUP(COUNTIF('PT-11'!$L$9:$L$233,Summary!F22),0)</f>
        <v>1</v>
      </c>
      <c r="H22" s="52">
        <v>189</v>
      </c>
      <c r="I22" s="53">
        <f>AVERAGEIF('PT-11'!$L$9:$L$233,Summary!F22,'PT-11'!$O$9:$O$233)</f>
        <v>4</v>
      </c>
      <c r="J22" s="52">
        <f>AVERAGEIF('PT-11'!$L$9:$L$233,Summary!F22,'PT-11'!$M$9:$M$233)</f>
        <v>14</v>
      </c>
      <c r="K22" s="54">
        <f>AVERAGEIF('PT-11'!$L$9:$L$233,Summary!F22,'PT-11'!$N$9:$N$233)</f>
        <v>15000</v>
      </c>
    </row>
    <row r="23" spans="2:11" ht="15" customHeight="1" x14ac:dyDescent="0.2">
      <c r="B23" s="50" t="s">
        <v>179</v>
      </c>
      <c r="C23" s="50" t="s">
        <v>181</v>
      </c>
      <c r="D23" s="50" t="s">
        <v>175</v>
      </c>
      <c r="E23" s="50" t="s">
        <v>179</v>
      </c>
      <c r="F23" s="51" t="str">
        <f t="shared" si="3"/>
        <v>MBALE-LUWERO</v>
      </c>
      <c r="G23" s="52">
        <f>ROUNDUP(COUNTIF('PT-11'!$L$9:$L$233,Summary!F23),0)</f>
        <v>1</v>
      </c>
      <c r="H23" s="52">
        <v>241</v>
      </c>
      <c r="I23" s="53">
        <f>AVERAGEIF('PT-11'!$L$9:$L$233,Summary!F23,'PT-11'!$O$9:$O$233)</f>
        <v>4.25</v>
      </c>
      <c r="J23" s="52">
        <f>AVERAGEIF('PT-11'!$L$9:$L$233,Summary!F23,'PT-11'!$M$9:$M$233)</f>
        <v>14</v>
      </c>
      <c r="K23" s="54">
        <f>AVERAGEIF('PT-11'!$L$9:$L$233,Summary!F23,'PT-11'!$N$9:$N$233)</f>
        <v>20000</v>
      </c>
    </row>
    <row r="24" spans="2:11" ht="15" customHeight="1" x14ac:dyDescent="0.2">
      <c r="B24" s="50" t="s">
        <v>179</v>
      </c>
      <c r="C24" s="50" t="s">
        <v>181</v>
      </c>
      <c r="D24" s="50" t="s">
        <v>189</v>
      </c>
      <c r="E24" s="50" t="s">
        <v>179</v>
      </c>
      <c r="F24" s="51" t="str">
        <f t="shared" ref="F24" si="4">D24&amp;"-"&amp;E24</f>
        <v>NAKASONGOLA-LUWERO</v>
      </c>
      <c r="G24" s="52">
        <f>ROUNDUP(COUNTIF('PT-11'!$L$9:$L$233,Summary!F24),0)</f>
        <v>2</v>
      </c>
      <c r="H24" s="52">
        <v>69</v>
      </c>
      <c r="I24" s="53">
        <f>AVERAGEIF('PT-11'!$L$9:$L$233,Summary!F24,'PT-11'!$O$9:$O$233)</f>
        <v>1</v>
      </c>
      <c r="J24" s="52">
        <f>AVERAGEIF('PT-11'!$L$9:$L$233,Summary!F24,'PT-11'!$M$9:$M$233)</f>
        <v>14</v>
      </c>
      <c r="K24" s="54">
        <f>AVERAGEIF('PT-11'!$L$9:$L$233,Summary!F24,'PT-11'!$N$9:$N$233)</f>
        <v>5000</v>
      </c>
    </row>
    <row r="25" spans="2:11" ht="15" customHeight="1" x14ac:dyDescent="0.2">
      <c r="B25" s="50" t="s">
        <v>179</v>
      </c>
      <c r="C25" s="50" t="s">
        <v>181</v>
      </c>
      <c r="D25" s="50" t="s">
        <v>190</v>
      </c>
      <c r="E25" s="50" t="s">
        <v>179</v>
      </c>
      <c r="F25" s="51" t="str">
        <f t="shared" si="3"/>
        <v>NEBBI-LUWERO</v>
      </c>
      <c r="G25" s="52">
        <f>ROUNDUP(COUNTIF('PT-11'!$L$9:$L$233,Summary!F25),0)</f>
        <v>1</v>
      </c>
      <c r="H25" s="52">
        <v>341</v>
      </c>
      <c r="I25" s="53">
        <f>AVERAGEIF('PT-11'!$L$9:$L$233,Summary!F25,'PT-11'!$O$9:$O$233)</f>
        <v>4.4000000000000004</v>
      </c>
      <c r="J25" s="52">
        <f>AVERAGEIF('PT-11'!$L$9:$L$233,Summary!F25,'PT-11'!$M$9:$M$233)</f>
        <v>14</v>
      </c>
      <c r="K25" s="54">
        <f>AVERAGEIF('PT-11'!$L$9:$L$233,Summary!F25,'PT-11'!$N$9:$N$233)</f>
        <v>30000</v>
      </c>
    </row>
    <row r="26" spans="2:11" ht="15" customHeight="1" x14ac:dyDescent="0.2">
      <c r="B26" s="50" t="s">
        <v>179</v>
      </c>
      <c r="C26" s="50" t="s">
        <v>181</v>
      </c>
      <c r="D26" s="50" t="s">
        <v>194</v>
      </c>
      <c r="E26" s="50" t="s">
        <v>179</v>
      </c>
      <c r="F26" s="51" t="str">
        <f t="shared" ref="F26" si="5">D26&amp;"-"&amp;E26</f>
        <v>PAIDHA-LUWERO</v>
      </c>
      <c r="G26" s="52">
        <f>ROUNDUP(COUNTIF('PT-11'!$L$9:$L$233,Summary!F26),0)</f>
        <v>1</v>
      </c>
      <c r="H26" s="52">
        <v>321</v>
      </c>
      <c r="I26" s="53">
        <f>AVERAGEIF('PT-11'!$L$9:$L$233,Summary!F26,'PT-11'!$O$9:$O$233)</f>
        <v>4.42</v>
      </c>
      <c r="J26" s="52">
        <f>AVERAGEIF('PT-11'!$L$9:$L$233,Summary!F26,'PT-11'!$M$9:$M$233)</f>
        <v>14</v>
      </c>
      <c r="K26" s="54">
        <f>AVERAGEIF('PT-11'!$L$9:$L$233,Summary!F26,'PT-11'!$N$9:$N$233)</f>
        <v>35000</v>
      </c>
    </row>
    <row r="27" spans="2:11" ht="15" customHeight="1" x14ac:dyDescent="0.2">
      <c r="B27" s="50" t="s">
        <v>179</v>
      </c>
      <c r="C27" s="50" t="s">
        <v>181</v>
      </c>
      <c r="D27" s="50" t="s">
        <v>191</v>
      </c>
      <c r="E27" s="50" t="s">
        <v>179</v>
      </c>
      <c r="F27" s="51" t="str">
        <f t="shared" si="3"/>
        <v>PAKWACH-LUWERO</v>
      </c>
      <c r="G27" s="52">
        <f>ROUNDUP(COUNTIF('PT-11'!$L$9:$L$233,Summary!F27),0)</f>
        <v>2</v>
      </c>
      <c r="H27" s="52">
        <v>321</v>
      </c>
      <c r="I27" s="53">
        <f>AVERAGEIF('PT-11'!$L$9:$L$233,Summary!F27,'PT-11'!$O$9:$O$233)</f>
        <v>4.42</v>
      </c>
      <c r="J27" s="52">
        <f>AVERAGEIF('PT-11'!$L$9:$L$233,Summary!F27,'PT-11'!$M$9:$M$233)</f>
        <v>12</v>
      </c>
      <c r="K27" s="54">
        <f>AVERAGEIF('PT-11'!$L$9:$L$233,Summary!F27,'PT-11'!$N$9:$N$233)</f>
        <v>30000</v>
      </c>
    </row>
    <row r="28" spans="2:11" ht="15" customHeight="1" x14ac:dyDescent="0.2">
      <c r="B28" s="50" t="s">
        <v>179</v>
      </c>
      <c r="C28" s="50" t="s">
        <v>181</v>
      </c>
      <c r="D28" s="50" t="s">
        <v>176</v>
      </c>
      <c r="E28" s="50" t="s">
        <v>179</v>
      </c>
      <c r="F28" s="51" t="str">
        <f t="shared" ref="F28" si="6">D28&amp;"-"&amp;E28</f>
        <v>SOROTI-LUWERO</v>
      </c>
      <c r="G28" s="52">
        <f>ROUNDUP(COUNTIF('PT-11'!$L$9:$L$233,Summary!F28),0)</f>
        <v>1</v>
      </c>
      <c r="H28" s="52">
        <v>343</v>
      </c>
      <c r="I28" s="53">
        <f>AVERAGEIF('PT-11'!$L$9:$L$233,Summary!F28,'PT-11'!$O$9:$O$233)</f>
        <v>5.4</v>
      </c>
      <c r="J28" s="52">
        <f>AVERAGEIF('PT-11'!$L$9:$L$233,Summary!F28,'PT-11'!$M$9:$M$233)</f>
        <v>14</v>
      </c>
      <c r="K28" s="54">
        <f>AVERAGEIF('PT-11'!$L$9:$L$233,Summary!F28,'PT-11'!$N$9:$N$233)</f>
        <v>30000</v>
      </c>
    </row>
    <row r="29" spans="2:11" ht="15" customHeight="1" x14ac:dyDescent="0.2">
      <c r="B29" s="50" t="s">
        <v>179</v>
      </c>
      <c r="C29" s="50" t="s">
        <v>181</v>
      </c>
      <c r="D29" s="50" t="s">
        <v>192</v>
      </c>
      <c r="E29" s="50" t="s">
        <v>179</v>
      </c>
      <c r="F29" s="51" t="str">
        <f t="shared" si="3"/>
        <v>WAKISO-LUWERO</v>
      </c>
      <c r="G29" s="52">
        <f>ROUNDUP(COUNTIF('PT-11'!$L$9:$L$233,Summary!F29),0)</f>
        <v>5</v>
      </c>
      <c r="H29" s="52">
        <v>58</v>
      </c>
      <c r="I29" s="53">
        <f>AVERAGEIF('PT-11'!$L$9:$L$233,Summary!F29,'PT-11'!$O$9:$O$233)</f>
        <v>1.5</v>
      </c>
      <c r="J29" s="52">
        <f>AVERAGEIF('PT-11'!$L$9:$L$233,Summary!F29,'PT-11'!$M$9:$M$233)</f>
        <v>14</v>
      </c>
      <c r="K29" s="54">
        <f>AVERAGEIF('PT-11'!$L$9:$L$233,Summary!F29,'PT-11'!$N$9:$N$233)</f>
        <v>5000</v>
      </c>
    </row>
    <row r="30" spans="2:11" ht="15" customHeight="1" x14ac:dyDescent="0.2">
      <c r="B30" s="50" t="s">
        <v>179</v>
      </c>
      <c r="C30" s="50" t="s">
        <v>181</v>
      </c>
      <c r="D30" s="50" t="s">
        <v>195</v>
      </c>
      <c r="E30" s="50" t="s">
        <v>179</v>
      </c>
      <c r="F30" s="51" t="str">
        <f t="shared" si="0"/>
        <v>YUMBE-LUWERO</v>
      </c>
      <c r="G30" s="52">
        <f>ROUNDUP(COUNTIF('PT-11'!$L$9:$L$233,Summary!F30),0)</f>
        <v>1</v>
      </c>
      <c r="H30" s="52">
        <v>479</v>
      </c>
      <c r="I30" s="53">
        <f>AVERAGEIF('PT-11'!$L$9:$L$233,Summary!F30,'PT-11'!$O$9:$O$233)</f>
        <v>7.5</v>
      </c>
      <c r="J30" s="52">
        <f>AVERAGEIF('PT-11'!$L$9:$L$233,Summary!F30,'PT-11'!$M$9:$M$233)</f>
        <v>14</v>
      </c>
      <c r="K30" s="54">
        <f>AVERAGEIF('PT-11'!$L$9:$L$233,Summary!F30,'PT-11'!$N$9:$N$233)</f>
        <v>40000</v>
      </c>
    </row>
    <row r="31" spans="2:11" ht="15" customHeight="1" x14ac:dyDescent="0.2"/>
    <row r="32" spans="2:11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</sheetData>
  <mergeCells count="2">
    <mergeCell ref="D4:I4"/>
    <mergeCell ref="J4:K4"/>
  </mergeCells>
  <pageMargins left="0.7" right="0.7" top="0.75" bottom="0.75" header="0.3" footer="0.3"/>
  <pageSetup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PT-11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2020-03-31T23:27:13Z</dcterms:modified>
</cp:coreProperties>
</file>