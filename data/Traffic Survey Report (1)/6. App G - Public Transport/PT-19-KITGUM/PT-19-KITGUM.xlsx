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19-KITGUM\"/>
    </mc:Choice>
  </mc:AlternateContent>
  <bookViews>
    <workbookView xWindow="-120" yWindow="-120" windowWidth="20730" windowHeight="11160" activeTab="2"/>
  </bookViews>
  <sheets>
    <sheet name="PT-19" sheetId="3" r:id="rId1"/>
    <sheet name="RSI FORM" sheetId="4" state="hidden" r:id="rId2"/>
    <sheet name="Summary" sheetId="6" r:id="rId3"/>
    <sheet name="Key" sheetId="5" r:id="rId4"/>
  </sheets>
  <definedNames>
    <definedName name="_xlnm._FilterDatabase" localSheetId="0" hidden="1">'PT-19'!$B$10:$O$110</definedName>
    <definedName name="_xlnm.Print_Area" localSheetId="2">Summary!$A$1:$L$11</definedName>
    <definedName name="Veh_Type">'PT-19'!$C$10:$C$39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6" l="1"/>
  <c r="G8" i="6"/>
  <c r="G9" i="6"/>
  <c r="G10" i="6"/>
  <c r="G6" i="6"/>
  <c r="L97" i="3" l="1"/>
  <c r="L45" i="3"/>
  <c r="L86" i="3"/>
  <c r="L88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7" i="3"/>
  <c r="L89" i="3"/>
  <c r="L90" i="3"/>
  <c r="L91" i="3"/>
  <c r="L92" i="3"/>
  <c r="L93" i="3"/>
  <c r="L94" i="3"/>
  <c r="L95" i="3"/>
  <c r="L96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0" i="3"/>
  <c r="F10" i="6"/>
  <c r="F9" i="6"/>
  <c r="K9" i="6" s="1"/>
  <c r="F8" i="6"/>
  <c r="F7" i="6"/>
  <c r="F6" i="6"/>
  <c r="K10" i="6" l="1"/>
  <c r="I7" i="6"/>
  <c r="K8" i="6"/>
  <c r="I6" i="6"/>
  <c r="J10" i="6"/>
  <c r="J9" i="6"/>
  <c r="J8" i="6"/>
  <c r="J6" i="6"/>
  <c r="I10" i="6"/>
  <c r="I9" i="6"/>
  <c r="I8" i="6"/>
  <c r="K6" i="6"/>
  <c r="K7" i="6"/>
  <c r="J7" i="6"/>
  <c r="D19" i="3"/>
  <c r="D20" i="3"/>
  <c r="D21" i="3"/>
  <c r="D22" i="3"/>
  <c r="D23" i="3"/>
  <c r="D11" i="3"/>
  <c r="D12" i="3"/>
  <c r="D13" i="3"/>
  <c r="D14" i="3"/>
  <c r="D15" i="3"/>
  <c r="D16" i="3"/>
  <c r="D17" i="3"/>
  <c r="D18" i="3"/>
  <c r="D24" i="3"/>
  <c r="D25" i="3"/>
  <c r="D26" i="3"/>
  <c r="D27" i="3"/>
  <c r="D28" i="3"/>
  <c r="D29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0" i="3"/>
</calcChain>
</file>

<file path=xl/sharedStrings.xml><?xml version="1.0" encoding="utf-8"?>
<sst xmlns="http://schemas.openxmlformats.org/spreadsheetml/2006/main" count="659" uniqueCount="95">
  <si>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</si>
  <si>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</si>
  <si>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</si>
  <si>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</si>
  <si>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</si>
  <si>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</si>
  <si>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</si>
  <si>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</si>
  <si>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</si>
  <si>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</si>
  <si>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</si>
  <si>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</si>
  <si>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</si>
  <si>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</si>
  <si>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</si>
  <si>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</si>
  <si>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</si>
  <si>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</si>
  <si>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</si>
  <si>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</si>
  <si>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</si>
  <si>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</si>
  <si>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</si>
  <si>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</si>
  <si>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</si>
  <si>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</si>
  <si>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</si>
  <si>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</si>
  <si>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</si>
  <si>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</si>
  <si>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</si>
  <si>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</si>
  <si>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</si>
  <si>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</si>
  <si>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</si>
  <si>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</si>
  <si>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</si>
  <si>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</si>
  <si>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</si>
  <si>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</si>
  <si>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</si>
  <si>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</si>
  <si>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</si>
  <si>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</si>
  <si>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</si>
  <si>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</si>
  <si>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</si>
  <si>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</si>
  <si>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</si>
  <si>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</si>
  <si>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</si>
  <si>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</si>
  <si>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</si>
  <si>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01.08.19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</si>
  <si>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</si>
  <si>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</si>
  <si>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</si>
  <si>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</si>
  <si>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</si>
  <si>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</si>
  <si>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</si>
  <si>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</si>
  <si>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</si>
  <si>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Kaabong</t>
  </si>
  <si>
    <t>OUT</t>
  </si>
  <si>
    <t>IN</t>
  </si>
  <si>
    <t>KITGUM</t>
  </si>
  <si>
    <t>LAMWO</t>
  </si>
  <si>
    <t>KAMPALA</t>
  </si>
  <si>
    <t>PALOGA</t>
  </si>
  <si>
    <t>OROM</t>
  </si>
  <si>
    <t>PARABEK</t>
  </si>
  <si>
    <t>KARENGA</t>
  </si>
  <si>
    <t>LUKANG</t>
  </si>
  <si>
    <t>PALODA</t>
  </si>
  <si>
    <t>PALABEK</t>
  </si>
  <si>
    <t>LUKUNGU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</si>
  <si>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</si>
  <si>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</si>
  <si>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</si>
  <si>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</si>
  <si>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</si>
  <si>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</si>
  <si>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</si>
  <si>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</si>
  <si>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</si>
  <si>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</si>
  <si>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</si>
  <si>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</si>
  <si>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</si>
  <si>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KAABONG</t>
  </si>
  <si>
    <t>TO KAMPALA</t>
  </si>
  <si>
    <t>Journey_Desc</t>
  </si>
  <si>
    <t>BUS OPERATIONS AT KITGUM</t>
  </si>
  <si>
    <t>FROM KITGUM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</si>
</sst>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  <numFmt numFmtId="168" formatCode="mm/dd/yy;@"/>
    <numFmt numFmtId="169" formatCode="m/d/yy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" fontId="2" fillId="2" borderId="7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wrapText="1"/>
    </xf>
    <xf numFmtId="166" fontId="6" fillId="3" borderId="2" xfId="0" applyNumberFormat="1" applyFont="1" applyFill="1" applyBorder="1" applyAlignment="1">
      <alignment horizontal="center"/>
    </xf>
    <xf numFmtId="167" fontId="6" fillId="3" borderId="2" xfId="1" applyNumberFormat="1" applyFont="1" applyFill="1" applyBorder="1" applyAlignment="1">
      <alignment horizontal="right"/>
    </xf>
    <xf numFmtId="0" fontId="10" fillId="0" borderId="0" xfId="0" applyFont="1"/>
    <xf numFmtId="20" fontId="3" fillId="3" borderId="2" xfId="0" applyNumberFormat="1" applyFont="1" applyFill="1" applyBorder="1" applyAlignment="1">
      <alignment vertical="center"/>
    </xf>
    <xf numFmtId="0" fontId="10" fillId="0" borderId="22" xfId="0" applyFont="1" applyFill="1" applyBorder="1" applyAlignment="1"/>
    <xf numFmtId="0" fontId="3" fillId="0" borderId="0" xfId="0" applyFont="1" applyBorder="1" applyAlignment="1">
      <alignment horizontal="right" vertical="center"/>
    </xf>
    <xf numFmtId="0" fontId="10" fillId="3" borderId="20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68" fontId="2" fillId="3" borderId="2" xfId="0" applyNumberFormat="1" applyFont="1" applyFill="1" applyBorder="1" applyAlignment="1">
      <alignment horizontal="center"/>
    </xf>
    <xf numFmtId="169" fontId="2" fillId="3" borderId="2" xfId="0" applyNumberFormat="1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 vertical="center" wrapText="1"/>
    </xf>
    <xf numFmtId="0" fontId="4" fillId="0" borderId="0" xfId="6" applyFont="1"/>
    <xf numFmtId="0" fontId="6" fillId="0" borderId="0" xfId="6"/>
    <xf numFmtId="0" fontId="2" fillId="4" borderId="2" xfId="6" applyFont="1" applyFill="1" applyBorder="1" applyAlignment="1">
      <alignment vertical="center" wrapText="1"/>
    </xf>
    <xf numFmtId="0" fontId="2" fillId="4" borderId="2" xfId="6" applyFont="1" applyFill="1" applyBorder="1" applyAlignment="1">
      <alignment horizontal="center" vertical="center" wrapText="1"/>
    </xf>
    <xf numFmtId="0" fontId="6" fillId="0" borderId="0" xfId="6" applyAlignment="1">
      <alignment vertical="center"/>
    </xf>
    <xf numFmtId="0" fontId="6" fillId="5" borderId="2" xfId="6" applyFill="1" applyBorder="1" applyAlignment="1">
      <alignment vertical="center"/>
    </xf>
    <xf numFmtId="1" fontId="6" fillId="5" borderId="2" xfId="6" applyNumberFormat="1" applyFill="1" applyBorder="1" applyAlignment="1">
      <alignment horizontal="center" vertical="center"/>
    </xf>
    <xf numFmtId="166" fontId="6" fillId="5" borderId="2" xfId="6" applyNumberFormat="1" applyFill="1" applyBorder="1" applyAlignment="1">
      <alignment vertical="center"/>
    </xf>
    <xf numFmtId="164" fontId="0" fillId="5" borderId="2" xfId="7" applyFont="1" applyFill="1" applyBorder="1" applyAlignment="1">
      <alignment vertical="center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right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4" borderId="7" xfId="6" applyFont="1" applyFill="1" applyBorder="1" applyAlignment="1">
      <alignment horizontal="center"/>
    </xf>
  </cellXfs>
  <cellStyles count="8">
    <cellStyle name="Comma" xfId="1" builtinId="3"/>
    <cellStyle name="Comma [0] 2" xfId="7"/>
    <cellStyle name="Comma 2" xfId="4"/>
    <cellStyle name="Normal" xfId="0" builtinId="0"/>
    <cellStyle name="Normal 2" xfId="3"/>
    <cellStyle name="Normal 3" xfId="5"/>
    <cellStyle name="Normal 4" xfId="6"/>
    <cellStyle name="Percent 2" xfId="2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2"/>
  <sheetViews>
    <sheetView view="pageBreakPreview" topLeftCell="A91" zoomScale="75" zoomScaleNormal="75" zoomScaleSheetLayoutView="75" workbookViewId="0">
      <selection activeCell="B91" sqref="B91"/>
    </sheetView>
  </sheetViews>
  <sheetFormatPr defaultRowHeight="12.75" x14ac:dyDescent="0.2"/>
  <cols>
    <col min="1" max="1" width="5.42578125" customWidth="1"/>
    <col min="2" max="2" width="16.42578125" customWidth="1"/>
    <col min="3" max="3" width="11.7109375" customWidth="1"/>
    <col min="4" max="4" width="11.7109375" style="34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21.28515625" customWidth="1"/>
    <col min="13" max="13" width="14.7109375" customWidth="1"/>
    <col min="14" max="14" width="16.42578125" customWidth="1"/>
    <col min="15" max="15" width="18.7109375" customWidth="1"/>
  </cols>
  <sheetData>
    <row r="1" spans="1:22" s="1" customFormat="1" ht="20.25" x14ac:dyDescent="0.2">
      <c r="B1" s="70" t="s">
        <v>51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6"/>
      <c r="Q1" s="6"/>
      <c r="R1" s="6"/>
      <c r="S1" s="6"/>
      <c r="T1" s="6"/>
      <c r="U1" s="6"/>
      <c r="V1" s="6"/>
    </row>
    <row r="2" spans="1:22" ht="20.25" x14ac:dyDescent="0.2">
      <c r="B2" s="70" t="s">
        <v>62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"/>
      <c r="Q2" s="7"/>
      <c r="R2" s="7"/>
      <c r="S2" s="7"/>
      <c r="T2" s="7"/>
      <c r="U2" s="7"/>
      <c r="V2" s="7"/>
    </row>
    <row r="3" spans="1:22" ht="15" x14ac:dyDescent="0.2">
      <c r="B3" s="2"/>
      <c r="C3" s="2"/>
      <c r="D3" s="33"/>
      <c r="E3" s="2"/>
      <c r="F3" s="32"/>
      <c r="G3" s="2"/>
      <c r="H3" s="2"/>
      <c r="I3" s="2"/>
      <c r="J3" s="2"/>
      <c r="K3" s="2"/>
      <c r="L3" s="2"/>
      <c r="M3" s="2"/>
      <c r="N3" s="2"/>
      <c r="O3" s="2"/>
    </row>
    <row r="4" spans="1:22" s="39" customFormat="1" ht="15" customHeight="1" x14ac:dyDescent="0.25">
      <c r="B4" s="75" t="s">
        <v>2</v>
      </c>
      <c r="C4" s="76"/>
      <c r="D4" s="40" t="s">
        <v>53</v>
      </c>
      <c r="G4" s="48" t="s">
        <v>59</v>
      </c>
      <c r="H4" s="71"/>
      <c r="I4" s="72"/>
      <c r="J4" s="42" t="s">
        <v>6</v>
      </c>
      <c r="K4" s="73"/>
      <c r="L4" s="74"/>
      <c r="M4" s="41"/>
      <c r="N4" s="42" t="s">
        <v>7</v>
      </c>
      <c r="O4" s="43" t="s">
        <v>61</v>
      </c>
      <c r="P4" s="41"/>
      <c r="R4" s="44"/>
      <c r="S4" s="45"/>
    </row>
    <row r="5" spans="1:22" s="39" customFormat="1" ht="15" customHeight="1" x14ac:dyDescent="0.25">
      <c r="B5" s="77" t="s">
        <v>58</v>
      </c>
      <c r="C5" s="78"/>
      <c r="D5" s="71"/>
      <c r="E5" s="72"/>
      <c r="F5" s="46"/>
      <c r="G5" s="48" t="s">
        <v>38</v>
      </c>
      <c r="H5" s="71"/>
      <c r="I5" s="72"/>
      <c r="K5" s="47"/>
      <c r="M5" s="47"/>
    </row>
    <row r="6" spans="1:22" ht="13.5" thickBot="1" x14ac:dyDescent="0.25"/>
    <row r="7" spans="1:22" ht="30.75" customHeight="1" x14ac:dyDescent="0.2">
      <c r="A7" s="34"/>
      <c r="B7" s="61" t="s">
        <v>34</v>
      </c>
      <c r="C7" s="63" t="s">
        <v>9</v>
      </c>
      <c r="D7" s="68" t="s">
        <v>56</v>
      </c>
      <c r="E7" s="68" t="s">
        <v>35</v>
      </c>
      <c r="F7" s="68" t="s">
        <v>55</v>
      </c>
      <c r="G7" s="65" t="s">
        <v>12</v>
      </c>
      <c r="H7" s="66"/>
      <c r="I7" s="67"/>
      <c r="J7" s="65" t="s">
        <v>17</v>
      </c>
      <c r="K7" s="66"/>
      <c r="L7" s="67"/>
      <c r="M7" s="63" t="s">
        <v>57</v>
      </c>
      <c r="N7" s="68" t="s">
        <v>60</v>
      </c>
      <c r="O7" s="68" t="s">
        <v>52</v>
      </c>
      <c r="Q7" s="19"/>
    </row>
    <row r="8" spans="1:22" ht="38.25" customHeight="1" x14ac:dyDescent="0.2">
      <c r="A8" s="34"/>
      <c r="B8" s="62"/>
      <c r="C8" s="64"/>
      <c r="D8" s="69"/>
      <c r="E8" s="69"/>
      <c r="F8" s="69"/>
      <c r="G8" s="35" t="s">
        <v>54</v>
      </c>
      <c r="H8" s="35" t="s">
        <v>36</v>
      </c>
      <c r="I8" s="35" t="s">
        <v>37</v>
      </c>
      <c r="J8" s="35" t="s">
        <v>54</v>
      </c>
      <c r="K8" s="35" t="s">
        <v>36</v>
      </c>
      <c r="L8" s="51" t="s">
        <v>92</v>
      </c>
      <c r="M8" s="64"/>
      <c r="N8" s="69"/>
      <c r="O8" s="69"/>
    </row>
    <row r="9" spans="1:22" s="19" customFormat="1" x14ac:dyDescent="0.2">
      <c r="B9" s="49">
        <v>43703</v>
      </c>
      <c r="C9" s="28"/>
      <c r="D9" s="36"/>
      <c r="E9" s="28"/>
      <c r="F9" s="28"/>
      <c r="G9" s="29"/>
      <c r="H9" s="29"/>
      <c r="I9" s="29"/>
      <c r="J9" s="29"/>
      <c r="K9" s="30"/>
      <c r="L9" s="30"/>
      <c r="M9" s="31"/>
      <c r="N9" s="38"/>
      <c r="O9" s="37"/>
    </row>
    <row r="10" spans="1:22" s="19" customFormat="1" x14ac:dyDescent="0.2">
      <c r="B10" s="27">
        <v>0.375</v>
      </c>
      <c r="C10" s="28">
        <v>6</v>
      </c>
      <c r="D10" s="36" t="str">
        <f>IF(C10="", "",VLOOKUP(C10,Key!$A$5:$B$7,2,FALSE))</f>
        <v>Large Bus</v>
      </c>
      <c r="E10" s="28"/>
      <c r="F10" s="28" t="s">
        <v>64</v>
      </c>
      <c r="G10" s="29" t="s">
        <v>66</v>
      </c>
      <c r="H10" s="29" t="s">
        <v>66</v>
      </c>
      <c r="I10" s="29"/>
      <c r="J10" s="29" t="s">
        <v>68</v>
      </c>
      <c r="K10" s="30" t="s">
        <v>68</v>
      </c>
      <c r="L10" s="30" t="str">
        <f t="shared" ref="L10:L41" si="0">H10&amp;"-"&amp;K10</f>
        <v>KITGUM-KAMPALA</v>
      </c>
      <c r="M10" s="31">
        <v>50</v>
      </c>
      <c r="N10" s="38">
        <v>30000</v>
      </c>
      <c r="O10" s="37">
        <v>6.5</v>
      </c>
    </row>
    <row r="11" spans="1:22" s="19" customFormat="1" x14ac:dyDescent="0.2">
      <c r="B11" s="27">
        <v>0.41666666666666669</v>
      </c>
      <c r="C11" s="28">
        <v>6</v>
      </c>
      <c r="D11" s="36" t="str">
        <f>IF(C11="", "",VLOOKUP(C11,Key!$A$5:$B$7,2,FALSE))</f>
        <v>Large Bus</v>
      </c>
      <c r="E11" s="28"/>
      <c r="F11" s="28" t="s">
        <v>64</v>
      </c>
      <c r="G11" s="29" t="s">
        <v>66</v>
      </c>
      <c r="H11" s="29" t="s">
        <v>66</v>
      </c>
      <c r="I11" s="29"/>
      <c r="J11" s="29" t="s">
        <v>68</v>
      </c>
      <c r="K11" s="30" t="s">
        <v>68</v>
      </c>
      <c r="L11" s="30" t="str">
        <f t="shared" si="0"/>
        <v>KITGUM-KAMPALA</v>
      </c>
      <c r="M11" s="31">
        <v>46</v>
      </c>
      <c r="N11" s="38">
        <v>30000</v>
      </c>
      <c r="O11" s="37">
        <v>6.5</v>
      </c>
    </row>
    <row r="12" spans="1:22" s="19" customFormat="1" x14ac:dyDescent="0.2">
      <c r="B12" s="27">
        <v>0.4375</v>
      </c>
      <c r="C12" s="28">
        <v>6</v>
      </c>
      <c r="D12" s="36" t="str">
        <f>IF(C12="", "",VLOOKUP(C12,Key!$A$5:$B$7,2,FALSE))</f>
        <v>Large Bus</v>
      </c>
      <c r="E12" s="28"/>
      <c r="F12" s="28" t="s">
        <v>64</v>
      </c>
      <c r="G12" s="29" t="s">
        <v>66</v>
      </c>
      <c r="H12" s="29" t="s">
        <v>66</v>
      </c>
      <c r="I12" s="29"/>
      <c r="J12" s="29" t="s">
        <v>68</v>
      </c>
      <c r="K12" s="30" t="s">
        <v>68</v>
      </c>
      <c r="L12" s="30" t="str">
        <f t="shared" si="0"/>
        <v>KITGUM-KAMPALA</v>
      </c>
      <c r="M12" s="31">
        <v>46</v>
      </c>
      <c r="N12" s="38">
        <v>30000</v>
      </c>
      <c r="O12" s="37">
        <v>6.5</v>
      </c>
    </row>
    <row r="13" spans="1:22" s="19" customFormat="1" x14ac:dyDescent="0.2">
      <c r="B13" s="27">
        <v>0.47916666666666669</v>
      </c>
      <c r="C13" s="28">
        <v>6</v>
      </c>
      <c r="D13" s="36" t="str">
        <f>IF(C13="", "",VLOOKUP(C13,Key!$A$5:$B$7,2,FALSE))</f>
        <v>Large Bus</v>
      </c>
      <c r="E13" s="28"/>
      <c r="F13" s="28" t="s">
        <v>64</v>
      </c>
      <c r="G13" s="29" t="s">
        <v>66</v>
      </c>
      <c r="H13" s="29" t="s">
        <v>66</v>
      </c>
      <c r="I13" s="29"/>
      <c r="J13" s="29" t="s">
        <v>68</v>
      </c>
      <c r="K13" s="30" t="s">
        <v>68</v>
      </c>
      <c r="L13" s="30" t="str">
        <f t="shared" si="0"/>
        <v>KITGUM-KAMPALA</v>
      </c>
      <c r="M13" s="31">
        <v>37</v>
      </c>
      <c r="N13" s="38">
        <v>30000</v>
      </c>
      <c r="O13" s="37">
        <v>6.5</v>
      </c>
    </row>
    <row r="14" spans="1:22" s="19" customFormat="1" x14ac:dyDescent="0.2">
      <c r="B14" s="27">
        <v>0.50208333333333333</v>
      </c>
      <c r="C14" s="28">
        <v>6</v>
      </c>
      <c r="D14" s="36" t="str">
        <f>IF(C14="", "",VLOOKUP(C14,Key!$A$5:$B$7,2,FALSE))</f>
        <v>Large Bus</v>
      </c>
      <c r="E14" s="28"/>
      <c r="F14" s="28" t="s">
        <v>64</v>
      </c>
      <c r="G14" s="29" t="s">
        <v>66</v>
      </c>
      <c r="H14" s="29" t="s">
        <v>66</v>
      </c>
      <c r="I14" s="29"/>
      <c r="J14" s="29" t="s">
        <v>68</v>
      </c>
      <c r="K14" s="30" t="s">
        <v>68</v>
      </c>
      <c r="L14" s="30" t="str">
        <f t="shared" si="0"/>
        <v>KITGUM-KAMPALA</v>
      </c>
      <c r="M14" s="31">
        <v>45</v>
      </c>
      <c r="N14" s="38">
        <v>30000</v>
      </c>
      <c r="O14" s="37">
        <v>6.5</v>
      </c>
    </row>
    <row r="15" spans="1:22" s="19" customFormat="1" x14ac:dyDescent="0.2">
      <c r="B15" s="27">
        <v>0.54236111111111118</v>
      </c>
      <c r="C15" s="28">
        <v>6</v>
      </c>
      <c r="D15" s="36" t="str">
        <f>IF(C15="", "",VLOOKUP(C15,Key!$A$5:$B$7,2,FALSE))</f>
        <v>Large Bus</v>
      </c>
      <c r="E15" s="28"/>
      <c r="F15" s="28" t="s">
        <v>64</v>
      </c>
      <c r="G15" s="29" t="s">
        <v>67</v>
      </c>
      <c r="H15" s="29" t="s">
        <v>67</v>
      </c>
      <c r="I15" s="29"/>
      <c r="J15" s="29" t="s">
        <v>68</v>
      </c>
      <c r="K15" s="30" t="s">
        <v>68</v>
      </c>
      <c r="L15" s="30" t="str">
        <f t="shared" si="0"/>
        <v>LAMWO-KAMPALA</v>
      </c>
      <c r="M15" s="31">
        <v>40</v>
      </c>
      <c r="N15" s="38">
        <v>35000</v>
      </c>
      <c r="O15" s="37">
        <v>7.5</v>
      </c>
    </row>
    <row r="16" spans="1:22" s="19" customFormat="1" x14ac:dyDescent="0.2">
      <c r="B16" s="27">
        <v>0.55555555555555558</v>
      </c>
      <c r="C16" s="28">
        <v>6</v>
      </c>
      <c r="D16" s="36" t="str">
        <f>IF(C16="", "",VLOOKUP(C16,Key!$A$5:$B$7,2,FALSE))</f>
        <v>Large Bus</v>
      </c>
      <c r="E16" s="28"/>
      <c r="F16" s="28" t="s">
        <v>64</v>
      </c>
      <c r="G16" s="29" t="s">
        <v>66</v>
      </c>
      <c r="H16" s="29" t="s">
        <v>66</v>
      </c>
      <c r="I16" s="29"/>
      <c r="J16" s="29" t="s">
        <v>68</v>
      </c>
      <c r="K16" s="30" t="s">
        <v>68</v>
      </c>
      <c r="L16" s="30" t="str">
        <f t="shared" si="0"/>
        <v>KITGUM-KAMPALA</v>
      </c>
      <c r="M16" s="31">
        <v>49</v>
      </c>
      <c r="N16" s="38">
        <v>30000</v>
      </c>
      <c r="O16" s="37">
        <v>6.5</v>
      </c>
    </row>
    <row r="17" spans="2:15" s="19" customFormat="1" x14ac:dyDescent="0.2">
      <c r="B17" s="27">
        <v>0.5805555555555556</v>
      </c>
      <c r="C17" s="28">
        <v>6</v>
      </c>
      <c r="D17" s="36" t="str">
        <f>IF(C17="", "",VLOOKUP(C17,Key!$A$5:$B$7,2,FALSE))</f>
        <v>Large Bus</v>
      </c>
      <c r="E17" s="28"/>
      <c r="F17" s="28" t="s">
        <v>65</v>
      </c>
      <c r="G17" s="29" t="s">
        <v>68</v>
      </c>
      <c r="H17" s="29" t="s">
        <v>68</v>
      </c>
      <c r="I17" s="29"/>
      <c r="J17" s="29" t="s">
        <v>70</v>
      </c>
      <c r="K17" s="30" t="s">
        <v>66</v>
      </c>
      <c r="L17" s="30" t="str">
        <f t="shared" si="0"/>
        <v>KAMPALA-KITGUM</v>
      </c>
      <c r="M17" s="31">
        <v>30</v>
      </c>
      <c r="N17" s="38">
        <v>30000</v>
      </c>
      <c r="O17" s="37">
        <v>6.5</v>
      </c>
    </row>
    <row r="18" spans="2:15" s="19" customFormat="1" x14ac:dyDescent="0.2">
      <c r="B18" s="27">
        <v>0.60555555555555551</v>
      </c>
      <c r="C18" s="28">
        <v>6</v>
      </c>
      <c r="D18" s="36" t="str">
        <f>IF(C18="", "",VLOOKUP(C18,Key!$A$5:$B$7,2,FALSE))</f>
        <v>Large Bus</v>
      </c>
      <c r="E18" s="28"/>
      <c r="F18" s="28" t="s">
        <v>65</v>
      </c>
      <c r="G18" s="29" t="s">
        <v>68</v>
      </c>
      <c r="H18" s="29" t="s">
        <v>68</v>
      </c>
      <c r="I18" s="29"/>
      <c r="J18" s="29" t="s">
        <v>70</v>
      </c>
      <c r="K18" s="30" t="s">
        <v>66</v>
      </c>
      <c r="L18" s="30" t="str">
        <f t="shared" si="0"/>
        <v>KAMPALA-KITGUM</v>
      </c>
      <c r="M18" s="31">
        <v>30</v>
      </c>
      <c r="N18" s="38">
        <v>30000</v>
      </c>
      <c r="O18" s="37">
        <v>6.5</v>
      </c>
    </row>
    <row r="19" spans="2:15" s="19" customFormat="1" x14ac:dyDescent="0.2">
      <c r="B19" s="27">
        <v>0.63680555555555551</v>
      </c>
      <c r="C19" s="28">
        <v>6</v>
      </c>
      <c r="D19" s="36" t="str">
        <f>IF(C19="", "",VLOOKUP(C19,Key!$A$5:$B$7,2,FALSE))</f>
        <v>Large Bus</v>
      </c>
      <c r="E19" s="28"/>
      <c r="F19" s="28" t="s">
        <v>64</v>
      </c>
      <c r="G19" s="29" t="s">
        <v>66</v>
      </c>
      <c r="H19" s="29" t="s">
        <v>66</v>
      </c>
      <c r="I19" s="29"/>
      <c r="J19" s="29" t="s">
        <v>68</v>
      </c>
      <c r="K19" s="30" t="s">
        <v>68</v>
      </c>
      <c r="L19" s="30" t="str">
        <f t="shared" si="0"/>
        <v>KITGUM-KAMPALA</v>
      </c>
      <c r="M19" s="31">
        <v>15</v>
      </c>
      <c r="N19" s="38">
        <v>30000</v>
      </c>
      <c r="O19" s="37">
        <v>6.5</v>
      </c>
    </row>
    <row r="20" spans="2:15" s="19" customFormat="1" x14ac:dyDescent="0.2">
      <c r="B20" s="27">
        <v>0.66111111111111109</v>
      </c>
      <c r="C20" s="28">
        <v>6</v>
      </c>
      <c r="D20" s="36" t="str">
        <f>IF(C20="", "",VLOOKUP(C20,Key!$A$5:$B$7,2,FALSE))</f>
        <v>Large Bus</v>
      </c>
      <c r="E20" s="28"/>
      <c r="F20" s="28" t="s">
        <v>65</v>
      </c>
      <c r="G20" s="29" t="s">
        <v>68</v>
      </c>
      <c r="H20" s="29" t="s">
        <v>68</v>
      </c>
      <c r="I20" s="29"/>
      <c r="J20" s="29" t="s">
        <v>66</v>
      </c>
      <c r="K20" s="30" t="s">
        <v>66</v>
      </c>
      <c r="L20" s="30" t="str">
        <f t="shared" si="0"/>
        <v>KAMPALA-KITGUM</v>
      </c>
      <c r="M20" s="31">
        <v>30</v>
      </c>
      <c r="N20" s="38">
        <v>30000</v>
      </c>
      <c r="O20" s="37">
        <v>6.5</v>
      </c>
    </row>
    <row r="21" spans="2:15" s="19" customFormat="1" x14ac:dyDescent="0.2">
      <c r="B21" s="27">
        <v>0.71388888888888891</v>
      </c>
      <c r="C21" s="28">
        <v>6</v>
      </c>
      <c r="D21" s="36" t="str">
        <f>IF(C21="", "",VLOOKUP(C21,Key!$A$5:$B$7,2,FALSE))</f>
        <v>Large Bus</v>
      </c>
      <c r="E21" s="28"/>
      <c r="F21" s="28" t="s">
        <v>65</v>
      </c>
      <c r="G21" s="29" t="s">
        <v>68</v>
      </c>
      <c r="H21" s="29" t="s">
        <v>68</v>
      </c>
      <c r="I21" s="29"/>
      <c r="J21" s="29" t="s">
        <v>66</v>
      </c>
      <c r="K21" s="30" t="s">
        <v>66</v>
      </c>
      <c r="L21" s="30" t="str">
        <f t="shared" si="0"/>
        <v>KAMPALA-KITGUM</v>
      </c>
      <c r="M21" s="31">
        <v>30</v>
      </c>
      <c r="N21" s="38">
        <v>30000</v>
      </c>
      <c r="O21" s="37">
        <v>6.5</v>
      </c>
    </row>
    <row r="22" spans="2:15" s="19" customFormat="1" x14ac:dyDescent="0.2">
      <c r="B22" s="27">
        <v>0.72222222222222221</v>
      </c>
      <c r="C22" s="28">
        <v>6</v>
      </c>
      <c r="D22" s="36" t="str">
        <f>IF(C22="", "",VLOOKUP(C22,Key!$A$5:$B$7,2,FALSE))</f>
        <v>Large Bus</v>
      </c>
      <c r="E22" s="28"/>
      <c r="F22" s="28" t="s">
        <v>64</v>
      </c>
      <c r="G22" s="29" t="s">
        <v>66</v>
      </c>
      <c r="H22" s="29" t="s">
        <v>66</v>
      </c>
      <c r="I22" s="29"/>
      <c r="J22" s="29" t="s">
        <v>68</v>
      </c>
      <c r="K22" s="30" t="s">
        <v>68</v>
      </c>
      <c r="L22" s="30" t="str">
        <f t="shared" si="0"/>
        <v>KITGUM-KAMPALA</v>
      </c>
      <c r="M22" s="31">
        <v>41</v>
      </c>
      <c r="N22" s="38">
        <v>30000</v>
      </c>
      <c r="O22" s="37">
        <v>6.5</v>
      </c>
    </row>
    <row r="23" spans="2:15" s="19" customFormat="1" x14ac:dyDescent="0.2">
      <c r="B23" s="27">
        <v>0.7416666666666667</v>
      </c>
      <c r="C23" s="28">
        <v>6</v>
      </c>
      <c r="D23" s="36" t="str">
        <f>IF(C23="", "",VLOOKUP(C23,Key!$A$5:$B$7,2,FALSE))</f>
        <v>Large Bus</v>
      </c>
      <c r="E23" s="28"/>
      <c r="F23" s="28" t="s">
        <v>64</v>
      </c>
      <c r="G23" s="29" t="s">
        <v>67</v>
      </c>
      <c r="H23" s="29" t="s">
        <v>67</v>
      </c>
      <c r="I23" s="29"/>
      <c r="J23" s="29" t="s">
        <v>68</v>
      </c>
      <c r="K23" s="30" t="s">
        <v>68</v>
      </c>
      <c r="L23" s="30" t="str">
        <f t="shared" si="0"/>
        <v>LAMWO-KAMPALA</v>
      </c>
      <c r="M23" s="31">
        <v>22</v>
      </c>
      <c r="N23" s="38">
        <v>35000</v>
      </c>
      <c r="O23" s="37">
        <v>7.5</v>
      </c>
    </row>
    <row r="24" spans="2:15" s="19" customFormat="1" x14ac:dyDescent="0.2">
      <c r="B24" s="27">
        <v>0.74652777777777779</v>
      </c>
      <c r="C24" s="28">
        <v>6</v>
      </c>
      <c r="D24" s="36" t="str">
        <f>IF(C24="", "",VLOOKUP(C24,Key!$A$5:$B$7,2,FALSE))</f>
        <v>Large Bus</v>
      </c>
      <c r="E24" s="28"/>
      <c r="F24" s="28" t="s">
        <v>64</v>
      </c>
      <c r="G24" s="29" t="s">
        <v>68</v>
      </c>
      <c r="H24" s="29" t="s">
        <v>68</v>
      </c>
      <c r="I24" s="29"/>
      <c r="J24" s="29" t="s">
        <v>66</v>
      </c>
      <c r="K24" s="30" t="s">
        <v>66</v>
      </c>
      <c r="L24" s="30" t="str">
        <f t="shared" si="0"/>
        <v>KAMPALA-KITGUM</v>
      </c>
      <c r="M24" s="31">
        <v>40</v>
      </c>
      <c r="N24" s="38">
        <v>30000</v>
      </c>
      <c r="O24" s="37">
        <v>6.5</v>
      </c>
    </row>
    <row r="25" spans="2:15" s="19" customFormat="1" x14ac:dyDescent="0.2">
      <c r="B25" s="27">
        <v>0.75138888888888899</v>
      </c>
      <c r="C25" s="28">
        <v>6</v>
      </c>
      <c r="D25" s="36" t="str">
        <f>IF(C25="", "",VLOOKUP(C25,Key!$A$5:$B$7,2,FALSE))</f>
        <v>Large Bus</v>
      </c>
      <c r="E25" s="28"/>
      <c r="F25" s="28" t="s">
        <v>64</v>
      </c>
      <c r="G25" s="29" t="s">
        <v>66</v>
      </c>
      <c r="H25" s="29" t="s">
        <v>66</v>
      </c>
      <c r="I25" s="29"/>
      <c r="J25" s="29" t="s">
        <v>68</v>
      </c>
      <c r="K25" s="30" t="s">
        <v>68</v>
      </c>
      <c r="L25" s="30" t="str">
        <f t="shared" si="0"/>
        <v>KITGUM-KAMPALA</v>
      </c>
      <c r="M25" s="31">
        <v>41</v>
      </c>
      <c r="N25" s="38">
        <v>30000</v>
      </c>
      <c r="O25" s="37">
        <v>6.5</v>
      </c>
    </row>
    <row r="26" spans="2:15" s="19" customFormat="1" x14ac:dyDescent="0.2">
      <c r="B26" s="27">
        <v>0.76041666666666663</v>
      </c>
      <c r="C26" s="28">
        <v>6</v>
      </c>
      <c r="D26" s="36" t="str">
        <f>IF(C26="", "",VLOOKUP(C26,Key!$A$5:$B$7,2,FALSE))</f>
        <v>Large Bus</v>
      </c>
      <c r="E26" s="28"/>
      <c r="F26" s="28" t="s">
        <v>64</v>
      </c>
      <c r="G26" s="29" t="s">
        <v>67</v>
      </c>
      <c r="H26" s="29" t="s">
        <v>67</v>
      </c>
      <c r="I26" s="29"/>
      <c r="J26" s="29" t="s">
        <v>68</v>
      </c>
      <c r="K26" s="30" t="s">
        <v>68</v>
      </c>
      <c r="L26" s="30" t="str">
        <f t="shared" si="0"/>
        <v>LAMWO-KAMPALA</v>
      </c>
      <c r="M26" s="31">
        <v>22</v>
      </c>
      <c r="N26" s="38">
        <v>35000</v>
      </c>
      <c r="O26" s="37">
        <v>7.5</v>
      </c>
    </row>
    <row r="27" spans="2:15" s="19" customFormat="1" x14ac:dyDescent="0.2">
      <c r="B27" s="27">
        <v>0.80555555555555547</v>
      </c>
      <c r="C27" s="28">
        <v>6</v>
      </c>
      <c r="D27" s="36" t="str">
        <f>IF(C27="", "",VLOOKUP(C27,Key!$A$5:$B$7,2,FALSE))</f>
        <v>Large Bus</v>
      </c>
      <c r="E27" s="28"/>
      <c r="F27" s="28" t="s">
        <v>64</v>
      </c>
      <c r="G27" s="29" t="s">
        <v>66</v>
      </c>
      <c r="H27" s="29" t="s">
        <v>66</v>
      </c>
      <c r="I27" s="29"/>
      <c r="J27" s="29" t="s">
        <v>68</v>
      </c>
      <c r="K27" s="30" t="s">
        <v>68</v>
      </c>
      <c r="L27" s="30" t="str">
        <f t="shared" si="0"/>
        <v>KITGUM-KAMPALA</v>
      </c>
      <c r="M27" s="31">
        <v>44</v>
      </c>
      <c r="N27" s="38">
        <v>30000</v>
      </c>
      <c r="O27" s="37">
        <v>6.5</v>
      </c>
    </row>
    <row r="28" spans="2:15" s="19" customFormat="1" x14ac:dyDescent="0.2">
      <c r="B28" s="27">
        <v>0.83333333333333337</v>
      </c>
      <c r="C28" s="28">
        <v>6</v>
      </c>
      <c r="D28" s="36" t="str">
        <f>IF(C28="", "",VLOOKUP(C28,Key!$A$5:$B$7,2,FALSE))</f>
        <v>Large Bus</v>
      </c>
      <c r="E28" s="28"/>
      <c r="F28" s="28" t="s">
        <v>65</v>
      </c>
      <c r="G28" s="29" t="s">
        <v>66</v>
      </c>
      <c r="H28" s="29" t="s">
        <v>66</v>
      </c>
      <c r="I28" s="29"/>
      <c r="J28" s="29" t="s">
        <v>68</v>
      </c>
      <c r="K28" s="30" t="s">
        <v>68</v>
      </c>
      <c r="L28" s="30" t="str">
        <f t="shared" si="0"/>
        <v>KITGUM-KAMPALA</v>
      </c>
      <c r="M28" s="31">
        <v>51</v>
      </c>
      <c r="N28" s="38">
        <v>30000</v>
      </c>
      <c r="O28" s="37">
        <v>6.5</v>
      </c>
    </row>
    <row r="29" spans="2:15" s="19" customFormat="1" x14ac:dyDescent="0.2">
      <c r="B29" s="27">
        <v>0.91666666666666663</v>
      </c>
      <c r="C29" s="28">
        <v>6</v>
      </c>
      <c r="D29" s="36" t="str">
        <f>IF(C29="", "",VLOOKUP(C29,Key!$A$5:$B$7,2,FALSE))</f>
        <v>Large Bus</v>
      </c>
      <c r="E29" s="28"/>
      <c r="F29" s="28" t="s">
        <v>64</v>
      </c>
      <c r="G29" s="29" t="s">
        <v>66</v>
      </c>
      <c r="H29" s="29" t="s">
        <v>66</v>
      </c>
      <c r="I29" s="29"/>
      <c r="J29" s="29" t="s">
        <v>68</v>
      </c>
      <c r="K29" s="30" t="s">
        <v>68</v>
      </c>
      <c r="L29" s="30" t="str">
        <f t="shared" si="0"/>
        <v>KITGUM-KAMPALA</v>
      </c>
      <c r="M29" s="31">
        <v>51</v>
      </c>
      <c r="N29" s="38">
        <v>30000</v>
      </c>
      <c r="O29" s="37">
        <v>6.5</v>
      </c>
    </row>
    <row r="30" spans="2:15" s="19" customFormat="1" x14ac:dyDescent="0.2">
      <c r="B30" s="49">
        <v>43704</v>
      </c>
      <c r="C30" s="28"/>
      <c r="D30" s="36"/>
      <c r="E30" s="28"/>
      <c r="F30" s="28"/>
      <c r="G30" s="29"/>
      <c r="H30" s="29"/>
      <c r="I30" s="29"/>
      <c r="J30" s="29"/>
      <c r="K30" s="30"/>
      <c r="L30" s="30" t="str">
        <f t="shared" si="0"/>
        <v>-</v>
      </c>
      <c r="M30" s="31"/>
      <c r="N30" s="38"/>
      <c r="O30" s="37"/>
    </row>
    <row r="31" spans="2:15" s="19" customFormat="1" x14ac:dyDescent="0.2">
      <c r="B31" s="27">
        <v>0.29166666666666669</v>
      </c>
      <c r="C31" s="28">
        <v>6</v>
      </c>
      <c r="D31" s="36" t="str">
        <f>IF(C31="", "",VLOOKUP(C31,Key!$A$5:$B$7,2,FALSE))</f>
        <v>Large Bus</v>
      </c>
      <c r="E31" s="28"/>
      <c r="F31" s="28" t="s">
        <v>64</v>
      </c>
      <c r="G31" s="29" t="s">
        <v>66</v>
      </c>
      <c r="H31" s="29" t="s">
        <v>66</v>
      </c>
      <c r="I31" s="29"/>
      <c r="J31" s="29" t="s">
        <v>68</v>
      </c>
      <c r="K31" s="30" t="s">
        <v>68</v>
      </c>
      <c r="L31" s="30" t="str">
        <f t="shared" si="0"/>
        <v>KITGUM-KAMPALA</v>
      </c>
      <c r="M31" s="31">
        <v>50</v>
      </c>
      <c r="N31" s="38">
        <v>30000</v>
      </c>
      <c r="O31" s="37">
        <v>6.5</v>
      </c>
    </row>
    <row r="32" spans="2:15" s="19" customFormat="1" x14ac:dyDescent="0.2">
      <c r="B32" s="27">
        <v>0.34722222222222227</v>
      </c>
      <c r="C32" s="28">
        <v>6</v>
      </c>
      <c r="D32" s="36" t="str">
        <f>IF(C32="", "",VLOOKUP(C32,Key!$A$5:$B$7,2,FALSE))</f>
        <v>Large Bus</v>
      </c>
      <c r="E32" s="28"/>
      <c r="F32" s="28" t="s">
        <v>65</v>
      </c>
      <c r="G32" s="29" t="s">
        <v>68</v>
      </c>
      <c r="H32" s="29" t="s">
        <v>68</v>
      </c>
      <c r="I32" s="29"/>
      <c r="J32" s="29" t="s">
        <v>66</v>
      </c>
      <c r="K32" s="30" t="s">
        <v>66</v>
      </c>
      <c r="L32" s="30" t="str">
        <f t="shared" si="0"/>
        <v>KAMPALA-KITGUM</v>
      </c>
      <c r="M32" s="31">
        <v>40</v>
      </c>
      <c r="N32" s="38">
        <v>30000</v>
      </c>
      <c r="O32" s="37">
        <v>6.5</v>
      </c>
    </row>
    <row r="33" spans="2:15" s="19" customFormat="1" x14ac:dyDescent="0.2">
      <c r="B33" s="27">
        <v>0.37083333333333335</v>
      </c>
      <c r="C33" s="28">
        <v>6</v>
      </c>
      <c r="D33" s="36" t="str">
        <f>IF(C33="", "",VLOOKUP(C33,Key!$A$5:$B$7,2,FALSE))</f>
        <v>Large Bus</v>
      </c>
      <c r="E33" s="28"/>
      <c r="F33" s="28" t="s">
        <v>64</v>
      </c>
      <c r="G33" s="29" t="s">
        <v>66</v>
      </c>
      <c r="H33" s="29" t="s">
        <v>66</v>
      </c>
      <c r="I33" s="29"/>
      <c r="J33" s="29" t="s">
        <v>68</v>
      </c>
      <c r="K33" s="30" t="s">
        <v>68</v>
      </c>
      <c r="L33" s="30" t="str">
        <f t="shared" si="0"/>
        <v>KITGUM-KAMPALA</v>
      </c>
      <c r="M33" s="31">
        <v>46</v>
      </c>
      <c r="N33" s="38">
        <v>30000</v>
      </c>
      <c r="O33" s="37">
        <v>6.5</v>
      </c>
    </row>
    <row r="34" spans="2:15" s="19" customFormat="1" x14ac:dyDescent="0.2">
      <c r="B34" s="27">
        <v>0.38194444444444442</v>
      </c>
      <c r="C34" s="28">
        <v>6</v>
      </c>
      <c r="D34" s="36" t="str">
        <f>IF(C34="", "",VLOOKUP(C34,Key!$A$5:$B$7,2,FALSE))</f>
        <v>Large Bus</v>
      </c>
      <c r="E34" s="28"/>
      <c r="F34" s="28" t="s">
        <v>64</v>
      </c>
      <c r="G34" s="29" t="s">
        <v>66</v>
      </c>
      <c r="H34" s="29" t="s">
        <v>66</v>
      </c>
      <c r="I34" s="29"/>
      <c r="J34" s="29" t="s">
        <v>68</v>
      </c>
      <c r="K34" s="30" t="s">
        <v>68</v>
      </c>
      <c r="L34" s="30" t="str">
        <f t="shared" si="0"/>
        <v>KITGUM-KAMPALA</v>
      </c>
      <c r="M34" s="31">
        <v>35</v>
      </c>
      <c r="N34" s="38">
        <v>30000</v>
      </c>
      <c r="O34" s="37">
        <v>6.5</v>
      </c>
    </row>
    <row r="35" spans="2:15" s="19" customFormat="1" x14ac:dyDescent="0.2">
      <c r="B35" s="27">
        <v>0.40625</v>
      </c>
      <c r="C35" s="28">
        <v>6</v>
      </c>
      <c r="D35" s="36" t="str">
        <f>IF(C35="", "",VLOOKUP(C35,Key!$A$5:$B$7,2,FALSE))</f>
        <v>Large Bus</v>
      </c>
      <c r="E35" s="28"/>
      <c r="F35" s="28" t="s">
        <v>64</v>
      </c>
      <c r="G35" s="29" t="s">
        <v>66</v>
      </c>
      <c r="H35" s="29" t="s">
        <v>66</v>
      </c>
      <c r="I35" s="29"/>
      <c r="J35" s="29" t="s">
        <v>68</v>
      </c>
      <c r="K35" s="30" t="s">
        <v>68</v>
      </c>
      <c r="L35" s="30" t="str">
        <f t="shared" si="0"/>
        <v>KITGUM-KAMPALA</v>
      </c>
      <c r="M35" s="31">
        <v>45</v>
      </c>
      <c r="N35" s="38">
        <v>30000</v>
      </c>
      <c r="O35" s="37">
        <v>6.5</v>
      </c>
    </row>
    <row r="36" spans="2:15" s="19" customFormat="1" x14ac:dyDescent="0.2">
      <c r="B36" s="27">
        <v>0.4513888888888889</v>
      </c>
      <c r="C36" s="28">
        <v>6</v>
      </c>
      <c r="D36" s="36" t="str">
        <f>IF(C36="", "",VLOOKUP(C36,Key!$A$5:$B$7,2,FALSE))</f>
        <v>Large Bus</v>
      </c>
      <c r="E36" s="28"/>
      <c r="F36" s="28" t="s">
        <v>64</v>
      </c>
      <c r="G36" s="29" t="s">
        <v>66</v>
      </c>
      <c r="H36" s="29" t="s">
        <v>66</v>
      </c>
      <c r="I36" s="29"/>
      <c r="J36" s="29" t="s">
        <v>68</v>
      </c>
      <c r="K36" s="30" t="s">
        <v>68</v>
      </c>
      <c r="L36" s="30" t="str">
        <f t="shared" si="0"/>
        <v>KITGUM-KAMPALA</v>
      </c>
      <c r="M36" s="31">
        <v>47</v>
      </c>
      <c r="N36" s="38">
        <v>30000</v>
      </c>
      <c r="O36" s="37">
        <v>6.5</v>
      </c>
    </row>
    <row r="37" spans="2:15" s="19" customFormat="1" x14ac:dyDescent="0.2">
      <c r="B37" s="27">
        <v>0.45833333333333331</v>
      </c>
      <c r="C37" s="28">
        <v>6</v>
      </c>
      <c r="D37" s="36" t="str">
        <f>IF(C37="", "",VLOOKUP(C37,Key!$A$5:$B$7,2,FALSE))</f>
        <v>Large Bus</v>
      </c>
      <c r="E37" s="28"/>
      <c r="F37" s="28" t="s">
        <v>64</v>
      </c>
      <c r="G37" s="29" t="s">
        <v>66</v>
      </c>
      <c r="H37" s="29" t="s">
        <v>66</v>
      </c>
      <c r="I37" s="29"/>
      <c r="J37" s="29" t="s">
        <v>68</v>
      </c>
      <c r="K37" s="30" t="s">
        <v>68</v>
      </c>
      <c r="L37" s="30" t="str">
        <f t="shared" si="0"/>
        <v>KITGUM-KAMPALA</v>
      </c>
      <c r="M37" s="31">
        <v>40</v>
      </c>
      <c r="N37" s="38">
        <v>30000</v>
      </c>
      <c r="O37" s="37">
        <v>6.5</v>
      </c>
    </row>
    <row r="38" spans="2:15" s="19" customFormat="1" x14ac:dyDescent="0.2">
      <c r="B38" s="27">
        <v>0.47986111111111113</v>
      </c>
      <c r="C38" s="28">
        <v>6</v>
      </c>
      <c r="D38" s="36" t="str">
        <f>IF(C38="", "",VLOOKUP(C38,Key!$A$5:$B$7,2,FALSE))</f>
        <v>Large Bus</v>
      </c>
      <c r="E38" s="28"/>
      <c r="F38" s="28" t="s">
        <v>64</v>
      </c>
      <c r="G38" s="29" t="s">
        <v>66</v>
      </c>
      <c r="H38" s="29" t="s">
        <v>66</v>
      </c>
      <c r="I38" s="29"/>
      <c r="J38" s="29" t="s">
        <v>68</v>
      </c>
      <c r="K38" s="30" t="s">
        <v>68</v>
      </c>
      <c r="L38" s="30" t="str">
        <f t="shared" si="0"/>
        <v>KITGUM-KAMPALA</v>
      </c>
      <c r="M38" s="31">
        <v>35</v>
      </c>
      <c r="N38" s="38">
        <v>30000</v>
      </c>
      <c r="O38" s="37">
        <v>6.5</v>
      </c>
    </row>
    <row r="39" spans="2:15" s="19" customFormat="1" x14ac:dyDescent="0.2">
      <c r="B39" s="27">
        <v>0.48749999999999999</v>
      </c>
      <c r="C39" s="28">
        <v>6</v>
      </c>
      <c r="D39" s="36" t="str">
        <f>IF(C39="", "",VLOOKUP(C39,Key!$A$5:$B$7,2,FALSE))</f>
        <v>Large Bus</v>
      </c>
      <c r="E39" s="28"/>
      <c r="F39" s="28" t="s">
        <v>64</v>
      </c>
      <c r="G39" s="29" t="s">
        <v>66</v>
      </c>
      <c r="H39" s="29" t="s">
        <v>66</v>
      </c>
      <c r="I39" s="29"/>
      <c r="J39" s="29" t="s">
        <v>68</v>
      </c>
      <c r="K39" s="30" t="s">
        <v>68</v>
      </c>
      <c r="L39" s="30" t="str">
        <f t="shared" si="0"/>
        <v>KITGUM-KAMPALA</v>
      </c>
      <c r="M39" s="31">
        <v>57</v>
      </c>
      <c r="N39" s="38">
        <v>30000</v>
      </c>
      <c r="O39" s="37">
        <v>6.5</v>
      </c>
    </row>
    <row r="40" spans="2:15" s="19" customFormat="1" x14ac:dyDescent="0.2">
      <c r="B40" s="27">
        <v>0.55208333333333337</v>
      </c>
      <c r="C40" s="28">
        <v>6</v>
      </c>
      <c r="D40" s="36" t="str">
        <f>IF(C40="", "",VLOOKUP(C40,Key!$A$5:$B$7,2,FALSE))</f>
        <v>Large Bus</v>
      </c>
      <c r="E40" s="28"/>
      <c r="F40" s="28" t="s">
        <v>64</v>
      </c>
      <c r="G40" s="29" t="s">
        <v>69</v>
      </c>
      <c r="H40" s="29" t="s">
        <v>66</v>
      </c>
      <c r="I40" s="29"/>
      <c r="J40" s="29" t="s">
        <v>68</v>
      </c>
      <c r="K40" s="30" t="s">
        <v>68</v>
      </c>
      <c r="L40" s="30" t="str">
        <f t="shared" si="0"/>
        <v>KITGUM-KAMPALA</v>
      </c>
      <c r="M40" s="31">
        <v>57</v>
      </c>
      <c r="N40" s="38">
        <v>30000</v>
      </c>
      <c r="O40" s="37">
        <v>6.5</v>
      </c>
    </row>
    <row r="41" spans="2:15" s="19" customFormat="1" x14ac:dyDescent="0.2">
      <c r="B41" s="27">
        <v>0.57361111111111118</v>
      </c>
      <c r="C41" s="28">
        <v>6</v>
      </c>
      <c r="D41" s="36" t="str">
        <f>IF(C41="", "",VLOOKUP(C41,Key!$A$5:$B$7,2,FALSE))</f>
        <v>Large Bus</v>
      </c>
      <c r="E41" s="28"/>
      <c r="F41" s="28" t="s">
        <v>64</v>
      </c>
      <c r="G41" s="29" t="s">
        <v>66</v>
      </c>
      <c r="H41" s="29" t="s">
        <v>66</v>
      </c>
      <c r="I41" s="29"/>
      <c r="J41" s="29" t="s">
        <v>68</v>
      </c>
      <c r="K41" s="30" t="s">
        <v>68</v>
      </c>
      <c r="L41" s="30" t="str">
        <f t="shared" si="0"/>
        <v>KITGUM-KAMPALA</v>
      </c>
      <c r="M41" s="31">
        <v>59</v>
      </c>
      <c r="N41" s="38">
        <v>30000</v>
      </c>
      <c r="O41" s="37">
        <v>6.5</v>
      </c>
    </row>
    <row r="42" spans="2:15" s="19" customFormat="1" x14ac:dyDescent="0.2">
      <c r="B42" s="27">
        <v>0.66736111111111107</v>
      </c>
      <c r="C42" s="28">
        <v>6</v>
      </c>
      <c r="D42" s="36" t="str">
        <f>IF(C42="", "",VLOOKUP(C42,Key!$A$5:$B$7,2,FALSE))</f>
        <v>Large Bus</v>
      </c>
      <c r="E42" s="28"/>
      <c r="F42" s="28" t="s">
        <v>65</v>
      </c>
      <c r="G42" s="29" t="s">
        <v>68</v>
      </c>
      <c r="H42" s="29" t="s">
        <v>68</v>
      </c>
      <c r="I42" s="29"/>
      <c r="J42" s="29" t="s">
        <v>70</v>
      </c>
      <c r="K42" s="30" t="s">
        <v>66</v>
      </c>
      <c r="L42" s="30" t="str">
        <f t="shared" ref="L42:L73" si="1">H42&amp;"-"&amp;K42</f>
        <v>KAMPALA-KITGUM</v>
      </c>
      <c r="M42" s="31">
        <v>40</v>
      </c>
      <c r="N42" s="38">
        <v>30000</v>
      </c>
      <c r="O42" s="37">
        <v>6.5</v>
      </c>
    </row>
    <row r="43" spans="2:15" s="19" customFormat="1" x14ac:dyDescent="0.2">
      <c r="B43" s="27">
        <v>0.67222222222222217</v>
      </c>
      <c r="C43" s="28">
        <v>6</v>
      </c>
      <c r="D43" s="36" t="str">
        <f>IF(C43="", "",VLOOKUP(C43,Key!$A$5:$B$7,2,FALSE))</f>
        <v>Large Bus</v>
      </c>
      <c r="E43" s="28"/>
      <c r="F43" s="28" t="s">
        <v>65</v>
      </c>
      <c r="G43" s="29" t="s">
        <v>68</v>
      </c>
      <c r="H43" s="29" t="s">
        <v>68</v>
      </c>
      <c r="I43" s="29"/>
      <c r="J43" s="29" t="s">
        <v>70</v>
      </c>
      <c r="K43" s="30" t="s">
        <v>66</v>
      </c>
      <c r="L43" s="30" t="str">
        <f t="shared" si="1"/>
        <v>KAMPALA-KITGUM</v>
      </c>
      <c r="M43" s="31">
        <v>40</v>
      </c>
      <c r="N43" s="38">
        <v>30000</v>
      </c>
      <c r="O43" s="37">
        <v>6.5</v>
      </c>
    </row>
    <row r="44" spans="2:15" s="19" customFormat="1" x14ac:dyDescent="0.2">
      <c r="B44" s="27">
        <v>0.67847222222222225</v>
      </c>
      <c r="C44" s="28">
        <v>6</v>
      </c>
      <c r="D44" s="36" t="str">
        <f>IF(C44="", "",VLOOKUP(C44,Key!$A$5:$B$7,2,FALSE))</f>
        <v>Large Bus</v>
      </c>
      <c r="E44" s="28"/>
      <c r="F44" s="28" t="s">
        <v>65</v>
      </c>
      <c r="G44" s="29" t="s">
        <v>68</v>
      </c>
      <c r="H44" s="29" t="s">
        <v>68</v>
      </c>
      <c r="I44" s="29"/>
      <c r="J44" s="29" t="s">
        <v>66</v>
      </c>
      <c r="K44" s="30" t="s">
        <v>66</v>
      </c>
      <c r="L44" s="30" t="str">
        <f t="shared" si="1"/>
        <v>KAMPALA-KITGUM</v>
      </c>
      <c r="M44" s="31">
        <v>40</v>
      </c>
      <c r="N44" s="38">
        <v>30000</v>
      </c>
      <c r="O44" s="37">
        <v>6.5</v>
      </c>
    </row>
    <row r="45" spans="2:15" s="19" customFormat="1" x14ac:dyDescent="0.2">
      <c r="B45" s="27">
        <v>0.72222222222222221</v>
      </c>
      <c r="C45" s="28">
        <v>6</v>
      </c>
      <c r="D45" s="36" t="str">
        <f>IF(C45="", "",VLOOKUP(C45,Key!$A$5:$B$7,2,FALSE))</f>
        <v>Large Bus</v>
      </c>
      <c r="E45" s="28"/>
      <c r="F45" s="28" t="s">
        <v>64</v>
      </c>
      <c r="G45" s="29" t="s">
        <v>70</v>
      </c>
      <c r="H45" s="29" t="s">
        <v>66</v>
      </c>
      <c r="I45" s="29"/>
      <c r="J45" s="29" t="s">
        <v>68</v>
      </c>
      <c r="K45" s="30" t="s">
        <v>68</v>
      </c>
      <c r="L45" s="30" t="str">
        <f t="shared" si="1"/>
        <v>KITGUM-KAMPALA</v>
      </c>
      <c r="M45" s="31">
        <v>60</v>
      </c>
      <c r="N45" s="38">
        <v>30000</v>
      </c>
      <c r="O45" s="37">
        <v>6.5</v>
      </c>
    </row>
    <row r="46" spans="2:15" s="19" customFormat="1" x14ac:dyDescent="0.2">
      <c r="B46" s="27">
        <v>0.74375000000000002</v>
      </c>
      <c r="C46" s="28">
        <v>6</v>
      </c>
      <c r="D46" s="36" t="str">
        <f>IF(C46="", "",VLOOKUP(C46,Key!$A$5:$B$7,2,FALSE))</f>
        <v>Large Bus</v>
      </c>
      <c r="E46" s="28"/>
      <c r="F46" s="28" t="s">
        <v>64</v>
      </c>
      <c r="G46" s="29" t="s">
        <v>68</v>
      </c>
      <c r="H46" s="29" t="s">
        <v>68</v>
      </c>
      <c r="I46" s="29"/>
      <c r="J46" s="29" t="s">
        <v>66</v>
      </c>
      <c r="K46" s="30" t="s">
        <v>66</v>
      </c>
      <c r="L46" s="30" t="str">
        <f t="shared" si="1"/>
        <v>KAMPALA-KITGUM</v>
      </c>
      <c r="M46" s="31">
        <v>40</v>
      </c>
      <c r="N46" s="38">
        <v>30000</v>
      </c>
      <c r="O46" s="37">
        <v>6.5</v>
      </c>
    </row>
    <row r="47" spans="2:15" s="19" customFormat="1" x14ac:dyDescent="0.2">
      <c r="B47" s="27">
        <v>0.75</v>
      </c>
      <c r="C47" s="28">
        <v>6</v>
      </c>
      <c r="D47" s="36" t="str">
        <f>IF(C47="", "",VLOOKUP(C47,Key!$A$5:$B$7,2,FALSE))</f>
        <v>Large Bus</v>
      </c>
      <c r="E47" s="28"/>
      <c r="F47" s="28" t="s">
        <v>64</v>
      </c>
      <c r="G47" s="29" t="s">
        <v>71</v>
      </c>
      <c r="H47" s="29" t="s">
        <v>66</v>
      </c>
      <c r="I47" s="29"/>
      <c r="J47" s="29" t="s">
        <v>68</v>
      </c>
      <c r="K47" s="30" t="s">
        <v>68</v>
      </c>
      <c r="L47" s="30" t="str">
        <f t="shared" si="1"/>
        <v>KITGUM-KAMPALA</v>
      </c>
      <c r="M47" s="31">
        <v>59</v>
      </c>
      <c r="N47" s="38">
        <v>30000</v>
      </c>
      <c r="O47" s="37">
        <v>6.5</v>
      </c>
    </row>
    <row r="48" spans="2:15" s="19" customFormat="1" x14ac:dyDescent="0.2">
      <c r="B48" s="27">
        <v>0.77083333333333337</v>
      </c>
      <c r="C48" s="28">
        <v>6</v>
      </c>
      <c r="D48" s="36" t="str">
        <f>IF(C48="", "",VLOOKUP(C48,Key!$A$5:$B$7,2,FALSE))</f>
        <v>Large Bus</v>
      </c>
      <c r="E48" s="28"/>
      <c r="F48" s="28" t="s">
        <v>64</v>
      </c>
      <c r="G48" s="29" t="s">
        <v>66</v>
      </c>
      <c r="H48" s="29" t="s">
        <v>66</v>
      </c>
      <c r="I48" s="29"/>
      <c r="J48" s="29" t="s">
        <v>68</v>
      </c>
      <c r="K48" s="30" t="s">
        <v>68</v>
      </c>
      <c r="L48" s="30" t="str">
        <f t="shared" si="1"/>
        <v>KITGUM-KAMPALA</v>
      </c>
      <c r="M48" s="31">
        <v>49</v>
      </c>
      <c r="N48" s="38">
        <v>30000</v>
      </c>
      <c r="O48" s="37">
        <v>6.5</v>
      </c>
    </row>
    <row r="49" spans="2:15" s="19" customFormat="1" x14ac:dyDescent="0.2">
      <c r="B49" s="27">
        <v>0.84791666666666676</v>
      </c>
      <c r="C49" s="28">
        <v>6</v>
      </c>
      <c r="D49" s="36" t="str">
        <f>IF(C49="", "",VLOOKUP(C49,Key!$A$5:$B$7,2,FALSE))</f>
        <v>Large Bus</v>
      </c>
      <c r="E49" s="28"/>
      <c r="F49" s="28" t="s">
        <v>64</v>
      </c>
      <c r="G49" s="29" t="s">
        <v>66</v>
      </c>
      <c r="H49" s="29" t="s">
        <v>66</v>
      </c>
      <c r="I49" s="29"/>
      <c r="J49" s="29" t="s">
        <v>68</v>
      </c>
      <c r="K49" s="30" t="s">
        <v>68</v>
      </c>
      <c r="L49" s="30" t="str">
        <f t="shared" si="1"/>
        <v>KITGUM-KAMPALA</v>
      </c>
      <c r="M49" s="31">
        <v>50</v>
      </c>
      <c r="N49" s="38">
        <v>30000</v>
      </c>
      <c r="O49" s="37">
        <v>6.5</v>
      </c>
    </row>
    <row r="50" spans="2:15" s="19" customFormat="1" x14ac:dyDescent="0.2">
      <c r="B50" s="27">
        <v>0.89583333333333337</v>
      </c>
      <c r="C50" s="28">
        <v>6</v>
      </c>
      <c r="D50" s="36" t="str">
        <f>IF(C50="", "",VLOOKUP(C50,Key!$A$5:$B$7,2,FALSE))</f>
        <v>Large Bus</v>
      </c>
      <c r="E50" s="28"/>
      <c r="F50" s="28" t="s">
        <v>64</v>
      </c>
      <c r="G50" s="29" t="s">
        <v>70</v>
      </c>
      <c r="H50" s="29" t="s">
        <v>66</v>
      </c>
      <c r="I50" s="29"/>
      <c r="J50" s="29" t="s">
        <v>68</v>
      </c>
      <c r="K50" s="30" t="s">
        <v>68</v>
      </c>
      <c r="L50" s="30" t="str">
        <f t="shared" si="1"/>
        <v>KITGUM-KAMPALA</v>
      </c>
      <c r="M50" s="31">
        <v>40</v>
      </c>
      <c r="N50" s="38">
        <v>30000</v>
      </c>
      <c r="O50" s="37">
        <v>6.5</v>
      </c>
    </row>
    <row r="51" spans="2:15" s="19" customFormat="1" x14ac:dyDescent="0.2">
      <c r="B51" s="27">
        <v>0.91666666666666663</v>
      </c>
      <c r="C51" s="28">
        <v>6</v>
      </c>
      <c r="D51" s="36" t="str">
        <f>IF(C51="", "",VLOOKUP(C51,Key!$A$5:$B$7,2,FALSE))</f>
        <v>Large Bus</v>
      </c>
      <c r="E51" s="28"/>
      <c r="F51" s="28" t="s">
        <v>64</v>
      </c>
      <c r="G51" s="29" t="s">
        <v>70</v>
      </c>
      <c r="H51" s="29" t="s">
        <v>66</v>
      </c>
      <c r="I51" s="29"/>
      <c r="J51" s="29" t="s">
        <v>68</v>
      </c>
      <c r="K51" s="30" t="s">
        <v>68</v>
      </c>
      <c r="L51" s="30" t="str">
        <f t="shared" si="1"/>
        <v>KITGUM-KAMPALA</v>
      </c>
      <c r="M51" s="31">
        <v>40</v>
      </c>
      <c r="N51" s="38">
        <v>30000</v>
      </c>
      <c r="O51" s="37">
        <v>6.5</v>
      </c>
    </row>
    <row r="52" spans="2:15" s="19" customFormat="1" x14ac:dyDescent="0.2">
      <c r="B52" s="50">
        <v>43705</v>
      </c>
      <c r="C52" s="28"/>
      <c r="D52" s="36"/>
      <c r="E52" s="28"/>
      <c r="F52" s="28"/>
      <c r="G52" s="29"/>
      <c r="H52" s="29"/>
      <c r="I52" s="29"/>
      <c r="J52" s="29"/>
      <c r="K52" s="30"/>
      <c r="L52" s="30" t="str">
        <f t="shared" si="1"/>
        <v>-</v>
      </c>
      <c r="M52" s="31"/>
      <c r="N52" s="38"/>
      <c r="O52" s="37"/>
    </row>
    <row r="53" spans="2:15" s="19" customFormat="1" x14ac:dyDescent="0.2">
      <c r="B53" s="27">
        <v>0.3215277777777778</v>
      </c>
      <c r="C53" s="28">
        <v>6</v>
      </c>
      <c r="D53" s="36" t="str">
        <f>IF(C53="", "",VLOOKUP(C53,Key!$A$5:$B$7,2,FALSE))</f>
        <v>Large Bus</v>
      </c>
      <c r="E53" s="28"/>
      <c r="F53" s="28" t="s">
        <v>64</v>
      </c>
      <c r="G53" s="29" t="s">
        <v>70</v>
      </c>
      <c r="H53" s="29" t="s">
        <v>66</v>
      </c>
      <c r="I53" s="29"/>
      <c r="J53" s="29" t="s">
        <v>68</v>
      </c>
      <c r="K53" s="30" t="s">
        <v>68</v>
      </c>
      <c r="L53" s="30" t="str">
        <f t="shared" si="1"/>
        <v>KITGUM-KAMPALA</v>
      </c>
      <c r="M53" s="31">
        <v>57</v>
      </c>
      <c r="N53" s="38">
        <v>30000</v>
      </c>
      <c r="O53" s="37">
        <v>6.5</v>
      </c>
    </row>
    <row r="54" spans="2:15" s="19" customFormat="1" x14ac:dyDescent="0.2">
      <c r="B54" s="27">
        <v>0.32847222222222222</v>
      </c>
      <c r="C54" s="28">
        <v>6</v>
      </c>
      <c r="D54" s="36" t="str">
        <f>IF(C54="", "",VLOOKUP(C54,Key!$A$5:$B$7,2,FALSE))</f>
        <v>Large Bus</v>
      </c>
      <c r="E54" s="28"/>
      <c r="F54" s="28" t="s">
        <v>64</v>
      </c>
      <c r="G54" s="29" t="s">
        <v>70</v>
      </c>
      <c r="H54" s="29" t="s">
        <v>66</v>
      </c>
      <c r="I54" s="29"/>
      <c r="J54" s="29" t="s">
        <v>68</v>
      </c>
      <c r="K54" s="30" t="s">
        <v>68</v>
      </c>
      <c r="L54" s="30" t="str">
        <f t="shared" si="1"/>
        <v>KITGUM-KAMPALA</v>
      </c>
      <c r="M54" s="31">
        <v>57</v>
      </c>
      <c r="N54" s="38">
        <v>30000</v>
      </c>
      <c r="O54" s="37">
        <v>6.5</v>
      </c>
    </row>
    <row r="55" spans="2:15" s="19" customFormat="1" x14ac:dyDescent="0.2">
      <c r="B55" s="27">
        <v>0.34513888888888888</v>
      </c>
      <c r="C55" s="28">
        <v>6</v>
      </c>
      <c r="D55" s="36" t="str">
        <f>IF(C55="", "",VLOOKUP(C55,Key!$A$5:$B$7,2,FALSE))</f>
        <v>Large Bus</v>
      </c>
      <c r="E55" s="28"/>
      <c r="F55" s="28" t="s">
        <v>64</v>
      </c>
      <c r="G55" s="29" t="s">
        <v>70</v>
      </c>
      <c r="H55" s="29" t="s">
        <v>66</v>
      </c>
      <c r="I55" s="29"/>
      <c r="J55" s="29" t="s">
        <v>68</v>
      </c>
      <c r="K55" s="30" t="s">
        <v>68</v>
      </c>
      <c r="L55" s="30" t="str">
        <f t="shared" si="1"/>
        <v>KITGUM-KAMPALA</v>
      </c>
      <c r="M55" s="31">
        <v>41</v>
      </c>
      <c r="N55" s="38">
        <v>30000</v>
      </c>
      <c r="O55" s="37">
        <v>6.5</v>
      </c>
    </row>
    <row r="56" spans="2:15" s="19" customFormat="1" x14ac:dyDescent="0.2">
      <c r="B56" s="27">
        <v>0.35555555555555557</v>
      </c>
      <c r="C56" s="28">
        <v>6</v>
      </c>
      <c r="D56" s="36" t="str">
        <f>IF(C56="", "",VLOOKUP(C56,Key!$A$5:$B$7,2,FALSE))</f>
        <v>Large Bus</v>
      </c>
      <c r="E56" s="28"/>
      <c r="F56" s="28" t="s">
        <v>64</v>
      </c>
      <c r="G56" s="29" t="s">
        <v>70</v>
      </c>
      <c r="H56" s="29" t="s">
        <v>66</v>
      </c>
      <c r="I56" s="29"/>
      <c r="J56" s="29" t="s">
        <v>68</v>
      </c>
      <c r="K56" s="30" t="s">
        <v>68</v>
      </c>
      <c r="L56" s="30" t="str">
        <f t="shared" si="1"/>
        <v>KITGUM-KAMPALA</v>
      </c>
      <c r="M56" s="31">
        <v>41</v>
      </c>
      <c r="N56" s="38">
        <v>30000</v>
      </c>
      <c r="O56" s="37">
        <v>6.5</v>
      </c>
    </row>
    <row r="57" spans="2:15" s="19" customFormat="1" x14ac:dyDescent="0.2">
      <c r="B57" s="27">
        <v>0.35972222222222222</v>
      </c>
      <c r="C57" s="28">
        <v>6</v>
      </c>
      <c r="D57" s="36" t="str">
        <f>IF(C57="", "",VLOOKUP(C57,Key!$A$5:$B$7,2,FALSE))</f>
        <v>Large Bus</v>
      </c>
      <c r="E57" s="28"/>
      <c r="F57" s="28" t="s">
        <v>64</v>
      </c>
      <c r="G57" s="29" t="s">
        <v>67</v>
      </c>
      <c r="H57" s="29" t="s">
        <v>67</v>
      </c>
      <c r="I57" s="29"/>
      <c r="J57" s="29" t="s">
        <v>68</v>
      </c>
      <c r="K57" s="30" t="s">
        <v>68</v>
      </c>
      <c r="L57" s="30" t="str">
        <f t="shared" si="1"/>
        <v>LAMWO-KAMPALA</v>
      </c>
      <c r="M57" s="31">
        <v>7</v>
      </c>
      <c r="N57" s="38">
        <v>35000</v>
      </c>
      <c r="O57" s="37">
        <v>7.5</v>
      </c>
    </row>
    <row r="58" spans="2:15" s="19" customFormat="1" x14ac:dyDescent="0.2">
      <c r="B58" s="27">
        <v>0.3659722222222222</v>
      </c>
      <c r="C58" s="28">
        <v>6</v>
      </c>
      <c r="D58" s="36" t="str">
        <f>IF(C58="", "",VLOOKUP(C58,Key!$A$5:$B$7,2,FALSE))</f>
        <v>Large Bus</v>
      </c>
      <c r="E58" s="28"/>
      <c r="F58" s="28" t="s">
        <v>64</v>
      </c>
      <c r="G58" s="29" t="s">
        <v>67</v>
      </c>
      <c r="H58" s="29" t="s">
        <v>67</v>
      </c>
      <c r="I58" s="29"/>
      <c r="J58" s="29" t="s">
        <v>68</v>
      </c>
      <c r="K58" s="30" t="s">
        <v>68</v>
      </c>
      <c r="L58" s="30" t="str">
        <f t="shared" si="1"/>
        <v>LAMWO-KAMPALA</v>
      </c>
      <c r="M58" s="31">
        <v>7</v>
      </c>
      <c r="N58" s="38">
        <v>35000</v>
      </c>
      <c r="O58" s="37">
        <v>7.5</v>
      </c>
    </row>
    <row r="59" spans="2:15" s="19" customFormat="1" x14ac:dyDescent="0.2">
      <c r="B59" s="27">
        <v>0.39444444444444443</v>
      </c>
      <c r="C59" s="28">
        <v>6</v>
      </c>
      <c r="D59" s="36" t="str">
        <f>IF(C59="", "",VLOOKUP(C59,Key!$A$5:$B$7,2,FALSE))</f>
        <v>Large Bus</v>
      </c>
      <c r="E59" s="28"/>
      <c r="F59" s="28" t="s">
        <v>64</v>
      </c>
      <c r="G59" s="29" t="s">
        <v>67</v>
      </c>
      <c r="H59" s="29" t="s">
        <v>67</v>
      </c>
      <c r="I59" s="29"/>
      <c r="J59" s="29" t="s">
        <v>68</v>
      </c>
      <c r="K59" s="30" t="s">
        <v>68</v>
      </c>
      <c r="L59" s="30" t="str">
        <f t="shared" si="1"/>
        <v>LAMWO-KAMPALA</v>
      </c>
      <c r="M59" s="31">
        <v>47</v>
      </c>
      <c r="N59" s="38">
        <v>35000</v>
      </c>
      <c r="O59" s="37">
        <v>7.5</v>
      </c>
    </row>
    <row r="60" spans="2:15" s="19" customFormat="1" x14ac:dyDescent="0.2">
      <c r="B60" s="27">
        <v>0.4375</v>
      </c>
      <c r="C60" s="28">
        <v>6</v>
      </c>
      <c r="D60" s="36" t="str">
        <f>IF(C60="", "",VLOOKUP(C60,Key!$A$5:$B$7,2,FALSE))</f>
        <v>Large Bus</v>
      </c>
      <c r="E60" s="28"/>
      <c r="F60" s="28" t="s">
        <v>64</v>
      </c>
      <c r="G60" s="29" t="s">
        <v>67</v>
      </c>
      <c r="H60" s="29" t="s">
        <v>67</v>
      </c>
      <c r="I60" s="29"/>
      <c r="J60" s="29" t="s">
        <v>68</v>
      </c>
      <c r="K60" s="30" t="s">
        <v>68</v>
      </c>
      <c r="L60" s="30" t="str">
        <f t="shared" si="1"/>
        <v>LAMWO-KAMPALA</v>
      </c>
      <c r="M60" s="31">
        <v>47</v>
      </c>
      <c r="N60" s="38">
        <v>35000</v>
      </c>
      <c r="O60" s="37">
        <v>7.5</v>
      </c>
    </row>
    <row r="61" spans="2:15" s="19" customFormat="1" x14ac:dyDescent="0.2">
      <c r="B61" s="27">
        <v>0.46527777777777773</v>
      </c>
      <c r="C61" s="28">
        <v>6</v>
      </c>
      <c r="D61" s="36" t="str">
        <f>IF(C61="", "",VLOOKUP(C61,Key!$A$5:$B$7,2,FALSE))</f>
        <v>Large Bus</v>
      </c>
      <c r="E61" s="28"/>
      <c r="F61" s="28" t="s">
        <v>64</v>
      </c>
      <c r="G61" s="29" t="s">
        <v>66</v>
      </c>
      <c r="H61" s="29" t="s">
        <v>66</v>
      </c>
      <c r="I61" s="29"/>
      <c r="J61" s="29" t="s">
        <v>68</v>
      </c>
      <c r="K61" s="30" t="s">
        <v>68</v>
      </c>
      <c r="L61" s="30" t="str">
        <f t="shared" si="1"/>
        <v>KITGUM-KAMPALA</v>
      </c>
      <c r="M61" s="31">
        <v>41</v>
      </c>
      <c r="N61" s="38">
        <v>30000</v>
      </c>
      <c r="O61" s="37">
        <v>6.5</v>
      </c>
    </row>
    <row r="62" spans="2:15" s="19" customFormat="1" x14ac:dyDescent="0.2">
      <c r="B62" s="27">
        <v>0.56041666666666667</v>
      </c>
      <c r="C62" s="28">
        <v>6</v>
      </c>
      <c r="D62" s="36" t="str">
        <f>IF(C62="", "",VLOOKUP(C62,Key!$A$5:$B$7,2,FALSE))</f>
        <v>Large Bus</v>
      </c>
      <c r="E62" s="28"/>
      <c r="F62" s="28" t="s">
        <v>64</v>
      </c>
      <c r="G62" s="29" t="s">
        <v>71</v>
      </c>
      <c r="H62" s="29" t="s">
        <v>66</v>
      </c>
      <c r="I62" s="29"/>
      <c r="J62" s="29" t="s">
        <v>68</v>
      </c>
      <c r="K62" s="30" t="s">
        <v>68</v>
      </c>
      <c r="L62" s="30" t="str">
        <f t="shared" si="1"/>
        <v>KITGUM-KAMPALA</v>
      </c>
      <c r="M62" s="31">
        <v>41</v>
      </c>
      <c r="N62" s="38">
        <v>30000</v>
      </c>
      <c r="O62" s="37">
        <v>6.5</v>
      </c>
    </row>
    <row r="63" spans="2:15" s="19" customFormat="1" x14ac:dyDescent="0.2">
      <c r="B63" s="27">
        <v>0.57430555555555551</v>
      </c>
      <c r="C63" s="28">
        <v>6</v>
      </c>
      <c r="D63" s="36" t="str">
        <f>IF(C63="", "",VLOOKUP(C63,Key!$A$5:$B$7,2,FALSE))</f>
        <v>Large Bus</v>
      </c>
      <c r="E63" s="28"/>
      <c r="F63" s="28" t="s">
        <v>64</v>
      </c>
      <c r="G63" s="29" t="s">
        <v>71</v>
      </c>
      <c r="H63" s="29" t="s">
        <v>66</v>
      </c>
      <c r="I63" s="29"/>
      <c r="J63" s="29" t="s">
        <v>68</v>
      </c>
      <c r="K63" s="30" t="s">
        <v>68</v>
      </c>
      <c r="L63" s="30" t="str">
        <f t="shared" si="1"/>
        <v>KITGUM-KAMPALA</v>
      </c>
      <c r="M63" s="31">
        <v>41</v>
      </c>
      <c r="N63" s="38">
        <v>30000</v>
      </c>
      <c r="O63" s="37">
        <v>6.5</v>
      </c>
    </row>
    <row r="64" spans="2:15" s="19" customFormat="1" x14ac:dyDescent="0.2">
      <c r="B64" s="27">
        <v>0.6118055555555556</v>
      </c>
      <c r="C64" s="28">
        <v>6</v>
      </c>
      <c r="D64" s="36" t="str">
        <f>IF(C64="", "",VLOOKUP(C64,Key!$A$5:$B$7,2,FALSE))</f>
        <v>Large Bus</v>
      </c>
      <c r="E64" s="28"/>
      <c r="F64" s="28" t="s">
        <v>65</v>
      </c>
      <c r="G64" s="29" t="s">
        <v>68</v>
      </c>
      <c r="H64" s="29" t="s">
        <v>68</v>
      </c>
      <c r="I64" s="29"/>
      <c r="J64" s="29" t="s">
        <v>70</v>
      </c>
      <c r="K64" s="30" t="s">
        <v>66</v>
      </c>
      <c r="L64" s="30" t="str">
        <f t="shared" si="1"/>
        <v>KAMPALA-KITGUM</v>
      </c>
      <c r="M64" s="31">
        <v>40</v>
      </c>
      <c r="N64" s="38">
        <v>30000</v>
      </c>
      <c r="O64" s="37">
        <v>6.5</v>
      </c>
    </row>
    <row r="65" spans="2:15" s="19" customFormat="1" x14ac:dyDescent="0.2">
      <c r="B65" s="27">
        <v>0.62569444444444444</v>
      </c>
      <c r="C65" s="28">
        <v>6</v>
      </c>
      <c r="D65" s="36" t="str">
        <f>IF(C65="", "",VLOOKUP(C65,Key!$A$5:$B$7,2,FALSE))</f>
        <v>Large Bus</v>
      </c>
      <c r="E65" s="28"/>
      <c r="F65" s="28" t="s">
        <v>65</v>
      </c>
      <c r="G65" s="29" t="s">
        <v>68</v>
      </c>
      <c r="H65" s="29" t="s">
        <v>68</v>
      </c>
      <c r="I65" s="29"/>
      <c r="J65" s="29" t="s">
        <v>70</v>
      </c>
      <c r="K65" s="30" t="s">
        <v>66</v>
      </c>
      <c r="L65" s="30" t="str">
        <f t="shared" si="1"/>
        <v>KAMPALA-KITGUM</v>
      </c>
      <c r="M65" s="31">
        <v>40</v>
      </c>
      <c r="N65" s="38">
        <v>30000</v>
      </c>
      <c r="O65" s="37">
        <v>6.5</v>
      </c>
    </row>
    <row r="66" spans="2:15" s="19" customFormat="1" x14ac:dyDescent="0.2">
      <c r="B66" s="27">
        <v>0.64513888888888882</v>
      </c>
      <c r="C66" s="28">
        <v>6</v>
      </c>
      <c r="D66" s="36" t="str">
        <f>IF(C66="", "",VLOOKUP(C66,Key!$A$5:$B$7,2,FALSE))</f>
        <v>Large Bus</v>
      </c>
      <c r="E66" s="28"/>
      <c r="F66" s="28" t="s">
        <v>64</v>
      </c>
      <c r="G66" s="29" t="s">
        <v>71</v>
      </c>
      <c r="H66" s="29" t="s">
        <v>66</v>
      </c>
      <c r="I66" s="29"/>
      <c r="J66" s="29" t="s">
        <v>68</v>
      </c>
      <c r="K66" s="30" t="s">
        <v>68</v>
      </c>
      <c r="L66" s="30" t="str">
        <f t="shared" si="1"/>
        <v>KITGUM-KAMPALA</v>
      </c>
      <c r="M66" s="31">
        <v>39</v>
      </c>
      <c r="N66" s="38">
        <v>30000</v>
      </c>
      <c r="O66" s="37">
        <v>6.5</v>
      </c>
    </row>
    <row r="67" spans="2:15" s="19" customFormat="1" x14ac:dyDescent="0.2">
      <c r="B67" s="27">
        <v>0.6875</v>
      </c>
      <c r="C67" s="28">
        <v>6</v>
      </c>
      <c r="D67" s="36" t="str">
        <f>IF(C67="", "",VLOOKUP(C67,Key!$A$5:$B$7,2,FALSE))</f>
        <v>Large Bus</v>
      </c>
      <c r="E67" s="28"/>
      <c r="F67" s="28" t="s">
        <v>64</v>
      </c>
      <c r="G67" s="29" t="s">
        <v>66</v>
      </c>
      <c r="H67" s="29" t="s">
        <v>66</v>
      </c>
      <c r="I67" s="29"/>
      <c r="J67" s="29" t="s">
        <v>68</v>
      </c>
      <c r="K67" s="30" t="s">
        <v>68</v>
      </c>
      <c r="L67" s="30" t="str">
        <f t="shared" si="1"/>
        <v>KITGUM-KAMPALA</v>
      </c>
      <c r="M67" s="31">
        <v>55</v>
      </c>
      <c r="N67" s="38">
        <v>30000</v>
      </c>
      <c r="O67" s="37">
        <v>6.5</v>
      </c>
    </row>
    <row r="68" spans="2:15" s="19" customFormat="1" x14ac:dyDescent="0.2">
      <c r="B68" s="27">
        <v>0.71875</v>
      </c>
      <c r="C68" s="28">
        <v>6</v>
      </c>
      <c r="D68" s="36" t="str">
        <f>IF(C68="", "",VLOOKUP(C68,Key!$A$5:$B$7,2,FALSE))</f>
        <v>Large Bus</v>
      </c>
      <c r="E68" s="28"/>
      <c r="F68" s="28" t="s">
        <v>64</v>
      </c>
      <c r="G68" s="29" t="s">
        <v>66</v>
      </c>
      <c r="H68" s="29" t="s">
        <v>66</v>
      </c>
      <c r="I68" s="29"/>
      <c r="J68" s="29" t="s">
        <v>68</v>
      </c>
      <c r="K68" s="30" t="s">
        <v>68</v>
      </c>
      <c r="L68" s="30" t="str">
        <f t="shared" si="1"/>
        <v>KITGUM-KAMPALA</v>
      </c>
      <c r="M68" s="31">
        <v>35</v>
      </c>
      <c r="N68" s="38">
        <v>30000</v>
      </c>
      <c r="O68" s="37">
        <v>6.5</v>
      </c>
    </row>
    <row r="69" spans="2:15" s="19" customFormat="1" x14ac:dyDescent="0.2">
      <c r="B69" s="27">
        <v>0.74652777777777779</v>
      </c>
      <c r="C69" s="28">
        <v>6</v>
      </c>
      <c r="D69" s="36" t="str">
        <f>IF(C69="", "",VLOOKUP(C69,Key!$A$5:$B$7,2,FALSE))</f>
        <v>Large Bus</v>
      </c>
      <c r="E69" s="28"/>
      <c r="F69" s="28" t="s">
        <v>64</v>
      </c>
      <c r="G69" s="29" t="s">
        <v>71</v>
      </c>
      <c r="H69" s="29" t="s">
        <v>66</v>
      </c>
      <c r="I69" s="29"/>
      <c r="J69" s="29" t="s">
        <v>68</v>
      </c>
      <c r="K69" s="30" t="s">
        <v>68</v>
      </c>
      <c r="L69" s="30" t="str">
        <f t="shared" si="1"/>
        <v>KITGUM-KAMPALA</v>
      </c>
      <c r="M69" s="31">
        <v>39</v>
      </c>
      <c r="N69" s="38">
        <v>30000</v>
      </c>
      <c r="O69" s="37">
        <v>6.5</v>
      </c>
    </row>
    <row r="70" spans="2:15" s="19" customFormat="1" x14ac:dyDescent="0.2">
      <c r="B70" s="27">
        <v>0.77430555555555547</v>
      </c>
      <c r="C70" s="28">
        <v>6</v>
      </c>
      <c r="D70" s="36" t="str">
        <f>IF(C70="", "",VLOOKUP(C70,Key!$A$5:$B$7,2,FALSE))</f>
        <v>Large Bus</v>
      </c>
      <c r="E70" s="28"/>
      <c r="F70" s="28" t="s">
        <v>65</v>
      </c>
      <c r="G70" s="29" t="s">
        <v>68</v>
      </c>
      <c r="H70" s="29" t="s">
        <v>68</v>
      </c>
      <c r="I70" s="29"/>
      <c r="J70" s="29" t="s">
        <v>66</v>
      </c>
      <c r="K70" s="30" t="s">
        <v>66</v>
      </c>
      <c r="L70" s="30" t="str">
        <f t="shared" si="1"/>
        <v>KAMPALA-KITGUM</v>
      </c>
      <c r="M70" s="31">
        <v>40</v>
      </c>
      <c r="N70" s="38">
        <v>30000</v>
      </c>
      <c r="O70" s="37">
        <v>6.5</v>
      </c>
    </row>
    <row r="71" spans="2:15" s="19" customFormat="1" x14ac:dyDescent="0.2">
      <c r="B71" s="27">
        <v>0.875</v>
      </c>
      <c r="C71" s="28">
        <v>6</v>
      </c>
      <c r="D71" s="36" t="str">
        <f>IF(C71="", "",VLOOKUP(C71,Key!$A$5:$B$7,2,FALSE))</f>
        <v>Large Bus</v>
      </c>
      <c r="E71" s="28"/>
      <c r="F71" s="28" t="s">
        <v>64</v>
      </c>
      <c r="G71" s="29" t="s">
        <v>66</v>
      </c>
      <c r="H71" s="29" t="s">
        <v>66</v>
      </c>
      <c r="I71" s="29"/>
      <c r="J71" s="29" t="s">
        <v>68</v>
      </c>
      <c r="K71" s="30" t="s">
        <v>68</v>
      </c>
      <c r="L71" s="30" t="str">
        <f t="shared" si="1"/>
        <v>KITGUM-KAMPALA</v>
      </c>
      <c r="M71" s="31">
        <v>35</v>
      </c>
      <c r="N71" s="38">
        <v>30000</v>
      </c>
      <c r="O71" s="37">
        <v>6.5</v>
      </c>
    </row>
    <row r="72" spans="2:15" s="19" customFormat="1" x14ac:dyDescent="0.2">
      <c r="B72" s="27">
        <v>0.91666666666666663</v>
      </c>
      <c r="C72" s="28">
        <v>6</v>
      </c>
      <c r="D72" s="36" t="str">
        <f>IF(C72="", "",VLOOKUP(C72,Key!$A$5:$B$7,2,FALSE))</f>
        <v>Large Bus</v>
      </c>
      <c r="E72" s="28"/>
      <c r="F72" s="28" t="s">
        <v>64</v>
      </c>
      <c r="G72" s="29" t="s">
        <v>66</v>
      </c>
      <c r="H72" s="29" t="s">
        <v>66</v>
      </c>
      <c r="I72" s="29"/>
      <c r="J72" s="29" t="s">
        <v>68</v>
      </c>
      <c r="K72" s="30" t="s">
        <v>68</v>
      </c>
      <c r="L72" s="30" t="str">
        <f t="shared" si="1"/>
        <v>KITGUM-KAMPALA</v>
      </c>
      <c r="M72" s="31">
        <v>35</v>
      </c>
      <c r="N72" s="38">
        <v>30000</v>
      </c>
      <c r="O72" s="37">
        <v>6.5</v>
      </c>
    </row>
    <row r="73" spans="2:15" s="19" customFormat="1" x14ac:dyDescent="0.2">
      <c r="B73" s="27">
        <v>0.30208333333333331</v>
      </c>
      <c r="C73" s="28">
        <v>6</v>
      </c>
      <c r="D73" s="36" t="str">
        <f>IF(C73="", "",VLOOKUP(C73,Key!$A$5:$B$7,2,FALSE))</f>
        <v>Large Bus</v>
      </c>
      <c r="E73" s="28"/>
      <c r="F73" s="28" t="s">
        <v>65</v>
      </c>
      <c r="G73" s="29" t="s">
        <v>70</v>
      </c>
      <c r="H73" s="29" t="s">
        <v>66</v>
      </c>
      <c r="I73" s="29"/>
      <c r="J73" s="29" t="s">
        <v>68</v>
      </c>
      <c r="K73" s="30" t="s">
        <v>68</v>
      </c>
      <c r="L73" s="30" t="str">
        <f t="shared" si="1"/>
        <v>KITGUM-KAMPALA</v>
      </c>
      <c r="M73" s="31">
        <v>36</v>
      </c>
      <c r="N73" s="38">
        <v>30000</v>
      </c>
      <c r="O73" s="37">
        <v>6.5</v>
      </c>
    </row>
    <row r="74" spans="2:15" s="19" customFormat="1" x14ac:dyDescent="0.2">
      <c r="B74" s="49">
        <v>43706</v>
      </c>
      <c r="C74" s="28"/>
      <c r="D74" s="36"/>
      <c r="E74" s="28"/>
      <c r="F74" s="28"/>
      <c r="G74" s="29"/>
      <c r="H74" s="29"/>
      <c r="I74" s="29"/>
      <c r="J74" s="29"/>
      <c r="K74" s="30"/>
      <c r="L74" s="30" t="str">
        <f t="shared" ref="L74:L105" si="2">H74&amp;"-"&amp;K74</f>
        <v>-</v>
      </c>
      <c r="M74" s="31"/>
      <c r="N74" s="38"/>
      <c r="O74" s="37"/>
    </row>
    <row r="75" spans="2:15" s="19" customFormat="1" x14ac:dyDescent="0.2">
      <c r="B75" s="27">
        <v>0.32916666666666666</v>
      </c>
      <c r="C75" s="28">
        <v>6</v>
      </c>
      <c r="D75" s="36" t="str">
        <f>IF(C75="", "",VLOOKUP(C75,Key!$A$5:$B$7,2,FALSE))</f>
        <v>Large Bus</v>
      </c>
      <c r="E75" s="28"/>
      <c r="F75" s="28" t="s">
        <v>64</v>
      </c>
      <c r="G75" s="29" t="s">
        <v>70</v>
      </c>
      <c r="H75" s="29" t="s">
        <v>66</v>
      </c>
      <c r="I75" s="29"/>
      <c r="J75" s="29" t="s">
        <v>68</v>
      </c>
      <c r="K75" s="30" t="s">
        <v>68</v>
      </c>
      <c r="L75" s="30" t="str">
        <f t="shared" si="2"/>
        <v>KITGUM-KAMPALA</v>
      </c>
      <c r="M75" s="31">
        <v>36</v>
      </c>
      <c r="N75" s="38">
        <v>30000</v>
      </c>
      <c r="O75" s="37">
        <v>6.5</v>
      </c>
    </row>
    <row r="76" spans="2:15" s="19" customFormat="1" x14ac:dyDescent="0.2">
      <c r="B76" s="27">
        <v>0.37291666666666662</v>
      </c>
      <c r="C76" s="28">
        <v>6</v>
      </c>
      <c r="D76" s="36" t="str">
        <f>IF(C76="", "",VLOOKUP(C76,Key!$A$5:$B$7,2,FALSE))</f>
        <v>Large Bus</v>
      </c>
      <c r="E76" s="28"/>
      <c r="F76" s="28" t="s">
        <v>65</v>
      </c>
      <c r="G76" s="29" t="s">
        <v>72</v>
      </c>
      <c r="H76" s="29" t="s">
        <v>63</v>
      </c>
      <c r="I76" s="29"/>
      <c r="J76" s="29" t="s">
        <v>68</v>
      </c>
      <c r="K76" s="30" t="s">
        <v>68</v>
      </c>
      <c r="L76" s="30" t="str">
        <f t="shared" si="2"/>
        <v>Kaabong-KAMPALA</v>
      </c>
      <c r="M76" s="31">
        <v>45</v>
      </c>
      <c r="N76" s="38">
        <v>45000</v>
      </c>
      <c r="O76" s="37">
        <v>9.5</v>
      </c>
    </row>
    <row r="77" spans="2:15" s="19" customFormat="1" x14ac:dyDescent="0.2">
      <c r="B77" s="27">
        <v>0.39583333333333331</v>
      </c>
      <c r="C77" s="28">
        <v>6</v>
      </c>
      <c r="D77" s="36" t="str">
        <f>IF(C77="", "",VLOOKUP(C77,Key!$A$5:$B$7,2,FALSE))</f>
        <v>Large Bus</v>
      </c>
      <c r="E77" s="28"/>
      <c r="F77" s="28" t="s">
        <v>65</v>
      </c>
      <c r="G77" s="29" t="s">
        <v>73</v>
      </c>
      <c r="H77" s="29" t="s">
        <v>66</v>
      </c>
      <c r="I77" s="29"/>
      <c r="J77" s="29" t="s">
        <v>68</v>
      </c>
      <c r="K77" s="30" t="s">
        <v>68</v>
      </c>
      <c r="L77" s="30" t="str">
        <f t="shared" si="2"/>
        <v>KITGUM-KAMPALA</v>
      </c>
      <c r="M77" s="31">
        <v>58</v>
      </c>
      <c r="N77" s="38">
        <v>30000</v>
      </c>
      <c r="O77" s="37">
        <v>6.5</v>
      </c>
    </row>
    <row r="78" spans="2:15" s="19" customFormat="1" x14ac:dyDescent="0.2">
      <c r="B78" s="27">
        <v>0.47638888888888892</v>
      </c>
      <c r="C78" s="28">
        <v>6</v>
      </c>
      <c r="D78" s="36" t="str">
        <f>IF(C78="", "",VLOOKUP(C78,Key!$A$5:$B$7,2,FALSE))</f>
        <v>Large Bus</v>
      </c>
      <c r="E78" s="28"/>
      <c r="F78" s="28" t="s">
        <v>64</v>
      </c>
      <c r="G78" s="29" t="s">
        <v>66</v>
      </c>
      <c r="H78" s="29" t="s">
        <v>66</v>
      </c>
      <c r="I78" s="29"/>
      <c r="J78" s="29" t="s">
        <v>68</v>
      </c>
      <c r="K78" s="30" t="s">
        <v>68</v>
      </c>
      <c r="L78" s="30" t="str">
        <f t="shared" si="2"/>
        <v>KITGUM-KAMPALA</v>
      </c>
      <c r="M78" s="31">
        <v>50</v>
      </c>
      <c r="N78" s="38">
        <v>30000</v>
      </c>
      <c r="O78" s="37">
        <v>6.5</v>
      </c>
    </row>
    <row r="79" spans="2:15" s="19" customFormat="1" x14ac:dyDescent="0.2">
      <c r="B79" s="27">
        <v>0.47916666666666669</v>
      </c>
      <c r="C79" s="28">
        <v>6</v>
      </c>
      <c r="D79" s="36" t="str">
        <f>IF(C79="", "",VLOOKUP(C79,Key!$A$5:$B$7,2,FALSE))</f>
        <v>Large Bus</v>
      </c>
      <c r="E79" s="28"/>
      <c r="F79" s="28" t="s">
        <v>65</v>
      </c>
      <c r="G79" s="29" t="s">
        <v>67</v>
      </c>
      <c r="H79" s="29" t="s">
        <v>67</v>
      </c>
      <c r="I79" s="29"/>
      <c r="J79" s="29" t="s">
        <v>68</v>
      </c>
      <c r="K79" s="30" t="s">
        <v>68</v>
      </c>
      <c r="L79" s="30" t="str">
        <f t="shared" si="2"/>
        <v>LAMWO-KAMPALA</v>
      </c>
      <c r="M79" s="31">
        <v>28</v>
      </c>
      <c r="N79" s="38">
        <v>35000</v>
      </c>
      <c r="O79" s="37">
        <v>7.5</v>
      </c>
    </row>
    <row r="80" spans="2:15" s="19" customFormat="1" x14ac:dyDescent="0.2">
      <c r="B80" s="27">
        <v>0.48958333333333331</v>
      </c>
      <c r="C80" s="28">
        <v>6</v>
      </c>
      <c r="D80" s="36" t="str">
        <f>IF(C80="", "",VLOOKUP(C80,Key!$A$5:$B$7,2,FALSE))</f>
        <v>Large Bus</v>
      </c>
      <c r="E80" s="28"/>
      <c r="F80" s="28" t="s">
        <v>64</v>
      </c>
      <c r="G80" s="29" t="s">
        <v>72</v>
      </c>
      <c r="H80" s="29" t="s">
        <v>63</v>
      </c>
      <c r="I80" s="29"/>
      <c r="J80" s="29" t="s">
        <v>68</v>
      </c>
      <c r="K80" s="30" t="s">
        <v>68</v>
      </c>
      <c r="L80" s="30" t="str">
        <f t="shared" si="2"/>
        <v>Kaabong-KAMPALA</v>
      </c>
      <c r="M80" s="31">
        <v>20</v>
      </c>
      <c r="N80" s="38">
        <v>45000</v>
      </c>
      <c r="O80" s="37">
        <v>9.5</v>
      </c>
    </row>
    <row r="81" spans="2:15" s="19" customFormat="1" x14ac:dyDescent="0.2">
      <c r="B81" s="27">
        <v>0.54166666666666663</v>
      </c>
      <c r="C81" s="28">
        <v>6</v>
      </c>
      <c r="D81" s="36" t="str">
        <f>IF(C81="", "",VLOOKUP(C81,Key!$A$5:$B$7,2,FALSE))</f>
        <v>Large Bus</v>
      </c>
      <c r="E81" s="28"/>
      <c r="F81" s="28" t="s">
        <v>65</v>
      </c>
      <c r="G81" s="29" t="s">
        <v>74</v>
      </c>
      <c r="H81" s="29" t="s">
        <v>66</v>
      </c>
      <c r="I81" s="29"/>
      <c r="J81" s="29" t="s">
        <v>68</v>
      </c>
      <c r="K81" s="30" t="s">
        <v>68</v>
      </c>
      <c r="L81" s="30" t="str">
        <f t="shared" si="2"/>
        <v>KITGUM-KAMPALA</v>
      </c>
      <c r="M81" s="31">
        <v>37</v>
      </c>
      <c r="N81" s="38">
        <v>30000</v>
      </c>
      <c r="O81" s="37">
        <v>6.5</v>
      </c>
    </row>
    <row r="82" spans="2:15" s="19" customFormat="1" x14ac:dyDescent="0.2">
      <c r="B82" s="27">
        <v>0.63194444444444442</v>
      </c>
      <c r="C82" s="28">
        <v>6</v>
      </c>
      <c r="D82" s="36" t="str">
        <f>IF(C82="", "",VLOOKUP(C82,Key!$A$5:$B$7,2,FALSE))</f>
        <v>Large Bus</v>
      </c>
      <c r="E82" s="28"/>
      <c r="F82" s="28" t="s">
        <v>65</v>
      </c>
      <c r="G82" s="29" t="s">
        <v>68</v>
      </c>
      <c r="H82" s="29" t="s">
        <v>68</v>
      </c>
      <c r="I82" s="29"/>
      <c r="J82" s="29" t="s">
        <v>70</v>
      </c>
      <c r="K82" s="30" t="s">
        <v>66</v>
      </c>
      <c r="L82" s="30" t="str">
        <f t="shared" si="2"/>
        <v>KAMPALA-KITGUM</v>
      </c>
      <c r="M82" s="31">
        <v>37</v>
      </c>
      <c r="N82" s="38">
        <v>30000</v>
      </c>
      <c r="O82" s="37">
        <v>6.5</v>
      </c>
    </row>
    <row r="83" spans="2:15" s="19" customFormat="1" x14ac:dyDescent="0.2">
      <c r="B83" s="27">
        <v>0.6875</v>
      </c>
      <c r="C83" s="28">
        <v>6</v>
      </c>
      <c r="D83" s="36" t="str">
        <f>IF(C83="", "",VLOOKUP(C83,Key!$A$5:$B$7,2,FALSE))</f>
        <v>Large Bus</v>
      </c>
      <c r="E83" s="28"/>
      <c r="F83" s="28" t="s">
        <v>65</v>
      </c>
      <c r="G83" s="29" t="s">
        <v>68</v>
      </c>
      <c r="H83" s="29" t="s">
        <v>68</v>
      </c>
      <c r="I83" s="29"/>
      <c r="J83" s="29" t="s">
        <v>66</v>
      </c>
      <c r="K83" s="30" t="s">
        <v>66</v>
      </c>
      <c r="L83" s="30" t="str">
        <f t="shared" si="2"/>
        <v>KAMPALA-KITGUM</v>
      </c>
      <c r="M83" s="31">
        <v>37</v>
      </c>
      <c r="N83" s="38">
        <v>30000</v>
      </c>
      <c r="O83" s="37">
        <v>6.5</v>
      </c>
    </row>
    <row r="84" spans="2:15" s="19" customFormat="1" x14ac:dyDescent="0.2">
      <c r="B84" s="27">
        <v>0.7583333333333333</v>
      </c>
      <c r="C84" s="28">
        <v>6</v>
      </c>
      <c r="D84" s="36" t="str">
        <f>IF(C84="", "",VLOOKUP(C84,Key!$A$5:$B$7,2,FALSE))</f>
        <v>Large Bus</v>
      </c>
      <c r="E84" s="28"/>
      <c r="F84" s="28" t="s">
        <v>65</v>
      </c>
      <c r="G84" s="29" t="s">
        <v>75</v>
      </c>
      <c r="H84" s="29" t="s">
        <v>66</v>
      </c>
      <c r="I84" s="29"/>
      <c r="J84" s="29" t="s">
        <v>68</v>
      </c>
      <c r="K84" s="30" t="s">
        <v>68</v>
      </c>
      <c r="L84" s="30" t="str">
        <f t="shared" si="2"/>
        <v>KITGUM-KAMPALA</v>
      </c>
      <c r="M84" s="31">
        <v>47</v>
      </c>
      <c r="N84" s="38">
        <v>30000</v>
      </c>
      <c r="O84" s="37">
        <v>6.5</v>
      </c>
    </row>
    <row r="85" spans="2:15" s="19" customFormat="1" x14ac:dyDescent="0.2">
      <c r="B85" s="27">
        <v>0.77083333333333337</v>
      </c>
      <c r="C85" s="28">
        <v>6</v>
      </c>
      <c r="D85" s="36" t="str">
        <f>IF(C85="", "",VLOOKUP(C85,Key!$A$5:$B$7,2,FALSE))</f>
        <v>Large Bus</v>
      </c>
      <c r="E85" s="28"/>
      <c r="F85" s="28" t="s">
        <v>65</v>
      </c>
      <c r="G85" s="29" t="s">
        <v>68</v>
      </c>
      <c r="H85" s="29" t="s">
        <v>68</v>
      </c>
      <c r="I85" s="29"/>
      <c r="J85" s="29" t="s">
        <v>66</v>
      </c>
      <c r="K85" s="30" t="s">
        <v>66</v>
      </c>
      <c r="L85" s="30" t="str">
        <f t="shared" si="2"/>
        <v>KAMPALA-KITGUM</v>
      </c>
      <c r="M85" s="31">
        <v>37</v>
      </c>
      <c r="N85" s="38">
        <v>30000</v>
      </c>
      <c r="O85" s="37">
        <v>6.5</v>
      </c>
    </row>
    <row r="86" spans="2:15" s="19" customFormat="1" x14ac:dyDescent="0.2">
      <c r="B86" s="27">
        <v>0.79999999999999993</v>
      </c>
      <c r="C86" s="28">
        <v>6</v>
      </c>
      <c r="D86" s="36" t="str">
        <f>IF(C86="", "",VLOOKUP(C86,Key!$A$5:$B$7,2,FALSE))</f>
        <v>Large Bus</v>
      </c>
      <c r="E86" s="28"/>
      <c r="F86" s="28" t="s">
        <v>64</v>
      </c>
      <c r="G86" s="29" t="s">
        <v>66</v>
      </c>
      <c r="H86" s="29" t="s">
        <v>66</v>
      </c>
      <c r="I86" s="29"/>
      <c r="J86" s="29" t="s">
        <v>68</v>
      </c>
      <c r="K86" s="30" t="s">
        <v>68</v>
      </c>
      <c r="L86" s="30" t="str">
        <f t="shared" si="2"/>
        <v>KITGUM-KAMPALA</v>
      </c>
      <c r="M86" s="31">
        <v>60</v>
      </c>
      <c r="N86" s="38">
        <v>30000</v>
      </c>
      <c r="O86" s="37">
        <v>6.5</v>
      </c>
    </row>
    <row r="87" spans="2:15" s="19" customFormat="1" x14ac:dyDescent="0.2">
      <c r="B87" s="27">
        <v>0.80486111111111114</v>
      </c>
      <c r="C87" s="28">
        <v>6</v>
      </c>
      <c r="D87" s="36" t="str">
        <f>IF(C87="", "",VLOOKUP(C87,Key!$A$5:$B$7,2,FALSE))</f>
        <v>Large Bus</v>
      </c>
      <c r="E87" s="28"/>
      <c r="F87" s="28" t="s">
        <v>65</v>
      </c>
      <c r="G87" s="29" t="s">
        <v>68</v>
      </c>
      <c r="H87" s="29" t="s">
        <v>68</v>
      </c>
      <c r="I87" s="29"/>
      <c r="J87" s="29" t="s">
        <v>76</v>
      </c>
      <c r="K87" s="30" t="s">
        <v>66</v>
      </c>
      <c r="L87" s="30" t="str">
        <f t="shared" si="2"/>
        <v>KAMPALA-KITGUM</v>
      </c>
      <c r="M87" s="31">
        <v>50</v>
      </c>
      <c r="N87" s="38">
        <v>30000</v>
      </c>
      <c r="O87" s="37">
        <v>6.5</v>
      </c>
    </row>
    <row r="88" spans="2:15" s="19" customFormat="1" x14ac:dyDescent="0.2">
      <c r="B88" s="27">
        <v>0.81180555555555556</v>
      </c>
      <c r="C88" s="28">
        <v>6</v>
      </c>
      <c r="D88" s="36" t="str">
        <f>IF(C88="", "",VLOOKUP(C88,Key!$A$5:$B$7,2,FALSE))</f>
        <v>Large Bus</v>
      </c>
      <c r="E88" s="28"/>
      <c r="F88" s="28" t="s">
        <v>64</v>
      </c>
      <c r="G88" s="29" t="s">
        <v>72</v>
      </c>
      <c r="H88" s="29" t="s">
        <v>63</v>
      </c>
      <c r="I88" s="29"/>
      <c r="J88" s="29" t="s">
        <v>68</v>
      </c>
      <c r="K88" s="30" t="s">
        <v>68</v>
      </c>
      <c r="L88" s="30" t="str">
        <f t="shared" si="2"/>
        <v>Kaabong-KAMPALA</v>
      </c>
      <c r="M88" s="31">
        <v>19</v>
      </c>
      <c r="N88" s="38">
        <v>45000</v>
      </c>
      <c r="O88" s="37">
        <v>9.5</v>
      </c>
    </row>
    <row r="89" spans="2:15" s="19" customFormat="1" x14ac:dyDescent="0.2">
      <c r="B89" s="27">
        <v>0.8965277777777777</v>
      </c>
      <c r="C89" s="28">
        <v>6</v>
      </c>
      <c r="D89" s="36" t="str">
        <f>IF(C89="", "",VLOOKUP(C89,Key!$A$5:$B$7,2,FALSE))</f>
        <v>Large Bus</v>
      </c>
      <c r="E89" s="28"/>
      <c r="F89" s="28" t="s">
        <v>64</v>
      </c>
      <c r="G89" s="29" t="s">
        <v>66</v>
      </c>
      <c r="H89" s="29" t="s">
        <v>66</v>
      </c>
      <c r="I89" s="29"/>
      <c r="J89" s="29" t="s">
        <v>68</v>
      </c>
      <c r="K89" s="30" t="s">
        <v>68</v>
      </c>
      <c r="L89" s="30" t="str">
        <f t="shared" si="2"/>
        <v>KITGUM-KAMPALA</v>
      </c>
      <c r="M89" s="31">
        <v>59</v>
      </c>
      <c r="N89" s="38">
        <v>30000</v>
      </c>
      <c r="O89" s="37">
        <v>6.5</v>
      </c>
    </row>
    <row r="90" spans="2:15" s="19" customFormat="1" x14ac:dyDescent="0.2">
      <c r="B90" s="27">
        <v>0.91666666666666663</v>
      </c>
      <c r="C90" s="28">
        <v>6</v>
      </c>
      <c r="D90" s="36" t="str">
        <f>IF(C90="", "",VLOOKUP(C90,Key!$A$5:$B$7,2,FALSE))</f>
        <v>Large Bus</v>
      </c>
      <c r="E90" s="28"/>
      <c r="F90" s="28" t="s">
        <v>64</v>
      </c>
      <c r="G90" s="29" t="s">
        <v>66</v>
      </c>
      <c r="H90" s="29" t="s">
        <v>66</v>
      </c>
      <c r="I90" s="29"/>
      <c r="J90" s="29" t="s">
        <v>68</v>
      </c>
      <c r="K90" s="30" t="s">
        <v>68</v>
      </c>
      <c r="L90" s="30" t="str">
        <f t="shared" si="2"/>
        <v>KITGUM-KAMPALA</v>
      </c>
      <c r="M90" s="31">
        <v>46</v>
      </c>
      <c r="N90" s="38">
        <v>30000</v>
      </c>
      <c r="O90" s="37">
        <v>6.5</v>
      </c>
    </row>
    <row r="91" spans="2:15" s="19" customFormat="1" x14ac:dyDescent="0.2">
      <c r="B91" s="49">
        <v>43707</v>
      </c>
      <c r="C91" s="28"/>
      <c r="D91" s="36"/>
      <c r="E91" s="28"/>
      <c r="F91" s="28"/>
      <c r="G91" s="29"/>
      <c r="H91" s="29"/>
      <c r="I91" s="29"/>
      <c r="J91" s="29"/>
      <c r="K91" s="30"/>
      <c r="L91" s="30" t="str">
        <f t="shared" si="2"/>
        <v>-</v>
      </c>
      <c r="M91" s="31"/>
      <c r="N91" s="38"/>
      <c r="O91" s="37"/>
    </row>
    <row r="92" spans="2:15" s="19" customFormat="1" x14ac:dyDescent="0.2">
      <c r="B92" s="27">
        <v>0.29166666666666669</v>
      </c>
      <c r="C92" s="28">
        <v>6</v>
      </c>
      <c r="D92" s="36" t="str">
        <f>IF(C92="", "",VLOOKUP(C92,Key!$A$5:$B$7,2,FALSE))</f>
        <v>Large Bus</v>
      </c>
      <c r="E92" s="28"/>
      <c r="F92" s="28" t="s">
        <v>65</v>
      </c>
      <c r="G92" s="29" t="s">
        <v>70</v>
      </c>
      <c r="H92" s="29" t="s">
        <v>66</v>
      </c>
      <c r="I92" s="29"/>
      <c r="J92" s="29" t="s">
        <v>68</v>
      </c>
      <c r="K92" s="30" t="s">
        <v>68</v>
      </c>
      <c r="L92" s="30" t="str">
        <f t="shared" si="2"/>
        <v>KITGUM-KAMPALA</v>
      </c>
      <c r="M92" s="31">
        <v>39</v>
      </c>
      <c r="N92" s="38">
        <v>30000</v>
      </c>
      <c r="O92" s="37">
        <v>6.5</v>
      </c>
    </row>
    <row r="93" spans="2:15" s="19" customFormat="1" x14ac:dyDescent="0.2">
      <c r="B93" s="27">
        <v>0.3125</v>
      </c>
      <c r="C93" s="28">
        <v>6</v>
      </c>
      <c r="D93" s="36" t="str">
        <f>IF(C93="", "",VLOOKUP(C93,Key!$A$5:$B$7,2,FALSE))</f>
        <v>Large Bus</v>
      </c>
      <c r="E93" s="28"/>
      <c r="F93" s="28" t="s">
        <v>64</v>
      </c>
      <c r="G93" s="29" t="s">
        <v>70</v>
      </c>
      <c r="H93" s="29" t="s">
        <v>66</v>
      </c>
      <c r="I93" s="29"/>
      <c r="J93" s="29" t="s">
        <v>68</v>
      </c>
      <c r="K93" s="30" t="s">
        <v>68</v>
      </c>
      <c r="L93" s="30" t="str">
        <f t="shared" si="2"/>
        <v>KITGUM-KAMPALA</v>
      </c>
      <c r="M93" s="31">
        <v>39</v>
      </c>
      <c r="N93" s="38">
        <v>30000</v>
      </c>
      <c r="O93" s="37">
        <v>6.5</v>
      </c>
    </row>
    <row r="94" spans="2:15" s="19" customFormat="1" x14ac:dyDescent="0.2">
      <c r="B94" s="27">
        <v>0.3527777777777778</v>
      </c>
      <c r="C94" s="28">
        <v>6</v>
      </c>
      <c r="D94" s="36" t="str">
        <f>IF(C94="", "",VLOOKUP(C94,Key!$A$5:$B$7,2,FALSE))</f>
        <v>Large Bus</v>
      </c>
      <c r="E94" s="28"/>
      <c r="F94" s="28" t="s">
        <v>65</v>
      </c>
      <c r="G94" s="29" t="s">
        <v>72</v>
      </c>
      <c r="H94" s="29" t="s">
        <v>63</v>
      </c>
      <c r="I94" s="29"/>
      <c r="J94" s="29" t="s">
        <v>68</v>
      </c>
      <c r="K94" s="30" t="s">
        <v>68</v>
      </c>
      <c r="L94" s="30" t="str">
        <f t="shared" si="2"/>
        <v>Kaabong-KAMPALA</v>
      </c>
      <c r="M94" s="31">
        <v>30</v>
      </c>
      <c r="N94" s="38">
        <v>45000</v>
      </c>
      <c r="O94" s="37">
        <v>9.5</v>
      </c>
    </row>
    <row r="95" spans="2:15" s="19" customFormat="1" x14ac:dyDescent="0.2">
      <c r="B95" s="27">
        <v>0.35972222222222222</v>
      </c>
      <c r="C95" s="28">
        <v>6</v>
      </c>
      <c r="D95" s="36" t="str">
        <f>IF(C95="", "",VLOOKUP(C95,Key!$A$5:$B$7,2,FALSE))</f>
        <v>Large Bus</v>
      </c>
      <c r="E95" s="28"/>
      <c r="F95" s="28" t="s">
        <v>65</v>
      </c>
      <c r="G95" s="29" t="s">
        <v>73</v>
      </c>
      <c r="H95" s="29" t="s">
        <v>66</v>
      </c>
      <c r="I95" s="29"/>
      <c r="J95" s="29" t="s">
        <v>68</v>
      </c>
      <c r="K95" s="30" t="s">
        <v>68</v>
      </c>
      <c r="L95" s="30" t="str">
        <f t="shared" si="2"/>
        <v>KITGUM-KAMPALA</v>
      </c>
      <c r="M95" s="31">
        <v>50</v>
      </c>
      <c r="N95" s="38">
        <v>30000</v>
      </c>
      <c r="O95" s="37">
        <v>6.5</v>
      </c>
    </row>
    <row r="96" spans="2:15" s="19" customFormat="1" x14ac:dyDescent="0.2">
      <c r="B96" s="27">
        <v>0.36527777777777781</v>
      </c>
      <c r="C96" s="28">
        <v>6</v>
      </c>
      <c r="D96" s="36" t="str">
        <f>IF(C96="", "",VLOOKUP(C96,Key!$A$5:$B$7,2,FALSE))</f>
        <v>Large Bus</v>
      </c>
      <c r="E96" s="28"/>
      <c r="F96" s="28" t="s">
        <v>64</v>
      </c>
      <c r="G96" s="29" t="s">
        <v>72</v>
      </c>
      <c r="H96" s="29" t="s">
        <v>63</v>
      </c>
      <c r="I96" s="29"/>
      <c r="J96" s="29" t="s">
        <v>68</v>
      </c>
      <c r="K96" s="30" t="s">
        <v>68</v>
      </c>
      <c r="L96" s="30" t="str">
        <f t="shared" si="2"/>
        <v>Kaabong-KAMPALA</v>
      </c>
      <c r="M96" s="31">
        <v>30</v>
      </c>
      <c r="N96" s="38">
        <v>45000</v>
      </c>
      <c r="O96" s="37">
        <v>9.5</v>
      </c>
    </row>
    <row r="97" spans="2:15" s="19" customFormat="1" x14ac:dyDescent="0.2">
      <c r="B97" s="27">
        <v>0.37222222222222223</v>
      </c>
      <c r="C97" s="28">
        <v>6</v>
      </c>
      <c r="D97" s="36" t="str">
        <f>IF(C97="", "",VLOOKUP(C97,Key!$A$5:$B$7,2,FALSE))</f>
        <v>Large Bus</v>
      </c>
      <c r="E97" s="28"/>
      <c r="F97" s="28" t="s">
        <v>64</v>
      </c>
      <c r="G97" s="29" t="s">
        <v>66</v>
      </c>
      <c r="H97" s="29" t="s">
        <v>66</v>
      </c>
      <c r="I97" s="29"/>
      <c r="J97" s="29" t="s">
        <v>68</v>
      </c>
      <c r="K97" s="30" t="s">
        <v>68</v>
      </c>
      <c r="L97" s="30" t="str">
        <f t="shared" si="2"/>
        <v>KITGUM-KAMPALA</v>
      </c>
      <c r="M97" s="31">
        <v>59</v>
      </c>
      <c r="N97" s="38">
        <v>30000</v>
      </c>
      <c r="O97" s="37">
        <v>6.5</v>
      </c>
    </row>
    <row r="98" spans="2:15" s="19" customFormat="1" x14ac:dyDescent="0.2">
      <c r="B98" s="27">
        <v>0.375</v>
      </c>
      <c r="C98" s="28">
        <v>6</v>
      </c>
      <c r="D98" s="36" t="str">
        <f>IF(C98="", "",VLOOKUP(C98,Key!$A$5:$B$7,2,FALSE))</f>
        <v>Large Bus</v>
      </c>
      <c r="E98" s="28"/>
      <c r="F98" s="28" t="s">
        <v>64</v>
      </c>
      <c r="G98" s="29" t="s">
        <v>73</v>
      </c>
      <c r="H98" s="29" t="s">
        <v>66</v>
      </c>
      <c r="I98" s="29"/>
      <c r="J98" s="29" t="s">
        <v>68</v>
      </c>
      <c r="K98" s="30" t="s">
        <v>68</v>
      </c>
      <c r="L98" s="30" t="str">
        <f t="shared" si="2"/>
        <v>KITGUM-KAMPALA</v>
      </c>
      <c r="M98" s="31">
        <v>50</v>
      </c>
      <c r="N98" s="38">
        <v>30000</v>
      </c>
      <c r="O98" s="37">
        <v>6.5</v>
      </c>
    </row>
    <row r="99" spans="2:15" s="19" customFormat="1" x14ac:dyDescent="0.2">
      <c r="B99" s="27">
        <v>0.42569444444444443</v>
      </c>
      <c r="C99" s="28">
        <v>6</v>
      </c>
      <c r="D99" s="36" t="str">
        <f>IF(C99="", "",VLOOKUP(C99,Key!$A$5:$B$7,2,FALSE))</f>
        <v>Large Bus</v>
      </c>
      <c r="E99" s="28"/>
      <c r="F99" s="28" t="s">
        <v>64</v>
      </c>
      <c r="G99" s="29" t="s">
        <v>66</v>
      </c>
      <c r="H99" s="29" t="s">
        <v>66</v>
      </c>
      <c r="I99" s="29"/>
      <c r="J99" s="29" t="s">
        <v>68</v>
      </c>
      <c r="K99" s="30" t="s">
        <v>68</v>
      </c>
      <c r="L99" s="30" t="str">
        <f t="shared" si="2"/>
        <v>KITGUM-KAMPALA</v>
      </c>
      <c r="M99" s="31">
        <v>50</v>
      </c>
      <c r="N99" s="38">
        <v>30000</v>
      </c>
      <c r="O99" s="37">
        <v>6.5</v>
      </c>
    </row>
    <row r="100" spans="2:15" s="19" customFormat="1" x14ac:dyDescent="0.2">
      <c r="B100" s="27">
        <v>0.45833333333333331</v>
      </c>
      <c r="C100" s="28">
        <v>6</v>
      </c>
      <c r="D100" s="36" t="str">
        <f>IF(C100="", "",VLOOKUP(C100,Key!$A$5:$B$7,2,FALSE))</f>
        <v>Large Bus</v>
      </c>
      <c r="E100" s="28"/>
      <c r="F100" s="28" t="s">
        <v>64</v>
      </c>
      <c r="G100" s="29" t="s">
        <v>66</v>
      </c>
      <c r="H100" s="29" t="s">
        <v>66</v>
      </c>
      <c r="I100" s="29"/>
      <c r="J100" s="29" t="s">
        <v>72</v>
      </c>
      <c r="K100" s="30" t="s">
        <v>63</v>
      </c>
      <c r="L100" s="30" t="str">
        <f t="shared" si="2"/>
        <v>KITGUM-Kaabong</v>
      </c>
      <c r="M100" s="31">
        <v>24</v>
      </c>
      <c r="N100" s="38">
        <v>15000</v>
      </c>
      <c r="O100" s="37">
        <v>4</v>
      </c>
    </row>
    <row r="101" spans="2:15" s="19" customFormat="1" x14ac:dyDescent="0.2">
      <c r="B101" s="27">
        <v>0.47569444444444442</v>
      </c>
      <c r="C101" s="28">
        <v>6</v>
      </c>
      <c r="D101" s="36" t="str">
        <f>IF(C101="", "",VLOOKUP(C101,Key!$A$5:$B$7,2,FALSE))</f>
        <v>Large Bus</v>
      </c>
      <c r="E101" s="28"/>
      <c r="F101" s="28" t="s">
        <v>65</v>
      </c>
      <c r="G101" s="29" t="s">
        <v>71</v>
      </c>
      <c r="H101" s="29" t="s">
        <v>66</v>
      </c>
      <c r="I101" s="29"/>
      <c r="J101" s="29" t="s">
        <v>68</v>
      </c>
      <c r="K101" s="30" t="s">
        <v>68</v>
      </c>
      <c r="L101" s="30" t="str">
        <f t="shared" si="2"/>
        <v>KITGUM-KAMPALA</v>
      </c>
      <c r="M101" s="31">
        <v>50</v>
      </c>
      <c r="N101" s="38">
        <v>30000</v>
      </c>
      <c r="O101" s="37">
        <v>6.5</v>
      </c>
    </row>
    <row r="102" spans="2:15" s="19" customFormat="1" x14ac:dyDescent="0.2">
      <c r="B102" s="27">
        <v>0.4770833333333333</v>
      </c>
      <c r="C102" s="28">
        <v>6</v>
      </c>
      <c r="D102" s="36" t="str">
        <f>IF(C102="", "",VLOOKUP(C102,Key!$A$5:$B$7,2,FALSE))</f>
        <v>Large Bus</v>
      </c>
      <c r="E102" s="28"/>
      <c r="F102" s="28" t="s">
        <v>64</v>
      </c>
      <c r="G102" s="29" t="s">
        <v>66</v>
      </c>
      <c r="H102" s="29" t="s">
        <v>66</v>
      </c>
      <c r="I102" s="29"/>
      <c r="J102" s="29" t="s">
        <v>68</v>
      </c>
      <c r="K102" s="30" t="s">
        <v>68</v>
      </c>
      <c r="L102" s="30" t="str">
        <f t="shared" si="2"/>
        <v>KITGUM-KAMPALA</v>
      </c>
      <c r="M102" s="31">
        <v>50</v>
      </c>
      <c r="N102" s="38">
        <v>30000</v>
      </c>
      <c r="O102" s="37">
        <v>6.5</v>
      </c>
    </row>
    <row r="103" spans="2:15" s="19" customFormat="1" x14ac:dyDescent="0.2">
      <c r="B103" s="27">
        <v>0.51180555555555551</v>
      </c>
      <c r="C103" s="28">
        <v>6</v>
      </c>
      <c r="D103" s="36" t="str">
        <f>IF(C103="", "",VLOOKUP(C103,Key!$A$5:$B$7,2,FALSE))</f>
        <v>Large Bus</v>
      </c>
      <c r="E103" s="28"/>
      <c r="F103" s="28" t="s">
        <v>64</v>
      </c>
      <c r="G103" s="29" t="s">
        <v>71</v>
      </c>
      <c r="H103" s="29" t="s">
        <v>66</v>
      </c>
      <c r="I103" s="29"/>
      <c r="J103" s="29" t="s">
        <v>68</v>
      </c>
      <c r="K103" s="30" t="s">
        <v>68</v>
      </c>
      <c r="L103" s="30" t="str">
        <f t="shared" si="2"/>
        <v>KITGUM-KAMPALA</v>
      </c>
      <c r="M103" s="31">
        <v>50</v>
      </c>
      <c r="N103" s="38">
        <v>30000</v>
      </c>
      <c r="O103" s="37">
        <v>6.5</v>
      </c>
    </row>
    <row r="104" spans="2:15" s="19" customFormat="1" x14ac:dyDescent="0.2">
      <c r="B104" s="27">
        <v>0.55555555555555558</v>
      </c>
      <c r="C104" s="28">
        <v>6</v>
      </c>
      <c r="D104" s="36" t="str">
        <f>IF(C104="", "",VLOOKUP(C104,Key!$A$5:$B$7,2,FALSE))</f>
        <v>Large Bus</v>
      </c>
      <c r="E104" s="28"/>
      <c r="F104" s="28" t="s">
        <v>65</v>
      </c>
      <c r="G104" s="29" t="s">
        <v>74</v>
      </c>
      <c r="H104" s="29" t="s">
        <v>66</v>
      </c>
      <c r="I104" s="29"/>
      <c r="J104" s="29" t="s">
        <v>68</v>
      </c>
      <c r="K104" s="30" t="s">
        <v>68</v>
      </c>
      <c r="L104" s="30" t="str">
        <f t="shared" si="2"/>
        <v>KITGUM-KAMPALA</v>
      </c>
      <c r="M104" s="31">
        <v>50</v>
      </c>
      <c r="N104" s="38">
        <v>30000</v>
      </c>
      <c r="O104" s="37">
        <v>6.5</v>
      </c>
    </row>
    <row r="105" spans="2:15" s="19" customFormat="1" x14ac:dyDescent="0.2">
      <c r="B105" s="27">
        <v>0.59861111111111109</v>
      </c>
      <c r="C105" s="28">
        <v>6</v>
      </c>
      <c r="D105" s="36" t="str">
        <f>IF(C105="", "",VLOOKUP(C105,Key!$A$5:$B$7,2,FALSE))</f>
        <v>Large Bus</v>
      </c>
      <c r="E105" s="28"/>
      <c r="F105" s="28" t="s">
        <v>65</v>
      </c>
      <c r="G105" s="29" t="s">
        <v>68</v>
      </c>
      <c r="H105" s="29" t="s">
        <v>68</v>
      </c>
      <c r="I105" s="29"/>
      <c r="J105" s="29" t="s">
        <v>70</v>
      </c>
      <c r="K105" s="30" t="s">
        <v>66</v>
      </c>
      <c r="L105" s="30" t="str">
        <f t="shared" si="2"/>
        <v>KAMPALA-KITGUM</v>
      </c>
      <c r="M105" s="31">
        <v>50</v>
      </c>
      <c r="N105" s="38">
        <v>30000</v>
      </c>
      <c r="O105" s="37">
        <v>6.5</v>
      </c>
    </row>
    <row r="106" spans="2:15" s="19" customFormat="1" x14ac:dyDescent="0.2">
      <c r="B106" s="27">
        <v>0.65069444444444446</v>
      </c>
      <c r="C106" s="28">
        <v>6</v>
      </c>
      <c r="D106" s="36" t="str">
        <f>IF(C106="", "",VLOOKUP(C106,Key!$A$5:$B$7,2,FALSE))</f>
        <v>Large Bus</v>
      </c>
      <c r="E106" s="28"/>
      <c r="F106" s="28" t="s">
        <v>65</v>
      </c>
      <c r="G106" s="29" t="s">
        <v>68</v>
      </c>
      <c r="H106" s="29" t="s">
        <v>68</v>
      </c>
      <c r="I106" s="29"/>
      <c r="J106" s="29" t="s">
        <v>66</v>
      </c>
      <c r="K106" s="30" t="s">
        <v>66</v>
      </c>
      <c r="L106" s="30" t="str">
        <f t="shared" ref="L106:L137" si="3">H106&amp;"-"&amp;K106</f>
        <v>KAMPALA-KITGUM</v>
      </c>
      <c r="M106" s="31">
        <v>50</v>
      </c>
      <c r="N106" s="38">
        <v>30000</v>
      </c>
      <c r="O106" s="37">
        <v>6.5</v>
      </c>
    </row>
    <row r="107" spans="2:15" s="19" customFormat="1" x14ac:dyDescent="0.2">
      <c r="B107" s="27">
        <v>0.66666666666666663</v>
      </c>
      <c r="C107" s="28">
        <v>6</v>
      </c>
      <c r="D107" s="36" t="str">
        <f>IF(C107="", "",VLOOKUP(C107,Key!$A$5:$B$7,2,FALSE))</f>
        <v>Large Bus</v>
      </c>
      <c r="E107" s="28"/>
      <c r="F107" s="28" t="s">
        <v>64</v>
      </c>
      <c r="G107" s="29" t="s">
        <v>66</v>
      </c>
      <c r="H107" s="29" t="s">
        <v>66</v>
      </c>
      <c r="I107" s="29"/>
      <c r="J107" s="29" t="s">
        <v>68</v>
      </c>
      <c r="K107" s="30" t="s">
        <v>68</v>
      </c>
      <c r="L107" s="30" t="str">
        <f t="shared" si="3"/>
        <v>KITGUM-KAMPALA</v>
      </c>
      <c r="M107" s="31">
        <v>57</v>
      </c>
      <c r="N107" s="38">
        <v>30000</v>
      </c>
      <c r="O107" s="37">
        <v>6.5</v>
      </c>
    </row>
    <row r="108" spans="2:15" s="19" customFormat="1" x14ac:dyDescent="0.2">
      <c r="B108" s="27">
        <v>0.71875</v>
      </c>
      <c r="C108" s="28">
        <v>6</v>
      </c>
      <c r="D108" s="36" t="str">
        <f>IF(C108="", "",VLOOKUP(C108,Key!$A$5:$B$7,2,FALSE))</f>
        <v>Large Bus</v>
      </c>
      <c r="E108" s="28"/>
      <c r="F108" s="28" t="s">
        <v>65</v>
      </c>
      <c r="G108" s="29" t="s">
        <v>70</v>
      </c>
      <c r="H108" s="29" t="s">
        <v>66</v>
      </c>
      <c r="I108" s="29"/>
      <c r="J108" s="29" t="s">
        <v>68</v>
      </c>
      <c r="K108" s="30" t="s">
        <v>68</v>
      </c>
      <c r="L108" s="30" t="str">
        <f t="shared" si="3"/>
        <v>KITGUM-KAMPALA</v>
      </c>
      <c r="M108" s="31">
        <v>50</v>
      </c>
      <c r="N108" s="38">
        <v>30000</v>
      </c>
      <c r="O108" s="37">
        <v>6.5</v>
      </c>
    </row>
    <row r="109" spans="2:15" s="19" customFormat="1" x14ac:dyDescent="0.2">
      <c r="B109" s="27">
        <v>0.72916666666666663</v>
      </c>
      <c r="C109" s="28">
        <v>6</v>
      </c>
      <c r="D109" s="36" t="str">
        <f>IF(C109="", "",VLOOKUP(C109,Key!$A$5:$B$7,2,FALSE))</f>
        <v>Large Bus</v>
      </c>
      <c r="E109" s="28"/>
      <c r="F109" s="28" t="s">
        <v>65</v>
      </c>
      <c r="G109" s="29" t="s">
        <v>66</v>
      </c>
      <c r="H109" s="29" t="s">
        <v>66</v>
      </c>
      <c r="I109" s="29"/>
      <c r="J109" s="29" t="s">
        <v>68</v>
      </c>
      <c r="K109" s="30" t="s">
        <v>68</v>
      </c>
      <c r="L109" s="30" t="str">
        <f t="shared" si="3"/>
        <v>KITGUM-KAMPALA</v>
      </c>
      <c r="M109" s="31">
        <v>36</v>
      </c>
      <c r="N109" s="38">
        <v>30000</v>
      </c>
      <c r="O109" s="37">
        <v>6.5</v>
      </c>
    </row>
    <row r="110" spans="2:15" s="19" customFormat="1" ht="12" customHeight="1" x14ac:dyDescent="0.2">
      <c r="B110" s="27">
        <v>0.74097222222222225</v>
      </c>
      <c r="C110" s="28">
        <v>6</v>
      </c>
      <c r="D110" s="36" t="str">
        <f>IF(C110="", "",VLOOKUP(C110,Key!$A$5:$B$7,2,FALSE))</f>
        <v>Large Bus</v>
      </c>
      <c r="E110" s="28"/>
      <c r="F110" s="28" t="s">
        <v>64</v>
      </c>
      <c r="G110" s="29" t="s">
        <v>70</v>
      </c>
      <c r="H110" s="29" t="s">
        <v>66</v>
      </c>
      <c r="I110" s="29"/>
      <c r="J110" s="29" t="s">
        <v>68</v>
      </c>
      <c r="K110" s="30" t="s">
        <v>68</v>
      </c>
      <c r="L110" s="30" t="str">
        <f t="shared" si="3"/>
        <v>KITGUM-KAMPALA</v>
      </c>
      <c r="M110" s="31">
        <v>57</v>
      </c>
      <c r="N110" s="38">
        <v>30000</v>
      </c>
      <c r="O110" s="37">
        <v>6.5</v>
      </c>
    </row>
    <row r="111" spans="2:15" s="19" customFormat="1" x14ac:dyDescent="0.2">
      <c r="B111" s="27">
        <v>0.75</v>
      </c>
      <c r="C111" s="28">
        <v>6</v>
      </c>
      <c r="D111" s="36" t="str">
        <f>IF(C111="", "",VLOOKUP(C111,Key!$A$5:$B$7,2,FALSE))</f>
        <v>Large Bus</v>
      </c>
      <c r="E111" s="28"/>
      <c r="F111" s="28" t="s">
        <v>64</v>
      </c>
      <c r="G111" s="29" t="s">
        <v>66</v>
      </c>
      <c r="H111" s="29" t="s">
        <v>66</v>
      </c>
      <c r="I111" s="29"/>
      <c r="J111" s="29" t="s">
        <v>68</v>
      </c>
      <c r="K111" s="30" t="s">
        <v>68</v>
      </c>
      <c r="L111" s="30" t="str">
        <f t="shared" si="3"/>
        <v>KITGUM-KAMPALA</v>
      </c>
      <c r="M111" s="31">
        <v>36</v>
      </c>
      <c r="N111" s="38">
        <v>30000</v>
      </c>
      <c r="O111" s="37">
        <v>6.5</v>
      </c>
    </row>
    <row r="112" spans="2:15" s="19" customFormat="1" x14ac:dyDescent="0.2">
      <c r="B112" s="27">
        <v>0.875</v>
      </c>
      <c r="C112" s="28">
        <v>6</v>
      </c>
      <c r="D112" s="36" t="str">
        <f>IF(C112="", "",VLOOKUP(C112,Key!$A$5:$B$7,2,FALSE))</f>
        <v>Large Bus</v>
      </c>
      <c r="E112" s="28"/>
      <c r="F112" s="28" t="s">
        <v>64</v>
      </c>
      <c r="G112" s="29" t="s">
        <v>66</v>
      </c>
      <c r="H112" s="29" t="s">
        <v>66</v>
      </c>
      <c r="I112" s="29"/>
      <c r="J112" s="29" t="s">
        <v>68</v>
      </c>
      <c r="K112" s="30" t="s">
        <v>68</v>
      </c>
      <c r="L112" s="30" t="str">
        <f t="shared" si="3"/>
        <v>KITGUM-KAMPALA</v>
      </c>
      <c r="M112" s="31">
        <v>60</v>
      </c>
      <c r="N112" s="38">
        <v>30000</v>
      </c>
      <c r="O112" s="37">
        <v>6.5</v>
      </c>
    </row>
  </sheetData>
  <sortState ref="A9:V112">
    <sortCondition ref="A9:A112"/>
  </sortState>
  <mergeCells count="18">
    <mergeCell ref="F7:F8"/>
    <mergeCell ref="N7:N8"/>
    <mergeCell ref="B7:B8"/>
    <mergeCell ref="C7:C8"/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4" t="s">
        <v>8</v>
      </c>
      <c r="C7" s="86" t="s">
        <v>9</v>
      </c>
      <c r="D7" s="86" t="s">
        <v>10</v>
      </c>
      <c r="E7" s="86" t="s">
        <v>11</v>
      </c>
      <c r="F7" s="86" t="s">
        <v>12</v>
      </c>
      <c r="G7" s="86"/>
      <c r="H7" s="86" t="s">
        <v>15</v>
      </c>
      <c r="I7" s="86" t="s">
        <v>16</v>
      </c>
      <c r="J7" s="86" t="s">
        <v>17</v>
      </c>
      <c r="K7" s="86"/>
      <c r="L7" s="86" t="s">
        <v>18</v>
      </c>
      <c r="M7" s="86" t="s">
        <v>19</v>
      </c>
      <c r="N7" s="86" t="s">
        <v>20</v>
      </c>
      <c r="O7" s="88" t="s">
        <v>21</v>
      </c>
      <c r="P7" s="79" t="s">
        <v>27</v>
      </c>
      <c r="Q7" s="80"/>
    </row>
    <row r="8" spans="2:25" ht="24.75" customHeight="1" thickBot="1" x14ac:dyDescent="0.25">
      <c r="B8" s="85"/>
      <c r="C8" s="87"/>
      <c r="D8" s="87"/>
      <c r="E8" s="87"/>
      <c r="F8" s="18" t="s">
        <v>13</v>
      </c>
      <c r="G8" s="18" t="s">
        <v>14</v>
      </c>
      <c r="H8" s="87"/>
      <c r="I8" s="87"/>
      <c r="J8" s="18" t="s">
        <v>13</v>
      </c>
      <c r="K8" s="18" t="s">
        <v>14</v>
      </c>
      <c r="L8" s="87"/>
      <c r="M8" s="87"/>
      <c r="N8" s="87"/>
      <c r="O8" s="89"/>
      <c r="P8" s="81"/>
      <c r="Q8" s="82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9"/>
  <sheetViews>
    <sheetView tabSelected="1" view="pageBreakPreview" zoomScale="60" zoomScaleNormal="85" workbookViewId="0">
      <selection activeCell="G6" sqref="G6:K10"/>
    </sheetView>
  </sheetViews>
  <sheetFormatPr defaultRowHeight="12.75" x14ac:dyDescent="0.2"/>
  <cols>
    <col min="1" max="1" width="9.140625" style="53"/>
    <col min="2" max="2" width="12.140625" style="53" customWidth="1"/>
    <col min="3" max="3" width="15.5703125" style="53" customWidth="1"/>
    <col min="4" max="4" width="12.140625" style="53" customWidth="1"/>
    <col min="5" max="5" width="18" style="53" customWidth="1"/>
    <col min="6" max="6" width="22.140625" style="53" customWidth="1"/>
    <col min="7" max="8" width="10.85546875" style="53" customWidth="1"/>
    <col min="9" max="9" width="11.28515625" style="53" customWidth="1"/>
    <col min="10" max="10" width="10.140625" style="53" customWidth="1"/>
    <col min="11" max="11" width="12.28515625" style="53" customWidth="1"/>
    <col min="12" max="16384" width="9.140625" style="53"/>
  </cols>
  <sheetData>
    <row r="2" spans="2:11" ht="15" x14ac:dyDescent="0.25">
      <c r="B2" s="52" t="s">
        <v>93</v>
      </c>
    </row>
    <row r="4" spans="2:11" x14ac:dyDescent="0.2">
      <c r="D4" s="90" t="s">
        <v>77</v>
      </c>
      <c r="E4" s="90"/>
      <c r="F4" s="90"/>
      <c r="G4" s="90"/>
      <c r="H4" s="90"/>
      <c r="I4" s="90"/>
      <c r="J4" s="90" t="s">
        <v>78</v>
      </c>
      <c r="K4" s="90"/>
    </row>
    <row r="5" spans="2:11" s="56" customFormat="1" ht="49.5" customHeight="1" x14ac:dyDescent="0.2">
      <c r="B5" s="54" t="s">
        <v>79</v>
      </c>
      <c r="C5" s="54" t="s">
        <v>80</v>
      </c>
      <c r="D5" s="54" t="s">
        <v>81</v>
      </c>
      <c r="E5" s="54" t="s">
        <v>82</v>
      </c>
      <c r="F5" s="54" t="s">
        <v>83</v>
      </c>
      <c r="G5" s="55" t="s">
        <v>84</v>
      </c>
      <c r="H5" s="55" t="s">
        <v>85</v>
      </c>
      <c r="I5" s="55" t="s">
        <v>86</v>
      </c>
      <c r="J5" s="55" t="s">
        <v>87</v>
      </c>
      <c r="K5" s="55" t="s">
        <v>88</v>
      </c>
    </row>
    <row r="6" spans="2:11" ht="15" customHeight="1" x14ac:dyDescent="0.2">
      <c r="B6" s="57" t="s">
        <v>66</v>
      </c>
      <c r="C6" s="57" t="s">
        <v>89</v>
      </c>
      <c r="D6" s="57" t="s">
        <v>68</v>
      </c>
      <c r="E6" s="57" t="s">
        <v>66</v>
      </c>
      <c r="F6" s="57" t="str">
        <f>D6&amp;"-"&amp;E6</f>
        <v>KAMPALA-KITGUM</v>
      </c>
      <c r="G6" s="58">
        <f>ROUNDUP(COUNTIF('PT-19'!$L$9:$L$433,Summary!F6)/5,0)</f>
        <v>4</v>
      </c>
      <c r="H6" s="58">
        <v>435</v>
      </c>
      <c r="I6" s="59">
        <f>AVERAGEIF('PT-19'!$L$9:$L$433,Summary!F6,'PT-19'!$O$9:$O$433)</f>
        <v>6.5</v>
      </c>
      <c r="J6" s="58">
        <f>AVERAGEIF('PT-19'!$L$9:$L$433,Summary!F6,'PT-19'!$M$9:$M$433)</f>
        <v>39</v>
      </c>
      <c r="K6" s="60">
        <f>AVERAGEIF('PT-19'!$L$9:$L$433,Summary!F6,'PT-19'!$N$9:$N$433)</f>
        <v>30000</v>
      </c>
    </row>
    <row r="7" spans="2:11" ht="15" customHeight="1" x14ac:dyDescent="0.2">
      <c r="B7" s="57" t="s">
        <v>66</v>
      </c>
      <c r="C7" s="57" t="s">
        <v>91</v>
      </c>
      <c r="D7" s="57" t="s">
        <v>90</v>
      </c>
      <c r="E7" s="57" t="s">
        <v>68</v>
      </c>
      <c r="F7" s="57" t="str">
        <f t="shared" ref="F7:F10" si="0">D7&amp;"-"&amp;E7</f>
        <v>KAABONG-KAMPALA</v>
      </c>
      <c r="G7" s="58">
        <f>ROUNDUP(COUNTIF('PT-19'!$L$9:$L$433,Summary!F7)/5,0)</f>
        <v>1</v>
      </c>
      <c r="H7" s="58">
        <v>586</v>
      </c>
      <c r="I7" s="59">
        <f>AVERAGEIF('PT-19'!$L$9:$L$433,Summary!F7,'PT-19'!$O$9:$O$433)</f>
        <v>9.5</v>
      </c>
      <c r="J7" s="58">
        <f>AVERAGEIF('PT-19'!$L$9:$L$433,Summary!F7,'PT-19'!$M$9:$M$433)</f>
        <v>28.8</v>
      </c>
      <c r="K7" s="60">
        <f>AVERAGEIF('PT-19'!$L$9:$L$433,Summary!F7,'PT-19'!$N$9:$N$433)</f>
        <v>45000</v>
      </c>
    </row>
    <row r="8" spans="2:11" ht="15" customHeight="1" x14ac:dyDescent="0.2">
      <c r="B8" s="57" t="s">
        <v>66</v>
      </c>
      <c r="C8" s="57" t="s">
        <v>91</v>
      </c>
      <c r="D8" s="57" t="s">
        <v>66</v>
      </c>
      <c r="E8" s="57" t="s">
        <v>68</v>
      </c>
      <c r="F8" s="57" t="str">
        <f t="shared" si="0"/>
        <v>KITGUM-KAMPALA</v>
      </c>
      <c r="G8" s="58">
        <f>ROUNDUP(COUNTIF('PT-19'!$L$9:$L$433,Summary!F8)/5,0)</f>
        <v>14</v>
      </c>
      <c r="H8" s="58">
        <v>435</v>
      </c>
      <c r="I8" s="59">
        <f>AVERAGEIF('PT-19'!$L$9:$L$433,Summary!F8,'PT-19'!$O$9:$O$433)</f>
        <v>6.5</v>
      </c>
      <c r="J8" s="58">
        <f>AVERAGEIF('PT-19'!$L$9:$L$433,Summary!F8,'PT-19'!$M$9:$M$433)</f>
        <v>46.272727272727273</v>
      </c>
      <c r="K8" s="60">
        <f>AVERAGEIF('PT-19'!$L$9:$L$433,Summary!F8,'PT-19'!$N$9:$N$433)</f>
        <v>30000</v>
      </c>
    </row>
    <row r="9" spans="2:11" ht="15" customHeight="1" x14ac:dyDescent="0.2">
      <c r="B9" s="57" t="s">
        <v>66</v>
      </c>
      <c r="C9" s="57" t="s">
        <v>91</v>
      </c>
      <c r="D9" s="57" t="s">
        <v>67</v>
      </c>
      <c r="E9" s="57" t="s">
        <v>68</v>
      </c>
      <c r="F9" s="57" t="str">
        <f t="shared" si="0"/>
        <v>LAMWO-KAMPALA</v>
      </c>
      <c r="G9" s="58">
        <f>ROUNDUP(COUNTIF('PT-19'!$L$9:$L$433,Summary!F9)/5,0)</f>
        <v>2</v>
      </c>
      <c r="H9" s="58">
        <v>454</v>
      </c>
      <c r="I9" s="59">
        <f>AVERAGEIF('PT-19'!$L$9:$L$433,Summary!F9,'PT-19'!$O$9:$O$433)</f>
        <v>7.5</v>
      </c>
      <c r="J9" s="58">
        <f>AVERAGEIF('PT-19'!$L$9:$L$433,Summary!F9,'PT-19'!$M$9:$M$433)</f>
        <v>27.5</v>
      </c>
      <c r="K9" s="60">
        <f>AVERAGEIF('PT-19'!$L$9:$L$433,Summary!F9,'PT-19'!$N$9:$N$433)</f>
        <v>35000</v>
      </c>
    </row>
    <row r="10" spans="2:11" ht="15" customHeight="1" x14ac:dyDescent="0.2">
      <c r="B10" s="57" t="s">
        <v>66</v>
      </c>
      <c r="C10" s="57" t="s">
        <v>94</v>
      </c>
      <c r="D10" s="57" t="s">
        <v>66</v>
      </c>
      <c r="E10" s="57" t="s">
        <v>90</v>
      </c>
      <c r="F10" s="57" t="str">
        <f t="shared" si="0"/>
        <v>KITGUM-KAABONG</v>
      </c>
      <c r="G10" s="58">
        <f>ROUNDUP(COUNTIF('PT-19'!$L$9:$L$433,Summary!F10)/5,0)</f>
        <v>1</v>
      </c>
      <c r="H10" s="58">
        <v>185</v>
      </c>
      <c r="I10" s="59">
        <f>AVERAGEIF('PT-19'!$L$9:$L$433,Summary!F10,'PT-19'!$O$9:$O$433)</f>
        <v>4</v>
      </c>
      <c r="J10" s="58">
        <f>AVERAGEIF('PT-19'!$L$9:$L$433,Summary!F10,'PT-19'!$M$9:$M$433)</f>
        <v>24</v>
      </c>
      <c r="K10" s="60">
        <f>AVERAGEIF('PT-19'!$L$9:$L$433,Summary!F10,'PT-19'!$N$9:$N$433)</f>
        <v>15000</v>
      </c>
    </row>
    <row r="11" spans="2:11" ht="15" customHeight="1" x14ac:dyDescent="0.2"/>
    <row r="12" spans="2:11" ht="15" customHeight="1" x14ac:dyDescent="0.2"/>
    <row r="13" spans="2:11" ht="15" customHeight="1" x14ac:dyDescent="0.2"/>
    <row r="14" spans="2:11" ht="15" customHeight="1" x14ac:dyDescent="0.2"/>
    <row r="15" spans="2:11" ht="15" customHeight="1" x14ac:dyDescent="0.2"/>
    <row r="16" spans="2:11" ht="15" customHeight="1" x14ac:dyDescent="0.2"/>
    <row r="17" ht="15" customHeight="1" x14ac:dyDescent="0.2"/>
    <row r="18" ht="15" customHeight="1" x14ac:dyDescent="0.2"/>
    <row r="19" ht="15" customHeight="1" x14ac:dyDescent="0.2"/>
  </sheetData>
  <mergeCells count="2">
    <mergeCell ref="D4:I4"/>
    <mergeCell ref="J4:K4"/>
  </mergeCells>
  <pageMargins left="0.7" right="0.7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PT-19</vt:lpstr>
      <vt:lpstr>RSI FORM</vt:lpstr>
      <vt:lpstr>Summary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2020-03-31T23:59:11Z</dcterms:modified>
</cp:coreProperties>
</file>