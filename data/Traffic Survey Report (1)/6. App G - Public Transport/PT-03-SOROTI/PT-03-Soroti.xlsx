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H:\EDMP ANALYSIS_V5.0\PT-DATA_V1.0\PT-DATA_V1.0\PT-03-SOROTI\"/>
    </mc:Choice>
  </mc:AlternateContent>
  <bookViews>
    <workbookView xWindow="-120" yWindow="-120" windowWidth="20730" windowHeight="11160" activeTab="1"/>
  </bookViews>
  <sheets>
    <sheet name="PT-03" sheetId="3" r:id="rId1"/>
    <sheet name="Summary" sheetId="7" r:id="rId2"/>
    <sheet name="Sheet1" sheetId="6" r:id="rId3"/>
    <sheet name="RSI FORM" sheetId="4" state="hidden" r:id="rId4"/>
    <sheet name="Key" sheetId="5" r:id="rId5"/>
  </sheets>
  <definedNames>
    <definedName name="_xlnm._FilterDatabase" localSheetId="0" hidden="1">'PT-03'!$B$9:$O$27</definedName>
    <definedName name="_xlnm.Print_Area" localSheetId="1">Summary!$A$1:$L$10</definedName>
    <definedName name="Veh_Type">'PT-03'!$C$9:$C$27</definedName>
    <definedName name="zones" localSheetId="1">#REF!</definedName>
    <definedName name="zones">#REF!</definedName>
    <definedName name="Zones_Ndeke" localSheetId="1">#REF!</definedName>
    <definedName name="Zones_Ndeke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" i="7" l="1"/>
  <c r="K8" i="7"/>
  <c r="K9" i="7"/>
  <c r="K6" i="7"/>
  <c r="J7" i="7"/>
  <c r="J8" i="7"/>
  <c r="J9" i="7"/>
  <c r="J6" i="7"/>
  <c r="I7" i="7"/>
  <c r="I8" i="7"/>
  <c r="I9" i="7"/>
  <c r="I6" i="7"/>
  <c r="L10" i="3"/>
  <c r="L11" i="3"/>
  <c r="L12" i="3"/>
  <c r="L13" i="3"/>
  <c r="L14" i="3"/>
  <c r="L17" i="3"/>
  <c r="L15" i="3"/>
  <c r="L18" i="3"/>
  <c r="L19" i="3"/>
  <c r="L20" i="3"/>
  <c r="L21" i="3"/>
  <c r="L22" i="3"/>
  <c r="L23" i="3"/>
  <c r="L24" i="3"/>
  <c r="L25" i="3"/>
  <c r="L16" i="3"/>
  <c r="L26" i="3"/>
  <c r="L27" i="3"/>
  <c r="L9" i="3"/>
  <c r="F9" i="7"/>
  <c r="F8" i="7"/>
  <c r="F7" i="7"/>
  <c r="F6" i="7"/>
  <c r="G6" i="7" l="1"/>
  <c r="G8" i="7"/>
  <c r="G9" i="7"/>
  <c r="G7" i="7"/>
  <c r="G5" i="6"/>
  <c r="G4" i="6"/>
  <c r="F5" i="6"/>
  <c r="F4" i="6"/>
  <c r="E5" i="6"/>
  <c r="E4" i="6"/>
  <c r="D5" i="6"/>
  <c r="D4" i="6"/>
  <c r="D19" i="3" l="1"/>
  <c r="D20" i="3"/>
  <c r="D21" i="3"/>
  <c r="D22" i="3"/>
  <c r="D23" i="3"/>
  <c r="D17" i="3"/>
  <c r="D15" i="3"/>
  <c r="D9" i="3"/>
  <c r="D10" i="3"/>
  <c r="D11" i="3"/>
  <c r="D12" i="3"/>
  <c r="D13" i="3"/>
  <c r="D18" i="3"/>
  <c r="D24" i="3"/>
  <c r="D25" i="3"/>
  <c r="D16" i="3"/>
  <c r="D26" i="3"/>
  <c r="D27" i="3"/>
  <c r="D14" i="3"/>
</calcChain>
</file>

<file path=xl/sharedStrings.xml><?xml version="1.0" encoding="utf-8"?>
<sst xmlns="http://schemas.openxmlformats.org/spreadsheetml/2006/main" count="307" uniqueCount="118">
  <si>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</si>
  <si>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</si>
  <si>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</si>
  <si>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</si>
  <si>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</si>
  <si>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</si>
  <si>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</si>
  <si>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</si>
  <si>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</si>
  <si>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</si>
  <si>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</si>
  <si>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</si>
  <si>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</si>
  <si>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</si>
  <si>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</si>
  <si>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</si>
  <si>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</si>
  <si>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</si>
  <si>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</si>
  <si>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</si>
  <si>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</si>
  <si>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</si>
  <si>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</si>
  <si>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</si>
  <si>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</si>
  <si>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</si>
  <si>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</si>
  <si>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</si>
  <si>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</si>
  <si>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</si>
  <si>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</si>
  <si>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</si>
  <si>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</si>
  <si>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</si>
  <si>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</si>
  <si>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Veh_Reg_No.</t>
  </si>
  <si>
    <t>District</t>
  </si>
  <si>
    <t>Country</t>
  </si>
  <si>
    <t>Supervisor: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</si>
  <si>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</si>
  <si>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</si>
  <si>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</si>
  <si>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</si>
  <si>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</si>
  <si>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</si>
  <si>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</si>
  <si>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</si>
  <si>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</si>
  <si>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</si>
  <si>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</si>
  <si>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</si>
  <si>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Consultancy services for Preparation of Expressway Development Master Plan (EDMP) for Uganda</t>
  </si>
  <si>
    <t>Approx_Journey Time (Hrs)</t>
  </si>
  <si>
    <t>Town</t>
  </si>
  <si>
    <t>IN / OUT</t>
  </si>
  <si>
    <t>Type of Veh.</t>
  </si>
  <si>
    <t>No. Passengers</t>
  </si>
  <si>
    <t>Enumerator:</t>
  </si>
  <si>
    <t>Location</t>
  </si>
  <si>
    <t>Cost of Trip (UGX)</t>
  </si>
  <si>
    <t>Bakole. D.M</t>
  </si>
  <si>
    <t>Public Transport/Bus Surveys</t>
  </si>
  <si>
    <t>18.10.19</t>
  </si>
  <si>
    <t>Bwire Henry</t>
  </si>
  <si>
    <t>Soroti</t>
  </si>
  <si>
    <t>Denis K</t>
  </si>
  <si>
    <t>Isaac A.</t>
  </si>
  <si>
    <t>UBA 921M</t>
  </si>
  <si>
    <t xml:space="preserve">in  </t>
  </si>
  <si>
    <t>Kampala</t>
  </si>
  <si>
    <t>Uga</t>
  </si>
  <si>
    <t>UBF 807D</t>
  </si>
  <si>
    <t>out</t>
  </si>
  <si>
    <t>UBA 660D</t>
  </si>
  <si>
    <t>Busia</t>
  </si>
  <si>
    <t>UAU 604R</t>
  </si>
  <si>
    <t>in</t>
  </si>
  <si>
    <t>UBE 054N</t>
  </si>
  <si>
    <t>UAX 789T</t>
  </si>
  <si>
    <t>UBE 921M</t>
  </si>
  <si>
    <t>UAX 842T</t>
  </si>
  <si>
    <t>UAH 743Y</t>
  </si>
  <si>
    <t>UAZ 220W</t>
  </si>
  <si>
    <t>UAZ 533L</t>
  </si>
  <si>
    <t>UAJ 573X</t>
  </si>
  <si>
    <t>UAZ 221V</t>
  </si>
  <si>
    <t>UBD 226U</t>
  </si>
  <si>
    <t>UBE 683J</t>
  </si>
  <si>
    <t>UAM 367M</t>
  </si>
  <si>
    <t>UAZ 050G</t>
  </si>
  <si>
    <t>Gulu</t>
  </si>
  <si>
    <t>UAV 995C</t>
  </si>
  <si>
    <t>To Soroti</t>
  </si>
  <si>
    <t>From Soroti</t>
  </si>
  <si>
    <t>No. Buses</t>
  </si>
  <si>
    <t>Journey Time (hrs)</t>
  </si>
  <si>
    <t>Direction</t>
  </si>
  <si>
    <t>Averages</t>
  </si>
  <si>
    <t>BUS JOURNEY</t>
  </si>
  <si>
    <t>PASSENGER DETAILS</t>
  </si>
  <si>
    <t>STATION</t>
  </si>
  <si>
    <t>DIRECTION</t>
  </si>
  <si>
    <t>ORIGIN</t>
  </si>
  <si>
    <t>DESTINATION</t>
  </si>
  <si>
    <t>ROUTE ID</t>
  </si>
  <si>
    <t>BUS TRIPS / DAY</t>
  </si>
  <si>
    <t>JOURNEY DISTANCE (KM)</t>
  </si>
  <si>
    <t>JOURNEY TIME/ TRIP (HRS)</t>
  </si>
  <si>
    <t>EST. PAX/ BUS</t>
  </si>
  <si>
    <t>AVERAGE PAX FARE (UGX)</t>
  </si>
  <si>
    <t>FROM KAMPALA</t>
  </si>
  <si>
    <t>KAMPALA</t>
  </si>
  <si>
    <t>SOROTI</t>
  </si>
  <si>
    <t>TO KAMPALA</t>
  </si>
  <si>
    <t>Journey_Desc</t>
  </si>
  <si>
    <t>BUSIA</t>
  </si>
  <si>
    <t>GULU</t>
  </si>
  <si>
    <t>BUS OPERATIONS AT SOROTI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</si>
</sst>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(* #,##0.00_);_(* \(#,##0.00\);_(* &quot;-&quot;??_);_(@_)"/>
    <numFmt numFmtId="164" formatCode="_-* #,##0_-;\-* #,##0_-;_-* &quot;-&quot;_-;_-@_-"/>
    <numFmt numFmtId="165" formatCode="h:mm;@"/>
    <numFmt numFmtId="166" formatCode="0.0"/>
    <numFmt numFmtId="167" formatCode="_(* #,##0_);_(* \(#,##0\);_(* &quot;-&quot;??_);_(@_)"/>
  </numFmts>
  <fonts count="14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b/>
      <u/>
      <sz val="12"/>
      <name val="Arial"/>
      <family val="2"/>
    </font>
    <font>
      <b/>
      <sz val="16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8">
    <xf numFmtId="0" fontId="0" fillId="0" borderId="0"/>
    <xf numFmtId="43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9" fillId="0" borderId="0"/>
    <xf numFmtId="43" fontId="6" fillId="0" borderId="0" applyFont="0" applyFill="0" applyBorder="0" applyAlignment="0" applyProtection="0"/>
    <xf numFmtId="0" fontId="1" fillId="0" borderId="0"/>
    <xf numFmtId="164" fontId="13" fillId="0" borderId="0" applyFont="0" applyFill="0" applyBorder="0" applyAlignment="0" applyProtection="0"/>
    <xf numFmtId="164" fontId="6" fillId="0" borderId="0" applyFont="0" applyFill="0" applyBorder="0" applyAlignment="0" applyProtection="0"/>
  </cellStyleXfs>
  <cellXfs count="97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horizont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0" fontId="6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Fill="1"/>
    <xf numFmtId="1" fontId="2" fillId="2" borderId="7" xfId="0" applyNumberFormat="1" applyFont="1" applyFill="1" applyBorder="1" applyAlignment="1">
      <alignment horizontal="center" vertical="center" wrapText="1"/>
    </xf>
    <xf numFmtId="1" fontId="6" fillId="2" borderId="2" xfId="0" applyNumberFormat="1" applyFont="1" applyFill="1" applyBorder="1" applyAlignment="1">
      <alignment horizontal="center" wrapText="1"/>
    </xf>
    <xf numFmtId="166" fontId="6" fillId="3" borderId="2" xfId="0" applyNumberFormat="1" applyFont="1" applyFill="1" applyBorder="1" applyAlignment="1">
      <alignment horizontal="center"/>
    </xf>
    <xf numFmtId="167" fontId="6" fillId="3" borderId="2" xfId="1" applyNumberFormat="1" applyFont="1" applyFill="1" applyBorder="1" applyAlignment="1">
      <alignment horizontal="right"/>
    </xf>
    <xf numFmtId="0" fontId="10" fillId="0" borderId="0" xfId="0" applyFont="1"/>
    <xf numFmtId="20" fontId="3" fillId="3" borderId="2" xfId="0" applyNumberFormat="1" applyFont="1" applyFill="1" applyBorder="1" applyAlignment="1">
      <alignment vertical="center"/>
    </xf>
    <xf numFmtId="0" fontId="10" fillId="0" borderId="22" xfId="0" applyFont="1" applyFill="1" applyBorder="1" applyAlignment="1"/>
    <xf numFmtId="0" fontId="3" fillId="0" borderId="0" xfId="0" applyFont="1" applyBorder="1" applyAlignment="1">
      <alignment horizontal="right" vertical="center"/>
    </xf>
    <xf numFmtId="0" fontId="10" fillId="3" borderId="20" xfId="0" applyFont="1" applyFill="1" applyBorder="1" applyAlignment="1"/>
    <xf numFmtId="0" fontId="10" fillId="0" borderId="0" xfId="0" applyFont="1" applyBorder="1"/>
    <xf numFmtId="0" fontId="10" fillId="0" borderId="0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1" fontId="2" fillId="2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 wrapText="1"/>
    </xf>
    <xf numFmtId="164" fontId="0" fillId="0" borderId="0" xfId="6" applyFont="1"/>
    <xf numFmtId="2" fontId="0" fillId="0" borderId="0" xfId="0" applyNumberFormat="1" applyAlignment="1">
      <alignment horizontal="right" vertical="center"/>
    </xf>
    <xf numFmtId="0" fontId="4" fillId="0" borderId="0" xfId="0" applyFont="1"/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1" fontId="0" fillId="5" borderId="2" xfId="0" applyNumberFormat="1" applyFill="1" applyBorder="1" applyAlignment="1">
      <alignment horizontal="center" vertical="center"/>
    </xf>
    <xf numFmtId="166" fontId="0" fillId="5" borderId="2" xfId="0" applyNumberFormat="1" applyFill="1" applyBorder="1" applyAlignment="1">
      <alignment vertical="center"/>
    </xf>
    <xf numFmtId="164" fontId="0" fillId="5" borderId="2" xfId="7" applyFont="1" applyFill="1" applyBorder="1" applyAlignment="1">
      <alignment vertical="center"/>
    </xf>
    <xf numFmtId="0" fontId="12" fillId="0" borderId="0" xfId="0" applyFont="1" applyAlignment="1">
      <alignment horizontal="center" vertical="center"/>
    </xf>
    <xf numFmtId="1" fontId="2" fillId="2" borderId="10" xfId="0" applyNumberFormat="1" applyFont="1" applyFill="1" applyBorder="1" applyAlignment="1">
      <alignment horizontal="center" vertical="center" wrapText="1"/>
    </xf>
    <xf numFmtId="1" fontId="2" fillId="2" borderId="3" xfId="0" applyNumberFormat="1" applyFont="1" applyFill="1" applyBorder="1" applyAlignment="1">
      <alignment horizontal="center" vertical="center" wrapText="1"/>
    </xf>
    <xf numFmtId="1" fontId="2" fillId="2" borderId="8" xfId="0" applyNumberFormat="1" applyFont="1" applyFill="1" applyBorder="1" applyAlignment="1">
      <alignment horizontal="center" vertical="center" wrapText="1"/>
    </xf>
    <xf numFmtId="1" fontId="2" fillId="2" borderId="7" xfId="0" applyNumberFormat="1" applyFont="1" applyFill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left" vertical="center"/>
    </xf>
    <xf numFmtId="0" fontId="3" fillId="3" borderId="21" xfId="0" applyFont="1" applyFill="1" applyBorder="1" applyAlignment="1">
      <alignment horizontal="left" vertical="center"/>
    </xf>
    <xf numFmtId="0" fontId="10" fillId="3" borderId="20" xfId="0" applyFont="1" applyFill="1" applyBorder="1" applyAlignment="1">
      <alignment horizontal="left"/>
    </xf>
    <xf numFmtId="0" fontId="10" fillId="3" borderId="21" xfId="0" applyFont="1" applyFill="1" applyBorder="1" applyAlignment="1">
      <alignment horizontal="left"/>
    </xf>
    <xf numFmtId="0" fontId="3" fillId="0" borderId="0" xfId="0" applyFont="1" applyAlignment="1">
      <alignment horizontal="right" vertical="center"/>
    </xf>
    <xf numFmtId="0" fontId="3" fillId="0" borderId="23" xfId="0" applyFont="1" applyBorder="1" applyAlignment="1">
      <alignment horizontal="right" vertical="center"/>
    </xf>
    <xf numFmtId="0" fontId="3" fillId="0" borderId="0" xfId="0" applyFont="1" applyAlignment="1">
      <alignment horizontal="right"/>
    </xf>
    <xf numFmtId="0" fontId="3" fillId="0" borderId="23" xfId="0" applyFont="1" applyBorder="1" applyAlignment="1">
      <alignment horizontal="right"/>
    </xf>
    <xf numFmtId="1" fontId="2" fillId="2" borderId="18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1" fontId="2" fillId="2" borderId="17" xfId="0" applyNumberFormat="1" applyFont="1" applyFill="1" applyBorder="1" applyAlignment="1">
      <alignment horizontal="center" vertical="center" wrapText="1"/>
    </xf>
    <xf numFmtId="1" fontId="2" fillId="2" borderId="11" xfId="0" applyNumberFormat="1" applyFont="1" applyFill="1" applyBorder="1" applyAlignment="1">
      <alignment horizontal="center" vertical="center" wrapText="1"/>
    </xf>
    <xf numFmtId="1" fontId="2" fillId="2" borderId="12" xfId="0" applyNumberFormat="1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" fontId="2" fillId="0" borderId="11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</cellXfs>
  <cellStyles count="8">
    <cellStyle name="Comma" xfId="1" builtinId="3"/>
    <cellStyle name="Comma [0]" xfId="6" builtinId="6"/>
    <cellStyle name="Comma [0] 2" xfId="7"/>
    <cellStyle name="Comma 2" xfId="4"/>
    <cellStyle name="Normal" xfId="0" builtinId="0"/>
    <cellStyle name="Normal 2" xfId="3"/>
    <cellStyle name="Normal 3" xfId="5"/>
    <cellStyle name="Percent 2" xfId="2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7"/>
  <sheetViews>
    <sheetView view="pageBreakPreview" topLeftCell="A4" zoomScale="80" zoomScaleNormal="70" zoomScaleSheetLayoutView="80" workbookViewId="0">
      <selection activeCell="I23" sqref="I23"/>
    </sheetView>
  </sheetViews>
  <sheetFormatPr defaultRowHeight="12.75" x14ac:dyDescent="0.2"/>
  <cols>
    <col min="1" max="1" width="2.5703125" customWidth="1"/>
    <col min="2" max="2" width="16.42578125" customWidth="1"/>
    <col min="3" max="3" width="11.7109375" customWidth="1"/>
    <col min="4" max="4" width="11.7109375" style="34" customWidth="1"/>
    <col min="5" max="5" width="19.28515625" customWidth="1"/>
    <col min="6" max="6" width="11.5703125" customWidth="1"/>
    <col min="7" max="7" width="33.5703125" customWidth="1"/>
    <col min="8" max="8" width="21" customWidth="1"/>
    <col min="9" max="9" width="14.85546875" customWidth="1"/>
    <col min="10" max="10" width="22.5703125" customWidth="1"/>
    <col min="11" max="11" width="16.28515625" customWidth="1"/>
    <col min="12" max="12" width="18.85546875" customWidth="1"/>
    <col min="13" max="13" width="14.7109375" customWidth="1"/>
    <col min="14" max="14" width="16.42578125" customWidth="1"/>
    <col min="15" max="15" width="18.7109375" customWidth="1"/>
  </cols>
  <sheetData>
    <row r="1" spans="1:22" s="1" customFormat="1" ht="20.25" x14ac:dyDescent="0.2">
      <c r="B1" s="63" t="s">
        <v>51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"/>
      <c r="Q1" s="6"/>
      <c r="R1" s="6"/>
      <c r="S1" s="6"/>
      <c r="T1" s="6"/>
      <c r="U1" s="6"/>
      <c r="V1" s="6"/>
    </row>
    <row r="2" spans="1:22" ht="20.25" x14ac:dyDescent="0.2">
      <c r="B2" s="63" t="s">
        <v>61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7"/>
      <c r="Q2" s="7"/>
      <c r="R2" s="7"/>
      <c r="S2" s="7"/>
      <c r="T2" s="7"/>
      <c r="U2" s="7"/>
      <c r="V2" s="7"/>
    </row>
    <row r="3" spans="1:22" ht="15" x14ac:dyDescent="0.2">
      <c r="B3" s="2"/>
      <c r="C3" s="2"/>
      <c r="D3" s="33"/>
      <c r="E3" s="2"/>
      <c r="F3" s="32"/>
      <c r="G3" s="2"/>
      <c r="H3" s="2"/>
      <c r="I3" s="2"/>
      <c r="J3" s="2"/>
      <c r="K3" s="2"/>
      <c r="L3" s="2"/>
      <c r="M3" s="2"/>
      <c r="N3" s="2"/>
      <c r="O3" s="2"/>
    </row>
    <row r="4" spans="1:22" s="39" customFormat="1" ht="15" customHeight="1" x14ac:dyDescent="0.25">
      <c r="B4" s="72" t="s">
        <v>2</v>
      </c>
      <c r="C4" s="73"/>
      <c r="D4" s="40" t="s">
        <v>62</v>
      </c>
      <c r="G4" s="48" t="s">
        <v>58</v>
      </c>
      <c r="H4" s="68" t="s">
        <v>64</v>
      </c>
      <c r="I4" s="69"/>
      <c r="J4" s="42" t="s">
        <v>6</v>
      </c>
      <c r="K4" s="70" t="s">
        <v>66</v>
      </c>
      <c r="L4" s="71"/>
      <c r="M4" s="41"/>
      <c r="N4" s="42" t="s">
        <v>7</v>
      </c>
      <c r="O4" s="43" t="s">
        <v>60</v>
      </c>
      <c r="P4" s="41"/>
      <c r="R4" s="44"/>
      <c r="S4" s="45"/>
    </row>
    <row r="5" spans="1:22" s="39" customFormat="1" ht="15" customHeight="1" x14ac:dyDescent="0.25">
      <c r="B5" s="74" t="s">
        <v>57</v>
      </c>
      <c r="C5" s="75"/>
      <c r="D5" s="68" t="s">
        <v>63</v>
      </c>
      <c r="E5" s="69"/>
      <c r="F5" s="46"/>
      <c r="G5" s="48" t="s">
        <v>38</v>
      </c>
      <c r="H5" s="68" t="s">
        <v>65</v>
      </c>
      <c r="I5" s="69"/>
      <c r="K5" s="47"/>
      <c r="M5" s="47"/>
    </row>
    <row r="6" spans="1:22" ht="13.5" thickBot="1" x14ac:dyDescent="0.25"/>
    <row r="7" spans="1:22" ht="30.75" customHeight="1" x14ac:dyDescent="0.2">
      <c r="A7" s="34"/>
      <c r="B7" s="79" t="s">
        <v>34</v>
      </c>
      <c r="C7" s="66" t="s">
        <v>9</v>
      </c>
      <c r="D7" s="64" t="s">
        <v>55</v>
      </c>
      <c r="E7" s="64" t="s">
        <v>35</v>
      </c>
      <c r="F7" s="64" t="s">
        <v>54</v>
      </c>
      <c r="G7" s="76" t="s">
        <v>12</v>
      </c>
      <c r="H7" s="77"/>
      <c r="I7" s="78"/>
      <c r="J7" s="76" t="s">
        <v>17</v>
      </c>
      <c r="K7" s="77"/>
      <c r="L7" s="78"/>
      <c r="M7" s="66" t="s">
        <v>56</v>
      </c>
      <c r="N7" s="64" t="s">
        <v>59</v>
      </c>
      <c r="O7" s="64" t="s">
        <v>52</v>
      </c>
      <c r="Q7" s="19"/>
    </row>
    <row r="8" spans="1:22" ht="38.25" customHeight="1" x14ac:dyDescent="0.2">
      <c r="A8" s="34"/>
      <c r="B8" s="80"/>
      <c r="C8" s="67"/>
      <c r="D8" s="65"/>
      <c r="E8" s="65"/>
      <c r="F8" s="65"/>
      <c r="G8" s="35" t="s">
        <v>53</v>
      </c>
      <c r="H8" s="35" t="s">
        <v>36</v>
      </c>
      <c r="I8" s="35" t="s">
        <v>37</v>
      </c>
      <c r="J8" s="35" t="s">
        <v>53</v>
      </c>
      <c r="K8" s="35" t="s">
        <v>36</v>
      </c>
      <c r="L8" s="49" t="s">
        <v>114</v>
      </c>
      <c r="M8" s="67"/>
      <c r="N8" s="65"/>
      <c r="O8" s="65"/>
    </row>
    <row r="9" spans="1:22" s="19" customFormat="1" x14ac:dyDescent="0.2">
      <c r="B9" s="27">
        <v>0.74444444444444446</v>
      </c>
      <c r="C9" s="28">
        <v>6</v>
      </c>
      <c r="D9" s="36" t="str">
        <f>IF(C9="", "",VLOOKUP(C9,Key!$A$5:$B$7,2,FALSE))</f>
        <v>Large Bus</v>
      </c>
      <c r="E9" s="28" t="s">
        <v>75</v>
      </c>
      <c r="F9" s="28" t="s">
        <v>76</v>
      </c>
      <c r="G9" s="29" t="s">
        <v>69</v>
      </c>
      <c r="H9" s="29" t="s">
        <v>69</v>
      </c>
      <c r="I9" s="29" t="s">
        <v>70</v>
      </c>
      <c r="J9" s="29" t="s">
        <v>64</v>
      </c>
      <c r="K9" s="30" t="s">
        <v>64</v>
      </c>
      <c r="L9" s="30" t="str">
        <f>H9&amp;"-"&amp;K9</f>
        <v>Kampala-Soroti</v>
      </c>
      <c r="M9" s="31">
        <v>47</v>
      </c>
      <c r="N9" s="38">
        <v>25000</v>
      </c>
      <c r="O9" s="37">
        <v>5</v>
      </c>
    </row>
    <row r="10" spans="1:22" s="19" customFormat="1" x14ac:dyDescent="0.2">
      <c r="B10" s="27">
        <v>0.75</v>
      </c>
      <c r="C10" s="28">
        <v>6</v>
      </c>
      <c r="D10" s="36" t="str">
        <f>IF(C10="", "",VLOOKUP(C10,Key!$A$5:$B$7,2,FALSE))</f>
        <v>Large Bus</v>
      </c>
      <c r="E10" s="28" t="s">
        <v>77</v>
      </c>
      <c r="F10" s="28" t="s">
        <v>76</v>
      </c>
      <c r="G10" s="29" t="s">
        <v>69</v>
      </c>
      <c r="H10" s="29" t="s">
        <v>69</v>
      </c>
      <c r="I10" s="29" t="s">
        <v>70</v>
      </c>
      <c r="J10" s="29" t="s">
        <v>64</v>
      </c>
      <c r="K10" s="30" t="s">
        <v>64</v>
      </c>
      <c r="L10" s="30" t="str">
        <f t="shared" ref="L10:L14" si="0">H10&amp;"-"&amp;K10</f>
        <v>Kampala-Soroti</v>
      </c>
      <c r="M10" s="31">
        <v>52</v>
      </c>
      <c r="N10" s="38">
        <v>25000</v>
      </c>
      <c r="O10" s="37">
        <v>6.5</v>
      </c>
    </row>
    <row r="11" spans="1:22" s="19" customFormat="1" x14ac:dyDescent="0.2">
      <c r="B11" s="27">
        <v>0.77083333333333337</v>
      </c>
      <c r="C11" s="28">
        <v>6</v>
      </c>
      <c r="D11" s="36" t="str">
        <f>IF(C11="", "",VLOOKUP(C11,Key!$A$5:$B$7,2,FALSE))</f>
        <v>Large Bus</v>
      </c>
      <c r="E11" s="28" t="s">
        <v>78</v>
      </c>
      <c r="F11" s="28" t="s">
        <v>76</v>
      </c>
      <c r="G11" s="29" t="s">
        <v>69</v>
      </c>
      <c r="H11" s="29" t="s">
        <v>69</v>
      </c>
      <c r="I11" s="29" t="s">
        <v>70</v>
      </c>
      <c r="J11" s="29" t="s">
        <v>64</v>
      </c>
      <c r="K11" s="30" t="s">
        <v>64</v>
      </c>
      <c r="L11" s="30" t="str">
        <f t="shared" si="0"/>
        <v>Kampala-Soroti</v>
      </c>
      <c r="M11" s="31">
        <v>54</v>
      </c>
      <c r="N11" s="38">
        <v>25000</v>
      </c>
      <c r="O11" s="37">
        <v>6</v>
      </c>
    </row>
    <row r="12" spans="1:22" s="19" customFormat="1" x14ac:dyDescent="0.2">
      <c r="B12" s="27">
        <v>0.78402777777777777</v>
      </c>
      <c r="C12" s="28">
        <v>6</v>
      </c>
      <c r="D12" s="36" t="str">
        <f>IF(C12="", "",VLOOKUP(C12,Key!$A$5:$B$7,2,FALSE))</f>
        <v>Large Bus</v>
      </c>
      <c r="E12" s="28" t="s">
        <v>79</v>
      </c>
      <c r="F12" s="28" t="s">
        <v>76</v>
      </c>
      <c r="G12" s="29" t="s">
        <v>69</v>
      </c>
      <c r="H12" s="29" t="s">
        <v>69</v>
      </c>
      <c r="I12" s="29" t="s">
        <v>70</v>
      </c>
      <c r="J12" s="29" t="s">
        <v>64</v>
      </c>
      <c r="K12" s="30" t="s">
        <v>64</v>
      </c>
      <c r="L12" s="30" t="str">
        <f t="shared" si="0"/>
        <v>Kampala-Soroti</v>
      </c>
      <c r="M12" s="31">
        <v>32</v>
      </c>
      <c r="N12" s="38">
        <v>25000</v>
      </c>
      <c r="O12" s="37">
        <v>6</v>
      </c>
    </row>
    <row r="13" spans="1:22" s="19" customFormat="1" x14ac:dyDescent="0.2">
      <c r="B13" s="27">
        <v>0.79166666666666663</v>
      </c>
      <c r="C13" s="28">
        <v>6</v>
      </c>
      <c r="D13" s="36" t="str">
        <f>IF(C13="", "",VLOOKUP(C13,Key!$A$5:$B$7,2,FALSE))</f>
        <v>Large Bus</v>
      </c>
      <c r="E13" s="28" t="s">
        <v>80</v>
      </c>
      <c r="F13" s="28" t="s">
        <v>76</v>
      </c>
      <c r="G13" s="29" t="s">
        <v>69</v>
      </c>
      <c r="H13" s="29" t="s">
        <v>69</v>
      </c>
      <c r="I13" s="29" t="s">
        <v>70</v>
      </c>
      <c r="J13" s="29" t="s">
        <v>64</v>
      </c>
      <c r="K13" s="30" t="s">
        <v>64</v>
      </c>
      <c r="L13" s="30" t="str">
        <f t="shared" si="0"/>
        <v>Kampala-Soroti</v>
      </c>
      <c r="M13" s="31">
        <v>50</v>
      </c>
      <c r="N13" s="38">
        <v>25000</v>
      </c>
      <c r="O13" s="37">
        <v>6.5</v>
      </c>
    </row>
    <row r="14" spans="1:22" s="19" customFormat="1" x14ac:dyDescent="0.2">
      <c r="B14" s="27">
        <v>0.70833333333333337</v>
      </c>
      <c r="C14" s="28">
        <v>6</v>
      </c>
      <c r="D14" s="36" t="str">
        <f>IF(C14="", "",VLOOKUP(C14,Key!$A$5:$B$7,2,FALSE))</f>
        <v>Large Bus</v>
      </c>
      <c r="E14" s="28" t="s">
        <v>67</v>
      </c>
      <c r="F14" s="28" t="s">
        <v>68</v>
      </c>
      <c r="G14" s="29" t="s">
        <v>69</v>
      </c>
      <c r="H14" s="29" t="s">
        <v>69</v>
      </c>
      <c r="I14" s="29" t="s">
        <v>70</v>
      </c>
      <c r="J14" s="29" t="s">
        <v>64</v>
      </c>
      <c r="K14" s="30" t="s">
        <v>64</v>
      </c>
      <c r="L14" s="30" t="str">
        <f t="shared" si="0"/>
        <v>Kampala-Soroti</v>
      </c>
      <c r="M14" s="31">
        <v>39</v>
      </c>
      <c r="N14" s="38">
        <v>25000</v>
      </c>
      <c r="O14" s="37">
        <v>6</v>
      </c>
    </row>
    <row r="15" spans="1:22" x14ac:dyDescent="0.2">
      <c r="B15" s="27">
        <v>0.73055555555555562</v>
      </c>
      <c r="C15" s="28">
        <v>6</v>
      </c>
      <c r="D15" s="36" t="str">
        <f>IF(C15="", "",VLOOKUP(C15,Key!$A$5:$B$7,2,FALSE))</f>
        <v>Large Bus</v>
      </c>
      <c r="E15" s="28" t="s">
        <v>73</v>
      </c>
      <c r="F15" s="28" t="s">
        <v>72</v>
      </c>
      <c r="G15" s="29" t="s">
        <v>64</v>
      </c>
      <c r="H15" s="29" t="s">
        <v>64</v>
      </c>
      <c r="I15" s="29" t="s">
        <v>70</v>
      </c>
      <c r="J15" s="29" t="s">
        <v>74</v>
      </c>
      <c r="K15" s="30" t="s">
        <v>74</v>
      </c>
      <c r="L15" s="30" t="str">
        <f t="shared" ref="L15:L27" si="1">H15&amp;"-"&amp;K15</f>
        <v>Soroti-Busia</v>
      </c>
      <c r="M15" s="31">
        <v>41</v>
      </c>
      <c r="N15" s="38">
        <v>15000</v>
      </c>
      <c r="O15" s="37">
        <v>3.5</v>
      </c>
    </row>
    <row r="16" spans="1:22" x14ac:dyDescent="0.2">
      <c r="B16" s="27"/>
      <c r="C16" s="28">
        <v>6</v>
      </c>
      <c r="D16" s="36" t="str">
        <f>IF(C16="", "",VLOOKUP(C16,Key!$A$5:$B$7,2,FALSE))</f>
        <v>Large Bus</v>
      </c>
      <c r="E16" s="28" t="s">
        <v>89</v>
      </c>
      <c r="F16" s="28" t="s">
        <v>72</v>
      </c>
      <c r="G16" s="29" t="s">
        <v>64</v>
      </c>
      <c r="H16" s="29" t="s">
        <v>64</v>
      </c>
      <c r="I16" s="29" t="s">
        <v>70</v>
      </c>
      <c r="J16" s="29" t="s">
        <v>90</v>
      </c>
      <c r="K16" s="30" t="s">
        <v>90</v>
      </c>
      <c r="L16" s="30" t="str">
        <f t="shared" si="1"/>
        <v>Soroti-Gulu</v>
      </c>
      <c r="M16" s="31">
        <v>57</v>
      </c>
      <c r="N16" s="38">
        <v>20000</v>
      </c>
      <c r="O16" s="37">
        <v>4</v>
      </c>
    </row>
    <row r="17" spans="2:15" x14ac:dyDescent="0.2">
      <c r="B17" s="27">
        <v>0.7270833333333333</v>
      </c>
      <c r="C17" s="28">
        <v>6</v>
      </c>
      <c r="D17" s="36" t="str">
        <f>IF(C17="", "",VLOOKUP(C17,Key!$A$5:$B$7,2,FALSE))</f>
        <v>Large Bus</v>
      </c>
      <c r="E17" s="28" t="s">
        <v>71</v>
      </c>
      <c r="F17" s="28" t="s">
        <v>72</v>
      </c>
      <c r="G17" s="29" t="s">
        <v>64</v>
      </c>
      <c r="H17" s="29" t="s">
        <v>64</v>
      </c>
      <c r="I17" s="29" t="s">
        <v>70</v>
      </c>
      <c r="J17" s="29" t="s">
        <v>69</v>
      </c>
      <c r="K17" s="30" t="s">
        <v>69</v>
      </c>
      <c r="L17" s="30" t="str">
        <f t="shared" si="1"/>
        <v>Soroti-Kampala</v>
      </c>
      <c r="M17" s="31">
        <v>59</v>
      </c>
      <c r="N17" s="38">
        <v>25000</v>
      </c>
      <c r="O17" s="37">
        <v>6.5</v>
      </c>
    </row>
    <row r="18" spans="2:15" x14ac:dyDescent="0.2">
      <c r="B18" s="27">
        <v>0.70833333333333337</v>
      </c>
      <c r="C18" s="28">
        <v>6</v>
      </c>
      <c r="D18" s="36" t="str">
        <f>IF(C18="", "",VLOOKUP(C18,Key!$A$5:$B$7,2,FALSE))</f>
        <v>Large Bus</v>
      </c>
      <c r="E18" s="28" t="s">
        <v>81</v>
      </c>
      <c r="F18" s="28" t="s">
        <v>72</v>
      </c>
      <c r="G18" s="29" t="s">
        <v>64</v>
      </c>
      <c r="H18" s="29" t="s">
        <v>64</v>
      </c>
      <c r="I18" s="29" t="s">
        <v>70</v>
      </c>
      <c r="J18" s="29" t="s">
        <v>69</v>
      </c>
      <c r="K18" s="30" t="s">
        <v>69</v>
      </c>
      <c r="L18" s="30" t="str">
        <f t="shared" si="1"/>
        <v>Soroti-Kampala</v>
      </c>
      <c r="M18" s="31">
        <v>64</v>
      </c>
      <c r="N18" s="38">
        <v>25000</v>
      </c>
      <c r="O18" s="37">
        <v>6.5</v>
      </c>
    </row>
    <row r="19" spans="2:15" x14ac:dyDescent="0.2">
      <c r="B19" s="27">
        <v>0.72569444444444453</v>
      </c>
      <c r="C19" s="28">
        <v>6</v>
      </c>
      <c r="D19" s="36" t="str">
        <f>IF(C19="", "",VLOOKUP(C19,Key!$A$5:$B$7,2,FALSE))</f>
        <v>Large Bus</v>
      </c>
      <c r="E19" s="28" t="s">
        <v>82</v>
      </c>
      <c r="F19" s="28" t="s">
        <v>72</v>
      </c>
      <c r="G19" s="29" t="s">
        <v>64</v>
      </c>
      <c r="H19" s="29" t="s">
        <v>64</v>
      </c>
      <c r="I19" s="29" t="s">
        <v>70</v>
      </c>
      <c r="J19" s="29" t="s">
        <v>69</v>
      </c>
      <c r="K19" s="30" t="s">
        <v>69</v>
      </c>
      <c r="L19" s="30" t="str">
        <f t="shared" si="1"/>
        <v>Soroti-Kampala</v>
      </c>
      <c r="M19" s="31">
        <v>55</v>
      </c>
      <c r="N19" s="38">
        <v>25000</v>
      </c>
      <c r="O19" s="37">
        <v>6.5</v>
      </c>
    </row>
    <row r="20" spans="2:15" x14ac:dyDescent="0.2">
      <c r="B20" s="27">
        <v>0.73125000000000007</v>
      </c>
      <c r="C20" s="28">
        <v>6</v>
      </c>
      <c r="D20" s="36" t="str">
        <f>IF(C20="", "",VLOOKUP(C20,Key!$A$5:$B$7,2,FALSE))</f>
        <v>Large Bus</v>
      </c>
      <c r="E20" s="28" t="s">
        <v>83</v>
      </c>
      <c r="F20" s="28" t="s">
        <v>72</v>
      </c>
      <c r="G20" s="29" t="s">
        <v>64</v>
      </c>
      <c r="H20" s="29" t="s">
        <v>64</v>
      </c>
      <c r="I20" s="29" t="s">
        <v>70</v>
      </c>
      <c r="J20" s="29" t="s">
        <v>69</v>
      </c>
      <c r="K20" s="30" t="s">
        <v>69</v>
      </c>
      <c r="L20" s="30" t="str">
        <f t="shared" si="1"/>
        <v>Soroti-Kampala</v>
      </c>
      <c r="M20" s="31">
        <v>61</v>
      </c>
      <c r="N20" s="38">
        <v>25000</v>
      </c>
      <c r="O20" s="37">
        <v>6.5</v>
      </c>
    </row>
    <row r="21" spans="2:15" x14ac:dyDescent="0.2">
      <c r="B21" s="27">
        <v>0.74305555555555547</v>
      </c>
      <c r="C21" s="28">
        <v>6</v>
      </c>
      <c r="D21" s="36" t="str">
        <f>IF(C21="", "",VLOOKUP(C21,Key!$A$5:$B$7,2,FALSE))</f>
        <v>Large Bus</v>
      </c>
      <c r="E21" s="28" t="s">
        <v>84</v>
      </c>
      <c r="F21" s="28" t="s">
        <v>72</v>
      </c>
      <c r="G21" s="29" t="s">
        <v>64</v>
      </c>
      <c r="H21" s="29" t="s">
        <v>64</v>
      </c>
      <c r="I21" s="29" t="s">
        <v>70</v>
      </c>
      <c r="J21" s="29" t="s">
        <v>69</v>
      </c>
      <c r="K21" s="30" t="s">
        <v>69</v>
      </c>
      <c r="L21" s="30" t="str">
        <f t="shared" si="1"/>
        <v>Soroti-Kampala</v>
      </c>
      <c r="M21" s="31">
        <v>63</v>
      </c>
      <c r="N21" s="38">
        <v>25000</v>
      </c>
      <c r="O21" s="37">
        <v>6.5</v>
      </c>
    </row>
    <row r="22" spans="2:15" x14ac:dyDescent="0.2">
      <c r="B22" s="27">
        <v>0.75347222222222221</v>
      </c>
      <c r="C22" s="28">
        <v>6</v>
      </c>
      <c r="D22" s="36" t="str">
        <f>IF(C22="", "",VLOOKUP(C22,Key!$A$5:$B$7,2,FALSE))</f>
        <v>Large Bus</v>
      </c>
      <c r="E22" s="28" t="s">
        <v>85</v>
      </c>
      <c r="F22" s="28" t="s">
        <v>72</v>
      </c>
      <c r="G22" s="29" t="s">
        <v>64</v>
      </c>
      <c r="H22" s="29" t="s">
        <v>64</v>
      </c>
      <c r="I22" s="29" t="s">
        <v>70</v>
      </c>
      <c r="J22" s="29" t="s">
        <v>69</v>
      </c>
      <c r="K22" s="30" t="s">
        <v>69</v>
      </c>
      <c r="L22" s="30" t="str">
        <f t="shared" si="1"/>
        <v>Soroti-Kampala</v>
      </c>
      <c r="M22" s="31">
        <v>65</v>
      </c>
      <c r="N22" s="38">
        <v>25000</v>
      </c>
      <c r="O22" s="37">
        <v>6.5</v>
      </c>
    </row>
    <row r="23" spans="2:15" x14ac:dyDescent="0.2">
      <c r="B23" s="27">
        <v>0.76944444444444438</v>
      </c>
      <c r="C23" s="28">
        <v>6</v>
      </c>
      <c r="D23" s="36" t="str">
        <f>IF(C23="", "",VLOOKUP(C23,Key!$A$5:$B$7,2,FALSE))</f>
        <v>Large Bus</v>
      </c>
      <c r="E23" s="28" t="s">
        <v>86</v>
      </c>
      <c r="F23" s="28" t="s">
        <v>72</v>
      </c>
      <c r="G23" s="29" t="s">
        <v>64</v>
      </c>
      <c r="H23" s="29" t="s">
        <v>64</v>
      </c>
      <c r="I23" s="29" t="s">
        <v>70</v>
      </c>
      <c r="J23" s="29" t="s">
        <v>69</v>
      </c>
      <c r="K23" s="30" t="s">
        <v>69</v>
      </c>
      <c r="L23" s="30" t="str">
        <f t="shared" si="1"/>
        <v>Soroti-Kampala</v>
      </c>
      <c r="M23" s="31">
        <v>61</v>
      </c>
      <c r="N23" s="38">
        <v>25000</v>
      </c>
      <c r="O23" s="37">
        <v>6.5</v>
      </c>
    </row>
    <row r="24" spans="2:15" x14ac:dyDescent="0.2">
      <c r="B24" s="27">
        <v>0.77430555555555547</v>
      </c>
      <c r="C24" s="28">
        <v>6</v>
      </c>
      <c r="D24" s="36" t="str">
        <f>IF(C24="", "",VLOOKUP(C24,Key!$A$5:$B$7,2,FALSE))</f>
        <v>Large Bus</v>
      </c>
      <c r="E24" s="28" t="s">
        <v>87</v>
      </c>
      <c r="F24" s="28" t="s">
        <v>72</v>
      </c>
      <c r="G24" s="29" t="s">
        <v>64</v>
      </c>
      <c r="H24" s="29" t="s">
        <v>64</v>
      </c>
      <c r="I24" s="29" t="s">
        <v>70</v>
      </c>
      <c r="J24" s="29" t="s">
        <v>69</v>
      </c>
      <c r="K24" s="30" t="s">
        <v>69</v>
      </c>
      <c r="L24" s="30" t="str">
        <f t="shared" si="1"/>
        <v>Soroti-Kampala</v>
      </c>
      <c r="M24" s="31">
        <v>63</v>
      </c>
      <c r="N24" s="38">
        <v>25000</v>
      </c>
      <c r="O24" s="37">
        <v>6.5</v>
      </c>
    </row>
    <row r="25" spans="2:15" x14ac:dyDescent="0.2">
      <c r="B25" s="27">
        <v>0.78402777777777777</v>
      </c>
      <c r="C25" s="28">
        <v>6</v>
      </c>
      <c r="D25" s="36" t="str">
        <f>IF(C25="", "",VLOOKUP(C25,Key!$A$5:$B$7,2,FALSE))</f>
        <v>Large Bus</v>
      </c>
      <c r="E25" s="28" t="s">
        <v>88</v>
      </c>
      <c r="F25" s="28" t="s">
        <v>72</v>
      </c>
      <c r="G25" s="29" t="s">
        <v>64</v>
      </c>
      <c r="H25" s="29" t="s">
        <v>64</v>
      </c>
      <c r="I25" s="29" t="s">
        <v>70</v>
      </c>
      <c r="J25" s="29" t="s">
        <v>69</v>
      </c>
      <c r="K25" s="30" t="s">
        <v>69</v>
      </c>
      <c r="L25" s="30" t="str">
        <f t="shared" si="1"/>
        <v>Soroti-Kampala</v>
      </c>
      <c r="M25" s="31">
        <v>67</v>
      </c>
      <c r="N25" s="38">
        <v>25000</v>
      </c>
      <c r="O25" s="37">
        <v>6.5</v>
      </c>
    </row>
    <row r="26" spans="2:15" x14ac:dyDescent="0.2">
      <c r="B26" s="27"/>
      <c r="C26" s="28">
        <v>6</v>
      </c>
      <c r="D26" s="36" t="str">
        <f>IF(C26="", "",VLOOKUP(C26,Key!$A$5:$B$7,2,FALSE))</f>
        <v>Large Bus</v>
      </c>
      <c r="E26" s="28" t="s">
        <v>71</v>
      </c>
      <c r="F26" s="28" t="s">
        <v>72</v>
      </c>
      <c r="G26" s="29" t="s">
        <v>64</v>
      </c>
      <c r="H26" s="29" t="s">
        <v>64</v>
      </c>
      <c r="I26" s="29" t="s">
        <v>70</v>
      </c>
      <c r="J26" s="29" t="s">
        <v>69</v>
      </c>
      <c r="K26" s="30" t="s">
        <v>69</v>
      </c>
      <c r="L26" s="30" t="str">
        <f t="shared" si="1"/>
        <v>Soroti-Kampala</v>
      </c>
      <c r="M26" s="31">
        <v>65</v>
      </c>
      <c r="N26" s="38">
        <v>25000</v>
      </c>
      <c r="O26" s="37">
        <v>6.5</v>
      </c>
    </row>
    <row r="27" spans="2:15" x14ac:dyDescent="0.2">
      <c r="B27" s="27"/>
      <c r="C27" s="28">
        <v>6</v>
      </c>
      <c r="D27" s="36" t="str">
        <f>IF(C27="", "",VLOOKUP(C27,Key!$A$5:$B$7,2,FALSE))</f>
        <v>Large Bus</v>
      </c>
      <c r="E27" s="28" t="s">
        <v>91</v>
      </c>
      <c r="F27" s="28" t="s">
        <v>72</v>
      </c>
      <c r="G27" s="29" t="s">
        <v>64</v>
      </c>
      <c r="H27" s="29" t="s">
        <v>64</v>
      </c>
      <c r="I27" s="29" t="s">
        <v>70</v>
      </c>
      <c r="J27" s="29" t="s">
        <v>69</v>
      </c>
      <c r="K27" s="30" t="s">
        <v>69</v>
      </c>
      <c r="L27" s="30" t="str">
        <f t="shared" si="1"/>
        <v>Soroti-Kampala</v>
      </c>
      <c r="M27" s="31">
        <v>67</v>
      </c>
      <c r="N27" s="38">
        <v>25000</v>
      </c>
      <c r="O27" s="37">
        <v>6</v>
      </c>
    </row>
  </sheetData>
  <sortState ref="A15:V27">
    <sortCondition ref="J15:J27"/>
  </sortState>
  <mergeCells count="18">
    <mergeCell ref="J7:L7"/>
    <mergeCell ref="D7:D8"/>
    <mergeCell ref="B1:O1"/>
    <mergeCell ref="B2:O2"/>
    <mergeCell ref="E7:E8"/>
    <mergeCell ref="M7:M8"/>
    <mergeCell ref="D5:E5"/>
    <mergeCell ref="O7:O8"/>
    <mergeCell ref="K4:L4"/>
    <mergeCell ref="B4:C4"/>
    <mergeCell ref="B5:C5"/>
    <mergeCell ref="H5:I5"/>
    <mergeCell ref="H4:I4"/>
    <mergeCell ref="G7:I7"/>
    <mergeCell ref="F7:F8"/>
    <mergeCell ref="N7:N8"/>
    <mergeCell ref="B7:B8"/>
    <mergeCell ref="C7:C8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30"/>
  <sheetViews>
    <sheetView tabSelected="1" view="pageBreakPreview" zoomScale="60" zoomScaleNormal="85" workbookViewId="0">
      <selection activeCell="G6" sqref="G6:K9"/>
    </sheetView>
  </sheetViews>
  <sheetFormatPr defaultRowHeight="12.75" x14ac:dyDescent="0.2"/>
  <cols>
    <col min="1" max="1" width="5.28515625" customWidth="1"/>
    <col min="2" max="2" width="12.28515625" customWidth="1"/>
    <col min="3" max="3" width="18.28515625" customWidth="1"/>
    <col min="4" max="4" width="12.140625" customWidth="1"/>
    <col min="5" max="5" width="13.28515625" customWidth="1"/>
    <col min="6" max="6" width="19.28515625" customWidth="1"/>
    <col min="7" max="8" width="10.85546875" customWidth="1"/>
    <col min="9" max="9" width="13.42578125" customWidth="1"/>
    <col min="10" max="10" width="12.7109375" customWidth="1"/>
    <col min="11" max="11" width="14.7109375" customWidth="1"/>
    <col min="12" max="12" width="6.7109375" customWidth="1"/>
  </cols>
  <sheetData>
    <row r="2" spans="2:11" ht="15" x14ac:dyDescent="0.25">
      <c r="B2" s="55" t="s">
        <v>117</v>
      </c>
    </row>
    <row r="4" spans="2:11" x14ac:dyDescent="0.2">
      <c r="D4" s="81" t="s">
        <v>98</v>
      </c>
      <c r="E4" s="81"/>
      <c r="F4" s="81"/>
      <c r="G4" s="81"/>
      <c r="H4" s="81"/>
      <c r="I4" s="81"/>
      <c r="J4" s="81" t="s">
        <v>99</v>
      </c>
      <c r="K4" s="81"/>
    </row>
    <row r="5" spans="2:11" ht="48" customHeight="1" x14ac:dyDescent="0.2">
      <c r="B5" s="56" t="s">
        <v>100</v>
      </c>
      <c r="C5" s="56" t="s">
        <v>101</v>
      </c>
      <c r="D5" s="56" t="s">
        <v>102</v>
      </c>
      <c r="E5" s="56" t="s">
        <v>103</v>
      </c>
      <c r="F5" s="56" t="s">
        <v>104</v>
      </c>
      <c r="G5" s="57" t="s">
        <v>105</v>
      </c>
      <c r="H5" s="57" t="s">
        <v>106</v>
      </c>
      <c r="I5" s="57" t="s">
        <v>107</v>
      </c>
      <c r="J5" s="57" t="s">
        <v>108</v>
      </c>
      <c r="K5" s="57" t="s">
        <v>109</v>
      </c>
    </row>
    <row r="6" spans="2:11" ht="15" customHeight="1" x14ac:dyDescent="0.2">
      <c r="B6" s="58" t="s">
        <v>112</v>
      </c>
      <c r="C6" s="58" t="s">
        <v>110</v>
      </c>
      <c r="D6" s="58" t="s">
        <v>111</v>
      </c>
      <c r="E6" s="59" t="s">
        <v>112</v>
      </c>
      <c r="F6" s="59" t="str">
        <f>D6&amp;"-"&amp;E6</f>
        <v>KAMPALA-SOROTI</v>
      </c>
      <c r="G6" s="60">
        <f>ROUNDUP(COUNTIF('PT-03'!$L$9:$L$27,Summary!F6),0)</f>
        <v>6</v>
      </c>
      <c r="H6" s="60">
        <v>327</v>
      </c>
      <c r="I6" s="61">
        <f>AVERAGEIF('PT-03'!$L$9:$L$27,Summary!F6,'PT-03'!$O$9:$O$27)</f>
        <v>6</v>
      </c>
      <c r="J6" s="60">
        <f>AVERAGEIF('PT-03'!$L$9:$L$27,Summary!F6,'PT-03'!$M$9:$M$27)</f>
        <v>45.666666666666664</v>
      </c>
      <c r="K6" s="62">
        <f>AVERAGEIF('PT-03'!$L$9:$L$27,Summary!F6,'PT-03'!$N$9:$N$27)</f>
        <v>25000</v>
      </c>
    </row>
    <row r="7" spans="2:11" ht="15" customHeight="1" x14ac:dyDescent="0.2">
      <c r="B7" s="58" t="s">
        <v>112</v>
      </c>
      <c r="C7" s="58" t="s">
        <v>113</v>
      </c>
      <c r="D7" s="59" t="s">
        <v>112</v>
      </c>
      <c r="E7" s="58" t="s">
        <v>115</v>
      </c>
      <c r="F7" s="59" t="str">
        <f t="shared" ref="F7:F9" si="0">D7&amp;"-"&amp;E7</f>
        <v>SOROTI-BUSIA</v>
      </c>
      <c r="G7" s="60">
        <f>ROUNDUP(COUNTIF('PT-03'!$L$9:$L$27,Summary!F7),0)</f>
        <v>1</v>
      </c>
      <c r="H7" s="60">
        <v>201</v>
      </c>
      <c r="I7" s="61">
        <f>AVERAGEIF('PT-03'!$L$9:$L$27,Summary!F7,'PT-03'!$O$9:$O$27)</f>
        <v>3.5</v>
      </c>
      <c r="J7" s="60">
        <f>AVERAGEIF('PT-03'!$L$9:$L$27,Summary!F7,'PT-03'!$M$9:$M$27)</f>
        <v>41</v>
      </c>
      <c r="K7" s="62">
        <f>AVERAGEIF('PT-03'!$L$9:$L$27,Summary!F7,'PT-03'!$N$9:$N$27)</f>
        <v>15000</v>
      </c>
    </row>
    <row r="8" spans="2:11" ht="15" customHeight="1" x14ac:dyDescent="0.2">
      <c r="B8" s="58" t="s">
        <v>112</v>
      </c>
      <c r="C8" s="58" t="s">
        <v>113</v>
      </c>
      <c r="D8" s="59" t="s">
        <v>112</v>
      </c>
      <c r="E8" s="58" t="s">
        <v>116</v>
      </c>
      <c r="F8" s="59" t="str">
        <f t="shared" si="0"/>
        <v>SOROTI-GULU</v>
      </c>
      <c r="G8" s="60">
        <f>ROUNDUP(COUNTIF('PT-03'!$L$9:$L$27,Summary!F8),0)</f>
        <v>1</v>
      </c>
      <c r="H8" s="60">
        <v>224</v>
      </c>
      <c r="I8" s="61">
        <f>AVERAGEIF('PT-03'!$L$9:$L$27,Summary!F8,'PT-03'!$O$9:$O$27)</f>
        <v>4</v>
      </c>
      <c r="J8" s="60">
        <f>AVERAGEIF('PT-03'!$L$9:$L$27,Summary!F8,'PT-03'!$M$9:$M$27)</f>
        <v>57</v>
      </c>
      <c r="K8" s="62">
        <f>AVERAGEIF('PT-03'!$L$9:$L$27,Summary!F8,'PT-03'!$N$9:$N$27)</f>
        <v>20000</v>
      </c>
    </row>
    <row r="9" spans="2:11" ht="15" customHeight="1" x14ac:dyDescent="0.2">
      <c r="B9" s="58" t="s">
        <v>112</v>
      </c>
      <c r="C9" s="58" t="s">
        <v>113</v>
      </c>
      <c r="D9" s="59" t="s">
        <v>112</v>
      </c>
      <c r="E9" s="58" t="s">
        <v>111</v>
      </c>
      <c r="F9" s="59" t="str">
        <f t="shared" si="0"/>
        <v>SOROTI-KAMPALA</v>
      </c>
      <c r="G9" s="60">
        <f>ROUNDUP(COUNTIF('PT-03'!$L$9:$L$27,Summary!F9),0)</f>
        <v>11</v>
      </c>
      <c r="H9" s="60">
        <v>327</v>
      </c>
      <c r="I9" s="61">
        <f>AVERAGEIF('PT-03'!$L$9:$L$27,Summary!F9,'PT-03'!$O$9:$O$27)</f>
        <v>6.4545454545454541</v>
      </c>
      <c r="J9" s="60">
        <f>AVERAGEIF('PT-03'!$L$9:$L$27,Summary!F9,'PT-03'!$M$9:$M$27)</f>
        <v>62.727272727272727</v>
      </c>
      <c r="K9" s="62">
        <f>AVERAGEIF('PT-03'!$L$9:$L$27,Summary!F9,'PT-03'!$N$9:$N$27)</f>
        <v>25000</v>
      </c>
    </row>
    <row r="10" spans="2:11" ht="15" customHeight="1" x14ac:dyDescent="0.2"/>
    <row r="11" spans="2:11" ht="15" customHeight="1" x14ac:dyDescent="0.2"/>
    <row r="12" spans="2:11" ht="15" customHeight="1" x14ac:dyDescent="0.2"/>
    <row r="13" spans="2:11" ht="15" customHeight="1" x14ac:dyDescent="0.2"/>
    <row r="14" spans="2:11" ht="15" customHeight="1" x14ac:dyDescent="0.2"/>
    <row r="15" spans="2:11" ht="15" customHeight="1" x14ac:dyDescent="0.2"/>
    <row r="16" spans="2:11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</sheetData>
  <mergeCells count="2">
    <mergeCell ref="D4:I4"/>
    <mergeCell ref="J4:K4"/>
  </mergeCells>
  <pageMargins left="0.7" right="0.7" top="0.75" bottom="0.75" header="0.3" footer="0.3"/>
  <pageSetup scale="5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5"/>
  <sheetViews>
    <sheetView workbookViewId="0">
      <selection activeCell="B6" sqref="B6:B7"/>
    </sheetView>
  </sheetViews>
  <sheetFormatPr defaultRowHeight="12.75" x14ac:dyDescent="0.2"/>
  <cols>
    <col min="1" max="1" width="5.85546875" customWidth="1"/>
    <col min="2" max="2" width="13.140625" customWidth="1"/>
    <col min="3" max="3" width="11.140625" customWidth="1"/>
    <col min="4" max="4" width="10.140625" customWidth="1"/>
    <col min="5" max="5" width="11.42578125" customWidth="1"/>
    <col min="6" max="6" width="10.5703125" customWidth="1"/>
    <col min="7" max="7" width="11.7109375" customWidth="1"/>
  </cols>
  <sheetData>
    <row r="2" spans="2:8" x14ac:dyDescent="0.2">
      <c r="E2" s="84" t="s">
        <v>97</v>
      </c>
      <c r="F2" s="85"/>
      <c r="G2" s="85"/>
    </row>
    <row r="3" spans="2:8" ht="26.25" customHeight="1" x14ac:dyDescent="0.2">
      <c r="B3" s="51" t="s">
        <v>58</v>
      </c>
      <c r="C3" s="51" t="s">
        <v>96</v>
      </c>
      <c r="D3" s="52" t="s">
        <v>94</v>
      </c>
      <c r="E3" s="52" t="s">
        <v>56</v>
      </c>
      <c r="F3" s="52" t="s">
        <v>59</v>
      </c>
      <c r="G3" s="52" t="s">
        <v>95</v>
      </c>
      <c r="H3" s="50"/>
    </row>
    <row r="4" spans="2:8" x14ac:dyDescent="0.2">
      <c r="B4" s="82" t="s">
        <v>64</v>
      </c>
      <c r="C4" s="19" t="s">
        <v>92</v>
      </c>
      <c r="D4">
        <f>COUNTIF('PT-03'!$F$9:$F$27,"in")</f>
        <v>5</v>
      </c>
      <c r="E4" s="53">
        <f>AVERAGE('PT-03'!M9:M14)</f>
        <v>45.666666666666664</v>
      </c>
      <c r="F4" s="53">
        <f>AVERAGE('PT-03'!N9:N14)</f>
        <v>25000</v>
      </c>
      <c r="G4" s="54">
        <f>AVERAGE('PT-03'!O9:O14)</f>
        <v>6</v>
      </c>
    </row>
    <row r="5" spans="2:8" x14ac:dyDescent="0.2">
      <c r="B5" s="83"/>
      <c r="C5" s="19" t="s">
        <v>93</v>
      </c>
      <c r="D5">
        <f>COUNTIF('PT-03'!$F$9:$F$27,"out")</f>
        <v>13</v>
      </c>
      <c r="E5" s="53">
        <f>AVERAGE('PT-03'!M15:M27)</f>
        <v>60.615384615384613</v>
      </c>
      <c r="F5" s="53">
        <f>AVERAGE('PT-03'!N15:N27)</f>
        <v>23846.153846153848</v>
      </c>
      <c r="G5" s="54">
        <f>AVERAGE('PT-03'!O15:O27)</f>
        <v>6.0384615384615383</v>
      </c>
    </row>
  </sheetData>
  <mergeCells count="2">
    <mergeCell ref="B4:B5"/>
    <mergeCell ref="E2:G2"/>
  </mergeCells>
  <pageMargins left="0.7" right="0.7" top="0.75" bottom="0.75" header="0.3" footer="0.3"/>
  <ignoredErrors>
    <ignoredError sqref="G4:G5 F4:F5 E4:E5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90" t="s">
        <v>0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90" t="s">
        <v>1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91" t="s">
        <v>8</v>
      </c>
      <c r="C7" s="93" t="s">
        <v>9</v>
      </c>
      <c r="D7" s="93" t="s">
        <v>10</v>
      </c>
      <c r="E7" s="93" t="s">
        <v>11</v>
      </c>
      <c r="F7" s="93" t="s">
        <v>12</v>
      </c>
      <c r="G7" s="93"/>
      <c r="H7" s="93" t="s">
        <v>15</v>
      </c>
      <c r="I7" s="93" t="s">
        <v>16</v>
      </c>
      <c r="J7" s="93" t="s">
        <v>17</v>
      </c>
      <c r="K7" s="93"/>
      <c r="L7" s="93" t="s">
        <v>18</v>
      </c>
      <c r="M7" s="93" t="s">
        <v>19</v>
      </c>
      <c r="N7" s="93" t="s">
        <v>20</v>
      </c>
      <c r="O7" s="95" t="s">
        <v>21</v>
      </c>
      <c r="P7" s="86" t="s">
        <v>27</v>
      </c>
      <c r="Q7" s="87"/>
    </row>
    <row r="8" spans="2:25" ht="24.75" customHeight="1" thickBot="1" x14ac:dyDescent="0.25">
      <c r="B8" s="92"/>
      <c r="C8" s="94"/>
      <c r="D8" s="94"/>
      <c r="E8" s="94"/>
      <c r="F8" s="18" t="s">
        <v>13</v>
      </c>
      <c r="G8" s="18" t="s">
        <v>14</v>
      </c>
      <c r="H8" s="94"/>
      <c r="I8" s="94"/>
      <c r="J8" s="18" t="s">
        <v>13</v>
      </c>
      <c r="K8" s="18" t="s">
        <v>14</v>
      </c>
      <c r="L8" s="94"/>
      <c r="M8" s="94"/>
      <c r="N8" s="94"/>
      <c r="O8" s="96"/>
      <c r="P8" s="88"/>
      <c r="Q8" s="89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workbookViewId="0">
      <selection activeCell="D19" sqref="D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18.42578125" customWidth="1"/>
    <col min="5" max="5" width="4.85546875" customWidth="1"/>
    <col min="6" max="6" width="24.28515625" customWidth="1"/>
    <col min="7" max="7" width="5.140625" customWidth="1"/>
    <col min="8" max="8" width="47.85546875" customWidth="1"/>
  </cols>
  <sheetData>
    <row r="1" spans="1:13" ht="30.75" customHeight="1" x14ac:dyDescent="0.2">
      <c r="A1" s="25"/>
      <c r="B1" s="23" t="s">
        <v>33</v>
      </c>
      <c r="C1" s="23"/>
      <c r="D1" s="24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2">
      <c r="A2">
        <v>1</v>
      </c>
      <c r="B2" s="22" t="s">
        <v>39</v>
      </c>
      <c r="C2" s="10"/>
      <c r="F2" s="19"/>
      <c r="H2" s="19"/>
    </row>
    <row r="3" spans="1:13" x14ac:dyDescent="0.2">
      <c r="A3">
        <v>2</v>
      </c>
      <c r="B3" s="22" t="s">
        <v>40</v>
      </c>
      <c r="C3" s="10"/>
      <c r="F3" s="19"/>
      <c r="H3" s="19"/>
    </row>
    <row r="4" spans="1:13" x14ac:dyDescent="0.2">
      <c r="A4">
        <v>3</v>
      </c>
      <c r="B4" s="22" t="s">
        <v>41</v>
      </c>
      <c r="C4" s="10"/>
      <c r="F4" s="19"/>
      <c r="H4" s="19"/>
    </row>
    <row r="5" spans="1:13" x14ac:dyDescent="0.2">
      <c r="A5">
        <v>4</v>
      </c>
      <c r="B5" s="22" t="s">
        <v>42</v>
      </c>
      <c r="C5" s="10"/>
      <c r="F5" s="19"/>
      <c r="H5" s="26"/>
    </row>
    <row r="6" spans="1:13" x14ac:dyDescent="0.2">
      <c r="A6">
        <v>5</v>
      </c>
      <c r="B6" s="22" t="s">
        <v>43</v>
      </c>
      <c r="C6" s="10"/>
      <c r="F6" s="19"/>
      <c r="H6" s="19"/>
    </row>
    <row r="7" spans="1:13" x14ac:dyDescent="0.2">
      <c r="A7">
        <v>6</v>
      </c>
      <c r="B7" s="22" t="s">
        <v>44</v>
      </c>
      <c r="C7" s="10"/>
      <c r="F7" s="19"/>
      <c r="H7" s="19"/>
    </row>
    <row r="8" spans="1:13" x14ac:dyDescent="0.2">
      <c r="A8">
        <v>7</v>
      </c>
      <c r="B8" s="22" t="s">
        <v>45</v>
      </c>
      <c r="C8" s="10"/>
      <c r="H8" s="19"/>
    </row>
    <row r="9" spans="1:13" x14ac:dyDescent="0.2">
      <c r="A9">
        <v>8</v>
      </c>
      <c r="B9" s="22" t="s">
        <v>46</v>
      </c>
      <c r="C9" s="10"/>
      <c r="H9" s="19"/>
    </row>
    <row r="10" spans="1:13" x14ac:dyDescent="0.2">
      <c r="A10">
        <v>9</v>
      </c>
      <c r="B10" s="22" t="s">
        <v>47</v>
      </c>
      <c r="C10" s="10"/>
      <c r="H10" s="19"/>
    </row>
    <row r="11" spans="1:13" x14ac:dyDescent="0.2">
      <c r="A11">
        <v>10</v>
      </c>
      <c r="B11" s="22" t="s">
        <v>48</v>
      </c>
      <c r="C11" s="10"/>
      <c r="H11" s="26"/>
    </row>
    <row r="12" spans="1:13" x14ac:dyDescent="0.2">
      <c r="A12">
        <v>11</v>
      </c>
      <c r="B12" s="22" t="s">
        <v>50</v>
      </c>
      <c r="C12" s="10"/>
      <c r="H12" s="19"/>
    </row>
    <row r="13" spans="1:13" x14ac:dyDescent="0.2">
      <c r="A13">
        <v>12</v>
      </c>
      <c r="B13" s="22" t="s">
        <v>49</v>
      </c>
      <c r="C13" s="10"/>
      <c r="H13" s="19"/>
    </row>
    <row r="14" spans="1:13" x14ac:dyDescent="0.2">
      <c r="C14" s="10"/>
    </row>
    <row r="15" spans="1:13" x14ac:dyDescent="0.2">
      <c r="B15" s="1"/>
      <c r="C15" s="10"/>
    </row>
    <row r="16" spans="1:13" x14ac:dyDescent="0.2">
      <c r="C16" s="10"/>
    </row>
    <row r="17" spans="3:3" x14ac:dyDescent="0.2">
      <c r="C17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PT-03</vt:lpstr>
      <vt:lpstr>Summary</vt:lpstr>
      <vt:lpstr>Sheet1</vt:lpstr>
      <vt:lpstr>RSI FORM</vt:lpstr>
      <vt:lpstr>Key</vt:lpstr>
      <vt:lpstr>Summary!Print_Area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Mr.&amp;Mrs.O</cp:lastModifiedBy>
  <cp:lastPrinted>2019-07-30T09:53:06Z</cp:lastPrinted>
  <dcterms:created xsi:type="dcterms:W3CDTF">2010-10-20T14:55:17Z</dcterms:created>
  <dcterms:modified xsi:type="dcterms:W3CDTF">2020-03-31T22:59:27Z</dcterms:modified>
</cp:coreProperties>
</file>