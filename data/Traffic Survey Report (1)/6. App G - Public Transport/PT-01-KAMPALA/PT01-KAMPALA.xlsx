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ANALYSIS_V5.0\PT-DATA_V1.0\PT-DATA_V1.0\PT-01-KAMPALA\"/>
    </mc:Choice>
  </mc:AlternateContent>
  <xr:revisionPtr revIDLastSave="0" documentId="13_ncr:1_{6F951BBB-AC36-49EB-8C8D-1B8B793B4A6D}" xr6:coauthVersionLast="45" xr6:coauthVersionMax="45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SI FORM" sheetId="4" state="hidden" r:id="rId1"/>
    <sheet name="PT-01" sheetId="6" r:id="rId2"/>
    <sheet name="Summary" sheetId="7" r:id="rId3"/>
    <sheet name="Key" sheetId="5" r:id="rId4"/>
  </sheets>
  <definedNames>
    <definedName name="_xlnm._FilterDatabase" localSheetId="1" hidden="1">'PT-01'!$B$10:$O$107</definedName>
    <definedName name="Veh_Type" localSheetId="1">'PT-01'!$C$10:$C$38</definedName>
    <definedName name="Veh_Type">#REF!</definedName>
    <definedName name="zones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526" i="6" l="1"/>
  <c r="F131" i="7"/>
  <c r="F132" i="7"/>
  <c r="F133" i="7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F89" i="7"/>
  <c r="F87" i="7"/>
  <c r="F88" i="7"/>
  <c r="L828" i="6"/>
  <c r="L814" i="6"/>
  <c r="L813" i="6"/>
  <c r="L812" i="6"/>
  <c r="L804" i="6" l="1"/>
  <c r="L733" i="6"/>
  <c r="L703" i="6"/>
  <c r="L707" i="6"/>
  <c r="L711" i="6"/>
  <c r="L713" i="6"/>
  <c r="L718" i="6"/>
  <c r="L722" i="6"/>
  <c r="L725" i="6"/>
  <c r="L732" i="6"/>
  <c r="L735" i="6"/>
  <c r="D735" i="6"/>
  <c r="L614" i="6"/>
  <c r="D614" i="6"/>
  <c r="F38" i="7"/>
  <c r="F39" i="7"/>
  <c r="F40" i="7"/>
  <c r="F41" i="7"/>
  <c r="F42" i="7"/>
  <c r="L503" i="6" l="1"/>
  <c r="L509" i="6"/>
  <c r="F21" i="7" l="1"/>
  <c r="F20" i="7"/>
  <c r="F19" i="7"/>
  <c r="F18" i="7"/>
  <c r="F17" i="7"/>
  <c r="F16" i="7"/>
  <c r="F15" i="7"/>
  <c r="F14" i="7"/>
  <c r="F13" i="7"/>
  <c r="F12" i="7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4" i="6"/>
  <c r="L505" i="6"/>
  <c r="L506" i="6"/>
  <c r="L507" i="6"/>
  <c r="L508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4" i="6"/>
  <c r="L705" i="6"/>
  <c r="L706" i="6"/>
  <c r="L708" i="6"/>
  <c r="L709" i="6"/>
  <c r="L710" i="6"/>
  <c r="L712" i="6"/>
  <c r="L714" i="6"/>
  <c r="L715" i="6"/>
  <c r="L716" i="6"/>
  <c r="L717" i="6"/>
  <c r="L719" i="6"/>
  <c r="L720" i="6"/>
  <c r="L721" i="6"/>
  <c r="L723" i="6"/>
  <c r="L724" i="6"/>
  <c r="L726" i="6"/>
  <c r="L727" i="6"/>
  <c r="L728" i="6"/>
  <c r="L729" i="6"/>
  <c r="L730" i="6"/>
  <c r="L731" i="6"/>
  <c r="L734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5" i="6"/>
  <c r="L806" i="6"/>
  <c r="L807" i="6"/>
  <c r="L808" i="6"/>
  <c r="L809" i="6"/>
  <c r="L810" i="6"/>
  <c r="L811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0" i="6"/>
  <c r="F130" i="7"/>
  <c r="F129" i="7"/>
  <c r="F128" i="7"/>
  <c r="F127" i="7"/>
  <c r="F126" i="7"/>
  <c r="F125" i="7"/>
  <c r="F124" i="7"/>
  <c r="F123" i="7"/>
  <c r="F122" i="7"/>
  <c r="F121" i="7"/>
  <c r="F120" i="7"/>
  <c r="F115" i="7"/>
  <c r="F114" i="7"/>
  <c r="F113" i="7"/>
  <c r="F112" i="7"/>
  <c r="F107" i="7"/>
  <c r="F106" i="7"/>
  <c r="F105" i="7"/>
  <c r="F104" i="7"/>
  <c r="F99" i="7"/>
  <c r="F98" i="7"/>
  <c r="F97" i="7"/>
  <c r="F96" i="7"/>
  <c r="F95" i="7"/>
  <c r="F90" i="7"/>
  <c r="F86" i="7"/>
  <c r="F85" i="7"/>
  <c r="F84" i="7"/>
  <c r="F83" i="7"/>
  <c r="F82" i="7"/>
  <c r="F81" i="7"/>
  <c r="F80" i="7"/>
  <c r="F79" i="7"/>
  <c r="F78" i="7"/>
  <c r="F77" i="7"/>
  <c r="F76" i="7"/>
  <c r="F71" i="7"/>
  <c r="F70" i="7"/>
  <c r="F69" i="7"/>
  <c r="F68" i="7"/>
  <c r="F67" i="7"/>
  <c r="F66" i="7"/>
  <c r="F65" i="7"/>
  <c r="F60" i="7"/>
  <c r="F59" i="7"/>
  <c r="F58" i="7"/>
  <c r="F57" i="7"/>
  <c r="F56" i="7"/>
  <c r="F55" i="7"/>
  <c r="F50" i="7"/>
  <c r="F49" i="7"/>
  <c r="F48" i="7"/>
  <c r="F47" i="7"/>
  <c r="F37" i="7"/>
  <c r="F36" i="7"/>
  <c r="F35" i="7"/>
  <c r="F34" i="7"/>
  <c r="F33" i="7"/>
  <c r="F32" i="7"/>
  <c r="F31" i="7"/>
  <c r="F30" i="7"/>
  <c r="F29" i="7"/>
  <c r="F28" i="7"/>
  <c r="F27" i="7"/>
  <c r="F26" i="7"/>
  <c r="F7" i="7"/>
  <c r="F6" i="7"/>
  <c r="K133" i="7" l="1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G133" i="7"/>
  <c r="G130" i="7"/>
  <c r="G127" i="7"/>
  <c r="G124" i="7"/>
  <c r="G121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G131" i="7"/>
  <c r="G128" i="7"/>
  <c r="G125" i="7"/>
  <c r="G122" i="7"/>
  <c r="G120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G132" i="7"/>
  <c r="G129" i="7"/>
  <c r="G126" i="7"/>
  <c r="G123" i="7"/>
  <c r="K115" i="7"/>
  <c r="J115" i="7"/>
  <c r="I115" i="7"/>
  <c r="G115" i="7"/>
  <c r="I114" i="7"/>
  <c r="K114" i="7"/>
  <c r="G114" i="7"/>
  <c r="J114" i="7"/>
  <c r="K113" i="7"/>
  <c r="J113" i="7"/>
  <c r="I113" i="7"/>
  <c r="G113" i="7"/>
  <c r="I112" i="7"/>
  <c r="K112" i="7"/>
  <c r="G112" i="7"/>
  <c r="J112" i="7"/>
  <c r="J107" i="7"/>
  <c r="I107" i="7"/>
  <c r="G107" i="7"/>
  <c r="K107" i="7"/>
  <c r="K105" i="7"/>
  <c r="J105" i="7"/>
  <c r="I105" i="7"/>
  <c r="G105" i="7"/>
  <c r="K104" i="7"/>
  <c r="J104" i="7"/>
  <c r="I104" i="7"/>
  <c r="G104" i="7"/>
  <c r="K106" i="7"/>
  <c r="J106" i="7"/>
  <c r="I106" i="7"/>
  <c r="G106" i="7"/>
  <c r="I98" i="7"/>
  <c r="J98" i="7"/>
  <c r="G98" i="7"/>
  <c r="K98" i="7"/>
  <c r="K97" i="7"/>
  <c r="J97" i="7"/>
  <c r="I97" i="7"/>
  <c r="G97" i="7"/>
  <c r="K96" i="7"/>
  <c r="J96" i="7"/>
  <c r="I96" i="7"/>
  <c r="G96" i="7"/>
  <c r="K95" i="7"/>
  <c r="J95" i="7"/>
  <c r="I95" i="7"/>
  <c r="G95" i="7"/>
  <c r="J99" i="7"/>
  <c r="I99" i="7"/>
  <c r="G99" i="7"/>
  <c r="K99" i="7"/>
  <c r="J88" i="7"/>
  <c r="I89" i="7"/>
  <c r="J87" i="7"/>
  <c r="G87" i="7"/>
  <c r="G89" i="7"/>
  <c r="I87" i="7"/>
  <c r="K87" i="7"/>
  <c r="J89" i="7"/>
  <c r="G88" i="7"/>
  <c r="K89" i="7"/>
  <c r="I88" i="7"/>
  <c r="K88" i="7"/>
  <c r="K90" i="7"/>
  <c r="K82" i="7"/>
  <c r="K81" i="7"/>
  <c r="K80" i="7"/>
  <c r="K79" i="7"/>
  <c r="K78" i="7"/>
  <c r="K77" i="7"/>
  <c r="K76" i="7"/>
  <c r="G78" i="7"/>
  <c r="J90" i="7"/>
  <c r="J82" i="7"/>
  <c r="J81" i="7"/>
  <c r="J80" i="7"/>
  <c r="J79" i="7"/>
  <c r="J78" i="7"/>
  <c r="J77" i="7"/>
  <c r="J76" i="7"/>
  <c r="G81" i="7"/>
  <c r="G79" i="7"/>
  <c r="G76" i="7"/>
  <c r="I90" i="7"/>
  <c r="I82" i="7"/>
  <c r="I81" i="7"/>
  <c r="I80" i="7"/>
  <c r="I79" i="7"/>
  <c r="I78" i="7"/>
  <c r="I77" i="7"/>
  <c r="I76" i="7"/>
  <c r="G90" i="7"/>
  <c r="G82" i="7"/>
  <c r="G80" i="7"/>
  <c r="G77" i="7"/>
  <c r="K86" i="7"/>
  <c r="J86" i="7"/>
  <c r="I86" i="7"/>
  <c r="G86" i="7"/>
  <c r="K85" i="7"/>
  <c r="J85" i="7"/>
  <c r="I85" i="7"/>
  <c r="G85" i="7"/>
  <c r="K84" i="7"/>
  <c r="J84" i="7"/>
  <c r="I84" i="7"/>
  <c r="G84" i="7"/>
  <c r="K83" i="7"/>
  <c r="J83" i="7"/>
  <c r="I83" i="7"/>
  <c r="G83" i="7"/>
  <c r="G66" i="7"/>
  <c r="G67" i="7"/>
  <c r="G68" i="7"/>
  <c r="G69" i="7"/>
  <c r="G70" i="7"/>
  <c r="G71" i="7"/>
  <c r="K65" i="7"/>
  <c r="I65" i="7"/>
  <c r="K68" i="7"/>
  <c r="K69" i="7"/>
  <c r="I66" i="7"/>
  <c r="I67" i="7"/>
  <c r="I68" i="7"/>
  <c r="I69" i="7"/>
  <c r="I70" i="7"/>
  <c r="I71" i="7"/>
  <c r="J65" i="7"/>
  <c r="K67" i="7"/>
  <c r="K71" i="7"/>
  <c r="J66" i="7"/>
  <c r="J67" i="7"/>
  <c r="J68" i="7"/>
  <c r="J69" i="7"/>
  <c r="J70" i="7"/>
  <c r="J71" i="7"/>
  <c r="K66" i="7"/>
  <c r="K70" i="7"/>
  <c r="G65" i="7"/>
  <c r="G60" i="7"/>
  <c r="K60" i="7"/>
  <c r="J60" i="7"/>
  <c r="I60" i="7"/>
  <c r="G57" i="7"/>
  <c r="I57" i="7"/>
  <c r="K57" i="7"/>
  <c r="J57" i="7"/>
  <c r="G59" i="7"/>
  <c r="K59" i="7"/>
  <c r="J59" i="7"/>
  <c r="I59" i="7"/>
  <c r="G56" i="7"/>
  <c r="I56" i="7"/>
  <c r="K56" i="7"/>
  <c r="J56" i="7"/>
  <c r="K55" i="7"/>
  <c r="J55" i="7"/>
  <c r="I55" i="7"/>
  <c r="G55" i="7"/>
  <c r="J58" i="7"/>
  <c r="I58" i="7"/>
  <c r="G58" i="7"/>
  <c r="K58" i="7"/>
  <c r="K50" i="7"/>
  <c r="K49" i="7"/>
  <c r="K48" i="7"/>
  <c r="I50" i="7"/>
  <c r="I48" i="7"/>
  <c r="G50" i="7"/>
  <c r="G48" i="7"/>
  <c r="J50" i="7"/>
  <c r="J49" i="7"/>
  <c r="J48" i="7"/>
  <c r="I49" i="7"/>
  <c r="G49" i="7"/>
  <c r="K47" i="7"/>
  <c r="J47" i="7"/>
  <c r="I47" i="7"/>
  <c r="G47" i="7"/>
  <c r="J13" i="7"/>
  <c r="J14" i="7"/>
  <c r="J15" i="7"/>
  <c r="J16" i="7"/>
  <c r="J17" i="7"/>
  <c r="J18" i="7"/>
  <c r="J19" i="7"/>
  <c r="J20" i="7"/>
  <c r="J21" i="7"/>
  <c r="I12" i="7"/>
  <c r="G13" i="7"/>
  <c r="G16" i="7"/>
  <c r="G18" i="7"/>
  <c r="G19" i="7"/>
  <c r="G21" i="7"/>
  <c r="I13" i="7"/>
  <c r="I14" i="7"/>
  <c r="I15" i="7"/>
  <c r="I16" i="7"/>
  <c r="I18" i="7"/>
  <c r="I20" i="7"/>
  <c r="J12" i="7"/>
  <c r="K13" i="7"/>
  <c r="K14" i="7"/>
  <c r="K15" i="7"/>
  <c r="K16" i="7"/>
  <c r="K17" i="7"/>
  <c r="K18" i="7"/>
  <c r="K19" i="7"/>
  <c r="K20" i="7"/>
  <c r="K21" i="7"/>
  <c r="G12" i="7"/>
  <c r="G14" i="7"/>
  <c r="G15" i="7"/>
  <c r="G17" i="7"/>
  <c r="G20" i="7"/>
  <c r="K12" i="7"/>
  <c r="I17" i="7"/>
  <c r="I19" i="7"/>
  <c r="I21" i="7"/>
  <c r="G38" i="7"/>
  <c r="K40" i="7"/>
  <c r="I40" i="7"/>
  <c r="J38" i="7"/>
  <c r="J41" i="7"/>
  <c r="K42" i="7"/>
  <c r="J39" i="7"/>
  <c r="G39" i="7"/>
  <c r="I41" i="7"/>
  <c r="K39" i="7"/>
  <c r="K41" i="7"/>
  <c r="G41" i="7"/>
  <c r="I39" i="7"/>
  <c r="G42" i="7"/>
  <c r="G40" i="7"/>
  <c r="J40" i="7"/>
  <c r="I42" i="7"/>
  <c r="K38" i="7"/>
  <c r="I38" i="7"/>
  <c r="J42" i="7"/>
  <c r="K37" i="7"/>
  <c r="K33" i="7"/>
  <c r="K32" i="7"/>
  <c r="K31" i="7"/>
  <c r="K30" i="7"/>
  <c r="K29" i="7"/>
  <c r="K28" i="7"/>
  <c r="G37" i="7"/>
  <c r="G31" i="7"/>
  <c r="G29" i="7"/>
  <c r="J37" i="7"/>
  <c r="J33" i="7"/>
  <c r="J32" i="7"/>
  <c r="J31" i="7"/>
  <c r="J30" i="7"/>
  <c r="J29" i="7"/>
  <c r="J28" i="7"/>
  <c r="G33" i="7"/>
  <c r="G30" i="7"/>
  <c r="I37" i="7"/>
  <c r="I33" i="7"/>
  <c r="I32" i="7"/>
  <c r="I31" i="7"/>
  <c r="I30" i="7"/>
  <c r="I29" i="7"/>
  <c r="I28" i="7"/>
  <c r="G32" i="7"/>
  <c r="G28" i="7"/>
  <c r="K27" i="7"/>
  <c r="J27" i="7"/>
  <c r="I27" i="7"/>
  <c r="G27" i="7"/>
  <c r="K26" i="7"/>
  <c r="J26" i="7"/>
  <c r="I26" i="7"/>
  <c r="G26" i="7"/>
  <c r="K36" i="7"/>
  <c r="J36" i="7"/>
  <c r="I36" i="7"/>
  <c r="G36" i="7"/>
  <c r="K35" i="7"/>
  <c r="J35" i="7"/>
  <c r="G35" i="7"/>
  <c r="I35" i="7"/>
  <c r="K34" i="7"/>
  <c r="J34" i="7"/>
  <c r="I34" i="7"/>
  <c r="G34" i="7"/>
  <c r="I7" i="7"/>
  <c r="K6" i="7"/>
  <c r="J7" i="7"/>
  <c r="G7" i="7"/>
  <c r="J6" i="7"/>
  <c r="K7" i="7"/>
  <c r="I6" i="7"/>
  <c r="G6" i="7"/>
  <c r="D1539" i="6" l="1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</calcChain>
</file>

<file path=xl/sharedStrings.xml><?xml version="1.0" encoding="utf-8"?>
<sst xmlns="http://schemas.openxmlformats.org/spreadsheetml/2006/main" count="11188" uniqueCount="263">
  <si>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</si>
  <si>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</si>
  <si>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</si>
  <si>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</si>
  <si>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</si>
  <si>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</si>
  <si>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</si>
  <si>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</si>
  <si>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</si>
  <si>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</si>
  <si>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</si>
  <si>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</si>
  <si>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</si>
  <si>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</si>
  <si>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</si>
  <si>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</si>
  <si>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</si>
  <si>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</si>
  <si>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</si>
  <si>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</si>
  <si>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</si>
  <si>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</si>
  <si>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</si>
  <si>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</si>
  <si>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</si>
  <si>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</si>
  <si>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</si>
  <si>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</si>
  <si>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</si>
  <si>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</si>
  <si>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</si>
  <si>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</si>
  <si>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</si>
  <si>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</si>
  <si>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</si>
  <si>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Veh_Reg_No.</t>
  </si>
  <si>
    <t>District</t>
  </si>
  <si>
    <t>Country</t>
  </si>
  <si>
    <t>Supervisor: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</si>
  <si>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</si>
  <si>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</si>
  <si>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</si>
  <si>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</si>
  <si>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</si>
  <si>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</si>
  <si>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</si>
  <si>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</si>
  <si>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</si>
  <si>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</si>
  <si>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</si>
  <si>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</si>
  <si>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Consultancy services for Preparation of Expressway Development Master Plan (EDMP) for Uganda</t>
  </si>
  <si>
    <t>Approx_Journey Time (Hrs)</t>
  </si>
  <si>
    <t>01.08.19</t>
  </si>
  <si>
    <t>Town</t>
  </si>
  <si>
    <t>IN / OUT</t>
  </si>
  <si>
    <t>Type of Veh.</t>
  </si>
  <si>
    <t>No. Passengers</t>
  </si>
  <si>
    <t>Enumerator:</t>
  </si>
  <si>
    <t>Location</t>
  </si>
  <si>
    <t>Cost of Trip (UGX)</t>
  </si>
  <si>
    <t>Bakole. D.M</t>
  </si>
  <si>
    <t>Public Transport/Bus Surveys</t>
  </si>
  <si>
    <t>05:39</t>
  </si>
  <si>
    <t>05:43</t>
  </si>
  <si>
    <t>06:03</t>
  </si>
  <si>
    <t>IN</t>
  </si>
  <si>
    <t>OUT</t>
  </si>
  <si>
    <t>MBARARA</t>
  </si>
  <si>
    <t xml:space="preserve">KAMPALA </t>
  </si>
  <si>
    <t>KAMPALA</t>
  </si>
  <si>
    <t xml:space="preserve">MBARARA </t>
  </si>
  <si>
    <t>CITY</t>
  </si>
  <si>
    <t>SOROTI</t>
  </si>
  <si>
    <t>22:11</t>
  </si>
  <si>
    <t>00:40</t>
  </si>
  <si>
    <t>1:54</t>
  </si>
  <si>
    <t>06:15</t>
  </si>
  <si>
    <t>06:26</t>
  </si>
  <si>
    <t>04:20</t>
  </si>
  <si>
    <t>07:48</t>
  </si>
  <si>
    <t>12:24</t>
  </si>
  <si>
    <t>23:41</t>
  </si>
  <si>
    <t>KISORO</t>
  </si>
  <si>
    <t>ISHAKA</t>
  </si>
  <si>
    <t>BUSHENYI</t>
  </si>
  <si>
    <t>RUBIRIZI</t>
  </si>
  <si>
    <t>KATELERA</t>
  </si>
  <si>
    <t>KATERERA</t>
  </si>
  <si>
    <t>BISMARKAN</t>
  </si>
  <si>
    <t>GLOBAL</t>
  </si>
  <si>
    <t>JAGUAR</t>
  </si>
  <si>
    <t>08:07</t>
  </si>
  <si>
    <t>06:5</t>
  </si>
  <si>
    <t>KIGALI</t>
  </si>
  <si>
    <t>NARUKOKO</t>
  </si>
  <si>
    <t>GOMA</t>
  </si>
  <si>
    <t>GISENYI-RWANDA</t>
  </si>
  <si>
    <t>GISENYI</t>
  </si>
  <si>
    <t>KISENYI</t>
  </si>
  <si>
    <t>KATUNA</t>
  </si>
  <si>
    <t>KABALE</t>
  </si>
  <si>
    <t>DRC</t>
  </si>
  <si>
    <t>KANYALU</t>
  </si>
  <si>
    <t>KAMEMBE</t>
  </si>
  <si>
    <t>NAMAYUBA</t>
  </si>
  <si>
    <t>BUNAGANANA</t>
  </si>
  <si>
    <t>LUBAVU</t>
  </si>
  <si>
    <t>KIVU/KISENYI</t>
  </si>
  <si>
    <t>KKANYALU</t>
  </si>
  <si>
    <t>KANYALA</t>
  </si>
  <si>
    <t>EASY COACH</t>
  </si>
  <si>
    <t xml:space="preserve">11:48 </t>
  </si>
  <si>
    <t>NAIROBI</t>
  </si>
  <si>
    <t>KISUMU</t>
  </si>
  <si>
    <t>MAKUENI</t>
  </si>
  <si>
    <t>0:58</t>
  </si>
  <si>
    <t>KK</t>
  </si>
  <si>
    <t>ARUA</t>
  </si>
  <si>
    <t>KOBOKO</t>
  </si>
  <si>
    <t>PAIDHA</t>
  </si>
  <si>
    <t>ZOMBO</t>
  </si>
  <si>
    <t>ARUA PARK KAMPALA</t>
  </si>
  <si>
    <t>ARUA TOWN</t>
  </si>
  <si>
    <t>PAIDHA TOWN</t>
  </si>
  <si>
    <t>KOBOKO TOWN</t>
  </si>
  <si>
    <t>ARUA PARK</t>
  </si>
  <si>
    <t xml:space="preserve">ARUA </t>
  </si>
  <si>
    <t>ARUA TOWN KAMPALA</t>
  </si>
  <si>
    <t>MBALE</t>
  </si>
  <si>
    <t>LIRA</t>
  </si>
  <si>
    <t>APAC</t>
  </si>
  <si>
    <t>24:00</t>
  </si>
  <si>
    <t>JUBA</t>
  </si>
  <si>
    <t>BUKAVU</t>
  </si>
  <si>
    <t>02:34</t>
  </si>
  <si>
    <t>09:34</t>
  </si>
  <si>
    <t>LUKAYA</t>
  </si>
  <si>
    <t>07:32</t>
  </si>
  <si>
    <t>08:23</t>
  </si>
  <si>
    <t>9:15</t>
  </si>
  <si>
    <t>6:15</t>
  </si>
  <si>
    <t>07:30</t>
  </si>
  <si>
    <t>GISORO</t>
  </si>
  <si>
    <t>NAKASERO MARKET</t>
  </si>
  <si>
    <t>BUGANDA PARK</t>
  </si>
  <si>
    <t>NEW TAXI PARK</t>
  </si>
  <si>
    <t>KYEGEGWA</t>
  </si>
  <si>
    <t>GULU</t>
  </si>
  <si>
    <t>20:13</t>
  </si>
  <si>
    <t>01:23</t>
  </si>
  <si>
    <t>23:20</t>
  </si>
  <si>
    <t>15:35</t>
  </si>
  <si>
    <t>KITGUM</t>
  </si>
  <si>
    <t>03:44</t>
  </si>
  <si>
    <t>12:55</t>
  </si>
  <si>
    <t>23:00</t>
  </si>
  <si>
    <t>15:20</t>
  </si>
  <si>
    <t>08:36</t>
  </si>
  <si>
    <t>11:04</t>
  </si>
  <si>
    <t>15:25</t>
  </si>
  <si>
    <t>11:15</t>
  </si>
  <si>
    <t>21:03</t>
  </si>
  <si>
    <t>08:15</t>
  </si>
  <si>
    <t>10:20</t>
  </si>
  <si>
    <t>14:30</t>
  </si>
  <si>
    <t>07:15</t>
  </si>
  <si>
    <t>10:45</t>
  </si>
  <si>
    <t>11:37</t>
  </si>
  <si>
    <t>13:30</t>
  </si>
  <si>
    <t>19:40</t>
  </si>
  <si>
    <t>21:36</t>
  </si>
  <si>
    <t>18:36</t>
  </si>
  <si>
    <t>RIVER ROAD</t>
  </si>
  <si>
    <t>20:00</t>
  </si>
  <si>
    <t>20:15</t>
  </si>
  <si>
    <t>20:35</t>
  </si>
  <si>
    <t>24:15</t>
  </si>
  <si>
    <t xml:space="preserve">10:00 </t>
  </si>
  <si>
    <t>10:30</t>
  </si>
  <si>
    <t>14:00</t>
  </si>
  <si>
    <t>MOMBASA</t>
  </si>
  <si>
    <t>07:37</t>
  </si>
  <si>
    <t>18:05</t>
  </si>
  <si>
    <t>12:01</t>
  </si>
  <si>
    <t>04:30</t>
  </si>
  <si>
    <t>20:05</t>
  </si>
  <si>
    <t>21:30</t>
  </si>
  <si>
    <t>04:40</t>
  </si>
  <si>
    <t>08:10</t>
  </si>
  <si>
    <t>18:00</t>
  </si>
  <si>
    <t>22:05</t>
  </si>
  <si>
    <t>06:25</t>
  </si>
  <si>
    <t>23:45</t>
  </si>
  <si>
    <t>05:25</t>
  </si>
  <si>
    <t>07:49 AM</t>
  </si>
  <si>
    <t>10:10 AM</t>
  </si>
  <si>
    <t>11:30 AM</t>
  </si>
  <si>
    <t>13:15 PM</t>
  </si>
  <si>
    <t>06:10</t>
  </si>
  <si>
    <t>11:30</t>
  </si>
  <si>
    <t>22:00</t>
  </si>
  <si>
    <t>00:58</t>
  </si>
  <si>
    <t>NAROBI</t>
  </si>
  <si>
    <t>18:03</t>
  </si>
  <si>
    <t>HOIMA</t>
  </si>
  <si>
    <t>MASINDI</t>
  </si>
  <si>
    <t>KASESE</t>
  </si>
  <si>
    <t>BWERA</t>
  </si>
  <si>
    <t>BUNDIBUGYO</t>
  </si>
  <si>
    <t>KINYARA</t>
  </si>
  <si>
    <t>NYAHUKA</t>
  </si>
  <si>
    <t>FORT PORTAL</t>
  </si>
  <si>
    <t>KAISO</t>
  </si>
  <si>
    <t>KABONGO</t>
  </si>
  <si>
    <t>KAIIGO</t>
  </si>
  <si>
    <t>06:20</t>
  </si>
  <si>
    <t>NYAUKA</t>
  </si>
  <si>
    <t>13/08/2019</t>
  </si>
  <si>
    <t>14/08/2019</t>
  </si>
  <si>
    <t>15/08/2019</t>
  </si>
  <si>
    <t>16/08/2019</t>
  </si>
  <si>
    <t>17/08/2019</t>
  </si>
  <si>
    <t>18/08/2019</t>
  </si>
  <si>
    <t>YY</t>
  </si>
  <si>
    <t xml:space="preserve">SWIFT </t>
  </si>
  <si>
    <t>TRINITY</t>
  </si>
  <si>
    <t>out</t>
  </si>
  <si>
    <t>LINK</t>
  </si>
  <si>
    <t>MODERN COAST</t>
  </si>
  <si>
    <t xml:space="preserve">MODERN COAST </t>
  </si>
  <si>
    <t>BUS JOURNEY</t>
  </si>
  <si>
    <t>PASSENGER DETAILS</t>
  </si>
  <si>
    <t>STATION</t>
  </si>
  <si>
    <t>DIRECTION</t>
  </si>
  <si>
    <t>ORIGIN</t>
  </si>
  <si>
    <t>DESTINATION</t>
  </si>
  <si>
    <t>ROUTE ID</t>
  </si>
  <si>
    <t>BUS TRIPS / DAY</t>
  </si>
  <si>
    <t>JOURNEY DISTANCE (KM)</t>
  </si>
  <si>
    <t>JOURNEY TIME/ TRIP (HRS)</t>
  </si>
  <si>
    <t>EST. PAX/ BUS</t>
  </si>
  <si>
    <t>AVERAGE PAX FARE (UGX)</t>
  </si>
  <si>
    <t>FROM KAMPALA</t>
  </si>
  <si>
    <t>TO KAMPALA</t>
  </si>
  <si>
    <t>BUS OPERATIONS AT KAMPALA</t>
  </si>
  <si>
    <t>POSTA BUS SERVICES</t>
  </si>
  <si>
    <t>BISMARKAN COACHES</t>
  </si>
  <si>
    <t>JAGUAR BUS SERVICES</t>
  </si>
  <si>
    <t>EASY COACHES</t>
  </si>
  <si>
    <t>KK BUS SERVICES</t>
  </si>
  <si>
    <t>YY COACHES</t>
  </si>
  <si>
    <t>TRINITY BUS SERVICES</t>
  </si>
  <si>
    <t>SWIFT COACHES</t>
  </si>
  <si>
    <t>MODERN COAST COACHES</t>
  </si>
  <si>
    <t>LINK BUS SERVICES</t>
  </si>
  <si>
    <t>Journey_Desc</t>
  </si>
  <si>
    <t>UG</t>
  </si>
  <si>
    <t>GLOBAL COACHES</t>
  </si>
  <si>
    <t>KATENDE-ISHAKA</t>
  </si>
  <si>
    <t>KE</t>
  </si>
  <si>
    <t xml:space="preserve"> KAMPALA</t>
  </si>
  <si>
    <t>BUKAVU-CONGO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</si>
</sst>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5">
    <xf numFmtId="0" fontId="0" fillId="0" borderId="0"/>
    <xf numFmtId="9" fontId="7" fillId="0" borderId="0" applyFont="0" applyFill="0" applyBorder="0" applyAlignment="0" applyProtection="0"/>
    <xf numFmtId="0" fontId="9" fillId="0" borderId="0"/>
    <xf numFmtId="164" fontId="7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/>
    <xf numFmtId="0" fontId="6" fillId="0" borderId="0" xfId="0" applyFont="1" applyBorder="1" applyAlignment="1">
      <alignment horizontal="left" vertical="center"/>
    </xf>
    <xf numFmtId="0" fontId="0" fillId="0" borderId="0" xfId="0" applyBorder="1"/>
    <xf numFmtId="1" fontId="7" fillId="0" borderId="2" xfId="0" applyNumberFormat="1" applyFont="1" applyBorder="1"/>
    <xf numFmtId="1" fontId="0" fillId="0" borderId="2" xfId="0" applyNumberFormat="1" applyBorder="1"/>
    <xf numFmtId="1" fontId="7" fillId="0" borderId="2" xfId="0" applyNumberFormat="1" applyFont="1" applyBorder="1" applyAlignment="1">
      <alignment horizontal="center"/>
    </xf>
    <xf numFmtId="0" fontId="0" fillId="0" borderId="2" xfId="0" applyBorder="1"/>
    <xf numFmtId="1" fontId="7" fillId="0" borderId="3" xfId="0" applyNumberFormat="1" applyFont="1" applyBorder="1"/>
    <xf numFmtId="1" fontId="0" fillId="0" borderId="3" xfId="0" applyNumberFormat="1" applyBorder="1"/>
    <xf numFmtId="1" fontId="7" fillId="0" borderId="3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vertical="center" wrapText="1"/>
    </xf>
    <xf numFmtId="0" fontId="7" fillId="0" borderId="0" xfId="0" applyFont="1"/>
    <xf numFmtId="14" fontId="6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7" fillId="0" borderId="0" xfId="0" applyFont="1" applyBorder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/>
    <xf numFmtId="165" fontId="7" fillId="3" borderId="2" xfId="0" applyNumberFormat="1" applyFont="1" applyFill="1" applyBorder="1" applyAlignment="1">
      <alignment horizontal="center"/>
    </xf>
    <xf numFmtId="1" fontId="7" fillId="3" borderId="2" xfId="0" applyNumberFormat="1" applyFont="1" applyFill="1" applyBorder="1" applyAlignment="1">
      <alignment horizontal="center" wrapText="1"/>
    </xf>
    <xf numFmtId="1" fontId="7" fillId="3" borderId="2" xfId="0" applyNumberFormat="1" applyFont="1" applyFill="1" applyBorder="1" applyAlignment="1">
      <alignment horizontal="center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0" fillId="0" borderId="0" xfId="0" applyFill="1"/>
    <xf numFmtId="1" fontId="7" fillId="2" borderId="2" xfId="0" applyNumberFormat="1" applyFont="1" applyFill="1" applyBorder="1" applyAlignment="1">
      <alignment horizontal="center" wrapText="1"/>
    </xf>
    <xf numFmtId="166" fontId="7" fillId="3" borderId="2" xfId="0" applyNumberFormat="1" applyFont="1" applyFill="1" applyBorder="1" applyAlignment="1">
      <alignment horizontal="center"/>
    </xf>
    <xf numFmtId="0" fontId="10" fillId="0" borderId="0" xfId="0" applyFont="1"/>
    <xf numFmtId="20" fontId="4" fillId="3" borderId="2" xfId="0" applyNumberFormat="1" applyFont="1" applyFill="1" applyBorder="1" applyAlignment="1">
      <alignment vertical="center"/>
    </xf>
    <xf numFmtId="0" fontId="10" fillId="0" borderId="22" xfId="0" applyFont="1" applyFill="1" applyBorder="1" applyAlignment="1"/>
    <xf numFmtId="0" fontId="10" fillId="3" borderId="20" xfId="0" applyFont="1" applyFill="1" applyBorder="1" applyAlignment="1"/>
    <xf numFmtId="0" fontId="10" fillId="0" borderId="0" xfId="0" applyFont="1" applyBorder="1"/>
    <xf numFmtId="0" fontId="10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 wrapText="1"/>
    </xf>
    <xf numFmtId="1" fontId="7" fillId="4" borderId="2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7" fillId="4" borderId="2" xfId="0" applyNumberFormat="1" applyFont="1" applyFill="1" applyBorder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6" borderId="2" xfId="0" applyFon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1" fontId="0" fillId="6" borderId="2" xfId="0" applyNumberFormat="1" applyFill="1" applyBorder="1" applyAlignment="1">
      <alignment horizontal="center" vertical="center"/>
    </xf>
    <xf numFmtId="166" fontId="0" fillId="6" borderId="2" xfId="0" applyNumberFormat="1" applyFill="1" applyBorder="1" applyAlignment="1">
      <alignment vertical="center"/>
    </xf>
    <xf numFmtId="41" fontId="0" fillId="6" borderId="2" xfId="5" applyFont="1" applyFill="1" applyBorder="1" applyAlignment="1">
      <alignment vertical="center"/>
    </xf>
    <xf numFmtId="0" fontId="0" fillId="0" borderId="0" xfId="0" applyAlignment="1">
      <alignment horizontal="center"/>
    </xf>
    <xf numFmtId="0" fontId="7" fillId="6" borderId="0" xfId="0" applyFont="1" applyFill="1" applyBorder="1" applyAlignment="1">
      <alignment vertical="center"/>
    </xf>
    <xf numFmtId="0" fontId="0" fillId="6" borderId="0" xfId="0" applyFill="1" applyBorder="1" applyAlignment="1">
      <alignment vertical="center"/>
    </xf>
    <xf numFmtId="1" fontId="0" fillId="6" borderId="0" xfId="0" applyNumberFormat="1" applyFill="1" applyBorder="1" applyAlignment="1">
      <alignment horizontal="center" vertical="center"/>
    </xf>
    <xf numFmtId="166" fontId="0" fillId="6" borderId="0" xfId="0" applyNumberFormat="1" applyFill="1" applyBorder="1" applyAlignment="1">
      <alignment vertical="center"/>
    </xf>
    <xf numFmtId="41" fontId="0" fillId="6" borderId="0" xfId="5" applyFont="1" applyFill="1" applyBorder="1" applyAlignment="1">
      <alignment vertical="center"/>
    </xf>
    <xf numFmtId="1" fontId="7" fillId="6" borderId="2" xfId="6" applyNumberFormat="1" applyFill="1" applyBorder="1" applyAlignment="1">
      <alignment horizontal="center" vertical="center"/>
    </xf>
    <xf numFmtId="1" fontId="7" fillId="6" borderId="2" xfId="6" applyNumberFormat="1" applyFill="1" applyBorder="1" applyAlignment="1">
      <alignment horizontal="center" vertical="center"/>
    </xf>
    <xf numFmtId="1" fontId="7" fillId="6" borderId="2" xfId="6" applyNumberFormat="1" applyFill="1" applyBorder="1" applyAlignment="1">
      <alignment horizontal="center" vertical="center"/>
    </xf>
    <xf numFmtId="1" fontId="7" fillId="6" borderId="2" xfId="6" applyNumberFormat="1" applyFill="1" applyBorder="1" applyAlignment="1">
      <alignment horizontal="center" vertical="center"/>
    </xf>
    <xf numFmtId="1" fontId="7" fillId="6" borderId="2" xfId="6" applyNumberFormat="1" applyFill="1" applyBorder="1" applyAlignment="1">
      <alignment horizontal="center" vertical="center"/>
    </xf>
    <xf numFmtId="1" fontId="7" fillId="6" borderId="2" xfId="6" applyNumberFormat="1" applyFill="1" applyBorder="1" applyAlignment="1">
      <alignment horizontal="center" vertical="center"/>
    </xf>
    <xf numFmtId="1" fontId="7" fillId="6" borderId="0" xfId="6" applyNumberFormat="1" applyFill="1" applyBorder="1" applyAlignment="1">
      <alignment horizontal="center" vertical="center"/>
    </xf>
    <xf numFmtId="167" fontId="7" fillId="3" borderId="2" xfId="3" applyNumberFormat="1" applyFont="1" applyFill="1" applyBorder="1" applyAlignment="1">
      <alignment horizontal="right"/>
    </xf>
    <xf numFmtId="0" fontId="5" fillId="0" borderId="0" xfId="0" applyFont="1" applyFill="1" applyAlignment="1">
      <alignment vertical="center"/>
    </xf>
    <xf numFmtId="0" fontId="10" fillId="0" borderId="0" xfId="0" applyFont="1" applyAlignment="1"/>
    <xf numFmtId="0" fontId="4" fillId="0" borderId="0" xfId="0" applyFont="1" applyAlignment="1"/>
    <xf numFmtId="0" fontId="4" fillId="0" borderId="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/>
    <xf numFmtId="0" fontId="0" fillId="0" borderId="0" xfId="0" applyFill="1" applyAlignment="1"/>
    <xf numFmtId="1" fontId="3" fillId="2" borderId="7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" fontId="3" fillId="0" borderId="13" xfId="0" applyNumberFormat="1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 wrapText="1"/>
    </xf>
    <xf numFmtId="1" fontId="3" fillId="0" borderId="16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4" fillId="0" borderId="23" xfId="0" applyFont="1" applyBorder="1" applyAlignment="1"/>
    <xf numFmtId="0" fontId="4" fillId="3" borderId="20" xfId="0" applyFont="1" applyFill="1" applyBorder="1" applyAlignment="1">
      <alignment vertical="center"/>
    </xf>
    <xf numFmtId="0" fontId="4" fillId="3" borderId="21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3" xfId="0" applyFont="1" applyBorder="1" applyAlignment="1">
      <alignment vertical="center"/>
    </xf>
    <xf numFmtId="0" fontId="10" fillId="3" borderId="20" xfId="0" applyFont="1" applyFill="1" applyBorder="1" applyAlignment="1"/>
    <xf numFmtId="0" fontId="10" fillId="3" borderId="21" xfId="0" applyFont="1" applyFill="1" applyBorder="1" applyAlignment="1"/>
    <xf numFmtId="1" fontId="3" fillId="2" borderId="18" xfId="0" applyNumberFormat="1" applyFont="1" applyFill="1" applyBorder="1" applyAlignment="1">
      <alignment vertical="center" wrapText="1"/>
    </xf>
    <xf numFmtId="1" fontId="3" fillId="2" borderId="19" xfId="0" applyNumberFormat="1" applyFont="1" applyFill="1" applyBorder="1" applyAlignment="1">
      <alignment vertical="center" wrapText="1"/>
    </xf>
    <xf numFmtId="1" fontId="3" fillId="2" borderId="17" xfId="0" applyNumberFormat="1" applyFont="1" applyFill="1" applyBorder="1" applyAlignment="1">
      <alignment vertical="center" wrapText="1"/>
    </xf>
    <xf numFmtId="1" fontId="3" fillId="2" borderId="8" xfId="0" applyNumberFormat="1" applyFont="1" applyFill="1" applyBorder="1" applyAlignment="1">
      <alignment vertical="center" wrapText="1"/>
    </xf>
    <xf numFmtId="1" fontId="3" fillId="2" borderId="7" xfId="0" applyNumberFormat="1" applyFont="1" applyFill="1" applyBorder="1" applyAlignment="1">
      <alignment vertical="center" wrapText="1"/>
    </xf>
    <xf numFmtId="1" fontId="3" fillId="2" borderId="10" xfId="0" applyNumberFormat="1" applyFont="1" applyFill="1" applyBorder="1" applyAlignment="1">
      <alignment vertical="center" wrapText="1"/>
    </xf>
    <xf numFmtId="1" fontId="3" fillId="2" borderId="3" xfId="0" applyNumberFormat="1" applyFont="1" applyFill="1" applyBorder="1" applyAlignment="1">
      <alignment vertical="center" wrapText="1"/>
    </xf>
    <xf numFmtId="1" fontId="3" fillId="2" borderId="11" xfId="0" applyNumberFormat="1" applyFont="1" applyFill="1" applyBorder="1" applyAlignment="1">
      <alignment horizontal="right" vertical="center" wrapText="1"/>
    </xf>
    <xf numFmtId="1" fontId="3" fillId="2" borderId="12" xfId="0" applyNumberFormat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</cellXfs>
  <cellStyles count="15">
    <cellStyle name="Comma [0] 2" xfId="5" xr:uid="{3890C2A3-EFEC-4DB0-AC12-2D6CB2440D6D}"/>
    <cellStyle name="Comma [0] 2 2" xfId="11" xr:uid="{D09D00B5-9F44-421C-B780-4503627EEDB5}"/>
    <cellStyle name="Comma 2" xfId="3" xr:uid="{00000000-0005-0000-0000-000001000000}"/>
    <cellStyle name="Comma 2 2" xfId="8" xr:uid="{654F6B74-AF51-4749-8AF0-1820E2EE4E8A}"/>
    <cellStyle name="Comma 3" xfId="7" xr:uid="{355D6783-1737-4E2E-AA0B-51D15694A265}"/>
    <cellStyle name="Comma 4" xfId="10" xr:uid="{3A1544C4-7C2F-4303-82DE-0B8FF0A6D9D0}"/>
    <cellStyle name="Comma 5" xfId="12" xr:uid="{50F1B0D2-16C1-4DE3-B555-E88E8006AC63}"/>
    <cellStyle name="Comma 6" xfId="13" xr:uid="{ADE26342-3725-4E45-94B5-9A13D60122D6}"/>
    <cellStyle name="Comma 7" xfId="14" xr:uid="{B99D7442-4192-4802-901B-D4C88AC866C8}"/>
    <cellStyle name="Normal" xfId="0" builtinId="0"/>
    <cellStyle name="Normal 2" xfId="2" xr:uid="{00000000-0005-0000-0000-000003000000}"/>
    <cellStyle name="Normal 3" xfId="4" xr:uid="{00000000-0005-0000-0000-000004000000}"/>
    <cellStyle name="Normal 3 2" xfId="9" xr:uid="{3E9F8883-CBBC-4D8C-BC95-715B3BD35820}"/>
    <cellStyle name="Normal 4" xfId="6" xr:uid="{8D6565D6-E389-4C1F-A036-3E1030B7A28B}"/>
    <cellStyle name="Percent 2" xfId="1" xr:uid="{00000000-0005-0000-0000-000005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9" t="s">
        <v>8</v>
      </c>
      <c r="C7" s="91" t="s">
        <v>9</v>
      </c>
      <c r="D7" s="91" t="s">
        <v>10</v>
      </c>
      <c r="E7" s="91" t="s">
        <v>11</v>
      </c>
      <c r="F7" s="91" t="s">
        <v>12</v>
      </c>
      <c r="G7" s="91"/>
      <c r="H7" s="91" t="s">
        <v>15</v>
      </c>
      <c r="I7" s="91" t="s">
        <v>16</v>
      </c>
      <c r="J7" s="91" t="s">
        <v>17</v>
      </c>
      <c r="K7" s="91"/>
      <c r="L7" s="91" t="s">
        <v>18</v>
      </c>
      <c r="M7" s="91" t="s">
        <v>19</v>
      </c>
      <c r="N7" s="91" t="s">
        <v>20</v>
      </c>
      <c r="O7" s="93" t="s">
        <v>21</v>
      </c>
      <c r="P7" s="84" t="s">
        <v>27</v>
      </c>
      <c r="Q7" s="85"/>
    </row>
    <row r="8" spans="2:25" ht="24.75" customHeight="1" thickBot="1" x14ac:dyDescent="0.25">
      <c r="B8" s="90"/>
      <c r="C8" s="92"/>
      <c r="D8" s="92"/>
      <c r="E8" s="92"/>
      <c r="F8" s="18" t="s">
        <v>13</v>
      </c>
      <c r="G8" s="18" t="s">
        <v>14</v>
      </c>
      <c r="H8" s="92"/>
      <c r="I8" s="92"/>
      <c r="J8" s="18" t="s">
        <v>13</v>
      </c>
      <c r="K8" s="18" t="s">
        <v>14</v>
      </c>
      <c r="L8" s="92"/>
      <c r="M8" s="92"/>
      <c r="N8" s="92"/>
      <c r="O8" s="94"/>
      <c r="P8" s="86"/>
      <c r="Q8" s="87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5BDA-9AB2-49F2-83CC-F5CB07A04707}">
  <dimension ref="A1:V1539"/>
  <sheetViews>
    <sheetView tabSelected="1" topLeftCell="A476" zoomScale="85" zoomScaleNormal="85" zoomScaleSheetLayoutView="80" workbookViewId="0">
      <selection activeCell="H490" sqref="H490"/>
    </sheetView>
  </sheetViews>
  <sheetFormatPr defaultRowHeight="12.75" x14ac:dyDescent="0.2"/>
  <cols>
    <col min="1" max="1" width="5.85546875" customWidth="1"/>
    <col min="2" max="2" width="11" style="83" customWidth="1"/>
    <col min="3" max="3" width="8" style="78" customWidth="1"/>
    <col min="4" max="4" width="11.7109375" style="79" customWidth="1"/>
    <col min="5" max="5" width="20.42578125" style="78" customWidth="1"/>
    <col min="6" max="6" width="11.5703125" style="78" customWidth="1"/>
    <col min="7" max="7" width="27.7109375" style="78" customWidth="1"/>
    <col min="8" max="8" width="13.28515625" style="78" customWidth="1"/>
    <col min="9" max="9" width="9.42578125" style="78" customWidth="1"/>
    <col min="10" max="10" width="22.7109375" style="78" customWidth="1"/>
    <col min="11" max="11" width="14.28515625" style="78" customWidth="1"/>
    <col min="12" max="12" width="29.28515625" style="78" customWidth="1"/>
    <col min="13" max="13" width="10.5703125" style="78" customWidth="1"/>
    <col min="14" max="14" width="16.42578125" style="78" customWidth="1"/>
    <col min="15" max="15" width="18.7109375" style="78" customWidth="1"/>
  </cols>
  <sheetData>
    <row r="1" spans="1:22" s="81" customFormat="1" ht="20.25" x14ac:dyDescent="0.2">
      <c r="B1" s="99" t="s">
        <v>51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41"/>
      <c r="Q1" s="41"/>
      <c r="R1" s="41"/>
      <c r="S1" s="41"/>
      <c r="T1" s="41"/>
      <c r="U1" s="41"/>
      <c r="V1" s="41"/>
    </row>
    <row r="2" spans="1:22" s="59" customFormat="1" ht="20.25" x14ac:dyDescent="0.2">
      <c r="B2" s="99" t="s">
        <v>62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49"/>
      <c r="Q2" s="49"/>
      <c r="R2" s="49"/>
      <c r="S2" s="49"/>
      <c r="T2" s="49"/>
      <c r="U2" s="49"/>
      <c r="V2" s="49"/>
    </row>
    <row r="3" spans="1:22" ht="15" x14ac:dyDescent="0.2">
      <c r="B3" s="82"/>
      <c r="C3" s="7"/>
      <c r="D3" s="73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22" s="35" customFormat="1" ht="15" customHeight="1" x14ac:dyDescent="0.25">
      <c r="B4" s="100" t="s">
        <v>2</v>
      </c>
      <c r="C4" s="101"/>
      <c r="D4" s="36" t="s">
        <v>53</v>
      </c>
      <c r="E4" s="74"/>
      <c r="F4" s="74"/>
      <c r="G4" s="75" t="s">
        <v>59</v>
      </c>
      <c r="H4" s="97"/>
      <c r="I4" s="98"/>
      <c r="J4" s="76" t="s">
        <v>6</v>
      </c>
      <c r="K4" s="102"/>
      <c r="L4" s="103"/>
      <c r="M4" s="37"/>
      <c r="N4" s="76" t="s">
        <v>7</v>
      </c>
      <c r="O4" s="38" t="s">
        <v>61</v>
      </c>
      <c r="P4" s="37"/>
      <c r="R4" s="39"/>
      <c r="S4" s="40"/>
    </row>
    <row r="5" spans="1:22" s="35" customFormat="1" ht="15" customHeight="1" x14ac:dyDescent="0.25">
      <c r="B5" s="95" t="s">
        <v>58</v>
      </c>
      <c r="C5" s="96"/>
      <c r="D5" s="97"/>
      <c r="E5" s="98"/>
      <c r="F5" s="77"/>
      <c r="G5" s="75" t="s">
        <v>38</v>
      </c>
      <c r="H5" s="97"/>
      <c r="I5" s="98"/>
      <c r="J5" s="74"/>
      <c r="K5" s="6"/>
      <c r="L5" s="74"/>
      <c r="M5" s="6"/>
      <c r="N5" s="74"/>
      <c r="O5" s="74"/>
    </row>
    <row r="6" spans="1:22" ht="13.5" thickBot="1" x14ac:dyDescent="0.25"/>
    <row r="7" spans="1:22" ht="30.75" customHeight="1" x14ac:dyDescent="0.2">
      <c r="A7" s="32"/>
      <c r="B7" s="111" t="s">
        <v>34</v>
      </c>
      <c r="C7" s="107" t="s">
        <v>9</v>
      </c>
      <c r="D7" s="109" t="s">
        <v>56</v>
      </c>
      <c r="E7" s="109" t="s">
        <v>35</v>
      </c>
      <c r="F7" s="109" t="s">
        <v>55</v>
      </c>
      <c r="G7" s="104" t="s">
        <v>12</v>
      </c>
      <c r="H7" s="105"/>
      <c r="I7" s="106"/>
      <c r="J7" s="104" t="s">
        <v>17</v>
      </c>
      <c r="K7" s="105"/>
      <c r="L7" s="106"/>
      <c r="M7" s="107" t="s">
        <v>57</v>
      </c>
      <c r="N7" s="109" t="s">
        <v>60</v>
      </c>
      <c r="O7" s="109" t="s">
        <v>52</v>
      </c>
      <c r="Q7" s="19"/>
    </row>
    <row r="8" spans="1:22" ht="38.25" customHeight="1" x14ac:dyDescent="0.2">
      <c r="A8" s="32"/>
      <c r="B8" s="112"/>
      <c r="C8" s="108"/>
      <c r="D8" s="110"/>
      <c r="E8" s="110"/>
      <c r="F8" s="110"/>
      <c r="G8" s="80" t="s">
        <v>54</v>
      </c>
      <c r="H8" s="80" t="s">
        <v>36</v>
      </c>
      <c r="I8" s="80" t="s">
        <v>37</v>
      </c>
      <c r="J8" s="80" t="s">
        <v>54</v>
      </c>
      <c r="K8" s="80" t="s">
        <v>36</v>
      </c>
      <c r="L8" s="80" t="s">
        <v>256</v>
      </c>
      <c r="M8" s="108"/>
      <c r="N8" s="110"/>
      <c r="O8" s="110"/>
    </row>
    <row r="9" spans="1:22" ht="27.75" customHeight="1" x14ac:dyDescent="0.2">
      <c r="B9" s="45" t="s">
        <v>218</v>
      </c>
      <c r="C9" s="47"/>
      <c r="D9" s="48"/>
      <c r="E9" s="46" t="s">
        <v>90</v>
      </c>
      <c r="F9" s="48"/>
      <c r="G9" s="47"/>
      <c r="H9" s="47"/>
      <c r="I9" s="47"/>
      <c r="J9" s="47"/>
      <c r="K9" s="47"/>
      <c r="L9" s="47"/>
      <c r="M9" s="47"/>
      <c r="N9" s="48"/>
      <c r="O9" s="48"/>
    </row>
    <row r="10" spans="1:22" s="19" customFormat="1" ht="19.5" customHeight="1" x14ac:dyDescent="0.2">
      <c r="B10" s="27">
        <v>0.71666666666666667</v>
      </c>
      <c r="C10" s="28">
        <v>6</v>
      </c>
      <c r="D10" s="33" t="str">
        <f>IF(C10="", "",VLOOKUP(C10,Key!$A$5:$B$7,2,FALSE))</f>
        <v>Large Bus</v>
      </c>
      <c r="E10" s="28" t="s">
        <v>90</v>
      </c>
      <c r="F10" s="28" t="s">
        <v>66</v>
      </c>
      <c r="G10" s="29" t="s">
        <v>68</v>
      </c>
      <c r="H10" s="29" t="s">
        <v>68</v>
      </c>
      <c r="I10" s="29" t="s">
        <v>257</v>
      </c>
      <c r="J10" s="29" t="s">
        <v>70</v>
      </c>
      <c r="K10" s="30" t="s">
        <v>70</v>
      </c>
      <c r="L10" s="30" t="str">
        <f t="shared" ref="L10:L73" si="0">H10&amp;"-"&amp;K10</f>
        <v>MBARARA-KAMPALA</v>
      </c>
      <c r="M10" s="31">
        <v>65</v>
      </c>
      <c r="N10" s="72">
        <v>20000</v>
      </c>
      <c r="O10" s="34">
        <v>4.9000000000000004</v>
      </c>
    </row>
    <row r="11" spans="1:22" x14ac:dyDescent="0.2">
      <c r="B11" s="27">
        <v>0.73819444444444438</v>
      </c>
      <c r="C11" s="28">
        <v>6</v>
      </c>
      <c r="D11" s="33" t="str">
        <f>IF(C11="", "",VLOOKUP(C11,Key!$A$5:$B$7,2,FALSE))</f>
        <v>Large Bus</v>
      </c>
      <c r="E11" s="28" t="s">
        <v>90</v>
      </c>
      <c r="F11" s="28" t="s">
        <v>66</v>
      </c>
      <c r="G11" s="29" t="s">
        <v>68</v>
      </c>
      <c r="H11" s="29" t="s">
        <v>68</v>
      </c>
      <c r="I11" s="29" t="s">
        <v>257</v>
      </c>
      <c r="J11" s="29" t="s">
        <v>70</v>
      </c>
      <c r="K11" s="30" t="s">
        <v>70</v>
      </c>
      <c r="L11" s="30" t="str">
        <f t="shared" si="0"/>
        <v>MBARARA-KAMPALA</v>
      </c>
      <c r="M11" s="31">
        <v>65</v>
      </c>
      <c r="N11" s="72">
        <v>20000</v>
      </c>
      <c r="O11" s="34">
        <v>4.9000000000000004</v>
      </c>
    </row>
    <row r="12" spans="1:22" x14ac:dyDescent="0.2">
      <c r="B12" s="27">
        <v>0.74097222222222225</v>
      </c>
      <c r="C12" s="28">
        <v>6</v>
      </c>
      <c r="D12" s="33" t="str">
        <f>IF(C12="", "",VLOOKUP(C12,Key!$A$5:$B$7,2,FALSE))</f>
        <v>Large Bus</v>
      </c>
      <c r="E12" s="28" t="s">
        <v>90</v>
      </c>
      <c r="F12" s="28" t="s">
        <v>66</v>
      </c>
      <c r="G12" s="29" t="s">
        <v>68</v>
      </c>
      <c r="H12" s="29" t="s">
        <v>68</v>
      </c>
      <c r="I12" s="29" t="s">
        <v>257</v>
      </c>
      <c r="J12" s="29" t="s">
        <v>70</v>
      </c>
      <c r="K12" s="30" t="s">
        <v>70</v>
      </c>
      <c r="L12" s="30" t="str">
        <f t="shared" si="0"/>
        <v>MBARARA-KAMPALA</v>
      </c>
      <c r="M12" s="31">
        <v>67</v>
      </c>
      <c r="N12" s="72">
        <v>20000</v>
      </c>
      <c r="O12" s="34">
        <v>4.9000000000000004</v>
      </c>
    </row>
    <row r="13" spans="1:22" x14ac:dyDescent="0.2">
      <c r="B13" s="27">
        <v>0.75624999999999998</v>
      </c>
      <c r="C13" s="28">
        <v>6</v>
      </c>
      <c r="D13" s="33" t="str">
        <f>IF(C13="", "",VLOOKUP(C13,Key!$A$5:$B$7,2,FALSE))</f>
        <v>Large Bus</v>
      </c>
      <c r="E13" s="28" t="s">
        <v>90</v>
      </c>
      <c r="F13" s="28" t="s">
        <v>66</v>
      </c>
      <c r="G13" s="29" t="s">
        <v>68</v>
      </c>
      <c r="H13" s="29" t="s">
        <v>68</v>
      </c>
      <c r="I13" s="29" t="s">
        <v>257</v>
      </c>
      <c r="J13" s="29" t="s">
        <v>70</v>
      </c>
      <c r="K13" s="30" t="s">
        <v>70</v>
      </c>
      <c r="L13" s="30" t="str">
        <f t="shared" si="0"/>
        <v>MBARARA-KAMPALA</v>
      </c>
      <c r="M13" s="31">
        <v>67</v>
      </c>
      <c r="N13" s="72">
        <v>20000</v>
      </c>
      <c r="O13" s="34">
        <v>4.9000000000000004</v>
      </c>
    </row>
    <row r="14" spans="1:22" x14ac:dyDescent="0.2">
      <c r="B14" s="27">
        <v>0.7583333333333333</v>
      </c>
      <c r="C14" s="28">
        <v>6</v>
      </c>
      <c r="D14" s="33" t="str">
        <f>IF(C14="", "",VLOOKUP(C14,Key!$A$5:$B$7,2,FALSE))</f>
        <v>Large Bus</v>
      </c>
      <c r="E14" s="28" t="s">
        <v>90</v>
      </c>
      <c r="F14" s="28" t="s">
        <v>66</v>
      </c>
      <c r="G14" s="29" t="s">
        <v>68</v>
      </c>
      <c r="H14" s="29" t="s">
        <v>68</v>
      </c>
      <c r="I14" s="29" t="s">
        <v>257</v>
      </c>
      <c r="J14" s="29" t="s">
        <v>70</v>
      </c>
      <c r="K14" s="30" t="s">
        <v>70</v>
      </c>
      <c r="L14" s="30" t="str">
        <f t="shared" si="0"/>
        <v>MBARARA-KAMPALA</v>
      </c>
      <c r="M14" s="31">
        <v>65</v>
      </c>
      <c r="N14" s="72">
        <v>20000</v>
      </c>
      <c r="O14" s="34">
        <v>4.9000000000000004</v>
      </c>
    </row>
    <row r="15" spans="1:22" x14ac:dyDescent="0.2">
      <c r="B15" s="27">
        <v>0.75902777777777775</v>
      </c>
      <c r="C15" s="28">
        <v>6</v>
      </c>
      <c r="D15" s="33" t="str">
        <f>IF(C15="", "",VLOOKUP(C15,Key!$A$5:$B$7,2,FALSE))</f>
        <v>Large Bus</v>
      </c>
      <c r="E15" s="28" t="s">
        <v>90</v>
      </c>
      <c r="F15" s="28" t="s">
        <v>66</v>
      </c>
      <c r="G15" s="29" t="s">
        <v>68</v>
      </c>
      <c r="H15" s="29" t="s">
        <v>68</v>
      </c>
      <c r="I15" s="29" t="s">
        <v>257</v>
      </c>
      <c r="J15" s="29" t="s">
        <v>70</v>
      </c>
      <c r="K15" s="30" t="s">
        <v>70</v>
      </c>
      <c r="L15" s="30" t="str">
        <f t="shared" si="0"/>
        <v>MBARARA-KAMPALA</v>
      </c>
      <c r="M15" s="31">
        <v>65</v>
      </c>
      <c r="N15" s="72">
        <v>20000</v>
      </c>
      <c r="O15" s="34">
        <v>4.9000000000000004</v>
      </c>
    </row>
    <row r="16" spans="1:22" x14ac:dyDescent="0.2">
      <c r="B16" s="27">
        <v>0.76388888888888884</v>
      </c>
      <c r="C16" s="28">
        <v>6</v>
      </c>
      <c r="D16" s="33" t="str">
        <f>IF(C16="", "",VLOOKUP(C16,Key!$A$5:$B$7,2,FALSE))</f>
        <v>Large Bus</v>
      </c>
      <c r="E16" s="28" t="s">
        <v>90</v>
      </c>
      <c r="F16" s="28" t="s">
        <v>66</v>
      </c>
      <c r="G16" s="29" t="s">
        <v>68</v>
      </c>
      <c r="H16" s="29" t="s">
        <v>68</v>
      </c>
      <c r="I16" s="29" t="s">
        <v>257</v>
      </c>
      <c r="J16" s="29" t="s">
        <v>70</v>
      </c>
      <c r="K16" s="30" t="s">
        <v>70</v>
      </c>
      <c r="L16" s="30" t="str">
        <f t="shared" si="0"/>
        <v>MBARARA-KAMPALA</v>
      </c>
      <c r="M16" s="31">
        <v>67</v>
      </c>
      <c r="N16" s="72">
        <v>20000</v>
      </c>
      <c r="O16" s="34">
        <v>4.9000000000000004</v>
      </c>
    </row>
    <row r="17" spans="2:15" x14ac:dyDescent="0.2">
      <c r="B17" s="27">
        <v>0.76458333333333339</v>
      </c>
      <c r="C17" s="28">
        <v>6</v>
      </c>
      <c r="D17" s="33" t="str">
        <f>IF(C17="", "",VLOOKUP(C17,Key!$A$5:$B$7,2,FALSE))</f>
        <v>Large Bus</v>
      </c>
      <c r="E17" s="28" t="s">
        <v>90</v>
      </c>
      <c r="F17" s="28" t="s">
        <v>66</v>
      </c>
      <c r="G17" s="29" t="s">
        <v>68</v>
      </c>
      <c r="H17" s="29" t="s">
        <v>68</v>
      </c>
      <c r="I17" s="29" t="s">
        <v>257</v>
      </c>
      <c r="J17" s="29" t="s">
        <v>70</v>
      </c>
      <c r="K17" s="30" t="s">
        <v>70</v>
      </c>
      <c r="L17" s="30" t="str">
        <f t="shared" si="0"/>
        <v>MBARARA-KAMPALA</v>
      </c>
      <c r="M17" s="31">
        <v>67</v>
      </c>
      <c r="N17" s="72">
        <v>20000</v>
      </c>
      <c r="O17" s="34">
        <v>4.9000000000000004</v>
      </c>
    </row>
    <row r="18" spans="2:15" x14ac:dyDescent="0.2">
      <c r="B18" s="27">
        <v>0.78263888888888899</v>
      </c>
      <c r="C18" s="28">
        <v>6</v>
      </c>
      <c r="D18" s="33" t="str">
        <f>IF(C18="", "",VLOOKUP(C18,Key!$A$5:$B$7,2,FALSE))</f>
        <v>Large Bus</v>
      </c>
      <c r="E18" s="28" t="s">
        <v>90</v>
      </c>
      <c r="F18" s="28" t="s">
        <v>66</v>
      </c>
      <c r="G18" s="29" t="s">
        <v>68</v>
      </c>
      <c r="H18" s="29" t="s">
        <v>68</v>
      </c>
      <c r="I18" s="29" t="s">
        <v>257</v>
      </c>
      <c r="J18" s="29" t="s">
        <v>70</v>
      </c>
      <c r="K18" s="30" t="s">
        <v>70</v>
      </c>
      <c r="L18" s="30" t="str">
        <f t="shared" si="0"/>
        <v>MBARARA-KAMPALA</v>
      </c>
      <c r="M18" s="31">
        <v>65</v>
      </c>
      <c r="N18" s="72">
        <v>20000</v>
      </c>
      <c r="O18" s="34">
        <v>4.9000000000000004</v>
      </c>
    </row>
    <row r="19" spans="2:15" x14ac:dyDescent="0.2">
      <c r="B19" s="27">
        <v>0.78402777777777777</v>
      </c>
      <c r="C19" s="28">
        <v>6</v>
      </c>
      <c r="D19" s="33" t="str">
        <f>IF(C19="", "",VLOOKUP(C19,Key!$A$5:$B$7,2,FALSE))</f>
        <v>Large Bus</v>
      </c>
      <c r="E19" s="28" t="s">
        <v>90</v>
      </c>
      <c r="F19" s="28" t="s">
        <v>66</v>
      </c>
      <c r="G19" s="29" t="s">
        <v>68</v>
      </c>
      <c r="H19" s="29" t="s">
        <v>68</v>
      </c>
      <c r="I19" s="29" t="s">
        <v>257</v>
      </c>
      <c r="J19" s="29" t="s">
        <v>70</v>
      </c>
      <c r="K19" s="30" t="s">
        <v>70</v>
      </c>
      <c r="L19" s="30" t="str">
        <f t="shared" si="0"/>
        <v>MBARARA-KAMPALA</v>
      </c>
      <c r="M19" s="31">
        <v>67</v>
      </c>
      <c r="N19" s="72">
        <v>20000</v>
      </c>
      <c r="O19" s="34">
        <v>4.9000000000000004</v>
      </c>
    </row>
    <row r="20" spans="2:15" x14ac:dyDescent="0.2">
      <c r="B20" s="27">
        <v>0.60763888888888895</v>
      </c>
      <c r="C20" s="28">
        <v>6</v>
      </c>
      <c r="D20" s="33" t="str">
        <f>IF(C20="", "",VLOOKUP(C20,Key!$A$5:$B$7,2,FALSE))</f>
        <v>Large Bus</v>
      </c>
      <c r="E20" s="28" t="s">
        <v>90</v>
      </c>
      <c r="F20" s="28" t="s">
        <v>67</v>
      </c>
      <c r="G20" s="29" t="s">
        <v>69</v>
      </c>
      <c r="H20" s="29" t="s">
        <v>70</v>
      </c>
      <c r="I20" s="29" t="s">
        <v>257</v>
      </c>
      <c r="J20" s="29" t="s">
        <v>71</v>
      </c>
      <c r="K20" s="30" t="s">
        <v>68</v>
      </c>
      <c r="L20" s="30" t="str">
        <f t="shared" si="0"/>
        <v>KAMPALA-MBARARA</v>
      </c>
      <c r="M20" s="31">
        <v>67</v>
      </c>
      <c r="N20" s="72">
        <v>20000</v>
      </c>
      <c r="O20" s="34">
        <v>4.9000000000000004</v>
      </c>
    </row>
    <row r="21" spans="2:15" x14ac:dyDescent="0.2">
      <c r="B21" s="27">
        <v>0.6118055555555556</v>
      </c>
      <c r="C21" s="28">
        <v>6</v>
      </c>
      <c r="D21" s="33" t="str">
        <f>IF(C21="", "",VLOOKUP(C21,Key!$A$5:$B$7,2,FALSE))</f>
        <v>Large Bus</v>
      </c>
      <c r="E21" s="28" t="s">
        <v>90</v>
      </c>
      <c r="F21" s="28" t="s">
        <v>67</v>
      </c>
      <c r="G21" s="29" t="s">
        <v>69</v>
      </c>
      <c r="H21" s="29" t="s">
        <v>70</v>
      </c>
      <c r="I21" s="29" t="s">
        <v>257</v>
      </c>
      <c r="J21" s="29" t="s">
        <v>71</v>
      </c>
      <c r="K21" s="30" t="s">
        <v>68</v>
      </c>
      <c r="L21" s="30" t="str">
        <f t="shared" si="0"/>
        <v>KAMPALA-MBARARA</v>
      </c>
      <c r="M21" s="31">
        <v>67</v>
      </c>
      <c r="N21" s="72">
        <v>20000</v>
      </c>
      <c r="O21" s="34">
        <v>4.9000000000000004</v>
      </c>
    </row>
    <row r="22" spans="2:15" x14ac:dyDescent="0.2">
      <c r="B22" s="27">
        <v>0.62013888888888891</v>
      </c>
      <c r="C22" s="28">
        <v>6</v>
      </c>
      <c r="D22" s="33" t="str">
        <f>IF(C22="", "",VLOOKUP(C22,Key!$A$5:$B$7,2,FALSE))</f>
        <v>Large Bus</v>
      </c>
      <c r="E22" s="28" t="s">
        <v>90</v>
      </c>
      <c r="F22" s="28" t="s">
        <v>67</v>
      </c>
      <c r="G22" s="29" t="s">
        <v>69</v>
      </c>
      <c r="H22" s="29" t="s">
        <v>70</v>
      </c>
      <c r="I22" s="29" t="s">
        <v>257</v>
      </c>
      <c r="J22" s="29" t="s">
        <v>71</v>
      </c>
      <c r="K22" s="30" t="s">
        <v>68</v>
      </c>
      <c r="L22" s="30" t="str">
        <f t="shared" si="0"/>
        <v>KAMPALA-MBARARA</v>
      </c>
      <c r="M22" s="31">
        <v>63</v>
      </c>
      <c r="N22" s="72">
        <v>20000</v>
      </c>
      <c r="O22" s="34">
        <v>4.9000000000000004</v>
      </c>
    </row>
    <row r="23" spans="2:15" x14ac:dyDescent="0.2">
      <c r="B23" s="27">
        <v>0.63194444444444442</v>
      </c>
      <c r="C23" s="28">
        <v>6</v>
      </c>
      <c r="D23" s="33" t="str">
        <f>IF(C23="", "",VLOOKUP(C23,Key!$A$5:$B$7,2,FALSE))</f>
        <v>Large Bus</v>
      </c>
      <c r="E23" s="28" t="s">
        <v>90</v>
      </c>
      <c r="F23" s="28" t="s">
        <v>67</v>
      </c>
      <c r="G23" s="29" t="s">
        <v>69</v>
      </c>
      <c r="H23" s="29" t="s">
        <v>70</v>
      </c>
      <c r="I23" s="29" t="s">
        <v>257</v>
      </c>
      <c r="J23" s="29" t="s">
        <v>71</v>
      </c>
      <c r="K23" s="30" t="s">
        <v>68</v>
      </c>
      <c r="L23" s="30" t="str">
        <f t="shared" si="0"/>
        <v>KAMPALA-MBARARA</v>
      </c>
      <c r="M23" s="31">
        <v>65</v>
      </c>
      <c r="N23" s="72">
        <v>20000</v>
      </c>
      <c r="O23" s="34">
        <v>4.9000000000000004</v>
      </c>
    </row>
    <row r="24" spans="2:15" x14ac:dyDescent="0.2">
      <c r="B24" s="27">
        <v>0.64652777777777781</v>
      </c>
      <c r="C24" s="28">
        <v>6</v>
      </c>
      <c r="D24" s="33" t="str">
        <f>IF(C24="", "",VLOOKUP(C24,Key!$A$5:$B$7,2,FALSE))</f>
        <v>Large Bus</v>
      </c>
      <c r="E24" s="28" t="s">
        <v>90</v>
      </c>
      <c r="F24" s="28" t="s">
        <v>67</v>
      </c>
      <c r="G24" s="29" t="s">
        <v>69</v>
      </c>
      <c r="H24" s="29" t="s">
        <v>70</v>
      </c>
      <c r="I24" s="29" t="s">
        <v>257</v>
      </c>
      <c r="J24" s="29" t="s">
        <v>71</v>
      </c>
      <c r="K24" s="30" t="s">
        <v>68</v>
      </c>
      <c r="L24" s="30" t="str">
        <f t="shared" si="0"/>
        <v>KAMPALA-MBARARA</v>
      </c>
      <c r="M24" s="31">
        <v>65</v>
      </c>
      <c r="N24" s="72">
        <v>20000</v>
      </c>
      <c r="O24" s="34">
        <v>4.9000000000000004</v>
      </c>
    </row>
    <row r="25" spans="2:15" x14ac:dyDescent="0.2">
      <c r="B25" s="27">
        <v>0.6645833333333333</v>
      </c>
      <c r="C25" s="28">
        <v>6</v>
      </c>
      <c r="D25" s="33" t="str">
        <f>IF(C25="", "",VLOOKUP(C25,Key!$A$5:$B$7,2,FALSE))</f>
        <v>Large Bus</v>
      </c>
      <c r="E25" s="28" t="s">
        <v>90</v>
      </c>
      <c r="F25" s="28" t="s">
        <v>67</v>
      </c>
      <c r="G25" s="29" t="s">
        <v>69</v>
      </c>
      <c r="H25" s="29" t="s">
        <v>70</v>
      </c>
      <c r="I25" s="29" t="s">
        <v>257</v>
      </c>
      <c r="J25" s="29" t="s">
        <v>71</v>
      </c>
      <c r="K25" s="30" t="s">
        <v>68</v>
      </c>
      <c r="L25" s="30" t="str">
        <f t="shared" si="0"/>
        <v>KAMPALA-MBARARA</v>
      </c>
      <c r="M25" s="31">
        <v>67</v>
      </c>
      <c r="N25" s="72">
        <v>20000</v>
      </c>
      <c r="O25" s="34">
        <v>4.9000000000000004</v>
      </c>
    </row>
    <row r="26" spans="2:15" x14ac:dyDescent="0.2">
      <c r="B26" s="27">
        <v>0.67499999999999993</v>
      </c>
      <c r="C26" s="28">
        <v>6</v>
      </c>
      <c r="D26" s="33" t="str">
        <f>IF(C26="", "",VLOOKUP(C26,Key!$A$5:$B$7,2,FALSE))</f>
        <v>Large Bus</v>
      </c>
      <c r="E26" s="28" t="s">
        <v>90</v>
      </c>
      <c r="F26" s="28" t="s">
        <v>67</v>
      </c>
      <c r="G26" s="29" t="s">
        <v>69</v>
      </c>
      <c r="H26" s="29" t="s">
        <v>70</v>
      </c>
      <c r="I26" s="29" t="s">
        <v>257</v>
      </c>
      <c r="J26" s="29" t="s">
        <v>71</v>
      </c>
      <c r="K26" s="30" t="s">
        <v>68</v>
      </c>
      <c r="L26" s="30" t="str">
        <f t="shared" si="0"/>
        <v>KAMPALA-MBARARA</v>
      </c>
      <c r="M26" s="31">
        <v>65</v>
      </c>
      <c r="N26" s="72">
        <v>20000</v>
      </c>
      <c r="O26" s="34">
        <v>4.9000000000000004</v>
      </c>
    </row>
    <row r="27" spans="2:15" x14ac:dyDescent="0.2">
      <c r="B27" s="27">
        <v>0.68819444444444444</v>
      </c>
      <c r="C27" s="28">
        <v>6</v>
      </c>
      <c r="D27" s="33" t="str">
        <f>IF(C27="", "",VLOOKUP(C27,Key!$A$5:$B$7,2,FALSE))</f>
        <v>Large Bus</v>
      </c>
      <c r="E27" s="28" t="s">
        <v>90</v>
      </c>
      <c r="F27" s="28" t="s">
        <v>67</v>
      </c>
      <c r="G27" s="29" t="s">
        <v>69</v>
      </c>
      <c r="H27" s="29" t="s">
        <v>70</v>
      </c>
      <c r="I27" s="29" t="s">
        <v>257</v>
      </c>
      <c r="J27" s="29" t="s">
        <v>71</v>
      </c>
      <c r="K27" s="30" t="s">
        <v>68</v>
      </c>
      <c r="L27" s="30" t="str">
        <f t="shared" si="0"/>
        <v>KAMPALA-MBARARA</v>
      </c>
      <c r="M27" s="31">
        <v>67</v>
      </c>
      <c r="N27" s="72">
        <v>20000</v>
      </c>
      <c r="O27" s="34">
        <v>4.9000000000000004</v>
      </c>
    </row>
    <row r="28" spans="2:15" x14ac:dyDescent="0.2">
      <c r="B28" s="27">
        <v>0.70763888888888893</v>
      </c>
      <c r="C28" s="28">
        <v>6</v>
      </c>
      <c r="D28" s="33" t="str">
        <f>IF(C28="", "",VLOOKUP(C28,Key!$A$5:$B$7,2,FALSE))</f>
        <v>Large Bus</v>
      </c>
      <c r="E28" s="28" t="s">
        <v>90</v>
      </c>
      <c r="F28" s="28" t="s">
        <v>67</v>
      </c>
      <c r="G28" s="29" t="s">
        <v>69</v>
      </c>
      <c r="H28" s="29" t="s">
        <v>70</v>
      </c>
      <c r="I28" s="29" t="s">
        <v>257</v>
      </c>
      <c r="J28" s="29" t="s">
        <v>71</v>
      </c>
      <c r="K28" s="30" t="s">
        <v>68</v>
      </c>
      <c r="L28" s="30" t="str">
        <f t="shared" si="0"/>
        <v>KAMPALA-MBARARA</v>
      </c>
      <c r="M28" s="31">
        <v>63</v>
      </c>
      <c r="N28" s="72">
        <v>20000</v>
      </c>
      <c r="O28" s="34">
        <v>4.9000000000000004</v>
      </c>
    </row>
    <row r="29" spans="2:15" x14ac:dyDescent="0.2">
      <c r="B29" s="27">
        <v>0.72430555555555554</v>
      </c>
      <c r="C29" s="28">
        <v>6</v>
      </c>
      <c r="D29" s="33" t="str">
        <f>IF(C29="", "",VLOOKUP(C29,Key!$A$5:$B$7,2,FALSE))</f>
        <v>Large Bus</v>
      </c>
      <c r="E29" s="28" t="s">
        <v>90</v>
      </c>
      <c r="F29" s="28" t="s">
        <v>67</v>
      </c>
      <c r="G29" s="29" t="s">
        <v>69</v>
      </c>
      <c r="H29" s="29" t="s">
        <v>70</v>
      </c>
      <c r="I29" s="29" t="s">
        <v>257</v>
      </c>
      <c r="J29" s="29" t="s">
        <v>71</v>
      </c>
      <c r="K29" s="30" t="s">
        <v>68</v>
      </c>
      <c r="L29" s="30" t="str">
        <f t="shared" si="0"/>
        <v>KAMPALA-MBARARA</v>
      </c>
      <c r="M29" s="31">
        <v>65</v>
      </c>
      <c r="N29" s="72">
        <v>20000</v>
      </c>
      <c r="O29" s="34">
        <v>4.9000000000000004</v>
      </c>
    </row>
    <row r="30" spans="2:15" x14ac:dyDescent="0.2">
      <c r="B30" s="27">
        <v>0.74583333333333324</v>
      </c>
      <c r="C30" s="28">
        <v>6</v>
      </c>
      <c r="D30" s="33" t="str">
        <f>IF(C30="", "",VLOOKUP(C30,Key!$A$5:$B$7,2,FALSE))</f>
        <v>Large Bus</v>
      </c>
      <c r="E30" s="28" t="s">
        <v>90</v>
      </c>
      <c r="F30" s="28" t="s">
        <v>67</v>
      </c>
      <c r="G30" s="29" t="s">
        <v>69</v>
      </c>
      <c r="H30" s="29" t="s">
        <v>70</v>
      </c>
      <c r="I30" s="29" t="s">
        <v>257</v>
      </c>
      <c r="J30" s="29" t="s">
        <v>71</v>
      </c>
      <c r="K30" s="30" t="s">
        <v>68</v>
      </c>
      <c r="L30" s="30" t="str">
        <f t="shared" si="0"/>
        <v>KAMPALA-MBARARA</v>
      </c>
      <c r="M30" s="31">
        <v>65</v>
      </c>
      <c r="N30" s="72">
        <v>20000</v>
      </c>
      <c r="O30" s="34">
        <v>4.9000000000000004</v>
      </c>
    </row>
    <row r="31" spans="2:15" x14ac:dyDescent="0.2">
      <c r="B31" s="27">
        <v>0.76388888888888884</v>
      </c>
      <c r="C31" s="28">
        <v>6</v>
      </c>
      <c r="D31" s="33" t="str">
        <f>IF(C31="", "",VLOOKUP(C31,Key!$A$5:$B$7,2,FALSE))</f>
        <v>Large Bus</v>
      </c>
      <c r="E31" s="28" t="s">
        <v>90</v>
      </c>
      <c r="F31" s="28" t="s">
        <v>67</v>
      </c>
      <c r="G31" s="29" t="s">
        <v>69</v>
      </c>
      <c r="H31" s="29" t="s">
        <v>70</v>
      </c>
      <c r="I31" s="29" t="s">
        <v>257</v>
      </c>
      <c r="J31" s="29" t="s">
        <v>71</v>
      </c>
      <c r="K31" s="30" t="s">
        <v>68</v>
      </c>
      <c r="L31" s="30" t="str">
        <f t="shared" si="0"/>
        <v>KAMPALA-MBARARA</v>
      </c>
      <c r="M31" s="31">
        <v>67</v>
      </c>
      <c r="N31" s="72">
        <v>20000</v>
      </c>
      <c r="O31" s="34">
        <v>4.9000000000000004</v>
      </c>
    </row>
    <row r="32" spans="2:15" x14ac:dyDescent="0.2">
      <c r="B32" s="27">
        <v>0.79166666666666663</v>
      </c>
      <c r="C32" s="28">
        <v>6</v>
      </c>
      <c r="D32" s="33" t="str">
        <f>IF(C32="", "",VLOOKUP(C32,Key!$A$5:$B$7,2,FALSE))</f>
        <v>Large Bus</v>
      </c>
      <c r="E32" s="28" t="s">
        <v>90</v>
      </c>
      <c r="F32" s="28" t="s">
        <v>67</v>
      </c>
      <c r="G32" s="29" t="s">
        <v>69</v>
      </c>
      <c r="H32" s="29" t="s">
        <v>70</v>
      </c>
      <c r="I32" s="29" t="s">
        <v>257</v>
      </c>
      <c r="J32" s="29" t="s">
        <v>71</v>
      </c>
      <c r="K32" s="30" t="s">
        <v>68</v>
      </c>
      <c r="L32" s="30" t="str">
        <f t="shared" si="0"/>
        <v>KAMPALA-MBARARA</v>
      </c>
      <c r="M32" s="31">
        <v>65</v>
      </c>
      <c r="N32" s="72">
        <v>20000</v>
      </c>
      <c r="O32" s="34">
        <v>4.9000000000000004</v>
      </c>
    </row>
    <row r="33" spans="2:15" x14ac:dyDescent="0.2">
      <c r="B33" s="27">
        <v>0.83333333333333337</v>
      </c>
      <c r="C33" s="28">
        <v>6</v>
      </c>
      <c r="D33" s="33" t="str">
        <f>IF(C33="", "",VLOOKUP(C33,Key!$A$5:$B$7,2,FALSE))</f>
        <v>Large Bus</v>
      </c>
      <c r="E33" s="28" t="s">
        <v>90</v>
      </c>
      <c r="F33" s="28" t="s">
        <v>67</v>
      </c>
      <c r="G33" s="29" t="s">
        <v>70</v>
      </c>
      <c r="H33" s="29" t="s">
        <v>70</v>
      </c>
      <c r="I33" s="29" t="s">
        <v>257</v>
      </c>
      <c r="J33" s="29" t="s">
        <v>68</v>
      </c>
      <c r="K33" s="30" t="s">
        <v>68</v>
      </c>
      <c r="L33" s="30" t="str">
        <f t="shared" si="0"/>
        <v>KAMPALA-MBARARA</v>
      </c>
      <c r="M33" s="31">
        <v>65</v>
      </c>
      <c r="N33" s="72">
        <v>20000</v>
      </c>
      <c r="O33" s="34">
        <v>4.9000000000000004</v>
      </c>
    </row>
    <row r="34" spans="2:15" x14ac:dyDescent="0.2">
      <c r="B34" s="27">
        <v>0.87708333333333333</v>
      </c>
      <c r="C34" s="28">
        <v>6</v>
      </c>
      <c r="D34" s="33" t="str">
        <f>IF(C34="", "",VLOOKUP(C34,Key!$A$5:$B$7,2,FALSE))</f>
        <v>Large Bus</v>
      </c>
      <c r="E34" s="28" t="s">
        <v>90</v>
      </c>
      <c r="F34" s="28" t="s">
        <v>67</v>
      </c>
      <c r="G34" s="29" t="s">
        <v>70</v>
      </c>
      <c r="H34" s="29" t="s">
        <v>70</v>
      </c>
      <c r="I34" s="29" t="s">
        <v>257</v>
      </c>
      <c r="J34" s="29" t="s">
        <v>68</v>
      </c>
      <c r="K34" s="30" t="s">
        <v>68</v>
      </c>
      <c r="L34" s="30" t="str">
        <f t="shared" si="0"/>
        <v>KAMPALA-MBARARA</v>
      </c>
      <c r="M34" s="31">
        <v>65</v>
      </c>
      <c r="N34" s="72">
        <v>20000</v>
      </c>
      <c r="O34" s="34">
        <v>4.9000000000000004</v>
      </c>
    </row>
    <row r="35" spans="2:15" x14ac:dyDescent="0.2">
      <c r="B35" s="27">
        <v>0.91875000000000007</v>
      </c>
      <c r="C35" s="28">
        <v>6</v>
      </c>
      <c r="D35" s="33" t="str">
        <f>IF(C35="", "",VLOOKUP(C35,Key!$A$5:$B$7,2,FALSE))</f>
        <v>Large Bus</v>
      </c>
      <c r="E35" s="28" t="s">
        <v>90</v>
      </c>
      <c r="F35" s="28" t="s">
        <v>67</v>
      </c>
      <c r="G35" s="29" t="s">
        <v>70</v>
      </c>
      <c r="H35" s="29" t="s">
        <v>70</v>
      </c>
      <c r="I35" s="29" t="s">
        <v>257</v>
      </c>
      <c r="J35" s="29" t="s">
        <v>68</v>
      </c>
      <c r="K35" s="30" t="s">
        <v>68</v>
      </c>
      <c r="L35" s="30" t="str">
        <f t="shared" si="0"/>
        <v>KAMPALA-MBARARA</v>
      </c>
      <c r="M35" s="31">
        <v>65</v>
      </c>
      <c r="N35" s="72">
        <v>20000</v>
      </c>
      <c r="O35" s="34">
        <v>4.9000000000000004</v>
      </c>
    </row>
    <row r="36" spans="2:15" x14ac:dyDescent="0.2">
      <c r="B36" s="27">
        <v>0.95833333333333337</v>
      </c>
      <c r="C36" s="28">
        <v>6</v>
      </c>
      <c r="D36" s="33" t="str">
        <f>IF(C36="", "",VLOOKUP(C36,Key!$A$5:$B$7,2,FALSE))</f>
        <v>Large Bus</v>
      </c>
      <c r="E36" s="28" t="s">
        <v>90</v>
      </c>
      <c r="F36" s="28" t="s">
        <v>67</v>
      </c>
      <c r="G36" s="29" t="s">
        <v>70</v>
      </c>
      <c r="H36" s="29" t="s">
        <v>70</v>
      </c>
      <c r="I36" s="29" t="s">
        <v>257</v>
      </c>
      <c r="J36" s="29" t="s">
        <v>68</v>
      </c>
      <c r="K36" s="30" t="s">
        <v>68</v>
      </c>
      <c r="L36" s="30" t="str">
        <f t="shared" si="0"/>
        <v>KAMPALA-MBARARA</v>
      </c>
      <c r="M36" s="31">
        <v>70</v>
      </c>
      <c r="N36" s="72">
        <v>20000</v>
      </c>
      <c r="O36" s="34">
        <v>4.9000000000000004</v>
      </c>
    </row>
    <row r="37" spans="2:15" x14ac:dyDescent="0.2">
      <c r="B37" s="27">
        <v>0.98611111111111116</v>
      </c>
      <c r="C37" s="28">
        <v>6</v>
      </c>
      <c r="D37" s="33" t="str">
        <f>IF(C37="", "",VLOOKUP(C37,Key!$A$5:$B$7,2,FALSE))</f>
        <v>Large Bus</v>
      </c>
      <c r="E37" s="28" t="s">
        <v>90</v>
      </c>
      <c r="F37" s="28" t="s">
        <v>67</v>
      </c>
      <c r="G37" s="29" t="s">
        <v>70</v>
      </c>
      <c r="H37" s="29" t="s">
        <v>70</v>
      </c>
      <c r="I37" s="29" t="s">
        <v>257</v>
      </c>
      <c r="J37" s="29" t="s">
        <v>68</v>
      </c>
      <c r="K37" s="30" t="s">
        <v>68</v>
      </c>
      <c r="L37" s="30" t="str">
        <f t="shared" si="0"/>
        <v>KAMPALA-MBARARA</v>
      </c>
      <c r="M37" s="31">
        <v>70</v>
      </c>
      <c r="N37" s="72">
        <v>20000</v>
      </c>
      <c r="O37" s="34">
        <v>4.9000000000000004</v>
      </c>
    </row>
    <row r="38" spans="2:15" x14ac:dyDescent="0.2">
      <c r="B38" s="27">
        <v>2.7083333333333334E-2</v>
      </c>
      <c r="C38" s="28">
        <v>6</v>
      </c>
      <c r="D38" s="33" t="str">
        <f>IF(C38="", "",VLOOKUP(C38,Key!$A$5:$B$7,2,FALSE))</f>
        <v>Large Bus</v>
      </c>
      <c r="E38" s="28" t="s">
        <v>90</v>
      </c>
      <c r="F38" s="28" t="s">
        <v>67</v>
      </c>
      <c r="G38" s="29" t="s">
        <v>70</v>
      </c>
      <c r="H38" s="29" t="s">
        <v>70</v>
      </c>
      <c r="I38" s="29" t="s">
        <v>257</v>
      </c>
      <c r="J38" s="29" t="s">
        <v>68</v>
      </c>
      <c r="K38" s="30" t="s">
        <v>68</v>
      </c>
      <c r="L38" s="30" t="str">
        <f t="shared" si="0"/>
        <v>KAMPALA-MBARARA</v>
      </c>
      <c r="M38" s="31">
        <v>70</v>
      </c>
      <c r="N38" s="72">
        <v>20000</v>
      </c>
      <c r="O38" s="34">
        <v>4.9000000000000004</v>
      </c>
    </row>
    <row r="39" spans="2:15" x14ac:dyDescent="0.2">
      <c r="B39" s="27">
        <v>5.9722222222222225E-2</v>
      </c>
      <c r="C39" s="28">
        <v>6</v>
      </c>
      <c r="D39" s="33" t="str">
        <f>IF(C39="", "",VLOOKUP(C39,Key!$A$5:$B$7,2,FALSE))</f>
        <v>Large Bus</v>
      </c>
      <c r="E39" s="28" t="s">
        <v>90</v>
      </c>
      <c r="F39" s="28" t="s">
        <v>67</v>
      </c>
      <c r="G39" s="29" t="s">
        <v>70</v>
      </c>
      <c r="H39" s="29" t="s">
        <v>70</v>
      </c>
      <c r="I39" s="29" t="s">
        <v>257</v>
      </c>
      <c r="J39" s="29" t="s">
        <v>68</v>
      </c>
      <c r="K39" s="30" t="s">
        <v>68</v>
      </c>
      <c r="L39" s="30" t="str">
        <f t="shared" si="0"/>
        <v>KAMPALA-MBARARA</v>
      </c>
      <c r="M39" s="31">
        <v>70</v>
      </c>
      <c r="N39" s="72">
        <v>20000</v>
      </c>
      <c r="O39" s="34">
        <v>4.9000000000000004</v>
      </c>
    </row>
    <row r="40" spans="2:15" x14ac:dyDescent="0.2">
      <c r="B40" s="27">
        <v>0.15555555555555556</v>
      </c>
      <c r="C40" s="28">
        <v>6</v>
      </c>
      <c r="D40" s="33" t="str">
        <f>IF(C40="", "",VLOOKUP(C40,Key!$A$5:$B$7,2,FALSE))</f>
        <v>Large Bus</v>
      </c>
      <c r="E40" s="28" t="s">
        <v>90</v>
      </c>
      <c r="F40" s="28" t="s">
        <v>67</v>
      </c>
      <c r="G40" s="29" t="s">
        <v>70</v>
      </c>
      <c r="H40" s="29" t="s">
        <v>70</v>
      </c>
      <c r="I40" s="29" t="s">
        <v>257</v>
      </c>
      <c r="J40" s="29" t="s">
        <v>68</v>
      </c>
      <c r="K40" s="30" t="s">
        <v>68</v>
      </c>
      <c r="L40" s="30" t="str">
        <f t="shared" si="0"/>
        <v>KAMPALA-MBARARA</v>
      </c>
      <c r="M40" s="31">
        <v>68</v>
      </c>
      <c r="N40" s="72">
        <v>20000</v>
      </c>
      <c r="O40" s="34">
        <v>4.9000000000000004</v>
      </c>
    </row>
    <row r="41" spans="2:15" x14ac:dyDescent="0.2">
      <c r="B41" s="27">
        <v>0.32083333333333336</v>
      </c>
      <c r="C41" s="28">
        <v>6</v>
      </c>
      <c r="D41" s="33" t="str">
        <f>IF(C41="", "",VLOOKUP(C41,Key!$A$5:$B$7,2,FALSE))</f>
        <v>Large Bus</v>
      </c>
      <c r="E41" s="28" t="s">
        <v>90</v>
      </c>
      <c r="F41" s="28" t="s">
        <v>66</v>
      </c>
      <c r="G41" s="29" t="s">
        <v>68</v>
      </c>
      <c r="H41" s="29" t="s">
        <v>68</v>
      </c>
      <c r="I41" s="29" t="s">
        <v>257</v>
      </c>
      <c r="J41" s="29" t="s">
        <v>72</v>
      </c>
      <c r="K41" s="30" t="s">
        <v>70</v>
      </c>
      <c r="L41" s="30" t="str">
        <f t="shared" si="0"/>
        <v>MBARARA-KAMPALA</v>
      </c>
      <c r="M41" s="31">
        <v>67</v>
      </c>
      <c r="N41" s="72">
        <v>20000</v>
      </c>
      <c r="O41" s="34">
        <v>4.9000000000000004</v>
      </c>
    </row>
    <row r="42" spans="2:15" x14ac:dyDescent="0.2">
      <c r="B42" s="27">
        <v>0.32222222222222224</v>
      </c>
      <c r="C42" s="28">
        <v>6</v>
      </c>
      <c r="D42" s="33" t="str">
        <f>IF(C42="", "",VLOOKUP(C42,Key!$A$5:$B$7,2,FALSE))</f>
        <v>Large Bus</v>
      </c>
      <c r="E42" s="28" t="s">
        <v>90</v>
      </c>
      <c r="F42" s="28" t="s">
        <v>66</v>
      </c>
      <c r="G42" s="29" t="s">
        <v>68</v>
      </c>
      <c r="H42" s="29" t="s">
        <v>68</v>
      </c>
      <c r="I42" s="29" t="s">
        <v>257</v>
      </c>
      <c r="J42" s="29" t="s">
        <v>72</v>
      </c>
      <c r="K42" s="30" t="s">
        <v>70</v>
      </c>
      <c r="L42" s="30" t="str">
        <f t="shared" si="0"/>
        <v>MBARARA-KAMPALA</v>
      </c>
      <c r="M42" s="31">
        <v>67</v>
      </c>
      <c r="N42" s="72">
        <v>20000</v>
      </c>
      <c r="O42" s="34">
        <v>4.9000000000000004</v>
      </c>
    </row>
    <row r="43" spans="2:15" x14ac:dyDescent="0.2">
      <c r="B43" s="27">
        <v>0.36319444444444443</v>
      </c>
      <c r="C43" s="28">
        <v>6</v>
      </c>
      <c r="D43" s="33" t="str">
        <f>IF(C43="", "",VLOOKUP(C43,Key!$A$5:$B$7,2,FALSE))</f>
        <v>Large Bus</v>
      </c>
      <c r="E43" s="28" t="s">
        <v>90</v>
      </c>
      <c r="F43" s="28" t="s">
        <v>66</v>
      </c>
      <c r="G43" s="29" t="s">
        <v>68</v>
      </c>
      <c r="H43" s="29" t="s">
        <v>68</v>
      </c>
      <c r="I43" s="29" t="s">
        <v>257</v>
      </c>
      <c r="J43" s="29" t="s">
        <v>72</v>
      </c>
      <c r="K43" s="30" t="s">
        <v>70</v>
      </c>
      <c r="L43" s="30" t="str">
        <f t="shared" si="0"/>
        <v>MBARARA-KAMPALA</v>
      </c>
      <c r="M43" s="31">
        <v>70</v>
      </c>
      <c r="N43" s="72">
        <v>20000</v>
      </c>
      <c r="O43" s="34">
        <v>4.9000000000000004</v>
      </c>
    </row>
    <row r="44" spans="2:15" x14ac:dyDescent="0.2">
      <c r="B44" s="27">
        <v>0.3840277777777778</v>
      </c>
      <c r="C44" s="28">
        <v>6</v>
      </c>
      <c r="D44" s="33" t="str">
        <f>IF(C44="", "",VLOOKUP(C44,Key!$A$5:$B$7,2,FALSE))</f>
        <v>Large Bus</v>
      </c>
      <c r="E44" s="28" t="s">
        <v>90</v>
      </c>
      <c r="F44" s="28" t="s">
        <v>66</v>
      </c>
      <c r="G44" s="29" t="s">
        <v>68</v>
      </c>
      <c r="H44" s="29" t="s">
        <v>68</v>
      </c>
      <c r="I44" s="29" t="s">
        <v>257</v>
      </c>
      <c r="J44" s="29" t="s">
        <v>72</v>
      </c>
      <c r="K44" s="30" t="s">
        <v>70</v>
      </c>
      <c r="L44" s="30" t="str">
        <f t="shared" si="0"/>
        <v>MBARARA-KAMPALA</v>
      </c>
      <c r="M44" s="31">
        <v>67</v>
      </c>
      <c r="N44" s="72">
        <v>20000</v>
      </c>
      <c r="O44" s="34">
        <v>4.9000000000000004</v>
      </c>
    </row>
    <row r="45" spans="2:15" x14ac:dyDescent="0.2">
      <c r="B45" s="27">
        <v>0.38541666666666669</v>
      </c>
      <c r="C45" s="28">
        <v>6</v>
      </c>
      <c r="D45" s="33" t="str">
        <f>IF(C45="", "",VLOOKUP(C45,Key!$A$5:$B$7,2,FALSE))</f>
        <v>Large Bus</v>
      </c>
      <c r="E45" s="28" t="s">
        <v>90</v>
      </c>
      <c r="F45" s="28" t="s">
        <v>66</v>
      </c>
      <c r="G45" s="29" t="s">
        <v>68</v>
      </c>
      <c r="H45" s="29" t="s">
        <v>68</v>
      </c>
      <c r="I45" s="29" t="s">
        <v>257</v>
      </c>
      <c r="J45" s="29" t="s">
        <v>72</v>
      </c>
      <c r="K45" s="30" t="s">
        <v>70</v>
      </c>
      <c r="L45" s="30" t="str">
        <f t="shared" si="0"/>
        <v>MBARARA-KAMPALA</v>
      </c>
      <c r="M45" s="31">
        <v>65</v>
      </c>
      <c r="N45" s="72">
        <v>20000</v>
      </c>
      <c r="O45" s="34">
        <v>4.9000000000000004</v>
      </c>
    </row>
    <row r="46" spans="2:15" x14ac:dyDescent="0.2">
      <c r="B46" s="27">
        <v>0.40972222222222227</v>
      </c>
      <c r="C46" s="28">
        <v>6</v>
      </c>
      <c r="D46" s="33" t="str">
        <f>IF(C46="", "",VLOOKUP(C46,Key!$A$5:$B$7,2,FALSE))</f>
        <v>Large Bus</v>
      </c>
      <c r="E46" s="28" t="s">
        <v>90</v>
      </c>
      <c r="F46" s="28" t="s">
        <v>66</v>
      </c>
      <c r="G46" s="29" t="s">
        <v>68</v>
      </c>
      <c r="H46" s="29" t="s">
        <v>68</v>
      </c>
      <c r="I46" s="29" t="s">
        <v>257</v>
      </c>
      <c r="J46" s="29" t="s">
        <v>72</v>
      </c>
      <c r="K46" s="30" t="s">
        <v>70</v>
      </c>
      <c r="L46" s="30" t="str">
        <f t="shared" si="0"/>
        <v>MBARARA-KAMPALA</v>
      </c>
      <c r="M46" s="31">
        <v>65</v>
      </c>
      <c r="N46" s="72">
        <v>20000</v>
      </c>
      <c r="O46" s="34">
        <v>4.9000000000000004</v>
      </c>
    </row>
    <row r="47" spans="2:15" x14ac:dyDescent="0.2">
      <c r="B47" s="27">
        <v>0.43263888888888885</v>
      </c>
      <c r="C47" s="28">
        <v>6</v>
      </c>
      <c r="D47" s="33" t="str">
        <f>IF(C47="", "",VLOOKUP(C47,Key!$A$5:$B$7,2,FALSE))</f>
        <v>Large Bus</v>
      </c>
      <c r="E47" s="28" t="s">
        <v>90</v>
      </c>
      <c r="F47" s="28" t="s">
        <v>66</v>
      </c>
      <c r="G47" s="29" t="s">
        <v>68</v>
      </c>
      <c r="H47" s="29" t="s">
        <v>68</v>
      </c>
      <c r="I47" s="29" t="s">
        <v>257</v>
      </c>
      <c r="J47" s="29" t="s">
        <v>72</v>
      </c>
      <c r="K47" s="30" t="s">
        <v>70</v>
      </c>
      <c r="L47" s="30" t="str">
        <f t="shared" si="0"/>
        <v>MBARARA-KAMPALA</v>
      </c>
      <c r="M47" s="31">
        <v>65</v>
      </c>
      <c r="N47" s="72">
        <v>20000</v>
      </c>
      <c r="O47" s="34">
        <v>4.9000000000000004</v>
      </c>
    </row>
    <row r="48" spans="2:15" x14ac:dyDescent="0.2">
      <c r="B48" s="27">
        <v>0.43402777777777773</v>
      </c>
      <c r="C48" s="28">
        <v>6</v>
      </c>
      <c r="D48" s="33" t="str">
        <f>IF(C48="", "",VLOOKUP(C48,Key!$A$5:$B$7,2,FALSE))</f>
        <v>Large Bus</v>
      </c>
      <c r="E48" s="28" t="s">
        <v>90</v>
      </c>
      <c r="F48" s="28" t="s">
        <v>66</v>
      </c>
      <c r="G48" s="29" t="s">
        <v>68</v>
      </c>
      <c r="H48" s="29" t="s">
        <v>68</v>
      </c>
      <c r="I48" s="29" t="s">
        <v>257</v>
      </c>
      <c r="J48" s="29" t="s">
        <v>72</v>
      </c>
      <c r="K48" s="30" t="s">
        <v>70</v>
      </c>
      <c r="L48" s="30" t="str">
        <f t="shared" si="0"/>
        <v>MBARARA-KAMPALA</v>
      </c>
      <c r="M48" s="31">
        <v>67</v>
      </c>
      <c r="N48" s="72">
        <v>20000</v>
      </c>
      <c r="O48" s="34">
        <v>4.9000000000000004</v>
      </c>
    </row>
    <row r="49" spans="2:15" x14ac:dyDescent="0.2">
      <c r="B49" s="27">
        <v>0.4513888888888889</v>
      </c>
      <c r="C49" s="28">
        <v>6</v>
      </c>
      <c r="D49" s="33" t="str">
        <f>IF(C49="", "",VLOOKUP(C49,Key!$A$5:$B$7,2,FALSE))</f>
        <v>Large Bus</v>
      </c>
      <c r="E49" s="28" t="s">
        <v>90</v>
      </c>
      <c r="F49" s="28" t="s">
        <v>66</v>
      </c>
      <c r="G49" s="29" t="s">
        <v>68</v>
      </c>
      <c r="H49" s="29" t="s">
        <v>68</v>
      </c>
      <c r="I49" s="29" t="s">
        <v>257</v>
      </c>
      <c r="J49" s="29" t="s">
        <v>72</v>
      </c>
      <c r="K49" s="30" t="s">
        <v>70</v>
      </c>
      <c r="L49" s="30" t="str">
        <f t="shared" si="0"/>
        <v>MBARARA-KAMPALA</v>
      </c>
      <c r="M49" s="31">
        <v>63</v>
      </c>
      <c r="N49" s="72">
        <v>20000</v>
      </c>
      <c r="O49" s="34">
        <v>4.9000000000000004</v>
      </c>
    </row>
    <row r="50" spans="2:15" x14ac:dyDescent="0.2">
      <c r="B50" s="27">
        <v>0.49374999999999997</v>
      </c>
      <c r="C50" s="28">
        <v>6</v>
      </c>
      <c r="D50" s="33" t="str">
        <f>IF(C50="", "",VLOOKUP(C50,Key!$A$5:$B$7,2,FALSE))</f>
        <v>Large Bus</v>
      </c>
      <c r="E50" s="28" t="s">
        <v>90</v>
      </c>
      <c r="F50" s="28" t="s">
        <v>66</v>
      </c>
      <c r="G50" s="29" t="s">
        <v>68</v>
      </c>
      <c r="H50" s="29" t="s">
        <v>68</v>
      </c>
      <c r="I50" s="29" t="s">
        <v>257</v>
      </c>
      <c r="J50" s="29" t="s">
        <v>72</v>
      </c>
      <c r="K50" s="30" t="s">
        <v>70</v>
      </c>
      <c r="L50" s="30" t="str">
        <f t="shared" si="0"/>
        <v>MBARARA-KAMPALA</v>
      </c>
      <c r="M50" s="31">
        <v>67</v>
      </c>
      <c r="N50" s="72">
        <v>20000</v>
      </c>
      <c r="O50" s="34">
        <v>4.9000000000000004</v>
      </c>
    </row>
    <row r="51" spans="2:15" x14ac:dyDescent="0.2">
      <c r="B51" s="27">
        <v>0.47430555555555554</v>
      </c>
      <c r="C51" s="28">
        <v>6</v>
      </c>
      <c r="D51" s="33" t="str">
        <f>IF(C51="", "",VLOOKUP(C51,Key!$A$5:$B$7,2,FALSE))</f>
        <v>Large Bus</v>
      </c>
      <c r="E51" s="28" t="s">
        <v>90</v>
      </c>
      <c r="F51" s="28" t="s">
        <v>66</v>
      </c>
      <c r="G51" s="29" t="s">
        <v>68</v>
      </c>
      <c r="H51" s="29" t="s">
        <v>68</v>
      </c>
      <c r="I51" s="29" t="s">
        <v>257</v>
      </c>
      <c r="J51" s="29" t="s">
        <v>72</v>
      </c>
      <c r="K51" s="30" t="s">
        <v>70</v>
      </c>
      <c r="L51" s="30" t="str">
        <f t="shared" si="0"/>
        <v>MBARARA-KAMPALA</v>
      </c>
      <c r="M51" s="31">
        <v>65</v>
      </c>
      <c r="N51" s="72">
        <v>20000</v>
      </c>
      <c r="O51" s="34">
        <v>4.9000000000000004</v>
      </c>
    </row>
    <row r="52" spans="2:15" x14ac:dyDescent="0.2">
      <c r="B52" s="27">
        <v>0.47847222222222219</v>
      </c>
      <c r="C52" s="28">
        <v>6</v>
      </c>
      <c r="D52" s="33" t="str">
        <f>IF(C52="", "",VLOOKUP(C52,Key!$A$5:$B$7,2,FALSE))</f>
        <v>Large Bus</v>
      </c>
      <c r="E52" s="28" t="s">
        <v>90</v>
      </c>
      <c r="F52" s="28" t="s">
        <v>66</v>
      </c>
      <c r="G52" s="29" t="s">
        <v>68</v>
      </c>
      <c r="H52" s="29" t="s">
        <v>68</v>
      </c>
      <c r="I52" s="29" t="s">
        <v>257</v>
      </c>
      <c r="J52" s="29" t="s">
        <v>72</v>
      </c>
      <c r="K52" s="30" t="s">
        <v>70</v>
      </c>
      <c r="L52" s="30" t="str">
        <f t="shared" si="0"/>
        <v>MBARARA-KAMPALA</v>
      </c>
      <c r="M52" s="31">
        <v>67</v>
      </c>
      <c r="N52" s="72">
        <v>20000</v>
      </c>
      <c r="O52" s="34">
        <v>4.9000000000000004</v>
      </c>
    </row>
    <row r="53" spans="2:15" x14ac:dyDescent="0.2">
      <c r="B53" s="27">
        <v>0.48819444444444443</v>
      </c>
      <c r="C53" s="28">
        <v>6</v>
      </c>
      <c r="D53" s="33" t="str">
        <f>IF(C53="", "",VLOOKUP(C53,Key!$A$5:$B$7,2,FALSE))</f>
        <v>Large Bus</v>
      </c>
      <c r="E53" s="28" t="s">
        <v>90</v>
      </c>
      <c r="F53" s="28" t="s">
        <v>66</v>
      </c>
      <c r="G53" s="29" t="s">
        <v>68</v>
      </c>
      <c r="H53" s="29" t="s">
        <v>68</v>
      </c>
      <c r="I53" s="29" t="s">
        <v>257</v>
      </c>
      <c r="J53" s="29" t="s">
        <v>72</v>
      </c>
      <c r="K53" s="30" t="s">
        <v>70</v>
      </c>
      <c r="L53" s="30" t="str">
        <f t="shared" si="0"/>
        <v>MBARARA-KAMPALA</v>
      </c>
      <c r="M53" s="31">
        <v>54</v>
      </c>
      <c r="N53" s="72">
        <v>20000</v>
      </c>
      <c r="O53" s="34">
        <v>4.9000000000000004</v>
      </c>
    </row>
    <row r="54" spans="2:15" x14ac:dyDescent="0.2">
      <c r="B54" s="27">
        <v>0.53125</v>
      </c>
      <c r="C54" s="28">
        <v>6</v>
      </c>
      <c r="D54" s="33" t="str">
        <f>IF(C54="", "",VLOOKUP(C54,Key!$A$5:$B$7,2,FALSE))</f>
        <v>Large Bus</v>
      </c>
      <c r="E54" s="28" t="s">
        <v>90</v>
      </c>
      <c r="F54" s="28" t="s">
        <v>66</v>
      </c>
      <c r="G54" s="29" t="s">
        <v>68</v>
      </c>
      <c r="H54" s="29" t="s">
        <v>68</v>
      </c>
      <c r="I54" s="29" t="s">
        <v>257</v>
      </c>
      <c r="J54" s="29" t="s">
        <v>72</v>
      </c>
      <c r="K54" s="30" t="s">
        <v>70</v>
      </c>
      <c r="L54" s="30" t="str">
        <f t="shared" si="0"/>
        <v>MBARARA-KAMPALA</v>
      </c>
      <c r="M54" s="31">
        <v>67</v>
      </c>
      <c r="N54" s="72">
        <v>20000</v>
      </c>
      <c r="O54" s="34">
        <v>4.9000000000000004</v>
      </c>
    </row>
    <row r="55" spans="2:15" x14ac:dyDescent="0.2">
      <c r="B55" s="27">
        <v>5.347222222222222E-2</v>
      </c>
      <c r="C55" s="28">
        <v>6</v>
      </c>
      <c r="D55" s="33" t="str">
        <f>IF(C55="", "",VLOOKUP(C55,Key!$A$5:$B$7,2,FALSE))</f>
        <v>Large Bus</v>
      </c>
      <c r="E55" s="28" t="s">
        <v>90</v>
      </c>
      <c r="F55" s="28" t="s">
        <v>66</v>
      </c>
      <c r="G55" s="29" t="s">
        <v>68</v>
      </c>
      <c r="H55" s="29" t="s">
        <v>68</v>
      </c>
      <c r="I55" s="29" t="s">
        <v>257</v>
      </c>
      <c r="J55" s="29" t="s">
        <v>72</v>
      </c>
      <c r="K55" s="30" t="s">
        <v>70</v>
      </c>
      <c r="L55" s="30" t="str">
        <f t="shared" si="0"/>
        <v>MBARARA-KAMPALA</v>
      </c>
      <c r="M55" s="31">
        <v>65</v>
      </c>
      <c r="N55" s="72">
        <v>20000</v>
      </c>
      <c r="O55" s="34">
        <v>4.9000000000000004</v>
      </c>
    </row>
    <row r="56" spans="2:15" x14ac:dyDescent="0.2">
      <c r="B56" s="27">
        <v>0.10555555555555556</v>
      </c>
      <c r="C56" s="28">
        <v>6</v>
      </c>
      <c r="D56" s="33" t="str">
        <f>IF(C56="", "",VLOOKUP(C56,Key!$A$5:$B$7,2,FALSE))</f>
        <v>Large Bus</v>
      </c>
      <c r="E56" s="28" t="s">
        <v>90</v>
      </c>
      <c r="F56" s="28" t="s">
        <v>66</v>
      </c>
      <c r="G56" s="29" t="s">
        <v>68</v>
      </c>
      <c r="H56" s="29" t="s">
        <v>68</v>
      </c>
      <c r="I56" s="29" t="s">
        <v>257</v>
      </c>
      <c r="J56" s="29" t="s">
        <v>72</v>
      </c>
      <c r="K56" s="30" t="s">
        <v>70</v>
      </c>
      <c r="L56" s="30" t="str">
        <f t="shared" si="0"/>
        <v>MBARARA-KAMPALA</v>
      </c>
      <c r="M56" s="31">
        <v>67</v>
      </c>
      <c r="N56" s="72">
        <v>20000</v>
      </c>
      <c r="O56" s="34">
        <v>4.9000000000000004</v>
      </c>
    </row>
    <row r="57" spans="2:15" x14ac:dyDescent="0.2">
      <c r="B57" s="27">
        <v>0.20138888888888887</v>
      </c>
      <c r="C57" s="28">
        <v>6</v>
      </c>
      <c r="D57" s="33" t="str">
        <f>IF(C57="", "",VLOOKUP(C57,Key!$A$5:$B$7,2,FALSE))</f>
        <v>Large Bus</v>
      </c>
      <c r="E57" s="28" t="s">
        <v>90</v>
      </c>
      <c r="F57" s="28" t="s">
        <v>66</v>
      </c>
      <c r="G57" s="29" t="s">
        <v>68</v>
      </c>
      <c r="H57" s="29" t="s">
        <v>68</v>
      </c>
      <c r="I57" s="29" t="s">
        <v>257</v>
      </c>
      <c r="J57" s="29" t="s">
        <v>72</v>
      </c>
      <c r="K57" s="30" t="s">
        <v>70</v>
      </c>
      <c r="L57" s="30" t="str">
        <f t="shared" si="0"/>
        <v>MBARARA-KAMPALA</v>
      </c>
      <c r="M57" s="31">
        <v>67</v>
      </c>
      <c r="N57" s="72">
        <v>20000</v>
      </c>
      <c r="O57" s="34">
        <v>4.9000000000000004</v>
      </c>
    </row>
    <row r="58" spans="2:15" ht="23.25" customHeight="1" x14ac:dyDescent="0.2">
      <c r="B58" s="45" t="s">
        <v>219</v>
      </c>
      <c r="C58" s="47"/>
      <c r="D58" s="48"/>
      <c r="E58" s="46" t="s">
        <v>90</v>
      </c>
      <c r="F58" s="48"/>
      <c r="G58" s="47"/>
      <c r="H58" s="47"/>
      <c r="I58" s="47" t="s">
        <v>257</v>
      </c>
      <c r="J58" s="47"/>
      <c r="K58" s="47"/>
      <c r="L58" s="47" t="str">
        <f t="shared" si="0"/>
        <v>-</v>
      </c>
      <c r="M58" s="47"/>
      <c r="N58" s="48"/>
      <c r="O58" s="48"/>
    </row>
    <row r="59" spans="2:15" x14ac:dyDescent="0.2">
      <c r="B59" s="27">
        <v>0.82638888888888884</v>
      </c>
      <c r="C59" s="28">
        <v>6</v>
      </c>
      <c r="D59" s="33" t="str">
        <f>IF(C59="", "",VLOOKUP(C59,Key!$A$5:$B$7,2,FALSE))</f>
        <v>Large Bus</v>
      </c>
      <c r="E59" s="28" t="s">
        <v>90</v>
      </c>
      <c r="F59" s="28" t="s">
        <v>67</v>
      </c>
      <c r="G59" s="29" t="s">
        <v>70</v>
      </c>
      <c r="H59" s="29" t="s">
        <v>70</v>
      </c>
      <c r="I59" s="29" t="s">
        <v>257</v>
      </c>
      <c r="J59" s="29" t="s">
        <v>68</v>
      </c>
      <c r="K59" s="30" t="s">
        <v>68</v>
      </c>
      <c r="L59" s="30" t="str">
        <f t="shared" si="0"/>
        <v>KAMPALA-MBARARA</v>
      </c>
      <c r="M59" s="31">
        <v>70</v>
      </c>
      <c r="N59" s="72">
        <v>20000</v>
      </c>
      <c r="O59" s="34">
        <v>4.9000000000000004</v>
      </c>
    </row>
    <row r="60" spans="2:15" x14ac:dyDescent="0.2">
      <c r="B60" s="27">
        <v>0.86111111111111116</v>
      </c>
      <c r="C60" s="28">
        <v>6</v>
      </c>
      <c r="D60" s="33" t="str">
        <f>IF(C60="", "",VLOOKUP(C60,Key!$A$5:$B$7,2,FALSE))</f>
        <v>Large Bus</v>
      </c>
      <c r="E60" s="28" t="s">
        <v>90</v>
      </c>
      <c r="F60" s="28" t="s">
        <v>67</v>
      </c>
      <c r="G60" s="29" t="s">
        <v>70</v>
      </c>
      <c r="H60" s="29" t="s">
        <v>70</v>
      </c>
      <c r="I60" s="29" t="s">
        <v>257</v>
      </c>
      <c r="J60" s="29" t="s">
        <v>68</v>
      </c>
      <c r="K60" s="30" t="s">
        <v>68</v>
      </c>
      <c r="L60" s="30" t="str">
        <f t="shared" si="0"/>
        <v>KAMPALA-MBARARA</v>
      </c>
      <c r="M60" s="31">
        <v>70</v>
      </c>
      <c r="N60" s="72">
        <v>20000</v>
      </c>
      <c r="O60" s="34">
        <v>4.9000000000000004</v>
      </c>
    </row>
    <row r="61" spans="2:15" x14ac:dyDescent="0.2">
      <c r="B61" s="27">
        <v>0.87847222222222221</v>
      </c>
      <c r="C61" s="28">
        <v>6</v>
      </c>
      <c r="D61" s="33" t="str">
        <f>IF(C61="", "",VLOOKUP(C61,Key!$A$5:$B$7,2,FALSE))</f>
        <v>Large Bus</v>
      </c>
      <c r="E61" s="28" t="s">
        <v>90</v>
      </c>
      <c r="F61" s="28" t="s">
        <v>67</v>
      </c>
      <c r="G61" s="29" t="s">
        <v>70</v>
      </c>
      <c r="H61" s="29" t="s">
        <v>70</v>
      </c>
      <c r="I61" s="29" t="s">
        <v>257</v>
      </c>
      <c r="J61" s="29" t="s">
        <v>68</v>
      </c>
      <c r="K61" s="30" t="s">
        <v>68</v>
      </c>
      <c r="L61" s="30" t="str">
        <f t="shared" si="0"/>
        <v>KAMPALA-MBARARA</v>
      </c>
      <c r="M61" s="31">
        <v>67</v>
      </c>
      <c r="N61" s="72">
        <v>20000</v>
      </c>
      <c r="O61" s="34">
        <v>4.9000000000000004</v>
      </c>
    </row>
    <row r="62" spans="2:15" x14ac:dyDescent="0.2">
      <c r="B62" s="27">
        <v>0.91180555555555554</v>
      </c>
      <c r="C62" s="28">
        <v>6</v>
      </c>
      <c r="D62" s="33" t="str">
        <f>IF(C62="", "",VLOOKUP(C62,Key!$A$5:$B$7,2,FALSE))</f>
        <v>Large Bus</v>
      </c>
      <c r="E62" s="28" t="s">
        <v>90</v>
      </c>
      <c r="F62" s="28" t="s">
        <v>67</v>
      </c>
      <c r="G62" s="29" t="s">
        <v>70</v>
      </c>
      <c r="H62" s="29" t="s">
        <v>70</v>
      </c>
      <c r="I62" s="29" t="s">
        <v>257</v>
      </c>
      <c r="J62" s="29" t="s">
        <v>68</v>
      </c>
      <c r="K62" s="30" t="s">
        <v>68</v>
      </c>
      <c r="L62" s="30" t="str">
        <f t="shared" si="0"/>
        <v>KAMPALA-MBARARA</v>
      </c>
      <c r="M62" s="31">
        <v>68</v>
      </c>
      <c r="N62" s="72">
        <v>20000</v>
      </c>
      <c r="O62" s="34">
        <v>4.9000000000000004</v>
      </c>
    </row>
    <row r="63" spans="2:15" x14ac:dyDescent="0.2">
      <c r="B63" s="27">
        <v>0.97916666666666663</v>
      </c>
      <c r="C63" s="28">
        <v>6</v>
      </c>
      <c r="D63" s="33" t="str">
        <f>IF(C63="", "",VLOOKUP(C63,Key!$A$5:$B$7,2,FALSE))</f>
        <v>Large Bus</v>
      </c>
      <c r="E63" s="28" t="s">
        <v>90</v>
      </c>
      <c r="F63" s="28" t="s">
        <v>67</v>
      </c>
      <c r="G63" s="29" t="s">
        <v>70</v>
      </c>
      <c r="H63" s="29" t="s">
        <v>70</v>
      </c>
      <c r="I63" s="29" t="s">
        <v>257</v>
      </c>
      <c r="J63" s="29" t="s">
        <v>68</v>
      </c>
      <c r="K63" s="30" t="s">
        <v>68</v>
      </c>
      <c r="L63" s="30" t="str">
        <f t="shared" si="0"/>
        <v>KAMPALA-MBARARA</v>
      </c>
      <c r="M63" s="31">
        <v>67</v>
      </c>
      <c r="N63" s="72">
        <v>20000</v>
      </c>
      <c r="O63" s="34">
        <v>4.9000000000000004</v>
      </c>
    </row>
    <row r="64" spans="2:15" x14ac:dyDescent="0.2">
      <c r="B64" s="27">
        <v>2.9166666666666664E-2</v>
      </c>
      <c r="C64" s="28">
        <v>6</v>
      </c>
      <c r="D64" s="33" t="str">
        <f>IF(C64="", "",VLOOKUP(C64,Key!$A$5:$B$7,2,FALSE))</f>
        <v>Large Bus</v>
      </c>
      <c r="E64" s="28" t="s">
        <v>90</v>
      </c>
      <c r="F64" s="28" t="s">
        <v>67</v>
      </c>
      <c r="G64" s="29" t="s">
        <v>70</v>
      </c>
      <c r="H64" s="29" t="s">
        <v>70</v>
      </c>
      <c r="I64" s="29" t="s">
        <v>257</v>
      </c>
      <c r="J64" s="29" t="s">
        <v>68</v>
      </c>
      <c r="K64" s="30" t="s">
        <v>68</v>
      </c>
      <c r="L64" s="30" t="str">
        <f t="shared" si="0"/>
        <v>KAMPALA-MBARARA</v>
      </c>
      <c r="M64" s="31">
        <v>65</v>
      </c>
      <c r="N64" s="72">
        <v>20000</v>
      </c>
      <c r="O64" s="34">
        <v>4.9000000000000004</v>
      </c>
    </row>
    <row r="65" spans="2:15" x14ac:dyDescent="0.2">
      <c r="B65" s="27">
        <v>7.7777777777777779E-2</v>
      </c>
      <c r="C65" s="28">
        <v>6</v>
      </c>
      <c r="D65" s="33" t="str">
        <f>IF(C65="", "",VLOOKUP(C65,Key!$A$5:$B$7,2,FALSE))</f>
        <v>Large Bus</v>
      </c>
      <c r="E65" s="28" t="s">
        <v>90</v>
      </c>
      <c r="F65" s="28" t="s">
        <v>67</v>
      </c>
      <c r="G65" s="29" t="s">
        <v>70</v>
      </c>
      <c r="H65" s="29" t="s">
        <v>70</v>
      </c>
      <c r="I65" s="29" t="s">
        <v>257</v>
      </c>
      <c r="J65" s="29" t="s">
        <v>68</v>
      </c>
      <c r="K65" s="30" t="s">
        <v>68</v>
      </c>
      <c r="L65" s="30" t="str">
        <f t="shared" si="0"/>
        <v>KAMPALA-MBARARA</v>
      </c>
      <c r="M65" s="31">
        <v>65</v>
      </c>
      <c r="N65" s="72">
        <v>20000</v>
      </c>
      <c r="O65" s="34">
        <v>4.9000000000000004</v>
      </c>
    </row>
    <row r="66" spans="2:15" x14ac:dyDescent="0.2">
      <c r="B66" s="27">
        <v>0.12013888888888889</v>
      </c>
      <c r="C66" s="28">
        <v>6</v>
      </c>
      <c r="D66" s="33" t="str">
        <f>IF(C66="", "",VLOOKUP(C66,Key!$A$5:$B$7,2,FALSE))</f>
        <v>Large Bus</v>
      </c>
      <c r="E66" s="28" t="s">
        <v>90</v>
      </c>
      <c r="F66" s="28" t="s">
        <v>67</v>
      </c>
      <c r="G66" s="29" t="s">
        <v>70</v>
      </c>
      <c r="H66" s="29" t="s">
        <v>70</v>
      </c>
      <c r="I66" s="29" t="s">
        <v>257</v>
      </c>
      <c r="J66" s="29" t="s">
        <v>68</v>
      </c>
      <c r="K66" s="30" t="s">
        <v>68</v>
      </c>
      <c r="L66" s="30" t="str">
        <f t="shared" si="0"/>
        <v>KAMPALA-MBARARA</v>
      </c>
      <c r="M66" s="31">
        <v>65</v>
      </c>
      <c r="N66" s="72">
        <v>20000</v>
      </c>
      <c r="O66" s="34">
        <v>4.9000000000000004</v>
      </c>
    </row>
    <row r="67" spans="2:15" x14ac:dyDescent="0.2">
      <c r="B67" s="27">
        <v>0.15416666666666667</v>
      </c>
      <c r="C67" s="28">
        <v>6</v>
      </c>
      <c r="D67" s="33" t="str">
        <f>IF(C67="", "",VLOOKUP(C67,Key!$A$5:$B$7,2,FALSE))</f>
        <v>Large Bus</v>
      </c>
      <c r="E67" s="28" t="s">
        <v>90</v>
      </c>
      <c r="F67" s="28" t="s">
        <v>67</v>
      </c>
      <c r="G67" s="29" t="s">
        <v>70</v>
      </c>
      <c r="H67" s="29" t="s">
        <v>70</v>
      </c>
      <c r="I67" s="29" t="s">
        <v>257</v>
      </c>
      <c r="J67" s="29" t="s">
        <v>68</v>
      </c>
      <c r="K67" s="30" t="s">
        <v>68</v>
      </c>
      <c r="L67" s="30" t="str">
        <f t="shared" si="0"/>
        <v>KAMPALA-MBARARA</v>
      </c>
      <c r="M67" s="31">
        <v>65</v>
      </c>
      <c r="N67" s="72">
        <v>20000</v>
      </c>
      <c r="O67" s="34">
        <v>4.9000000000000004</v>
      </c>
    </row>
    <row r="68" spans="2:15" x14ac:dyDescent="0.2">
      <c r="B68" s="27">
        <v>0.1875</v>
      </c>
      <c r="C68" s="28">
        <v>6</v>
      </c>
      <c r="D68" s="33" t="str">
        <f>IF(C68="", "",VLOOKUP(C68,Key!$A$5:$B$7,2,FALSE))</f>
        <v>Large Bus</v>
      </c>
      <c r="E68" s="28" t="s">
        <v>90</v>
      </c>
      <c r="F68" s="28" t="s">
        <v>67</v>
      </c>
      <c r="G68" s="29" t="s">
        <v>70</v>
      </c>
      <c r="H68" s="29" t="s">
        <v>70</v>
      </c>
      <c r="I68" s="29" t="s">
        <v>257</v>
      </c>
      <c r="J68" s="29" t="s">
        <v>68</v>
      </c>
      <c r="K68" s="30" t="s">
        <v>68</v>
      </c>
      <c r="L68" s="30" t="str">
        <f t="shared" si="0"/>
        <v>KAMPALA-MBARARA</v>
      </c>
      <c r="M68" s="31">
        <v>65</v>
      </c>
      <c r="N68" s="72">
        <v>20000</v>
      </c>
      <c r="O68" s="34">
        <v>4.9000000000000004</v>
      </c>
    </row>
    <row r="69" spans="2:15" x14ac:dyDescent="0.2">
      <c r="B69" s="27">
        <v>0.22222222222222221</v>
      </c>
      <c r="C69" s="28">
        <v>6</v>
      </c>
      <c r="D69" s="33" t="str">
        <f>IF(C69="", "",VLOOKUP(C69,Key!$A$5:$B$7,2,FALSE))</f>
        <v>Large Bus</v>
      </c>
      <c r="E69" s="28" t="s">
        <v>90</v>
      </c>
      <c r="F69" s="28" t="s">
        <v>67</v>
      </c>
      <c r="G69" s="29" t="s">
        <v>70</v>
      </c>
      <c r="H69" s="29" t="s">
        <v>70</v>
      </c>
      <c r="I69" s="29" t="s">
        <v>257</v>
      </c>
      <c r="J69" s="29" t="s">
        <v>68</v>
      </c>
      <c r="K69" s="30" t="s">
        <v>68</v>
      </c>
      <c r="L69" s="30" t="str">
        <f t="shared" si="0"/>
        <v>KAMPALA-MBARARA</v>
      </c>
      <c r="M69" s="31">
        <v>67</v>
      </c>
      <c r="N69" s="72">
        <v>20000</v>
      </c>
      <c r="O69" s="34">
        <v>4.9000000000000004</v>
      </c>
    </row>
    <row r="70" spans="2:15" x14ac:dyDescent="0.2">
      <c r="B70" s="27">
        <v>0.26041666666666669</v>
      </c>
      <c r="C70" s="28">
        <v>6</v>
      </c>
      <c r="D70" s="33" t="str">
        <f>IF(C70="", "",VLOOKUP(C70,Key!$A$5:$B$7,2,FALSE))</f>
        <v>Large Bus</v>
      </c>
      <c r="E70" s="28" t="s">
        <v>90</v>
      </c>
      <c r="F70" s="28" t="s">
        <v>67</v>
      </c>
      <c r="G70" s="29" t="s">
        <v>70</v>
      </c>
      <c r="H70" s="29" t="s">
        <v>70</v>
      </c>
      <c r="I70" s="29" t="s">
        <v>257</v>
      </c>
      <c r="J70" s="29" t="s">
        <v>68</v>
      </c>
      <c r="K70" s="30" t="s">
        <v>68</v>
      </c>
      <c r="L70" s="30" t="str">
        <f t="shared" si="0"/>
        <v>KAMPALA-MBARARA</v>
      </c>
      <c r="M70" s="31">
        <v>67</v>
      </c>
      <c r="N70" s="72">
        <v>20000</v>
      </c>
      <c r="O70" s="34">
        <v>4.9000000000000004</v>
      </c>
    </row>
    <row r="71" spans="2:15" x14ac:dyDescent="0.2">
      <c r="B71" s="27">
        <v>0.29097222222222224</v>
      </c>
      <c r="C71" s="28">
        <v>6</v>
      </c>
      <c r="D71" s="33" t="str">
        <f>IF(C71="", "",VLOOKUP(C71,Key!$A$5:$B$7,2,FALSE))</f>
        <v>Large Bus</v>
      </c>
      <c r="E71" s="28" t="s">
        <v>90</v>
      </c>
      <c r="F71" s="28" t="s">
        <v>67</v>
      </c>
      <c r="G71" s="29" t="s">
        <v>70</v>
      </c>
      <c r="H71" s="29" t="s">
        <v>70</v>
      </c>
      <c r="I71" s="29" t="s">
        <v>257</v>
      </c>
      <c r="J71" s="29" t="s">
        <v>68</v>
      </c>
      <c r="K71" s="30" t="s">
        <v>68</v>
      </c>
      <c r="L71" s="30" t="str">
        <f t="shared" si="0"/>
        <v>KAMPALA-MBARARA</v>
      </c>
      <c r="M71" s="31">
        <v>65</v>
      </c>
      <c r="N71" s="72">
        <v>20000</v>
      </c>
      <c r="O71" s="34">
        <v>4.9000000000000004</v>
      </c>
    </row>
    <row r="72" spans="2:15" x14ac:dyDescent="0.2">
      <c r="B72" s="27">
        <v>0.29583333333333334</v>
      </c>
      <c r="C72" s="28">
        <v>6</v>
      </c>
      <c r="D72" s="33" t="str">
        <f>IF(C72="", "",VLOOKUP(C72,Key!$A$5:$B$7,2,FALSE))</f>
        <v>Large Bus</v>
      </c>
      <c r="E72" s="28" t="s">
        <v>90</v>
      </c>
      <c r="F72" s="28" t="s">
        <v>66</v>
      </c>
      <c r="G72" s="29" t="s">
        <v>68</v>
      </c>
      <c r="H72" s="29" t="s">
        <v>68</v>
      </c>
      <c r="I72" s="29" t="s">
        <v>257</v>
      </c>
      <c r="J72" s="29" t="s">
        <v>72</v>
      </c>
      <c r="K72" s="30" t="s">
        <v>70</v>
      </c>
      <c r="L72" s="30" t="str">
        <f t="shared" si="0"/>
        <v>MBARARA-KAMPALA</v>
      </c>
      <c r="M72" s="31">
        <v>67</v>
      </c>
      <c r="N72" s="72">
        <v>20000</v>
      </c>
      <c r="O72" s="34">
        <v>4.9000000000000004</v>
      </c>
    </row>
    <row r="73" spans="2:15" x14ac:dyDescent="0.2">
      <c r="B73" s="27">
        <v>0.30416666666666664</v>
      </c>
      <c r="C73" s="28">
        <v>6</v>
      </c>
      <c r="D73" s="33" t="str">
        <f>IF(C73="", "",VLOOKUP(C73,Key!$A$5:$B$7,2,FALSE))</f>
        <v>Large Bus</v>
      </c>
      <c r="E73" s="28" t="s">
        <v>90</v>
      </c>
      <c r="F73" s="28" t="s">
        <v>66</v>
      </c>
      <c r="G73" s="29" t="s">
        <v>68</v>
      </c>
      <c r="H73" s="29" t="s">
        <v>68</v>
      </c>
      <c r="I73" s="29" t="s">
        <v>257</v>
      </c>
      <c r="J73" s="29" t="s">
        <v>72</v>
      </c>
      <c r="K73" s="30" t="s">
        <v>70</v>
      </c>
      <c r="L73" s="30" t="str">
        <f t="shared" si="0"/>
        <v>MBARARA-KAMPALA</v>
      </c>
      <c r="M73" s="31">
        <v>67</v>
      </c>
      <c r="N73" s="72">
        <v>20000</v>
      </c>
      <c r="O73" s="34">
        <v>4.9000000000000004</v>
      </c>
    </row>
    <row r="74" spans="2:15" x14ac:dyDescent="0.2">
      <c r="B74" s="27">
        <v>0.32361111111111113</v>
      </c>
      <c r="C74" s="28">
        <v>6</v>
      </c>
      <c r="D74" s="33" t="str">
        <f>IF(C74="", "",VLOOKUP(C74,Key!$A$5:$B$7,2,FALSE))</f>
        <v>Large Bus</v>
      </c>
      <c r="E74" s="28" t="s">
        <v>90</v>
      </c>
      <c r="F74" s="28" t="s">
        <v>66</v>
      </c>
      <c r="G74" s="29" t="s">
        <v>68</v>
      </c>
      <c r="H74" s="29" t="s">
        <v>68</v>
      </c>
      <c r="I74" s="29" t="s">
        <v>257</v>
      </c>
      <c r="J74" s="29" t="s">
        <v>72</v>
      </c>
      <c r="K74" s="30" t="s">
        <v>70</v>
      </c>
      <c r="L74" s="30" t="str">
        <f t="shared" ref="L74:L137" si="1">H74&amp;"-"&amp;K74</f>
        <v>MBARARA-KAMPALA</v>
      </c>
      <c r="M74" s="31">
        <v>67</v>
      </c>
      <c r="N74" s="72">
        <v>20000</v>
      </c>
      <c r="O74" s="34">
        <v>4.9000000000000004</v>
      </c>
    </row>
    <row r="75" spans="2:15" x14ac:dyDescent="0.2">
      <c r="B75" s="27">
        <v>0.34930555555555554</v>
      </c>
      <c r="C75" s="28">
        <v>6</v>
      </c>
      <c r="D75" s="33" t="str">
        <f>IF(C75="", "",VLOOKUP(C75,Key!$A$5:$B$7,2,FALSE))</f>
        <v>Large Bus</v>
      </c>
      <c r="E75" s="28" t="s">
        <v>90</v>
      </c>
      <c r="F75" s="28" t="s">
        <v>66</v>
      </c>
      <c r="G75" s="29" t="s">
        <v>68</v>
      </c>
      <c r="H75" s="29" t="s">
        <v>68</v>
      </c>
      <c r="I75" s="29" t="s">
        <v>257</v>
      </c>
      <c r="J75" s="29" t="s">
        <v>72</v>
      </c>
      <c r="K75" s="30" t="s">
        <v>70</v>
      </c>
      <c r="L75" s="30" t="str">
        <f t="shared" si="1"/>
        <v>MBARARA-KAMPALA</v>
      </c>
      <c r="M75" s="31">
        <v>65</v>
      </c>
      <c r="N75" s="72">
        <v>20000</v>
      </c>
      <c r="O75" s="34">
        <v>4.9000000000000004</v>
      </c>
    </row>
    <row r="76" spans="2:15" x14ac:dyDescent="0.2">
      <c r="B76" s="27">
        <v>0.36944444444444446</v>
      </c>
      <c r="C76" s="28">
        <v>6</v>
      </c>
      <c r="D76" s="33" t="str">
        <f>IF(C76="", "",VLOOKUP(C76,Key!$A$5:$B$7,2,FALSE))</f>
        <v>Large Bus</v>
      </c>
      <c r="E76" s="28" t="s">
        <v>90</v>
      </c>
      <c r="F76" s="28" t="s">
        <v>66</v>
      </c>
      <c r="G76" s="29" t="s">
        <v>68</v>
      </c>
      <c r="H76" s="29" t="s">
        <v>68</v>
      </c>
      <c r="I76" s="29" t="s">
        <v>257</v>
      </c>
      <c r="J76" s="29" t="s">
        <v>72</v>
      </c>
      <c r="K76" s="30" t="s">
        <v>70</v>
      </c>
      <c r="L76" s="30" t="str">
        <f t="shared" si="1"/>
        <v>MBARARA-KAMPALA</v>
      </c>
      <c r="M76" s="31">
        <v>65</v>
      </c>
      <c r="N76" s="72">
        <v>20000</v>
      </c>
      <c r="O76" s="34">
        <v>4.9000000000000004</v>
      </c>
    </row>
    <row r="77" spans="2:15" x14ac:dyDescent="0.2">
      <c r="B77" s="27">
        <v>0.37222222222222223</v>
      </c>
      <c r="C77" s="28">
        <v>6</v>
      </c>
      <c r="D77" s="33" t="str">
        <f>IF(C77="", "",VLOOKUP(C77,Key!$A$5:$B$7,2,FALSE))</f>
        <v>Large Bus</v>
      </c>
      <c r="E77" s="28" t="s">
        <v>90</v>
      </c>
      <c r="F77" s="28" t="s">
        <v>66</v>
      </c>
      <c r="G77" s="29" t="s">
        <v>68</v>
      </c>
      <c r="H77" s="29" t="s">
        <v>68</v>
      </c>
      <c r="I77" s="29" t="s">
        <v>257</v>
      </c>
      <c r="J77" s="29" t="s">
        <v>72</v>
      </c>
      <c r="K77" s="30" t="s">
        <v>70</v>
      </c>
      <c r="L77" s="30" t="str">
        <f t="shared" si="1"/>
        <v>MBARARA-KAMPALA</v>
      </c>
      <c r="M77" s="31">
        <v>65</v>
      </c>
      <c r="N77" s="72">
        <v>20000</v>
      </c>
      <c r="O77" s="34">
        <v>4.9000000000000004</v>
      </c>
    </row>
    <row r="78" spans="2:15" x14ac:dyDescent="0.2">
      <c r="B78" s="27">
        <v>0.38750000000000001</v>
      </c>
      <c r="C78" s="28">
        <v>6</v>
      </c>
      <c r="D78" s="33" t="str">
        <f>IF(C78="", "",VLOOKUP(C78,Key!$A$5:$B$7,2,FALSE))</f>
        <v>Large Bus</v>
      </c>
      <c r="E78" s="28" t="s">
        <v>90</v>
      </c>
      <c r="F78" s="28" t="s">
        <v>66</v>
      </c>
      <c r="G78" s="29" t="s">
        <v>68</v>
      </c>
      <c r="H78" s="29" t="s">
        <v>68</v>
      </c>
      <c r="I78" s="29" t="s">
        <v>257</v>
      </c>
      <c r="J78" s="29" t="s">
        <v>72</v>
      </c>
      <c r="K78" s="30" t="s">
        <v>70</v>
      </c>
      <c r="L78" s="30" t="str">
        <f t="shared" si="1"/>
        <v>MBARARA-KAMPALA</v>
      </c>
      <c r="M78" s="31">
        <v>65</v>
      </c>
      <c r="N78" s="72">
        <v>20000</v>
      </c>
      <c r="O78" s="34">
        <v>4.9000000000000004</v>
      </c>
    </row>
    <row r="79" spans="2:15" x14ac:dyDescent="0.2">
      <c r="B79" s="27">
        <v>0.3888888888888889</v>
      </c>
      <c r="C79" s="28">
        <v>6</v>
      </c>
      <c r="D79" s="33" t="str">
        <f>IF(C79="", "",VLOOKUP(C79,Key!$A$5:$B$7,2,FALSE))</f>
        <v>Large Bus</v>
      </c>
      <c r="E79" s="28" t="s">
        <v>90</v>
      </c>
      <c r="F79" s="28" t="s">
        <v>66</v>
      </c>
      <c r="G79" s="29" t="s">
        <v>68</v>
      </c>
      <c r="H79" s="29" t="s">
        <v>68</v>
      </c>
      <c r="I79" s="29" t="s">
        <v>257</v>
      </c>
      <c r="J79" s="29" t="s">
        <v>72</v>
      </c>
      <c r="K79" s="30" t="s">
        <v>70</v>
      </c>
      <c r="L79" s="30" t="str">
        <f t="shared" si="1"/>
        <v>MBARARA-KAMPALA</v>
      </c>
      <c r="M79" s="31">
        <v>67</v>
      </c>
      <c r="N79" s="72">
        <v>20000</v>
      </c>
      <c r="O79" s="34">
        <v>4.9000000000000004</v>
      </c>
    </row>
    <row r="80" spans="2:15" x14ac:dyDescent="0.2">
      <c r="B80" s="27">
        <v>0.4201388888888889</v>
      </c>
      <c r="C80" s="28">
        <v>6</v>
      </c>
      <c r="D80" s="33" t="str">
        <f>IF(C80="", "",VLOOKUP(C80,Key!$A$5:$B$7,2,FALSE))</f>
        <v>Large Bus</v>
      </c>
      <c r="E80" s="28" t="s">
        <v>90</v>
      </c>
      <c r="F80" s="28" t="s">
        <v>66</v>
      </c>
      <c r="G80" s="29" t="s">
        <v>68</v>
      </c>
      <c r="H80" s="29" t="s">
        <v>68</v>
      </c>
      <c r="I80" s="29" t="s">
        <v>257</v>
      </c>
      <c r="J80" s="29" t="s">
        <v>72</v>
      </c>
      <c r="K80" s="30" t="s">
        <v>70</v>
      </c>
      <c r="L80" s="30" t="str">
        <f t="shared" si="1"/>
        <v>MBARARA-KAMPALA</v>
      </c>
      <c r="M80" s="31">
        <v>65</v>
      </c>
      <c r="N80" s="72">
        <v>20000</v>
      </c>
      <c r="O80" s="34">
        <v>4.9000000000000004</v>
      </c>
    </row>
    <row r="81" spans="2:15" x14ac:dyDescent="0.2">
      <c r="B81" s="27">
        <v>0.4201388888888889</v>
      </c>
      <c r="C81" s="28">
        <v>6</v>
      </c>
      <c r="D81" s="33" t="str">
        <f>IF(C81="", "",VLOOKUP(C81,Key!$A$5:$B$7,2,FALSE))</f>
        <v>Large Bus</v>
      </c>
      <c r="E81" s="28" t="s">
        <v>90</v>
      </c>
      <c r="F81" s="28" t="s">
        <v>66</v>
      </c>
      <c r="G81" s="29" t="s">
        <v>68</v>
      </c>
      <c r="H81" s="29" t="s">
        <v>68</v>
      </c>
      <c r="I81" s="29" t="s">
        <v>257</v>
      </c>
      <c r="J81" s="29" t="s">
        <v>72</v>
      </c>
      <c r="K81" s="30" t="s">
        <v>70</v>
      </c>
      <c r="L81" s="30" t="str">
        <f t="shared" si="1"/>
        <v>MBARARA-KAMPALA</v>
      </c>
      <c r="M81" s="31">
        <v>65</v>
      </c>
      <c r="N81" s="72">
        <v>20000</v>
      </c>
      <c r="O81" s="34">
        <v>4.9000000000000004</v>
      </c>
    </row>
    <row r="82" spans="2:15" x14ac:dyDescent="0.2">
      <c r="B82" s="27">
        <v>0.44791666666666669</v>
      </c>
      <c r="C82" s="28">
        <v>6</v>
      </c>
      <c r="D82" s="33" t="str">
        <f>IF(C82="", "",VLOOKUP(C82,Key!$A$5:$B$7,2,FALSE))</f>
        <v>Large Bus</v>
      </c>
      <c r="E82" s="28" t="s">
        <v>90</v>
      </c>
      <c r="F82" s="28" t="s">
        <v>66</v>
      </c>
      <c r="G82" s="29" t="s">
        <v>68</v>
      </c>
      <c r="H82" s="29" t="s">
        <v>68</v>
      </c>
      <c r="I82" s="29" t="s">
        <v>257</v>
      </c>
      <c r="J82" s="29" t="s">
        <v>72</v>
      </c>
      <c r="K82" s="30" t="s">
        <v>70</v>
      </c>
      <c r="L82" s="30" t="str">
        <f t="shared" si="1"/>
        <v>MBARARA-KAMPALA</v>
      </c>
      <c r="M82" s="31">
        <v>65</v>
      </c>
      <c r="N82" s="72">
        <v>20000</v>
      </c>
      <c r="O82" s="34">
        <v>4.9000000000000004</v>
      </c>
    </row>
    <row r="83" spans="2:15" x14ac:dyDescent="0.2">
      <c r="B83" s="27">
        <v>0.45208333333333334</v>
      </c>
      <c r="C83" s="28">
        <v>6</v>
      </c>
      <c r="D83" s="33" t="str">
        <f>IF(C83="", "",VLOOKUP(C83,Key!$A$5:$B$7,2,FALSE))</f>
        <v>Large Bus</v>
      </c>
      <c r="E83" s="28" t="s">
        <v>90</v>
      </c>
      <c r="F83" s="28" t="s">
        <v>66</v>
      </c>
      <c r="G83" s="29" t="s">
        <v>68</v>
      </c>
      <c r="H83" s="29" t="s">
        <v>68</v>
      </c>
      <c r="I83" s="29" t="s">
        <v>257</v>
      </c>
      <c r="J83" s="29" t="s">
        <v>72</v>
      </c>
      <c r="K83" s="30" t="s">
        <v>70</v>
      </c>
      <c r="L83" s="30" t="str">
        <f t="shared" si="1"/>
        <v>MBARARA-KAMPALA</v>
      </c>
      <c r="M83" s="31">
        <v>67</v>
      </c>
      <c r="N83" s="72">
        <v>20000</v>
      </c>
      <c r="O83" s="34">
        <v>4.9000000000000004</v>
      </c>
    </row>
    <row r="84" spans="2:15" x14ac:dyDescent="0.2">
      <c r="B84" s="27">
        <v>0.46736111111111112</v>
      </c>
      <c r="C84" s="28">
        <v>6</v>
      </c>
      <c r="D84" s="33" t="str">
        <f>IF(C84="", "",VLOOKUP(C84,Key!$A$5:$B$7,2,FALSE))</f>
        <v>Large Bus</v>
      </c>
      <c r="E84" s="28" t="s">
        <v>90</v>
      </c>
      <c r="F84" s="28" t="s">
        <v>66</v>
      </c>
      <c r="G84" s="29" t="s">
        <v>68</v>
      </c>
      <c r="H84" s="29" t="s">
        <v>68</v>
      </c>
      <c r="I84" s="29" t="s">
        <v>257</v>
      </c>
      <c r="J84" s="29" t="s">
        <v>72</v>
      </c>
      <c r="K84" s="30" t="s">
        <v>70</v>
      </c>
      <c r="L84" s="30" t="str">
        <f t="shared" si="1"/>
        <v>MBARARA-KAMPALA</v>
      </c>
      <c r="M84" s="31">
        <v>67</v>
      </c>
      <c r="N84" s="72">
        <v>20000</v>
      </c>
      <c r="O84" s="34">
        <v>4.9000000000000004</v>
      </c>
    </row>
    <row r="85" spans="2:15" x14ac:dyDescent="0.2">
      <c r="B85" s="27">
        <v>0.47847222222222219</v>
      </c>
      <c r="C85" s="28">
        <v>6</v>
      </c>
      <c r="D85" s="33" t="str">
        <f>IF(C85="", "",VLOOKUP(C85,Key!$A$5:$B$7,2,FALSE))</f>
        <v>Large Bus</v>
      </c>
      <c r="E85" s="28" t="s">
        <v>90</v>
      </c>
      <c r="F85" s="28" t="s">
        <v>66</v>
      </c>
      <c r="G85" s="29" t="s">
        <v>68</v>
      </c>
      <c r="H85" s="29" t="s">
        <v>68</v>
      </c>
      <c r="I85" s="29" t="s">
        <v>257</v>
      </c>
      <c r="J85" s="29" t="s">
        <v>72</v>
      </c>
      <c r="K85" s="30" t="s">
        <v>70</v>
      </c>
      <c r="L85" s="30" t="str">
        <f t="shared" si="1"/>
        <v>MBARARA-KAMPALA</v>
      </c>
      <c r="M85" s="31">
        <v>67</v>
      </c>
      <c r="N85" s="72">
        <v>20000</v>
      </c>
      <c r="O85" s="34">
        <v>4.9000000000000004</v>
      </c>
    </row>
    <row r="86" spans="2:15" x14ac:dyDescent="0.2">
      <c r="B86" s="27">
        <v>0.50138888888888888</v>
      </c>
      <c r="C86" s="28">
        <v>6</v>
      </c>
      <c r="D86" s="33" t="str">
        <f>IF(C86="", "",VLOOKUP(C86,Key!$A$5:$B$7,2,FALSE))</f>
        <v>Large Bus</v>
      </c>
      <c r="E86" s="28" t="s">
        <v>90</v>
      </c>
      <c r="F86" s="28" t="s">
        <v>66</v>
      </c>
      <c r="G86" s="29" t="s">
        <v>68</v>
      </c>
      <c r="H86" s="29" t="s">
        <v>68</v>
      </c>
      <c r="I86" s="29" t="s">
        <v>257</v>
      </c>
      <c r="J86" s="29" t="s">
        <v>72</v>
      </c>
      <c r="K86" s="30" t="s">
        <v>70</v>
      </c>
      <c r="L86" s="30" t="str">
        <f t="shared" si="1"/>
        <v>MBARARA-KAMPALA</v>
      </c>
      <c r="M86" s="31">
        <v>67</v>
      </c>
      <c r="N86" s="72">
        <v>20000</v>
      </c>
      <c r="O86" s="34">
        <v>4.9000000000000004</v>
      </c>
    </row>
    <row r="87" spans="2:15" x14ac:dyDescent="0.2">
      <c r="B87" s="27">
        <v>0.22083333333333333</v>
      </c>
      <c r="C87" s="28">
        <v>6</v>
      </c>
      <c r="D87" s="33" t="str">
        <f>IF(C87="", "",VLOOKUP(C87,Key!$A$5:$B$7,2,FALSE))</f>
        <v>Large Bus</v>
      </c>
      <c r="E87" s="28" t="s">
        <v>90</v>
      </c>
      <c r="F87" s="28" t="s">
        <v>66</v>
      </c>
      <c r="G87" s="29" t="s">
        <v>68</v>
      </c>
      <c r="H87" s="29" t="s">
        <v>68</v>
      </c>
      <c r="I87" s="29" t="s">
        <v>257</v>
      </c>
      <c r="J87" s="29" t="s">
        <v>72</v>
      </c>
      <c r="K87" s="30" t="s">
        <v>70</v>
      </c>
      <c r="L87" s="30" t="str">
        <f t="shared" si="1"/>
        <v>MBARARA-KAMPALA</v>
      </c>
      <c r="M87" s="31">
        <v>65</v>
      </c>
      <c r="N87" s="72">
        <v>20000</v>
      </c>
      <c r="O87" s="34">
        <v>4.9000000000000004</v>
      </c>
    </row>
    <row r="88" spans="2:15" x14ac:dyDescent="0.2">
      <c r="B88" s="27">
        <v>0.59027777777777779</v>
      </c>
      <c r="C88" s="28">
        <v>6</v>
      </c>
      <c r="D88" s="33" t="str">
        <f>IF(C88="", "",VLOOKUP(C88,Key!$A$5:$B$7,2,FALSE))</f>
        <v>Large Bus</v>
      </c>
      <c r="E88" s="28" t="s">
        <v>90</v>
      </c>
      <c r="F88" s="28" t="s">
        <v>67</v>
      </c>
      <c r="G88" s="29" t="s">
        <v>70</v>
      </c>
      <c r="H88" s="29" t="s">
        <v>70</v>
      </c>
      <c r="I88" s="29" t="s">
        <v>257</v>
      </c>
      <c r="J88" s="29" t="s">
        <v>68</v>
      </c>
      <c r="K88" s="30" t="s">
        <v>68</v>
      </c>
      <c r="L88" s="30" t="str">
        <f t="shared" si="1"/>
        <v>KAMPALA-MBARARA</v>
      </c>
      <c r="M88" s="31">
        <v>67</v>
      </c>
      <c r="N88" s="72">
        <v>20000</v>
      </c>
      <c r="O88" s="34">
        <v>4.9000000000000004</v>
      </c>
    </row>
    <row r="89" spans="2:15" x14ac:dyDescent="0.2">
      <c r="B89" s="27">
        <v>0.60069444444444442</v>
      </c>
      <c r="C89" s="28">
        <v>6</v>
      </c>
      <c r="D89" s="33" t="str">
        <f>IF(C89="", "",VLOOKUP(C89,Key!$A$5:$B$7,2,FALSE))</f>
        <v>Large Bus</v>
      </c>
      <c r="E89" s="28" t="s">
        <v>90</v>
      </c>
      <c r="F89" s="28" t="s">
        <v>67</v>
      </c>
      <c r="G89" s="29" t="s">
        <v>70</v>
      </c>
      <c r="H89" s="29" t="s">
        <v>70</v>
      </c>
      <c r="I89" s="29" t="s">
        <v>257</v>
      </c>
      <c r="J89" s="29" t="s">
        <v>68</v>
      </c>
      <c r="K89" s="30" t="s">
        <v>68</v>
      </c>
      <c r="L89" s="30" t="str">
        <f t="shared" si="1"/>
        <v>KAMPALA-MBARARA</v>
      </c>
      <c r="M89" s="31">
        <v>65</v>
      </c>
      <c r="N89" s="72">
        <v>20000</v>
      </c>
      <c r="O89" s="34">
        <v>4.9000000000000004</v>
      </c>
    </row>
    <row r="90" spans="2:15" x14ac:dyDescent="0.2">
      <c r="B90" s="27">
        <v>0.62013888888888891</v>
      </c>
      <c r="C90" s="28">
        <v>6</v>
      </c>
      <c r="D90" s="33" t="str">
        <f>IF(C90="", "",VLOOKUP(C90,Key!$A$5:$B$7,2,FALSE))</f>
        <v>Large Bus</v>
      </c>
      <c r="E90" s="28" t="s">
        <v>90</v>
      </c>
      <c r="F90" s="28" t="s">
        <v>67</v>
      </c>
      <c r="G90" s="29" t="s">
        <v>70</v>
      </c>
      <c r="H90" s="29" t="s">
        <v>70</v>
      </c>
      <c r="I90" s="29" t="s">
        <v>257</v>
      </c>
      <c r="J90" s="29" t="s">
        <v>68</v>
      </c>
      <c r="K90" s="30" t="s">
        <v>68</v>
      </c>
      <c r="L90" s="30" t="str">
        <f t="shared" si="1"/>
        <v>KAMPALA-MBARARA</v>
      </c>
      <c r="M90" s="31">
        <v>63</v>
      </c>
      <c r="N90" s="72">
        <v>20000</v>
      </c>
      <c r="O90" s="34">
        <v>4.9000000000000004</v>
      </c>
    </row>
    <row r="91" spans="2:15" x14ac:dyDescent="0.2">
      <c r="B91" s="27">
        <v>0.62569444444444444</v>
      </c>
      <c r="C91" s="28">
        <v>6</v>
      </c>
      <c r="D91" s="33" t="str">
        <f>IF(C91="", "",VLOOKUP(C91,Key!$A$5:$B$7,2,FALSE))</f>
        <v>Large Bus</v>
      </c>
      <c r="E91" s="28" t="s">
        <v>90</v>
      </c>
      <c r="F91" s="28" t="s">
        <v>67</v>
      </c>
      <c r="G91" s="29" t="s">
        <v>70</v>
      </c>
      <c r="H91" s="29" t="s">
        <v>70</v>
      </c>
      <c r="I91" s="29" t="s">
        <v>257</v>
      </c>
      <c r="J91" s="29" t="s">
        <v>68</v>
      </c>
      <c r="K91" s="30" t="s">
        <v>68</v>
      </c>
      <c r="L91" s="30" t="str">
        <f t="shared" si="1"/>
        <v>KAMPALA-MBARARA</v>
      </c>
      <c r="M91" s="31">
        <v>67</v>
      </c>
      <c r="N91" s="72">
        <v>20000</v>
      </c>
      <c r="O91" s="34">
        <v>4.9000000000000004</v>
      </c>
    </row>
    <row r="92" spans="2:15" x14ac:dyDescent="0.2">
      <c r="B92" s="27">
        <v>0.64236111111111105</v>
      </c>
      <c r="C92" s="28">
        <v>6</v>
      </c>
      <c r="D92" s="33" t="str">
        <f>IF(C92="", "",VLOOKUP(C92,Key!$A$5:$B$7,2,FALSE))</f>
        <v>Large Bus</v>
      </c>
      <c r="E92" s="28" t="s">
        <v>90</v>
      </c>
      <c r="F92" s="28" t="s">
        <v>67</v>
      </c>
      <c r="G92" s="29" t="s">
        <v>70</v>
      </c>
      <c r="H92" s="29" t="s">
        <v>70</v>
      </c>
      <c r="I92" s="29" t="s">
        <v>257</v>
      </c>
      <c r="J92" s="29" t="s">
        <v>68</v>
      </c>
      <c r="K92" s="30" t="s">
        <v>68</v>
      </c>
      <c r="L92" s="30" t="str">
        <f t="shared" si="1"/>
        <v>KAMPALA-MBARARA</v>
      </c>
      <c r="M92" s="31">
        <v>67</v>
      </c>
      <c r="N92" s="72">
        <v>20000</v>
      </c>
      <c r="O92" s="34">
        <v>4.9000000000000004</v>
      </c>
    </row>
    <row r="93" spans="2:15" x14ac:dyDescent="0.2">
      <c r="B93" s="27">
        <v>0.65694444444444444</v>
      </c>
      <c r="C93" s="28">
        <v>6</v>
      </c>
      <c r="D93" s="33" t="str">
        <f>IF(C93="", "",VLOOKUP(C93,Key!$A$5:$B$7,2,FALSE))</f>
        <v>Large Bus</v>
      </c>
      <c r="E93" s="28" t="s">
        <v>90</v>
      </c>
      <c r="F93" s="28" t="s">
        <v>67</v>
      </c>
      <c r="G93" s="29" t="s">
        <v>70</v>
      </c>
      <c r="H93" s="29" t="s">
        <v>70</v>
      </c>
      <c r="I93" s="29" t="s">
        <v>257</v>
      </c>
      <c r="J93" s="29" t="s">
        <v>68</v>
      </c>
      <c r="K93" s="30" t="s">
        <v>68</v>
      </c>
      <c r="L93" s="30" t="str">
        <f t="shared" si="1"/>
        <v>KAMPALA-MBARARA</v>
      </c>
      <c r="M93" s="31">
        <v>63</v>
      </c>
      <c r="N93" s="72">
        <v>20000</v>
      </c>
      <c r="O93" s="34">
        <v>4.9000000000000004</v>
      </c>
    </row>
    <row r="94" spans="2:15" x14ac:dyDescent="0.2">
      <c r="B94" s="27">
        <v>0.67083333333333339</v>
      </c>
      <c r="C94" s="28">
        <v>6</v>
      </c>
      <c r="D94" s="33" t="str">
        <f>IF(C94="", "",VLOOKUP(C94,Key!$A$5:$B$7,2,FALSE))</f>
        <v>Large Bus</v>
      </c>
      <c r="E94" s="28" t="s">
        <v>90</v>
      </c>
      <c r="F94" s="28" t="s">
        <v>67</v>
      </c>
      <c r="G94" s="29" t="s">
        <v>70</v>
      </c>
      <c r="H94" s="29" t="s">
        <v>70</v>
      </c>
      <c r="I94" s="29" t="s">
        <v>257</v>
      </c>
      <c r="J94" s="29" t="s">
        <v>68</v>
      </c>
      <c r="K94" s="30" t="s">
        <v>68</v>
      </c>
      <c r="L94" s="30" t="str">
        <f t="shared" si="1"/>
        <v>KAMPALA-MBARARA</v>
      </c>
      <c r="M94" s="31">
        <v>59</v>
      </c>
      <c r="N94" s="72">
        <v>20000</v>
      </c>
      <c r="O94" s="34">
        <v>4.9000000000000004</v>
      </c>
    </row>
    <row r="95" spans="2:15" x14ac:dyDescent="0.2">
      <c r="B95" s="27">
        <v>0.68263888888888891</v>
      </c>
      <c r="C95" s="28">
        <v>6</v>
      </c>
      <c r="D95" s="33" t="str">
        <f>IF(C95="", "",VLOOKUP(C95,Key!$A$5:$B$7,2,FALSE))</f>
        <v>Large Bus</v>
      </c>
      <c r="E95" s="28" t="s">
        <v>90</v>
      </c>
      <c r="F95" s="28" t="s">
        <v>67</v>
      </c>
      <c r="G95" s="29" t="s">
        <v>70</v>
      </c>
      <c r="H95" s="29" t="s">
        <v>70</v>
      </c>
      <c r="I95" s="29" t="s">
        <v>257</v>
      </c>
      <c r="J95" s="29" t="s">
        <v>68</v>
      </c>
      <c r="K95" s="30" t="s">
        <v>68</v>
      </c>
      <c r="L95" s="30" t="str">
        <f t="shared" si="1"/>
        <v>KAMPALA-MBARARA</v>
      </c>
      <c r="M95" s="31">
        <v>64</v>
      </c>
      <c r="N95" s="72">
        <v>20000</v>
      </c>
      <c r="O95" s="34">
        <v>4.9000000000000004</v>
      </c>
    </row>
    <row r="96" spans="2:15" x14ac:dyDescent="0.2">
      <c r="B96" s="27">
        <v>0.7006944444444444</v>
      </c>
      <c r="C96" s="28">
        <v>6</v>
      </c>
      <c r="D96" s="33" t="str">
        <f>IF(C96="", "",VLOOKUP(C96,Key!$A$5:$B$7,2,FALSE))</f>
        <v>Large Bus</v>
      </c>
      <c r="E96" s="28" t="s">
        <v>90</v>
      </c>
      <c r="F96" s="28" t="s">
        <v>67</v>
      </c>
      <c r="G96" s="29" t="s">
        <v>70</v>
      </c>
      <c r="H96" s="29" t="s">
        <v>70</v>
      </c>
      <c r="I96" s="29" t="s">
        <v>257</v>
      </c>
      <c r="J96" s="29" t="s">
        <v>68</v>
      </c>
      <c r="K96" s="30" t="s">
        <v>68</v>
      </c>
      <c r="L96" s="30" t="str">
        <f t="shared" si="1"/>
        <v>KAMPALA-MBARARA</v>
      </c>
      <c r="M96" s="31">
        <v>63</v>
      </c>
      <c r="N96" s="72">
        <v>20000</v>
      </c>
      <c r="O96" s="34">
        <v>4.9000000000000004</v>
      </c>
    </row>
    <row r="97" spans="2:15" x14ac:dyDescent="0.2">
      <c r="B97" s="27">
        <v>0.71875</v>
      </c>
      <c r="C97" s="28">
        <v>6</v>
      </c>
      <c r="D97" s="33" t="str">
        <f>IF(C97="", "",VLOOKUP(C97,Key!$A$5:$B$7,2,FALSE))</f>
        <v>Large Bus</v>
      </c>
      <c r="E97" s="28" t="s">
        <v>90</v>
      </c>
      <c r="F97" s="28" t="s">
        <v>67</v>
      </c>
      <c r="G97" s="29" t="s">
        <v>70</v>
      </c>
      <c r="H97" s="29" t="s">
        <v>70</v>
      </c>
      <c r="I97" s="29" t="s">
        <v>257</v>
      </c>
      <c r="J97" s="29" t="s">
        <v>68</v>
      </c>
      <c r="K97" s="30" t="s">
        <v>68</v>
      </c>
      <c r="L97" s="30" t="str">
        <f t="shared" si="1"/>
        <v>KAMPALA-MBARARA</v>
      </c>
      <c r="M97" s="31">
        <v>65</v>
      </c>
      <c r="N97" s="72">
        <v>20000</v>
      </c>
      <c r="O97" s="34">
        <v>4.9000000000000004</v>
      </c>
    </row>
    <row r="98" spans="2:15" x14ac:dyDescent="0.2">
      <c r="B98" s="27">
        <v>0.73333333333333339</v>
      </c>
      <c r="C98" s="28">
        <v>6</v>
      </c>
      <c r="D98" s="33" t="str">
        <f>IF(C98="", "",VLOOKUP(C98,Key!$A$5:$B$7,2,FALSE))</f>
        <v>Large Bus</v>
      </c>
      <c r="E98" s="28" t="s">
        <v>90</v>
      </c>
      <c r="F98" s="28" t="s">
        <v>67</v>
      </c>
      <c r="G98" s="29" t="s">
        <v>70</v>
      </c>
      <c r="H98" s="29" t="s">
        <v>70</v>
      </c>
      <c r="I98" s="29" t="s">
        <v>257</v>
      </c>
      <c r="J98" s="29" t="s">
        <v>68</v>
      </c>
      <c r="K98" s="30" t="s">
        <v>68</v>
      </c>
      <c r="L98" s="30" t="str">
        <f t="shared" si="1"/>
        <v>KAMPALA-MBARARA</v>
      </c>
      <c r="M98" s="31">
        <v>63</v>
      </c>
      <c r="N98" s="72">
        <v>20000</v>
      </c>
      <c r="O98" s="34">
        <v>4.9000000000000004</v>
      </c>
    </row>
    <row r="99" spans="2:15" x14ac:dyDescent="0.2">
      <c r="B99" s="27">
        <v>0.7583333333333333</v>
      </c>
      <c r="C99" s="28">
        <v>6</v>
      </c>
      <c r="D99" s="33" t="str">
        <f>IF(C99="", "",VLOOKUP(C99,Key!$A$5:$B$7,2,FALSE))</f>
        <v>Large Bus</v>
      </c>
      <c r="E99" s="28" t="s">
        <v>90</v>
      </c>
      <c r="F99" s="28" t="s">
        <v>67</v>
      </c>
      <c r="G99" s="29" t="s">
        <v>70</v>
      </c>
      <c r="H99" s="29" t="s">
        <v>70</v>
      </c>
      <c r="I99" s="29" t="s">
        <v>257</v>
      </c>
      <c r="J99" s="29" t="s">
        <v>68</v>
      </c>
      <c r="K99" s="30" t="s">
        <v>68</v>
      </c>
      <c r="L99" s="30" t="str">
        <f t="shared" si="1"/>
        <v>KAMPALA-MBARARA</v>
      </c>
      <c r="M99" s="31">
        <v>65</v>
      </c>
      <c r="N99" s="72">
        <v>20000</v>
      </c>
      <c r="O99" s="34">
        <v>4.9000000000000004</v>
      </c>
    </row>
    <row r="100" spans="2:15" x14ac:dyDescent="0.2">
      <c r="B100" s="27">
        <v>0.29166666666666669</v>
      </c>
      <c r="C100" s="28">
        <v>6</v>
      </c>
      <c r="D100" s="33" t="str">
        <f>IF(C100="", "",VLOOKUP(C100,Key!$A$5:$B$7,2,FALSE))</f>
        <v>Large Bus</v>
      </c>
      <c r="E100" s="28" t="s">
        <v>90</v>
      </c>
      <c r="F100" s="28" t="s">
        <v>67</v>
      </c>
      <c r="G100" s="29" t="s">
        <v>70</v>
      </c>
      <c r="H100" s="29" t="s">
        <v>70</v>
      </c>
      <c r="I100" s="29" t="s">
        <v>257</v>
      </c>
      <c r="J100" s="29" t="s">
        <v>68</v>
      </c>
      <c r="K100" s="30" t="s">
        <v>68</v>
      </c>
      <c r="L100" s="30" t="str">
        <f t="shared" si="1"/>
        <v>KAMPALA-MBARARA</v>
      </c>
      <c r="M100" s="31">
        <v>63</v>
      </c>
      <c r="N100" s="72">
        <v>20000</v>
      </c>
      <c r="O100" s="34">
        <v>4.9000000000000004</v>
      </c>
    </row>
    <row r="101" spans="2:15" x14ac:dyDescent="0.2">
      <c r="B101" s="27">
        <v>0.72986111111111107</v>
      </c>
      <c r="C101" s="28">
        <v>6</v>
      </c>
      <c r="D101" s="33" t="str">
        <f>IF(C101="", "",VLOOKUP(C101,Key!$A$5:$B$7,2,FALSE))</f>
        <v>Large Bus</v>
      </c>
      <c r="E101" s="28" t="s">
        <v>90</v>
      </c>
      <c r="F101" s="28" t="s">
        <v>66</v>
      </c>
      <c r="G101" s="29" t="s">
        <v>68</v>
      </c>
      <c r="H101" s="29" t="s">
        <v>68</v>
      </c>
      <c r="I101" s="29" t="s">
        <v>257</v>
      </c>
      <c r="J101" s="29" t="s">
        <v>70</v>
      </c>
      <c r="K101" s="30" t="s">
        <v>70</v>
      </c>
      <c r="L101" s="30" t="str">
        <f t="shared" si="1"/>
        <v>MBARARA-KAMPALA</v>
      </c>
      <c r="M101" s="31">
        <v>63</v>
      </c>
      <c r="N101" s="72">
        <v>20000</v>
      </c>
      <c r="O101" s="34">
        <v>4.9000000000000004</v>
      </c>
    </row>
    <row r="102" spans="2:15" x14ac:dyDescent="0.2">
      <c r="B102" s="27">
        <v>0.76041666666666663</v>
      </c>
      <c r="C102" s="28">
        <v>6</v>
      </c>
      <c r="D102" s="33" t="str">
        <f>IF(C102="", "",VLOOKUP(C102,Key!$A$5:$B$7,2,FALSE))</f>
        <v>Large Bus</v>
      </c>
      <c r="E102" s="28" t="s">
        <v>90</v>
      </c>
      <c r="F102" s="28" t="s">
        <v>66</v>
      </c>
      <c r="G102" s="29" t="s">
        <v>68</v>
      </c>
      <c r="H102" s="29" t="s">
        <v>68</v>
      </c>
      <c r="I102" s="29" t="s">
        <v>257</v>
      </c>
      <c r="J102" s="29" t="s">
        <v>70</v>
      </c>
      <c r="K102" s="30" t="s">
        <v>70</v>
      </c>
      <c r="L102" s="30" t="str">
        <f t="shared" si="1"/>
        <v>MBARARA-KAMPALA</v>
      </c>
      <c r="M102" s="31">
        <v>65</v>
      </c>
      <c r="N102" s="72">
        <v>20000</v>
      </c>
      <c r="O102" s="34">
        <v>4.9000000000000004</v>
      </c>
    </row>
    <row r="103" spans="2:15" x14ac:dyDescent="0.2">
      <c r="B103" s="27">
        <v>0.76736111111111116</v>
      </c>
      <c r="C103" s="28">
        <v>6</v>
      </c>
      <c r="D103" s="33" t="str">
        <f>IF(C103="", "",VLOOKUP(C103,Key!$A$5:$B$7,2,FALSE))</f>
        <v>Large Bus</v>
      </c>
      <c r="E103" s="28" t="s">
        <v>90</v>
      </c>
      <c r="F103" s="28" t="s">
        <v>66</v>
      </c>
      <c r="G103" s="29" t="s">
        <v>68</v>
      </c>
      <c r="H103" s="29" t="s">
        <v>68</v>
      </c>
      <c r="I103" s="29" t="s">
        <v>257</v>
      </c>
      <c r="J103" s="29" t="s">
        <v>70</v>
      </c>
      <c r="K103" s="30" t="s">
        <v>70</v>
      </c>
      <c r="L103" s="30" t="str">
        <f t="shared" si="1"/>
        <v>MBARARA-KAMPALA</v>
      </c>
      <c r="M103" s="31">
        <v>64</v>
      </c>
      <c r="N103" s="72">
        <v>20000</v>
      </c>
      <c r="O103" s="34">
        <v>4.9000000000000004</v>
      </c>
    </row>
    <row r="104" spans="2:15" x14ac:dyDescent="0.2">
      <c r="B104" s="27">
        <v>0.77847222222222223</v>
      </c>
      <c r="C104" s="28">
        <v>6</v>
      </c>
      <c r="D104" s="33" t="str">
        <f>IF(C104="", "",VLOOKUP(C104,Key!$A$5:$B$7,2,FALSE))</f>
        <v>Large Bus</v>
      </c>
      <c r="E104" s="28" t="s">
        <v>90</v>
      </c>
      <c r="F104" s="28" t="s">
        <v>66</v>
      </c>
      <c r="G104" s="29" t="s">
        <v>68</v>
      </c>
      <c r="H104" s="29" t="s">
        <v>68</v>
      </c>
      <c r="I104" s="29" t="s">
        <v>257</v>
      </c>
      <c r="J104" s="29" t="s">
        <v>70</v>
      </c>
      <c r="K104" s="30" t="s">
        <v>70</v>
      </c>
      <c r="L104" s="30" t="str">
        <f t="shared" si="1"/>
        <v>MBARARA-KAMPALA</v>
      </c>
      <c r="M104" s="31">
        <v>65</v>
      </c>
      <c r="N104" s="72">
        <v>20000</v>
      </c>
      <c r="O104" s="34">
        <v>4.9000000000000004</v>
      </c>
    </row>
    <row r="105" spans="2:15" x14ac:dyDescent="0.2">
      <c r="B105" s="27">
        <v>0.79305555555555562</v>
      </c>
      <c r="C105" s="28">
        <v>6</v>
      </c>
      <c r="D105" s="33" t="str">
        <f>IF(C105="", "",VLOOKUP(C105,Key!$A$5:$B$7,2,FALSE))</f>
        <v>Large Bus</v>
      </c>
      <c r="E105" s="28" t="s">
        <v>90</v>
      </c>
      <c r="F105" s="28" t="s">
        <v>66</v>
      </c>
      <c r="G105" s="29" t="s">
        <v>68</v>
      </c>
      <c r="H105" s="29" t="s">
        <v>68</v>
      </c>
      <c r="I105" s="29" t="s">
        <v>257</v>
      </c>
      <c r="J105" s="29" t="s">
        <v>70</v>
      </c>
      <c r="K105" s="30" t="s">
        <v>70</v>
      </c>
      <c r="L105" s="30" t="str">
        <f t="shared" si="1"/>
        <v>MBARARA-KAMPALA</v>
      </c>
      <c r="M105" s="31">
        <v>65</v>
      </c>
      <c r="N105" s="72">
        <v>20000</v>
      </c>
      <c r="O105" s="34">
        <v>4.9000000000000004</v>
      </c>
    </row>
    <row r="106" spans="2:15" x14ac:dyDescent="0.2">
      <c r="B106" s="27">
        <v>0.32291666666666669</v>
      </c>
      <c r="C106" s="28">
        <v>6</v>
      </c>
      <c r="D106" s="33" t="str">
        <f>IF(C106="", "",VLOOKUP(C106,Key!$A$5:$B$7,2,FALSE))</f>
        <v>Large Bus</v>
      </c>
      <c r="E106" s="28" t="s">
        <v>90</v>
      </c>
      <c r="F106" s="28" t="s">
        <v>67</v>
      </c>
      <c r="G106" s="29" t="s">
        <v>70</v>
      </c>
      <c r="H106" s="29" t="s">
        <v>70</v>
      </c>
      <c r="I106" s="29" t="s">
        <v>257</v>
      </c>
      <c r="J106" s="29" t="s">
        <v>68</v>
      </c>
      <c r="K106" s="30" t="s">
        <v>68</v>
      </c>
      <c r="L106" s="30" t="str">
        <f t="shared" si="1"/>
        <v>KAMPALA-MBARARA</v>
      </c>
      <c r="M106" s="31">
        <v>65</v>
      </c>
      <c r="N106" s="72">
        <v>20000</v>
      </c>
      <c r="O106" s="34">
        <v>4.9000000000000004</v>
      </c>
    </row>
    <row r="107" spans="2:15" ht="12" customHeight="1" x14ac:dyDescent="0.2">
      <c r="B107" s="27">
        <v>0.34513888888888888</v>
      </c>
      <c r="C107" s="28">
        <v>6</v>
      </c>
      <c r="D107" s="33" t="str">
        <f>IF(C107="", "",VLOOKUP(C107,Key!$A$5:$B$7,2,FALSE))</f>
        <v>Large Bus</v>
      </c>
      <c r="E107" s="28" t="s">
        <v>90</v>
      </c>
      <c r="F107" s="28" t="s">
        <v>67</v>
      </c>
      <c r="G107" s="29" t="s">
        <v>70</v>
      </c>
      <c r="H107" s="29" t="s">
        <v>70</v>
      </c>
      <c r="I107" s="29" t="s">
        <v>257</v>
      </c>
      <c r="J107" s="29" t="s">
        <v>68</v>
      </c>
      <c r="K107" s="30" t="s">
        <v>68</v>
      </c>
      <c r="L107" s="30" t="str">
        <f t="shared" si="1"/>
        <v>KAMPALA-MBARARA</v>
      </c>
      <c r="M107" s="31">
        <v>67</v>
      </c>
      <c r="N107" s="72">
        <v>20000</v>
      </c>
      <c r="O107" s="34">
        <v>4.9000000000000004</v>
      </c>
    </row>
    <row r="108" spans="2:15" x14ac:dyDescent="0.2">
      <c r="B108" s="27">
        <v>0.36388888888888887</v>
      </c>
      <c r="C108" s="28">
        <v>6</v>
      </c>
      <c r="D108" s="33" t="str">
        <f>IF(C108="", "",VLOOKUP(C108,Key!$A$5:$B$7,2,FALSE))</f>
        <v>Large Bus</v>
      </c>
      <c r="E108" s="28" t="s">
        <v>90</v>
      </c>
      <c r="F108" s="28" t="s">
        <v>67</v>
      </c>
      <c r="G108" s="29" t="s">
        <v>70</v>
      </c>
      <c r="H108" s="29" t="s">
        <v>70</v>
      </c>
      <c r="I108" s="29" t="s">
        <v>257</v>
      </c>
      <c r="J108" s="29" t="s">
        <v>68</v>
      </c>
      <c r="K108" s="30" t="s">
        <v>68</v>
      </c>
      <c r="L108" s="30" t="str">
        <f t="shared" si="1"/>
        <v>KAMPALA-MBARARA</v>
      </c>
      <c r="M108" s="31">
        <v>65</v>
      </c>
      <c r="N108" s="72">
        <v>20000</v>
      </c>
      <c r="O108" s="34">
        <v>4.9000000000000004</v>
      </c>
    </row>
    <row r="109" spans="2:15" x14ac:dyDescent="0.2">
      <c r="B109" s="27">
        <v>0.37916666666666665</v>
      </c>
      <c r="C109" s="28">
        <v>6</v>
      </c>
      <c r="D109" s="33" t="str">
        <f>IF(C109="", "",VLOOKUP(C109,Key!$A$5:$B$7,2,FALSE))</f>
        <v>Large Bus</v>
      </c>
      <c r="E109" s="28" t="s">
        <v>90</v>
      </c>
      <c r="F109" s="28" t="s">
        <v>67</v>
      </c>
      <c r="G109" s="29" t="s">
        <v>70</v>
      </c>
      <c r="H109" s="29" t="s">
        <v>70</v>
      </c>
      <c r="I109" s="29" t="s">
        <v>257</v>
      </c>
      <c r="J109" s="29" t="s">
        <v>68</v>
      </c>
      <c r="K109" s="30" t="s">
        <v>68</v>
      </c>
      <c r="L109" s="30" t="str">
        <f t="shared" si="1"/>
        <v>KAMPALA-MBARARA</v>
      </c>
      <c r="M109" s="31">
        <v>57</v>
      </c>
      <c r="N109" s="72">
        <v>20000</v>
      </c>
      <c r="O109" s="34">
        <v>4.9000000000000004</v>
      </c>
    </row>
    <row r="110" spans="2:15" x14ac:dyDescent="0.2">
      <c r="B110" s="27">
        <v>0.39444444444444443</v>
      </c>
      <c r="C110" s="28">
        <v>6</v>
      </c>
      <c r="D110" s="33" t="str">
        <f>IF(C110="", "",VLOOKUP(C110,Key!$A$5:$B$7,2,FALSE))</f>
        <v>Large Bus</v>
      </c>
      <c r="E110" s="28" t="s">
        <v>90</v>
      </c>
      <c r="F110" s="28" t="s">
        <v>67</v>
      </c>
      <c r="G110" s="29" t="s">
        <v>70</v>
      </c>
      <c r="H110" s="29" t="s">
        <v>70</v>
      </c>
      <c r="I110" s="29" t="s">
        <v>257</v>
      </c>
      <c r="J110" s="29" t="s">
        <v>68</v>
      </c>
      <c r="K110" s="30" t="s">
        <v>68</v>
      </c>
      <c r="L110" s="30" t="str">
        <f t="shared" si="1"/>
        <v>KAMPALA-MBARARA</v>
      </c>
      <c r="M110" s="31">
        <v>63</v>
      </c>
      <c r="N110" s="72">
        <v>20000</v>
      </c>
      <c r="O110" s="34">
        <v>4.9000000000000004</v>
      </c>
    </row>
    <row r="111" spans="2:15" x14ac:dyDescent="0.2">
      <c r="B111" s="27">
        <v>0.40902777777777777</v>
      </c>
      <c r="C111" s="28">
        <v>6</v>
      </c>
      <c r="D111" s="33" t="str">
        <f>IF(C111="", "",VLOOKUP(C111,Key!$A$5:$B$7,2,FALSE))</f>
        <v>Large Bus</v>
      </c>
      <c r="E111" s="28" t="s">
        <v>90</v>
      </c>
      <c r="F111" s="28" t="s">
        <v>67</v>
      </c>
      <c r="G111" s="29" t="s">
        <v>70</v>
      </c>
      <c r="H111" s="29" t="s">
        <v>70</v>
      </c>
      <c r="I111" s="29" t="s">
        <v>257</v>
      </c>
      <c r="J111" s="29" t="s">
        <v>68</v>
      </c>
      <c r="K111" s="30" t="s">
        <v>68</v>
      </c>
      <c r="L111" s="30" t="str">
        <f t="shared" si="1"/>
        <v>KAMPALA-MBARARA</v>
      </c>
      <c r="M111" s="31">
        <v>65</v>
      </c>
      <c r="N111" s="72">
        <v>20000</v>
      </c>
      <c r="O111" s="34">
        <v>4.9000000000000004</v>
      </c>
    </row>
    <row r="112" spans="2:15" x14ac:dyDescent="0.2">
      <c r="B112" s="27">
        <v>0.42430555555555555</v>
      </c>
      <c r="C112" s="28">
        <v>6</v>
      </c>
      <c r="D112" s="33" t="str">
        <f>IF(C112="", "",VLOOKUP(C112,Key!$A$5:$B$7,2,FALSE))</f>
        <v>Large Bus</v>
      </c>
      <c r="E112" s="28" t="s">
        <v>90</v>
      </c>
      <c r="F112" s="28" t="s">
        <v>67</v>
      </c>
      <c r="G112" s="29" t="s">
        <v>70</v>
      </c>
      <c r="H112" s="29" t="s">
        <v>70</v>
      </c>
      <c r="I112" s="29" t="s">
        <v>257</v>
      </c>
      <c r="J112" s="29" t="s">
        <v>68</v>
      </c>
      <c r="K112" s="30" t="s">
        <v>68</v>
      </c>
      <c r="L112" s="30" t="str">
        <f t="shared" si="1"/>
        <v>KAMPALA-MBARARA</v>
      </c>
      <c r="M112" s="31">
        <v>65</v>
      </c>
      <c r="N112" s="72">
        <v>20000</v>
      </c>
      <c r="O112" s="34">
        <v>4.9000000000000004</v>
      </c>
    </row>
    <row r="113" spans="2:15" x14ac:dyDescent="0.2">
      <c r="B113" s="27">
        <v>0.43263888888888885</v>
      </c>
      <c r="C113" s="28">
        <v>6</v>
      </c>
      <c r="D113" s="33" t="str">
        <f>IF(C113="", "",VLOOKUP(C113,Key!$A$5:$B$7,2,FALSE))</f>
        <v>Large Bus</v>
      </c>
      <c r="E113" s="28" t="s">
        <v>90</v>
      </c>
      <c r="F113" s="28" t="s">
        <v>67</v>
      </c>
      <c r="G113" s="29" t="s">
        <v>70</v>
      </c>
      <c r="H113" s="29" t="s">
        <v>70</v>
      </c>
      <c r="I113" s="29" t="s">
        <v>257</v>
      </c>
      <c r="J113" s="29" t="s">
        <v>68</v>
      </c>
      <c r="K113" s="30" t="s">
        <v>68</v>
      </c>
      <c r="L113" s="30" t="str">
        <f t="shared" si="1"/>
        <v>KAMPALA-MBARARA</v>
      </c>
      <c r="M113" s="31">
        <v>67</v>
      </c>
      <c r="N113" s="72">
        <v>20000</v>
      </c>
      <c r="O113" s="34">
        <v>4.9000000000000004</v>
      </c>
    </row>
    <row r="114" spans="2:15" x14ac:dyDescent="0.2">
      <c r="B114" s="27">
        <v>0.44444444444444442</v>
      </c>
      <c r="C114" s="28">
        <v>6</v>
      </c>
      <c r="D114" s="33" t="str">
        <f>IF(C114="", "",VLOOKUP(C114,Key!$A$5:$B$7,2,FALSE))</f>
        <v>Large Bus</v>
      </c>
      <c r="E114" s="28" t="s">
        <v>90</v>
      </c>
      <c r="F114" s="28" t="s">
        <v>67</v>
      </c>
      <c r="G114" s="29" t="s">
        <v>70</v>
      </c>
      <c r="H114" s="29" t="s">
        <v>70</v>
      </c>
      <c r="I114" s="29" t="s">
        <v>257</v>
      </c>
      <c r="J114" s="29" t="s">
        <v>68</v>
      </c>
      <c r="K114" s="30" t="s">
        <v>68</v>
      </c>
      <c r="L114" s="30" t="str">
        <f t="shared" si="1"/>
        <v>KAMPALA-MBARARA</v>
      </c>
      <c r="M114" s="31">
        <v>63</v>
      </c>
      <c r="N114" s="72">
        <v>20000</v>
      </c>
      <c r="O114" s="34">
        <v>4.9000000000000004</v>
      </c>
    </row>
    <row r="115" spans="2:15" x14ac:dyDescent="0.2">
      <c r="B115" s="27">
        <v>0.4597222222222222</v>
      </c>
      <c r="C115" s="28">
        <v>6</v>
      </c>
      <c r="D115" s="33" t="str">
        <f>IF(C115="", "",VLOOKUP(C115,Key!$A$5:$B$7,2,FALSE))</f>
        <v>Large Bus</v>
      </c>
      <c r="E115" s="28" t="s">
        <v>90</v>
      </c>
      <c r="F115" s="28" t="s">
        <v>67</v>
      </c>
      <c r="G115" s="29" t="s">
        <v>70</v>
      </c>
      <c r="H115" s="29" t="s">
        <v>70</v>
      </c>
      <c r="I115" s="29" t="s">
        <v>257</v>
      </c>
      <c r="J115" s="29" t="s">
        <v>68</v>
      </c>
      <c r="K115" s="30" t="s">
        <v>68</v>
      </c>
      <c r="L115" s="30" t="str">
        <f t="shared" si="1"/>
        <v>KAMPALA-MBARARA</v>
      </c>
      <c r="M115" s="31">
        <v>64</v>
      </c>
      <c r="N115" s="72">
        <v>20000</v>
      </c>
      <c r="O115" s="34">
        <v>4.9000000000000004</v>
      </c>
    </row>
    <row r="116" spans="2:15" x14ac:dyDescent="0.2">
      <c r="B116" s="27">
        <v>0.47569444444444442</v>
      </c>
      <c r="C116" s="28">
        <v>6</v>
      </c>
      <c r="D116" s="33" t="str">
        <f>IF(C116="", "",VLOOKUP(C116,Key!$A$5:$B$7,2,FALSE))</f>
        <v>Large Bus</v>
      </c>
      <c r="E116" s="28" t="s">
        <v>90</v>
      </c>
      <c r="F116" s="28" t="s">
        <v>67</v>
      </c>
      <c r="G116" s="29" t="s">
        <v>70</v>
      </c>
      <c r="H116" s="29" t="s">
        <v>70</v>
      </c>
      <c r="I116" s="29" t="s">
        <v>257</v>
      </c>
      <c r="J116" s="29" t="s">
        <v>68</v>
      </c>
      <c r="K116" s="30" t="s">
        <v>68</v>
      </c>
      <c r="L116" s="30" t="str">
        <f t="shared" si="1"/>
        <v>KAMPALA-MBARARA</v>
      </c>
      <c r="M116" s="31">
        <v>65</v>
      </c>
      <c r="N116" s="72">
        <v>20000</v>
      </c>
      <c r="O116" s="34">
        <v>4.9000000000000004</v>
      </c>
    </row>
    <row r="117" spans="2:15" x14ac:dyDescent="0.2">
      <c r="B117" s="27">
        <v>0.48958333333333331</v>
      </c>
      <c r="C117" s="28">
        <v>6</v>
      </c>
      <c r="D117" s="33" t="str">
        <f>IF(C117="", "",VLOOKUP(C117,Key!$A$5:$B$7,2,FALSE))</f>
        <v>Large Bus</v>
      </c>
      <c r="E117" s="28" t="s">
        <v>90</v>
      </c>
      <c r="F117" s="28" t="s">
        <v>67</v>
      </c>
      <c r="G117" s="29" t="s">
        <v>70</v>
      </c>
      <c r="H117" s="29" t="s">
        <v>70</v>
      </c>
      <c r="I117" s="29" t="s">
        <v>257</v>
      </c>
      <c r="J117" s="29" t="s">
        <v>68</v>
      </c>
      <c r="K117" s="30" t="s">
        <v>68</v>
      </c>
      <c r="L117" s="30" t="str">
        <f t="shared" si="1"/>
        <v>KAMPALA-MBARARA</v>
      </c>
      <c r="M117" s="31">
        <v>65</v>
      </c>
      <c r="N117" s="72">
        <v>20000</v>
      </c>
      <c r="O117" s="34">
        <v>4.9000000000000004</v>
      </c>
    </row>
    <row r="118" spans="2:15" x14ac:dyDescent="0.2">
      <c r="B118" s="27">
        <v>0.50486111111111109</v>
      </c>
      <c r="C118" s="28">
        <v>6</v>
      </c>
      <c r="D118" s="33" t="str">
        <f>IF(C118="", "",VLOOKUP(C118,Key!$A$5:$B$7,2,FALSE))</f>
        <v>Large Bus</v>
      </c>
      <c r="E118" s="28" t="s">
        <v>90</v>
      </c>
      <c r="F118" s="28" t="s">
        <v>67</v>
      </c>
      <c r="G118" s="29" t="s">
        <v>70</v>
      </c>
      <c r="H118" s="29" t="s">
        <v>70</v>
      </c>
      <c r="I118" s="29" t="s">
        <v>257</v>
      </c>
      <c r="J118" s="29" t="s">
        <v>68</v>
      </c>
      <c r="K118" s="30" t="s">
        <v>68</v>
      </c>
      <c r="L118" s="30" t="str">
        <f t="shared" si="1"/>
        <v>KAMPALA-MBARARA</v>
      </c>
      <c r="M118" s="31">
        <v>63</v>
      </c>
      <c r="N118" s="72">
        <v>20000</v>
      </c>
      <c r="O118" s="34">
        <v>4.9000000000000004</v>
      </c>
    </row>
    <row r="119" spans="2:15" x14ac:dyDescent="0.2">
      <c r="B119" s="27">
        <v>0.51874999999999993</v>
      </c>
      <c r="C119" s="28">
        <v>6</v>
      </c>
      <c r="D119" s="33" t="str">
        <f>IF(C119="", "",VLOOKUP(C119,Key!$A$5:$B$7,2,FALSE))</f>
        <v>Large Bus</v>
      </c>
      <c r="E119" s="28" t="s">
        <v>90</v>
      </c>
      <c r="F119" s="28" t="s">
        <v>67</v>
      </c>
      <c r="G119" s="29" t="s">
        <v>70</v>
      </c>
      <c r="H119" s="29" t="s">
        <v>70</v>
      </c>
      <c r="I119" s="29" t="s">
        <v>257</v>
      </c>
      <c r="J119" s="29" t="s">
        <v>68</v>
      </c>
      <c r="K119" s="30" t="s">
        <v>68</v>
      </c>
      <c r="L119" s="30" t="str">
        <f t="shared" si="1"/>
        <v>KAMPALA-MBARARA</v>
      </c>
      <c r="M119" s="31">
        <v>67</v>
      </c>
      <c r="N119" s="72">
        <v>20000</v>
      </c>
      <c r="O119" s="34">
        <v>4.9000000000000004</v>
      </c>
    </row>
    <row r="120" spans="2:15" x14ac:dyDescent="0.2">
      <c r="B120" s="27">
        <v>0.52569444444444446</v>
      </c>
      <c r="C120" s="28">
        <v>6</v>
      </c>
      <c r="D120" s="33" t="str">
        <f>IF(C120="", "",VLOOKUP(C120,Key!$A$5:$B$7,2,FALSE))</f>
        <v>Large Bus</v>
      </c>
      <c r="E120" s="28" t="s">
        <v>90</v>
      </c>
      <c r="F120" s="28" t="s">
        <v>67</v>
      </c>
      <c r="G120" s="29" t="s">
        <v>70</v>
      </c>
      <c r="H120" s="29" t="s">
        <v>70</v>
      </c>
      <c r="I120" s="29" t="s">
        <v>257</v>
      </c>
      <c r="J120" s="29" t="s">
        <v>68</v>
      </c>
      <c r="K120" s="30" t="s">
        <v>68</v>
      </c>
      <c r="L120" s="30" t="str">
        <f t="shared" si="1"/>
        <v>KAMPALA-MBARARA</v>
      </c>
      <c r="M120" s="31">
        <v>65</v>
      </c>
      <c r="N120" s="72">
        <v>20000</v>
      </c>
      <c r="O120" s="34">
        <v>4.9000000000000004</v>
      </c>
    </row>
    <row r="121" spans="2:15" x14ac:dyDescent="0.2">
      <c r="B121" s="27">
        <v>0.53819444444444442</v>
      </c>
      <c r="C121" s="28">
        <v>6</v>
      </c>
      <c r="D121" s="33" t="str">
        <f>IF(C121="", "",VLOOKUP(C121,Key!$A$5:$B$7,2,FALSE))</f>
        <v>Large Bus</v>
      </c>
      <c r="E121" s="28" t="s">
        <v>90</v>
      </c>
      <c r="F121" s="28" t="s">
        <v>67</v>
      </c>
      <c r="G121" s="29" t="s">
        <v>70</v>
      </c>
      <c r="H121" s="29" t="s">
        <v>70</v>
      </c>
      <c r="I121" s="29" t="s">
        <v>257</v>
      </c>
      <c r="J121" s="29" t="s">
        <v>68</v>
      </c>
      <c r="K121" s="30" t="s">
        <v>68</v>
      </c>
      <c r="L121" s="30" t="str">
        <f t="shared" si="1"/>
        <v>KAMPALA-MBARARA</v>
      </c>
      <c r="M121" s="31">
        <v>50</v>
      </c>
      <c r="N121" s="72">
        <v>20000</v>
      </c>
      <c r="O121" s="34">
        <v>4.9000000000000004</v>
      </c>
    </row>
    <row r="122" spans="2:15" x14ac:dyDescent="0.2">
      <c r="B122" s="27">
        <v>0.54791666666666672</v>
      </c>
      <c r="C122" s="28">
        <v>6</v>
      </c>
      <c r="D122" s="33" t="str">
        <f>IF(C122="", "",VLOOKUP(C122,Key!$A$5:$B$7,2,FALSE))</f>
        <v>Large Bus</v>
      </c>
      <c r="E122" s="28" t="s">
        <v>90</v>
      </c>
      <c r="F122" s="28" t="s">
        <v>67</v>
      </c>
      <c r="G122" s="29" t="s">
        <v>70</v>
      </c>
      <c r="H122" s="29" t="s">
        <v>70</v>
      </c>
      <c r="I122" s="29" t="s">
        <v>257</v>
      </c>
      <c r="J122" s="29" t="s">
        <v>68</v>
      </c>
      <c r="K122" s="30" t="s">
        <v>68</v>
      </c>
      <c r="L122" s="30" t="str">
        <f t="shared" si="1"/>
        <v>KAMPALA-MBARARA</v>
      </c>
      <c r="M122" s="31">
        <v>59</v>
      </c>
      <c r="N122" s="72">
        <v>20000</v>
      </c>
      <c r="O122" s="34">
        <v>4.9000000000000004</v>
      </c>
    </row>
    <row r="123" spans="2:15" x14ac:dyDescent="0.2">
      <c r="B123" s="27">
        <v>0.55902777777777779</v>
      </c>
      <c r="C123" s="28">
        <v>6</v>
      </c>
      <c r="D123" s="33" t="str">
        <f>IF(C123="", "",VLOOKUP(C123,Key!$A$5:$B$7,2,FALSE))</f>
        <v>Large Bus</v>
      </c>
      <c r="E123" s="28" t="s">
        <v>90</v>
      </c>
      <c r="F123" s="28" t="s">
        <v>67</v>
      </c>
      <c r="G123" s="29" t="s">
        <v>70</v>
      </c>
      <c r="H123" s="29" t="s">
        <v>70</v>
      </c>
      <c r="I123" s="29" t="s">
        <v>257</v>
      </c>
      <c r="J123" s="29" t="s">
        <v>68</v>
      </c>
      <c r="K123" s="30" t="s">
        <v>68</v>
      </c>
      <c r="L123" s="30" t="str">
        <f t="shared" si="1"/>
        <v>KAMPALA-MBARARA</v>
      </c>
      <c r="M123" s="31">
        <v>65</v>
      </c>
      <c r="N123" s="72">
        <v>20000</v>
      </c>
      <c r="O123" s="34">
        <v>4.9000000000000004</v>
      </c>
    </row>
    <row r="124" spans="2:15" x14ac:dyDescent="0.2">
      <c r="B124" s="27">
        <v>0.57291666666666663</v>
      </c>
      <c r="C124" s="28">
        <v>6</v>
      </c>
      <c r="D124" s="33" t="str">
        <f>IF(C124="", "",VLOOKUP(C124,Key!$A$5:$B$7,2,FALSE))</f>
        <v>Large Bus</v>
      </c>
      <c r="E124" s="28" t="s">
        <v>90</v>
      </c>
      <c r="F124" s="28" t="s">
        <v>67</v>
      </c>
      <c r="G124" s="29" t="s">
        <v>70</v>
      </c>
      <c r="H124" s="29" t="s">
        <v>70</v>
      </c>
      <c r="I124" s="29" t="s">
        <v>257</v>
      </c>
      <c r="J124" s="29" t="s">
        <v>68</v>
      </c>
      <c r="K124" s="30" t="s">
        <v>68</v>
      </c>
      <c r="L124" s="30" t="str">
        <f t="shared" si="1"/>
        <v>KAMPALA-MBARARA</v>
      </c>
      <c r="M124" s="31">
        <v>63</v>
      </c>
      <c r="N124" s="72">
        <v>20000</v>
      </c>
      <c r="O124" s="34">
        <v>4.9000000000000004</v>
      </c>
    </row>
    <row r="125" spans="2:15" x14ac:dyDescent="0.2">
      <c r="B125" s="27">
        <v>0.58333333333333337</v>
      </c>
      <c r="C125" s="28">
        <v>6</v>
      </c>
      <c r="D125" s="33" t="str">
        <f>IF(C125="", "",VLOOKUP(C125,Key!$A$5:$B$7,2,FALSE))</f>
        <v>Large Bus</v>
      </c>
      <c r="E125" s="28" t="s">
        <v>90</v>
      </c>
      <c r="F125" s="28" t="s">
        <v>67</v>
      </c>
      <c r="G125" s="29" t="s">
        <v>70</v>
      </c>
      <c r="H125" s="29" t="s">
        <v>70</v>
      </c>
      <c r="I125" s="29" t="s">
        <v>257</v>
      </c>
      <c r="J125" s="29" t="s">
        <v>68</v>
      </c>
      <c r="K125" s="30" t="s">
        <v>68</v>
      </c>
      <c r="L125" s="30" t="str">
        <f t="shared" si="1"/>
        <v>KAMPALA-MBARARA</v>
      </c>
      <c r="M125" s="31">
        <v>67</v>
      </c>
      <c r="N125" s="72">
        <v>20000</v>
      </c>
      <c r="O125" s="34">
        <v>4.9000000000000004</v>
      </c>
    </row>
    <row r="126" spans="2:15" x14ac:dyDescent="0.2">
      <c r="B126" s="27">
        <v>0.34236111111111112</v>
      </c>
      <c r="C126" s="28">
        <v>6</v>
      </c>
      <c r="D126" s="33" t="str">
        <f>IF(C126="", "",VLOOKUP(C126,Key!$A$5:$B$7,2,FALSE))</f>
        <v>Large Bus</v>
      </c>
      <c r="E126" s="28" t="s">
        <v>90</v>
      </c>
      <c r="F126" s="28" t="s">
        <v>66</v>
      </c>
      <c r="G126" s="29" t="s">
        <v>68</v>
      </c>
      <c r="H126" s="29" t="s">
        <v>68</v>
      </c>
      <c r="I126" s="29" t="s">
        <v>257</v>
      </c>
      <c r="J126" s="29" t="s">
        <v>70</v>
      </c>
      <c r="K126" s="30" t="s">
        <v>70</v>
      </c>
      <c r="L126" s="30" t="str">
        <f t="shared" si="1"/>
        <v>MBARARA-KAMPALA</v>
      </c>
      <c r="M126" s="31">
        <v>65</v>
      </c>
      <c r="N126" s="72">
        <v>20000</v>
      </c>
      <c r="O126" s="34">
        <v>4.9000000000000004</v>
      </c>
    </row>
    <row r="127" spans="2:15" x14ac:dyDescent="0.2">
      <c r="B127" s="27">
        <v>0.4152777777777778</v>
      </c>
      <c r="C127" s="28">
        <v>6</v>
      </c>
      <c r="D127" s="33" t="str">
        <f>IF(C127="", "",VLOOKUP(C127,Key!$A$5:$B$7,2,FALSE))</f>
        <v>Large Bus</v>
      </c>
      <c r="E127" s="28" t="s">
        <v>90</v>
      </c>
      <c r="F127" s="28" t="s">
        <v>66</v>
      </c>
      <c r="G127" s="29" t="s">
        <v>68</v>
      </c>
      <c r="H127" s="29" t="s">
        <v>68</v>
      </c>
      <c r="I127" s="29" t="s">
        <v>257</v>
      </c>
      <c r="J127" s="29" t="s">
        <v>70</v>
      </c>
      <c r="K127" s="30" t="s">
        <v>70</v>
      </c>
      <c r="L127" s="30" t="str">
        <f t="shared" si="1"/>
        <v>MBARARA-KAMPALA</v>
      </c>
      <c r="M127" s="31">
        <v>67</v>
      </c>
      <c r="N127" s="72">
        <v>20000</v>
      </c>
      <c r="O127" s="34">
        <v>4.9000000000000004</v>
      </c>
    </row>
    <row r="128" spans="2:15" x14ac:dyDescent="0.2">
      <c r="B128" s="27">
        <v>0.45347222222222222</v>
      </c>
      <c r="C128" s="28">
        <v>6</v>
      </c>
      <c r="D128" s="33" t="str">
        <f>IF(C128="", "",VLOOKUP(C128,Key!$A$5:$B$7,2,FALSE))</f>
        <v>Large Bus</v>
      </c>
      <c r="E128" s="28" t="s">
        <v>90</v>
      </c>
      <c r="F128" s="28" t="s">
        <v>66</v>
      </c>
      <c r="G128" s="29" t="s">
        <v>68</v>
      </c>
      <c r="H128" s="29" t="s">
        <v>68</v>
      </c>
      <c r="I128" s="29" t="s">
        <v>257</v>
      </c>
      <c r="J128" s="29" t="s">
        <v>70</v>
      </c>
      <c r="K128" s="30" t="s">
        <v>70</v>
      </c>
      <c r="L128" s="30" t="str">
        <f t="shared" si="1"/>
        <v>MBARARA-KAMPALA</v>
      </c>
      <c r="M128" s="31">
        <v>67</v>
      </c>
      <c r="N128" s="72">
        <v>20000</v>
      </c>
      <c r="O128" s="34">
        <v>4.9000000000000004</v>
      </c>
    </row>
    <row r="129" spans="2:15" x14ac:dyDescent="0.2">
      <c r="B129" s="27">
        <v>0.49722222222222223</v>
      </c>
      <c r="C129" s="28">
        <v>6</v>
      </c>
      <c r="D129" s="33" t="str">
        <f>IF(C129="", "",VLOOKUP(C129,Key!$A$5:$B$7,2,FALSE))</f>
        <v>Large Bus</v>
      </c>
      <c r="E129" s="28" t="s">
        <v>90</v>
      </c>
      <c r="F129" s="28" t="s">
        <v>66</v>
      </c>
      <c r="G129" s="29" t="s">
        <v>68</v>
      </c>
      <c r="H129" s="29" t="s">
        <v>68</v>
      </c>
      <c r="I129" s="29" t="s">
        <v>257</v>
      </c>
      <c r="J129" s="29" t="s">
        <v>70</v>
      </c>
      <c r="K129" s="30" t="s">
        <v>70</v>
      </c>
      <c r="L129" s="30" t="str">
        <f t="shared" si="1"/>
        <v>MBARARA-KAMPALA</v>
      </c>
      <c r="M129" s="31">
        <v>65</v>
      </c>
      <c r="N129" s="72">
        <v>20000</v>
      </c>
      <c r="O129" s="34">
        <v>4.9000000000000004</v>
      </c>
    </row>
    <row r="130" spans="2:15" x14ac:dyDescent="0.2">
      <c r="B130" s="27">
        <v>0.51527777777777783</v>
      </c>
      <c r="C130" s="28">
        <v>6</v>
      </c>
      <c r="D130" s="33" t="str">
        <f>IF(C130="", "",VLOOKUP(C130,Key!$A$5:$B$7,2,FALSE))</f>
        <v>Large Bus</v>
      </c>
      <c r="E130" s="28" t="s">
        <v>90</v>
      </c>
      <c r="F130" s="28" t="s">
        <v>66</v>
      </c>
      <c r="G130" s="29" t="s">
        <v>68</v>
      </c>
      <c r="H130" s="29" t="s">
        <v>68</v>
      </c>
      <c r="I130" s="29" t="s">
        <v>257</v>
      </c>
      <c r="J130" s="29" t="s">
        <v>70</v>
      </c>
      <c r="K130" s="30" t="s">
        <v>70</v>
      </c>
      <c r="L130" s="30" t="str">
        <f t="shared" si="1"/>
        <v>MBARARA-KAMPALA</v>
      </c>
      <c r="M130" s="31">
        <v>65</v>
      </c>
      <c r="N130" s="72">
        <v>20000</v>
      </c>
      <c r="O130" s="34">
        <v>4.9000000000000004</v>
      </c>
    </row>
    <row r="131" spans="2:15" x14ac:dyDescent="0.2">
      <c r="B131" s="27">
        <v>0.5229166666666667</v>
      </c>
      <c r="C131" s="28">
        <v>6</v>
      </c>
      <c r="D131" s="33" t="str">
        <f>IF(C131="", "",VLOOKUP(C131,Key!$A$5:$B$7,2,FALSE))</f>
        <v>Large Bus</v>
      </c>
      <c r="E131" s="28" t="s">
        <v>90</v>
      </c>
      <c r="F131" s="28" t="s">
        <v>66</v>
      </c>
      <c r="G131" s="29" t="s">
        <v>68</v>
      </c>
      <c r="H131" s="29" t="s">
        <v>68</v>
      </c>
      <c r="I131" s="29" t="s">
        <v>257</v>
      </c>
      <c r="J131" s="29" t="s">
        <v>70</v>
      </c>
      <c r="K131" s="30" t="s">
        <v>70</v>
      </c>
      <c r="L131" s="30" t="str">
        <f t="shared" si="1"/>
        <v>MBARARA-KAMPALA</v>
      </c>
      <c r="M131" s="31">
        <v>67</v>
      </c>
      <c r="N131" s="72">
        <v>20000</v>
      </c>
      <c r="O131" s="34">
        <v>4.9000000000000004</v>
      </c>
    </row>
    <row r="132" spans="2:15" x14ac:dyDescent="0.2">
      <c r="B132" s="27">
        <v>0.55208333333333337</v>
      </c>
      <c r="C132" s="28">
        <v>6</v>
      </c>
      <c r="D132" s="33" t="str">
        <f>IF(C132="", "",VLOOKUP(C132,Key!$A$5:$B$7,2,FALSE))</f>
        <v>Large Bus</v>
      </c>
      <c r="E132" s="28" t="s">
        <v>90</v>
      </c>
      <c r="F132" s="28" t="s">
        <v>66</v>
      </c>
      <c r="G132" s="29" t="s">
        <v>68</v>
      </c>
      <c r="H132" s="29" t="s">
        <v>68</v>
      </c>
      <c r="I132" s="29" t="s">
        <v>257</v>
      </c>
      <c r="J132" s="29" t="s">
        <v>70</v>
      </c>
      <c r="K132" s="30" t="s">
        <v>70</v>
      </c>
      <c r="L132" s="30" t="str">
        <f t="shared" si="1"/>
        <v>MBARARA-KAMPALA</v>
      </c>
      <c r="M132" s="31">
        <v>65</v>
      </c>
      <c r="N132" s="72">
        <v>20000</v>
      </c>
      <c r="O132" s="34">
        <v>4.9000000000000004</v>
      </c>
    </row>
    <row r="133" spans="2:15" x14ac:dyDescent="0.2">
      <c r="B133" s="27">
        <v>0.5541666666666667</v>
      </c>
      <c r="C133" s="28">
        <v>6</v>
      </c>
      <c r="D133" s="33" t="str">
        <f>IF(C133="", "",VLOOKUP(C133,Key!$A$5:$B$7,2,FALSE))</f>
        <v>Large Bus</v>
      </c>
      <c r="E133" s="28" t="s">
        <v>90</v>
      </c>
      <c r="F133" s="28" t="s">
        <v>66</v>
      </c>
      <c r="G133" s="29" t="s">
        <v>68</v>
      </c>
      <c r="H133" s="29" t="s">
        <v>68</v>
      </c>
      <c r="I133" s="29" t="s">
        <v>257</v>
      </c>
      <c r="J133" s="29" t="s">
        <v>70</v>
      </c>
      <c r="K133" s="30" t="s">
        <v>70</v>
      </c>
      <c r="L133" s="30" t="str">
        <f t="shared" si="1"/>
        <v>MBARARA-KAMPALA</v>
      </c>
      <c r="M133" s="31">
        <v>67</v>
      </c>
      <c r="N133" s="72">
        <v>20000</v>
      </c>
      <c r="O133" s="34">
        <v>4.9000000000000004</v>
      </c>
    </row>
    <row r="134" spans="2:15" x14ac:dyDescent="0.2">
      <c r="B134" s="27">
        <v>0.57708333333333328</v>
      </c>
      <c r="C134" s="28">
        <v>6</v>
      </c>
      <c r="D134" s="33" t="str">
        <f>IF(C134="", "",VLOOKUP(C134,Key!$A$5:$B$7,2,FALSE))</f>
        <v>Large Bus</v>
      </c>
      <c r="E134" s="28" t="s">
        <v>90</v>
      </c>
      <c r="F134" s="28" t="s">
        <v>66</v>
      </c>
      <c r="G134" s="29" t="s">
        <v>68</v>
      </c>
      <c r="H134" s="29" t="s">
        <v>68</v>
      </c>
      <c r="I134" s="29" t="s">
        <v>257</v>
      </c>
      <c r="J134" s="29" t="s">
        <v>70</v>
      </c>
      <c r="K134" s="30" t="s">
        <v>70</v>
      </c>
      <c r="L134" s="30" t="str">
        <f t="shared" si="1"/>
        <v>MBARARA-KAMPALA</v>
      </c>
      <c r="M134" s="31">
        <v>67</v>
      </c>
      <c r="N134" s="72">
        <v>20000</v>
      </c>
      <c r="O134" s="34">
        <v>4.9000000000000004</v>
      </c>
    </row>
    <row r="135" spans="2:15" x14ac:dyDescent="0.2">
      <c r="B135" s="27">
        <v>0.6</v>
      </c>
      <c r="C135" s="28">
        <v>6</v>
      </c>
      <c r="D135" s="33" t="str">
        <f>IF(C135="", "",VLOOKUP(C135,Key!$A$5:$B$7,2,FALSE))</f>
        <v>Large Bus</v>
      </c>
      <c r="E135" s="28" t="s">
        <v>90</v>
      </c>
      <c r="F135" s="28" t="s">
        <v>66</v>
      </c>
      <c r="G135" s="29" t="s">
        <v>68</v>
      </c>
      <c r="H135" s="29" t="s">
        <v>68</v>
      </c>
      <c r="I135" s="29" t="s">
        <v>257</v>
      </c>
      <c r="J135" s="29" t="s">
        <v>70</v>
      </c>
      <c r="K135" s="30" t="s">
        <v>70</v>
      </c>
      <c r="L135" s="30" t="str">
        <f t="shared" si="1"/>
        <v>MBARARA-KAMPALA</v>
      </c>
      <c r="M135" s="31">
        <v>65</v>
      </c>
      <c r="N135" s="72">
        <v>20000</v>
      </c>
      <c r="O135" s="34">
        <v>4.9000000000000004</v>
      </c>
    </row>
    <row r="136" spans="2:15" x14ac:dyDescent="0.2">
      <c r="B136" s="27">
        <v>0.625</v>
      </c>
      <c r="C136" s="28">
        <v>6</v>
      </c>
      <c r="D136" s="33" t="str">
        <f>IF(C136="", "",VLOOKUP(C136,Key!$A$5:$B$7,2,FALSE))</f>
        <v>Large Bus</v>
      </c>
      <c r="E136" s="28" t="s">
        <v>90</v>
      </c>
      <c r="F136" s="28" t="s">
        <v>66</v>
      </c>
      <c r="G136" s="29" t="s">
        <v>68</v>
      </c>
      <c r="H136" s="29" t="s">
        <v>68</v>
      </c>
      <c r="I136" s="29" t="s">
        <v>257</v>
      </c>
      <c r="J136" s="29" t="s">
        <v>70</v>
      </c>
      <c r="K136" s="30" t="s">
        <v>70</v>
      </c>
      <c r="L136" s="30" t="str">
        <f t="shared" si="1"/>
        <v>MBARARA-KAMPALA</v>
      </c>
      <c r="M136" s="31">
        <v>67</v>
      </c>
      <c r="N136" s="72">
        <v>20000</v>
      </c>
      <c r="O136" s="34">
        <v>4.9000000000000004</v>
      </c>
    </row>
    <row r="137" spans="2:15" x14ac:dyDescent="0.2">
      <c r="B137" s="27">
        <v>0.62777777777777777</v>
      </c>
      <c r="C137" s="28">
        <v>6</v>
      </c>
      <c r="D137" s="33" t="str">
        <f>IF(C137="", "",VLOOKUP(C137,Key!$A$5:$B$7,2,FALSE))</f>
        <v>Large Bus</v>
      </c>
      <c r="E137" s="29" t="s">
        <v>90</v>
      </c>
      <c r="F137" s="29" t="s">
        <v>66</v>
      </c>
      <c r="G137" s="29" t="s">
        <v>68</v>
      </c>
      <c r="H137" s="30" t="s">
        <v>68</v>
      </c>
      <c r="I137" s="29" t="s">
        <v>257</v>
      </c>
      <c r="J137" s="29" t="s">
        <v>70</v>
      </c>
      <c r="K137" s="30" t="s">
        <v>70</v>
      </c>
      <c r="L137" s="29" t="str">
        <f t="shared" si="1"/>
        <v>MBARARA-KAMPALA</v>
      </c>
      <c r="M137" s="31">
        <v>63</v>
      </c>
      <c r="N137" s="72">
        <v>20000</v>
      </c>
      <c r="O137" s="34">
        <v>4.9000000000000004</v>
      </c>
    </row>
    <row r="138" spans="2:15" x14ac:dyDescent="0.2">
      <c r="B138" s="27">
        <v>0.63750000000000007</v>
      </c>
      <c r="C138" s="28">
        <v>6</v>
      </c>
      <c r="D138" s="33" t="str">
        <f>IF(C138="", "",VLOOKUP(C138,Key!$A$5:$B$7,2,FALSE))</f>
        <v>Large Bus</v>
      </c>
      <c r="E138" s="29" t="s">
        <v>90</v>
      </c>
      <c r="F138" s="29" t="s">
        <v>66</v>
      </c>
      <c r="G138" s="29" t="s">
        <v>68</v>
      </c>
      <c r="H138" s="30" t="s">
        <v>68</v>
      </c>
      <c r="I138" s="29" t="s">
        <v>257</v>
      </c>
      <c r="J138" s="29" t="s">
        <v>70</v>
      </c>
      <c r="K138" s="30" t="s">
        <v>70</v>
      </c>
      <c r="L138" s="29" t="str">
        <f t="shared" ref="L138:L201" si="2">H138&amp;"-"&amp;K138</f>
        <v>MBARARA-KAMPALA</v>
      </c>
      <c r="M138" s="31">
        <v>65</v>
      </c>
      <c r="N138" s="72">
        <v>20000</v>
      </c>
      <c r="O138" s="34">
        <v>4.9000000000000004</v>
      </c>
    </row>
    <row r="139" spans="2:15" x14ac:dyDescent="0.2">
      <c r="B139" s="27">
        <v>0.72430555555555554</v>
      </c>
      <c r="C139" s="28">
        <v>6</v>
      </c>
      <c r="D139" s="33" t="str">
        <f>IF(C139="", "",VLOOKUP(C139,Key!$A$5:$B$7,2,FALSE))</f>
        <v>Large Bus</v>
      </c>
      <c r="E139" s="29" t="s">
        <v>90</v>
      </c>
      <c r="F139" s="29" t="s">
        <v>66</v>
      </c>
      <c r="G139" s="29" t="s">
        <v>68</v>
      </c>
      <c r="H139" s="30" t="s">
        <v>68</v>
      </c>
      <c r="I139" s="29" t="s">
        <v>257</v>
      </c>
      <c r="J139" s="29" t="s">
        <v>70</v>
      </c>
      <c r="K139" s="30" t="s">
        <v>70</v>
      </c>
      <c r="L139" s="29" t="str">
        <f t="shared" si="2"/>
        <v>MBARARA-KAMPALA</v>
      </c>
      <c r="M139" s="31">
        <v>65</v>
      </c>
      <c r="N139" s="72">
        <v>20000</v>
      </c>
      <c r="O139" s="34">
        <v>4.9000000000000004</v>
      </c>
    </row>
    <row r="140" spans="2:15" x14ac:dyDescent="0.2">
      <c r="B140" s="27">
        <v>0.65347222222222223</v>
      </c>
      <c r="C140" s="28">
        <v>6</v>
      </c>
      <c r="D140" s="33" t="str">
        <f>IF(C140="", "",VLOOKUP(C140,Key!$A$5:$B$7,2,FALSE))</f>
        <v>Large Bus</v>
      </c>
      <c r="E140" s="29" t="s">
        <v>90</v>
      </c>
      <c r="F140" s="29" t="s">
        <v>66</v>
      </c>
      <c r="G140" s="29" t="s">
        <v>68</v>
      </c>
      <c r="H140" s="30" t="s">
        <v>68</v>
      </c>
      <c r="I140" s="29" t="s">
        <v>257</v>
      </c>
      <c r="J140" s="29" t="s">
        <v>70</v>
      </c>
      <c r="K140" s="30" t="s">
        <v>70</v>
      </c>
      <c r="L140" s="29" t="str">
        <f t="shared" si="2"/>
        <v>MBARARA-KAMPALA</v>
      </c>
      <c r="M140" s="31">
        <v>67</v>
      </c>
      <c r="N140" s="72">
        <v>20000</v>
      </c>
      <c r="O140" s="34">
        <v>4.9000000000000004</v>
      </c>
    </row>
    <row r="141" spans="2:15" x14ac:dyDescent="0.2">
      <c r="B141" s="27">
        <v>0.67361111111111116</v>
      </c>
      <c r="C141" s="28">
        <v>6</v>
      </c>
      <c r="D141" s="33" t="str">
        <f>IF(C141="", "",VLOOKUP(C141,Key!$A$5:$B$7,2,FALSE))</f>
        <v>Large Bus</v>
      </c>
      <c r="E141" s="29" t="s">
        <v>90</v>
      </c>
      <c r="F141" s="29" t="s">
        <v>66</v>
      </c>
      <c r="G141" s="29" t="s">
        <v>68</v>
      </c>
      <c r="H141" s="30" t="s">
        <v>68</v>
      </c>
      <c r="I141" s="29" t="s">
        <v>257</v>
      </c>
      <c r="J141" s="29" t="s">
        <v>70</v>
      </c>
      <c r="K141" s="30" t="s">
        <v>70</v>
      </c>
      <c r="L141" s="29" t="str">
        <f t="shared" si="2"/>
        <v>MBARARA-KAMPALA</v>
      </c>
      <c r="M141" s="31">
        <v>67</v>
      </c>
      <c r="N141" s="72">
        <v>20000</v>
      </c>
      <c r="O141" s="34">
        <v>4.9000000000000004</v>
      </c>
    </row>
    <row r="142" spans="2:15" x14ac:dyDescent="0.2">
      <c r="B142" s="27">
        <v>0.6972222222222223</v>
      </c>
      <c r="C142" s="28">
        <v>6</v>
      </c>
      <c r="D142" s="33" t="str">
        <f>IF(C142="", "",VLOOKUP(C142,Key!$A$5:$B$7,2,FALSE))</f>
        <v>Large Bus</v>
      </c>
      <c r="E142" s="29" t="s">
        <v>90</v>
      </c>
      <c r="F142" s="29" t="s">
        <v>66</v>
      </c>
      <c r="G142" s="29" t="s">
        <v>68</v>
      </c>
      <c r="H142" s="30" t="s">
        <v>68</v>
      </c>
      <c r="I142" s="29" t="s">
        <v>257</v>
      </c>
      <c r="J142" s="29" t="s">
        <v>70</v>
      </c>
      <c r="K142" s="30" t="s">
        <v>70</v>
      </c>
      <c r="L142" s="29" t="str">
        <f t="shared" si="2"/>
        <v>MBARARA-KAMPALA</v>
      </c>
      <c r="M142" s="31">
        <v>65</v>
      </c>
      <c r="N142" s="72">
        <v>20000</v>
      </c>
      <c r="O142" s="34">
        <v>4.9000000000000004</v>
      </c>
    </row>
    <row r="143" spans="2:15" x14ac:dyDescent="0.2">
      <c r="B143" s="27">
        <v>0.70000000000000007</v>
      </c>
      <c r="C143" s="28">
        <v>6</v>
      </c>
      <c r="D143" s="33" t="str">
        <f>IF(C143="", "",VLOOKUP(C143,Key!$A$5:$B$7,2,FALSE))</f>
        <v>Large Bus</v>
      </c>
      <c r="E143" s="29" t="s">
        <v>90</v>
      </c>
      <c r="F143" s="29" t="s">
        <v>66</v>
      </c>
      <c r="G143" s="29" t="s">
        <v>68</v>
      </c>
      <c r="H143" s="30" t="s">
        <v>68</v>
      </c>
      <c r="I143" s="29" t="s">
        <v>257</v>
      </c>
      <c r="J143" s="29" t="s">
        <v>70</v>
      </c>
      <c r="K143" s="30" t="s">
        <v>70</v>
      </c>
      <c r="L143" s="29" t="str">
        <f t="shared" si="2"/>
        <v>MBARARA-KAMPALA</v>
      </c>
      <c r="M143" s="31">
        <v>67</v>
      </c>
      <c r="N143" s="72">
        <v>20000</v>
      </c>
      <c r="O143" s="34">
        <v>4.9000000000000004</v>
      </c>
    </row>
    <row r="144" spans="2:15" x14ac:dyDescent="0.2">
      <c r="B144" s="27">
        <v>0.71180555555555547</v>
      </c>
      <c r="C144" s="28">
        <v>6</v>
      </c>
      <c r="D144" s="33" t="str">
        <f>IF(C144="", "",VLOOKUP(C144,Key!$A$5:$B$7,2,FALSE))</f>
        <v>Large Bus</v>
      </c>
      <c r="E144" s="29" t="s">
        <v>90</v>
      </c>
      <c r="F144" s="29" t="s">
        <v>66</v>
      </c>
      <c r="G144" s="29" t="s">
        <v>68</v>
      </c>
      <c r="H144" s="30" t="s">
        <v>68</v>
      </c>
      <c r="I144" s="29" t="s">
        <v>257</v>
      </c>
      <c r="J144" s="29" t="s">
        <v>70</v>
      </c>
      <c r="K144" s="30" t="s">
        <v>70</v>
      </c>
      <c r="L144" s="29" t="str">
        <f t="shared" si="2"/>
        <v>MBARARA-KAMPALA</v>
      </c>
      <c r="M144" s="31">
        <v>65</v>
      </c>
      <c r="N144" s="72">
        <v>20000</v>
      </c>
      <c r="O144" s="34">
        <v>4.9000000000000004</v>
      </c>
    </row>
    <row r="145" spans="1:15" x14ac:dyDescent="0.2">
      <c r="A145" s="14"/>
      <c r="B145" s="27">
        <v>0.71527777777777779</v>
      </c>
      <c r="C145" s="28">
        <v>6</v>
      </c>
      <c r="D145" s="33" t="str">
        <f>IF(C145="", "",VLOOKUP(C145,Key!$A$5:$B$7,2,FALSE))</f>
        <v>Large Bus</v>
      </c>
      <c r="E145" s="29" t="s">
        <v>90</v>
      </c>
      <c r="F145" s="29" t="s">
        <v>66</v>
      </c>
      <c r="G145" s="29" t="s">
        <v>68</v>
      </c>
      <c r="H145" s="30" t="s">
        <v>68</v>
      </c>
      <c r="I145" s="29" t="s">
        <v>257</v>
      </c>
      <c r="J145" s="29" t="s">
        <v>70</v>
      </c>
      <c r="K145" s="30" t="s">
        <v>70</v>
      </c>
      <c r="L145" s="29" t="str">
        <f t="shared" si="2"/>
        <v>MBARARA-KAMPALA</v>
      </c>
      <c r="M145" s="31">
        <v>65</v>
      </c>
      <c r="N145" s="72">
        <v>20000</v>
      </c>
      <c r="O145" s="34">
        <v>4.9000000000000004</v>
      </c>
    </row>
    <row r="146" spans="1:15" ht="20.25" customHeight="1" x14ac:dyDescent="0.2">
      <c r="B146" s="45" t="s">
        <v>220</v>
      </c>
      <c r="C146" s="47"/>
      <c r="D146" s="48"/>
      <c r="E146" s="46" t="s">
        <v>90</v>
      </c>
      <c r="F146" s="48"/>
      <c r="G146" s="47"/>
      <c r="H146" s="47"/>
      <c r="I146" s="47" t="s">
        <v>257</v>
      </c>
      <c r="J146" s="47"/>
      <c r="K146" s="47"/>
      <c r="L146" s="47" t="str">
        <f t="shared" si="2"/>
        <v>-</v>
      </c>
      <c r="M146" s="47"/>
      <c r="N146" s="48"/>
      <c r="O146" s="48"/>
    </row>
    <row r="147" spans="1:15" x14ac:dyDescent="0.2">
      <c r="A147" s="14"/>
      <c r="B147" s="27">
        <v>0.33055555555555555</v>
      </c>
      <c r="C147" s="28">
        <v>6</v>
      </c>
      <c r="D147" s="33" t="str">
        <f>IF(C147="", "",VLOOKUP(C147,Key!$A$5:$B$7,2,FALSE))</f>
        <v>Large Bus</v>
      </c>
      <c r="E147" s="29" t="s">
        <v>90</v>
      </c>
      <c r="F147" s="29" t="s">
        <v>67</v>
      </c>
      <c r="G147" s="29" t="s">
        <v>70</v>
      </c>
      <c r="H147" s="30" t="s">
        <v>70</v>
      </c>
      <c r="I147" s="29" t="s">
        <v>257</v>
      </c>
      <c r="J147" s="29" t="s">
        <v>68</v>
      </c>
      <c r="K147" s="30" t="s">
        <v>68</v>
      </c>
      <c r="L147" s="29" t="str">
        <f t="shared" si="2"/>
        <v>KAMPALA-MBARARA</v>
      </c>
      <c r="M147" s="31">
        <v>67</v>
      </c>
      <c r="N147" s="72">
        <v>20000</v>
      </c>
      <c r="O147" s="34">
        <v>4.9000000000000004</v>
      </c>
    </row>
    <row r="148" spans="1:15" x14ac:dyDescent="0.2">
      <c r="A148" s="14"/>
      <c r="B148" s="27">
        <v>0.34513888888888888</v>
      </c>
      <c r="C148" s="28">
        <v>6</v>
      </c>
      <c r="D148" s="33" t="str">
        <f>IF(C148="", "",VLOOKUP(C148,Key!$A$5:$B$7,2,FALSE))</f>
        <v>Large Bus</v>
      </c>
      <c r="E148" s="29" t="s">
        <v>90</v>
      </c>
      <c r="F148" s="29" t="s">
        <v>67</v>
      </c>
      <c r="G148" s="29" t="s">
        <v>70</v>
      </c>
      <c r="H148" s="30" t="s">
        <v>70</v>
      </c>
      <c r="I148" s="29" t="s">
        <v>257</v>
      </c>
      <c r="J148" s="29" t="s">
        <v>68</v>
      </c>
      <c r="K148" s="30" t="s">
        <v>68</v>
      </c>
      <c r="L148" s="29" t="str">
        <f t="shared" si="2"/>
        <v>KAMPALA-MBARARA</v>
      </c>
      <c r="M148" s="31">
        <v>65</v>
      </c>
      <c r="N148" s="72">
        <v>20000</v>
      </c>
      <c r="O148" s="34">
        <v>4.9000000000000004</v>
      </c>
    </row>
    <row r="149" spans="1:15" x14ac:dyDescent="0.2">
      <c r="B149" s="27">
        <v>0.36249999999999999</v>
      </c>
      <c r="C149" s="28">
        <v>6</v>
      </c>
      <c r="D149" s="33" t="str">
        <f>IF(C149="", "",VLOOKUP(C149,Key!$A$5:$B$7,2,FALSE))</f>
        <v>Large Bus</v>
      </c>
      <c r="E149" s="29" t="s">
        <v>90</v>
      </c>
      <c r="F149" s="29" t="s">
        <v>67</v>
      </c>
      <c r="G149" s="29" t="s">
        <v>70</v>
      </c>
      <c r="H149" s="30" t="s">
        <v>70</v>
      </c>
      <c r="I149" s="29" t="s">
        <v>257</v>
      </c>
      <c r="J149" s="29" t="s">
        <v>68</v>
      </c>
      <c r="K149" s="30" t="s">
        <v>68</v>
      </c>
      <c r="L149" s="29" t="str">
        <f t="shared" si="2"/>
        <v>KAMPALA-MBARARA</v>
      </c>
      <c r="M149" s="31">
        <v>67</v>
      </c>
      <c r="N149" s="72">
        <v>20000</v>
      </c>
      <c r="O149" s="34">
        <v>4.9000000000000004</v>
      </c>
    </row>
    <row r="150" spans="1:15" x14ac:dyDescent="0.2">
      <c r="B150" s="27">
        <v>0.3840277777777778</v>
      </c>
      <c r="C150" s="28">
        <v>6</v>
      </c>
      <c r="D150" s="33" t="str">
        <f>IF(C150="", "",VLOOKUP(C150,Key!$A$5:$B$7,2,FALSE))</f>
        <v>Large Bus</v>
      </c>
      <c r="E150" s="29" t="s">
        <v>90</v>
      </c>
      <c r="F150" s="29" t="s">
        <v>67</v>
      </c>
      <c r="G150" s="29" t="s">
        <v>70</v>
      </c>
      <c r="H150" s="30" t="s">
        <v>70</v>
      </c>
      <c r="I150" s="29" t="s">
        <v>257</v>
      </c>
      <c r="J150" s="29" t="s">
        <v>68</v>
      </c>
      <c r="K150" s="30" t="s">
        <v>68</v>
      </c>
      <c r="L150" s="29" t="str">
        <f t="shared" si="2"/>
        <v>KAMPALA-MBARARA</v>
      </c>
      <c r="M150" s="31">
        <v>65</v>
      </c>
      <c r="N150" s="72">
        <v>20000</v>
      </c>
      <c r="O150" s="34">
        <v>4.9000000000000004</v>
      </c>
    </row>
    <row r="151" spans="1:15" x14ac:dyDescent="0.2">
      <c r="B151" s="27">
        <v>0.40138888888888885</v>
      </c>
      <c r="C151" s="28">
        <v>6</v>
      </c>
      <c r="D151" s="33" t="str">
        <f>IF(C151="", "",VLOOKUP(C151,Key!$A$5:$B$7,2,FALSE))</f>
        <v>Large Bus</v>
      </c>
      <c r="E151" s="29" t="s">
        <v>90</v>
      </c>
      <c r="F151" s="29" t="s">
        <v>67</v>
      </c>
      <c r="G151" s="29" t="s">
        <v>70</v>
      </c>
      <c r="H151" s="30" t="s">
        <v>70</v>
      </c>
      <c r="I151" s="29" t="s">
        <v>257</v>
      </c>
      <c r="J151" s="29" t="s">
        <v>68</v>
      </c>
      <c r="K151" s="30" t="s">
        <v>68</v>
      </c>
      <c r="L151" s="29" t="str">
        <f t="shared" si="2"/>
        <v>KAMPALA-MBARARA</v>
      </c>
      <c r="M151" s="31">
        <v>67</v>
      </c>
      <c r="N151" s="72">
        <v>20000</v>
      </c>
      <c r="O151" s="34">
        <v>4.9000000000000004</v>
      </c>
    </row>
    <row r="152" spans="1:15" x14ac:dyDescent="0.2">
      <c r="B152" s="27">
        <v>0.41388888888888892</v>
      </c>
      <c r="C152" s="28">
        <v>6</v>
      </c>
      <c r="D152" s="33" t="str">
        <f>IF(C152="", "",VLOOKUP(C152,Key!$A$5:$B$7,2,FALSE))</f>
        <v>Large Bus</v>
      </c>
      <c r="E152" s="29" t="s">
        <v>90</v>
      </c>
      <c r="F152" s="29" t="s">
        <v>67</v>
      </c>
      <c r="G152" s="29" t="s">
        <v>70</v>
      </c>
      <c r="H152" s="30" t="s">
        <v>70</v>
      </c>
      <c r="I152" s="29" t="s">
        <v>257</v>
      </c>
      <c r="J152" s="29" t="s">
        <v>68</v>
      </c>
      <c r="K152" s="30" t="s">
        <v>68</v>
      </c>
      <c r="L152" s="29" t="str">
        <f t="shared" si="2"/>
        <v>KAMPALA-MBARARA</v>
      </c>
      <c r="M152" s="31">
        <v>65</v>
      </c>
      <c r="N152" s="72">
        <v>20000</v>
      </c>
      <c r="O152" s="34">
        <v>4.9000000000000004</v>
      </c>
    </row>
    <row r="153" spans="1:15" x14ac:dyDescent="0.2">
      <c r="B153" s="27">
        <v>0.4284722222222222</v>
      </c>
      <c r="C153" s="28">
        <v>6</v>
      </c>
      <c r="D153" s="33" t="str">
        <f>IF(C153="", "",VLOOKUP(C153,Key!$A$5:$B$7,2,FALSE))</f>
        <v>Large Bus</v>
      </c>
      <c r="E153" s="29" t="s">
        <v>90</v>
      </c>
      <c r="F153" s="29" t="s">
        <v>67</v>
      </c>
      <c r="G153" s="29" t="s">
        <v>70</v>
      </c>
      <c r="H153" s="30" t="s">
        <v>70</v>
      </c>
      <c r="I153" s="29" t="s">
        <v>257</v>
      </c>
      <c r="J153" s="29" t="s">
        <v>68</v>
      </c>
      <c r="K153" s="30" t="s">
        <v>68</v>
      </c>
      <c r="L153" s="29" t="str">
        <f t="shared" si="2"/>
        <v>KAMPALA-MBARARA</v>
      </c>
      <c r="M153" s="31">
        <v>65</v>
      </c>
      <c r="N153" s="72">
        <v>20000</v>
      </c>
      <c r="O153" s="34">
        <v>4.9000000000000004</v>
      </c>
    </row>
    <row r="154" spans="1:15" x14ac:dyDescent="0.2">
      <c r="B154" s="27">
        <v>0.44027777777777777</v>
      </c>
      <c r="C154" s="28">
        <v>6</v>
      </c>
      <c r="D154" s="33" t="str">
        <f>IF(C154="", "",VLOOKUP(C154,Key!$A$5:$B$7,2,FALSE))</f>
        <v>Large Bus</v>
      </c>
      <c r="E154" s="29" t="s">
        <v>90</v>
      </c>
      <c r="F154" s="29" t="s">
        <v>67</v>
      </c>
      <c r="G154" s="29" t="s">
        <v>70</v>
      </c>
      <c r="H154" s="30" t="s">
        <v>70</v>
      </c>
      <c r="I154" s="29" t="s">
        <v>257</v>
      </c>
      <c r="J154" s="29" t="s">
        <v>68</v>
      </c>
      <c r="K154" s="30" t="s">
        <v>68</v>
      </c>
      <c r="L154" s="29" t="str">
        <f t="shared" si="2"/>
        <v>KAMPALA-MBARARA</v>
      </c>
      <c r="M154" s="31">
        <v>67</v>
      </c>
      <c r="N154" s="72">
        <v>20000</v>
      </c>
      <c r="O154" s="34">
        <v>4.9000000000000004</v>
      </c>
    </row>
    <row r="155" spans="1:15" x14ac:dyDescent="0.2">
      <c r="B155" s="27">
        <v>0.4548611111111111</v>
      </c>
      <c r="C155" s="28">
        <v>6</v>
      </c>
      <c r="D155" s="33" t="str">
        <f>IF(C155="", "",VLOOKUP(C155,Key!$A$5:$B$7,2,FALSE))</f>
        <v>Large Bus</v>
      </c>
      <c r="E155" s="29" t="s">
        <v>90</v>
      </c>
      <c r="F155" s="29" t="s">
        <v>67</v>
      </c>
      <c r="G155" s="29" t="s">
        <v>70</v>
      </c>
      <c r="H155" s="30" t="s">
        <v>70</v>
      </c>
      <c r="I155" s="29" t="s">
        <v>257</v>
      </c>
      <c r="J155" s="29" t="s">
        <v>68</v>
      </c>
      <c r="K155" s="30" t="s">
        <v>68</v>
      </c>
      <c r="L155" s="29" t="str">
        <f t="shared" si="2"/>
        <v>KAMPALA-MBARARA</v>
      </c>
      <c r="M155" s="31">
        <v>65</v>
      </c>
      <c r="N155" s="72">
        <v>20000</v>
      </c>
      <c r="O155" s="34">
        <v>4.9000000000000004</v>
      </c>
    </row>
    <row r="156" spans="1:15" x14ac:dyDescent="0.2">
      <c r="B156" s="27">
        <v>0.46458333333333335</v>
      </c>
      <c r="C156" s="28">
        <v>6</v>
      </c>
      <c r="D156" s="33" t="str">
        <f>IF(C156="", "",VLOOKUP(C156,Key!$A$5:$B$7,2,FALSE))</f>
        <v>Large Bus</v>
      </c>
      <c r="E156" s="29" t="s">
        <v>90</v>
      </c>
      <c r="F156" s="29" t="s">
        <v>67</v>
      </c>
      <c r="G156" s="29" t="s">
        <v>70</v>
      </c>
      <c r="H156" s="30" t="s">
        <v>70</v>
      </c>
      <c r="I156" s="29" t="s">
        <v>257</v>
      </c>
      <c r="J156" s="29" t="s">
        <v>68</v>
      </c>
      <c r="K156" s="30" t="s">
        <v>68</v>
      </c>
      <c r="L156" s="29" t="str">
        <f t="shared" si="2"/>
        <v>KAMPALA-MBARARA</v>
      </c>
      <c r="M156" s="31">
        <v>63</v>
      </c>
      <c r="N156" s="72">
        <v>20000</v>
      </c>
      <c r="O156" s="34">
        <v>4.9000000000000004</v>
      </c>
    </row>
    <row r="157" spans="1:15" x14ac:dyDescent="0.2">
      <c r="B157" s="27">
        <v>0.48333333333333334</v>
      </c>
      <c r="C157" s="28">
        <v>6</v>
      </c>
      <c r="D157" s="33" t="str">
        <f>IF(C157="", "",VLOOKUP(C157,Key!$A$5:$B$7,2,FALSE))</f>
        <v>Large Bus</v>
      </c>
      <c r="E157" s="29" t="s">
        <v>90</v>
      </c>
      <c r="F157" s="29" t="s">
        <v>67</v>
      </c>
      <c r="G157" s="29" t="s">
        <v>70</v>
      </c>
      <c r="H157" s="30" t="s">
        <v>70</v>
      </c>
      <c r="I157" s="29" t="s">
        <v>257</v>
      </c>
      <c r="J157" s="29" t="s">
        <v>68</v>
      </c>
      <c r="K157" s="30" t="s">
        <v>68</v>
      </c>
      <c r="L157" s="29" t="str">
        <f t="shared" si="2"/>
        <v>KAMPALA-MBARARA</v>
      </c>
      <c r="M157" s="31">
        <v>65</v>
      </c>
      <c r="N157" s="72">
        <v>20000</v>
      </c>
      <c r="O157" s="34">
        <v>4.9000000000000004</v>
      </c>
    </row>
    <row r="158" spans="1:15" x14ac:dyDescent="0.2">
      <c r="B158" s="27">
        <v>0.4916666666666667</v>
      </c>
      <c r="C158" s="28">
        <v>6</v>
      </c>
      <c r="D158" s="33" t="str">
        <f>IF(C158="", "",VLOOKUP(C158,Key!$A$5:$B$7,2,FALSE))</f>
        <v>Large Bus</v>
      </c>
      <c r="E158" s="29" t="s">
        <v>90</v>
      </c>
      <c r="F158" s="29" t="s">
        <v>67</v>
      </c>
      <c r="G158" s="29" t="s">
        <v>70</v>
      </c>
      <c r="H158" s="30" t="s">
        <v>70</v>
      </c>
      <c r="I158" s="29" t="s">
        <v>257</v>
      </c>
      <c r="J158" s="29" t="s">
        <v>68</v>
      </c>
      <c r="K158" s="30" t="s">
        <v>68</v>
      </c>
      <c r="L158" s="29" t="str">
        <f t="shared" si="2"/>
        <v>KAMPALA-MBARARA</v>
      </c>
      <c r="M158" s="31">
        <v>65</v>
      </c>
      <c r="N158" s="72">
        <v>20000</v>
      </c>
      <c r="O158" s="34">
        <v>4.9000000000000004</v>
      </c>
    </row>
    <row r="159" spans="1:15" x14ac:dyDescent="0.2">
      <c r="B159" s="27">
        <v>0.50694444444444442</v>
      </c>
      <c r="C159" s="28">
        <v>6</v>
      </c>
      <c r="D159" s="33" t="str">
        <f>IF(C159="", "",VLOOKUP(C159,Key!$A$5:$B$7,2,FALSE))</f>
        <v>Large Bus</v>
      </c>
      <c r="E159" s="29" t="s">
        <v>90</v>
      </c>
      <c r="F159" s="29" t="s">
        <v>67</v>
      </c>
      <c r="G159" s="29" t="s">
        <v>70</v>
      </c>
      <c r="H159" s="30" t="s">
        <v>70</v>
      </c>
      <c r="I159" s="29" t="s">
        <v>257</v>
      </c>
      <c r="J159" s="29" t="s">
        <v>68</v>
      </c>
      <c r="K159" s="30" t="s">
        <v>68</v>
      </c>
      <c r="L159" s="29" t="str">
        <f t="shared" si="2"/>
        <v>KAMPALA-MBARARA</v>
      </c>
      <c r="M159" s="31">
        <v>67</v>
      </c>
      <c r="N159" s="72">
        <v>20000</v>
      </c>
      <c r="O159" s="34">
        <v>4.9000000000000004</v>
      </c>
    </row>
    <row r="160" spans="1:15" x14ac:dyDescent="0.2">
      <c r="B160" s="27">
        <v>0.51944444444444449</v>
      </c>
      <c r="C160" s="28">
        <v>6</v>
      </c>
      <c r="D160" s="33" t="str">
        <f>IF(C160="", "",VLOOKUP(C160,Key!$A$5:$B$7,2,FALSE))</f>
        <v>Large Bus</v>
      </c>
      <c r="E160" s="29" t="s">
        <v>90</v>
      </c>
      <c r="F160" s="29" t="s">
        <v>67</v>
      </c>
      <c r="G160" s="29" t="s">
        <v>70</v>
      </c>
      <c r="H160" s="30" t="s">
        <v>70</v>
      </c>
      <c r="I160" s="29" t="s">
        <v>257</v>
      </c>
      <c r="J160" s="29" t="s">
        <v>68</v>
      </c>
      <c r="K160" s="30" t="s">
        <v>68</v>
      </c>
      <c r="L160" s="29" t="str">
        <f t="shared" si="2"/>
        <v>KAMPALA-MBARARA</v>
      </c>
      <c r="M160" s="31">
        <v>65</v>
      </c>
      <c r="N160" s="72">
        <v>20000</v>
      </c>
      <c r="O160" s="34">
        <v>4.9000000000000004</v>
      </c>
    </row>
    <row r="161" spans="2:15" x14ac:dyDescent="0.2">
      <c r="B161" s="27">
        <v>0.53194444444444444</v>
      </c>
      <c r="C161" s="28">
        <v>6</v>
      </c>
      <c r="D161" s="33" t="str">
        <f>IF(C161="", "",VLOOKUP(C161,Key!$A$5:$B$7,2,FALSE))</f>
        <v>Large Bus</v>
      </c>
      <c r="E161" s="29" t="s">
        <v>90</v>
      </c>
      <c r="F161" s="29" t="s">
        <v>67</v>
      </c>
      <c r="G161" s="29" t="s">
        <v>70</v>
      </c>
      <c r="H161" s="30" t="s">
        <v>70</v>
      </c>
      <c r="I161" s="29" t="s">
        <v>257</v>
      </c>
      <c r="J161" s="29" t="s">
        <v>68</v>
      </c>
      <c r="K161" s="30" t="s">
        <v>68</v>
      </c>
      <c r="L161" s="29" t="str">
        <f t="shared" si="2"/>
        <v>KAMPALA-MBARARA</v>
      </c>
      <c r="M161" s="31">
        <v>65</v>
      </c>
      <c r="N161" s="72">
        <v>20000</v>
      </c>
      <c r="O161" s="34">
        <v>4.9000000000000004</v>
      </c>
    </row>
    <row r="162" spans="2:15" x14ac:dyDescent="0.2">
      <c r="B162" s="27">
        <v>0.5444444444444444</v>
      </c>
      <c r="C162" s="28">
        <v>6</v>
      </c>
      <c r="D162" s="33" t="str">
        <f>IF(C162="", "",VLOOKUP(C162,Key!$A$5:$B$7,2,FALSE))</f>
        <v>Large Bus</v>
      </c>
      <c r="E162" s="29" t="s">
        <v>90</v>
      </c>
      <c r="F162" s="29" t="s">
        <v>67</v>
      </c>
      <c r="G162" s="29" t="s">
        <v>70</v>
      </c>
      <c r="H162" s="30" t="s">
        <v>70</v>
      </c>
      <c r="I162" s="29" t="s">
        <v>257</v>
      </c>
      <c r="J162" s="29" t="s">
        <v>68</v>
      </c>
      <c r="K162" s="30" t="s">
        <v>68</v>
      </c>
      <c r="L162" s="29" t="str">
        <f t="shared" si="2"/>
        <v>KAMPALA-MBARARA</v>
      </c>
      <c r="M162" s="31">
        <v>67</v>
      </c>
      <c r="N162" s="72">
        <v>20000</v>
      </c>
      <c r="O162" s="34">
        <v>4.9000000000000004</v>
      </c>
    </row>
    <row r="163" spans="2:15" x14ac:dyDescent="0.2">
      <c r="B163" s="27">
        <v>0.55763888888888891</v>
      </c>
      <c r="C163" s="28">
        <v>6</v>
      </c>
      <c r="D163" s="33" t="str">
        <f>IF(C163="", "",VLOOKUP(C163,Key!$A$5:$B$7,2,FALSE))</f>
        <v>Large Bus</v>
      </c>
      <c r="E163" s="29" t="s">
        <v>90</v>
      </c>
      <c r="F163" s="29" t="s">
        <v>67</v>
      </c>
      <c r="G163" s="29" t="s">
        <v>70</v>
      </c>
      <c r="H163" s="30" t="s">
        <v>70</v>
      </c>
      <c r="I163" s="29" t="s">
        <v>257</v>
      </c>
      <c r="J163" s="29" t="s">
        <v>68</v>
      </c>
      <c r="K163" s="30" t="s">
        <v>68</v>
      </c>
      <c r="L163" s="29" t="str">
        <f t="shared" si="2"/>
        <v>KAMPALA-MBARARA</v>
      </c>
      <c r="M163" s="31">
        <v>65</v>
      </c>
      <c r="N163" s="72">
        <v>20000</v>
      </c>
      <c r="O163" s="34">
        <v>4.9000000000000004</v>
      </c>
    </row>
    <row r="164" spans="2:15" x14ac:dyDescent="0.2">
      <c r="B164" s="27">
        <v>0.56736111111111109</v>
      </c>
      <c r="C164" s="28">
        <v>6</v>
      </c>
      <c r="D164" s="33" t="str">
        <f>IF(C164="", "",VLOOKUP(C164,Key!$A$5:$B$7,2,FALSE))</f>
        <v>Large Bus</v>
      </c>
      <c r="E164" s="29" t="s">
        <v>90</v>
      </c>
      <c r="F164" s="29" t="s">
        <v>67</v>
      </c>
      <c r="G164" s="29" t="s">
        <v>70</v>
      </c>
      <c r="H164" s="30" t="s">
        <v>70</v>
      </c>
      <c r="I164" s="29" t="s">
        <v>257</v>
      </c>
      <c r="J164" s="29" t="s">
        <v>68</v>
      </c>
      <c r="K164" s="30" t="s">
        <v>68</v>
      </c>
      <c r="L164" s="29" t="str">
        <f t="shared" si="2"/>
        <v>KAMPALA-MBARARA</v>
      </c>
      <c r="M164" s="31">
        <v>65</v>
      </c>
      <c r="N164" s="72">
        <v>20000</v>
      </c>
      <c r="O164" s="34">
        <v>4.9000000000000004</v>
      </c>
    </row>
    <row r="165" spans="2:15" x14ac:dyDescent="0.2">
      <c r="B165" s="27">
        <v>0.57708333333333328</v>
      </c>
      <c r="C165" s="28">
        <v>6</v>
      </c>
      <c r="D165" s="33" t="str">
        <f>IF(C165="", "",VLOOKUP(C165,Key!$A$5:$B$7,2,FALSE))</f>
        <v>Large Bus</v>
      </c>
      <c r="E165" s="29" t="s">
        <v>90</v>
      </c>
      <c r="F165" s="29" t="s">
        <v>67</v>
      </c>
      <c r="G165" s="29" t="s">
        <v>70</v>
      </c>
      <c r="H165" s="30" t="s">
        <v>70</v>
      </c>
      <c r="I165" s="29" t="s">
        <v>257</v>
      </c>
      <c r="J165" s="29" t="s">
        <v>68</v>
      </c>
      <c r="K165" s="30" t="s">
        <v>68</v>
      </c>
      <c r="L165" s="29" t="str">
        <f t="shared" si="2"/>
        <v>KAMPALA-MBARARA</v>
      </c>
      <c r="M165" s="31">
        <v>67</v>
      </c>
      <c r="N165" s="72">
        <v>20000</v>
      </c>
      <c r="O165" s="34">
        <v>4.9000000000000004</v>
      </c>
    </row>
    <row r="166" spans="2:15" x14ac:dyDescent="0.2">
      <c r="B166" s="27">
        <v>0.59236111111111112</v>
      </c>
      <c r="C166" s="28">
        <v>6</v>
      </c>
      <c r="D166" s="33" t="str">
        <f>IF(C166="", "",VLOOKUP(C166,Key!$A$5:$B$7,2,FALSE))</f>
        <v>Large Bus</v>
      </c>
      <c r="E166" s="29" t="s">
        <v>90</v>
      </c>
      <c r="F166" s="29" t="s">
        <v>67</v>
      </c>
      <c r="G166" s="29" t="s">
        <v>70</v>
      </c>
      <c r="H166" s="30" t="s">
        <v>70</v>
      </c>
      <c r="I166" s="29" t="s">
        <v>257</v>
      </c>
      <c r="J166" s="29" t="s">
        <v>68</v>
      </c>
      <c r="K166" s="30" t="s">
        <v>68</v>
      </c>
      <c r="L166" s="29" t="str">
        <f t="shared" si="2"/>
        <v>KAMPALA-MBARARA</v>
      </c>
      <c r="M166" s="31">
        <v>65</v>
      </c>
      <c r="N166" s="72">
        <v>20000</v>
      </c>
      <c r="O166" s="34">
        <v>4.9000000000000004</v>
      </c>
    </row>
    <row r="167" spans="2:15" x14ac:dyDescent="0.2">
      <c r="B167" s="27">
        <v>0.375</v>
      </c>
      <c r="C167" s="28">
        <v>6</v>
      </c>
      <c r="D167" s="33" t="str">
        <f>IF(C167="", "",VLOOKUP(C167,Key!$A$5:$B$7,2,FALSE))</f>
        <v>Large Bus</v>
      </c>
      <c r="E167" s="29" t="s">
        <v>90</v>
      </c>
      <c r="F167" s="29" t="s">
        <v>66</v>
      </c>
      <c r="G167" s="29" t="s">
        <v>68</v>
      </c>
      <c r="H167" s="30" t="s">
        <v>68</v>
      </c>
      <c r="I167" s="29" t="s">
        <v>257</v>
      </c>
      <c r="J167" s="29" t="s">
        <v>70</v>
      </c>
      <c r="K167" s="30" t="s">
        <v>70</v>
      </c>
      <c r="L167" s="29" t="str">
        <f t="shared" si="2"/>
        <v>MBARARA-KAMPALA</v>
      </c>
      <c r="M167" s="31">
        <v>65</v>
      </c>
      <c r="N167" s="72">
        <v>20000</v>
      </c>
      <c r="O167" s="34">
        <v>4.9000000000000004</v>
      </c>
    </row>
    <row r="168" spans="2:15" x14ac:dyDescent="0.2">
      <c r="B168" s="27">
        <v>0.43472222222222223</v>
      </c>
      <c r="C168" s="28">
        <v>6</v>
      </c>
      <c r="D168" s="33" t="str">
        <f>IF(C168="", "",VLOOKUP(C168,Key!$A$5:$B$7,2,FALSE))</f>
        <v>Large Bus</v>
      </c>
      <c r="E168" s="29" t="s">
        <v>90</v>
      </c>
      <c r="F168" s="29" t="s">
        <v>66</v>
      </c>
      <c r="G168" s="29" t="s">
        <v>68</v>
      </c>
      <c r="H168" s="30" t="s">
        <v>68</v>
      </c>
      <c r="I168" s="29" t="s">
        <v>257</v>
      </c>
      <c r="J168" s="29" t="s">
        <v>70</v>
      </c>
      <c r="K168" s="30" t="s">
        <v>70</v>
      </c>
      <c r="L168" s="29" t="str">
        <f t="shared" si="2"/>
        <v>MBARARA-KAMPALA</v>
      </c>
      <c r="M168" s="31">
        <v>67</v>
      </c>
      <c r="N168" s="72">
        <v>20000</v>
      </c>
      <c r="O168" s="34">
        <v>4.9000000000000004</v>
      </c>
    </row>
    <row r="169" spans="2:15" x14ac:dyDescent="0.2">
      <c r="B169" s="27">
        <v>0.95138888888888884</v>
      </c>
      <c r="C169" s="28">
        <v>6</v>
      </c>
      <c r="D169" s="33" t="str">
        <f>IF(C169="", "",VLOOKUP(C169,Key!$A$5:$B$7,2,FALSE))</f>
        <v>Large Bus</v>
      </c>
      <c r="E169" s="29" t="s">
        <v>90</v>
      </c>
      <c r="F169" s="29" t="s">
        <v>66</v>
      </c>
      <c r="G169" s="29" t="s">
        <v>68</v>
      </c>
      <c r="H169" s="30" t="s">
        <v>68</v>
      </c>
      <c r="I169" s="29" t="s">
        <v>257</v>
      </c>
      <c r="J169" s="29" t="s">
        <v>70</v>
      </c>
      <c r="K169" s="30" t="s">
        <v>70</v>
      </c>
      <c r="L169" s="29" t="str">
        <f t="shared" si="2"/>
        <v>MBARARA-KAMPALA</v>
      </c>
      <c r="M169" s="31">
        <v>67</v>
      </c>
      <c r="N169" s="72">
        <v>20000</v>
      </c>
      <c r="O169" s="34">
        <v>4.9000000000000004</v>
      </c>
    </row>
    <row r="170" spans="2:15" x14ac:dyDescent="0.2">
      <c r="B170" s="27">
        <v>0.99652777777777779</v>
      </c>
      <c r="C170" s="28">
        <v>6</v>
      </c>
      <c r="D170" s="33" t="str">
        <f>IF(C170="", "",VLOOKUP(C170,Key!$A$5:$B$7,2,FALSE))</f>
        <v>Large Bus</v>
      </c>
      <c r="E170" s="29" t="s">
        <v>90</v>
      </c>
      <c r="F170" s="29" t="s">
        <v>66</v>
      </c>
      <c r="G170" s="29" t="s">
        <v>68</v>
      </c>
      <c r="H170" s="30" t="s">
        <v>68</v>
      </c>
      <c r="I170" s="29" t="s">
        <v>257</v>
      </c>
      <c r="J170" s="29" t="s">
        <v>70</v>
      </c>
      <c r="K170" s="30" t="s">
        <v>70</v>
      </c>
      <c r="L170" s="29" t="str">
        <f t="shared" si="2"/>
        <v>MBARARA-KAMPALA</v>
      </c>
      <c r="M170" s="31">
        <v>65</v>
      </c>
      <c r="N170" s="72">
        <v>20000</v>
      </c>
      <c r="O170" s="34">
        <v>4.9000000000000004</v>
      </c>
    </row>
    <row r="171" spans="2:15" x14ac:dyDescent="0.2">
      <c r="B171" s="27">
        <v>0.51597222222222217</v>
      </c>
      <c r="C171" s="28">
        <v>6</v>
      </c>
      <c r="D171" s="33" t="str">
        <f>IF(C171="", "",VLOOKUP(C171,Key!$A$5:$B$7,2,FALSE))</f>
        <v>Large Bus</v>
      </c>
      <c r="E171" s="29" t="s">
        <v>90</v>
      </c>
      <c r="F171" s="29" t="s">
        <v>66</v>
      </c>
      <c r="G171" s="29" t="s">
        <v>68</v>
      </c>
      <c r="H171" s="30" t="s">
        <v>68</v>
      </c>
      <c r="I171" s="29" t="s">
        <v>257</v>
      </c>
      <c r="J171" s="29" t="s">
        <v>70</v>
      </c>
      <c r="K171" s="30" t="s">
        <v>70</v>
      </c>
      <c r="L171" s="29" t="str">
        <f t="shared" si="2"/>
        <v>MBARARA-KAMPALA</v>
      </c>
      <c r="M171" s="31">
        <v>67</v>
      </c>
      <c r="N171" s="72">
        <v>20000</v>
      </c>
      <c r="O171" s="34">
        <v>4.9000000000000004</v>
      </c>
    </row>
    <row r="172" spans="2:15" x14ac:dyDescent="0.2">
      <c r="B172" s="27">
        <v>0.52152777777777781</v>
      </c>
      <c r="C172" s="28">
        <v>6</v>
      </c>
      <c r="D172" s="33" t="str">
        <f>IF(C172="", "",VLOOKUP(C172,Key!$A$5:$B$7,2,FALSE))</f>
        <v>Large Bus</v>
      </c>
      <c r="E172" s="29" t="s">
        <v>90</v>
      </c>
      <c r="F172" s="29" t="s">
        <v>66</v>
      </c>
      <c r="G172" s="29" t="s">
        <v>68</v>
      </c>
      <c r="H172" s="30" t="s">
        <v>68</v>
      </c>
      <c r="I172" s="29" t="s">
        <v>257</v>
      </c>
      <c r="J172" s="29" t="s">
        <v>70</v>
      </c>
      <c r="K172" s="30" t="s">
        <v>70</v>
      </c>
      <c r="L172" s="29" t="str">
        <f t="shared" si="2"/>
        <v>MBARARA-KAMPALA</v>
      </c>
      <c r="M172" s="31">
        <v>65</v>
      </c>
      <c r="N172" s="72">
        <v>20000</v>
      </c>
      <c r="O172" s="34">
        <v>4.9000000000000004</v>
      </c>
    </row>
    <row r="173" spans="2:15" x14ac:dyDescent="0.2">
      <c r="B173" s="27">
        <v>0.54305555555555551</v>
      </c>
      <c r="C173" s="28">
        <v>6</v>
      </c>
      <c r="D173" s="33" t="str">
        <f>IF(C173="", "",VLOOKUP(C173,Key!$A$5:$B$7,2,FALSE))</f>
        <v>Large Bus</v>
      </c>
      <c r="E173" s="29" t="s">
        <v>90</v>
      </c>
      <c r="F173" s="29" t="s">
        <v>66</v>
      </c>
      <c r="G173" s="29" t="s">
        <v>68</v>
      </c>
      <c r="H173" s="30" t="s">
        <v>68</v>
      </c>
      <c r="I173" s="29" t="s">
        <v>257</v>
      </c>
      <c r="J173" s="29" t="s">
        <v>70</v>
      </c>
      <c r="K173" s="30" t="s">
        <v>70</v>
      </c>
      <c r="L173" s="29" t="str">
        <f t="shared" si="2"/>
        <v>MBARARA-KAMPALA</v>
      </c>
      <c r="M173" s="31">
        <v>65</v>
      </c>
      <c r="N173" s="72">
        <v>20000</v>
      </c>
      <c r="O173" s="34">
        <v>4.9000000000000004</v>
      </c>
    </row>
    <row r="174" spans="2:15" x14ac:dyDescent="0.2">
      <c r="B174" s="27">
        <v>0.5444444444444444</v>
      </c>
      <c r="C174" s="28">
        <v>6</v>
      </c>
      <c r="D174" s="33" t="str">
        <f>IF(C174="", "",VLOOKUP(C174,Key!$A$5:$B$7,2,FALSE))</f>
        <v>Large Bus</v>
      </c>
      <c r="E174" s="29" t="s">
        <v>90</v>
      </c>
      <c r="F174" s="29" t="s">
        <v>66</v>
      </c>
      <c r="G174" s="29" t="s">
        <v>68</v>
      </c>
      <c r="H174" s="30" t="s">
        <v>68</v>
      </c>
      <c r="I174" s="29" t="s">
        <v>257</v>
      </c>
      <c r="J174" s="29" t="s">
        <v>70</v>
      </c>
      <c r="K174" s="30" t="s">
        <v>70</v>
      </c>
      <c r="L174" s="29" t="str">
        <f t="shared" si="2"/>
        <v>MBARARA-KAMPALA</v>
      </c>
      <c r="M174" s="31">
        <v>67</v>
      </c>
      <c r="N174" s="72">
        <v>20000</v>
      </c>
      <c r="O174" s="34">
        <v>4.9000000000000004</v>
      </c>
    </row>
    <row r="175" spans="2:15" x14ac:dyDescent="0.2">
      <c r="B175" s="27">
        <v>0.56874999999999998</v>
      </c>
      <c r="C175" s="28">
        <v>6</v>
      </c>
      <c r="D175" s="33" t="str">
        <f>IF(C175="", "",VLOOKUP(C175,Key!$A$5:$B$7,2,FALSE))</f>
        <v>Large Bus</v>
      </c>
      <c r="E175" s="29" t="s">
        <v>90</v>
      </c>
      <c r="F175" s="29" t="s">
        <v>66</v>
      </c>
      <c r="G175" s="29" t="s">
        <v>68</v>
      </c>
      <c r="H175" s="30" t="s">
        <v>68</v>
      </c>
      <c r="I175" s="29" t="s">
        <v>257</v>
      </c>
      <c r="J175" s="29" t="s">
        <v>70</v>
      </c>
      <c r="K175" s="30" t="s">
        <v>70</v>
      </c>
      <c r="L175" s="29" t="str">
        <f t="shared" si="2"/>
        <v>MBARARA-KAMPALA</v>
      </c>
      <c r="M175" s="31">
        <v>67</v>
      </c>
      <c r="N175" s="72">
        <v>20000</v>
      </c>
      <c r="O175" s="34">
        <v>4.9000000000000004</v>
      </c>
    </row>
    <row r="176" spans="2:15" x14ac:dyDescent="0.2">
      <c r="B176" s="27">
        <v>0.58194444444444449</v>
      </c>
      <c r="C176" s="28">
        <v>6</v>
      </c>
      <c r="D176" s="33" t="str">
        <f>IF(C176="", "",VLOOKUP(C176,Key!$A$5:$B$7,2,FALSE))</f>
        <v>Large Bus</v>
      </c>
      <c r="E176" s="29" t="s">
        <v>90</v>
      </c>
      <c r="F176" s="29" t="s">
        <v>66</v>
      </c>
      <c r="G176" s="29" t="s">
        <v>68</v>
      </c>
      <c r="H176" s="30" t="s">
        <v>68</v>
      </c>
      <c r="I176" s="29" t="s">
        <v>257</v>
      </c>
      <c r="J176" s="29" t="s">
        <v>70</v>
      </c>
      <c r="K176" s="30" t="s">
        <v>70</v>
      </c>
      <c r="L176" s="29" t="str">
        <f t="shared" si="2"/>
        <v>MBARARA-KAMPALA</v>
      </c>
      <c r="M176" s="31">
        <v>65</v>
      </c>
      <c r="N176" s="72">
        <v>20000</v>
      </c>
      <c r="O176" s="34">
        <v>4.9000000000000004</v>
      </c>
    </row>
    <row r="177" spans="2:15" x14ac:dyDescent="0.2">
      <c r="B177" s="27">
        <v>0.60138888888888886</v>
      </c>
      <c r="C177" s="28">
        <v>6</v>
      </c>
      <c r="D177" s="33" t="str">
        <f>IF(C177="", "",VLOOKUP(C177,Key!$A$5:$B$7,2,FALSE))</f>
        <v>Large Bus</v>
      </c>
      <c r="E177" s="29" t="s">
        <v>90</v>
      </c>
      <c r="F177" s="29" t="s">
        <v>66</v>
      </c>
      <c r="G177" s="29" t="s">
        <v>68</v>
      </c>
      <c r="H177" s="30" t="s">
        <v>68</v>
      </c>
      <c r="I177" s="29" t="s">
        <v>257</v>
      </c>
      <c r="J177" s="29" t="s">
        <v>70</v>
      </c>
      <c r="K177" s="30" t="s">
        <v>70</v>
      </c>
      <c r="L177" s="29" t="str">
        <f t="shared" si="2"/>
        <v>MBARARA-KAMPALA</v>
      </c>
      <c r="M177" s="31">
        <v>67</v>
      </c>
      <c r="N177" s="72">
        <v>20000</v>
      </c>
      <c r="O177" s="34">
        <v>4.9000000000000004</v>
      </c>
    </row>
    <row r="178" spans="2:15" x14ac:dyDescent="0.2">
      <c r="B178" s="27">
        <v>0.60833333333333328</v>
      </c>
      <c r="C178" s="28">
        <v>6</v>
      </c>
      <c r="D178" s="33" t="str">
        <f>IF(C178="", "",VLOOKUP(C178,Key!$A$5:$B$7,2,FALSE))</f>
        <v>Large Bus</v>
      </c>
      <c r="E178" s="29" t="s">
        <v>90</v>
      </c>
      <c r="F178" s="29" t="s">
        <v>66</v>
      </c>
      <c r="G178" s="29" t="s">
        <v>68</v>
      </c>
      <c r="H178" s="30" t="s">
        <v>68</v>
      </c>
      <c r="I178" s="29" t="s">
        <v>257</v>
      </c>
      <c r="J178" s="29" t="s">
        <v>70</v>
      </c>
      <c r="K178" s="30" t="s">
        <v>70</v>
      </c>
      <c r="L178" s="29" t="str">
        <f t="shared" si="2"/>
        <v>MBARARA-KAMPALA</v>
      </c>
      <c r="M178" s="31">
        <v>67</v>
      </c>
      <c r="N178" s="72">
        <v>20000</v>
      </c>
      <c r="O178" s="34">
        <v>4.9000000000000004</v>
      </c>
    </row>
    <row r="179" spans="2:15" x14ac:dyDescent="0.2">
      <c r="B179" s="27">
        <v>0.62222222222222223</v>
      </c>
      <c r="C179" s="28">
        <v>6</v>
      </c>
      <c r="D179" s="33" t="str">
        <f>IF(C179="", "",VLOOKUP(C179,Key!$A$5:$B$7,2,FALSE))</f>
        <v>Large Bus</v>
      </c>
      <c r="E179" s="29" t="s">
        <v>90</v>
      </c>
      <c r="F179" s="29" t="s">
        <v>66</v>
      </c>
      <c r="G179" s="29" t="s">
        <v>68</v>
      </c>
      <c r="H179" s="30" t="s">
        <v>68</v>
      </c>
      <c r="I179" s="29" t="s">
        <v>257</v>
      </c>
      <c r="J179" s="29" t="s">
        <v>70</v>
      </c>
      <c r="K179" s="30" t="s">
        <v>70</v>
      </c>
      <c r="L179" s="29" t="str">
        <f t="shared" si="2"/>
        <v>MBARARA-KAMPALA</v>
      </c>
      <c r="M179" s="31">
        <v>65</v>
      </c>
      <c r="N179" s="72">
        <v>20000</v>
      </c>
      <c r="O179" s="34">
        <v>4.9000000000000004</v>
      </c>
    </row>
    <row r="180" spans="2:15" x14ac:dyDescent="0.2">
      <c r="B180" s="27">
        <v>0.625</v>
      </c>
      <c r="C180" s="28">
        <v>6</v>
      </c>
      <c r="D180" s="33" t="str">
        <f>IF(C180="", "",VLOOKUP(C180,Key!$A$5:$B$7,2,FALSE))</f>
        <v>Large Bus</v>
      </c>
      <c r="E180" s="29" t="s">
        <v>90</v>
      </c>
      <c r="F180" s="29" t="s">
        <v>66</v>
      </c>
      <c r="G180" s="29" t="s">
        <v>68</v>
      </c>
      <c r="H180" s="30" t="s">
        <v>68</v>
      </c>
      <c r="I180" s="29" t="s">
        <v>257</v>
      </c>
      <c r="J180" s="29" t="s">
        <v>70</v>
      </c>
      <c r="K180" s="30" t="s">
        <v>70</v>
      </c>
      <c r="L180" s="29" t="str">
        <f t="shared" si="2"/>
        <v>MBARARA-KAMPALA</v>
      </c>
      <c r="M180" s="31">
        <v>65</v>
      </c>
      <c r="N180" s="72">
        <v>20000</v>
      </c>
      <c r="O180" s="34">
        <v>4.9000000000000004</v>
      </c>
    </row>
    <row r="181" spans="2:15" x14ac:dyDescent="0.2">
      <c r="B181" s="27">
        <v>0.65</v>
      </c>
      <c r="C181" s="28">
        <v>6</v>
      </c>
      <c r="D181" s="33" t="str">
        <f>IF(C181="", "",VLOOKUP(C181,Key!$A$5:$B$7,2,FALSE))</f>
        <v>Large Bus</v>
      </c>
      <c r="E181" s="29" t="s">
        <v>90</v>
      </c>
      <c r="F181" s="29" t="s">
        <v>66</v>
      </c>
      <c r="G181" s="29" t="s">
        <v>68</v>
      </c>
      <c r="H181" s="30" t="s">
        <v>68</v>
      </c>
      <c r="I181" s="29" t="s">
        <v>257</v>
      </c>
      <c r="J181" s="29" t="s">
        <v>70</v>
      </c>
      <c r="K181" s="30" t="s">
        <v>70</v>
      </c>
      <c r="L181" s="29" t="str">
        <f t="shared" si="2"/>
        <v>MBARARA-KAMPALA</v>
      </c>
      <c r="M181" s="31">
        <v>65</v>
      </c>
      <c r="N181" s="72">
        <v>20000</v>
      </c>
      <c r="O181" s="34">
        <v>4.9000000000000004</v>
      </c>
    </row>
    <row r="182" spans="2:15" x14ac:dyDescent="0.2">
      <c r="B182" s="27">
        <v>0.65694444444444444</v>
      </c>
      <c r="C182" s="28">
        <v>6</v>
      </c>
      <c r="D182" s="33" t="str">
        <f>IF(C182="", "",VLOOKUP(C182,Key!$A$5:$B$7,2,FALSE))</f>
        <v>Large Bus</v>
      </c>
      <c r="E182" s="29" t="s">
        <v>90</v>
      </c>
      <c r="F182" s="29" t="s">
        <v>66</v>
      </c>
      <c r="G182" s="29" t="s">
        <v>68</v>
      </c>
      <c r="H182" s="30" t="s">
        <v>68</v>
      </c>
      <c r="I182" s="29" t="s">
        <v>257</v>
      </c>
      <c r="J182" s="29" t="s">
        <v>70</v>
      </c>
      <c r="K182" s="30" t="s">
        <v>70</v>
      </c>
      <c r="L182" s="29" t="str">
        <f t="shared" si="2"/>
        <v>MBARARA-KAMPALA</v>
      </c>
      <c r="M182" s="31">
        <v>67</v>
      </c>
      <c r="N182" s="72">
        <v>20000</v>
      </c>
      <c r="O182" s="34">
        <v>4.9000000000000004</v>
      </c>
    </row>
    <row r="183" spans="2:15" x14ac:dyDescent="0.2">
      <c r="B183" s="27">
        <v>0.66249999999999998</v>
      </c>
      <c r="C183" s="28">
        <v>6</v>
      </c>
      <c r="D183" s="33" t="str">
        <f>IF(C183="", "",VLOOKUP(C183,Key!$A$5:$B$7,2,FALSE))</f>
        <v>Large Bus</v>
      </c>
      <c r="E183" s="29" t="s">
        <v>90</v>
      </c>
      <c r="F183" s="29" t="s">
        <v>66</v>
      </c>
      <c r="G183" s="29" t="s">
        <v>68</v>
      </c>
      <c r="H183" s="30" t="s">
        <v>68</v>
      </c>
      <c r="I183" s="29" t="s">
        <v>257</v>
      </c>
      <c r="J183" s="29" t="s">
        <v>70</v>
      </c>
      <c r="K183" s="30" t="s">
        <v>70</v>
      </c>
      <c r="L183" s="29" t="str">
        <f t="shared" si="2"/>
        <v>MBARARA-KAMPALA</v>
      </c>
      <c r="M183" s="31">
        <v>67</v>
      </c>
      <c r="N183" s="72">
        <v>20000</v>
      </c>
      <c r="O183" s="34">
        <v>4.9000000000000004</v>
      </c>
    </row>
    <row r="184" spans="2:15" x14ac:dyDescent="0.2">
      <c r="B184" s="27">
        <v>0.69027777777777777</v>
      </c>
      <c r="C184" s="28">
        <v>6</v>
      </c>
      <c r="D184" s="33" t="str">
        <f>IF(C184="", "",VLOOKUP(C184,Key!$A$5:$B$7,2,FALSE))</f>
        <v>Large Bus</v>
      </c>
      <c r="E184" s="29" t="s">
        <v>90</v>
      </c>
      <c r="F184" s="29" t="s">
        <v>66</v>
      </c>
      <c r="G184" s="29" t="s">
        <v>68</v>
      </c>
      <c r="H184" s="30" t="s">
        <v>68</v>
      </c>
      <c r="I184" s="29" t="s">
        <v>257</v>
      </c>
      <c r="J184" s="29" t="s">
        <v>70</v>
      </c>
      <c r="K184" s="30" t="s">
        <v>70</v>
      </c>
      <c r="L184" s="29" t="str">
        <f t="shared" si="2"/>
        <v>MBARARA-KAMPALA</v>
      </c>
      <c r="M184" s="31">
        <v>67</v>
      </c>
      <c r="N184" s="72">
        <v>20000</v>
      </c>
      <c r="O184" s="34">
        <v>4.9000000000000004</v>
      </c>
    </row>
    <row r="185" spans="2:15" x14ac:dyDescent="0.2">
      <c r="B185" s="27">
        <v>0.6972222222222223</v>
      </c>
      <c r="C185" s="28">
        <v>6</v>
      </c>
      <c r="D185" s="33" t="str">
        <f>IF(C185="", "",VLOOKUP(C185,Key!$A$5:$B$7,2,FALSE))</f>
        <v>Large Bus</v>
      </c>
      <c r="E185" s="29" t="s">
        <v>90</v>
      </c>
      <c r="F185" s="29" t="s">
        <v>66</v>
      </c>
      <c r="G185" s="29" t="s">
        <v>68</v>
      </c>
      <c r="H185" s="30" t="s">
        <v>68</v>
      </c>
      <c r="I185" s="29" t="s">
        <v>257</v>
      </c>
      <c r="J185" s="29" t="s">
        <v>70</v>
      </c>
      <c r="K185" s="30" t="s">
        <v>70</v>
      </c>
      <c r="L185" s="29" t="str">
        <f t="shared" si="2"/>
        <v>MBARARA-KAMPALA</v>
      </c>
      <c r="M185" s="31">
        <v>65</v>
      </c>
      <c r="N185" s="72">
        <v>20000</v>
      </c>
      <c r="O185" s="34">
        <v>4.9000000000000004</v>
      </c>
    </row>
    <row r="186" spans="2:15" x14ac:dyDescent="0.2">
      <c r="B186" s="27">
        <v>0.71388888888888891</v>
      </c>
      <c r="C186" s="28">
        <v>6</v>
      </c>
      <c r="D186" s="33" t="str">
        <f>IF(C186="", "",VLOOKUP(C186,Key!$A$5:$B$7,2,FALSE))</f>
        <v>Large Bus</v>
      </c>
      <c r="E186" s="29" t="s">
        <v>90</v>
      </c>
      <c r="F186" s="29" t="s">
        <v>66</v>
      </c>
      <c r="G186" s="29" t="s">
        <v>68</v>
      </c>
      <c r="H186" s="30" t="s">
        <v>68</v>
      </c>
      <c r="I186" s="29" t="s">
        <v>257</v>
      </c>
      <c r="J186" s="29" t="s">
        <v>70</v>
      </c>
      <c r="K186" s="30" t="s">
        <v>70</v>
      </c>
      <c r="L186" s="29" t="str">
        <f t="shared" si="2"/>
        <v>MBARARA-KAMPALA</v>
      </c>
      <c r="M186" s="31">
        <v>67</v>
      </c>
      <c r="N186" s="72">
        <v>20000</v>
      </c>
      <c r="O186" s="34">
        <v>4.9000000000000004</v>
      </c>
    </row>
    <row r="187" spans="2:15" x14ac:dyDescent="0.2">
      <c r="B187" s="27" t="s">
        <v>63</v>
      </c>
      <c r="C187" s="28">
        <v>6</v>
      </c>
      <c r="D187" s="33" t="str">
        <f>IF(C187="", "",VLOOKUP(C187,Key!$A$5:$B$7,2,FALSE))</f>
        <v>Large Bus</v>
      </c>
      <c r="E187" s="29" t="s">
        <v>90</v>
      </c>
      <c r="F187" s="29" t="s">
        <v>66</v>
      </c>
      <c r="G187" s="29" t="s">
        <v>68</v>
      </c>
      <c r="H187" s="30" t="s">
        <v>68</v>
      </c>
      <c r="I187" s="29" t="s">
        <v>257</v>
      </c>
      <c r="J187" s="29" t="s">
        <v>70</v>
      </c>
      <c r="K187" s="30" t="s">
        <v>70</v>
      </c>
      <c r="L187" s="29" t="str">
        <f t="shared" si="2"/>
        <v>MBARARA-KAMPALA</v>
      </c>
      <c r="M187" s="31">
        <v>65</v>
      </c>
      <c r="N187" s="72">
        <v>20000</v>
      </c>
      <c r="O187" s="34">
        <v>4.9000000000000004</v>
      </c>
    </row>
    <row r="188" spans="2:15" x14ac:dyDescent="0.2">
      <c r="B188" s="27" t="s">
        <v>64</v>
      </c>
      <c r="C188" s="28">
        <v>6</v>
      </c>
      <c r="D188" s="33" t="str">
        <f>IF(C188="", "",VLOOKUP(C188,Key!$A$5:$B$7,2,FALSE))</f>
        <v>Large Bus</v>
      </c>
      <c r="E188" s="29" t="s">
        <v>90</v>
      </c>
      <c r="F188" s="29" t="s">
        <v>66</v>
      </c>
      <c r="G188" s="29" t="s">
        <v>68</v>
      </c>
      <c r="H188" s="30" t="s">
        <v>68</v>
      </c>
      <c r="I188" s="29" t="s">
        <v>257</v>
      </c>
      <c r="J188" s="29" t="s">
        <v>70</v>
      </c>
      <c r="K188" s="30" t="s">
        <v>70</v>
      </c>
      <c r="L188" s="29" t="str">
        <f t="shared" si="2"/>
        <v>MBARARA-KAMPALA</v>
      </c>
      <c r="M188" s="31">
        <v>65</v>
      </c>
      <c r="N188" s="72">
        <v>20000</v>
      </c>
      <c r="O188" s="34">
        <v>4.9000000000000004</v>
      </c>
    </row>
    <row r="189" spans="2:15" x14ac:dyDescent="0.2">
      <c r="B189" s="27" t="s">
        <v>65</v>
      </c>
      <c r="C189" s="28">
        <v>6</v>
      </c>
      <c r="D189" s="33" t="str">
        <f>IF(C189="", "",VLOOKUP(C189,Key!$A$5:$B$7,2,FALSE))</f>
        <v>Large Bus</v>
      </c>
      <c r="E189" s="29" t="s">
        <v>90</v>
      </c>
      <c r="F189" s="29" t="s">
        <v>66</v>
      </c>
      <c r="G189" s="29" t="s">
        <v>68</v>
      </c>
      <c r="H189" s="30" t="s">
        <v>68</v>
      </c>
      <c r="I189" s="29" t="s">
        <v>257</v>
      </c>
      <c r="J189" s="29" t="s">
        <v>70</v>
      </c>
      <c r="K189" s="30" t="s">
        <v>70</v>
      </c>
      <c r="L189" s="29" t="str">
        <f t="shared" si="2"/>
        <v>MBARARA-KAMPALA</v>
      </c>
      <c r="M189" s="31">
        <v>69</v>
      </c>
      <c r="N189" s="72">
        <v>20000</v>
      </c>
      <c r="O189" s="34">
        <v>4.9000000000000004</v>
      </c>
    </row>
    <row r="190" spans="2:15" x14ac:dyDescent="0.2">
      <c r="B190" s="27">
        <v>0.35416666666666669</v>
      </c>
      <c r="C190" s="28">
        <v>6</v>
      </c>
      <c r="D190" s="33" t="str">
        <f>IF(C190="", "",VLOOKUP(C190,Key!$A$5:$B$7,2,FALSE))</f>
        <v>Large Bus</v>
      </c>
      <c r="E190" s="29" t="s">
        <v>90</v>
      </c>
      <c r="F190" s="29" t="s">
        <v>66</v>
      </c>
      <c r="G190" s="29" t="s">
        <v>68</v>
      </c>
      <c r="H190" s="30" t="s">
        <v>68</v>
      </c>
      <c r="I190" s="29" t="s">
        <v>257</v>
      </c>
      <c r="J190" s="29" t="s">
        <v>70</v>
      </c>
      <c r="K190" s="30" t="s">
        <v>70</v>
      </c>
      <c r="L190" s="29" t="str">
        <f t="shared" si="2"/>
        <v>MBARARA-KAMPALA</v>
      </c>
      <c r="M190" s="31">
        <v>65</v>
      </c>
      <c r="N190" s="72">
        <v>20000</v>
      </c>
      <c r="O190" s="34">
        <v>4.9000000000000004</v>
      </c>
    </row>
    <row r="191" spans="2:15" x14ac:dyDescent="0.2">
      <c r="B191" s="27">
        <v>0.40902777777777777</v>
      </c>
      <c r="C191" s="28">
        <v>6</v>
      </c>
      <c r="D191" s="33" t="str">
        <f>IF(C191="", "",VLOOKUP(C191,Key!$A$5:$B$7,2,FALSE))</f>
        <v>Large Bus</v>
      </c>
      <c r="E191" s="29" t="s">
        <v>90</v>
      </c>
      <c r="F191" s="29" t="s">
        <v>66</v>
      </c>
      <c r="G191" s="29" t="s">
        <v>68</v>
      </c>
      <c r="H191" s="30" t="s">
        <v>68</v>
      </c>
      <c r="I191" s="29" t="s">
        <v>257</v>
      </c>
      <c r="J191" s="29" t="s">
        <v>70</v>
      </c>
      <c r="K191" s="30" t="s">
        <v>70</v>
      </c>
      <c r="L191" s="29" t="str">
        <f t="shared" si="2"/>
        <v>MBARARA-KAMPALA</v>
      </c>
      <c r="M191" s="31">
        <v>67</v>
      </c>
      <c r="N191" s="72">
        <v>20000</v>
      </c>
      <c r="O191" s="34">
        <v>4.9000000000000004</v>
      </c>
    </row>
    <row r="192" spans="2:15" x14ac:dyDescent="0.2">
      <c r="B192" s="27">
        <v>0.45763888888888887</v>
      </c>
      <c r="C192" s="28">
        <v>6</v>
      </c>
      <c r="D192" s="33" t="str">
        <f>IF(C192="", "",VLOOKUP(C192,Key!$A$5:$B$7,2,FALSE))</f>
        <v>Large Bus</v>
      </c>
      <c r="E192" s="29" t="s">
        <v>90</v>
      </c>
      <c r="F192" s="29" t="s">
        <v>66</v>
      </c>
      <c r="G192" s="29" t="s">
        <v>68</v>
      </c>
      <c r="H192" s="30" t="s">
        <v>68</v>
      </c>
      <c r="I192" s="29" t="s">
        <v>257</v>
      </c>
      <c r="J192" s="29" t="s">
        <v>70</v>
      </c>
      <c r="K192" s="30" t="s">
        <v>70</v>
      </c>
      <c r="L192" s="29" t="str">
        <f t="shared" si="2"/>
        <v>MBARARA-KAMPALA</v>
      </c>
      <c r="M192" s="31">
        <v>67</v>
      </c>
      <c r="N192" s="72">
        <v>20000</v>
      </c>
      <c r="O192" s="34">
        <v>4.9000000000000004</v>
      </c>
    </row>
    <row r="193" spans="2:15" x14ac:dyDescent="0.2">
      <c r="B193" s="27">
        <v>8.1944444444444445E-2</v>
      </c>
      <c r="C193" s="28">
        <v>6</v>
      </c>
      <c r="D193" s="33" t="str">
        <f>IF(C193="", "",VLOOKUP(C193,Key!$A$5:$B$7,2,FALSE))</f>
        <v>Large Bus</v>
      </c>
      <c r="E193" s="29" t="s">
        <v>90</v>
      </c>
      <c r="F193" s="29" t="s">
        <v>66</v>
      </c>
      <c r="G193" s="29" t="s">
        <v>68</v>
      </c>
      <c r="H193" s="30" t="s">
        <v>68</v>
      </c>
      <c r="I193" s="29" t="s">
        <v>257</v>
      </c>
      <c r="J193" s="29" t="s">
        <v>70</v>
      </c>
      <c r="K193" s="30" t="s">
        <v>70</v>
      </c>
      <c r="L193" s="29" t="str">
        <f t="shared" si="2"/>
        <v>MBARARA-KAMPALA</v>
      </c>
      <c r="M193" s="31">
        <v>65</v>
      </c>
      <c r="N193" s="72">
        <v>20000</v>
      </c>
      <c r="O193" s="34">
        <v>4.9000000000000004</v>
      </c>
    </row>
    <row r="194" spans="2:15" x14ac:dyDescent="0.2">
      <c r="B194" s="27">
        <v>0.53402777777777777</v>
      </c>
      <c r="C194" s="28">
        <v>6</v>
      </c>
      <c r="D194" s="33" t="str">
        <f>IF(C194="", "",VLOOKUP(C194,Key!$A$5:$B$7,2,FALSE))</f>
        <v>Large Bus</v>
      </c>
      <c r="E194" s="29" t="s">
        <v>90</v>
      </c>
      <c r="F194" s="29" t="s">
        <v>66</v>
      </c>
      <c r="G194" s="29" t="s">
        <v>68</v>
      </c>
      <c r="H194" s="30" t="s">
        <v>68</v>
      </c>
      <c r="I194" s="29" t="s">
        <v>257</v>
      </c>
      <c r="J194" s="29" t="s">
        <v>70</v>
      </c>
      <c r="K194" s="30" t="s">
        <v>70</v>
      </c>
      <c r="L194" s="29" t="str">
        <f t="shared" si="2"/>
        <v>MBARARA-KAMPALA</v>
      </c>
      <c r="M194" s="31">
        <v>65</v>
      </c>
      <c r="N194" s="72">
        <v>20000</v>
      </c>
      <c r="O194" s="34">
        <v>4.9000000000000004</v>
      </c>
    </row>
    <row r="195" spans="2:15" x14ac:dyDescent="0.2">
      <c r="B195" s="27">
        <v>0.53749999999999998</v>
      </c>
      <c r="C195" s="28">
        <v>6</v>
      </c>
      <c r="D195" s="33" t="str">
        <f>IF(C195="", "",VLOOKUP(C195,Key!$A$5:$B$7,2,FALSE))</f>
        <v>Large Bus</v>
      </c>
      <c r="E195" s="29" t="s">
        <v>90</v>
      </c>
      <c r="F195" s="29" t="s">
        <v>66</v>
      </c>
      <c r="G195" s="29" t="s">
        <v>68</v>
      </c>
      <c r="H195" s="30" t="s">
        <v>68</v>
      </c>
      <c r="I195" s="29" t="s">
        <v>257</v>
      </c>
      <c r="J195" s="29" t="s">
        <v>70</v>
      </c>
      <c r="K195" s="30" t="s">
        <v>70</v>
      </c>
      <c r="L195" s="29" t="str">
        <f t="shared" si="2"/>
        <v>MBARARA-KAMPALA</v>
      </c>
      <c r="M195" s="31">
        <v>63</v>
      </c>
      <c r="N195" s="72">
        <v>20000</v>
      </c>
      <c r="O195" s="34">
        <v>4.9000000000000004</v>
      </c>
    </row>
    <row r="196" spans="2:15" x14ac:dyDescent="0.2">
      <c r="B196" s="27">
        <v>0.56111111111111112</v>
      </c>
      <c r="C196" s="28">
        <v>6</v>
      </c>
      <c r="D196" s="33" t="str">
        <f>IF(C196="", "",VLOOKUP(C196,Key!$A$5:$B$7,2,FALSE))</f>
        <v>Large Bus</v>
      </c>
      <c r="E196" s="29" t="s">
        <v>90</v>
      </c>
      <c r="F196" s="29" t="s">
        <v>66</v>
      </c>
      <c r="G196" s="29" t="s">
        <v>68</v>
      </c>
      <c r="H196" s="30" t="s">
        <v>68</v>
      </c>
      <c r="I196" s="29" t="s">
        <v>257</v>
      </c>
      <c r="J196" s="29" t="s">
        <v>70</v>
      </c>
      <c r="K196" s="30" t="s">
        <v>70</v>
      </c>
      <c r="L196" s="29" t="str">
        <f t="shared" si="2"/>
        <v>MBARARA-KAMPALA</v>
      </c>
      <c r="M196" s="31">
        <v>63</v>
      </c>
      <c r="N196" s="72">
        <v>20000</v>
      </c>
      <c r="O196" s="34">
        <v>4.9000000000000004</v>
      </c>
    </row>
    <row r="197" spans="2:15" x14ac:dyDescent="0.2">
      <c r="B197" s="27">
        <v>0.56458333333333333</v>
      </c>
      <c r="C197" s="28">
        <v>6</v>
      </c>
      <c r="D197" s="33" t="str">
        <f>IF(C197="", "",VLOOKUP(C197,Key!$A$5:$B$7,2,FALSE))</f>
        <v>Large Bus</v>
      </c>
      <c r="E197" s="29" t="s">
        <v>90</v>
      </c>
      <c r="F197" s="29" t="s">
        <v>66</v>
      </c>
      <c r="G197" s="29" t="s">
        <v>68</v>
      </c>
      <c r="H197" s="30" t="s">
        <v>68</v>
      </c>
      <c r="I197" s="29" t="s">
        <v>257</v>
      </c>
      <c r="J197" s="29" t="s">
        <v>70</v>
      </c>
      <c r="K197" s="30" t="s">
        <v>70</v>
      </c>
      <c r="L197" s="29" t="str">
        <f t="shared" si="2"/>
        <v>MBARARA-KAMPALA</v>
      </c>
      <c r="M197" s="31">
        <v>65</v>
      </c>
      <c r="N197" s="72">
        <v>20000</v>
      </c>
      <c r="O197" s="34">
        <v>4.9000000000000004</v>
      </c>
    </row>
    <row r="198" spans="2:15" x14ac:dyDescent="0.2">
      <c r="B198" s="27">
        <v>0.58194444444444449</v>
      </c>
      <c r="C198" s="28">
        <v>6</v>
      </c>
      <c r="D198" s="33" t="str">
        <f>IF(C198="", "",VLOOKUP(C198,Key!$A$5:$B$7,2,FALSE))</f>
        <v>Large Bus</v>
      </c>
      <c r="E198" s="29" t="s">
        <v>90</v>
      </c>
      <c r="F198" s="29" t="s">
        <v>66</v>
      </c>
      <c r="G198" s="29" t="s">
        <v>68</v>
      </c>
      <c r="H198" s="30" t="s">
        <v>68</v>
      </c>
      <c r="I198" s="29" t="s">
        <v>257</v>
      </c>
      <c r="J198" s="29" t="s">
        <v>70</v>
      </c>
      <c r="K198" s="30" t="s">
        <v>70</v>
      </c>
      <c r="L198" s="29" t="str">
        <f t="shared" si="2"/>
        <v>MBARARA-KAMPALA</v>
      </c>
      <c r="M198" s="31">
        <v>65</v>
      </c>
      <c r="N198" s="72">
        <v>20000</v>
      </c>
      <c r="O198" s="34">
        <v>4.9000000000000004</v>
      </c>
    </row>
    <row r="199" spans="2:15" x14ac:dyDescent="0.2">
      <c r="B199" s="27">
        <v>0.6020833333333333</v>
      </c>
      <c r="C199" s="28">
        <v>6</v>
      </c>
      <c r="D199" s="33" t="str">
        <f>IF(C199="", "",VLOOKUP(C199,Key!$A$5:$B$7,2,FALSE))</f>
        <v>Large Bus</v>
      </c>
      <c r="E199" s="29" t="s">
        <v>90</v>
      </c>
      <c r="F199" s="29" t="s">
        <v>66</v>
      </c>
      <c r="G199" s="29" t="s">
        <v>68</v>
      </c>
      <c r="H199" s="30" t="s">
        <v>68</v>
      </c>
      <c r="I199" s="29" t="s">
        <v>257</v>
      </c>
      <c r="J199" s="29" t="s">
        <v>70</v>
      </c>
      <c r="K199" s="30" t="s">
        <v>70</v>
      </c>
      <c r="L199" s="29" t="str">
        <f t="shared" si="2"/>
        <v>MBARARA-KAMPALA</v>
      </c>
      <c r="M199" s="31">
        <v>67</v>
      </c>
      <c r="N199" s="72">
        <v>20000</v>
      </c>
      <c r="O199" s="34">
        <v>4.9000000000000004</v>
      </c>
    </row>
    <row r="200" spans="2:15" x14ac:dyDescent="0.2">
      <c r="B200" s="27">
        <v>0.60416666666666663</v>
      </c>
      <c r="C200" s="28">
        <v>6</v>
      </c>
      <c r="D200" s="33" t="str">
        <f>IF(C200="", "",VLOOKUP(C200,Key!$A$5:$B$7,2,FALSE))</f>
        <v>Large Bus</v>
      </c>
      <c r="E200" s="29" t="s">
        <v>90</v>
      </c>
      <c r="F200" s="29" t="s">
        <v>66</v>
      </c>
      <c r="G200" s="29" t="s">
        <v>68</v>
      </c>
      <c r="H200" s="30" t="s">
        <v>68</v>
      </c>
      <c r="I200" s="29" t="s">
        <v>257</v>
      </c>
      <c r="J200" s="29" t="s">
        <v>70</v>
      </c>
      <c r="K200" s="30" t="s">
        <v>70</v>
      </c>
      <c r="L200" s="29" t="str">
        <f t="shared" si="2"/>
        <v>MBARARA-KAMPALA</v>
      </c>
      <c r="M200" s="31">
        <v>65</v>
      </c>
      <c r="N200" s="72">
        <v>20000</v>
      </c>
      <c r="O200" s="34">
        <v>4.9000000000000004</v>
      </c>
    </row>
    <row r="201" spans="2:15" x14ac:dyDescent="0.2">
      <c r="B201" s="27">
        <v>0.61458333333333337</v>
      </c>
      <c r="C201" s="28">
        <v>6</v>
      </c>
      <c r="D201" s="33" t="str">
        <f>IF(C201="", "",VLOOKUP(C201,Key!$A$5:$B$7,2,FALSE))</f>
        <v>Large Bus</v>
      </c>
      <c r="E201" s="29" t="s">
        <v>90</v>
      </c>
      <c r="F201" s="29" t="s">
        <v>66</v>
      </c>
      <c r="G201" s="29" t="s">
        <v>68</v>
      </c>
      <c r="H201" s="30" t="s">
        <v>68</v>
      </c>
      <c r="I201" s="29" t="s">
        <v>257</v>
      </c>
      <c r="J201" s="29" t="s">
        <v>70</v>
      </c>
      <c r="K201" s="30" t="s">
        <v>70</v>
      </c>
      <c r="L201" s="29" t="str">
        <f t="shared" si="2"/>
        <v>MBARARA-KAMPALA</v>
      </c>
      <c r="M201" s="31">
        <v>67</v>
      </c>
      <c r="N201" s="72">
        <v>20000</v>
      </c>
      <c r="O201" s="34">
        <v>4.9000000000000004</v>
      </c>
    </row>
    <row r="202" spans="2:15" x14ac:dyDescent="0.2">
      <c r="B202" s="27">
        <v>0.62986111111111109</v>
      </c>
      <c r="C202" s="28">
        <v>6</v>
      </c>
      <c r="D202" s="33" t="str">
        <f>IF(C202="", "",VLOOKUP(C202,Key!$A$5:$B$7,2,FALSE))</f>
        <v>Large Bus</v>
      </c>
      <c r="E202" s="29" t="s">
        <v>90</v>
      </c>
      <c r="F202" s="29" t="s">
        <v>66</v>
      </c>
      <c r="G202" s="29" t="s">
        <v>68</v>
      </c>
      <c r="H202" s="30" t="s">
        <v>68</v>
      </c>
      <c r="I202" s="29" t="s">
        <v>257</v>
      </c>
      <c r="J202" s="29" t="s">
        <v>70</v>
      </c>
      <c r="K202" s="30" t="s">
        <v>70</v>
      </c>
      <c r="L202" s="29" t="str">
        <f t="shared" ref="L202:L265" si="3">H202&amp;"-"&amp;K202</f>
        <v>MBARARA-KAMPALA</v>
      </c>
      <c r="M202" s="31">
        <v>65</v>
      </c>
      <c r="N202" s="72">
        <v>20000</v>
      </c>
      <c r="O202" s="34">
        <v>4.9000000000000004</v>
      </c>
    </row>
    <row r="203" spans="2:15" x14ac:dyDescent="0.2">
      <c r="B203" s="27">
        <v>0.63194444444444442</v>
      </c>
      <c r="C203" s="28">
        <v>6</v>
      </c>
      <c r="D203" s="33" t="str">
        <f>IF(C203="", "",VLOOKUP(C203,Key!$A$5:$B$7,2,FALSE))</f>
        <v>Large Bus</v>
      </c>
      <c r="E203" s="29" t="s">
        <v>90</v>
      </c>
      <c r="F203" s="29" t="s">
        <v>66</v>
      </c>
      <c r="G203" s="29" t="s">
        <v>68</v>
      </c>
      <c r="H203" s="30" t="s">
        <v>68</v>
      </c>
      <c r="I203" s="29" t="s">
        <v>257</v>
      </c>
      <c r="J203" s="29" t="s">
        <v>70</v>
      </c>
      <c r="K203" s="30" t="s">
        <v>70</v>
      </c>
      <c r="L203" s="29" t="str">
        <f t="shared" si="3"/>
        <v>MBARARA-KAMPALA</v>
      </c>
      <c r="M203" s="31">
        <v>67</v>
      </c>
      <c r="N203" s="72">
        <v>20000</v>
      </c>
      <c r="O203" s="34">
        <v>4.9000000000000004</v>
      </c>
    </row>
    <row r="204" spans="2:15" x14ac:dyDescent="0.2">
      <c r="B204" s="27">
        <v>0.6430555555555556</v>
      </c>
      <c r="C204" s="28">
        <v>6</v>
      </c>
      <c r="D204" s="33" t="str">
        <f>IF(C204="", "",VLOOKUP(C204,Key!$A$5:$B$7,2,FALSE))</f>
        <v>Large Bus</v>
      </c>
      <c r="E204" s="29" t="s">
        <v>90</v>
      </c>
      <c r="F204" s="29" t="s">
        <v>66</v>
      </c>
      <c r="G204" s="29" t="s">
        <v>68</v>
      </c>
      <c r="H204" s="30" t="s">
        <v>68</v>
      </c>
      <c r="I204" s="29" t="s">
        <v>257</v>
      </c>
      <c r="J204" s="29" t="s">
        <v>70</v>
      </c>
      <c r="K204" s="30" t="s">
        <v>70</v>
      </c>
      <c r="L204" s="29" t="str">
        <f t="shared" si="3"/>
        <v>MBARARA-KAMPALA</v>
      </c>
      <c r="M204" s="31">
        <v>67</v>
      </c>
      <c r="N204" s="72">
        <v>20000</v>
      </c>
      <c r="O204" s="34">
        <v>4.9000000000000004</v>
      </c>
    </row>
    <row r="205" spans="2:15" x14ac:dyDescent="0.2">
      <c r="B205" s="27">
        <v>0.65972222222222221</v>
      </c>
      <c r="C205" s="28">
        <v>6</v>
      </c>
      <c r="D205" s="33" t="str">
        <f>IF(C205="", "",VLOOKUP(C205,Key!$A$5:$B$7,2,FALSE))</f>
        <v>Large Bus</v>
      </c>
      <c r="E205" s="29" t="s">
        <v>90</v>
      </c>
      <c r="F205" s="29" t="s">
        <v>66</v>
      </c>
      <c r="G205" s="29" t="s">
        <v>68</v>
      </c>
      <c r="H205" s="30" t="s">
        <v>68</v>
      </c>
      <c r="I205" s="29" t="s">
        <v>257</v>
      </c>
      <c r="J205" s="29" t="s">
        <v>70</v>
      </c>
      <c r="K205" s="30" t="s">
        <v>70</v>
      </c>
      <c r="L205" s="29" t="str">
        <f t="shared" si="3"/>
        <v>MBARARA-KAMPALA</v>
      </c>
      <c r="M205" s="31">
        <v>65</v>
      </c>
      <c r="N205" s="72">
        <v>20000</v>
      </c>
      <c r="O205" s="34">
        <v>4.9000000000000004</v>
      </c>
    </row>
    <row r="206" spans="2:15" x14ac:dyDescent="0.2">
      <c r="B206" s="27">
        <v>0.67708333333333337</v>
      </c>
      <c r="C206" s="28">
        <v>6</v>
      </c>
      <c r="D206" s="33" t="str">
        <f>IF(C206="", "",VLOOKUP(C206,Key!$A$5:$B$7,2,FALSE))</f>
        <v>Large Bus</v>
      </c>
      <c r="E206" s="29" t="s">
        <v>90</v>
      </c>
      <c r="F206" s="29" t="s">
        <v>66</v>
      </c>
      <c r="G206" s="29" t="s">
        <v>68</v>
      </c>
      <c r="H206" s="30" t="s">
        <v>68</v>
      </c>
      <c r="I206" s="29" t="s">
        <v>257</v>
      </c>
      <c r="J206" s="29" t="s">
        <v>70</v>
      </c>
      <c r="K206" s="30" t="s">
        <v>70</v>
      </c>
      <c r="L206" s="29" t="str">
        <f t="shared" si="3"/>
        <v>MBARARA-KAMPALA</v>
      </c>
      <c r="M206" s="31">
        <v>67</v>
      </c>
      <c r="N206" s="72">
        <v>20000</v>
      </c>
      <c r="O206" s="34">
        <v>4.9000000000000004</v>
      </c>
    </row>
    <row r="207" spans="2:15" x14ac:dyDescent="0.2">
      <c r="B207" s="27">
        <v>0.70277777777777783</v>
      </c>
      <c r="C207" s="28">
        <v>6</v>
      </c>
      <c r="D207" s="33" t="str">
        <f>IF(C207="", "",VLOOKUP(C207,Key!$A$5:$B$7,2,FALSE))</f>
        <v>Large Bus</v>
      </c>
      <c r="E207" s="29" t="s">
        <v>90</v>
      </c>
      <c r="F207" s="29" t="s">
        <v>66</v>
      </c>
      <c r="G207" s="29" t="s">
        <v>68</v>
      </c>
      <c r="H207" s="30" t="s">
        <v>68</v>
      </c>
      <c r="I207" s="29" t="s">
        <v>257</v>
      </c>
      <c r="J207" s="29" t="s">
        <v>70</v>
      </c>
      <c r="K207" s="30" t="s">
        <v>70</v>
      </c>
      <c r="L207" s="29" t="str">
        <f t="shared" si="3"/>
        <v>MBARARA-KAMPALA</v>
      </c>
      <c r="M207" s="31">
        <v>67</v>
      </c>
      <c r="N207" s="72">
        <v>20000</v>
      </c>
      <c r="O207" s="34">
        <v>4.9000000000000004</v>
      </c>
    </row>
    <row r="208" spans="2:15" x14ac:dyDescent="0.2">
      <c r="B208" s="27">
        <v>0.71875</v>
      </c>
      <c r="C208" s="28">
        <v>6</v>
      </c>
      <c r="D208" s="33" t="str">
        <f>IF(C208="", "",VLOOKUP(C208,Key!$A$5:$B$7,2,FALSE))</f>
        <v>Large Bus</v>
      </c>
      <c r="E208" s="29" t="s">
        <v>90</v>
      </c>
      <c r="F208" s="29" t="s">
        <v>66</v>
      </c>
      <c r="G208" s="29" t="s">
        <v>68</v>
      </c>
      <c r="H208" s="30" t="s">
        <v>68</v>
      </c>
      <c r="I208" s="29" t="s">
        <v>257</v>
      </c>
      <c r="J208" s="29" t="s">
        <v>70</v>
      </c>
      <c r="K208" s="30" t="s">
        <v>70</v>
      </c>
      <c r="L208" s="29" t="str">
        <f t="shared" si="3"/>
        <v>MBARARA-KAMPALA</v>
      </c>
      <c r="M208" s="31">
        <v>65</v>
      </c>
      <c r="N208" s="72">
        <v>20000</v>
      </c>
      <c r="O208" s="34">
        <v>4.9000000000000004</v>
      </c>
    </row>
    <row r="209" spans="2:15" x14ac:dyDescent="0.2">
      <c r="B209" s="27">
        <v>0.73472222222222217</v>
      </c>
      <c r="C209" s="28">
        <v>6</v>
      </c>
      <c r="D209" s="33" t="str">
        <f>IF(C209="", "",VLOOKUP(C209,Key!$A$5:$B$7,2,FALSE))</f>
        <v>Large Bus</v>
      </c>
      <c r="E209" s="29" t="s">
        <v>90</v>
      </c>
      <c r="F209" s="29" t="s">
        <v>66</v>
      </c>
      <c r="G209" s="29" t="s">
        <v>68</v>
      </c>
      <c r="H209" s="30" t="s">
        <v>68</v>
      </c>
      <c r="I209" s="29" t="s">
        <v>257</v>
      </c>
      <c r="J209" s="29" t="s">
        <v>70</v>
      </c>
      <c r="K209" s="30" t="s">
        <v>70</v>
      </c>
      <c r="L209" s="29" t="str">
        <f t="shared" si="3"/>
        <v>MBARARA-KAMPALA</v>
      </c>
      <c r="M209" s="31">
        <v>67</v>
      </c>
      <c r="N209" s="72">
        <v>20000</v>
      </c>
      <c r="O209" s="34">
        <v>4.9000000000000004</v>
      </c>
    </row>
    <row r="210" spans="2:15" x14ac:dyDescent="0.2">
      <c r="B210" s="45" t="s">
        <v>220</v>
      </c>
      <c r="C210" s="47"/>
      <c r="D210" s="48"/>
      <c r="E210" s="43" t="s">
        <v>90</v>
      </c>
      <c r="F210" s="48"/>
      <c r="G210" s="47"/>
      <c r="H210" s="47"/>
      <c r="I210" s="47" t="s">
        <v>257</v>
      </c>
      <c r="J210" s="47"/>
      <c r="K210" s="47"/>
      <c r="L210" s="47" t="str">
        <f t="shared" si="3"/>
        <v>-</v>
      </c>
      <c r="M210" s="47"/>
      <c r="N210" s="48"/>
      <c r="O210" s="48"/>
    </row>
    <row r="211" spans="2:15" x14ac:dyDescent="0.2">
      <c r="B211" s="27">
        <v>0.6069444444444444</v>
      </c>
      <c r="C211" s="28">
        <v>6</v>
      </c>
      <c r="D211" s="33" t="str">
        <f>IF(C211="", "",VLOOKUP(C211,Key!$A$5:$B$7,2,FALSE))</f>
        <v>Large Bus</v>
      </c>
      <c r="E211" s="29" t="s">
        <v>90</v>
      </c>
      <c r="F211" s="29" t="s">
        <v>67</v>
      </c>
      <c r="G211" s="29" t="s">
        <v>70</v>
      </c>
      <c r="H211" s="30" t="s">
        <v>70</v>
      </c>
      <c r="I211" s="29" t="s">
        <v>257</v>
      </c>
      <c r="J211" s="29" t="s">
        <v>68</v>
      </c>
      <c r="K211" s="30" t="s">
        <v>68</v>
      </c>
      <c r="L211" s="29" t="str">
        <f t="shared" si="3"/>
        <v>KAMPALA-MBARARA</v>
      </c>
      <c r="M211" s="31">
        <v>65</v>
      </c>
      <c r="N211" s="72">
        <v>20000</v>
      </c>
      <c r="O211" s="34">
        <v>4.9000000000000004</v>
      </c>
    </row>
    <row r="212" spans="2:15" x14ac:dyDescent="0.2">
      <c r="B212" s="27">
        <v>0.6166666666666667</v>
      </c>
      <c r="C212" s="28">
        <v>6</v>
      </c>
      <c r="D212" s="33" t="str">
        <f>IF(C212="", "",VLOOKUP(C212,Key!$A$5:$B$7,2,FALSE))</f>
        <v>Large Bus</v>
      </c>
      <c r="E212" s="29" t="s">
        <v>90</v>
      </c>
      <c r="F212" s="29" t="s">
        <v>67</v>
      </c>
      <c r="G212" s="29" t="s">
        <v>70</v>
      </c>
      <c r="H212" s="30" t="s">
        <v>70</v>
      </c>
      <c r="I212" s="29" t="s">
        <v>257</v>
      </c>
      <c r="J212" s="29" t="s">
        <v>68</v>
      </c>
      <c r="K212" s="30" t="s">
        <v>68</v>
      </c>
      <c r="L212" s="29" t="str">
        <f t="shared" si="3"/>
        <v>KAMPALA-MBARARA</v>
      </c>
      <c r="M212" s="31">
        <v>64</v>
      </c>
      <c r="N212" s="72">
        <v>20000</v>
      </c>
      <c r="O212" s="34">
        <v>4.9000000000000004</v>
      </c>
    </row>
    <row r="213" spans="2:15" x14ac:dyDescent="0.2">
      <c r="B213" s="27">
        <v>0.62847222222222221</v>
      </c>
      <c r="C213" s="28">
        <v>6</v>
      </c>
      <c r="D213" s="33" t="str">
        <f>IF(C213="", "",VLOOKUP(C213,Key!$A$5:$B$7,2,FALSE))</f>
        <v>Large Bus</v>
      </c>
      <c r="E213" s="29" t="s">
        <v>90</v>
      </c>
      <c r="F213" s="29" t="s">
        <v>67</v>
      </c>
      <c r="G213" s="29" t="s">
        <v>70</v>
      </c>
      <c r="H213" s="30" t="s">
        <v>70</v>
      </c>
      <c r="I213" s="29" t="s">
        <v>257</v>
      </c>
      <c r="J213" s="29" t="s">
        <v>68</v>
      </c>
      <c r="K213" s="30" t="s">
        <v>68</v>
      </c>
      <c r="L213" s="29" t="str">
        <f t="shared" si="3"/>
        <v>KAMPALA-MBARARA</v>
      </c>
      <c r="M213" s="31">
        <v>63</v>
      </c>
      <c r="N213" s="72">
        <v>20000</v>
      </c>
      <c r="O213" s="34">
        <v>4.9000000000000004</v>
      </c>
    </row>
    <row r="214" spans="2:15" x14ac:dyDescent="0.2">
      <c r="B214" s="27">
        <v>0.64027777777777783</v>
      </c>
      <c r="C214" s="28">
        <v>6</v>
      </c>
      <c r="D214" s="33" t="str">
        <f>IF(C214="", "",VLOOKUP(C214,Key!$A$5:$B$7,2,FALSE))</f>
        <v>Large Bus</v>
      </c>
      <c r="E214" s="29" t="s">
        <v>90</v>
      </c>
      <c r="F214" s="29" t="s">
        <v>67</v>
      </c>
      <c r="G214" s="29" t="s">
        <v>70</v>
      </c>
      <c r="H214" s="30" t="s">
        <v>70</v>
      </c>
      <c r="I214" s="29" t="s">
        <v>257</v>
      </c>
      <c r="J214" s="29" t="s">
        <v>68</v>
      </c>
      <c r="K214" s="30" t="s">
        <v>68</v>
      </c>
      <c r="L214" s="29" t="str">
        <f t="shared" si="3"/>
        <v>KAMPALA-MBARARA</v>
      </c>
      <c r="M214" s="31">
        <v>58</v>
      </c>
      <c r="N214" s="72">
        <v>20000</v>
      </c>
      <c r="O214" s="34">
        <v>4.9000000000000004</v>
      </c>
    </row>
    <row r="215" spans="2:15" x14ac:dyDescent="0.2">
      <c r="B215" s="27">
        <v>0.65347222222222223</v>
      </c>
      <c r="C215" s="28">
        <v>6</v>
      </c>
      <c r="D215" s="33" t="str">
        <f>IF(C215="", "",VLOOKUP(C215,Key!$A$5:$B$7,2,FALSE))</f>
        <v>Large Bus</v>
      </c>
      <c r="E215" s="29" t="s">
        <v>90</v>
      </c>
      <c r="F215" s="29" t="s">
        <v>67</v>
      </c>
      <c r="G215" s="29" t="s">
        <v>70</v>
      </c>
      <c r="H215" s="30" t="s">
        <v>70</v>
      </c>
      <c r="I215" s="29" t="s">
        <v>257</v>
      </c>
      <c r="J215" s="29" t="s">
        <v>68</v>
      </c>
      <c r="K215" s="30" t="s">
        <v>68</v>
      </c>
      <c r="L215" s="29" t="str">
        <f t="shared" si="3"/>
        <v>KAMPALA-MBARARA</v>
      </c>
      <c r="M215" s="31">
        <v>65</v>
      </c>
      <c r="N215" s="72">
        <v>20000</v>
      </c>
      <c r="O215" s="34">
        <v>4.9000000000000004</v>
      </c>
    </row>
    <row r="216" spans="2:15" x14ac:dyDescent="0.2">
      <c r="B216" s="27">
        <v>0.66805555555555562</v>
      </c>
      <c r="C216" s="28">
        <v>6</v>
      </c>
      <c r="D216" s="33" t="str">
        <f>IF(C216="", "",VLOOKUP(C216,Key!$A$5:$B$7,2,FALSE))</f>
        <v>Large Bus</v>
      </c>
      <c r="E216" s="29" t="s">
        <v>90</v>
      </c>
      <c r="F216" s="29" t="s">
        <v>67</v>
      </c>
      <c r="G216" s="29" t="s">
        <v>70</v>
      </c>
      <c r="H216" s="30" t="s">
        <v>70</v>
      </c>
      <c r="I216" s="29" t="s">
        <v>257</v>
      </c>
      <c r="J216" s="29" t="s">
        <v>68</v>
      </c>
      <c r="K216" s="30" t="s">
        <v>68</v>
      </c>
      <c r="L216" s="29" t="str">
        <f t="shared" si="3"/>
        <v>KAMPALA-MBARARA</v>
      </c>
      <c r="M216" s="31">
        <v>59</v>
      </c>
      <c r="N216" s="72">
        <v>20000</v>
      </c>
      <c r="O216" s="34">
        <v>4.9000000000000004</v>
      </c>
    </row>
    <row r="217" spans="2:15" x14ac:dyDescent="0.2">
      <c r="B217" s="27">
        <v>0.6777777777777777</v>
      </c>
      <c r="C217" s="28">
        <v>6</v>
      </c>
      <c r="D217" s="33" t="str">
        <f>IF(C217="", "",VLOOKUP(C217,Key!$A$5:$B$7,2,FALSE))</f>
        <v>Large Bus</v>
      </c>
      <c r="E217" s="29" t="s">
        <v>90</v>
      </c>
      <c r="F217" s="29" t="s">
        <v>67</v>
      </c>
      <c r="G217" s="29" t="s">
        <v>70</v>
      </c>
      <c r="H217" s="30" t="s">
        <v>70</v>
      </c>
      <c r="I217" s="29" t="s">
        <v>257</v>
      </c>
      <c r="J217" s="29" t="s">
        <v>68</v>
      </c>
      <c r="K217" s="30" t="s">
        <v>68</v>
      </c>
      <c r="L217" s="29" t="str">
        <f t="shared" si="3"/>
        <v>KAMPALA-MBARARA</v>
      </c>
      <c r="M217" s="31">
        <v>63</v>
      </c>
      <c r="N217" s="72">
        <v>20000</v>
      </c>
      <c r="O217" s="34">
        <v>4.9000000000000004</v>
      </c>
    </row>
    <row r="218" spans="2:15" x14ac:dyDescent="0.2">
      <c r="B218" s="27">
        <v>0.69166666666666676</v>
      </c>
      <c r="C218" s="28">
        <v>6</v>
      </c>
      <c r="D218" s="33" t="str">
        <f>IF(C218="", "",VLOOKUP(C218,Key!$A$5:$B$7,2,FALSE))</f>
        <v>Large Bus</v>
      </c>
      <c r="E218" s="29" t="s">
        <v>90</v>
      </c>
      <c r="F218" s="29" t="s">
        <v>67</v>
      </c>
      <c r="G218" s="29" t="s">
        <v>70</v>
      </c>
      <c r="H218" s="30" t="s">
        <v>70</v>
      </c>
      <c r="I218" s="29" t="s">
        <v>257</v>
      </c>
      <c r="J218" s="29" t="s">
        <v>68</v>
      </c>
      <c r="K218" s="30" t="s">
        <v>68</v>
      </c>
      <c r="L218" s="29" t="str">
        <f t="shared" si="3"/>
        <v>KAMPALA-MBARARA</v>
      </c>
      <c r="M218" s="31">
        <v>65</v>
      </c>
      <c r="N218" s="72">
        <v>20000</v>
      </c>
      <c r="O218" s="34">
        <v>4.9000000000000004</v>
      </c>
    </row>
    <row r="219" spans="2:15" x14ac:dyDescent="0.2">
      <c r="B219" s="27">
        <v>0.70347222222222217</v>
      </c>
      <c r="C219" s="28">
        <v>6</v>
      </c>
      <c r="D219" s="33" t="str">
        <f>IF(C219="", "",VLOOKUP(C219,Key!$A$5:$B$7,2,FALSE))</f>
        <v>Large Bus</v>
      </c>
      <c r="E219" s="29" t="s">
        <v>90</v>
      </c>
      <c r="F219" s="29" t="s">
        <v>67</v>
      </c>
      <c r="G219" s="29" t="s">
        <v>70</v>
      </c>
      <c r="H219" s="30" t="s">
        <v>70</v>
      </c>
      <c r="I219" s="29" t="s">
        <v>257</v>
      </c>
      <c r="J219" s="29" t="s">
        <v>68</v>
      </c>
      <c r="K219" s="30" t="s">
        <v>68</v>
      </c>
      <c r="L219" s="29" t="str">
        <f t="shared" si="3"/>
        <v>KAMPALA-MBARARA</v>
      </c>
      <c r="M219" s="31">
        <v>65</v>
      </c>
      <c r="N219" s="72">
        <v>20000</v>
      </c>
      <c r="O219" s="34">
        <v>4.9000000000000004</v>
      </c>
    </row>
    <row r="220" spans="2:15" x14ac:dyDescent="0.2">
      <c r="B220" s="27">
        <v>0.71875</v>
      </c>
      <c r="C220" s="28">
        <v>6</v>
      </c>
      <c r="D220" s="33" t="str">
        <f>IF(C220="", "",VLOOKUP(C220,Key!$A$5:$B$7,2,FALSE))</f>
        <v>Large Bus</v>
      </c>
      <c r="E220" s="29" t="s">
        <v>90</v>
      </c>
      <c r="F220" s="29" t="s">
        <v>67</v>
      </c>
      <c r="G220" s="29" t="s">
        <v>70</v>
      </c>
      <c r="H220" s="30" t="s">
        <v>70</v>
      </c>
      <c r="I220" s="29" t="s">
        <v>257</v>
      </c>
      <c r="J220" s="29" t="s">
        <v>68</v>
      </c>
      <c r="K220" s="30" t="s">
        <v>68</v>
      </c>
      <c r="L220" s="29" t="str">
        <f t="shared" si="3"/>
        <v>KAMPALA-MBARARA</v>
      </c>
      <c r="M220" s="31">
        <v>62</v>
      </c>
      <c r="N220" s="72">
        <v>20000</v>
      </c>
      <c r="O220" s="34">
        <v>4.9000000000000004</v>
      </c>
    </row>
    <row r="221" spans="2:15" x14ac:dyDescent="0.2">
      <c r="B221" s="27">
        <v>0.73402777777777783</v>
      </c>
      <c r="C221" s="28">
        <v>6</v>
      </c>
      <c r="D221" s="33" t="str">
        <f>IF(C221="", "",VLOOKUP(C221,Key!$A$5:$B$7,2,FALSE))</f>
        <v>Large Bus</v>
      </c>
      <c r="E221" s="29" t="s">
        <v>90</v>
      </c>
      <c r="F221" s="29" t="s">
        <v>67</v>
      </c>
      <c r="G221" s="29" t="s">
        <v>70</v>
      </c>
      <c r="H221" s="30" t="s">
        <v>70</v>
      </c>
      <c r="I221" s="29" t="s">
        <v>257</v>
      </c>
      <c r="J221" s="29" t="s">
        <v>68</v>
      </c>
      <c r="K221" s="30" t="s">
        <v>68</v>
      </c>
      <c r="L221" s="29" t="str">
        <f t="shared" si="3"/>
        <v>KAMPALA-MBARARA</v>
      </c>
      <c r="M221" s="31">
        <v>67</v>
      </c>
      <c r="N221" s="72">
        <v>20000</v>
      </c>
      <c r="O221" s="34">
        <v>4.9000000000000004</v>
      </c>
    </row>
    <row r="222" spans="2:15" x14ac:dyDescent="0.2">
      <c r="B222" s="27">
        <v>0.75277777777777777</v>
      </c>
      <c r="C222" s="28">
        <v>6</v>
      </c>
      <c r="D222" s="33" t="str">
        <f>IF(C222="", "",VLOOKUP(C222,Key!$A$5:$B$7,2,FALSE))</f>
        <v>Large Bus</v>
      </c>
      <c r="E222" s="29" t="s">
        <v>90</v>
      </c>
      <c r="F222" s="29" t="s">
        <v>67</v>
      </c>
      <c r="G222" s="29" t="s">
        <v>70</v>
      </c>
      <c r="H222" s="30" t="s">
        <v>70</v>
      </c>
      <c r="I222" s="29" t="s">
        <v>257</v>
      </c>
      <c r="J222" s="29" t="s">
        <v>68</v>
      </c>
      <c r="K222" s="30" t="s">
        <v>68</v>
      </c>
      <c r="L222" s="29" t="str">
        <f t="shared" si="3"/>
        <v>KAMPALA-MBARARA</v>
      </c>
      <c r="M222" s="31">
        <v>65</v>
      </c>
      <c r="N222" s="72">
        <v>20000</v>
      </c>
      <c r="O222" s="34">
        <v>4.9000000000000004</v>
      </c>
    </row>
    <row r="223" spans="2:15" x14ac:dyDescent="0.2">
      <c r="B223" s="27">
        <v>0.77083333333333337</v>
      </c>
      <c r="C223" s="28">
        <v>6</v>
      </c>
      <c r="D223" s="33" t="str">
        <f>IF(C223="", "",VLOOKUP(C223,Key!$A$5:$B$7,2,FALSE))</f>
        <v>Large Bus</v>
      </c>
      <c r="E223" s="29" t="s">
        <v>90</v>
      </c>
      <c r="F223" s="29" t="s">
        <v>67</v>
      </c>
      <c r="G223" s="29" t="s">
        <v>70</v>
      </c>
      <c r="H223" s="30" t="s">
        <v>70</v>
      </c>
      <c r="I223" s="29" t="s">
        <v>257</v>
      </c>
      <c r="J223" s="29" t="s">
        <v>68</v>
      </c>
      <c r="K223" s="30" t="s">
        <v>68</v>
      </c>
      <c r="L223" s="29" t="str">
        <f t="shared" si="3"/>
        <v>KAMPALA-MBARARA</v>
      </c>
      <c r="M223" s="31">
        <v>65</v>
      </c>
      <c r="N223" s="72">
        <v>20000</v>
      </c>
      <c r="O223" s="34">
        <v>4.9000000000000004</v>
      </c>
    </row>
    <row r="224" spans="2:15" x14ac:dyDescent="0.2">
      <c r="B224" s="27">
        <v>0.79236111111111107</v>
      </c>
      <c r="C224" s="28">
        <v>6</v>
      </c>
      <c r="D224" s="33" t="str">
        <f>IF(C224="", "",VLOOKUP(C224,Key!$A$5:$B$7,2,FALSE))</f>
        <v>Large Bus</v>
      </c>
      <c r="E224" s="29" t="s">
        <v>90</v>
      </c>
      <c r="F224" s="29" t="s">
        <v>67</v>
      </c>
      <c r="G224" s="29" t="s">
        <v>70</v>
      </c>
      <c r="H224" s="30" t="s">
        <v>70</v>
      </c>
      <c r="I224" s="29" t="s">
        <v>257</v>
      </c>
      <c r="J224" s="29" t="s">
        <v>68</v>
      </c>
      <c r="K224" s="30" t="s">
        <v>68</v>
      </c>
      <c r="L224" s="29" t="str">
        <f t="shared" si="3"/>
        <v>KAMPALA-MBARARA</v>
      </c>
      <c r="M224" s="31">
        <v>67</v>
      </c>
      <c r="N224" s="72">
        <v>20000</v>
      </c>
      <c r="O224" s="34">
        <v>4.9000000000000004</v>
      </c>
    </row>
    <row r="225" spans="2:15" x14ac:dyDescent="0.2">
      <c r="B225" s="27">
        <v>0.32708333333333334</v>
      </c>
      <c r="C225" s="28">
        <v>6</v>
      </c>
      <c r="D225" s="33" t="str">
        <f>IF(C225="", "",VLOOKUP(C225,Key!$A$5:$B$7,2,FALSE))</f>
        <v>Large Bus</v>
      </c>
      <c r="E225" s="29" t="s">
        <v>90</v>
      </c>
      <c r="F225" s="29" t="s">
        <v>67</v>
      </c>
      <c r="G225" s="29" t="s">
        <v>70</v>
      </c>
      <c r="H225" s="30" t="s">
        <v>70</v>
      </c>
      <c r="I225" s="29" t="s">
        <v>257</v>
      </c>
      <c r="J225" s="29" t="s">
        <v>68</v>
      </c>
      <c r="K225" s="30" t="s">
        <v>68</v>
      </c>
      <c r="L225" s="29" t="str">
        <f t="shared" si="3"/>
        <v>KAMPALA-MBARARA</v>
      </c>
      <c r="M225" s="31">
        <v>65</v>
      </c>
      <c r="N225" s="72">
        <v>20000</v>
      </c>
      <c r="O225" s="34">
        <v>4.9000000000000004</v>
      </c>
    </row>
    <row r="226" spans="2:15" x14ac:dyDescent="0.2">
      <c r="B226" s="27">
        <v>0.7631944444444444</v>
      </c>
      <c r="C226" s="28">
        <v>6</v>
      </c>
      <c r="D226" s="33" t="str">
        <f>IF(C226="", "",VLOOKUP(C226,Key!$A$5:$B$7,2,FALSE))</f>
        <v>Large Bus</v>
      </c>
      <c r="E226" s="29" t="s">
        <v>90</v>
      </c>
      <c r="F226" s="29" t="s">
        <v>67</v>
      </c>
      <c r="G226" s="29" t="s">
        <v>70</v>
      </c>
      <c r="H226" s="30" t="s">
        <v>70</v>
      </c>
      <c r="I226" s="29" t="s">
        <v>257</v>
      </c>
      <c r="J226" s="29" t="s">
        <v>68</v>
      </c>
      <c r="K226" s="30" t="s">
        <v>68</v>
      </c>
      <c r="L226" s="29" t="str">
        <f t="shared" si="3"/>
        <v>KAMPALA-MBARARA</v>
      </c>
      <c r="M226" s="31">
        <v>65</v>
      </c>
      <c r="N226" s="72">
        <v>20000</v>
      </c>
      <c r="O226" s="34">
        <v>4.9000000000000004</v>
      </c>
    </row>
    <row r="227" spans="2:15" x14ac:dyDescent="0.2">
      <c r="B227" s="27">
        <v>0.36041666666666666</v>
      </c>
      <c r="C227" s="28">
        <v>6</v>
      </c>
      <c r="D227" s="33" t="str">
        <f>IF(C227="", "",VLOOKUP(C227,Key!$A$5:$B$7,2,FALSE))</f>
        <v>Large Bus</v>
      </c>
      <c r="E227" s="29" t="s">
        <v>90</v>
      </c>
      <c r="F227" s="29" t="s">
        <v>67</v>
      </c>
      <c r="G227" s="29" t="s">
        <v>70</v>
      </c>
      <c r="H227" s="30" t="s">
        <v>70</v>
      </c>
      <c r="I227" s="29" t="s">
        <v>257</v>
      </c>
      <c r="J227" s="29" t="s">
        <v>68</v>
      </c>
      <c r="K227" s="30" t="s">
        <v>68</v>
      </c>
      <c r="L227" s="29" t="str">
        <f t="shared" si="3"/>
        <v>KAMPALA-MBARARA</v>
      </c>
      <c r="M227" s="31">
        <v>67</v>
      </c>
      <c r="N227" s="72">
        <v>20000</v>
      </c>
      <c r="O227" s="34">
        <v>4.9000000000000004</v>
      </c>
    </row>
    <row r="228" spans="2:15" x14ac:dyDescent="0.2">
      <c r="B228" s="27">
        <v>0.37708333333333338</v>
      </c>
      <c r="C228" s="28">
        <v>6</v>
      </c>
      <c r="D228" s="33" t="str">
        <f>IF(C228="", "",VLOOKUP(C228,Key!$A$5:$B$7,2,FALSE))</f>
        <v>Large Bus</v>
      </c>
      <c r="E228" s="29" t="s">
        <v>90</v>
      </c>
      <c r="F228" s="29" t="s">
        <v>67</v>
      </c>
      <c r="G228" s="29" t="s">
        <v>70</v>
      </c>
      <c r="H228" s="30" t="s">
        <v>70</v>
      </c>
      <c r="I228" s="29" t="s">
        <v>257</v>
      </c>
      <c r="J228" s="29" t="s">
        <v>68</v>
      </c>
      <c r="K228" s="30" t="s">
        <v>68</v>
      </c>
      <c r="L228" s="29" t="str">
        <f t="shared" si="3"/>
        <v>KAMPALA-MBARARA</v>
      </c>
      <c r="M228" s="31">
        <v>67</v>
      </c>
      <c r="N228" s="72">
        <v>20000</v>
      </c>
      <c r="O228" s="34">
        <v>4.9000000000000004</v>
      </c>
    </row>
    <row r="229" spans="2:15" x14ac:dyDescent="0.2">
      <c r="B229" s="27">
        <v>0.39652777777777781</v>
      </c>
      <c r="C229" s="28">
        <v>6</v>
      </c>
      <c r="D229" s="33" t="str">
        <f>IF(C229="", "",VLOOKUP(C229,Key!$A$5:$B$7,2,FALSE))</f>
        <v>Large Bus</v>
      </c>
      <c r="E229" s="29" t="s">
        <v>90</v>
      </c>
      <c r="F229" s="29" t="s">
        <v>67</v>
      </c>
      <c r="G229" s="29" t="s">
        <v>70</v>
      </c>
      <c r="H229" s="30" t="s">
        <v>70</v>
      </c>
      <c r="I229" s="29" t="s">
        <v>257</v>
      </c>
      <c r="J229" s="29" t="s">
        <v>68</v>
      </c>
      <c r="K229" s="30" t="s">
        <v>68</v>
      </c>
      <c r="L229" s="29" t="str">
        <f t="shared" si="3"/>
        <v>KAMPALA-MBARARA</v>
      </c>
      <c r="M229" s="31">
        <v>67</v>
      </c>
      <c r="N229" s="72">
        <v>20000</v>
      </c>
      <c r="O229" s="34">
        <v>4.9000000000000004</v>
      </c>
    </row>
    <row r="230" spans="2:15" x14ac:dyDescent="0.2">
      <c r="B230" s="27">
        <v>0.41180555555555554</v>
      </c>
      <c r="C230" s="28">
        <v>6</v>
      </c>
      <c r="D230" s="33" t="str">
        <f>IF(C230="", "",VLOOKUP(C230,Key!$A$5:$B$7,2,FALSE))</f>
        <v>Large Bus</v>
      </c>
      <c r="E230" s="29" t="s">
        <v>90</v>
      </c>
      <c r="F230" s="29" t="s">
        <v>67</v>
      </c>
      <c r="G230" s="29" t="s">
        <v>70</v>
      </c>
      <c r="H230" s="30" t="s">
        <v>70</v>
      </c>
      <c r="I230" s="29" t="s">
        <v>257</v>
      </c>
      <c r="J230" s="29" t="s">
        <v>68</v>
      </c>
      <c r="K230" s="30" t="s">
        <v>68</v>
      </c>
      <c r="L230" s="29" t="str">
        <f t="shared" si="3"/>
        <v>KAMPALA-MBARARA</v>
      </c>
      <c r="M230" s="31">
        <v>65</v>
      </c>
      <c r="N230" s="72">
        <v>20000</v>
      </c>
      <c r="O230" s="34">
        <v>4.9000000000000004</v>
      </c>
    </row>
    <row r="231" spans="2:15" x14ac:dyDescent="0.2">
      <c r="B231" s="27">
        <v>0.42083333333333334</v>
      </c>
      <c r="C231" s="28">
        <v>6</v>
      </c>
      <c r="D231" s="33" t="str">
        <f>IF(C231="", "",VLOOKUP(C231,Key!$A$5:$B$7,2,FALSE))</f>
        <v>Large Bus</v>
      </c>
      <c r="E231" s="29" t="s">
        <v>90</v>
      </c>
      <c r="F231" s="29" t="s">
        <v>67</v>
      </c>
      <c r="G231" s="29" t="s">
        <v>70</v>
      </c>
      <c r="H231" s="30" t="s">
        <v>70</v>
      </c>
      <c r="I231" s="29" t="s">
        <v>257</v>
      </c>
      <c r="J231" s="29" t="s">
        <v>68</v>
      </c>
      <c r="K231" s="30" t="s">
        <v>68</v>
      </c>
      <c r="L231" s="29" t="str">
        <f t="shared" si="3"/>
        <v>KAMPALA-MBARARA</v>
      </c>
      <c r="M231" s="31">
        <v>65</v>
      </c>
      <c r="N231" s="72">
        <v>20000</v>
      </c>
      <c r="O231" s="34">
        <v>4.9000000000000004</v>
      </c>
    </row>
    <row r="232" spans="2:15" x14ac:dyDescent="0.2">
      <c r="B232" s="27">
        <v>0.43472222222222223</v>
      </c>
      <c r="C232" s="28">
        <v>6</v>
      </c>
      <c r="D232" s="33" t="str">
        <f>IF(C232="", "",VLOOKUP(C232,Key!$A$5:$B$7,2,FALSE))</f>
        <v>Large Bus</v>
      </c>
      <c r="E232" s="29" t="s">
        <v>90</v>
      </c>
      <c r="F232" s="29" t="s">
        <v>67</v>
      </c>
      <c r="G232" s="29" t="s">
        <v>70</v>
      </c>
      <c r="H232" s="30" t="s">
        <v>70</v>
      </c>
      <c r="I232" s="29" t="s">
        <v>257</v>
      </c>
      <c r="J232" s="29" t="s">
        <v>68</v>
      </c>
      <c r="K232" s="30" t="s">
        <v>68</v>
      </c>
      <c r="L232" s="29" t="str">
        <f t="shared" si="3"/>
        <v>KAMPALA-MBARARA</v>
      </c>
      <c r="M232" s="31">
        <v>65</v>
      </c>
      <c r="N232" s="72">
        <v>20000</v>
      </c>
      <c r="O232" s="34">
        <v>4.9000000000000004</v>
      </c>
    </row>
    <row r="233" spans="2:15" x14ac:dyDescent="0.2">
      <c r="B233" s="27">
        <v>0.44305555555555554</v>
      </c>
      <c r="C233" s="28">
        <v>6</v>
      </c>
      <c r="D233" s="33" t="str">
        <f>IF(C233="", "",VLOOKUP(C233,Key!$A$5:$B$7,2,FALSE))</f>
        <v>Large Bus</v>
      </c>
      <c r="E233" s="29" t="s">
        <v>90</v>
      </c>
      <c r="F233" s="29" t="s">
        <v>67</v>
      </c>
      <c r="G233" s="29" t="s">
        <v>70</v>
      </c>
      <c r="H233" s="30" t="s">
        <v>70</v>
      </c>
      <c r="I233" s="29" t="s">
        <v>257</v>
      </c>
      <c r="J233" s="29" t="s">
        <v>68</v>
      </c>
      <c r="K233" s="30" t="s">
        <v>68</v>
      </c>
      <c r="L233" s="29" t="str">
        <f t="shared" si="3"/>
        <v>KAMPALA-MBARARA</v>
      </c>
      <c r="M233" s="31">
        <v>65</v>
      </c>
      <c r="N233" s="72">
        <v>20000</v>
      </c>
      <c r="O233" s="34">
        <v>4.9000000000000004</v>
      </c>
    </row>
    <row r="234" spans="2:15" x14ac:dyDescent="0.2">
      <c r="B234" s="27">
        <v>0.4597222222222222</v>
      </c>
      <c r="C234" s="28">
        <v>6</v>
      </c>
      <c r="D234" s="33" t="str">
        <f>IF(C234="", "",VLOOKUP(C234,Key!$A$5:$B$7,2,FALSE))</f>
        <v>Large Bus</v>
      </c>
      <c r="E234" s="29" t="s">
        <v>90</v>
      </c>
      <c r="F234" s="29" t="s">
        <v>67</v>
      </c>
      <c r="G234" s="29" t="s">
        <v>70</v>
      </c>
      <c r="H234" s="30" t="s">
        <v>70</v>
      </c>
      <c r="I234" s="29" t="s">
        <v>257</v>
      </c>
      <c r="J234" s="29" t="s">
        <v>68</v>
      </c>
      <c r="K234" s="30" t="s">
        <v>68</v>
      </c>
      <c r="L234" s="29" t="str">
        <f t="shared" si="3"/>
        <v>KAMPALA-MBARARA</v>
      </c>
      <c r="M234" s="31">
        <v>67</v>
      </c>
      <c r="N234" s="72">
        <v>20000</v>
      </c>
      <c r="O234" s="34">
        <v>4.9000000000000004</v>
      </c>
    </row>
    <row r="235" spans="2:15" x14ac:dyDescent="0.2">
      <c r="B235" s="27">
        <v>0.47013888888888888</v>
      </c>
      <c r="C235" s="28">
        <v>6</v>
      </c>
      <c r="D235" s="33" t="str">
        <f>IF(C235="", "",VLOOKUP(C235,Key!$A$5:$B$7,2,FALSE))</f>
        <v>Large Bus</v>
      </c>
      <c r="E235" s="29" t="s">
        <v>90</v>
      </c>
      <c r="F235" s="29" t="s">
        <v>67</v>
      </c>
      <c r="G235" s="29" t="s">
        <v>70</v>
      </c>
      <c r="H235" s="30" t="s">
        <v>70</v>
      </c>
      <c r="I235" s="29" t="s">
        <v>257</v>
      </c>
      <c r="J235" s="29" t="s">
        <v>68</v>
      </c>
      <c r="K235" s="30" t="s">
        <v>68</v>
      </c>
      <c r="L235" s="29" t="str">
        <f t="shared" si="3"/>
        <v>KAMPALA-MBARARA</v>
      </c>
      <c r="M235" s="31">
        <v>65</v>
      </c>
      <c r="N235" s="72">
        <v>20000</v>
      </c>
      <c r="O235" s="34">
        <v>4.9000000000000004</v>
      </c>
    </row>
    <row r="236" spans="2:15" x14ac:dyDescent="0.2">
      <c r="B236" s="27">
        <v>0.4916666666666667</v>
      </c>
      <c r="C236" s="28">
        <v>6</v>
      </c>
      <c r="D236" s="33" t="str">
        <f>IF(C236="", "",VLOOKUP(C236,Key!$A$5:$B$7,2,FALSE))</f>
        <v>Large Bus</v>
      </c>
      <c r="E236" s="29" t="s">
        <v>90</v>
      </c>
      <c r="F236" s="29" t="s">
        <v>67</v>
      </c>
      <c r="G236" s="29" t="s">
        <v>70</v>
      </c>
      <c r="H236" s="30" t="s">
        <v>70</v>
      </c>
      <c r="I236" s="29" t="s">
        <v>257</v>
      </c>
      <c r="J236" s="29" t="s">
        <v>68</v>
      </c>
      <c r="K236" s="30" t="s">
        <v>68</v>
      </c>
      <c r="L236" s="29" t="str">
        <f t="shared" si="3"/>
        <v>KAMPALA-MBARARA</v>
      </c>
      <c r="M236" s="31">
        <v>65</v>
      </c>
      <c r="N236" s="72">
        <v>20000</v>
      </c>
      <c r="O236" s="34">
        <v>4.9000000000000004</v>
      </c>
    </row>
    <row r="237" spans="2:15" x14ac:dyDescent="0.2">
      <c r="B237" s="27">
        <v>0.50763888888888886</v>
      </c>
      <c r="C237" s="28">
        <v>6</v>
      </c>
      <c r="D237" s="33" t="str">
        <f>IF(C237="", "",VLOOKUP(C237,Key!$A$5:$B$7,2,FALSE))</f>
        <v>Large Bus</v>
      </c>
      <c r="E237" s="29" t="s">
        <v>90</v>
      </c>
      <c r="F237" s="29" t="s">
        <v>67</v>
      </c>
      <c r="G237" s="29" t="s">
        <v>70</v>
      </c>
      <c r="H237" s="30" t="s">
        <v>70</v>
      </c>
      <c r="I237" s="29" t="s">
        <v>257</v>
      </c>
      <c r="J237" s="29" t="s">
        <v>68</v>
      </c>
      <c r="K237" s="30" t="s">
        <v>68</v>
      </c>
      <c r="L237" s="29" t="str">
        <f t="shared" si="3"/>
        <v>KAMPALA-MBARARA</v>
      </c>
      <c r="M237" s="31">
        <v>65</v>
      </c>
      <c r="N237" s="72">
        <v>20000</v>
      </c>
      <c r="O237" s="34">
        <v>4.9000000000000004</v>
      </c>
    </row>
    <row r="238" spans="2:15" x14ac:dyDescent="0.2">
      <c r="B238" s="27">
        <v>0.5180555555555556</v>
      </c>
      <c r="C238" s="28">
        <v>6</v>
      </c>
      <c r="D238" s="33" t="str">
        <f>IF(C238="", "",VLOOKUP(C238,Key!$A$5:$B$7,2,FALSE))</f>
        <v>Large Bus</v>
      </c>
      <c r="E238" s="29" t="s">
        <v>90</v>
      </c>
      <c r="F238" s="29" t="s">
        <v>67</v>
      </c>
      <c r="G238" s="29" t="s">
        <v>70</v>
      </c>
      <c r="H238" s="30" t="s">
        <v>70</v>
      </c>
      <c r="I238" s="29" t="s">
        <v>257</v>
      </c>
      <c r="J238" s="29" t="s">
        <v>68</v>
      </c>
      <c r="K238" s="30" t="s">
        <v>68</v>
      </c>
      <c r="L238" s="29" t="str">
        <f t="shared" si="3"/>
        <v>KAMPALA-MBARARA</v>
      </c>
      <c r="M238" s="31">
        <v>65</v>
      </c>
      <c r="N238" s="72">
        <v>20000</v>
      </c>
      <c r="O238" s="34">
        <v>4.9000000000000004</v>
      </c>
    </row>
    <row r="239" spans="2:15" x14ac:dyDescent="0.2">
      <c r="B239" s="27">
        <v>0.53055555555555556</v>
      </c>
      <c r="C239" s="28">
        <v>6</v>
      </c>
      <c r="D239" s="33" t="str">
        <f>IF(C239="", "",VLOOKUP(C239,Key!$A$5:$B$7,2,FALSE))</f>
        <v>Large Bus</v>
      </c>
      <c r="E239" s="29" t="s">
        <v>90</v>
      </c>
      <c r="F239" s="29" t="s">
        <v>67</v>
      </c>
      <c r="G239" s="29" t="s">
        <v>70</v>
      </c>
      <c r="H239" s="30" t="s">
        <v>70</v>
      </c>
      <c r="I239" s="29" t="s">
        <v>257</v>
      </c>
      <c r="J239" s="29" t="s">
        <v>68</v>
      </c>
      <c r="K239" s="30" t="s">
        <v>68</v>
      </c>
      <c r="L239" s="29" t="str">
        <f t="shared" si="3"/>
        <v>KAMPALA-MBARARA</v>
      </c>
      <c r="M239" s="31">
        <v>65</v>
      </c>
      <c r="N239" s="72">
        <v>20000</v>
      </c>
      <c r="O239" s="34">
        <v>4.9000000000000004</v>
      </c>
    </row>
    <row r="240" spans="2:15" x14ac:dyDescent="0.2">
      <c r="B240" s="27">
        <v>0.54583333333333328</v>
      </c>
      <c r="C240" s="28">
        <v>6</v>
      </c>
      <c r="D240" s="33" t="str">
        <f>IF(C240="", "",VLOOKUP(C240,Key!$A$5:$B$7,2,FALSE))</f>
        <v>Large Bus</v>
      </c>
      <c r="E240" s="29" t="s">
        <v>90</v>
      </c>
      <c r="F240" s="29" t="s">
        <v>67</v>
      </c>
      <c r="G240" s="29" t="s">
        <v>70</v>
      </c>
      <c r="H240" s="30" t="s">
        <v>70</v>
      </c>
      <c r="I240" s="29" t="s">
        <v>257</v>
      </c>
      <c r="J240" s="29" t="s">
        <v>68</v>
      </c>
      <c r="K240" s="30" t="s">
        <v>68</v>
      </c>
      <c r="L240" s="29" t="str">
        <f t="shared" si="3"/>
        <v>KAMPALA-MBARARA</v>
      </c>
      <c r="M240" s="31">
        <v>64</v>
      </c>
      <c r="N240" s="72">
        <v>20000</v>
      </c>
      <c r="O240" s="34">
        <v>4.9000000000000004</v>
      </c>
    </row>
    <row r="241" spans="2:15" x14ac:dyDescent="0.2">
      <c r="B241" s="27">
        <v>0.54861111111111105</v>
      </c>
      <c r="C241" s="28">
        <v>6</v>
      </c>
      <c r="D241" s="33" t="str">
        <f>IF(C241="", "",VLOOKUP(C241,Key!$A$5:$B$7,2,FALSE))</f>
        <v>Large Bus</v>
      </c>
      <c r="E241" s="29" t="s">
        <v>90</v>
      </c>
      <c r="F241" s="29" t="s">
        <v>67</v>
      </c>
      <c r="G241" s="29" t="s">
        <v>70</v>
      </c>
      <c r="H241" s="30" t="s">
        <v>70</v>
      </c>
      <c r="I241" s="29" t="s">
        <v>257</v>
      </c>
      <c r="J241" s="29" t="s">
        <v>68</v>
      </c>
      <c r="K241" s="30" t="s">
        <v>68</v>
      </c>
      <c r="L241" s="29" t="str">
        <f t="shared" si="3"/>
        <v>KAMPALA-MBARARA</v>
      </c>
      <c r="M241" s="31">
        <v>50</v>
      </c>
      <c r="N241" s="72">
        <v>20000</v>
      </c>
      <c r="O241" s="34">
        <v>4.9000000000000004</v>
      </c>
    </row>
    <row r="242" spans="2:15" x14ac:dyDescent="0.2">
      <c r="B242" s="27">
        <v>0.55625000000000002</v>
      </c>
      <c r="C242" s="28">
        <v>6</v>
      </c>
      <c r="D242" s="33" t="str">
        <f>IF(C242="", "",VLOOKUP(C242,Key!$A$5:$B$7,2,FALSE))</f>
        <v>Large Bus</v>
      </c>
      <c r="E242" s="29" t="s">
        <v>90</v>
      </c>
      <c r="F242" s="29" t="s">
        <v>67</v>
      </c>
      <c r="G242" s="29" t="s">
        <v>70</v>
      </c>
      <c r="H242" s="30" t="s">
        <v>70</v>
      </c>
      <c r="I242" s="29" t="s">
        <v>257</v>
      </c>
      <c r="J242" s="29" t="s">
        <v>68</v>
      </c>
      <c r="K242" s="30" t="s">
        <v>68</v>
      </c>
      <c r="L242" s="29" t="str">
        <f t="shared" si="3"/>
        <v>KAMPALA-MBARARA</v>
      </c>
      <c r="M242" s="31">
        <v>67</v>
      </c>
      <c r="N242" s="72">
        <v>20000</v>
      </c>
      <c r="O242" s="34">
        <v>4.9000000000000004</v>
      </c>
    </row>
    <row r="243" spans="2:15" x14ac:dyDescent="0.2">
      <c r="B243" s="27">
        <v>0.57777777777777783</v>
      </c>
      <c r="C243" s="28">
        <v>6</v>
      </c>
      <c r="D243" s="33" t="str">
        <f>IF(C243="", "",VLOOKUP(C243,Key!$A$5:$B$7,2,FALSE))</f>
        <v>Large Bus</v>
      </c>
      <c r="E243" s="29" t="s">
        <v>90</v>
      </c>
      <c r="F243" s="29" t="s">
        <v>67</v>
      </c>
      <c r="G243" s="29" t="s">
        <v>70</v>
      </c>
      <c r="H243" s="30" t="s">
        <v>70</v>
      </c>
      <c r="I243" s="29" t="s">
        <v>257</v>
      </c>
      <c r="J243" s="29" t="s">
        <v>68</v>
      </c>
      <c r="K243" s="30" t="s">
        <v>68</v>
      </c>
      <c r="L243" s="29" t="str">
        <f t="shared" si="3"/>
        <v>KAMPALA-MBARARA</v>
      </c>
      <c r="M243" s="31">
        <v>65</v>
      </c>
      <c r="N243" s="72">
        <v>20000</v>
      </c>
      <c r="O243" s="34">
        <v>4.9000000000000004</v>
      </c>
    </row>
    <row r="244" spans="2:15" x14ac:dyDescent="0.2">
      <c r="B244" s="27">
        <v>0.59513888888888888</v>
      </c>
      <c r="C244" s="28">
        <v>6</v>
      </c>
      <c r="D244" s="33" t="str">
        <f>IF(C244="", "",VLOOKUP(C244,Key!$A$5:$B$7,2,FALSE))</f>
        <v>Large Bus</v>
      </c>
      <c r="E244" s="29" t="s">
        <v>90</v>
      </c>
      <c r="F244" s="29" t="s">
        <v>67</v>
      </c>
      <c r="G244" s="29" t="s">
        <v>70</v>
      </c>
      <c r="H244" s="30" t="s">
        <v>70</v>
      </c>
      <c r="I244" s="29" t="s">
        <v>257</v>
      </c>
      <c r="J244" s="29" t="s">
        <v>68</v>
      </c>
      <c r="K244" s="30" t="s">
        <v>68</v>
      </c>
      <c r="L244" s="29" t="str">
        <f t="shared" si="3"/>
        <v>KAMPALA-MBARARA</v>
      </c>
      <c r="M244" s="31">
        <v>64</v>
      </c>
      <c r="N244" s="72">
        <v>20000</v>
      </c>
      <c r="O244" s="34">
        <v>4.9000000000000004</v>
      </c>
    </row>
    <row r="245" spans="2:15" x14ac:dyDescent="0.2">
      <c r="B245" s="27">
        <v>0.82500000000000007</v>
      </c>
      <c r="C245" s="28">
        <v>6</v>
      </c>
      <c r="D245" s="33" t="str">
        <f>IF(C245="", "",VLOOKUP(C245,Key!$A$5:$B$7,2,FALSE))</f>
        <v>Large Bus</v>
      </c>
      <c r="E245" s="29" t="s">
        <v>90</v>
      </c>
      <c r="F245" s="29" t="s">
        <v>67</v>
      </c>
      <c r="G245" s="29" t="s">
        <v>70</v>
      </c>
      <c r="H245" s="30" t="s">
        <v>70</v>
      </c>
      <c r="I245" s="29" t="s">
        <v>257</v>
      </c>
      <c r="J245" s="29" t="s">
        <v>68</v>
      </c>
      <c r="K245" s="30" t="s">
        <v>68</v>
      </c>
      <c r="L245" s="29" t="str">
        <f t="shared" si="3"/>
        <v>KAMPALA-MBARARA</v>
      </c>
      <c r="M245" s="31">
        <v>68</v>
      </c>
      <c r="N245" s="72">
        <v>20000</v>
      </c>
      <c r="O245" s="34">
        <v>4.9000000000000004</v>
      </c>
    </row>
    <row r="246" spans="2:15" x14ac:dyDescent="0.2">
      <c r="B246" s="27">
        <v>0.85902777777777783</v>
      </c>
      <c r="C246" s="28">
        <v>6</v>
      </c>
      <c r="D246" s="33" t="str">
        <f>IF(C246="", "",VLOOKUP(C246,Key!$A$5:$B$7,2,FALSE))</f>
        <v>Large Bus</v>
      </c>
      <c r="E246" s="29" t="s">
        <v>90</v>
      </c>
      <c r="F246" s="29" t="s">
        <v>67</v>
      </c>
      <c r="G246" s="29" t="s">
        <v>70</v>
      </c>
      <c r="H246" s="30" t="s">
        <v>70</v>
      </c>
      <c r="I246" s="29" t="s">
        <v>257</v>
      </c>
      <c r="J246" s="29" t="s">
        <v>68</v>
      </c>
      <c r="K246" s="30" t="s">
        <v>68</v>
      </c>
      <c r="L246" s="29" t="str">
        <f t="shared" si="3"/>
        <v>KAMPALA-MBARARA</v>
      </c>
      <c r="M246" s="31">
        <v>68</v>
      </c>
      <c r="N246" s="72">
        <v>20000</v>
      </c>
      <c r="O246" s="34">
        <v>4.9000000000000004</v>
      </c>
    </row>
    <row r="247" spans="2:15" x14ac:dyDescent="0.2">
      <c r="B247" s="27">
        <v>0.89722222222222225</v>
      </c>
      <c r="C247" s="28">
        <v>6</v>
      </c>
      <c r="D247" s="33" t="str">
        <f>IF(C247="", "",VLOOKUP(C247,Key!$A$5:$B$7,2,FALSE))</f>
        <v>Large Bus</v>
      </c>
      <c r="E247" s="29" t="s">
        <v>90</v>
      </c>
      <c r="F247" s="29" t="s">
        <v>67</v>
      </c>
      <c r="G247" s="29" t="s">
        <v>70</v>
      </c>
      <c r="H247" s="30" t="s">
        <v>70</v>
      </c>
      <c r="I247" s="29" t="s">
        <v>257</v>
      </c>
      <c r="J247" s="29" t="s">
        <v>68</v>
      </c>
      <c r="K247" s="30" t="s">
        <v>68</v>
      </c>
      <c r="L247" s="29" t="str">
        <f t="shared" si="3"/>
        <v>KAMPALA-MBARARA</v>
      </c>
      <c r="M247" s="31">
        <v>68</v>
      </c>
      <c r="N247" s="72">
        <v>20000</v>
      </c>
      <c r="O247" s="34">
        <v>4.9000000000000004</v>
      </c>
    </row>
    <row r="248" spans="2:15" x14ac:dyDescent="0.2">
      <c r="B248" s="27">
        <v>0.93402777777777779</v>
      </c>
      <c r="C248" s="28">
        <v>6</v>
      </c>
      <c r="D248" s="33" t="str">
        <f>IF(C248="", "",VLOOKUP(C248,Key!$A$5:$B$7,2,FALSE))</f>
        <v>Large Bus</v>
      </c>
      <c r="E248" s="29" t="s">
        <v>90</v>
      </c>
      <c r="F248" s="29" t="s">
        <v>67</v>
      </c>
      <c r="G248" s="29" t="s">
        <v>70</v>
      </c>
      <c r="H248" s="30" t="s">
        <v>70</v>
      </c>
      <c r="I248" s="29" t="s">
        <v>257</v>
      </c>
      <c r="J248" s="29" t="s">
        <v>68</v>
      </c>
      <c r="K248" s="30" t="s">
        <v>68</v>
      </c>
      <c r="L248" s="29" t="str">
        <f t="shared" si="3"/>
        <v>KAMPALA-MBARARA</v>
      </c>
      <c r="M248" s="31">
        <v>68</v>
      </c>
      <c r="N248" s="72">
        <v>20000</v>
      </c>
      <c r="O248" s="34">
        <v>4.9000000000000004</v>
      </c>
    </row>
    <row r="249" spans="2:15" x14ac:dyDescent="0.2">
      <c r="B249" s="27">
        <v>0.98819444444444438</v>
      </c>
      <c r="C249" s="28">
        <v>6</v>
      </c>
      <c r="D249" s="33" t="str">
        <f>IF(C249="", "",VLOOKUP(C249,Key!$A$5:$B$7,2,FALSE))</f>
        <v>Large Bus</v>
      </c>
      <c r="E249" s="29" t="s">
        <v>90</v>
      </c>
      <c r="F249" s="29" t="s">
        <v>67</v>
      </c>
      <c r="G249" s="29" t="s">
        <v>70</v>
      </c>
      <c r="H249" s="30" t="s">
        <v>70</v>
      </c>
      <c r="I249" s="29" t="s">
        <v>257</v>
      </c>
      <c r="J249" s="29" t="s">
        <v>68</v>
      </c>
      <c r="K249" s="30" t="s">
        <v>68</v>
      </c>
      <c r="L249" s="29" t="str">
        <f t="shared" si="3"/>
        <v>KAMPALA-MBARARA</v>
      </c>
      <c r="M249" s="31">
        <v>67</v>
      </c>
      <c r="N249" s="72">
        <v>20000</v>
      </c>
      <c r="O249" s="34">
        <v>4.9000000000000004</v>
      </c>
    </row>
    <row r="250" spans="2:15" x14ac:dyDescent="0.2">
      <c r="B250" s="27">
        <v>4.027777777777778E-2</v>
      </c>
      <c r="C250" s="28">
        <v>6</v>
      </c>
      <c r="D250" s="33" t="str">
        <f>IF(C250="", "",VLOOKUP(C250,Key!$A$5:$B$7,2,FALSE))</f>
        <v>Large Bus</v>
      </c>
      <c r="E250" s="29" t="s">
        <v>90</v>
      </c>
      <c r="F250" s="29" t="s">
        <v>67</v>
      </c>
      <c r="G250" s="29" t="s">
        <v>70</v>
      </c>
      <c r="H250" s="30" t="s">
        <v>70</v>
      </c>
      <c r="I250" s="29" t="s">
        <v>257</v>
      </c>
      <c r="J250" s="29" t="s">
        <v>68</v>
      </c>
      <c r="K250" s="30" t="s">
        <v>68</v>
      </c>
      <c r="L250" s="29" t="str">
        <f t="shared" si="3"/>
        <v>KAMPALA-MBARARA</v>
      </c>
      <c r="M250" s="31">
        <v>65</v>
      </c>
      <c r="N250" s="72">
        <v>20000</v>
      </c>
      <c r="O250" s="34">
        <v>4.9000000000000004</v>
      </c>
    </row>
    <row r="251" spans="2:15" x14ac:dyDescent="0.2">
      <c r="B251" s="27">
        <v>9.2361111111111116E-2</v>
      </c>
      <c r="C251" s="28">
        <v>6</v>
      </c>
      <c r="D251" s="33" t="str">
        <f>IF(C251="", "",VLOOKUP(C251,Key!$A$5:$B$7,2,FALSE))</f>
        <v>Large Bus</v>
      </c>
      <c r="E251" s="29" t="s">
        <v>90</v>
      </c>
      <c r="F251" s="29" t="s">
        <v>67</v>
      </c>
      <c r="G251" s="29" t="s">
        <v>70</v>
      </c>
      <c r="H251" s="30" t="s">
        <v>70</v>
      </c>
      <c r="I251" s="29" t="s">
        <v>257</v>
      </c>
      <c r="J251" s="29" t="s">
        <v>68</v>
      </c>
      <c r="K251" s="30" t="s">
        <v>68</v>
      </c>
      <c r="L251" s="29" t="str">
        <f t="shared" si="3"/>
        <v>KAMPALA-MBARARA</v>
      </c>
      <c r="M251" s="31">
        <v>65</v>
      </c>
      <c r="N251" s="72">
        <v>20000</v>
      </c>
      <c r="O251" s="34">
        <v>4.9000000000000004</v>
      </c>
    </row>
    <row r="252" spans="2:15" x14ac:dyDescent="0.2">
      <c r="B252" s="27">
        <v>0.14583333333333334</v>
      </c>
      <c r="C252" s="28">
        <v>6</v>
      </c>
      <c r="D252" s="33" t="str">
        <f>IF(C252="", "",VLOOKUP(C252,Key!$A$5:$B$7,2,FALSE))</f>
        <v>Large Bus</v>
      </c>
      <c r="E252" s="29" t="s">
        <v>90</v>
      </c>
      <c r="F252" s="29" t="s">
        <v>67</v>
      </c>
      <c r="G252" s="29" t="s">
        <v>70</v>
      </c>
      <c r="H252" s="30" t="s">
        <v>70</v>
      </c>
      <c r="I252" s="29" t="s">
        <v>257</v>
      </c>
      <c r="J252" s="29" t="s">
        <v>68</v>
      </c>
      <c r="K252" s="30" t="s">
        <v>68</v>
      </c>
      <c r="L252" s="29" t="str">
        <f t="shared" si="3"/>
        <v>KAMPALA-MBARARA</v>
      </c>
      <c r="M252" s="31">
        <v>65</v>
      </c>
      <c r="N252" s="72">
        <v>20000</v>
      </c>
      <c r="O252" s="34">
        <v>4.9000000000000004</v>
      </c>
    </row>
    <row r="253" spans="2:15" x14ac:dyDescent="0.2">
      <c r="B253" s="27">
        <v>0.19722222222222222</v>
      </c>
      <c r="C253" s="28">
        <v>6</v>
      </c>
      <c r="D253" s="33" t="str">
        <f>IF(C253="", "",VLOOKUP(C253,Key!$A$5:$B$7,2,FALSE))</f>
        <v>Large Bus</v>
      </c>
      <c r="E253" s="29" t="s">
        <v>90</v>
      </c>
      <c r="F253" s="29" t="s">
        <v>67</v>
      </c>
      <c r="G253" s="29" t="s">
        <v>70</v>
      </c>
      <c r="H253" s="30" t="s">
        <v>70</v>
      </c>
      <c r="I253" s="29" t="s">
        <v>257</v>
      </c>
      <c r="J253" s="29" t="s">
        <v>68</v>
      </c>
      <c r="K253" s="30" t="s">
        <v>68</v>
      </c>
      <c r="L253" s="29" t="str">
        <f t="shared" si="3"/>
        <v>KAMPALA-MBARARA</v>
      </c>
      <c r="M253" s="31">
        <v>66</v>
      </c>
      <c r="N253" s="72">
        <v>20000</v>
      </c>
      <c r="O253" s="34">
        <v>4.9000000000000004</v>
      </c>
    </row>
    <row r="254" spans="2:15" x14ac:dyDescent="0.2">
      <c r="B254" s="27">
        <v>0.24305555555555555</v>
      </c>
      <c r="C254" s="28">
        <v>6</v>
      </c>
      <c r="D254" s="33" t="str">
        <f>IF(C254="", "",VLOOKUP(C254,Key!$A$5:$B$7,2,FALSE))</f>
        <v>Large Bus</v>
      </c>
      <c r="E254" s="29" t="s">
        <v>90</v>
      </c>
      <c r="F254" s="29" t="s">
        <v>67</v>
      </c>
      <c r="G254" s="29" t="s">
        <v>70</v>
      </c>
      <c r="H254" s="30" t="s">
        <v>70</v>
      </c>
      <c r="I254" s="29" t="s">
        <v>257</v>
      </c>
      <c r="J254" s="29" t="s">
        <v>68</v>
      </c>
      <c r="K254" s="30" t="s">
        <v>68</v>
      </c>
      <c r="L254" s="29" t="str">
        <f t="shared" si="3"/>
        <v>KAMPALA-MBARARA</v>
      </c>
      <c r="M254" s="31">
        <v>67</v>
      </c>
      <c r="N254" s="72">
        <v>20000</v>
      </c>
      <c r="O254" s="34">
        <v>4.9000000000000004</v>
      </c>
    </row>
    <row r="255" spans="2:15" x14ac:dyDescent="0.2">
      <c r="B255" s="27">
        <v>0.28472222222222221</v>
      </c>
      <c r="C255" s="28">
        <v>6</v>
      </c>
      <c r="D255" s="33" t="str">
        <f>IF(C255="", "",VLOOKUP(C255,Key!$A$5:$B$7,2,FALSE))</f>
        <v>Large Bus</v>
      </c>
      <c r="E255" s="29" t="s">
        <v>90</v>
      </c>
      <c r="F255" s="29" t="s">
        <v>67</v>
      </c>
      <c r="G255" s="29" t="s">
        <v>70</v>
      </c>
      <c r="H255" s="30" t="s">
        <v>70</v>
      </c>
      <c r="I255" s="29" t="s">
        <v>257</v>
      </c>
      <c r="J255" s="29" t="s">
        <v>68</v>
      </c>
      <c r="K255" s="30" t="s">
        <v>68</v>
      </c>
      <c r="L255" s="29" t="str">
        <f t="shared" si="3"/>
        <v>KAMPALA-MBARARA</v>
      </c>
      <c r="M255" s="31">
        <v>67</v>
      </c>
      <c r="N255" s="72">
        <v>20000</v>
      </c>
      <c r="O255" s="34">
        <v>4.9000000000000004</v>
      </c>
    </row>
    <row r="256" spans="2:15" x14ac:dyDescent="0.2">
      <c r="B256" s="27">
        <v>0.30555555555555552</v>
      </c>
      <c r="C256" s="28">
        <v>6</v>
      </c>
      <c r="D256" s="33" t="str">
        <f>IF(C256="", "",VLOOKUP(C256,Key!$A$5:$B$7,2,FALSE))</f>
        <v>Large Bus</v>
      </c>
      <c r="E256" s="29" t="s">
        <v>90</v>
      </c>
      <c r="F256" s="29" t="s">
        <v>67</v>
      </c>
      <c r="G256" s="29" t="s">
        <v>70</v>
      </c>
      <c r="H256" s="30" t="s">
        <v>70</v>
      </c>
      <c r="I256" s="29" t="s">
        <v>257</v>
      </c>
      <c r="J256" s="29" t="s">
        <v>68</v>
      </c>
      <c r="K256" s="30" t="s">
        <v>68</v>
      </c>
      <c r="L256" s="29" t="str">
        <f t="shared" si="3"/>
        <v>KAMPALA-MBARARA</v>
      </c>
      <c r="M256" s="31">
        <v>67</v>
      </c>
      <c r="N256" s="72">
        <v>20000</v>
      </c>
      <c r="O256" s="34">
        <v>4.9000000000000004</v>
      </c>
    </row>
    <row r="257" spans="2:15" x14ac:dyDescent="0.2">
      <c r="B257" s="27">
        <v>0.59027777777777779</v>
      </c>
      <c r="C257" s="28">
        <v>6</v>
      </c>
      <c r="D257" s="33" t="str">
        <f>IF(C257="", "",VLOOKUP(C257,Key!$A$5:$B$7,2,FALSE))</f>
        <v>Large Bus</v>
      </c>
      <c r="E257" s="29" t="s">
        <v>90</v>
      </c>
      <c r="F257" s="29" t="s">
        <v>66</v>
      </c>
      <c r="G257" s="29" t="s">
        <v>68</v>
      </c>
      <c r="H257" s="30" t="s">
        <v>68</v>
      </c>
      <c r="I257" s="29" t="s">
        <v>257</v>
      </c>
      <c r="J257" s="29" t="s">
        <v>72</v>
      </c>
      <c r="K257" s="30" t="s">
        <v>70</v>
      </c>
      <c r="L257" s="29" t="str">
        <f t="shared" si="3"/>
        <v>MBARARA-KAMPALA</v>
      </c>
      <c r="M257" s="31">
        <v>65</v>
      </c>
      <c r="N257" s="72">
        <v>20000</v>
      </c>
      <c r="O257" s="34">
        <v>4.9000000000000004</v>
      </c>
    </row>
    <row r="258" spans="2:15" x14ac:dyDescent="0.2">
      <c r="B258" s="27">
        <v>9.375E-2</v>
      </c>
      <c r="C258" s="28">
        <v>6</v>
      </c>
      <c r="D258" s="33" t="str">
        <f>IF(C258="", "",VLOOKUP(C258,Key!$A$5:$B$7,2,FALSE))</f>
        <v>Large Bus</v>
      </c>
      <c r="E258" s="29" t="s">
        <v>90</v>
      </c>
      <c r="F258" s="29" t="s">
        <v>66</v>
      </c>
      <c r="G258" s="29" t="s">
        <v>68</v>
      </c>
      <c r="H258" s="30" t="s">
        <v>68</v>
      </c>
      <c r="I258" s="29" t="s">
        <v>257</v>
      </c>
      <c r="J258" s="29" t="s">
        <v>72</v>
      </c>
      <c r="K258" s="30" t="s">
        <v>70</v>
      </c>
      <c r="L258" s="29" t="str">
        <f t="shared" si="3"/>
        <v>MBARARA-KAMPALA</v>
      </c>
      <c r="M258" s="31">
        <v>67</v>
      </c>
      <c r="N258" s="72">
        <v>20000</v>
      </c>
      <c r="O258" s="34">
        <v>4.9000000000000004</v>
      </c>
    </row>
    <row r="259" spans="2:15" x14ac:dyDescent="0.2">
      <c r="B259" s="27">
        <v>0.11527777777777777</v>
      </c>
      <c r="C259" s="28">
        <v>6</v>
      </c>
      <c r="D259" s="33" t="str">
        <f>IF(C259="", "",VLOOKUP(C259,Key!$A$5:$B$7,2,FALSE))</f>
        <v>Large Bus</v>
      </c>
      <c r="E259" s="29" t="s">
        <v>90</v>
      </c>
      <c r="F259" s="29" t="s">
        <v>66</v>
      </c>
      <c r="G259" s="29" t="s">
        <v>68</v>
      </c>
      <c r="H259" s="30" t="s">
        <v>68</v>
      </c>
      <c r="I259" s="29" t="s">
        <v>257</v>
      </c>
      <c r="J259" s="29" t="s">
        <v>72</v>
      </c>
      <c r="K259" s="30" t="s">
        <v>70</v>
      </c>
      <c r="L259" s="29" t="str">
        <f t="shared" si="3"/>
        <v>MBARARA-KAMPALA</v>
      </c>
      <c r="M259" s="31">
        <v>65</v>
      </c>
      <c r="N259" s="72">
        <v>20000</v>
      </c>
      <c r="O259" s="34">
        <v>4.9000000000000004</v>
      </c>
    </row>
    <row r="260" spans="2:15" x14ac:dyDescent="0.2">
      <c r="B260" s="27">
        <v>0.11527777777777777</v>
      </c>
      <c r="C260" s="28">
        <v>6</v>
      </c>
      <c r="D260" s="33" t="str">
        <f>IF(C260="", "",VLOOKUP(C260,Key!$A$5:$B$7,2,FALSE))</f>
        <v>Large Bus</v>
      </c>
      <c r="E260" s="29" t="s">
        <v>90</v>
      </c>
      <c r="F260" s="29" t="s">
        <v>66</v>
      </c>
      <c r="G260" s="29" t="s">
        <v>68</v>
      </c>
      <c r="H260" s="30" t="s">
        <v>68</v>
      </c>
      <c r="I260" s="29" t="s">
        <v>257</v>
      </c>
      <c r="J260" s="29" t="s">
        <v>72</v>
      </c>
      <c r="K260" s="30" t="s">
        <v>70</v>
      </c>
      <c r="L260" s="29" t="str">
        <f t="shared" si="3"/>
        <v>MBARARA-KAMPALA</v>
      </c>
      <c r="M260" s="31">
        <v>65</v>
      </c>
      <c r="N260" s="72">
        <v>20000</v>
      </c>
      <c r="O260" s="34">
        <v>4.9000000000000004</v>
      </c>
    </row>
    <row r="261" spans="2:15" x14ac:dyDescent="0.2">
      <c r="B261" s="27">
        <v>0.875</v>
      </c>
      <c r="C261" s="28">
        <v>6</v>
      </c>
      <c r="D261" s="33" t="str">
        <f>IF(C261="", "",VLOOKUP(C261,Key!$A$5:$B$7,2,FALSE))</f>
        <v>Large Bus</v>
      </c>
      <c r="E261" s="29" t="s">
        <v>90</v>
      </c>
      <c r="F261" s="29" t="s">
        <v>66</v>
      </c>
      <c r="G261" s="29" t="s">
        <v>68</v>
      </c>
      <c r="H261" s="30" t="s">
        <v>68</v>
      </c>
      <c r="I261" s="29" t="s">
        <v>257</v>
      </c>
      <c r="J261" s="29" t="s">
        <v>72</v>
      </c>
      <c r="K261" s="30" t="s">
        <v>70</v>
      </c>
      <c r="L261" s="29" t="str">
        <f t="shared" si="3"/>
        <v>MBARARA-KAMPALA</v>
      </c>
      <c r="M261" s="31">
        <v>65</v>
      </c>
      <c r="N261" s="72">
        <v>20000</v>
      </c>
      <c r="O261" s="34">
        <v>4.9000000000000004</v>
      </c>
    </row>
    <row r="262" spans="2:15" x14ac:dyDescent="0.2">
      <c r="B262" s="27">
        <v>0.90347222222222223</v>
      </c>
      <c r="C262" s="28">
        <v>6</v>
      </c>
      <c r="D262" s="33" t="str">
        <f>IF(C262="", "",VLOOKUP(C262,Key!$A$5:$B$7,2,FALSE))</f>
        <v>Large Bus</v>
      </c>
      <c r="E262" s="29" t="s">
        <v>90</v>
      </c>
      <c r="F262" s="29" t="s">
        <v>66</v>
      </c>
      <c r="G262" s="29" t="s">
        <v>68</v>
      </c>
      <c r="H262" s="30" t="s">
        <v>68</v>
      </c>
      <c r="I262" s="29" t="s">
        <v>257</v>
      </c>
      <c r="J262" s="29" t="s">
        <v>72</v>
      </c>
      <c r="K262" s="30" t="s">
        <v>70</v>
      </c>
      <c r="L262" s="29" t="str">
        <f t="shared" si="3"/>
        <v>MBARARA-KAMPALA</v>
      </c>
      <c r="M262" s="31">
        <v>60</v>
      </c>
      <c r="N262" s="72">
        <v>20000</v>
      </c>
      <c r="O262" s="34">
        <v>4.9000000000000004</v>
      </c>
    </row>
    <row r="263" spans="2:15" x14ac:dyDescent="0.2">
      <c r="B263" s="27">
        <v>0.43194444444444446</v>
      </c>
      <c r="C263" s="28">
        <v>6</v>
      </c>
      <c r="D263" s="33" t="str">
        <f>IF(C263="", "",VLOOKUP(C263,Key!$A$5:$B$7,2,FALSE))</f>
        <v>Large Bus</v>
      </c>
      <c r="E263" s="29" t="s">
        <v>90</v>
      </c>
      <c r="F263" s="29" t="s">
        <v>66</v>
      </c>
      <c r="G263" s="29" t="s">
        <v>68</v>
      </c>
      <c r="H263" s="30" t="s">
        <v>68</v>
      </c>
      <c r="I263" s="29" t="s">
        <v>257</v>
      </c>
      <c r="J263" s="29" t="s">
        <v>72</v>
      </c>
      <c r="K263" s="30" t="s">
        <v>70</v>
      </c>
      <c r="L263" s="29" t="str">
        <f t="shared" si="3"/>
        <v>MBARARA-KAMPALA</v>
      </c>
      <c r="M263" s="31">
        <v>67</v>
      </c>
      <c r="N263" s="72">
        <v>20000</v>
      </c>
      <c r="O263" s="34">
        <v>4.9000000000000004</v>
      </c>
    </row>
    <row r="264" spans="2:15" x14ac:dyDescent="0.2">
      <c r="B264" s="27">
        <v>0.44166666666666665</v>
      </c>
      <c r="C264" s="28">
        <v>6</v>
      </c>
      <c r="D264" s="33" t="str">
        <f>IF(C264="", "",VLOOKUP(C264,Key!$A$5:$B$7,2,FALSE))</f>
        <v>Large Bus</v>
      </c>
      <c r="E264" s="29" t="s">
        <v>90</v>
      </c>
      <c r="F264" s="29" t="s">
        <v>66</v>
      </c>
      <c r="G264" s="29" t="s">
        <v>68</v>
      </c>
      <c r="H264" s="30" t="s">
        <v>68</v>
      </c>
      <c r="I264" s="29" t="s">
        <v>257</v>
      </c>
      <c r="J264" s="29" t="s">
        <v>72</v>
      </c>
      <c r="K264" s="30" t="s">
        <v>70</v>
      </c>
      <c r="L264" s="29" t="str">
        <f t="shared" si="3"/>
        <v>MBARARA-KAMPALA</v>
      </c>
      <c r="M264" s="31">
        <v>65</v>
      </c>
      <c r="N264" s="72">
        <v>20000</v>
      </c>
      <c r="O264" s="34">
        <v>4.9000000000000004</v>
      </c>
    </row>
    <row r="265" spans="2:15" x14ac:dyDescent="0.2">
      <c r="B265" s="27">
        <v>0.44930555555555557</v>
      </c>
      <c r="C265" s="28">
        <v>6</v>
      </c>
      <c r="D265" s="33" t="str">
        <f>IF(C265="", "",VLOOKUP(C265,Key!$A$5:$B$7,2,FALSE))</f>
        <v>Large Bus</v>
      </c>
      <c r="E265" s="29" t="s">
        <v>90</v>
      </c>
      <c r="F265" s="29" t="s">
        <v>66</v>
      </c>
      <c r="G265" s="29" t="s">
        <v>68</v>
      </c>
      <c r="H265" s="30" t="s">
        <v>68</v>
      </c>
      <c r="I265" s="29" t="s">
        <v>257</v>
      </c>
      <c r="J265" s="29" t="s">
        <v>72</v>
      </c>
      <c r="K265" s="30" t="s">
        <v>70</v>
      </c>
      <c r="L265" s="29" t="str">
        <f t="shared" si="3"/>
        <v>MBARARA-KAMPALA</v>
      </c>
      <c r="M265" s="31">
        <v>67</v>
      </c>
      <c r="N265" s="72">
        <v>20000</v>
      </c>
      <c r="O265" s="34">
        <v>4.9000000000000004</v>
      </c>
    </row>
    <row r="266" spans="2:15" x14ac:dyDescent="0.2">
      <c r="B266" s="27">
        <v>0.47430555555555554</v>
      </c>
      <c r="C266" s="28">
        <v>6</v>
      </c>
      <c r="D266" s="33" t="str">
        <f>IF(C266="", "",VLOOKUP(C266,Key!$A$5:$B$7,2,FALSE))</f>
        <v>Large Bus</v>
      </c>
      <c r="E266" s="29" t="s">
        <v>90</v>
      </c>
      <c r="F266" s="29" t="s">
        <v>66</v>
      </c>
      <c r="G266" s="29" t="s">
        <v>68</v>
      </c>
      <c r="H266" s="30" t="s">
        <v>68</v>
      </c>
      <c r="I266" s="29" t="s">
        <v>257</v>
      </c>
      <c r="J266" s="29" t="s">
        <v>72</v>
      </c>
      <c r="K266" s="30" t="s">
        <v>70</v>
      </c>
      <c r="L266" s="29" t="str">
        <f t="shared" ref="L266:L329" si="4">H266&amp;"-"&amp;K266</f>
        <v>MBARARA-KAMPALA</v>
      </c>
      <c r="M266" s="31">
        <v>70</v>
      </c>
      <c r="N266" s="72">
        <v>20000</v>
      </c>
      <c r="O266" s="34">
        <v>4.9000000000000004</v>
      </c>
    </row>
    <row r="267" spans="2:15" x14ac:dyDescent="0.2">
      <c r="B267" s="27">
        <v>0.48333333333333334</v>
      </c>
      <c r="C267" s="28">
        <v>6</v>
      </c>
      <c r="D267" s="33" t="str">
        <f>IF(C267="", "",VLOOKUP(C267,Key!$A$5:$B$7,2,FALSE))</f>
        <v>Large Bus</v>
      </c>
      <c r="E267" s="29" t="s">
        <v>90</v>
      </c>
      <c r="F267" s="29" t="s">
        <v>66</v>
      </c>
      <c r="G267" s="29" t="s">
        <v>68</v>
      </c>
      <c r="H267" s="30" t="s">
        <v>68</v>
      </c>
      <c r="I267" s="29" t="s">
        <v>257</v>
      </c>
      <c r="J267" s="29" t="s">
        <v>72</v>
      </c>
      <c r="K267" s="30" t="s">
        <v>70</v>
      </c>
      <c r="L267" s="29" t="str">
        <f t="shared" si="4"/>
        <v>MBARARA-KAMPALA</v>
      </c>
      <c r="M267" s="31">
        <v>67</v>
      </c>
      <c r="N267" s="72">
        <v>20000</v>
      </c>
      <c r="O267" s="34">
        <v>4.9000000000000004</v>
      </c>
    </row>
    <row r="268" spans="2:15" x14ac:dyDescent="0.2">
      <c r="B268" s="27">
        <v>0.49791666666666662</v>
      </c>
      <c r="C268" s="28">
        <v>6</v>
      </c>
      <c r="D268" s="33" t="str">
        <f>IF(C268="", "",VLOOKUP(C268,Key!$A$5:$B$7,2,FALSE))</f>
        <v>Large Bus</v>
      </c>
      <c r="E268" s="29" t="s">
        <v>90</v>
      </c>
      <c r="F268" s="29" t="s">
        <v>66</v>
      </c>
      <c r="G268" s="29" t="s">
        <v>68</v>
      </c>
      <c r="H268" s="30" t="s">
        <v>68</v>
      </c>
      <c r="I268" s="29" t="s">
        <v>257</v>
      </c>
      <c r="J268" s="29" t="s">
        <v>72</v>
      </c>
      <c r="K268" s="30" t="s">
        <v>70</v>
      </c>
      <c r="L268" s="29" t="str">
        <f t="shared" si="4"/>
        <v>MBARARA-KAMPALA</v>
      </c>
      <c r="M268" s="31">
        <v>67</v>
      </c>
      <c r="N268" s="72">
        <v>20000</v>
      </c>
      <c r="O268" s="34">
        <v>4.9000000000000004</v>
      </c>
    </row>
    <row r="269" spans="2:15" x14ac:dyDescent="0.2">
      <c r="B269" s="27">
        <v>0.5180555555555556</v>
      </c>
      <c r="C269" s="28">
        <v>6</v>
      </c>
      <c r="D269" s="33" t="str">
        <f>IF(C269="", "",VLOOKUP(C269,Key!$A$5:$B$7,2,FALSE))</f>
        <v>Large Bus</v>
      </c>
      <c r="E269" s="29" t="s">
        <v>90</v>
      </c>
      <c r="F269" s="29" t="s">
        <v>66</v>
      </c>
      <c r="G269" s="29" t="s">
        <v>68</v>
      </c>
      <c r="H269" s="30" t="s">
        <v>68</v>
      </c>
      <c r="I269" s="29" t="s">
        <v>257</v>
      </c>
      <c r="J269" s="29" t="s">
        <v>72</v>
      </c>
      <c r="K269" s="30" t="s">
        <v>70</v>
      </c>
      <c r="L269" s="29" t="str">
        <f t="shared" si="4"/>
        <v>MBARARA-KAMPALA</v>
      </c>
      <c r="M269" s="31">
        <v>65</v>
      </c>
      <c r="N269" s="72">
        <v>20000</v>
      </c>
      <c r="O269" s="34">
        <v>4.9000000000000004</v>
      </c>
    </row>
    <row r="270" spans="2:15" x14ac:dyDescent="0.2">
      <c r="B270" s="27">
        <v>7.6388888888888895E-2</v>
      </c>
      <c r="C270" s="28">
        <v>6</v>
      </c>
      <c r="D270" s="33" t="str">
        <f>IF(C270="", "",VLOOKUP(C270,Key!$A$5:$B$7,2,FALSE))</f>
        <v>Large Bus</v>
      </c>
      <c r="E270" s="29" t="s">
        <v>90</v>
      </c>
      <c r="F270" s="29" t="s">
        <v>66</v>
      </c>
      <c r="G270" s="29" t="s">
        <v>68</v>
      </c>
      <c r="H270" s="30" t="s">
        <v>68</v>
      </c>
      <c r="I270" s="29" t="s">
        <v>257</v>
      </c>
      <c r="J270" s="29" t="s">
        <v>72</v>
      </c>
      <c r="K270" s="30" t="s">
        <v>70</v>
      </c>
      <c r="L270" s="29" t="str">
        <f t="shared" si="4"/>
        <v>MBARARA-KAMPALA</v>
      </c>
      <c r="M270" s="31">
        <v>65</v>
      </c>
      <c r="N270" s="72">
        <v>20000</v>
      </c>
      <c r="O270" s="34">
        <v>4.9000000000000004</v>
      </c>
    </row>
    <row r="271" spans="2:15" x14ac:dyDescent="0.2">
      <c r="B271" s="27">
        <v>0.11458333333333333</v>
      </c>
      <c r="C271" s="28">
        <v>6</v>
      </c>
      <c r="D271" s="33" t="str">
        <f>IF(C271="", "",VLOOKUP(C271,Key!$A$5:$B$7,2,FALSE))</f>
        <v>Large Bus</v>
      </c>
      <c r="E271" s="29" t="s">
        <v>90</v>
      </c>
      <c r="F271" s="29" t="s">
        <v>66</v>
      </c>
      <c r="G271" s="29" t="s">
        <v>68</v>
      </c>
      <c r="H271" s="30" t="s">
        <v>68</v>
      </c>
      <c r="I271" s="29" t="s">
        <v>257</v>
      </c>
      <c r="J271" s="29" t="s">
        <v>72</v>
      </c>
      <c r="K271" s="30" t="s">
        <v>70</v>
      </c>
      <c r="L271" s="29" t="str">
        <f t="shared" si="4"/>
        <v>MBARARA-KAMPALA</v>
      </c>
      <c r="M271" s="31">
        <v>65</v>
      </c>
      <c r="N271" s="72">
        <v>20000</v>
      </c>
      <c r="O271" s="34">
        <v>4.9000000000000004</v>
      </c>
    </row>
    <row r="272" spans="2:15" x14ac:dyDescent="0.2">
      <c r="B272" s="27">
        <v>0.29097222222222224</v>
      </c>
      <c r="C272" s="28">
        <v>6</v>
      </c>
      <c r="D272" s="33" t="str">
        <f>IF(C272="", "",VLOOKUP(C272,Key!$A$5:$B$7,2,FALSE))</f>
        <v>Large Bus</v>
      </c>
      <c r="E272" s="29" t="s">
        <v>90</v>
      </c>
      <c r="F272" s="29" t="s">
        <v>66</v>
      </c>
      <c r="G272" s="29" t="s">
        <v>68</v>
      </c>
      <c r="H272" s="30" t="s">
        <v>68</v>
      </c>
      <c r="I272" s="29" t="s">
        <v>257</v>
      </c>
      <c r="J272" s="29" t="s">
        <v>72</v>
      </c>
      <c r="K272" s="30" t="s">
        <v>70</v>
      </c>
      <c r="L272" s="29" t="str">
        <f t="shared" si="4"/>
        <v>MBARARA-KAMPALA</v>
      </c>
      <c r="M272" s="31">
        <v>65</v>
      </c>
      <c r="N272" s="72">
        <v>20000</v>
      </c>
      <c r="O272" s="34">
        <v>4.9000000000000004</v>
      </c>
    </row>
    <row r="273" spans="2:15" x14ac:dyDescent="0.2">
      <c r="B273" s="45" t="s">
        <v>221</v>
      </c>
      <c r="C273" s="47"/>
      <c r="D273" s="48"/>
      <c r="E273" s="43" t="s">
        <v>90</v>
      </c>
      <c r="F273" s="48"/>
      <c r="G273" s="47"/>
      <c r="H273" s="47"/>
      <c r="I273" s="47" t="s">
        <v>257</v>
      </c>
      <c r="J273" s="47"/>
      <c r="K273" s="47"/>
      <c r="L273" s="47" t="str">
        <f t="shared" si="4"/>
        <v>-</v>
      </c>
      <c r="M273" s="47"/>
      <c r="N273" s="48"/>
      <c r="O273" s="48"/>
    </row>
    <row r="274" spans="2:15" x14ac:dyDescent="0.2">
      <c r="B274" s="27">
        <v>0.81527777777777777</v>
      </c>
      <c r="C274" s="28">
        <v>6</v>
      </c>
      <c r="D274" s="33" t="str">
        <f>IF(C274="", "",VLOOKUP(C274,Key!$A$5:$B$7,2,FALSE))</f>
        <v>Large Bus</v>
      </c>
      <c r="E274" s="29" t="s">
        <v>90</v>
      </c>
      <c r="F274" s="29" t="s">
        <v>67</v>
      </c>
      <c r="G274" s="29" t="s">
        <v>70</v>
      </c>
      <c r="H274" s="30" t="s">
        <v>70</v>
      </c>
      <c r="I274" s="29" t="s">
        <v>257</v>
      </c>
      <c r="J274" s="29" t="s">
        <v>68</v>
      </c>
      <c r="K274" s="30" t="s">
        <v>68</v>
      </c>
      <c r="L274" s="29" t="str">
        <f t="shared" si="4"/>
        <v>KAMPALA-MBARARA</v>
      </c>
      <c r="M274" s="31">
        <v>67</v>
      </c>
      <c r="N274" s="72">
        <v>20000</v>
      </c>
      <c r="O274" s="34">
        <v>4.9000000000000004</v>
      </c>
    </row>
    <row r="275" spans="2:15" x14ac:dyDescent="0.2">
      <c r="B275" s="27">
        <v>0.83750000000000002</v>
      </c>
      <c r="C275" s="28">
        <v>6</v>
      </c>
      <c r="D275" s="33" t="str">
        <f>IF(C275="", "",VLOOKUP(C275,Key!$A$5:$B$7,2,FALSE))</f>
        <v>Large Bus</v>
      </c>
      <c r="E275" s="29" t="s">
        <v>90</v>
      </c>
      <c r="F275" s="29" t="s">
        <v>67</v>
      </c>
      <c r="G275" s="29" t="s">
        <v>70</v>
      </c>
      <c r="H275" s="30" t="s">
        <v>70</v>
      </c>
      <c r="I275" s="29" t="s">
        <v>257</v>
      </c>
      <c r="J275" s="29" t="s">
        <v>68</v>
      </c>
      <c r="K275" s="30" t="s">
        <v>68</v>
      </c>
      <c r="L275" s="29" t="str">
        <f t="shared" si="4"/>
        <v>KAMPALA-MBARARA</v>
      </c>
      <c r="M275" s="31">
        <v>67</v>
      </c>
      <c r="N275" s="72">
        <v>20000</v>
      </c>
      <c r="O275" s="34">
        <v>4.9000000000000004</v>
      </c>
    </row>
    <row r="276" spans="2:15" x14ac:dyDescent="0.2">
      <c r="B276" s="27">
        <v>0.85555555555555562</v>
      </c>
      <c r="C276" s="28">
        <v>6</v>
      </c>
      <c r="D276" s="33" t="str">
        <f>IF(C276="", "",VLOOKUP(C276,Key!$A$5:$B$7,2,FALSE))</f>
        <v>Large Bus</v>
      </c>
      <c r="E276" s="29" t="s">
        <v>90</v>
      </c>
      <c r="F276" s="29" t="s">
        <v>67</v>
      </c>
      <c r="G276" s="29" t="s">
        <v>70</v>
      </c>
      <c r="H276" s="30" t="s">
        <v>70</v>
      </c>
      <c r="I276" s="29" t="s">
        <v>257</v>
      </c>
      <c r="J276" s="29" t="s">
        <v>68</v>
      </c>
      <c r="K276" s="30" t="s">
        <v>68</v>
      </c>
      <c r="L276" s="29" t="str">
        <f t="shared" si="4"/>
        <v>KAMPALA-MBARARA</v>
      </c>
      <c r="M276" s="31">
        <v>68</v>
      </c>
      <c r="N276" s="72">
        <v>20000</v>
      </c>
      <c r="O276" s="34">
        <v>4.9000000000000004</v>
      </c>
    </row>
    <row r="277" spans="2:15" x14ac:dyDescent="0.2">
      <c r="B277" s="27">
        <v>0.87430555555555556</v>
      </c>
      <c r="C277" s="28">
        <v>6</v>
      </c>
      <c r="D277" s="33" t="str">
        <f>IF(C277="", "",VLOOKUP(C277,Key!$A$5:$B$7,2,FALSE))</f>
        <v>Large Bus</v>
      </c>
      <c r="E277" s="29" t="s">
        <v>90</v>
      </c>
      <c r="F277" s="29" t="s">
        <v>67</v>
      </c>
      <c r="G277" s="29" t="s">
        <v>70</v>
      </c>
      <c r="H277" s="30" t="s">
        <v>70</v>
      </c>
      <c r="I277" s="29" t="s">
        <v>257</v>
      </c>
      <c r="J277" s="29" t="s">
        <v>68</v>
      </c>
      <c r="K277" s="30" t="s">
        <v>68</v>
      </c>
      <c r="L277" s="29" t="str">
        <f t="shared" si="4"/>
        <v>KAMPALA-MBARARA</v>
      </c>
      <c r="M277" s="31">
        <v>67</v>
      </c>
      <c r="N277" s="72">
        <v>20000</v>
      </c>
      <c r="O277" s="34">
        <v>4.9000000000000004</v>
      </c>
    </row>
    <row r="278" spans="2:15" x14ac:dyDescent="0.2">
      <c r="B278" s="27">
        <v>0.8979166666666667</v>
      </c>
      <c r="C278" s="28">
        <v>6</v>
      </c>
      <c r="D278" s="33" t="str">
        <f>IF(C278="", "",VLOOKUP(C278,Key!$A$5:$B$7,2,FALSE))</f>
        <v>Large Bus</v>
      </c>
      <c r="E278" s="29" t="s">
        <v>90</v>
      </c>
      <c r="F278" s="29" t="s">
        <v>67</v>
      </c>
      <c r="G278" s="29" t="s">
        <v>70</v>
      </c>
      <c r="H278" s="30" t="s">
        <v>70</v>
      </c>
      <c r="I278" s="29" t="s">
        <v>257</v>
      </c>
      <c r="J278" s="29" t="s">
        <v>68</v>
      </c>
      <c r="K278" s="30" t="s">
        <v>68</v>
      </c>
      <c r="L278" s="29" t="str">
        <f t="shared" si="4"/>
        <v>KAMPALA-MBARARA</v>
      </c>
      <c r="M278" s="31">
        <v>67</v>
      </c>
      <c r="N278" s="72">
        <v>20000</v>
      </c>
      <c r="O278" s="34">
        <v>4.9000000000000004</v>
      </c>
    </row>
    <row r="279" spans="2:15" x14ac:dyDescent="0.2">
      <c r="B279" s="27">
        <v>0.9194444444444444</v>
      </c>
      <c r="C279" s="28">
        <v>6</v>
      </c>
      <c r="D279" s="33" t="str">
        <f>IF(C279="", "",VLOOKUP(C279,Key!$A$5:$B$7,2,FALSE))</f>
        <v>Large Bus</v>
      </c>
      <c r="E279" s="29" t="s">
        <v>90</v>
      </c>
      <c r="F279" s="29" t="s">
        <v>67</v>
      </c>
      <c r="G279" s="29" t="s">
        <v>70</v>
      </c>
      <c r="H279" s="30" t="s">
        <v>70</v>
      </c>
      <c r="I279" s="29" t="s">
        <v>257</v>
      </c>
      <c r="J279" s="29" t="s">
        <v>68</v>
      </c>
      <c r="K279" s="30" t="s">
        <v>68</v>
      </c>
      <c r="L279" s="29" t="str">
        <f t="shared" si="4"/>
        <v>KAMPALA-MBARARA</v>
      </c>
      <c r="M279" s="31">
        <v>67</v>
      </c>
      <c r="N279" s="72">
        <v>20000</v>
      </c>
      <c r="O279" s="34">
        <v>4.9000000000000004</v>
      </c>
    </row>
    <row r="280" spans="2:15" x14ac:dyDescent="0.2">
      <c r="B280" s="27">
        <v>0.9506944444444444</v>
      </c>
      <c r="C280" s="28">
        <v>6</v>
      </c>
      <c r="D280" s="33" t="str">
        <f>IF(C280="", "",VLOOKUP(C280,Key!$A$5:$B$7,2,FALSE))</f>
        <v>Large Bus</v>
      </c>
      <c r="E280" s="29" t="s">
        <v>90</v>
      </c>
      <c r="F280" s="29" t="s">
        <v>67</v>
      </c>
      <c r="G280" s="29" t="s">
        <v>70</v>
      </c>
      <c r="H280" s="30" t="s">
        <v>70</v>
      </c>
      <c r="I280" s="29" t="s">
        <v>257</v>
      </c>
      <c r="J280" s="29" t="s">
        <v>68</v>
      </c>
      <c r="K280" s="30" t="s">
        <v>68</v>
      </c>
      <c r="L280" s="29" t="str">
        <f t="shared" si="4"/>
        <v>KAMPALA-MBARARA</v>
      </c>
      <c r="M280" s="31">
        <v>67</v>
      </c>
      <c r="N280" s="72">
        <v>20000</v>
      </c>
      <c r="O280" s="34">
        <v>4.9000000000000004</v>
      </c>
    </row>
    <row r="281" spans="2:15" x14ac:dyDescent="0.2">
      <c r="B281" s="27">
        <v>0.97638888888888886</v>
      </c>
      <c r="C281" s="28">
        <v>6</v>
      </c>
      <c r="D281" s="33" t="str">
        <f>IF(C281="", "",VLOOKUP(C281,Key!$A$5:$B$7,2,FALSE))</f>
        <v>Large Bus</v>
      </c>
      <c r="E281" s="29" t="s">
        <v>90</v>
      </c>
      <c r="F281" s="29" t="s">
        <v>67</v>
      </c>
      <c r="G281" s="29" t="s">
        <v>70</v>
      </c>
      <c r="H281" s="30" t="s">
        <v>70</v>
      </c>
      <c r="I281" s="29" t="s">
        <v>257</v>
      </c>
      <c r="J281" s="29" t="s">
        <v>68</v>
      </c>
      <c r="K281" s="30" t="s">
        <v>68</v>
      </c>
      <c r="L281" s="29" t="str">
        <f t="shared" si="4"/>
        <v>KAMPALA-MBARARA</v>
      </c>
      <c r="M281" s="31">
        <v>67</v>
      </c>
      <c r="N281" s="72">
        <v>20000</v>
      </c>
      <c r="O281" s="34">
        <v>4.9000000000000004</v>
      </c>
    </row>
    <row r="282" spans="2:15" x14ac:dyDescent="0.2">
      <c r="B282" s="27">
        <v>4.8611111111111112E-3</v>
      </c>
      <c r="C282" s="28">
        <v>6</v>
      </c>
      <c r="D282" s="33" t="str">
        <f>IF(C282="", "",VLOOKUP(C282,Key!$A$5:$B$7,2,FALSE))</f>
        <v>Large Bus</v>
      </c>
      <c r="E282" s="29" t="s">
        <v>90</v>
      </c>
      <c r="F282" s="29" t="s">
        <v>67</v>
      </c>
      <c r="G282" s="29" t="s">
        <v>70</v>
      </c>
      <c r="H282" s="30" t="s">
        <v>70</v>
      </c>
      <c r="I282" s="29" t="s">
        <v>257</v>
      </c>
      <c r="J282" s="29" t="s">
        <v>68</v>
      </c>
      <c r="K282" s="30" t="s">
        <v>68</v>
      </c>
      <c r="L282" s="29" t="str">
        <f t="shared" si="4"/>
        <v>KAMPALA-MBARARA</v>
      </c>
      <c r="M282" s="31">
        <v>67</v>
      </c>
      <c r="N282" s="72">
        <v>20000</v>
      </c>
      <c r="O282" s="34">
        <v>4.9000000000000004</v>
      </c>
    </row>
    <row r="283" spans="2:15" x14ac:dyDescent="0.2">
      <c r="B283" s="27">
        <v>4.9305555555555554E-2</v>
      </c>
      <c r="C283" s="28">
        <v>6</v>
      </c>
      <c r="D283" s="33" t="str">
        <f>IF(C283="", "",VLOOKUP(C283,Key!$A$5:$B$7,2,FALSE))</f>
        <v>Large Bus</v>
      </c>
      <c r="E283" s="29" t="s">
        <v>90</v>
      </c>
      <c r="F283" s="29" t="s">
        <v>67</v>
      </c>
      <c r="G283" s="29" t="s">
        <v>70</v>
      </c>
      <c r="H283" s="30" t="s">
        <v>70</v>
      </c>
      <c r="I283" s="29" t="s">
        <v>257</v>
      </c>
      <c r="J283" s="29" t="s">
        <v>68</v>
      </c>
      <c r="K283" s="30" t="s">
        <v>68</v>
      </c>
      <c r="L283" s="29" t="str">
        <f t="shared" si="4"/>
        <v>KAMPALA-MBARARA</v>
      </c>
      <c r="M283" s="31">
        <v>67</v>
      </c>
      <c r="N283" s="72">
        <v>20000</v>
      </c>
      <c r="O283" s="34">
        <v>4.9000000000000004</v>
      </c>
    </row>
    <row r="284" spans="2:15" x14ac:dyDescent="0.2">
      <c r="B284" s="27">
        <v>6.8749999999999992E-2</v>
      </c>
      <c r="C284" s="28">
        <v>6</v>
      </c>
      <c r="D284" s="33" t="str">
        <f>IF(C284="", "",VLOOKUP(C284,Key!$A$5:$B$7,2,FALSE))</f>
        <v>Large Bus</v>
      </c>
      <c r="E284" s="29" t="s">
        <v>90</v>
      </c>
      <c r="F284" s="29" t="s">
        <v>67</v>
      </c>
      <c r="G284" s="29" t="s">
        <v>70</v>
      </c>
      <c r="H284" s="30" t="s">
        <v>70</v>
      </c>
      <c r="I284" s="29" t="s">
        <v>257</v>
      </c>
      <c r="J284" s="29" t="s">
        <v>68</v>
      </c>
      <c r="K284" s="30" t="s">
        <v>68</v>
      </c>
      <c r="L284" s="29" t="str">
        <f t="shared" si="4"/>
        <v>KAMPALA-MBARARA</v>
      </c>
      <c r="M284" s="31">
        <v>65</v>
      </c>
      <c r="N284" s="72">
        <v>20000</v>
      </c>
      <c r="O284" s="34">
        <v>4.9000000000000004</v>
      </c>
    </row>
    <row r="285" spans="2:15" x14ac:dyDescent="0.2">
      <c r="B285" s="27">
        <v>0.12847222222222224</v>
      </c>
      <c r="C285" s="28">
        <v>6</v>
      </c>
      <c r="D285" s="33" t="str">
        <f>IF(C285="", "",VLOOKUP(C285,Key!$A$5:$B$7,2,FALSE))</f>
        <v>Large Bus</v>
      </c>
      <c r="E285" s="29" t="s">
        <v>90</v>
      </c>
      <c r="F285" s="29" t="s">
        <v>67</v>
      </c>
      <c r="G285" s="29" t="s">
        <v>70</v>
      </c>
      <c r="H285" s="30" t="s">
        <v>70</v>
      </c>
      <c r="I285" s="29" t="s">
        <v>257</v>
      </c>
      <c r="J285" s="29" t="s">
        <v>68</v>
      </c>
      <c r="K285" s="30" t="s">
        <v>68</v>
      </c>
      <c r="L285" s="29" t="str">
        <f t="shared" si="4"/>
        <v>KAMPALA-MBARARA</v>
      </c>
      <c r="M285" s="31">
        <v>65</v>
      </c>
      <c r="N285" s="72">
        <v>20000</v>
      </c>
      <c r="O285" s="34">
        <v>4.9000000000000004</v>
      </c>
    </row>
    <row r="286" spans="2:15" x14ac:dyDescent="0.2">
      <c r="B286" s="27">
        <v>0.30555555555555552</v>
      </c>
      <c r="C286" s="28">
        <v>6</v>
      </c>
      <c r="D286" s="33" t="str">
        <f>IF(C286="", "",VLOOKUP(C286,Key!$A$5:$B$7,2,FALSE))</f>
        <v>Large Bus</v>
      </c>
      <c r="E286" s="29" t="s">
        <v>90</v>
      </c>
      <c r="F286" s="29" t="s">
        <v>67</v>
      </c>
      <c r="G286" s="29" t="s">
        <v>70</v>
      </c>
      <c r="H286" s="30" t="s">
        <v>70</v>
      </c>
      <c r="I286" s="29" t="s">
        <v>257</v>
      </c>
      <c r="J286" s="29" t="s">
        <v>68</v>
      </c>
      <c r="K286" s="30" t="s">
        <v>68</v>
      </c>
      <c r="L286" s="29" t="str">
        <f t="shared" si="4"/>
        <v>KAMPALA-MBARARA</v>
      </c>
      <c r="M286" s="31">
        <v>65</v>
      </c>
      <c r="N286" s="72">
        <v>20000</v>
      </c>
      <c r="O286" s="34">
        <v>4.9000000000000004</v>
      </c>
    </row>
    <row r="287" spans="2:15" x14ac:dyDescent="0.2">
      <c r="B287" s="27">
        <v>0.21527777777777779</v>
      </c>
      <c r="C287" s="28">
        <v>6</v>
      </c>
      <c r="D287" s="33" t="str">
        <f>IF(C287="", "",VLOOKUP(C287,Key!$A$5:$B$7,2,FALSE))</f>
        <v>Large Bus</v>
      </c>
      <c r="E287" s="29" t="s">
        <v>90</v>
      </c>
      <c r="F287" s="29" t="s">
        <v>67</v>
      </c>
      <c r="G287" s="29" t="s">
        <v>70</v>
      </c>
      <c r="H287" s="30" t="s">
        <v>70</v>
      </c>
      <c r="I287" s="29" t="s">
        <v>257</v>
      </c>
      <c r="J287" s="29" t="s">
        <v>68</v>
      </c>
      <c r="K287" s="30" t="s">
        <v>68</v>
      </c>
      <c r="L287" s="29" t="str">
        <f t="shared" si="4"/>
        <v>KAMPALA-MBARARA</v>
      </c>
      <c r="M287" s="31">
        <v>65</v>
      </c>
      <c r="N287" s="72">
        <v>20000</v>
      </c>
      <c r="O287" s="34">
        <v>4.9000000000000004</v>
      </c>
    </row>
    <row r="288" spans="2:15" x14ac:dyDescent="0.2">
      <c r="B288" s="27">
        <v>0.26250000000000001</v>
      </c>
      <c r="C288" s="28">
        <v>6</v>
      </c>
      <c r="D288" s="33" t="str">
        <f>IF(C288="", "",VLOOKUP(C288,Key!$A$5:$B$7,2,FALSE))</f>
        <v>Large Bus</v>
      </c>
      <c r="E288" s="29" t="s">
        <v>90</v>
      </c>
      <c r="F288" s="29" t="s">
        <v>67</v>
      </c>
      <c r="G288" s="29" t="s">
        <v>70</v>
      </c>
      <c r="H288" s="30" t="s">
        <v>70</v>
      </c>
      <c r="I288" s="29" t="s">
        <v>257</v>
      </c>
      <c r="J288" s="29" t="s">
        <v>68</v>
      </c>
      <c r="K288" s="30" t="s">
        <v>68</v>
      </c>
      <c r="L288" s="29" t="str">
        <f t="shared" si="4"/>
        <v>KAMPALA-MBARARA</v>
      </c>
      <c r="M288" s="31">
        <v>65</v>
      </c>
      <c r="N288" s="72">
        <v>20000</v>
      </c>
      <c r="O288" s="34">
        <v>4.9000000000000004</v>
      </c>
    </row>
    <row r="289" spans="2:15" x14ac:dyDescent="0.2">
      <c r="B289" s="27">
        <v>0.2902777777777778</v>
      </c>
      <c r="C289" s="28">
        <v>6</v>
      </c>
      <c r="D289" s="33" t="str">
        <f>IF(C289="", "",VLOOKUP(C289,Key!$A$5:$B$7,2,FALSE))</f>
        <v>Large Bus</v>
      </c>
      <c r="E289" s="29" t="s">
        <v>90</v>
      </c>
      <c r="F289" s="29" t="s">
        <v>67</v>
      </c>
      <c r="G289" s="29" t="s">
        <v>70</v>
      </c>
      <c r="H289" s="30" t="s">
        <v>70</v>
      </c>
      <c r="I289" s="29" t="s">
        <v>257</v>
      </c>
      <c r="J289" s="29" t="s">
        <v>68</v>
      </c>
      <c r="K289" s="30" t="s">
        <v>68</v>
      </c>
      <c r="L289" s="29" t="str">
        <f t="shared" si="4"/>
        <v>KAMPALA-MBARARA</v>
      </c>
      <c r="M289" s="31">
        <v>67</v>
      </c>
      <c r="N289" s="72">
        <v>20000</v>
      </c>
      <c r="O289" s="34">
        <v>4.9000000000000004</v>
      </c>
    </row>
    <row r="290" spans="2:15" x14ac:dyDescent="0.2">
      <c r="B290" s="27">
        <v>0.35138888888888892</v>
      </c>
      <c r="C290" s="28">
        <v>6</v>
      </c>
      <c r="D290" s="33" t="str">
        <f>IF(C290="", "",VLOOKUP(C290,Key!$A$5:$B$7,2,FALSE))</f>
        <v>Large Bus</v>
      </c>
      <c r="E290" s="29" t="s">
        <v>90</v>
      </c>
      <c r="F290" s="29" t="s">
        <v>67</v>
      </c>
      <c r="G290" s="29" t="s">
        <v>70</v>
      </c>
      <c r="H290" s="30" t="s">
        <v>70</v>
      </c>
      <c r="I290" s="29" t="s">
        <v>257</v>
      </c>
      <c r="J290" s="29" t="s">
        <v>68</v>
      </c>
      <c r="K290" s="30" t="s">
        <v>68</v>
      </c>
      <c r="L290" s="29" t="str">
        <f t="shared" si="4"/>
        <v>KAMPALA-MBARARA</v>
      </c>
      <c r="M290" s="31">
        <v>67</v>
      </c>
      <c r="N290" s="72">
        <v>20000</v>
      </c>
      <c r="O290" s="34">
        <v>4.9000000000000004</v>
      </c>
    </row>
    <row r="291" spans="2:15" x14ac:dyDescent="0.2">
      <c r="B291" s="27">
        <v>0.36458333333333331</v>
      </c>
      <c r="C291" s="28">
        <v>6</v>
      </c>
      <c r="D291" s="33" t="str">
        <f>IF(C291="", "",VLOOKUP(C291,Key!$A$5:$B$7,2,FALSE))</f>
        <v>Large Bus</v>
      </c>
      <c r="E291" s="29" t="s">
        <v>90</v>
      </c>
      <c r="F291" s="29" t="s">
        <v>67</v>
      </c>
      <c r="G291" s="29" t="s">
        <v>70</v>
      </c>
      <c r="H291" s="30" t="s">
        <v>70</v>
      </c>
      <c r="I291" s="29" t="s">
        <v>257</v>
      </c>
      <c r="J291" s="29" t="s">
        <v>68</v>
      </c>
      <c r="K291" s="30" t="s">
        <v>68</v>
      </c>
      <c r="L291" s="29" t="str">
        <f t="shared" si="4"/>
        <v>KAMPALA-MBARARA</v>
      </c>
      <c r="M291" s="31">
        <v>65</v>
      </c>
      <c r="N291" s="72">
        <v>20000</v>
      </c>
      <c r="O291" s="34">
        <v>4.9000000000000004</v>
      </c>
    </row>
    <row r="292" spans="2:15" x14ac:dyDescent="0.2">
      <c r="B292" s="27">
        <v>0.38263888888888892</v>
      </c>
      <c r="C292" s="28">
        <v>6</v>
      </c>
      <c r="D292" s="33" t="str">
        <f>IF(C292="", "",VLOOKUP(C292,Key!$A$5:$B$7,2,FALSE))</f>
        <v>Large Bus</v>
      </c>
      <c r="E292" s="29" t="s">
        <v>90</v>
      </c>
      <c r="F292" s="29" t="s">
        <v>67</v>
      </c>
      <c r="G292" s="29" t="s">
        <v>70</v>
      </c>
      <c r="H292" s="30" t="s">
        <v>70</v>
      </c>
      <c r="I292" s="29" t="s">
        <v>257</v>
      </c>
      <c r="J292" s="29" t="s">
        <v>68</v>
      </c>
      <c r="K292" s="30" t="s">
        <v>68</v>
      </c>
      <c r="L292" s="29" t="str">
        <f t="shared" si="4"/>
        <v>KAMPALA-MBARARA</v>
      </c>
      <c r="M292" s="31">
        <v>63</v>
      </c>
      <c r="N292" s="72">
        <v>20000</v>
      </c>
      <c r="O292" s="34">
        <v>4.9000000000000004</v>
      </c>
    </row>
    <row r="293" spans="2:15" x14ac:dyDescent="0.2">
      <c r="B293" s="27">
        <v>0.40972222222222227</v>
      </c>
      <c r="C293" s="28">
        <v>6</v>
      </c>
      <c r="D293" s="33" t="str">
        <f>IF(C293="", "",VLOOKUP(C293,Key!$A$5:$B$7,2,FALSE))</f>
        <v>Large Bus</v>
      </c>
      <c r="E293" s="29" t="s">
        <v>90</v>
      </c>
      <c r="F293" s="29" t="s">
        <v>67</v>
      </c>
      <c r="G293" s="29" t="s">
        <v>70</v>
      </c>
      <c r="H293" s="30" t="s">
        <v>70</v>
      </c>
      <c r="I293" s="29" t="s">
        <v>257</v>
      </c>
      <c r="J293" s="29" t="s">
        <v>68</v>
      </c>
      <c r="K293" s="30" t="s">
        <v>68</v>
      </c>
      <c r="L293" s="29" t="str">
        <f t="shared" si="4"/>
        <v>KAMPALA-MBARARA</v>
      </c>
      <c r="M293" s="31">
        <v>65</v>
      </c>
      <c r="N293" s="72">
        <v>20000</v>
      </c>
      <c r="O293" s="34">
        <v>4.9000000000000004</v>
      </c>
    </row>
    <row r="294" spans="2:15" x14ac:dyDescent="0.2">
      <c r="B294" s="27">
        <v>0.4201388888888889</v>
      </c>
      <c r="C294" s="28">
        <v>6</v>
      </c>
      <c r="D294" s="33" t="str">
        <f>IF(C294="", "",VLOOKUP(C294,Key!$A$5:$B$7,2,FALSE))</f>
        <v>Large Bus</v>
      </c>
      <c r="E294" s="29" t="s">
        <v>90</v>
      </c>
      <c r="F294" s="29" t="s">
        <v>67</v>
      </c>
      <c r="G294" s="29" t="s">
        <v>70</v>
      </c>
      <c r="H294" s="30" t="s">
        <v>70</v>
      </c>
      <c r="I294" s="29" t="s">
        <v>257</v>
      </c>
      <c r="J294" s="29" t="s">
        <v>68</v>
      </c>
      <c r="K294" s="30" t="s">
        <v>68</v>
      </c>
      <c r="L294" s="29" t="str">
        <f t="shared" si="4"/>
        <v>KAMPALA-MBARARA</v>
      </c>
      <c r="M294" s="31">
        <v>65</v>
      </c>
      <c r="N294" s="72">
        <v>20000</v>
      </c>
      <c r="O294" s="34">
        <v>4.9000000000000004</v>
      </c>
    </row>
    <row r="295" spans="2:15" x14ac:dyDescent="0.2">
      <c r="B295" s="27">
        <v>0.44027777777777777</v>
      </c>
      <c r="C295" s="28">
        <v>6</v>
      </c>
      <c r="D295" s="33" t="str">
        <f>IF(C295="", "",VLOOKUP(C295,Key!$A$5:$B$7,2,FALSE))</f>
        <v>Large Bus</v>
      </c>
      <c r="E295" s="29" t="s">
        <v>90</v>
      </c>
      <c r="F295" s="29" t="s">
        <v>67</v>
      </c>
      <c r="G295" s="29" t="s">
        <v>70</v>
      </c>
      <c r="H295" s="30" t="s">
        <v>70</v>
      </c>
      <c r="I295" s="29" t="s">
        <v>257</v>
      </c>
      <c r="J295" s="29" t="s">
        <v>68</v>
      </c>
      <c r="K295" s="30" t="s">
        <v>68</v>
      </c>
      <c r="L295" s="29" t="str">
        <f t="shared" si="4"/>
        <v>KAMPALA-MBARARA</v>
      </c>
      <c r="M295" s="31">
        <v>67</v>
      </c>
      <c r="N295" s="72">
        <v>20000</v>
      </c>
      <c r="O295" s="34">
        <v>4.9000000000000004</v>
      </c>
    </row>
    <row r="296" spans="2:15" x14ac:dyDescent="0.2">
      <c r="B296" s="27">
        <v>0.44861111111111113</v>
      </c>
      <c r="C296" s="28">
        <v>6</v>
      </c>
      <c r="D296" s="33" t="str">
        <f>IF(C296="", "",VLOOKUP(C296,Key!$A$5:$B$7,2,FALSE))</f>
        <v>Large Bus</v>
      </c>
      <c r="E296" s="29" t="s">
        <v>90</v>
      </c>
      <c r="F296" s="29" t="s">
        <v>67</v>
      </c>
      <c r="G296" s="29" t="s">
        <v>70</v>
      </c>
      <c r="H296" s="30" t="s">
        <v>70</v>
      </c>
      <c r="I296" s="29" t="s">
        <v>257</v>
      </c>
      <c r="J296" s="29" t="s">
        <v>68</v>
      </c>
      <c r="K296" s="30" t="s">
        <v>68</v>
      </c>
      <c r="L296" s="29" t="str">
        <f t="shared" si="4"/>
        <v>KAMPALA-MBARARA</v>
      </c>
      <c r="M296" s="31">
        <v>65</v>
      </c>
      <c r="N296" s="72">
        <v>20000</v>
      </c>
      <c r="O296" s="34">
        <v>4.9000000000000004</v>
      </c>
    </row>
    <row r="297" spans="2:15" x14ac:dyDescent="0.2">
      <c r="B297" s="27">
        <v>0.45902777777777781</v>
      </c>
      <c r="C297" s="28">
        <v>6</v>
      </c>
      <c r="D297" s="33" t="str">
        <f>IF(C297="", "",VLOOKUP(C297,Key!$A$5:$B$7,2,FALSE))</f>
        <v>Large Bus</v>
      </c>
      <c r="E297" s="29" t="s">
        <v>90</v>
      </c>
      <c r="F297" s="29" t="s">
        <v>67</v>
      </c>
      <c r="G297" s="29" t="s">
        <v>70</v>
      </c>
      <c r="H297" s="30" t="s">
        <v>70</v>
      </c>
      <c r="I297" s="29" t="s">
        <v>257</v>
      </c>
      <c r="J297" s="29" t="s">
        <v>68</v>
      </c>
      <c r="K297" s="30" t="s">
        <v>68</v>
      </c>
      <c r="L297" s="29" t="str">
        <f t="shared" si="4"/>
        <v>KAMPALA-MBARARA</v>
      </c>
      <c r="M297" s="31">
        <v>65</v>
      </c>
      <c r="N297" s="72">
        <v>20000</v>
      </c>
      <c r="O297" s="34">
        <v>4.9000000000000004</v>
      </c>
    </row>
    <row r="298" spans="2:15" x14ac:dyDescent="0.2">
      <c r="B298" s="27">
        <v>0.47222222222222227</v>
      </c>
      <c r="C298" s="28">
        <v>6</v>
      </c>
      <c r="D298" s="33" t="str">
        <f>IF(C298="", "",VLOOKUP(C298,Key!$A$5:$B$7,2,FALSE))</f>
        <v>Large Bus</v>
      </c>
      <c r="E298" s="29" t="s">
        <v>90</v>
      </c>
      <c r="F298" s="29" t="s">
        <v>67</v>
      </c>
      <c r="G298" s="29" t="s">
        <v>70</v>
      </c>
      <c r="H298" s="30" t="s">
        <v>70</v>
      </c>
      <c r="I298" s="29" t="s">
        <v>257</v>
      </c>
      <c r="J298" s="29" t="s">
        <v>68</v>
      </c>
      <c r="K298" s="30" t="s">
        <v>68</v>
      </c>
      <c r="L298" s="29" t="str">
        <f t="shared" si="4"/>
        <v>KAMPALA-MBARARA</v>
      </c>
      <c r="M298" s="31">
        <v>67</v>
      </c>
      <c r="N298" s="72">
        <v>20000</v>
      </c>
      <c r="O298" s="34">
        <v>4.9000000000000004</v>
      </c>
    </row>
    <row r="299" spans="2:15" x14ac:dyDescent="0.2">
      <c r="B299" s="27">
        <v>0.48055555555555557</v>
      </c>
      <c r="C299" s="28">
        <v>6</v>
      </c>
      <c r="D299" s="33" t="str">
        <f>IF(C299="", "",VLOOKUP(C299,Key!$A$5:$B$7,2,FALSE))</f>
        <v>Large Bus</v>
      </c>
      <c r="E299" s="29" t="s">
        <v>90</v>
      </c>
      <c r="F299" s="29" t="s">
        <v>67</v>
      </c>
      <c r="G299" s="29" t="s">
        <v>70</v>
      </c>
      <c r="H299" s="30" t="s">
        <v>70</v>
      </c>
      <c r="I299" s="29" t="s">
        <v>257</v>
      </c>
      <c r="J299" s="29" t="s">
        <v>68</v>
      </c>
      <c r="K299" s="30" t="s">
        <v>68</v>
      </c>
      <c r="L299" s="29" t="str">
        <f t="shared" si="4"/>
        <v>KAMPALA-MBARARA</v>
      </c>
      <c r="M299" s="31">
        <v>65</v>
      </c>
      <c r="N299" s="72">
        <v>20000</v>
      </c>
      <c r="O299" s="34">
        <v>4.9000000000000004</v>
      </c>
    </row>
    <row r="300" spans="2:15" x14ac:dyDescent="0.2">
      <c r="B300" s="27">
        <v>0.49305555555555558</v>
      </c>
      <c r="C300" s="28">
        <v>6</v>
      </c>
      <c r="D300" s="33" t="str">
        <f>IF(C300="", "",VLOOKUP(C300,Key!$A$5:$B$7,2,FALSE))</f>
        <v>Large Bus</v>
      </c>
      <c r="E300" s="29" t="s">
        <v>90</v>
      </c>
      <c r="F300" s="29" t="s">
        <v>67</v>
      </c>
      <c r="G300" s="29" t="s">
        <v>70</v>
      </c>
      <c r="H300" s="30" t="s">
        <v>70</v>
      </c>
      <c r="I300" s="29" t="s">
        <v>257</v>
      </c>
      <c r="J300" s="29" t="s">
        <v>68</v>
      </c>
      <c r="K300" s="30" t="s">
        <v>68</v>
      </c>
      <c r="L300" s="29" t="str">
        <f t="shared" si="4"/>
        <v>KAMPALA-MBARARA</v>
      </c>
      <c r="M300" s="31">
        <v>65</v>
      </c>
      <c r="N300" s="72">
        <v>20000</v>
      </c>
      <c r="O300" s="34">
        <v>4.9000000000000004</v>
      </c>
    </row>
    <row r="301" spans="2:15" x14ac:dyDescent="0.2">
      <c r="B301" s="27">
        <v>0.50347222222222221</v>
      </c>
      <c r="C301" s="28">
        <v>6</v>
      </c>
      <c r="D301" s="33" t="str">
        <f>IF(C301="", "",VLOOKUP(C301,Key!$A$5:$B$7,2,FALSE))</f>
        <v>Large Bus</v>
      </c>
      <c r="E301" s="29" t="s">
        <v>90</v>
      </c>
      <c r="F301" s="29" t="s">
        <v>67</v>
      </c>
      <c r="G301" s="29" t="s">
        <v>70</v>
      </c>
      <c r="H301" s="30" t="s">
        <v>70</v>
      </c>
      <c r="I301" s="29" t="s">
        <v>257</v>
      </c>
      <c r="J301" s="29" t="s">
        <v>68</v>
      </c>
      <c r="K301" s="30" t="s">
        <v>68</v>
      </c>
      <c r="L301" s="29" t="str">
        <f t="shared" si="4"/>
        <v>KAMPALA-MBARARA</v>
      </c>
      <c r="M301" s="31">
        <v>63</v>
      </c>
      <c r="N301" s="72">
        <v>20000</v>
      </c>
      <c r="O301" s="34">
        <v>4.9000000000000004</v>
      </c>
    </row>
    <row r="302" spans="2:15" x14ac:dyDescent="0.2">
      <c r="B302" s="27">
        <v>0.51041666666666663</v>
      </c>
      <c r="C302" s="28">
        <v>6</v>
      </c>
      <c r="D302" s="33" t="str">
        <f>IF(C302="", "",VLOOKUP(C302,Key!$A$5:$B$7,2,FALSE))</f>
        <v>Large Bus</v>
      </c>
      <c r="E302" s="29" t="s">
        <v>90</v>
      </c>
      <c r="F302" s="29" t="s">
        <v>67</v>
      </c>
      <c r="G302" s="29" t="s">
        <v>70</v>
      </c>
      <c r="H302" s="30" t="s">
        <v>70</v>
      </c>
      <c r="I302" s="29" t="s">
        <v>257</v>
      </c>
      <c r="J302" s="29" t="s">
        <v>68</v>
      </c>
      <c r="K302" s="30" t="s">
        <v>68</v>
      </c>
      <c r="L302" s="29" t="str">
        <f t="shared" si="4"/>
        <v>KAMPALA-MBARARA</v>
      </c>
      <c r="M302" s="31">
        <v>65</v>
      </c>
      <c r="N302" s="72">
        <v>20000</v>
      </c>
      <c r="O302" s="34">
        <v>4.9000000000000004</v>
      </c>
    </row>
    <row r="303" spans="2:15" x14ac:dyDescent="0.2">
      <c r="B303" s="27">
        <v>0.52083333333333337</v>
      </c>
      <c r="C303" s="28">
        <v>6</v>
      </c>
      <c r="D303" s="33" t="str">
        <f>IF(C303="", "",VLOOKUP(C303,Key!$A$5:$B$7,2,FALSE))</f>
        <v>Large Bus</v>
      </c>
      <c r="E303" s="29" t="s">
        <v>90</v>
      </c>
      <c r="F303" s="29" t="s">
        <v>67</v>
      </c>
      <c r="G303" s="29" t="s">
        <v>70</v>
      </c>
      <c r="H303" s="30" t="s">
        <v>70</v>
      </c>
      <c r="I303" s="29" t="s">
        <v>257</v>
      </c>
      <c r="J303" s="29" t="s">
        <v>68</v>
      </c>
      <c r="K303" s="30" t="s">
        <v>68</v>
      </c>
      <c r="L303" s="29" t="str">
        <f t="shared" si="4"/>
        <v>KAMPALA-MBARARA</v>
      </c>
      <c r="M303" s="31">
        <v>65</v>
      </c>
      <c r="N303" s="72">
        <v>20000</v>
      </c>
      <c r="O303" s="34">
        <v>4.9000000000000004</v>
      </c>
    </row>
    <row r="304" spans="2:15" x14ac:dyDescent="0.2">
      <c r="B304" s="27">
        <v>0.53055555555555556</v>
      </c>
      <c r="C304" s="28">
        <v>6</v>
      </c>
      <c r="D304" s="33" t="str">
        <f>IF(C304="", "",VLOOKUP(C304,Key!$A$5:$B$7,2,FALSE))</f>
        <v>Large Bus</v>
      </c>
      <c r="E304" s="29" t="s">
        <v>90</v>
      </c>
      <c r="F304" s="29" t="s">
        <v>67</v>
      </c>
      <c r="G304" s="29" t="s">
        <v>70</v>
      </c>
      <c r="H304" s="30" t="s">
        <v>70</v>
      </c>
      <c r="I304" s="29" t="s">
        <v>257</v>
      </c>
      <c r="J304" s="29" t="s">
        <v>68</v>
      </c>
      <c r="K304" s="30" t="s">
        <v>68</v>
      </c>
      <c r="L304" s="29" t="str">
        <f t="shared" si="4"/>
        <v>KAMPALA-MBARARA</v>
      </c>
      <c r="M304" s="31">
        <v>67</v>
      </c>
      <c r="N304" s="72">
        <v>20000</v>
      </c>
      <c r="O304" s="34">
        <v>4.9000000000000004</v>
      </c>
    </row>
    <row r="305" spans="2:15" x14ac:dyDescent="0.2">
      <c r="B305" s="27">
        <v>0.53819444444444442</v>
      </c>
      <c r="C305" s="28">
        <v>6</v>
      </c>
      <c r="D305" s="33" t="str">
        <f>IF(C305="", "",VLOOKUP(C305,Key!$A$5:$B$7,2,FALSE))</f>
        <v>Large Bus</v>
      </c>
      <c r="E305" s="29" t="s">
        <v>90</v>
      </c>
      <c r="F305" s="29" t="s">
        <v>67</v>
      </c>
      <c r="G305" s="29" t="s">
        <v>70</v>
      </c>
      <c r="H305" s="30" t="s">
        <v>70</v>
      </c>
      <c r="I305" s="29" t="s">
        <v>257</v>
      </c>
      <c r="J305" s="29" t="s">
        <v>68</v>
      </c>
      <c r="K305" s="30" t="s">
        <v>68</v>
      </c>
      <c r="L305" s="29" t="str">
        <f t="shared" si="4"/>
        <v>KAMPALA-MBARARA</v>
      </c>
      <c r="M305" s="31">
        <v>65</v>
      </c>
      <c r="N305" s="72">
        <v>20000</v>
      </c>
      <c r="O305" s="34">
        <v>4.9000000000000004</v>
      </c>
    </row>
    <row r="306" spans="2:15" x14ac:dyDescent="0.2">
      <c r="B306" s="27">
        <v>0.5444444444444444</v>
      </c>
      <c r="C306" s="28">
        <v>6</v>
      </c>
      <c r="D306" s="33" t="str">
        <f>IF(C306="", "",VLOOKUP(C306,Key!$A$5:$B$7,2,FALSE))</f>
        <v>Large Bus</v>
      </c>
      <c r="E306" s="29" t="s">
        <v>90</v>
      </c>
      <c r="F306" s="29" t="s">
        <v>67</v>
      </c>
      <c r="G306" s="29" t="s">
        <v>70</v>
      </c>
      <c r="H306" s="30" t="s">
        <v>70</v>
      </c>
      <c r="I306" s="29" t="s">
        <v>257</v>
      </c>
      <c r="J306" s="29" t="s">
        <v>68</v>
      </c>
      <c r="K306" s="30" t="s">
        <v>68</v>
      </c>
      <c r="L306" s="29" t="str">
        <f t="shared" si="4"/>
        <v>KAMPALA-MBARARA</v>
      </c>
      <c r="M306" s="31">
        <v>65</v>
      </c>
      <c r="N306" s="72">
        <v>20000</v>
      </c>
      <c r="O306" s="34">
        <v>4.9000000000000004</v>
      </c>
    </row>
    <row r="307" spans="2:15" x14ac:dyDescent="0.2">
      <c r="B307" s="27">
        <v>0.55277777777777781</v>
      </c>
      <c r="C307" s="28">
        <v>6</v>
      </c>
      <c r="D307" s="33" t="str">
        <f>IF(C307="", "",VLOOKUP(C307,Key!$A$5:$B$7,2,FALSE))</f>
        <v>Large Bus</v>
      </c>
      <c r="E307" s="29" t="s">
        <v>90</v>
      </c>
      <c r="F307" s="29" t="s">
        <v>67</v>
      </c>
      <c r="G307" s="29" t="s">
        <v>70</v>
      </c>
      <c r="H307" s="30" t="s">
        <v>70</v>
      </c>
      <c r="I307" s="29" t="s">
        <v>257</v>
      </c>
      <c r="J307" s="29" t="s">
        <v>68</v>
      </c>
      <c r="K307" s="30" t="s">
        <v>68</v>
      </c>
      <c r="L307" s="29" t="str">
        <f t="shared" si="4"/>
        <v>KAMPALA-MBARARA</v>
      </c>
      <c r="M307" s="31">
        <v>67</v>
      </c>
      <c r="N307" s="72">
        <v>20000</v>
      </c>
      <c r="O307" s="34">
        <v>4.9000000000000004</v>
      </c>
    </row>
    <row r="308" spans="2:15" x14ac:dyDescent="0.2">
      <c r="B308" s="27">
        <v>0.56180555555555556</v>
      </c>
      <c r="C308" s="28">
        <v>6</v>
      </c>
      <c r="D308" s="33" t="str">
        <f>IF(C308="", "",VLOOKUP(C308,Key!$A$5:$B$7,2,FALSE))</f>
        <v>Large Bus</v>
      </c>
      <c r="E308" s="29" t="s">
        <v>90</v>
      </c>
      <c r="F308" s="29" t="s">
        <v>67</v>
      </c>
      <c r="G308" s="29" t="s">
        <v>70</v>
      </c>
      <c r="H308" s="30" t="s">
        <v>70</v>
      </c>
      <c r="I308" s="29" t="s">
        <v>257</v>
      </c>
      <c r="J308" s="29" t="s">
        <v>68</v>
      </c>
      <c r="K308" s="30" t="s">
        <v>68</v>
      </c>
      <c r="L308" s="29" t="str">
        <f t="shared" si="4"/>
        <v>KAMPALA-MBARARA</v>
      </c>
      <c r="M308" s="31">
        <v>65</v>
      </c>
      <c r="N308" s="72">
        <v>20000</v>
      </c>
      <c r="O308" s="34">
        <v>4.9000000000000004</v>
      </c>
    </row>
    <row r="309" spans="2:15" x14ac:dyDescent="0.2">
      <c r="B309" s="27">
        <v>0.57222222222222219</v>
      </c>
      <c r="C309" s="28">
        <v>6</v>
      </c>
      <c r="D309" s="33" t="str">
        <f>IF(C309="", "",VLOOKUP(C309,Key!$A$5:$B$7,2,FALSE))</f>
        <v>Large Bus</v>
      </c>
      <c r="E309" s="29" t="s">
        <v>90</v>
      </c>
      <c r="F309" s="29" t="s">
        <v>67</v>
      </c>
      <c r="G309" s="29" t="s">
        <v>70</v>
      </c>
      <c r="H309" s="30" t="s">
        <v>70</v>
      </c>
      <c r="I309" s="29" t="s">
        <v>257</v>
      </c>
      <c r="J309" s="29" t="s">
        <v>73</v>
      </c>
      <c r="K309" s="30" t="s">
        <v>68</v>
      </c>
      <c r="L309" s="29" t="str">
        <f t="shared" si="4"/>
        <v>KAMPALA-MBARARA</v>
      </c>
      <c r="M309" s="31">
        <v>65</v>
      </c>
      <c r="N309" s="72">
        <v>20000</v>
      </c>
      <c r="O309" s="34">
        <v>4.9000000000000004</v>
      </c>
    </row>
    <row r="310" spans="2:15" x14ac:dyDescent="0.2">
      <c r="B310" s="27">
        <v>0.58611111111111114</v>
      </c>
      <c r="C310" s="28">
        <v>6</v>
      </c>
      <c r="D310" s="33" t="str">
        <f>IF(C310="", "",VLOOKUP(C310,Key!$A$5:$B$7,2,FALSE))</f>
        <v>Large Bus</v>
      </c>
      <c r="E310" s="29" t="s">
        <v>90</v>
      </c>
      <c r="F310" s="29" t="s">
        <v>67</v>
      </c>
      <c r="G310" s="29" t="s">
        <v>70</v>
      </c>
      <c r="H310" s="30" t="s">
        <v>70</v>
      </c>
      <c r="I310" s="29" t="s">
        <v>257</v>
      </c>
      <c r="J310" s="29" t="s">
        <v>68</v>
      </c>
      <c r="K310" s="30" t="s">
        <v>68</v>
      </c>
      <c r="L310" s="29" t="str">
        <f t="shared" si="4"/>
        <v>KAMPALA-MBARARA</v>
      </c>
      <c r="M310" s="31">
        <v>65</v>
      </c>
      <c r="N310" s="72">
        <v>20000</v>
      </c>
      <c r="O310" s="34">
        <v>4.9000000000000004</v>
      </c>
    </row>
    <row r="311" spans="2:15" x14ac:dyDescent="0.2">
      <c r="B311" s="27">
        <v>0.59236111111111112</v>
      </c>
      <c r="C311" s="28">
        <v>6</v>
      </c>
      <c r="D311" s="33" t="str">
        <f>IF(C311="", "",VLOOKUP(C311,Key!$A$5:$B$7,2,FALSE))</f>
        <v>Large Bus</v>
      </c>
      <c r="E311" s="29" t="s">
        <v>90</v>
      </c>
      <c r="F311" s="29" t="s">
        <v>67</v>
      </c>
      <c r="G311" s="29" t="s">
        <v>70</v>
      </c>
      <c r="H311" s="30" t="s">
        <v>70</v>
      </c>
      <c r="I311" s="29" t="s">
        <v>257</v>
      </c>
      <c r="J311" s="29" t="s">
        <v>68</v>
      </c>
      <c r="K311" s="30" t="s">
        <v>68</v>
      </c>
      <c r="L311" s="29" t="str">
        <f t="shared" si="4"/>
        <v>KAMPALA-MBARARA</v>
      </c>
      <c r="M311" s="31">
        <v>67</v>
      </c>
      <c r="N311" s="72">
        <v>20000</v>
      </c>
      <c r="O311" s="34">
        <v>4.9000000000000004</v>
      </c>
    </row>
    <row r="312" spans="2:15" x14ac:dyDescent="0.2">
      <c r="B312" s="27">
        <v>0.6</v>
      </c>
      <c r="C312" s="28">
        <v>6</v>
      </c>
      <c r="D312" s="33" t="str">
        <f>IF(C312="", "",VLOOKUP(C312,Key!$A$5:$B$7,2,FALSE))</f>
        <v>Large Bus</v>
      </c>
      <c r="E312" s="29" t="s">
        <v>90</v>
      </c>
      <c r="F312" s="29" t="s">
        <v>67</v>
      </c>
      <c r="G312" s="29" t="s">
        <v>70</v>
      </c>
      <c r="H312" s="30" t="s">
        <v>70</v>
      </c>
      <c r="I312" s="29" t="s">
        <v>257</v>
      </c>
      <c r="J312" s="29" t="s">
        <v>68</v>
      </c>
      <c r="K312" s="30" t="s">
        <v>68</v>
      </c>
      <c r="L312" s="29" t="str">
        <f t="shared" si="4"/>
        <v>KAMPALA-MBARARA</v>
      </c>
      <c r="M312" s="31">
        <v>65</v>
      </c>
      <c r="N312" s="72">
        <v>20000</v>
      </c>
      <c r="O312" s="34">
        <v>4.9000000000000004</v>
      </c>
    </row>
    <row r="313" spans="2:15" x14ac:dyDescent="0.2">
      <c r="B313" s="27">
        <v>0.60902777777777783</v>
      </c>
      <c r="C313" s="28">
        <v>6</v>
      </c>
      <c r="D313" s="33" t="str">
        <f>IF(C313="", "",VLOOKUP(C313,Key!$A$5:$B$7,2,FALSE))</f>
        <v>Large Bus</v>
      </c>
      <c r="E313" s="29" t="s">
        <v>90</v>
      </c>
      <c r="F313" s="29" t="s">
        <v>67</v>
      </c>
      <c r="G313" s="29" t="s">
        <v>70</v>
      </c>
      <c r="H313" s="30" t="s">
        <v>70</v>
      </c>
      <c r="I313" s="29" t="s">
        <v>257</v>
      </c>
      <c r="J313" s="29" t="s">
        <v>68</v>
      </c>
      <c r="K313" s="30" t="s">
        <v>68</v>
      </c>
      <c r="L313" s="29" t="str">
        <f t="shared" si="4"/>
        <v>KAMPALA-MBARARA</v>
      </c>
      <c r="M313" s="31">
        <v>66</v>
      </c>
      <c r="N313" s="72">
        <v>20000</v>
      </c>
      <c r="O313" s="34">
        <v>4.9000000000000004</v>
      </c>
    </row>
    <row r="314" spans="2:15" x14ac:dyDescent="0.2">
      <c r="B314" s="27">
        <v>0.58402777777777781</v>
      </c>
      <c r="C314" s="28">
        <v>6</v>
      </c>
      <c r="D314" s="33" t="str">
        <f>IF(C314="", "",VLOOKUP(C314,Key!$A$5:$B$7,2,FALSE))</f>
        <v>Large Bus</v>
      </c>
      <c r="E314" s="29" t="s">
        <v>90</v>
      </c>
      <c r="F314" s="29" t="s">
        <v>67</v>
      </c>
      <c r="G314" s="29" t="s">
        <v>70</v>
      </c>
      <c r="H314" s="30" t="s">
        <v>70</v>
      </c>
      <c r="I314" s="29" t="s">
        <v>257</v>
      </c>
      <c r="J314" s="29" t="s">
        <v>68</v>
      </c>
      <c r="K314" s="30" t="s">
        <v>68</v>
      </c>
      <c r="L314" s="29" t="str">
        <f t="shared" si="4"/>
        <v>KAMPALA-MBARARA</v>
      </c>
      <c r="M314" s="31">
        <v>65</v>
      </c>
      <c r="N314" s="72">
        <v>20000</v>
      </c>
      <c r="O314" s="34">
        <v>4.9000000000000004</v>
      </c>
    </row>
    <row r="315" spans="2:15" x14ac:dyDescent="0.2">
      <c r="B315" s="27">
        <v>0.62083333333333335</v>
      </c>
      <c r="C315" s="28">
        <v>6</v>
      </c>
      <c r="D315" s="33" t="str">
        <f>IF(C315="", "",VLOOKUP(C315,Key!$A$5:$B$7,2,FALSE))</f>
        <v>Large Bus</v>
      </c>
      <c r="E315" s="29" t="s">
        <v>90</v>
      </c>
      <c r="F315" s="29" t="s">
        <v>67</v>
      </c>
      <c r="G315" s="29" t="s">
        <v>70</v>
      </c>
      <c r="H315" s="30" t="s">
        <v>70</v>
      </c>
      <c r="I315" s="29" t="s">
        <v>257</v>
      </c>
      <c r="J315" s="29" t="s">
        <v>68</v>
      </c>
      <c r="K315" s="30" t="s">
        <v>68</v>
      </c>
      <c r="L315" s="29" t="str">
        <f t="shared" si="4"/>
        <v>KAMPALA-MBARARA</v>
      </c>
      <c r="M315" s="31">
        <v>67</v>
      </c>
      <c r="N315" s="72">
        <v>20000</v>
      </c>
      <c r="O315" s="34">
        <v>4.9000000000000004</v>
      </c>
    </row>
    <row r="316" spans="2:15" x14ac:dyDescent="0.2">
      <c r="B316" s="27">
        <v>0.63055555555555554</v>
      </c>
      <c r="C316" s="28">
        <v>6</v>
      </c>
      <c r="D316" s="33" t="str">
        <f>IF(C316="", "",VLOOKUP(C316,Key!$A$5:$B$7,2,FALSE))</f>
        <v>Large Bus</v>
      </c>
      <c r="E316" s="29" t="s">
        <v>90</v>
      </c>
      <c r="F316" s="29" t="s">
        <v>67</v>
      </c>
      <c r="G316" s="29" t="s">
        <v>70</v>
      </c>
      <c r="H316" s="30" t="s">
        <v>70</v>
      </c>
      <c r="I316" s="29" t="s">
        <v>257</v>
      </c>
      <c r="J316" s="29" t="s">
        <v>68</v>
      </c>
      <c r="K316" s="30" t="s">
        <v>68</v>
      </c>
      <c r="L316" s="29" t="str">
        <f t="shared" si="4"/>
        <v>KAMPALA-MBARARA</v>
      </c>
      <c r="M316" s="31">
        <v>65</v>
      </c>
      <c r="N316" s="72">
        <v>20000</v>
      </c>
      <c r="O316" s="34">
        <v>4.9000000000000004</v>
      </c>
    </row>
    <row r="317" spans="2:15" x14ac:dyDescent="0.2">
      <c r="B317" s="27">
        <v>0.63958333333333328</v>
      </c>
      <c r="C317" s="28">
        <v>6</v>
      </c>
      <c r="D317" s="33" t="str">
        <f>IF(C317="", "",VLOOKUP(C317,Key!$A$5:$B$7,2,FALSE))</f>
        <v>Large Bus</v>
      </c>
      <c r="E317" s="29" t="s">
        <v>90</v>
      </c>
      <c r="F317" s="29" t="s">
        <v>67</v>
      </c>
      <c r="G317" s="29" t="s">
        <v>70</v>
      </c>
      <c r="H317" s="30" t="s">
        <v>70</v>
      </c>
      <c r="I317" s="29" t="s">
        <v>257</v>
      </c>
      <c r="J317" s="29" t="s">
        <v>68</v>
      </c>
      <c r="K317" s="30" t="s">
        <v>68</v>
      </c>
      <c r="L317" s="29" t="str">
        <f t="shared" si="4"/>
        <v>KAMPALA-MBARARA</v>
      </c>
      <c r="M317" s="31">
        <v>63</v>
      </c>
      <c r="N317" s="72">
        <v>20000</v>
      </c>
      <c r="O317" s="34">
        <v>4.9000000000000004</v>
      </c>
    </row>
    <row r="318" spans="2:15" x14ac:dyDescent="0.2">
      <c r="B318" s="27">
        <v>0.64236111111111105</v>
      </c>
      <c r="C318" s="28">
        <v>6</v>
      </c>
      <c r="D318" s="33" t="str">
        <f>IF(C318="", "",VLOOKUP(C318,Key!$A$5:$B$7,2,FALSE))</f>
        <v>Large Bus</v>
      </c>
      <c r="E318" s="29" t="s">
        <v>90</v>
      </c>
      <c r="F318" s="29" t="s">
        <v>67</v>
      </c>
      <c r="G318" s="29" t="s">
        <v>70</v>
      </c>
      <c r="H318" s="30" t="s">
        <v>70</v>
      </c>
      <c r="I318" s="29" t="s">
        <v>257</v>
      </c>
      <c r="J318" s="29" t="s">
        <v>68</v>
      </c>
      <c r="K318" s="30" t="s">
        <v>68</v>
      </c>
      <c r="L318" s="29" t="str">
        <f t="shared" si="4"/>
        <v>KAMPALA-MBARARA</v>
      </c>
      <c r="M318" s="31">
        <v>65</v>
      </c>
      <c r="N318" s="72">
        <v>20000</v>
      </c>
      <c r="O318" s="34">
        <v>4.9000000000000004</v>
      </c>
    </row>
    <row r="319" spans="2:15" x14ac:dyDescent="0.2">
      <c r="B319" s="27">
        <v>0.6479166666666667</v>
      </c>
      <c r="C319" s="28">
        <v>6</v>
      </c>
      <c r="D319" s="33" t="str">
        <f>IF(C319="", "",VLOOKUP(C319,Key!$A$5:$B$7,2,FALSE))</f>
        <v>Large Bus</v>
      </c>
      <c r="E319" s="29" t="s">
        <v>90</v>
      </c>
      <c r="F319" s="29" t="s">
        <v>67</v>
      </c>
      <c r="G319" s="29" t="s">
        <v>70</v>
      </c>
      <c r="H319" s="30" t="s">
        <v>70</v>
      </c>
      <c r="I319" s="29" t="s">
        <v>257</v>
      </c>
      <c r="J319" s="29" t="s">
        <v>68</v>
      </c>
      <c r="K319" s="30" t="s">
        <v>68</v>
      </c>
      <c r="L319" s="29" t="str">
        <f t="shared" si="4"/>
        <v>KAMPALA-MBARARA</v>
      </c>
      <c r="M319" s="31">
        <v>65</v>
      </c>
      <c r="N319" s="72">
        <v>20000</v>
      </c>
      <c r="O319" s="34">
        <v>4.9000000000000004</v>
      </c>
    </row>
    <row r="320" spans="2:15" x14ac:dyDescent="0.2">
      <c r="B320" s="27">
        <v>0.66249999999999998</v>
      </c>
      <c r="C320" s="28">
        <v>6</v>
      </c>
      <c r="D320" s="33" t="str">
        <f>IF(C320="", "",VLOOKUP(C320,Key!$A$5:$B$7,2,FALSE))</f>
        <v>Large Bus</v>
      </c>
      <c r="E320" s="29" t="s">
        <v>90</v>
      </c>
      <c r="F320" s="29" t="s">
        <v>67</v>
      </c>
      <c r="G320" s="29" t="s">
        <v>70</v>
      </c>
      <c r="H320" s="30" t="s">
        <v>70</v>
      </c>
      <c r="I320" s="29" t="s">
        <v>257</v>
      </c>
      <c r="J320" s="29" t="s">
        <v>68</v>
      </c>
      <c r="K320" s="30" t="s">
        <v>68</v>
      </c>
      <c r="L320" s="29" t="str">
        <f t="shared" si="4"/>
        <v>KAMPALA-MBARARA</v>
      </c>
      <c r="M320" s="31">
        <v>63</v>
      </c>
      <c r="N320" s="72">
        <v>20000</v>
      </c>
      <c r="O320" s="34">
        <v>4.9000000000000004</v>
      </c>
    </row>
    <row r="321" spans="2:15" x14ac:dyDescent="0.2">
      <c r="B321" s="27">
        <v>0.66597222222222219</v>
      </c>
      <c r="C321" s="28">
        <v>6</v>
      </c>
      <c r="D321" s="33" t="str">
        <f>IF(C321="", "",VLOOKUP(C321,Key!$A$5:$B$7,2,FALSE))</f>
        <v>Large Bus</v>
      </c>
      <c r="E321" s="29" t="s">
        <v>90</v>
      </c>
      <c r="F321" s="29" t="s">
        <v>67</v>
      </c>
      <c r="G321" s="29" t="s">
        <v>70</v>
      </c>
      <c r="H321" s="30" t="s">
        <v>70</v>
      </c>
      <c r="I321" s="29" t="s">
        <v>257</v>
      </c>
      <c r="J321" s="29" t="s">
        <v>68</v>
      </c>
      <c r="K321" s="30" t="s">
        <v>68</v>
      </c>
      <c r="L321" s="29" t="str">
        <f t="shared" si="4"/>
        <v>KAMPALA-MBARARA</v>
      </c>
      <c r="M321" s="31">
        <v>65</v>
      </c>
      <c r="N321" s="72">
        <v>20000</v>
      </c>
      <c r="O321" s="34">
        <v>4.9000000000000004</v>
      </c>
    </row>
    <row r="322" spans="2:15" x14ac:dyDescent="0.2">
      <c r="B322" s="27">
        <v>0.67499999999999993</v>
      </c>
      <c r="C322" s="28">
        <v>6</v>
      </c>
      <c r="D322" s="33" t="str">
        <f>IF(C322="", "",VLOOKUP(C322,Key!$A$5:$B$7,2,FALSE))</f>
        <v>Large Bus</v>
      </c>
      <c r="E322" s="29" t="s">
        <v>90</v>
      </c>
      <c r="F322" s="29" t="s">
        <v>67</v>
      </c>
      <c r="G322" s="29" t="s">
        <v>70</v>
      </c>
      <c r="H322" s="30" t="s">
        <v>70</v>
      </c>
      <c r="I322" s="29" t="s">
        <v>257</v>
      </c>
      <c r="J322" s="29" t="s">
        <v>68</v>
      </c>
      <c r="K322" s="30" t="s">
        <v>68</v>
      </c>
      <c r="L322" s="29" t="str">
        <f t="shared" si="4"/>
        <v>KAMPALA-MBARARA</v>
      </c>
      <c r="M322" s="31">
        <v>65</v>
      </c>
      <c r="N322" s="72">
        <v>20000</v>
      </c>
      <c r="O322" s="34">
        <v>4.9000000000000004</v>
      </c>
    </row>
    <row r="323" spans="2:15" x14ac:dyDescent="0.2">
      <c r="B323" s="27">
        <v>0.68402777777777779</v>
      </c>
      <c r="C323" s="28">
        <v>6</v>
      </c>
      <c r="D323" s="33" t="str">
        <f>IF(C323="", "",VLOOKUP(C323,Key!$A$5:$B$7,2,FALSE))</f>
        <v>Large Bus</v>
      </c>
      <c r="E323" s="29" t="s">
        <v>90</v>
      </c>
      <c r="F323" s="29" t="s">
        <v>67</v>
      </c>
      <c r="G323" s="29" t="s">
        <v>70</v>
      </c>
      <c r="H323" s="30" t="s">
        <v>70</v>
      </c>
      <c r="I323" s="29" t="s">
        <v>257</v>
      </c>
      <c r="J323" s="29" t="s">
        <v>68</v>
      </c>
      <c r="K323" s="30" t="s">
        <v>68</v>
      </c>
      <c r="L323" s="29" t="str">
        <f t="shared" si="4"/>
        <v>KAMPALA-MBARARA</v>
      </c>
      <c r="M323" s="31">
        <v>65</v>
      </c>
      <c r="N323" s="72">
        <v>20000</v>
      </c>
      <c r="O323" s="34">
        <v>4.9000000000000004</v>
      </c>
    </row>
    <row r="324" spans="2:15" x14ac:dyDescent="0.2">
      <c r="B324" s="27">
        <v>0.6958333333333333</v>
      </c>
      <c r="C324" s="28">
        <v>6</v>
      </c>
      <c r="D324" s="33" t="str">
        <f>IF(C324="", "",VLOOKUP(C324,Key!$A$5:$B$7,2,FALSE))</f>
        <v>Large Bus</v>
      </c>
      <c r="E324" s="29" t="s">
        <v>90</v>
      </c>
      <c r="F324" s="29" t="s">
        <v>67</v>
      </c>
      <c r="G324" s="29" t="s">
        <v>70</v>
      </c>
      <c r="H324" s="30" t="s">
        <v>70</v>
      </c>
      <c r="I324" s="29" t="s">
        <v>257</v>
      </c>
      <c r="J324" s="29" t="s">
        <v>68</v>
      </c>
      <c r="K324" s="30" t="s">
        <v>68</v>
      </c>
      <c r="L324" s="29" t="str">
        <f t="shared" si="4"/>
        <v>KAMPALA-MBARARA</v>
      </c>
      <c r="M324" s="31">
        <v>65</v>
      </c>
      <c r="N324" s="72">
        <v>20000</v>
      </c>
      <c r="O324" s="34">
        <v>4.9000000000000004</v>
      </c>
    </row>
    <row r="325" spans="2:15" x14ac:dyDescent="0.2">
      <c r="B325" s="27">
        <v>0.70000000000000007</v>
      </c>
      <c r="C325" s="28">
        <v>6</v>
      </c>
      <c r="D325" s="33" t="str">
        <f>IF(C325="", "",VLOOKUP(C325,Key!$A$5:$B$7,2,FALSE))</f>
        <v>Large Bus</v>
      </c>
      <c r="E325" s="29" t="s">
        <v>90</v>
      </c>
      <c r="F325" s="29" t="s">
        <v>67</v>
      </c>
      <c r="G325" s="29" t="s">
        <v>70</v>
      </c>
      <c r="H325" s="30" t="s">
        <v>70</v>
      </c>
      <c r="I325" s="29" t="s">
        <v>257</v>
      </c>
      <c r="J325" s="29" t="s">
        <v>68</v>
      </c>
      <c r="K325" s="30" t="s">
        <v>68</v>
      </c>
      <c r="L325" s="29" t="str">
        <f t="shared" si="4"/>
        <v>KAMPALA-MBARARA</v>
      </c>
      <c r="M325" s="31">
        <v>65</v>
      </c>
      <c r="N325" s="72">
        <v>20000</v>
      </c>
      <c r="O325" s="34">
        <v>4.9000000000000004</v>
      </c>
    </row>
    <row r="326" spans="2:15" x14ac:dyDescent="0.2">
      <c r="B326" s="27">
        <v>0.70972222222222225</v>
      </c>
      <c r="C326" s="28">
        <v>6</v>
      </c>
      <c r="D326" s="33" t="str">
        <f>IF(C326="", "",VLOOKUP(C326,Key!$A$5:$B$7,2,FALSE))</f>
        <v>Large Bus</v>
      </c>
      <c r="E326" s="29" t="s">
        <v>90</v>
      </c>
      <c r="F326" s="29" t="s">
        <v>67</v>
      </c>
      <c r="G326" s="29" t="s">
        <v>70</v>
      </c>
      <c r="H326" s="30" t="s">
        <v>70</v>
      </c>
      <c r="I326" s="29" t="s">
        <v>257</v>
      </c>
      <c r="J326" s="29" t="s">
        <v>68</v>
      </c>
      <c r="K326" s="30" t="s">
        <v>68</v>
      </c>
      <c r="L326" s="29" t="str">
        <f t="shared" si="4"/>
        <v>KAMPALA-MBARARA</v>
      </c>
      <c r="M326" s="31">
        <v>65</v>
      </c>
      <c r="N326" s="72">
        <v>20000</v>
      </c>
      <c r="O326" s="34">
        <v>4.9000000000000004</v>
      </c>
    </row>
    <row r="327" spans="2:15" x14ac:dyDescent="0.2">
      <c r="B327" s="27">
        <v>0.72291666666666676</v>
      </c>
      <c r="C327" s="28">
        <v>6</v>
      </c>
      <c r="D327" s="33" t="str">
        <f>IF(C327="", "",VLOOKUP(C327,Key!$A$5:$B$7,2,FALSE))</f>
        <v>Large Bus</v>
      </c>
      <c r="E327" s="29" t="s">
        <v>90</v>
      </c>
      <c r="F327" s="29" t="s">
        <v>67</v>
      </c>
      <c r="G327" s="29" t="s">
        <v>70</v>
      </c>
      <c r="H327" s="30" t="s">
        <v>70</v>
      </c>
      <c r="I327" s="29" t="s">
        <v>257</v>
      </c>
      <c r="J327" s="29" t="s">
        <v>68</v>
      </c>
      <c r="K327" s="30" t="s">
        <v>68</v>
      </c>
      <c r="L327" s="29" t="str">
        <f t="shared" si="4"/>
        <v>KAMPALA-MBARARA</v>
      </c>
      <c r="M327" s="31">
        <v>64</v>
      </c>
      <c r="N327" s="72">
        <v>20000</v>
      </c>
      <c r="O327" s="34">
        <v>4.9000000000000004</v>
      </c>
    </row>
    <row r="328" spans="2:15" x14ac:dyDescent="0.2">
      <c r="B328" s="27">
        <v>0.73333333333333339</v>
      </c>
      <c r="C328" s="28">
        <v>6</v>
      </c>
      <c r="D328" s="33" t="str">
        <f>IF(C328="", "",VLOOKUP(C328,Key!$A$5:$B$7,2,FALSE))</f>
        <v>Large Bus</v>
      </c>
      <c r="E328" s="29" t="s">
        <v>90</v>
      </c>
      <c r="F328" s="29" t="s">
        <v>67</v>
      </c>
      <c r="G328" s="29" t="s">
        <v>70</v>
      </c>
      <c r="H328" s="30" t="s">
        <v>70</v>
      </c>
      <c r="I328" s="29" t="s">
        <v>257</v>
      </c>
      <c r="J328" s="29" t="s">
        <v>68</v>
      </c>
      <c r="K328" s="30" t="s">
        <v>68</v>
      </c>
      <c r="L328" s="29" t="str">
        <f t="shared" si="4"/>
        <v>KAMPALA-MBARARA</v>
      </c>
      <c r="M328" s="31">
        <v>61</v>
      </c>
      <c r="N328" s="72">
        <v>20000</v>
      </c>
      <c r="O328" s="34">
        <v>4.9000000000000004</v>
      </c>
    </row>
    <row r="329" spans="2:15" x14ac:dyDescent="0.2">
      <c r="B329" s="27">
        <v>0.74583333333333324</v>
      </c>
      <c r="C329" s="28">
        <v>6</v>
      </c>
      <c r="D329" s="33" t="str">
        <f>IF(C329="", "",VLOOKUP(C329,Key!$A$5:$B$7,2,FALSE))</f>
        <v>Large Bus</v>
      </c>
      <c r="E329" s="29" t="s">
        <v>90</v>
      </c>
      <c r="F329" s="29" t="s">
        <v>67</v>
      </c>
      <c r="G329" s="29" t="s">
        <v>70</v>
      </c>
      <c r="H329" s="30" t="s">
        <v>70</v>
      </c>
      <c r="I329" s="29" t="s">
        <v>257</v>
      </c>
      <c r="J329" s="29" t="s">
        <v>68</v>
      </c>
      <c r="K329" s="30" t="s">
        <v>68</v>
      </c>
      <c r="L329" s="29" t="str">
        <f t="shared" si="4"/>
        <v>KAMPALA-MBARARA</v>
      </c>
      <c r="M329" s="31">
        <v>67</v>
      </c>
      <c r="N329" s="72">
        <v>20000</v>
      </c>
      <c r="O329" s="34">
        <v>4.9000000000000004</v>
      </c>
    </row>
    <row r="330" spans="2:15" x14ac:dyDescent="0.2">
      <c r="B330" s="27">
        <v>0.75624999999999998</v>
      </c>
      <c r="C330" s="28">
        <v>6</v>
      </c>
      <c r="D330" s="33" t="str">
        <f>IF(C330="", "",VLOOKUP(C330,Key!$A$5:$B$7,2,FALSE))</f>
        <v>Large Bus</v>
      </c>
      <c r="E330" s="29" t="s">
        <v>90</v>
      </c>
      <c r="F330" s="29" t="s">
        <v>67</v>
      </c>
      <c r="G330" s="29" t="s">
        <v>70</v>
      </c>
      <c r="H330" s="30" t="s">
        <v>70</v>
      </c>
      <c r="I330" s="29" t="s">
        <v>257</v>
      </c>
      <c r="J330" s="29" t="s">
        <v>68</v>
      </c>
      <c r="K330" s="30" t="s">
        <v>68</v>
      </c>
      <c r="L330" s="29" t="str">
        <f t="shared" ref="L330:L393" si="5">H330&amp;"-"&amp;K330</f>
        <v>KAMPALA-MBARARA</v>
      </c>
      <c r="M330" s="31">
        <v>65</v>
      </c>
      <c r="N330" s="72">
        <v>20000</v>
      </c>
      <c r="O330" s="34">
        <v>4.9000000000000004</v>
      </c>
    </row>
    <row r="331" spans="2:15" x14ac:dyDescent="0.2">
      <c r="B331" s="27">
        <v>0.76944444444444438</v>
      </c>
      <c r="C331" s="28">
        <v>6</v>
      </c>
      <c r="D331" s="33" t="str">
        <f>IF(C331="", "",VLOOKUP(C331,Key!$A$5:$B$7,2,FALSE))</f>
        <v>Large Bus</v>
      </c>
      <c r="E331" s="29" t="s">
        <v>90</v>
      </c>
      <c r="F331" s="29" t="s">
        <v>67</v>
      </c>
      <c r="G331" s="29" t="s">
        <v>70</v>
      </c>
      <c r="H331" s="30" t="s">
        <v>70</v>
      </c>
      <c r="I331" s="29" t="s">
        <v>257</v>
      </c>
      <c r="J331" s="29" t="s">
        <v>68</v>
      </c>
      <c r="K331" s="30" t="s">
        <v>68</v>
      </c>
      <c r="L331" s="29" t="str">
        <f t="shared" si="5"/>
        <v>KAMPALA-MBARARA</v>
      </c>
      <c r="M331" s="31">
        <v>65</v>
      </c>
      <c r="N331" s="72">
        <v>20000</v>
      </c>
      <c r="O331" s="34">
        <v>4.9000000000000004</v>
      </c>
    </row>
    <row r="332" spans="2:15" x14ac:dyDescent="0.2">
      <c r="B332" s="27">
        <v>0.77847222222222223</v>
      </c>
      <c r="C332" s="28">
        <v>6</v>
      </c>
      <c r="D332" s="33" t="str">
        <f>IF(C332="", "",VLOOKUP(C332,Key!$A$5:$B$7,2,FALSE))</f>
        <v>Large Bus</v>
      </c>
      <c r="E332" s="29" t="s">
        <v>90</v>
      </c>
      <c r="F332" s="29" t="s">
        <v>67</v>
      </c>
      <c r="G332" s="29" t="s">
        <v>70</v>
      </c>
      <c r="H332" s="30" t="s">
        <v>70</v>
      </c>
      <c r="I332" s="29" t="s">
        <v>257</v>
      </c>
      <c r="J332" s="29" t="s">
        <v>68</v>
      </c>
      <c r="K332" s="30" t="s">
        <v>68</v>
      </c>
      <c r="L332" s="29" t="str">
        <f t="shared" si="5"/>
        <v>KAMPALA-MBARARA</v>
      </c>
      <c r="M332" s="31">
        <v>67</v>
      </c>
      <c r="N332" s="72">
        <v>20000</v>
      </c>
      <c r="O332" s="34">
        <v>4.9000000000000004</v>
      </c>
    </row>
    <row r="333" spans="2:15" x14ac:dyDescent="0.2">
      <c r="B333" s="27">
        <v>0.79027777777777775</v>
      </c>
      <c r="C333" s="28">
        <v>6</v>
      </c>
      <c r="D333" s="33" t="str">
        <f>IF(C333="", "",VLOOKUP(C333,Key!$A$5:$B$7,2,FALSE))</f>
        <v>Large Bus</v>
      </c>
      <c r="E333" s="29" t="s">
        <v>90</v>
      </c>
      <c r="F333" s="29" t="s">
        <v>67</v>
      </c>
      <c r="G333" s="29" t="s">
        <v>70</v>
      </c>
      <c r="H333" s="30" t="s">
        <v>70</v>
      </c>
      <c r="I333" s="29" t="s">
        <v>257</v>
      </c>
      <c r="J333" s="29" t="s">
        <v>68</v>
      </c>
      <c r="K333" s="30" t="s">
        <v>68</v>
      </c>
      <c r="L333" s="29" t="str">
        <f t="shared" si="5"/>
        <v>KAMPALA-MBARARA</v>
      </c>
      <c r="M333" s="31">
        <v>63</v>
      </c>
      <c r="N333" s="72">
        <v>20000</v>
      </c>
      <c r="O333" s="34">
        <v>4.9000000000000004</v>
      </c>
    </row>
    <row r="334" spans="2:15" x14ac:dyDescent="0.2">
      <c r="B334" s="27">
        <v>0.87777777777777777</v>
      </c>
      <c r="C334" s="28">
        <v>6</v>
      </c>
      <c r="D334" s="33" t="str">
        <f>IF(C334="", "",VLOOKUP(C334,Key!$A$5:$B$7,2,FALSE))</f>
        <v>Large Bus</v>
      </c>
      <c r="E334" s="29" t="s">
        <v>90</v>
      </c>
      <c r="F334" s="29" t="s">
        <v>66</v>
      </c>
      <c r="G334" s="29" t="s">
        <v>68</v>
      </c>
      <c r="H334" s="30" t="s">
        <v>68</v>
      </c>
      <c r="I334" s="29" t="s">
        <v>257</v>
      </c>
      <c r="J334" s="29" t="s">
        <v>70</v>
      </c>
      <c r="K334" s="30" t="s">
        <v>70</v>
      </c>
      <c r="L334" s="29" t="str">
        <f t="shared" si="5"/>
        <v>MBARARA-KAMPALA</v>
      </c>
      <c r="M334" s="31">
        <v>65</v>
      </c>
      <c r="N334" s="72">
        <v>20000</v>
      </c>
      <c r="O334" s="34">
        <v>4.9000000000000004</v>
      </c>
    </row>
    <row r="335" spans="2:15" x14ac:dyDescent="0.2">
      <c r="B335" s="27">
        <v>0.46527777777777773</v>
      </c>
      <c r="C335" s="28">
        <v>6</v>
      </c>
      <c r="D335" s="33" t="str">
        <f>IF(C335="", "",VLOOKUP(C335,Key!$A$5:$B$7,2,FALSE))</f>
        <v>Large Bus</v>
      </c>
      <c r="E335" s="29" t="s">
        <v>90</v>
      </c>
      <c r="F335" s="29" t="s">
        <v>66</v>
      </c>
      <c r="G335" s="29" t="s">
        <v>68</v>
      </c>
      <c r="H335" s="30" t="s">
        <v>68</v>
      </c>
      <c r="I335" s="29" t="s">
        <v>257</v>
      </c>
      <c r="J335" s="29" t="s">
        <v>70</v>
      </c>
      <c r="K335" s="30" t="s">
        <v>70</v>
      </c>
      <c r="L335" s="29" t="str">
        <f t="shared" si="5"/>
        <v>MBARARA-KAMPALA</v>
      </c>
      <c r="M335" s="31">
        <v>67</v>
      </c>
      <c r="N335" s="72">
        <v>20000</v>
      </c>
      <c r="O335" s="34">
        <v>4.9000000000000004</v>
      </c>
    </row>
    <row r="336" spans="2:15" x14ac:dyDescent="0.2">
      <c r="B336" s="27">
        <v>0.5083333333333333</v>
      </c>
      <c r="C336" s="28">
        <v>6</v>
      </c>
      <c r="D336" s="33" t="str">
        <f>IF(C336="", "",VLOOKUP(C336,Key!$A$5:$B$7,2,FALSE))</f>
        <v>Large Bus</v>
      </c>
      <c r="E336" s="29" t="s">
        <v>90</v>
      </c>
      <c r="F336" s="29" t="s">
        <v>66</v>
      </c>
      <c r="G336" s="29" t="s">
        <v>68</v>
      </c>
      <c r="H336" s="30" t="s">
        <v>68</v>
      </c>
      <c r="I336" s="29" t="s">
        <v>257</v>
      </c>
      <c r="J336" s="29" t="s">
        <v>70</v>
      </c>
      <c r="K336" s="30" t="s">
        <v>70</v>
      </c>
      <c r="L336" s="29" t="str">
        <f t="shared" si="5"/>
        <v>MBARARA-KAMPALA</v>
      </c>
      <c r="M336" s="31">
        <v>67</v>
      </c>
      <c r="N336" s="72">
        <v>20000</v>
      </c>
      <c r="O336" s="34">
        <v>4.9000000000000004</v>
      </c>
    </row>
    <row r="337" spans="2:15" x14ac:dyDescent="0.2">
      <c r="B337" s="27">
        <v>0.51666666666666672</v>
      </c>
      <c r="C337" s="28">
        <v>6</v>
      </c>
      <c r="D337" s="33" t="str">
        <f>IF(C337="", "",VLOOKUP(C337,Key!$A$5:$B$7,2,FALSE))</f>
        <v>Large Bus</v>
      </c>
      <c r="E337" s="29" t="s">
        <v>90</v>
      </c>
      <c r="F337" s="29" t="s">
        <v>66</v>
      </c>
      <c r="G337" s="29" t="s">
        <v>68</v>
      </c>
      <c r="H337" s="30" t="s">
        <v>68</v>
      </c>
      <c r="I337" s="29" t="s">
        <v>257</v>
      </c>
      <c r="J337" s="29" t="s">
        <v>70</v>
      </c>
      <c r="K337" s="30" t="s">
        <v>70</v>
      </c>
      <c r="L337" s="29" t="str">
        <f t="shared" si="5"/>
        <v>MBARARA-KAMPALA</v>
      </c>
      <c r="M337" s="31">
        <v>65</v>
      </c>
      <c r="N337" s="72">
        <v>20000</v>
      </c>
      <c r="O337" s="34">
        <v>4.9000000000000004</v>
      </c>
    </row>
    <row r="338" spans="2:15" x14ac:dyDescent="0.2">
      <c r="B338" s="27">
        <v>0.95277777777777783</v>
      </c>
      <c r="C338" s="28">
        <v>6</v>
      </c>
      <c r="D338" s="33" t="str">
        <f>IF(C338="", "",VLOOKUP(C338,Key!$A$5:$B$7,2,FALSE))</f>
        <v>Large Bus</v>
      </c>
      <c r="E338" s="29" t="s">
        <v>90</v>
      </c>
      <c r="F338" s="29" t="s">
        <v>66</v>
      </c>
      <c r="G338" s="29" t="s">
        <v>68</v>
      </c>
      <c r="H338" s="30" t="s">
        <v>68</v>
      </c>
      <c r="I338" s="29" t="s">
        <v>257</v>
      </c>
      <c r="J338" s="29" t="s">
        <v>70</v>
      </c>
      <c r="K338" s="30" t="s">
        <v>70</v>
      </c>
      <c r="L338" s="29" t="str">
        <f t="shared" si="5"/>
        <v>MBARARA-KAMPALA</v>
      </c>
      <c r="M338" s="31">
        <v>67</v>
      </c>
      <c r="N338" s="72">
        <v>20000</v>
      </c>
      <c r="O338" s="34">
        <v>4.9000000000000004</v>
      </c>
    </row>
    <row r="339" spans="2:15" x14ac:dyDescent="0.2">
      <c r="B339" s="27">
        <v>0.56736111111111109</v>
      </c>
      <c r="C339" s="28">
        <v>6</v>
      </c>
      <c r="D339" s="33" t="str">
        <f>IF(C339="", "",VLOOKUP(C339,Key!$A$5:$B$7,2,FALSE))</f>
        <v>Large Bus</v>
      </c>
      <c r="E339" s="29" t="s">
        <v>90</v>
      </c>
      <c r="F339" s="29" t="s">
        <v>66</v>
      </c>
      <c r="G339" s="29" t="s">
        <v>68</v>
      </c>
      <c r="H339" s="30" t="s">
        <v>68</v>
      </c>
      <c r="I339" s="29" t="s">
        <v>257</v>
      </c>
      <c r="J339" s="29" t="s">
        <v>70</v>
      </c>
      <c r="K339" s="30" t="s">
        <v>70</v>
      </c>
      <c r="L339" s="29" t="str">
        <f t="shared" si="5"/>
        <v>MBARARA-KAMPALA</v>
      </c>
      <c r="M339" s="31">
        <v>67</v>
      </c>
      <c r="N339" s="72">
        <v>20000</v>
      </c>
      <c r="O339" s="34">
        <v>4.9000000000000004</v>
      </c>
    </row>
    <row r="340" spans="2:15" x14ac:dyDescent="0.2">
      <c r="B340" s="27">
        <v>0.57916666666666672</v>
      </c>
      <c r="C340" s="28">
        <v>6</v>
      </c>
      <c r="D340" s="33" t="str">
        <f>IF(C340="", "",VLOOKUP(C340,Key!$A$5:$B$7,2,FALSE))</f>
        <v>Large Bus</v>
      </c>
      <c r="E340" s="29" t="s">
        <v>90</v>
      </c>
      <c r="F340" s="29" t="s">
        <v>66</v>
      </c>
      <c r="G340" s="29" t="s">
        <v>68</v>
      </c>
      <c r="H340" s="30" t="s">
        <v>68</v>
      </c>
      <c r="I340" s="29" t="s">
        <v>257</v>
      </c>
      <c r="J340" s="29" t="s">
        <v>70</v>
      </c>
      <c r="K340" s="30" t="s">
        <v>70</v>
      </c>
      <c r="L340" s="29" t="str">
        <f t="shared" si="5"/>
        <v>MBARARA-KAMPALA</v>
      </c>
      <c r="M340" s="31">
        <v>67</v>
      </c>
      <c r="N340" s="72">
        <v>20000</v>
      </c>
      <c r="O340" s="34">
        <v>4.9000000000000004</v>
      </c>
    </row>
    <row r="341" spans="2:15" x14ac:dyDescent="0.2">
      <c r="B341" s="27">
        <v>0.58402777777777781</v>
      </c>
      <c r="C341" s="28">
        <v>6</v>
      </c>
      <c r="D341" s="33" t="str">
        <f>IF(C341="", "",VLOOKUP(C341,Key!$A$5:$B$7,2,FALSE))</f>
        <v>Large Bus</v>
      </c>
      <c r="E341" s="29" t="s">
        <v>90</v>
      </c>
      <c r="F341" s="29" t="s">
        <v>66</v>
      </c>
      <c r="G341" s="29" t="s">
        <v>68</v>
      </c>
      <c r="H341" s="30" t="s">
        <v>68</v>
      </c>
      <c r="I341" s="29" t="s">
        <v>257</v>
      </c>
      <c r="J341" s="29" t="s">
        <v>70</v>
      </c>
      <c r="K341" s="30" t="s">
        <v>70</v>
      </c>
      <c r="L341" s="29" t="str">
        <f t="shared" si="5"/>
        <v>MBARARA-KAMPALA</v>
      </c>
      <c r="M341" s="31">
        <v>70</v>
      </c>
      <c r="N341" s="72">
        <v>20000</v>
      </c>
      <c r="O341" s="34">
        <v>4.9000000000000004</v>
      </c>
    </row>
    <row r="342" spans="2:15" x14ac:dyDescent="0.2">
      <c r="B342" s="27">
        <v>0.58888888888888891</v>
      </c>
      <c r="C342" s="28">
        <v>6</v>
      </c>
      <c r="D342" s="33" t="str">
        <f>IF(C342="", "",VLOOKUP(C342,Key!$A$5:$B$7,2,FALSE))</f>
        <v>Large Bus</v>
      </c>
      <c r="E342" s="29" t="s">
        <v>90</v>
      </c>
      <c r="F342" s="29" t="s">
        <v>66</v>
      </c>
      <c r="G342" s="29" t="s">
        <v>68</v>
      </c>
      <c r="H342" s="30" t="s">
        <v>68</v>
      </c>
      <c r="I342" s="29" t="s">
        <v>257</v>
      </c>
      <c r="J342" s="29" t="s">
        <v>70</v>
      </c>
      <c r="K342" s="30" t="s">
        <v>70</v>
      </c>
      <c r="L342" s="29" t="str">
        <f t="shared" si="5"/>
        <v>MBARARA-KAMPALA</v>
      </c>
      <c r="M342" s="31">
        <v>67</v>
      </c>
      <c r="N342" s="72">
        <v>20000</v>
      </c>
      <c r="O342" s="34">
        <v>4.9000000000000004</v>
      </c>
    </row>
    <row r="343" spans="2:15" x14ac:dyDescent="0.2">
      <c r="B343" s="27">
        <v>0.59652777777777777</v>
      </c>
      <c r="C343" s="28">
        <v>6</v>
      </c>
      <c r="D343" s="33" t="str">
        <f>IF(C343="", "",VLOOKUP(C343,Key!$A$5:$B$7,2,FALSE))</f>
        <v>Large Bus</v>
      </c>
      <c r="E343" s="29" t="s">
        <v>90</v>
      </c>
      <c r="F343" s="29" t="s">
        <v>66</v>
      </c>
      <c r="G343" s="29" t="s">
        <v>68</v>
      </c>
      <c r="H343" s="30" t="s">
        <v>68</v>
      </c>
      <c r="I343" s="29" t="s">
        <v>257</v>
      </c>
      <c r="J343" s="29" t="s">
        <v>70</v>
      </c>
      <c r="K343" s="30" t="s">
        <v>70</v>
      </c>
      <c r="L343" s="29" t="str">
        <f t="shared" si="5"/>
        <v>MBARARA-KAMPALA</v>
      </c>
      <c r="M343" s="31">
        <v>65</v>
      </c>
      <c r="N343" s="72">
        <v>20000</v>
      </c>
      <c r="O343" s="34">
        <v>4.9000000000000004</v>
      </c>
    </row>
    <row r="344" spans="2:15" x14ac:dyDescent="0.2">
      <c r="B344" s="27">
        <v>0.61111111111111105</v>
      </c>
      <c r="C344" s="28">
        <v>6</v>
      </c>
      <c r="D344" s="33" t="str">
        <f>IF(C344="", "",VLOOKUP(C344,Key!$A$5:$B$7,2,FALSE))</f>
        <v>Large Bus</v>
      </c>
      <c r="E344" s="29" t="s">
        <v>90</v>
      </c>
      <c r="F344" s="29" t="s">
        <v>66</v>
      </c>
      <c r="G344" s="29" t="s">
        <v>68</v>
      </c>
      <c r="H344" s="30" t="s">
        <v>68</v>
      </c>
      <c r="I344" s="29" t="s">
        <v>257</v>
      </c>
      <c r="J344" s="29" t="s">
        <v>70</v>
      </c>
      <c r="K344" s="30" t="s">
        <v>70</v>
      </c>
      <c r="L344" s="29" t="str">
        <f t="shared" si="5"/>
        <v>MBARARA-KAMPALA</v>
      </c>
      <c r="M344" s="31">
        <v>65</v>
      </c>
      <c r="N344" s="72">
        <v>20000</v>
      </c>
      <c r="O344" s="34">
        <v>4.9000000000000004</v>
      </c>
    </row>
    <row r="345" spans="2:15" x14ac:dyDescent="0.2">
      <c r="B345" s="27">
        <v>0.84444444444444444</v>
      </c>
      <c r="C345" s="28">
        <v>6</v>
      </c>
      <c r="D345" s="33" t="str">
        <f>IF(C345="", "",VLOOKUP(C345,Key!$A$5:$B$7,2,FALSE))</f>
        <v>Large Bus</v>
      </c>
      <c r="E345" s="29" t="s">
        <v>90</v>
      </c>
      <c r="F345" s="29" t="s">
        <v>66</v>
      </c>
      <c r="G345" s="29" t="s">
        <v>68</v>
      </c>
      <c r="H345" s="30" t="s">
        <v>68</v>
      </c>
      <c r="I345" s="29" t="s">
        <v>257</v>
      </c>
      <c r="J345" s="29" t="s">
        <v>70</v>
      </c>
      <c r="K345" s="30" t="s">
        <v>70</v>
      </c>
      <c r="L345" s="29" t="str">
        <f t="shared" si="5"/>
        <v>MBARARA-KAMPALA</v>
      </c>
      <c r="M345" s="31">
        <v>65</v>
      </c>
      <c r="N345" s="72">
        <v>20000</v>
      </c>
      <c r="O345" s="34">
        <v>4.9000000000000004</v>
      </c>
    </row>
    <row r="346" spans="2:15" x14ac:dyDescent="0.2">
      <c r="B346" s="27">
        <v>0.65138888888888891</v>
      </c>
      <c r="C346" s="28">
        <v>6</v>
      </c>
      <c r="D346" s="33" t="str">
        <f>IF(C346="", "",VLOOKUP(C346,Key!$A$5:$B$7,2,FALSE))</f>
        <v>Large Bus</v>
      </c>
      <c r="E346" s="29" t="s">
        <v>90</v>
      </c>
      <c r="F346" s="29" t="s">
        <v>66</v>
      </c>
      <c r="G346" s="29" t="s">
        <v>68</v>
      </c>
      <c r="H346" s="30" t="s">
        <v>68</v>
      </c>
      <c r="I346" s="29" t="s">
        <v>257</v>
      </c>
      <c r="J346" s="29" t="s">
        <v>70</v>
      </c>
      <c r="K346" s="30" t="s">
        <v>70</v>
      </c>
      <c r="L346" s="29" t="str">
        <f t="shared" si="5"/>
        <v>MBARARA-KAMPALA</v>
      </c>
      <c r="M346" s="31">
        <v>67</v>
      </c>
      <c r="N346" s="72">
        <v>20000</v>
      </c>
      <c r="O346" s="34">
        <v>4.9000000000000004</v>
      </c>
    </row>
    <row r="347" spans="2:15" x14ac:dyDescent="0.2">
      <c r="B347" s="27">
        <v>0.66527777777777775</v>
      </c>
      <c r="C347" s="28">
        <v>6</v>
      </c>
      <c r="D347" s="33" t="str">
        <f>IF(C347="", "",VLOOKUP(C347,Key!$A$5:$B$7,2,FALSE))</f>
        <v>Large Bus</v>
      </c>
      <c r="E347" s="29" t="s">
        <v>90</v>
      </c>
      <c r="F347" s="29" t="s">
        <v>66</v>
      </c>
      <c r="G347" s="29" t="s">
        <v>68</v>
      </c>
      <c r="H347" s="30" t="s">
        <v>68</v>
      </c>
      <c r="I347" s="29" t="s">
        <v>257</v>
      </c>
      <c r="J347" s="29" t="s">
        <v>70</v>
      </c>
      <c r="K347" s="30" t="s">
        <v>70</v>
      </c>
      <c r="L347" s="29" t="str">
        <f t="shared" si="5"/>
        <v>MBARARA-KAMPALA</v>
      </c>
      <c r="M347" s="31">
        <v>63</v>
      </c>
      <c r="N347" s="72">
        <v>20000</v>
      </c>
      <c r="O347" s="34">
        <v>4.9000000000000004</v>
      </c>
    </row>
    <row r="348" spans="2:15" x14ac:dyDescent="0.2">
      <c r="B348" s="27">
        <v>0.67569444444444438</v>
      </c>
      <c r="C348" s="28">
        <v>6</v>
      </c>
      <c r="D348" s="33" t="str">
        <f>IF(C348="", "",VLOOKUP(C348,Key!$A$5:$B$7,2,FALSE))</f>
        <v>Large Bus</v>
      </c>
      <c r="E348" s="29" t="s">
        <v>90</v>
      </c>
      <c r="F348" s="29" t="s">
        <v>66</v>
      </c>
      <c r="G348" s="29" t="s">
        <v>68</v>
      </c>
      <c r="H348" s="30" t="s">
        <v>68</v>
      </c>
      <c r="I348" s="29" t="s">
        <v>257</v>
      </c>
      <c r="J348" s="29" t="s">
        <v>70</v>
      </c>
      <c r="K348" s="30" t="s">
        <v>70</v>
      </c>
      <c r="L348" s="29" t="str">
        <f t="shared" si="5"/>
        <v>MBARARA-KAMPALA</v>
      </c>
      <c r="M348" s="31">
        <v>67</v>
      </c>
      <c r="N348" s="72">
        <v>20000</v>
      </c>
      <c r="O348" s="34">
        <v>4.9000000000000004</v>
      </c>
    </row>
    <row r="349" spans="2:15" x14ac:dyDescent="0.2">
      <c r="B349" s="27">
        <v>0.67638888888888893</v>
      </c>
      <c r="C349" s="28">
        <v>6</v>
      </c>
      <c r="D349" s="33" t="str">
        <f>IF(C349="", "",VLOOKUP(C349,Key!$A$5:$B$7,2,FALSE))</f>
        <v>Large Bus</v>
      </c>
      <c r="E349" s="29" t="s">
        <v>90</v>
      </c>
      <c r="F349" s="29" t="s">
        <v>66</v>
      </c>
      <c r="G349" s="29" t="s">
        <v>68</v>
      </c>
      <c r="H349" s="30" t="s">
        <v>68</v>
      </c>
      <c r="I349" s="29" t="s">
        <v>257</v>
      </c>
      <c r="J349" s="29" t="s">
        <v>70</v>
      </c>
      <c r="K349" s="30" t="s">
        <v>70</v>
      </c>
      <c r="L349" s="29" t="str">
        <f t="shared" si="5"/>
        <v>MBARARA-KAMPALA</v>
      </c>
      <c r="M349" s="31">
        <v>65</v>
      </c>
      <c r="N349" s="72">
        <v>20000</v>
      </c>
      <c r="O349" s="34">
        <v>4.9000000000000004</v>
      </c>
    </row>
    <row r="350" spans="2:15" x14ac:dyDescent="0.2">
      <c r="B350" s="27">
        <v>0.69444444444444453</v>
      </c>
      <c r="C350" s="28">
        <v>6</v>
      </c>
      <c r="D350" s="33" t="str">
        <f>IF(C350="", "",VLOOKUP(C350,Key!$A$5:$B$7,2,FALSE))</f>
        <v>Large Bus</v>
      </c>
      <c r="E350" s="29" t="s">
        <v>90</v>
      </c>
      <c r="F350" s="29" t="s">
        <v>66</v>
      </c>
      <c r="G350" s="29" t="s">
        <v>68</v>
      </c>
      <c r="H350" s="30" t="s">
        <v>68</v>
      </c>
      <c r="I350" s="29" t="s">
        <v>257</v>
      </c>
      <c r="J350" s="29" t="s">
        <v>70</v>
      </c>
      <c r="K350" s="30" t="s">
        <v>70</v>
      </c>
      <c r="L350" s="29" t="str">
        <f t="shared" si="5"/>
        <v>MBARARA-KAMPALA</v>
      </c>
      <c r="M350" s="31">
        <v>65</v>
      </c>
      <c r="N350" s="72">
        <v>20000</v>
      </c>
      <c r="O350" s="34">
        <v>4.9000000000000004</v>
      </c>
    </row>
    <row r="351" spans="2:15" x14ac:dyDescent="0.2">
      <c r="B351" s="27">
        <v>0.69513888888888886</v>
      </c>
      <c r="C351" s="28">
        <v>6</v>
      </c>
      <c r="D351" s="33" t="str">
        <f>IF(C351="", "",VLOOKUP(C351,Key!$A$5:$B$7,2,FALSE))</f>
        <v>Large Bus</v>
      </c>
      <c r="E351" s="29" t="s">
        <v>90</v>
      </c>
      <c r="F351" s="29" t="s">
        <v>66</v>
      </c>
      <c r="G351" s="29" t="s">
        <v>68</v>
      </c>
      <c r="H351" s="30" t="s">
        <v>68</v>
      </c>
      <c r="I351" s="29" t="s">
        <v>257</v>
      </c>
      <c r="J351" s="29" t="s">
        <v>70</v>
      </c>
      <c r="K351" s="30" t="s">
        <v>70</v>
      </c>
      <c r="L351" s="29" t="str">
        <f t="shared" si="5"/>
        <v>MBARARA-KAMPALA</v>
      </c>
      <c r="M351" s="31">
        <v>65</v>
      </c>
      <c r="N351" s="72">
        <v>20000</v>
      </c>
      <c r="O351" s="34">
        <v>4.9000000000000004</v>
      </c>
    </row>
    <row r="352" spans="2:15" x14ac:dyDescent="0.2">
      <c r="B352" s="27">
        <v>0.6972222222222223</v>
      </c>
      <c r="C352" s="28">
        <v>6</v>
      </c>
      <c r="D352" s="33" t="str">
        <f>IF(C352="", "",VLOOKUP(C352,Key!$A$5:$B$7,2,FALSE))</f>
        <v>Large Bus</v>
      </c>
      <c r="E352" s="29" t="s">
        <v>90</v>
      </c>
      <c r="F352" s="29" t="s">
        <v>66</v>
      </c>
      <c r="G352" s="29" t="s">
        <v>68</v>
      </c>
      <c r="H352" s="30" t="s">
        <v>68</v>
      </c>
      <c r="I352" s="29" t="s">
        <v>257</v>
      </c>
      <c r="J352" s="29" t="s">
        <v>70</v>
      </c>
      <c r="K352" s="30" t="s">
        <v>70</v>
      </c>
      <c r="L352" s="29" t="str">
        <f t="shared" si="5"/>
        <v>MBARARA-KAMPALA</v>
      </c>
      <c r="M352" s="31">
        <v>67</v>
      </c>
      <c r="N352" s="72">
        <v>20000</v>
      </c>
      <c r="O352" s="34">
        <v>4.9000000000000004</v>
      </c>
    </row>
    <row r="353" spans="2:15" x14ac:dyDescent="0.2">
      <c r="B353" s="27">
        <v>0.72569444444444453</v>
      </c>
      <c r="C353" s="28">
        <v>6</v>
      </c>
      <c r="D353" s="33" t="str">
        <f>IF(C353="", "",VLOOKUP(C353,Key!$A$5:$B$7,2,FALSE))</f>
        <v>Large Bus</v>
      </c>
      <c r="E353" s="29" t="s">
        <v>90</v>
      </c>
      <c r="F353" s="29" t="s">
        <v>66</v>
      </c>
      <c r="G353" s="29" t="s">
        <v>68</v>
      </c>
      <c r="H353" s="30" t="s">
        <v>68</v>
      </c>
      <c r="I353" s="29" t="s">
        <v>257</v>
      </c>
      <c r="J353" s="29" t="s">
        <v>70</v>
      </c>
      <c r="K353" s="30" t="s">
        <v>70</v>
      </c>
      <c r="L353" s="29" t="str">
        <f t="shared" si="5"/>
        <v>MBARARA-KAMPALA</v>
      </c>
      <c r="M353" s="31">
        <v>67</v>
      </c>
      <c r="N353" s="72">
        <v>20000</v>
      </c>
      <c r="O353" s="34">
        <v>4.9000000000000004</v>
      </c>
    </row>
    <row r="354" spans="2:15" x14ac:dyDescent="0.2">
      <c r="B354" s="27">
        <v>0.74444444444444446</v>
      </c>
      <c r="C354" s="28">
        <v>6</v>
      </c>
      <c r="D354" s="33" t="str">
        <f>IF(C354="", "",VLOOKUP(C354,Key!$A$5:$B$7,2,FALSE))</f>
        <v>Large Bus</v>
      </c>
      <c r="E354" s="29" t="s">
        <v>90</v>
      </c>
      <c r="F354" s="29" t="s">
        <v>66</v>
      </c>
      <c r="G354" s="29" t="s">
        <v>68</v>
      </c>
      <c r="H354" s="30" t="s">
        <v>68</v>
      </c>
      <c r="I354" s="29" t="s">
        <v>257</v>
      </c>
      <c r="J354" s="29" t="s">
        <v>70</v>
      </c>
      <c r="K354" s="30" t="s">
        <v>70</v>
      </c>
      <c r="L354" s="29" t="str">
        <f t="shared" si="5"/>
        <v>MBARARA-KAMPALA</v>
      </c>
      <c r="M354" s="31">
        <v>65</v>
      </c>
      <c r="N354" s="72">
        <v>20000</v>
      </c>
      <c r="O354" s="34">
        <v>4.9000000000000004</v>
      </c>
    </row>
    <row r="355" spans="2:15" x14ac:dyDescent="0.2">
      <c r="B355" s="27">
        <v>0.74791666666666667</v>
      </c>
      <c r="C355" s="28">
        <v>6</v>
      </c>
      <c r="D355" s="33" t="str">
        <f>IF(C355="", "",VLOOKUP(C355,Key!$A$5:$B$7,2,FALSE))</f>
        <v>Large Bus</v>
      </c>
      <c r="E355" s="29" t="s">
        <v>90</v>
      </c>
      <c r="F355" s="29" t="s">
        <v>66</v>
      </c>
      <c r="G355" s="29" t="s">
        <v>68</v>
      </c>
      <c r="H355" s="30" t="s">
        <v>68</v>
      </c>
      <c r="I355" s="29" t="s">
        <v>257</v>
      </c>
      <c r="J355" s="29" t="s">
        <v>70</v>
      </c>
      <c r="K355" s="30" t="s">
        <v>70</v>
      </c>
      <c r="L355" s="29" t="str">
        <f t="shared" si="5"/>
        <v>MBARARA-KAMPALA</v>
      </c>
      <c r="M355" s="31">
        <v>67</v>
      </c>
      <c r="N355" s="72">
        <v>20000</v>
      </c>
      <c r="O355" s="34">
        <v>4.9000000000000004</v>
      </c>
    </row>
    <row r="356" spans="2:15" x14ac:dyDescent="0.2">
      <c r="B356" s="27">
        <v>0.75208333333333333</v>
      </c>
      <c r="C356" s="28">
        <v>6</v>
      </c>
      <c r="D356" s="33" t="str">
        <f>IF(C356="", "",VLOOKUP(C356,Key!$A$5:$B$7,2,FALSE))</f>
        <v>Large Bus</v>
      </c>
      <c r="E356" s="29" t="s">
        <v>90</v>
      </c>
      <c r="F356" s="29" t="s">
        <v>66</v>
      </c>
      <c r="G356" s="29" t="s">
        <v>68</v>
      </c>
      <c r="H356" s="30" t="s">
        <v>68</v>
      </c>
      <c r="I356" s="29" t="s">
        <v>257</v>
      </c>
      <c r="J356" s="29" t="s">
        <v>70</v>
      </c>
      <c r="K356" s="30" t="s">
        <v>70</v>
      </c>
      <c r="L356" s="29" t="str">
        <f t="shared" si="5"/>
        <v>MBARARA-KAMPALA</v>
      </c>
      <c r="M356" s="31">
        <v>67</v>
      </c>
      <c r="N356" s="72">
        <v>20000</v>
      </c>
      <c r="O356" s="34">
        <v>4.9000000000000004</v>
      </c>
    </row>
    <row r="357" spans="2:15" x14ac:dyDescent="0.2">
      <c r="B357" s="27">
        <v>0.75555555555555554</v>
      </c>
      <c r="C357" s="28">
        <v>6</v>
      </c>
      <c r="D357" s="33" t="str">
        <f>IF(C357="", "",VLOOKUP(C357,Key!$A$5:$B$7,2,FALSE))</f>
        <v>Large Bus</v>
      </c>
      <c r="E357" s="29" t="s">
        <v>90</v>
      </c>
      <c r="F357" s="29" t="s">
        <v>66</v>
      </c>
      <c r="G357" s="29" t="s">
        <v>68</v>
      </c>
      <c r="H357" s="30" t="s">
        <v>68</v>
      </c>
      <c r="I357" s="29" t="s">
        <v>257</v>
      </c>
      <c r="J357" s="29" t="s">
        <v>70</v>
      </c>
      <c r="K357" s="30" t="s">
        <v>70</v>
      </c>
      <c r="L357" s="29" t="str">
        <f t="shared" si="5"/>
        <v>MBARARA-KAMPALA</v>
      </c>
      <c r="M357" s="31">
        <v>67</v>
      </c>
      <c r="N357" s="72">
        <v>20000</v>
      </c>
      <c r="O357" s="34">
        <v>4.9000000000000004</v>
      </c>
    </row>
    <row r="358" spans="2:15" x14ac:dyDescent="0.2">
      <c r="B358" s="27">
        <v>0.78055555555555556</v>
      </c>
      <c r="C358" s="28">
        <v>6</v>
      </c>
      <c r="D358" s="33" t="str">
        <f>IF(C358="", "",VLOOKUP(C358,Key!$A$5:$B$7,2,FALSE))</f>
        <v>Large Bus</v>
      </c>
      <c r="E358" s="29" t="s">
        <v>90</v>
      </c>
      <c r="F358" s="29" t="s">
        <v>66</v>
      </c>
      <c r="G358" s="29" t="s">
        <v>68</v>
      </c>
      <c r="H358" s="30" t="s">
        <v>68</v>
      </c>
      <c r="I358" s="29" t="s">
        <v>257</v>
      </c>
      <c r="J358" s="29" t="s">
        <v>70</v>
      </c>
      <c r="K358" s="30" t="s">
        <v>70</v>
      </c>
      <c r="L358" s="29" t="str">
        <f t="shared" si="5"/>
        <v>MBARARA-KAMPALA</v>
      </c>
      <c r="M358" s="31">
        <v>70</v>
      </c>
      <c r="N358" s="72">
        <v>20000</v>
      </c>
      <c r="O358" s="34">
        <v>4.9000000000000004</v>
      </c>
    </row>
    <row r="359" spans="2:15" x14ac:dyDescent="0.2">
      <c r="B359" s="27">
        <v>0.78402777777777777</v>
      </c>
      <c r="C359" s="28">
        <v>6</v>
      </c>
      <c r="D359" s="33" t="str">
        <f>IF(C359="", "",VLOOKUP(C359,Key!$A$5:$B$7,2,FALSE))</f>
        <v>Large Bus</v>
      </c>
      <c r="E359" s="29" t="s">
        <v>90</v>
      </c>
      <c r="F359" s="29" t="s">
        <v>66</v>
      </c>
      <c r="G359" s="29" t="s">
        <v>68</v>
      </c>
      <c r="H359" s="30" t="s">
        <v>68</v>
      </c>
      <c r="I359" s="29" t="s">
        <v>257</v>
      </c>
      <c r="J359" s="29" t="s">
        <v>70</v>
      </c>
      <c r="K359" s="30" t="s">
        <v>70</v>
      </c>
      <c r="L359" s="29" t="str">
        <f t="shared" si="5"/>
        <v>MBARARA-KAMPALA</v>
      </c>
      <c r="M359" s="31">
        <v>67</v>
      </c>
      <c r="N359" s="72">
        <v>20000</v>
      </c>
      <c r="O359" s="34">
        <v>4.9000000000000004</v>
      </c>
    </row>
    <row r="360" spans="2:15" x14ac:dyDescent="0.2">
      <c r="B360" s="27">
        <v>0.79652777777777783</v>
      </c>
      <c r="C360" s="28">
        <v>6</v>
      </c>
      <c r="D360" s="33" t="str">
        <f>IF(C360="", "",VLOOKUP(C360,Key!$A$5:$B$7,2,FALSE))</f>
        <v>Large Bus</v>
      </c>
      <c r="E360" s="29" t="s">
        <v>90</v>
      </c>
      <c r="F360" s="29" t="s">
        <v>66</v>
      </c>
      <c r="G360" s="29" t="s">
        <v>68</v>
      </c>
      <c r="H360" s="30" t="s">
        <v>68</v>
      </c>
      <c r="I360" s="29" t="s">
        <v>257</v>
      </c>
      <c r="J360" s="29" t="s">
        <v>72</v>
      </c>
      <c r="K360" s="30" t="s">
        <v>70</v>
      </c>
      <c r="L360" s="29" t="str">
        <f t="shared" si="5"/>
        <v>MBARARA-KAMPALA</v>
      </c>
      <c r="M360" s="31">
        <v>65</v>
      </c>
      <c r="N360" s="72">
        <v>20000</v>
      </c>
      <c r="O360" s="34">
        <v>4.9000000000000004</v>
      </c>
    </row>
    <row r="361" spans="2:15" x14ac:dyDescent="0.2">
      <c r="B361" s="27">
        <v>0.82986111111111116</v>
      </c>
      <c r="C361" s="28">
        <v>6</v>
      </c>
      <c r="D361" s="33" t="str">
        <f>IF(C361="", "",VLOOKUP(C361,Key!$A$5:$B$7,2,FALSE))</f>
        <v>Large Bus</v>
      </c>
      <c r="E361" s="29" t="s">
        <v>90</v>
      </c>
      <c r="F361" s="29" t="s">
        <v>66</v>
      </c>
      <c r="G361" s="29" t="s">
        <v>68</v>
      </c>
      <c r="H361" s="30" t="s">
        <v>68</v>
      </c>
      <c r="I361" s="29" t="s">
        <v>257</v>
      </c>
      <c r="J361" s="29" t="s">
        <v>72</v>
      </c>
      <c r="K361" s="30" t="s">
        <v>70</v>
      </c>
      <c r="L361" s="29" t="str">
        <f t="shared" si="5"/>
        <v>MBARARA-KAMPALA</v>
      </c>
      <c r="M361" s="31">
        <v>65</v>
      </c>
      <c r="N361" s="72">
        <v>20000</v>
      </c>
      <c r="O361" s="34">
        <v>4.9000000000000004</v>
      </c>
    </row>
    <row r="362" spans="2:15" x14ac:dyDescent="0.2">
      <c r="B362" s="27">
        <v>0.85625000000000007</v>
      </c>
      <c r="C362" s="28">
        <v>6</v>
      </c>
      <c r="D362" s="33" t="str">
        <f>IF(C362="", "",VLOOKUP(C362,Key!$A$5:$B$7,2,FALSE))</f>
        <v>Large Bus</v>
      </c>
      <c r="E362" s="29" t="s">
        <v>90</v>
      </c>
      <c r="F362" s="29" t="s">
        <v>66</v>
      </c>
      <c r="G362" s="29" t="s">
        <v>68</v>
      </c>
      <c r="H362" s="30" t="s">
        <v>68</v>
      </c>
      <c r="I362" s="29" t="s">
        <v>257</v>
      </c>
      <c r="J362" s="29" t="s">
        <v>72</v>
      </c>
      <c r="K362" s="30" t="s">
        <v>70</v>
      </c>
      <c r="L362" s="29" t="str">
        <f t="shared" si="5"/>
        <v>MBARARA-KAMPALA</v>
      </c>
      <c r="M362" s="31">
        <v>65</v>
      </c>
      <c r="N362" s="72">
        <v>20000</v>
      </c>
      <c r="O362" s="34">
        <v>4.9000000000000004</v>
      </c>
    </row>
    <row r="363" spans="2:15" x14ac:dyDescent="0.2">
      <c r="B363" s="27">
        <v>0.85972222222222217</v>
      </c>
      <c r="C363" s="28">
        <v>6</v>
      </c>
      <c r="D363" s="33" t="str">
        <f>IF(C363="", "",VLOOKUP(C363,Key!$A$5:$B$7,2,FALSE))</f>
        <v>Large Bus</v>
      </c>
      <c r="E363" s="29" t="s">
        <v>90</v>
      </c>
      <c r="F363" s="29" t="s">
        <v>66</v>
      </c>
      <c r="G363" s="29" t="s">
        <v>68</v>
      </c>
      <c r="H363" s="30" t="s">
        <v>68</v>
      </c>
      <c r="I363" s="29" t="s">
        <v>257</v>
      </c>
      <c r="J363" s="29" t="s">
        <v>72</v>
      </c>
      <c r="K363" s="30" t="s">
        <v>70</v>
      </c>
      <c r="L363" s="29" t="str">
        <f t="shared" si="5"/>
        <v>MBARARA-KAMPALA</v>
      </c>
      <c r="M363" s="31">
        <v>67</v>
      </c>
      <c r="N363" s="72">
        <v>20000</v>
      </c>
      <c r="O363" s="34">
        <v>4.9000000000000004</v>
      </c>
    </row>
    <row r="364" spans="2:15" x14ac:dyDescent="0.2">
      <c r="B364" s="27">
        <v>0.8847222222222223</v>
      </c>
      <c r="C364" s="28">
        <v>6</v>
      </c>
      <c r="D364" s="33" t="str">
        <f>IF(C364="", "",VLOOKUP(C364,Key!$A$5:$B$7,2,FALSE))</f>
        <v>Large Bus</v>
      </c>
      <c r="E364" s="29" t="s">
        <v>90</v>
      </c>
      <c r="F364" s="29" t="s">
        <v>66</v>
      </c>
      <c r="G364" s="29" t="s">
        <v>68</v>
      </c>
      <c r="H364" s="30" t="s">
        <v>68</v>
      </c>
      <c r="I364" s="29" t="s">
        <v>257</v>
      </c>
      <c r="J364" s="29" t="s">
        <v>72</v>
      </c>
      <c r="K364" s="30" t="s">
        <v>70</v>
      </c>
      <c r="L364" s="29" t="str">
        <f t="shared" si="5"/>
        <v>MBARARA-KAMPALA</v>
      </c>
      <c r="M364" s="31">
        <v>63</v>
      </c>
      <c r="N364" s="72">
        <v>20000</v>
      </c>
      <c r="O364" s="34">
        <v>4.9000000000000004</v>
      </c>
    </row>
    <row r="365" spans="2:15" x14ac:dyDescent="0.2">
      <c r="B365" s="27">
        <v>0.88888888888888884</v>
      </c>
      <c r="C365" s="28">
        <v>6</v>
      </c>
      <c r="D365" s="33" t="str">
        <f>IF(C365="", "",VLOOKUP(C365,Key!$A$5:$B$7,2,FALSE))</f>
        <v>Large Bus</v>
      </c>
      <c r="E365" s="29" t="s">
        <v>90</v>
      </c>
      <c r="F365" s="29" t="s">
        <v>66</v>
      </c>
      <c r="G365" s="29" t="s">
        <v>68</v>
      </c>
      <c r="H365" s="30" t="s">
        <v>68</v>
      </c>
      <c r="I365" s="29" t="s">
        <v>257</v>
      </c>
      <c r="J365" s="29" t="s">
        <v>72</v>
      </c>
      <c r="K365" s="30" t="s">
        <v>70</v>
      </c>
      <c r="L365" s="29" t="str">
        <f t="shared" si="5"/>
        <v>MBARARA-KAMPALA</v>
      </c>
      <c r="M365" s="31">
        <v>67</v>
      </c>
      <c r="N365" s="72">
        <v>20000</v>
      </c>
      <c r="O365" s="34">
        <v>4.9000000000000004</v>
      </c>
    </row>
    <row r="366" spans="2:15" x14ac:dyDescent="0.2">
      <c r="B366" s="27">
        <v>0.3979166666666667</v>
      </c>
      <c r="C366" s="28">
        <v>6</v>
      </c>
      <c r="D366" s="33" t="str">
        <f>IF(C366="", "",VLOOKUP(C366,Key!$A$5:$B$7,2,FALSE))</f>
        <v>Large Bus</v>
      </c>
      <c r="E366" s="29" t="s">
        <v>90</v>
      </c>
      <c r="F366" s="29" t="s">
        <v>66</v>
      </c>
      <c r="G366" s="29" t="s">
        <v>68</v>
      </c>
      <c r="H366" s="30" t="s">
        <v>68</v>
      </c>
      <c r="I366" s="29" t="s">
        <v>257</v>
      </c>
      <c r="J366" s="29" t="s">
        <v>72</v>
      </c>
      <c r="K366" s="30" t="s">
        <v>70</v>
      </c>
      <c r="L366" s="29" t="str">
        <f t="shared" si="5"/>
        <v>MBARARA-KAMPALA</v>
      </c>
      <c r="M366" s="31">
        <v>65</v>
      </c>
      <c r="N366" s="72">
        <v>20000</v>
      </c>
      <c r="O366" s="34">
        <v>4.9000000000000004</v>
      </c>
    </row>
    <row r="367" spans="2:15" x14ac:dyDescent="0.2">
      <c r="B367" s="27">
        <v>0.40972222222222227</v>
      </c>
      <c r="C367" s="28">
        <v>6</v>
      </c>
      <c r="D367" s="33" t="str">
        <f>IF(C367="", "",VLOOKUP(C367,Key!$A$5:$B$7,2,FALSE))</f>
        <v>Large Bus</v>
      </c>
      <c r="E367" s="29" t="s">
        <v>90</v>
      </c>
      <c r="F367" s="29" t="s">
        <v>66</v>
      </c>
      <c r="G367" s="29" t="s">
        <v>68</v>
      </c>
      <c r="H367" s="30" t="s">
        <v>68</v>
      </c>
      <c r="I367" s="29" t="s">
        <v>257</v>
      </c>
      <c r="J367" s="29" t="s">
        <v>72</v>
      </c>
      <c r="K367" s="30" t="s">
        <v>70</v>
      </c>
      <c r="L367" s="29" t="str">
        <f t="shared" si="5"/>
        <v>MBARARA-KAMPALA</v>
      </c>
      <c r="M367" s="31">
        <v>65</v>
      </c>
      <c r="N367" s="72">
        <v>20000</v>
      </c>
      <c r="O367" s="34">
        <v>4.9000000000000004</v>
      </c>
    </row>
    <row r="368" spans="2:15" x14ac:dyDescent="0.2">
      <c r="B368" s="27">
        <v>0.92569444444444438</v>
      </c>
      <c r="C368" s="28">
        <v>6</v>
      </c>
      <c r="D368" s="33" t="str">
        <f>IF(C368="", "",VLOOKUP(C368,Key!$A$5:$B$7,2,FALSE))</f>
        <v>Large Bus</v>
      </c>
      <c r="E368" s="29" t="s">
        <v>90</v>
      </c>
      <c r="F368" s="29" t="s">
        <v>66</v>
      </c>
      <c r="G368" s="29" t="s">
        <v>68</v>
      </c>
      <c r="H368" s="30" t="s">
        <v>68</v>
      </c>
      <c r="I368" s="29" t="s">
        <v>257</v>
      </c>
      <c r="J368" s="29" t="s">
        <v>72</v>
      </c>
      <c r="K368" s="30" t="s">
        <v>70</v>
      </c>
      <c r="L368" s="29" t="str">
        <f t="shared" si="5"/>
        <v>MBARARA-KAMPALA</v>
      </c>
      <c r="M368" s="31">
        <v>65</v>
      </c>
      <c r="N368" s="72">
        <v>20000</v>
      </c>
      <c r="O368" s="34">
        <v>4.9000000000000004</v>
      </c>
    </row>
    <row r="369" spans="2:15" x14ac:dyDescent="0.2">
      <c r="B369" s="27">
        <v>0.93680555555555556</v>
      </c>
      <c r="C369" s="28">
        <v>6</v>
      </c>
      <c r="D369" s="33" t="str">
        <f>IF(C369="", "",VLOOKUP(C369,Key!$A$5:$B$7,2,FALSE))</f>
        <v>Large Bus</v>
      </c>
      <c r="E369" s="29" t="s">
        <v>90</v>
      </c>
      <c r="F369" s="29" t="s">
        <v>66</v>
      </c>
      <c r="G369" s="29" t="s">
        <v>68</v>
      </c>
      <c r="H369" s="30" t="s">
        <v>68</v>
      </c>
      <c r="I369" s="29" t="s">
        <v>257</v>
      </c>
      <c r="J369" s="29" t="s">
        <v>72</v>
      </c>
      <c r="K369" s="30" t="s">
        <v>70</v>
      </c>
      <c r="L369" s="29" t="str">
        <f t="shared" si="5"/>
        <v>MBARARA-KAMPALA</v>
      </c>
      <c r="M369" s="31">
        <v>67</v>
      </c>
      <c r="N369" s="72">
        <v>20000</v>
      </c>
      <c r="O369" s="34">
        <v>4.9000000000000004</v>
      </c>
    </row>
    <row r="370" spans="2:15" x14ac:dyDescent="0.2">
      <c r="B370" s="27">
        <v>0.4597222222222222</v>
      </c>
      <c r="C370" s="28">
        <v>6</v>
      </c>
      <c r="D370" s="33" t="str">
        <f>IF(C370="", "",VLOOKUP(C370,Key!$A$5:$B$7,2,FALSE))</f>
        <v>Large Bus</v>
      </c>
      <c r="E370" s="29" t="s">
        <v>90</v>
      </c>
      <c r="F370" s="29" t="s">
        <v>66</v>
      </c>
      <c r="G370" s="29" t="s">
        <v>68</v>
      </c>
      <c r="H370" s="30" t="s">
        <v>68</v>
      </c>
      <c r="I370" s="29" t="s">
        <v>257</v>
      </c>
      <c r="J370" s="29" t="s">
        <v>72</v>
      </c>
      <c r="K370" s="30" t="s">
        <v>70</v>
      </c>
      <c r="L370" s="29" t="str">
        <f t="shared" si="5"/>
        <v>MBARARA-KAMPALA</v>
      </c>
      <c r="M370" s="31">
        <v>67</v>
      </c>
      <c r="N370" s="72">
        <v>20000</v>
      </c>
      <c r="O370" s="34">
        <v>4.9000000000000004</v>
      </c>
    </row>
    <row r="371" spans="2:15" x14ac:dyDescent="0.2">
      <c r="B371" s="27">
        <v>0.4680555555555555</v>
      </c>
      <c r="C371" s="28">
        <v>6</v>
      </c>
      <c r="D371" s="33" t="str">
        <f>IF(C371="", "",VLOOKUP(C371,Key!$A$5:$B$7,2,FALSE))</f>
        <v>Large Bus</v>
      </c>
      <c r="E371" s="29" t="s">
        <v>90</v>
      </c>
      <c r="F371" s="29" t="s">
        <v>66</v>
      </c>
      <c r="G371" s="29" t="s">
        <v>68</v>
      </c>
      <c r="H371" s="30" t="s">
        <v>68</v>
      </c>
      <c r="I371" s="29" t="s">
        <v>257</v>
      </c>
      <c r="J371" s="29" t="s">
        <v>72</v>
      </c>
      <c r="K371" s="30" t="s">
        <v>70</v>
      </c>
      <c r="L371" s="29" t="str">
        <f t="shared" si="5"/>
        <v>MBARARA-KAMPALA</v>
      </c>
      <c r="M371" s="31">
        <v>65</v>
      </c>
      <c r="N371" s="72">
        <v>20000</v>
      </c>
      <c r="O371" s="34">
        <v>4.9000000000000004</v>
      </c>
    </row>
    <row r="372" spans="2:15" x14ac:dyDescent="0.2">
      <c r="B372" s="27">
        <v>0.47013888888888888</v>
      </c>
      <c r="C372" s="28">
        <v>6</v>
      </c>
      <c r="D372" s="33" t="str">
        <f>IF(C372="", "",VLOOKUP(C372,Key!$A$5:$B$7,2,FALSE))</f>
        <v>Large Bus</v>
      </c>
      <c r="E372" s="29" t="s">
        <v>90</v>
      </c>
      <c r="F372" s="29" t="s">
        <v>66</v>
      </c>
      <c r="G372" s="29" t="s">
        <v>68</v>
      </c>
      <c r="H372" s="30" t="s">
        <v>68</v>
      </c>
      <c r="I372" s="29" t="s">
        <v>257</v>
      </c>
      <c r="J372" s="29" t="s">
        <v>72</v>
      </c>
      <c r="K372" s="30" t="s">
        <v>70</v>
      </c>
      <c r="L372" s="29" t="str">
        <f t="shared" si="5"/>
        <v>MBARARA-KAMPALA</v>
      </c>
      <c r="M372" s="31">
        <v>67</v>
      </c>
      <c r="N372" s="72">
        <v>20000</v>
      </c>
      <c r="O372" s="34">
        <v>4.9000000000000004</v>
      </c>
    </row>
    <row r="373" spans="2:15" x14ac:dyDescent="0.2">
      <c r="B373" s="27">
        <v>0.47083333333333338</v>
      </c>
      <c r="C373" s="28">
        <v>6</v>
      </c>
      <c r="D373" s="33" t="str">
        <f>IF(C373="", "",VLOOKUP(C373,Key!$A$5:$B$7,2,FALSE))</f>
        <v>Large Bus</v>
      </c>
      <c r="E373" s="29" t="s">
        <v>90</v>
      </c>
      <c r="F373" s="29" t="s">
        <v>66</v>
      </c>
      <c r="G373" s="29" t="s">
        <v>68</v>
      </c>
      <c r="H373" s="30" t="s">
        <v>68</v>
      </c>
      <c r="I373" s="29" t="s">
        <v>257</v>
      </c>
      <c r="J373" s="29" t="s">
        <v>72</v>
      </c>
      <c r="K373" s="30" t="s">
        <v>70</v>
      </c>
      <c r="L373" s="29" t="str">
        <f t="shared" si="5"/>
        <v>MBARARA-KAMPALA</v>
      </c>
      <c r="M373" s="31">
        <v>67</v>
      </c>
      <c r="N373" s="72">
        <v>20000</v>
      </c>
      <c r="O373" s="34">
        <v>4.9000000000000004</v>
      </c>
    </row>
    <row r="374" spans="2:15" x14ac:dyDescent="0.2">
      <c r="B374" s="27">
        <v>0.47430555555555554</v>
      </c>
      <c r="C374" s="28">
        <v>6</v>
      </c>
      <c r="D374" s="33" t="str">
        <f>IF(C374="", "",VLOOKUP(C374,Key!$A$5:$B$7,2,FALSE))</f>
        <v>Large Bus</v>
      </c>
      <c r="E374" s="29" t="s">
        <v>90</v>
      </c>
      <c r="F374" s="29" t="s">
        <v>66</v>
      </c>
      <c r="G374" s="29" t="s">
        <v>68</v>
      </c>
      <c r="H374" s="30" t="s">
        <v>68</v>
      </c>
      <c r="I374" s="29" t="s">
        <v>257</v>
      </c>
      <c r="J374" s="29" t="s">
        <v>72</v>
      </c>
      <c r="K374" s="30" t="s">
        <v>70</v>
      </c>
      <c r="L374" s="29" t="str">
        <f t="shared" si="5"/>
        <v>MBARARA-KAMPALA</v>
      </c>
      <c r="M374" s="31">
        <v>67</v>
      </c>
      <c r="N374" s="72">
        <v>20000</v>
      </c>
      <c r="O374" s="34">
        <v>4.9000000000000004</v>
      </c>
    </row>
    <row r="375" spans="2:15" x14ac:dyDescent="0.2">
      <c r="B375" s="27">
        <v>0.51041666666666663</v>
      </c>
      <c r="C375" s="28">
        <v>6</v>
      </c>
      <c r="D375" s="33" t="str">
        <f>IF(C375="", "",VLOOKUP(C375,Key!$A$5:$B$7,2,FALSE))</f>
        <v>Large Bus</v>
      </c>
      <c r="E375" s="29" t="s">
        <v>90</v>
      </c>
      <c r="F375" s="29" t="s">
        <v>66</v>
      </c>
      <c r="G375" s="29" t="s">
        <v>68</v>
      </c>
      <c r="H375" s="30" t="s">
        <v>68</v>
      </c>
      <c r="I375" s="29" t="s">
        <v>257</v>
      </c>
      <c r="J375" s="29" t="s">
        <v>72</v>
      </c>
      <c r="K375" s="30" t="s">
        <v>70</v>
      </c>
      <c r="L375" s="29" t="str">
        <f t="shared" si="5"/>
        <v>MBARARA-KAMPALA</v>
      </c>
      <c r="M375" s="31">
        <v>70</v>
      </c>
      <c r="N375" s="72">
        <v>20000</v>
      </c>
      <c r="O375" s="34">
        <v>4.9000000000000004</v>
      </c>
    </row>
    <row r="376" spans="2:15" x14ac:dyDescent="0.2">
      <c r="B376" s="27">
        <v>0.52083333333333337</v>
      </c>
      <c r="C376" s="28">
        <v>6</v>
      </c>
      <c r="D376" s="33" t="str">
        <f>IF(C376="", "",VLOOKUP(C376,Key!$A$5:$B$7,2,FALSE))</f>
        <v>Large Bus</v>
      </c>
      <c r="E376" s="29" t="s">
        <v>90</v>
      </c>
      <c r="F376" s="29" t="s">
        <v>66</v>
      </c>
      <c r="G376" s="29" t="s">
        <v>68</v>
      </c>
      <c r="H376" s="30" t="s">
        <v>68</v>
      </c>
      <c r="I376" s="29" t="s">
        <v>257</v>
      </c>
      <c r="J376" s="29" t="s">
        <v>72</v>
      </c>
      <c r="K376" s="30" t="s">
        <v>70</v>
      </c>
      <c r="L376" s="29" t="str">
        <f t="shared" si="5"/>
        <v>MBARARA-KAMPALA</v>
      </c>
      <c r="M376" s="31">
        <v>67</v>
      </c>
      <c r="N376" s="72">
        <v>20000</v>
      </c>
      <c r="O376" s="34">
        <v>4.9000000000000004</v>
      </c>
    </row>
    <row r="377" spans="2:15" x14ac:dyDescent="0.2">
      <c r="B377" s="27">
        <v>0.23472222222222219</v>
      </c>
      <c r="C377" s="28">
        <v>6</v>
      </c>
      <c r="D377" s="33" t="str">
        <f>IF(C377="", "",VLOOKUP(C377,Key!$A$5:$B$7,2,FALSE))</f>
        <v>Large Bus</v>
      </c>
      <c r="E377" s="29" t="s">
        <v>90</v>
      </c>
      <c r="F377" s="29" t="s">
        <v>66</v>
      </c>
      <c r="G377" s="29" t="s">
        <v>68</v>
      </c>
      <c r="H377" s="30" t="s">
        <v>68</v>
      </c>
      <c r="I377" s="29" t="s">
        <v>257</v>
      </c>
      <c r="J377" s="29" t="s">
        <v>72</v>
      </c>
      <c r="K377" s="30" t="s">
        <v>70</v>
      </c>
      <c r="L377" s="29" t="str">
        <f t="shared" si="5"/>
        <v>MBARARA-KAMPALA</v>
      </c>
      <c r="M377" s="31">
        <v>65</v>
      </c>
      <c r="N377" s="72">
        <v>20000</v>
      </c>
      <c r="O377" s="34">
        <v>4.9000000000000004</v>
      </c>
    </row>
    <row r="378" spans="2:15" x14ac:dyDescent="0.2">
      <c r="B378" s="27">
        <v>0.27083333333333331</v>
      </c>
      <c r="C378" s="28">
        <v>6</v>
      </c>
      <c r="D378" s="33" t="str">
        <f>IF(C378="", "",VLOOKUP(C378,Key!$A$5:$B$7,2,FALSE))</f>
        <v>Large Bus</v>
      </c>
      <c r="E378" s="29" t="s">
        <v>90</v>
      </c>
      <c r="F378" s="29" t="s">
        <v>66</v>
      </c>
      <c r="G378" s="29" t="s">
        <v>68</v>
      </c>
      <c r="H378" s="30" t="s">
        <v>68</v>
      </c>
      <c r="I378" s="29" t="s">
        <v>257</v>
      </c>
      <c r="J378" s="29" t="s">
        <v>70</v>
      </c>
      <c r="K378" s="30" t="s">
        <v>70</v>
      </c>
      <c r="L378" s="29" t="str">
        <f t="shared" si="5"/>
        <v>MBARARA-KAMPALA</v>
      </c>
      <c r="M378" s="31">
        <v>65</v>
      </c>
      <c r="N378" s="72">
        <v>20000</v>
      </c>
      <c r="O378" s="34">
        <v>4.9000000000000004</v>
      </c>
    </row>
    <row r="379" spans="2:15" x14ac:dyDescent="0.2">
      <c r="B379" s="27">
        <v>0.39930555555555558</v>
      </c>
      <c r="C379" s="28">
        <v>6</v>
      </c>
      <c r="D379" s="33" t="str">
        <f>IF(C379="", "",VLOOKUP(C379,Key!$A$5:$B$7,2,FALSE))</f>
        <v>Large Bus</v>
      </c>
      <c r="E379" s="29" t="s">
        <v>90</v>
      </c>
      <c r="F379" s="29" t="s">
        <v>66</v>
      </c>
      <c r="G379" s="29" t="s">
        <v>68</v>
      </c>
      <c r="H379" s="30" t="s">
        <v>68</v>
      </c>
      <c r="I379" s="29" t="s">
        <v>257</v>
      </c>
      <c r="J379" s="29" t="s">
        <v>70</v>
      </c>
      <c r="K379" s="30" t="s">
        <v>70</v>
      </c>
      <c r="L379" s="29" t="str">
        <f t="shared" si="5"/>
        <v>MBARARA-KAMPALA</v>
      </c>
      <c r="M379" s="31">
        <v>65</v>
      </c>
      <c r="N379" s="72">
        <v>20000</v>
      </c>
      <c r="O379" s="34">
        <v>4.9000000000000004</v>
      </c>
    </row>
    <row r="380" spans="2:15" x14ac:dyDescent="0.2">
      <c r="B380" s="27">
        <v>0.44027777777777777</v>
      </c>
      <c r="C380" s="28">
        <v>6</v>
      </c>
      <c r="D380" s="33" t="str">
        <f>IF(C380="", "",VLOOKUP(C380,Key!$A$5:$B$7,2,FALSE))</f>
        <v>Large Bus</v>
      </c>
      <c r="E380" s="29" t="s">
        <v>90</v>
      </c>
      <c r="F380" s="29" t="s">
        <v>66</v>
      </c>
      <c r="G380" s="29" t="s">
        <v>68</v>
      </c>
      <c r="H380" s="30" t="s">
        <v>68</v>
      </c>
      <c r="I380" s="29" t="s">
        <v>257</v>
      </c>
      <c r="J380" s="29" t="s">
        <v>70</v>
      </c>
      <c r="K380" s="30" t="s">
        <v>70</v>
      </c>
      <c r="L380" s="29" t="str">
        <f t="shared" si="5"/>
        <v>MBARARA-KAMPALA</v>
      </c>
      <c r="M380" s="31">
        <v>67</v>
      </c>
      <c r="N380" s="72">
        <v>20000</v>
      </c>
      <c r="O380" s="34">
        <v>4.9000000000000004</v>
      </c>
    </row>
    <row r="381" spans="2:15" x14ac:dyDescent="0.2">
      <c r="B381" s="27">
        <v>0.4513888888888889</v>
      </c>
      <c r="C381" s="28">
        <v>6</v>
      </c>
      <c r="D381" s="33" t="str">
        <f>IF(C381="", "",VLOOKUP(C381,Key!$A$5:$B$7,2,FALSE))</f>
        <v>Large Bus</v>
      </c>
      <c r="E381" s="29" t="s">
        <v>90</v>
      </c>
      <c r="F381" s="29" t="s">
        <v>66</v>
      </c>
      <c r="G381" s="29" t="s">
        <v>68</v>
      </c>
      <c r="H381" s="30" t="s">
        <v>68</v>
      </c>
      <c r="I381" s="29" t="s">
        <v>257</v>
      </c>
      <c r="J381" s="29" t="s">
        <v>70</v>
      </c>
      <c r="K381" s="30" t="s">
        <v>70</v>
      </c>
      <c r="L381" s="29" t="str">
        <f t="shared" si="5"/>
        <v>MBARARA-KAMPALA</v>
      </c>
      <c r="M381" s="31">
        <v>63</v>
      </c>
      <c r="N381" s="72">
        <v>20000</v>
      </c>
      <c r="O381" s="34">
        <v>4.9000000000000004</v>
      </c>
    </row>
    <row r="382" spans="2:15" x14ac:dyDescent="0.2">
      <c r="B382" s="27">
        <v>0.51736111111111105</v>
      </c>
      <c r="C382" s="28">
        <v>6</v>
      </c>
      <c r="D382" s="33" t="str">
        <f>IF(C382="", "",VLOOKUP(C382,Key!$A$5:$B$7,2,FALSE))</f>
        <v>Large Bus</v>
      </c>
      <c r="E382" s="29" t="s">
        <v>90</v>
      </c>
      <c r="F382" s="29" t="s">
        <v>66</v>
      </c>
      <c r="G382" s="29" t="s">
        <v>68</v>
      </c>
      <c r="H382" s="30" t="s">
        <v>68</v>
      </c>
      <c r="I382" s="29" t="s">
        <v>257</v>
      </c>
      <c r="J382" s="29" t="s">
        <v>70</v>
      </c>
      <c r="K382" s="30" t="s">
        <v>70</v>
      </c>
      <c r="L382" s="29" t="str">
        <f t="shared" si="5"/>
        <v>MBARARA-KAMPALA</v>
      </c>
      <c r="M382" s="31">
        <v>67</v>
      </c>
      <c r="N382" s="72">
        <v>20000</v>
      </c>
      <c r="O382" s="34">
        <v>4.9000000000000004</v>
      </c>
    </row>
    <row r="383" spans="2:15" x14ac:dyDescent="0.2">
      <c r="B383" s="27">
        <v>0.56388888888888888</v>
      </c>
      <c r="C383" s="28">
        <v>6</v>
      </c>
      <c r="D383" s="33" t="str">
        <f>IF(C383="", "",VLOOKUP(C383,Key!$A$5:$B$7,2,FALSE))</f>
        <v>Large Bus</v>
      </c>
      <c r="E383" s="29" t="s">
        <v>90</v>
      </c>
      <c r="F383" s="29" t="s">
        <v>66</v>
      </c>
      <c r="G383" s="29" t="s">
        <v>68</v>
      </c>
      <c r="H383" s="30" t="s">
        <v>68</v>
      </c>
      <c r="I383" s="29" t="s">
        <v>257</v>
      </c>
      <c r="J383" s="29" t="s">
        <v>70</v>
      </c>
      <c r="K383" s="30" t="s">
        <v>70</v>
      </c>
      <c r="L383" s="29" t="str">
        <f t="shared" si="5"/>
        <v>MBARARA-KAMPALA</v>
      </c>
      <c r="M383" s="31">
        <v>65</v>
      </c>
      <c r="N383" s="72">
        <v>20000</v>
      </c>
      <c r="O383" s="34">
        <v>4.9000000000000004</v>
      </c>
    </row>
    <row r="384" spans="2:15" x14ac:dyDescent="0.2">
      <c r="B384" s="27">
        <v>0.56736111111111109</v>
      </c>
      <c r="C384" s="28">
        <v>6</v>
      </c>
      <c r="D384" s="33" t="str">
        <f>IF(C384="", "",VLOOKUP(C384,Key!$A$5:$B$7,2,FALSE))</f>
        <v>Large Bus</v>
      </c>
      <c r="E384" s="29" t="s">
        <v>90</v>
      </c>
      <c r="F384" s="29" t="s">
        <v>66</v>
      </c>
      <c r="G384" s="29" t="s">
        <v>68</v>
      </c>
      <c r="H384" s="30" t="s">
        <v>68</v>
      </c>
      <c r="I384" s="29" t="s">
        <v>257</v>
      </c>
      <c r="J384" s="29" t="s">
        <v>70</v>
      </c>
      <c r="K384" s="30" t="s">
        <v>70</v>
      </c>
      <c r="L384" s="29" t="str">
        <f t="shared" si="5"/>
        <v>MBARARA-KAMPALA</v>
      </c>
      <c r="M384" s="31">
        <v>65</v>
      </c>
      <c r="N384" s="72">
        <v>20000</v>
      </c>
      <c r="O384" s="34">
        <v>4.9000000000000004</v>
      </c>
    </row>
    <row r="385" spans="2:15" x14ac:dyDescent="0.2">
      <c r="B385" s="27">
        <v>0.58472222222222225</v>
      </c>
      <c r="C385" s="28">
        <v>6</v>
      </c>
      <c r="D385" s="33" t="str">
        <f>IF(C385="", "",VLOOKUP(C385,Key!$A$5:$B$7,2,FALSE))</f>
        <v>Large Bus</v>
      </c>
      <c r="E385" s="29" t="s">
        <v>90</v>
      </c>
      <c r="F385" s="29" t="s">
        <v>66</v>
      </c>
      <c r="G385" s="29" t="s">
        <v>68</v>
      </c>
      <c r="H385" s="30" t="s">
        <v>68</v>
      </c>
      <c r="I385" s="29" t="s">
        <v>257</v>
      </c>
      <c r="J385" s="29" t="s">
        <v>70</v>
      </c>
      <c r="K385" s="30" t="s">
        <v>70</v>
      </c>
      <c r="L385" s="29" t="str">
        <f t="shared" si="5"/>
        <v>MBARARA-KAMPALA</v>
      </c>
      <c r="M385" s="31">
        <v>65</v>
      </c>
      <c r="N385" s="72">
        <v>20000</v>
      </c>
      <c r="O385" s="34">
        <v>4.9000000000000004</v>
      </c>
    </row>
    <row r="386" spans="2:15" x14ac:dyDescent="0.2">
      <c r="B386" s="27">
        <v>0.59513888888888888</v>
      </c>
      <c r="C386" s="28">
        <v>6</v>
      </c>
      <c r="D386" s="33" t="str">
        <f>IF(C386="", "",VLOOKUP(C386,Key!$A$5:$B$7,2,FALSE))</f>
        <v>Large Bus</v>
      </c>
      <c r="E386" s="29" t="s">
        <v>90</v>
      </c>
      <c r="F386" s="29" t="s">
        <v>66</v>
      </c>
      <c r="G386" s="29" t="s">
        <v>68</v>
      </c>
      <c r="H386" s="30" t="s">
        <v>68</v>
      </c>
      <c r="I386" s="29" t="s">
        <v>257</v>
      </c>
      <c r="J386" s="29" t="s">
        <v>70</v>
      </c>
      <c r="K386" s="30" t="s">
        <v>70</v>
      </c>
      <c r="L386" s="29" t="str">
        <f t="shared" si="5"/>
        <v>MBARARA-KAMPALA</v>
      </c>
      <c r="M386" s="31">
        <v>67</v>
      </c>
      <c r="N386" s="72">
        <v>20000</v>
      </c>
      <c r="O386" s="34">
        <v>4.9000000000000004</v>
      </c>
    </row>
    <row r="387" spans="2:15" x14ac:dyDescent="0.2">
      <c r="B387" s="27">
        <v>0.61597222222222225</v>
      </c>
      <c r="C387" s="28">
        <v>6</v>
      </c>
      <c r="D387" s="33" t="str">
        <f>IF(C387="", "",VLOOKUP(C387,Key!$A$5:$B$7,2,FALSE))</f>
        <v>Large Bus</v>
      </c>
      <c r="E387" s="29" t="s">
        <v>90</v>
      </c>
      <c r="F387" s="29" t="s">
        <v>66</v>
      </c>
      <c r="G387" s="29" t="s">
        <v>68</v>
      </c>
      <c r="H387" s="30" t="s">
        <v>68</v>
      </c>
      <c r="I387" s="29" t="s">
        <v>257</v>
      </c>
      <c r="J387" s="29" t="s">
        <v>70</v>
      </c>
      <c r="K387" s="30" t="s">
        <v>70</v>
      </c>
      <c r="L387" s="29" t="str">
        <f t="shared" si="5"/>
        <v>MBARARA-KAMPALA</v>
      </c>
      <c r="M387" s="31">
        <v>67</v>
      </c>
      <c r="N387" s="72">
        <v>20000</v>
      </c>
      <c r="O387" s="34">
        <v>4.9000000000000004</v>
      </c>
    </row>
    <row r="388" spans="2:15" x14ac:dyDescent="0.2">
      <c r="B388" s="27">
        <v>0.62638888888888888</v>
      </c>
      <c r="C388" s="28">
        <v>6</v>
      </c>
      <c r="D388" s="33" t="str">
        <f>IF(C388="", "",VLOOKUP(C388,Key!$A$5:$B$7,2,FALSE))</f>
        <v>Large Bus</v>
      </c>
      <c r="E388" s="29" t="s">
        <v>90</v>
      </c>
      <c r="F388" s="29" t="s">
        <v>66</v>
      </c>
      <c r="G388" s="29" t="s">
        <v>68</v>
      </c>
      <c r="H388" s="30" t="s">
        <v>68</v>
      </c>
      <c r="I388" s="29" t="s">
        <v>257</v>
      </c>
      <c r="J388" s="29" t="s">
        <v>70</v>
      </c>
      <c r="K388" s="30" t="s">
        <v>70</v>
      </c>
      <c r="L388" s="29" t="str">
        <f t="shared" si="5"/>
        <v>MBARARA-KAMPALA</v>
      </c>
      <c r="M388" s="31">
        <v>65</v>
      </c>
      <c r="N388" s="72">
        <v>20000</v>
      </c>
      <c r="O388" s="34">
        <v>4.9000000000000004</v>
      </c>
    </row>
    <row r="389" spans="2:15" x14ac:dyDescent="0.2">
      <c r="B389" s="27">
        <v>0.62916666666666665</v>
      </c>
      <c r="C389" s="28">
        <v>6</v>
      </c>
      <c r="D389" s="33" t="str">
        <f>IF(C389="", "",VLOOKUP(C389,Key!$A$5:$B$7,2,FALSE))</f>
        <v>Large Bus</v>
      </c>
      <c r="E389" s="29" t="s">
        <v>90</v>
      </c>
      <c r="F389" s="29" t="s">
        <v>66</v>
      </c>
      <c r="G389" s="29" t="s">
        <v>68</v>
      </c>
      <c r="H389" s="30" t="s">
        <v>68</v>
      </c>
      <c r="I389" s="29" t="s">
        <v>257</v>
      </c>
      <c r="J389" s="29" t="s">
        <v>70</v>
      </c>
      <c r="K389" s="30" t="s">
        <v>70</v>
      </c>
      <c r="L389" s="29" t="str">
        <f t="shared" si="5"/>
        <v>MBARARA-KAMPALA</v>
      </c>
      <c r="M389" s="31">
        <v>67</v>
      </c>
      <c r="N389" s="72">
        <v>20000</v>
      </c>
      <c r="O389" s="34">
        <v>4.9000000000000004</v>
      </c>
    </row>
    <row r="390" spans="2:15" x14ac:dyDescent="0.2">
      <c r="B390" s="27">
        <v>0.65625</v>
      </c>
      <c r="C390" s="28">
        <v>6</v>
      </c>
      <c r="D390" s="33" t="str">
        <f>IF(C390="", "",VLOOKUP(C390,Key!$A$5:$B$7,2,FALSE))</f>
        <v>Large Bus</v>
      </c>
      <c r="E390" s="29" t="s">
        <v>90</v>
      </c>
      <c r="F390" s="29" t="s">
        <v>66</v>
      </c>
      <c r="G390" s="29" t="s">
        <v>68</v>
      </c>
      <c r="H390" s="30" t="s">
        <v>68</v>
      </c>
      <c r="I390" s="29" t="s">
        <v>257</v>
      </c>
      <c r="J390" s="29" t="s">
        <v>70</v>
      </c>
      <c r="K390" s="30" t="s">
        <v>70</v>
      </c>
      <c r="L390" s="29" t="str">
        <f t="shared" si="5"/>
        <v>MBARARA-KAMPALA</v>
      </c>
      <c r="M390" s="31">
        <v>67</v>
      </c>
      <c r="N390" s="72">
        <v>20000</v>
      </c>
      <c r="O390" s="34">
        <v>4.9000000000000004</v>
      </c>
    </row>
    <row r="391" spans="2:15" x14ac:dyDescent="0.2">
      <c r="B391" s="27">
        <v>0.67222222222222217</v>
      </c>
      <c r="C391" s="28">
        <v>6</v>
      </c>
      <c r="D391" s="33" t="str">
        <f>IF(C391="", "",VLOOKUP(C391,Key!$A$5:$B$7,2,FALSE))</f>
        <v>Large Bus</v>
      </c>
      <c r="E391" s="29" t="s">
        <v>90</v>
      </c>
      <c r="F391" s="29" t="s">
        <v>66</v>
      </c>
      <c r="G391" s="29" t="s">
        <v>68</v>
      </c>
      <c r="H391" s="30" t="s">
        <v>68</v>
      </c>
      <c r="I391" s="29" t="s">
        <v>257</v>
      </c>
      <c r="J391" s="29" t="s">
        <v>70</v>
      </c>
      <c r="K391" s="30" t="s">
        <v>70</v>
      </c>
      <c r="L391" s="29" t="str">
        <f t="shared" si="5"/>
        <v>MBARARA-KAMPALA</v>
      </c>
      <c r="M391" s="31">
        <v>67</v>
      </c>
      <c r="N391" s="72">
        <v>20000</v>
      </c>
      <c r="O391" s="34">
        <v>4.9000000000000004</v>
      </c>
    </row>
    <row r="392" spans="2:15" x14ac:dyDescent="0.2">
      <c r="B392" s="27">
        <v>0.67847222222222225</v>
      </c>
      <c r="C392" s="28">
        <v>6</v>
      </c>
      <c r="D392" s="33" t="str">
        <f>IF(C392="", "",VLOOKUP(C392,Key!$A$5:$B$7,2,FALSE))</f>
        <v>Large Bus</v>
      </c>
      <c r="E392" s="29" t="s">
        <v>90</v>
      </c>
      <c r="F392" s="29" t="s">
        <v>66</v>
      </c>
      <c r="G392" s="29" t="s">
        <v>68</v>
      </c>
      <c r="H392" s="30" t="s">
        <v>68</v>
      </c>
      <c r="I392" s="29" t="s">
        <v>257</v>
      </c>
      <c r="J392" s="29" t="s">
        <v>70</v>
      </c>
      <c r="K392" s="30" t="s">
        <v>70</v>
      </c>
      <c r="L392" s="29" t="str">
        <f t="shared" si="5"/>
        <v>MBARARA-KAMPALA</v>
      </c>
      <c r="M392" s="31">
        <v>70</v>
      </c>
      <c r="N392" s="72">
        <v>20000</v>
      </c>
      <c r="O392" s="34">
        <v>4.9000000000000004</v>
      </c>
    </row>
    <row r="393" spans="2:15" x14ac:dyDescent="0.2">
      <c r="B393" s="27">
        <v>0.6972222222222223</v>
      </c>
      <c r="C393" s="28">
        <v>6</v>
      </c>
      <c r="D393" s="33" t="str">
        <f>IF(C393="", "",VLOOKUP(C393,Key!$A$5:$B$7,2,FALSE))</f>
        <v>Large Bus</v>
      </c>
      <c r="E393" s="29" t="s">
        <v>90</v>
      </c>
      <c r="F393" s="29" t="s">
        <v>66</v>
      </c>
      <c r="G393" s="29" t="s">
        <v>68</v>
      </c>
      <c r="H393" s="30" t="s">
        <v>68</v>
      </c>
      <c r="I393" s="29" t="s">
        <v>257</v>
      </c>
      <c r="J393" s="29" t="s">
        <v>70</v>
      </c>
      <c r="K393" s="30" t="s">
        <v>70</v>
      </c>
      <c r="L393" s="29" t="str">
        <f t="shared" si="5"/>
        <v>MBARARA-KAMPALA</v>
      </c>
      <c r="M393" s="31">
        <v>67</v>
      </c>
      <c r="N393" s="72">
        <v>20000</v>
      </c>
      <c r="O393" s="34">
        <v>4.9000000000000004</v>
      </c>
    </row>
    <row r="394" spans="2:15" x14ac:dyDescent="0.2">
      <c r="B394" s="27">
        <v>0.73055555555555562</v>
      </c>
      <c r="C394" s="28">
        <v>6</v>
      </c>
      <c r="D394" s="33" t="str">
        <f>IF(C394="", "",VLOOKUP(C394,Key!$A$5:$B$7,2,FALSE))</f>
        <v>Large Bus</v>
      </c>
      <c r="E394" s="29" t="s">
        <v>90</v>
      </c>
      <c r="F394" s="29" t="s">
        <v>66</v>
      </c>
      <c r="G394" s="29" t="s">
        <v>68</v>
      </c>
      <c r="H394" s="30" t="s">
        <v>68</v>
      </c>
      <c r="I394" s="29" t="s">
        <v>257</v>
      </c>
      <c r="J394" s="29" t="s">
        <v>70</v>
      </c>
      <c r="K394" s="30" t="s">
        <v>70</v>
      </c>
      <c r="L394" s="29" t="str">
        <f t="shared" ref="L394:L457" si="6">H394&amp;"-"&amp;K394</f>
        <v>MBARARA-KAMPALA</v>
      </c>
      <c r="M394" s="31">
        <v>65</v>
      </c>
      <c r="N394" s="72">
        <v>20000</v>
      </c>
      <c r="O394" s="34">
        <v>4.9000000000000004</v>
      </c>
    </row>
    <row r="395" spans="2:15" x14ac:dyDescent="0.2">
      <c r="B395" s="27">
        <v>0.73749999999999993</v>
      </c>
      <c r="C395" s="28">
        <v>6</v>
      </c>
      <c r="D395" s="33" t="str">
        <f>IF(C395="", "",VLOOKUP(C395,Key!$A$5:$B$7,2,FALSE))</f>
        <v>Large Bus</v>
      </c>
      <c r="E395" s="29" t="s">
        <v>90</v>
      </c>
      <c r="F395" s="29" t="s">
        <v>66</v>
      </c>
      <c r="G395" s="29" t="s">
        <v>68</v>
      </c>
      <c r="H395" s="30" t="s">
        <v>68</v>
      </c>
      <c r="I395" s="29" t="s">
        <v>257</v>
      </c>
      <c r="J395" s="29" t="s">
        <v>70</v>
      </c>
      <c r="K395" s="30" t="s">
        <v>70</v>
      </c>
      <c r="L395" s="29" t="str">
        <f t="shared" si="6"/>
        <v>MBARARA-KAMPALA</v>
      </c>
      <c r="M395" s="31">
        <v>65</v>
      </c>
      <c r="N395" s="72">
        <v>20000</v>
      </c>
      <c r="O395" s="34">
        <v>4.9000000000000004</v>
      </c>
    </row>
    <row r="396" spans="2:15" x14ac:dyDescent="0.2">
      <c r="B396" s="27">
        <v>0.73819444444444438</v>
      </c>
      <c r="C396" s="28">
        <v>6</v>
      </c>
      <c r="D396" s="33" t="str">
        <f>IF(C396="", "",VLOOKUP(C396,Key!$A$5:$B$7,2,FALSE))</f>
        <v>Large Bus</v>
      </c>
      <c r="E396" s="29" t="s">
        <v>90</v>
      </c>
      <c r="F396" s="29" t="s">
        <v>66</v>
      </c>
      <c r="G396" s="29" t="s">
        <v>68</v>
      </c>
      <c r="H396" s="30" t="s">
        <v>68</v>
      </c>
      <c r="I396" s="29" t="s">
        <v>257</v>
      </c>
      <c r="J396" s="29" t="s">
        <v>70</v>
      </c>
      <c r="K396" s="30" t="s">
        <v>70</v>
      </c>
      <c r="L396" s="29" t="str">
        <f t="shared" si="6"/>
        <v>MBARARA-KAMPALA</v>
      </c>
      <c r="M396" s="31">
        <v>65</v>
      </c>
      <c r="N396" s="72">
        <v>20000</v>
      </c>
      <c r="O396" s="34">
        <v>4.9000000000000004</v>
      </c>
    </row>
    <row r="397" spans="2:15" x14ac:dyDescent="0.2">
      <c r="B397" s="27">
        <v>0.75208333333333333</v>
      </c>
      <c r="C397" s="28">
        <v>6</v>
      </c>
      <c r="D397" s="33" t="str">
        <f>IF(C397="", "",VLOOKUP(C397,Key!$A$5:$B$7,2,FALSE))</f>
        <v>Large Bus</v>
      </c>
      <c r="E397" s="29" t="s">
        <v>90</v>
      </c>
      <c r="F397" s="29" t="s">
        <v>66</v>
      </c>
      <c r="G397" s="29" t="s">
        <v>68</v>
      </c>
      <c r="H397" s="30" t="s">
        <v>68</v>
      </c>
      <c r="I397" s="29" t="s">
        <v>257</v>
      </c>
      <c r="J397" s="29" t="s">
        <v>70</v>
      </c>
      <c r="K397" s="30" t="s">
        <v>70</v>
      </c>
      <c r="L397" s="29" t="str">
        <f t="shared" si="6"/>
        <v>MBARARA-KAMPALA</v>
      </c>
      <c r="M397" s="31">
        <v>67</v>
      </c>
      <c r="N397" s="72">
        <v>20000</v>
      </c>
      <c r="O397" s="34">
        <v>4.9000000000000004</v>
      </c>
    </row>
    <row r="398" spans="2:15" x14ac:dyDescent="0.2">
      <c r="B398" s="45" t="s">
        <v>222</v>
      </c>
      <c r="C398" s="47"/>
      <c r="D398" s="48"/>
      <c r="E398" s="43" t="s">
        <v>90</v>
      </c>
      <c r="F398" s="48"/>
      <c r="G398" s="47"/>
      <c r="H398" s="47"/>
      <c r="I398" s="47" t="s">
        <v>257</v>
      </c>
      <c r="J398" s="47"/>
      <c r="K398" s="47"/>
      <c r="L398" s="47" t="str">
        <f t="shared" si="6"/>
        <v>-</v>
      </c>
      <c r="M398" s="47"/>
      <c r="N398" s="48"/>
      <c r="O398" s="48"/>
    </row>
    <row r="399" spans="2:15" x14ac:dyDescent="0.2">
      <c r="B399" s="27">
        <v>0.13263888888888889</v>
      </c>
      <c r="C399" s="28">
        <v>6</v>
      </c>
      <c r="D399" s="33" t="str">
        <f>IF(C399="", "",VLOOKUP(C399,Key!$A$5:$B$7,2,FALSE))</f>
        <v>Large Bus</v>
      </c>
      <c r="E399" s="29" t="s">
        <v>90</v>
      </c>
      <c r="F399" s="29" t="s">
        <v>67</v>
      </c>
      <c r="G399" s="29" t="s">
        <v>70</v>
      </c>
      <c r="H399" s="30" t="s">
        <v>70</v>
      </c>
      <c r="I399" s="29" t="s">
        <v>257</v>
      </c>
      <c r="J399" s="29" t="s">
        <v>68</v>
      </c>
      <c r="K399" s="30" t="s">
        <v>68</v>
      </c>
      <c r="L399" s="29" t="str">
        <f t="shared" si="6"/>
        <v>KAMPALA-MBARARA</v>
      </c>
      <c r="M399" s="31">
        <v>59</v>
      </c>
      <c r="N399" s="72">
        <v>20000</v>
      </c>
      <c r="O399" s="34">
        <v>4.9000000000000004</v>
      </c>
    </row>
    <row r="400" spans="2:15" x14ac:dyDescent="0.2">
      <c r="B400" s="27">
        <v>0.13402777777777777</v>
      </c>
      <c r="C400" s="28">
        <v>6</v>
      </c>
      <c r="D400" s="33" t="str">
        <f>IF(C400="", "",VLOOKUP(C400,Key!$A$5:$B$7,2,FALSE))</f>
        <v>Large Bus</v>
      </c>
      <c r="E400" s="29" t="s">
        <v>90</v>
      </c>
      <c r="F400" s="29" t="s">
        <v>67</v>
      </c>
      <c r="G400" s="29" t="s">
        <v>68</v>
      </c>
      <c r="H400" s="30" t="s">
        <v>70</v>
      </c>
      <c r="I400" s="29" t="s">
        <v>257</v>
      </c>
      <c r="J400" s="29" t="s">
        <v>68</v>
      </c>
      <c r="K400" s="30" t="s">
        <v>68</v>
      </c>
      <c r="L400" s="29" t="str">
        <f t="shared" si="6"/>
        <v>KAMPALA-MBARARA</v>
      </c>
      <c r="M400" s="31">
        <v>64</v>
      </c>
      <c r="N400" s="72">
        <v>20000</v>
      </c>
      <c r="O400" s="34">
        <v>4.9000000000000004</v>
      </c>
    </row>
    <row r="401" spans="2:15" x14ac:dyDescent="0.2">
      <c r="B401" s="27">
        <v>0.13541666666666666</v>
      </c>
      <c r="C401" s="28">
        <v>6</v>
      </c>
      <c r="D401" s="33" t="str">
        <f>IF(C401="", "",VLOOKUP(C401,Key!$A$5:$B$7,2,FALSE))</f>
        <v>Large Bus</v>
      </c>
      <c r="E401" s="29" t="s">
        <v>90</v>
      </c>
      <c r="F401" s="29" t="s">
        <v>67</v>
      </c>
      <c r="G401" s="29" t="s">
        <v>68</v>
      </c>
      <c r="H401" s="30" t="s">
        <v>70</v>
      </c>
      <c r="I401" s="29" t="s">
        <v>257</v>
      </c>
      <c r="J401" s="29" t="s">
        <v>68</v>
      </c>
      <c r="K401" s="30" t="s">
        <v>68</v>
      </c>
      <c r="L401" s="29" t="str">
        <f t="shared" si="6"/>
        <v>KAMPALA-MBARARA</v>
      </c>
      <c r="M401" s="31">
        <v>63</v>
      </c>
      <c r="N401" s="72">
        <v>20000</v>
      </c>
      <c r="O401" s="34">
        <v>4.9000000000000004</v>
      </c>
    </row>
    <row r="402" spans="2:15" x14ac:dyDescent="0.2">
      <c r="B402" s="27">
        <v>0.13958333333333334</v>
      </c>
      <c r="C402" s="28">
        <v>6</v>
      </c>
      <c r="D402" s="33" t="str">
        <f>IF(C402="", "",VLOOKUP(C402,Key!$A$5:$B$7,2,FALSE))</f>
        <v>Large Bus</v>
      </c>
      <c r="E402" s="29" t="s">
        <v>90</v>
      </c>
      <c r="F402" s="29" t="s">
        <v>67</v>
      </c>
      <c r="G402" s="29" t="s">
        <v>68</v>
      </c>
      <c r="H402" s="30" t="s">
        <v>70</v>
      </c>
      <c r="I402" s="29" t="s">
        <v>257</v>
      </c>
      <c r="J402" s="29" t="s">
        <v>68</v>
      </c>
      <c r="K402" s="30" t="s">
        <v>68</v>
      </c>
      <c r="L402" s="29" t="str">
        <f t="shared" si="6"/>
        <v>KAMPALA-MBARARA</v>
      </c>
      <c r="M402" s="31">
        <v>65</v>
      </c>
      <c r="N402" s="72">
        <v>20000</v>
      </c>
      <c r="O402" s="34">
        <v>4.9000000000000004</v>
      </c>
    </row>
    <row r="403" spans="2:15" x14ac:dyDescent="0.2">
      <c r="B403" s="27">
        <v>0.15555555555555556</v>
      </c>
      <c r="C403" s="28">
        <v>6</v>
      </c>
      <c r="D403" s="33" t="str">
        <f>IF(C403="", "",VLOOKUP(C403,Key!$A$5:$B$7,2,FALSE))</f>
        <v>Large Bus</v>
      </c>
      <c r="E403" s="29" t="s">
        <v>90</v>
      </c>
      <c r="F403" s="29" t="s">
        <v>67</v>
      </c>
      <c r="G403" s="29" t="s">
        <v>68</v>
      </c>
      <c r="H403" s="30" t="s">
        <v>70</v>
      </c>
      <c r="I403" s="29" t="s">
        <v>257</v>
      </c>
      <c r="J403" s="29" t="s">
        <v>68</v>
      </c>
      <c r="K403" s="30" t="s">
        <v>68</v>
      </c>
      <c r="L403" s="29" t="str">
        <f t="shared" si="6"/>
        <v>KAMPALA-MBARARA</v>
      </c>
      <c r="M403" s="31">
        <v>63</v>
      </c>
      <c r="N403" s="72">
        <v>20000</v>
      </c>
      <c r="O403" s="34">
        <v>4.9000000000000004</v>
      </c>
    </row>
    <row r="404" spans="2:15" x14ac:dyDescent="0.2">
      <c r="B404" s="27">
        <v>0.16805555555555554</v>
      </c>
      <c r="C404" s="28">
        <v>6</v>
      </c>
      <c r="D404" s="33" t="str">
        <f>IF(C404="", "",VLOOKUP(C404,Key!$A$5:$B$7,2,FALSE))</f>
        <v>Large Bus</v>
      </c>
      <c r="E404" s="29" t="s">
        <v>90</v>
      </c>
      <c r="F404" s="29" t="s">
        <v>67</v>
      </c>
      <c r="G404" s="29" t="s">
        <v>68</v>
      </c>
      <c r="H404" s="30" t="s">
        <v>70</v>
      </c>
      <c r="I404" s="29" t="s">
        <v>257</v>
      </c>
      <c r="J404" s="29" t="s">
        <v>68</v>
      </c>
      <c r="K404" s="30" t="s">
        <v>68</v>
      </c>
      <c r="L404" s="29" t="str">
        <f t="shared" si="6"/>
        <v>KAMPALA-MBARARA</v>
      </c>
      <c r="M404" s="31">
        <v>65</v>
      </c>
      <c r="N404" s="72">
        <v>20000</v>
      </c>
      <c r="O404" s="34">
        <v>4.9000000000000004</v>
      </c>
    </row>
    <row r="405" spans="2:15" x14ac:dyDescent="0.2">
      <c r="B405" s="27">
        <v>0.17430555555555557</v>
      </c>
      <c r="C405" s="28">
        <v>6</v>
      </c>
      <c r="D405" s="33" t="str">
        <f>IF(C405="", "",VLOOKUP(C405,Key!$A$5:$B$7,2,FALSE))</f>
        <v>Large Bus</v>
      </c>
      <c r="E405" s="29" t="s">
        <v>90</v>
      </c>
      <c r="F405" s="29" t="s">
        <v>67</v>
      </c>
      <c r="G405" s="29" t="s">
        <v>68</v>
      </c>
      <c r="H405" s="30" t="s">
        <v>70</v>
      </c>
      <c r="I405" s="29" t="s">
        <v>257</v>
      </c>
      <c r="J405" s="29" t="s">
        <v>68</v>
      </c>
      <c r="K405" s="30" t="s">
        <v>68</v>
      </c>
      <c r="L405" s="29" t="str">
        <f t="shared" si="6"/>
        <v>KAMPALA-MBARARA</v>
      </c>
      <c r="M405" s="31">
        <v>63</v>
      </c>
      <c r="N405" s="72">
        <v>20000</v>
      </c>
      <c r="O405" s="34">
        <v>4.9000000000000004</v>
      </c>
    </row>
    <row r="406" spans="2:15" x14ac:dyDescent="0.2">
      <c r="B406" s="27">
        <v>0.18333333333333335</v>
      </c>
      <c r="C406" s="28">
        <v>6</v>
      </c>
      <c r="D406" s="33" t="str">
        <f>IF(C406="", "",VLOOKUP(C406,Key!$A$5:$B$7,2,FALSE))</f>
        <v>Large Bus</v>
      </c>
      <c r="E406" s="29" t="s">
        <v>90</v>
      </c>
      <c r="F406" s="29" t="s">
        <v>67</v>
      </c>
      <c r="G406" s="29" t="s">
        <v>68</v>
      </c>
      <c r="H406" s="30" t="s">
        <v>70</v>
      </c>
      <c r="I406" s="29" t="s">
        <v>257</v>
      </c>
      <c r="J406" s="29" t="s">
        <v>68</v>
      </c>
      <c r="K406" s="30" t="s">
        <v>68</v>
      </c>
      <c r="L406" s="29" t="str">
        <f t="shared" si="6"/>
        <v>KAMPALA-MBARARA</v>
      </c>
      <c r="M406" s="31">
        <v>65</v>
      </c>
      <c r="N406" s="72">
        <v>20000</v>
      </c>
      <c r="O406" s="34">
        <v>4.9000000000000004</v>
      </c>
    </row>
    <row r="407" spans="2:15" x14ac:dyDescent="0.2">
      <c r="B407" s="27">
        <v>0.18958333333333333</v>
      </c>
      <c r="C407" s="28">
        <v>6</v>
      </c>
      <c r="D407" s="33" t="str">
        <f>IF(C407="", "",VLOOKUP(C407,Key!$A$5:$B$7,2,FALSE))</f>
        <v>Large Bus</v>
      </c>
      <c r="E407" s="29" t="s">
        <v>90</v>
      </c>
      <c r="F407" s="29" t="s">
        <v>67</v>
      </c>
      <c r="G407" s="29" t="s">
        <v>68</v>
      </c>
      <c r="H407" s="30" t="s">
        <v>70</v>
      </c>
      <c r="I407" s="29" t="s">
        <v>257</v>
      </c>
      <c r="J407" s="29" t="s">
        <v>68</v>
      </c>
      <c r="K407" s="30" t="s">
        <v>68</v>
      </c>
      <c r="L407" s="29" t="str">
        <f t="shared" si="6"/>
        <v>KAMPALA-MBARARA</v>
      </c>
      <c r="M407" s="31">
        <v>67</v>
      </c>
      <c r="N407" s="72">
        <v>20000</v>
      </c>
      <c r="O407" s="34">
        <v>4.9000000000000004</v>
      </c>
    </row>
    <row r="408" spans="2:15" x14ac:dyDescent="0.2">
      <c r="B408" s="27">
        <v>0.20694444444444446</v>
      </c>
      <c r="C408" s="28">
        <v>6</v>
      </c>
      <c r="D408" s="33" t="str">
        <f>IF(C408="", "",VLOOKUP(C408,Key!$A$5:$B$7,2,FALSE))</f>
        <v>Large Bus</v>
      </c>
      <c r="E408" s="29" t="s">
        <v>90</v>
      </c>
      <c r="F408" s="29" t="s">
        <v>67</v>
      </c>
      <c r="G408" s="29" t="s">
        <v>68</v>
      </c>
      <c r="H408" s="30" t="s">
        <v>70</v>
      </c>
      <c r="I408" s="29" t="s">
        <v>257</v>
      </c>
      <c r="J408" s="29" t="s">
        <v>68</v>
      </c>
      <c r="K408" s="30" t="s">
        <v>68</v>
      </c>
      <c r="L408" s="29" t="str">
        <f t="shared" si="6"/>
        <v>KAMPALA-MBARARA</v>
      </c>
      <c r="M408" s="31">
        <v>65</v>
      </c>
      <c r="N408" s="72">
        <v>20000</v>
      </c>
      <c r="O408" s="34">
        <v>4.9000000000000004</v>
      </c>
    </row>
    <row r="409" spans="2:15" x14ac:dyDescent="0.2">
      <c r="B409" s="27">
        <v>0.21597222222222223</v>
      </c>
      <c r="C409" s="28">
        <v>6</v>
      </c>
      <c r="D409" s="33" t="str">
        <f>IF(C409="", "",VLOOKUP(C409,Key!$A$5:$B$7,2,FALSE))</f>
        <v>Large Bus</v>
      </c>
      <c r="E409" s="29" t="s">
        <v>90</v>
      </c>
      <c r="F409" s="29" t="s">
        <v>67</v>
      </c>
      <c r="G409" s="29" t="s">
        <v>68</v>
      </c>
      <c r="H409" s="30" t="s">
        <v>70</v>
      </c>
      <c r="I409" s="29" t="s">
        <v>257</v>
      </c>
      <c r="J409" s="29" t="s">
        <v>68</v>
      </c>
      <c r="K409" s="30" t="s">
        <v>68</v>
      </c>
      <c r="L409" s="29" t="str">
        <f t="shared" si="6"/>
        <v>KAMPALA-MBARARA</v>
      </c>
      <c r="M409" s="31">
        <v>57</v>
      </c>
      <c r="N409" s="72">
        <v>20000</v>
      </c>
      <c r="O409" s="34">
        <v>4.9000000000000004</v>
      </c>
    </row>
    <row r="410" spans="2:15" x14ac:dyDescent="0.2">
      <c r="B410" s="27">
        <v>0.24027777777777778</v>
      </c>
      <c r="C410" s="28">
        <v>6</v>
      </c>
      <c r="D410" s="33" t="str">
        <f>IF(C410="", "",VLOOKUP(C410,Key!$A$5:$B$7,2,FALSE))</f>
        <v>Large Bus</v>
      </c>
      <c r="E410" s="29" t="s">
        <v>90</v>
      </c>
      <c r="F410" s="29" t="s">
        <v>67</v>
      </c>
      <c r="G410" s="29" t="s">
        <v>68</v>
      </c>
      <c r="H410" s="30" t="s">
        <v>70</v>
      </c>
      <c r="I410" s="29" t="s">
        <v>257</v>
      </c>
      <c r="J410" s="29" t="s">
        <v>68</v>
      </c>
      <c r="K410" s="30" t="s">
        <v>68</v>
      </c>
      <c r="L410" s="29" t="str">
        <f t="shared" si="6"/>
        <v>KAMPALA-MBARARA</v>
      </c>
      <c r="M410" s="31">
        <v>63</v>
      </c>
      <c r="N410" s="72">
        <v>20000</v>
      </c>
      <c r="O410" s="34">
        <v>4.9000000000000004</v>
      </c>
    </row>
    <row r="411" spans="2:15" x14ac:dyDescent="0.2">
      <c r="B411" s="27">
        <v>0.24513888888888888</v>
      </c>
      <c r="C411" s="28">
        <v>6</v>
      </c>
      <c r="D411" s="33" t="str">
        <f>IF(C411="", "",VLOOKUP(C411,Key!$A$5:$B$7,2,FALSE))</f>
        <v>Large Bus</v>
      </c>
      <c r="E411" s="29" t="s">
        <v>90</v>
      </c>
      <c r="F411" s="29" t="s">
        <v>67</v>
      </c>
      <c r="G411" s="29" t="s">
        <v>68</v>
      </c>
      <c r="H411" s="30" t="s">
        <v>70</v>
      </c>
      <c r="I411" s="29" t="s">
        <v>257</v>
      </c>
      <c r="J411" s="29" t="s">
        <v>68</v>
      </c>
      <c r="K411" s="30" t="s">
        <v>68</v>
      </c>
      <c r="L411" s="29" t="str">
        <f t="shared" si="6"/>
        <v>KAMPALA-MBARARA</v>
      </c>
      <c r="M411" s="31">
        <v>65</v>
      </c>
      <c r="N411" s="72">
        <v>20000</v>
      </c>
      <c r="O411" s="34">
        <v>4.9000000000000004</v>
      </c>
    </row>
    <row r="412" spans="2:15" x14ac:dyDescent="0.2">
      <c r="B412" s="27">
        <v>0.25347222222222221</v>
      </c>
      <c r="C412" s="28">
        <v>6</v>
      </c>
      <c r="D412" s="33" t="str">
        <f>IF(C412="", "",VLOOKUP(C412,Key!$A$5:$B$7,2,FALSE))</f>
        <v>Large Bus</v>
      </c>
      <c r="E412" s="29" t="s">
        <v>90</v>
      </c>
      <c r="F412" s="29" t="s">
        <v>67</v>
      </c>
      <c r="G412" s="29" t="s">
        <v>68</v>
      </c>
      <c r="H412" s="30" t="s">
        <v>70</v>
      </c>
      <c r="I412" s="29" t="s">
        <v>257</v>
      </c>
      <c r="J412" s="29" t="s">
        <v>68</v>
      </c>
      <c r="K412" s="30" t="s">
        <v>68</v>
      </c>
      <c r="L412" s="29" t="str">
        <f t="shared" si="6"/>
        <v>KAMPALA-MBARARA</v>
      </c>
      <c r="M412" s="31">
        <v>65</v>
      </c>
      <c r="N412" s="72">
        <v>20000</v>
      </c>
      <c r="O412" s="34">
        <v>4.9000000000000004</v>
      </c>
    </row>
    <row r="413" spans="2:15" x14ac:dyDescent="0.2">
      <c r="B413" s="27">
        <v>0.28472222222222221</v>
      </c>
      <c r="C413" s="28">
        <v>6</v>
      </c>
      <c r="D413" s="33" t="str">
        <f>IF(C413="", "",VLOOKUP(C413,Key!$A$5:$B$7,2,FALSE))</f>
        <v>Large Bus</v>
      </c>
      <c r="E413" s="29" t="s">
        <v>90</v>
      </c>
      <c r="F413" s="29" t="s">
        <v>67</v>
      </c>
      <c r="G413" s="29" t="s">
        <v>68</v>
      </c>
      <c r="H413" s="30" t="s">
        <v>70</v>
      </c>
      <c r="I413" s="29" t="s">
        <v>257</v>
      </c>
      <c r="J413" s="29" t="s">
        <v>68</v>
      </c>
      <c r="K413" s="30" t="s">
        <v>68</v>
      </c>
      <c r="L413" s="29" t="str">
        <f t="shared" si="6"/>
        <v>KAMPALA-MBARARA</v>
      </c>
      <c r="M413" s="31">
        <v>67</v>
      </c>
      <c r="N413" s="72">
        <v>20000</v>
      </c>
      <c r="O413" s="34">
        <v>4.9000000000000004</v>
      </c>
    </row>
    <row r="414" spans="2:15" x14ac:dyDescent="0.2">
      <c r="B414" s="27">
        <v>0.3125</v>
      </c>
      <c r="C414" s="28">
        <v>6</v>
      </c>
      <c r="D414" s="33" t="str">
        <f>IF(C414="", "",VLOOKUP(C414,Key!$A$5:$B$7,2,FALSE))</f>
        <v>Large Bus</v>
      </c>
      <c r="E414" s="29" t="s">
        <v>90</v>
      </c>
      <c r="F414" s="29" t="s">
        <v>67</v>
      </c>
      <c r="G414" s="29" t="s">
        <v>70</v>
      </c>
      <c r="H414" s="30" t="s">
        <v>70</v>
      </c>
      <c r="I414" s="29" t="s">
        <v>257</v>
      </c>
      <c r="J414" s="29" t="s">
        <v>68</v>
      </c>
      <c r="K414" s="30" t="s">
        <v>68</v>
      </c>
      <c r="L414" s="29" t="str">
        <f t="shared" si="6"/>
        <v>KAMPALA-MBARARA</v>
      </c>
      <c r="M414" s="31">
        <v>63</v>
      </c>
      <c r="N414" s="72">
        <v>20000</v>
      </c>
      <c r="O414" s="34">
        <v>4.9000000000000004</v>
      </c>
    </row>
    <row r="415" spans="2:15" x14ac:dyDescent="0.2">
      <c r="B415" s="27">
        <v>0.32916666666666666</v>
      </c>
      <c r="C415" s="28">
        <v>6</v>
      </c>
      <c r="D415" s="33" t="str">
        <f>IF(C415="", "",VLOOKUP(C415,Key!$A$5:$B$7,2,FALSE))</f>
        <v>Large Bus</v>
      </c>
      <c r="E415" s="29" t="s">
        <v>90</v>
      </c>
      <c r="F415" s="29" t="s">
        <v>67</v>
      </c>
      <c r="G415" s="29" t="s">
        <v>70</v>
      </c>
      <c r="H415" s="30" t="s">
        <v>70</v>
      </c>
      <c r="I415" s="29" t="s">
        <v>257</v>
      </c>
      <c r="J415" s="29" t="s">
        <v>68</v>
      </c>
      <c r="K415" s="30" t="s">
        <v>68</v>
      </c>
      <c r="L415" s="29" t="str">
        <f t="shared" si="6"/>
        <v>KAMPALA-MBARARA</v>
      </c>
      <c r="M415" s="31">
        <v>64</v>
      </c>
      <c r="N415" s="72">
        <v>20000</v>
      </c>
      <c r="O415" s="34">
        <v>4.9000000000000004</v>
      </c>
    </row>
    <row r="416" spans="2:15" x14ac:dyDescent="0.2">
      <c r="B416" s="27">
        <v>0.34375</v>
      </c>
      <c r="C416" s="28">
        <v>6</v>
      </c>
      <c r="D416" s="33" t="str">
        <f>IF(C416="", "",VLOOKUP(C416,Key!$A$5:$B$7,2,FALSE))</f>
        <v>Large Bus</v>
      </c>
      <c r="E416" s="29" t="s">
        <v>90</v>
      </c>
      <c r="F416" s="29" t="s">
        <v>67</v>
      </c>
      <c r="G416" s="29" t="s">
        <v>70</v>
      </c>
      <c r="H416" s="30" t="s">
        <v>70</v>
      </c>
      <c r="I416" s="29" t="s">
        <v>257</v>
      </c>
      <c r="J416" s="29" t="s">
        <v>68</v>
      </c>
      <c r="K416" s="30" t="s">
        <v>68</v>
      </c>
      <c r="L416" s="29" t="str">
        <f t="shared" si="6"/>
        <v>KAMPALA-MBARARA</v>
      </c>
      <c r="M416" s="31">
        <v>65</v>
      </c>
      <c r="N416" s="72">
        <v>20000</v>
      </c>
      <c r="O416" s="34">
        <v>4.9000000000000004</v>
      </c>
    </row>
    <row r="417" spans="2:15" x14ac:dyDescent="0.2">
      <c r="B417" s="27">
        <v>0.37083333333333335</v>
      </c>
      <c r="C417" s="28">
        <v>6</v>
      </c>
      <c r="D417" s="33" t="str">
        <f>IF(C417="", "",VLOOKUP(C417,Key!$A$5:$B$7,2,FALSE))</f>
        <v>Large Bus</v>
      </c>
      <c r="E417" s="29" t="s">
        <v>90</v>
      </c>
      <c r="F417" s="29" t="s">
        <v>67</v>
      </c>
      <c r="G417" s="29" t="s">
        <v>70</v>
      </c>
      <c r="H417" s="30" t="s">
        <v>70</v>
      </c>
      <c r="I417" s="29" t="s">
        <v>257</v>
      </c>
      <c r="J417" s="29" t="s">
        <v>68</v>
      </c>
      <c r="K417" s="30" t="s">
        <v>68</v>
      </c>
      <c r="L417" s="29" t="str">
        <f t="shared" si="6"/>
        <v>KAMPALA-MBARARA</v>
      </c>
      <c r="M417" s="31">
        <v>65</v>
      </c>
      <c r="N417" s="72">
        <v>20000</v>
      </c>
      <c r="O417" s="34">
        <v>4.9000000000000004</v>
      </c>
    </row>
    <row r="418" spans="2:15" x14ac:dyDescent="0.2">
      <c r="B418" s="27">
        <v>0.3840277777777778</v>
      </c>
      <c r="C418" s="28">
        <v>6</v>
      </c>
      <c r="D418" s="33" t="str">
        <f>IF(C418="", "",VLOOKUP(C418,Key!$A$5:$B$7,2,FALSE))</f>
        <v>Large Bus</v>
      </c>
      <c r="E418" s="29" t="s">
        <v>90</v>
      </c>
      <c r="F418" s="29" t="s">
        <v>67</v>
      </c>
      <c r="G418" s="29" t="s">
        <v>70</v>
      </c>
      <c r="H418" s="30" t="s">
        <v>70</v>
      </c>
      <c r="I418" s="29" t="s">
        <v>257</v>
      </c>
      <c r="J418" s="29" t="s">
        <v>68</v>
      </c>
      <c r="K418" s="30" t="s">
        <v>68</v>
      </c>
      <c r="L418" s="29" t="str">
        <f t="shared" si="6"/>
        <v>KAMPALA-MBARARA</v>
      </c>
      <c r="M418" s="31">
        <v>63</v>
      </c>
      <c r="N418" s="72">
        <v>20000</v>
      </c>
      <c r="O418" s="34">
        <v>4.9000000000000004</v>
      </c>
    </row>
    <row r="419" spans="2:15" x14ac:dyDescent="0.2">
      <c r="B419" s="27">
        <v>0.3923611111111111</v>
      </c>
      <c r="C419" s="28">
        <v>6</v>
      </c>
      <c r="D419" s="33" t="str">
        <f>IF(C419="", "",VLOOKUP(C419,Key!$A$5:$B$7,2,FALSE))</f>
        <v>Large Bus</v>
      </c>
      <c r="E419" s="29" t="s">
        <v>90</v>
      </c>
      <c r="F419" s="29" t="s">
        <v>67</v>
      </c>
      <c r="G419" s="29" t="s">
        <v>70</v>
      </c>
      <c r="H419" s="30" t="s">
        <v>70</v>
      </c>
      <c r="I419" s="29" t="s">
        <v>257</v>
      </c>
      <c r="J419" s="29" t="s">
        <v>68</v>
      </c>
      <c r="K419" s="30" t="s">
        <v>68</v>
      </c>
      <c r="L419" s="29" t="str">
        <f t="shared" si="6"/>
        <v>KAMPALA-MBARARA</v>
      </c>
      <c r="M419" s="31">
        <v>67</v>
      </c>
      <c r="N419" s="72">
        <v>20000</v>
      </c>
      <c r="O419" s="34">
        <v>4.9000000000000004</v>
      </c>
    </row>
    <row r="420" spans="2:15" x14ac:dyDescent="0.2">
      <c r="B420" s="27">
        <v>0.40208333333333335</v>
      </c>
      <c r="C420" s="28">
        <v>6</v>
      </c>
      <c r="D420" s="33" t="str">
        <f>IF(C420="", "",VLOOKUP(C420,Key!$A$5:$B$7,2,FALSE))</f>
        <v>Large Bus</v>
      </c>
      <c r="E420" s="29" t="s">
        <v>90</v>
      </c>
      <c r="F420" s="29" t="s">
        <v>67</v>
      </c>
      <c r="G420" s="29" t="s">
        <v>70</v>
      </c>
      <c r="H420" s="30" t="s">
        <v>70</v>
      </c>
      <c r="I420" s="29" t="s">
        <v>257</v>
      </c>
      <c r="J420" s="29" t="s">
        <v>68</v>
      </c>
      <c r="K420" s="30" t="s">
        <v>68</v>
      </c>
      <c r="L420" s="29" t="str">
        <f t="shared" si="6"/>
        <v>KAMPALA-MBARARA</v>
      </c>
      <c r="M420" s="31">
        <v>65</v>
      </c>
      <c r="N420" s="72">
        <v>20000</v>
      </c>
      <c r="O420" s="34">
        <v>4.9000000000000004</v>
      </c>
    </row>
    <row r="421" spans="2:15" x14ac:dyDescent="0.2">
      <c r="B421" s="27">
        <v>0.41597222222222219</v>
      </c>
      <c r="C421" s="28">
        <v>6</v>
      </c>
      <c r="D421" s="33" t="str">
        <f>IF(C421="", "",VLOOKUP(C421,Key!$A$5:$B$7,2,FALSE))</f>
        <v>Large Bus</v>
      </c>
      <c r="E421" s="29" t="s">
        <v>90</v>
      </c>
      <c r="F421" s="29" t="s">
        <v>67</v>
      </c>
      <c r="G421" s="29" t="s">
        <v>70</v>
      </c>
      <c r="H421" s="30" t="s">
        <v>70</v>
      </c>
      <c r="I421" s="29" t="s">
        <v>257</v>
      </c>
      <c r="J421" s="29" t="s">
        <v>68</v>
      </c>
      <c r="K421" s="30" t="s">
        <v>68</v>
      </c>
      <c r="L421" s="29" t="str">
        <f t="shared" si="6"/>
        <v>KAMPALA-MBARARA</v>
      </c>
      <c r="M421" s="31">
        <v>50</v>
      </c>
      <c r="N421" s="72">
        <v>20000</v>
      </c>
      <c r="O421" s="34">
        <v>4.9000000000000004</v>
      </c>
    </row>
    <row r="422" spans="2:15" x14ac:dyDescent="0.2">
      <c r="B422" s="27">
        <v>0.4236111111111111</v>
      </c>
      <c r="C422" s="28">
        <v>6</v>
      </c>
      <c r="D422" s="33" t="str">
        <f>IF(C422="", "",VLOOKUP(C422,Key!$A$5:$B$7,2,FALSE))</f>
        <v>Large Bus</v>
      </c>
      <c r="E422" s="29" t="s">
        <v>90</v>
      </c>
      <c r="F422" s="29" t="s">
        <v>67</v>
      </c>
      <c r="G422" s="29" t="s">
        <v>70</v>
      </c>
      <c r="H422" s="30" t="s">
        <v>70</v>
      </c>
      <c r="I422" s="29" t="s">
        <v>257</v>
      </c>
      <c r="J422" s="29" t="s">
        <v>68</v>
      </c>
      <c r="K422" s="30" t="s">
        <v>68</v>
      </c>
      <c r="L422" s="29" t="str">
        <f t="shared" si="6"/>
        <v>KAMPALA-MBARARA</v>
      </c>
      <c r="M422" s="31">
        <v>59</v>
      </c>
      <c r="N422" s="72">
        <v>20000</v>
      </c>
      <c r="O422" s="34">
        <v>4.9000000000000004</v>
      </c>
    </row>
    <row r="423" spans="2:15" x14ac:dyDescent="0.2">
      <c r="B423" s="27">
        <v>0.4548611111111111</v>
      </c>
      <c r="C423" s="28">
        <v>6</v>
      </c>
      <c r="D423" s="33" t="str">
        <f>IF(C423="", "",VLOOKUP(C423,Key!$A$5:$B$7,2,FALSE))</f>
        <v>Large Bus</v>
      </c>
      <c r="E423" s="29" t="s">
        <v>90</v>
      </c>
      <c r="F423" s="29" t="s">
        <v>67</v>
      </c>
      <c r="G423" s="29" t="s">
        <v>70</v>
      </c>
      <c r="H423" s="30" t="s">
        <v>70</v>
      </c>
      <c r="I423" s="29" t="s">
        <v>257</v>
      </c>
      <c r="J423" s="29" t="s">
        <v>68</v>
      </c>
      <c r="K423" s="30" t="s">
        <v>68</v>
      </c>
      <c r="L423" s="29" t="str">
        <f t="shared" si="6"/>
        <v>KAMPALA-MBARARA</v>
      </c>
      <c r="M423" s="31">
        <v>65</v>
      </c>
      <c r="N423" s="72">
        <v>20000</v>
      </c>
      <c r="O423" s="34">
        <v>4.9000000000000004</v>
      </c>
    </row>
    <row r="424" spans="2:15" x14ac:dyDescent="0.2">
      <c r="B424" s="27">
        <v>0.46388888888888885</v>
      </c>
      <c r="C424" s="28">
        <v>6</v>
      </c>
      <c r="D424" s="33" t="str">
        <f>IF(C424="", "",VLOOKUP(C424,Key!$A$5:$B$7,2,FALSE))</f>
        <v>Large Bus</v>
      </c>
      <c r="E424" s="29" t="s">
        <v>90</v>
      </c>
      <c r="F424" s="29" t="s">
        <v>67</v>
      </c>
      <c r="G424" s="29" t="s">
        <v>70</v>
      </c>
      <c r="H424" s="30" t="s">
        <v>70</v>
      </c>
      <c r="I424" s="29" t="s">
        <v>257</v>
      </c>
      <c r="J424" s="29" t="s">
        <v>68</v>
      </c>
      <c r="K424" s="30" t="s">
        <v>68</v>
      </c>
      <c r="L424" s="29" t="str">
        <f t="shared" si="6"/>
        <v>KAMPALA-MBARARA</v>
      </c>
      <c r="M424" s="31">
        <v>63</v>
      </c>
      <c r="N424" s="72">
        <v>20000</v>
      </c>
      <c r="O424" s="34">
        <v>4.9000000000000004</v>
      </c>
    </row>
    <row r="425" spans="2:15" x14ac:dyDescent="0.2">
      <c r="B425" s="27">
        <v>0.50138888888888888</v>
      </c>
      <c r="C425" s="28">
        <v>6</v>
      </c>
      <c r="D425" s="33" t="str">
        <f>IF(C425="", "",VLOOKUP(C425,Key!$A$5:$B$7,2,FALSE))</f>
        <v>Large Bus</v>
      </c>
      <c r="E425" s="29" t="s">
        <v>90</v>
      </c>
      <c r="F425" s="29" t="s">
        <v>67</v>
      </c>
      <c r="G425" s="29" t="s">
        <v>70</v>
      </c>
      <c r="H425" s="30" t="s">
        <v>70</v>
      </c>
      <c r="I425" s="29" t="s">
        <v>257</v>
      </c>
      <c r="J425" s="29" t="s">
        <v>68</v>
      </c>
      <c r="K425" s="30" t="s">
        <v>68</v>
      </c>
      <c r="L425" s="29" t="str">
        <f t="shared" si="6"/>
        <v>KAMPALA-MBARARA</v>
      </c>
      <c r="M425" s="31">
        <v>67</v>
      </c>
      <c r="N425" s="72">
        <v>20000</v>
      </c>
      <c r="O425" s="34">
        <v>4.9000000000000004</v>
      </c>
    </row>
    <row r="426" spans="2:15" x14ac:dyDescent="0.2">
      <c r="B426" s="27">
        <v>0.5083333333333333</v>
      </c>
      <c r="C426" s="28">
        <v>6</v>
      </c>
      <c r="D426" s="33" t="str">
        <f>IF(C426="", "",VLOOKUP(C426,Key!$A$5:$B$7,2,FALSE))</f>
        <v>Large Bus</v>
      </c>
      <c r="E426" s="29" t="s">
        <v>90</v>
      </c>
      <c r="F426" s="29" t="s">
        <v>67</v>
      </c>
      <c r="G426" s="29" t="s">
        <v>70</v>
      </c>
      <c r="H426" s="30" t="s">
        <v>70</v>
      </c>
      <c r="I426" s="29" t="s">
        <v>257</v>
      </c>
      <c r="J426" s="29" t="s">
        <v>68</v>
      </c>
      <c r="K426" s="30" t="s">
        <v>68</v>
      </c>
      <c r="L426" s="29" t="str">
        <f t="shared" si="6"/>
        <v>KAMPALA-MBARARA</v>
      </c>
      <c r="M426" s="31">
        <v>67</v>
      </c>
      <c r="N426" s="72">
        <v>20000</v>
      </c>
      <c r="O426" s="34">
        <v>4.9000000000000004</v>
      </c>
    </row>
    <row r="427" spans="2:15" x14ac:dyDescent="0.2">
      <c r="B427" s="27">
        <v>0.53402777777777777</v>
      </c>
      <c r="C427" s="28">
        <v>6</v>
      </c>
      <c r="D427" s="33" t="str">
        <f>IF(C427="", "",VLOOKUP(C427,Key!$A$5:$B$7,2,FALSE))</f>
        <v>Large Bus</v>
      </c>
      <c r="E427" s="29" t="s">
        <v>90</v>
      </c>
      <c r="F427" s="29" t="s">
        <v>67</v>
      </c>
      <c r="G427" s="29" t="s">
        <v>70</v>
      </c>
      <c r="H427" s="30" t="s">
        <v>70</v>
      </c>
      <c r="I427" s="29" t="s">
        <v>257</v>
      </c>
      <c r="J427" s="29" t="s">
        <v>68</v>
      </c>
      <c r="K427" s="30" t="s">
        <v>68</v>
      </c>
      <c r="L427" s="29" t="str">
        <f t="shared" si="6"/>
        <v>KAMPALA-MBARARA</v>
      </c>
      <c r="M427" s="31">
        <v>65</v>
      </c>
      <c r="N427" s="72">
        <v>20000</v>
      </c>
      <c r="O427" s="34">
        <v>4.9000000000000004</v>
      </c>
    </row>
    <row r="428" spans="2:15" x14ac:dyDescent="0.2">
      <c r="B428" s="27">
        <v>0.55347222222222225</v>
      </c>
      <c r="C428" s="28">
        <v>6</v>
      </c>
      <c r="D428" s="33" t="str">
        <f>IF(C428="", "",VLOOKUP(C428,Key!$A$5:$B$7,2,FALSE))</f>
        <v>Large Bus</v>
      </c>
      <c r="E428" s="29" t="s">
        <v>90</v>
      </c>
      <c r="F428" s="29" t="s">
        <v>67</v>
      </c>
      <c r="G428" s="29" t="s">
        <v>70</v>
      </c>
      <c r="H428" s="30" t="s">
        <v>70</v>
      </c>
      <c r="I428" s="29" t="s">
        <v>257</v>
      </c>
      <c r="J428" s="29" t="s">
        <v>68</v>
      </c>
      <c r="K428" s="30" t="s">
        <v>68</v>
      </c>
      <c r="L428" s="29" t="str">
        <f t="shared" si="6"/>
        <v>KAMPALA-MBARARA</v>
      </c>
      <c r="M428" s="31">
        <v>67</v>
      </c>
      <c r="N428" s="72">
        <v>20000</v>
      </c>
      <c r="O428" s="34">
        <v>4.9000000000000004</v>
      </c>
    </row>
    <row r="429" spans="2:15" x14ac:dyDescent="0.2">
      <c r="B429" s="27">
        <v>0.57708333333333328</v>
      </c>
      <c r="C429" s="28">
        <v>6</v>
      </c>
      <c r="D429" s="33" t="str">
        <f>IF(C429="", "",VLOOKUP(C429,Key!$A$5:$B$7,2,FALSE))</f>
        <v>Large Bus</v>
      </c>
      <c r="E429" s="29" t="s">
        <v>90</v>
      </c>
      <c r="F429" s="29" t="s">
        <v>67</v>
      </c>
      <c r="G429" s="29" t="s">
        <v>70</v>
      </c>
      <c r="H429" s="30" t="s">
        <v>70</v>
      </c>
      <c r="I429" s="29" t="s">
        <v>257</v>
      </c>
      <c r="J429" s="29" t="s">
        <v>68</v>
      </c>
      <c r="K429" s="30" t="s">
        <v>68</v>
      </c>
      <c r="L429" s="29" t="str">
        <f t="shared" si="6"/>
        <v>KAMPALA-MBARARA</v>
      </c>
      <c r="M429" s="31">
        <v>65</v>
      </c>
      <c r="N429" s="72">
        <v>20000</v>
      </c>
      <c r="O429" s="34">
        <v>4.9000000000000004</v>
      </c>
    </row>
    <row r="430" spans="2:15" x14ac:dyDescent="0.2">
      <c r="B430" s="27">
        <v>0.58472222222222225</v>
      </c>
      <c r="C430" s="28">
        <v>6</v>
      </c>
      <c r="D430" s="33" t="str">
        <f>IF(C430="", "",VLOOKUP(C430,Key!$A$5:$B$7,2,FALSE))</f>
        <v>Large Bus</v>
      </c>
      <c r="E430" s="29" t="s">
        <v>90</v>
      </c>
      <c r="F430" s="29" t="s">
        <v>67</v>
      </c>
      <c r="G430" s="29" t="s">
        <v>70</v>
      </c>
      <c r="H430" s="30" t="s">
        <v>70</v>
      </c>
      <c r="I430" s="29" t="s">
        <v>257</v>
      </c>
      <c r="J430" s="29" t="s">
        <v>68</v>
      </c>
      <c r="K430" s="30" t="s">
        <v>68</v>
      </c>
      <c r="L430" s="29" t="str">
        <f t="shared" si="6"/>
        <v>KAMPALA-MBARARA</v>
      </c>
      <c r="M430" s="31">
        <v>67</v>
      </c>
      <c r="N430" s="72">
        <v>20000</v>
      </c>
      <c r="O430" s="34">
        <v>4.9000000000000004</v>
      </c>
    </row>
    <row r="431" spans="2:15" x14ac:dyDescent="0.2">
      <c r="B431" s="27">
        <v>0.59791666666666665</v>
      </c>
      <c r="C431" s="28">
        <v>6</v>
      </c>
      <c r="D431" s="33" t="str">
        <f>IF(C431="", "",VLOOKUP(C431,Key!$A$5:$B$7,2,FALSE))</f>
        <v>Large Bus</v>
      </c>
      <c r="E431" s="29" t="s">
        <v>90</v>
      </c>
      <c r="F431" s="29" t="s">
        <v>67</v>
      </c>
      <c r="G431" s="29" t="s">
        <v>70</v>
      </c>
      <c r="H431" s="30" t="s">
        <v>70</v>
      </c>
      <c r="I431" s="29" t="s">
        <v>257</v>
      </c>
      <c r="J431" s="29" t="s">
        <v>68</v>
      </c>
      <c r="K431" s="30" t="s">
        <v>68</v>
      </c>
      <c r="L431" s="29" t="str">
        <f t="shared" si="6"/>
        <v>KAMPALA-MBARARA</v>
      </c>
      <c r="M431" s="31">
        <v>65</v>
      </c>
      <c r="N431" s="72">
        <v>20000</v>
      </c>
      <c r="O431" s="34">
        <v>4.9000000000000004</v>
      </c>
    </row>
    <row r="432" spans="2:15" x14ac:dyDescent="0.2">
      <c r="B432" s="27">
        <v>0.60902777777777783</v>
      </c>
      <c r="C432" s="28">
        <v>6</v>
      </c>
      <c r="D432" s="33" t="str">
        <f>IF(C432="", "",VLOOKUP(C432,Key!$A$5:$B$7,2,FALSE))</f>
        <v>Large Bus</v>
      </c>
      <c r="E432" s="29" t="s">
        <v>90</v>
      </c>
      <c r="F432" s="29" t="s">
        <v>67</v>
      </c>
      <c r="G432" s="29" t="s">
        <v>70</v>
      </c>
      <c r="H432" s="30" t="s">
        <v>70</v>
      </c>
      <c r="I432" s="29" t="s">
        <v>257</v>
      </c>
      <c r="J432" s="29" t="s">
        <v>68</v>
      </c>
      <c r="K432" s="30" t="s">
        <v>68</v>
      </c>
      <c r="L432" s="29" t="str">
        <f t="shared" si="6"/>
        <v>KAMPALA-MBARARA</v>
      </c>
      <c r="M432" s="31">
        <v>65</v>
      </c>
      <c r="N432" s="72">
        <v>20000</v>
      </c>
      <c r="O432" s="34">
        <v>4.9000000000000004</v>
      </c>
    </row>
    <row r="433" spans="2:15" x14ac:dyDescent="0.2">
      <c r="B433" s="27">
        <v>0.62847222222222221</v>
      </c>
      <c r="C433" s="28">
        <v>6</v>
      </c>
      <c r="D433" s="33" t="str">
        <f>IF(C433="", "",VLOOKUP(C433,Key!$A$5:$B$7,2,FALSE))</f>
        <v>Large Bus</v>
      </c>
      <c r="E433" s="29" t="s">
        <v>90</v>
      </c>
      <c r="F433" s="29" t="s">
        <v>67</v>
      </c>
      <c r="G433" s="29" t="s">
        <v>70</v>
      </c>
      <c r="H433" s="30" t="s">
        <v>70</v>
      </c>
      <c r="I433" s="29" t="s">
        <v>257</v>
      </c>
      <c r="J433" s="29" t="s">
        <v>68</v>
      </c>
      <c r="K433" s="30" t="s">
        <v>68</v>
      </c>
      <c r="L433" s="29" t="str">
        <f t="shared" si="6"/>
        <v>KAMPALA-MBARARA</v>
      </c>
      <c r="M433" s="31">
        <v>67</v>
      </c>
      <c r="N433" s="72">
        <v>20000</v>
      </c>
      <c r="O433" s="34">
        <v>4.9000000000000004</v>
      </c>
    </row>
    <row r="434" spans="2:15" x14ac:dyDescent="0.2">
      <c r="B434" s="27">
        <v>0.81666666666666676</v>
      </c>
      <c r="C434" s="28">
        <v>6</v>
      </c>
      <c r="D434" s="33" t="str">
        <f>IF(C434="", "",VLOOKUP(C434,Key!$A$5:$B$7,2,FALSE))</f>
        <v>Large Bus</v>
      </c>
      <c r="E434" s="29" t="s">
        <v>90</v>
      </c>
      <c r="F434" s="29" t="s">
        <v>67</v>
      </c>
      <c r="G434" s="29" t="s">
        <v>70</v>
      </c>
      <c r="H434" s="30" t="s">
        <v>70</v>
      </c>
      <c r="I434" s="29" t="s">
        <v>257</v>
      </c>
      <c r="J434" s="29" t="s">
        <v>68</v>
      </c>
      <c r="K434" s="30" t="s">
        <v>68</v>
      </c>
      <c r="L434" s="29" t="str">
        <f t="shared" si="6"/>
        <v>KAMPALA-MBARARA</v>
      </c>
      <c r="M434" s="31">
        <v>65</v>
      </c>
      <c r="N434" s="72">
        <v>20000</v>
      </c>
      <c r="O434" s="34">
        <v>4.9000000000000004</v>
      </c>
    </row>
    <row r="435" spans="2:15" x14ac:dyDescent="0.2">
      <c r="B435" s="27">
        <v>0.84305555555555556</v>
      </c>
      <c r="C435" s="28">
        <v>6</v>
      </c>
      <c r="D435" s="33" t="str">
        <f>IF(C435="", "",VLOOKUP(C435,Key!$A$5:$B$7,2,FALSE))</f>
        <v>Large Bus</v>
      </c>
      <c r="E435" s="29" t="s">
        <v>90</v>
      </c>
      <c r="F435" s="29" t="s">
        <v>67</v>
      </c>
      <c r="G435" s="29" t="s">
        <v>70</v>
      </c>
      <c r="H435" s="30" t="s">
        <v>70</v>
      </c>
      <c r="I435" s="29" t="s">
        <v>257</v>
      </c>
      <c r="J435" s="29" t="s">
        <v>68</v>
      </c>
      <c r="K435" s="30" t="s">
        <v>68</v>
      </c>
      <c r="L435" s="29" t="str">
        <f t="shared" si="6"/>
        <v>KAMPALA-MBARARA</v>
      </c>
      <c r="M435" s="31">
        <v>63</v>
      </c>
      <c r="N435" s="72">
        <v>20000</v>
      </c>
      <c r="O435" s="34">
        <v>4.9000000000000004</v>
      </c>
    </row>
    <row r="436" spans="2:15" x14ac:dyDescent="0.2">
      <c r="B436" s="27">
        <v>0.90625</v>
      </c>
      <c r="C436" s="28">
        <v>6</v>
      </c>
      <c r="D436" s="33" t="str">
        <f>IF(C436="", "",VLOOKUP(C436,Key!$A$5:$B$7,2,FALSE))</f>
        <v>Large Bus</v>
      </c>
      <c r="E436" s="29" t="s">
        <v>90</v>
      </c>
      <c r="F436" s="29" t="s">
        <v>67</v>
      </c>
      <c r="G436" s="29" t="s">
        <v>70</v>
      </c>
      <c r="H436" s="30" t="s">
        <v>70</v>
      </c>
      <c r="I436" s="29" t="s">
        <v>257</v>
      </c>
      <c r="J436" s="29" t="s">
        <v>68</v>
      </c>
      <c r="K436" s="30" t="s">
        <v>68</v>
      </c>
      <c r="L436" s="29" t="str">
        <f t="shared" si="6"/>
        <v>KAMPALA-MBARARA</v>
      </c>
      <c r="M436" s="31">
        <v>65</v>
      </c>
      <c r="N436" s="72">
        <v>20000</v>
      </c>
      <c r="O436" s="34">
        <v>4.9000000000000004</v>
      </c>
    </row>
    <row r="437" spans="2:15" x14ac:dyDescent="0.2">
      <c r="B437" s="27">
        <v>0.94791666666666663</v>
      </c>
      <c r="C437" s="28">
        <v>6</v>
      </c>
      <c r="D437" s="33" t="str">
        <f>IF(C437="", "",VLOOKUP(C437,Key!$A$5:$B$7,2,FALSE))</f>
        <v>Large Bus</v>
      </c>
      <c r="E437" s="29" t="s">
        <v>90</v>
      </c>
      <c r="F437" s="29" t="s">
        <v>67</v>
      </c>
      <c r="G437" s="29" t="s">
        <v>70</v>
      </c>
      <c r="H437" s="30" t="s">
        <v>70</v>
      </c>
      <c r="I437" s="29" t="s">
        <v>257</v>
      </c>
      <c r="J437" s="29" t="s">
        <v>68</v>
      </c>
      <c r="K437" s="30" t="s">
        <v>68</v>
      </c>
      <c r="L437" s="29" t="str">
        <f t="shared" si="6"/>
        <v>KAMPALA-MBARARA</v>
      </c>
      <c r="M437" s="31">
        <v>65</v>
      </c>
      <c r="N437" s="72">
        <v>20000</v>
      </c>
      <c r="O437" s="34">
        <v>4.9000000000000004</v>
      </c>
    </row>
    <row r="438" spans="2:15" x14ac:dyDescent="0.2">
      <c r="B438" s="27">
        <v>0.98333333333333339</v>
      </c>
      <c r="C438" s="28">
        <v>6</v>
      </c>
      <c r="D438" s="33" t="str">
        <f>IF(C438="", "",VLOOKUP(C438,Key!$A$5:$B$7,2,FALSE))</f>
        <v>Large Bus</v>
      </c>
      <c r="E438" s="29" t="s">
        <v>90</v>
      </c>
      <c r="F438" s="29" t="s">
        <v>67</v>
      </c>
      <c r="G438" s="29" t="s">
        <v>70</v>
      </c>
      <c r="H438" s="30" t="s">
        <v>70</v>
      </c>
      <c r="I438" s="29" t="s">
        <v>257</v>
      </c>
      <c r="J438" s="29" t="s">
        <v>68</v>
      </c>
      <c r="K438" s="30" t="s">
        <v>68</v>
      </c>
      <c r="L438" s="29" t="str">
        <f t="shared" si="6"/>
        <v>KAMPALA-MBARARA</v>
      </c>
      <c r="M438" s="31">
        <v>67</v>
      </c>
      <c r="N438" s="72">
        <v>20000</v>
      </c>
      <c r="O438" s="34">
        <v>4.9000000000000004</v>
      </c>
    </row>
    <row r="439" spans="2:15" x14ac:dyDescent="0.2">
      <c r="B439" s="27">
        <v>3.4027777777777775E-2</v>
      </c>
      <c r="C439" s="28">
        <v>6</v>
      </c>
      <c r="D439" s="33" t="str">
        <f>IF(C439="", "",VLOOKUP(C439,Key!$A$5:$B$7,2,FALSE))</f>
        <v>Large Bus</v>
      </c>
      <c r="E439" s="29" t="s">
        <v>90</v>
      </c>
      <c r="F439" s="29" t="s">
        <v>67</v>
      </c>
      <c r="G439" s="29" t="s">
        <v>70</v>
      </c>
      <c r="H439" s="30" t="s">
        <v>70</v>
      </c>
      <c r="I439" s="29" t="s">
        <v>257</v>
      </c>
      <c r="J439" s="29" t="s">
        <v>68</v>
      </c>
      <c r="K439" s="30" t="s">
        <v>68</v>
      </c>
      <c r="L439" s="29" t="str">
        <f t="shared" si="6"/>
        <v>KAMPALA-MBARARA</v>
      </c>
      <c r="M439" s="31">
        <v>65</v>
      </c>
      <c r="N439" s="72">
        <v>20000</v>
      </c>
      <c r="O439" s="34">
        <v>4.9000000000000004</v>
      </c>
    </row>
    <row r="440" spans="2:15" x14ac:dyDescent="0.2">
      <c r="B440" s="27">
        <v>9.0277777777777776E-2</v>
      </c>
      <c r="C440" s="28">
        <v>6</v>
      </c>
      <c r="D440" s="33" t="str">
        <f>IF(C440="", "",VLOOKUP(C440,Key!$A$5:$B$7,2,FALSE))</f>
        <v>Large Bus</v>
      </c>
      <c r="E440" s="29" t="s">
        <v>90</v>
      </c>
      <c r="F440" s="29" t="s">
        <v>67</v>
      </c>
      <c r="G440" s="29" t="s">
        <v>70</v>
      </c>
      <c r="H440" s="30" t="s">
        <v>70</v>
      </c>
      <c r="I440" s="29" t="s">
        <v>257</v>
      </c>
      <c r="J440" s="29" t="s">
        <v>68</v>
      </c>
      <c r="K440" s="30" t="s">
        <v>68</v>
      </c>
      <c r="L440" s="29" t="str">
        <f t="shared" si="6"/>
        <v>KAMPALA-MBARARA</v>
      </c>
      <c r="M440" s="31">
        <v>65</v>
      </c>
      <c r="N440" s="72">
        <v>20000</v>
      </c>
      <c r="O440" s="34">
        <v>4.9000000000000004</v>
      </c>
    </row>
    <row r="441" spans="2:15" x14ac:dyDescent="0.2">
      <c r="B441" s="27">
        <v>0.15486111111111112</v>
      </c>
      <c r="C441" s="28">
        <v>6</v>
      </c>
      <c r="D441" s="33" t="str">
        <f>IF(C441="", "",VLOOKUP(C441,Key!$A$5:$B$7,2,FALSE))</f>
        <v>Large Bus</v>
      </c>
      <c r="E441" s="29" t="s">
        <v>90</v>
      </c>
      <c r="F441" s="29" t="s">
        <v>67</v>
      </c>
      <c r="G441" s="29" t="s">
        <v>70</v>
      </c>
      <c r="H441" s="30" t="s">
        <v>70</v>
      </c>
      <c r="I441" s="29" t="s">
        <v>257</v>
      </c>
      <c r="J441" s="29" t="s">
        <v>68</v>
      </c>
      <c r="K441" s="30" t="s">
        <v>68</v>
      </c>
      <c r="L441" s="29" t="str">
        <f t="shared" si="6"/>
        <v>KAMPALA-MBARARA</v>
      </c>
      <c r="M441" s="31">
        <v>67</v>
      </c>
      <c r="N441" s="72">
        <v>20000</v>
      </c>
      <c r="O441" s="34">
        <v>4.9000000000000004</v>
      </c>
    </row>
    <row r="442" spans="2:15" x14ac:dyDescent="0.2">
      <c r="B442" s="27">
        <v>0.18472222222222223</v>
      </c>
      <c r="C442" s="28">
        <v>6</v>
      </c>
      <c r="D442" s="33" t="str">
        <f>IF(C442="", "",VLOOKUP(C442,Key!$A$5:$B$7,2,FALSE))</f>
        <v>Large Bus</v>
      </c>
      <c r="E442" s="29" t="s">
        <v>90</v>
      </c>
      <c r="F442" s="29" t="s">
        <v>67</v>
      </c>
      <c r="G442" s="29" t="s">
        <v>70</v>
      </c>
      <c r="H442" s="30" t="s">
        <v>70</v>
      </c>
      <c r="I442" s="29" t="s">
        <v>257</v>
      </c>
      <c r="J442" s="29" t="s">
        <v>68</v>
      </c>
      <c r="K442" s="30" t="s">
        <v>68</v>
      </c>
      <c r="L442" s="29" t="str">
        <f t="shared" si="6"/>
        <v>KAMPALA-MBARARA</v>
      </c>
      <c r="M442" s="31">
        <v>65</v>
      </c>
      <c r="N442" s="72">
        <v>20000</v>
      </c>
      <c r="O442" s="34">
        <v>4.9000000000000004</v>
      </c>
    </row>
    <row r="443" spans="2:15" x14ac:dyDescent="0.2">
      <c r="B443" s="27">
        <v>0.22916666666666666</v>
      </c>
      <c r="C443" s="28">
        <v>6</v>
      </c>
      <c r="D443" s="33" t="str">
        <f>IF(C443="", "",VLOOKUP(C443,Key!$A$5:$B$7,2,FALSE))</f>
        <v>Large Bus</v>
      </c>
      <c r="E443" s="29" t="s">
        <v>90</v>
      </c>
      <c r="F443" s="29" t="s">
        <v>67</v>
      </c>
      <c r="G443" s="29" t="s">
        <v>70</v>
      </c>
      <c r="H443" s="30" t="s">
        <v>70</v>
      </c>
      <c r="I443" s="29" t="s">
        <v>257</v>
      </c>
      <c r="J443" s="29" t="s">
        <v>68</v>
      </c>
      <c r="K443" s="30" t="s">
        <v>68</v>
      </c>
      <c r="L443" s="29" t="str">
        <f t="shared" si="6"/>
        <v>KAMPALA-MBARARA</v>
      </c>
      <c r="M443" s="31">
        <v>65</v>
      </c>
      <c r="N443" s="72">
        <v>20000</v>
      </c>
      <c r="O443" s="34">
        <v>4.9000000000000004</v>
      </c>
    </row>
    <row r="444" spans="2:15" x14ac:dyDescent="0.2">
      <c r="B444" s="27">
        <v>0.25972222222222224</v>
      </c>
      <c r="C444" s="28">
        <v>6</v>
      </c>
      <c r="D444" s="33" t="str">
        <f>IF(C444="", "",VLOOKUP(C444,Key!$A$5:$B$7,2,FALSE))</f>
        <v>Large Bus</v>
      </c>
      <c r="E444" s="29" t="s">
        <v>90</v>
      </c>
      <c r="F444" s="29" t="s">
        <v>67</v>
      </c>
      <c r="G444" s="29" t="s">
        <v>70</v>
      </c>
      <c r="H444" s="30" t="s">
        <v>70</v>
      </c>
      <c r="I444" s="29" t="s">
        <v>257</v>
      </c>
      <c r="J444" s="29" t="s">
        <v>68</v>
      </c>
      <c r="K444" s="30" t="s">
        <v>68</v>
      </c>
      <c r="L444" s="29" t="str">
        <f t="shared" si="6"/>
        <v>KAMPALA-MBARARA</v>
      </c>
      <c r="M444" s="31">
        <v>67</v>
      </c>
      <c r="N444" s="72">
        <v>20000</v>
      </c>
      <c r="O444" s="34">
        <v>4.9000000000000004</v>
      </c>
    </row>
    <row r="445" spans="2:15" x14ac:dyDescent="0.2">
      <c r="B445" s="27">
        <v>0.27291666666666664</v>
      </c>
      <c r="C445" s="28">
        <v>6</v>
      </c>
      <c r="D445" s="33" t="str">
        <f>IF(C445="", "",VLOOKUP(C445,Key!$A$5:$B$7,2,FALSE))</f>
        <v>Large Bus</v>
      </c>
      <c r="E445" s="29" t="s">
        <v>90</v>
      </c>
      <c r="F445" s="29" t="s">
        <v>67</v>
      </c>
      <c r="G445" s="29" t="s">
        <v>70</v>
      </c>
      <c r="H445" s="30" t="s">
        <v>70</v>
      </c>
      <c r="I445" s="29" t="s">
        <v>257</v>
      </c>
      <c r="J445" s="29" t="s">
        <v>68</v>
      </c>
      <c r="K445" s="30" t="s">
        <v>68</v>
      </c>
      <c r="L445" s="29" t="str">
        <f t="shared" si="6"/>
        <v>KAMPALA-MBARARA</v>
      </c>
      <c r="M445" s="31">
        <v>65</v>
      </c>
      <c r="N445" s="72">
        <v>20000</v>
      </c>
      <c r="O445" s="34">
        <v>4.9000000000000004</v>
      </c>
    </row>
    <row r="446" spans="2:15" x14ac:dyDescent="0.2">
      <c r="B446" s="27">
        <v>0.34097222222222223</v>
      </c>
      <c r="C446" s="28">
        <v>6</v>
      </c>
      <c r="D446" s="33" t="str">
        <f>IF(C446="", "",VLOOKUP(C446,Key!$A$5:$B$7,2,FALSE))</f>
        <v>Large Bus</v>
      </c>
      <c r="E446" s="29" t="s">
        <v>90</v>
      </c>
      <c r="F446" s="29" t="s">
        <v>66</v>
      </c>
      <c r="G446" s="29" t="s">
        <v>68</v>
      </c>
      <c r="H446" s="30" t="s">
        <v>68</v>
      </c>
      <c r="I446" s="29" t="s">
        <v>257</v>
      </c>
      <c r="J446" s="29" t="s">
        <v>70</v>
      </c>
      <c r="K446" s="30" t="s">
        <v>70</v>
      </c>
      <c r="L446" s="29" t="str">
        <f t="shared" si="6"/>
        <v>MBARARA-KAMPALA</v>
      </c>
      <c r="M446" s="31">
        <v>63</v>
      </c>
      <c r="N446" s="72">
        <v>20000</v>
      </c>
      <c r="O446" s="34">
        <v>4.9000000000000004</v>
      </c>
    </row>
    <row r="447" spans="2:15" x14ac:dyDescent="0.2">
      <c r="B447" s="27">
        <v>0.35833333333333334</v>
      </c>
      <c r="C447" s="28">
        <v>6</v>
      </c>
      <c r="D447" s="33" t="str">
        <f>IF(C447="", "",VLOOKUP(C447,Key!$A$5:$B$7,2,FALSE))</f>
        <v>Large Bus</v>
      </c>
      <c r="E447" s="29" t="s">
        <v>90</v>
      </c>
      <c r="F447" s="29" t="s">
        <v>66</v>
      </c>
      <c r="G447" s="29" t="s">
        <v>68</v>
      </c>
      <c r="H447" s="30" t="s">
        <v>68</v>
      </c>
      <c r="I447" s="29" t="s">
        <v>257</v>
      </c>
      <c r="J447" s="29" t="s">
        <v>70</v>
      </c>
      <c r="K447" s="30" t="s">
        <v>70</v>
      </c>
      <c r="L447" s="29" t="str">
        <f t="shared" si="6"/>
        <v>MBARARA-KAMPALA</v>
      </c>
      <c r="M447" s="31">
        <v>67</v>
      </c>
      <c r="N447" s="72">
        <v>20000</v>
      </c>
      <c r="O447" s="34">
        <v>4.9000000000000004</v>
      </c>
    </row>
    <row r="448" spans="2:15" x14ac:dyDescent="0.2">
      <c r="B448" s="27">
        <v>0.24513888888888888</v>
      </c>
      <c r="C448" s="28">
        <v>6</v>
      </c>
      <c r="D448" s="33" t="str">
        <f>IF(C448="", "",VLOOKUP(C448,Key!$A$5:$B$7,2,FALSE))</f>
        <v>Large Bus</v>
      </c>
      <c r="E448" s="29" t="s">
        <v>90</v>
      </c>
      <c r="F448" s="29" t="s">
        <v>66</v>
      </c>
      <c r="G448" s="29" t="s">
        <v>68</v>
      </c>
      <c r="H448" s="30" t="s">
        <v>68</v>
      </c>
      <c r="I448" s="29" t="s">
        <v>257</v>
      </c>
      <c r="J448" s="29" t="s">
        <v>70</v>
      </c>
      <c r="K448" s="30" t="s">
        <v>70</v>
      </c>
      <c r="L448" s="29" t="str">
        <f t="shared" si="6"/>
        <v>MBARARA-KAMPALA</v>
      </c>
      <c r="M448" s="31">
        <v>65</v>
      </c>
      <c r="N448" s="72">
        <v>20000</v>
      </c>
      <c r="O448" s="34">
        <v>4.9000000000000004</v>
      </c>
    </row>
    <row r="449" spans="2:15" x14ac:dyDescent="0.2">
      <c r="B449" s="27">
        <v>0.39930555555555558</v>
      </c>
      <c r="C449" s="28">
        <v>6</v>
      </c>
      <c r="D449" s="33" t="str">
        <f>IF(C449="", "",VLOOKUP(C449,Key!$A$5:$B$7,2,FALSE))</f>
        <v>Large Bus</v>
      </c>
      <c r="E449" s="29" t="s">
        <v>90</v>
      </c>
      <c r="F449" s="29" t="s">
        <v>66</v>
      </c>
      <c r="G449" s="29" t="s">
        <v>68</v>
      </c>
      <c r="H449" s="30" t="s">
        <v>68</v>
      </c>
      <c r="I449" s="29" t="s">
        <v>257</v>
      </c>
      <c r="J449" s="29" t="s">
        <v>70</v>
      </c>
      <c r="K449" s="30" t="s">
        <v>70</v>
      </c>
      <c r="L449" s="29" t="str">
        <f t="shared" si="6"/>
        <v>MBARARA-KAMPALA</v>
      </c>
      <c r="M449" s="31">
        <v>65</v>
      </c>
      <c r="N449" s="72">
        <v>20000</v>
      </c>
      <c r="O449" s="34">
        <v>4.9000000000000004</v>
      </c>
    </row>
    <row r="450" spans="2:15" x14ac:dyDescent="0.2">
      <c r="B450" s="27">
        <v>0.40625</v>
      </c>
      <c r="C450" s="28">
        <v>6</v>
      </c>
      <c r="D450" s="33" t="str">
        <f>IF(C450="", "",VLOOKUP(C450,Key!$A$5:$B$7,2,FALSE))</f>
        <v>Large Bus</v>
      </c>
      <c r="E450" s="29" t="s">
        <v>90</v>
      </c>
      <c r="F450" s="29" t="s">
        <v>66</v>
      </c>
      <c r="G450" s="29" t="s">
        <v>68</v>
      </c>
      <c r="H450" s="30" t="s">
        <v>68</v>
      </c>
      <c r="I450" s="29" t="s">
        <v>257</v>
      </c>
      <c r="J450" s="29" t="s">
        <v>70</v>
      </c>
      <c r="K450" s="30" t="s">
        <v>70</v>
      </c>
      <c r="L450" s="29" t="str">
        <f t="shared" si="6"/>
        <v>MBARARA-KAMPALA</v>
      </c>
      <c r="M450" s="31">
        <v>65</v>
      </c>
      <c r="N450" s="72">
        <v>20000</v>
      </c>
      <c r="O450" s="34">
        <v>4.9000000000000004</v>
      </c>
    </row>
    <row r="451" spans="2:15" x14ac:dyDescent="0.2">
      <c r="B451" s="27">
        <v>0.37361111111111112</v>
      </c>
      <c r="C451" s="28">
        <v>6</v>
      </c>
      <c r="D451" s="33" t="str">
        <f>IF(C451="", "",VLOOKUP(C451,Key!$A$5:$B$7,2,FALSE))</f>
        <v>Large Bus</v>
      </c>
      <c r="E451" s="29" t="s">
        <v>90</v>
      </c>
      <c r="F451" s="29" t="s">
        <v>66</v>
      </c>
      <c r="G451" s="29" t="s">
        <v>68</v>
      </c>
      <c r="H451" s="30" t="s">
        <v>68</v>
      </c>
      <c r="I451" s="29" t="s">
        <v>257</v>
      </c>
      <c r="J451" s="29" t="s">
        <v>70</v>
      </c>
      <c r="K451" s="30" t="s">
        <v>70</v>
      </c>
      <c r="L451" s="29" t="str">
        <f t="shared" si="6"/>
        <v>MBARARA-KAMPALA</v>
      </c>
      <c r="M451" s="31">
        <v>67</v>
      </c>
      <c r="N451" s="72">
        <v>20000</v>
      </c>
      <c r="O451" s="34">
        <v>4.9000000000000004</v>
      </c>
    </row>
    <row r="452" spans="2:15" x14ac:dyDescent="0.2">
      <c r="B452" s="27">
        <v>0.42638888888888887</v>
      </c>
      <c r="C452" s="28">
        <v>6</v>
      </c>
      <c r="D452" s="33" t="str">
        <f>IF(C452="", "",VLOOKUP(C452,Key!$A$5:$B$7,2,FALSE))</f>
        <v>Large Bus</v>
      </c>
      <c r="E452" s="29" t="s">
        <v>90</v>
      </c>
      <c r="F452" s="29" t="s">
        <v>66</v>
      </c>
      <c r="G452" s="29" t="s">
        <v>68</v>
      </c>
      <c r="H452" s="30" t="s">
        <v>68</v>
      </c>
      <c r="I452" s="29" t="s">
        <v>257</v>
      </c>
      <c r="J452" s="29" t="s">
        <v>70</v>
      </c>
      <c r="K452" s="30" t="s">
        <v>70</v>
      </c>
      <c r="L452" s="29" t="str">
        <f t="shared" si="6"/>
        <v>MBARARA-KAMPALA</v>
      </c>
      <c r="M452" s="31">
        <v>67</v>
      </c>
      <c r="N452" s="72">
        <v>20000</v>
      </c>
      <c r="O452" s="34">
        <v>4.9000000000000004</v>
      </c>
    </row>
    <row r="453" spans="2:15" x14ac:dyDescent="0.2">
      <c r="B453" s="27">
        <v>0.44444444444444442</v>
      </c>
      <c r="C453" s="28">
        <v>6</v>
      </c>
      <c r="D453" s="33" t="str">
        <f>IF(C453="", "",VLOOKUP(C453,Key!$A$5:$B$7,2,FALSE))</f>
        <v>Large Bus</v>
      </c>
      <c r="E453" s="29" t="s">
        <v>90</v>
      </c>
      <c r="F453" s="29" t="s">
        <v>66</v>
      </c>
      <c r="G453" s="29" t="s">
        <v>68</v>
      </c>
      <c r="H453" s="30" t="s">
        <v>68</v>
      </c>
      <c r="I453" s="29" t="s">
        <v>257</v>
      </c>
      <c r="J453" s="29" t="s">
        <v>70</v>
      </c>
      <c r="K453" s="30" t="s">
        <v>70</v>
      </c>
      <c r="L453" s="29" t="str">
        <f t="shared" si="6"/>
        <v>MBARARA-KAMPALA</v>
      </c>
      <c r="M453" s="31">
        <v>65</v>
      </c>
      <c r="N453" s="72">
        <v>20000</v>
      </c>
      <c r="O453" s="34">
        <v>4.9000000000000004</v>
      </c>
    </row>
    <row r="454" spans="2:15" x14ac:dyDescent="0.2">
      <c r="B454" s="27">
        <v>0.42152777777777778</v>
      </c>
      <c r="C454" s="28">
        <v>6</v>
      </c>
      <c r="D454" s="33" t="str">
        <f>IF(C454="", "",VLOOKUP(C454,Key!$A$5:$B$7,2,FALSE))</f>
        <v>Large Bus</v>
      </c>
      <c r="E454" s="29" t="s">
        <v>90</v>
      </c>
      <c r="F454" s="29" t="s">
        <v>66</v>
      </c>
      <c r="G454" s="29" t="s">
        <v>68</v>
      </c>
      <c r="H454" s="30" t="s">
        <v>68</v>
      </c>
      <c r="I454" s="29" t="s">
        <v>257</v>
      </c>
      <c r="J454" s="29" t="s">
        <v>70</v>
      </c>
      <c r="K454" s="30" t="s">
        <v>70</v>
      </c>
      <c r="L454" s="29" t="str">
        <f t="shared" si="6"/>
        <v>MBARARA-KAMPALA</v>
      </c>
      <c r="M454" s="31">
        <v>67</v>
      </c>
      <c r="N454" s="72">
        <v>20000</v>
      </c>
      <c r="O454" s="34">
        <v>4.9000000000000004</v>
      </c>
    </row>
    <row r="455" spans="2:15" x14ac:dyDescent="0.2">
      <c r="B455" s="27">
        <v>0.42708333333333331</v>
      </c>
      <c r="C455" s="28">
        <v>6</v>
      </c>
      <c r="D455" s="33" t="str">
        <f>IF(C455="", "",VLOOKUP(C455,Key!$A$5:$B$7,2,FALSE))</f>
        <v>Large Bus</v>
      </c>
      <c r="E455" s="29" t="s">
        <v>90</v>
      </c>
      <c r="F455" s="29" t="s">
        <v>66</v>
      </c>
      <c r="G455" s="29" t="s">
        <v>68</v>
      </c>
      <c r="H455" s="30" t="s">
        <v>68</v>
      </c>
      <c r="I455" s="29" t="s">
        <v>257</v>
      </c>
      <c r="J455" s="29" t="s">
        <v>70</v>
      </c>
      <c r="K455" s="30" t="s">
        <v>70</v>
      </c>
      <c r="L455" s="29" t="str">
        <f t="shared" si="6"/>
        <v>MBARARA-KAMPALA</v>
      </c>
      <c r="M455" s="31">
        <v>67</v>
      </c>
      <c r="N455" s="72">
        <v>20000</v>
      </c>
      <c r="O455" s="34">
        <v>4.9000000000000004</v>
      </c>
    </row>
    <row r="456" spans="2:15" x14ac:dyDescent="0.2">
      <c r="B456" s="27">
        <v>0.46527777777777773</v>
      </c>
      <c r="C456" s="28">
        <v>6</v>
      </c>
      <c r="D456" s="33" t="str">
        <f>IF(C456="", "",VLOOKUP(C456,Key!$A$5:$B$7,2,FALSE))</f>
        <v>Large Bus</v>
      </c>
      <c r="E456" s="29" t="s">
        <v>90</v>
      </c>
      <c r="F456" s="29" t="s">
        <v>66</v>
      </c>
      <c r="G456" s="29" t="s">
        <v>68</v>
      </c>
      <c r="H456" s="30" t="s">
        <v>68</v>
      </c>
      <c r="I456" s="29" t="s">
        <v>257</v>
      </c>
      <c r="J456" s="29" t="s">
        <v>70</v>
      </c>
      <c r="K456" s="30" t="s">
        <v>70</v>
      </c>
      <c r="L456" s="29" t="str">
        <f t="shared" si="6"/>
        <v>MBARARA-KAMPALA</v>
      </c>
      <c r="M456" s="31">
        <v>67</v>
      </c>
      <c r="N456" s="72">
        <v>20000</v>
      </c>
      <c r="O456" s="34">
        <v>4.9000000000000004</v>
      </c>
    </row>
    <row r="457" spans="2:15" x14ac:dyDescent="0.2">
      <c r="B457" s="27">
        <v>0.48402777777777778</v>
      </c>
      <c r="C457" s="28">
        <v>6</v>
      </c>
      <c r="D457" s="33" t="str">
        <f>IF(C457="", "",VLOOKUP(C457,Key!$A$5:$B$7,2,FALSE))</f>
        <v>Large Bus</v>
      </c>
      <c r="E457" s="29" t="s">
        <v>90</v>
      </c>
      <c r="F457" s="29" t="s">
        <v>66</v>
      </c>
      <c r="G457" s="29" t="s">
        <v>68</v>
      </c>
      <c r="H457" s="30" t="s">
        <v>68</v>
      </c>
      <c r="I457" s="29" t="s">
        <v>257</v>
      </c>
      <c r="J457" s="29" t="s">
        <v>70</v>
      </c>
      <c r="K457" s="30" t="s">
        <v>70</v>
      </c>
      <c r="L457" s="29" t="str">
        <f t="shared" si="6"/>
        <v>MBARARA-KAMPALA</v>
      </c>
      <c r="M457" s="31">
        <v>70</v>
      </c>
      <c r="N457" s="72">
        <v>20000</v>
      </c>
      <c r="O457" s="34">
        <v>4.9000000000000004</v>
      </c>
    </row>
    <row r="458" spans="2:15" x14ac:dyDescent="0.2">
      <c r="B458" s="27">
        <v>0.50347222222222221</v>
      </c>
      <c r="C458" s="28">
        <v>6</v>
      </c>
      <c r="D458" s="33" t="str">
        <f>IF(C458="", "",VLOOKUP(C458,Key!$A$5:$B$7,2,FALSE))</f>
        <v>Large Bus</v>
      </c>
      <c r="E458" s="29" t="s">
        <v>90</v>
      </c>
      <c r="F458" s="29" t="s">
        <v>66</v>
      </c>
      <c r="G458" s="29" t="s">
        <v>68</v>
      </c>
      <c r="H458" s="30" t="s">
        <v>68</v>
      </c>
      <c r="I458" s="29" t="s">
        <v>257</v>
      </c>
      <c r="J458" s="29" t="s">
        <v>70</v>
      </c>
      <c r="K458" s="30" t="s">
        <v>70</v>
      </c>
      <c r="L458" s="29" t="str">
        <f t="shared" ref="L458:L521" si="7">H458&amp;"-"&amp;K458</f>
        <v>MBARARA-KAMPALA</v>
      </c>
      <c r="M458" s="31">
        <v>67</v>
      </c>
      <c r="N458" s="72">
        <v>20000</v>
      </c>
      <c r="O458" s="34">
        <v>4.9000000000000004</v>
      </c>
    </row>
    <row r="459" spans="2:15" x14ac:dyDescent="0.2">
      <c r="B459" s="27">
        <v>0.52083333333333337</v>
      </c>
      <c r="C459" s="28">
        <v>6</v>
      </c>
      <c r="D459" s="33" t="str">
        <f>IF(C459="", "",VLOOKUP(C459,Key!$A$5:$B$7,2,FALSE))</f>
        <v>Large Bus</v>
      </c>
      <c r="E459" s="29" t="s">
        <v>90</v>
      </c>
      <c r="F459" s="29" t="s">
        <v>66</v>
      </c>
      <c r="G459" s="29" t="s">
        <v>68</v>
      </c>
      <c r="H459" s="30" t="s">
        <v>68</v>
      </c>
      <c r="I459" s="29" t="s">
        <v>257</v>
      </c>
      <c r="J459" s="29" t="s">
        <v>70</v>
      </c>
      <c r="K459" s="30" t="s">
        <v>70</v>
      </c>
      <c r="L459" s="29" t="str">
        <f t="shared" si="7"/>
        <v>MBARARA-KAMPALA</v>
      </c>
      <c r="M459" s="31">
        <v>65</v>
      </c>
      <c r="N459" s="72">
        <v>20000</v>
      </c>
      <c r="O459" s="34">
        <v>4.9000000000000004</v>
      </c>
    </row>
    <row r="460" spans="2:15" x14ac:dyDescent="0.2">
      <c r="B460" s="27">
        <v>0.5395833333333333</v>
      </c>
      <c r="C460" s="28">
        <v>6</v>
      </c>
      <c r="D460" s="33" t="str">
        <f>IF(C460="", "",VLOOKUP(C460,Key!$A$5:$B$7,2,FALSE))</f>
        <v>Large Bus</v>
      </c>
      <c r="E460" s="29" t="s">
        <v>90</v>
      </c>
      <c r="F460" s="29" t="s">
        <v>66</v>
      </c>
      <c r="G460" s="29" t="s">
        <v>68</v>
      </c>
      <c r="H460" s="30" t="s">
        <v>68</v>
      </c>
      <c r="I460" s="29" t="s">
        <v>257</v>
      </c>
      <c r="J460" s="29" t="s">
        <v>70</v>
      </c>
      <c r="K460" s="30" t="s">
        <v>70</v>
      </c>
      <c r="L460" s="29" t="str">
        <f t="shared" si="7"/>
        <v>MBARARA-KAMPALA</v>
      </c>
      <c r="M460" s="31">
        <v>65</v>
      </c>
      <c r="N460" s="72">
        <v>20000</v>
      </c>
      <c r="O460" s="34">
        <v>4.9000000000000004</v>
      </c>
    </row>
    <row r="461" spans="2:15" x14ac:dyDescent="0.2">
      <c r="B461" s="27">
        <v>5.1388888888888894E-2</v>
      </c>
      <c r="C461" s="28">
        <v>6</v>
      </c>
      <c r="D461" s="33" t="str">
        <f>IF(C461="", "",VLOOKUP(C461,Key!$A$5:$B$7,2,FALSE))</f>
        <v>Large Bus</v>
      </c>
      <c r="E461" s="29" t="s">
        <v>90</v>
      </c>
      <c r="F461" s="29" t="s">
        <v>66</v>
      </c>
      <c r="G461" s="29" t="s">
        <v>68</v>
      </c>
      <c r="H461" s="30" t="s">
        <v>68</v>
      </c>
      <c r="I461" s="29" t="s">
        <v>257</v>
      </c>
      <c r="J461" s="29" t="s">
        <v>70</v>
      </c>
      <c r="K461" s="30" t="s">
        <v>70</v>
      </c>
      <c r="L461" s="29" t="str">
        <f t="shared" si="7"/>
        <v>MBARARA-KAMPALA</v>
      </c>
      <c r="M461" s="31">
        <v>65</v>
      </c>
      <c r="N461" s="72">
        <v>20000</v>
      </c>
      <c r="O461" s="34">
        <v>4.9000000000000004</v>
      </c>
    </row>
    <row r="462" spans="2:15" x14ac:dyDescent="0.2">
      <c r="B462" s="27">
        <v>5.347222222222222E-2</v>
      </c>
      <c r="C462" s="28">
        <v>6</v>
      </c>
      <c r="D462" s="33" t="str">
        <f>IF(C462="", "",VLOOKUP(C462,Key!$A$5:$B$7,2,FALSE))</f>
        <v>Large Bus</v>
      </c>
      <c r="E462" s="29" t="s">
        <v>90</v>
      </c>
      <c r="F462" s="29" t="s">
        <v>66</v>
      </c>
      <c r="G462" s="29" t="s">
        <v>68</v>
      </c>
      <c r="H462" s="30" t="s">
        <v>68</v>
      </c>
      <c r="I462" s="29" t="s">
        <v>257</v>
      </c>
      <c r="J462" s="29" t="s">
        <v>70</v>
      </c>
      <c r="K462" s="30" t="s">
        <v>70</v>
      </c>
      <c r="L462" s="29" t="str">
        <f t="shared" si="7"/>
        <v>MBARARA-KAMPALA</v>
      </c>
      <c r="M462" s="31">
        <v>67</v>
      </c>
      <c r="N462" s="72">
        <v>20000</v>
      </c>
      <c r="O462" s="34">
        <v>4.9000000000000004</v>
      </c>
    </row>
    <row r="463" spans="2:15" x14ac:dyDescent="0.2">
      <c r="B463" s="27">
        <v>0.11319444444444444</v>
      </c>
      <c r="C463" s="28">
        <v>6</v>
      </c>
      <c r="D463" s="33" t="str">
        <f>IF(C463="", "",VLOOKUP(C463,Key!$A$5:$B$7,2,FALSE))</f>
        <v>Large Bus</v>
      </c>
      <c r="E463" s="29" t="s">
        <v>90</v>
      </c>
      <c r="F463" s="29" t="s">
        <v>66</v>
      </c>
      <c r="G463" s="29" t="s">
        <v>68</v>
      </c>
      <c r="H463" s="30" t="s">
        <v>68</v>
      </c>
      <c r="I463" s="29" t="s">
        <v>257</v>
      </c>
      <c r="J463" s="29" t="s">
        <v>70</v>
      </c>
      <c r="K463" s="30" t="s">
        <v>70</v>
      </c>
      <c r="L463" s="29" t="str">
        <f t="shared" si="7"/>
        <v>MBARARA-KAMPALA</v>
      </c>
      <c r="M463" s="31">
        <v>63</v>
      </c>
      <c r="N463" s="72">
        <v>20000</v>
      </c>
      <c r="O463" s="34">
        <v>4.9000000000000004</v>
      </c>
    </row>
    <row r="464" spans="2:15" x14ac:dyDescent="0.2">
      <c r="B464" s="27">
        <v>0.13194444444444445</v>
      </c>
      <c r="C464" s="28">
        <v>6</v>
      </c>
      <c r="D464" s="33" t="str">
        <f>IF(C464="", "",VLOOKUP(C464,Key!$A$5:$B$7,2,FALSE))</f>
        <v>Large Bus</v>
      </c>
      <c r="E464" s="29" t="s">
        <v>90</v>
      </c>
      <c r="F464" s="29" t="s">
        <v>66</v>
      </c>
      <c r="G464" s="29" t="s">
        <v>68</v>
      </c>
      <c r="H464" s="30" t="s">
        <v>68</v>
      </c>
      <c r="I464" s="29" t="s">
        <v>257</v>
      </c>
      <c r="J464" s="29" t="s">
        <v>70</v>
      </c>
      <c r="K464" s="30" t="s">
        <v>70</v>
      </c>
      <c r="L464" s="29" t="str">
        <f t="shared" si="7"/>
        <v>MBARARA-KAMPALA</v>
      </c>
      <c r="M464" s="31">
        <v>67</v>
      </c>
      <c r="N464" s="72">
        <v>20000</v>
      </c>
      <c r="O464" s="34">
        <v>4.9000000000000004</v>
      </c>
    </row>
    <row r="465" spans="2:15" x14ac:dyDescent="0.2">
      <c r="B465" s="27">
        <v>0.1875</v>
      </c>
      <c r="C465" s="28">
        <v>6</v>
      </c>
      <c r="D465" s="33" t="str">
        <f>IF(C465="", "",VLOOKUP(C465,Key!$A$5:$B$7,2,FALSE))</f>
        <v>Large Bus</v>
      </c>
      <c r="E465" s="29" t="s">
        <v>90</v>
      </c>
      <c r="F465" s="29" t="s">
        <v>66</v>
      </c>
      <c r="G465" s="29" t="s">
        <v>68</v>
      </c>
      <c r="H465" s="30" t="s">
        <v>68</v>
      </c>
      <c r="I465" s="29" t="s">
        <v>257</v>
      </c>
      <c r="J465" s="29" t="s">
        <v>70</v>
      </c>
      <c r="K465" s="30" t="s">
        <v>70</v>
      </c>
      <c r="L465" s="29" t="str">
        <f t="shared" si="7"/>
        <v>MBARARA-KAMPALA</v>
      </c>
      <c r="M465" s="31">
        <v>65</v>
      </c>
      <c r="N465" s="72">
        <v>20000</v>
      </c>
      <c r="O465" s="34">
        <v>4.9000000000000004</v>
      </c>
    </row>
    <row r="466" spans="2:15" x14ac:dyDescent="0.2">
      <c r="B466" s="27">
        <v>0.91875000000000007</v>
      </c>
      <c r="C466" s="28">
        <v>6</v>
      </c>
      <c r="D466" s="33" t="str">
        <f>IF(C466="", "",VLOOKUP(C466,Key!$A$5:$B$7,2,FALSE))</f>
        <v>Large Bus</v>
      </c>
      <c r="E466" s="29" t="s">
        <v>90</v>
      </c>
      <c r="F466" s="29" t="s">
        <v>66</v>
      </c>
      <c r="G466" s="29" t="s">
        <v>68</v>
      </c>
      <c r="H466" s="30" t="s">
        <v>68</v>
      </c>
      <c r="I466" s="29" t="s">
        <v>257</v>
      </c>
      <c r="J466" s="29" t="s">
        <v>70</v>
      </c>
      <c r="K466" s="30" t="s">
        <v>70</v>
      </c>
      <c r="L466" s="29" t="str">
        <f t="shared" si="7"/>
        <v>MBARARA-KAMPALA</v>
      </c>
      <c r="M466" s="31">
        <v>67</v>
      </c>
      <c r="N466" s="72">
        <v>20000</v>
      </c>
      <c r="O466" s="34">
        <v>4.9000000000000004</v>
      </c>
    </row>
    <row r="467" spans="2:15" x14ac:dyDescent="0.2">
      <c r="B467" s="45" t="s">
        <v>218</v>
      </c>
      <c r="C467" s="47"/>
      <c r="D467" s="33" t="str">
        <f>IF(C467="", "",VLOOKUP(C467,Key!$A$5:$B$7,2,FALSE))</f>
        <v/>
      </c>
      <c r="E467" s="42" t="s">
        <v>89</v>
      </c>
      <c r="F467" s="48"/>
      <c r="G467" s="47"/>
      <c r="H467" s="47"/>
      <c r="I467" s="47" t="s">
        <v>257</v>
      </c>
      <c r="J467" s="47"/>
      <c r="K467" s="47"/>
      <c r="L467" s="47" t="str">
        <f t="shared" si="7"/>
        <v>-</v>
      </c>
      <c r="M467" s="47"/>
      <c r="N467" s="48"/>
      <c r="O467" s="48"/>
    </row>
    <row r="468" spans="2:15" x14ac:dyDescent="0.2">
      <c r="B468" s="27">
        <v>0.91736111111111107</v>
      </c>
      <c r="C468" s="28">
        <v>6</v>
      </c>
      <c r="D468" s="33" t="str">
        <f>IF(C468="", "",VLOOKUP(C468,Key!$A$5:$B$7,2,FALSE))</f>
        <v>Large Bus</v>
      </c>
      <c r="E468" s="29" t="s">
        <v>89</v>
      </c>
      <c r="F468" s="29" t="s">
        <v>67</v>
      </c>
      <c r="G468" s="29" t="s">
        <v>70</v>
      </c>
      <c r="H468" s="30" t="s">
        <v>70</v>
      </c>
      <c r="I468" s="29" t="s">
        <v>257</v>
      </c>
      <c r="J468" s="29" t="s">
        <v>88</v>
      </c>
      <c r="K468" s="30" t="s">
        <v>86</v>
      </c>
      <c r="L468" s="29" t="str">
        <f t="shared" si="7"/>
        <v>KAMPALA-RUBIRIZI</v>
      </c>
      <c r="M468" s="31">
        <v>65</v>
      </c>
      <c r="N468" s="72">
        <v>25000</v>
      </c>
      <c r="O468" s="34">
        <v>6.25</v>
      </c>
    </row>
    <row r="469" spans="2:15" x14ac:dyDescent="0.2">
      <c r="B469" s="27">
        <v>0.95208333333333339</v>
      </c>
      <c r="C469" s="28">
        <v>6</v>
      </c>
      <c r="D469" s="33" t="str">
        <f>IF(C469="", "",VLOOKUP(C469,Key!$A$5:$B$7,2,FALSE))</f>
        <v>Large Bus</v>
      </c>
      <c r="E469" s="29" t="s">
        <v>89</v>
      </c>
      <c r="F469" s="29" t="s">
        <v>67</v>
      </c>
      <c r="G469" s="29" t="s">
        <v>70</v>
      </c>
      <c r="H469" s="30" t="s">
        <v>70</v>
      </c>
      <c r="I469" s="29" t="s">
        <v>257</v>
      </c>
      <c r="J469" s="29" t="s">
        <v>88</v>
      </c>
      <c r="K469" s="30" t="s">
        <v>86</v>
      </c>
      <c r="L469" s="29" t="str">
        <f t="shared" si="7"/>
        <v>KAMPALA-RUBIRIZI</v>
      </c>
      <c r="M469" s="31">
        <v>70</v>
      </c>
      <c r="N469" s="72">
        <v>25000</v>
      </c>
      <c r="O469" s="34">
        <v>6.25</v>
      </c>
    </row>
    <row r="470" spans="2:15" x14ac:dyDescent="0.2">
      <c r="B470" s="27">
        <v>0.97222222222222221</v>
      </c>
      <c r="C470" s="28">
        <v>6</v>
      </c>
      <c r="D470" s="33" t="str">
        <f>IF(C470="", "",VLOOKUP(C470,Key!$A$5:$B$7,2,FALSE))</f>
        <v>Large Bus</v>
      </c>
      <c r="E470" s="29" t="s">
        <v>89</v>
      </c>
      <c r="F470" s="29" t="s">
        <v>67</v>
      </c>
      <c r="G470" s="29" t="s">
        <v>70</v>
      </c>
      <c r="H470" s="30" t="s">
        <v>70</v>
      </c>
      <c r="I470" s="29" t="s">
        <v>257</v>
      </c>
      <c r="J470" s="29" t="s">
        <v>84</v>
      </c>
      <c r="K470" s="30" t="s">
        <v>85</v>
      </c>
      <c r="L470" s="29" t="str">
        <f t="shared" si="7"/>
        <v>KAMPALA-BUSHENYI</v>
      </c>
      <c r="M470" s="31">
        <v>70</v>
      </c>
      <c r="N470" s="72">
        <v>25000</v>
      </c>
      <c r="O470" s="34">
        <v>6</v>
      </c>
    </row>
    <row r="471" spans="2:15" x14ac:dyDescent="0.2">
      <c r="B471" s="27">
        <v>0.22708333333333333</v>
      </c>
      <c r="C471" s="28">
        <v>6</v>
      </c>
      <c r="D471" s="33" t="str">
        <f>IF(C471="", "",VLOOKUP(C471,Key!$A$5:$B$7,2,FALSE))</f>
        <v>Large Bus</v>
      </c>
      <c r="E471" s="29" t="s">
        <v>89</v>
      </c>
      <c r="F471" s="29" t="s">
        <v>67</v>
      </c>
      <c r="G471" s="29" t="s">
        <v>70</v>
      </c>
      <c r="H471" s="30" t="s">
        <v>70</v>
      </c>
      <c r="I471" s="29" t="s">
        <v>257</v>
      </c>
      <c r="J471" s="29" t="s">
        <v>84</v>
      </c>
      <c r="K471" s="30" t="s">
        <v>85</v>
      </c>
      <c r="L471" s="29" t="str">
        <f t="shared" si="7"/>
        <v>KAMPALA-BUSHENYI</v>
      </c>
      <c r="M471" s="31">
        <v>50</v>
      </c>
      <c r="N471" s="72">
        <v>25000</v>
      </c>
      <c r="O471" s="34">
        <v>6</v>
      </c>
    </row>
    <row r="472" spans="2:15" x14ac:dyDescent="0.2">
      <c r="B472" s="27">
        <v>0.15625</v>
      </c>
      <c r="C472" s="28">
        <v>6</v>
      </c>
      <c r="D472" s="33" t="str">
        <f>IF(C472="", "",VLOOKUP(C472,Key!$A$5:$B$7,2,FALSE))</f>
        <v>Large Bus</v>
      </c>
      <c r="E472" s="29" t="s">
        <v>89</v>
      </c>
      <c r="F472" s="29" t="s">
        <v>67</v>
      </c>
      <c r="G472" s="29" t="s">
        <v>84</v>
      </c>
      <c r="H472" s="30" t="s">
        <v>85</v>
      </c>
      <c r="I472" s="29" t="s">
        <v>257</v>
      </c>
      <c r="J472" s="29" t="s">
        <v>70</v>
      </c>
      <c r="K472" s="30" t="s">
        <v>70</v>
      </c>
      <c r="L472" s="29" t="str">
        <f t="shared" si="7"/>
        <v>BUSHENYI-KAMPALA</v>
      </c>
      <c r="M472" s="31">
        <v>66</v>
      </c>
      <c r="N472" s="72">
        <v>25000</v>
      </c>
      <c r="O472" s="34">
        <v>6</v>
      </c>
    </row>
    <row r="473" spans="2:15" x14ac:dyDescent="0.2">
      <c r="B473" s="27">
        <v>0.65625</v>
      </c>
      <c r="C473" s="28">
        <v>6</v>
      </c>
      <c r="D473" s="33" t="str">
        <f>IF(C473="", "",VLOOKUP(C473,Key!$A$5:$B$7,2,FALSE))</f>
        <v>Large Bus</v>
      </c>
      <c r="E473" s="29" t="s">
        <v>89</v>
      </c>
      <c r="F473" s="29" t="s">
        <v>67</v>
      </c>
      <c r="G473" s="29" t="s">
        <v>84</v>
      </c>
      <c r="H473" s="30" t="s">
        <v>85</v>
      </c>
      <c r="I473" s="29" t="s">
        <v>257</v>
      </c>
      <c r="J473" s="29" t="s">
        <v>70</v>
      </c>
      <c r="K473" s="30" t="s">
        <v>70</v>
      </c>
      <c r="L473" s="29" t="str">
        <f t="shared" si="7"/>
        <v>BUSHENYI-KAMPALA</v>
      </c>
      <c r="M473" s="31">
        <v>15</v>
      </c>
      <c r="N473" s="72">
        <v>25000</v>
      </c>
      <c r="O473" s="34">
        <v>6</v>
      </c>
    </row>
    <row r="474" spans="2:15" x14ac:dyDescent="0.2">
      <c r="B474" s="27">
        <v>0.72430555555555554</v>
      </c>
      <c r="C474" s="28">
        <v>6</v>
      </c>
      <c r="D474" s="33" t="str">
        <f>IF(C474="", "",VLOOKUP(C474,Key!$A$5:$B$7,2,FALSE))</f>
        <v>Large Bus</v>
      </c>
      <c r="E474" s="29" t="s">
        <v>89</v>
      </c>
      <c r="F474" s="29" t="s">
        <v>67</v>
      </c>
      <c r="G474" s="29" t="s">
        <v>87</v>
      </c>
      <c r="H474" s="30" t="s">
        <v>85</v>
      </c>
      <c r="I474" s="29" t="s">
        <v>257</v>
      </c>
      <c r="J474" s="29" t="s">
        <v>70</v>
      </c>
      <c r="K474" s="30" t="s">
        <v>70</v>
      </c>
      <c r="L474" s="29" t="str">
        <f t="shared" si="7"/>
        <v>BUSHENYI-KAMPALA</v>
      </c>
      <c r="M474" s="31">
        <v>24</v>
      </c>
      <c r="N474" s="72">
        <v>25000</v>
      </c>
      <c r="O474" s="34">
        <v>6</v>
      </c>
    </row>
    <row r="475" spans="2:15" x14ac:dyDescent="0.2">
      <c r="B475" s="27">
        <v>0.78472222222222221</v>
      </c>
      <c r="C475" s="28">
        <v>6</v>
      </c>
      <c r="D475" s="33" t="str">
        <f>IF(C475="", "",VLOOKUP(C475,Key!$A$5:$B$7,2,FALSE))</f>
        <v>Large Bus</v>
      </c>
      <c r="E475" s="29" t="s">
        <v>89</v>
      </c>
      <c r="F475" s="29" t="s">
        <v>67</v>
      </c>
      <c r="G475" s="29" t="s">
        <v>84</v>
      </c>
      <c r="H475" s="30" t="s">
        <v>85</v>
      </c>
      <c r="I475" s="29" t="s">
        <v>257</v>
      </c>
      <c r="J475" s="29" t="s">
        <v>70</v>
      </c>
      <c r="K475" s="30" t="s">
        <v>70</v>
      </c>
      <c r="L475" s="29" t="str">
        <f t="shared" si="7"/>
        <v>BUSHENYI-KAMPALA</v>
      </c>
      <c r="M475" s="31">
        <v>65</v>
      </c>
      <c r="N475" s="72">
        <v>25000</v>
      </c>
      <c r="O475" s="34">
        <v>6</v>
      </c>
    </row>
    <row r="476" spans="2:15" x14ac:dyDescent="0.2">
      <c r="B476" s="27">
        <v>0.85555555555555562</v>
      </c>
      <c r="C476" s="28">
        <v>6</v>
      </c>
      <c r="D476" s="33" t="str">
        <f>IF(C476="", "",VLOOKUP(C476,Key!$A$5:$B$7,2,FALSE))</f>
        <v>Large Bus</v>
      </c>
      <c r="E476" s="29" t="s">
        <v>89</v>
      </c>
      <c r="F476" s="29" t="s">
        <v>67</v>
      </c>
      <c r="G476" s="29" t="s">
        <v>84</v>
      </c>
      <c r="H476" s="30" t="s">
        <v>85</v>
      </c>
      <c r="I476" s="29" t="s">
        <v>257</v>
      </c>
      <c r="J476" s="29" t="s">
        <v>70</v>
      </c>
      <c r="K476" s="30" t="s">
        <v>70</v>
      </c>
      <c r="L476" s="29" t="str">
        <f t="shared" si="7"/>
        <v>BUSHENYI-KAMPALA</v>
      </c>
      <c r="M476" s="31">
        <v>34</v>
      </c>
      <c r="N476" s="72">
        <v>25000</v>
      </c>
      <c r="O476" s="34">
        <v>6</v>
      </c>
    </row>
    <row r="477" spans="2:15" x14ac:dyDescent="0.2">
      <c r="B477" s="27">
        <v>0.90972222222222221</v>
      </c>
      <c r="C477" s="28">
        <v>6</v>
      </c>
      <c r="D477" s="33" t="str">
        <f>IF(C477="", "",VLOOKUP(C477,Key!$A$5:$B$7,2,FALSE))</f>
        <v>Large Bus</v>
      </c>
      <c r="E477" s="29" t="s">
        <v>89</v>
      </c>
      <c r="F477" s="29" t="s">
        <v>67</v>
      </c>
      <c r="G477" s="29" t="s">
        <v>84</v>
      </c>
      <c r="H477" s="30" t="s">
        <v>85</v>
      </c>
      <c r="I477" s="29" t="s">
        <v>257</v>
      </c>
      <c r="J477" s="29" t="s">
        <v>70</v>
      </c>
      <c r="K477" s="30" t="s">
        <v>70</v>
      </c>
      <c r="L477" s="29" t="str">
        <f t="shared" si="7"/>
        <v>BUSHENYI-KAMPALA</v>
      </c>
      <c r="M477" s="31">
        <v>20</v>
      </c>
      <c r="N477" s="72">
        <v>25000</v>
      </c>
      <c r="O477" s="34">
        <v>6</v>
      </c>
    </row>
    <row r="478" spans="2:15" x14ac:dyDescent="0.2">
      <c r="B478" s="27">
        <v>0.93194444444444446</v>
      </c>
      <c r="C478" s="28">
        <v>6</v>
      </c>
      <c r="D478" s="33" t="str">
        <f>IF(C478="", "",VLOOKUP(C478,Key!$A$5:$B$7,2,FALSE))</f>
        <v>Large Bus</v>
      </c>
      <c r="E478" s="29" t="s">
        <v>89</v>
      </c>
      <c r="F478" s="29" t="s">
        <v>67</v>
      </c>
      <c r="G478" s="29" t="s">
        <v>84</v>
      </c>
      <c r="H478" s="30" t="s">
        <v>85</v>
      </c>
      <c r="I478" s="29" t="s">
        <v>257</v>
      </c>
      <c r="J478" s="29" t="s">
        <v>70</v>
      </c>
      <c r="K478" s="30" t="s">
        <v>70</v>
      </c>
      <c r="L478" s="29" t="str">
        <f t="shared" si="7"/>
        <v>BUSHENYI-KAMPALA</v>
      </c>
      <c r="M478" s="31">
        <v>65</v>
      </c>
      <c r="N478" s="72">
        <v>25000</v>
      </c>
      <c r="O478" s="34">
        <v>6</v>
      </c>
    </row>
    <row r="479" spans="2:15" x14ac:dyDescent="0.2">
      <c r="B479" s="27">
        <v>0.40069444444444446</v>
      </c>
      <c r="C479" s="28">
        <v>6</v>
      </c>
      <c r="D479" s="33" t="str">
        <f>IF(C479="", "",VLOOKUP(C479,Key!$A$5:$B$7,2,FALSE))</f>
        <v>Large Bus</v>
      </c>
      <c r="E479" s="29" t="s">
        <v>89</v>
      </c>
      <c r="F479" s="29" t="s">
        <v>66</v>
      </c>
      <c r="G479" s="29" t="s">
        <v>83</v>
      </c>
      <c r="H479" s="30" t="s">
        <v>83</v>
      </c>
      <c r="I479" s="29" t="s">
        <v>257</v>
      </c>
      <c r="J479" s="29" t="s">
        <v>70</v>
      </c>
      <c r="K479" s="30" t="s">
        <v>70</v>
      </c>
      <c r="L479" s="29" t="str">
        <f t="shared" si="7"/>
        <v>KISORO-KAMPALA</v>
      </c>
      <c r="M479" s="31">
        <v>65</v>
      </c>
      <c r="N479" s="72">
        <v>35000</v>
      </c>
      <c r="O479" s="34">
        <v>9</v>
      </c>
    </row>
    <row r="480" spans="2:15" x14ac:dyDescent="0.2">
      <c r="B480" s="27">
        <v>0.70486111111111116</v>
      </c>
      <c r="C480" s="28">
        <v>6</v>
      </c>
      <c r="D480" s="33" t="str">
        <f>IF(C480="", "",VLOOKUP(C480,Key!$A$5:$B$7,2,FALSE))</f>
        <v>Large Bus</v>
      </c>
      <c r="E480" s="29" t="s">
        <v>89</v>
      </c>
      <c r="F480" s="29" t="s">
        <v>66</v>
      </c>
      <c r="G480" s="29" t="s">
        <v>83</v>
      </c>
      <c r="H480" s="30" t="s">
        <v>83</v>
      </c>
      <c r="I480" s="29" t="s">
        <v>257</v>
      </c>
      <c r="J480" s="29" t="s">
        <v>70</v>
      </c>
      <c r="K480" s="30" t="s">
        <v>70</v>
      </c>
      <c r="L480" s="29" t="str">
        <f t="shared" si="7"/>
        <v>KISORO-KAMPALA</v>
      </c>
      <c r="M480" s="31">
        <v>65</v>
      </c>
      <c r="N480" s="72">
        <v>35000</v>
      </c>
      <c r="O480" s="34">
        <v>9</v>
      </c>
    </row>
    <row r="481" spans="2:15" x14ac:dyDescent="0.2">
      <c r="B481" s="27">
        <v>0.77430555555555547</v>
      </c>
      <c r="C481" s="28">
        <v>6</v>
      </c>
      <c r="D481" s="33" t="str">
        <f>IF(C481="", "",VLOOKUP(C481,Key!$A$5:$B$7,2,FALSE))</f>
        <v>Large Bus</v>
      </c>
      <c r="E481" s="29" t="s">
        <v>89</v>
      </c>
      <c r="F481" s="29" t="s">
        <v>66</v>
      </c>
      <c r="G481" s="29" t="s">
        <v>83</v>
      </c>
      <c r="H481" s="30" t="s">
        <v>83</v>
      </c>
      <c r="I481" s="29" t="s">
        <v>257</v>
      </c>
      <c r="J481" s="29" t="s">
        <v>70</v>
      </c>
      <c r="K481" s="30" t="s">
        <v>70</v>
      </c>
      <c r="L481" s="29" t="str">
        <f t="shared" si="7"/>
        <v>KISORO-KAMPALA</v>
      </c>
      <c r="M481" s="31">
        <v>65</v>
      </c>
      <c r="N481" s="72">
        <v>35000</v>
      </c>
      <c r="O481" s="34">
        <v>9</v>
      </c>
    </row>
    <row r="482" spans="2:15" x14ac:dyDescent="0.2">
      <c r="B482" s="27">
        <v>0.50208333333333333</v>
      </c>
      <c r="C482" s="28">
        <v>6</v>
      </c>
      <c r="D482" s="33" t="str">
        <f>IF(C482="", "",VLOOKUP(C482,Key!$A$5:$B$7,2,FALSE))</f>
        <v>Large Bus</v>
      </c>
      <c r="E482" s="29" t="s">
        <v>89</v>
      </c>
      <c r="F482" s="29" t="s">
        <v>67</v>
      </c>
      <c r="G482" s="29" t="s">
        <v>70</v>
      </c>
      <c r="H482" s="30" t="s">
        <v>70</v>
      </c>
      <c r="I482" s="29" t="s">
        <v>257</v>
      </c>
      <c r="J482" s="29" t="s">
        <v>83</v>
      </c>
      <c r="K482" s="30" t="s">
        <v>83</v>
      </c>
      <c r="L482" s="29" t="str">
        <f t="shared" si="7"/>
        <v>KAMPALA-KISORO</v>
      </c>
      <c r="M482" s="31">
        <v>64</v>
      </c>
      <c r="N482" s="72">
        <v>40000</v>
      </c>
      <c r="O482" s="34">
        <v>9</v>
      </c>
    </row>
    <row r="483" spans="2:15" x14ac:dyDescent="0.2">
      <c r="B483" s="27">
        <v>0.66666666666666663</v>
      </c>
      <c r="C483" s="28">
        <v>6</v>
      </c>
      <c r="D483" s="33" t="str">
        <f>IF(C483="", "",VLOOKUP(C483,Key!$A$5:$B$7,2,FALSE))</f>
        <v>Large Bus</v>
      </c>
      <c r="E483" s="29" t="s">
        <v>89</v>
      </c>
      <c r="F483" s="29" t="s">
        <v>67</v>
      </c>
      <c r="G483" s="29" t="s">
        <v>70</v>
      </c>
      <c r="H483" s="30" t="s">
        <v>70</v>
      </c>
      <c r="I483" s="29" t="s">
        <v>257</v>
      </c>
      <c r="J483" s="29" t="s">
        <v>83</v>
      </c>
      <c r="K483" s="30" t="s">
        <v>83</v>
      </c>
      <c r="L483" s="29" t="str">
        <f t="shared" si="7"/>
        <v>KAMPALA-KISORO</v>
      </c>
      <c r="M483" s="31">
        <v>64</v>
      </c>
      <c r="N483" s="72">
        <v>40000</v>
      </c>
      <c r="O483" s="34">
        <v>9</v>
      </c>
    </row>
    <row r="484" spans="2:15" x14ac:dyDescent="0.2">
      <c r="B484" s="27">
        <v>0.8222222222222223</v>
      </c>
      <c r="C484" s="28">
        <v>6</v>
      </c>
      <c r="D484" s="33" t="str">
        <f>IF(C484="", "",VLOOKUP(C484,Key!$A$5:$B$7,2,FALSE))</f>
        <v>Large Bus</v>
      </c>
      <c r="E484" s="29" t="s">
        <v>89</v>
      </c>
      <c r="F484" s="29" t="s">
        <v>67</v>
      </c>
      <c r="G484" s="29" t="s">
        <v>70</v>
      </c>
      <c r="H484" s="30" t="s">
        <v>70</v>
      </c>
      <c r="I484" s="29" t="s">
        <v>257</v>
      </c>
      <c r="J484" s="29" t="s">
        <v>83</v>
      </c>
      <c r="K484" s="30" t="s">
        <v>83</v>
      </c>
      <c r="L484" s="29" t="str">
        <f t="shared" si="7"/>
        <v>KAMPALA-KISORO</v>
      </c>
      <c r="M484" s="31">
        <v>64</v>
      </c>
      <c r="N484" s="72">
        <v>40000</v>
      </c>
      <c r="O484" s="34">
        <v>9</v>
      </c>
    </row>
    <row r="485" spans="2:15" x14ac:dyDescent="0.2">
      <c r="B485" s="27">
        <v>0.98125000000000007</v>
      </c>
      <c r="C485" s="28">
        <v>6</v>
      </c>
      <c r="D485" s="33" t="str">
        <f>IF(C485="", "",VLOOKUP(C485,Key!$A$5:$B$7,2,FALSE))</f>
        <v>Large Bus</v>
      </c>
      <c r="E485" s="29" t="s">
        <v>89</v>
      </c>
      <c r="F485" s="29" t="s">
        <v>67</v>
      </c>
      <c r="G485" s="29" t="s">
        <v>70</v>
      </c>
      <c r="H485" s="30" t="s">
        <v>70</v>
      </c>
      <c r="I485" s="29" t="s">
        <v>257</v>
      </c>
      <c r="J485" s="29" t="s">
        <v>83</v>
      </c>
      <c r="K485" s="30" t="s">
        <v>83</v>
      </c>
      <c r="L485" s="29" t="str">
        <f t="shared" si="7"/>
        <v>KAMPALA-KISORO</v>
      </c>
      <c r="M485" s="31">
        <v>64</v>
      </c>
      <c r="N485" s="72">
        <v>40000</v>
      </c>
      <c r="O485" s="34">
        <v>9</v>
      </c>
    </row>
    <row r="486" spans="2:15" x14ac:dyDescent="0.2">
      <c r="B486" s="27">
        <v>0.3430555555555555</v>
      </c>
      <c r="C486" s="28">
        <v>6</v>
      </c>
      <c r="D486" s="33" t="str">
        <f>IF(C486="", "",VLOOKUP(C486,Key!$A$5:$B$7,2,FALSE))</f>
        <v>Large Bus</v>
      </c>
      <c r="E486" s="29" t="s">
        <v>89</v>
      </c>
      <c r="F486" s="29" t="s">
        <v>67</v>
      </c>
      <c r="G486" s="29" t="s">
        <v>70</v>
      </c>
      <c r="H486" s="30" t="s">
        <v>70</v>
      </c>
      <c r="I486" s="29" t="s">
        <v>257</v>
      </c>
      <c r="J486" s="29" t="s">
        <v>88</v>
      </c>
      <c r="K486" s="30" t="s">
        <v>86</v>
      </c>
      <c r="L486" s="29" t="str">
        <f t="shared" si="7"/>
        <v>KAMPALA-RUBIRIZI</v>
      </c>
      <c r="M486" s="31">
        <v>65</v>
      </c>
      <c r="N486" s="72">
        <v>25000</v>
      </c>
      <c r="O486" s="34">
        <v>6.25</v>
      </c>
    </row>
    <row r="487" spans="2:15" x14ac:dyDescent="0.2">
      <c r="B487" s="27">
        <v>0.44930555555555557</v>
      </c>
      <c r="C487" s="28">
        <v>6</v>
      </c>
      <c r="D487" s="33" t="str">
        <f>IF(C487="", "",VLOOKUP(C487,Key!$A$5:$B$7,2,FALSE))</f>
        <v>Large Bus</v>
      </c>
      <c r="E487" s="29" t="s">
        <v>89</v>
      </c>
      <c r="F487" s="29" t="s">
        <v>67</v>
      </c>
      <c r="G487" s="29" t="s">
        <v>70</v>
      </c>
      <c r="H487" s="30" t="s">
        <v>70</v>
      </c>
      <c r="I487" s="29" t="s">
        <v>257</v>
      </c>
      <c r="J487" s="29" t="s">
        <v>84</v>
      </c>
      <c r="K487" s="30" t="s">
        <v>85</v>
      </c>
      <c r="L487" s="29" t="str">
        <f t="shared" si="7"/>
        <v>KAMPALA-BUSHENYI</v>
      </c>
      <c r="M487" s="31">
        <v>70</v>
      </c>
      <c r="N487" s="72">
        <v>25000</v>
      </c>
      <c r="O487" s="34">
        <v>6</v>
      </c>
    </row>
    <row r="488" spans="2:15" x14ac:dyDescent="0.2">
      <c r="B488" s="27">
        <v>3.472222222222222E-3</v>
      </c>
      <c r="C488" s="28">
        <v>6</v>
      </c>
      <c r="D488" s="33" t="str">
        <f>IF(C488="", "",VLOOKUP(C488,Key!$A$5:$B$7,2,FALSE))</f>
        <v>Large Bus</v>
      </c>
      <c r="E488" s="29" t="s">
        <v>89</v>
      </c>
      <c r="F488" s="29" t="s">
        <v>67</v>
      </c>
      <c r="G488" s="29" t="s">
        <v>70</v>
      </c>
      <c r="H488" s="30" t="s">
        <v>70</v>
      </c>
      <c r="I488" s="29" t="s">
        <v>257</v>
      </c>
      <c r="J488" s="29" t="s">
        <v>84</v>
      </c>
      <c r="K488" s="30" t="s">
        <v>85</v>
      </c>
      <c r="L488" s="29" t="str">
        <f t="shared" si="7"/>
        <v>KAMPALA-BUSHENYI</v>
      </c>
      <c r="M488" s="31">
        <v>65</v>
      </c>
      <c r="N488" s="72">
        <v>25000</v>
      </c>
      <c r="O488" s="34">
        <v>6</v>
      </c>
    </row>
    <row r="489" spans="2:15" x14ac:dyDescent="0.2">
      <c r="B489" s="27">
        <v>0.57013888888888886</v>
      </c>
      <c r="C489" s="28">
        <v>6</v>
      </c>
      <c r="D489" s="33" t="str">
        <f>IF(C489="", "",VLOOKUP(C489,Key!$A$5:$B$7,2,FALSE))</f>
        <v>Large Bus</v>
      </c>
      <c r="E489" s="29" t="s">
        <v>89</v>
      </c>
      <c r="F489" s="29" t="s">
        <v>67</v>
      </c>
      <c r="G489" s="29" t="s">
        <v>70</v>
      </c>
      <c r="H489" s="30" t="s">
        <v>70</v>
      </c>
      <c r="I489" s="29" t="s">
        <v>257</v>
      </c>
      <c r="J489" s="29" t="s">
        <v>84</v>
      </c>
      <c r="K489" s="30" t="s">
        <v>85</v>
      </c>
      <c r="L489" s="29" t="str">
        <f t="shared" si="7"/>
        <v>KAMPALA-BUSHENYI</v>
      </c>
      <c r="M489" s="31">
        <v>70</v>
      </c>
      <c r="N489" s="72">
        <v>25000</v>
      </c>
      <c r="O489" s="34">
        <v>6</v>
      </c>
    </row>
    <row r="490" spans="2:15" x14ac:dyDescent="0.2">
      <c r="B490" s="27">
        <v>0.61527777777777781</v>
      </c>
      <c r="C490" s="28">
        <v>6</v>
      </c>
      <c r="D490" s="33" t="str">
        <f>IF(C490="", "",VLOOKUP(C490,Key!$A$5:$B$7,2,FALSE))</f>
        <v>Large Bus</v>
      </c>
      <c r="E490" s="29" t="s">
        <v>89</v>
      </c>
      <c r="F490" s="29" t="s">
        <v>67</v>
      </c>
      <c r="G490" s="29" t="s">
        <v>70</v>
      </c>
      <c r="H490" s="30" t="s">
        <v>70</v>
      </c>
      <c r="I490" s="29" t="s">
        <v>257</v>
      </c>
      <c r="J490" s="29" t="s">
        <v>84</v>
      </c>
      <c r="K490" s="30" t="s">
        <v>85</v>
      </c>
      <c r="L490" s="29" t="str">
        <f t="shared" si="7"/>
        <v>KAMPALA-BUSHENYI</v>
      </c>
      <c r="M490" s="31">
        <v>65</v>
      </c>
      <c r="N490" s="72">
        <v>25000</v>
      </c>
      <c r="O490" s="34">
        <v>6</v>
      </c>
    </row>
    <row r="491" spans="2:15" x14ac:dyDescent="0.2">
      <c r="B491" s="27">
        <v>0.65694444444444444</v>
      </c>
      <c r="C491" s="28">
        <v>6</v>
      </c>
      <c r="D491" s="33" t="str">
        <f>IF(C491="", "",VLOOKUP(C491,Key!$A$5:$B$7,2,FALSE))</f>
        <v>Large Bus</v>
      </c>
      <c r="E491" s="29" t="s">
        <v>89</v>
      </c>
      <c r="F491" s="29" t="s">
        <v>67</v>
      </c>
      <c r="G491" s="29" t="s">
        <v>70</v>
      </c>
      <c r="H491" s="30" t="s">
        <v>70</v>
      </c>
      <c r="I491" s="29" t="s">
        <v>257</v>
      </c>
      <c r="J491" s="29" t="s">
        <v>84</v>
      </c>
      <c r="K491" s="30" t="s">
        <v>85</v>
      </c>
      <c r="L491" s="29" t="str">
        <f t="shared" si="7"/>
        <v>KAMPALA-BUSHENYI</v>
      </c>
      <c r="M491" s="31">
        <v>65</v>
      </c>
      <c r="N491" s="72">
        <v>25000</v>
      </c>
      <c r="O491" s="34">
        <v>6</v>
      </c>
    </row>
    <row r="492" spans="2:15" x14ac:dyDescent="0.2">
      <c r="B492" s="27">
        <v>0.67361111111111116</v>
      </c>
      <c r="C492" s="28">
        <v>6</v>
      </c>
      <c r="D492" s="33" t="str">
        <f>IF(C492="", "",VLOOKUP(C492,Key!$A$5:$B$7,2,FALSE))</f>
        <v>Large Bus</v>
      </c>
      <c r="E492" s="29" t="s">
        <v>89</v>
      </c>
      <c r="F492" s="29" t="s">
        <v>67</v>
      </c>
      <c r="G492" s="29" t="s">
        <v>70</v>
      </c>
      <c r="H492" s="30" t="s">
        <v>70</v>
      </c>
      <c r="I492" s="29" t="s">
        <v>257</v>
      </c>
      <c r="J492" s="29" t="s">
        <v>84</v>
      </c>
      <c r="K492" s="30" t="s">
        <v>85</v>
      </c>
      <c r="L492" s="29" t="str">
        <f t="shared" si="7"/>
        <v>KAMPALA-BUSHENYI</v>
      </c>
      <c r="M492" s="31">
        <v>65</v>
      </c>
      <c r="N492" s="72">
        <v>25000</v>
      </c>
      <c r="O492" s="34">
        <v>6</v>
      </c>
    </row>
    <row r="493" spans="2:15" x14ac:dyDescent="0.2">
      <c r="B493" s="27">
        <v>0.7895833333333333</v>
      </c>
      <c r="C493" s="28">
        <v>6</v>
      </c>
      <c r="D493" s="33" t="str">
        <f>IF(C493="", "",VLOOKUP(C493,Key!$A$5:$B$7,2,FALSE))</f>
        <v>Large Bus</v>
      </c>
      <c r="E493" s="29" t="s">
        <v>89</v>
      </c>
      <c r="F493" s="29" t="s">
        <v>67</v>
      </c>
      <c r="G493" s="29" t="s">
        <v>70</v>
      </c>
      <c r="H493" s="30" t="s">
        <v>70</v>
      </c>
      <c r="I493" s="29" t="s">
        <v>257</v>
      </c>
      <c r="J493" s="29" t="s">
        <v>84</v>
      </c>
      <c r="K493" s="30" t="s">
        <v>85</v>
      </c>
      <c r="L493" s="29" t="str">
        <f t="shared" si="7"/>
        <v>KAMPALA-BUSHENYI</v>
      </c>
      <c r="M493" s="31">
        <v>70</v>
      </c>
      <c r="N493" s="72">
        <v>25000</v>
      </c>
      <c r="O493" s="34">
        <v>6</v>
      </c>
    </row>
    <row r="494" spans="2:15" x14ac:dyDescent="0.2">
      <c r="B494" s="45" t="s">
        <v>219</v>
      </c>
      <c r="C494" s="47"/>
      <c r="D494" s="33" t="str">
        <f>IF(C494="", "",VLOOKUP(C494,Key!$A$5:$B$7,2,FALSE))</f>
        <v/>
      </c>
      <c r="E494" s="42" t="s">
        <v>89</v>
      </c>
      <c r="F494" s="48"/>
      <c r="G494" s="47"/>
      <c r="H494" s="47"/>
      <c r="I494" s="47"/>
      <c r="J494" s="47"/>
      <c r="K494" s="47"/>
      <c r="L494" s="47" t="str">
        <f t="shared" si="7"/>
        <v>-</v>
      </c>
      <c r="M494" s="47"/>
      <c r="N494" s="48"/>
      <c r="O494" s="48"/>
    </row>
    <row r="495" spans="2:15" x14ac:dyDescent="0.2">
      <c r="B495" s="27">
        <v>3.125E-2</v>
      </c>
      <c r="C495" s="28">
        <v>6</v>
      </c>
      <c r="D495" s="33" t="str">
        <f>IF(C495="", "",VLOOKUP(C495,Key!$A$5:$B$7,2,FALSE))</f>
        <v>Large Bus</v>
      </c>
      <c r="E495" s="29" t="s">
        <v>89</v>
      </c>
      <c r="F495" s="29" t="s">
        <v>66</v>
      </c>
      <c r="G495" s="29" t="s">
        <v>83</v>
      </c>
      <c r="H495" s="30" t="s">
        <v>83</v>
      </c>
      <c r="I495" s="29" t="s">
        <v>257</v>
      </c>
      <c r="J495" s="29" t="s">
        <v>70</v>
      </c>
      <c r="K495" s="30" t="s">
        <v>70</v>
      </c>
      <c r="L495" s="29" t="str">
        <f t="shared" si="7"/>
        <v>KISORO-KAMPALA</v>
      </c>
      <c r="M495" s="31">
        <v>20</v>
      </c>
      <c r="N495" s="72">
        <v>35000</v>
      </c>
      <c r="O495" s="34">
        <v>9</v>
      </c>
    </row>
    <row r="496" spans="2:15" x14ac:dyDescent="0.2">
      <c r="B496" s="27">
        <v>0.19791666666666666</v>
      </c>
      <c r="C496" s="28">
        <v>6</v>
      </c>
      <c r="D496" s="33" t="str">
        <f>IF(C496="", "",VLOOKUP(C496,Key!$A$5:$B$7,2,FALSE))</f>
        <v>Large Bus</v>
      </c>
      <c r="E496" s="29" t="s">
        <v>89</v>
      </c>
      <c r="F496" s="29" t="s">
        <v>66</v>
      </c>
      <c r="G496" s="29" t="s">
        <v>83</v>
      </c>
      <c r="H496" s="30" t="s">
        <v>83</v>
      </c>
      <c r="I496" s="29" t="s">
        <v>257</v>
      </c>
      <c r="J496" s="29" t="s">
        <v>70</v>
      </c>
      <c r="K496" s="30" t="s">
        <v>70</v>
      </c>
      <c r="L496" s="29" t="str">
        <f t="shared" si="7"/>
        <v>KISORO-KAMPALA</v>
      </c>
      <c r="M496" s="31">
        <v>65</v>
      </c>
      <c r="N496" s="72">
        <v>35000</v>
      </c>
      <c r="O496" s="34">
        <v>9</v>
      </c>
    </row>
    <row r="497" spans="2:15" x14ac:dyDescent="0.2">
      <c r="B497" s="27">
        <v>0.25486111111111109</v>
      </c>
      <c r="C497" s="28">
        <v>6</v>
      </c>
      <c r="D497" s="33" t="str">
        <f>IF(C497="", "",VLOOKUP(C497,Key!$A$5:$B$7,2,FALSE))</f>
        <v>Large Bus</v>
      </c>
      <c r="E497" s="29" t="s">
        <v>89</v>
      </c>
      <c r="F497" s="29" t="s">
        <v>66</v>
      </c>
      <c r="G497" s="29" t="s">
        <v>83</v>
      </c>
      <c r="H497" s="30" t="s">
        <v>83</v>
      </c>
      <c r="I497" s="29" t="s">
        <v>257</v>
      </c>
      <c r="J497" s="29" t="s">
        <v>70</v>
      </c>
      <c r="K497" s="30" t="s">
        <v>70</v>
      </c>
      <c r="L497" s="29" t="str">
        <f t="shared" si="7"/>
        <v>KISORO-KAMPALA</v>
      </c>
      <c r="M497" s="31">
        <v>65</v>
      </c>
      <c r="N497" s="72">
        <v>35000</v>
      </c>
      <c r="O497" s="34">
        <v>9</v>
      </c>
    </row>
    <row r="498" spans="2:15" x14ac:dyDescent="0.2">
      <c r="B498" s="27">
        <v>0.20833333333333334</v>
      </c>
      <c r="C498" s="28">
        <v>6</v>
      </c>
      <c r="D498" s="33" t="str">
        <f>IF(C498="", "",VLOOKUP(C498,Key!$A$5:$B$7,2,FALSE))</f>
        <v>Large Bus</v>
      </c>
      <c r="E498" s="29" t="s">
        <v>89</v>
      </c>
      <c r="F498" s="29" t="s">
        <v>66</v>
      </c>
      <c r="G498" s="29" t="s">
        <v>83</v>
      </c>
      <c r="H498" s="30" t="s">
        <v>83</v>
      </c>
      <c r="I498" s="29" t="s">
        <v>257</v>
      </c>
      <c r="J498" s="29" t="s">
        <v>70</v>
      </c>
      <c r="K498" s="30" t="s">
        <v>70</v>
      </c>
      <c r="L498" s="29" t="str">
        <f t="shared" si="7"/>
        <v>KISORO-KAMPALA</v>
      </c>
      <c r="M498" s="31">
        <v>23</v>
      </c>
      <c r="N498" s="72">
        <v>35000</v>
      </c>
      <c r="O498" s="34">
        <v>9</v>
      </c>
    </row>
    <row r="499" spans="2:15" x14ac:dyDescent="0.2">
      <c r="B499" s="27">
        <v>0.39166666666666666</v>
      </c>
      <c r="C499" s="28">
        <v>6</v>
      </c>
      <c r="D499" s="33" t="str">
        <f>IF(C499="", "",VLOOKUP(C499,Key!$A$5:$B$7,2,FALSE))</f>
        <v>Large Bus</v>
      </c>
      <c r="E499" s="29" t="s">
        <v>89</v>
      </c>
      <c r="F499" s="29" t="s">
        <v>66</v>
      </c>
      <c r="G499" s="29" t="s">
        <v>83</v>
      </c>
      <c r="H499" s="30" t="s">
        <v>83</v>
      </c>
      <c r="I499" s="29" t="s">
        <v>257</v>
      </c>
      <c r="J499" s="29" t="s">
        <v>70</v>
      </c>
      <c r="K499" s="30" t="s">
        <v>70</v>
      </c>
      <c r="L499" s="29" t="str">
        <f t="shared" si="7"/>
        <v>KISORO-KAMPALA</v>
      </c>
      <c r="M499" s="31">
        <v>40</v>
      </c>
      <c r="N499" s="72">
        <v>35000</v>
      </c>
      <c r="O499" s="34">
        <v>9</v>
      </c>
    </row>
    <row r="500" spans="2:15" x14ac:dyDescent="0.2">
      <c r="B500" s="27">
        <v>6.25E-2</v>
      </c>
      <c r="C500" s="28">
        <v>6</v>
      </c>
      <c r="D500" s="33" t="str">
        <f>IF(C500="", "",VLOOKUP(C500,Key!$A$5:$B$7,2,FALSE))</f>
        <v>Large Bus</v>
      </c>
      <c r="E500" s="29" t="s">
        <v>89</v>
      </c>
      <c r="F500" s="29" t="s">
        <v>66</v>
      </c>
      <c r="G500" s="29" t="s">
        <v>84</v>
      </c>
      <c r="H500" s="30" t="s">
        <v>85</v>
      </c>
      <c r="I500" s="29" t="s">
        <v>257</v>
      </c>
      <c r="J500" s="29" t="s">
        <v>70</v>
      </c>
      <c r="K500" s="30" t="s">
        <v>70</v>
      </c>
      <c r="L500" s="29" t="str">
        <f t="shared" si="7"/>
        <v>BUSHENYI-KAMPALA</v>
      </c>
      <c r="M500" s="31">
        <v>52</v>
      </c>
      <c r="N500" s="72">
        <v>25000</v>
      </c>
      <c r="O500" s="34">
        <v>6</v>
      </c>
    </row>
    <row r="501" spans="2:15" x14ac:dyDescent="0.2">
      <c r="B501" s="27">
        <v>0.22916666666666666</v>
      </c>
      <c r="C501" s="28">
        <v>6</v>
      </c>
      <c r="D501" s="33" t="str">
        <f>IF(C501="", "",VLOOKUP(C501,Key!$A$5:$B$7,2,FALSE))</f>
        <v>Large Bus</v>
      </c>
      <c r="E501" s="29" t="s">
        <v>89</v>
      </c>
      <c r="F501" s="29" t="s">
        <v>66</v>
      </c>
      <c r="G501" s="29" t="s">
        <v>86</v>
      </c>
      <c r="H501" s="30" t="s">
        <v>86</v>
      </c>
      <c r="I501" s="29" t="s">
        <v>257</v>
      </c>
      <c r="J501" s="29" t="s">
        <v>70</v>
      </c>
      <c r="K501" s="30" t="s">
        <v>70</v>
      </c>
      <c r="L501" s="29" t="str">
        <f t="shared" si="7"/>
        <v>RUBIRIZI-KAMPALA</v>
      </c>
      <c r="M501" s="31">
        <v>44</v>
      </c>
      <c r="N501" s="72">
        <v>22000</v>
      </c>
      <c r="O501" s="34">
        <v>6.3</v>
      </c>
    </row>
    <row r="502" spans="2:15" x14ac:dyDescent="0.2">
      <c r="B502" s="27">
        <v>0.61041666666666672</v>
      </c>
      <c r="C502" s="28">
        <v>6</v>
      </c>
      <c r="D502" s="33" t="str">
        <f>IF(C502="", "",VLOOKUP(C502,Key!$A$5:$B$7,2,FALSE))</f>
        <v>Large Bus</v>
      </c>
      <c r="E502" s="29" t="s">
        <v>89</v>
      </c>
      <c r="F502" s="29" t="s">
        <v>66</v>
      </c>
      <c r="G502" s="29" t="s">
        <v>84</v>
      </c>
      <c r="H502" s="30" t="s">
        <v>85</v>
      </c>
      <c r="I502" s="29" t="s">
        <v>257</v>
      </c>
      <c r="J502" s="29" t="s">
        <v>70</v>
      </c>
      <c r="K502" s="30" t="s">
        <v>70</v>
      </c>
      <c r="L502" s="29" t="str">
        <f t="shared" si="7"/>
        <v>BUSHENYI-KAMPALA</v>
      </c>
      <c r="M502" s="31">
        <v>25</v>
      </c>
      <c r="N502" s="72">
        <v>25000</v>
      </c>
      <c r="O502" s="34">
        <v>6</v>
      </c>
    </row>
    <row r="503" spans="2:15" x14ac:dyDescent="0.2">
      <c r="B503" s="27">
        <v>0.65625</v>
      </c>
      <c r="C503" s="28">
        <v>6</v>
      </c>
      <c r="D503" s="33" t="str">
        <f>IF(C503="", "",VLOOKUP(C503,Key!$A$5:$B$7,2,FALSE))</f>
        <v>Large Bus</v>
      </c>
      <c r="E503" s="29" t="s">
        <v>89</v>
      </c>
      <c r="F503" s="29" t="s">
        <v>66</v>
      </c>
      <c r="G503" s="29" t="s">
        <v>85</v>
      </c>
      <c r="H503" s="30" t="s">
        <v>70</v>
      </c>
      <c r="I503" s="29" t="s">
        <v>257</v>
      </c>
      <c r="J503" s="29" t="s">
        <v>84</v>
      </c>
      <c r="K503" s="30" t="s">
        <v>84</v>
      </c>
      <c r="L503" s="29" t="str">
        <f t="shared" si="7"/>
        <v>KAMPALA-ISHAKA</v>
      </c>
      <c r="M503" s="31"/>
      <c r="N503" s="72">
        <v>25000</v>
      </c>
      <c r="O503" s="34">
        <v>5.45</v>
      </c>
    </row>
    <row r="504" spans="2:15" x14ac:dyDescent="0.2">
      <c r="B504" s="27">
        <v>0.67361111111111116</v>
      </c>
      <c r="C504" s="28">
        <v>6</v>
      </c>
      <c r="D504" s="33" t="str">
        <f>IF(C504="", "",VLOOKUP(C504,Key!$A$5:$B$7,2,FALSE))</f>
        <v>Large Bus</v>
      </c>
      <c r="E504" s="29" t="s">
        <v>89</v>
      </c>
      <c r="F504" s="29" t="s">
        <v>66</v>
      </c>
      <c r="G504" s="29" t="s">
        <v>84</v>
      </c>
      <c r="H504" s="30" t="s">
        <v>85</v>
      </c>
      <c r="I504" s="29" t="s">
        <v>257</v>
      </c>
      <c r="J504" s="29" t="s">
        <v>70</v>
      </c>
      <c r="K504" s="30" t="s">
        <v>70</v>
      </c>
      <c r="L504" s="29" t="str">
        <f t="shared" si="7"/>
        <v>BUSHENYI-KAMPALA</v>
      </c>
      <c r="M504" s="31">
        <v>15</v>
      </c>
      <c r="N504" s="72">
        <v>25000</v>
      </c>
      <c r="O504" s="34">
        <v>6</v>
      </c>
    </row>
    <row r="505" spans="2:15" x14ac:dyDescent="0.2">
      <c r="B505" s="27">
        <v>0.67708333333333337</v>
      </c>
      <c r="C505" s="28">
        <v>6</v>
      </c>
      <c r="D505" s="33" t="str">
        <f>IF(C505="", "",VLOOKUP(C505,Key!$A$5:$B$7,2,FALSE))</f>
        <v>Large Bus</v>
      </c>
      <c r="E505" s="29" t="s">
        <v>89</v>
      </c>
      <c r="F505" s="29" t="s">
        <v>66</v>
      </c>
      <c r="G505" s="29" t="s">
        <v>84</v>
      </c>
      <c r="H505" s="30" t="s">
        <v>85</v>
      </c>
      <c r="I505" s="29" t="s">
        <v>257</v>
      </c>
      <c r="J505" s="29" t="s">
        <v>70</v>
      </c>
      <c r="K505" s="30" t="s">
        <v>70</v>
      </c>
      <c r="L505" s="29" t="str">
        <f t="shared" si="7"/>
        <v>BUSHENYI-KAMPALA</v>
      </c>
      <c r="M505" s="31">
        <v>65</v>
      </c>
      <c r="N505" s="72">
        <v>25000</v>
      </c>
      <c r="O505" s="34">
        <v>6</v>
      </c>
    </row>
    <row r="506" spans="2:15" x14ac:dyDescent="0.2">
      <c r="B506" s="27">
        <v>0.6875</v>
      </c>
      <c r="C506" s="28">
        <v>6</v>
      </c>
      <c r="D506" s="33" t="str">
        <f>IF(C506="", "",VLOOKUP(C506,Key!$A$5:$B$7,2,FALSE))</f>
        <v>Large Bus</v>
      </c>
      <c r="E506" s="29" t="s">
        <v>89</v>
      </c>
      <c r="F506" s="29" t="s">
        <v>66</v>
      </c>
      <c r="G506" s="29" t="s">
        <v>86</v>
      </c>
      <c r="H506" s="30" t="s">
        <v>86</v>
      </c>
      <c r="I506" s="29" t="s">
        <v>257</v>
      </c>
      <c r="J506" s="29" t="s">
        <v>70</v>
      </c>
      <c r="K506" s="30" t="s">
        <v>70</v>
      </c>
      <c r="L506" s="29" t="str">
        <f t="shared" si="7"/>
        <v>RUBIRIZI-KAMPALA</v>
      </c>
      <c r="M506" s="31">
        <v>35</v>
      </c>
      <c r="N506" s="72">
        <v>21000</v>
      </c>
      <c r="O506" s="34">
        <v>6.3</v>
      </c>
    </row>
    <row r="507" spans="2:15" x14ac:dyDescent="0.2">
      <c r="B507" s="27">
        <v>0.23124999999999998</v>
      </c>
      <c r="C507" s="28">
        <v>6</v>
      </c>
      <c r="D507" s="33" t="str">
        <f>IF(C507="", "",VLOOKUP(C507,Key!$A$5:$B$7,2,FALSE))</f>
        <v>Large Bus</v>
      </c>
      <c r="E507" s="29" t="s">
        <v>89</v>
      </c>
      <c r="F507" s="29" t="s">
        <v>66</v>
      </c>
      <c r="G507" s="29" t="s">
        <v>84</v>
      </c>
      <c r="H507" s="30" t="s">
        <v>85</v>
      </c>
      <c r="I507" s="29" t="s">
        <v>257</v>
      </c>
      <c r="J507" s="29" t="s">
        <v>70</v>
      </c>
      <c r="K507" s="30" t="s">
        <v>70</v>
      </c>
      <c r="L507" s="29" t="str">
        <f t="shared" si="7"/>
        <v>BUSHENYI-KAMPALA</v>
      </c>
      <c r="M507" s="31">
        <v>34</v>
      </c>
      <c r="N507" s="72">
        <v>25000</v>
      </c>
      <c r="O507" s="34">
        <v>6</v>
      </c>
    </row>
    <row r="508" spans="2:15" x14ac:dyDescent="0.2">
      <c r="B508" s="27">
        <v>0.35416666666666669</v>
      </c>
      <c r="C508" s="28">
        <v>6</v>
      </c>
      <c r="D508" s="33" t="str">
        <f>IF(C508="", "",VLOOKUP(C508,Key!$A$5:$B$7,2,FALSE))</f>
        <v>Large Bus</v>
      </c>
      <c r="E508" s="29" t="s">
        <v>89</v>
      </c>
      <c r="F508" s="29" t="s">
        <v>66</v>
      </c>
      <c r="G508" s="29" t="s">
        <v>84</v>
      </c>
      <c r="H508" s="30" t="s">
        <v>85</v>
      </c>
      <c r="I508" s="29" t="s">
        <v>257</v>
      </c>
      <c r="J508" s="29" t="s">
        <v>70</v>
      </c>
      <c r="K508" s="30" t="s">
        <v>70</v>
      </c>
      <c r="L508" s="29" t="str">
        <f t="shared" si="7"/>
        <v>BUSHENYI-KAMPALA</v>
      </c>
      <c r="M508" s="31">
        <v>39</v>
      </c>
      <c r="N508" s="72">
        <v>25000</v>
      </c>
      <c r="O508" s="34">
        <v>6</v>
      </c>
    </row>
    <row r="509" spans="2:15" x14ac:dyDescent="0.2">
      <c r="B509" s="27">
        <v>0.3576388888888889</v>
      </c>
      <c r="C509" s="28">
        <v>6</v>
      </c>
      <c r="D509" s="33" t="str">
        <f>IF(C509="", "",VLOOKUP(C509,Key!$A$5:$B$7,2,FALSE))</f>
        <v>Large Bus</v>
      </c>
      <c r="E509" s="29" t="s">
        <v>89</v>
      </c>
      <c r="F509" s="29" t="s">
        <v>66</v>
      </c>
      <c r="G509" s="29" t="s">
        <v>85</v>
      </c>
      <c r="H509" s="30" t="s">
        <v>70</v>
      </c>
      <c r="I509" s="29" t="s">
        <v>257</v>
      </c>
      <c r="J509" s="29" t="s">
        <v>84</v>
      </c>
      <c r="K509" s="30" t="s">
        <v>84</v>
      </c>
      <c r="L509" s="29" t="str">
        <f t="shared" si="7"/>
        <v>KAMPALA-ISHAKA</v>
      </c>
      <c r="M509" s="31"/>
      <c r="N509" s="72">
        <v>25000</v>
      </c>
      <c r="O509" s="34">
        <v>5.45</v>
      </c>
    </row>
    <row r="510" spans="2:15" x14ac:dyDescent="0.2">
      <c r="B510" s="27">
        <v>0.30694444444444441</v>
      </c>
      <c r="C510" s="28">
        <v>6</v>
      </c>
      <c r="D510" s="33" t="str">
        <f>IF(C510="", "",VLOOKUP(C510,Key!$A$5:$B$7,2,FALSE))</f>
        <v>Large Bus</v>
      </c>
      <c r="E510" s="29" t="s">
        <v>89</v>
      </c>
      <c r="F510" s="29" t="s">
        <v>67</v>
      </c>
      <c r="G510" s="29" t="s">
        <v>70</v>
      </c>
      <c r="H510" s="30" t="s">
        <v>70</v>
      </c>
      <c r="I510" s="29" t="s">
        <v>257</v>
      </c>
      <c r="J510" s="29" t="s">
        <v>83</v>
      </c>
      <c r="K510" s="30" t="s">
        <v>83</v>
      </c>
      <c r="L510" s="29" t="str">
        <f t="shared" si="7"/>
        <v>KAMPALA-KISORO</v>
      </c>
      <c r="M510" s="31">
        <v>67</v>
      </c>
      <c r="N510" s="72">
        <v>40000</v>
      </c>
      <c r="O510" s="34">
        <v>9</v>
      </c>
    </row>
    <row r="511" spans="2:15" x14ac:dyDescent="0.2">
      <c r="B511" s="27">
        <v>0.42986111111111108</v>
      </c>
      <c r="C511" s="28">
        <v>6</v>
      </c>
      <c r="D511" s="33" t="str">
        <f>IF(C511="", "",VLOOKUP(C511,Key!$A$5:$B$7,2,FALSE))</f>
        <v>Large Bus</v>
      </c>
      <c r="E511" s="29" t="s">
        <v>89</v>
      </c>
      <c r="F511" s="29" t="s">
        <v>67</v>
      </c>
      <c r="G511" s="29" t="s">
        <v>70</v>
      </c>
      <c r="H511" s="30" t="s">
        <v>70</v>
      </c>
      <c r="I511" s="29" t="s">
        <v>257</v>
      </c>
      <c r="J511" s="29" t="s">
        <v>83</v>
      </c>
      <c r="K511" s="30" t="s">
        <v>83</v>
      </c>
      <c r="L511" s="29" t="str">
        <f t="shared" si="7"/>
        <v>KAMPALA-KISORO</v>
      </c>
      <c r="M511" s="31">
        <v>67</v>
      </c>
      <c r="N511" s="72">
        <v>40000</v>
      </c>
      <c r="O511" s="34">
        <v>9</v>
      </c>
    </row>
    <row r="512" spans="2:15" x14ac:dyDescent="0.2">
      <c r="B512" s="27">
        <v>0.57291666666666663</v>
      </c>
      <c r="C512" s="28">
        <v>6</v>
      </c>
      <c r="D512" s="33" t="str">
        <f>IF(C512="", "",VLOOKUP(C512,Key!$A$5:$B$7,2,FALSE))</f>
        <v>Large Bus</v>
      </c>
      <c r="E512" s="29" t="s">
        <v>89</v>
      </c>
      <c r="F512" s="29" t="s">
        <v>67</v>
      </c>
      <c r="G512" s="29" t="s">
        <v>70</v>
      </c>
      <c r="H512" s="30" t="s">
        <v>70</v>
      </c>
      <c r="I512" s="29" t="s">
        <v>257</v>
      </c>
      <c r="J512" s="29" t="s">
        <v>83</v>
      </c>
      <c r="K512" s="30" t="s">
        <v>83</v>
      </c>
      <c r="L512" s="29" t="str">
        <f t="shared" si="7"/>
        <v>KAMPALA-KISORO</v>
      </c>
      <c r="M512" s="31">
        <v>67</v>
      </c>
      <c r="N512" s="72">
        <v>40000</v>
      </c>
      <c r="O512" s="34">
        <v>9</v>
      </c>
    </row>
    <row r="513" spans="2:15" x14ac:dyDescent="0.2">
      <c r="B513" s="27">
        <v>0.74583333333333324</v>
      </c>
      <c r="C513" s="28">
        <v>6</v>
      </c>
      <c r="D513" s="33" t="str">
        <f>IF(C513="", "",VLOOKUP(C513,Key!$A$5:$B$7,2,FALSE))</f>
        <v>Large Bus</v>
      </c>
      <c r="E513" s="29" t="s">
        <v>89</v>
      </c>
      <c r="F513" s="29" t="s">
        <v>67</v>
      </c>
      <c r="G513" s="29" t="s">
        <v>70</v>
      </c>
      <c r="H513" s="30" t="s">
        <v>70</v>
      </c>
      <c r="I513" s="29" t="s">
        <v>257</v>
      </c>
      <c r="J513" s="29" t="s">
        <v>83</v>
      </c>
      <c r="K513" s="30" t="s">
        <v>83</v>
      </c>
      <c r="L513" s="29" t="str">
        <f t="shared" si="7"/>
        <v>KAMPALA-KISORO</v>
      </c>
      <c r="M513" s="31">
        <v>67</v>
      </c>
      <c r="N513" s="72">
        <v>40000</v>
      </c>
      <c r="O513" s="34">
        <v>9</v>
      </c>
    </row>
    <row r="514" spans="2:15" x14ac:dyDescent="0.2">
      <c r="B514" s="27">
        <v>0.57916666666666672</v>
      </c>
      <c r="C514" s="28">
        <v>6</v>
      </c>
      <c r="D514" s="33" t="str">
        <f>IF(C514="", "",VLOOKUP(C514,Key!$A$5:$B$7,2,FALSE))</f>
        <v>Large Bus</v>
      </c>
      <c r="E514" s="29" t="s">
        <v>89</v>
      </c>
      <c r="F514" s="29" t="s">
        <v>67</v>
      </c>
      <c r="G514" s="29" t="s">
        <v>70</v>
      </c>
      <c r="H514" s="30" t="s">
        <v>70</v>
      </c>
      <c r="I514" s="29" t="s">
        <v>257</v>
      </c>
      <c r="J514" s="29" t="s">
        <v>83</v>
      </c>
      <c r="K514" s="30" t="s">
        <v>83</v>
      </c>
      <c r="L514" s="29" t="str">
        <f t="shared" si="7"/>
        <v>KAMPALA-KISORO</v>
      </c>
      <c r="M514" s="31">
        <v>66</v>
      </c>
      <c r="N514" s="72">
        <v>40000</v>
      </c>
      <c r="O514" s="34">
        <v>9</v>
      </c>
    </row>
    <row r="515" spans="2:15" x14ac:dyDescent="0.2">
      <c r="B515" s="27">
        <v>0.36944444444444446</v>
      </c>
      <c r="C515" s="28">
        <v>6</v>
      </c>
      <c r="D515" s="33" t="str">
        <f>IF(C515="", "",VLOOKUP(C515,Key!$A$5:$B$7,2,FALSE))</f>
        <v>Large Bus</v>
      </c>
      <c r="E515" s="29" t="s">
        <v>89</v>
      </c>
      <c r="F515" s="29" t="s">
        <v>67</v>
      </c>
      <c r="G515" s="29" t="s">
        <v>70</v>
      </c>
      <c r="H515" s="30" t="s">
        <v>70</v>
      </c>
      <c r="I515" s="29" t="s">
        <v>257</v>
      </c>
      <c r="J515" s="29" t="s">
        <v>84</v>
      </c>
      <c r="K515" s="30" t="s">
        <v>85</v>
      </c>
      <c r="L515" s="29" t="str">
        <f t="shared" si="7"/>
        <v>KAMPALA-BUSHENYI</v>
      </c>
      <c r="M515" s="31">
        <v>70</v>
      </c>
      <c r="N515" s="72">
        <v>25000</v>
      </c>
      <c r="O515" s="34">
        <v>6</v>
      </c>
    </row>
    <row r="516" spans="2:15" x14ac:dyDescent="0.2">
      <c r="B516" s="27">
        <v>0.44444444444444442</v>
      </c>
      <c r="C516" s="28">
        <v>6</v>
      </c>
      <c r="D516" s="33" t="str">
        <f>IF(C516="", "",VLOOKUP(C516,Key!$A$5:$B$7,2,FALSE))</f>
        <v>Large Bus</v>
      </c>
      <c r="E516" s="29" t="s">
        <v>89</v>
      </c>
      <c r="F516" s="29" t="s">
        <v>67</v>
      </c>
      <c r="G516" s="29" t="s">
        <v>70</v>
      </c>
      <c r="H516" s="30" t="s">
        <v>70</v>
      </c>
      <c r="I516" s="29" t="s">
        <v>257</v>
      </c>
      <c r="J516" s="29" t="s">
        <v>84</v>
      </c>
      <c r="K516" s="30" t="s">
        <v>85</v>
      </c>
      <c r="L516" s="29" t="str">
        <f t="shared" si="7"/>
        <v>KAMPALA-BUSHENYI</v>
      </c>
      <c r="M516" s="31">
        <v>70</v>
      </c>
      <c r="N516" s="72">
        <v>25000</v>
      </c>
      <c r="O516" s="34">
        <v>6</v>
      </c>
    </row>
    <row r="517" spans="2:15" x14ac:dyDescent="0.2">
      <c r="B517" s="27">
        <v>0.44027777777777777</v>
      </c>
      <c r="C517" s="28">
        <v>6</v>
      </c>
      <c r="D517" s="33" t="str">
        <f>IF(C517="", "",VLOOKUP(C517,Key!$A$5:$B$7,2,FALSE))</f>
        <v>Large Bus</v>
      </c>
      <c r="E517" s="29" t="s">
        <v>89</v>
      </c>
      <c r="F517" s="29" t="s">
        <v>67</v>
      </c>
      <c r="G517" s="29" t="s">
        <v>70</v>
      </c>
      <c r="H517" s="30" t="s">
        <v>70</v>
      </c>
      <c r="I517" s="29" t="s">
        <v>257</v>
      </c>
      <c r="J517" s="29" t="s">
        <v>84</v>
      </c>
      <c r="K517" s="30" t="s">
        <v>85</v>
      </c>
      <c r="L517" s="29" t="str">
        <f t="shared" si="7"/>
        <v>KAMPALA-BUSHENYI</v>
      </c>
      <c r="M517" s="31">
        <v>65</v>
      </c>
      <c r="N517" s="72">
        <v>25000</v>
      </c>
      <c r="O517" s="34">
        <v>6</v>
      </c>
    </row>
    <row r="518" spans="2:15" x14ac:dyDescent="0.2">
      <c r="B518" s="27">
        <v>0.57013888888888886</v>
      </c>
      <c r="C518" s="28">
        <v>6</v>
      </c>
      <c r="D518" s="33" t="str">
        <f>IF(C518="", "",VLOOKUP(C518,Key!$A$5:$B$7,2,FALSE))</f>
        <v>Large Bus</v>
      </c>
      <c r="E518" s="29" t="s">
        <v>89</v>
      </c>
      <c r="F518" s="29" t="s">
        <v>67</v>
      </c>
      <c r="G518" s="29" t="s">
        <v>70</v>
      </c>
      <c r="H518" s="30" t="s">
        <v>70</v>
      </c>
      <c r="I518" s="29" t="s">
        <v>257</v>
      </c>
      <c r="J518" s="29" t="s">
        <v>84</v>
      </c>
      <c r="K518" s="30" t="s">
        <v>85</v>
      </c>
      <c r="L518" s="29" t="str">
        <f t="shared" si="7"/>
        <v>KAMPALA-BUSHENYI</v>
      </c>
      <c r="M518" s="31">
        <v>65</v>
      </c>
      <c r="N518" s="72">
        <v>25000</v>
      </c>
      <c r="O518" s="34">
        <v>6</v>
      </c>
    </row>
    <row r="519" spans="2:15" x14ac:dyDescent="0.2">
      <c r="B519" s="27">
        <v>0.66527777777777775</v>
      </c>
      <c r="C519" s="28">
        <v>6</v>
      </c>
      <c r="D519" s="33" t="str">
        <f>IF(C519="", "",VLOOKUP(C519,Key!$A$5:$B$7,2,FALSE))</f>
        <v>Large Bus</v>
      </c>
      <c r="E519" s="29" t="s">
        <v>89</v>
      </c>
      <c r="F519" s="29" t="s">
        <v>67</v>
      </c>
      <c r="G519" s="29" t="s">
        <v>70</v>
      </c>
      <c r="H519" s="30" t="s">
        <v>70</v>
      </c>
      <c r="I519" s="29" t="s">
        <v>257</v>
      </c>
      <c r="J519" s="29" t="s">
        <v>84</v>
      </c>
      <c r="K519" s="30" t="s">
        <v>85</v>
      </c>
      <c r="L519" s="29" t="str">
        <f t="shared" si="7"/>
        <v>KAMPALA-BUSHENYI</v>
      </c>
      <c r="M519" s="31">
        <v>65</v>
      </c>
      <c r="N519" s="72">
        <v>25000</v>
      </c>
      <c r="O519" s="34">
        <v>6</v>
      </c>
    </row>
    <row r="520" spans="2:15" x14ac:dyDescent="0.2">
      <c r="B520" s="27">
        <v>0.72013888888888899</v>
      </c>
      <c r="C520" s="28">
        <v>6</v>
      </c>
      <c r="D520" s="33" t="str">
        <f>IF(C520="", "",VLOOKUP(C520,Key!$A$5:$B$7,2,FALSE))</f>
        <v>Large Bus</v>
      </c>
      <c r="E520" s="29" t="s">
        <v>89</v>
      </c>
      <c r="F520" s="29" t="s">
        <v>67</v>
      </c>
      <c r="G520" s="29" t="s">
        <v>70</v>
      </c>
      <c r="H520" s="30" t="s">
        <v>70</v>
      </c>
      <c r="I520" s="29" t="s">
        <v>257</v>
      </c>
      <c r="J520" s="29" t="s">
        <v>84</v>
      </c>
      <c r="K520" s="30" t="s">
        <v>85</v>
      </c>
      <c r="L520" s="29" t="str">
        <f t="shared" si="7"/>
        <v>KAMPALA-BUSHENYI</v>
      </c>
      <c r="M520" s="31">
        <v>65</v>
      </c>
      <c r="N520" s="72">
        <v>25000</v>
      </c>
      <c r="O520" s="34">
        <v>6</v>
      </c>
    </row>
    <row r="521" spans="2:15" x14ac:dyDescent="0.2">
      <c r="B521" s="27">
        <v>0.91736111111111107</v>
      </c>
      <c r="C521" s="28">
        <v>6</v>
      </c>
      <c r="D521" s="33" t="str">
        <f>IF(C521="", "",VLOOKUP(C521,Key!$A$5:$B$7,2,FALSE))</f>
        <v>Large Bus</v>
      </c>
      <c r="E521" s="29" t="s">
        <v>89</v>
      </c>
      <c r="F521" s="29" t="s">
        <v>67</v>
      </c>
      <c r="G521" s="29" t="s">
        <v>70</v>
      </c>
      <c r="H521" s="30" t="s">
        <v>70</v>
      </c>
      <c r="I521" s="29" t="s">
        <v>257</v>
      </c>
      <c r="J521" s="29" t="s">
        <v>84</v>
      </c>
      <c r="K521" s="30" t="s">
        <v>85</v>
      </c>
      <c r="L521" s="29" t="str">
        <f t="shared" si="7"/>
        <v>KAMPALA-BUSHENYI</v>
      </c>
      <c r="M521" s="31">
        <v>65</v>
      </c>
      <c r="N521" s="72">
        <v>25000</v>
      </c>
      <c r="O521" s="34">
        <v>6</v>
      </c>
    </row>
    <row r="522" spans="2:15" x14ac:dyDescent="0.2">
      <c r="B522" s="27">
        <v>0.50208333333333333</v>
      </c>
      <c r="C522" s="28">
        <v>6</v>
      </c>
      <c r="D522" s="33" t="str">
        <f>IF(C522="", "",VLOOKUP(C522,Key!$A$5:$B$7,2,FALSE))</f>
        <v>Large Bus</v>
      </c>
      <c r="E522" s="29" t="s">
        <v>89</v>
      </c>
      <c r="F522" s="29" t="s">
        <v>67</v>
      </c>
      <c r="G522" s="29" t="s">
        <v>70</v>
      </c>
      <c r="H522" s="30" t="s">
        <v>70</v>
      </c>
      <c r="I522" s="29" t="s">
        <v>257</v>
      </c>
      <c r="J522" s="29" t="s">
        <v>84</v>
      </c>
      <c r="K522" s="30" t="s">
        <v>85</v>
      </c>
      <c r="L522" s="29" t="str">
        <f t="shared" ref="L522:L585" si="8">H522&amp;"-"&amp;K522</f>
        <v>KAMPALA-BUSHENYI</v>
      </c>
      <c r="M522" s="31">
        <v>65</v>
      </c>
      <c r="N522" s="72">
        <v>25000</v>
      </c>
      <c r="O522" s="34">
        <v>6</v>
      </c>
    </row>
    <row r="523" spans="2:15" x14ac:dyDescent="0.2">
      <c r="B523" s="45" t="s">
        <v>220</v>
      </c>
      <c r="C523" s="47"/>
      <c r="D523" s="33" t="str">
        <f>IF(C523="", "",VLOOKUP(C523,Key!$A$5:$B$7,2,FALSE))</f>
        <v/>
      </c>
      <c r="E523" s="42" t="s">
        <v>89</v>
      </c>
      <c r="F523" s="48"/>
      <c r="G523" s="47"/>
      <c r="H523" s="47"/>
      <c r="I523" s="47" t="s">
        <v>257</v>
      </c>
      <c r="J523" s="47"/>
      <c r="K523" s="47"/>
      <c r="L523" s="47" t="str">
        <f t="shared" si="8"/>
        <v>-</v>
      </c>
      <c r="M523" s="47"/>
      <c r="N523" s="48"/>
      <c r="O523" s="48"/>
    </row>
    <row r="524" spans="2:15" x14ac:dyDescent="0.2">
      <c r="B524" s="27">
        <v>0.75694444444444453</v>
      </c>
      <c r="C524" s="28">
        <v>6</v>
      </c>
      <c r="D524" s="33" t="str">
        <f>IF(C524="", "",VLOOKUP(C524,Key!$A$5:$B$7,2,FALSE))</f>
        <v>Large Bus</v>
      </c>
      <c r="E524" s="29" t="s">
        <v>89</v>
      </c>
      <c r="F524" s="29" t="s">
        <v>66</v>
      </c>
      <c r="G524" s="29" t="s">
        <v>83</v>
      </c>
      <c r="H524" s="30" t="s">
        <v>83</v>
      </c>
      <c r="I524" s="29" t="s">
        <v>257</v>
      </c>
      <c r="J524" s="29" t="s">
        <v>70</v>
      </c>
      <c r="K524" s="30" t="s">
        <v>70</v>
      </c>
      <c r="L524" s="29" t="str">
        <f t="shared" si="8"/>
        <v>KISORO-KAMPALA</v>
      </c>
      <c r="M524" s="31">
        <v>40</v>
      </c>
      <c r="N524" s="72">
        <v>35000</v>
      </c>
      <c r="O524" s="34">
        <v>9</v>
      </c>
    </row>
    <row r="525" spans="2:15" x14ac:dyDescent="0.2">
      <c r="B525" s="27">
        <v>0.84722222222222221</v>
      </c>
      <c r="C525" s="28">
        <v>6</v>
      </c>
      <c r="D525" s="33" t="str">
        <f>IF(C525="", "",VLOOKUP(C525,Key!$A$5:$B$7,2,FALSE))</f>
        <v>Large Bus</v>
      </c>
      <c r="E525" s="29" t="s">
        <v>89</v>
      </c>
      <c r="F525" s="29" t="s">
        <v>66</v>
      </c>
      <c r="G525" s="29" t="s">
        <v>83</v>
      </c>
      <c r="H525" s="30" t="s">
        <v>83</v>
      </c>
      <c r="I525" s="29" t="s">
        <v>257</v>
      </c>
      <c r="J525" s="29" t="s">
        <v>70</v>
      </c>
      <c r="K525" s="30" t="s">
        <v>70</v>
      </c>
      <c r="L525" s="29" t="str">
        <f t="shared" si="8"/>
        <v>KISORO-KAMPALA</v>
      </c>
      <c r="M525" s="31">
        <v>10</v>
      </c>
      <c r="N525" s="72">
        <v>35000</v>
      </c>
      <c r="O525" s="34">
        <v>9</v>
      </c>
    </row>
    <row r="526" spans="2:15" x14ac:dyDescent="0.2">
      <c r="B526" s="27">
        <v>0.92222222222222217</v>
      </c>
      <c r="C526" s="28">
        <v>6</v>
      </c>
      <c r="D526" s="33" t="str">
        <f>IF(C526="", "",VLOOKUP(C526,Key!$A$5:$B$7,2,FALSE))</f>
        <v>Large Bus</v>
      </c>
      <c r="E526" s="29" t="s">
        <v>89</v>
      </c>
      <c r="F526" s="29" t="s">
        <v>66</v>
      </c>
      <c r="G526" s="29" t="s">
        <v>83</v>
      </c>
      <c r="H526" s="30" t="s">
        <v>83</v>
      </c>
      <c r="I526" s="29" t="s">
        <v>257</v>
      </c>
      <c r="J526" s="29" t="s">
        <v>70</v>
      </c>
      <c r="K526" s="30" t="s">
        <v>70</v>
      </c>
      <c r="L526" s="29" t="str">
        <f t="shared" si="8"/>
        <v>KISORO-KAMPALA</v>
      </c>
      <c r="M526" s="31">
        <v>30</v>
      </c>
      <c r="N526" s="72">
        <v>35000</v>
      </c>
      <c r="O526" s="34">
        <v>9</v>
      </c>
    </row>
    <row r="527" spans="2:15" x14ac:dyDescent="0.2">
      <c r="B527" s="27">
        <v>0.44097222222222227</v>
      </c>
      <c r="C527" s="28">
        <v>6</v>
      </c>
      <c r="D527" s="33" t="str">
        <f>IF(C527="", "",VLOOKUP(C527,Key!$A$5:$B$7,2,FALSE))</f>
        <v>Large Bus</v>
      </c>
      <c r="E527" s="29" t="s">
        <v>89</v>
      </c>
      <c r="F527" s="29" t="s">
        <v>67</v>
      </c>
      <c r="G527" s="29" t="s">
        <v>70</v>
      </c>
      <c r="H527" s="30" t="s">
        <v>70</v>
      </c>
      <c r="I527" s="29" t="s">
        <v>257</v>
      </c>
      <c r="J527" s="29" t="s">
        <v>83</v>
      </c>
      <c r="K527" s="30" t="s">
        <v>83</v>
      </c>
      <c r="L527" s="29" t="str">
        <f t="shared" si="8"/>
        <v>KAMPALA-KISORO</v>
      </c>
      <c r="M527" s="31">
        <v>65</v>
      </c>
      <c r="N527" s="72">
        <v>40000</v>
      </c>
      <c r="O527" s="34">
        <v>9</v>
      </c>
    </row>
    <row r="528" spans="2:15" x14ac:dyDescent="0.2">
      <c r="B528" s="27">
        <v>0.64513888888888882</v>
      </c>
      <c r="C528" s="28">
        <v>6</v>
      </c>
      <c r="D528" s="33" t="str">
        <f>IF(C528="", "",VLOOKUP(C528,Key!$A$5:$B$7,2,FALSE))</f>
        <v>Large Bus</v>
      </c>
      <c r="E528" s="29" t="s">
        <v>89</v>
      </c>
      <c r="F528" s="29" t="s">
        <v>67</v>
      </c>
      <c r="G528" s="29" t="s">
        <v>70</v>
      </c>
      <c r="H528" s="30" t="s">
        <v>70</v>
      </c>
      <c r="I528" s="29" t="s">
        <v>257</v>
      </c>
      <c r="J528" s="29" t="s">
        <v>83</v>
      </c>
      <c r="K528" s="30" t="s">
        <v>83</v>
      </c>
      <c r="L528" s="29" t="str">
        <f t="shared" si="8"/>
        <v>KAMPALA-KISORO</v>
      </c>
      <c r="M528" s="31">
        <v>65</v>
      </c>
      <c r="N528" s="72">
        <v>40000</v>
      </c>
      <c r="O528" s="34">
        <v>9</v>
      </c>
    </row>
    <row r="529" spans="2:15" x14ac:dyDescent="0.2">
      <c r="B529" s="27">
        <v>0.86805555555555547</v>
      </c>
      <c r="C529" s="28">
        <v>6</v>
      </c>
      <c r="D529" s="33" t="str">
        <f>IF(C529="", "",VLOOKUP(C529,Key!$A$5:$B$7,2,FALSE))</f>
        <v>Large Bus</v>
      </c>
      <c r="E529" s="29" t="s">
        <v>89</v>
      </c>
      <c r="F529" s="29" t="s">
        <v>67</v>
      </c>
      <c r="G529" s="29" t="s">
        <v>70</v>
      </c>
      <c r="H529" s="30" t="s">
        <v>70</v>
      </c>
      <c r="I529" s="29" t="s">
        <v>257</v>
      </c>
      <c r="J529" s="29" t="s">
        <v>83</v>
      </c>
      <c r="K529" s="30" t="s">
        <v>83</v>
      </c>
      <c r="L529" s="29" t="str">
        <f t="shared" si="8"/>
        <v>KAMPALA-KISORO</v>
      </c>
      <c r="M529" s="31">
        <v>67</v>
      </c>
      <c r="N529" s="72">
        <v>40000</v>
      </c>
      <c r="O529" s="34">
        <v>9</v>
      </c>
    </row>
    <row r="530" spans="2:15" x14ac:dyDescent="0.2">
      <c r="B530" s="27">
        <v>0.96805555555555556</v>
      </c>
      <c r="C530" s="28">
        <v>6</v>
      </c>
      <c r="D530" s="33" t="str">
        <f>IF(C530="", "",VLOOKUP(C530,Key!$A$5:$B$7,2,FALSE))</f>
        <v>Large Bus</v>
      </c>
      <c r="E530" s="29" t="s">
        <v>89</v>
      </c>
      <c r="F530" s="29" t="s">
        <v>67</v>
      </c>
      <c r="G530" s="29" t="s">
        <v>70</v>
      </c>
      <c r="H530" s="30" t="s">
        <v>70</v>
      </c>
      <c r="I530" s="29" t="s">
        <v>257</v>
      </c>
      <c r="J530" s="29" t="s">
        <v>83</v>
      </c>
      <c r="K530" s="30" t="s">
        <v>83</v>
      </c>
      <c r="L530" s="29" t="str">
        <f t="shared" si="8"/>
        <v>KAMPALA-KISORO</v>
      </c>
      <c r="M530" s="31">
        <v>65</v>
      </c>
      <c r="N530" s="72">
        <v>40000</v>
      </c>
      <c r="O530" s="34">
        <v>9</v>
      </c>
    </row>
    <row r="531" spans="2:15" x14ac:dyDescent="0.2">
      <c r="B531" s="27">
        <v>0.23263888888888887</v>
      </c>
      <c r="C531" s="28">
        <v>6</v>
      </c>
      <c r="D531" s="33" t="str">
        <f>IF(C531="", "",VLOOKUP(C531,Key!$A$5:$B$7,2,FALSE))</f>
        <v>Large Bus</v>
      </c>
      <c r="E531" s="29" t="s">
        <v>89</v>
      </c>
      <c r="F531" s="29" t="s">
        <v>67</v>
      </c>
      <c r="G531" s="29" t="s">
        <v>70</v>
      </c>
      <c r="H531" s="30" t="s">
        <v>70</v>
      </c>
      <c r="I531" s="29" t="s">
        <v>257</v>
      </c>
      <c r="J531" s="29" t="s">
        <v>83</v>
      </c>
      <c r="K531" s="30" t="s">
        <v>83</v>
      </c>
      <c r="L531" s="29" t="str">
        <f t="shared" si="8"/>
        <v>KAMPALA-KISORO</v>
      </c>
      <c r="M531" s="31">
        <v>65</v>
      </c>
      <c r="N531" s="72">
        <v>40000</v>
      </c>
      <c r="O531" s="34">
        <v>9</v>
      </c>
    </row>
    <row r="532" spans="2:15" x14ac:dyDescent="0.2">
      <c r="B532" s="27">
        <v>0.40972222222222227</v>
      </c>
      <c r="C532" s="28">
        <v>6</v>
      </c>
      <c r="D532" s="33" t="str">
        <f>IF(C532="", "",VLOOKUP(C532,Key!$A$5:$B$7,2,FALSE))</f>
        <v>Large Bus</v>
      </c>
      <c r="E532" s="29" t="s">
        <v>89</v>
      </c>
      <c r="F532" s="29" t="s">
        <v>67</v>
      </c>
      <c r="G532" s="29" t="s">
        <v>70</v>
      </c>
      <c r="H532" s="30" t="s">
        <v>70</v>
      </c>
      <c r="I532" s="29" t="s">
        <v>257</v>
      </c>
      <c r="J532" s="29" t="s">
        <v>85</v>
      </c>
      <c r="K532" s="30" t="s">
        <v>85</v>
      </c>
      <c r="L532" s="29" t="str">
        <f t="shared" si="8"/>
        <v>KAMPALA-BUSHENYI</v>
      </c>
      <c r="M532" s="31">
        <v>1</v>
      </c>
      <c r="N532" s="72">
        <v>25000</v>
      </c>
      <c r="O532" s="34">
        <v>6</v>
      </c>
    </row>
    <row r="533" spans="2:15" x14ac:dyDescent="0.2">
      <c r="B533" s="27">
        <v>0.37847222222222227</v>
      </c>
      <c r="C533" s="28">
        <v>6</v>
      </c>
      <c r="D533" s="33" t="str">
        <f>IF(C533="", "",VLOOKUP(C533,Key!$A$5:$B$7,2,FALSE))</f>
        <v>Large Bus</v>
      </c>
      <c r="E533" s="29" t="s">
        <v>89</v>
      </c>
      <c r="F533" s="29" t="s">
        <v>67</v>
      </c>
      <c r="G533" s="29" t="s">
        <v>70</v>
      </c>
      <c r="H533" s="30" t="s">
        <v>70</v>
      </c>
      <c r="I533" s="29" t="s">
        <v>257</v>
      </c>
      <c r="J533" s="29" t="s">
        <v>68</v>
      </c>
      <c r="K533" s="30" t="s">
        <v>68</v>
      </c>
      <c r="L533" s="29" t="str">
        <f t="shared" si="8"/>
        <v>KAMPALA-MBARARA</v>
      </c>
      <c r="M533" s="31">
        <v>2</v>
      </c>
      <c r="N533" s="72">
        <v>20000</v>
      </c>
      <c r="O533" s="34">
        <v>4.9000000000000004</v>
      </c>
    </row>
    <row r="534" spans="2:15" x14ac:dyDescent="0.2">
      <c r="B534" s="27">
        <v>0.4513888888888889</v>
      </c>
      <c r="C534" s="28">
        <v>6</v>
      </c>
      <c r="D534" s="33" t="str">
        <f>IF(C534="", "",VLOOKUP(C534,Key!$A$5:$B$7,2,FALSE))</f>
        <v>Large Bus</v>
      </c>
      <c r="E534" s="29" t="s">
        <v>89</v>
      </c>
      <c r="F534" s="29" t="s">
        <v>67</v>
      </c>
      <c r="G534" s="29" t="s">
        <v>70</v>
      </c>
      <c r="H534" s="30" t="s">
        <v>70</v>
      </c>
      <c r="I534" s="29" t="s">
        <v>257</v>
      </c>
      <c r="J534" s="29" t="s">
        <v>68</v>
      </c>
      <c r="K534" s="30" t="s">
        <v>68</v>
      </c>
      <c r="L534" s="29" t="str">
        <f t="shared" si="8"/>
        <v>KAMPALA-MBARARA</v>
      </c>
      <c r="M534" s="31">
        <v>3</v>
      </c>
      <c r="N534" s="72">
        <v>20000</v>
      </c>
      <c r="O534" s="34">
        <v>4.9000000000000004</v>
      </c>
    </row>
    <row r="535" spans="2:15" x14ac:dyDescent="0.2">
      <c r="B535" s="27">
        <v>0.53611111111111109</v>
      </c>
      <c r="C535" s="28">
        <v>6</v>
      </c>
      <c r="D535" s="33" t="str">
        <f>IF(C535="", "",VLOOKUP(C535,Key!$A$5:$B$7,2,FALSE))</f>
        <v>Large Bus</v>
      </c>
      <c r="E535" s="29" t="s">
        <v>89</v>
      </c>
      <c r="F535" s="29" t="s">
        <v>67</v>
      </c>
      <c r="G535" s="29" t="s">
        <v>70</v>
      </c>
      <c r="H535" s="30" t="s">
        <v>70</v>
      </c>
      <c r="I535" s="29" t="s">
        <v>257</v>
      </c>
      <c r="J535" s="29" t="s">
        <v>68</v>
      </c>
      <c r="K535" s="30" t="s">
        <v>68</v>
      </c>
      <c r="L535" s="29" t="str">
        <f t="shared" si="8"/>
        <v>KAMPALA-MBARARA</v>
      </c>
      <c r="M535" s="31">
        <v>4</v>
      </c>
      <c r="N535" s="72">
        <v>20000</v>
      </c>
      <c r="O535" s="34">
        <v>4.9000000000000004</v>
      </c>
    </row>
    <row r="536" spans="2:15" x14ac:dyDescent="0.2">
      <c r="B536" s="27">
        <v>0.56597222222222221</v>
      </c>
      <c r="C536" s="28">
        <v>6</v>
      </c>
      <c r="D536" s="33" t="str">
        <f>IF(C536="", "",VLOOKUP(C536,Key!$A$5:$B$7,2,FALSE))</f>
        <v>Large Bus</v>
      </c>
      <c r="E536" s="29" t="s">
        <v>89</v>
      </c>
      <c r="F536" s="29" t="s">
        <v>67</v>
      </c>
      <c r="G536" s="29" t="s">
        <v>70</v>
      </c>
      <c r="H536" s="30" t="s">
        <v>70</v>
      </c>
      <c r="I536" s="29" t="s">
        <v>257</v>
      </c>
      <c r="J536" s="29" t="s">
        <v>84</v>
      </c>
      <c r="K536" s="30" t="s">
        <v>84</v>
      </c>
      <c r="L536" s="29" t="str">
        <f t="shared" si="8"/>
        <v>KAMPALA-ISHAKA</v>
      </c>
      <c r="M536" s="31">
        <v>5</v>
      </c>
      <c r="N536" s="72">
        <v>25000</v>
      </c>
      <c r="O536" s="34">
        <v>5.45</v>
      </c>
    </row>
    <row r="537" spans="2:15" x14ac:dyDescent="0.2">
      <c r="B537" s="27">
        <v>0.60763888888888895</v>
      </c>
      <c r="C537" s="28">
        <v>6</v>
      </c>
      <c r="D537" s="33" t="str">
        <f>IF(C537="", "",VLOOKUP(C537,Key!$A$5:$B$7,2,FALSE))</f>
        <v>Large Bus</v>
      </c>
      <c r="E537" s="29" t="s">
        <v>89</v>
      </c>
      <c r="F537" s="29" t="s">
        <v>67</v>
      </c>
      <c r="G537" s="29" t="s">
        <v>70</v>
      </c>
      <c r="H537" s="30" t="s">
        <v>70</v>
      </c>
      <c r="I537" s="29" t="s">
        <v>257</v>
      </c>
      <c r="J537" s="29" t="s">
        <v>84</v>
      </c>
      <c r="K537" s="30" t="s">
        <v>84</v>
      </c>
      <c r="L537" s="29" t="str">
        <f t="shared" si="8"/>
        <v>KAMPALA-ISHAKA</v>
      </c>
      <c r="M537" s="31">
        <v>6</v>
      </c>
      <c r="N537" s="72">
        <v>25000</v>
      </c>
      <c r="O537" s="34">
        <v>5.45</v>
      </c>
    </row>
    <row r="538" spans="2:15" x14ac:dyDescent="0.2">
      <c r="B538" s="27">
        <v>0.6777777777777777</v>
      </c>
      <c r="C538" s="28">
        <v>6</v>
      </c>
      <c r="D538" s="33" t="str">
        <f>IF(C538="", "",VLOOKUP(C538,Key!$A$5:$B$7,2,FALSE))</f>
        <v>Large Bus</v>
      </c>
      <c r="E538" s="29" t="s">
        <v>89</v>
      </c>
      <c r="F538" s="29" t="s">
        <v>67</v>
      </c>
      <c r="G538" s="29" t="s">
        <v>70</v>
      </c>
      <c r="H538" s="30" t="s">
        <v>70</v>
      </c>
      <c r="I538" s="29" t="s">
        <v>257</v>
      </c>
      <c r="J538" s="29" t="s">
        <v>84</v>
      </c>
      <c r="K538" s="30" t="s">
        <v>84</v>
      </c>
      <c r="L538" s="29" t="str">
        <f t="shared" si="8"/>
        <v>KAMPALA-ISHAKA</v>
      </c>
      <c r="M538" s="31">
        <v>7</v>
      </c>
      <c r="N538" s="72">
        <v>25000</v>
      </c>
      <c r="O538" s="34">
        <v>5.45</v>
      </c>
    </row>
    <row r="539" spans="2:15" x14ac:dyDescent="0.2">
      <c r="B539" s="27">
        <v>0.75</v>
      </c>
      <c r="C539" s="28">
        <v>6</v>
      </c>
      <c r="D539" s="33" t="str">
        <f>IF(C539="", "",VLOOKUP(C539,Key!$A$5:$B$7,2,FALSE))</f>
        <v>Large Bus</v>
      </c>
      <c r="E539" s="29" t="s">
        <v>89</v>
      </c>
      <c r="F539" s="29" t="s">
        <v>67</v>
      </c>
      <c r="G539" s="29" t="s">
        <v>70</v>
      </c>
      <c r="H539" s="30" t="s">
        <v>70</v>
      </c>
      <c r="I539" s="29" t="s">
        <v>257</v>
      </c>
      <c r="J539" s="29" t="s">
        <v>84</v>
      </c>
      <c r="K539" s="30" t="s">
        <v>84</v>
      </c>
      <c r="L539" s="29" t="str">
        <f t="shared" si="8"/>
        <v>KAMPALA-ISHAKA</v>
      </c>
      <c r="M539" s="31">
        <v>8</v>
      </c>
      <c r="N539" s="72">
        <v>25000</v>
      </c>
      <c r="O539" s="34">
        <v>5.45</v>
      </c>
    </row>
    <row r="540" spans="2:15" x14ac:dyDescent="0.2">
      <c r="B540" s="27">
        <v>0.8833333333333333</v>
      </c>
      <c r="C540" s="28">
        <v>6</v>
      </c>
      <c r="D540" s="33" t="str">
        <f>IF(C540="", "",VLOOKUP(C540,Key!$A$5:$B$7,2,FALSE))</f>
        <v>Large Bus</v>
      </c>
      <c r="E540" s="29" t="s">
        <v>89</v>
      </c>
      <c r="F540" s="29" t="s">
        <v>67</v>
      </c>
      <c r="G540" s="29" t="s">
        <v>70</v>
      </c>
      <c r="H540" s="30" t="s">
        <v>70</v>
      </c>
      <c r="I540" s="29" t="s">
        <v>257</v>
      </c>
      <c r="J540" s="29" t="s">
        <v>84</v>
      </c>
      <c r="K540" s="30" t="s">
        <v>84</v>
      </c>
      <c r="L540" s="29" t="str">
        <f t="shared" si="8"/>
        <v>KAMPALA-ISHAKA</v>
      </c>
      <c r="M540" s="31">
        <v>9</v>
      </c>
      <c r="N540" s="72">
        <v>25000</v>
      </c>
      <c r="O540" s="34">
        <v>5.45</v>
      </c>
    </row>
    <row r="541" spans="2:15" x14ac:dyDescent="0.2">
      <c r="B541" s="27">
        <v>0.56527777777777777</v>
      </c>
      <c r="C541" s="28">
        <v>6</v>
      </c>
      <c r="D541" s="33" t="str">
        <f>IF(C541="", "",VLOOKUP(C541,Key!$A$5:$B$7,2,FALSE))</f>
        <v>Large Bus</v>
      </c>
      <c r="E541" s="29" t="s">
        <v>89</v>
      </c>
      <c r="F541" s="29" t="s">
        <v>66</v>
      </c>
      <c r="G541" s="29" t="s">
        <v>84</v>
      </c>
      <c r="H541" s="30" t="s">
        <v>85</v>
      </c>
      <c r="I541" s="29" t="s">
        <v>257</v>
      </c>
      <c r="J541" s="29" t="s">
        <v>70</v>
      </c>
      <c r="K541" s="30" t="s">
        <v>70</v>
      </c>
      <c r="L541" s="29" t="str">
        <f t="shared" si="8"/>
        <v>BUSHENYI-KAMPALA</v>
      </c>
      <c r="M541" s="31">
        <v>27</v>
      </c>
      <c r="N541" s="72">
        <v>25000</v>
      </c>
      <c r="O541" s="34">
        <v>6</v>
      </c>
    </row>
    <row r="542" spans="2:15" x14ac:dyDescent="0.2">
      <c r="B542" s="27">
        <v>0.57222222222222219</v>
      </c>
      <c r="C542" s="28">
        <v>6</v>
      </c>
      <c r="D542" s="33" t="str">
        <f>IF(C542="", "",VLOOKUP(C542,Key!$A$5:$B$7,2,FALSE))</f>
        <v>Large Bus</v>
      </c>
      <c r="E542" s="29" t="s">
        <v>89</v>
      </c>
      <c r="F542" s="29" t="s">
        <v>66</v>
      </c>
      <c r="G542" s="29" t="s">
        <v>84</v>
      </c>
      <c r="H542" s="30" t="s">
        <v>85</v>
      </c>
      <c r="I542" s="29" t="s">
        <v>257</v>
      </c>
      <c r="J542" s="29" t="s">
        <v>70</v>
      </c>
      <c r="K542" s="30" t="s">
        <v>70</v>
      </c>
      <c r="L542" s="29" t="str">
        <f t="shared" si="8"/>
        <v>BUSHENYI-KAMPALA</v>
      </c>
      <c r="M542" s="31">
        <v>30</v>
      </c>
      <c r="N542" s="72">
        <v>25000</v>
      </c>
      <c r="O542" s="34">
        <v>6</v>
      </c>
    </row>
    <row r="543" spans="2:15" x14ac:dyDescent="0.2">
      <c r="B543" s="27">
        <v>0.62777777777777777</v>
      </c>
      <c r="C543" s="28">
        <v>6</v>
      </c>
      <c r="D543" s="33" t="str">
        <f>IF(C543="", "",VLOOKUP(C543,Key!$A$5:$B$7,2,FALSE))</f>
        <v>Large Bus</v>
      </c>
      <c r="E543" s="29" t="s">
        <v>89</v>
      </c>
      <c r="F543" s="29" t="s">
        <v>66</v>
      </c>
      <c r="G543" s="29" t="s">
        <v>84</v>
      </c>
      <c r="H543" s="30" t="s">
        <v>85</v>
      </c>
      <c r="I543" s="29" t="s">
        <v>257</v>
      </c>
      <c r="J543" s="29" t="s">
        <v>70</v>
      </c>
      <c r="K543" s="30" t="s">
        <v>70</v>
      </c>
      <c r="L543" s="29" t="str">
        <f t="shared" si="8"/>
        <v>BUSHENYI-KAMPALA</v>
      </c>
      <c r="M543" s="31">
        <v>6</v>
      </c>
      <c r="N543" s="72">
        <v>25000</v>
      </c>
      <c r="O543" s="34">
        <v>6</v>
      </c>
    </row>
    <row r="544" spans="2:15" x14ac:dyDescent="0.2">
      <c r="B544" s="27">
        <v>0.83680555555555547</v>
      </c>
      <c r="C544" s="28">
        <v>6</v>
      </c>
      <c r="D544" s="33" t="str">
        <f>IF(C544="", "",VLOOKUP(C544,Key!$A$5:$B$7,2,FALSE))</f>
        <v>Large Bus</v>
      </c>
      <c r="E544" s="29" t="s">
        <v>89</v>
      </c>
      <c r="F544" s="29" t="s">
        <v>66</v>
      </c>
      <c r="G544" s="29" t="s">
        <v>84</v>
      </c>
      <c r="H544" s="30" t="s">
        <v>85</v>
      </c>
      <c r="I544" s="29" t="s">
        <v>257</v>
      </c>
      <c r="J544" s="29" t="s">
        <v>70</v>
      </c>
      <c r="K544" s="30" t="s">
        <v>70</v>
      </c>
      <c r="L544" s="29" t="str">
        <f t="shared" si="8"/>
        <v>BUSHENYI-KAMPALA</v>
      </c>
      <c r="M544" s="31">
        <v>30</v>
      </c>
      <c r="N544" s="72">
        <v>25000</v>
      </c>
      <c r="O544" s="34">
        <v>6</v>
      </c>
    </row>
    <row r="545" spans="2:15" x14ac:dyDescent="0.2">
      <c r="B545" s="27">
        <v>0.78194444444444444</v>
      </c>
      <c r="C545" s="28">
        <v>6</v>
      </c>
      <c r="D545" s="33" t="str">
        <f>IF(C545="", "",VLOOKUP(C545,Key!$A$5:$B$7,2,FALSE))</f>
        <v>Large Bus</v>
      </c>
      <c r="E545" s="29" t="s">
        <v>89</v>
      </c>
      <c r="F545" s="29" t="s">
        <v>66</v>
      </c>
      <c r="G545" s="29" t="s">
        <v>84</v>
      </c>
      <c r="H545" s="30" t="s">
        <v>85</v>
      </c>
      <c r="I545" s="29" t="s">
        <v>257</v>
      </c>
      <c r="J545" s="29" t="s">
        <v>70</v>
      </c>
      <c r="K545" s="30" t="s">
        <v>70</v>
      </c>
      <c r="L545" s="29" t="str">
        <f t="shared" si="8"/>
        <v>BUSHENYI-KAMPALA</v>
      </c>
      <c r="M545" s="31">
        <v>35</v>
      </c>
      <c r="N545" s="72">
        <v>25000</v>
      </c>
      <c r="O545" s="34">
        <v>6</v>
      </c>
    </row>
    <row r="546" spans="2:15" x14ac:dyDescent="0.2">
      <c r="B546" s="27">
        <v>0.85277777777777775</v>
      </c>
      <c r="C546" s="28">
        <v>6</v>
      </c>
      <c r="D546" s="33" t="str">
        <f>IF(C546="", "",VLOOKUP(C546,Key!$A$5:$B$7,2,FALSE))</f>
        <v>Large Bus</v>
      </c>
      <c r="E546" s="29" t="s">
        <v>89</v>
      </c>
      <c r="F546" s="29" t="s">
        <v>66</v>
      </c>
      <c r="G546" s="29" t="s">
        <v>84</v>
      </c>
      <c r="H546" s="30" t="s">
        <v>85</v>
      </c>
      <c r="I546" s="29" t="s">
        <v>257</v>
      </c>
      <c r="J546" s="29" t="s">
        <v>70</v>
      </c>
      <c r="K546" s="30" t="s">
        <v>70</v>
      </c>
      <c r="L546" s="29" t="str">
        <f t="shared" si="8"/>
        <v>BUSHENYI-KAMPALA</v>
      </c>
      <c r="M546" s="31">
        <v>65</v>
      </c>
      <c r="N546" s="72">
        <v>25000</v>
      </c>
      <c r="O546" s="34">
        <v>6</v>
      </c>
    </row>
    <row r="547" spans="2:15" x14ac:dyDescent="0.2">
      <c r="B547" s="27">
        <v>0.97638888888888886</v>
      </c>
      <c r="C547" s="28">
        <v>6</v>
      </c>
      <c r="D547" s="33" t="str">
        <f>IF(C547="", "",VLOOKUP(C547,Key!$A$5:$B$7,2,FALSE))</f>
        <v>Large Bus</v>
      </c>
      <c r="E547" s="29" t="s">
        <v>89</v>
      </c>
      <c r="F547" s="29" t="s">
        <v>66</v>
      </c>
      <c r="G547" s="29" t="s">
        <v>84</v>
      </c>
      <c r="H547" s="30" t="s">
        <v>85</v>
      </c>
      <c r="I547" s="29" t="s">
        <v>257</v>
      </c>
      <c r="J547" s="29" t="s">
        <v>70</v>
      </c>
      <c r="K547" s="30" t="s">
        <v>70</v>
      </c>
      <c r="L547" s="29" t="str">
        <f t="shared" si="8"/>
        <v>BUSHENYI-KAMPALA</v>
      </c>
      <c r="M547" s="31">
        <v>65</v>
      </c>
      <c r="N547" s="72">
        <v>25000</v>
      </c>
      <c r="O547" s="34">
        <v>6</v>
      </c>
    </row>
    <row r="548" spans="2:15" x14ac:dyDescent="0.2">
      <c r="B548" s="45" t="s">
        <v>221</v>
      </c>
      <c r="C548" s="47"/>
      <c r="D548" s="33" t="str">
        <f>IF(C548="", "",VLOOKUP(C548,Key!$A$5:$B$7,2,FALSE))</f>
        <v/>
      </c>
      <c r="E548" s="42" t="s">
        <v>89</v>
      </c>
      <c r="F548" s="48"/>
      <c r="G548" s="47"/>
      <c r="H548" s="47"/>
      <c r="I548" s="47" t="s">
        <v>257</v>
      </c>
      <c r="J548" s="47"/>
      <c r="K548" s="47"/>
      <c r="L548" s="47" t="str">
        <f t="shared" si="8"/>
        <v>-</v>
      </c>
      <c r="M548" s="47"/>
      <c r="N548" s="48"/>
      <c r="O548" s="48"/>
    </row>
    <row r="549" spans="2:15" x14ac:dyDescent="0.2">
      <c r="B549" s="27">
        <v>7.3611111111111113E-2</v>
      </c>
      <c r="C549" s="28">
        <v>6</v>
      </c>
      <c r="D549" s="33" t="str">
        <f>IF(C549="", "",VLOOKUP(C549,Key!$A$5:$B$7,2,FALSE))</f>
        <v>Large Bus</v>
      </c>
      <c r="E549" s="29" t="s">
        <v>89</v>
      </c>
      <c r="F549" s="29" t="s">
        <v>66</v>
      </c>
      <c r="G549" s="29" t="s">
        <v>84</v>
      </c>
      <c r="H549" s="30" t="s">
        <v>85</v>
      </c>
      <c r="I549" s="29" t="s">
        <v>257</v>
      </c>
      <c r="J549" s="29" t="s">
        <v>70</v>
      </c>
      <c r="K549" s="30" t="s">
        <v>70</v>
      </c>
      <c r="L549" s="29" t="str">
        <f t="shared" si="8"/>
        <v>BUSHENYI-KAMPALA</v>
      </c>
      <c r="M549" s="31">
        <v>50</v>
      </c>
      <c r="N549" s="72">
        <v>25000</v>
      </c>
      <c r="O549" s="34">
        <v>6</v>
      </c>
    </row>
    <row r="550" spans="2:15" x14ac:dyDescent="0.2">
      <c r="B550" s="27">
        <v>0.39513888888888887</v>
      </c>
      <c r="C550" s="28">
        <v>6</v>
      </c>
      <c r="D550" s="33" t="str">
        <f>IF(C550="", "",VLOOKUP(C550,Key!$A$5:$B$7,2,FALSE))</f>
        <v>Large Bus</v>
      </c>
      <c r="E550" s="29" t="s">
        <v>89</v>
      </c>
      <c r="F550" s="29" t="s">
        <v>66</v>
      </c>
      <c r="G550" s="29" t="s">
        <v>84</v>
      </c>
      <c r="H550" s="30" t="s">
        <v>85</v>
      </c>
      <c r="I550" s="29" t="s">
        <v>257</v>
      </c>
      <c r="J550" s="29" t="s">
        <v>70</v>
      </c>
      <c r="K550" s="30" t="s">
        <v>70</v>
      </c>
      <c r="L550" s="29" t="str">
        <f t="shared" si="8"/>
        <v>BUSHENYI-KAMPALA</v>
      </c>
      <c r="M550" s="31">
        <v>50</v>
      </c>
      <c r="N550" s="72">
        <v>25000</v>
      </c>
      <c r="O550" s="34">
        <v>6</v>
      </c>
    </row>
    <row r="551" spans="2:15" x14ac:dyDescent="0.2">
      <c r="B551" s="27">
        <v>0.59375</v>
      </c>
      <c r="C551" s="28">
        <v>6</v>
      </c>
      <c r="D551" s="33" t="str">
        <f>IF(C551="", "",VLOOKUP(C551,Key!$A$5:$B$7,2,FALSE))</f>
        <v>Large Bus</v>
      </c>
      <c r="E551" s="29" t="s">
        <v>89</v>
      </c>
      <c r="F551" s="29" t="s">
        <v>66</v>
      </c>
      <c r="G551" s="29" t="s">
        <v>68</v>
      </c>
      <c r="H551" s="30" t="s">
        <v>68</v>
      </c>
      <c r="I551" s="29" t="s">
        <v>257</v>
      </c>
      <c r="J551" s="29" t="s">
        <v>70</v>
      </c>
      <c r="K551" s="30" t="s">
        <v>70</v>
      </c>
      <c r="L551" s="29" t="str">
        <f t="shared" si="8"/>
        <v>MBARARA-KAMPALA</v>
      </c>
      <c r="M551" s="31">
        <v>50</v>
      </c>
      <c r="N551" s="72">
        <v>20000</v>
      </c>
      <c r="O551" s="34">
        <v>4.9000000000000004</v>
      </c>
    </row>
    <row r="552" spans="2:15" x14ac:dyDescent="0.2">
      <c r="B552" s="27">
        <v>0.67291666666666661</v>
      </c>
      <c r="C552" s="28">
        <v>6</v>
      </c>
      <c r="D552" s="33" t="str">
        <f>IF(C552="", "",VLOOKUP(C552,Key!$A$5:$B$7,2,FALSE))</f>
        <v>Large Bus</v>
      </c>
      <c r="E552" s="29" t="s">
        <v>89</v>
      </c>
      <c r="F552" s="29" t="s">
        <v>66</v>
      </c>
      <c r="G552" s="29" t="s">
        <v>68</v>
      </c>
      <c r="H552" s="30" t="s">
        <v>68</v>
      </c>
      <c r="I552" s="29" t="s">
        <v>257</v>
      </c>
      <c r="J552" s="29" t="s">
        <v>70</v>
      </c>
      <c r="K552" s="30" t="s">
        <v>70</v>
      </c>
      <c r="L552" s="29" t="str">
        <f t="shared" si="8"/>
        <v>MBARARA-KAMPALA</v>
      </c>
      <c r="M552" s="31">
        <v>60</v>
      </c>
      <c r="N552" s="72">
        <v>20000</v>
      </c>
      <c r="O552" s="34">
        <v>4.9000000000000004</v>
      </c>
    </row>
    <row r="553" spans="2:15" x14ac:dyDescent="0.2">
      <c r="B553" s="27">
        <v>0.77916666666666667</v>
      </c>
      <c r="C553" s="28">
        <v>6</v>
      </c>
      <c r="D553" s="33" t="str">
        <f>IF(C553="", "",VLOOKUP(C553,Key!$A$5:$B$7,2,FALSE))</f>
        <v>Large Bus</v>
      </c>
      <c r="E553" s="29" t="s">
        <v>89</v>
      </c>
      <c r="F553" s="29" t="s">
        <v>66</v>
      </c>
      <c r="G553" s="29" t="s">
        <v>84</v>
      </c>
      <c r="H553" s="30" t="s">
        <v>85</v>
      </c>
      <c r="I553" s="29" t="s">
        <v>257</v>
      </c>
      <c r="J553" s="29" t="s">
        <v>70</v>
      </c>
      <c r="K553" s="30" t="s">
        <v>70</v>
      </c>
      <c r="L553" s="29" t="str">
        <f t="shared" si="8"/>
        <v>BUSHENYI-KAMPALA</v>
      </c>
      <c r="M553" s="31">
        <v>45</v>
      </c>
      <c r="N553" s="72">
        <v>25000</v>
      </c>
      <c r="O553" s="34">
        <v>6</v>
      </c>
    </row>
    <row r="554" spans="2:15" x14ac:dyDescent="0.2">
      <c r="B554" s="27">
        <v>0.65138888888888891</v>
      </c>
      <c r="C554" s="28">
        <v>6</v>
      </c>
      <c r="D554" s="33" t="str">
        <f>IF(C554="", "",VLOOKUP(C554,Key!$A$5:$B$7,2,FALSE))</f>
        <v>Large Bus</v>
      </c>
      <c r="E554" s="29" t="s">
        <v>89</v>
      </c>
      <c r="F554" s="29" t="s">
        <v>66</v>
      </c>
      <c r="G554" s="29" t="s">
        <v>84</v>
      </c>
      <c r="H554" s="30" t="s">
        <v>85</v>
      </c>
      <c r="I554" s="29" t="s">
        <v>257</v>
      </c>
      <c r="J554" s="29" t="s">
        <v>70</v>
      </c>
      <c r="K554" s="30" t="s">
        <v>70</v>
      </c>
      <c r="L554" s="29" t="str">
        <f t="shared" si="8"/>
        <v>BUSHENYI-KAMPALA</v>
      </c>
      <c r="M554" s="31">
        <v>34</v>
      </c>
      <c r="N554" s="72">
        <v>25000</v>
      </c>
      <c r="O554" s="34">
        <v>6</v>
      </c>
    </row>
    <row r="555" spans="2:15" x14ac:dyDescent="0.2">
      <c r="B555" s="27">
        <v>0.8847222222222223</v>
      </c>
      <c r="C555" s="28">
        <v>6</v>
      </c>
      <c r="D555" s="33" t="str">
        <f>IF(C555="", "",VLOOKUP(C555,Key!$A$5:$B$7,2,FALSE))</f>
        <v>Large Bus</v>
      </c>
      <c r="E555" s="29" t="s">
        <v>89</v>
      </c>
      <c r="F555" s="29" t="s">
        <v>66</v>
      </c>
      <c r="G555" s="29" t="s">
        <v>84</v>
      </c>
      <c r="H555" s="30" t="s">
        <v>85</v>
      </c>
      <c r="I555" s="29" t="s">
        <v>257</v>
      </c>
      <c r="J555" s="29" t="s">
        <v>70</v>
      </c>
      <c r="K555" s="30" t="s">
        <v>70</v>
      </c>
      <c r="L555" s="29" t="str">
        <f t="shared" si="8"/>
        <v>BUSHENYI-KAMPALA</v>
      </c>
      <c r="M555" s="31">
        <v>37</v>
      </c>
      <c r="N555" s="72">
        <v>25000</v>
      </c>
      <c r="O555" s="34">
        <v>6</v>
      </c>
    </row>
    <row r="556" spans="2:15" x14ac:dyDescent="0.2">
      <c r="B556" s="27">
        <v>0.92569444444444438</v>
      </c>
      <c r="C556" s="28">
        <v>6</v>
      </c>
      <c r="D556" s="33" t="str">
        <f>IF(C556="", "",VLOOKUP(C556,Key!$A$5:$B$7,2,FALSE))</f>
        <v>Large Bus</v>
      </c>
      <c r="E556" s="29" t="s">
        <v>89</v>
      </c>
      <c r="F556" s="29" t="s">
        <v>66</v>
      </c>
      <c r="G556" s="29" t="s">
        <v>84</v>
      </c>
      <c r="H556" s="30" t="s">
        <v>85</v>
      </c>
      <c r="I556" s="29" t="s">
        <v>257</v>
      </c>
      <c r="J556" s="29" t="s">
        <v>70</v>
      </c>
      <c r="K556" s="30" t="s">
        <v>70</v>
      </c>
      <c r="L556" s="29" t="str">
        <f t="shared" si="8"/>
        <v>BUSHENYI-KAMPALA</v>
      </c>
      <c r="M556" s="31">
        <v>29</v>
      </c>
      <c r="N556" s="72">
        <v>25000</v>
      </c>
      <c r="O556" s="34">
        <v>6</v>
      </c>
    </row>
    <row r="557" spans="2:15" x14ac:dyDescent="0.2">
      <c r="B557" s="27">
        <v>0.60486111111111118</v>
      </c>
      <c r="C557" s="28">
        <v>6</v>
      </c>
      <c r="D557" s="33" t="str">
        <f>IF(C557="", "",VLOOKUP(C557,Key!$A$5:$B$7,2,FALSE))</f>
        <v>Large Bus</v>
      </c>
      <c r="E557" s="29" t="s">
        <v>89</v>
      </c>
      <c r="F557" s="29" t="s">
        <v>66</v>
      </c>
      <c r="G557" s="29" t="s">
        <v>83</v>
      </c>
      <c r="H557" s="30" t="s">
        <v>83</v>
      </c>
      <c r="I557" s="29" t="s">
        <v>257</v>
      </c>
      <c r="J557" s="29" t="s">
        <v>70</v>
      </c>
      <c r="K557" s="30" t="s">
        <v>70</v>
      </c>
      <c r="L557" s="29" t="str">
        <f t="shared" si="8"/>
        <v>KISORO-KAMPALA</v>
      </c>
      <c r="M557" s="31">
        <v>46</v>
      </c>
      <c r="N557" s="72">
        <v>35000</v>
      </c>
      <c r="O557" s="34">
        <v>9</v>
      </c>
    </row>
    <row r="558" spans="2:15" x14ac:dyDescent="0.2">
      <c r="B558" s="27">
        <v>0.78680555555555554</v>
      </c>
      <c r="C558" s="28">
        <v>6</v>
      </c>
      <c r="D558" s="33" t="str">
        <f>IF(C558="", "",VLOOKUP(C558,Key!$A$5:$B$7,2,FALSE))</f>
        <v>Large Bus</v>
      </c>
      <c r="E558" s="29" t="s">
        <v>89</v>
      </c>
      <c r="F558" s="29" t="s">
        <v>66</v>
      </c>
      <c r="G558" s="29" t="s">
        <v>83</v>
      </c>
      <c r="H558" s="30" t="s">
        <v>83</v>
      </c>
      <c r="I558" s="29" t="s">
        <v>257</v>
      </c>
      <c r="J558" s="29" t="s">
        <v>70</v>
      </c>
      <c r="K558" s="30" t="s">
        <v>70</v>
      </c>
      <c r="L558" s="29" t="str">
        <f t="shared" si="8"/>
        <v>KISORO-KAMPALA</v>
      </c>
      <c r="M558" s="31">
        <v>53</v>
      </c>
      <c r="N558" s="72">
        <v>35000</v>
      </c>
      <c r="O558" s="34">
        <v>9</v>
      </c>
    </row>
    <row r="559" spans="2:15" x14ac:dyDescent="0.2">
      <c r="B559" s="27">
        <v>0.86111111111111116</v>
      </c>
      <c r="C559" s="28">
        <v>6</v>
      </c>
      <c r="D559" s="33" t="str">
        <f>IF(C559="", "",VLOOKUP(C559,Key!$A$5:$B$7,2,FALSE))</f>
        <v>Large Bus</v>
      </c>
      <c r="E559" s="29" t="s">
        <v>89</v>
      </c>
      <c r="F559" s="29" t="s">
        <v>66</v>
      </c>
      <c r="G559" s="29" t="s">
        <v>83</v>
      </c>
      <c r="H559" s="30" t="s">
        <v>83</v>
      </c>
      <c r="I559" s="29" t="s">
        <v>257</v>
      </c>
      <c r="J559" s="29" t="s">
        <v>70</v>
      </c>
      <c r="K559" s="30" t="s">
        <v>70</v>
      </c>
      <c r="L559" s="29" t="str">
        <f t="shared" si="8"/>
        <v>KISORO-KAMPALA</v>
      </c>
      <c r="M559" s="31">
        <v>440</v>
      </c>
      <c r="N559" s="72">
        <v>35000</v>
      </c>
      <c r="O559" s="34">
        <v>9</v>
      </c>
    </row>
    <row r="560" spans="2:15" x14ac:dyDescent="0.2">
      <c r="B560" s="27">
        <v>0.88541666666666663</v>
      </c>
      <c r="C560" s="28">
        <v>6</v>
      </c>
      <c r="D560" s="33" t="str">
        <f>IF(C560="", "",VLOOKUP(C560,Key!$A$5:$B$7,2,FALSE))</f>
        <v>Large Bus</v>
      </c>
      <c r="E560" s="29" t="s">
        <v>89</v>
      </c>
      <c r="F560" s="29" t="s">
        <v>66</v>
      </c>
      <c r="G560" s="29" t="s">
        <v>83</v>
      </c>
      <c r="H560" s="30" t="s">
        <v>83</v>
      </c>
      <c r="I560" s="29" t="s">
        <v>257</v>
      </c>
      <c r="J560" s="29" t="s">
        <v>70</v>
      </c>
      <c r="K560" s="30" t="s">
        <v>70</v>
      </c>
      <c r="L560" s="29" t="str">
        <f t="shared" si="8"/>
        <v>KISORO-KAMPALA</v>
      </c>
      <c r="M560" s="31">
        <v>40</v>
      </c>
      <c r="N560" s="72">
        <v>35000</v>
      </c>
      <c r="O560" s="34">
        <v>9</v>
      </c>
    </row>
    <row r="561" spans="2:15" x14ac:dyDescent="0.2">
      <c r="B561" s="27">
        <v>0.23263888888888887</v>
      </c>
      <c r="C561" s="28">
        <v>6</v>
      </c>
      <c r="D561" s="33" t="str">
        <f>IF(C561="", "",VLOOKUP(C561,Key!$A$5:$B$7,2,FALSE))</f>
        <v>Large Bus</v>
      </c>
      <c r="E561" s="29" t="s">
        <v>89</v>
      </c>
      <c r="F561" s="29" t="s">
        <v>67</v>
      </c>
      <c r="G561" s="29" t="s">
        <v>70</v>
      </c>
      <c r="H561" s="30" t="s">
        <v>70</v>
      </c>
      <c r="I561" s="29" t="s">
        <v>257</v>
      </c>
      <c r="J561" s="29" t="s">
        <v>83</v>
      </c>
      <c r="K561" s="30" t="s">
        <v>83</v>
      </c>
      <c r="L561" s="29" t="str">
        <f t="shared" si="8"/>
        <v>KAMPALA-KISORO</v>
      </c>
      <c r="M561" s="31">
        <v>65</v>
      </c>
      <c r="N561" s="72">
        <v>40000</v>
      </c>
      <c r="O561" s="34">
        <v>9</v>
      </c>
    </row>
    <row r="562" spans="2:15" x14ac:dyDescent="0.2">
      <c r="B562" s="27">
        <v>0.43402777777777773</v>
      </c>
      <c r="C562" s="28">
        <v>6</v>
      </c>
      <c r="D562" s="33" t="str">
        <f>IF(C562="", "",VLOOKUP(C562,Key!$A$5:$B$7,2,FALSE))</f>
        <v>Large Bus</v>
      </c>
      <c r="E562" s="29" t="s">
        <v>89</v>
      </c>
      <c r="F562" s="29" t="s">
        <v>67</v>
      </c>
      <c r="G562" s="29" t="s">
        <v>70</v>
      </c>
      <c r="H562" s="30" t="s">
        <v>70</v>
      </c>
      <c r="I562" s="29" t="s">
        <v>257</v>
      </c>
      <c r="J562" s="29" t="s">
        <v>83</v>
      </c>
      <c r="K562" s="30" t="s">
        <v>83</v>
      </c>
      <c r="L562" s="29" t="str">
        <f t="shared" si="8"/>
        <v>KAMPALA-KISORO</v>
      </c>
      <c r="M562" s="31">
        <v>65</v>
      </c>
      <c r="N562" s="72">
        <v>40000</v>
      </c>
      <c r="O562" s="34">
        <v>9</v>
      </c>
    </row>
    <row r="563" spans="2:15" x14ac:dyDescent="0.2">
      <c r="B563" s="27">
        <v>0.16388888888888889</v>
      </c>
      <c r="C563" s="28">
        <v>6</v>
      </c>
      <c r="D563" s="33" t="str">
        <f>IF(C563="", "",VLOOKUP(C563,Key!$A$5:$B$7,2,FALSE))</f>
        <v>Large Bus</v>
      </c>
      <c r="E563" s="29" t="s">
        <v>89</v>
      </c>
      <c r="F563" s="29" t="s">
        <v>67</v>
      </c>
      <c r="G563" s="29" t="s">
        <v>70</v>
      </c>
      <c r="H563" s="30" t="s">
        <v>70</v>
      </c>
      <c r="I563" s="29" t="s">
        <v>257</v>
      </c>
      <c r="J563" s="29" t="s">
        <v>83</v>
      </c>
      <c r="K563" s="30" t="s">
        <v>83</v>
      </c>
      <c r="L563" s="29" t="str">
        <f t="shared" si="8"/>
        <v>KAMPALA-KISORO</v>
      </c>
      <c r="M563" s="31">
        <v>65</v>
      </c>
      <c r="N563" s="72">
        <v>40000</v>
      </c>
      <c r="O563" s="34">
        <v>9</v>
      </c>
    </row>
    <row r="564" spans="2:15" x14ac:dyDescent="0.2">
      <c r="B564" s="27" t="s">
        <v>74</v>
      </c>
      <c r="C564" s="28">
        <v>6</v>
      </c>
      <c r="D564" s="33" t="str">
        <f>IF(C564="", "",VLOOKUP(C564,Key!$A$5:$B$7,2,FALSE))</f>
        <v>Large Bus</v>
      </c>
      <c r="E564" s="29" t="s">
        <v>89</v>
      </c>
      <c r="F564" s="29" t="s">
        <v>67</v>
      </c>
      <c r="G564" s="29" t="s">
        <v>70</v>
      </c>
      <c r="H564" s="30" t="s">
        <v>70</v>
      </c>
      <c r="I564" s="29" t="s">
        <v>257</v>
      </c>
      <c r="J564" s="29" t="s">
        <v>83</v>
      </c>
      <c r="K564" s="30" t="s">
        <v>83</v>
      </c>
      <c r="L564" s="29" t="str">
        <f t="shared" si="8"/>
        <v>KAMPALA-KISORO</v>
      </c>
      <c r="M564" s="31">
        <v>67</v>
      </c>
      <c r="N564" s="72">
        <v>40000</v>
      </c>
      <c r="O564" s="34">
        <v>9</v>
      </c>
    </row>
    <row r="565" spans="2:15" x14ac:dyDescent="0.2">
      <c r="B565" s="27" t="s">
        <v>75</v>
      </c>
      <c r="C565" s="28">
        <v>6</v>
      </c>
      <c r="D565" s="33" t="str">
        <f>IF(C565="", "",VLOOKUP(C565,Key!$A$5:$B$7,2,FALSE))</f>
        <v>Large Bus</v>
      </c>
      <c r="E565" s="29" t="s">
        <v>89</v>
      </c>
      <c r="F565" s="29" t="s">
        <v>67</v>
      </c>
      <c r="G565" s="29" t="s">
        <v>70</v>
      </c>
      <c r="H565" s="30" t="s">
        <v>70</v>
      </c>
      <c r="I565" s="29" t="s">
        <v>257</v>
      </c>
      <c r="J565" s="29" t="s">
        <v>83</v>
      </c>
      <c r="K565" s="30" t="s">
        <v>83</v>
      </c>
      <c r="L565" s="29" t="str">
        <f t="shared" si="8"/>
        <v>KAMPALA-KISORO</v>
      </c>
      <c r="M565" s="31">
        <v>67</v>
      </c>
      <c r="N565" s="72">
        <v>40000</v>
      </c>
      <c r="O565" s="34">
        <v>9</v>
      </c>
    </row>
    <row r="566" spans="2:15" x14ac:dyDescent="0.2">
      <c r="B566" s="27">
        <v>0.33124999999999999</v>
      </c>
      <c r="C566" s="28">
        <v>6</v>
      </c>
      <c r="D566" s="33" t="str">
        <f>IF(C566="", "",VLOOKUP(C566,Key!$A$5:$B$7,2,FALSE))</f>
        <v>Large Bus</v>
      </c>
      <c r="E566" s="29" t="s">
        <v>89</v>
      </c>
      <c r="F566" s="29" t="s">
        <v>67</v>
      </c>
      <c r="G566" s="29" t="s">
        <v>70</v>
      </c>
      <c r="H566" s="30" t="s">
        <v>70</v>
      </c>
      <c r="I566" s="29" t="s">
        <v>257</v>
      </c>
      <c r="J566" s="29" t="s">
        <v>84</v>
      </c>
      <c r="K566" s="30" t="s">
        <v>85</v>
      </c>
      <c r="L566" s="29" t="str">
        <f t="shared" si="8"/>
        <v>KAMPALA-BUSHENYI</v>
      </c>
      <c r="M566" s="31">
        <v>67</v>
      </c>
      <c r="N566" s="72">
        <v>25000</v>
      </c>
      <c r="O566" s="34">
        <v>6</v>
      </c>
    </row>
    <row r="567" spans="2:15" x14ac:dyDescent="0.2">
      <c r="B567" s="27">
        <v>0.40972222222222227</v>
      </c>
      <c r="C567" s="28">
        <v>6</v>
      </c>
      <c r="D567" s="33" t="str">
        <f>IF(C567="", "",VLOOKUP(C567,Key!$A$5:$B$7,2,FALSE))</f>
        <v>Large Bus</v>
      </c>
      <c r="E567" s="29" t="s">
        <v>89</v>
      </c>
      <c r="F567" s="29" t="s">
        <v>67</v>
      </c>
      <c r="G567" s="29" t="s">
        <v>70</v>
      </c>
      <c r="H567" s="30" t="s">
        <v>70</v>
      </c>
      <c r="I567" s="29" t="s">
        <v>257</v>
      </c>
      <c r="J567" s="29" t="s">
        <v>84</v>
      </c>
      <c r="K567" s="30" t="s">
        <v>85</v>
      </c>
      <c r="L567" s="29" t="str">
        <f t="shared" si="8"/>
        <v>KAMPALA-BUSHENYI</v>
      </c>
      <c r="M567" s="31">
        <v>67</v>
      </c>
      <c r="N567" s="72">
        <v>25000</v>
      </c>
      <c r="O567" s="34">
        <v>6</v>
      </c>
    </row>
    <row r="568" spans="2:15" x14ac:dyDescent="0.2">
      <c r="B568" s="27">
        <v>0.47916666666666669</v>
      </c>
      <c r="C568" s="28">
        <v>6</v>
      </c>
      <c r="D568" s="33" t="str">
        <f>IF(C568="", "",VLOOKUP(C568,Key!$A$5:$B$7,2,FALSE))</f>
        <v>Large Bus</v>
      </c>
      <c r="E568" s="29" t="s">
        <v>89</v>
      </c>
      <c r="F568" s="29" t="s">
        <v>67</v>
      </c>
      <c r="G568" s="29" t="s">
        <v>70</v>
      </c>
      <c r="H568" s="30" t="s">
        <v>70</v>
      </c>
      <c r="I568" s="29" t="s">
        <v>257</v>
      </c>
      <c r="J568" s="29" t="s">
        <v>84</v>
      </c>
      <c r="K568" s="30" t="s">
        <v>85</v>
      </c>
      <c r="L568" s="29" t="str">
        <f t="shared" si="8"/>
        <v>KAMPALA-BUSHENYI</v>
      </c>
      <c r="M568" s="31">
        <v>67</v>
      </c>
      <c r="N568" s="72">
        <v>25000</v>
      </c>
      <c r="O568" s="34">
        <v>6</v>
      </c>
    </row>
    <row r="569" spans="2:15" x14ac:dyDescent="0.2">
      <c r="B569" s="27">
        <v>0.53402777777777777</v>
      </c>
      <c r="C569" s="28">
        <v>6</v>
      </c>
      <c r="D569" s="33" t="str">
        <f>IF(C569="", "",VLOOKUP(C569,Key!$A$5:$B$7,2,FALSE))</f>
        <v>Large Bus</v>
      </c>
      <c r="E569" s="29" t="s">
        <v>89</v>
      </c>
      <c r="F569" s="29" t="s">
        <v>67</v>
      </c>
      <c r="G569" s="29" t="s">
        <v>70</v>
      </c>
      <c r="H569" s="30" t="s">
        <v>70</v>
      </c>
      <c r="I569" s="29" t="s">
        <v>257</v>
      </c>
      <c r="J569" s="29" t="s">
        <v>84</v>
      </c>
      <c r="K569" s="30" t="s">
        <v>85</v>
      </c>
      <c r="L569" s="29" t="str">
        <f t="shared" si="8"/>
        <v>KAMPALA-BUSHENYI</v>
      </c>
      <c r="M569" s="31">
        <v>67</v>
      </c>
      <c r="N569" s="72">
        <v>25000</v>
      </c>
      <c r="O569" s="34">
        <v>6</v>
      </c>
    </row>
    <row r="570" spans="2:15" x14ac:dyDescent="0.2">
      <c r="B570" s="27">
        <v>0.63888888888888895</v>
      </c>
      <c r="C570" s="28">
        <v>6</v>
      </c>
      <c r="D570" s="33" t="str">
        <f>IF(C570="", "",VLOOKUP(C570,Key!$A$5:$B$7,2,FALSE))</f>
        <v>Large Bus</v>
      </c>
      <c r="E570" s="29" t="s">
        <v>89</v>
      </c>
      <c r="F570" s="29" t="s">
        <v>67</v>
      </c>
      <c r="G570" s="29" t="s">
        <v>70</v>
      </c>
      <c r="H570" s="30" t="s">
        <v>70</v>
      </c>
      <c r="I570" s="29" t="s">
        <v>257</v>
      </c>
      <c r="J570" s="29" t="s">
        <v>84</v>
      </c>
      <c r="K570" s="30" t="s">
        <v>85</v>
      </c>
      <c r="L570" s="29" t="str">
        <f t="shared" si="8"/>
        <v>KAMPALA-BUSHENYI</v>
      </c>
      <c r="M570" s="31">
        <v>67</v>
      </c>
      <c r="N570" s="72">
        <v>25000</v>
      </c>
      <c r="O570" s="34">
        <v>6</v>
      </c>
    </row>
    <row r="571" spans="2:15" x14ac:dyDescent="0.2">
      <c r="B571" s="27">
        <v>0.72083333333333333</v>
      </c>
      <c r="C571" s="28">
        <v>6</v>
      </c>
      <c r="D571" s="33" t="str">
        <f>IF(C571="", "",VLOOKUP(C571,Key!$A$5:$B$7,2,FALSE))</f>
        <v>Large Bus</v>
      </c>
      <c r="E571" s="29" t="s">
        <v>89</v>
      </c>
      <c r="F571" s="29" t="s">
        <v>67</v>
      </c>
      <c r="G571" s="29" t="s">
        <v>70</v>
      </c>
      <c r="H571" s="30" t="s">
        <v>70</v>
      </c>
      <c r="I571" s="29" t="s">
        <v>257</v>
      </c>
      <c r="J571" s="29" t="s">
        <v>84</v>
      </c>
      <c r="K571" s="30" t="s">
        <v>85</v>
      </c>
      <c r="L571" s="29" t="str">
        <f t="shared" si="8"/>
        <v>KAMPALA-BUSHENYI</v>
      </c>
      <c r="M571" s="31">
        <v>67</v>
      </c>
      <c r="N571" s="72">
        <v>25000</v>
      </c>
      <c r="O571" s="34">
        <v>6</v>
      </c>
    </row>
    <row r="572" spans="2:15" x14ac:dyDescent="0.2">
      <c r="B572" s="27">
        <v>0.84027777777777779</v>
      </c>
      <c r="C572" s="28">
        <v>6</v>
      </c>
      <c r="D572" s="33" t="str">
        <f>IF(C572="", "",VLOOKUP(C572,Key!$A$5:$B$7,2,FALSE))</f>
        <v>Large Bus</v>
      </c>
      <c r="E572" s="29" t="s">
        <v>89</v>
      </c>
      <c r="F572" s="29" t="s">
        <v>67</v>
      </c>
      <c r="G572" s="29" t="s">
        <v>70</v>
      </c>
      <c r="H572" s="30" t="s">
        <v>70</v>
      </c>
      <c r="I572" s="29" t="s">
        <v>257</v>
      </c>
      <c r="J572" s="29" t="s">
        <v>84</v>
      </c>
      <c r="K572" s="30" t="s">
        <v>85</v>
      </c>
      <c r="L572" s="29" t="str">
        <f t="shared" si="8"/>
        <v>KAMPALA-BUSHENYI</v>
      </c>
      <c r="M572" s="31">
        <v>65</v>
      </c>
      <c r="N572" s="72">
        <v>25000</v>
      </c>
      <c r="O572" s="34">
        <v>6</v>
      </c>
    </row>
    <row r="573" spans="2:15" x14ac:dyDescent="0.2">
      <c r="B573" s="27">
        <v>0.91111111111111109</v>
      </c>
      <c r="C573" s="28">
        <v>6</v>
      </c>
      <c r="D573" s="33" t="str">
        <f>IF(C573="", "",VLOOKUP(C573,Key!$A$5:$B$7,2,FALSE))</f>
        <v>Large Bus</v>
      </c>
      <c r="E573" s="29" t="s">
        <v>89</v>
      </c>
      <c r="F573" s="29" t="s">
        <v>67</v>
      </c>
      <c r="G573" s="29" t="s">
        <v>70</v>
      </c>
      <c r="H573" s="30" t="s">
        <v>70</v>
      </c>
      <c r="I573" s="29" t="s">
        <v>257</v>
      </c>
      <c r="J573" s="29" t="s">
        <v>84</v>
      </c>
      <c r="K573" s="30" t="s">
        <v>85</v>
      </c>
      <c r="L573" s="29" t="str">
        <f t="shared" si="8"/>
        <v>KAMPALA-BUSHENYI</v>
      </c>
      <c r="M573" s="31">
        <v>65</v>
      </c>
      <c r="N573" s="72">
        <v>25000</v>
      </c>
      <c r="O573" s="34">
        <v>6</v>
      </c>
    </row>
    <row r="574" spans="2:15" x14ac:dyDescent="0.2">
      <c r="B574" s="27">
        <v>1.0416666666666666E-2</v>
      </c>
      <c r="C574" s="28">
        <v>6</v>
      </c>
      <c r="D574" s="33" t="str">
        <f>IF(C574="", "",VLOOKUP(C574,Key!$A$5:$B$7,2,FALSE))</f>
        <v>Large Bus</v>
      </c>
      <c r="E574" s="29" t="s">
        <v>89</v>
      </c>
      <c r="F574" s="29" t="s">
        <v>67</v>
      </c>
      <c r="G574" s="29" t="s">
        <v>70</v>
      </c>
      <c r="H574" s="30" t="s">
        <v>70</v>
      </c>
      <c r="I574" s="29" t="s">
        <v>257</v>
      </c>
      <c r="J574" s="29" t="s">
        <v>84</v>
      </c>
      <c r="K574" s="30" t="s">
        <v>85</v>
      </c>
      <c r="L574" s="29" t="str">
        <f t="shared" si="8"/>
        <v>KAMPALA-BUSHENYI</v>
      </c>
      <c r="M574" s="31">
        <v>65</v>
      </c>
      <c r="N574" s="72">
        <v>25000</v>
      </c>
      <c r="O574" s="34">
        <v>6</v>
      </c>
    </row>
    <row r="575" spans="2:15" x14ac:dyDescent="0.2">
      <c r="B575" s="45" t="s">
        <v>222</v>
      </c>
      <c r="C575" s="47"/>
      <c r="D575" s="33" t="str">
        <f>IF(C575="", "",VLOOKUP(C575,Key!$A$5:$B$7,2,FALSE))</f>
        <v/>
      </c>
      <c r="E575" s="42" t="s">
        <v>89</v>
      </c>
      <c r="F575" s="48"/>
      <c r="G575" s="47"/>
      <c r="H575" s="47"/>
      <c r="I575" s="47" t="s">
        <v>257</v>
      </c>
      <c r="J575" s="47"/>
      <c r="K575" s="47"/>
      <c r="L575" s="47" t="str">
        <f t="shared" si="8"/>
        <v>-</v>
      </c>
      <c r="M575" s="47"/>
      <c r="N575" s="48"/>
      <c r="O575" s="48"/>
    </row>
    <row r="576" spans="2:15" x14ac:dyDescent="0.2">
      <c r="B576" s="27" t="s">
        <v>76</v>
      </c>
      <c r="C576" s="28">
        <v>6</v>
      </c>
      <c r="D576" s="33" t="str">
        <f>IF(C576="", "",VLOOKUP(C576,Key!$A$5:$B$7,2,FALSE))</f>
        <v>Large Bus</v>
      </c>
      <c r="E576" s="29" t="s">
        <v>89</v>
      </c>
      <c r="F576" s="29" t="s">
        <v>66</v>
      </c>
      <c r="G576" s="29" t="s">
        <v>84</v>
      </c>
      <c r="H576" s="30" t="s">
        <v>85</v>
      </c>
      <c r="I576" s="29" t="s">
        <v>257</v>
      </c>
      <c r="J576" s="29" t="s">
        <v>70</v>
      </c>
      <c r="K576" s="30" t="s">
        <v>70</v>
      </c>
      <c r="L576" s="29" t="str">
        <f t="shared" si="8"/>
        <v>BUSHENYI-KAMPALA</v>
      </c>
      <c r="M576" s="31">
        <v>65</v>
      </c>
      <c r="N576" s="72">
        <v>25000</v>
      </c>
      <c r="O576" s="34">
        <v>6</v>
      </c>
    </row>
    <row r="577" spans="2:15" x14ac:dyDescent="0.2">
      <c r="B577" s="27">
        <v>0.15</v>
      </c>
      <c r="C577" s="28">
        <v>6</v>
      </c>
      <c r="D577" s="33" t="str">
        <f>IF(C577="", "",VLOOKUP(C577,Key!$A$5:$B$7,2,FALSE))</f>
        <v>Large Bus</v>
      </c>
      <c r="E577" s="29" t="s">
        <v>89</v>
      </c>
      <c r="F577" s="29" t="s">
        <v>66</v>
      </c>
      <c r="G577" s="29" t="s">
        <v>83</v>
      </c>
      <c r="H577" s="30" t="s">
        <v>83</v>
      </c>
      <c r="I577" s="29" t="s">
        <v>257</v>
      </c>
      <c r="J577" s="29" t="s">
        <v>70</v>
      </c>
      <c r="K577" s="30" t="s">
        <v>70</v>
      </c>
      <c r="L577" s="29" t="str">
        <f t="shared" si="8"/>
        <v>KISORO-KAMPALA</v>
      </c>
      <c r="M577" s="31">
        <v>52</v>
      </c>
      <c r="N577" s="72">
        <v>35000</v>
      </c>
      <c r="O577" s="34">
        <v>9</v>
      </c>
    </row>
    <row r="578" spans="2:15" x14ac:dyDescent="0.2">
      <c r="B578" s="27" t="s">
        <v>77</v>
      </c>
      <c r="C578" s="28">
        <v>6</v>
      </c>
      <c r="D578" s="33" t="str">
        <f>IF(C578="", "",VLOOKUP(C578,Key!$A$5:$B$7,2,FALSE))</f>
        <v>Large Bus</v>
      </c>
      <c r="E578" s="29" t="s">
        <v>89</v>
      </c>
      <c r="F578" s="29" t="s">
        <v>66</v>
      </c>
      <c r="G578" s="29" t="s">
        <v>83</v>
      </c>
      <c r="H578" s="30" t="s">
        <v>83</v>
      </c>
      <c r="I578" s="29" t="s">
        <v>257</v>
      </c>
      <c r="J578" s="29" t="s">
        <v>70</v>
      </c>
      <c r="K578" s="30" t="s">
        <v>70</v>
      </c>
      <c r="L578" s="29" t="str">
        <f t="shared" si="8"/>
        <v>KISORO-KAMPALA</v>
      </c>
      <c r="M578" s="31">
        <v>65</v>
      </c>
      <c r="N578" s="72">
        <v>35000</v>
      </c>
      <c r="O578" s="34">
        <v>9</v>
      </c>
    </row>
    <row r="579" spans="2:15" x14ac:dyDescent="0.2">
      <c r="B579" s="27" t="s">
        <v>78</v>
      </c>
      <c r="C579" s="28">
        <v>6</v>
      </c>
      <c r="D579" s="33" t="str">
        <f>IF(C579="", "",VLOOKUP(C579,Key!$A$5:$B$7,2,FALSE))</f>
        <v>Large Bus</v>
      </c>
      <c r="E579" s="29" t="s">
        <v>89</v>
      </c>
      <c r="F579" s="29" t="s">
        <v>66</v>
      </c>
      <c r="G579" s="29" t="s">
        <v>83</v>
      </c>
      <c r="H579" s="30" t="s">
        <v>83</v>
      </c>
      <c r="I579" s="29" t="s">
        <v>257</v>
      </c>
      <c r="J579" s="29" t="s">
        <v>70</v>
      </c>
      <c r="K579" s="30" t="s">
        <v>70</v>
      </c>
      <c r="L579" s="29" t="str">
        <f t="shared" si="8"/>
        <v>KISORO-KAMPALA</v>
      </c>
      <c r="M579" s="31">
        <v>30</v>
      </c>
      <c r="N579" s="72">
        <v>35000</v>
      </c>
      <c r="O579" s="34">
        <v>9</v>
      </c>
    </row>
    <row r="580" spans="2:15" x14ac:dyDescent="0.2">
      <c r="B580" s="27">
        <v>0.25694444444444448</v>
      </c>
      <c r="C580" s="28">
        <v>6</v>
      </c>
      <c r="D580" s="33" t="str">
        <f>IF(C580="", "",VLOOKUP(C580,Key!$A$5:$B$7,2,FALSE))</f>
        <v>Large Bus</v>
      </c>
      <c r="E580" s="29" t="s">
        <v>89</v>
      </c>
      <c r="F580" s="29" t="s">
        <v>67</v>
      </c>
      <c r="G580" s="29" t="s">
        <v>70</v>
      </c>
      <c r="H580" s="30" t="s">
        <v>70</v>
      </c>
      <c r="I580" s="29" t="s">
        <v>257</v>
      </c>
      <c r="J580" s="29" t="s">
        <v>83</v>
      </c>
      <c r="K580" s="30" t="s">
        <v>83</v>
      </c>
      <c r="L580" s="29" t="str">
        <f t="shared" si="8"/>
        <v>KAMPALA-KISORO</v>
      </c>
      <c r="M580" s="31"/>
      <c r="N580" s="72">
        <v>40000</v>
      </c>
      <c r="O580" s="34">
        <v>9</v>
      </c>
    </row>
    <row r="581" spans="2:15" x14ac:dyDescent="0.2">
      <c r="B581" s="27" t="s">
        <v>79</v>
      </c>
      <c r="C581" s="28">
        <v>6</v>
      </c>
      <c r="D581" s="33" t="str">
        <f>IF(C581="", "",VLOOKUP(C581,Key!$A$5:$B$7,2,FALSE))</f>
        <v>Large Bus</v>
      </c>
      <c r="E581" s="29" t="s">
        <v>89</v>
      </c>
      <c r="F581" s="29" t="s">
        <v>66</v>
      </c>
      <c r="G581" s="29" t="s">
        <v>83</v>
      </c>
      <c r="H581" s="30" t="s">
        <v>83</v>
      </c>
      <c r="I581" s="29" t="s">
        <v>257</v>
      </c>
      <c r="J581" s="29" t="s">
        <v>70</v>
      </c>
      <c r="K581" s="30" t="s">
        <v>70</v>
      </c>
      <c r="L581" s="29" t="str">
        <f t="shared" si="8"/>
        <v>KISORO-KAMPALA</v>
      </c>
      <c r="M581" s="31">
        <v>45</v>
      </c>
      <c r="N581" s="72">
        <v>35000</v>
      </c>
      <c r="O581" s="34">
        <v>9</v>
      </c>
    </row>
    <row r="582" spans="2:15" x14ac:dyDescent="0.2">
      <c r="B582" s="27">
        <v>0.31111111111111112</v>
      </c>
      <c r="C582" s="28">
        <v>6</v>
      </c>
      <c r="D582" s="33" t="str">
        <f>IF(C582="", "",VLOOKUP(C582,Key!$A$5:$B$7,2,FALSE))</f>
        <v>Large Bus</v>
      </c>
      <c r="E582" s="29" t="s">
        <v>89</v>
      </c>
      <c r="F582" s="29" t="s">
        <v>66</v>
      </c>
      <c r="G582" s="29" t="s">
        <v>83</v>
      </c>
      <c r="H582" s="30" t="s">
        <v>83</v>
      </c>
      <c r="I582" s="29" t="s">
        <v>257</v>
      </c>
      <c r="J582" s="29" t="s">
        <v>70</v>
      </c>
      <c r="K582" s="30" t="s">
        <v>70</v>
      </c>
      <c r="L582" s="29" t="str">
        <f t="shared" si="8"/>
        <v>KISORO-KAMPALA</v>
      </c>
      <c r="M582" s="31">
        <v>50</v>
      </c>
      <c r="N582" s="72">
        <v>35000</v>
      </c>
      <c r="O582" s="34">
        <v>9</v>
      </c>
    </row>
    <row r="583" spans="2:15" x14ac:dyDescent="0.2">
      <c r="B583" s="27">
        <v>0.77361111111111114</v>
      </c>
      <c r="C583" s="28">
        <v>6</v>
      </c>
      <c r="D583" s="33" t="str">
        <f>IF(C583="", "",VLOOKUP(C583,Key!$A$5:$B$7,2,FALSE))</f>
        <v>Large Bus</v>
      </c>
      <c r="E583" s="29" t="s">
        <v>89</v>
      </c>
      <c r="F583" s="29" t="s">
        <v>66</v>
      </c>
      <c r="G583" s="29" t="s">
        <v>83</v>
      </c>
      <c r="H583" s="30" t="s">
        <v>83</v>
      </c>
      <c r="I583" s="29" t="s">
        <v>257</v>
      </c>
      <c r="J583" s="29" t="s">
        <v>70</v>
      </c>
      <c r="K583" s="30" t="s">
        <v>70</v>
      </c>
      <c r="L583" s="29" t="str">
        <f t="shared" si="8"/>
        <v>KISORO-KAMPALA</v>
      </c>
      <c r="M583" s="31">
        <v>53</v>
      </c>
      <c r="N583" s="72">
        <v>35000</v>
      </c>
      <c r="O583" s="34">
        <v>9</v>
      </c>
    </row>
    <row r="584" spans="2:15" x14ac:dyDescent="0.2">
      <c r="B584" s="27">
        <v>4.8611111111111112E-2</v>
      </c>
      <c r="C584" s="28">
        <v>6</v>
      </c>
      <c r="D584" s="33" t="str">
        <f>IF(C584="", "",VLOOKUP(C584,Key!$A$5:$B$7,2,FALSE))</f>
        <v>Large Bus</v>
      </c>
      <c r="E584" s="29" t="s">
        <v>89</v>
      </c>
      <c r="F584" s="29" t="s">
        <v>66</v>
      </c>
      <c r="G584" s="29" t="s">
        <v>83</v>
      </c>
      <c r="H584" s="30" t="s">
        <v>83</v>
      </c>
      <c r="I584" s="29" t="s">
        <v>257</v>
      </c>
      <c r="J584" s="29" t="s">
        <v>70</v>
      </c>
      <c r="K584" s="30" t="s">
        <v>70</v>
      </c>
      <c r="L584" s="29" t="str">
        <f t="shared" si="8"/>
        <v>KISORO-KAMPALA</v>
      </c>
      <c r="M584" s="31">
        <v>42</v>
      </c>
      <c r="N584" s="72">
        <v>35000</v>
      </c>
      <c r="O584" s="34">
        <v>9</v>
      </c>
    </row>
    <row r="585" spans="2:15" x14ac:dyDescent="0.2">
      <c r="B585" s="27">
        <v>0.35138888888888892</v>
      </c>
      <c r="C585" s="28">
        <v>6</v>
      </c>
      <c r="D585" s="33" t="str">
        <f>IF(C585="", "",VLOOKUP(C585,Key!$A$5:$B$7,2,FALSE))</f>
        <v>Large Bus</v>
      </c>
      <c r="E585" s="29" t="s">
        <v>89</v>
      </c>
      <c r="F585" s="29" t="s">
        <v>67</v>
      </c>
      <c r="G585" s="29" t="s">
        <v>70</v>
      </c>
      <c r="H585" s="30" t="s">
        <v>70</v>
      </c>
      <c r="I585" s="29" t="s">
        <v>257</v>
      </c>
      <c r="J585" s="29" t="s">
        <v>84</v>
      </c>
      <c r="K585" s="30" t="s">
        <v>85</v>
      </c>
      <c r="L585" s="29" t="str">
        <f t="shared" si="8"/>
        <v>KAMPALA-BUSHENYI</v>
      </c>
      <c r="M585" s="31">
        <v>1</v>
      </c>
      <c r="N585" s="72">
        <v>25000</v>
      </c>
      <c r="O585" s="34">
        <v>6</v>
      </c>
    </row>
    <row r="586" spans="2:15" x14ac:dyDescent="0.2">
      <c r="B586" s="27">
        <v>0.45347222222222222</v>
      </c>
      <c r="C586" s="28">
        <v>6</v>
      </c>
      <c r="D586" s="33" t="str">
        <f>IF(C586="", "",VLOOKUP(C586,Key!$A$5:$B$7,2,FALSE))</f>
        <v>Large Bus</v>
      </c>
      <c r="E586" s="29" t="s">
        <v>89</v>
      </c>
      <c r="F586" s="29" t="s">
        <v>67</v>
      </c>
      <c r="G586" s="29" t="s">
        <v>70</v>
      </c>
      <c r="H586" s="30" t="s">
        <v>70</v>
      </c>
      <c r="I586" s="29" t="s">
        <v>257</v>
      </c>
      <c r="J586" s="29" t="s">
        <v>84</v>
      </c>
      <c r="K586" s="30" t="s">
        <v>85</v>
      </c>
      <c r="L586" s="29" t="str">
        <f t="shared" ref="L586:L649" si="9">H586&amp;"-"&amp;K586</f>
        <v>KAMPALA-BUSHENYI</v>
      </c>
      <c r="M586" s="31">
        <v>2</v>
      </c>
      <c r="N586" s="72">
        <v>25000</v>
      </c>
      <c r="O586" s="34">
        <v>6</v>
      </c>
    </row>
    <row r="587" spans="2:15" x14ac:dyDescent="0.2">
      <c r="B587" s="27">
        <v>0.1388888888888889</v>
      </c>
      <c r="C587" s="28">
        <v>6</v>
      </c>
      <c r="D587" s="33" t="str">
        <f>IF(C587="", "",VLOOKUP(C587,Key!$A$5:$B$7,2,FALSE))</f>
        <v>Large Bus</v>
      </c>
      <c r="E587" s="29" t="s">
        <v>89</v>
      </c>
      <c r="F587" s="29" t="s">
        <v>67</v>
      </c>
      <c r="G587" s="29" t="s">
        <v>70</v>
      </c>
      <c r="H587" s="30" t="s">
        <v>70</v>
      </c>
      <c r="I587" s="29" t="s">
        <v>257</v>
      </c>
      <c r="J587" s="29" t="s">
        <v>84</v>
      </c>
      <c r="K587" s="30" t="s">
        <v>85</v>
      </c>
      <c r="L587" s="29" t="str">
        <f t="shared" si="9"/>
        <v>KAMPALA-BUSHENYI</v>
      </c>
      <c r="M587" s="31">
        <v>3</v>
      </c>
      <c r="N587" s="72">
        <v>25000</v>
      </c>
      <c r="O587" s="34">
        <v>6</v>
      </c>
    </row>
    <row r="588" spans="2:15" x14ac:dyDescent="0.2">
      <c r="B588" s="27">
        <v>0.20694444444444446</v>
      </c>
      <c r="C588" s="28">
        <v>6</v>
      </c>
      <c r="D588" s="33" t="str">
        <f>IF(C588="", "",VLOOKUP(C588,Key!$A$5:$B$7,2,FALSE))</f>
        <v>Large Bus</v>
      </c>
      <c r="E588" s="29" t="s">
        <v>89</v>
      </c>
      <c r="F588" s="29" t="s">
        <v>67</v>
      </c>
      <c r="G588" s="29" t="s">
        <v>70</v>
      </c>
      <c r="H588" s="30" t="s">
        <v>70</v>
      </c>
      <c r="I588" s="29" t="s">
        <v>257</v>
      </c>
      <c r="J588" s="29" t="s">
        <v>84</v>
      </c>
      <c r="K588" s="30" t="s">
        <v>259</v>
      </c>
      <c r="L588" s="29" t="str">
        <f t="shared" si="9"/>
        <v>KAMPALA-KATENDE-ISHAKA</v>
      </c>
      <c r="M588" s="31">
        <v>4</v>
      </c>
      <c r="N588" s="72">
        <v>25000</v>
      </c>
      <c r="O588" s="34">
        <v>5.45</v>
      </c>
    </row>
    <row r="589" spans="2:15" x14ac:dyDescent="0.2">
      <c r="B589" s="27">
        <v>5.5555555555555552E-2</v>
      </c>
      <c r="C589" s="28">
        <v>6</v>
      </c>
      <c r="D589" s="33" t="str">
        <f>IF(C589="", "",VLOOKUP(C589,Key!$A$5:$B$7,2,FALSE))</f>
        <v>Large Bus</v>
      </c>
      <c r="E589" s="29" t="s">
        <v>89</v>
      </c>
      <c r="F589" s="29" t="s">
        <v>66</v>
      </c>
      <c r="G589" s="29" t="s">
        <v>84</v>
      </c>
      <c r="H589" s="30" t="s">
        <v>85</v>
      </c>
      <c r="I589" s="29" t="s">
        <v>257</v>
      </c>
      <c r="J589" s="29" t="s">
        <v>70</v>
      </c>
      <c r="K589" s="30" t="s">
        <v>70</v>
      </c>
      <c r="L589" s="29" t="str">
        <f t="shared" si="9"/>
        <v>BUSHENYI-KAMPALA</v>
      </c>
      <c r="M589" s="31">
        <v>7</v>
      </c>
      <c r="N589" s="72">
        <v>25000</v>
      </c>
      <c r="O589" s="34">
        <v>6</v>
      </c>
    </row>
    <row r="590" spans="2:15" x14ac:dyDescent="0.2">
      <c r="B590" s="27">
        <v>9.930555555555555E-2</v>
      </c>
      <c r="C590" s="28">
        <v>6</v>
      </c>
      <c r="D590" s="33" t="str">
        <f>IF(C590="", "",VLOOKUP(C590,Key!$A$5:$B$7,2,FALSE))</f>
        <v>Large Bus</v>
      </c>
      <c r="E590" s="29" t="s">
        <v>89</v>
      </c>
      <c r="F590" s="29" t="s">
        <v>66</v>
      </c>
      <c r="G590" s="29" t="s">
        <v>84</v>
      </c>
      <c r="H590" s="30" t="s">
        <v>85</v>
      </c>
      <c r="I590" s="29" t="s">
        <v>257</v>
      </c>
      <c r="J590" s="29" t="s">
        <v>70</v>
      </c>
      <c r="K590" s="30" t="s">
        <v>70</v>
      </c>
      <c r="L590" s="29" t="str">
        <f t="shared" si="9"/>
        <v>BUSHENYI-KAMPALA</v>
      </c>
      <c r="M590" s="31">
        <v>40</v>
      </c>
      <c r="N590" s="72">
        <v>25000</v>
      </c>
      <c r="O590" s="34">
        <v>6</v>
      </c>
    </row>
    <row r="591" spans="2:15" x14ac:dyDescent="0.2">
      <c r="B591" s="27">
        <v>0.59375</v>
      </c>
      <c r="C591" s="28">
        <v>6</v>
      </c>
      <c r="D591" s="33" t="str">
        <f>IF(C591="", "",VLOOKUP(C591,Key!$A$5:$B$7,2,FALSE))</f>
        <v>Large Bus</v>
      </c>
      <c r="E591" s="29" t="s">
        <v>89</v>
      </c>
      <c r="F591" s="29" t="s">
        <v>66</v>
      </c>
      <c r="G591" s="29" t="s">
        <v>84</v>
      </c>
      <c r="H591" s="30" t="s">
        <v>85</v>
      </c>
      <c r="I591" s="29" t="s">
        <v>257</v>
      </c>
      <c r="J591" s="29" t="s">
        <v>70</v>
      </c>
      <c r="K591" s="30" t="s">
        <v>70</v>
      </c>
      <c r="L591" s="29" t="str">
        <f t="shared" si="9"/>
        <v>BUSHENYI-KAMPALA</v>
      </c>
      <c r="M591" s="31">
        <v>10</v>
      </c>
      <c r="N591" s="72">
        <v>25000</v>
      </c>
      <c r="O591" s="34">
        <v>6</v>
      </c>
    </row>
    <row r="592" spans="2:15" x14ac:dyDescent="0.2">
      <c r="B592" s="27">
        <v>0.66736111111111107</v>
      </c>
      <c r="C592" s="28">
        <v>6</v>
      </c>
      <c r="D592" s="33" t="str">
        <f>IF(C592="", "",VLOOKUP(C592,Key!$A$5:$B$7,2,FALSE))</f>
        <v>Large Bus</v>
      </c>
      <c r="E592" s="29" t="s">
        <v>89</v>
      </c>
      <c r="F592" s="29" t="s">
        <v>66</v>
      </c>
      <c r="G592" s="29" t="s">
        <v>84</v>
      </c>
      <c r="H592" s="30" t="s">
        <v>85</v>
      </c>
      <c r="I592" s="29" t="s">
        <v>257</v>
      </c>
      <c r="J592" s="29" t="s">
        <v>70</v>
      </c>
      <c r="K592" s="30" t="s">
        <v>70</v>
      </c>
      <c r="L592" s="29" t="str">
        <f t="shared" si="9"/>
        <v>BUSHENYI-KAMPALA</v>
      </c>
      <c r="M592" s="31">
        <v>35</v>
      </c>
      <c r="N592" s="72">
        <v>25000</v>
      </c>
      <c r="O592" s="34">
        <v>6</v>
      </c>
    </row>
    <row r="593" spans="2:15" x14ac:dyDescent="0.2">
      <c r="B593" s="27">
        <v>0.67499999999999993</v>
      </c>
      <c r="C593" s="28">
        <v>6</v>
      </c>
      <c r="D593" s="33" t="str">
        <f>IF(C593="", "",VLOOKUP(C593,Key!$A$5:$B$7,2,FALSE))</f>
        <v>Large Bus</v>
      </c>
      <c r="E593" s="29" t="s">
        <v>89</v>
      </c>
      <c r="F593" s="29" t="s">
        <v>66</v>
      </c>
      <c r="G593" s="29" t="s">
        <v>84</v>
      </c>
      <c r="H593" s="30" t="s">
        <v>85</v>
      </c>
      <c r="I593" s="29" t="s">
        <v>257</v>
      </c>
      <c r="J593" s="29" t="s">
        <v>70</v>
      </c>
      <c r="K593" s="30" t="s">
        <v>70</v>
      </c>
      <c r="L593" s="29" t="str">
        <f t="shared" si="9"/>
        <v>BUSHENYI-KAMPALA</v>
      </c>
      <c r="M593" s="31">
        <v>5</v>
      </c>
      <c r="N593" s="72">
        <v>25000</v>
      </c>
      <c r="O593" s="34">
        <v>6</v>
      </c>
    </row>
    <row r="594" spans="2:15" x14ac:dyDescent="0.2">
      <c r="B594" s="27">
        <v>0.68819444444444444</v>
      </c>
      <c r="C594" s="28">
        <v>6</v>
      </c>
      <c r="D594" s="33" t="str">
        <f>IF(C594="", "",VLOOKUP(C594,Key!$A$5:$B$7,2,FALSE))</f>
        <v>Large Bus</v>
      </c>
      <c r="E594" s="29" t="s">
        <v>89</v>
      </c>
      <c r="F594" s="29" t="s">
        <v>66</v>
      </c>
      <c r="G594" s="29" t="s">
        <v>84</v>
      </c>
      <c r="H594" s="30" t="s">
        <v>85</v>
      </c>
      <c r="I594" s="29" t="s">
        <v>257</v>
      </c>
      <c r="J594" s="29" t="s">
        <v>70</v>
      </c>
      <c r="K594" s="30" t="s">
        <v>70</v>
      </c>
      <c r="L594" s="29" t="str">
        <f t="shared" si="9"/>
        <v>BUSHENYI-KAMPALA</v>
      </c>
      <c r="M594" s="31">
        <v>34</v>
      </c>
      <c r="N594" s="72">
        <v>25000</v>
      </c>
      <c r="O594" s="34">
        <v>6</v>
      </c>
    </row>
    <row r="595" spans="2:15" x14ac:dyDescent="0.2">
      <c r="B595" s="27">
        <v>0.76180555555555562</v>
      </c>
      <c r="C595" s="28">
        <v>6</v>
      </c>
      <c r="D595" s="33" t="str">
        <f>IF(C595="", "",VLOOKUP(C595,Key!$A$5:$B$7,2,FALSE))</f>
        <v>Large Bus</v>
      </c>
      <c r="E595" s="29" t="s">
        <v>89</v>
      </c>
      <c r="F595" s="29" t="s">
        <v>66</v>
      </c>
      <c r="G595" s="29" t="s">
        <v>84</v>
      </c>
      <c r="H595" s="30" t="s">
        <v>85</v>
      </c>
      <c r="I595" s="29" t="s">
        <v>257</v>
      </c>
      <c r="J595" s="29" t="s">
        <v>70</v>
      </c>
      <c r="K595" s="30" t="s">
        <v>70</v>
      </c>
      <c r="L595" s="29" t="str">
        <f t="shared" si="9"/>
        <v>BUSHENYI-KAMPALA</v>
      </c>
      <c r="M595" s="31">
        <v>28</v>
      </c>
      <c r="N595" s="72">
        <v>25000</v>
      </c>
      <c r="O595" s="34">
        <v>6</v>
      </c>
    </row>
    <row r="596" spans="2:15" x14ac:dyDescent="0.2">
      <c r="B596" s="27" t="s">
        <v>80</v>
      </c>
      <c r="C596" s="28">
        <v>6</v>
      </c>
      <c r="D596" s="33" t="str">
        <f>IF(C596="", "",VLOOKUP(C596,Key!$A$5:$B$7,2,FALSE))</f>
        <v>Large Bus</v>
      </c>
      <c r="E596" s="29" t="s">
        <v>89</v>
      </c>
      <c r="F596" s="29" t="s">
        <v>67</v>
      </c>
      <c r="G596" s="29" t="s">
        <v>70</v>
      </c>
      <c r="H596" s="30" t="s">
        <v>70</v>
      </c>
      <c r="I596" s="29" t="s">
        <v>257</v>
      </c>
      <c r="J596" s="29" t="s">
        <v>83</v>
      </c>
      <c r="K596" s="30" t="s">
        <v>83</v>
      </c>
      <c r="L596" s="29" t="str">
        <f t="shared" si="9"/>
        <v>KAMPALA-KISORO</v>
      </c>
      <c r="M596" s="31">
        <v>67</v>
      </c>
      <c r="N596" s="72">
        <v>40000</v>
      </c>
      <c r="O596" s="34">
        <v>9</v>
      </c>
    </row>
    <row r="597" spans="2:15" x14ac:dyDescent="0.2">
      <c r="B597" s="27" t="s">
        <v>81</v>
      </c>
      <c r="C597" s="28">
        <v>6</v>
      </c>
      <c r="D597" s="33" t="str">
        <f>IF(C597="", "",VLOOKUP(C597,Key!$A$5:$B$7,2,FALSE))</f>
        <v>Large Bus</v>
      </c>
      <c r="E597" s="29" t="s">
        <v>89</v>
      </c>
      <c r="F597" s="29" t="s">
        <v>67</v>
      </c>
      <c r="G597" s="29" t="s">
        <v>70</v>
      </c>
      <c r="H597" s="30" t="s">
        <v>70</v>
      </c>
      <c r="I597" s="29" t="s">
        <v>257</v>
      </c>
      <c r="J597" s="29" t="s">
        <v>83</v>
      </c>
      <c r="K597" s="30" t="s">
        <v>83</v>
      </c>
      <c r="L597" s="29" t="str">
        <f t="shared" si="9"/>
        <v>KAMPALA-KISORO</v>
      </c>
      <c r="M597" s="31">
        <v>67</v>
      </c>
      <c r="N597" s="72">
        <v>40000</v>
      </c>
      <c r="O597" s="34">
        <v>9</v>
      </c>
    </row>
    <row r="598" spans="2:15" x14ac:dyDescent="0.2">
      <c r="B598" s="27" t="s">
        <v>82</v>
      </c>
      <c r="C598" s="28">
        <v>6</v>
      </c>
      <c r="D598" s="33" t="str">
        <f>IF(C598="", "",VLOOKUP(C598,Key!$A$5:$B$7,2,FALSE))</f>
        <v>Large Bus</v>
      </c>
      <c r="E598" s="29" t="s">
        <v>89</v>
      </c>
      <c r="F598" s="29" t="s">
        <v>67</v>
      </c>
      <c r="G598" s="29" t="s">
        <v>70</v>
      </c>
      <c r="H598" s="30" t="s">
        <v>70</v>
      </c>
      <c r="I598" s="29" t="s">
        <v>257</v>
      </c>
      <c r="J598" s="29" t="s">
        <v>83</v>
      </c>
      <c r="K598" s="30" t="s">
        <v>83</v>
      </c>
      <c r="L598" s="29" t="str">
        <f t="shared" si="9"/>
        <v>KAMPALA-KISORO</v>
      </c>
      <c r="M598" s="31">
        <v>65</v>
      </c>
      <c r="N598" s="72">
        <v>40000</v>
      </c>
      <c r="O598" s="34">
        <v>9</v>
      </c>
    </row>
    <row r="599" spans="2:15" x14ac:dyDescent="0.2">
      <c r="B599" s="27">
        <v>0.27916666666666667</v>
      </c>
      <c r="C599" s="28">
        <v>6</v>
      </c>
      <c r="D599" s="33" t="str">
        <f>IF(C599="", "",VLOOKUP(C599,Key!$A$5:$B$7,2,FALSE))</f>
        <v>Large Bus</v>
      </c>
      <c r="E599" s="29" t="s">
        <v>89</v>
      </c>
      <c r="F599" s="29" t="s">
        <v>67</v>
      </c>
      <c r="G599" s="29" t="s">
        <v>70</v>
      </c>
      <c r="H599" s="30" t="s">
        <v>70</v>
      </c>
      <c r="I599" s="29" t="s">
        <v>257</v>
      </c>
      <c r="J599" s="29" t="s">
        <v>84</v>
      </c>
      <c r="K599" s="30" t="s">
        <v>84</v>
      </c>
      <c r="L599" s="29" t="str">
        <f t="shared" si="9"/>
        <v>KAMPALA-ISHAKA</v>
      </c>
      <c r="M599" s="31">
        <v>1</v>
      </c>
      <c r="N599" s="72">
        <v>25000</v>
      </c>
      <c r="O599" s="34">
        <v>5.45</v>
      </c>
    </row>
    <row r="600" spans="2:15" x14ac:dyDescent="0.2">
      <c r="B600" s="27">
        <v>0.27916666666666667</v>
      </c>
      <c r="C600" s="28">
        <v>6</v>
      </c>
      <c r="D600" s="33" t="str">
        <f>IF(C600="", "",VLOOKUP(C600,Key!$A$5:$B$7,2,FALSE))</f>
        <v>Large Bus</v>
      </c>
      <c r="E600" s="29" t="s">
        <v>89</v>
      </c>
      <c r="F600" s="29" t="s">
        <v>67</v>
      </c>
      <c r="G600" s="29" t="s">
        <v>70</v>
      </c>
      <c r="H600" s="30" t="s">
        <v>70</v>
      </c>
      <c r="I600" s="29" t="s">
        <v>257</v>
      </c>
      <c r="J600" s="29" t="s">
        <v>84</v>
      </c>
      <c r="K600" s="30" t="s">
        <v>84</v>
      </c>
      <c r="L600" s="29" t="str">
        <f t="shared" si="9"/>
        <v>KAMPALA-ISHAKA</v>
      </c>
      <c r="M600" s="31">
        <v>2</v>
      </c>
      <c r="N600" s="72">
        <v>25000</v>
      </c>
      <c r="O600" s="34">
        <v>5.45</v>
      </c>
    </row>
    <row r="601" spans="2:15" x14ac:dyDescent="0.2">
      <c r="B601" s="27">
        <v>0.29583333333333334</v>
      </c>
      <c r="C601" s="28">
        <v>6</v>
      </c>
      <c r="D601" s="33" t="str">
        <f>IF(C601="", "",VLOOKUP(C601,Key!$A$5:$B$7,2,FALSE))</f>
        <v>Large Bus</v>
      </c>
      <c r="E601" s="29" t="s">
        <v>89</v>
      </c>
      <c r="F601" s="29" t="s">
        <v>67</v>
      </c>
      <c r="G601" s="29" t="s">
        <v>70</v>
      </c>
      <c r="H601" s="30" t="s">
        <v>70</v>
      </c>
      <c r="I601" s="29" t="s">
        <v>257</v>
      </c>
      <c r="J601" s="29" t="s">
        <v>84</v>
      </c>
      <c r="K601" s="30" t="s">
        <v>84</v>
      </c>
      <c r="L601" s="29" t="str">
        <f t="shared" si="9"/>
        <v>KAMPALA-ISHAKA</v>
      </c>
      <c r="M601" s="31">
        <v>5</v>
      </c>
      <c r="N601" s="72">
        <v>25000</v>
      </c>
      <c r="O601" s="34">
        <v>5.45</v>
      </c>
    </row>
    <row r="602" spans="2:15" x14ac:dyDescent="0.2">
      <c r="B602" s="27">
        <v>0.47500000000000003</v>
      </c>
      <c r="C602" s="28">
        <v>6</v>
      </c>
      <c r="D602" s="33" t="str">
        <f>IF(C602="", "",VLOOKUP(C602,Key!$A$5:$B$7,2,FALSE))</f>
        <v>Large Bus</v>
      </c>
      <c r="E602" s="29" t="s">
        <v>89</v>
      </c>
      <c r="F602" s="29" t="s">
        <v>67</v>
      </c>
      <c r="G602" s="29" t="s">
        <v>70</v>
      </c>
      <c r="H602" s="30" t="s">
        <v>70</v>
      </c>
      <c r="I602" s="29" t="s">
        <v>257</v>
      </c>
      <c r="J602" s="29" t="s">
        <v>84</v>
      </c>
      <c r="K602" s="30" t="s">
        <v>84</v>
      </c>
      <c r="L602" s="29" t="str">
        <f t="shared" si="9"/>
        <v>KAMPALA-ISHAKA</v>
      </c>
      <c r="M602" s="31">
        <v>6</v>
      </c>
      <c r="N602" s="72">
        <v>25000</v>
      </c>
      <c r="O602" s="34">
        <v>5.45</v>
      </c>
    </row>
    <row r="603" spans="2:15" x14ac:dyDescent="0.2">
      <c r="B603" s="45" t="s">
        <v>223</v>
      </c>
      <c r="C603" s="47"/>
      <c r="D603" s="33" t="str">
        <f>IF(C603="", "",VLOOKUP(C603,Key!$A$5:$B$7,2,FALSE))</f>
        <v/>
      </c>
      <c r="E603" s="42" t="s">
        <v>89</v>
      </c>
      <c r="F603" s="48"/>
      <c r="G603" s="47"/>
      <c r="H603" s="47"/>
      <c r="I603" s="47" t="s">
        <v>257</v>
      </c>
      <c r="J603" s="47"/>
      <c r="K603" s="47"/>
      <c r="L603" s="47" t="str">
        <f t="shared" si="9"/>
        <v>-</v>
      </c>
      <c r="M603" s="47"/>
      <c r="N603" s="48"/>
      <c r="O603" s="48"/>
    </row>
    <row r="604" spans="2:15" x14ac:dyDescent="0.2">
      <c r="B604" s="27">
        <v>0.15</v>
      </c>
      <c r="C604" s="28">
        <v>6</v>
      </c>
      <c r="D604" s="33" t="str">
        <f>IF(C604="", "",VLOOKUP(C604,Key!$A$5:$B$7,2,FALSE))</f>
        <v>Large Bus</v>
      </c>
      <c r="E604" s="29" t="s">
        <v>89</v>
      </c>
      <c r="F604" s="29" t="s">
        <v>66</v>
      </c>
      <c r="G604" s="29" t="s">
        <v>83</v>
      </c>
      <c r="H604" s="30" t="s">
        <v>83</v>
      </c>
      <c r="I604" s="29" t="s">
        <v>257</v>
      </c>
      <c r="J604" s="29" t="s">
        <v>70</v>
      </c>
      <c r="K604" s="30" t="s">
        <v>70</v>
      </c>
      <c r="L604" s="29" t="str">
        <f t="shared" si="9"/>
        <v>KISORO-KAMPALA</v>
      </c>
      <c r="M604" s="31">
        <v>52</v>
      </c>
      <c r="N604" s="72">
        <v>35000</v>
      </c>
      <c r="O604" s="34">
        <v>9</v>
      </c>
    </row>
    <row r="605" spans="2:15" x14ac:dyDescent="0.2">
      <c r="B605" s="27">
        <v>0.26250000000000001</v>
      </c>
      <c r="C605" s="28">
        <v>6</v>
      </c>
      <c r="D605" s="33" t="str">
        <f>IF(C605="", "",VLOOKUP(C605,Key!$A$5:$B$7,2,FALSE))</f>
        <v>Large Bus</v>
      </c>
      <c r="E605" s="29" t="s">
        <v>89</v>
      </c>
      <c r="F605" s="29" t="s">
        <v>66</v>
      </c>
      <c r="G605" s="29" t="s">
        <v>83</v>
      </c>
      <c r="H605" s="30" t="s">
        <v>83</v>
      </c>
      <c r="I605" s="29" t="s">
        <v>257</v>
      </c>
      <c r="J605" s="29" t="s">
        <v>70</v>
      </c>
      <c r="K605" s="30" t="s">
        <v>70</v>
      </c>
      <c r="L605" s="29" t="str">
        <f t="shared" si="9"/>
        <v>KISORO-KAMPALA</v>
      </c>
      <c r="M605" s="31">
        <v>65</v>
      </c>
      <c r="N605" s="72">
        <v>35000</v>
      </c>
      <c r="O605" s="34">
        <v>9</v>
      </c>
    </row>
    <row r="606" spans="2:15" x14ac:dyDescent="0.2">
      <c r="B606" s="27">
        <v>0.26805555555555555</v>
      </c>
      <c r="C606" s="28">
        <v>6</v>
      </c>
      <c r="D606" s="33" t="str">
        <f>IF(C606="", "",VLOOKUP(C606,Key!$A$5:$B$7,2,FALSE))</f>
        <v>Large Bus</v>
      </c>
      <c r="E606" s="29" t="s">
        <v>89</v>
      </c>
      <c r="F606" s="29" t="s">
        <v>66</v>
      </c>
      <c r="G606" s="29" t="s">
        <v>83</v>
      </c>
      <c r="H606" s="30" t="s">
        <v>83</v>
      </c>
      <c r="I606" s="29" t="s">
        <v>257</v>
      </c>
      <c r="J606" s="29" t="s">
        <v>70</v>
      </c>
      <c r="K606" s="30" t="s">
        <v>70</v>
      </c>
      <c r="L606" s="29" t="str">
        <f t="shared" si="9"/>
        <v>KISORO-KAMPALA</v>
      </c>
      <c r="M606" s="31">
        <v>30</v>
      </c>
      <c r="N606" s="72">
        <v>35000</v>
      </c>
      <c r="O606" s="34">
        <v>9</v>
      </c>
    </row>
    <row r="607" spans="2:15" x14ac:dyDescent="0.2">
      <c r="B607" s="27">
        <v>0.27916666666666667</v>
      </c>
      <c r="C607" s="28">
        <v>6</v>
      </c>
      <c r="D607" s="33" t="str">
        <f>IF(C607="", "",VLOOKUP(C607,Key!$A$5:$B$7,2,FALSE))</f>
        <v>Large Bus</v>
      </c>
      <c r="E607" s="29" t="s">
        <v>89</v>
      </c>
      <c r="F607" s="29" t="s">
        <v>67</v>
      </c>
      <c r="G607" s="29" t="s">
        <v>70</v>
      </c>
      <c r="H607" s="30" t="s">
        <v>70</v>
      </c>
      <c r="I607" s="29" t="s">
        <v>257</v>
      </c>
      <c r="J607" s="29" t="s">
        <v>84</v>
      </c>
      <c r="K607" s="30" t="s">
        <v>84</v>
      </c>
      <c r="L607" s="29" t="str">
        <f t="shared" si="9"/>
        <v>KAMPALA-ISHAKA</v>
      </c>
      <c r="M607" s="31">
        <v>67</v>
      </c>
      <c r="N607" s="72">
        <v>25000</v>
      </c>
      <c r="O607" s="34">
        <v>5.45</v>
      </c>
    </row>
    <row r="608" spans="2:15" x14ac:dyDescent="0.2">
      <c r="B608" s="27"/>
      <c r="C608" s="28">
        <v>6</v>
      </c>
      <c r="D608" s="33" t="str">
        <f>IF(C608="", "",VLOOKUP(C608,Key!$A$5:$B$7,2,FALSE))</f>
        <v>Large Bus</v>
      </c>
      <c r="E608" s="29" t="s">
        <v>89</v>
      </c>
      <c r="F608" s="29" t="s">
        <v>67</v>
      </c>
      <c r="G608" s="29" t="s">
        <v>70</v>
      </c>
      <c r="H608" s="30" t="s">
        <v>70</v>
      </c>
      <c r="I608" s="29" t="s">
        <v>257</v>
      </c>
      <c r="J608" s="29" t="s">
        <v>84</v>
      </c>
      <c r="K608" s="30" t="s">
        <v>84</v>
      </c>
      <c r="L608" s="29" t="str">
        <f t="shared" si="9"/>
        <v>KAMPALA-ISHAKA</v>
      </c>
      <c r="M608" s="31"/>
      <c r="N608" s="72">
        <v>25000</v>
      </c>
      <c r="O608" s="34">
        <v>5.45</v>
      </c>
    </row>
    <row r="609" spans="2:15" x14ac:dyDescent="0.2">
      <c r="B609" s="27">
        <v>0.25694444444444448</v>
      </c>
      <c r="C609" s="28">
        <v>6</v>
      </c>
      <c r="D609" s="33" t="str">
        <f>IF(C609="", "",VLOOKUP(C609,Key!$A$5:$B$7,2,FALSE))</f>
        <v>Large Bus</v>
      </c>
      <c r="E609" s="29" t="s">
        <v>89</v>
      </c>
      <c r="F609" s="29" t="s">
        <v>67</v>
      </c>
      <c r="G609" s="29" t="s">
        <v>70</v>
      </c>
      <c r="H609" s="30" t="s">
        <v>70</v>
      </c>
      <c r="I609" s="29" t="s">
        <v>257</v>
      </c>
      <c r="J609" s="29" t="s">
        <v>83</v>
      </c>
      <c r="K609" s="30" t="s">
        <v>83</v>
      </c>
      <c r="L609" s="29" t="str">
        <f t="shared" si="9"/>
        <v>KAMPALA-KISORO</v>
      </c>
      <c r="M609" s="31">
        <v>67</v>
      </c>
      <c r="N609" s="72">
        <v>40000</v>
      </c>
      <c r="O609" s="34">
        <v>9</v>
      </c>
    </row>
    <row r="610" spans="2:15" x14ac:dyDescent="0.2">
      <c r="B610" s="45" t="s">
        <v>218</v>
      </c>
      <c r="C610" s="47"/>
      <c r="D610" s="33" t="str">
        <f>IF(C610="", "",VLOOKUP(C610,Key!$A$5:$B$7,2,FALSE))</f>
        <v/>
      </c>
      <c r="E610" s="44" t="s">
        <v>91</v>
      </c>
      <c r="F610" s="48"/>
      <c r="G610" s="47"/>
      <c r="H610" s="47"/>
      <c r="I610" s="47"/>
      <c r="J610" s="47"/>
      <c r="K610" s="47"/>
      <c r="L610" s="47" t="str">
        <f t="shared" si="9"/>
        <v>-</v>
      </c>
      <c r="M610" s="47"/>
      <c r="N610" s="48"/>
      <c r="O610" s="48"/>
    </row>
    <row r="611" spans="2:15" x14ac:dyDescent="0.2">
      <c r="B611" s="27">
        <v>0.37638888888888888</v>
      </c>
      <c r="C611" s="28">
        <v>6</v>
      </c>
      <c r="D611" s="33" t="str">
        <f>IF(C611="", "",VLOOKUP(C611,Key!$A$5:$B$7,2,FALSE))</f>
        <v>Large Bus</v>
      </c>
      <c r="E611" s="29" t="s">
        <v>91</v>
      </c>
      <c r="F611" s="29" t="s">
        <v>67</v>
      </c>
      <c r="G611" s="29" t="s">
        <v>70</v>
      </c>
      <c r="H611" s="30" t="s">
        <v>70</v>
      </c>
      <c r="I611" s="29" t="s">
        <v>257</v>
      </c>
      <c r="J611" s="29" t="s">
        <v>94</v>
      </c>
      <c r="K611" s="30" t="s">
        <v>94</v>
      </c>
      <c r="L611" s="29" t="str">
        <f t="shared" si="9"/>
        <v>KAMPALA-KIGALI</v>
      </c>
      <c r="M611" s="31">
        <v>30</v>
      </c>
      <c r="N611" s="72">
        <v>50000</v>
      </c>
      <c r="O611" s="34">
        <v>8.6</v>
      </c>
    </row>
    <row r="612" spans="2:15" x14ac:dyDescent="0.2">
      <c r="B612" s="27">
        <v>0.4152777777777778</v>
      </c>
      <c r="C612" s="28">
        <v>6</v>
      </c>
      <c r="D612" s="33" t="str">
        <f>IF(C612="", "",VLOOKUP(C612,Key!$A$5:$B$7,2,FALSE))</f>
        <v>Large Bus</v>
      </c>
      <c r="E612" s="29" t="s">
        <v>91</v>
      </c>
      <c r="F612" s="29" t="s">
        <v>67</v>
      </c>
      <c r="G612" s="29" t="s">
        <v>83</v>
      </c>
      <c r="H612" s="30" t="s">
        <v>83</v>
      </c>
      <c r="I612" s="29" t="s">
        <v>257</v>
      </c>
      <c r="J612" s="29" t="s">
        <v>105</v>
      </c>
      <c r="K612" s="30" t="s">
        <v>70</v>
      </c>
      <c r="L612" s="29" t="str">
        <f t="shared" si="9"/>
        <v>KISORO-KAMPALA</v>
      </c>
      <c r="M612" s="31">
        <v>11</v>
      </c>
      <c r="N612" s="72">
        <v>40000</v>
      </c>
      <c r="O612" s="34">
        <v>8.5</v>
      </c>
    </row>
    <row r="613" spans="2:15" x14ac:dyDescent="0.2">
      <c r="B613" s="27">
        <v>0.75486111111111109</v>
      </c>
      <c r="C613" s="28">
        <v>6</v>
      </c>
      <c r="D613" s="33" t="str">
        <f>IF(C613="", "",VLOOKUP(C613,Key!$A$5:$B$7,2,FALSE))</f>
        <v>Large Bus</v>
      </c>
      <c r="E613" s="29" t="s">
        <v>91</v>
      </c>
      <c r="F613" s="29" t="s">
        <v>67</v>
      </c>
      <c r="G613" s="29" t="s">
        <v>70</v>
      </c>
      <c r="H613" s="30" t="s">
        <v>70</v>
      </c>
      <c r="I613" s="29" t="s">
        <v>257</v>
      </c>
      <c r="J613" s="29" t="s">
        <v>83</v>
      </c>
      <c r="K613" s="30" t="s">
        <v>83</v>
      </c>
      <c r="L613" s="29" t="str">
        <f t="shared" si="9"/>
        <v>KAMPALA-KISORO</v>
      </c>
      <c r="M613" s="31">
        <v>64</v>
      </c>
      <c r="N613" s="72">
        <v>40000</v>
      </c>
      <c r="O613" s="34">
        <v>8.5</v>
      </c>
    </row>
    <row r="614" spans="2:15" x14ac:dyDescent="0.2">
      <c r="B614" s="27">
        <v>0.40972222222222227</v>
      </c>
      <c r="C614" s="28">
        <v>6</v>
      </c>
      <c r="D614" s="33" t="str">
        <f>IF(C614="", "",VLOOKUP(C614,Key!$A$5:$B$7,2,FALSE))</f>
        <v>Large Bus</v>
      </c>
      <c r="E614" s="29" t="s">
        <v>91</v>
      </c>
      <c r="F614" s="29" t="s">
        <v>66</v>
      </c>
      <c r="G614" s="29" t="s">
        <v>99</v>
      </c>
      <c r="H614" s="30" t="s">
        <v>99</v>
      </c>
      <c r="I614" s="29" t="s">
        <v>257</v>
      </c>
      <c r="J614" s="29" t="s">
        <v>70</v>
      </c>
      <c r="K614" s="30" t="s">
        <v>70</v>
      </c>
      <c r="L614" s="29" t="str">
        <f t="shared" si="9"/>
        <v>KISENYI-KAMPALA</v>
      </c>
      <c r="M614" s="31">
        <v>30</v>
      </c>
      <c r="N614" s="72">
        <v>50000</v>
      </c>
      <c r="O614" s="34">
        <v>12.25</v>
      </c>
    </row>
    <row r="615" spans="2:15" x14ac:dyDescent="0.2">
      <c r="B615" s="27">
        <v>0.84861111111111109</v>
      </c>
      <c r="C615" s="28">
        <v>6</v>
      </c>
      <c r="D615" s="33" t="str">
        <f>IF(C615="", "",VLOOKUP(C615,Key!$A$5:$B$7,2,FALSE))</f>
        <v>Large Bus</v>
      </c>
      <c r="E615" s="29" t="s">
        <v>91</v>
      </c>
      <c r="F615" s="29" t="s">
        <v>66</v>
      </c>
      <c r="G615" s="29" t="s">
        <v>83</v>
      </c>
      <c r="H615" s="30" t="s">
        <v>83</v>
      </c>
      <c r="I615" s="29" t="s">
        <v>257</v>
      </c>
      <c r="J615" s="29" t="s">
        <v>70</v>
      </c>
      <c r="K615" s="30" t="s">
        <v>70</v>
      </c>
      <c r="L615" s="29" t="str">
        <f t="shared" si="9"/>
        <v>KISORO-KAMPALA</v>
      </c>
      <c r="M615" s="31"/>
      <c r="N615" s="72">
        <v>40000</v>
      </c>
      <c r="O615" s="34">
        <v>8.5</v>
      </c>
    </row>
    <row r="616" spans="2:15" x14ac:dyDescent="0.2">
      <c r="B616" s="27">
        <v>0.83680555555555547</v>
      </c>
      <c r="C616" s="28">
        <v>6</v>
      </c>
      <c r="D616" s="33" t="str">
        <f>IF(C616="", "",VLOOKUP(C616,Key!$A$5:$B$7,2,FALSE))</f>
        <v>Large Bus</v>
      </c>
      <c r="E616" s="29" t="s">
        <v>91</v>
      </c>
      <c r="F616" s="29" t="s">
        <v>67</v>
      </c>
      <c r="G616" s="29" t="s">
        <v>70</v>
      </c>
      <c r="H616" s="30" t="s">
        <v>70</v>
      </c>
      <c r="I616" s="29" t="s">
        <v>257</v>
      </c>
      <c r="J616" s="29" t="s">
        <v>94</v>
      </c>
      <c r="K616" s="30" t="s">
        <v>94</v>
      </c>
      <c r="L616" s="29" t="str">
        <f t="shared" si="9"/>
        <v>KAMPALA-KIGALI</v>
      </c>
      <c r="M616" s="31">
        <v>44</v>
      </c>
      <c r="N616" s="72">
        <v>50000</v>
      </c>
      <c r="O616" s="34">
        <v>8.6</v>
      </c>
    </row>
    <row r="617" spans="2:15" x14ac:dyDescent="0.2">
      <c r="B617" s="27">
        <v>0.84027777777777779</v>
      </c>
      <c r="C617" s="28">
        <v>6</v>
      </c>
      <c r="D617" s="33" t="str">
        <f>IF(C617="", "",VLOOKUP(C617,Key!$A$5:$B$7,2,FALSE))</f>
        <v>Large Bus</v>
      </c>
      <c r="E617" s="29" t="s">
        <v>91</v>
      </c>
      <c r="F617" s="29" t="s">
        <v>67</v>
      </c>
      <c r="G617" s="29" t="s">
        <v>70</v>
      </c>
      <c r="H617" s="30" t="s">
        <v>70</v>
      </c>
      <c r="I617" s="29" t="s">
        <v>257</v>
      </c>
      <c r="J617" s="29" t="s">
        <v>83</v>
      </c>
      <c r="K617" s="30" t="s">
        <v>83</v>
      </c>
      <c r="L617" s="29" t="str">
        <f t="shared" si="9"/>
        <v>KAMPALA-KISORO</v>
      </c>
      <c r="M617" s="31">
        <v>55</v>
      </c>
      <c r="N617" s="72">
        <v>40000</v>
      </c>
      <c r="O617" s="34">
        <v>8.5</v>
      </c>
    </row>
    <row r="618" spans="2:15" x14ac:dyDescent="0.2">
      <c r="B618" s="27">
        <v>0.875</v>
      </c>
      <c r="C618" s="28">
        <v>6</v>
      </c>
      <c r="D618" s="33" t="str">
        <f>IF(C618="", "",VLOOKUP(C618,Key!$A$5:$B$7,2,FALSE))</f>
        <v>Large Bus</v>
      </c>
      <c r="E618" s="29" t="s">
        <v>91</v>
      </c>
      <c r="F618" s="29" t="s">
        <v>67</v>
      </c>
      <c r="G618" s="29" t="s">
        <v>70</v>
      </c>
      <c r="H618" s="30" t="s">
        <v>70</v>
      </c>
      <c r="I618" s="29" t="s">
        <v>257</v>
      </c>
      <c r="J618" s="29" t="s">
        <v>83</v>
      </c>
      <c r="K618" s="30" t="s">
        <v>83</v>
      </c>
      <c r="L618" s="29" t="str">
        <f t="shared" si="9"/>
        <v>KAMPALA-KISORO</v>
      </c>
      <c r="M618" s="31">
        <v>56</v>
      </c>
      <c r="N618" s="72">
        <v>40000</v>
      </c>
      <c r="O618" s="34">
        <v>8.5</v>
      </c>
    </row>
    <row r="619" spans="2:15" x14ac:dyDescent="0.2">
      <c r="B619" s="27">
        <v>0.875</v>
      </c>
      <c r="C619" s="28">
        <v>6</v>
      </c>
      <c r="D619" s="33" t="str">
        <f>IF(C619="", "",VLOOKUP(C619,Key!$A$5:$B$7,2,FALSE))</f>
        <v>Large Bus</v>
      </c>
      <c r="E619" s="29" t="s">
        <v>91</v>
      </c>
      <c r="F619" s="29" t="s">
        <v>67</v>
      </c>
      <c r="G619" s="29" t="s">
        <v>70</v>
      </c>
      <c r="H619" s="30" t="s">
        <v>70</v>
      </c>
      <c r="I619" s="29" t="s">
        <v>257</v>
      </c>
      <c r="J619" s="29" t="s">
        <v>94</v>
      </c>
      <c r="K619" s="30" t="s">
        <v>94</v>
      </c>
      <c r="L619" s="29" t="str">
        <f t="shared" si="9"/>
        <v>KAMPALA-KIGALI</v>
      </c>
      <c r="M619" s="31">
        <v>61</v>
      </c>
      <c r="N619" s="72">
        <v>50000</v>
      </c>
      <c r="O619" s="34">
        <v>8.6</v>
      </c>
    </row>
    <row r="620" spans="2:15" x14ac:dyDescent="0.2">
      <c r="B620" s="27">
        <v>0.5</v>
      </c>
      <c r="C620" s="28">
        <v>6</v>
      </c>
      <c r="D620" s="33" t="str">
        <f>IF(C620="", "",VLOOKUP(C620,Key!$A$5:$B$7,2,FALSE))</f>
        <v>Large Bus</v>
      </c>
      <c r="E620" s="29" t="s">
        <v>91</v>
      </c>
      <c r="F620" s="29" t="s">
        <v>67</v>
      </c>
      <c r="G620" s="29" t="s">
        <v>70</v>
      </c>
      <c r="H620" s="30" t="s">
        <v>70</v>
      </c>
      <c r="I620" s="29" t="s">
        <v>257</v>
      </c>
      <c r="J620" s="29" t="s">
        <v>106</v>
      </c>
      <c r="K620" s="30" t="s">
        <v>83</v>
      </c>
      <c r="L620" s="29" t="str">
        <f t="shared" si="9"/>
        <v>KAMPALA-KISORO</v>
      </c>
      <c r="M620" s="31">
        <v>52</v>
      </c>
      <c r="N620" s="72">
        <v>40000</v>
      </c>
      <c r="O620" s="34">
        <v>8.5</v>
      </c>
    </row>
    <row r="621" spans="2:15" x14ac:dyDescent="0.2">
      <c r="B621" s="27">
        <v>0.28472222222222221</v>
      </c>
      <c r="C621" s="28">
        <v>6</v>
      </c>
      <c r="D621" s="33" t="str">
        <f>IF(C621="", "",VLOOKUP(C621,Key!$A$5:$B$7,2,FALSE))</f>
        <v>Large Bus</v>
      </c>
      <c r="E621" s="29" t="s">
        <v>91</v>
      </c>
      <c r="F621" s="29" t="s">
        <v>67</v>
      </c>
      <c r="G621" s="29" t="s">
        <v>70</v>
      </c>
      <c r="H621" s="30" t="s">
        <v>70</v>
      </c>
      <c r="I621" s="29" t="s">
        <v>257</v>
      </c>
      <c r="J621" s="29" t="s">
        <v>83</v>
      </c>
      <c r="K621" s="30" t="s">
        <v>83</v>
      </c>
      <c r="L621" s="29" t="str">
        <f t="shared" si="9"/>
        <v>KAMPALA-KISORO</v>
      </c>
      <c r="M621" s="31">
        <v>47</v>
      </c>
      <c r="N621" s="72">
        <v>40000</v>
      </c>
      <c r="O621" s="34">
        <v>8.5</v>
      </c>
    </row>
    <row r="622" spans="2:15" x14ac:dyDescent="0.2">
      <c r="B622" s="27">
        <v>0.28472222222222221</v>
      </c>
      <c r="C622" s="28">
        <v>6</v>
      </c>
      <c r="D622" s="33" t="str">
        <f>IF(C622="", "",VLOOKUP(C622,Key!$A$5:$B$7,2,FALSE))</f>
        <v>Large Bus</v>
      </c>
      <c r="E622" s="29" t="s">
        <v>91</v>
      </c>
      <c r="F622" s="29" t="s">
        <v>67</v>
      </c>
      <c r="G622" s="29" t="s">
        <v>70</v>
      </c>
      <c r="H622" s="30" t="s">
        <v>70</v>
      </c>
      <c r="I622" s="29" t="s">
        <v>257</v>
      </c>
      <c r="J622" s="29" t="s">
        <v>94</v>
      </c>
      <c r="K622" s="30" t="s">
        <v>94</v>
      </c>
      <c r="L622" s="29" t="str">
        <f t="shared" si="9"/>
        <v>KAMPALA-KIGALI</v>
      </c>
      <c r="M622" s="31">
        <v>51</v>
      </c>
      <c r="N622" s="72">
        <v>50000</v>
      </c>
      <c r="O622" s="34">
        <v>8.6</v>
      </c>
    </row>
    <row r="623" spans="2:15" x14ac:dyDescent="0.2">
      <c r="B623" s="27">
        <v>0.27083333333333331</v>
      </c>
      <c r="C623" s="28">
        <v>6</v>
      </c>
      <c r="D623" s="33" t="str">
        <f>IF(C623="", "",VLOOKUP(C623,Key!$A$5:$B$7,2,FALSE))</f>
        <v>Large Bus</v>
      </c>
      <c r="E623" s="29" t="s">
        <v>91</v>
      </c>
      <c r="F623" s="29" t="s">
        <v>67</v>
      </c>
      <c r="G623" s="29" t="s">
        <v>70</v>
      </c>
      <c r="H623" s="30" t="s">
        <v>70</v>
      </c>
      <c r="I623" s="29" t="s">
        <v>257</v>
      </c>
      <c r="J623" s="29" t="s">
        <v>83</v>
      </c>
      <c r="K623" s="30" t="s">
        <v>83</v>
      </c>
      <c r="L623" s="29" t="str">
        <f t="shared" si="9"/>
        <v>KAMPALA-KISORO</v>
      </c>
      <c r="M623" s="31">
        <v>47</v>
      </c>
      <c r="N623" s="72">
        <v>40000</v>
      </c>
      <c r="O623" s="34">
        <v>8.5</v>
      </c>
    </row>
    <row r="624" spans="2:15" x14ac:dyDescent="0.2">
      <c r="B624" s="27">
        <v>0.83333333333333337</v>
      </c>
      <c r="C624" s="28">
        <v>6</v>
      </c>
      <c r="D624" s="33" t="str">
        <f>IF(C624="", "",VLOOKUP(C624,Key!$A$5:$B$7,2,FALSE))</f>
        <v>Large Bus</v>
      </c>
      <c r="E624" s="29" t="s">
        <v>91</v>
      </c>
      <c r="F624" s="29" t="s">
        <v>66</v>
      </c>
      <c r="G624" s="29" t="s">
        <v>94</v>
      </c>
      <c r="H624" s="30" t="s">
        <v>94</v>
      </c>
      <c r="I624" s="29" t="s">
        <v>257</v>
      </c>
      <c r="J624" s="29" t="s">
        <v>70</v>
      </c>
      <c r="K624" s="30" t="s">
        <v>70</v>
      </c>
      <c r="L624" s="29" t="str">
        <f t="shared" si="9"/>
        <v>KIGALI-KAMPALA</v>
      </c>
      <c r="M624" s="31">
        <v>48</v>
      </c>
      <c r="N624" s="72">
        <v>50000</v>
      </c>
      <c r="O624" s="34">
        <v>8.6</v>
      </c>
    </row>
    <row r="625" spans="2:15" x14ac:dyDescent="0.2">
      <c r="B625" s="27">
        <v>0.25</v>
      </c>
      <c r="C625" s="28">
        <v>6</v>
      </c>
      <c r="D625" s="33" t="str">
        <f>IF(C625="", "",VLOOKUP(C625,Key!$A$5:$B$7,2,FALSE))</f>
        <v>Large Bus</v>
      </c>
      <c r="E625" s="29" t="s">
        <v>91</v>
      </c>
      <c r="F625" s="29" t="s">
        <v>66</v>
      </c>
      <c r="G625" s="29" t="s">
        <v>83</v>
      </c>
      <c r="H625" s="30" t="s">
        <v>83</v>
      </c>
      <c r="I625" s="29" t="s">
        <v>257</v>
      </c>
      <c r="J625" s="29" t="s">
        <v>70</v>
      </c>
      <c r="K625" s="30" t="s">
        <v>70</v>
      </c>
      <c r="L625" s="29" t="str">
        <f t="shared" si="9"/>
        <v>KISORO-KAMPALA</v>
      </c>
      <c r="M625" s="31">
        <v>45</v>
      </c>
      <c r="N625" s="72">
        <v>40000</v>
      </c>
      <c r="O625" s="34">
        <v>8.5</v>
      </c>
    </row>
    <row r="626" spans="2:15" x14ac:dyDescent="0.2">
      <c r="B626" s="27">
        <v>0.19583333333333333</v>
      </c>
      <c r="C626" s="28">
        <v>6</v>
      </c>
      <c r="D626" s="33" t="str">
        <f>IF(C626="", "",VLOOKUP(C626,Key!$A$5:$B$7,2,FALSE))</f>
        <v>Large Bus</v>
      </c>
      <c r="E626" s="29" t="s">
        <v>91</v>
      </c>
      <c r="F626" s="29" t="s">
        <v>66</v>
      </c>
      <c r="G626" s="29" t="s">
        <v>83</v>
      </c>
      <c r="H626" s="30" t="s">
        <v>83</v>
      </c>
      <c r="I626" s="29" t="s">
        <v>257</v>
      </c>
      <c r="J626" s="29" t="s">
        <v>70</v>
      </c>
      <c r="K626" s="30" t="s">
        <v>70</v>
      </c>
      <c r="L626" s="29" t="str">
        <f t="shared" si="9"/>
        <v>KISORO-KAMPALA</v>
      </c>
      <c r="M626" s="31">
        <v>47</v>
      </c>
      <c r="N626" s="72">
        <v>40000</v>
      </c>
      <c r="O626" s="34">
        <v>8.5</v>
      </c>
    </row>
    <row r="627" spans="2:15" x14ac:dyDescent="0.2">
      <c r="B627" s="27">
        <v>0.20833333333333334</v>
      </c>
      <c r="C627" s="28">
        <v>6</v>
      </c>
      <c r="D627" s="33" t="str">
        <f>IF(C627="", "",VLOOKUP(C627,Key!$A$5:$B$7,2,FALSE))</f>
        <v>Large Bus</v>
      </c>
      <c r="E627" s="29" t="s">
        <v>91</v>
      </c>
      <c r="F627" s="29" t="s">
        <v>66</v>
      </c>
      <c r="G627" s="29" t="s">
        <v>97</v>
      </c>
      <c r="H627" s="30" t="s">
        <v>98</v>
      </c>
      <c r="I627" s="29" t="s">
        <v>257</v>
      </c>
      <c r="J627" s="29" t="s">
        <v>70</v>
      </c>
      <c r="K627" s="30" t="s">
        <v>70</v>
      </c>
      <c r="L627" s="29" t="str">
        <f t="shared" si="9"/>
        <v>GISENYI-KAMPALA</v>
      </c>
      <c r="M627" s="31">
        <v>45</v>
      </c>
      <c r="N627" s="72">
        <v>40000</v>
      </c>
      <c r="O627" s="34">
        <v>12.25</v>
      </c>
    </row>
    <row r="628" spans="2:15" x14ac:dyDescent="0.2">
      <c r="B628" s="27">
        <v>0.20833333333333334</v>
      </c>
      <c r="C628" s="28">
        <v>6</v>
      </c>
      <c r="D628" s="33" t="str">
        <f>IF(C628="", "",VLOOKUP(C628,Key!$A$5:$B$7,2,FALSE))</f>
        <v>Large Bus</v>
      </c>
      <c r="E628" s="29" t="s">
        <v>91</v>
      </c>
      <c r="F628" s="29" t="s">
        <v>66</v>
      </c>
      <c r="G628" s="29" t="s">
        <v>83</v>
      </c>
      <c r="H628" s="30" t="s">
        <v>83</v>
      </c>
      <c r="I628" s="29" t="s">
        <v>257</v>
      </c>
      <c r="J628" s="29" t="s">
        <v>70</v>
      </c>
      <c r="K628" s="30" t="s">
        <v>70</v>
      </c>
      <c r="L628" s="29" t="str">
        <f t="shared" si="9"/>
        <v>KISORO-KAMPALA</v>
      </c>
      <c r="M628" s="31">
        <v>67</v>
      </c>
      <c r="N628" s="72">
        <v>40000</v>
      </c>
      <c r="O628" s="34">
        <v>8.5</v>
      </c>
    </row>
    <row r="629" spans="2:15" x14ac:dyDescent="0.2">
      <c r="B629" s="27">
        <v>0.22916666666666666</v>
      </c>
      <c r="C629" s="28">
        <v>6</v>
      </c>
      <c r="D629" s="33" t="str">
        <f>IF(C629="", "",VLOOKUP(C629,Key!$A$5:$B$7,2,FALSE))</f>
        <v>Large Bus</v>
      </c>
      <c r="E629" s="29" t="s">
        <v>91</v>
      </c>
      <c r="F629" s="29" t="s">
        <v>66</v>
      </c>
      <c r="G629" s="29" t="s">
        <v>98</v>
      </c>
      <c r="H629" s="30" t="s">
        <v>98</v>
      </c>
      <c r="I629" s="29" t="s">
        <v>257</v>
      </c>
      <c r="J629" s="29" t="s">
        <v>70</v>
      </c>
      <c r="K629" s="30" t="s">
        <v>70</v>
      </c>
      <c r="L629" s="29" t="str">
        <f t="shared" si="9"/>
        <v>GISENYI-KAMPALA</v>
      </c>
      <c r="M629" s="31">
        <v>47</v>
      </c>
      <c r="N629" s="72">
        <v>40000</v>
      </c>
      <c r="O629" s="34">
        <v>12.25</v>
      </c>
    </row>
    <row r="630" spans="2:15" x14ac:dyDescent="0.2">
      <c r="B630" s="45" t="s">
        <v>219</v>
      </c>
      <c r="C630" s="47"/>
      <c r="D630" s="33" t="str">
        <f>IF(C630="", "",VLOOKUP(C630,Key!$A$5:$B$7,2,FALSE))</f>
        <v/>
      </c>
      <c r="E630" s="44" t="s">
        <v>91</v>
      </c>
      <c r="F630" s="48"/>
      <c r="G630" s="47"/>
      <c r="H630" s="47"/>
      <c r="I630" s="47" t="s">
        <v>257</v>
      </c>
      <c r="J630" s="47"/>
      <c r="K630" s="47"/>
      <c r="L630" s="47" t="str">
        <f t="shared" si="9"/>
        <v>-</v>
      </c>
      <c r="M630" s="47"/>
      <c r="N630" s="48"/>
      <c r="O630" s="48"/>
    </row>
    <row r="631" spans="2:15" x14ac:dyDescent="0.2">
      <c r="B631" s="27">
        <v>0.37847222222222227</v>
      </c>
      <c r="C631" s="28">
        <v>6</v>
      </c>
      <c r="D631" s="33" t="str">
        <f>IF(C631="", "",VLOOKUP(C631,Key!$A$5:$B$7,2,FALSE))</f>
        <v>Large Bus</v>
      </c>
      <c r="E631" s="29" t="s">
        <v>91</v>
      </c>
      <c r="F631" s="29" t="s">
        <v>67</v>
      </c>
      <c r="G631" s="29" t="s">
        <v>70</v>
      </c>
      <c r="H631" s="30" t="s">
        <v>70</v>
      </c>
      <c r="I631" s="29" t="s">
        <v>257</v>
      </c>
      <c r="J631" s="29" t="s">
        <v>94</v>
      </c>
      <c r="K631" s="30" t="s">
        <v>94</v>
      </c>
      <c r="L631" s="29" t="str">
        <f t="shared" si="9"/>
        <v>KAMPALA-KIGALI</v>
      </c>
      <c r="M631" s="31">
        <v>46</v>
      </c>
      <c r="N631" s="72">
        <v>50000</v>
      </c>
      <c r="O631" s="34">
        <v>8.6</v>
      </c>
    </row>
    <row r="632" spans="2:15" x14ac:dyDescent="0.2">
      <c r="B632" s="27">
        <v>0.25694444444444448</v>
      </c>
      <c r="C632" s="28">
        <v>6</v>
      </c>
      <c r="D632" s="33" t="str">
        <f>IF(C632="", "",VLOOKUP(C632,Key!$A$5:$B$7,2,FALSE))</f>
        <v>Large Bus</v>
      </c>
      <c r="E632" s="29" t="s">
        <v>91</v>
      </c>
      <c r="F632" s="29" t="s">
        <v>67</v>
      </c>
      <c r="G632" s="29" t="s">
        <v>70</v>
      </c>
      <c r="H632" s="30" t="s">
        <v>70</v>
      </c>
      <c r="I632" s="29" t="s">
        <v>257</v>
      </c>
      <c r="J632" s="29" t="s">
        <v>83</v>
      </c>
      <c r="K632" s="30" t="s">
        <v>83</v>
      </c>
      <c r="L632" s="29" t="str">
        <f t="shared" si="9"/>
        <v>KAMPALA-KISORO</v>
      </c>
      <c r="M632" s="31">
        <v>54</v>
      </c>
      <c r="N632" s="72">
        <v>40000</v>
      </c>
      <c r="O632" s="34">
        <v>8.5</v>
      </c>
    </row>
    <row r="633" spans="2:15" x14ac:dyDescent="0.2">
      <c r="B633" s="27" t="s">
        <v>92</v>
      </c>
      <c r="C633" s="28">
        <v>6</v>
      </c>
      <c r="D633" s="33" t="str">
        <f>IF(C633="", "",VLOOKUP(C633,Key!$A$5:$B$7,2,FALSE))</f>
        <v>Large Bus</v>
      </c>
      <c r="E633" s="29" t="s">
        <v>91</v>
      </c>
      <c r="F633" s="29" t="s">
        <v>66</v>
      </c>
      <c r="G633" s="29" t="s">
        <v>94</v>
      </c>
      <c r="H633" s="30" t="s">
        <v>94</v>
      </c>
      <c r="I633" s="29" t="s">
        <v>257</v>
      </c>
      <c r="J633" s="29" t="s">
        <v>70</v>
      </c>
      <c r="K633" s="30" t="s">
        <v>70</v>
      </c>
      <c r="L633" s="29" t="str">
        <f t="shared" si="9"/>
        <v>KIGALI-KAMPALA</v>
      </c>
      <c r="M633" s="31">
        <v>45</v>
      </c>
      <c r="N633" s="72">
        <v>50000</v>
      </c>
      <c r="O633" s="34">
        <v>8.6</v>
      </c>
    </row>
    <row r="634" spans="2:15" x14ac:dyDescent="0.2">
      <c r="B634" s="27" t="s">
        <v>93</v>
      </c>
      <c r="C634" s="28">
        <v>6</v>
      </c>
      <c r="D634" s="33" t="str">
        <f>IF(C634="", "",VLOOKUP(C634,Key!$A$5:$B$7,2,FALSE))</f>
        <v>Large Bus</v>
      </c>
      <c r="E634" s="29" t="s">
        <v>91</v>
      </c>
      <c r="F634" s="29" t="s">
        <v>66</v>
      </c>
      <c r="G634" s="29" t="s">
        <v>83</v>
      </c>
      <c r="H634" s="30" t="s">
        <v>83</v>
      </c>
      <c r="I634" s="29" t="s">
        <v>257</v>
      </c>
      <c r="J634" s="29" t="s">
        <v>70</v>
      </c>
      <c r="K634" s="30" t="s">
        <v>70</v>
      </c>
      <c r="L634" s="29" t="str">
        <f t="shared" si="9"/>
        <v>KISORO-KAMPALA</v>
      </c>
      <c r="M634" s="31">
        <v>66</v>
      </c>
      <c r="N634" s="72">
        <v>40000</v>
      </c>
      <c r="O634" s="34">
        <v>8.5</v>
      </c>
    </row>
    <row r="635" spans="2:15" x14ac:dyDescent="0.2">
      <c r="B635" s="27">
        <v>0.33680555555555558</v>
      </c>
      <c r="C635" s="28">
        <v>6</v>
      </c>
      <c r="D635" s="33" t="str">
        <f>IF(C635="", "",VLOOKUP(C635,Key!$A$5:$B$7,2,FALSE))</f>
        <v>Large Bus</v>
      </c>
      <c r="E635" s="29" t="s">
        <v>91</v>
      </c>
      <c r="F635" s="29" t="s">
        <v>67</v>
      </c>
      <c r="G635" s="29" t="s">
        <v>70</v>
      </c>
      <c r="H635" s="30" t="s">
        <v>70</v>
      </c>
      <c r="I635" s="29" t="s">
        <v>257</v>
      </c>
      <c r="J635" s="29" t="s">
        <v>96</v>
      </c>
      <c r="K635" s="30" t="s">
        <v>102</v>
      </c>
      <c r="L635" s="29" t="str">
        <f t="shared" si="9"/>
        <v>KAMPALA-DRC</v>
      </c>
      <c r="M635" s="31">
        <v>64</v>
      </c>
      <c r="N635" s="72">
        <v>50000</v>
      </c>
      <c r="O635" s="34">
        <v>12</v>
      </c>
    </row>
    <row r="636" spans="2:15" x14ac:dyDescent="0.2">
      <c r="B636" s="27">
        <v>0.375</v>
      </c>
      <c r="C636" s="28">
        <v>6</v>
      </c>
      <c r="D636" s="33" t="str">
        <f>IF(C636="", "",VLOOKUP(C636,Key!$A$5:$B$7,2,FALSE))</f>
        <v>Large Bus</v>
      </c>
      <c r="E636" s="29" t="s">
        <v>91</v>
      </c>
      <c r="F636" s="29" t="s">
        <v>67</v>
      </c>
      <c r="G636" s="29" t="s">
        <v>70</v>
      </c>
      <c r="H636" s="30" t="s">
        <v>70</v>
      </c>
      <c r="I636" s="29" t="s">
        <v>257</v>
      </c>
      <c r="J636" s="29" t="s">
        <v>83</v>
      </c>
      <c r="K636" s="30" t="s">
        <v>83</v>
      </c>
      <c r="L636" s="29" t="str">
        <f t="shared" si="9"/>
        <v>KAMPALA-KISORO</v>
      </c>
      <c r="M636" s="31">
        <v>60</v>
      </c>
      <c r="N636" s="72">
        <v>40000</v>
      </c>
      <c r="O636" s="34">
        <v>8.5</v>
      </c>
    </row>
    <row r="637" spans="2:15" x14ac:dyDescent="0.2">
      <c r="B637" s="27">
        <v>0.34375</v>
      </c>
      <c r="C637" s="28">
        <v>6</v>
      </c>
      <c r="D637" s="33" t="str">
        <f>IF(C637="", "",VLOOKUP(C637,Key!$A$5:$B$7,2,FALSE))</f>
        <v>Large Bus</v>
      </c>
      <c r="E637" s="29" t="s">
        <v>91</v>
      </c>
      <c r="F637" s="29" t="s">
        <v>67</v>
      </c>
      <c r="G637" s="29" t="s">
        <v>70</v>
      </c>
      <c r="H637" s="30" t="s">
        <v>70</v>
      </c>
      <c r="I637" s="29" t="s">
        <v>257</v>
      </c>
      <c r="J637" s="29" t="s">
        <v>103</v>
      </c>
      <c r="K637" s="30" t="s">
        <v>104</v>
      </c>
      <c r="L637" s="29" t="str">
        <f t="shared" si="9"/>
        <v>KAMPALA-KAMEMBE</v>
      </c>
      <c r="M637" s="31">
        <v>46</v>
      </c>
      <c r="N637" s="72">
        <v>60000</v>
      </c>
      <c r="O637" s="34">
        <v>13.8</v>
      </c>
    </row>
    <row r="638" spans="2:15" x14ac:dyDescent="0.2">
      <c r="B638" s="27">
        <v>0.375</v>
      </c>
      <c r="C638" s="28">
        <v>6</v>
      </c>
      <c r="D638" s="33" t="str">
        <f>IF(C638="", "",VLOOKUP(C638,Key!$A$5:$B$7,2,FALSE))</f>
        <v>Large Bus</v>
      </c>
      <c r="E638" s="29" t="s">
        <v>91</v>
      </c>
      <c r="F638" s="29" t="s">
        <v>67</v>
      </c>
      <c r="G638" s="29" t="s">
        <v>70</v>
      </c>
      <c r="H638" s="30" t="s">
        <v>70</v>
      </c>
      <c r="I638" s="29" t="s">
        <v>257</v>
      </c>
      <c r="J638" s="29" t="s">
        <v>103</v>
      </c>
      <c r="K638" s="30" t="s">
        <v>104</v>
      </c>
      <c r="L638" s="29" t="str">
        <f t="shared" si="9"/>
        <v>KAMPALA-KAMEMBE</v>
      </c>
      <c r="M638" s="31">
        <v>64</v>
      </c>
      <c r="N638" s="72">
        <v>60000</v>
      </c>
      <c r="O638" s="34">
        <v>13.8</v>
      </c>
    </row>
    <row r="639" spans="2:15" x14ac:dyDescent="0.2">
      <c r="B639" s="27">
        <v>0.45833333333333331</v>
      </c>
      <c r="C639" s="28">
        <v>6</v>
      </c>
      <c r="D639" s="33" t="str">
        <f>IF(C639="", "",VLOOKUP(C639,Key!$A$5:$B$7,2,FALSE))</f>
        <v>Large Bus</v>
      </c>
      <c r="E639" s="29" t="s">
        <v>91</v>
      </c>
      <c r="F639" s="29" t="s">
        <v>67</v>
      </c>
      <c r="G639" s="29" t="s">
        <v>70</v>
      </c>
      <c r="H639" s="30" t="s">
        <v>70</v>
      </c>
      <c r="I639" s="29" t="s">
        <v>257</v>
      </c>
      <c r="J639" s="29" t="s">
        <v>83</v>
      </c>
      <c r="K639" s="30" t="s">
        <v>83</v>
      </c>
      <c r="L639" s="29" t="str">
        <f t="shared" si="9"/>
        <v>KAMPALA-KISORO</v>
      </c>
      <c r="M639" s="31">
        <v>64</v>
      </c>
      <c r="N639" s="72">
        <v>40000</v>
      </c>
      <c r="O639" s="34">
        <v>8.5</v>
      </c>
    </row>
    <row r="640" spans="2:15" x14ac:dyDescent="0.2">
      <c r="B640" s="27">
        <v>0.5</v>
      </c>
      <c r="C640" s="28">
        <v>6</v>
      </c>
      <c r="D640" s="33" t="str">
        <f>IF(C640="", "",VLOOKUP(C640,Key!$A$5:$B$7,2,FALSE))</f>
        <v>Large Bus</v>
      </c>
      <c r="E640" s="29" t="s">
        <v>91</v>
      </c>
      <c r="F640" s="29" t="s">
        <v>67</v>
      </c>
      <c r="G640" s="29" t="s">
        <v>70</v>
      </c>
      <c r="H640" s="30" t="s">
        <v>70</v>
      </c>
      <c r="I640" s="29" t="s">
        <v>257</v>
      </c>
      <c r="J640" s="29" t="s">
        <v>83</v>
      </c>
      <c r="K640" s="30" t="s">
        <v>83</v>
      </c>
      <c r="L640" s="29" t="str">
        <f t="shared" si="9"/>
        <v>KAMPALA-KISORO</v>
      </c>
      <c r="M640" s="31">
        <v>64</v>
      </c>
      <c r="N640" s="72">
        <v>40000</v>
      </c>
      <c r="O640" s="34">
        <v>8.5</v>
      </c>
    </row>
    <row r="641" spans="2:15" x14ac:dyDescent="0.2">
      <c r="B641" s="27">
        <v>0.25</v>
      </c>
      <c r="C641" s="28">
        <v>6</v>
      </c>
      <c r="D641" s="33" t="str">
        <f>IF(C641="", "",VLOOKUP(C641,Key!$A$5:$B$7,2,FALSE))</f>
        <v>Large Bus</v>
      </c>
      <c r="E641" s="29" t="s">
        <v>91</v>
      </c>
      <c r="F641" s="29" t="s">
        <v>67</v>
      </c>
      <c r="G641" s="29" t="s">
        <v>70</v>
      </c>
      <c r="H641" s="30" t="s">
        <v>70</v>
      </c>
      <c r="I641" s="29" t="s">
        <v>257</v>
      </c>
      <c r="J641" s="29" t="s">
        <v>83</v>
      </c>
      <c r="K641" s="30" t="s">
        <v>83</v>
      </c>
      <c r="L641" s="29" t="str">
        <f t="shared" si="9"/>
        <v>KAMPALA-KISORO</v>
      </c>
      <c r="M641" s="31">
        <v>20</v>
      </c>
      <c r="N641" s="72">
        <v>40000</v>
      </c>
      <c r="O641" s="34">
        <v>8.5</v>
      </c>
    </row>
    <row r="642" spans="2:15" x14ac:dyDescent="0.2">
      <c r="B642" s="27">
        <v>0.8125</v>
      </c>
      <c r="C642" s="28">
        <v>6</v>
      </c>
      <c r="D642" s="33" t="str">
        <f>IF(C642="", "",VLOOKUP(C642,Key!$A$5:$B$7,2,FALSE))</f>
        <v>Large Bus</v>
      </c>
      <c r="E642" s="29" t="s">
        <v>91</v>
      </c>
      <c r="F642" s="29" t="s">
        <v>66</v>
      </c>
      <c r="G642" s="29" t="s">
        <v>95</v>
      </c>
      <c r="H642" s="30" t="s">
        <v>95</v>
      </c>
      <c r="I642" s="29" t="s">
        <v>257</v>
      </c>
      <c r="J642" s="29" t="s">
        <v>70</v>
      </c>
      <c r="K642" s="30" t="s">
        <v>70</v>
      </c>
      <c r="L642" s="29" t="str">
        <f t="shared" si="9"/>
        <v>NARUKOKO-KAMPALA</v>
      </c>
      <c r="M642" s="31">
        <v>45</v>
      </c>
      <c r="N642" s="72">
        <v>40000</v>
      </c>
      <c r="O642" s="34">
        <v>11</v>
      </c>
    </row>
    <row r="643" spans="2:15" x14ac:dyDescent="0.2">
      <c r="B643" s="27">
        <v>0.97916666666666663</v>
      </c>
      <c r="C643" s="28">
        <v>6</v>
      </c>
      <c r="D643" s="33" t="str">
        <f>IF(C643="", "",VLOOKUP(C643,Key!$A$5:$B$7,2,FALSE))</f>
        <v>Large Bus</v>
      </c>
      <c r="E643" s="29" t="s">
        <v>91</v>
      </c>
      <c r="F643" s="29" t="s">
        <v>66</v>
      </c>
      <c r="G643" s="29" t="s">
        <v>83</v>
      </c>
      <c r="H643" s="30" t="s">
        <v>83</v>
      </c>
      <c r="I643" s="29" t="s">
        <v>257</v>
      </c>
      <c r="J643" s="29" t="s">
        <v>70</v>
      </c>
      <c r="K643" s="30" t="s">
        <v>70</v>
      </c>
      <c r="L643" s="29" t="str">
        <f t="shared" si="9"/>
        <v>KISORO-KAMPALA</v>
      </c>
      <c r="M643" s="31">
        <v>50</v>
      </c>
      <c r="N643" s="72">
        <v>40000</v>
      </c>
      <c r="O643" s="34">
        <v>8.5</v>
      </c>
    </row>
    <row r="644" spans="2:15" x14ac:dyDescent="0.2">
      <c r="B644" s="27">
        <v>0.15972222222222224</v>
      </c>
      <c r="C644" s="28">
        <v>6</v>
      </c>
      <c r="D644" s="33" t="str">
        <f>IF(C644="", "",VLOOKUP(C644,Key!$A$5:$B$7,2,FALSE))</f>
        <v>Large Bus</v>
      </c>
      <c r="E644" s="29" t="s">
        <v>91</v>
      </c>
      <c r="F644" s="29" t="s">
        <v>66</v>
      </c>
      <c r="G644" s="29" t="s">
        <v>83</v>
      </c>
      <c r="H644" s="30" t="s">
        <v>83</v>
      </c>
      <c r="I644" s="29" t="s">
        <v>257</v>
      </c>
      <c r="J644" s="29" t="s">
        <v>70</v>
      </c>
      <c r="K644" s="30" t="s">
        <v>70</v>
      </c>
      <c r="L644" s="29" t="str">
        <f t="shared" si="9"/>
        <v>KISORO-KAMPALA</v>
      </c>
      <c r="M644" s="31">
        <v>60</v>
      </c>
      <c r="N644" s="72">
        <v>40000</v>
      </c>
      <c r="O644" s="34">
        <v>8.5</v>
      </c>
    </row>
    <row r="645" spans="2:15" x14ac:dyDescent="0.2">
      <c r="B645" s="27">
        <v>0.20833333333333334</v>
      </c>
      <c r="C645" s="28">
        <v>6</v>
      </c>
      <c r="D645" s="33" t="str">
        <f>IF(C645="", "",VLOOKUP(C645,Key!$A$5:$B$7,2,FALSE))</f>
        <v>Large Bus</v>
      </c>
      <c r="E645" s="29" t="s">
        <v>91</v>
      </c>
      <c r="F645" s="29" t="s">
        <v>66</v>
      </c>
      <c r="G645" s="29" t="s">
        <v>96</v>
      </c>
      <c r="H645" s="30" t="s">
        <v>96</v>
      </c>
      <c r="I645" s="29" t="s">
        <v>257</v>
      </c>
      <c r="J645" s="29" t="s">
        <v>70</v>
      </c>
      <c r="K645" s="30" t="s">
        <v>70</v>
      </c>
      <c r="L645" s="29" t="str">
        <f t="shared" si="9"/>
        <v>GOMA-KAMPALA</v>
      </c>
      <c r="M645" s="31">
        <v>49</v>
      </c>
      <c r="N645" s="72">
        <v>45000</v>
      </c>
      <c r="O645" s="34">
        <v>12</v>
      </c>
    </row>
    <row r="646" spans="2:15" x14ac:dyDescent="0.2">
      <c r="B646" s="27">
        <v>0.22916666666666666</v>
      </c>
      <c r="C646" s="28">
        <v>6</v>
      </c>
      <c r="D646" s="33" t="str">
        <f>IF(C646="", "",VLOOKUP(C646,Key!$A$5:$B$7,2,FALSE))</f>
        <v>Large Bus</v>
      </c>
      <c r="E646" s="29" t="s">
        <v>91</v>
      </c>
      <c r="F646" s="29" t="s">
        <v>66</v>
      </c>
      <c r="G646" s="29" t="s">
        <v>83</v>
      </c>
      <c r="H646" s="30" t="s">
        <v>83</v>
      </c>
      <c r="I646" s="29" t="s">
        <v>257</v>
      </c>
      <c r="J646" s="29" t="s">
        <v>70</v>
      </c>
      <c r="K646" s="30" t="s">
        <v>70</v>
      </c>
      <c r="L646" s="29" t="str">
        <f t="shared" si="9"/>
        <v>KISORO-KAMPALA</v>
      </c>
      <c r="M646" s="31">
        <v>66</v>
      </c>
      <c r="N646" s="72">
        <v>40000</v>
      </c>
      <c r="O646" s="34">
        <v>8.5</v>
      </c>
    </row>
    <row r="647" spans="2:15" x14ac:dyDescent="0.2">
      <c r="B647" s="27">
        <v>0.25694444444444448</v>
      </c>
      <c r="C647" s="28">
        <v>6</v>
      </c>
      <c r="D647" s="33" t="str">
        <f>IF(C647="", "",VLOOKUP(C647,Key!$A$5:$B$7,2,FALSE))</f>
        <v>Large Bus</v>
      </c>
      <c r="E647" s="29" t="s">
        <v>91</v>
      </c>
      <c r="F647" s="29" t="s">
        <v>66</v>
      </c>
      <c r="G647" s="29" t="s">
        <v>94</v>
      </c>
      <c r="H647" s="30" t="s">
        <v>94</v>
      </c>
      <c r="I647" s="29" t="s">
        <v>257</v>
      </c>
      <c r="J647" s="29" t="s">
        <v>70</v>
      </c>
      <c r="K647" s="30" t="s">
        <v>70</v>
      </c>
      <c r="L647" s="29" t="str">
        <f t="shared" si="9"/>
        <v>KIGALI-KAMPALA</v>
      </c>
      <c r="M647" s="31">
        <v>61</v>
      </c>
      <c r="N647" s="72">
        <v>50000</v>
      </c>
      <c r="O647" s="34">
        <v>8.6</v>
      </c>
    </row>
    <row r="648" spans="2:15" x14ac:dyDescent="0.2">
      <c r="B648" s="45" t="s">
        <v>220</v>
      </c>
      <c r="C648" s="47"/>
      <c r="D648" s="33" t="str">
        <f>IF(C648="", "",VLOOKUP(C648,Key!$A$5:$B$7,2,FALSE))</f>
        <v/>
      </c>
      <c r="E648" s="44" t="s">
        <v>91</v>
      </c>
      <c r="F648" s="48"/>
      <c r="G648" s="47"/>
      <c r="H648" s="47"/>
      <c r="I648" s="47" t="s">
        <v>257</v>
      </c>
      <c r="J648" s="47"/>
      <c r="K648" s="47"/>
      <c r="L648" s="47" t="str">
        <f t="shared" si="9"/>
        <v>-</v>
      </c>
      <c r="M648" s="47"/>
      <c r="N648" s="48"/>
      <c r="O648" s="48"/>
    </row>
    <row r="649" spans="2:15" x14ac:dyDescent="0.2">
      <c r="B649" s="27">
        <v>0.37708333333333338</v>
      </c>
      <c r="C649" s="28">
        <v>6</v>
      </c>
      <c r="D649" s="33" t="str">
        <f>IF(C649="", "",VLOOKUP(C649,Key!$A$5:$B$7,2,FALSE))</f>
        <v>Large Bus</v>
      </c>
      <c r="E649" s="29" t="s">
        <v>91</v>
      </c>
      <c r="F649" s="29" t="s">
        <v>67</v>
      </c>
      <c r="G649" s="29" t="s">
        <v>70</v>
      </c>
      <c r="H649" s="30" t="s">
        <v>70</v>
      </c>
      <c r="I649" s="29" t="s">
        <v>257</v>
      </c>
      <c r="J649" s="29" t="s">
        <v>94</v>
      </c>
      <c r="K649" s="30" t="s">
        <v>94</v>
      </c>
      <c r="L649" s="29" t="str">
        <f t="shared" si="9"/>
        <v>KAMPALA-KIGALI</v>
      </c>
      <c r="M649" s="31">
        <v>50</v>
      </c>
      <c r="N649" s="72">
        <v>50000</v>
      </c>
      <c r="O649" s="34">
        <v>8.6</v>
      </c>
    </row>
    <row r="650" spans="2:15" x14ac:dyDescent="0.2">
      <c r="B650" s="27">
        <v>0.75347222222222221</v>
      </c>
      <c r="C650" s="28">
        <v>6</v>
      </c>
      <c r="D650" s="33" t="str">
        <f>IF(C650="", "",VLOOKUP(C650,Key!$A$5:$B$7,2,FALSE))</f>
        <v>Large Bus</v>
      </c>
      <c r="E650" s="29" t="s">
        <v>91</v>
      </c>
      <c r="F650" s="29" t="s">
        <v>67</v>
      </c>
      <c r="G650" s="29" t="s">
        <v>70</v>
      </c>
      <c r="H650" s="30" t="s">
        <v>70</v>
      </c>
      <c r="I650" s="29" t="s">
        <v>257</v>
      </c>
      <c r="J650" s="29" t="s">
        <v>83</v>
      </c>
      <c r="K650" s="30" t="s">
        <v>83</v>
      </c>
      <c r="L650" s="29" t="str">
        <f t="shared" ref="L650:L713" si="10">H650&amp;"-"&amp;K650</f>
        <v>KAMPALA-KISORO</v>
      </c>
      <c r="M650" s="31">
        <v>67</v>
      </c>
      <c r="N650" s="72">
        <v>40000</v>
      </c>
      <c r="O650" s="34">
        <v>8.5</v>
      </c>
    </row>
    <row r="651" spans="2:15" x14ac:dyDescent="0.2">
      <c r="B651" s="27">
        <v>0.85625000000000007</v>
      </c>
      <c r="C651" s="28">
        <v>6</v>
      </c>
      <c r="D651" s="33" t="str">
        <f>IF(C651="", "",VLOOKUP(C651,Key!$A$5:$B$7,2,FALSE))</f>
        <v>Large Bus</v>
      </c>
      <c r="E651" s="29" t="s">
        <v>91</v>
      </c>
      <c r="F651" s="29" t="s">
        <v>66</v>
      </c>
      <c r="G651" s="29" t="s">
        <v>94</v>
      </c>
      <c r="H651" s="30" t="s">
        <v>94</v>
      </c>
      <c r="I651" s="29" t="s">
        <v>257</v>
      </c>
      <c r="J651" s="29" t="s">
        <v>70</v>
      </c>
      <c r="K651" s="30" t="s">
        <v>70</v>
      </c>
      <c r="L651" s="29" t="str">
        <f t="shared" si="10"/>
        <v>KIGALI-KAMPALA</v>
      </c>
      <c r="M651" s="31">
        <v>47</v>
      </c>
      <c r="N651" s="72">
        <v>50000</v>
      </c>
      <c r="O651" s="34">
        <v>8.6</v>
      </c>
    </row>
    <row r="652" spans="2:15" x14ac:dyDescent="0.2">
      <c r="B652" s="27">
        <v>0.5131944444444444</v>
      </c>
      <c r="C652" s="28">
        <v>6</v>
      </c>
      <c r="D652" s="33" t="str">
        <f>IF(C652="", "",VLOOKUP(C652,Key!$A$5:$B$7,2,FALSE))</f>
        <v>Large Bus</v>
      </c>
      <c r="E652" s="29" t="s">
        <v>91</v>
      </c>
      <c r="F652" s="29" t="s">
        <v>66</v>
      </c>
      <c r="G652" s="29" t="s">
        <v>83</v>
      </c>
      <c r="H652" s="30" t="s">
        <v>83</v>
      </c>
      <c r="I652" s="29" t="s">
        <v>257</v>
      </c>
      <c r="J652" s="29" t="s">
        <v>70</v>
      </c>
      <c r="K652" s="30" t="s">
        <v>70</v>
      </c>
      <c r="L652" s="29" t="str">
        <f t="shared" si="10"/>
        <v>KISORO-KAMPALA</v>
      </c>
      <c r="M652" s="31">
        <v>40</v>
      </c>
      <c r="N652" s="72">
        <v>40000</v>
      </c>
      <c r="O652" s="34">
        <v>8.5</v>
      </c>
    </row>
    <row r="653" spans="2:15" x14ac:dyDescent="0.2">
      <c r="B653" s="27">
        <v>0.19444444444444445</v>
      </c>
      <c r="C653" s="28">
        <v>6</v>
      </c>
      <c r="D653" s="33" t="str">
        <f>IF(C653="", "",VLOOKUP(C653,Key!$A$5:$B$7,2,FALSE))</f>
        <v>Large Bus</v>
      </c>
      <c r="E653" s="29" t="s">
        <v>91</v>
      </c>
      <c r="F653" s="29" t="s">
        <v>66</v>
      </c>
      <c r="G653" s="29" t="s">
        <v>83</v>
      </c>
      <c r="H653" s="30" t="s">
        <v>83</v>
      </c>
      <c r="I653" s="29" t="s">
        <v>257</v>
      </c>
      <c r="J653" s="29" t="s">
        <v>70</v>
      </c>
      <c r="K653" s="30" t="s">
        <v>70</v>
      </c>
      <c r="L653" s="29" t="str">
        <f t="shared" si="10"/>
        <v>KISORO-KAMPALA</v>
      </c>
      <c r="M653" s="31">
        <v>61</v>
      </c>
      <c r="N653" s="72">
        <v>40000</v>
      </c>
      <c r="O653" s="34">
        <v>8.5</v>
      </c>
    </row>
    <row r="654" spans="2:15" x14ac:dyDescent="0.2">
      <c r="B654" s="27">
        <v>0.21666666666666667</v>
      </c>
      <c r="C654" s="28">
        <v>6</v>
      </c>
      <c r="D654" s="33" t="str">
        <f>IF(C654="", "",VLOOKUP(C654,Key!$A$5:$B$7,2,FALSE))</f>
        <v>Large Bus</v>
      </c>
      <c r="E654" s="29" t="s">
        <v>91</v>
      </c>
      <c r="F654" s="29" t="s">
        <v>66</v>
      </c>
      <c r="G654" s="29" t="s">
        <v>99</v>
      </c>
      <c r="H654" s="30" t="s">
        <v>99</v>
      </c>
      <c r="I654" s="29" t="s">
        <v>257</v>
      </c>
      <c r="J654" s="29" t="s">
        <v>70</v>
      </c>
      <c r="K654" s="30" t="s">
        <v>70</v>
      </c>
      <c r="L654" s="29" t="str">
        <f t="shared" si="10"/>
        <v>KISENYI-KAMPALA</v>
      </c>
      <c r="M654" s="31">
        <v>30</v>
      </c>
      <c r="N654" s="72">
        <v>50000</v>
      </c>
      <c r="O654" s="34">
        <v>12.25</v>
      </c>
    </row>
    <row r="655" spans="2:15" x14ac:dyDescent="0.2">
      <c r="B655" s="27">
        <v>0.23333333333333331</v>
      </c>
      <c r="C655" s="28">
        <v>6</v>
      </c>
      <c r="D655" s="33" t="str">
        <f>IF(C655="", "",VLOOKUP(C655,Key!$A$5:$B$7,2,FALSE))</f>
        <v>Large Bus</v>
      </c>
      <c r="E655" s="29" t="s">
        <v>91</v>
      </c>
      <c r="F655" s="29" t="s">
        <v>66</v>
      </c>
      <c r="G655" s="29" t="s">
        <v>83</v>
      </c>
      <c r="H655" s="30" t="s">
        <v>83</v>
      </c>
      <c r="I655" s="29" t="s">
        <v>257</v>
      </c>
      <c r="J655" s="29" t="s">
        <v>70</v>
      </c>
      <c r="K655" s="30" t="s">
        <v>70</v>
      </c>
      <c r="L655" s="29" t="str">
        <f t="shared" si="10"/>
        <v>KISORO-KAMPALA</v>
      </c>
      <c r="M655" s="31">
        <v>40</v>
      </c>
      <c r="N655" s="72">
        <v>40000</v>
      </c>
      <c r="O655" s="34">
        <v>8.5</v>
      </c>
    </row>
    <row r="656" spans="2:15" x14ac:dyDescent="0.2">
      <c r="B656" s="27">
        <v>0.24305555555555555</v>
      </c>
      <c r="C656" s="28">
        <v>6</v>
      </c>
      <c r="D656" s="33" t="str">
        <f>IF(C656="", "",VLOOKUP(C656,Key!$A$5:$B$7,2,FALSE))</f>
        <v>Large Bus</v>
      </c>
      <c r="E656" s="29" t="s">
        <v>91</v>
      </c>
      <c r="F656" s="29" t="s">
        <v>66</v>
      </c>
      <c r="G656" s="29" t="s">
        <v>83</v>
      </c>
      <c r="H656" s="30" t="s">
        <v>83</v>
      </c>
      <c r="I656" s="29" t="s">
        <v>257</v>
      </c>
      <c r="J656" s="29" t="s">
        <v>70</v>
      </c>
      <c r="K656" s="30" t="s">
        <v>70</v>
      </c>
      <c r="L656" s="29" t="str">
        <f t="shared" si="10"/>
        <v>KISORO-KAMPALA</v>
      </c>
      <c r="M656" s="31">
        <v>61</v>
      </c>
      <c r="N656" s="72">
        <v>40000</v>
      </c>
      <c r="O656" s="34">
        <v>8.5</v>
      </c>
    </row>
    <row r="657" spans="2:15" x14ac:dyDescent="0.2">
      <c r="B657" s="27">
        <v>0.83680555555555547</v>
      </c>
      <c r="C657" s="28">
        <v>6</v>
      </c>
      <c r="D657" s="33" t="str">
        <f>IF(C657="", "",VLOOKUP(C657,Key!$A$5:$B$7,2,FALSE))</f>
        <v>Large Bus</v>
      </c>
      <c r="E657" s="29" t="s">
        <v>91</v>
      </c>
      <c r="F657" s="29" t="s">
        <v>67</v>
      </c>
      <c r="G657" s="29" t="s">
        <v>70</v>
      </c>
      <c r="H657" s="30" t="s">
        <v>70</v>
      </c>
      <c r="I657" s="29" t="s">
        <v>257</v>
      </c>
      <c r="J657" s="29" t="s">
        <v>103</v>
      </c>
      <c r="K657" s="30" t="s">
        <v>103</v>
      </c>
      <c r="L657" s="29" t="str">
        <f t="shared" si="10"/>
        <v>KAMPALA-KANYALU</v>
      </c>
      <c r="M657" s="31">
        <v>45</v>
      </c>
      <c r="N657" s="72">
        <v>60000</v>
      </c>
      <c r="O657" s="34">
        <v>11</v>
      </c>
    </row>
    <row r="658" spans="2:15" x14ac:dyDescent="0.2">
      <c r="B658" s="27">
        <v>0.83680555555555547</v>
      </c>
      <c r="C658" s="28">
        <v>6</v>
      </c>
      <c r="D658" s="33" t="str">
        <f>IF(C658="", "",VLOOKUP(C658,Key!$A$5:$B$7,2,FALSE))</f>
        <v>Large Bus</v>
      </c>
      <c r="E658" s="29" t="s">
        <v>91</v>
      </c>
      <c r="F658" s="29" t="s">
        <v>67</v>
      </c>
      <c r="G658" s="29" t="s">
        <v>70</v>
      </c>
      <c r="H658" s="30" t="s">
        <v>70</v>
      </c>
      <c r="I658" s="29" t="s">
        <v>257</v>
      </c>
      <c r="J658" s="29" t="s">
        <v>96</v>
      </c>
      <c r="K658" s="30" t="s">
        <v>107</v>
      </c>
      <c r="L658" s="29" t="str">
        <f t="shared" si="10"/>
        <v>KAMPALA-LUBAVU</v>
      </c>
      <c r="M658" s="31">
        <v>48</v>
      </c>
      <c r="N658" s="72">
        <v>50000</v>
      </c>
      <c r="O658" s="34">
        <v>12</v>
      </c>
    </row>
    <row r="659" spans="2:15" x14ac:dyDescent="0.2">
      <c r="B659" s="27">
        <v>0.88055555555555554</v>
      </c>
      <c r="C659" s="28">
        <v>6</v>
      </c>
      <c r="D659" s="33" t="str">
        <f>IF(C659="", "",VLOOKUP(C659,Key!$A$5:$B$7,2,FALSE))</f>
        <v>Large Bus</v>
      </c>
      <c r="E659" s="29" t="s">
        <v>91</v>
      </c>
      <c r="F659" s="29" t="s">
        <v>67</v>
      </c>
      <c r="G659" s="29" t="s">
        <v>70</v>
      </c>
      <c r="H659" s="30" t="s">
        <v>70</v>
      </c>
      <c r="I659" s="29" t="s">
        <v>257</v>
      </c>
      <c r="J659" s="29" t="s">
        <v>103</v>
      </c>
      <c r="K659" s="30" t="s">
        <v>103</v>
      </c>
      <c r="L659" s="29" t="str">
        <f t="shared" si="10"/>
        <v>KAMPALA-KANYALU</v>
      </c>
      <c r="M659" s="31">
        <v>45</v>
      </c>
      <c r="N659" s="72">
        <v>60000</v>
      </c>
      <c r="O659" s="34">
        <v>11</v>
      </c>
    </row>
    <row r="660" spans="2:15" x14ac:dyDescent="0.2">
      <c r="B660" s="27">
        <v>0.87847222222222221</v>
      </c>
      <c r="C660" s="28">
        <v>6</v>
      </c>
      <c r="D660" s="33" t="str">
        <f>IF(C660="", "",VLOOKUP(C660,Key!$A$5:$B$7,2,FALSE))</f>
        <v>Large Bus</v>
      </c>
      <c r="E660" s="29" t="s">
        <v>91</v>
      </c>
      <c r="F660" s="29" t="s">
        <v>67</v>
      </c>
      <c r="G660" s="29" t="s">
        <v>70</v>
      </c>
      <c r="H660" s="30" t="s">
        <v>70</v>
      </c>
      <c r="I660" s="29" t="s">
        <v>257</v>
      </c>
      <c r="J660" s="29" t="s">
        <v>83</v>
      </c>
      <c r="K660" s="30" t="s">
        <v>83</v>
      </c>
      <c r="L660" s="29" t="str">
        <f t="shared" si="10"/>
        <v>KAMPALA-KISORO</v>
      </c>
      <c r="M660" s="31">
        <v>61</v>
      </c>
      <c r="N660" s="72">
        <v>40000</v>
      </c>
      <c r="O660" s="34">
        <v>8.5</v>
      </c>
    </row>
    <row r="661" spans="2:15" x14ac:dyDescent="0.2">
      <c r="B661" s="27">
        <v>0</v>
      </c>
      <c r="C661" s="28">
        <v>6</v>
      </c>
      <c r="D661" s="33" t="str">
        <f>IF(C661="", "",VLOOKUP(C661,Key!$A$5:$B$7,2,FALSE))</f>
        <v>Large Bus</v>
      </c>
      <c r="E661" s="29" t="s">
        <v>91</v>
      </c>
      <c r="F661" s="29" t="s">
        <v>67</v>
      </c>
      <c r="G661" s="29" t="s">
        <v>70</v>
      </c>
      <c r="H661" s="30" t="s">
        <v>70</v>
      </c>
      <c r="I661" s="29" t="s">
        <v>257</v>
      </c>
      <c r="J661" s="29" t="s">
        <v>83</v>
      </c>
      <c r="K661" s="30" t="s">
        <v>83</v>
      </c>
      <c r="L661" s="29" t="str">
        <f t="shared" si="10"/>
        <v>KAMPALA-KISORO</v>
      </c>
      <c r="M661" s="31">
        <v>65</v>
      </c>
      <c r="N661" s="72">
        <v>40000</v>
      </c>
      <c r="O661" s="34">
        <v>8.5</v>
      </c>
    </row>
    <row r="662" spans="2:15" x14ac:dyDescent="0.2">
      <c r="B662" s="27">
        <v>0.25</v>
      </c>
      <c r="C662" s="28">
        <v>6</v>
      </c>
      <c r="D662" s="33" t="str">
        <f>IF(C662="", "",VLOOKUP(C662,Key!$A$5:$B$7,2,FALSE))</f>
        <v>Large Bus</v>
      </c>
      <c r="E662" s="29" t="s">
        <v>91</v>
      </c>
      <c r="F662" s="29" t="s">
        <v>67</v>
      </c>
      <c r="G662" s="29" t="s">
        <v>70</v>
      </c>
      <c r="H662" s="30" t="s">
        <v>70</v>
      </c>
      <c r="I662" s="29" t="s">
        <v>257</v>
      </c>
      <c r="J662" s="29" t="s">
        <v>83</v>
      </c>
      <c r="K662" s="30" t="s">
        <v>83</v>
      </c>
      <c r="L662" s="29" t="str">
        <f t="shared" si="10"/>
        <v>KAMPALA-KISORO</v>
      </c>
      <c r="M662" s="31">
        <v>25</v>
      </c>
      <c r="N662" s="72">
        <v>40000</v>
      </c>
      <c r="O662" s="34">
        <v>8.5</v>
      </c>
    </row>
    <row r="663" spans="2:15" x14ac:dyDescent="0.2">
      <c r="B663" s="27">
        <v>0.33611111111111108</v>
      </c>
      <c r="C663" s="28">
        <v>6</v>
      </c>
      <c r="D663" s="33" t="str">
        <f>IF(C663="", "",VLOOKUP(C663,Key!$A$5:$B$7,2,FALSE))</f>
        <v>Large Bus</v>
      </c>
      <c r="E663" s="29" t="s">
        <v>91</v>
      </c>
      <c r="F663" s="29" t="s">
        <v>66</v>
      </c>
      <c r="G663" s="29" t="s">
        <v>94</v>
      </c>
      <c r="H663" s="30" t="s">
        <v>94</v>
      </c>
      <c r="I663" s="29" t="s">
        <v>257</v>
      </c>
      <c r="J663" s="29" t="s">
        <v>70</v>
      </c>
      <c r="K663" s="30" t="s">
        <v>70</v>
      </c>
      <c r="L663" s="29" t="str">
        <f t="shared" si="10"/>
        <v>KIGALI-KAMPALA</v>
      </c>
      <c r="M663" s="31">
        <v>45</v>
      </c>
      <c r="N663" s="72">
        <v>50000</v>
      </c>
      <c r="O663" s="34">
        <v>8.6</v>
      </c>
    </row>
    <row r="664" spans="2:15" x14ac:dyDescent="0.2">
      <c r="B664" s="27">
        <v>0.7944444444444444</v>
      </c>
      <c r="C664" s="28">
        <v>6</v>
      </c>
      <c r="D664" s="33" t="str">
        <f>IF(C664="", "",VLOOKUP(C664,Key!$A$5:$B$7,2,FALSE))</f>
        <v>Large Bus</v>
      </c>
      <c r="E664" s="29" t="s">
        <v>91</v>
      </c>
      <c r="F664" s="29" t="s">
        <v>66</v>
      </c>
      <c r="G664" s="29" t="s">
        <v>83</v>
      </c>
      <c r="H664" s="30" t="s">
        <v>83</v>
      </c>
      <c r="I664" s="29" t="s">
        <v>257</v>
      </c>
      <c r="J664" s="29" t="s">
        <v>70</v>
      </c>
      <c r="K664" s="30" t="s">
        <v>70</v>
      </c>
      <c r="L664" s="29" t="str">
        <f t="shared" si="10"/>
        <v>KISORO-KAMPALA</v>
      </c>
      <c r="M664" s="31">
        <v>66</v>
      </c>
      <c r="N664" s="72">
        <v>40000</v>
      </c>
      <c r="O664" s="34">
        <v>8.5</v>
      </c>
    </row>
    <row r="665" spans="2:15" x14ac:dyDescent="0.2">
      <c r="B665" s="45" t="s">
        <v>221</v>
      </c>
      <c r="C665" s="47"/>
      <c r="D665" s="33" t="str">
        <f>IF(C665="", "",VLOOKUP(C665,Key!$A$5:$B$7,2,FALSE))</f>
        <v/>
      </c>
      <c r="E665" s="44" t="s">
        <v>91</v>
      </c>
      <c r="F665" s="48"/>
      <c r="G665" s="47"/>
      <c r="H665" s="47"/>
      <c r="I665" s="47" t="s">
        <v>257</v>
      </c>
      <c r="J665" s="47"/>
      <c r="K665" s="47"/>
      <c r="L665" s="47" t="str">
        <f t="shared" si="10"/>
        <v>-</v>
      </c>
      <c r="M665" s="47"/>
      <c r="N665" s="48"/>
      <c r="O665" s="48"/>
    </row>
    <row r="666" spans="2:15" x14ac:dyDescent="0.2">
      <c r="B666" s="27">
        <v>0.375</v>
      </c>
      <c r="C666" s="28">
        <v>6</v>
      </c>
      <c r="D666" s="33" t="str">
        <f>IF(C666="", "",VLOOKUP(C666,Key!$A$5:$B$7,2,FALSE))</f>
        <v>Large Bus</v>
      </c>
      <c r="E666" s="29" t="s">
        <v>91</v>
      </c>
      <c r="F666" s="29" t="s">
        <v>67</v>
      </c>
      <c r="G666" s="29" t="s">
        <v>70</v>
      </c>
      <c r="H666" s="30" t="s">
        <v>70</v>
      </c>
      <c r="I666" s="29" t="s">
        <v>257</v>
      </c>
      <c r="J666" s="29" t="s">
        <v>94</v>
      </c>
      <c r="K666" s="30" t="s">
        <v>94</v>
      </c>
      <c r="L666" s="29" t="str">
        <f t="shared" si="10"/>
        <v>KAMPALA-KIGALI</v>
      </c>
      <c r="M666" s="31">
        <v>61</v>
      </c>
      <c r="N666" s="72">
        <v>50000</v>
      </c>
      <c r="O666" s="34">
        <v>8.6</v>
      </c>
    </row>
    <row r="667" spans="2:15" x14ac:dyDescent="0.2">
      <c r="B667" s="27">
        <v>0.39542824074074073</v>
      </c>
      <c r="C667" s="28">
        <v>6</v>
      </c>
      <c r="D667" s="33" t="str">
        <f>IF(C667="", "",VLOOKUP(C667,Key!$A$5:$B$7,2,FALSE))</f>
        <v>Large Bus</v>
      </c>
      <c r="E667" s="29" t="s">
        <v>91</v>
      </c>
      <c r="F667" s="29" t="s">
        <v>67</v>
      </c>
      <c r="G667" s="29" t="s">
        <v>70</v>
      </c>
      <c r="H667" s="30" t="s">
        <v>70</v>
      </c>
      <c r="I667" s="29" t="s">
        <v>257</v>
      </c>
      <c r="J667" s="29" t="s">
        <v>83</v>
      </c>
      <c r="K667" s="30" t="s">
        <v>83</v>
      </c>
      <c r="L667" s="29" t="str">
        <f t="shared" si="10"/>
        <v>KAMPALA-KISORO</v>
      </c>
      <c r="M667" s="31">
        <v>60</v>
      </c>
      <c r="N667" s="72">
        <v>40000</v>
      </c>
      <c r="O667" s="34">
        <v>8.5</v>
      </c>
    </row>
    <row r="668" spans="2:15" x14ac:dyDescent="0.2">
      <c r="B668" s="27">
        <v>0.3923611111111111</v>
      </c>
      <c r="C668" s="28">
        <v>6</v>
      </c>
      <c r="D668" s="33" t="str">
        <f>IF(C668="", "",VLOOKUP(C668,Key!$A$5:$B$7,2,FALSE))</f>
        <v>Large Bus</v>
      </c>
      <c r="E668" s="29" t="s">
        <v>91</v>
      </c>
      <c r="F668" s="29" t="s">
        <v>66</v>
      </c>
      <c r="G668" s="29" t="s">
        <v>100</v>
      </c>
      <c r="H668" s="30" t="s">
        <v>100</v>
      </c>
      <c r="I668" s="29" t="s">
        <v>257</v>
      </c>
      <c r="J668" s="29" t="s">
        <v>70</v>
      </c>
      <c r="K668" s="30" t="s">
        <v>70</v>
      </c>
      <c r="L668" s="29" t="str">
        <f t="shared" si="10"/>
        <v>KATUNA-KAMPALA</v>
      </c>
      <c r="M668" s="31">
        <v>45</v>
      </c>
      <c r="N668" s="72">
        <v>40000</v>
      </c>
      <c r="O668" s="34">
        <v>7</v>
      </c>
    </row>
    <row r="669" spans="2:15" x14ac:dyDescent="0.2">
      <c r="B669" s="27">
        <v>0.83333333333333337</v>
      </c>
      <c r="C669" s="28">
        <v>6</v>
      </c>
      <c r="D669" s="33" t="str">
        <f>IF(C669="", "",VLOOKUP(C669,Key!$A$5:$B$7,2,FALSE))</f>
        <v>Large Bus</v>
      </c>
      <c r="E669" s="29" t="s">
        <v>91</v>
      </c>
      <c r="F669" s="29" t="s">
        <v>67</v>
      </c>
      <c r="G669" s="29" t="s">
        <v>70</v>
      </c>
      <c r="H669" s="30" t="s">
        <v>70</v>
      </c>
      <c r="I669" s="29" t="s">
        <v>257</v>
      </c>
      <c r="J669" s="29" t="s">
        <v>96</v>
      </c>
      <c r="K669" s="30" t="s">
        <v>108</v>
      </c>
      <c r="L669" s="29" t="str">
        <f t="shared" si="10"/>
        <v>KAMPALA-KIVU/KISENYI</v>
      </c>
      <c r="M669" s="31">
        <v>48</v>
      </c>
      <c r="N669" s="72">
        <v>50000</v>
      </c>
      <c r="O669" s="34">
        <v>13.25</v>
      </c>
    </row>
    <row r="670" spans="2:15" x14ac:dyDescent="0.2">
      <c r="B670" s="27">
        <v>0.83333333333333337</v>
      </c>
      <c r="C670" s="28">
        <v>6</v>
      </c>
      <c r="D670" s="33" t="str">
        <f>IF(C670="", "",VLOOKUP(C670,Key!$A$5:$B$7,2,FALSE))</f>
        <v>Large Bus</v>
      </c>
      <c r="E670" s="29" t="s">
        <v>91</v>
      </c>
      <c r="F670" s="29" t="s">
        <v>67</v>
      </c>
      <c r="G670" s="29" t="s">
        <v>70</v>
      </c>
      <c r="H670" s="30" t="s">
        <v>70</v>
      </c>
      <c r="I670" s="29" t="s">
        <v>257</v>
      </c>
      <c r="J670" s="29" t="s">
        <v>109</v>
      </c>
      <c r="K670" s="30" t="s">
        <v>103</v>
      </c>
      <c r="L670" s="29" t="str">
        <f t="shared" si="10"/>
        <v>KAMPALA-KANYALU</v>
      </c>
      <c r="M670" s="31">
        <v>44</v>
      </c>
      <c r="N670" s="72">
        <v>60000</v>
      </c>
      <c r="O670" s="34">
        <v>11</v>
      </c>
    </row>
    <row r="671" spans="2:15" x14ac:dyDescent="0.2">
      <c r="B671" s="27">
        <v>0.875</v>
      </c>
      <c r="C671" s="28">
        <v>6</v>
      </c>
      <c r="D671" s="33" t="str">
        <f>IF(C671="", "",VLOOKUP(C671,Key!$A$5:$B$7,2,FALSE))</f>
        <v>Large Bus</v>
      </c>
      <c r="E671" s="29" t="s">
        <v>91</v>
      </c>
      <c r="F671" s="29" t="s">
        <v>67</v>
      </c>
      <c r="G671" s="29" t="s">
        <v>70</v>
      </c>
      <c r="H671" s="30" t="s">
        <v>70</v>
      </c>
      <c r="I671" s="29" t="s">
        <v>257</v>
      </c>
      <c r="J671" s="29" t="s">
        <v>83</v>
      </c>
      <c r="K671" s="30" t="s">
        <v>83</v>
      </c>
      <c r="L671" s="29" t="str">
        <f t="shared" si="10"/>
        <v>KAMPALA-KISORO</v>
      </c>
      <c r="M671" s="31">
        <v>60</v>
      </c>
      <c r="N671" s="72">
        <v>40000</v>
      </c>
      <c r="O671" s="34">
        <v>8.5</v>
      </c>
    </row>
    <row r="672" spans="2:15" x14ac:dyDescent="0.2">
      <c r="B672" s="27">
        <v>0.8833333333333333</v>
      </c>
      <c r="C672" s="28">
        <v>6</v>
      </c>
      <c r="D672" s="33" t="str">
        <f>IF(C672="", "",VLOOKUP(C672,Key!$A$5:$B$7,2,FALSE))</f>
        <v>Large Bus</v>
      </c>
      <c r="E672" s="29" t="s">
        <v>91</v>
      </c>
      <c r="F672" s="29" t="s">
        <v>67</v>
      </c>
      <c r="G672" s="29" t="s">
        <v>70</v>
      </c>
      <c r="H672" s="30" t="s">
        <v>70</v>
      </c>
      <c r="I672" s="29" t="s">
        <v>257</v>
      </c>
      <c r="J672" s="29" t="s">
        <v>103</v>
      </c>
      <c r="K672" s="30" t="s">
        <v>103</v>
      </c>
      <c r="L672" s="29" t="str">
        <f t="shared" si="10"/>
        <v>KAMPALA-KANYALU</v>
      </c>
      <c r="M672" s="31">
        <v>48</v>
      </c>
      <c r="N672" s="72">
        <v>60000</v>
      </c>
      <c r="O672" s="34">
        <v>11</v>
      </c>
    </row>
    <row r="673" spans="2:15" x14ac:dyDescent="0.2">
      <c r="B673" s="27">
        <v>0.5</v>
      </c>
      <c r="C673" s="28">
        <v>6</v>
      </c>
      <c r="D673" s="33" t="str">
        <f>IF(C673="", "",VLOOKUP(C673,Key!$A$5:$B$7,2,FALSE))</f>
        <v>Large Bus</v>
      </c>
      <c r="E673" s="29" t="s">
        <v>91</v>
      </c>
      <c r="F673" s="29" t="s">
        <v>67</v>
      </c>
      <c r="G673" s="29" t="s">
        <v>70</v>
      </c>
      <c r="H673" s="30" t="s">
        <v>70</v>
      </c>
      <c r="I673" s="29" t="s">
        <v>257</v>
      </c>
      <c r="J673" s="29" t="s">
        <v>83</v>
      </c>
      <c r="K673" s="30" t="s">
        <v>83</v>
      </c>
      <c r="L673" s="29" t="str">
        <f t="shared" si="10"/>
        <v>KAMPALA-KISORO</v>
      </c>
      <c r="M673" s="31">
        <v>60</v>
      </c>
      <c r="N673" s="72">
        <v>40000</v>
      </c>
      <c r="O673" s="34">
        <v>8.5</v>
      </c>
    </row>
    <row r="674" spans="2:15" x14ac:dyDescent="0.2">
      <c r="B674" s="27">
        <v>0.125</v>
      </c>
      <c r="C674" s="28">
        <v>6</v>
      </c>
      <c r="D674" s="33" t="str">
        <f>IF(C674="", "",VLOOKUP(C674,Key!$A$5:$B$7,2,FALSE))</f>
        <v>Large Bus</v>
      </c>
      <c r="E674" s="29" t="s">
        <v>91</v>
      </c>
      <c r="F674" s="29" t="s">
        <v>67</v>
      </c>
      <c r="G674" s="29" t="s">
        <v>70</v>
      </c>
      <c r="H674" s="30" t="s">
        <v>70</v>
      </c>
      <c r="I674" s="29" t="s">
        <v>257</v>
      </c>
      <c r="J674" s="29" t="s">
        <v>83</v>
      </c>
      <c r="K674" s="30" t="s">
        <v>83</v>
      </c>
      <c r="L674" s="29" t="str">
        <f t="shared" si="10"/>
        <v>KAMPALA-KISORO</v>
      </c>
      <c r="M674" s="31">
        <v>60</v>
      </c>
      <c r="N674" s="72">
        <v>40000</v>
      </c>
      <c r="O674" s="34">
        <v>8.5</v>
      </c>
    </row>
    <row r="675" spans="2:15" x14ac:dyDescent="0.2">
      <c r="B675" s="27">
        <v>0.25</v>
      </c>
      <c r="C675" s="28">
        <v>6</v>
      </c>
      <c r="D675" s="33" t="str">
        <f>IF(C675="", "",VLOOKUP(C675,Key!$A$5:$B$7,2,FALSE))</f>
        <v>Large Bus</v>
      </c>
      <c r="E675" s="29" t="s">
        <v>91</v>
      </c>
      <c r="F675" s="29" t="s">
        <v>67</v>
      </c>
      <c r="G675" s="29" t="s">
        <v>70</v>
      </c>
      <c r="H675" s="30" t="s">
        <v>70</v>
      </c>
      <c r="I675" s="29" t="s">
        <v>257</v>
      </c>
      <c r="J675" s="29" t="s">
        <v>83</v>
      </c>
      <c r="K675" s="30" t="s">
        <v>83</v>
      </c>
      <c r="L675" s="29" t="str">
        <f t="shared" si="10"/>
        <v>KAMPALA-KISORO</v>
      </c>
      <c r="M675" s="31">
        <v>60</v>
      </c>
      <c r="N675" s="72">
        <v>40000</v>
      </c>
      <c r="O675" s="34">
        <v>8.5</v>
      </c>
    </row>
    <row r="676" spans="2:15" x14ac:dyDescent="0.2">
      <c r="B676" s="27">
        <v>0.88402777777777775</v>
      </c>
      <c r="C676" s="28">
        <v>6</v>
      </c>
      <c r="D676" s="33" t="str">
        <f>IF(C676="", "",VLOOKUP(C676,Key!$A$5:$B$7,2,FALSE))</f>
        <v>Large Bus</v>
      </c>
      <c r="E676" s="29" t="s">
        <v>91</v>
      </c>
      <c r="F676" s="29" t="s">
        <v>66</v>
      </c>
      <c r="G676" s="29" t="s">
        <v>94</v>
      </c>
      <c r="H676" s="30" t="s">
        <v>94</v>
      </c>
      <c r="I676" s="29" t="s">
        <v>257</v>
      </c>
      <c r="J676" s="29" t="s">
        <v>70</v>
      </c>
      <c r="K676" s="30" t="s">
        <v>70</v>
      </c>
      <c r="L676" s="29" t="str">
        <f t="shared" si="10"/>
        <v>KIGALI-KAMPALA</v>
      </c>
      <c r="M676" s="31">
        <v>30</v>
      </c>
      <c r="N676" s="72">
        <v>50000</v>
      </c>
      <c r="O676" s="34">
        <v>8.6</v>
      </c>
    </row>
    <row r="677" spans="2:15" x14ac:dyDescent="0.2">
      <c r="B677" s="27">
        <v>0.91666666666666663</v>
      </c>
      <c r="C677" s="28">
        <v>6</v>
      </c>
      <c r="D677" s="33" t="str">
        <f>IF(C677="", "",VLOOKUP(C677,Key!$A$5:$B$7,2,FALSE))</f>
        <v>Large Bus</v>
      </c>
      <c r="E677" s="29" t="s">
        <v>91</v>
      </c>
      <c r="F677" s="29" t="s">
        <v>66</v>
      </c>
      <c r="G677" s="29" t="s">
        <v>94</v>
      </c>
      <c r="H677" s="30" t="s">
        <v>94</v>
      </c>
      <c r="I677" s="29" t="s">
        <v>257</v>
      </c>
      <c r="J677" s="29" t="s">
        <v>70</v>
      </c>
      <c r="K677" s="30" t="s">
        <v>70</v>
      </c>
      <c r="L677" s="29" t="str">
        <f t="shared" si="10"/>
        <v>KIGALI-KAMPALA</v>
      </c>
      <c r="M677" s="31">
        <v>60</v>
      </c>
      <c r="N677" s="72">
        <v>50000</v>
      </c>
      <c r="O677" s="34">
        <v>8.6</v>
      </c>
    </row>
    <row r="678" spans="2:15" x14ac:dyDescent="0.2">
      <c r="B678" s="27">
        <v>0.9916666666666667</v>
      </c>
      <c r="C678" s="28">
        <v>6</v>
      </c>
      <c r="D678" s="33" t="str">
        <f>IF(C678="", "",VLOOKUP(C678,Key!$A$5:$B$7,2,FALSE))</f>
        <v>Large Bus</v>
      </c>
      <c r="E678" s="29" t="s">
        <v>91</v>
      </c>
      <c r="F678" s="29" t="s">
        <v>66</v>
      </c>
      <c r="G678" s="29" t="s">
        <v>83</v>
      </c>
      <c r="H678" s="30" t="s">
        <v>83</v>
      </c>
      <c r="I678" s="29" t="s">
        <v>257</v>
      </c>
      <c r="J678" s="29" t="s">
        <v>70</v>
      </c>
      <c r="K678" s="30" t="s">
        <v>70</v>
      </c>
      <c r="L678" s="29" t="str">
        <f t="shared" si="10"/>
        <v>KISORO-KAMPALA</v>
      </c>
      <c r="M678" s="31">
        <v>60</v>
      </c>
      <c r="N678" s="72">
        <v>40000</v>
      </c>
      <c r="O678" s="34">
        <v>8.5</v>
      </c>
    </row>
    <row r="679" spans="2:15" x14ac:dyDescent="0.2">
      <c r="B679" s="27">
        <v>0.18055555555555555</v>
      </c>
      <c r="C679" s="28">
        <v>6</v>
      </c>
      <c r="D679" s="33" t="str">
        <f>IF(C679="", "",VLOOKUP(C679,Key!$A$5:$B$7,2,FALSE))</f>
        <v>Large Bus</v>
      </c>
      <c r="E679" s="29" t="s">
        <v>91</v>
      </c>
      <c r="F679" s="29" t="s">
        <v>66</v>
      </c>
      <c r="G679" s="29" t="s">
        <v>83</v>
      </c>
      <c r="H679" s="30" t="s">
        <v>83</v>
      </c>
      <c r="I679" s="29" t="s">
        <v>257</v>
      </c>
      <c r="J679" s="29" t="s">
        <v>70</v>
      </c>
      <c r="K679" s="30" t="s">
        <v>70</v>
      </c>
      <c r="L679" s="29" t="str">
        <f t="shared" si="10"/>
        <v>KISORO-KAMPALA</v>
      </c>
      <c r="M679" s="31">
        <v>61</v>
      </c>
      <c r="N679" s="72">
        <v>40000</v>
      </c>
      <c r="O679" s="34">
        <v>8.5</v>
      </c>
    </row>
    <row r="680" spans="2:15" x14ac:dyDescent="0.2">
      <c r="B680" s="27">
        <v>0.21249999999999999</v>
      </c>
      <c r="C680" s="28">
        <v>6</v>
      </c>
      <c r="D680" s="33" t="str">
        <f>IF(C680="", "",VLOOKUP(C680,Key!$A$5:$B$7,2,FALSE))</f>
        <v>Large Bus</v>
      </c>
      <c r="E680" s="29" t="s">
        <v>91</v>
      </c>
      <c r="F680" s="29" t="s">
        <v>66</v>
      </c>
      <c r="G680" s="29" t="s">
        <v>96</v>
      </c>
      <c r="H680" s="30" t="s">
        <v>96</v>
      </c>
      <c r="I680" s="29" t="s">
        <v>257</v>
      </c>
      <c r="J680" s="29" t="s">
        <v>70</v>
      </c>
      <c r="K680" s="30" t="s">
        <v>70</v>
      </c>
      <c r="L680" s="29" t="str">
        <f t="shared" si="10"/>
        <v>GOMA-KAMPALA</v>
      </c>
      <c r="M680" s="31">
        <v>48</v>
      </c>
      <c r="N680" s="72">
        <v>48000</v>
      </c>
      <c r="O680" s="34">
        <v>12</v>
      </c>
    </row>
    <row r="681" spans="2:15" x14ac:dyDescent="0.2">
      <c r="B681" s="27">
        <v>0.22083333333333333</v>
      </c>
      <c r="C681" s="28">
        <v>6</v>
      </c>
      <c r="D681" s="33" t="str">
        <f>IF(C681="", "",VLOOKUP(C681,Key!$A$5:$B$7,2,FALSE))</f>
        <v>Large Bus</v>
      </c>
      <c r="E681" s="29" t="s">
        <v>91</v>
      </c>
      <c r="F681" s="29" t="s">
        <v>66</v>
      </c>
      <c r="G681" s="29" t="s">
        <v>83</v>
      </c>
      <c r="H681" s="30" t="s">
        <v>83</v>
      </c>
      <c r="I681" s="29" t="s">
        <v>257</v>
      </c>
      <c r="J681" s="29" t="s">
        <v>70</v>
      </c>
      <c r="K681" s="30" t="s">
        <v>70</v>
      </c>
      <c r="L681" s="29" t="str">
        <f t="shared" si="10"/>
        <v>KISORO-KAMPALA</v>
      </c>
      <c r="M681" s="31">
        <v>60</v>
      </c>
      <c r="N681" s="72">
        <v>40000</v>
      </c>
      <c r="O681" s="34">
        <v>8.5</v>
      </c>
    </row>
    <row r="682" spans="2:15" x14ac:dyDescent="0.2">
      <c r="B682" s="27">
        <v>0.27083333333333331</v>
      </c>
      <c r="C682" s="28">
        <v>6</v>
      </c>
      <c r="D682" s="33" t="str">
        <f>IF(C682="", "",VLOOKUP(C682,Key!$A$5:$B$7,2,FALSE))</f>
        <v>Large Bus</v>
      </c>
      <c r="E682" s="29" t="s">
        <v>91</v>
      </c>
      <c r="F682" s="29" t="s">
        <v>66</v>
      </c>
      <c r="G682" s="29" t="s">
        <v>94</v>
      </c>
      <c r="H682" s="30" t="s">
        <v>94</v>
      </c>
      <c r="I682" s="29" t="s">
        <v>257</v>
      </c>
      <c r="J682" s="29" t="s">
        <v>70</v>
      </c>
      <c r="K682" s="30" t="s">
        <v>70</v>
      </c>
      <c r="L682" s="29" t="str">
        <f t="shared" si="10"/>
        <v>KIGALI-KAMPALA</v>
      </c>
      <c r="M682" s="31">
        <v>45</v>
      </c>
      <c r="N682" s="72">
        <v>50000</v>
      </c>
      <c r="O682" s="34">
        <v>8.6</v>
      </c>
    </row>
    <row r="683" spans="2:15" x14ac:dyDescent="0.2">
      <c r="B683" s="45" t="s">
        <v>221</v>
      </c>
      <c r="C683" s="47"/>
      <c r="D683" s="33" t="str">
        <f>IF(C683="", "",VLOOKUP(C683,Key!$A$5:$B$7,2,FALSE))</f>
        <v/>
      </c>
      <c r="E683" s="44" t="s">
        <v>91</v>
      </c>
      <c r="F683" s="48"/>
      <c r="G683" s="47"/>
      <c r="H683" s="47"/>
      <c r="I683" s="47" t="s">
        <v>257</v>
      </c>
      <c r="J683" s="47"/>
      <c r="K683" s="47"/>
      <c r="L683" s="47" t="str">
        <f t="shared" si="10"/>
        <v>-</v>
      </c>
      <c r="M683" s="47"/>
      <c r="N683" s="48"/>
      <c r="O683" s="48"/>
    </row>
    <row r="684" spans="2:15" x14ac:dyDescent="0.2">
      <c r="B684" s="27">
        <v>0.37847222222222227</v>
      </c>
      <c r="C684" s="28">
        <v>6</v>
      </c>
      <c r="D684" s="33" t="str">
        <f>IF(C684="", "",VLOOKUP(C684,Key!$A$5:$B$7,2,FALSE))</f>
        <v>Large Bus</v>
      </c>
      <c r="E684" s="29" t="s">
        <v>91</v>
      </c>
      <c r="F684" s="29" t="s">
        <v>66</v>
      </c>
      <c r="G684" s="29" t="s">
        <v>70</v>
      </c>
      <c r="H684" s="30" t="s">
        <v>70</v>
      </c>
      <c r="I684" s="29" t="s">
        <v>257</v>
      </c>
      <c r="J684" s="29" t="s">
        <v>94</v>
      </c>
      <c r="K684" s="30" t="s">
        <v>94</v>
      </c>
      <c r="L684" s="29" t="str">
        <f t="shared" si="10"/>
        <v>KAMPALA-KIGALI</v>
      </c>
      <c r="M684" s="31">
        <v>46</v>
      </c>
      <c r="N684" s="72">
        <v>50000</v>
      </c>
      <c r="O684" s="34">
        <v>8.6</v>
      </c>
    </row>
    <row r="685" spans="2:15" x14ac:dyDescent="0.2">
      <c r="B685" s="27">
        <v>0.2638888888888889</v>
      </c>
      <c r="C685" s="28">
        <v>6</v>
      </c>
      <c r="D685" s="33" t="str">
        <f>IF(C685="", "",VLOOKUP(C685,Key!$A$5:$B$7,2,FALSE))</f>
        <v>Large Bus</v>
      </c>
      <c r="E685" s="29" t="s">
        <v>91</v>
      </c>
      <c r="F685" s="29" t="s">
        <v>66</v>
      </c>
      <c r="G685" s="29" t="s">
        <v>70</v>
      </c>
      <c r="H685" s="30" t="s">
        <v>70</v>
      </c>
      <c r="I685" s="29" t="s">
        <v>257</v>
      </c>
      <c r="J685" s="29" t="s">
        <v>83</v>
      </c>
      <c r="K685" s="30" t="s">
        <v>83</v>
      </c>
      <c r="L685" s="29" t="str">
        <f t="shared" si="10"/>
        <v>KAMPALA-KISORO</v>
      </c>
      <c r="M685" s="31">
        <v>60</v>
      </c>
      <c r="N685" s="72">
        <v>40000</v>
      </c>
      <c r="O685" s="34">
        <v>8.5</v>
      </c>
    </row>
    <row r="686" spans="2:15" x14ac:dyDescent="0.2">
      <c r="B686" s="27">
        <v>0.26041666666666669</v>
      </c>
      <c r="C686" s="28">
        <v>6</v>
      </c>
      <c r="D686" s="33" t="str">
        <f>IF(C686="", "",VLOOKUP(C686,Key!$A$5:$B$7,2,FALSE))</f>
        <v>Large Bus</v>
      </c>
      <c r="E686" s="29" t="s">
        <v>91</v>
      </c>
      <c r="F686" s="29" t="s">
        <v>66</v>
      </c>
      <c r="G686" s="29" t="s">
        <v>70</v>
      </c>
      <c r="H686" s="30" t="s">
        <v>70</v>
      </c>
      <c r="I686" s="29" t="s">
        <v>257</v>
      </c>
      <c r="J686" s="29" t="s">
        <v>83</v>
      </c>
      <c r="K686" s="30" t="s">
        <v>83</v>
      </c>
      <c r="L686" s="29" t="str">
        <f t="shared" si="10"/>
        <v>KAMPALA-KISORO</v>
      </c>
      <c r="M686" s="31">
        <v>67</v>
      </c>
      <c r="N686" s="72">
        <v>40000</v>
      </c>
      <c r="O686" s="34">
        <v>8.5</v>
      </c>
    </row>
    <row r="687" spans="2:15" x14ac:dyDescent="0.2">
      <c r="B687" s="27">
        <v>0.37152777777777773</v>
      </c>
      <c r="C687" s="28">
        <v>6</v>
      </c>
      <c r="D687" s="33" t="str">
        <f>IF(C687="", "",VLOOKUP(C687,Key!$A$5:$B$7,2,FALSE))</f>
        <v>Large Bus</v>
      </c>
      <c r="E687" s="29" t="s">
        <v>91</v>
      </c>
      <c r="F687" s="29" t="s">
        <v>66</v>
      </c>
      <c r="G687" s="29" t="s">
        <v>103</v>
      </c>
      <c r="H687" s="30" t="s">
        <v>94</v>
      </c>
      <c r="I687" s="29" t="s">
        <v>257</v>
      </c>
      <c r="J687" s="29" t="s">
        <v>70</v>
      </c>
      <c r="K687" s="30" t="s">
        <v>70</v>
      </c>
      <c r="L687" s="29" t="str">
        <f t="shared" si="10"/>
        <v>KIGALI-KAMPALA</v>
      </c>
      <c r="M687" s="31">
        <v>47</v>
      </c>
      <c r="N687" s="72">
        <v>50000</v>
      </c>
      <c r="O687" s="34">
        <v>8.6</v>
      </c>
    </row>
    <row r="688" spans="2:15" x14ac:dyDescent="0.2">
      <c r="B688" s="27">
        <v>0.84930555555555554</v>
      </c>
      <c r="C688" s="28">
        <v>6</v>
      </c>
      <c r="D688" s="33" t="str">
        <f>IF(C688="", "",VLOOKUP(C688,Key!$A$5:$B$7,2,FALSE))</f>
        <v>Large Bus</v>
      </c>
      <c r="E688" s="29" t="s">
        <v>91</v>
      </c>
      <c r="F688" s="29" t="s">
        <v>66</v>
      </c>
      <c r="G688" s="29" t="s">
        <v>94</v>
      </c>
      <c r="H688" s="30" t="s">
        <v>94</v>
      </c>
      <c r="I688" s="29" t="s">
        <v>257</v>
      </c>
      <c r="J688" s="29" t="s">
        <v>70</v>
      </c>
      <c r="K688" s="30" t="s">
        <v>70</v>
      </c>
      <c r="L688" s="29" t="str">
        <f t="shared" si="10"/>
        <v>KIGALI-KAMPALA</v>
      </c>
      <c r="M688" s="31">
        <v>61</v>
      </c>
      <c r="N688" s="72">
        <v>50000</v>
      </c>
      <c r="O688" s="34">
        <v>8.6</v>
      </c>
    </row>
    <row r="689" spans="2:15" x14ac:dyDescent="0.2">
      <c r="B689" s="27">
        <v>7.6388888888888895E-2</v>
      </c>
      <c r="C689" s="28">
        <v>6</v>
      </c>
      <c r="D689" s="33" t="str">
        <f>IF(C689="", "",VLOOKUP(C689,Key!$A$5:$B$7,2,FALSE))</f>
        <v>Large Bus</v>
      </c>
      <c r="E689" s="29" t="s">
        <v>91</v>
      </c>
      <c r="F689" s="29" t="s">
        <v>66</v>
      </c>
      <c r="G689" s="29" t="s">
        <v>101</v>
      </c>
      <c r="H689" s="30" t="s">
        <v>101</v>
      </c>
      <c r="I689" s="29" t="s">
        <v>257</v>
      </c>
      <c r="J689" s="29" t="s">
        <v>70</v>
      </c>
      <c r="K689" s="30" t="s">
        <v>70</v>
      </c>
      <c r="L689" s="29" t="str">
        <f t="shared" si="10"/>
        <v>KABALE-KAMPALA</v>
      </c>
      <c r="M689" s="31">
        <v>50</v>
      </c>
      <c r="N689" s="72">
        <v>30000</v>
      </c>
      <c r="O689" s="34">
        <v>6.6</v>
      </c>
    </row>
    <row r="690" spans="2:15" x14ac:dyDescent="0.2">
      <c r="B690" s="27">
        <v>0.17847222222222223</v>
      </c>
      <c r="C690" s="28">
        <v>6</v>
      </c>
      <c r="D690" s="33" t="str">
        <f>IF(C690="", "",VLOOKUP(C690,Key!$A$5:$B$7,2,FALSE))</f>
        <v>Large Bus</v>
      </c>
      <c r="E690" s="29" t="s">
        <v>91</v>
      </c>
      <c r="F690" s="29" t="s">
        <v>66</v>
      </c>
      <c r="G690" s="29" t="s">
        <v>83</v>
      </c>
      <c r="H690" s="30" t="s">
        <v>83</v>
      </c>
      <c r="I690" s="29" t="s">
        <v>257</v>
      </c>
      <c r="J690" s="29" t="s">
        <v>70</v>
      </c>
      <c r="K690" s="30" t="s">
        <v>70</v>
      </c>
      <c r="L690" s="29" t="str">
        <f t="shared" si="10"/>
        <v>KISORO-KAMPALA</v>
      </c>
      <c r="M690" s="31">
        <v>67</v>
      </c>
      <c r="N690" s="72">
        <v>40000</v>
      </c>
      <c r="O690" s="34">
        <v>8.5</v>
      </c>
    </row>
    <row r="691" spans="2:15" x14ac:dyDescent="0.2">
      <c r="B691" s="27">
        <v>0.22222222222222221</v>
      </c>
      <c r="C691" s="28">
        <v>6</v>
      </c>
      <c r="D691" s="33" t="str">
        <f>IF(C691="", "",VLOOKUP(C691,Key!$A$5:$B$7,2,FALSE))</f>
        <v>Large Bus</v>
      </c>
      <c r="E691" s="29" t="s">
        <v>91</v>
      </c>
      <c r="F691" s="29" t="s">
        <v>66</v>
      </c>
      <c r="G691" s="29" t="s">
        <v>83</v>
      </c>
      <c r="H691" s="30" t="s">
        <v>83</v>
      </c>
      <c r="I691" s="29" t="s">
        <v>257</v>
      </c>
      <c r="J691" s="29" t="s">
        <v>70</v>
      </c>
      <c r="K691" s="30" t="s">
        <v>70</v>
      </c>
      <c r="L691" s="29" t="str">
        <f t="shared" si="10"/>
        <v>KISORO-KAMPALA</v>
      </c>
      <c r="M691" s="31">
        <v>60</v>
      </c>
      <c r="N691" s="72">
        <v>40000</v>
      </c>
      <c r="O691" s="34">
        <v>8.5</v>
      </c>
    </row>
    <row r="692" spans="2:15" x14ac:dyDescent="0.2">
      <c r="B692" s="27">
        <v>0.24236111111111111</v>
      </c>
      <c r="C692" s="28">
        <v>6</v>
      </c>
      <c r="D692" s="33" t="str">
        <f>IF(C692="", "",VLOOKUP(C692,Key!$A$5:$B$7,2,FALSE))</f>
        <v>Large Bus</v>
      </c>
      <c r="E692" s="29" t="s">
        <v>91</v>
      </c>
      <c r="F692" s="29" t="s">
        <v>66</v>
      </c>
      <c r="G692" s="29" t="s">
        <v>96</v>
      </c>
      <c r="H692" s="30" t="s">
        <v>99</v>
      </c>
      <c r="I692" s="29" t="s">
        <v>257</v>
      </c>
      <c r="J692" s="29" t="s">
        <v>70</v>
      </c>
      <c r="K692" s="30" t="s">
        <v>70</v>
      </c>
      <c r="L692" s="29" t="str">
        <f t="shared" si="10"/>
        <v>KISENYI-KAMPALA</v>
      </c>
      <c r="M692" s="31">
        <v>66</v>
      </c>
      <c r="N692" s="72">
        <v>50000</v>
      </c>
      <c r="O692" s="34">
        <v>12.25</v>
      </c>
    </row>
    <row r="693" spans="2:15" x14ac:dyDescent="0.2">
      <c r="B693" s="27">
        <v>0.2951388888888889</v>
      </c>
      <c r="C693" s="28">
        <v>6</v>
      </c>
      <c r="D693" s="33" t="str">
        <f>IF(C693="", "",VLOOKUP(C693,Key!$A$5:$B$7,2,FALSE))</f>
        <v>Large Bus</v>
      </c>
      <c r="E693" s="29" t="s">
        <v>91</v>
      </c>
      <c r="F693" s="29" t="s">
        <v>66</v>
      </c>
      <c r="G693" s="29" t="s">
        <v>103</v>
      </c>
      <c r="H693" s="30" t="s">
        <v>103</v>
      </c>
      <c r="I693" s="29" t="s">
        <v>257</v>
      </c>
      <c r="J693" s="29" t="s">
        <v>70</v>
      </c>
      <c r="K693" s="30" t="s">
        <v>70</v>
      </c>
      <c r="L693" s="29" t="str">
        <f t="shared" si="10"/>
        <v>KANYALU-KAMPALA</v>
      </c>
      <c r="M693" s="31">
        <v>50</v>
      </c>
      <c r="N693" s="72">
        <v>60000</v>
      </c>
      <c r="O693" s="34">
        <v>11</v>
      </c>
    </row>
    <row r="694" spans="2:15" x14ac:dyDescent="0.2">
      <c r="B694" s="27">
        <v>0.83333333333333337</v>
      </c>
      <c r="C694" s="28">
        <v>6</v>
      </c>
      <c r="D694" s="33" t="str">
        <f>IF(C694="", "",VLOOKUP(C694,Key!$A$5:$B$7,2,FALSE))</f>
        <v>Large Bus</v>
      </c>
      <c r="E694" s="29" t="s">
        <v>91</v>
      </c>
      <c r="F694" s="29" t="s">
        <v>67</v>
      </c>
      <c r="G694" s="29" t="s">
        <v>70</v>
      </c>
      <c r="H694" s="30" t="s">
        <v>70</v>
      </c>
      <c r="I694" s="29" t="s">
        <v>257</v>
      </c>
      <c r="J694" s="29" t="s">
        <v>96</v>
      </c>
      <c r="K694" s="30" t="s">
        <v>96</v>
      </c>
      <c r="L694" s="29" t="str">
        <f t="shared" si="10"/>
        <v>KAMPALA-GOMA</v>
      </c>
      <c r="M694" s="31">
        <v>48</v>
      </c>
      <c r="N694" s="72">
        <v>50000</v>
      </c>
      <c r="O694" s="34">
        <v>12</v>
      </c>
    </row>
    <row r="695" spans="2:15" x14ac:dyDescent="0.2">
      <c r="B695" s="27">
        <v>0.83333333333333337</v>
      </c>
      <c r="C695" s="28">
        <v>6</v>
      </c>
      <c r="D695" s="33" t="str">
        <f>IF(C695="", "",VLOOKUP(C695,Key!$A$5:$B$7,2,FALSE))</f>
        <v>Large Bus</v>
      </c>
      <c r="E695" s="29" t="s">
        <v>91</v>
      </c>
      <c r="F695" s="29" t="s">
        <v>67</v>
      </c>
      <c r="G695" s="29" t="s">
        <v>70</v>
      </c>
      <c r="H695" s="30" t="s">
        <v>70</v>
      </c>
      <c r="I695" s="29" t="s">
        <v>257</v>
      </c>
      <c r="J695" s="29" t="s">
        <v>103</v>
      </c>
      <c r="K695" s="30" t="s">
        <v>110</v>
      </c>
      <c r="L695" s="29" t="str">
        <f t="shared" si="10"/>
        <v>KAMPALA-KANYALA</v>
      </c>
      <c r="M695" s="31">
        <v>46</v>
      </c>
      <c r="N695" s="72">
        <v>60000</v>
      </c>
      <c r="O695" s="34">
        <v>11</v>
      </c>
    </row>
    <row r="696" spans="2:15" x14ac:dyDescent="0.2">
      <c r="B696" s="27">
        <v>0.875</v>
      </c>
      <c r="C696" s="28">
        <v>6</v>
      </c>
      <c r="D696" s="33" t="str">
        <f>IF(C696="", "",VLOOKUP(C696,Key!$A$5:$B$7,2,FALSE))</f>
        <v>Large Bus</v>
      </c>
      <c r="E696" s="29" t="s">
        <v>91</v>
      </c>
      <c r="F696" s="29" t="s">
        <v>67</v>
      </c>
      <c r="G696" s="29" t="s">
        <v>70</v>
      </c>
      <c r="H696" s="30" t="s">
        <v>70</v>
      </c>
      <c r="I696" s="29" t="s">
        <v>257</v>
      </c>
      <c r="J696" s="29" t="s">
        <v>94</v>
      </c>
      <c r="K696" s="30" t="s">
        <v>94</v>
      </c>
      <c r="L696" s="29" t="str">
        <f t="shared" si="10"/>
        <v>KAMPALA-KIGALI</v>
      </c>
      <c r="M696" s="31">
        <v>46</v>
      </c>
      <c r="N696" s="72">
        <v>50000</v>
      </c>
      <c r="O696" s="34">
        <v>8.6</v>
      </c>
    </row>
    <row r="697" spans="2:15" x14ac:dyDescent="0.2">
      <c r="B697" s="27">
        <v>0.875</v>
      </c>
      <c r="C697" s="28">
        <v>6</v>
      </c>
      <c r="D697" s="33" t="str">
        <f>IF(C697="", "",VLOOKUP(C697,Key!$A$5:$B$7,2,FALSE))</f>
        <v>Large Bus</v>
      </c>
      <c r="E697" s="29" t="s">
        <v>91</v>
      </c>
      <c r="F697" s="29" t="s">
        <v>67</v>
      </c>
      <c r="G697" s="29" t="s">
        <v>70</v>
      </c>
      <c r="H697" s="30" t="s">
        <v>70</v>
      </c>
      <c r="I697" s="29" t="s">
        <v>257</v>
      </c>
      <c r="J697" s="29" t="s">
        <v>83</v>
      </c>
      <c r="K697" s="30" t="s">
        <v>83</v>
      </c>
      <c r="L697" s="29" t="str">
        <f t="shared" si="10"/>
        <v>KAMPALA-KISORO</v>
      </c>
      <c r="M697" s="31">
        <v>66</v>
      </c>
      <c r="N697" s="72">
        <v>40000</v>
      </c>
      <c r="O697" s="34">
        <v>8.5</v>
      </c>
    </row>
    <row r="698" spans="2:15" x14ac:dyDescent="0.2">
      <c r="B698" s="27">
        <v>0</v>
      </c>
      <c r="C698" s="28">
        <v>6</v>
      </c>
      <c r="D698" s="33" t="str">
        <f>IF(C698="", "",VLOOKUP(C698,Key!$A$5:$B$7,2,FALSE))</f>
        <v>Large Bus</v>
      </c>
      <c r="E698" s="29" t="s">
        <v>91</v>
      </c>
      <c r="F698" s="29" t="s">
        <v>67</v>
      </c>
      <c r="G698" s="29" t="s">
        <v>70</v>
      </c>
      <c r="H698" s="30" t="s">
        <v>70</v>
      </c>
      <c r="I698" s="29" t="s">
        <v>257</v>
      </c>
      <c r="J698" s="29" t="s">
        <v>83</v>
      </c>
      <c r="K698" s="30" t="s">
        <v>83</v>
      </c>
      <c r="L698" s="29" t="str">
        <f t="shared" si="10"/>
        <v>KAMPALA-KISORO</v>
      </c>
      <c r="M698" s="31">
        <v>68</v>
      </c>
      <c r="N698" s="72">
        <v>40000</v>
      </c>
      <c r="O698" s="34">
        <v>8.5</v>
      </c>
    </row>
    <row r="699" spans="2:15" x14ac:dyDescent="0.2">
      <c r="B699" s="27">
        <v>0.25</v>
      </c>
      <c r="C699" s="28">
        <v>6</v>
      </c>
      <c r="D699" s="33" t="str">
        <f>IF(C699="", "",VLOOKUP(C699,Key!$A$5:$B$7,2,FALSE))</f>
        <v>Large Bus</v>
      </c>
      <c r="E699" s="29" t="s">
        <v>91</v>
      </c>
      <c r="F699" s="29" t="s">
        <v>67</v>
      </c>
      <c r="G699" s="29" t="s">
        <v>70</v>
      </c>
      <c r="H699" s="30" t="s">
        <v>70</v>
      </c>
      <c r="I699" s="29" t="s">
        <v>257</v>
      </c>
      <c r="J699" s="29" t="s">
        <v>83</v>
      </c>
      <c r="K699" s="30" t="s">
        <v>83</v>
      </c>
      <c r="L699" s="29" t="str">
        <f t="shared" si="10"/>
        <v>KAMPALA-KISORO</v>
      </c>
      <c r="M699" s="31">
        <v>60</v>
      </c>
      <c r="N699" s="72">
        <v>40000</v>
      </c>
      <c r="O699" s="34">
        <v>8.5</v>
      </c>
    </row>
    <row r="700" spans="2:15" x14ac:dyDescent="0.2">
      <c r="B700" s="45" t="s">
        <v>218</v>
      </c>
      <c r="C700" s="47"/>
      <c r="D700" s="33" t="str">
        <f>IF(C700="", "",VLOOKUP(C700,Key!$A$5:$B$7,2,FALSE))</f>
        <v/>
      </c>
      <c r="E700" s="44" t="s">
        <v>111</v>
      </c>
      <c r="F700" s="48"/>
      <c r="G700" s="47"/>
      <c r="H700" s="47"/>
      <c r="I700" s="47"/>
      <c r="J700" s="47"/>
      <c r="K700" s="47"/>
      <c r="L700" s="47" t="str">
        <f t="shared" si="10"/>
        <v>-</v>
      </c>
      <c r="M700" s="47"/>
      <c r="N700" s="48"/>
      <c r="O700" s="48"/>
    </row>
    <row r="701" spans="2:15" x14ac:dyDescent="0.2">
      <c r="B701" s="27">
        <v>0.4152777777777778</v>
      </c>
      <c r="C701" s="28">
        <v>6</v>
      </c>
      <c r="D701" s="33" t="str">
        <f>IF(C701="", "",VLOOKUP(C701,Key!$A$5:$B$7,2,FALSE))</f>
        <v>Large Bus</v>
      </c>
      <c r="E701" s="29" t="s">
        <v>111</v>
      </c>
      <c r="F701" s="29" t="s">
        <v>66</v>
      </c>
      <c r="G701" s="29" t="s">
        <v>113</v>
      </c>
      <c r="H701" s="30" t="s">
        <v>115</v>
      </c>
      <c r="I701" s="29" t="s">
        <v>260</v>
      </c>
      <c r="J701" s="29" t="s">
        <v>70</v>
      </c>
      <c r="K701" s="30" t="s">
        <v>70</v>
      </c>
      <c r="L701" s="29" t="str">
        <f t="shared" si="10"/>
        <v>MAKUENI-KAMPALA</v>
      </c>
      <c r="M701" s="31">
        <v>34</v>
      </c>
      <c r="N701" s="72">
        <v>76000</v>
      </c>
      <c r="O701" s="34">
        <v>15.5</v>
      </c>
    </row>
    <row r="702" spans="2:15" x14ac:dyDescent="0.2">
      <c r="B702" s="27">
        <v>8.3333333333333329E-2</v>
      </c>
      <c r="C702" s="28">
        <v>6</v>
      </c>
      <c r="D702" s="33" t="str">
        <f>IF(C702="", "",VLOOKUP(C702,Key!$A$5:$B$7,2,FALSE))</f>
        <v>Large Bus</v>
      </c>
      <c r="E702" s="29" t="s">
        <v>111</v>
      </c>
      <c r="F702" s="29" t="s">
        <v>67</v>
      </c>
      <c r="G702" s="29" t="s">
        <v>70</v>
      </c>
      <c r="H702" s="30" t="s">
        <v>70</v>
      </c>
      <c r="I702" s="29" t="s">
        <v>257</v>
      </c>
      <c r="J702" s="29" t="s">
        <v>113</v>
      </c>
      <c r="K702" s="30" t="s">
        <v>113</v>
      </c>
      <c r="L702" s="29" t="str">
        <f t="shared" si="10"/>
        <v>KAMPALA-NAIROBI</v>
      </c>
      <c r="M702" s="31">
        <v>34</v>
      </c>
      <c r="N702" s="72">
        <v>70000</v>
      </c>
      <c r="O702" s="34">
        <v>12.8</v>
      </c>
    </row>
    <row r="703" spans="2:15" x14ac:dyDescent="0.2">
      <c r="B703" s="27">
        <v>0.29166666666666669</v>
      </c>
      <c r="C703" s="28">
        <v>6</v>
      </c>
      <c r="D703" s="33" t="str">
        <f>IF(C703="", "",VLOOKUP(C703,Key!$A$5:$B$7,2,FALSE))</f>
        <v>Large Bus</v>
      </c>
      <c r="E703" s="29" t="s">
        <v>111</v>
      </c>
      <c r="F703" s="29" t="s">
        <v>67</v>
      </c>
      <c r="G703" s="29" t="s">
        <v>70</v>
      </c>
      <c r="H703" s="30" t="s">
        <v>70</v>
      </c>
      <c r="I703" s="29" t="s">
        <v>257</v>
      </c>
      <c r="J703" s="29" t="s">
        <v>113</v>
      </c>
      <c r="K703" s="30" t="s">
        <v>113</v>
      </c>
      <c r="L703" s="29" t="str">
        <f t="shared" si="10"/>
        <v>KAMPALA-NAIROBI</v>
      </c>
      <c r="M703" s="31">
        <v>34</v>
      </c>
      <c r="N703" s="72">
        <v>70000</v>
      </c>
      <c r="O703" s="34">
        <v>12.8</v>
      </c>
    </row>
    <row r="704" spans="2:15" x14ac:dyDescent="0.2">
      <c r="B704" s="45" t="s">
        <v>219</v>
      </c>
      <c r="C704" s="47"/>
      <c r="D704" s="33" t="str">
        <f>IF(C704="", "",VLOOKUP(C704,Key!$A$5:$B$7,2,FALSE))</f>
        <v/>
      </c>
      <c r="E704" s="44" t="s">
        <v>111</v>
      </c>
      <c r="F704" s="48"/>
      <c r="G704" s="47"/>
      <c r="H704" s="47"/>
      <c r="I704" s="47" t="s">
        <v>257</v>
      </c>
      <c r="J704" s="47"/>
      <c r="K704" s="47"/>
      <c r="L704" s="47" t="str">
        <f t="shared" si="10"/>
        <v>-</v>
      </c>
      <c r="M704" s="47"/>
      <c r="N704" s="48"/>
      <c r="O704" s="48"/>
    </row>
    <row r="705" spans="2:15" x14ac:dyDescent="0.2">
      <c r="B705" s="27">
        <v>0.44791666666666669</v>
      </c>
      <c r="C705" s="28">
        <v>6</v>
      </c>
      <c r="D705" s="33" t="str">
        <f>IF(C705="", "",VLOOKUP(C705,Key!$A$5:$B$7,2,FALSE))</f>
        <v>Large Bus</v>
      </c>
      <c r="E705" s="29" t="s">
        <v>111</v>
      </c>
      <c r="F705" s="29" t="s">
        <v>66</v>
      </c>
      <c r="G705" s="29" t="s">
        <v>113</v>
      </c>
      <c r="H705" s="30" t="s">
        <v>113</v>
      </c>
      <c r="I705" s="29" t="s">
        <v>257</v>
      </c>
      <c r="J705" s="29" t="s">
        <v>70</v>
      </c>
      <c r="K705" s="30" t="s">
        <v>70</v>
      </c>
      <c r="L705" s="29" t="str">
        <f t="shared" si="10"/>
        <v>NAIROBI-KAMPALA</v>
      </c>
      <c r="M705" s="31">
        <v>32</v>
      </c>
      <c r="N705" s="72">
        <v>73000</v>
      </c>
      <c r="O705" s="34">
        <v>12.8</v>
      </c>
    </row>
    <row r="706" spans="2:15" x14ac:dyDescent="0.2">
      <c r="B706" s="27">
        <v>0.23958333333333334</v>
      </c>
      <c r="C706" s="28">
        <v>6</v>
      </c>
      <c r="D706" s="33" t="str">
        <f>IF(C706="", "",VLOOKUP(C706,Key!$A$5:$B$7,2,FALSE))</f>
        <v>Large Bus</v>
      </c>
      <c r="E706" s="29" t="s">
        <v>111</v>
      </c>
      <c r="F706" s="29" t="s">
        <v>66</v>
      </c>
      <c r="G706" s="29" t="s">
        <v>114</v>
      </c>
      <c r="H706" s="30" t="s">
        <v>114</v>
      </c>
      <c r="I706" s="29" t="s">
        <v>260</v>
      </c>
      <c r="J706" s="29" t="s">
        <v>70</v>
      </c>
      <c r="K706" s="30" t="s">
        <v>70</v>
      </c>
      <c r="L706" s="29" t="str">
        <f t="shared" si="10"/>
        <v>KISUMU-KAMPALA</v>
      </c>
      <c r="M706" s="31">
        <v>34</v>
      </c>
      <c r="N706" s="72">
        <v>42000</v>
      </c>
      <c r="O706" s="34">
        <v>6.8</v>
      </c>
    </row>
    <row r="707" spans="2:15" x14ac:dyDescent="0.2">
      <c r="B707" s="27">
        <v>0.27777777777777779</v>
      </c>
      <c r="C707" s="28">
        <v>6</v>
      </c>
      <c r="D707" s="33" t="str">
        <f>IF(C707="", "",VLOOKUP(C707,Key!$A$5:$B$7,2,FALSE))</f>
        <v>Large Bus</v>
      </c>
      <c r="E707" s="29" t="s">
        <v>111</v>
      </c>
      <c r="F707" s="29" t="s">
        <v>67</v>
      </c>
      <c r="G707" s="29" t="s">
        <v>70</v>
      </c>
      <c r="H707" s="30" t="s">
        <v>70</v>
      </c>
      <c r="I707" s="29" t="s">
        <v>257</v>
      </c>
      <c r="J707" s="29" t="s">
        <v>113</v>
      </c>
      <c r="K707" s="30" t="s">
        <v>113</v>
      </c>
      <c r="L707" s="29" t="str">
        <f t="shared" si="10"/>
        <v>KAMPALA-NAIROBI</v>
      </c>
      <c r="M707" s="31">
        <v>34</v>
      </c>
      <c r="N707" s="72">
        <v>70000</v>
      </c>
      <c r="O707" s="34">
        <v>12.8</v>
      </c>
    </row>
    <row r="708" spans="2:15" x14ac:dyDescent="0.2">
      <c r="B708" s="27">
        <v>0.4465277777777778</v>
      </c>
      <c r="C708" s="28">
        <v>6</v>
      </c>
      <c r="D708" s="33" t="str">
        <f>IF(C708="", "",VLOOKUP(C708,Key!$A$5:$B$7,2,FALSE))</f>
        <v>Large Bus</v>
      </c>
      <c r="E708" s="29" t="s">
        <v>111</v>
      </c>
      <c r="F708" s="29" t="s">
        <v>66</v>
      </c>
      <c r="G708" s="29" t="s">
        <v>113</v>
      </c>
      <c r="H708" s="30" t="s">
        <v>113</v>
      </c>
      <c r="I708" s="29" t="s">
        <v>257</v>
      </c>
      <c r="J708" s="29" t="s">
        <v>70</v>
      </c>
      <c r="K708" s="30" t="s">
        <v>70</v>
      </c>
      <c r="L708" s="29" t="str">
        <f t="shared" si="10"/>
        <v>NAIROBI-KAMPALA</v>
      </c>
      <c r="M708" s="31">
        <v>34</v>
      </c>
      <c r="N708" s="72">
        <v>73000</v>
      </c>
      <c r="O708" s="34">
        <v>12.8</v>
      </c>
    </row>
    <row r="709" spans="2:15" x14ac:dyDescent="0.2">
      <c r="B709" s="27">
        <v>0.4465277777777778</v>
      </c>
      <c r="C709" s="28">
        <v>6</v>
      </c>
      <c r="D709" s="33" t="str">
        <f>IF(C709="", "",VLOOKUP(C709,Key!$A$5:$B$7,2,FALSE))</f>
        <v>Large Bus</v>
      </c>
      <c r="E709" s="29" t="s">
        <v>111</v>
      </c>
      <c r="F709" s="29" t="s">
        <v>66</v>
      </c>
      <c r="G709" s="29" t="s">
        <v>113</v>
      </c>
      <c r="H709" s="30" t="s">
        <v>113</v>
      </c>
      <c r="I709" s="29" t="s">
        <v>257</v>
      </c>
      <c r="J709" s="29" t="s">
        <v>70</v>
      </c>
      <c r="K709" s="30" t="s">
        <v>70</v>
      </c>
      <c r="L709" s="29" t="str">
        <f t="shared" si="10"/>
        <v>NAIROBI-KAMPALA</v>
      </c>
      <c r="M709" s="31">
        <v>34</v>
      </c>
      <c r="N709" s="72">
        <v>73000</v>
      </c>
      <c r="O709" s="34">
        <v>12.8</v>
      </c>
    </row>
    <row r="710" spans="2:15" x14ac:dyDescent="0.2">
      <c r="B710" s="27">
        <v>8.3333333333333329E-2</v>
      </c>
      <c r="C710" s="28">
        <v>6</v>
      </c>
      <c r="D710" s="33" t="str">
        <f>IF(C710="", "",VLOOKUP(C710,Key!$A$5:$B$7,2,FALSE))</f>
        <v>Large Bus</v>
      </c>
      <c r="E710" s="29" t="s">
        <v>111</v>
      </c>
      <c r="F710" s="29" t="s">
        <v>67</v>
      </c>
      <c r="G710" s="29" t="s">
        <v>70</v>
      </c>
      <c r="H710" s="30" t="s">
        <v>70</v>
      </c>
      <c r="I710" s="29" t="s">
        <v>257</v>
      </c>
      <c r="J710" s="29" t="s">
        <v>113</v>
      </c>
      <c r="K710" s="30" t="s">
        <v>113</v>
      </c>
      <c r="L710" s="29" t="str">
        <f t="shared" si="10"/>
        <v>KAMPALA-NAIROBI</v>
      </c>
      <c r="M710" s="31">
        <v>34</v>
      </c>
      <c r="N710" s="72">
        <v>70000</v>
      </c>
      <c r="O710" s="34">
        <v>12.8</v>
      </c>
    </row>
    <row r="711" spans="2:15" x14ac:dyDescent="0.2">
      <c r="B711" s="27">
        <v>0.29166666666666669</v>
      </c>
      <c r="C711" s="28">
        <v>6</v>
      </c>
      <c r="D711" s="33" t="str">
        <f>IF(C711="", "",VLOOKUP(C711,Key!$A$5:$B$7,2,FALSE))</f>
        <v>Large Bus</v>
      </c>
      <c r="E711" s="29" t="s">
        <v>111</v>
      </c>
      <c r="F711" s="29" t="s">
        <v>67</v>
      </c>
      <c r="G711" s="29" t="s">
        <v>70</v>
      </c>
      <c r="H711" s="30" t="s">
        <v>70</v>
      </c>
      <c r="I711" s="29" t="s">
        <v>257</v>
      </c>
      <c r="J711" s="29" t="s">
        <v>113</v>
      </c>
      <c r="K711" s="30" t="s">
        <v>113</v>
      </c>
      <c r="L711" s="29" t="str">
        <f t="shared" si="10"/>
        <v>KAMPALA-NAIROBI</v>
      </c>
      <c r="M711" s="31">
        <v>34</v>
      </c>
      <c r="N711" s="72">
        <v>70000</v>
      </c>
      <c r="O711" s="34">
        <v>12.8</v>
      </c>
    </row>
    <row r="712" spans="2:15" x14ac:dyDescent="0.2">
      <c r="B712" s="45" t="s">
        <v>220</v>
      </c>
      <c r="C712" s="47"/>
      <c r="D712" s="33" t="str">
        <f>IF(C712="", "",VLOOKUP(C712,Key!$A$5:$B$7,2,FALSE))</f>
        <v/>
      </c>
      <c r="E712" s="44" t="s">
        <v>111</v>
      </c>
      <c r="F712" s="48"/>
      <c r="G712" s="47"/>
      <c r="H712" s="47"/>
      <c r="I712" s="47" t="s">
        <v>257</v>
      </c>
      <c r="J712" s="47"/>
      <c r="K712" s="47"/>
      <c r="L712" s="47" t="str">
        <f t="shared" si="10"/>
        <v>-</v>
      </c>
      <c r="M712" s="47"/>
      <c r="N712" s="48"/>
      <c r="O712" s="48"/>
    </row>
    <row r="713" spans="2:15" x14ac:dyDescent="0.2">
      <c r="B713" s="27">
        <v>0.27083333333333331</v>
      </c>
      <c r="C713" s="28">
        <v>6</v>
      </c>
      <c r="D713" s="33" t="str">
        <f>IF(C713="", "",VLOOKUP(C713,Key!$A$5:$B$7,2,FALSE))</f>
        <v>Large Bus</v>
      </c>
      <c r="E713" s="29" t="s">
        <v>111</v>
      </c>
      <c r="F713" s="29" t="s">
        <v>67</v>
      </c>
      <c r="G713" s="29" t="s">
        <v>70</v>
      </c>
      <c r="H713" s="30" t="s">
        <v>70</v>
      </c>
      <c r="I713" s="29" t="s">
        <v>257</v>
      </c>
      <c r="J713" s="29" t="s">
        <v>113</v>
      </c>
      <c r="K713" s="30" t="s">
        <v>113</v>
      </c>
      <c r="L713" s="29" t="str">
        <f t="shared" si="10"/>
        <v>KAMPALA-NAIROBI</v>
      </c>
      <c r="M713" s="31">
        <v>34</v>
      </c>
      <c r="N713" s="72">
        <v>70000</v>
      </c>
      <c r="O713" s="34">
        <v>12.8</v>
      </c>
    </row>
    <row r="714" spans="2:15" x14ac:dyDescent="0.2">
      <c r="B714" s="27">
        <v>0.45833333333333331</v>
      </c>
      <c r="C714" s="28">
        <v>6</v>
      </c>
      <c r="D714" s="33" t="str">
        <f>IF(C714="", "",VLOOKUP(C714,Key!$A$5:$B$7,2,FALSE))</f>
        <v>Large Bus</v>
      </c>
      <c r="E714" s="29" t="s">
        <v>111</v>
      </c>
      <c r="F714" s="29" t="s">
        <v>66</v>
      </c>
      <c r="G714" s="29" t="s">
        <v>113</v>
      </c>
      <c r="H714" s="30" t="s">
        <v>113</v>
      </c>
      <c r="I714" s="29" t="s">
        <v>257</v>
      </c>
      <c r="J714" s="29" t="s">
        <v>70</v>
      </c>
      <c r="K714" s="30" t="s">
        <v>70</v>
      </c>
      <c r="L714" s="29" t="str">
        <f t="shared" ref="L714:L777" si="11">H714&amp;"-"&amp;K714</f>
        <v>NAIROBI-KAMPALA</v>
      </c>
      <c r="M714" s="31">
        <v>34</v>
      </c>
      <c r="N714" s="72">
        <v>73000</v>
      </c>
      <c r="O714" s="34">
        <v>12.8</v>
      </c>
    </row>
    <row r="715" spans="2:15" x14ac:dyDescent="0.2">
      <c r="B715" s="27">
        <v>0.20833333333333334</v>
      </c>
      <c r="C715" s="28">
        <v>6</v>
      </c>
      <c r="D715" s="33" t="str">
        <f>IF(C715="", "",VLOOKUP(C715,Key!$A$5:$B$7,2,FALSE))</f>
        <v>Large Bus</v>
      </c>
      <c r="E715" s="29" t="s">
        <v>111</v>
      </c>
      <c r="F715" s="29" t="s">
        <v>66</v>
      </c>
      <c r="G715" s="29" t="s">
        <v>114</v>
      </c>
      <c r="H715" s="30" t="s">
        <v>114</v>
      </c>
      <c r="I715" s="29" t="s">
        <v>260</v>
      </c>
      <c r="J715" s="29" t="s">
        <v>70</v>
      </c>
      <c r="K715" s="30" t="s">
        <v>70</v>
      </c>
      <c r="L715" s="29" t="str">
        <f t="shared" si="11"/>
        <v>KISUMU-KAMPALA</v>
      </c>
      <c r="M715" s="31">
        <v>34</v>
      </c>
      <c r="N715" s="72">
        <v>42000</v>
      </c>
      <c r="O715" s="34">
        <v>6.8</v>
      </c>
    </row>
    <row r="716" spans="2:15" x14ac:dyDescent="0.2">
      <c r="B716" s="27">
        <v>0.46388888888888885</v>
      </c>
      <c r="C716" s="28">
        <v>6</v>
      </c>
      <c r="D716" s="33" t="str">
        <f>IF(C716="", "",VLOOKUP(C716,Key!$A$5:$B$7,2,FALSE))</f>
        <v>Large Bus</v>
      </c>
      <c r="E716" s="29" t="s">
        <v>111</v>
      </c>
      <c r="F716" s="29" t="s">
        <v>66</v>
      </c>
      <c r="G716" s="29" t="s">
        <v>113</v>
      </c>
      <c r="H716" s="30" t="s">
        <v>113</v>
      </c>
      <c r="I716" s="29" t="s">
        <v>257</v>
      </c>
      <c r="J716" s="29" t="s">
        <v>70</v>
      </c>
      <c r="K716" s="30" t="s">
        <v>70</v>
      </c>
      <c r="L716" s="29" t="str">
        <f t="shared" si="11"/>
        <v>NAIROBI-KAMPALA</v>
      </c>
      <c r="M716" s="31">
        <v>34</v>
      </c>
      <c r="N716" s="72">
        <v>73000</v>
      </c>
      <c r="O716" s="34">
        <v>12.8</v>
      </c>
    </row>
    <row r="717" spans="2:15" x14ac:dyDescent="0.2">
      <c r="B717" s="27">
        <v>8.3333333333333329E-2</v>
      </c>
      <c r="C717" s="28">
        <v>6</v>
      </c>
      <c r="D717" s="33" t="str">
        <f>IF(C717="", "",VLOOKUP(C717,Key!$A$5:$B$7,2,FALSE))</f>
        <v>Large Bus</v>
      </c>
      <c r="E717" s="29" t="s">
        <v>111</v>
      </c>
      <c r="F717" s="29" t="s">
        <v>67</v>
      </c>
      <c r="G717" s="29" t="s">
        <v>70</v>
      </c>
      <c r="H717" s="30" t="s">
        <v>70</v>
      </c>
      <c r="I717" s="29" t="s">
        <v>257</v>
      </c>
      <c r="J717" s="29" t="s">
        <v>113</v>
      </c>
      <c r="K717" s="30" t="s">
        <v>113</v>
      </c>
      <c r="L717" s="29" t="str">
        <f t="shared" si="11"/>
        <v>KAMPALA-NAIROBI</v>
      </c>
      <c r="M717" s="31">
        <v>15</v>
      </c>
      <c r="N717" s="72">
        <v>70000</v>
      </c>
      <c r="O717" s="34">
        <v>12.8</v>
      </c>
    </row>
    <row r="718" spans="2:15" x14ac:dyDescent="0.2">
      <c r="B718" s="27">
        <v>0.29166666666666669</v>
      </c>
      <c r="C718" s="28">
        <v>6</v>
      </c>
      <c r="D718" s="33" t="str">
        <f>IF(C718="", "",VLOOKUP(C718,Key!$A$5:$B$7,2,FALSE))</f>
        <v>Large Bus</v>
      </c>
      <c r="E718" s="29" t="s">
        <v>111</v>
      </c>
      <c r="F718" s="29" t="s">
        <v>67</v>
      </c>
      <c r="G718" s="29" t="s">
        <v>70</v>
      </c>
      <c r="H718" s="30" t="s">
        <v>70</v>
      </c>
      <c r="I718" s="29" t="s">
        <v>257</v>
      </c>
      <c r="J718" s="29" t="s">
        <v>113</v>
      </c>
      <c r="K718" s="30" t="s">
        <v>113</v>
      </c>
      <c r="L718" s="29" t="str">
        <f t="shared" si="11"/>
        <v>KAMPALA-NAIROBI</v>
      </c>
      <c r="M718" s="31">
        <v>34</v>
      </c>
      <c r="N718" s="72">
        <v>70000</v>
      </c>
      <c r="O718" s="34">
        <v>12.8</v>
      </c>
    </row>
    <row r="719" spans="2:15" x14ac:dyDescent="0.2">
      <c r="B719" s="27">
        <v>0.46597222222222223</v>
      </c>
      <c r="C719" s="28">
        <v>6</v>
      </c>
      <c r="D719" s="33" t="str">
        <f>IF(C719="", "",VLOOKUP(C719,Key!$A$5:$B$7,2,FALSE))</f>
        <v>Large Bus</v>
      </c>
      <c r="E719" s="29" t="s">
        <v>111</v>
      </c>
      <c r="F719" s="29" t="s">
        <v>66</v>
      </c>
      <c r="G719" s="29" t="s">
        <v>113</v>
      </c>
      <c r="H719" s="30" t="s">
        <v>113</v>
      </c>
      <c r="I719" s="29" t="s">
        <v>257</v>
      </c>
      <c r="J719" s="29" t="s">
        <v>70</v>
      </c>
      <c r="K719" s="30" t="s">
        <v>70</v>
      </c>
      <c r="L719" s="29" t="str">
        <f t="shared" si="11"/>
        <v>NAIROBI-KAMPALA</v>
      </c>
      <c r="M719" s="31">
        <v>34</v>
      </c>
      <c r="N719" s="72">
        <v>73000</v>
      </c>
      <c r="O719" s="34">
        <v>12.8</v>
      </c>
    </row>
    <row r="720" spans="2:15" x14ac:dyDescent="0.2">
      <c r="B720" s="27">
        <v>0.19791666666666666</v>
      </c>
      <c r="C720" s="28">
        <v>6</v>
      </c>
      <c r="D720" s="33" t="str">
        <f>IF(C720="", "",VLOOKUP(C720,Key!$A$5:$B$7,2,FALSE))</f>
        <v>Large Bus</v>
      </c>
      <c r="E720" s="29" t="s">
        <v>111</v>
      </c>
      <c r="F720" s="29" t="s">
        <v>66</v>
      </c>
      <c r="G720" s="29" t="s">
        <v>114</v>
      </c>
      <c r="H720" s="30" t="s">
        <v>114</v>
      </c>
      <c r="I720" s="29" t="s">
        <v>260</v>
      </c>
      <c r="J720" s="29" t="s">
        <v>70</v>
      </c>
      <c r="K720" s="30" t="s">
        <v>70</v>
      </c>
      <c r="L720" s="29" t="str">
        <f t="shared" si="11"/>
        <v>KISUMU-KAMPALA</v>
      </c>
      <c r="M720" s="31">
        <v>27</v>
      </c>
      <c r="N720" s="72">
        <v>42000</v>
      </c>
      <c r="O720" s="34">
        <v>6.8</v>
      </c>
    </row>
    <row r="721" spans="2:15" x14ac:dyDescent="0.2">
      <c r="B721" s="45" t="s">
        <v>221</v>
      </c>
      <c r="C721" s="47"/>
      <c r="D721" s="33" t="str">
        <f>IF(C721="", "",VLOOKUP(C721,Key!$A$5:$B$7,2,FALSE))</f>
        <v/>
      </c>
      <c r="E721" s="44" t="s">
        <v>111</v>
      </c>
      <c r="F721" s="48"/>
      <c r="G721" s="47"/>
      <c r="H721" s="47"/>
      <c r="I721" s="47" t="s">
        <v>257</v>
      </c>
      <c r="J721" s="47"/>
      <c r="K721" s="47"/>
      <c r="L721" s="47" t="str">
        <f t="shared" si="11"/>
        <v>-</v>
      </c>
      <c r="M721" s="47"/>
      <c r="N721" s="48"/>
      <c r="O721" s="48"/>
    </row>
    <row r="722" spans="2:15" x14ac:dyDescent="0.2">
      <c r="B722" s="27">
        <v>0.27777777777777779</v>
      </c>
      <c r="C722" s="28">
        <v>6</v>
      </c>
      <c r="D722" s="33" t="str">
        <f>IF(C722="", "",VLOOKUP(C722,Key!$A$5:$B$7,2,FALSE))</f>
        <v>Large Bus</v>
      </c>
      <c r="E722" s="29" t="s">
        <v>111</v>
      </c>
      <c r="F722" s="29" t="s">
        <v>67</v>
      </c>
      <c r="G722" s="29" t="s">
        <v>70</v>
      </c>
      <c r="H722" s="30" t="s">
        <v>70</v>
      </c>
      <c r="I722" s="29" t="s">
        <v>257</v>
      </c>
      <c r="J722" s="29" t="s">
        <v>113</v>
      </c>
      <c r="K722" s="30" t="s">
        <v>113</v>
      </c>
      <c r="L722" s="29" t="str">
        <f t="shared" si="11"/>
        <v>KAMPALA-NAIROBI</v>
      </c>
      <c r="M722" s="31">
        <v>34</v>
      </c>
      <c r="N722" s="72">
        <v>70000</v>
      </c>
      <c r="O722" s="34">
        <v>12.8</v>
      </c>
    </row>
    <row r="723" spans="2:15" x14ac:dyDescent="0.2">
      <c r="B723" s="27" t="s">
        <v>112</v>
      </c>
      <c r="C723" s="28">
        <v>6</v>
      </c>
      <c r="D723" s="33" t="str">
        <f>IF(C723="", "",VLOOKUP(C723,Key!$A$5:$B$7,2,FALSE))</f>
        <v>Large Bus</v>
      </c>
      <c r="E723" s="29" t="s">
        <v>111</v>
      </c>
      <c r="F723" s="29" t="s">
        <v>66</v>
      </c>
      <c r="G723" s="29" t="s">
        <v>113</v>
      </c>
      <c r="H723" s="30" t="s">
        <v>113</v>
      </c>
      <c r="I723" s="29" t="s">
        <v>257</v>
      </c>
      <c r="J723" s="29" t="s">
        <v>70</v>
      </c>
      <c r="K723" s="30" t="s">
        <v>70</v>
      </c>
      <c r="L723" s="29" t="str">
        <f t="shared" si="11"/>
        <v>NAIROBI-KAMPALA</v>
      </c>
      <c r="M723" s="31">
        <v>34</v>
      </c>
      <c r="N723" s="72">
        <v>73000</v>
      </c>
      <c r="O723" s="34">
        <v>12.8</v>
      </c>
    </row>
    <row r="724" spans="2:15" x14ac:dyDescent="0.2">
      <c r="B724" s="27">
        <v>0.23263888888888887</v>
      </c>
      <c r="C724" s="28">
        <v>6</v>
      </c>
      <c r="D724" s="33" t="str">
        <f>IF(C724="", "",VLOOKUP(C724,Key!$A$5:$B$7,2,FALSE))</f>
        <v>Large Bus</v>
      </c>
      <c r="E724" s="29" t="s">
        <v>111</v>
      </c>
      <c r="F724" s="29" t="s">
        <v>66</v>
      </c>
      <c r="G724" s="29" t="s">
        <v>114</v>
      </c>
      <c r="H724" s="30" t="s">
        <v>113</v>
      </c>
      <c r="I724" s="29" t="s">
        <v>257</v>
      </c>
      <c r="J724" s="29" t="s">
        <v>70</v>
      </c>
      <c r="K724" s="30" t="s">
        <v>70</v>
      </c>
      <c r="L724" s="29" t="str">
        <f t="shared" si="11"/>
        <v>NAIROBI-KAMPALA</v>
      </c>
      <c r="M724" s="31">
        <v>34</v>
      </c>
      <c r="N724" s="72">
        <v>73000</v>
      </c>
      <c r="O724" s="34">
        <v>12.8</v>
      </c>
    </row>
    <row r="725" spans="2:15" x14ac:dyDescent="0.2">
      <c r="B725" s="27">
        <v>0.27638888888888885</v>
      </c>
      <c r="C725" s="28">
        <v>6</v>
      </c>
      <c r="D725" s="33" t="str">
        <f>IF(C725="", "",VLOOKUP(C725,Key!$A$5:$B$7,2,FALSE))</f>
        <v>Large Bus</v>
      </c>
      <c r="E725" s="29" t="s">
        <v>111</v>
      </c>
      <c r="F725" s="29" t="s">
        <v>67</v>
      </c>
      <c r="G725" s="29" t="s">
        <v>70</v>
      </c>
      <c r="H725" s="30" t="s">
        <v>70</v>
      </c>
      <c r="I725" s="29" t="s">
        <v>257</v>
      </c>
      <c r="J725" s="29" t="s">
        <v>113</v>
      </c>
      <c r="K725" s="30" t="s">
        <v>113</v>
      </c>
      <c r="L725" s="29" t="str">
        <f t="shared" si="11"/>
        <v>KAMPALA-NAIROBI</v>
      </c>
      <c r="M725" s="31">
        <v>34</v>
      </c>
      <c r="N725" s="72">
        <v>70000</v>
      </c>
      <c r="O725" s="34">
        <v>12.8</v>
      </c>
    </row>
    <row r="726" spans="2:15" x14ac:dyDescent="0.2">
      <c r="B726" s="27">
        <v>0.49861111111111112</v>
      </c>
      <c r="C726" s="28">
        <v>6</v>
      </c>
      <c r="D726" s="33" t="str">
        <f>IF(C726="", "",VLOOKUP(C726,Key!$A$5:$B$7,2,FALSE))</f>
        <v>Large Bus</v>
      </c>
      <c r="E726" s="29" t="s">
        <v>111</v>
      </c>
      <c r="F726" s="29" t="s">
        <v>66</v>
      </c>
      <c r="G726" s="29" t="s">
        <v>113</v>
      </c>
      <c r="H726" s="30" t="s">
        <v>113</v>
      </c>
      <c r="I726" s="29" t="s">
        <v>257</v>
      </c>
      <c r="J726" s="29" t="s">
        <v>70</v>
      </c>
      <c r="K726" s="30" t="s">
        <v>70</v>
      </c>
      <c r="L726" s="29" t="str">
        <f t="shared" si="11"/>
        <v>NAIROBI-KAMPALA</v>
      </c>
      <c r="M726" s="31">
        <v>34</v>
      </c>
      <c r="N726" s="72">
        <v>73000</v>
      </c>
      <c r="O726" s="34">
        <v>12.8</v>
      </c>
    </row>
    <row r="727" spans="2:15" x14ac:dyDescent="0.2">
      <c r="B727" s="27">
        <v>8.3333333333333329E-2</v>
      </c>
      <c r="C727" s="28">
        <v>6</v>
      </c>
      <c r="D727" s="33" t="str">
        <f>IF(C727="", "",VLOOKUP(C727,Key!$A$5:$B$7,2,FALSE))</f>
        <v>Large Bus</v>
      </c>
      <c r="E727" s="29" t="s">
        <v>111</v>
      </c>
      <c r="F727" s="29" t="s">
        <v>67</v>
      </c>
      <c r="G727" s="29" t="s">
        <v>70</v>
      </c>
      <c r="H727" s="30" t="s">
        <v>113</v>
      </c>
      <c r="I727" s="29" t="s">
        <v>257</v>
      </c>
      <c r="J727" s="29" t="s">
        <v>70</v>
      </c>
      <c r="K727" s="30" t="s">
        <v>70</v>
      </c>
      <c r="L727" s="29" t="str">
        <f t="shared" si="11"/>
        <v>NAIROBI-KAMPALA</v>
      </c>
      <c r="M727" s="31">
        <v>32</v>
      </c>
      <c r="N727" s="72">
        <v>73000</v>
      </c>
      <c r="O727" s="34">
        <v>12.8</v>
      </c>
    </row>
    <row r="728" spans="2:15" x14ac:dyDescent="0.2">
      <c r="B728" s="27">
        <v>0.29166666666666669</v>
      </c>
      <c r="C728" s="28">
        <v>6</v>
      </c>
      <c r="D728" s="33" t="str">
        <f>IF(C728="", "",VLOOKUP(C728,Key!$A$5:$B$7,2,FALSE))</f>
        <v>Large Bus</v>
      </c>
      <c r="E728" s="29" t="s">
        <v>111</v>
      </c>
      <c r="F728" s="29" t="s">
        <v>67</v>
      </c>
      <c r="G728" s="29" t="s">
        <v>70</v>
      </c>
      <c r="H728" s="30" t="s">
        <v>113</v>
      </c>
      <c r="I728" s="29" t="s">
        <v>257</v>
      </c>
      <c r="J728" s="29" t="s">
        <v>70</v>
      </c>
      <c r="K728" s="30" t="s">
        <v>70</v>
      </c>
      <c r="L728" s="29" t="str">
        <f t="shared" si="11"/>
        <v>NAIROBI-KAMPALA</v>
      </c>
      <c r="M728" s="31">
        <v>24</v>
      </c>
      <c r="N728" s="72">
        <v>73000</v>
      </c>
      <c r="O728" s="34">
        <v>12.8</v>
      </c>
    </row>
    <row r="729" spans="2:15" x14ac:dyDescent="0.2">
      <c r="B729" s="45" t="s">
        <v>222</v>
      </c>
      <c r="C729" s="47"/>
      <c r="D729" s="33" t="str">
        <f>IF(C729="", "",VLOOKUP(C729,Key!$A$5:$B$7,2,FALSE))</f>
        <v/>
      </c>
      <c r="E729" s="44" t="s">
        <v>111</v>
      </c>
      <c r="F729" s="48"/>
      <c r="G729" s="47"/>
      <c r="H729" s="47"/>
      <c r="I729" s="47" t="s">
        <v>257</v>
      </c>
      <c r="J729" s="47"/>
      <c r="K729" s="47"/>
      <c r="L729" s="47" t="str">
        <f t="shared" si="11"/>
        <v>-</v>
      </c>
      <c r="M729" s="47"/>
      <c r="N729" s="48"/>
      <c r="O729" s="48"/>
    </row>
    <row r="730" spans="2:15" x14ac:dyDescent="0.2">
      <c r="B730" s="27">
        <v>0.46319444444444446</v>
      </c>
      <c r="C730" s="28">
        <v>6</v>
      </c>
      <c r="D730" s="33" t="str">
        <f>IF(C730="", "",VLOOKUP(C730,Key!$A$5:$B$7,2,FALSE))</f>
        <v>Large Bus</v>
      </c>
      <c r="E730" s="29" t="s">
        <v>111</v>
      </c>
      <c r="F730" s="29" t="s">
        <v>66</v>
      </c>
      <c r="G730" s="29" t="s">
        <v>113</v>
      </c>
      <c r="H730" s="30" t="s">
        <v>113</v>
      </c>
      <c r="I730" s="29" t="s">
        <v>257</v>
      </c>
      <c r="J730" s="29" t="s">
        <v>70</v>
      </c>
      <c r="K730" s="30" t="s">
        <v>70</v>
      </c>
      <c r="L730" s="29" t="str">
        <f t="shared" si="11"/>
        <v>NAIROBI-KAMPALA</v>
      </c>
      <c r="M730" s="31">
        <v>34</v>
      </c>
      <c r="N730" s="72">
        <v>73000</v>
      </c>
      <c r="O730" s="34">
        <v>12.8</v>
      </c>
    </row>
    <row r="731" spans="2:15" x14ac:dyDescent="0.2">
      <c r="B731" s="27">
        <v>8.3333333333333329E-2</v>
      </c>
      <c r="C731" s="28">
        <v>6</v>
      </c>
      <c r="D731" s="33" t="str">
        <f>IF(C731="", "",VLOOKUP(C731,Key!$A$5:$B$7,2,FALSE))</f>
        <v>Large Bus</v>
      </c>
      <c r="E731" s="29" t="s">
        <v>111</v>
      </c>
      <c r="F731" s="29" t="s">
        <v>67</v>
      </c>
      <c r="G731" s="29" t="s">
        <v>70</v>
      </c>
      <c r="H731" s="30" t="s">
        <v>70</v>
      </c>
      <c r="I731" s="29" t="s">
        <v>257</v>
      </c>
      <c r="J731" s="29" t="s">
        <v>113</v>
      </c>
      <c r="K731" s="30" t="s">
        <v>113</v>
      </c>
      <c r="L731" s="29" t="str">
        <f t="shared" si="11"/>
        <v>KAMPALA-NAIROBI</v>
      </c>
      <c r="M731" s="31">
        <v>19</v>
      </c>
      <c r="N731" s="72">
        <v>70000</v>
      </c>
      <c r="O731" s="34">
        <v>12.8</v>
      </c>
    </row>
    <row r="732" spans="2:15" x14ac:dyDescent="0.2">
      <c r="B732" s="27">
        <v>0.29166666666666669</v>
      </c>
      <c r="C732" s="28">
        <v>6</v>
      </c>
      <c r="D732" s="33" t="str">
        <f>IF(C732="", "",VLOOKUP(C732,Key!$A$5:$B$7,2,FALSE))</f>
        <v>Large Bus</v>
      </c>
      <c r="E732" s="29" t="s">
        <v>111</v>
      </c>
      <c r="F732" s="29" t="s">
        <v>67</v>
      </c>
      <c r="G732" s="29" t="s">
        <v>70</v>
      </c>
      <c r="H732" s="30" t="s">
        <v>70</v>
      </c>
      <c r="I732" s="29" t="s">
        <v>257</v>
      </c>
      <c r="J732" s="29" t="s">
        <v>113</v>
      </c>
      <c r="K732" s="30" t="s">
        <v>113</v>
      </c>
      <c r="L732" s="29" t="str">
        <f t="shared" si="11"/>
        <v>KAMPALA-NAIROBI</v>
      </c>
      <c r="M732" s="31">
        <v>34</v>
      </c>
      <c r="N732" s="72">
        <v>70000</v>
      </c>
      <c r="O732" s="34">
        <v>12.8</v>
      </c>
    </row>
    <row r="733" spans="2:15" x14ac:dyDescent="0.2">
      <c r="B733" s="27">
        <v>0.46319444444444446</v>
      </c>
      <c r="C733" s="28">
        <v>6</v>
      </c>
      <c r="D733" s="33" t="str">
        <f>IF(C733="", "",VLOOKUP(C733,Key!$A$5:$B$7,2,FALSE))</f>
        <v>Large Bus</v>
      </c>
      <c r="E733" s="29" t="s">
        <v>111</v>
      </c>
      <c r="F733" s="29" t="s">
        <v>66</v>
      </c>
      <c r="G733" s="29" t="s">
        <v>113</v>
      </c>
      <c r="H733" s="30" t="s">
        <v>113</v>
      </c>
      <c r="I733" s="29" t="s">
        <v>257</v>
      </c>
      <c r="J733" s="29" t="s">
        <v>70</v>
      </c>
      <c r="K733" s="30" t="s">
        <v>70</v>
      </c>
      <c r="L733" s="29" t="str">
        <f t="shared" si="11"/>
        <v>NAIROBI-KAMPALA</v>
      </c>
      <c r="M733" s="31">
        <v>34</v>
      </c>
      <c r="N733" s="72">
        <v>73000</v>
      </c>
      <c r="O733" s="34">
        <v>12.8</v>
      </c>
    </row>
    <row r="734" spans="2:15" x14ac:dyDescent="0.2">
      <c r="B734" s="27">
        <v>0.18402777777777779</v>
      </c>
      <c r="C734" s="28">
        <v>6</v>
      </c>
      <c r="D734" s="33" t="str">
        <f>IF(C734="", "",VLOOKUP(C734,Key!$A$5:$B$7,2,FALSE))</f>
        <v>Large Bus</v>
      </c>
      <c r="E734" s="29" t="s">
        <v>111</v>
      </c>
      <c r="F734" s="29" t="s">
        <v>66</v>
      </c>
      <c r="G734" s="29" t="s">
        <v>114</v>
      </c>
      <c r="H734" s="30" t="s">
        <v>114</v>
      </c>
      <c r="I734" s="29" t="s">
        <v>260</v>
      </c>
      <c r="J734" s="29" t="s">
        <v>70</v>
      </c>
      <c r="K734" s="30" t="s">
        <v>70</v>
      </c>
      <c r="L734" s="29" t="str">
        <f t="shared" si="11"/>
        <v>KISUMU-KAMPALA</v>
      </c>
      <c r="M734" s="31">
        <v>34</v>
      </c>
      <c r="N734" s="72">
        <v>42000</v>
      </c>
      <c r="O734" s="34">
        <v>6.8</v>
      </c>
    </row>
    <row r="735" spans="2:15" x14ac:dyDescent="0.2">
      <c r="B735" s="27">
        <v>0.27083333333333331</v>
      </c>
      <c r="C735" s="28">
        <v>6</v>
      </c>
      <c r="D735" s="33" t="str">
        <f>IF(C735="", "",VLOOKUP(C735,Key!$A$5:$B$7,2,FALSE))</f>
        <v>Large Bus</v>
      </c>
      <c r="E735" s="29" t="s">
        <v>111</v>
      </c>
      <c r="F735" s="29" t="s">
        <v>67</v>
      </c>
      <c r="G735" s="29" t="s">
        <v>70</v>
      </c>
      <c r="H735" s="30" t="s">
        <v>70</v>
      </c>
      <c r="I735" s="29" t="s">
        <v>257</v>
      </c>
      <c r="J735" s="29" t="s">
        <v>113</v>
      </c>
      <c r="K735" s="30" t="s">
        <v>113</v>
      </c>
      <c r="L735" s="29" t="str">
        <f t="shared" si="11"/>
        <v>KAMPALA-NAIROBI</v>
      </c>
      <c r="M735" s="31">
        <v>19</v>
      </c>
      <c r="N735" s="72">
        <v>70000</v>
      </c>
      <c r="O735" s="34">
        <v>12.8</v>
      </c>
    </row>
    <row r="736" spans="2:15" x14ac:dyDescent="0.2">
      <c r="B736" s="45" t="s">
        <v>218</v>
      </c>
      <c r="C736" s="47"/>
      <c r="D736" s="33" t="str">
        <f>IF(C736="", "",VLOOKUP(C736,Key!$A$5:$B$7,2,FALSE))</f>
        <v/>
      </c>
      <c r="E736" s="44" t="s">
        <v>117</v>
      </c>
      <c r="F736" s="48"/>
      <c r="G736" s="47"/>
      <c r="H736" s="47"/>
      <c r="I736" s="47"/>
      <c r="J736" s="47"/>
      <c r="K736" s="47"/>
      <c r="L736" s="47" t="str">
        <f t="shared" si="11"/>
        <v>-</v>
      </c>
      <c r="M736" s="47"/>
      <c r="N736" s="48"/>
      <c r="O736" s="48"/>
    </row>
    <row r="737" spans="2:15" x14ac:dyDescent="0.2">
      <c r="B737" s="27">
        <v>0.375</v>
      </c>
      <c r="C737" s="28">
        <v>6</v>
      </c>
      <c r="D737" s="33" t="str">
        <f>IF(C737="", "",VLOOKUP(C737,Key!$A$5:$B$7,2,FALSE))</f>
        <v>Large Bus</v>
      </c>
      <c r="E737" s="29" t="s">
        <v>117</v>
      </c>
      <c r="F737" s="29" t="s">
        <v>67</v>
      </c>
      <c r="G737" s="29" t="s">
        <v>122</v>
      </c>
      <c r="H737" s="30" t="s">
        <v>70</v>
      </c>
      <c r="I737" s="29" t="s">
        <v>257</v>
      </c>
      <c r="J737" s="29" t="s">
        <v>119</v>
      </c>
      <c r="K737" s="30" t="s">
        <v>119</v>
      </c>
      <c r="L737" s="29" t="str">
        <f t="shared" si="11"/>
        <v>KAMPALA-KOBOKO</v>
      </c>
      <c r="M737" s="31">
        <v>47</v>
      </c>
      <c r="N737" s="72">
        <v>40000</v>
      </c>
      <c r="O737" s="34">
        <v>8</v>
      </c>
    </row>
    <row r="738" spans="2:15" x14ac:dyDescent="0.2">
      <c r="B738" s="27">
        <v>0.375</v>
      </c>
      <c r="C738" s="28">
        <v>6</v>
      </c>
      <c r="D738" s="33" t="str">
        <f>IF(C738="", "",VLOOKUP(C738,Key!$A$5:$B$7,2,FALSE))</f>
        <v>Large Bus</v>
      </c>
      <c r="E738" s="29" t="s">
        <v>117</v>
      </c>
      <c r="F738" s="29" t="s">
        <v>67</v>
      </c>
      <c r="G738" s="29" t="s">
        <v>122</v>
      </c>
      <c r="H738" s="30" t="s">
        <v>70</v>
      </c>
      <c r="I738" s="29" t="s">
        <v>257</v>
      </c>
      <c r="J738" s="29" t="s">
        <v>120</v>
      </c>
      <c r="K738" s="30" t="s">
        <v>121</v>
      </c>
      <c r="L738" s="29" t="str">
        <f t="shared" si="11"/>
        <v>KAMPALA-ZOMBO</v>
      </c>
      <c r="M738" s="31">
        <v>43</v>
      </c>
      <c r="N738" s="72">
        <v>30000</v>
      </c>
      <c r="O738" s="34">
        <v>7</v>
      </c>
    </row>
    <row r="739" spans="2:15" x14ac:dyDescent="0.2">
      <c r="B739" s="27">
        <v>0.39583333333333331</v>
      </c>
      <c r="C739" s="28">
        <v>6</v>
      </c>
      <c r="D739" s="33" t="str">
        <f>IF(C739="", "",VLOOKUP(C739,Key!$A$5:$B$7,2,FALSE))</f>
        <v>Large Bus</v>
      </c>
      <c r="E739" s="29" t="s">
        <v>117</v>
      </c>
      <c r="F739" s="29" t="s">
        <v>67</v>
      </c>
      <c r="G739" s="29" t="s">
        <v>122</v>
      </c>
      <c r="H739" s="30" t="s">
        <v>70</v>
      </c>
      <c r="I739" s="29" t="s">
        <v>257</v>
      </c>
      <c r="J739" s="29" t="s">
        <v>123</v>
      </c>
      <c r="K739" s="30" t="s">
        <v>118</v>
      </c>
      <c r="L739" s="29" t="str">
        <f t="shared" si="11"/>
        <v>KAMPALA-ARUA</v>
      </c>
      <c r="M739" s="31">
        <v>52</v>
      </c>
      <c r="N739" s="72">
        <v>43000</v>
      </c>
      <c r="O739" s="34">
        <v>8.4</v>
      </c>
    </row>
    <row r="740" spans="2:15" x14ac:dyDescent="0.2">
      <c r="B740" s="27">
        <v>0.41666666666666669</v>
      </c>
      <c r="C740" s="28">
        <v>6</v>
      </c>
      <c r="D740" s="33" t="str">
        <f>IF(C740="", "",VLOOKUP(C740,Key!$A$5:$B$7,2,FALSE))</f>
        <v>Large Bus</v>
      </c>
      <c r="E740" s="29" t="s">
        <v>117</v>
      </c>
      <c r="F740" s="29" t="s">
        <v>67</v>
      </c>
      <c r="G740" s="29" t="s">
        <v>122</v>
      </c>
      <c r="H740" s="30" t="s">
        <v>70</v>
      </c>
      <c r="I740" s="29" t="s">
        <v>257</v>
      </c>
      <c r="J740" s="29" t="s">
        <v>123</v>
      </c>
      <c r="K740" s="30" t="s">
        <v>118</v>
      </c>
      <c r="L740" s="29" t="str">
        <f t="shared" si="11"/>
        <v>KAMPALA-ARUA</v>
      </c>
      <c r="M740" s="31">
        <v>42</v>
      </c>
      <c r="N740" s="72">
        <v>43000</v>
      </c>
      <c r="O740" s="34">
        <v>8.4</v>
      </c>
    </row>
    <row r="741" spans="2:15" x14ac:dyDescent="0.2">
      <c r="B741" s="27">
        <v>0.33333333333333331</v>
      </c>
      <c r="C741" s="28">
        <v>6</v>
      </c>
      <c r="D741" s="33" t="str">
        <f>IF(C741="", "",VLOOKUP(C741,Key!$A$5:$B$7,2,FALSE))</f>
        <v>Large Bus</v>
      </c>
      <c r="E741" s="29" t="s">
        <v>117</v>
      </c>
      <c r="F741" s="29" t="s">
        <v>67</v>
      </c>
      <c r="G741" s="29" t="s">
        <v>122</v>
      </c>
      <c r="H741" s="30" t="s">
        <v>70</v>
      </c>
      <c r="I741" s="29" t="s">
        <v>257</v>
      </c>
      <c r="J741" s="29" t="s">
        <v>118</v>
      </c>
      <c r="K741" s="30" t="s">
        <v>118</v>
      </c>
      <c r="L741" s="29" t="str">
        <f t="shared" si="11"/>
        <v>KAMPALA-ARUA</v>
      </c>
      <c r="M741" s="31">
        <v>30</v>
      </c>
      <c r="N741" s="72">
        <v>43000</v>
      </c>
      <c r="O741" s="34">
        <v>8.4</v>
      </c>
    </row>
    <row r="742" spans="2:15" x14ac:dyDescent="0.2">
      <c r="B742" s="27">
        <v>0.41666666666666669</v>
      </c>
      <c r="C742" s="28">
        <v>6</v>
      </c>
      <c r="D742" s="33" t="str">
        <f>IF(C742="", "",VLOOKUP(C742,Key!$A$5:$B$7,2,FALSE))</f>
        <v>Large Bus</v>
      </c>
      <c r="E742" s="29" t="s">
        <v>117</v>
      </c>
      <c r="F742" s="29" t="s">
        <v>67</v>
      </c>
      <c r="G742" s="29" t="s">
        <v>122</v>
      </c>
      <c r="H742" s="30" t="s">
        <v>70</v>
      </c>
      <c r="I742" s="29" t="s">
        <v>257</v>
      </c>
      <c r="J742" s="29" t="s">
        <v>119</v>
      </c>
      <c r="K742" s="30" t="s">
        <v>119</v>
      </c>
      <c r="L742" s="29" t="str">
        <f t="shared" si="11"/>
        <v>KAMPALA-KOBOKO</v>
      </c>
      <c r="M742" s="31">
        <v>45</v>
      </c>
      <c r="N742" s="72">
        <v>40000</v>
      </c>
      <c r="O742" s="34">
        <v>8</v>
      </c>
    </row>
    <row r="743" spans="2:15" x14ac:dyDescent="0.2">
      <c r="B743" s="27">
        <v>4.1666666666666664E-2</v>
      </c>
      <c r="C743" s="28">
        <v>6</v>
      </c>
      <c r="D743" s="33" t="str">
        <f>IF(C743="", "",VLOOKUP(C743,Key!$A$5:$B$7,2,FALSE))</f>
        <v>Large Bus</v>
      </c>
      <c r="E743" s="29" t="s">
        <v>117</v>
      </c>
      <c r="F743" s="29" t="s">
        <v>67</v>
      </c>
      <c r="G743" s="29" t="s">
        <v>122</v>
      </c>
      <c r="H743" s="30" t="s">
        <v>70</v>
      </c>
      <c r="I743" s="29" t="s">
        <v>257</v>
      </c>
      <c r="J743" s="29" t="s">
        <v>118</v>
      </c>
      <c r="K743" s="30" t="s">
        <v>118</v>
      </c>
      <c r="L743" s="29" t="str">
        <f t="shared" si="11"/>
        <v>KAMPALA-ARUA</v>
      </c>
      <c r="M743" s="31">
        <v>48</v>
      </c>
      <c r="N743" s="72">
        <v>43000</v>
      </c>
      <c r="O743" s="34">
        <v>8.4</v>
      </c>
    </row>
    <row r="744" spans="2:15" x14ac:dyDescent="0.2">
      <c r="B744" s="27">
        <v>0.14583333333333334</v>
      </c>
      <c r="C744" s="28">
        <v>6</v>
      </c>
      <c r="D744" s="33" t="str">
        <f>IF(C744="", "",VLOOKUP(C744,Key!$A$5:$B$7,2,FALSE))</f>
        <v>Large Bus</v>
      </c>
      <c r="E744" s="29" t="s">
        <v>117</v>
      </c>
      <c r="F744" s="29" t="s">
        <v>66</v>
      </c>
      <c r="G744" s="29" t="s">
        <v>120</v>
      </c>
      <c r="H744" s="30" t="s">
        <v>121</v>
      </c>
      <c r="I744" s="29" t="s">
        <v>257</v>
      </c>
      <c r="J744" s="29" t="s">
        <v>122</v>
      </c>
      <c r="K744" s="30" t="s">
        <v>70</v>
      </c>
      <c r="L744" s="29" t="str">
        <f t="shared" si="11"/>
        <v>ZOMBO-KAMPALA</v>
      </c>
      <c r="M744" s="31">
        <v>63</v>
      </c>
      <c r="N744" s="72">
        <v>28000</v>
      </c>
      <c r="O744" s="34">
        <v>7</v>
      </c>
    </row>
    <row r="745" spans="2:15" x14ac:dyDescent="0.2">
      <c r="B745" s="27">
        <v>0.15277777777777776</v>
      </c>
      <c r="C745" s="28">
        <v>6</v>
      </c>
      <c r="D745" s="33" t="str">
        <f>IF(C745="", "",VLOOKUP(C745,Key!$A$5:$B$7,2,FALSE))</f>
        <v>Large Bus</v>
      </c>
      <c r="E745" s="29" t="s">
        <v>117</v>
      </c>
      <c r="F745" s="29" t="s">
        <v>66</v>
      </c>
      <c r="G745" s="29" t="s">
        <v>120</v>
      </c>
      <c r="H745" s="30" t="s">
        <v>121</v>
      </c>
      <c r="I745" s="29" t="s">
        <v>257</v>
      </c>
      <c r="J745" s="29" t="s">
        <v>122</v>
      </c>
      <c r="K745" s="30" t="s">
        <v>70</v>
      </c>
      <c r="L745" s="29" t="str">
        <f t="shared" si="11"/>
        <v>ZOMBO-KAMPALA</v>
      </c>
      <c r="M745" s="31">
        <v>44</v>
      </c>
      <c r="N745" s="72">
        <v>27000</v>
      </c>
      <c r="O745" s="34">
        <v>7</v>
      </c>
    </row>
    <row r="746" spans="2:15" x14ac:dyDescent="0.2">
      <c r="B746" s="27">
        <v>0.20833333333333334</v>
      </c>
      <c r="C746" s="28">
        <v>6</v>
      </c>
      <c r="D746" s="33" t="str">
        <f>IF(C746="", "",VLOOKUP(C746,Key!$A$5:$B$7,2,FALSE))</f>
        <v>Large Bus</v>
      </c>
      <c r="E746" s="29" t="s">
        <v>117</v>
      </c>
      <c r="F746" s="29" t="s">
        <v>66</v>
      </c>
      <c r="G746" s="29" t="s">
        <v>118</v>
      </c>
      <c r="H746" s="30" t="s">
        <v>118</v>
      </c>
      <c r="I746" s="29" t="s">
        <v>257</v>
      </c>
      <c r="J746" s="29" t="s">
        <v>122</v>
      </c>
      <c r="K746" s="30" t="s">
        <v>70</v>
      </c>
      <c r="L746" s="29" t="str">
        <f t="shared" si="11"/>
        <v>ARUA-KAMPALA</v>
      </c>
      <c r="M746" s="31">
        <v>52</v>
      </c>
      <c r="N746" s="72">
        <v>40000</v>
      </c>
      <c r="O746" s="34">
        <v>8.4</v>
      </c>
    </row>
    <row r="747" spans="2:15" x14ac:dyDescent="0.2">
      <c r="B747" s="27">
        <v>0.22916666666666666</v>
      </c>
      <c r="C747" s="28">
        <v>6</v>
      </c>
      <c r="D747" s="33" t="str">
        <f>IF(C747="", "",VLOOKUP(C747,Key!$A$5:$B$7,2,FALSE))</f>
        <v>Large Bus</v>
      </c>
      <c r="E747" s="29" t="s">
        <v>117</v>
      </c>
      <c r="F747" s="29" t="s">
        <v>66</v>
      </c>
      <c r="G747" s="29" t="s">
        <v>119</v>
      </c>
      <c r="H747" s="30" t="s">
        <v>119</v>
      </c>
      <c r="I747" s="29" t="s">
        <v>257</v>
      </c>
      <c r="J747" s="29" t="s">
        <v>122</v>
      </c>
      <c r="K747" s="30" t="s">
        <v>70</v>
      </c>
      <c r="L747" s="29" t="str">
        <f t="shared" si="11"/>
        <v>KOBOKO-KAMPALA</v>
      </c>
      <c r="M747" s="31">
        <v>50</v>
      </c>
      <c r="N747" s="72">
        <v>40000</v>
      </c>
      <c r="O747" s="34">
        <v>8</v>
      </c>
    </row>
    <row r="748" spans="2:15" x14ac:dyDescent="0.2">
      <c r="B748" s="27">
        <v>0.25</v>
      </c>
      <c r="C748" s="28">
        <v>6</v>
      </c>
      <c r="D748" s="33" t="str">
        <f>IF(C748="", "",VLOOKUP(C748,Key!$A$5:$B$7,2,FALSE))</f>
        <v>Large Bus</v>
      </c>
      <c r="E748" s="29" t="s">
        <v>117</v>
      </c>
      <c r="F748" s="29" t="s">
        <v>66</v>
      </c>
      <c r="G748" s="29" t="s">
        <v>118</v>
      </c>
      <c r="H748" s="30" t="s">
        <v>118</v>
      </c>
      <c r="I748" s="29" t="s">
        <v>257</v>
      </c>
      <c r="J748" s="29" t="s">
        <v>122</v>
      </c>
      <c r="K748" s="30" t="s">
        <v>70</v>
      </c>
      <c r="L748" s="29" t="str">
        <f t="shared" si="11"/>
        <v>ARUA-KAMPALA</v>
      </c>
      <c r="M748" s="31">
        <v>45</v>
      </c>
      <c r="N748" s="72">
        <v>40000</v>
      </c>
      <c r="O748" s="34">
        <v>8.4</v>
      </c>
    </row>
    <row r="749" spans="2:15" x14ac:dyDescent="0.2">
      <c r="B749" s="27">
        <v>0.14583333333333334</v>
      </c>
      <c r="C749" s="28">
        <v>6</v>
      </c>
      <c r="D749" s="33" t="str">
        <f>IF(C749="", "",VLOOKUP(C749,Key!$A$5:$B$7,2,FALSE))</f>
        <v>Large Bus</v>
      </c>
      <c r="E749" s="29" t="s">
        <v>117</v>
      </c>
      <c r="F749" s="29" t="s">
        <v>66</v>
      </c>
      <c r="G749" s="29" t="s">
        <v>119</v>
      </c>
      <c r="H749" s="30" t="s">
        <v>119</v>
      </c>
      <c r="I749" s="29" t="s">
        <v>257</v>
      </c>
      <c r="J749" s="29" t="s">
        <v>122</v>
      </c>
      <c r="K749" s="30" t="s">
        <v>70</v>
      </c>
      <c r="L749" s="29" t="str">
        <f t="shared" si="11"/>
        <v>KOBOKO-KAMPALA</v>
      </c>
      <c r="M749" s="31">
        <v>63</v>
      </c>
      <c r="N749" s="72">
        <v>40000</v>
      </c>
      <c r="O749" s="34">
        <v>8</v>
      </c>
    </row>
    <row r="750" spans="2:15" x14ac:dyDescent="0.2">
      <c r="B750" s="27">
        <v>0.21527777777777779</v>
      </c>
      <c r="C750" s="28">
        <v>6</v>
      </c>
      <c r="D750" s="33" t="str">
        <f>IF(C750="", "",VLOOKUP(C750,Key!$A$5:$B$7,2,FALSE))</f>
        <v>Large Bus</v>
      </c>
      <c r="E750" s="29" t="s">
        <v>117</v>
      </c>
      <c r="F750" s="29" t="s">
        <v>66</v>
      </c>
      <c r="G750" s="29" t="s">
        <v>118</v>
      </c>
      <c r="H750" s="30" t="s">
        <v>118</v>
      </c>
      <c r="I750" s="29" t="s">
        <v>257</v>
      </c>
      <c r="J750" s="29" t="s">
        <v>122</v>
      </c>
      <c r="K750" s="30" t="s">
        <v>70</v>
      </c>
      <c r="L750" s="29" t="str">
        <f t="shared" si="11"/>
        <v>ARUA-KAMPALA</v>
      </c>
      <c r="M750" s="31">
        <v>52</v>
      </c>
      <c r="N750" s="72">
        <v>40000</v>
      </c>
      <c r="O750" s="34">
        <v>8.4</v>
      </c>
    </row>
    <row r="751" spans="2:15" x14ac:dyDescent="0.2">
      <c r="B751" s="45" t="s">
        <v>219</v>
      </c>
      <c r="C751" s="47"/>
      <c r="D751" s="33" t="str">
        <f>IF(C751="", "",VLOOKUP(C751,Key!$A$5:$B$7,2,FALSE))</f>
        <v/>
      </c>
      <c r="E751" s="44" t="s">
        <v>117</v>
      </c>
      <c r="F751" s="48"/>
      <c r="G751" s="47"/>
      <c r="H751" s="47"/>
      <c r="I751" s="47" t="s">
        <v>257</v>
      </c>
      <c r="J751" s="47"/>
      <c r="K751" s="47"/>
      <c r="L751" s="47" t="str">
        <f t="shared" si="11"/>
        <v>-</v>
      </c>
      <c r="M751" s="47"/>
      <c r="N751" s="48"/>
      <c r="O751" s="48"/>
    </row>
    <row r="752" spans="2:15" x14ac:dyDescent="0.2">
      <c r="B752" s="27">
        <v>0.29166666666666669</v>
      </c>
      <c r="C752" s="28">
        <v>6</v>
      </c>
      <c r="D752" s="33" t="str">
        <f>IF(C752="", "",VLOOKUP(C752,Key!$A$5:$B$7,2,FALSE))</f>
        <v>Large Bus</v>
      </c>
      <c r="E752" s="29" t="s">
        <v>117</v>
      </c>
      <c r="F752" s="29" t="s">
        <v>66</v>
      </c>
      <c r="G752" s="29" t="s">
        <v>118</v>
      </c>
      <c r="H752" s="30" t="s">
        <v>118</v>
      </c>
      <c r="I752" s="29" t="s">
        <v>257</v>
      </c>
      <c r="J752" s="29" t="s">
        <v>70</v>
      </c>
      <c r="K752" s="30" t="s">
        <v>70</v>
      </c>
      <c r="L752" s="29" t="str">
        <f t="shared" si="11"/>
        <v>ARUA-KAMPALA</v>
      </c>
      <c r="M752" s="31">
        <v>40</v>
      </c>
      <c r="N752" s="72">
        <v>40000</v>
      </c>
      <c r="O752" s="34">
        <v>8.4</v>
      </c>
    </row>
    <row r="753" spans="2:15" x14ac:dyDescent="0.2">
      <c r="B753" s="27">
        <v>0.64583333333333337</v>
      </c>
      <c r="C753" s="28">
        <v>6</v>
      </c>
      <c r="D753" s="33" t="str">
        <f>IF(C753="", "",VLOOKUP(C753,Key!$A$5:$B$7,2,FALSE))</f>
        <v>Large Bus</v>
      </c>
      <c r="E753" s="29" t="s">
        <v>117</v>
      </c>
      <c r="F753" s="29" t="s">
        <v>66</v>
      </c>
      <c r="G753" s="29" t="s">
        <v>119</v>
      </c>
      <c r="H753" s="30" t="s">
        <v>119</v>
      </c>
      <c r="I753" s="29" t="s">
        <v>257</v>
      </c>
      <c r="J753" s="29" t="s">
        <v>118</v>
      </c>
      <c r="K753" s="30" t="s">
        <v>70</v>
      </c>
      <c r="L753" s="29" t="str">
        <f t="shared" si="11"/>
        <v>KOBOKO-KAMPALA</v>
      </c>
      <c r="M753" s="31">
        <v>51</v>
      </c>
      <c r="N753" s="72">
        <v>40000</v>
      </c>
      <c r="O753" s="34">
        <v>8</v>
      </c>
    </row>
    <row r="754" spans="2:15" x14ac:dyDescent="0.2">
      <c r="B754" s="27">
        <v>0.76111111111111107</v>
      </c>
      <c r="C754" s="28">
        <v>6</v>
      </c>
      <c r="D754" s="33" t="str">
        <f>IF(C754="", "",VLOOKUP(C754,Key!$A$5:$B$7,2,FALSE))</f>
        <v>Large Bus</v>
      </c>
      <c r="E754" s="29" t="s">
        <v>117</v>
      </c>
      <c r="F754" s="29" t="s">
        <v>66</v>
      </c>
      <c r="G754" s="29" t="s">
        <v>118</v>
      </c>
      <c r="H754" s="30" t="s">
        <v>118</v>
      </c>
      <c r="I754" s="29" t="s">
        <v>257</v>
      </c>
      <c r="J754" s="29" t="s">
        <v>118</v>
      </c>
      <c r="K754" s="30" t="s">
        <v>70</v>
      </c>
      <c r="L754" s="29" t="str">
        <f t="shared" si="11"/>
        <v>ARUA-KAMPALA</v>
      </c>
      <c r="M754" s="31">
        <v>65</v>
      </c>
      <c r="N754" s="72">
        <v>40000</v>
      </c>
      <c r="O754" s="34">
        <v>8.4</v>
      </c>
    </row>
    <row r="755" spans="2:15" x14ac:dyDescent="0.2">
      <c r="B755" s="27">
        <v>0.33333333333333331</v>
      </c>
      <c r="C755" s="28">
        <v>6</v>
      </c>
      <c r="D755" s="33" t="str">
        <f>IF(C755="", "",VLOOKUP(C755,Key!$A$5:$B$7,2,FALSE))</f>
        <v>Large Bus</v>
      </c>
      <c r="E755" s="29" t="s">
        <v>117</v>
      </c>
      <c r="F755" s="29" t="s">
        <v>67</v>
      </c>
      <c r="G755" s="29" t="s">
        <v>70</v>
      </c>
      <c r="H755" s="30" t="s">
        <v>70</v>
      </c>
      <c r="I755" s="29" t="s">
        <v>257</v>
      </c>
      <c r="J755" s="29" t="s">
        <v>118</v>
      </c>
      <c r="K755" s="30" t="s">
        <v>118</v>
      </c>
      <c r="L755" s="29" t="str">
        <f t="shared" si="11"/>
        <v>KAMPALA-ARUA</v>
      </c>
      <c r="M755" s="31">
        <v>31</v>
      </c>
      <c r="N755" s="72">
        <v>43000</v>
      </c>
      <c r="O755" s="34">
        <v>8.4</v>
      </c>
    </row>
    <row r="756" spans="2:15" x14ac:dyDescent="0.2">
      <c r="B756" s="27">
        <v>0.41666666666666669</v>
      </c>
      <c r="C756" s="28">
        <v>6</v>
      </c>
      <c r="D756" s="33" t="str">
        <f>IF(C756="", "",VLOOKUP(C756,Key!$A$5:$B$7,2,FALSE))</f>
        <v>Large Bus</v>
      </c>
      <c r="E756" s="29" t="s">
        <v>117</v>
      </c>
      <c r="F756" s="29" t="s">
        <v>67</v>
      </c>
      <c r="G756" s="29" t="s">
        <v>70</v>
      </c>
      <c r="H756" s="30" t="s">
        <v>70</v>
      </c>
      <c r="I756" s="29" t="s">
        <v>257</v>
      </c>
      <c r="J756" s="29" t="s">
        <v>119</v>
      </c>
      <c r="K756" s="30" t="s">
        <v>119</v>
      </c>
      <c r="L756" s="29" t="str">
        <f t="shared" si="11"/>
        <v>KAMPALA-KOBOKO</v>
      </c>
      <c r="M756" s="31">
        <v>40</v>
      </c>
      <c r="N756" s="72">
        <v>40000</v>
      </c>
      <c r="O756" s="34">
        <v>8</v>
      </c>
    </row>
    <row r="757" spans="2:15" x14ac:dyDescent="0.2">
      <c r="B757" s="27">
        <v>4.1666666666666664E-2</v>
      </c>
      <c r="C757" s="28">
        <v>6</v>
      </c>
      <c r="D757" s="33" t="str">
        <f>IF(C757="", "",VLOOKUP(C757,Key!$A$5:$B$7,2,FALSE))</f>
        <v>Large Bus</v>
      </c>
      <c r="E757" s="29" t="s">
        <v>117</v>
      </c>
      <c r="F757" s="29" t="s">
        <v>67</v>
      </c>
      <c r="G757" s="29" t="s">
        <v>70</v>
      </c>
      <c r="H757" s="30" t="s">
        <v>70</v>
      </c>
      <c r="I757" s="29" t="s">
        <v>257</v>
      </c>
      <c r="J757" s="29" t="s">
        <v>118</v>
      </c>
      <c r="K757" s="30" t="s">
        <v>118</v>
      </c>
      <c r="L757" s="29" t="str">
        <f t="shared" si="11"/>
        <v>KAMPALA-ARUA</v>
      </c>
      <c r="M757" s="31">
        <v>52</v>
      </c>
      <c r="N757" s="72">
        <v>43000</v>
      </c>
      <c r="O757" s="34">
        <v>8.4</v>
      </c>
    </row>
    <row r="758" spans="2:15" x14ac:dyDescent="0.2">
      <c r="B758" s="27">
        <v>0.14583333333333334</v>
      </c>
      <c r="C758" s="28">
        <v>6</v>
      </c>
      <c r="D758" s="33" t="str">
        <f>IF(C758="", "",VLOOKUP(C758,Key!$A$5:$B$7,2,FALSE))</f>
        <v>Large Bus</v>
      </c>
      <c r="E758" s="29" t="s">
        <v>117</v>
      </c>
      <c r="F758" s="29" t="s">
        <v>66</v>
      </c>
      <c r="G758" s="29" t="s">
        <v>120</v>
      </c>
      <c r="H758" s="30" t="s">
        <v>121</v>
      </c>
      <c r="I758" s="29" t="s">
        <v>257</v>
      </c>
      <c r="J758" s="29" t="s">
        <v>126</v>
      </c>
      <c r="K758" s="30" t="s">
        <v>70</v>
      </c>
      <c r="L758" s="29" t="str">
        <f t="shared" si="11"/>
        <v>ZOMBO-KAMPALA</v>
      </c>
      <c r="M758" s="31">
        <v>62</v>
      </c>
      <c r="N758" s="72">
        <v>28000</v>
      </c>
      <c r="O758" s="34">
        <v>7</v>
      </c>
    </row>
    <row r="759" spans="2:15" x14ac:dyDescent="0.2">
      <c r="B759" s="27">
        <v>0.15625</v>
      </c>
      <c r="C759" s="28">
        <v>6</v>
      </c>
      <c r="D759" s="33" t="str">
        <f>IF(C759="", "",VLOOKUP(C759,Key!$A$5:$B$7,2,FALSE))</f>
        <v>Large Bus</v>
      </c>
      <c r="E759" s="29" t="s">
        <v>117</v>
      </c>
      <c r="F759" s="29" t="s">
        <v>66</v>
      </c>
      <c r="G759" s="29" t="s">
        <v>120</v>
      </c>
      <c r="H759" s="30" t="s">
        <v>121</v>
      </c>
      <c r="I759" s="29" t="s">
        <v>257</v>
      </c>
      <c r="J759" s="29" t="s">
        <v>126</v>
      </c>
      <c r="K759" s="30" t="s">
        <v>70</v>
      </c>
      <c r="L759" s="29" t="str">
        <f t="shared" si="11"/>
        <v>ZOMBO-KAMPALA</v>
      </c>
      <c r="M759" s="31">
        <v>44</v>
      </c>
      <c r="N759" s="72">
        <v>28000</v>
      </c>
      <c r="O759" s="34">
        <v>7</v>
      </c>
    </row>
    <row r="760" spans="2:15" x14ac:dyDescent="0.2">
      <c r="B760" s="27">
        <v>0.20833333333333334</v>
      </c>
      <c r="C760" s="28">
        <v>6</v>
      </c>
      <c r="D760" s="33" t="str">
        <f>IF(C760="", "",VLOOKUP(C760,Key!$A$5:$B$7,2,FALSE))</f>
        <v>Large Bus</v>
      </c>
      <c r="E760" s="29" t="s">
        <v>117</v>
      </c>
      <c r="F760" s="29" t="s">
        <v>66</v>
      </c>
      <c r="G760" s="29" t="s">
        <v>118</v>
      </c>
      <c r="H760" s="30" t="s">
        <v>118</v>
      </c>
      <c r="I760" s="29" t="s">
        <v>257</v>
      </c>
      <c r="J760" s="29" t="s">
        <v>126</v>
      </c>
      <c r="K760" s="30" t="s">
        <v>70</v>
      </c>
      <c r="L760" s="29" t="str">
        <f t="shared" si="11"/>
        <v>ARUA-KAMPALA</v>
      </c>
      <c r="M760" s="31">
        <v>62</v>
      </c>
      <c r="N760" s="72">
        <v>40000</v>
      </c>
      <c r="O760" s="34">
        <v>8.4</v>
      </c>
    </row>
    <row r="761" spans="2:15" x14ac:dyDescent="0.2">
      <c r="B761" s="27">
        <v>0.22916666666666666</v>
      </c>
      <c r="C761" s="28">
        <v>6</v>
      </c>
      <c r="D761" s="33" t="str">
        <f>IF(C761="", "",VLOOKUP(C761,Key!$A$5:$B$7,2,FALSE))</f>
        <v>Large Bus</v>
      </c>
      <c r="E761" s="29" t="s">
        <v>117</v>
      </c>
      <c r="F761" s="29" t="s">
        <v>66</v>
      </c>
      <c r="G761" s="29" t="s">
        <v>119</v>
      </c>
      <c r="H761" s="30" t="s">
        <v>119</v>
      </c>
      <c r="I761" s="29" t="s">
        <v>257</v>
      </c>
      <c r="J761" s="29" t="s">
        <v>126</v>
      </c>
      <c r="K761" s="30" t="s">
        <v>70</v>
      </c>
      <c r="L761" s="29" t="str">
        <f t="shared" si="11"/>
        <v>KOBOKO-KAMPALA</v>
      </c>
      <c r="M761" s="31">
        <v>52</v>
      </c>
      <c r="N761" s="72">
        <v>40000</v>
      </c>
      <c r="O761" s="34">
        <v>8</v>
      </c>
    </row>
    <row r="762" spans="2:15" x14ac:dyDescent="0.2">
      <c r="B762" s="27">
        <v>0.29166666666666669</v>
      </c>
      <c r="C762" s="28">
        <v>6</v>
      </c>
      <c r="D762" s="33" t="str">
        <f>IF(C762="", "",VLOOKUP(C762,Key!$A$5:$B$7,2,FALSE))</f>
        <v>Large Bus</v>
      </c>
      <c r="E762" s="29" t="s">
        <v>117</v>
      </c>
      <c r="F762" s="29" t="s">
        <v>66</v>
      </c>
      <c r="G762" s="29" t="s">
        <v>118</v>
      </c>
      <c r="H762" s="30" t="s">
        <v>118</v>
      </c>
      <c r="I762" s="29" t="s">
        <v>257</v>
      </c>
      <c r="J762" s="29" t="s">
        <v>126</v>
      </c>
      <c r="K762" s="30" t="s">
        <v>70</v>
      </c>
      <c r="L762" s="29" t="str">
        <f t="shared" si="11"/>
        <v>ARUA-KAMPALA</v>
      </c>
      <c r="M762" s="31">
        <v>44</v>
      </c>
      <c r="N762" s="72">
        <v>40000</v>
      </c>
      <c r="O762" s="34">
        <v>8.4</v>
      </c>
    </row>
    <row r="763" spans="2:15" x14ac:dyDescent="0.2">
      <c r="B763" s="27">
        <v>0.375</v>
      </c>
      <c r="C763" s="28">
        <v>6</v>
      </c>
      <c r="D763" s="33" t="str">
        <f>IF(C763="", "",VLOOKUP(C763,Key!$A$5:$B$7,2,FALSE))</f>
        <v>Large Bus</v>
      </c>
      <c r="E763" s="29" t="s">
        <v>117</v>
      </c>
      <c r="F763" s="29" t="s">
        <v>67</v>
      </c>
      <c r="G763" s="29" t="s">
        <v>70</v>
      </c>
      <c r="H763" s="30" t="s">
        <v>70</v>
      </c>
      <c r="I763" s="29" t="s">
        <v>257</v>
      </c>
      <c r="J763" s="29" t="s">
        <v>119</v>
      </c>
      <c r="K763" s="30" t="s">
        <v>119</v>
      </c>
      <c r="L763" s="29" t="str">
        <f t="shared" si="11"/>
        <v>KAMPALA-KOBOKO</v>
      </c>
      <c r="M763" s="31">
        <v>60</v>
      </c>
      <c r="N763" s="72">
        <v>40000</v>
      </c>
      <c r="O763" s="34">
        <v>8</v>
      </c>
    </row>
    <row r="764" spans="2:15" x14ac:dyDescent="0.2">
      <c r="B764" s="27">
        <v>0.375</v>
      </c>
      <c r="C764" s="28">
        <v>6</v>
      </c>
      <c r="D764" s="33" t="str">
        <f>IF(C764="", "",VLOOKUP(C764,Key!$A$5:$B$7,2,FALSE))</f>
        <v>Large Bus</v>
      </c>
      <c r="E764" s="29" t="s">
        <v>117</v>
      </c>
      <c r="F764" s="29" t="s">
        <v>67</v>
      </c>
      <c r="G764" s="29" t="s">
        <v>70</v>
      </c>
      <c r="H764" s="30" t="s">
        <v>70</v>
      </c>
      <c r="I764" s="29" t="s">
        <v>257</v>
      </c>
      <c r="J764" s="29" t="s">
        <v>120</v>
      </c>
      <c r="K764" s="30" t="s">
        <v>121</v>
      </c>
      <c r="L764" s="29" t="str">
        <f t="shared" si="11"/>
        <v>KAMPALA-ZOMBO</v>
      </c>
      <c r="M764" s="31">
        <v>44</v>
      </c>
      <c r="N764" s="72">
        <v>30000</v>
      </c>
      <c r="O764" s="34">
        <v>7</v>
      </c>
    </row>
    <row r="765" spans="2:15" x14ac:dyDescent="0.2">
      <c r="B765" s="27">
        <v>0.375</v>
      </c>
      <c r="C765" s="28">
        <v>6</v>
      </c>
      <c r="D765" s="33" t="str">
        <f>IF(C765="", "",VLOOKUP(C765,Key!$A$5:$B$7,2,FALSE))</f>
        <v>Large Bus</v>
      </c>
      <c r="E765" s="29" t="s">
        <v>117</v>
      </c>
      <c r="F765" s="29" t="s">
        <v>67</v>
      </c>
      <c r="G765" s="29" t="s">
        <v>70</v>
      </c>
      <c r="H765" s="30" t="s">
        <v>70</v>
      </c>
      <c r="I765" s="29" t="s">
        <v>257</v>
      </c>
      <c r="J765" s="29" t="s">
        <v>118</v>
      </c>
      <c r="K765" s="30" t="s">
        <v>118</v>
      </c>
      <c r="L765" s="29" t="str">
        <f t="shared" si="11"/>
        <v>KAMPALA-ARUA</v>
      </c>
      <c r="M765" s="31">
        <v>65</v>
      </c>
      <c r="N765" s="72">
        <v>43000</v>
      </c>
      <c r="O765" s="34">
        <v>8.4</v>
      </c>
    </row>
    <row r="766" spans="2:15" x14ac:dyDescent="0.2">
      <c r="B766" s="27">
        <v>0.29166666666666669</v>
      </c>
      <c r="C766" s="28">
        <v>6</v>
      </c>
      <c r="D766" s="33" t="str">
        <f>IF(C766="", "",VLOOKUP(C766,Key!$A$5:$B$7,2,FALSE))</f>
        <v>Large Bus</v>
      </c>
      <c r="E766" s="29" t="s">
        <v>117</v>
      </c>
      <c r="F766" s="29" t="s">
        <v>66</v>
      </c>
      <c r="G766" s="29" t="s">
        <v>118</v>
      </c>
      <c r="H766" s="30" t="s">
        <v>118</v>
      </c>
      <c r="I766" s="29" t="s">
        <v>257</v>
      </c>
      <c r="J766" s="29" t="s">
        <v>122</v>
      </c>
      <c r="K766" s="30" t="s">
        <v>70</v>
      </c>
      <c r="L766" s="29" t="str">
        <f t="shared" si="11"/>
        <v>ARUA-KAMPALA</v>
      </c>
      <c r="M766" s="31">
        <v>44</v>
      </c>
      <c r="N766" s="72">
        <v>40000</v>
      </c>
      <c r="O766" s="34">
        <v>8.4</v>
      </c>
    </row>
    <row r="767" spans="2:15" x14ac:dyDescent="0.2">
      <c r="B767" s="27">
        <v>0.14583333333333334</v>
      </c>
      <c r="C767" s="28">
        <v>6</v>
      </c>
      <c r="D767" s="33" t="str">
        <f>IF(C767="", "",VLOOKUP(C767,Key!$A$5:$B$7,2,FALSE))</f>
        <v>Large Bus</v>
      </c>
      <c r="E767" s="29" t="s">
        <v>117</v>
      </c>
      <c r="F767" s="29" t="s">
        <v>66</v>
      </c>
      <c r="G767" s="29" t="s">
        <v>119</v>
      </c>
      <c r="H767" s="30" t="s">
        <v>119</v>
      </c>
      <c r="I767" s="29" t="s">
        <v>257</v>
      </c>
      <c r="J767" s="29" t="s">
        <v>122</v>
      </c>
      <c r="K767" s="30" t="s">
        <v>70</v>
      </c>
      <c r="L767" s="29" t="str">
        <f t="shared" si="11"/>
        <v>KOBOKO-KAMPALA</v>
      </c>
      <c r="M767" s="31">
        <v>53</v>
      </c>
      <c r="N767" s="72">
        <v>40000</v>
      </c>
      <c r="O767" s="34">
        <v>8</v>
      </c>
    </row>
    <row r="768" spans="2:15" x14ac:dyDescent="0.2">
      <c r="B768" s="45" t="s">
        <v>220</v>
      </c>
      <c r="C768" s="47"/>
      <c r="D768" s="33" t="str">
        <f>IF(C768="", "",VLOOKUP(C768,Key!$A$5:$B$7,2,FALSE))</f>
        <v/>
      </c>
      <c r="E768" s="44" t="s">
        <v>117</v>
      </c>
      <c r="F768" s="48"/>
      <c r="G768" s="47"/>
      <c r="H768" s="47"/>
      <c r="I768" s="47" t="s">
        <v>257</v>
      </c>
      <c r="J768" s="47"/>
      <c r="K768" s="47"/>
      <c r="L768" s="47" t="str">
        <f t="shared" si="11"/>
        <v>-</v>
      </c>
      <c r="M768" s="47"/>
      <c r="N768" s="48"/>
      <c r="O768" s="48"/>
    </row>
    <row r="769" spans="2:15" x14ac:dyDescent="0.2">
      <c r="B769" s="27">
        <v>0.22916666666666666</v>
      </c>
      <c r="C769" s="28">
        <v>6</v>
      </c>
      <c r="D769" s="33" t="str">
        <f>IF(C769="", "",VLOOKUP(C769,Key!$A$5:$B$7,2,FALSE))</f>
        <v>Large Bus</v>
      </c>
      <c r="E769" s="29" t="s">
        <v>117</v>
      </c>
      <c r="F769" s="29" t="s">
        <v>66</v>
      </c>
      <c r="G769" s="29" t="s">
        <v>120</v>
      </c>
      <c r="H769" s="30" t="s">
        <v>121</v>
      </c>
      <c r="I769" s="29" t="s">
        <v>257</v>
      </c>
      <c r="J769" s="29" t="s">
        <v>118</v>
      </c>
      <c r="K769" s="30" t="s">
        <v>70</v>
      </c>
      <c r="L769" s="29" t="str">
        <f t="shared" si="11"/>
        <v>ZOMBO-KAMPALA</v>
      </c>
      <c r="M769" s="31">
        <v>45</v>
      </c>
      <c r="N769" s="72">
        <v>26000</v>
      </c>
      <c r="O769" s="34">
        <v>7</v>
      </c>
    </row>
    <row r="770" spans="2:15" x14ac:dyDescent="0.2">
      <c r="B770" s="27">
        <v>0.24444444444444446</v>
      </c>
      <c r="C770" s="28">
        <v>6</v>
      </c>
      <c r="D770" s="33" t="str">
        <f>IF(C770="", "",VLOOKUP(C770,Key!$A$5:$B$7,2,FALSE))</f>
        <v>Large Bus</v>
      </c>
      <c r="E770" s="29" t="s">
        <v>117</v>
      </c>
      <c r="F770" s="29" t="s">
        <v>66</v>
      </c>
      <c r="G770" s="29" t="s">
        <v>119</v>
      </c>
      <c r="H770" s="30" t="s">
        <v>119</v>
      </c>
      <c r="I770" s="29" t="s">
        <v>257</v>
      </c>
      <c r="J770" s="29" t="s">
        <v>118</v>
      </c>
      <c r="K770" s="30" t="s">
        <v>70</v>
      </c>
      <c r="L770" s="29" t="str">
        <f t="shared" si="11"/>
        <v>KOBOKO-KAMPALA</v>
      </c>
      <c r="M770" s="31">
        <v>62</v>
      </c>
      <c r="N770" s="72">
        <v>40000</v>
      </c>
      <c r="O770" s="34">
        <v>8</v>
      </c>
    </row>
    <row r="771" spans="2:15" x14ac:dyDescent="0.2">
      <c r="B771" s="27">
        <v>0.27083333333333331</v>
      </c>
      <c r="C771" s="28">
        <v>6</v>
      </c>
      <c r="D771" s="33" t="str">
        <f>IF(C771="", "",VLOOKUP(C771,Key!$A$5:$B$7,2,FALSE))</f>
        <v>Large Bus</v>
      </c>
      <c r="E771" s="29" t="s">
        <v>117</v>
      </c>
      <c r="F771" s="29" t="s">
        <v>66</v>
      </c>
      <c r="G771" s="29" t="s">
        <v>118</v>
      </c>
      <c r="H771" s="30" t="s">
        <v>118</v>
      </c>
      <c r="I771" s="29" t="s">
        <v>257</v>
      </c>
      <c r="J771" s="29" t="s">
        <v>118</v>
      </c>
      <c r="K771" s="30" t="s">
        <v>70</v>
      </c>
      <c r="L771" s="29" t="str">
        <f t="shared" si="11"/>
        <v>ARUA-KAMPALA</v>
      </c>
      <c r="M771" s="31">
        <v>42</v>
      </c>
      <c r="N771" s="72">
        <v>40000</v>
      </c>
      <c r="O771" s="34">
        <v>8.4</v>
      </c>
    </row>
    <row r="772" spans="2:15" x14ac:dyDescent="0.2">
      <c r="B772" s="27">
        <v>0.375</v>
      </c>
      <c r="C772" s="28">
        <v>6</v>
      </c>
      <c r="D772" s="33" t="str">
        <f>IF(C772="", "",VLOOKUP(C772,Key!$A$5:$B$7,2,FALSE))</f>
        <v>Large Bus</v>
      </c>
      <c r="E772" s="29" t="s">
        <v>117</v>
      </c>
      <c r="F772" s="29" t="s">
        <v>67</v>
      </c>
      <c r="G772" s="29" t="s">
        <v>118</v>
      </c>
      <c r="H772" s="30" t="s">
        <v>70</v>
      </c>
      <c r="I772" s="29" t="s">
        <v>257</v>
      </c>
      <c r="J772" s="29" t="s">
        <v>119</v>
      </c>
      <c r="K772" s="30" t="s">
        <v>119</v>
      </c>
      <c r="L772" s="29" t="str">
        <f t="shared" si="11"/>
        <v>KAMPALA-KOBOKO</v>
      </c>
      <c r="M772" s="31">
        <v>53</v>
      </c>
      <c r="N772" s="72">
        <v>40000</v>
      </c>
      <c r="O772" s="34">
        <v>8</v>
      </c>
    </row>
    <row r="773" spans="2:15" x14ac:dyDescent="0.2">
      <c r="B773" s="27">
        <v>0.375</v>
      </c>
      <c r="C773" s="28">
        <v>6</v>
      </c>
      <c r="D773" s="33" t="str">
        <f>IF(C773="", "",VLOOKUP(C773,Key!$A$5:$B$7,2,FALSE))</f>
        <v>Large Bus</v>
      </c>
      <c r="E773" s="29" t="s">
        <v>117</v>
      </c>
      <c r="F773" s="29" t="s">
        <v>67</v>
      </c>
      <c r="G773" s="29" t="s">
        <v>118</v>
      </c>
      <c r="H773" s="30" t="s">
        <v>70</v>
      </c>
      <c r="I773" s="29" t="s">
        <v>257</v>
      </c>
      <c r="J773" s="29" t="s">
        <v>120</v>
      </c>
      <c r="K773" s="30" t="s">
        <v>121</v>
      </c>
      <c r="L773" s="29" t="str">
        <f t="shared" si="11"/>
        <v>KAMPALA-ZOMBO</v>
      </c>
      <c r="M773" s="31">
        <v>41</v>
      </c>
      <c r="N773" s="72">
        <v>30000</v>
      </c>
      <c r="O773" s="34">
        <v>7</v>
      </c>
    </row>
    <row r="774" spans="2:15" x14ac:dyDescent="0.2">
      <c r="B774" s="27">
        <v>0.39583333333333331</v>
      </c>
      <c r="C774" s="28">
        <v>6</v>
      </c>
      <c r="D774" s="33" t="str">
        <f>IF(C774="", "",VLOOKUP(C774,Key!$A$5:$B$7,2,FALSE))</f>
        <v>Large Bus</v>
      </c>
      <c r="E774" s="29" t="s">
        <v>117</v>
      </c>
      <c r="F774" s="29" t="s">
        <v>67</v>
      </c>
      <c r="G774" s="29" t="s">
        <v>118</v>
      </c>
      <c r="H774" s="30" t="s">
        <v>70</v>
      </c>
      <c r="I774" s="29" t="s">
        <v>257</v>
      </c>
      <c r="J774" s="29" t="s">
        <v>118</v>
      </c>
      <c r="K774" s="30" t="s">
        <v>118</v>
      </c>
      <c r="L774" s="29" t="str">
        <f t="shared" si="11"/>
        <v>KAMPALA-ARUA</v>
      </c>
      <c r="M774" s="31">
        <v>55</v>
      </c>
      <c r="N774" s="72">
        <v>43000</v>
      </c>
      <c r="O774" s="34">
        <v>8.4</v>
      </c>
    </row>
    <row r="775" spans="2:15" x14ac:dyDescent="0.2">
      <c r="B775" s="27">
        <v>0.41666666666666669</v>
      </c>
      <c r="C775" s="28">
        <v>6</v>
      </c>
      <c r="D775" s="33" t="str">
        <f>IF(C775="", "",VLOOKUP(C775,Key!$A$5:$B$7,2,FALSE))</f>
        <v>Large Bus</v>
      </c>
      <c r="E775" s="29" t="s">
        <v>117</v>
      </c>
      <c r="F775" s="29" t="s">
        <v>67</v>
      </c>
      <c r="G775" s="29" t="s">
        <v>126</v>
      </c>
      <c r="H775" s="30" t="s">
        <v>70</v>
      </c>
      <c r="I775" s="29" t="s">
        <v>257</v>
      </c>
      <c r="J775" s="29" t="s">
        <v>70</v>
      </c>
      <c r="K775" s="30" t="s">
        <v>118</v>
      </c>
      <c r="L775" s="29" t="str">
        <f t="shared" si="11"/>
        <v>KAMPALA-ARUA</v>
      </c>
      <c r="M775" s="31">
        <v>38</v>
      </c>
      <c r="N775" s="72">
        <v>43000</v>
      </c>
      <c r="O775" s="34">
        <v>8.4</v>
      </c>
    </row>
    <row r="776" spans="2:15" x14ac:dyDescent="0.2">
      <c r="B776" s="27">
        <v>0.41666666666666669</v>
      </c>
      <c r="C776" s="28">
        <v>6</v>
      </c>
      <c r="D776" s="33" t="str">
        <f>IF(C776="", "",VLOOKUP(C776,Key!$A$5:$B$7,2,FALSE))</f>
        <v>Large Bus</v>
      </c>
      <c r="E776" s="29" t="s">
        <v>117</v>
      </c>
      <c r="F776" s="29" t="s">
        <v>67</v>
      </c>
      <c r="G776" s="29" t="s">
        <v>118</v>
      </c>
      <c r="H776" s="30" t="s">
        <v>70</v>
      </c>
      <c r="I776" s="29" t="s">
        <v>257</v>
      </c>
      <c r="J776" s="29" t="s">
        <v>120</v>
      </c>
      <c r="K776" s="30" t="s">
        <v>121</v>
      </c>
      <c r="L776" s="29" t="str">
        <f t="shared" si="11"/>
        <v>KAMPALA-ZOMBO</v>
      </c>
      <c r="M776" s="31">
        <v>39</v>
      </c>
      <c r="N776" s="72">
        <v>30000</v>
      </c>
      <c r="O776" s="34">
        <v>7</v>
      </c>
    </row>
    <row r="777" spans="2:15" x14ac:dyDescent="0.2">
      <c r="B777" s="27">
        <v>0.33611111111111108</v>
      </c>
      <c r="C777" s="28">
        <v>6</v>
      </c>
      <c r="D777" s="33" t="str">
        <f>IF(C777="", "",VLOOKUP(C777,Key!$A$5:$B$7,2,FALSE))</f>
        <v>Large Bus</v>
      </c>
      <c r="E777" s="29" t="s">
        <v>117</v>
      </c>
      <c r="F777" s="29" t="s">
        <v>67</v>
      </c>
      <c r="G777" s="29" t="s">
        <v>118</v>
      </c>
      <c r="H777" s="30" t="s">
        <v>70</v>
      </c>
      <c r="I777" s="29" t="s">
        <v>257</v>
      </c>
      <c r="J777" s="29" t="s">
        <v>118</v>
      </c>
      <c r="K777" s="30" t="s">
        <v>118</v>
      </c>
      <c r="L777" s="29" t="str">
        <f t="shared" si="11"/>
        <v>KAMPALA-ARUA</v>
      </c>
      <c r="M777" s="31">
        <v>36</v>
      </c>
      <c r="N777" s="72">
        <v>43000</v>
      </c>
      <c r="O777" s="34">
        <v>8.4</v>
      </c>
    </row>
    <row r="778" spans="2:15" x14ac:dyDescent="0.2">
      <c r="B778" s="27">
        <v>0.41666666666666669</v>
      </c>
      <c r="C778" s="28">
        <v>6</v>
      </c>
      <c r="D778" s="33" t="str">
        <f>IF(C778="", "",VLOOKUP(C778,Key!$A$5:$B$7,2,FALSE))</f>
        <v>Large Bus</v>
      </c>
      <c r="E778" s="29" t="s">
        <v>117</v>
      </c>
      <c r="F778" s="29" t="s">
        <v>67</v>
      </c>
      <c r="G778" s="29" t="s">
        <v>118</v>
      </c>
      <c r="H778" s="30" t="s">
        <v>70</v>
      </c>
      <c r="I778" s="29" t="s">
        <v>257</v>
      </c>
      <c r="J778" s="29" t="s">
        <v>119</v>
      </c>
      <c r="K778" s="30" t="s">
        <v>119</v>
      </c>
      <c r="L778" s="29" t="str">
        <f t="shared" ref="L778:L841" si="12">H778&amp;"-"&amp;K778</f>
        <v>KAMPALA-KOBOKO</v>
      </c>
      <c r="M778" s="31">
        <v>53</v>
      </c>
      <c r="N778" s="72">
        <v>40000</v>
      </c>
      <c r="O778" s="34">
        <v>8</v>
      </c>
    </row>
    <row r="779" spans="2:15" x14ac:dyDescent="0.2">
      <c r="B779" s="27">
        <v>4.1666666666666664E-2</v>
      </c>
      <c r="C779" s="28">
        <v>6</v>
      </c>
      <c r="D779" s="33" t="str">
        <f>IF(C779="", "",VLOOKUP(C779,Key!$A$5:$B$7,2,FALSE))</f>
        <v>Large Bus</v>
      </c>
      <c r="E779" s="29" t="s">
        <v>117</v>
      </c>
      <c r="F779" s="29" t="s">
        <v>67</v>
      </c>
      <c r="G779" s="29" t="s">
        <v>118</v>
      </c>
      <c r="H779" s="30" t="s">
        <v>70</v>
      </c>
      <c r="I779" s="29" t="s">
        <v>257</v>
      </c>
      <c r="J779" s="29" t="s">
        <v>127</v>
      </c>
      <c r="K779" s="30" t="s">
        <v>118</v>
      </c>
      <c r="L779" s="29" t="str">
        <f t="shared" si="12"/>
        <v>KAMPALA-ARUA</v>
      </c>
      <c r="M779" s="31">
        <v>50</v>
      </c>
      <c r="N779" s="72">
        <v>43000</v>
      </c>
      <c r="O779" s="34">
        <v>8.4</v>
      </c>
    </row>
    <row r="780" spans="2:15" x14ac:dyDescent="0.2">
      <c r="B780" s="45" t="s">
        <v>221</v>
      </c>
      <c r="C780" s="47"/>
      <c r="D780" s="33" t="str">
        <f>IF(C780="", "",VLOOKUP(C780,Key!$A$5:$B$7,2,FALSE))</f>
        <v/>
      </c>
      <c r="E780" s="44" t="s">
        <v>117</v>
      </c>
      <c r="F780" s="48"/>
      <c r="G780" s="47"/>
      <c r="H780" s="47"/>
      <c r="I780" s="47" t="s">
        <v>257</v>
      </c>
      <c r="J780" s="47"/>
      <c r="K780" s="47"/>
      <c r="L780" s="47" t="str">
        <f t="shared" si="12"/>
        <v>-</v>
      </c>
      <c r="M780" s="47"/>
      <c r="N780" s="48"/>
      <c r="O780" s="48"/>
    </row>
    <row r="781" spans="2:15" x14ac:dyDescent="0.2">
      <c r="B781" s="27">
        <v>0.29791666666666666</v>
      </c>
      <c r="C781" s="28">
        <v>6</v>
      </c>
      <c r="D781" s="33" t="str">
        <f>IF(C781="", "",VLOOKUP(C781,Key!$A$5:$B$7,2,FALSE))</f>
        <v>Large Bus</v>
      </c>
      <c r="E781" s="29" t="s">
        <v>117</v>
      </c>
      <c r="F781" s="29" t="s">
        <v>66</v>
      </c>
      <c r="G781" s="29" t="s">
        <v>123</v>
      </c>
      <c r="H781" s="30" t="s">
        <v>118</v>
      </c>
      <c r="I781" s="29" t="s">
        <v>257</v>
      </c>
      <c r="J781" s="29" t="s">
        <v>126</v>
      </c>
      <c r="K781" s="30" t="s">
        <v>70</v>
      </c>
      <c r="L781" s="29" t="str">
        <f t="shared" si="12"/>
        <v>ARUA-KAMPALA</v>
      </c>
      <c r="M781" s="31">
        <v>45</v>
      </c>
      <c r="N781" s="72">
        <v>40000</v>
      </c>
      <c r="O781" s="34">
        <v>8.4</v>
      </c>
    </row>
    <row r="782" spans="2:15" x14ac:dyDescent="0.2">
      <c r="B782" s="27">
        <v>9.0277777777777776E-2</v>
      </c>
      <c r="C782" s="28">
        <v>6</v>
      </c>
      <c r="D782" s="33" t="str">
        <f>IF(C782="", "",VLOOKUP(C782,Key!$A$5:$B$7,2,FALSE))</f>
        <v>Large Bus</v>
      </c>
      <c r="E782" s="29" t="s">
        <v>117</v>
      </c>
      <c r="F782" s="29" t="s">
        <v>66</v>
      </c>
      <c r="G782" s="29" t="s">
        <v>123</v>
      </c>
      <c r="H782" s="30" t="s">
        <v>118</v>
      </c>
      <c r="I782" s="29" t="s">
        <v>257</v>
      </c>
      <c r="J782" s="29" t="s">
        <v>126</v>
      </c>
      <c r="K782" s="30" t="s">
        <v>70</v>
      </c>
      <c r="L782" s="29" t="str">
        <f t="shared" si="12"/>
        <v>ARUA-KAMPALA</v>
      </c>
      <c r="M782" s="31">
        <v>52</v>
      </c>
      <c r="N782" s="72">
        <v>40000</v>
      </c>
      <c r="O782" s="34">
        <v>8.4</v>
      </c>
    </row>
    <row r="783" spans="2:15" x14ac:dyDescent="0.2">
      <c r="B783" s="27">
        <v>0.25</v>
      </c>
      <c r="C783" s="28">
        <v>6</v>
      </c>
      <c r="D783" s="33" t="str">
        <f>IF(C783="", "",VLOOKUP(C783,Key!$A$5:$B$7,2,FALSE))</f>
        <v>Large Bus</v>
      </c>
      <c r="E783" s="29" t="s">
        <v>117</v>
      </c>
      <c r="F783" s="29" t="s">
        <v>66</v>
      </c>
      <c r="G783" s="29" t="s">
        <v>123</v>
      </c>
      <c r="H783" s="30" t="s">
        <v>118</v>
      </c>
      <c r="I783" s="29" t="s">
        <v>257</v>
      </c>
      <c r="J783" s="29" t="s">
        <v>126</v>
      </c>
      <c r="K783" s="30" t="s">
        <v>70</v>
      </c>
      <c r="L783" s="29" t="str">
        <f t="shared" si="12"/>
        <v>ARUA-KAMPALA</v>
      </c>
      <c r="M783" s="31">
        <v>43</v>
      </c>
      <c r="N783" s="72">
        <v>40000</v>
      </c>
      <c r="O783" s="34">
        <v>8.4</v>
      </c>
    </row>
    <row r="784" spans="2:15" x14ac:dyDescent="0.2">
      <c r="B784" s="27">
        <v>0.27083333333333331</v>
      </c>
      <c r="C784" s="28">
        <v>6</v>
      </c>
      <c r="D784" s="33" t="str">
        <f>IF(C784="", "",VLOOKUP(C784,Key!$A$5:$B$7,2,FALSE))</f>
        <v>Large Bus</v>
      </c>
      <c r="E784" s="29" t="s">
        <v>117</v>
      </c>
      <c r="F784" s="29" t="s">
        <v>66</v>
      </c>
      <c r="G784" s="29" t="s">
        <v>123</v>
      </c>
      <c r="H784" s="30" t="s">
        <v>121</v>
      </c>
      <c r="I784" s="29" t="s">
        <v>257</v>
      </c>
      <c r="J784" s="29" t="s">
        <v>126</v>
      </c>
      <c r="K784" s="30" t="s">
        <v>70</v>
      </c>
      <c r="L784" s="29" t="str">
        <f t="shared" si="12"/>
        <v>ZOMBO-KAMPALA</v>
      </c>
      <c r="M784" s="31">
        <v>19</v>
      </c>
      <c r="N784" s="72">
        <v>28000</v>
      </c>
      <c r="O784" s="34">
        <v>7</v>
      </c>
    </row>
    <row r="785" spans="2:15" x14ac:dyDescent="0.2">
      <c r="B785" s="27">
        <v>0.28402777777777777</v>
      </c>
      <c r="C785" s="28">
        <v>6</v>
      </c>
      <c r="D785" s="33" t="str">
        <f>IF(C785="", "",VLOOKUP(C785,Key!$A$5:$B$7,2,FALSE))</f>
        <v>Large Bus</v>
      </c>
      <c r="E785" s="29" t="s">
        <v>117</v>
      </c>
      <c r="F785" s="29" t="s">
        <v>66</v>
      </c>
      <c r="G785" s="29" t="s">
        <v>124</v>
      </c>
      <c r="H785" s="30" t="s">
        <v>119</v>
      </c>
      <c r="I785" s="29" t="s">
        <v>257</v>
      </c>
      <c r="J785" s="29" t="s">
        <v>126</v>
      </c>
      <c r="K785" s="30" t="s">
        <v>70</v>
      </c>
      <c r="L785" s="29" t="str">
        <f t="shared" si="12"/>
        <v>KOBOKO-KAMPALA</v>
      </c>
      <c r="M785" s="31">
        <v>53</v>
      </c>
      <c r="N785" s="72">
        <v>40000</v>
      </c>
      <c r="O785" s="34">
        <v>8</v>
      </c>
    </row>
    <row r="786" spans="2:15" x14ac:dyDescent="0.2">
      <c r="B786" s="27">
        <v>0.29722222222222222</v>
      </c>
      <c r="C786" s="28">
        <v>6</v>
      </c>
      <c r="D786" s="33" t="str">
        <f>IF(C786="", "",VLOOKUP(C786,Key!$A$5:$B$7,2,FALSE))</f>
        <v>Large Bus</v>
      </c>
      <c r="E786" s="29" t="s">
        <v>117</v>
      </c>
      <c r="F786" s="29" t="s">
        <v>66</v>
      </c>
      <c r="G786" s="29" t="s">
        <v>125</v>
      </c>
      <c r="H786" s="30" t="s">
        <v>118</v>
      </c>
      <c r="I786" s="29" t="s">
        <v>257</v>
      </c>
      <c r="J786" s="29" t="s">
        <v>126</v>
      </c>
      <c r="K786" s="30" t="s">
        <v>70</v>
      </c>
      <c r="L786" s="29" t="str">
        <f t="shared" si="12"/>
        <v>ARUA-KAMPALA</v>
      </c>
      <c r="M786" s="31">
        <v>36</v>
      </c>
      <c r="N786" s="72">
        <v>40000</v>
      </c>
      <c r="O786" s="34">
        <v>8.4</v>
      </c>
    </row>
    <row r="787" spans="2:15" x14ac:dyDescent="0.2">
      <c r="B787" s="27">
        <v>0.15763888888888888</v>
      </c>
      <c r="C787" s="28">
        <v>6</v>
      </c>
      <c r="D787" s="33" t="str">
        <f>IF(C787="", "",VLOOKUP(C787,Key!$A$5:$B$7,2,FALSE))</f>
        <v>Large Bus</v>
      </c>
      <c r="E787" s="29" t="s">
        <v>117</v>
      </c>
      <c r="F787" s="29" t="s">
        <v>66</v>
      </c>
      <c r="G787" s="29" t="s">
        <v>123</v>
      </c>
      <c r="H787" s="30" t="s">
        <v>119</v>
      </c>
      <c r="I787" s="29" t="s">
        <v>257</v>
      </c>
      <c r="J787" s="29" t="s">
        <v>126</v>
      </c>
      <c r="K787" s="30" t="s">
        <v>70</v>
      </c>
      <c r="L787" s="29" t="str">
        <f t="shared" si="12"/>
        <v>KOBOKO-KAMPALA</v>
      </c>
      <c r="M787" s="31">
        <v>52</v>
      </c>
      <c r="N787" s="72">
        <v>40000</v>
      </c>
      <c r="O787" s="34">
        <v>8</v>
      </c>
    </row>
    <row r="788" spans="2:15" x14ac:dyDescent="0.2">
      <c r="B788" s="27">
        <v>0.375</v>
      </c>
      <c r="C788" s="28">
        <v>6</v>
      </c>
      <c r="D788" s="33" t="str">
        <f>IF(C788="", "",VLOOKUP(C788,Key!$A$5:$B$7,2,FALSE))</f>
        <v>Large Bus</v>
      </c>
      <c r="E788" s="29" t="s">
        <v>117</v>
      </c>
      <c r="F788" s="29" t="s">
        <v>67</v>
      </c>
      <c r="G788" s="29" t="s">
        <v>118</v>
      </c>
      <c r="H788" s="30" t="s">
        <v>70</v>
      </c>
      <c r="I788" s="29" t="s">
        <v>257</v>
      </c>
      <c r="J788" s="29" t="s">
        <v>119</v>
      </c>
      <c r="K788" s="30" t="s">
        <v>119</v>
      </c>
      <c r="L788" s="29" t="str">
        <f t="shared" si="12"/>
        <v>KAMPALA-KOBOKO</v>
      </c>
      <c r="M788" s="31">
        <v>66</v>
      </c>
      <c r="N788" s="72">
        <v>40000</v>
      </c>
      <c r="O788" s="34">
        <v>8</v>
      </c>
    </row>
    <row r="789" spans="2:15" x14ac:dyDescent="0.2">
      <c r="B789" s="27">
        <v>0.375</v>
      </c>
      <c r="C789" s="28">
        <v>6</v>
      </c>
      <c r="D789" s="33" t="str">
        <f>IF(C789="", "",VLOOKUP(C789,Key!$A$5:$B$7,2,FALSE))</f>
        <v>Large Bus</v>
      </c>
      <c r="E789" s="29" t="s">
        <v>117</v>
      </c>
      <c r="F789" s="29" t="s">
        <v>67</v>
      </c>
      <c r="G789" s="29" t="s">
        <v>118</v>
      </c>
      <c r="H789" s="30" t="s">
        <v>70</v>
      </c>
      <c r="I789" s="29" t="s">
        <v>257</v>
      </c>
      <c r="J789" s="29" t="s">
        <v>120</v>
      </c>
      <c r="K789" s="30" t="s">
        <v>121</v>
      </c>
      <c r="L789" s="29" t="str">
        <f t="shared" si="12"/>
        <v>KAMPALA-ZOMBO</v>
      </c>
      <c r="M789" s="31">
        <v>66</v>
      </c>
      <c r="N789" s="72">
        <v>30000</v>
      </c>
      <c r="O789" s="34">
        <v>7</v>
      </c>
    </row>
    <row r="790" spans="2:15" x14ac:dyDescent="0.2">
      <c r="B790" s="27">
        <v>0.39583333333333331</v>
      </c>
      <c r="C790" s="28">
        <v>6</v>
      </c>
      <c r="D790" s="33" t="str">
        <f>IF(C790="", "",VLOOKUP(C790,Key!$A$5:$B$7,2,FALSE))</f>
        <v>Large Bus</v>
      </c>
      <c r="E790" s="29" t="s">
        <v>117</v>
      </c>
      <c r="F790" s="29" t="s">
        <v>67</v>
      </c>
      <c r="G790" s="29" t="s">
        <v>126</v>
      </c>
      <c r="H790" s="30" t="s">
        <v>70</v>
      </c>
      <c r="I790" s="29" t="s">
        <v>257</v>
      </c>
      <c r="J790" s="29" t="s">
        <v>118</v>
      </c>
      <c r="K790" s="30" t="s">
        <v>118</v>
      </c>
      <c r="L790" s="29" t="str">
        <f t="shared" si="12"/>
        <v>KAMPALA-ARUA</v>
      </c>
      <c r="M790" s="31">
        <v>66</v>
      </c>
      <c r="N790" s="72">
        <v>43000</v>
      </c>
      <c r="O790" s="34">
        <v>8.4</v>
      </c>
    </row>
    <row r="791" spans="2:15" x14ac:dyDescent="0.2">
      <c r="B791" s="27">
        <v>0.41666666666666669</v>
      </c>
      <c r="C791" s="28">
        <v>6</v>
      </c>
      <c r="D791" s="33" t="str">
        <f>IF(C791="", "",VLOOKUP(C791,Key!$A$5:$B$7,2,FALSE))</f>
        <v>Large Bus</v>
      </c>
      <c r="E791" s="29" t="s">
        <v>117</v>
      </c>
      <c r="F791" s="29" t="s">
        <v>67</v>
      </c>
      <c r="G791" s="29" t="s">
        <v>126</v>
      </c>
      <c r="H791" s="30" t="s">
        <v>70</v>
      </c>
      <c r="I791" s="29" t="s">
        <v>257</v>
      </c>
      <c r="J791" s="29" t="s">
        <v>118</v>
      </c>
      <c r="K791" s="30" t="s">
        <v>118</v>
      </c>
      <c r="L791" s="29" t="str">
        <f t="shared" si="12"/>
        <v>KAMPALA-ARUA</v>
      </c>
      <c r="M791" s="31">
        <v>40</v>
      </c>
      <c r="N791" s="72">
        <v>43000</v>
      </c>
      <c r="O791" s="34">
        <v>8.4</v>
      </c>
    </row>
    <row r="792" spans="2:15" x14ac:dyDescent="0.2">
      <c r="B792" s="27">
        <v>0.41666666666666669</v>
      </c>
      <c r="C792" s="28">
        <v>6</v>
      </c>
      <c r="D792" s="33" t="str">
        <f>IF(C792="", "",VLOOKUP(C792,Key!$A$5:$B$7,2,FALSE))</f>
        <v>Large Bus</v>
      </c>
      <c r="E792" s="29" t="s">
        <v>117</v>
      </c>
      <c r="F792" s="29" t="s">
        <v>67</v>
      </c>
      <c r="G792" s="29" t="s">
        <v>118</v>
      </c>
      <c r="H792" s="30" t="s">
        <v>70</v>
      </c>
      <c r="I792" s="29" t="s">
        <v>257</v>
      </c>
      <c r="J792" s="29" t="s">
        <v>120</v>
      </c>
      <c r="K792" s="30" t="s">
        <v>121</v>
      </c>
      <c r="L792" s="29" t="str">
        <f t="shared" si="12"/>
        <v>KAMPALA-ZOMBO</v>
      </c>
      <c r="M792" s="31">
        <v>28</v>
      </c>
      <c r="N792" s="72">
        <v>30000</v>
      </c>
      <c r="O792" s="34">
        <v>7</v>
      </c>
    </row>
    <row r="793" spans="2:15" x14ac:dyDescent="0.2">
      <c r="B793" s="27">
        <v>0.33333333333333331</v>
      </c>
      <c r="C793" s="28">
        <v>6</v>
      </c>
      <c r="D793" s="33" t="str">
        <f>IF(C793="", "",VLOOKUP(C793,Key!$A$5:$B$7,2,FALSE))</f>
        <v>Large Bus</v>
      </c>
      <c r="E793" s="29" t="s">
        <v>117</v>
      </c>
      <c r="F793" s="29" t="s">
        <v>67</v>
      </c>
      <c r="G793" s="29" t="s">
        <v>126</v>
      </c>
      <c r="H793" s="30" t="s">
        <v>70</v>
      </c>
      <c r="I793" s="29" t="s">
        <v>257</v>
      </c>
      <c r="J793" s="29" t="s">
        <v>123</v>
      </c>
      <c r="K793" s="30" t="s">
        <v>118</v>
      </c>
      <c r="L793" s="29" t="str">
        <f t="shared" si="12"/>
        <v>KAMPALA-ARUA</v>
      </c>
      <c r="M793" s="31">
        <v>44</v>
      </c>
      <c r="N793" s="72">
        <v>43000</v>
      </c>
      <c r="O793" s="34">
        <v>8.4</v>
      </c>
    </row>
    <row r="794" spans="2:15" x14ac:dyDescent="0.2">
      <c r="B794" s="27">
        <v>0.4145833333333333</v>
      </c>
      <c r="C794" s="28">
        <v>6</v>
      </c>
      <c r="D794" s="33" t="str">
        <f>IF(C794="", "",VLOOKUP(C794,Key!$A$5:$B$7,2,FALSE))</f>
        <v>Large Bus</v>
      </c>
      <c r="E794" s="29" t="s">
        <v>117</v>
      </c>
      <c r="F794" s="29" t="s">
        <v>67</v>
      </c>
      <c r="G794" s="29" t="s">
        <v>118</v>
      </c>
      <c r="H794" s="30" t="s">
        <v>70</v>
      </c>
      <c r="I794" s="29" t="s">
        <v>257</v>
      </c>
      <c r="J794" s="29" t="s">
        <v>125</v>
      </c>
      <c r="K794" s="30" t="s">
        <v>119</v>
      </c>
      <c r="L794" s="29" t="str">
        <f t="shared" si="12"/>
        <v>KAMPALA-KOBOKO</v>
      </c>
      <c r="M794" s="31">
        <v>47</v>
      </c>
      <c r="N794" s="72">
        <v>40000</v>
      </c>
      <c r="O794" s="34">
        <v>8</v>
      </c>
    </row>
    <row r="795" spans="2:15" x14ac:dyDescent="0.2">
      <c r="B795" s="27">
        <v>4.1666666666666664E-2</v>
      </c>
      <c r="C795" s="28">
        <v>6</v>
      </c>
      <c r="D795" s="33" t="str">
        <f>IF(C795="", "",VLOOKUP(C795,Key!$A$5:$B$7,2,FALSE))</f>
        <v>Large Bus</v>
      </c>
      <c r="E795" s="29" t="s">
        <v>117</v>
      </c>
      <c r="F795" s="29" t="s">
        <v>67</v>
      </c>
      <c r="G795" s="29" t="s">
        <v>126</v>
      </c>
      <c r="H795" s="30" t="s">
        <v>70</v>
      </c>
      <c r="I795" s="29" t="s">
        <v>257</v>
      </c>
      <c r="J795" s="29" t="s">
        <v>128</v>
      </c>
      <c r="K795" s="30" t="s">
        <v>118</v>
      </c>
      <c r="L795" s="29" t="str">
        <f t="shared" si="12"/>
        <v>KAMPALA-ARUA</v>
      </c>
      <c r="M795" s="31">
        <v>45</v>
      </c>
      <c r="N795" s="72">
        <v>43000</v>
      </c>
      <c r="O795" s="34">
        <v>8.4</v>
      </c>
    </row>
    <row r="796" spans="2:15" x14ac:dyDescent="0.2">
      <c r="B796" s="45" t="s">
        <v>222</v>
      </c>
      <c r="C796" s="47"/>
      <c r="D796" s="33" t="str">
        <f>IF(C796="", "",VLOOKUP(C796,Key!$A$5:$B$7,2,FALSE))</f>
        <v/>
      </c>
      <c r="E796" s="44" t="s">
        <v>117</v>
      </c>
      <c r="F796" s="48"/>
      <c r="G796" s="47"/>
      <c r="H796" s="47"/>
      <c r="I796" s="47" t="s">
        <v>257</v>
      </c>
      <c r="J796" s="47"/>
      <c r="K796" s="47"/>
      <c r="L796" s="47" t="str">
        <f t="shared" si="12"/>
        <v>-</v>
      </c>
      <c r="M796" s="47"/>
      <c r="N796" s="48"/>
      <c r="O796" s="48"/>
    </row>
    <row r="797" spans="2:15" x14ac:dyDescent="0.2">
      <c r="B797" s="27">
        <v>0.30208333333333331</v>
      </c>
      <c r="C797" s="28">
        <v>6</v>
      </c>
      <c r="D797" s="33" t="str">
        <f>IF(C797="", "",VLOOKUP(C797,Key!$A$5:$B$7,2,FALSE))</f>
        <v>Large Bus</v>
      </c>
      <c r="E797" s="29" t="s">
        <v>117</v>
      </c>
      <c r="F797" s="29" t="s">
        <v>66</v>
      </c>
      <c r="G797" s="29" t="s">
        <v>123</v>
      </c>
      <c r="H797" s="30" t="s">
        <v>118</v>
      </c>
      <c r="I797" s="29" t="s">
        <v>257</v>
      </c>
      <c r="J797" s="29" t="s">
        <v>122</v>
      </c>
      <c r="K797" s="30" t="s">
        <v>70</v>
      </c>
      <c r="L797" s="29" t="str">
        <f t="shared" si="12"/>
        <v>ARUA-KAMPALA</v>
      </c>
      <c r="M797" s="31">
        <v>45</v>
      </c>
      <c r="N797" s="72">
        <v>40000</v>
      </c>
      <c r="O797" s="34">
        <v>8.4</v>
      </c>
    </row>
    <row r="798" spans="2:15" x14ac:dyDescent="0.2">
      <c r="B798" s="27">
        <v>0.72569444444444453</v>
      </c>
      <c r="C798" s="28">
        <v>6</v>
      </c>
      <c r="D798" s="33" t="str">
        <f>IF(C798="", "",VLOOKUP(C798,Key!$A$5:$B$7,2,FALSE))</f>
        <v>Large Bus</v>
      </c>
      <c r="E798" s="29" t="s">
        <v>117</v>
      </c>
      <c r="F798" s="29" t="s">
        <v>66</v>
      </c>
      <c r="G798" s="29" t="s">
        <v>125</v>
      </c>
      <c r="H798" s="30" t="s">
        <v>119</v>
      </c>
      <c r="I798" s="29" t="s">
        <v>257</v>
      </c>
      <c r="J798" s="29" t="s">
        <v>122</v>
      </c>
      <c r="K798" s="30" t="s">
        <v>70</v>
      </c>
      <c r="L798" s="29" t="str">
        <f t="shared" si="12"/>
        <v>KOBOKO-KAMPALA</v>
      </c>
      <c r="M798" s="31">
        <v>30</v>
      </c>
      <c r="N798" s="72">
        <v>40000</v>
      </c>
      <c r="O798" s="34">
        <v>8</v>
      </c>
    </row>
    <row r="799" spans="2:15" x14ac:dyDescent="0.2">
      <c r="B799" s="27">
        <v>0.3263888888888889</v>
      </c>
      <c r="C799" s="28">
        <v>6</v>
      </c>
      <c r="D799" s="33" t="str">
        <f>IF(C799="", "",VLOOKUP(C799,Key!$A$5:$B$7,2,FALSE))</f>
        <v>Large Bus</v>
      </c>
      <c r="E799" s="29" t="s">
        <v>117</v>
      </c>
      <c r="F799" s="29" t="s">
        <v>67</v>
      </c>
      <c r="G799" s="29" t="s">
        <v>126</v>
      </c>
      <c r="H799" s="30" t="s">
        <v>70</v>
      </c>
      <c r="I799" s="29" t="s">
        <v>257</v>
      </c>
      <c r="J799" s="29" t="s">
        <v>123</v>
      </c>
      <c r="K799" s="30" t="s">
        <v>118</v>
      </c>
      <c r="L799" s="29" t="str">
        <f t="shared" si="12"/>
        <v>KAMPALA-ARUA</v>
      </c>
      <c r="M799" s="31">
        <v>31</v>
      </c>
      <c r="N799" s="72">
        <v>43000</v>
      </c>
      <c r="O799" s="34">
        <v>8.4</v>
      </c>
    </row>
    <row r="800" spans="2:15" x14ac:dyDescent="0.2">
      <c r="B800" s="27">
        <v>0.41805555555555557</v>
      </c>
      <c r="C800" s="28">
        <v>6</v>
      </c>
      <c r="D800" s="33" t="str">
        <f>IF(C800="", "",VLOOKUP(C800,Key!$A$5:$B$7,2,FALSE))</f>
        <v>Large Bus</v>
      </c>
      <c r="E800" s="29" t="s">
        <v>117</v>
      </c>
      <c r="F800" s="29" t="s">
        <v>67</v>
      </c>
      <c r="G800" s="29" t="s">
        <v>126</v>
      </c>
      <c r="H800" s="30" t="s">
        <v>70</v>
      </c>
      <c r="I800" s="29" t="s">
        <v>257</v>
      </c>
      <c r="J800" s="29" t="s">
        <v>123</v>
      </c>
      <c r="K800" s="30" t="s">
        <v>118</v>
      </c>
      <c r="L800" s="29" t="str">
        <f t="shared" si="12"/>
        <v>KAMPALA-ARUA</v>
      </c>
      <c r="M800" s="31">
        <v>62</v>
      </c>
      <c r="N800" s="72">
        <v>43000</v>
      </c>
      <c r="O800" s="34">
        <v>8.4</v>
      </c>
    </row>
    <row r="801" spans="2:15" x14ac:dyDescent="0.2">
      <c r="B801" s="27">
        <v>4.1666666666666664E-2</v>
      </c>
      <c r="C801" s="28">
        <v>6</v>
      </c>
      <c r="D801" s="33" t="str">
        <f>IF(C801="", "",VLOOKUP(C801,Key!$A$5:$B$7,2,FALSE))</f>
        <v>Large Bus</v>
      </c>
      <c r="E801" s="29" t="s">
        <v>117</v>
      </c>
      <c r="F801" s="29" t="s">
        <v>67</v>
      </c>
      <c r="G801" s="29" t="s">
        <v>126</v>
      </c>
      <c r="H801" s="30" t="s">
        <v>70</v>
      </c>
      <c r="I801" s="29" t="s">
        <v>257</v>
      </c>
      <c r="J801" s="29" t="s">
        <v>123</v>
      </c>
      <c r="K801" s="30" t="s">
        <v>118</v>
      </c>
      <c r="L801" s="29" t="str">
        <f t="shared" si="12"/>
        <v>KAMPALA-ARUA</v>
      </c>
      <c r="M801" s="31">
        <v>64</v>
      </c>
      <c r="N801" s="72">
        <v>43000</v>
      </c>
      <c r="O801" s="34">
        <v>8.4</v>
      </c>
    </row>
    <row r="802" spans="2:15" x14ac:dyDescent="0.2">
      <c r="B802" s="27">
        <v>0.21527777777777779</v>
      </c>
      <c r="C802" s="28">
        <v>6</v>
      </c>
      <c r="D802" s="33" t="str">
        <f>IF(C802="", "",VLOOKUP(C802,Key!$A$5:$B$7,2,FALSE))</f>
        <v>Large Bus</v>
      </c>
      <c r="E802" s="29" t="s">
        <v>117</v>
      </c>
      <c r="F802" s="29" t="s">
        <v>66</v>
      </c>
      <c r="G802" s="29" t="s">
        <v>120</v>
      </c>
      <c r="H802" s="30" t="s">
        <v>121</v>
      </c>
      <c r="I802" s="29" t="s">
        <v>257</v>
      </c>
      <c r="J802" s="29" t="s">
        <v>118</v>
      </c>
      <c r="K802" s="30" t="s">
        <v>70</v>
      </c>
      <c r="L802" s="29" t="str">
        <f t="shared" si="12"/>
        <v>ZOMBO-KAMPALA</v>
      </c>
      <c r="M802" s="31">
        <v>49</v>
      </c>
      <c r="N802" s="72">
        <v>28000</v>
      </c>
      <c r="O802" s="34">
        <v>7</v>
      </c>
    </row>
    <row r="803" spans="2:15" x14ac:dyDescent="0.2">
      <c r="B803" s="27">
        <v>0.25</v>
      </c>
      <c r="C803" s="28">
        <v>6</v>
      </c>
      <c r="D803" s="33" t="str">
        <f>IF(C803="", "",VLOOKUP(C803,Key!$A$5:$B$7,2,FALSE))</f>
        <v>Large Bus</v>
      </c>
      <c r="E803" s="29" t="s">
        <v>117</v>
      </c>
      <c r="F803" s="29" t="s">
        <v>66</v>
      </c>
      <c r="G803" s="29" t="s">
        <v>125</v>
      </c>
      <c r="H803" s="30" t="s">
        <v>119</v>
      </c>
      <c r="I803" s="29" t="s">
        <v>257</v>
      </c>
      <c r="J803" s="29" t="s">
        <v>122</v>
      </c>
      <c r="K803" s="30" t="s">
        <v>70</v>
      </c>
      <c r="L803" s="29" t="str">
        <f t="shared" si="12"/>
        <v>KOBOKO-KAMPALA</v>
      </c>
      <c r="M803" s="31">
        <v>66</v>
      </c>
      <c r="N803" s="72">
        <v>40000</v>
      </c>
      <c r="O803" s="34">
        <v>8</v>
      </c>
    </row>
    <row r="804" spans="2:15" x14ac:dyDescent="0.2">
      <c r="B804" s="27" t="s">
        <v>116</v>
      </c>
      <c r="C804" s="28">
        <v>6</v>
      </c>
      <c r="D804" s="33" t="str">
        <f>IF(C804="", "",VLOOKUP(C804,Key!$A$5:$B$7,2,FALSE))</f>
        <v>Large Bus</v>
      </c>
      <c r="E804" s="29" t="s">
        <v>117</v>
      </c>
      <c r="F804" s="29" t="s">
        <v>66</v>
      </c>
      <c r="G804" s="29" t="s">
        <v>118</v>
      </c>
      <c r="H804" s="30" t="s">
        <v>118</v>
      </c>
      <c r="I804" s="29" t="s">
        <v>257</v>
      </c>
      <c r="J804" s="29" t="s">
        <v>126</v>
      </c>
      <c r="K804" s="30" t="s">
        <v>261</v>
      </c>
      <c r="L804" s="29" t="str">
        <f t="shared" si="12"/>
        <v>ARUA- KAMPALA</v>
      </c>
      <c r="M804" s="31">
        <v>40</v>
      </c>
      <c r="N804" s="72">
        <v>40000</v>
      </c>
      <c r="O804" s="34">
        <v>8.4</v>
      </c>
    </row>
    <row r="805" spans="2:15" x14ac:dyDescent="0.2">
      <c r="B805" s="27">
        <v>0.16666666666666666</v>
      </c>
      <c r="C805" s="28">
        <v>6</v>
      </c>
      <c r="D805" s="33" t="str">
        <f>IF(C805="", "",VLOOKUP(C805,Key!$A$5:$B$7,2,FALSE))</f>
        <v>Large Bus</v>
      </c>
      <c r="E805" s="29" t="s">
        <v>117</v>
      </c>
      <c r="F805" s="29" t="s">
        <v>67</v>
      </c>
      <c r="G805" s="29" t="s">
        <v>126</v>
      </c>
      <c r="H805" s="30" t="s">
        <v>70</v>
      </c>
      <c r="I805" s="29" t="s">
        <v>257</v>
      </c>
      <c r="J805" s="29" t="s">
        <v>119</v>
      </c>
      <c r="K805" s="30" t="s">
        <v>119</v>
      </c>
      <c r="L805" s="29" t="str">
        <f t="shared" si="12"/>
        <v>KAMPALA-KOBOKO</v>
      </c>
      <c r="M805" s="31">
        <v>25</v>
      </c>
      <c r="N805" s="72">
        <v>40000</v>
      </c>
      <c r="O805" s="34">
        <v>8</v>
      </c>
    </row>
    <row r="806" spans="2:15" x14ac:dyDescent="0.2">
      <c r="B806" s="27">
        <v>0.375</v>
      </c>
      <c r="C806" s="28">
        <v>6</v>
      </c>
      <c r="D806" s="33" t="str">
        <f>IF(C806="", "",VLOOKUP(C806,Key!$A$5:$B$7,2,FALSE))</f>
        <v>Large Bus</v>
      </c>
      <c r="E806" s="29" t="s">
        <v>117</v>
      </c>
      <c r="F806" s="29" t="s">
        <v>67</v>
      </c>
      <c r="G806" s="29" t="s">
        <v>126</v>
      </c>
      <c r="H806" s="30" t="s">
        <v>70</v>
      </c>
      <c r="I806" s="29" t="s">
        <v>257</v>
      </c>
      <c r="J806" s="29" t="s">
        <v>120</v>
      </c>
      <c r="K806" s="30" t="s">
        <v>121</v>
      </c>
      <c r="L806" s="29" t="str">
        <f t="shared" si="12"/>
        <v>KAMPALA-ZOMBO</v>
      </c>
      <c r="M806" s="31">
        <v>57</v>
      </c>
      <c r="N806" s="72">
        <v>30000</v>
      </c>
      <c r="O806" s="34">
        <v>7</v>
      </c>
    </row>
    <row r="807" spans="2:15" x14ac:dyDescent="0.2">
      <c r="B807" s="27">
        <v>0.39583333333333331</v>
      </c>
      <c r="C807" s="28">
        <v>6</v>
      </c>
      <c r="D807" s="33" t="str">
        <f>IF(C807="", "",VLOOKUP(C807,Key!$A$5:$B$7,2,FALSE))</f>
        <v>Large Bus</v>
      </c>
      <c r="E807" s="29" t="s">
        <v>117</v>
      </c>
      <c r="F807" s="29" t="s">
        <v>67</v>
      </c>
      <c r="G807" s="29" t="s">
        <v>126</v>
      </c>
      <c r="H807" s="30" t="s">
        <v>70</v>
      </c>
      <c r="I807" s="29" t="s">
        <v>257</v>
      </c>
      <c r="J807" s="29" t="s">
        <v>118</v>
      </c>
      <c r="K807" s="30" t="s">
        <v>118</v>
      </c>
      <c r="L807" s="29" t="str">
        <f t="shared" si="12"/>
        <v>KAMPALA-ARUA</v>
      </c>
      <c r="M807" s="31">
        <v>38</v>
      </c>
      <c r="N807" s="72">
        <v>43000</v>
      </c>
      <c r="O807" s="34">
        <v>8.4</v>
      </c>
    </row>
    <row r="808" spans="2:15" x14ac:dyDescent="0.2">
      <c r="B808" s="27">
        <v>0.41666666666666669</v>
      </c>
      <c r="C808" s="28">
        <v>6</v>
      </c>
      <c r="D808" s="33" t="str">
        <f>IF(C808="", "",VLOOKUP(C808,Key!$A$5:$B$7,2,FALSE))</f>
        <v>Large Bus</v>
      </c>
      <c r="E808" s="29" t="s">
        <v>117</v>
      </c>
      <c r="F808" s="29" t="s">
        <v>67</v>
      </c>
      <c r="G808" s="29" t="s">
        <v>126</v>
      </c>
      <c r="H808" s="30" t="s">
        <v>70</v>
      </c>
      <c r="I808" s="29" t="s">
        <v>257</v>
      </c>
      <c r="J808" s="29" t="s">
        <v>118</v>
      </c>
      <c r="K808" s="30" t="s">
        <v>118</v>
      </c>
      <c r="L808" s="29" t="str">
        <f t="shared" si="12"/>
        <v>KAMPALA-ARUA</v>
      </c>
      <c r="M808" s="31">
        <v>30</v>
      </c>
      <c r="N808" s="72">
        <v>43000</v>
      </c>
      <c r="O808" s="34">
        <v>8.4</v>
      </c>
    </row>
    <row r="809" spans="2:15" x14ac:dyDescent="0.2">
      <c r="B809" s="45" t="s">
        <v>218</v>
      </c>
      <c r="C809" s="47"/>
      <c r="D809" s="33" t="str">
        <f>IF(C809="", "",VLOOKUP(C809,Key!$A$5:$B$7,2,FALSE))</f>
        <v/>
      </c>
      <c r="E809" s="44" t="s">
        <v>224</v>
      </c>
      <c r="F809" s="48"/>
      <c r="G809" s="47"/>
      <c r="H809" s="47"/>
      <c r="I809" s="47"/>
      <c r="J809" s="47"/>
      <c r="K809" s="47"/>
      <c r="L809" s="47" t="str">
        <f t="shared" si="12"/>
        <v>-</v>
      </c>
      <c r="M809" s="47"/>
      <c r="N809" s="48"/>
      <c r="O809" s="48"/>
    </row>
    <row r="810" spans="2:15" x14ac:dyDescent="0.2">
      <c r="B810" s="27">
        <v>0.50694444444444442</v>
      </c>
      <c r="C810" s="28">
        <v>6</v>
      </c>
      <c r="D810" s="33" t="str">
        <f>IF(C810="", "",VLOOKUP(C810,Key!$A$5:$B$7,2,FALSE))</f>
        <v>Large Bus</v>
      </c>
      <c r="E810" s="29" t="s">
        <v>224</v>
      </c>
      <c r="F810" s="29" t="s">
        <v>66</v>
      </c>
      <c r="G810" s="29" t="s">
        <v>129</v>
      </c>
      <c r="H810" s="30" t="s">
        <v>129</v>
      </c>
      <c r="I810" s="29" t="s">
        <v>257</v>
      </c>
      <c r="J810" s="29" t="s">
        <v>70</v>
      </c>
      <c r="K810" s="30" t="s">
        <v>70</v>
      </c>
      <c r="L810" s="29" t="str">
        <f t="shared" si="12"/>
        <v>MBALE-KAMPALA</v>
      </c>
      <c r="M810" s="31">
        <v>67</v>
      </c>
      <c r="N810" s="72">
        <v>18000</v>
      </c>
      <c r="O810" s="34">
        <v>4.5</v>
      </c>
    </row>
    <row r="811" spans="2:15" x14ac:dyDescent="0.2">
      <c r="B811" s="27">
        <v>0.51388888888888895</v>
      </c>
      <c r="C811" s="28">
        <v>6</v>
      </c>
      <c r="D811" s="33" t="str">
        <f>IF(C811="", "",VLOOKUP(C811,Key!$A$5:$B$7,2,FALSE))</f>
        <v>Large Bus</v>
      </c>
      <c r="E811" s="29" t="s">
        <v>224</v>
      </c>
      <c r="F811" s="29" t="s">
        <v>66</v>
      </c>
      <c r="G811" s="29" t="s">
        <v>129</v>
      </c>
      <c r="H811" s="30" t="s">
        <v>129</v>
      </c>
      <c r="I811" s="29" t="s">
        <v>257</v>
      </c>
      <c r="J811" s="29" t="s">
        <v>70</v>
      </c>
      <c r="K811" s="30" t="s">
        <v>70</v>
      </c>
      <c r="L811" s="29" t="str">
        <f t="shared" si="12"/>
        <v>MBALE-KAMPALA</v>
      </c>
      <c r="M811" s="31">
        <v>65</v>
      </c>
      <c r="N811" s="72">
        <v>18000</v>
      </c>
      <c r="O811" s="34">
        <v>4.5</v>
      </c>
    </row>
    <row r="812" spans="2:15" x14ac:dyDescent="0.2">
      <c r="B812" s="27">
        <v>0.5708333333333333</v>
      </c>
      <c r="C812" s="28">
        <v>6</v>
      </c>
      <c r="D812" s="33" t="str">
        <f>IF(C812="", "",VLOOKUP(C812,Key!$A$5:$B$7,2,FALSE))</f>
        <v>Large Bus</v>
      </c>
      <c r="E812" s="29" t="s">
        <v>224</v>
      </c>
      <c r="F812" s="29" t="s">
        <v>66</v>
      </c>
      <c r="G812" s="29" t="s">
        <v>130</v>
      </c>
      <c r="H812" s="30" t="s">
        <v>130</v>
      </c>
      <c r="I812" s="29" t="s">
        <v>257</v>
      </c>
      <c r="J812" s="29" t="s">
        <v>70</v>
      </c>
      <c r="K812" s="30" t="s">
        <v>70</v>
      </c>
      <c r="L812" s="29" t="str">
        <f t="shared" si="12"/>
        <v>LIRA-KAMPALA</v>
      </c>
      <c r="M812" s="31">
        <v>67</v>
      </c>
      <c r="N812" s="72">
        <v>20000</v>
      </c>
      <c r="O812" s="34">
        <v>5</v>
      </c>
    </row>
    <row r="813" spans="2:15" x14ac:dyDescent="0.2">
      <c r="B813" s="27">
        <v>0.59027777777777779</v>
      </c>
      <c r="C813" s="28">
        <v>6</v>
      </c>
      <c r="D813" s="33" t="str">
        <f>IF(C813="", "",VLOOKUP(C813,Key!$A$5:$B$7,2,FALSE))</f>
        <v>Large Bus</v>
      </c>
      <c r="E813" s="29" t="s">
        <v>224</v>
      </c>
      <c r="F813" s="29" t="s">
        <v>66</v>
      </c>
      <c r="G813" s="29" t="s">
        <v>130</v>
      </c>
      <c r="H813" s="30" t="s">
        <v>130</v>
      </c>
      <c r="I813" s="29" t="s">
        <v>257</v>
      </c>
      <c r="J813" s="29" t="s">
        <v>70</v>
      </c>
      <c r="K813" s="30" t="s">
        <v>70</v>
      </c>
      <c r="L813" s="29" t="str">
        <f t="shared" si="12"/>
        <v>LIRA-KAMPALA</v>
      </c>
      <c r="M813" s="31">
        <v>67</v>
      </c>
      <c r="N813" s="72">
        <v>20000</v>
      </c>
      <c r="O813" s="34">
        <v>5</v>
      </c>
    </row>
    <row r="814" spans="2:15" x14ac:dyDescent="0.2">
      <c r="B814" s="27">
        <v>0.61736111111111114</v>
      </c>
      <c r="C814" s="28">
        <v>6</v>
      </c>
      <c r="D814" s="33" t="str">
        <f>IF(C814="", "",VLOOKUP(C814,Key!$A$5:$B$7,2,FALSE))</f>
        <v>Large Bus</v>
      </c>
      <c r="E814" s="29" t="s">
        <v>224</v>
      </c>
      <c r="F814" s="29" t="s">
        <v>66</v>
      </c>
      <c r="G814" s="29" t="s">
        <v>130</v>
      </c>
      <c r="H814" s="30" t="s">
        <v>130</v>
      </c>
      <c r="I814" s="29" t="s">
        <v>257</v>
      </c>
      <c r="J814" s="29" t="s">
        <v>70</v>
      </c>
      <c r="K814" s="30" t="s">
        <v>70</v>
      </c>
      <c r="L814" s="29" t="str">
        <f t="shared" si="12"/>
        <v>LIRA-KAMPALA</v>
      </c>
      <c r="M814" s="31">
        <v>67</v>
      </c>
      <c r="N814" s="72">
        <v>20000</v>
      </c>
      <c r="O814" s="34">
        <v>5</v>
      </c>
    </row>
    <row r="815" spans="2:15" x14ac:dyDescent="0.2">
      <c r="B815" s="27">
        <v>0.61944444444444446</v>
      </c>
      <c r="C815" s="28">
        <v>6</v>
      </c>
      <c r="D815" s="33" t="str">
        <f>IF(C815="", "",VLOOKUP(C815,Key!$A$5:$B$7,2,FALSE))</f>
        <v>Large Bus</v>
      </c>
      <c r="E815" s="29" t="s">
        <v>224</v>
      </c>
      <c r="F815" s="29" t="s">
        <v>66</v>
      </c>
      <c r="G815" s="29" t="s">
        <v>129</v>
      </c>
      <c r="H815" s="30" t="s">
        <v>129</v>
      </c>
      <c r="I815" s="29" t="s">
        <v>257</v>
      </c>
      <c r="J815" s="29" t="s">
        <v>70</v>
      </c>
      <c r="K815" s="30" t="s">
        <v>70</v>
      </c>
      <c r="L815" s="29" t="str">
        <f t="shared" si="12"/>
        <v>MBALE-KAMPALA</v>
      </c>
      <c r="M815" s="31">
        <v>66</v>
      </c>
      <c r="N815" s="72">
        <v>18000</v>
      </c>
      <c r="O815" s="34">
        <v>4.5</v>
      </c>
    </row>
    <row r="816" spans="2:15" x14ac:dyDescent="0.2">
      <c r="B816" s="27">
        <v>0.6645833333333333</v>
      </c>
      <c r="C816" s="28">
        <v>6</v>
      </c>
      <c r="D816" s="33" t="str">
        <f>IF(C816="", "",VLOOKUP(C816,Key!$A$5:$B$7,2,FALSE))</f>
        <v>Large Bus</v>
      </c>
      <c r="E816" s="29" t="s">
        <v>224</v>
      </c>
      <c r="F816" s="29" t="s">
        <v>66</v>
      </c>
      <c r="G816" s="29" t="s">
        <v>129</v>
      </c>
      <c r="H816" s="30" t="s">
        <v>129</v>
      </c>
      <c r="I816" s="29" t="s">
        <v>257</v>
      </c>
      <c r="J816" s="29" t="s">
        <v>70</v>
      </c>
      <c r="K816" s="30" t="s">
        <v>70</v>
      </c>
      <c r="L816" s="29" t="str">
        <f t="shared" si="12"/>
        <v>MBALE-KAMPALA</v>
      </c>
      <c r="M816" s="31">
        <v>32</v>
      </c>
      <c r="N816" s="72">
        <v>18000</v>
      </c>
      <c r="O816" s="34">
        <v>4.5</v>
      </c>
    </row>
    <row r="817" spans="2:15" x14ac:dyDescent="0.2">
      <c r="B817" s="27">
        <v>0.68333333333333324</v>
      </c>
      <c r="C817" s="28">
        <v>6</v>
      </c>
      <c r="D817" s="33" t="str">
        <f>IF(C817="", "",VLOOKUP(C817,Key!$A$5:$B$7,2,FALSE))</f>
        <v>Large Bus</v>
      </c>
      <c r="E817" s="29" t="s">
        <v>224</v>
      </c>
      <c r="F817" s="29" t="s">
        <v>66</v>
      </c>
      <c r="G817" s="29" t="s">
        <v>129</v>
      </c>
      <c r="H817" s="30" t="s">
        <v>129</v>
      </c>
      <c r="I817" s="29" t="s">
        <v>257</v>
      </c>
      <c r="J817" s="29" t="s">
        <v>70</v>
      </c>
      <c r="K817" s="30" t="s">
        <v>70</v>
      </c>
      <c r="L817" s="29" t="str">
        <f t="shared" si="12"/>
        <v>MBALE-KAMPALA</v>
      </c>
      <c r="M817" s="31">
        <v>18</v>
      </c>
      <c r="N817" s="72">
        <v>18000</v>
      </c>
      <c r="O817" s="34">
        <v>4.5</v>
      </c>
    </row>
    <row r="818" spans="2:15" x14ac:dyDescent="0.2">
      <c r="B818" s="27">
        <v>0.74791666666666667</v>
      </c>
      <c r="C818" s="28">
        <v>6</v>
      </c>
      <c r="D818" s="33" t="str">
        <f>IF(C818="", "",VLOOKUP(C818,Key!$A$5:$B$7,2,FALSE))</f>
        <v>Large Bus</v>
      </c>
      <c r="E818" s="29" t="s">
        <v>224</v>
      </c>
      <c r="F818" s="29" t="s">
        <v>66</v>
      </c>
      <c r="G818" s="29" t="s">
        <v>129</v>
      </c>
      <c r="H818" s="30" t="s">
        <v>129</v>
      </c>
      <c r="I818" s="29" t="s">
        <v>257</v>
      </c>
      <c r="J818" s="29" t="s">
        <v>70</v>
      </c>
      <c r="K818" s="30" t="s">
        <v>70</v>
      </c>
      <c r="L818" s="29" t="str">
        <f t="shared" si="12"/>
        <v>MBALE-KAMPALA</v>
      </c>
      <c r="M818" s="31">
        <v>60</v>
      </c>
      <c r="N818" s="72">
        <v>18000</v>
      </c>
      <c r="O818" s="34">
        <v>4.5</v>
      </c>
    </row>
    <row r="819" spans="2:15" x14ac:dyDescent="0.2">
      <c r="B819" s="27">
        <v>0.46736111111111112</v>
      </c>
      <c r="C819" s="28">
        <v>6</v>
      </c>
      <c r="D819" s="33" t="str">
        <f>IF(C819="", "",VLOOKUP(C819,Key!$A$5:$B$7,2,FALSE))</f>
        <v>Large Bus</v>
      </c>
      <c r="E819" s="29" t="s">
        <v>224</v>
      </c>
      <c r="F819" s="29" t="s">
        <v>67</v>
      </c>
      <c r="G819" s="29" t="s">
        <v>70</v>
      </c>
      <c r="H819" s="30" t="s">
        <v>70</v>
      </c>
      <c r="I819" s="29" t="s">
        <v>257</v>
      </c>
      <c r="J819" s="29" t="s">
        <v>129</v>
      </c>
      <c r="K819" s="30" t="s">
        <v>129</v>
      </c>
      <c r="L819" s="29" t="str">
        <f t="shared" si="12"/>
        <v>KAMPALA-MBALE</v>
      </c>
      <c r="M819" s="31">
        <v>62</v>
      </c>
      <c r="N819" s="72">
        <v>20000</v>
      </c>
      <c r="O819" s="34">
        <v>4.5</v>
      </c>
    </row>
    <row r="820" spans="2:15" x14ac:dyDescent="0.2">
      <c r="B820" s="27">
        <v>0.51944444444444449</v>
      </c>
      <c r="C820" s="28">
        <v>6</v>
      </c>
      <c r="D820" s="33" t="str">
        <f>IF(C820="", "",VLOOKUP(C820,Key!$A$5:$B$7,2,FALSE))</f>
        <v>Large Bus</v>
      </c>
      <c r="E820" s="29" t="s">
        <v>224</v>
      </c>
      <c r="F820" s="29" t="s">
        <v>67</v>
      </c>
      <c r="G820" s="29" t="s">
        <v>70</v>
      </c>
      <c r="H820" s="30" t="s">
        <v>70</v>
      </c>
      <c r="I820" s="29" t="s">
        <v>257</v>
      </c>
      <c r="J820" s="29" t="s">
        <v>129</v>
      </c>
      <c r="K820" s="30" t="s">
        <v>129</v>
      </c>
      <c r="L820" s="29" t="str">
        <f t="shared" si="12"/>
        <v>KAMPALA-MBALE</v>
      </c>
      <c r="M820" s="31">
        <v>60</v>
      </c>
      <c r="N820" s="72">
        <v>20000</v>
      </c>
      <c r="O820" s="34">
        <v>4.5</v>
      </c>
    </row>
    <row r="821" spans="2:15" x14ac:dyDescent="0.2">
      <c r="B821" s="27">
        <v>0.5625</v>
      </c>
      <c r="C821" s="28">
        <v>6</v>
      </c>
      <c r="D821" s="33" t="str">
        <f>IF(C821="", "",VLOOKUP(C821,Key!$A$5:$B$7,2,FALSE))</f>
        <v>Large Bus</v>
      </c>
      <c r="E821" s="29" t="s">
        <v>224</v>
      </c>
      <c r="F821" s="29" t="s">
        <v>67</v>
      </c>
      <c r="G821" s="29" t="s">
        <v>70</v>
      </c>
      <c r="H821" s="30" t="s">
        <v>70</v>
      </c>
      <c r="I821" s="29" t="s">
        <v>257</v>
      </c>
      <c r="J821" s="29" t="s">
        <v>129</v>
      </c>
      <c r="K821" s="30" t="s">
        <v>129</v>
      </c>
      <c r="L821" s="29" t="str">
        <f t="shared" si="12"/>
        <v>KAMPALA-MBALE</v>
      </c>
      <c r="M821" s="31">
        <v>65</v>
      </c>
      <c r="N821" s="72">
        <v>20000</v>
      </c>
      <c r="O821" s="34">
        <v>4.5</v>
      </c>
    </row>
    <row r="822" spans="2:15" x14ac:dyDescent="0.2">
      <c r="B822" s="27">
        <v>0.61111111111111105</v>
      </c>
      <c r="C822" s="28">
        <v>6</v>
      </c>
      <c r="D822" s="33" t="str">
        <f>IF(C822="", "",VLOOKUP(C822,Key!$A$5:$B$7,2,FALSE))</f>
        <v>Large Bus</v>
      </c>
      <c r="E822" s="29" t="s">
        <v>224</v>
      </c>
      <c r="F822" s="29" t="s">
        <v>67</v>
      </c>
      <c r="G822" s="29" t="s">
        <v>70</v>
      </c>
      <c r="H822" s="30" t="s">
        <v>70</v>
      </c>
      <c r="I822" s="29" t="s">
        <v>257</v>
      </c>
      <c r="J822" s="29" t="s">
        <v>129</v>
      </c>
      <c r="K822" s="30" t="s">
        <v>129</v>
      </c>
      <c r="L822" s="29" t="str">
        <f t="shared" si="12"/>
        <v>KAMPALA-MBALE</v>
      </c>
      <c r="M822" s="31">
        <v>46</v>
      </c>
      <c r="N822" s="72">
        <v>20000</v>
      </c>
      <c r="O822" s="34">
        <v>4.5</v>
      </c>
    </row>
    <row r="823" spans="2:15" x14ac:dyDescent="0.2">
      <c r="B823" s="27">
        <v>0.61736111111111114</v>
      </c>
      <c r="C823" s="28">
        <v>6</v>
      </c>
      <c r="D823" s="33" t="str">
        <f>IF(C823="", "",VLOOKUP(C823,Key!$A$5:$B$7,2,FALSE))</f>
        <v>Large Bus</v>
      </c>
      <c r="E823" s="29" t="s">
        <v>224</v>
      </c>
      <c r="F823" s="29" t="s">
        <v>67</v>
      </c>
      <c r="G823" s="29" t="s">
        <v>70</v>
      </c>
      <c r="H823" s="30" t="s">
        <v>70</v>
      </c>
      <c r="I823" s="29" t="s">
        <v>257</v>
      </c>
      <c r="J823" s="29" t="s">
        <v>129</v>
      </c>
      <c r="K823" s="30" t="s">
        <v>129</v>
      </c>
      <c r="L823" s="29" t="str">
        <f t="shared" si="12"/>
        <v>KAMPALA-MBALE</v>
      </c>
      <c r="M823" s="31">
        <v>50</v>
      </c>
      <c r="N823" s="72">
        <v>20000</v>
      </c>
      <c r="O823" s="34">
        <v>4.5</v>
      </c>
    </row>
    <row r="824" spans="2:15" x14ac:dyDescent="0.2">
      <c r="B824" s="27">
        <v>0.63611111111111118</v>
      </c>
      <c r="C824" s="28">
        <v>6</v>
      </c>
      <c r="D824" s="33" t="str">
        <f>IF(C824="", "",VLOOKUP(C824,Key!$A$5:$B$7,2,FALSE))</f>
        <v>Large Bus</v>
      </c>
      <c r="E824" s="29" t="s">
        <v>224</v>
      </c>
      <c r="F824" s="29" t="s">
        <v>67</v>
      </c>
      <c r="G824" s="29" t="s">
        <v>70</v>
      </c>
      <c r="H824" s="30" t="s">
        <v>70</v>
      </c>
      <c r="I824" s="29" t="s">
        <v>257</v>
      </c>
      <c r="J824" s="29" t="s">
        <v>73</v>
      </c>
      <c r="K824" s="30" t="s">
        <v>73</v>
      </c>
      <c r="L824" s="29" t="str">
        <f t="shared" si="12"/>
        <v>KAMPALA-SOROTI</v>
      </c>
      <c r="M824" s="31">
        <v>60</v>
      </c>
      <c r="N824" s="72">
        <v>25000</v>
      </c>
      <c r="O824" s="34">
        <v>6</v>
      </c>
    </row>
    <row r="825" spans="2:15" x14ac:dyDescent="0.2">
      <c r="B825" s="27">
        <v>0.66875000000000007</v>
      </c>
      <c r="C825" s="28">
        <v>6</v>
      </c>
      <c r="D825" s="33" t="str">
        <f>IF(C825="", "",VLOOKUP(C825,Key!$A$5:$B$7,2,FALSE))</f>
        <v>Large Bus</v>
      </c>
      <c r="E825" s="29" t="s">
        <v>224</v>
      </c>
      <c r="F825" s="29" t="s">
        <v>67</v>
      </c>
      <c r="G825" s="29" t="s">
        <v>70</v>
      </c>
      <c r="H825" s="30" t="s">
        <v>70</v>
      </c>
      <c r="I825" s="29" t="s">
        <v>257</v>
      </c>
      <c r="J825" s="29" t="s">
        <v>129</v>
      </c>
      <c r="K825" s="30" t="s">
        <v>129</v>
      </c>
      <c r="L825" s="29" t="str">
        <f t="shared" si="12"/>
        <v>KAMPALA-MBALE</v>
      </c>
      <c r="M825" s="31">
        <v>67</v>
      </c>
      <c r="N825" s="72">
        <v>20000</v>
      </c>
      <c r="O825" s="34">
        <v>4.5</v>
      </c>
    </row>
    <row r="826" spans="2:15" x14ac:dyDescent="0.2">
      <c r="B826" s="27">
        <v>0.72222222222222221</v>
      </c>
      <c r="C826" s="28">
        <v>6</v>
      </c>
      <c r="D826" s="33" t="str">
        <f>IF(C826="", "",VLOOKUP(C826,Key!$A$5:$B$7,2,FALSE))</f>
        <v>Large Bus</v>
      </c>
      <c r="E826" s="29" t="s">
        <v>224</v>
      </c>
      <c r="F826" s="29" t="s">
        <v>67</v>
      </c>
      <c r="G826" s="29" t="s">
        <v>70</v>
      </c>
      <c r="H826" s="30" t="s">
        <v>70</v>
      </c>
      <c r="I826" s="29" t="s">
        <v>257</v>
      </c>
      <c r="J826" s="29" t="s">
        <v>129</v>
      </c>
      <c r="K826" s="30" t="s">
        <v>129</v>
      </c>
      <c r="L826" s="29" t="str">
        <f t="shared" si="12"/>
        <v>KAMPALA-MBALE</v>
      </c>
      <c r="M826" s="31">
        <v>50</v>
      </c>
      <c r="N826" s="72">
        <v>20000</v>
      </c>
      <c r="O826" s="34">
        <v>4.5</v>
      </c>
    </row>
    <row r="827" spans="2:15" x14ac:dyDescent="0.2">
      <c r="B827" s="27">
        <v>0.80555555555555547</v>
      </c>
      <c r="C827" s="28">
        <v>6</v>
      </c>
      <c r="D827" s="33" t="str">
        <f>IF(C827="", "",VLOOKUP(C827,Key!$A$5:$B$7,2,FALSE))</f>
        <v>Large Bus</v>
      </c>
      <c r="E827" s="29" t="s">
        <v>224</v>
      </c>
      <c r="F827" s="29" t="s">
        <v>67</v>
      </c>
      <c r="G827" s="29" t="s">
        <v>70</v>
      </c>
      <c r="H827" s="30" t="s">
        <v>70</v>
      </c>
      <c r="I827" s="29" t="s">
        <v>257</v>
      </c>
      <c r="J827" s="29" t="s">
        <v>129</v>
      </c>
      <c r="K827" s="30" t="s">
        <v>129</v>
      </c>
      <c r="L827" s="29" t="str">
        <f t="shared" si="12"/>
        <v>KAMPALA-MBALE</v>
      </c>
      <c r="M827" s="31">
        <v>62</v>
      </c>
      <c r="N827" s="72">
        <v>20000</v>
      </c>
      <c r="O827" s="34">
        <v>4.5</v>
      </c>
    </row>
    <row r="828" spans="2:15" x14ac:dyDescent="0.2">
      <c r="B828" s="27">
        <v>0.84166666666666667</v>
      </c>
      <c r="C828" s="28">
        <v>6</v>
      </c>
      <c r="D828" s="33" t="str">
        <f>IF(C828="", "",VLOOKUP(C828,Key!$A$5:$B$7,2,FALSE))</f>
        <v>Large Bus</v>
      </c>
      <c r="E828" s="29" t="s">
        <v>224</v>
      </c>
      <c r="F828" s="29" t="s">
        <v>66</v>
      </c>
      <c r="G828" s="29" t="s">
        <v>130</v>
      </c>
      <c r="H828" s="30" t="s">
        <v>130</v>
      </c>
      <c r="I828" s="29" t="s">
        <v>257</v>
      </c>
      <c r="J828" s="29" t="s">
        <v>70</v>
      </c>
      <c r="K828" s="30" t="s">
        <v>70</v>
      </c>
      <c r="L828" s="29" t="str">
        <f t="shared" si="12"/>
        <v>LIRA-KAMPALA</v>
      </c>
      <c r="M828" s="31">
        <v>67</v>
      </c>
      <c r="N828" s="72">
        <v>20000</v>
      </c>
      <c r="O828" s="34">
        <v>5</v>
      </c>
    </row>
    <row r="829" spans="2:15" x14ac:dyDescent="0.2">
      <c r="B829" s="27">
        <v>0.85486111111111107</v>
      </c>
      <c r="C829" s="28">
        <v>6</v>
      </c>
      <c r="D829" s="33" t="str">
        <f>IF(C829="", "",VLOOKUP(C829,Key!$A$5:$B$7,2,FALSE))</f>
        <v>Large Bus</v>
      </c>
      <c r="E829" s="29" t="s">
        <v>224</v>
      </c>
      <c r="F829" s="29" t="s">
        <v>66</v>
      </c>
      <c r="G829" s="29" t="s">
        <v>129</v>
      </c>
      <c r="H829" s="30" t="s">
        <v>129</v>
      </c>
      <c r="I829" s="29" t="s">
        <v>257</v>
      </c>
      <c r="J829" s="29" t="s">
        <v>70</v>
      </c>
      <c r="K829" s="30" t="s">
        <v>70</v>
      </c>
      <c r="L829" s="29" t="str">
        <f t="shared" si="12"/>
        <v>MBALE-KAMPALA</v>
      </c>
      <c r="M829" s="31">
        <v>60</v>
      </c>
      <c r="N829" s="72">
        <v>18000</v>
      </c>
      <c r="O829" s="34">
        <v>4.5</v>
      </c>
    </row>
    <row r="830" spans="2:15" x14ac:dyDescent="0.2">
      <c r="B830" s="27">
        <v>0.87291666666666667</v>
      </c>
      <c r="C830" s="28">
        <v>6</v>
      </c>
      <c r="D830" s="33" t="str">
        <f>IF(C830="", "",VLOOKUP(C830,Key!$A$5:$B$7,2,FALSE))</f>
        <v>Large Bus</v>
      </c>
      <c r="E830" s="29" t="s">
        <v>224</v>
      </c>
      <c r="F830" s="29" t="s">
        <v>66</v>
      </c>
      <c r="G830" s="29" t="s">
        <v>129</v>
      </c>
      <c r="H830" s="30" t="s">
        <v>129</v>
      </c>
      <c r="I830" s="29" t="s">
        <v>257</v>
      </c>
      <c r="J830" s="29" t="s">
        <v>70</v>
      </c>
      <c r="K830" s="30" t="s">
        <v>70</v>
      </c>
      <c r="L830" s="29" t="str">
        <f t="shared" si="12"/>
        <v>MBALE-KAMPALA</v>
      </c>
      <c r="M830" s="31">
        <v>67</v>
      </c>
      <c r="N830" s="72">
        <v>18000</v>
      </c>
      <c r="O830" s="34">
        <v>4.5</v>
      </c>
    </row>
    <row r="831" spans="2:15" x14ac:dyDescent="0.2">
      <c r="B831" s="27">
        <v>0.86041666666666661</v>
      </c>
      <c r="C831" s="28">
        <v>6</v>
      </c>
      <c r="D831" s="33" t="str">
        <f>IF(C831="", "",VLOOKUP(C831,Key!$A$5:$B$7,2,FALSE))</f>
        <v>Large Bus</v>
      </c>
      <c r="E831" s="29" t="s">
        <v>224</v>
      </c>
      <c r="F831" s="29" t="s">
        <v>66</v>
      </c>
      <c r="G831" s="29" t="s">
        <v>73</v>
      </c>
      <c r="H831" s="30" t="s">
        <v>73</v>
      </c>
      <c r="I831" s="29" t="s">
        <v>257</v>
      </c>
      <c r="J831" s="29" t="s">
        <v>70</v>
      </c>
      <c r="K831" s="30" t="s">
        <v>70</v>
      </c>
      <c r="L831" s="29" t="str">
        <f t="shared" si="12"/>
        <v>SOROTI-KAMPALA</v>
      </c>
      <c r="M831" s="31">
        <v>56</v>
      </c>
      <c r="N831" s="72">
        <v>25000</v>
      </c>
      <c r="O831" s="34">
        <v>6</v>
      </c>
    </row>
    <row r="832" spans="2:15" x14ac:dyDescent="0.2">
      <c r="B832" s="27">
        <v>0.87638888888888899</v>
      </c>
      <c r="C832" s="28">
        <v>6</v>
      </c>
      <c r="D832" s="33" t="str">
        <f>IF(C832="", "",VLOOKUP(C832,Key!$A$5:$B$7,2,FALSE))</f>
        <v>Large Bus</v>
      </c>
      <c r="E832" s="29" t="s">
        <v>224</v>
      </c>
      <c r="F832" s="29" t="s">
        <v>66</v>
      </c>
      <c r="G832" s="29" t="s">
        <v>129</v>
      </c>
      <c r="H832" s="30" t="s">
        <v>129</v>
      </c>
      <c r="I832" s="29" t="s">
        <v>257</v>
      </c>
      <c r="J832" s="29" t="s">
        <v>70</v>
      </c>
      <c r="K832" s="30" t="s">
        <v>70</v>
      </c>
      <c r="L832" s="29" t="str">
        <f t="shared" si="12"/>
        <v>MBALE-KAMPALA</v>
      </c>
      <c r="M832" s="31">
        <v>63</v>
      </c>
      <c r="N832" s="72">
        <v>18000</v>
      </c>
      <c r="O832" s="34">
        <v>4.5</v>
      </c>
    </row>
    <row r="833" spans="2:15" x14ac:dyDescent="0.2">
      <c r="B833" s="27">
        <v>0.87777777777777777</v>
      </c>
      <c r="C833" s="28">
        <v>6</v>
      </c>
      <c r="D833" s="33" t="str">
        <f>IF(C833="", "",VLOOKUP(C833,Key!$A$5:$B$7,2,FALSE))</f>
        <v>Large Bus</v>
      </c>
      <c r="E833" s="29" t="s">
        <v>224</v>
      </c>
      <c r="F833" s="29" t="s">
        <v>66</v>
      </c>
      <c r="G833" s="29" t="s">
        <v>129</v>
      </c>
      <c r="H833" s="30" t="s">
        <v>129</v>
      </c>
      <c r="I833" s="29" t="s">
        <v>257</v>
      </c>
      <c r="J833" s="29" t="s">
        <v>70</v>
      </c>
      <c r="K833" s="30" t="s">
        <v>70</v>
      </c>
      <c r="L833" s="29" t="str">
        <f t="shared" si="12"/>
        <v>MBALE-KAMPALA</v>
      </c>
      <c r="M833" s="31">
        <v>62</v>
      </c>
      <c r="N833" s="72">
        <v>18000</v>
      </c>
      <c r="O833" s="34">
        <v>4.5</v>
      </c>
    </row>
    <row r="834" spans="2:15" x14ac:dyDescent="0.2">
      <c r="B834" s="27">
        <v>0.92569444444444438</v>
      </c>
      <c r="C834" s="28">
        <v>6</v>
      </c>
      <c r="D834" s="33" t="str">
        <f>IF(C834="", "",VLOOKUP(C834,Key!$A$5:$B$7,2,FALSE))</f>
        <v>Large Bus</v>
      </c>
      <c r="E834" s="29" t="s">
        <v>224</v>
      </c>
      <c r="F834" s="29" t="s">
        <v>66</v>
      </c>
      <c r="G834" s="29" t="s">
        <v>129</v>
      </c>
      <c r="H834" s="30" t="s">
        <v>129</v>
      </c>
      <c r="I834" s="29" t="s">
        <v>257</v>
      </c>
      <c r="J834" s="29" t="s">
        <v>70</v>
      </c>
      <c r="K834" s="30" t="s">
        <v>70</v>
      </c>
      <c r="L834" s="29" t="str">
        <f t="shared" si="12"/>
        <v>MBALE-KAMPALA</v>
      </c>
      <c r="M834" s="31">
        <v>65</v>
      </c>
      <c r="N834" s="72">
        <v>18000</v>
      </c>
      <c r="O834" s="34">
        <v>4.5</v>
      </c>
    </row>
    <row r="835" spans="2:15" x14ac:dyDescent="0.2">
      <c r="B835" s="27">
        <v>0.9770833333333333</v>
      </c>
      <c r="C835" s="28">
        <v>6</v>
      </c>
      <c r="D835" s="33" t="str">
        <f>IF(C835="", "",VLOOKUP(C835,Key!$A$5:$B$7,2,FALSE))</f>
        <v>Large Bus</v>
      </c>
      <c r="E835" s="29" t="s">
        <v>224</v>
      </c>
      <c r="F835" s="29" t="s">
        <v>66</v>
      </c>
      <c r="G835" s="29" t="s">
        <v>73</v>
      </c>
      <c r="H835" s="30" t="s">
        <v>73</v>
      </c>
      <c r="I835" s="29" t="s">
        <v>257</v>
      </c>
      <c r="J835" s="29" t="s">
        <v>70</v>
      </c>
      <c r="K835" s="30" t="s">
        <v>70</v>
      </c>
      <c r="L835" s="29" t="str">
        <f t="shared" si="12"/>
        <v>SOROTI-KAMPALA</v>
      </c>
      <c r="M835" s="31">
        <v>50</v>
      </c>
      <c r="N835" s="72">
        <v>25000</v>
      </c>
      <c r="O835" s="34">
        <v>6</v>
      </c>
    </row>
    <row r="836" spans="2:15" x14ac:dyDescent="0.2">
      <c r="B836" s="27">
        <v>0.99097222222222225</v>
      </c>
      <c r="C836" s="28">
        <v>6</v>
      </c>
      <c r="D836" s="33" t="str">
        <f>IF(C836="", "",VLOOKUP(C836,Key!$A$5:$B$7,2,FALSE))</f>
        <v>Large Bus</v>
      </c>
      <c r="E836" s="29" t="s">
        <v>224</v>
      </c>
      <c r="F836" s="29" t="s">
        <v>66</v>
      </c>
      <c r="G836" s="29" t="s">
        <v>129</v>
      </c>
      <c r="H836" s="30" t="s">
        <v>129</v>
      </c>
      <c r="I836" s="29" t="s">
        <v>257</v>
      </c>
      <c r="J836" s="29" t="s">
        <v>70</v>
      </c>
      <c r="K836" s="30" t="s">
        <v>70</v>
      </c>
      <c r="L836" s="29" t="str">
        <f t="shared" si="12"/>
        <v>MBALE-KAMPALA</v>
      </c>
      <c r="M836" s="31">
        <v>66</v>
      </c>
      <c r="N836" s="72">
        <v>18000</v>
      </c>
      <c r="O836" s="34">
        <v>4.5</v>
      </c>
    </row>
    <row r="837" spans="2:15" x14ac:dyDescent="0.2">
      <c r="B837" s="27">
        <v>3.4722222222222224E-2</v>
      </c>
      <c r="C837" s="28">
        <v>6</v>
      </c>
      <c r="D837" s="33" t="str">
        <f>IF(C837="", "",VLOOKUP(C837,Key!$A$5:$B$7,2,FALSE))</f>
        <v>Large Bus</v>
      </c>
      <c r="E837" s="29" t="s">
        <v>224</v>
      </c>
      <c r="F837" s="29" t="s">
        <v>66</v>
      </c>
      <c r="G837" s="29" t="s">
        <v>130</v>
      </c>
      <c r="H837" s="30" t="s">
        <v>130</v>
      </c>
      <c r="I837" s="29" t="s">
        <v>257</v>
      </c>
      <c r="J837" s="29" t="s">
        <v>70</v>
      </c>
      <c r="K837" s="30" t="s">
        <v>70</v>
      </c>
      <c r="L837" s="29" t="str">
        <f t="shared" si="12"/>
        <v>LIRA-KAMPALA</v>
      </c>
      <c r="M837" s="31">
        <v>67</v>
      </c>
      <c r="N837" s="72">
        <v>20000</v>
      </c>
      <c r="O837" s="34">
        <v>5</v>
      </c>
    </row>
    <row r="838" spans="2:15" x14ac:dyDescent="0.2">
      <c r="B838" s="27">
        <v>5.5555555555555552E-2</v>
      </c>
      <c r="C838" s="28">
        <v>6</v>
      </c>
      <c r="D838" s="33" t="str">
        <f>IF(C838="", "",VLOOKUP(C838,Key!$A$5:$B$7,2,FALSE))</f>
        <v>Large Bus</v>
      </c>
      <c r="E838" s="29" t="s">
        <v>224</v>
      </c>
      <c r="F838" s="29" t="s">
        <v>66</v>
      </c>
      <c r="G838" s="29" t="s">
        <v>129</v>
      </c>
      <c r="H838" s="30" t="s">
        <v>129</v>
      </c>
      <c r="I838" s="29" t="s">
        <v>257</v>
      </c>
      <c r="J838" s="29" t="s">
        <v>70</v>
      </c>
      <c r="K838" s="30" t="s">
        <v>70</v>
      </c>
      <c r="L838" s="29" t="str">
        <f t="shared" si="12"/>
        <v>MBALE-KAMPALA</v>
      </c>
      <c r="M838" s="31">
        <v>60</v>
      </c>
      <c r="N838" s="72">
        <v>20000</v>
      </c>
      <c r="O838" s="34">
        <v>4.5</v>
      </c>
    </row>
    <row r="839" spans="2:15" x14ac:dyDescent="0.2">
      <c r="B839" s="27">
        <v>0.1076388888888889</v>
      </c>
      <c r="C839" s="28">
        <v>6</v>
      </c>
      <c r="D839" s="33" t="str">
        <f>IF(C839="", "",VLOOKUP(C839,Key!$A$5:$B$7,2,FALSE))</f>
        <v>Large Bus</v>
      </c>
      <c r="E839" s="29" t="s">
        <v>224</v>
      </c>
      <c r="F839" s="29" t="s">
        <v>66</v>
      </c>
      <c r="G839" s="29" t="s">
        <v>73</v>
      </c>
      <c r="H839" s="30" t="s">
        <v>73</v>
      </c>
      <c r="I839" s="29" t="s">
        <v>257</v>
      </c>
      <c r="J839" s="29" t="s">
        <v>70</v>
      </c>
      <c r="K839" s="30" t="s">
        <v>70</v>
      </c>
      <c r="L839" s="29" t="str">
        <f t="shared" si="12"/>
        <v>SOROTI-KAMPALA</v>
      </c>
      <c r="M839" s="31">
        <v>65</v>
      </c>
      <c r="N839" s="72">
        <v>25000</v>
      </c>
      <c r="O839" s="34">
        <v>6</v>
      </c>
    </row>
    <row r="840" spans="2:15" x14ac:dyDescent="0.2">
      <c r="B840" s="27">
        <v>0.15972222222222224</v>
      </c>
      <c r="C840" s="28">
        <v>6</v>
      </c>
      <c r="D840" s="33" t="str">
        <f>IF(C840="", "",VLOOKUP(C840,Key!$A$5:$B$7,2,FALSE))</f>
        <v>Large Bus</v>
      </c>
      <c r="E840" s="29" t="s">
        <v>224</v>
      </c>
      <c r="F840" s="29" t="s">
        <v>66</v>
      </c>
      <c r="G840" s="29" t="s">
        <v>129</v>
      </c>
      <c r="H840" s="30" t="s">
        <v>129</v>
      </c>
      <c r="I840" s="29" t="s">
        <v>257</v>
      </c>
      <c r="J840" s="29" t="s">
        <v>70</v>
      </c>
      <c r="K840" s="30" t="s">
        <v>70</v>
      </c>
      <c r="L840" s="29" t="str">
        <f t="shared" si="12"/>
        <v>MBALE-KAMPALA</v>
      </c>
      <c r="M840" s="31">
        <v>65</v>
      </c>
      <c r="N840" s="72">
        <v>20000</v>
      </c>
      <c r="O840" s="34">
        <v>4.5</v>
      </c>
    </row>
    <row r="841" spans="2:15" x14ac:dyDescent="0.2">
      <c r="B841" s="27">
        <v>0.20138888888888887</v>
      </c>
      <c r="C841" s="28">
        <v>6</v>
      </c>
      <c r="D841" s="33" t="str">
        <f>IF(C841="", "",VLOOKUP(C841,Key!$A$5:$B$7,2,FALSE))</f>
        <v>Large Bus</v>
      </c>
      <c r="E841" s="29" t="s">
        <v>224</v>
      </c>
      <c r="F841" s="29" t="s">
        <v>66</v>
      </c>
      <c r="G841" s="29" t="s">
        <v>131</v>
      </c>
      <c r="H841" s="30" t="s">
        <v>131</v>
      </c>
      <c r="I841" s="29" t="s">
        <v>257</v>
      </c>
      <c r="J841" s="29" t="s">
        <v>70</v>
      </c>
      <c r="K841" s="30" t="s">
        <v>70</v>
      </c>
      <c r="L841" s="29" t="str">
        <f t="shared" si="12"/>
        <v>APAC-KAMPALA</v>
      </c>
      <c r="M841" s="31">
        <v>67</v>
      </c>
      <c r="N841" s="72">
        <v>20000</v>
      </c>
      <c r="O841" s="34">
        <v>4.5</v>
      </c>
    </row>
    <row r="842" spans="2:15" x14ac:dyDescent="0.2">
      <c r="B842" s="27">
        <v>0.21875</v>
      </c>
      <c r="C842" s="28">
        <v>6</v>
      </c>
      <c r="D842" s="33" t="str">
        <f>IF(C842="", "",VLOOKUP(C842,Key!$A$5:$B$7,2,FALSE))</f>
        <v>Large Bus</v>
      </c>
      <c r="E842" s="29" t="s">
        <v>224</v>
      </c>
      <c r="F842" s="29" t="s">
        <v>66</v>
      </c>
      <c r="G842" s="29" t="s">
        <v>73</v>
      </c>
      <c r="H842" s="30" t="s">
        <v>73</v>
      </c>
      <c r="I842" s="29" t="s">
        <v>257</v>
      </c>
      <c r="J842" s="29" t="s">
        <v>70</v>
      </c>
      <c r="K842" s="30" t="s">
        <v>70</v>
      </c>
      <c r="L842" s="29" t="str">
        <f t="shared" ref="L842:L905" si="13">H842&amp;"-"&amp;K842</f>
        <v>SOROTI-KAMPALA</v>
      </c>
      <c r="M842" s="31">
        <v>61</v>
      </c>
      <c r="N842" s="72">
        <v>25000</v>
      </c>
      <c r="O842" s="34">
        <v>6</v>
      </c>
    </row>
    <row r="843" spans="2:15" x14ac:dyDescent="0.2">
      <c r="B843" s="27">
        <v>0.22013888888888888</v>
      </c>
      <c r="C843" s="28">
        <v>6</v>
      </c>
      <c r="D843" s="33" t="str">
        <f>IF(C843="", "",VLOOKUP(C843,Key!$A$5:$B$7,2,FALSE))</f>
        <v>Large Bus</v>
      </c>
      <c r="E843" s="29" t="s">
        <v>224</v>
      </c>
      <c r="F843" s="29" t="s">
        <v>66</v>
      </c>
      <c r="G843" s="29" t="s">
        <v>73</v>
      </c>
      <c r="H843" s="30" t="s">
        <v>73</v>
      </c>
      <c r="I843" s="29" t="s">
        <v>257</v>
      </c>
      <c r="J843" s="29" t="s">
        <v>70</v>
      </c>
      <c r="K843" s="30" t="s">
        <v>70</v>
      </c>
      <c r="L843" s="29" t="str">
        <f t="shared" si="13"/>
        <v>SOROTI-KAMPALA</v>
      </c>
      <c r="M843" s="31">
        <v>67</v>
      </c>
      <c r="N843" s="72">
        <v>25000</v>
      </c>
      <c r="O843" s="34">
        <v>6</v>
      </c>
    </row>
    <row r="844" spans="2:15" x14ac:dyDescent="0.2">
      <c r="B844" s="27">
        <v>0.27986111111111112</v>
      </c>
      <c r="C844" s="28">
        <v>6</v>
      </c>
      <c r="D844" s="33" t="str">
        <f>IF(C844="", "",VLOOKUP(C844,Key!$A$5:$B$7,2,FALSE))</f>
        <v>Large Bus</v>
      </c>
      <c r="E844" s="29" t="s">
        <v>224</v>
      </c>
      <c r="F844" s="29" t="s">
        <v>66</v>
      </c>
      <c r="G844" s="29" t="s">
        <v>129</v>
      </c>
      <c r="H844" s="30" t="s">
        <v>129</v>
      </c>
      <c r="I844" s="29" t="s">
        <v>257</v>
      </c>
      <c r="J844" s="29" t="s">
        <v>70</v>
      </c>
      <c r="K844" s="30" t="s">
        <v>70</v>
      </c>
      <c r="L844" s="29" t="str">
        <f t="shared" si="13"/>
        <v>MBALE-KAMPALA</v>
      </c>
      <c r="M844" s="31">
        <v>65</v>
      </c>
      <c r="N844" s="72">
        <v>20000</v>
      </c>
      <c r="O844" s="34">
        <v>4.5</v>
      </c>
    </row>
    <row r="845" spans="2:15" x14ac:dyDescent="0.2">
      <c r="B845" s="27">
        <v>0.91249999999999998</v>
      </c>
      <c r="C845" s="28">
        <v>6</v>
      </c>
      <c r="D845" s="33" t="str">
        <f>IF(C845="", "",VLOOKUP(C845,Key!$A$5:$B$7,2,FALSE))</f>
        <v>Large Bus</v>
      </c>
      <c r="E845" s="29" t="s">
        <v>224</v>
      </c>
      <c r="F845" s="29" t="s">
        <v>67</v>
      </c>
      <c r="G845" s="29" t="s">
        <v>70</v>
      </c>
      <c r="H845" s="30" t="s">
        <v>70</v>
      </c>
      <c r="I845" s="29" t="s">
        <v>257</v>
      </c>
      <c r="J845" s="29" t="s">
        <v>129</v>
      </c>
      <c r="K845" s="30" t="s">
        <v>129</v>
      </c>
      <c r="L845" s="29" t="str">
        <f t="shared" si="13"/>
        <v>KAMPALA-MBALE</v>
      </c>
      <c r="M845" s="31">
        <v>66</v>
      </c>
      <c r="N845" s="72">
        <v>20000</v>
      </c>
      <c r="O845" s="34">
        <v>4.5</v>
      </c>
    </row>
    <row r="846" spans="2:15" x14ac:dyDescent="0.2">
      <c r="B846" s="27">
        <v>0.97916666666666663</v>
      </c>
      <c r="C846" s="28">
        <v>6</v>
      </c>
      <c r="D846" s="33" t="str">
        <f>IF(C846="", "",VLOOKUP(C846,Key!$A$5:$B$7,2,FALSE))</f>
        <v>Large Bus</v>
      </c>
      <c r="E846" s="29" t="s">
        <v>224</v>
      </c>
      <c r="F846" s="29" t="s">
        <v>67</v>
      </c>
      <c r="G846" s="29" t="s">
        <v>70</v>
      </c>
      <c r="H846" s="30" t="s">
        <v>70</v>
      </c>
      <c r="I846" s="29" t="s">
        <v>257</v>
      </c>
      <c r="J846" s="29" t="s">
        <v>73</v>
      </c>
      <c r="K846" s="30" t="s">
        <v>73</v>
      </c>
      <c r="L846" s="29" t="str">
        <f t="shared" si="13"/>
        <v>KAMPALA-SOROTI</v>
      </c>
      <c r="M846" s="31">
        <v>63</v>
      </c>
      <c r="N846" s="72">
        <v>25000</v>
      </c>
      <c r="O846" s="34">
        <v>6</v>
      </c>
    </row>
    <row r="847" spans="2:15" x14ac:dyDescent="0.2">
      <c r="B847" s="27">
        <v>4.1666666666666664E-2</v>
      </c>
      <c r="C847" s="28">
        <v>6</v>
      </c>
      <c r="D847" s="33" t="str">
        <f>IF(C847="", "",VLOOKUP(C847,Key!$A$5:$B$7,2,FALSE))</f>
        <v>Large Bus</v>
      </c>
      <c r="E847" s="29" t="s">
        <v>224</v>
      </c>
      <c r="F847" s="29" t="s">
        <v>67</v>
      </c>
      <c r="G847" s="29" t="s">
        <v>70</v>
      </c>
      <c r="H847" s="30" t="s">
        <v>70</v>
      </c>
      <c r="I847" s="29" t="s">
        <v>257</v>
      </c>
      <c r="J847" s="29" t="s">
        <v>73</v>
      </c>
      <c r="K847" s="30" t="s">
        <v>73</v>
      </c>
      <c r="L847" s="29" t="str">
        <f t="shared" si="13"/>
        <v>KAMPALA-SOROTI</v>
      </c>
      <c r="M847" s="31">
        <v>43</v>
      </c>
      <c r="N847" s="72">
        <v>25000</v>
      </c>
      <c r="O847" s="34">
        <v>6</v>
      </c>
    </row>
    <row r="848" spans="2:15" x14ac:dyDescent="0.2">
      <c r="B848" s="27">
        <v>8.3333333333333329E-2</v>
      </c>
      <c r="C848" s="28">
        <v>6</v>
      </c>
      <c r="D848" s="33" t="str">
        <f>IF(C848="", "",VLOOKUP(C848,Key!$A$5:$B$7,2,FALSE))</f>
        <v>Large Bus</v>
      </c>
      <c r="E848" s="29" t="s">
        <v>224</v>
      </c>
      <c r="F848" s="29" t="s">
        <v>67</v>
      </c>
      <c r="G848" s="29" t="s">
        <v>70</v>
      </c>
      <c r="H848" s="30" t="s">
        <v>70</v>
      </c>
      <c r="I848" s="29" t="s">
        <v>257</v>
      </c>
      <c r="J848" s="29" t="s">
        <v>130</v>
      </c>
      <c r="K848" s="30" t="s">
        <v>130</v>
      </c>
      <c r="L848" s="29" t="str">
        <f t="shared" si="13"/>
        <v>KAMPALA-LIRA</v>
      </c>
      <c r="M848" s="31">
        <v>58</v>
      </c>
      <c r="N848" s="72">
        <v>25000</v>
      </c>
      <c r="O848" s="34">
        <v>5</v>
      </c>
    </row>
    <row r="849" spans="2:15" x14ac:dyDescent="0.2">
      <c r="B849" s="27">
        <v>0.10902777777777778</v>
      </c>
      <c r="C849" s="28">
        <v>6</v>
      </c>
      <c r="D849" s="33" t="str">
        <f>IF(C849="", "",VLOOKUP(C849,Key!$A$5:$B$7,2,FALSE))</f>
        <v>Large Bus</v>
      </c>
      <c r="E849" s="29" t="s">
        <v>224</v>
      </c>
      <c r="F849" s="29" t="s">
        <v>67</v>
      </c>
      <c r="G849" s="29" t="s">
        <v>70</v>
      </c>
      <c r="H849" s="30" t="s">
        <v>70</v>
      </c>
      <c r="I849" s="29" t="s">
        <v>257</v>
      </c>
      <c r="J849" s="29" t="s">
        <v>73</v>
      </c>
      <c r="K849" s="30" t="s">
        <v>73</v>
      </c>
      <c r="L849" s="29" t="str">
        <f t="shared" si="13"/>
        <v>KAMPALA-SOROTI</v>
      </c>
      <c r="M849" s="31">
        <v>61</v>
      </c>
      <c r="N849" s="72">
        <v>25000</v>
      </c>
      <c r="O849" s="34">
        <v>6</v>
      </c>
    </row>
    <row r="850" spans="2:15" x14ac:dyDescent="0.2">
      <c r="B850" s="27">
        <v>0.125</v>
      </c>
      <c r="C850" s="28">
        <v>6</v>
      </c>
      <c r="D850" s="33" t="str">
        <f>IF(C850="", "",VLOOKUP(C850,Key!$A$5:$B$7,2,FALSE))</f>
        <v>Large Bus</v>
      </c>
      <c r="E850" s="29" t="s">
        <v>224</v>
      </c>
      <c r="F850" s="29" t="s">
        <v>67</v>
      </c>
      <c r="G850" s="29" t="s">
        <v>70</v>
      </c>
      <c r="H850" s="30" t="s">
        <v>70</v>
      </c>
      <c r="I850" s="29" t="s">
        <v>257</v>
      </c>
      <c r="J850" s="29" t="s">
        <v>129</v>
      </c>
      <c r="K850" s="30" t="s">
        <v>129</v>
      </c>
      <c r="L850" s="29" t="str">
        <f t="shared" si="13"/>
        <v>KAMPALA-MBALE</v>
      </c>
      <c r="M850" s="31">
        <v>52</v>
      </c>
      <c r="N850" s="72">
        <v>20000</v>
      </c>
      <c r="O850" s="34">
        <v>4.5</v>
      </c>
    </row>
    <row r="851" spans="2:15" x14ac:dyDescent="0.2">
      <c r="B851" s="27">
        <v>0.18055555555555555</v>
      </c>
      <c r="C851" s="28">
        <v>6</v>
      </c>
      <c r="D851" s="33" t="str">
        <f>IF(C851="", "",VLOOKUP(C851,Key!$A$5:$B$7,2,FALSE))</f>
        <v>Large Bus</v>
      </c>
      <c r="E851" s="29" t="s">
        <v>224</v>
      </c>
      <c r="F851" s="29" t="s">
        <v>67</v>
      </c>
      <c r="G851" s="29" t="s">
        <v>70</v>
      </c>
      <c r="H851" s="30" t="s">
        <v>70</v>
      </c>
      <c r="I851" s="29" t="s">
        <v>257</v>
      </c>
      <c r="J851" s="29" t="s">
        <v>73</v>
      </c>
      <c r="K851" s="30" t="s">
        <v>73</v>
      </c>
      <c r="L851" s="29" t="str">
        <f t="shared" si="13"/>
        <v>KAMPALA-SOROTI</v>
      </c>
      <c r="M851" s="31">
        <v>40</v>
      </c>
      <c r="N851" s="72">
        <v>25000</v>
      </c>
      <c r="O851" s="34">
        <v>6</v>
      </c>
    </row>
    <row r="852" spans="2:15" x14ac:dyDescent="0.2">
      <c r="B852" s="27">
        <v>0.24166666666666667</v>
      </c>
      <c r="C852" s="28">
        <v>6</v>
      </c>
      <c r="D852" s="33" t="str">
        <f>IF(C852="", "",VLOOKUP(C852,Key!$A$5:$B$7,2,FALSE))</f>
        <v>Large Bus</v>
      </c>
      <c r="E852" s="29" t="s">
        <v>224</v>
      </c>
      <c r="F852" s="29" t="s">
        <v>67</v>
      </c>
      <c r="G852" s="29" t="s">
        <v>70</v>
      </c>
      <c r="H852" s="30" t="s">
        <v>70</v>
      </c>
      <c r="I852" s="29" t="s">
        <v>257</v>
      </c>
      <c r="J852" s="29" t="s">
        <v>73</v>
      </c>
      <c r="K852" s="30" t="s">
        <v>73</v>
      </c>
      <c r="L852" s="29" t="str">
        <f t="shared" si="13"/>
        <v>KAMPALA-SOROTI</v>
      </c>
      <c r="M852" s="31">
        <v>56</v>
      </c>
      <c r="N852" s="72">
        <v>25000</v>
      </c>
      <c r="O852" s="34">
        <v>6</v>
      </c>
    </row>
    <row r="853" spans="2:15" x14ac:dyDescent="0.2">
      <c r="B853" s="45" t="s">
        <v>219</v>
      </c>
      <c r="C853" s="47"/>
      <c r="D853" s="33" t="str">
        <f>IF(C853="", "",VLOOKUP(C853,Key!$A$5:$B$7,2,FALSE))</f>
        <v/>
      </c>
      <c r="E853" s="44" t="s">
        <v>224</v>
      </c>
      <c r="F853" s="48"/>
      <c r="G853" s="47"/>
      <c r="H853" s="47"/>
      <c r="I853" s="47" t="s">
        <v>257</v>
      </c>
      <c r="J853" s="47"/>
      <c r="K853" s="47"/>
      <c r="L853" s="47" t="str">
        <f t="shared" si="13"/>
        <v>-</v>
      </c>
      <c r="M853" s="47"/>
      <c r="N853" s="48"/>
      <c r="O853" s="48"/>
    </row>
    <row r="854" spans="2:15" x14ac:dyDescent="0.2">
      <c r="B854" s="27">
        <v>0.72569444444444453</v>
      </c>
      <c r="C854" s="28">
        <v>6</v>
      </c>
      <c r="D854" s="33" t="str">
        <f>IF(C854="", "",VLOOKUP(C854,Key!$A$5:$B$7,2,FALSE))</f>
        <v>Large Bus</v>
      </c>
      <c r="E854" s="29" t="s">
        <v>224</v>
      </c>
      <c r="F854" s="29" t="s">
        <v>67</v>
      </c>
      <c r="G854" s="29" t="s">
        <v>70</v>
      </c>
      <c r="H854" s="30" t="s">
        <v>70</v>
      </c>
      <c r="I854" s="29" t="s">
        <v>257</v>
      </c>
      <c r="J854" s="29" t="s">
        <v>129</v>
      </c>
      <c r="K854" s="30" t="s">
        <v>129</v>
      </c>
      <c r="L854" s="29" t="str">
        <f t="shared" si="13"/>
        <v>KAMPALA-MBALE</v>
      </c>
      <c r="M854" s="31">
        <v>67</v>
      </c>
      <c r="N854" s="72">
        <v>20000</v>
      </c>
      <c r="O854" s="34">
        <v>4.5</v>
      </c>
    </row>
    <row r="855" spans="2:15" x14ac:dyDescent="0.2">
      <c r="B855" s="27">
        <v>0.93055555555555547</v>
      </c>
      <c r="C855" s="28">
        <v>6</v>
      </c>
      <c r="D855" s="33" t="str">
        <f>IF(C855="", "",VLOOKUP(C855,Key!$A$5:$B$7,2,FALSE))</f>
        <v>Large Bus</v>
      </c>
      <c r="E855" s="29" t="s">
        <v>224</v>
      </c>
      <c r="F855" s="29" t="s">
        <v>67</v>
      </c>
      <c r="G855" s="29" t="s">
        <v>70</v>
      </c>
      <c r="H855" s="30" t="s">
        <v>70</v>
      </c>
      <c r="I855" s="29" t="s">
        <v>257</v>
      </c>
      <c r="J855" s="29" t="s">
        <v>73</v>
      </c>
      <c r="K855" s="30" t="s">
        <v>73</v>
      </c>
      <c r="L855" s="29" t="str">
        <f t="shared" si="13"/>
        <v>KAMPALA-SOROTI</v>
      </c>
      <c r="M855" s="31">
        <v>50</v>
      </c>
      <c r="N855" s="72">
        <v>25000</v>
      </c>
      <c r="O855" s="34">
        <v>6</v>
      </c>
    </row>
    <row r="856" spans="2:15" x14ac:dyDescent="0.2">
      <c r="B856" s="27">
        <v>0.98263888888888884</v>
      </c>
      <c r="C856" s="28">
        <v>6</v>
      </c>
      <c r="D856" s="33" t="str">
        <f>IF(C856="", "",VLOOKUP(C856,Key!$A$5:$B$7,2,FALSE))</f>
        <v>Large Bus</v>
      </c>
      <c r="E856" s="29" t="s">
        <v>224</v>
      </c>
      <c r="F856" s="29" t="s">
        <v>67</v>
      </c>
      <c r="G856" s="29" t="s">
        <v>70</v>
      </c>
      <c r="H856" s="30" t="s">
        <v>70</v>
      </c>
      <c r="I856" s="29" t="s">
        <v>257</v>
      </c>
      <c r="J856" s="29" t="s">
        <v>73</v>
      </c>
      <c r="K856" s="30" t="s">
        <v>73</v>
      </c>
      <c r="L856" s="29" t="str">
        <f t="shared" si="13"/>
        <v>KAMPALA-SOROTI</v>
      </c>
      <c r="M856" s="31">
        <v>60</v>
      </c>
      <c r="N856" s="72">
        <v>25000</v>
      </c>
      <c r="O856" s="34">
        <v>6</v>
      </c>
    </row>
    <row r="857" spans="2:15" x14ac:dyDescent="0.2">
      <c r="B857" s="27">
        <v>0.52083333333333337</v>
      </c>
      <c r="C857" s="28">
        <v>6</v>
      </c>
      <c r="D857" s="33" t="str">
        <f>IF(C857="", "",VLOOKUP(C857,Key!$A$5:$B$7,2,FALSE))</f>
        <v>Large Bus</v>
      </c>
      <c r="E857" s="29" t="s">
        <v>224</v>
      </c>
      <c r="F857" s="29" t="s">
        <v>67</v>
      </c>
      <c r="G857" s="29" t="s">
        <v>70</v>
      </c>
      <c r="H857" s="30" t="s">
        <v>70</v>
      </c>
      <c r="I857" s="29" t="s">
        <v>257</v>
      </c>
      <c r="J857" s="29" t="s">
        <v>73</v>
      </c>
      <c r="K857" s="30" t="s">
        <v>73</v>
      </c>
      <c r="L857" s="29" t="str">
        <f t="shared" si="13"/>
        <v>KAMPALA-SOROTI</v>
      </c>
      <c r="M857" s="31">
        <v>57</v>
      </c>
      <c r="N857" s="72">
        <v>25000</v>
      </c>
      <c r="O857" s="34">
        <v>6</v>
      </c>
    </row>
    <row r="858" spans="2:15" x14ac:dyDescent="0.2">
      <c r="B858" s="27">
        <v>0.17708333333333334</v>
      </c>
      <c r="C858" s="28">
        <v>6</v>
      </c>
      <c r="D858" s="33" t="str">
        <f>IF(C858="", "",VLOOKUP(C858,Key!$A$5:$B$7,2,FALSE))</f>
        <v>Large Bus</v>
      </c>
      <c r="E858" s="29" t="s">
        <v>224</v>
      </c>
      <c r="F858" s="29" t="s">
        <v>67</v>
      </c>
      <c r="G858" s="29" t="s">
        <v>70</v>
      </c>
      <c r="H858" s="30" t="s">
        <v>70</v>
      </c>
      <c r="I858" s="29" t="s">
        <v>257</v>
      </c>
      <c r="J858" s="29" t="s">
        <v>130</v>
      </c>
      <c r="K858" s="30" t="s">
        <v>130</v>
      </c>
      <c r="L858" s="29" t="str">
        <f t="shared" si="13"/>
        <v>KAMPALA-LIRA</v>
      </c>
      <c r="M858" s="31">
        <v>56</v>
      </c>
      <c r="N858" s="72">
        <v>25000</v>
      </c>
      <c r="O858" s="34">
        <v>5</v>
      </c>
    </row>
    <row r="859" spans="2:15" x14ac:dyDescent="0.2">
      <c r="B859" s="27">
        <v>9.0277777777777776E-2</v>
      </c>
      <c r="C859" s="28">
        <v>6</v>
      </c>
      <c r="D859" s="33" t="str">
        <f>IF(C859="", "",VLOOKUP(C859,Key!$A$5:$B$7,2,FALSE))</f>
        <v>Large Bus</v>
      </c>
      <c r="E859" s="29" t="s">
        <v>224</v>
      </c>
      <c r="F859" s="29" t="s">
        <v>67</v>
      </c>
      <c r="G859" s="29" t="s">
        <v>70</v>
      </c>
      <c r="H859" s="30" t="s">
        <v>70</v>
      </c>
      <c r="I859" s="29" t="s">
        <v>257</v>
      </c>
      <c r="J859" s="29" t="s">
        <v>130</v>
      </c>
      <c r="K859" s="30" t="s">
        <v>130</v>
      </c>
      <c r="L859" s="29" t="str">
        <f t="shared" si="13"/>
        <v>KAMPALA-LIRA</v>
      </c>
      <c r="M859" s="31">
        <v>59</v>
      </c>
      <c r="N859" s="72">
        <v>25000</v>
      </c>
      <c r="O859" s="34">
        <v>5</v>
      </c>
    </row>
    <row r="860" spans="2:15" x14ac:dyDescent="0.2">
      <c r="B860" s="27">
        <v>1.9097222222222223</v>
      </c>
      <c r="C860" s="28">
        <v>6</v>
      </c>
      <c r="D860" s="33" t="str">
        <f>IF(C860="", "",VLOOKUP(C860,Key!$A$5:$B$7,2,FALSE))</f>
        <v>Large Bus</v>
      </c>
      <c r="E860" s="29" t="s">
        <v>224</v>
      </c>
      <c r="F860" s="29" t="s">
        <v>67</v>
      </c>
      <c r="G860" s="29" t="s">
        <v>70</v>
      </c>
      <c r="H860" s="30" t="s">
        <v>70</v>
      </c>
      <c r="I860" s="29" t="s">
        <v>257</v>
      </c>
      <c r="J860" s="29" t="s">
        <v>130</v>
      </c>
      <c r="K860" s="30" t="s">
        <v>130</v>
      </c>
      <c r="L860" s="29" t="str">
        <f t="shared" si="13"/>
        <v>KAMPALA-LIRA</v>
      </c>
      <c r="M860" s="31">
        <v>65</v>
      </c>
      <c r="N860" s="72">
        <v>25000</v>
      </c>
      <c r="O860" s="34">
        <v>5</v>
      </c>
    </row>
    <row r="861" spans="2:15" x14ac:dyDescent="0.2">
      <c r="B861" s="27">
        <v>0.24652777777777779</v>
      </c>
      <c r="C861" s="28">
        <v>6</v>
      </c>
      <c r="D861" s="33" t="str">
        <f>IF(C861="", "",VLOOKUP(C861,Key!$A$5:$B$7,2,FALSE))</f>
        <v>Large Bus</v>
      </c>
      <c r="E861" s="29" t="s">
        <v>224</v>
      </c>
      <c r="F861" s="29" t="s">
        <v>67</v>
      </c>
      <c r="G861" s="29" t="s">
        <v>70</v>
      </c>
      <c r="H861" s="30" t="s">
        <v>70</v>
      </c>
      <c r="I861" s="29" t="s">
        <v>257</v>
      </c>
      <c r="J861" s="29" t="s">
        <v>130</v>
      </c>
      <c r="K861" s="30" t="s">
        <v>130</v>
      </c>
      <c r="L861" s="29" t="str">
        <f t="shared" si="13"/>
        <v>KAMPALA-LIRA</v>
      </c>
      <c r="M861" s="31">
        <v>60</v>
      </c>
      <c r="N861" s="72">
        <v>25000</v>
      </c>
      <c r="O861" s="34">
        <v>5</v>
      </c>
    </row>
    <row r="862" spans="2:15" x14ac:dyDescent="0.2">
      <c r="B862" s="27">
        <v>0.3034722222222222</v>
      </c>
      <c r="C862" s="28">
        <v>6</v>
      </c>
      <c r="D862" s="33" t="str">
        <f>IF(C862="", "",VLOOKUP(C862,Key!$A$5:$B$7,2,FALSE))</f>
        <v>Large Bus</v>
      </c>
      <c r="E862" s="29" t="s">
        <v>224</v>
      </c>
      <c r="F862" s="29" t="s">
        <v>67</v>
      </c>
      <c r="G862" s="29" t="s">
        <v>70</v>
      </c>
      <c r="H862" s="30" t="s">
        <v>70</v>
      </c>
      <c r="I862" s="29" t="s">
        <v>257</v>
      </c>
      <c r="J862" s="29" t="s">
        <v>129</v>
      </c>
      <c r="K862" s="30" t="s">
        <v>129</v>
      </c>
      <c r="L862" s="29" t="str">
        <f t="shared" si="13"/>
        <v>KAMPALA-MBALE</v>
      </c>
      <c r="M862" s="31">
        <v>50</v>
      </c>
      <c r="N862" s="72">
        <v>20000</v>
      </c>
      <c r="O862" s="34">
        <v>4.5</v>
      </c>
    </row>
    <row r="863" spans="2:15" x14ac:dyDescent="0.2">
      <c r="B863" s="27">
        <v>0.85069444444444453</v>
      </c>
      <c r="C863" s="28">
        <v>6</v>
      </c>
      <c r="D863" s="33" t="str">
        <f>IF(C863="", "",VLOOKUP(C863,Key!$A$5:$B$7,2,FALSE))</f>
        <v>Large Bus</v>
      </c>
      <c r="E863" s="29" t="s">
        <v>224</v>
      </c>
      <c r="F863" s="29" t="s">
        <v>66</v>
      </c>
      <c r="G863" s="29" t="s">
        <v>129</v>
      </c>
      <c r="H863" s="30" t="s">
        <v>129</v>
      </c>
      <c r="I863" s="29" t="s">
        <v>257</v>
      </c>
      <c r="J863" s="29" t="s">
        <v>70</v>
      </c>
      <c r="K863" s="30" t="s">
        <v>70</v>
      </c>
      <c r="L863" s="29" t="str">
        <f t="shared" si="13"/>
        <v>MBALE-KAMPALA</v>
      </c>
      <c r="M863" s="31">
        <v>67</v>
      </c>
      <c r="N863" s="72">
        <v>20000</v>
      </c>
      <c r="O863" s="34">
        <v>4.5</v>
      </c>
    </row>
    <row r="864" spans="2:15" x14ac:dyDescent="0.2">
      <c r="B864" s="27">
        <v>9.3055555555555558E-2</v>
      </c>
      <c r="C864" s="28">
        <v>6</v>
      </c>
      <c r="D864" s="33" t="str">
        <f>IF(C864="", "",VLOOKUP(C864,Key!$A$5:$B$7,2,FALSE))</f>
        <v>Large Bus</v>
      </c>
      <c r="E864" s="29" t="s">
        <v>224</v>
      </c>
      <c r="F864" s="29" t="s">
        <v>66</v>
      </c>
      <c r="G864" s="29" t="s">
        <v>129</v>
      </c>
      <c r="H864" s="30" t="s">
        <v>129</v>
      </c>
      <c r="I864" s="29" t="s">
        <v>257</v>
      </c>
      <c r="J864" s="29" t="s">
        <v>70</v>
      </c>
      <c r="K864" s="30" t="s">
        <v>70</v>
      </c>
      <c r="L864" s="29" t="str">
        <f t="shared" si="13"/>
        <v>MBALE-KAMPALA</v>
      </c>
      <c r="M864" s="31">
        <v>67</v>
      </c>
      <c r="N864" s="72">
        <v>20000</v>
      </c>
      <c r="O864" s="34">
        <v>4.5</v>
      </c>
    </row>
    <row r="865" spans="2:15" x14ac:dyDescent="0.2">
      <c r="B865" s="27">
        <v>0.93541666666666667</v>
      </c>
      <c r="C865" s="28">
        <v>6</v>
      </c>
      <c r="D865" s="33" t="str">
        <f>IF(C865="", "",VLOOKUP(C865,Key!$A$5:$B$7,2,FALSE))</f>
        <v>Large Bus</v>
      </c>
      <c r="E865" s="29" t="s">
        <v>224</v>
      </c>
      <c r="F865" s="29" t="s">
        <v>66</v>
      </c>
      <c r="G865" s="29" t="s">
        <v>129</v>
      </c>
      <c r="H865" s="30" t="s">
        <v>129</v>
      </c>
      <c r="I865" s="29" t="s">
        <v>257</v>
      </c>
      <c r="J865" s="29" t="s">
        <v>70</v>
      </c>
      <c r="K865" s="30" t="s">
        <v>70</v>
      </c>
      <c r="L865" s="29" t="str">
        <f t="shared" si="13"/>
        <v>MBALE-KAMPALA</v>
      </c>
      <c r="M865" s="31">
        <v>67</v>
      </c>
      <c r="N865" s="72">
        <v>20000</v>
      </c>
      <c r="O865" s="34">
        <v>4.5</v>
      </c>
    </row>
    <row r="866" spans="2:15" x14ac:dyDescent="0.2">
      <c r="B866" s="27">
        <v>0.12638888888888888</v>
      </c>
      <c r="C866" s="28">
        <v>6</v>
      </c>
      <c r="D866" s="33" t="str">
        <f>IF(C866="", "",VLOOKUP(C866,Key!$A$5:$B$7,2,FALSE))</f>
        <v>Large Bus</v>
      </c>
      <c r="E866" s="29" t="s">
        <v>224</v>
      </c>
      <c r="F866" s="29" t="s">
        <v>66</v>
      </c>
      <c r="G866" s="29" t="s">
        <v>73</v>
      </c>
      <c r="H866" s="30" t="s">
        <v>73</v>
      </c>
      <c r="I866" s="29" t="s">
        <v>257</v>
      </c>
      <c r="J866" s="29" t="s">
        <v>70</v>
      </c>
      <c r="K866" s="30" t="s">
        <v>70</v>
      </c>
      <c r="L866" s="29" t="str">
        <f t="shared" si="13"/>
        <v>SOROTI-KAMPALA</v>
      </c>
      <c r="M866" s="31">
        <v>52</v>
      </c>
      <c r="N866" s="72">
        <v>25000</v>
      </c>
      <c r="O866" s="34">
        <v>6</v>
      </c>
    </row>
    <row r="867" spans="2:15" x14ac:dyDescent="0.2">
      <c r="B867" s="27">
        <v>0.16388888888888889</v>
      </c>
      <c r="C867" s="28">
        <v>6</v>
      </c>
      <c r="D867" s="33" t="str">
        <f>IF(C867="", "",VLOOKUP(C867,Key!$A$5:$B$7,2,FALSE))</f>
        <v>Large Bus</v>
      </c>
      <c r="E867" s="29" t="s">
        <v>224</v>
      </c>
      <c r="F867" s="29" t="s">
        <v>66</v>
      </c>
      <c r="G867" s="29" t="s">
        <v>129</v>
      </c>
      <c r="H867" s="30" t="s">
        <v>129</v>
      </c>
      <c r="I867" s="29" t="s">
        <v>257</v>
      </c>
      <c r="J867" s="29" t="s">
        <v>70</v>
      </c>
      <c r="K867" s="30" t="s">
        <v>70</v>
      </c>
      <c r="L867" s="29" t="str">
        <f t="shared" si="13"/>
        <v>MBALE-KAMPALA</v>
      </c>
      <c r="M867" s="31">
        <v>66</v>
      </c>
      <c r="N867" s="72">
        <v>20000</v>
      </c>
      <c r="O867" s="34">
        <v>4.5</v>
      </c>
    </row>
    <row r="868" spans="2:15" x14ac:dyDescent="0.2">
      <c r="B868" s="27">
        <v>0.22222222222222221</v>
      </c>
      <c r="C868" s="28">
        <v>6</v>
      </c>
      <c r="D868" s="33" t="str">
        <f>IF(C868="", "",VLOOKUP(C868,Key!$A$5:$B$7,2,FALSE))</f>
        <v>Large Bus</v>
      </c>
      <c r="E868" s="29" t="s">
        <v>224</v>
      </c>
      <c r="F868" s="29" t="s">
        <v>66</v>
      </c>
      <c r="G868" s="29" t="s">
        <v>73</v>
      </c>
      <c r="H868" s="30" t="s">
        <v>73</v>
      </c>
      <c r="I868" s="29" t="s">
        <v>257</v>
      </c>
      <c r="J868" s="29" t="s">
        <v>70</v>
      </c>
      <c r="K868" s="30" t="s">
        <v>70</v>
      </c>
      <c r="L868" s="29" t="str">
        <f t="shared" si="13"/>
        <v>SOROTI-KAMPALA</v>
      </c>
      <c r="M868" s="31">
        <v>67</v>
      </c>
      <c r="N868" s="72">
        <v>25000</v>
      </c>
      <c r="O868" s="34">
        <v>6</v>
      </c>
    </row>
    <row r="869" spans="2:15" x14ac:dyDescent="0.2">
      <c r="B869" s="27">
        <v>0.23541666666666669</v>
      </c>
      <c r="C869" s="28">
        <v>6</v>
      </c>
      <c r="D869" s="33" t="str">
        <f>IF(C869="", "",VLOOKUP(C869,Key!$A$5:$B$7,2,FALSE))</f>
        <v>Large Bus</v>
      </c>
      <c r="E869" s="29" t="s">
        <v>224</v>
      </c>
      <c r="F869" s="29" t="s">
        <v>66</v>
      </c>
      <c r="G869" s="29" t="s">
        <v>73</v>
      </c>
      <c r="H869" s="30" t="s">
        <v>73</v>
      </c>
      <c r="I869" s="29" t="s">
        <v>257</v>
      </c>
      <c r="J869" s="29" t="s">
        <v>70</v>
      </c>
      <c r="K869" s="30" t="s">
        <v>70</v>
      </c>
      <c r="L869" s="29" t="str">
        <f t="shared" si="13"/>
        <v>SOROTI-KAMPALA</v>
      </c>
      <c r="M869" s="31">
        <v>67</v>
      </c>
      <c r="N869" s="72">
        <v>25000</v>
      </c>
      <c r="O869" s="34">
        <v>6</v>
      </c>
    </row>
    <row r="870" spans="2:15" x14ac:dyDescent="0.2">
      <c r="B870" s="27">
        <v>0.28472222222222221</v>
      </c>
      <c r="C870" s="28">
        <v>6</v>
      </c>
      <c r="D870" s="33" t="str">
        <f>IF(C870="", "",VLOOKUP(C870,Key!$A$5:$B$7,2,FALSE))</f>
        <v>Large Bus</v>
      </c>
      <c r="E870" s="29" t="s">
        <v>224</v>
      </c>
      <c r="F870" s="29" t="s">
        <v>66</v>
      </c>
      <c r="G870" s="29" t="s">
        <v>73</v>
      </c>
      <c r="H870" s="30" t="s">
        <v>73</v>
      </c>
      <c r="I870" s="29" t="s">
        <v>257</v>
      </c>
      <c r="J870" s="29" t="s">
        <v>70</v>
      </c>
      <c r="K870" s="30" t="s">
        <v>70</v>
      </c>
      <c r="L870" s="29" t="str">
        <f t="shared" si="13"/>
        <v>SOROTI-KAMPALA</v>
      </c>
      <c r="M870" s="31">
        <v>40</v>
      </c>
      <c r="N870" s="72">
        <v>25000</v>
      </c>
      <c r="O870" s="34">
        <v>6</v>
      </c>
    </row>
    <row r="871" spans="2:15" x14ac:dyDescent="0.2">
      <c r="B871" s="27">
        <v>0.40625</v>
      </c>
      <c r="C871" s="28">
        <v>6</v>
      </c>
      <c r="D871" s="33" t="str">
        <f>IF(C871="", "",VLOOKUP(C871,Key!$A$5:$B$7,2,FALSE))</f>
        <v>Large Bus</v>
      </c>
      <c r="E871" s="29" t="s">
        <v>224</v>
      </c>
      <c r="F871" s="29" t="s">
        <v>66</v>
      </c>
      <c r="G871" s="29" t="s">
        <v>129</v>
      </c>
      <c r="H871" s="30" t="s">
        <v>129</v>
      </c>
      <c r="I871" s="29" t="s">
        <v>257</v>
      </c>
      <c r="J871" s="29" t="s">
        <v>70</v>
      </c>
      <c r="K871" s="30" t="s">
        <v>70</v>
      </c>
      <c r="L871" s="29" t="str">
        <f t="shared" si="13"/>
        <v>MBALE-KAMPALA</v>
      </c>
      <c r="M871" s="31">
        <v>67</v>
      </c>
      <c r="N871" s="72">
        <v>20000</v>
      </c>
      <c r="O871" s="34">
        <v>4.5</v>
      </c>
    </row>
    <row r="872" spans="2:15" x14ac:dyDescent="0.2">
      <c r="B872" s="27">
        <v>0.45833333333333331</v>
      </c>
      <c r="C872" s="28">
        <v>6</v>
      </c>
      <c r="D872" s="33" t="str">
        <f>IF(C872="", "",VLOOKUP(C872,Key!$A$5:$B$7,2,FALSE))</f>
        <v>Large Bus</v>
      </c>
      <c r="E872" s="29" t="s">
        <v>224</v>
      </c>
      <c r="F872" s="29" t="s">
        <v>66</v>
      </c>
      <c r="G872" s="29" t="s">
        <v>129</v>
      </c>
      <c r="H872" s="30" t="s">
        <v>129</v>
      </c>
      <c r="I872" s="29" t="s">
        <v>257</v>
      </c>
      <c r="J872" s="29" t="s">
        <v>70</v>
      </c>
      <c r="K872" s="30" t="s">
        <v>70</v>
      </c>
      <c r="L872" s="29" t="str">
        <f t="shared" si="13"/>
        <v>MBALE-KAMPALA</v>
      </c>
      <c r="M872" s="31">
        <v>65</v>
      </c>
      <c r="N872" s="72">
        <v>20000</v>
      </c>
      <c r="O872" s="34">
        <v>4.5</v>
      </c>
    </row>
    <row r="873" spans="2:15" x14ac:dyDescent="0.2">
      <c r="B873" s="27">
        <v>0.5</v>
      </c>
      <c r="C873" s="28">
        <v>6</v>
      </c>
      <c r="D873" s="33" t="str">
        <f>IF(C873="", "",VLOOKUP(C873,Key!$A$5:$B$7,2,FALSE))</f>
        <v>Large Bus</v>
      </c>
      <c r="E873" s="29" t="s">
        <v>224</v>
      </c>
      <c r="F873" s="29" t="s">
        <v>66</v>
      </c>
      <c r="G873" s="29" t="s">
        <v>129</v>
      </c>
      <c r="H873" s="30" t="s">
        <v>129</v>
      </c>
      <c r="I873" s="29" t="s">
        <v>257</v>
      </c>
      <c r="J873" s="29" t="s">
        <v>70</v>
      </c>
      <c r="K873" s="30" t="s">
        <v>70</v>
      </c>
      <c r="L873" s="29" t="str">
        <f t="shared" si="13"/>
        <v>MBALE-KAMPALA</v>
      </c>
      <c r="M873" s="31">
        <v>66</v>
      </c>
      <c r="N873" s="72">
        <v>20000</v>
      </c>
      <c r="O873" s="34">
        <v>4.5</v>
      </c>
    </row>
    <row r="874" spans="2:15" x14ac:dyDescent="0.2">
      <c r="B874" s="27">
        <v>0.61527777777777781</v>
      </c>
      <c r="C874" s="28">
        <v>6</v>
      </c>
      <c r="D874" s="33" t="str">
        <f>IF(C874="", "",VLOOKUP(C874,Key!$A$5:$B$7,2,FALSE))</f>
        <v>Large Bus</v>
      </c>
      <c r="E874" s="29" t="s">
        <v>224</v>
      </c>
      <c r="F874" s="29" t="s">
        <v>66</v>
      </c>
      <c r="G874" s="29" t="s">
        <v>129</v>
      </c>
      <c r="H874" s="30" t="s">
        <v>129</v>
      </c>
      <c r="I874" s="29" t="s">
        <v>257</v>
      </c>
      <c r="J874" s="29" t="s">
        <v>70</v>
      </c>
      <c r="K874" s="30" t="s">
        <v>70</v>
      </c>
      <c r="L874" s="29" t="str">
        <f t="shared" si="13"/>
        <v>MBALE-KAMPALA</v>
      </c>
      <c r="M874" s="31">
        <v>67</v>
      </c>
      <c r="N874" s="72">
        <v>20000</v>
      </c>
      <c r="O874" s="34">
        <v>4.5</v>
      </c>
    </row>
    <row r="875" spans="2:15" x14ac:dyDescent="0.2">
      <c r="B875" s="27">
        <v>0.58333333333333337</v>
      </c>
      <c r="C875" s="28">
        <v>6</v>
      </c>
      <c r="D875" s="33" t="str">
        <f>IF(C875="", "",VLOOKUP(C875,Key!$A$5:$B$7,2,FALSE))</f>
        <v>Large Bus</v>
      </c>
      <c r="E875" s="29" t="s">
        <v>224</v>
      </c>
      <c r="F875" s="29" t="s">
        <v>66</v>
      </c>
      <c r="G875" s="29" t="s">
        <v>73</v>
      </c>
      <c r="H875" s="30" t="s">
        <v>73</v>
      </c>
      <c r="I875" s="29" t="s">
        <v>257</v>
      </c>
      <c r="J875" s="29" t="s">
        <v>70</v>
      </c>
      <c r="K875" s="30" t="s">
        <v>70</v>
      </c>
      <c r="L875" s="29" t="str">
        <f t="shared" si="13"/>
        <v>SOROTI-KAMPALA</v>
      </c>
      <c r="M875" s="31">
        <v>65</v>
      </c>
      <c r="N875" s="72">
        <v>25000</v>
      </c>
      <c r="O875" s="34">
        <v>6</v>
      </c>
    </row>
    <row r="876" spans="2:15" x14ac:dyDescent="0.2">
      <c r="B876" s="27">
        <v>0.64236111111111105</v>
      </c>
      <c r="C876" s="28">
        <v>6</v>
      </c>
      <c r="D876" s="33" t="str">
        <f>IF(C876="", "",VLOOKUP(C876,Key!$A$5:$B$7,2,FALSE))</f>
        <v>Large Bus</v>
      </c>
      <c r="E876" s="29" t="s">
        <v>224</v>
      </c>
      <c r="F876" s="29" t="s">
        <v>66</v>
      </c>
      <c r="G876" s="29" t="s">
        <v>129</v>
      </c>
      <c r="H876" s="30" t="s">
        <v>129</v>
      </c>
      <c r="I876" s="29" t="s">
        <v>257</v>
      </c>
      <c r="J876" s="29" t="s">
        <v>70</v>
      </c>
      <c r="K876" s="30" t="s">
        <v>70</v>
      </c>
      <c r="L876" s="29" t="str">
        <f t="shared" si="13"/>
        <v>MBALE-KAMPALA</v>
      </c>
      <c r="M876" s="31">
        <v>67</v>
      </c>
      <c r="N876" s="72">
        <v>20000</v>
      </c>
      <c r="O876" s="34">
        <v>4.5</v>
      </c>
    </row>
    <row r="877" spans="2:15" x14ac:dyDescent="0.2">
      <c r="B877" s="27">
        <v>0.34236111111111112</v>
      </c>
      <c r="C877" s="28">
        <v>6</v>
      </c>
      <c r="D877" s="33" t="str">
        <f>IF(C877="", "",VLOOKUP(C877,Key!$A$5:$B$7,2,FALSE))</f>
        <v>Large Bus</v>
      </c>
      <c r="E877" s="29" t="s">
        <v>224</v>
      </c>
      <c r="F877" s="29" t="s">
        <v>67</v>
      </c>
      <c r="G877" s="29" t="s">
        <v>70</v>
      </c>
      <c r="H877" s="30" t="s">
        <v>70</v>
      </c>
      <c r="I877" s="29" t="s">
        <v>257</v>
      </c>
      <c r="J877" s="29" t="s">
        <v>129</v>
      </c>
      <c r="K877" s="30" t="s">
        <v>129</v>
      </c>
      <c r="L877" s="29" t="str">
        <f t="shared" si="13"/>
        <v>KAMPALA-MBALE</v>
      </c>
      <c r="M877" s="31">
        <v>63</v>
      </c>
      <c r="N877" s="72">
        <v>20000</v>
      </c>
      <c r="O877" s="34">
        <v>4.5</v>
      </c>
    </row>
    <row r="878" spans="2:15" x14ac:dyDescent="0.2">
      <c r="B878" s="27">
        <v>0.34375</v>
      </c>
      <c r="C878" s="28">
        <v>6</v>
      </c>
      <c r="D878" s="33" t="str">
        <f>IF(C878="", "",VLOOKUP(C878,Key!$A$5:$B$7,2,FALSE))</f>
        <v>Large Bus</v>
      </c>
      <c r="E878" s="29" t="s">
        <v>224</v>
      </c>
      <c r="F878" s="29" t="s">
        <v>67</v>
      </c>
      <c r="G878" s="29" t="s">
        <v>70</v>
      </c>
      <c r="H878" s="30" t="s">
        <v>70</v>
      </c>
      <c r="I878" s="29" t="s">
        <v>257</v>
      </c>
      <c r="J878" s="29" t="s">
        <v>73</v>
      </c>
      <c r="K878" s="30" t="s">
        <v>73</v>
      </c>
      <c r="L878" s="29" t="str">
        <f t="shared" si="13"/>
        <v>KAMPALA-SOROTI</v>
      </c>
      <c r="M878" s="31">
        <v>59</v>
      </c>
      <c r="N878" s="72">
        <v>25000</v>
      </c>
      <c r="O878" s="34">
        <v>6</v>
      </c>
    </row>
    <row r="879" spans="2:15" x14ac:dyDescent="0.2">
      <c r="B879" s="27">
        <v>0.41180555555555554</v>
      </c>
      <c r="C879" s="28">
        <v>6</v>
      </c>
      <c r="D879" s="33" t="str">
        <f>IF(C879="", "",VLOOKUP(C879,Key!$A$5:$B$7,2,FALSE))</f>
        <v>Large Bus</v>
      </c>
      <c r="E879" s="29" t="s">
        <v>224</v>
      </c>
      <c r="F879" s="29" t="s">
        <v>67</v>
      </c>
      <c r="G879" s="29" t="s">
        <v>70</v>
      </c>
      <c r="H879" s="30" t="s">
        <v>70</v>
      </c>
      <c r="I879" s="29" t="s">
        <v>257</v>
      </c>
      <c r="J879" s="29" t="s">
        <v>129</v>
      </c>
      <c r="K879" s="30" t="s">
        <v>129</v>
      </c>
      <c r="L879" s="29" t="str">
        <f t="shared" si="13"/>
        <v>KAMPALA-MBALE</v>
      </c>
      <c r="M879" s="31">
        <v>67</v>
      </c>
      <c r="N879" s="72">
        <v>20000</v>
      </c>
      <c r="O879" s="34">
        <v>4.5</v>
      </c>
    </row>
    <row r="880" spans="2:15" x14ac:dyDescent="0.2">
      <c r="B880" s="27">
        <v>0.4152777777777778</v>
      </c>
      <c r="C880" s="28">
        <v>6</v>
      </c>
      <c r="D880" s="33" t="str">
        <f>IF(C880="", "",VLOOKUP(C880,Key!$A$5:$B$7,2,FALSE))</f>
        <v>Large Bus</v>
      </c>
      <c r="E880" s="29" t="s">
        <v>224</v>
      </c>
      <c r="F880" s="29" t="s">
        <v>67</v>
      </c>
      <c r="G880" s="29" t="s">
        <v>70</v>
      </c>
      <c r="H880" s="30" t="s">
        <v>70</v>
      </c>
      <c r="I880" s="29" t="s">
        <v>257</v>
      </c>
      <c r="J880" s="29" t="s">
        <v>73</v>
      </c>
      <c r="K880" s="30" t="s">
        <v>73</v>
      </c>
      <c r="L880" s="29" t="str">
        <f t="shared" si="13"/>
        <v>KAMPALA-SOROTI</v>
      </c>
      <c r="M880" s="31">
        <v>63</v>
      </c>
      <c r="N880" s="72">
        <v>25000</v>
      </c>
      <c r="O880" s="34">
        <v>6</v>
      </c>
    </row>
    <row r="881" spans="2:15" x14ac:dyDescent="0.2">
      <c r="B881" s="27">
        <v>0.47222222222222227</v>
      </c>
      <c r="C881" s="28">
        <v>6</v>
      </c>
      <c r="D881" s="33" t="str">
        <f>IF(C881="", "",VLOOKUP(C881,Key!$A$5:$B$7,2,FALSE))</f>
        <v>Large Bus</v>
      </c>
      <c r="E881" s="29" t="s">
        <v>224</v>
      </c>
      <c r="F881" s="29" t="s">
        <v>67</v>
      </c>
      <c r="G881" s="29" t="s">
        <v>70</v>
      </c>
      <c r="H881" s="30" t="s">
        <v>70</v>
      </c>
      <c r="I881" s="29" t="s">
        <v>257</v>
      </c>
      <c r="J881" s="29" t="s">
        <v>129</v>
      </c>
      <c r="K881" s="30" t="s">
        <v>129</v>
      </c>
      <c r="L881" s="29" t="str">
        <f t="shared" si="13"/>
        <v>KAMPALA-MBALE</v>
      </c>
      <c r="M881" s="31">
        <v>57</v>
      </c>
      <c r="N881" s="72">
        <v>20000</v>
      </c>
      <c r="O881" s="34">
        <v>4.5</v>
      </c>
    </row>
    <row r="882" spans="2:15" x14ac:dyDescent="0.2">
      <c r="B882" s="27">
        <v>0.45833333333333331</v>
      </c>
      <c r="C882" s="28">
        <v>6</v>
      </c>
      <c r="D882" s="33" t="str">
        <f>IF(C882="", "",VLOOKUP(C882,Key!$A$5:$B$7,2,FALSE))</f>
        <v>Large Bus</v>
      </c>
      <c r="E882" s="29" t="s">
        <v>224</v>
      </c>
      <c r="F882" s="29" t="s">
        <v>67</v>
      </c>
      <c r="G882" s="29" t="s">
        <v>70</v>
      </c>
      <c r="H882" s="30" t="s">
        <v>70</v>
      </c>
      <c r="I882" s="29" t="s">
        <v>257</v>
      </c>
      <c r="J882" s="29" t="s">
        <v>73</v>
      </c>
      <c r="K882" s="30" t="s">
        <v>73</v>
      </c>
      <c r="L882" s="29" t="str">
        <f t="shared" si="13"/>
        <v>KAMPALA-SOROTI</v>
      </c>
      <c r="M882" s="31">
        <v>67</v>
      </c>
      <c r="N882" s="72">
        <v>25000</v>
      </c>
      <c r="O882" s="34">
        <v>6</v>
      </c>
    </row>
    <row r="883" spans="2:15" x14ac:dyDescent="0.2">
      <c r="B883" s="27">
        <v>0.4826388888888889</v>
      </c>
      <c r="C883" s="28">
        <v>6</v>
      </c>
      <c r="D883" s="33" t="str">
        <f>IF(C883="", "",VLOOKUP(C883,Key!$A$5:$B$7,2,FALSE))</f>
        <v>Large Bus</v>
      </c>
      <c r="E883" s="29" t="s">
        <v>224</v>
      </c>
      <c r="F883" s="29" t="s">
        <v>67</v>
      </c>
      <c r="G883" s="29" t="s">
        <v>70</v>
      </c>
      <c r="H883" s="30" t="s">
        <v>70</v>
      </c>
      <c r="I883" s="29" t="s">
        <v>257</v>
      </c>
      <c r="J883" s="29" t="s">
        <v>73</v>
      </c>
      <c r="K883" s="30" t="s">
        <v>73</v>
      </c>
      <c r="L883" s="29" t="str">
        <f t="shared" si="13"/>
        <v>KAMPALA-SOROTI</v>
      </c>
      <c r="M883" s="31">
        <v>67</v>
      </c>
      <c r="N883" s="72">
        <v>25000</v>
      </c>
      <c r="O883" s="34">
        <v>6</v>
      </c>
    </row>
    <row r="884" spans="2:15" x14ac:dyDescent="0.2">
      <c r="B884" s="27">
        <v>0.51388888888888895</v>
      </c>
      <c r="C884" s="28">
        <v>6</v>
      </c>
      <c r="D884" s="33" t="str">
        <f>IF(C884="", "",VLOOKUP(C884,Key!$A$5:$B$7,2,FALSE))</f>
        <v>Large Bus</v>
      </c>
      <c r="E884" s="29" t="s">
        <v>224</v>
      </c>
      <c r="F884" s="29" t="s">
        <v>67</v>
      </c>
      <c r="G884" s="29" t="s">
        <v>70</v>
      </c>
      <c r="H884" s="30" t="s">
        <v>70</v>
      </c>
      <c r="I884" s="29" t="s">
        <v>257</v>
      </c>
      <c r="J884" s="29" t="s">
        <v>129</v>
      </c>
      <c r="K884" s="30" t="s">
        <v>129</v>
      </c>
      <c r="L884" s="29" t="str">
        <f t="shared" si="13"/>
        <v>KAMPALA-MBALE</v>
      </c>
      <c r="M884" s="31">
        <v>65</v>
      </c>
      <c r="N884" s="72">
        <v>20000</v>
      </c>
      <c r="O884" s="34">
        <v>4.5</v>
      </c>
    </row>
    <row r="885" spans="2:15" x14ac:dyDescent="0.2">
      <c r="B885" s="27">
        <v>0.52361111111111114</v>
      </c>
      <c r="C885" s="28">
        <v>6</v>
      </c>
      <c r="D885" s="33" t="str">
        <f>IF(C885="", "",VLOOKUP(C885,Key!$A$5:$B$7,2,FALSE))</f>
        <v>Large Bus</v>
      </c>
      <c r="E885" s="29" t="s">
        <v>224</v>
      </c>
      <c r="F885" s="29" t="s">
        <v>67</v>
      </c>
      <c r="G885" s="29" t="s">
        <v>70</v>
      </c>
      <c r="H885" s="30" t="s">
        <v>70</v>
      </c>
      <c r="I885" s="29" t="s">
        <v>257</v>
      </c>
      <c r="J885" s="29" t="s">
        <v>73</v>
      </c>
      <c r="K885" s="30" t="s">
        <v>73</v>
      </c>
      <c r="L885" s="29" t="str">
        <f t="shared" si="13"/>
        <v>KAMPALA-SOROTI</v>
      </c>
      <c r="M885" s="31">
        <v>67</v>
      </c>
      <c r="N885" s="72">
        <v>25000</v>
      </c>
      <c r="O885" s="34">
        <v>6</v>
      </c>
    </row>
    <row r="886" spans="2:15" x14ac:dyDescent="0.2">
      <c r="B886" s="27">
        <v>0.57638888888888895</v>
      </c>
      <c r="C886" s="28">
        <v>6</v>
      </c>
      <c r="D886" s="33" t="str">
        <f>IF(C886="", "",VLOOKUP(C886,Key!$A$5:$B$7,2,FALSE))</f>
        <v>Large Bus</v>
      </c>
      <c r="E886" s="29" t="s">
        <v>224</v>
      </c>
      <c r="F886" s="29" t="s">
        <v>67</v>
      </c>
      <c r="G886" s="29" t="s">
        <v>70</v>
      </c>
      <c r="H886" s="30" t="s">
        <v>70</v>
      </c>
      <c r="I886" s="29" t="s">
        <v>257</v>
      </c>
      <c r="J886" s="29" t="s">
        <v>73</v>
      </c>
      <c r="K886" s="30" t="s">
        <v>73</v>
      </c>
      <c r="L886" s="29" t="str">
        <f t="shared" si="13"/>
        <v>KAMPALA-SOROTI</v>
      </c>
      <c r="M886" s="31">
        <v>63</v>
      </c>
      <c r="N886" s="72">
        <v>25000</v>
      </c>
      <c r="O886" s="34">
        <v>6</v>
      </c>
    </row>
    <row r="887" spans="2:15" x14ac:dyDescent="0.2">
      <c r="B887" s="27">
        <v>0.56597222222222221</v>
      </c>
      <c r="C887" s="28">
        <v>6</v>
      </c>
      <c r="D887" s="33" t="str">
        <f>IF(C887="", "",VLOOKUP(C887,Key!$A$5:$B$7,2,FALSE))</f>
        <v>Large Bus</v>
      </c>
      <c r="E887" s="29" t="s">
        <v>224</v>
      </c>
      <c r="F887" s="29" t="s">
        <v>67</v>
      </c>
      <c r="G887" s="29" t="s">
        <v>70</v>
      </c>
      <c r="H887" s="30" t="s">
        <v>70</v>
      </c>
      <c r="I887" s="29" t="s">
        <v>257</v>
      </c>
      <c r="J887" s="29" t="s">
        <v>129</v>
      </c>
      <c r="K887" s="30" t="s">
        <v>129</v>
      </c>
      <c r="L887" s="29" t="str">
        <f t="shared" si="13"/>
        <v>KAMPALA-MBALE</v>
      </c>
      <c r="M887" s="31">
        <v>65</v>
      </c>
      <c r="N887" s="72">
        <v>20000</v>
      </c>
      <c r="O887" s="34">
        <v>4.5</v>
      </c>
    </row>
    <row r="888" spans="2:15" x14ac:dyDescent="0.2">
      <c r="B888" s="27">
        <v>0.61458333333333337</v>
      </c>
      <c r="C888" s="28">
        <v>6</v>
      </c>
      <c r="D888" s="33" t="str">
        <f>IF(C888="", "",VLOOKUP(C888,Key!$A$5:$B$7,2,FALSE))</f>
        <v>Large Bus</v>
      </c>
      <c r="E888" s="29" t="s">
        <v>224</v>
      </c>
      <c r="F888" s="29" t="s">
        <v>67</v>
      </c>
      <c r="G888" s="29" t="s">
        <v>70</v>
      </c>
      <c r="H888" s="30" t="s">
        <v>70</v>
      </c>
      <c r="I888" s="29" t="s">
        <v>257</v>
      </c>
      <c r="J888" s="29" t="s">
        <v>129</v>
      </c>
      <c r="K888" s="30" t="s">
        <v>129</v>
      </c>
      <c r="L888" s="29" t="str">
        <f t="shared" si="13"/>
        <v>KAMPALA-MBALE</v>
      </c>
      <c r="M888" s="31">
        <v>64</v>
      </c>
      <c r="N888" s="72">
        <v>20000</v>
      </c>
      <c r="O888" s="34">
        <v>4.5</v>
      </c>
    </row>
    <row r="889" spans="2:15" x14ac:dyDescent="0.2">
      <c r="B889" s="27">
        <v>0.67083333333333339</v>
      </c>
      <c r="C889" s="28">
        <v>6</v>
      </c>
      <c r="D889" s="33" t="str">
        <f>IF(C889="", "",VLOOKUP(C889,Key!$A$5:$B$7,2,FALSE))</f>
        <v>Large Bus</v>
      </c>
      <c r="E889" s="29" t="s">
        <v>224</v>
      </c>
      <c r="F889" s="29" t="s">
        <v>67</v>
      </c>
      <c r="G889" s="29" t="s">
        <v>70</v>
      </c>
      <c r="H889" s="30" t="s">
        <v>70</v>
      </c>
      <c r="I889" s="29" t="s">
        <v>257</v>
      </c>
      <c r="J889" s="29" t="s">
        <v>73</v>
      </c>
      <c r="K889" s="30" t="s">
        <v>73</v>
      </c>
      <c r="L889" s="29" t="str">
        <f t="shared" si="13"/>
        <v>KAMPALA-SOROTI</v>
      </c>
      <c r="M889" s="31">
        <v>67</v>
      </c>
      <c r="N889" s="72">
        <v>25000</v>
      </c>
      <c r="O889" s="34">
        <v>6</v>
      </c>
    </row>
    <row r="890" spans="2:15" x14ac:dyDescent="0.2">
      <c r="B890" s="27">
        <v>0.67013888888888884</v>
      </c>
      <c r="C890" s="28">
        <v>6</v>
      </c>
      <c r="D890" s="33" t="str">
        <f>IF(C890="", "",VLOOKUP(C890,Key!$A$5:$B$7,2,FALSE))</f>
        <v>Large Bus</v>
      </c>
      <c r="E890" s="29" t="s">
        <v>224</v>
      </c>
      <c r="F890" s="29" t="s">
        <v>67</v>
      </c>
      <c r="G890" s="29" t="s">
        <v>70</v>
      </c>
      <c r="H890" s="30" t="s">
        <v>70</v>
      </c>
      <c r="I890" s="29" t="s">
        <v>257</v>
      </c>
      <c r="J890" s="29" t="s">
        <v>129</v>
      </c>
      <c r="K890" s="30" t="s">
        <v>129</v>
      </c>
      <c r="L890" s="29" t="str">
        <f t="shared" si="13"/>
        <v>KAMPALA-MBALE</v>
      </c>
      <c r="M890" s="31">
        <v>65</v>
      </c>
      <c r="N890" s="72">
        <v>20000</v>
      </c>
      <c r="O890" s="34">
        <v>4.5</v>
      </c>
    </row>
    <row r="891" spans="2:15" x14ac:dyDescent="0.2">
      <c r="B891" s="27">
        <v>0.69097222222222221</v>
      </c>
      <c r="C891" s="28">
        <v>6</v>
      </c>
      <c r="D891" s="33" t="str">
        <f>IF(C891="", "",VLOOKUP(C891,Key!$A$5:$B$7,2,FALSE))</f>
        <v>Large Bus</v>
      </c>
      <c r="E891" s="29" t="s">
        <v>224</v>
      </c>
      <c r="F891" s="29" t="s">
        <v>67</v>
      </c>
      <c r="G891" s="29" t="s">
        <v>70</v>
      </c>
      <c r="H891" s="30" t="s">
        <v>70</v>
      </c>
      <c r="I891" s="29" t="s">
        <v>257</v>
      </c>
      <c r="J891" s="29" t="s">
        <v>129</v>
      </c>
      <c r="K891" s="30" t="s">
        <v>129</v>
      </c>
      <c r="L891" s="29" t="str">
        <f t="shared" si="13"/>
        <v>KAMPALA-MBALE</v>
      </c>
      <c r="M891" s="31">
        <v>52</v>
      </c>
      <c r="N891" s="72">
        <v>20000</v>
      </c>
      <c r="O891" s="34">
        <v>4.5</v>
      </c>
    </row>
    <row r="892" spans="2:15" x14ac:dyDescent="0.2">
      <c r="B892" s="27">
        <v>0.72916666666666663</v>
      </c>
      <c r="C892" s="28">
        <v>6</v>
      </c>
      <c r="D892" s="33" t="str">
        <f>IF(C892="", "",VLOOKUP(C892,Key!$A$5:$B$7,2,FALSE))</f>
        <v>Large Bus</v>
      </c>
      <c r="E892" s="29" t="s">
        <v>224</v>
      </c>
      <c r="F892" s="29" t="s">
        <v>67</v>
      </c>
      <c r="G892" s="29" t="s">
        <v>70</v>
      </c>
      <c r="H892" s="30" t="s">
        <v>70</v>
      </c>
      <c r="I892" s="29" t="s">
        <v>257</v>
      </c>
      <c r="J892" s="29" t="s">
        <v>129</v>
      </c>
      <c r="K892" s="30" t="s">
        <v>129</v>
      </c>
      <c r="L892" s="29" t="str">
        <f t="shared" si="13"/>
        <v>KAMPALA-MBALE</v>
      </c>
      <c r="M892" s="31">
        <v>60</v>
      </c>
      <c r="N892" s="72">
        <v>20000</v>
      </c>
      <c r="O892" s="34">
        <v>4.5</v>
      </c>
    </row>
    <row r="893" spans="2:15" x14ac:dyDescent="0.2">
      <c r="B893" s="27"/>
      <c r="C893" s="28"/>
      <c r="D893" s="33" t="str">
        <f>IF(C893="", "",VLOOKUP(C893,Key!$A$5:$B$7,2,FALSE))</f>
        <v/>
      </c>
      <c r="E893" s="29" t="s">
        <v>224</v>
      </c>
      <c r="F893" s="29"/>
      <c r="G893" s="29" t="s">
        <v>70</v>
      </c>
      <c r="H893" s="30" t="s">
        <v>70</v>
      </c>
      <c r="I893" s="29" t="s">
        <v>257</v>
      </c>
      <c r="J893" s="29" t="s">
        <v>129</v>
      </c>
      <c r="K893" s="30" t="s">
        <v>129</v>
      </c>
      <c r="L893" s="29" t="str">
        <f t="shared" si="13"/>
        <v>KAMPALA-MBALE</v>
      </c>
      <c r="M893" s="31"/>
      <c r="N893" s="72">
        <v>20000</v>
      </c>
      <c r="O893" s="34">
        <v>4.5</v>
      </c>
    </row>
    <row r="894" spans="2:15" x14ac:dyDescent="0.2">
      <c r="B894" s="45" t="s">
        <v>220</v>
      </c>
      <c r="C894" s="47"/>
      <c r="D894" s="33" t="str">
        <f>IF(C894="", "",VLOOKUP(C894,Key!$A$5:$B$7,2,FALSE))</f>
        <v/>
      </c>
      <c r="E894" s="44" t="s">
        <v>224</v>
      </c>
      <c r="F894" s="48"/>
      <c r="G894" s="47"/>
      <c r="H894" s="47"/>
      <c r="I894" s="47" t="s">
        <v>257</v>
      </c>
      <c r="J894" s="47"/>
      <c r="K894" s="47"/>
      <c r="L894" s="47" t="str">
        <f t="shared" si="13"/>
        <v>-</v>
      </c>
      <c r="M894" s="47"/>
      <c r="N894" s="48"/>
      <c r="O894" s="48"/>
    </row>
    <row r="895" spans="2:15" x14ac:dyDescent="0.2">
      <c r="B895" s="27">
        <v>0.3034722222222222</v>
      </c>
      <c r="C895" s="28">
        <v>6</v>
      </c>
      <c r="D895" s="33" t="str">
        <f>IF(C895="", "",VLOOKUP(C895,Key!$A$5:$B$7,2,FALSE))</f>
        <v>Large Bus</v>
      </c>
      <c r="E895" s="29" t="s">
        <v>224</v>
      </c>
      <c r="F895" s="29" t="s">
        <v>67</v>
      </c>
      <c r="G895" s="29" t="s">
        <v>70</v>
      </c>
      <c r="H895" s="30" t="s">
        <v>70</v>
      </c>
      <c r="I895" s="29" t="s">
        <v>257</v>
      </c>
      <c r="J895" s="29" t="s">
        <v>129</v>
      </c>
      <c r="K895" s="30" t="s">
        <v>129</v>
      </c>
      <c r="L895" s="29" t="str">
        <f t="shared" si="13"/>
        <v>KAMPALA-MBALE</v>
      </c>
      <c r="M895" s="31">
        <v>60</v>
      </c>
      <c r="N895" s="72">
        <v>20000</v>
      </c>
      <c r="O895" s="34">
        <v>4.5</v>
      </c>
    </row>
    <row r="896" spans="2:15" x14ac:dyDescent="0.2">
      <c r="B896" s="27">
        <v>0.34027777777777773</v>
      </c>
      <c r="C896" s="28">
        <v>6</v>
      </c>
      <c r="D896" s="33" t="str">
        <f>IF(C896="", "",VLOOKUP(C896,Key!$A$5:$B$7,2,FALSE))</f>
        <v>Large Bus</v>
      </c>
      <c r="E896" s="29" t="s">
        <v>224</v>
      </c>
      <c r="F896" s="29" t="s">
        <v>67</v>
      </c>
      <c r="G896" s="29" t="s">
        <v>70</v>
      </c>
      <c r="H896" s="30" t="s">
        <v>70</v>
      </c>
      <c r="I896" s="29" t="s">
        <v>257</v>
      </c>
      <c r="J896" s="29" t="s">
        <v>130</v>
      </c>
      <c r="K896" s="30" t="s">
        <v>130</v>
      </c>
      <c r="L896" s="29" t="str">
        <f t="shared" si="13"/>
        <v>KAMPALA-LIRA</v>
      </c>
      <c r="M896" s="31">
        <v>62</v>
      </c>
      <c r="N896" s="72">
        <v>25000</v>
      </c>
      <c r="O896" s="34">
        <v>5</v>
      </c>
    </row>
    <row r="897" spans="2:15" x14ac:dyDescent="0.2">
      <c r="B897" s="27">
        <v>0.3833333333333333</v>
      </c>
      <c r="C897" s="28">
        <v>6</v>
      </c>
      <c r="D897" s="33" t="str">
        <f>IF(C897="", "",VLOOKUP(C897,Key!$A$5:$B$7,2,FALSE))</f>
        <v>Large Bus</v>
      </c>
      <c r="E897" s="29" t="s">
        <v>224</v>
      </c>
      <c r="F897" s="29" t="s">
        <v>67</v>
      </c>
      <c r="G897" s="29" t="s">
        <v>70</v>
      </c>
      <c r="H897" s="30" t="s">
        <v>70</v>
      </c>
      <c r="I897" s="29" t="s">
        <v>257</v>
      </c>
      <c r="J897" s="29" t="s">
        <v>129</v>
      </c>
      <c r="K897" s="30" t="s">
        <v>129</v>
      </c>
      <c r="L897" s="29" t="str">
        <f t="shared" si="13"/>
        <v>KAMPALA-MBALE</v>
      </c>
      <c r="M897" s="31">
        <v>65</v>
      </c>
      <c r="N897" s="72">
        <v>20000</v>
      </c>
      <c r="O897" s="34">
        <v>4.5</v>
      </c>
    </row>
    <row r="898" spans="2:15" x14ac:dyDescent="0.2">
      <c r="B898" s="27">
        <v>0.39930555555555558</v>
      </c>
      <c r="C898" s="28">
        <v>6</v>
      </c>
      <c r="D898" s="33" t="str">
        <f>IF(C898="", "",VLOOKUP(C898,Key!$A$5:$B$7,2,FALSE))</f>
        <v>Large Bus</v>
      </c>
      <c r="E898" s="29" t="s">
        <v>224</v>
      </c>
      <c r="F898" s="29" t="s">
        <v>67</v>
      </c>
      <c r="G898" s="29" t="s">
        <v>70</v>
      </c>
      <c r="H898" s="30" t="s">
        <v>70</v>
      </c>
      <c r="I898" s="29" t="s">
        <v>257</v>
      </c>
      <c r="J898" s="29" t="s">
        <v>73</v>
      </c>
      <c r="K898" s="30" t="s">
        <v>73</v>
      </c>
      <c r="L898" s="29" t="str">
        <f t="shared" si="13"/>
        <v>KAMPALA-SOROTI</v>
      </c>
      <c r="M898" s="31">
        <v>63</v>
      </c>
      <c r="N898" s="72">
        <v>25000</v>
      </c>
      <c r="O898" s="34">
        <v>6</v>
      </c>
    </row>
    <row r="899" spans="2:15" x14ac:dyDescent="0.2">
      <c r="B899" s="27">
        <v>0.43055555555555558</v>
      </c>
      <c r="C899" s="28">
        <v>6</v>
      </c>
      <c r="D899" s="33" t="str">
        <f>IF(C899="", "",VLOOKUP(C899,Key!$A$5:$B$7,2,FALSE))</f>
        <v>Large Bus</v>
      </c>
      <c r="E899" s="29" t="s">
        <v>224</v>
      </c>
      <c r="F899" s="29" t="s">
        <v>67</v>
      </c>
      <c r="G899" s="29" t="s">
        <v>70</v>
      </c>
      <c r="H899" s="30" t="s">
        <v>70</v>
      </c>
      <c r="I899" s="29" t="s">
        <v>257</v>
      </c>
      <c r="J899" s="29" t="s">
        <v>129</v>
      </c>
      <c r="K899" s="30" t="s">
        <v>129</v>
      </c>
      <c r="L899" s="29" t="str">
        <f t="shared" si="13"/>
        <v>KAMPALA-MBALE</v>
      </c>
      <c r="M899" s="31">
        <v>58</v>
      </c>
      <c r="N899" s="72">
        <v>20000</v>
      </c>
      <c r="O899" s="34">
        <v>4.5</v>
      </c>
    </row>
    <row r="900" spans="2:15" x14ac:dyDescent="0.2">
      <c r="B900" s="27">
        <v>0.6958333333333333</v>
      </c>
      <c r="C900" s="28">
        <v>6</v>
      </c>
      <c r="D900" s="33" t="str">
        <f>IF(C900="", "",VLOOKUP(C900,Key!$A$5:$B$7,2,FALSE))</f>
        <v>Large Bus</v>
      </c>
      <c r="E900" s="29" t="s">
        <v>224</v>
      </c>
      <c r="F900" s="29" t="s">
        <v>67</v>
      </c>
      <c r="G900" s="29" t="s">
        <v>70</v>
      </c>
      <c r="H900" s="30" t="s">
        <v>70</v>
      </c>
      <c r="I900" s="29" t="s">
        <v>257</v>
      </c>
      <c r="J900" s="29" t="s">
        <v>73</v>
      </c>
      <c r="K900" s="30" t="s">
        <v>73</v>
      </c>
      <c r="L900" s="29" t="str">
        <f t="shared" si="13"/>
        <v>KAMPALA-SOROTI</v>
      </c>
      <c r="M900" s="31">
        <v>62</v>
      </c>
      <c r="N900" s="72">
        <v>25000</v>
      </c>
      <c r="O900" s="34">
        <v>6</v>
      </c>
    </row>
    <row r="901" spans="2:15" x14ac:dyDescent="0.2">
      <c r="B901" s="27">
        <v>0.69305555555555554</v>
      </c>
      <c r="C901" s="28">
        <v>6</v>
      </c>
      <c r="D901" s="33" t="str">
        <f>IF(C901="", "",VLOOKUP(C901,Key!$A$5:$B$7,2,FALSE))</f>
        <v>Large Bus</v>
      </c>
      <c r="E901" s="29" t="s">
        <v>224</v>
      </c>
      <c r="F901" s="29" t="s">
        <v>67</v>
      </c>
      <c r="G901" s="29" t="s">
        <v>70</v>
      </c>
      <c r="H901" s="30" t="s">
        <v>70</v>
      </c>
      <c r="I901" s="29" t="s">
        <v>257</v>
      </c>
      <c r="J901" s="29" t="s">
        <v>129</v>
      </c>
      <c r="K901" s="30" t="s">
        <v>129</v>
      </c>
      <c r="L901" s="29" t="str">
        <f t="shared" si="13"/>
        <v>KAMPALA-MBALE</v>
      </c>
      <c r="M901" s="31">
        <v>65</v>
      </c>
      <c r="N901" s="72">
        <v>20000</v>
      </c>
      <c r="O901" s="34">
        <v>4.5</v>
      </c>
    </row>
    <row r="902" spans="2:15" x14ac:dyDescent="0.2">
      <c r="B902" s="27">
        <v>0.49444444444444446</v>
      </c>
      <c r="C902" s="28">
        <v>6</v>
      </c>
      <c r="D902" s="33" t="str">
        <f>IF(C902="", "",VLOOKUP(C902,Key!$A$5:$B$7,2,FALSE))</f>
        <v>Large Bus</v>
      </c>
      <c r="E902" s="29" t="s">
        <v>224</v>
      </c>
      <c r="F902" s="29" t="s">
        <v>67</v>
      </c>
      <c r="G902" s="29" t="s">
        <v>70</v>
      </c>
      <c r="H902" s="30" t="s">
        <v>70</v>
      </c>
      <c r="I902" s="29" t="s">
        <v>257</v>
      </c>
      <c r="J902" s="29" t="s">
        <v>129</v>
      </c>
      <c r="K902" s="30" t="s">
        <v>129</v>
      </c>
      <c r="L902" s="29" t="str">
        <f t="shared" si="13"/>
        <v>KAMPALA-MBALE</v>
      </c>
      <c r="M902" s="31">
        <v>67</v>
      </c>
      <c r="N902" s="72">
        <v>20000</v>
      </c>
      <c r="O902" s="34">
        <v>4.5</v>
      </c>
    </row>
    <row r="903" spans="2:15" x14ac:dyDescent="0.2">
      <c r="B903" s="27">
        <v>0.51736111111111105</v>
      </c>
      <c r="C903" s="28">
        <v>6</v>
      </c>
      <c r="D903" s="33" t="str">
        <f>IF(C903="", "",VLOOKUP(C903,Key!$A$5:$B$7,2,FALSE))</f>
        <v>Large Bus</v>
      </c>
      <c r="E903" s="29" t="s">
        <v>224</v>
      </c>
      <c r="F903" s="29" t="s">
        <v>67</v>
      </c>
      <c r="G903" s="29" t="s">
        <v>70</v>
      </c>
      <c r="H903" s="30" t="s">
        <v>70</v>
      </c>
      <c r="I903" s="29" t="s">
        <v>257</v>
      </c>
      <c r="J903" s="29" t="s">
        <v>129</v>
      </c>
      <c r="K903" s="30" t="s">
        <v>129</v>
      </c>
      <c r="L903" s="29" t="str">
        <f t="shared" si="13"/>
        <v>KAMPALA-MBALE</v>
      </c>
      <c r="M903" s="31">
        <v>67</v>
      </c>
      <c r="N903" s="72">
        <v>20000</v>
      </c>
      <c r="O903" s="34">
        <v>4.5</v>
      </c>
    </row>
    <row r="904" spans="2:15" x14ac:dyDescent="0.2">
      <c r="B904" s="27">
        <v>0.58333333333333337</v>
      </c>
      <c r="C904" s="28">
        <v>6</v>
      </c>
      <c r="D904" s="33" t="str">
        <f>IF(C904="", "",VLOOKUP(C904,Key!$A$5:$B$7,2,FALSE))</f>
        <v>Large Bus</v>
      </c>
      <c r="E904" s="29" t="s">
        <v>224</v>
      </c>
      <c r="F904" s="29" t="s">
        <v>67</v>
      </c>
      <c r="G904" s="29" t="s">
        <v>70</v>
      </c>
      <c r="H904" s="30" t="s">
        <v>70</v>
      </c>
      <c r="I904" s="29" t="s">
        <v>257</v>
      </c>
      <c r="J904" s="29" t="s">
        <v>73</v>
      </c>
      <c r="K904" s="30" t="s">
        <v>73</v>
      </c>
      <c r="L904" s="29" t="str">
        <f t="shared" si="13"/>
        <v>KAMPALA-SOROTI</v>
      </c>
      <c r="M904" s="31">
        <v>63</v>
      </c>
      <c r="N904" s="72">
        <v>25000</v>
      </c>
      <c r="O904" s="34">
        <v>6</v>
      </c>
    </row>
    <row r="905" spans="2:15" x14ac:dyDescent="0.2">
      <c r="B905" s="27">
        <v>0.56944444444444442</v>
      </c>
      <c r="C905" s="28">
        <v>6</v>
      </c>
      <c r="D905" s="33" t="str">
        <f>IF(C905="", "",VLOOKUP(C905,Key!$A$5:$B$7,2,FALSE))</f>
        <v>Large Bus</v>
      </c>
      <c r="E905" s="29" t="s">
        <v>224</v>
      </c>
      <c r="F905" s="29" t="s">
        <v>67</v>
      </c>
      <c r="G905" s="29" t="s">
        <v>70</v>
      </c>
      <c r="H905" s="30" t="s">
        <v>70</v>
      </c>
      <c r="I905" s="29" t="s">
        <v>257</v>
      </c>
      <c r="J905" s="29" t="s">
        <v>129</v>
      </c>
      <c r="K905" s="30" t="s">
        <v>129</v>
      </c>
      <c r="L905" s="29" t="str">
        <f t="shared" si="13"/>
        <v>KAMPALA-MBALE</v>
      </c>
      <c r="M905" s="31">
        <v>61</v>
      </c>
      <c r="N905" s="72">
        <v>20000</v>
      </c>
      <c r="O905" s="34">
        <v>4.5</v>
      </c>
    </row>
    <row r="906" spans="2:15" x14ac:dyDescent="0.2">
      <c r="B906" s="27">
        <v>0.61388888888888882</v>
      </c>
      <c r="C906" s="28">
        <v>6</v>
      </c>
      <c r="D906" s="33" t="str">
        <f>IF(C906="", "",VLOOKUP(C906,Key!$A$5:$B$7,2,FALSE))</f>
        <v>Large Bus</v>
      </c>
      <c r="E906" s="29" t="s">
        <v>224</v>
      </c>
      <c r="F906" s="29" t="s">
        <v>67</v>
      </c>
      <c r="G906" s="29" t="s">
        <v>70</v>
      </c>
      <c r="H906" s="30" t="s">
        <v>70</v>
      </c>
      <c r="I906" s="29" t="s">
        <v>257</v>
      </c>
      <c r="J906" s="29" t="s">
        <v>129</v>
      </c>
      <c r="K906" s="30" t="s">
        <v>129</v>
      </c>
      <c r="L906" s="29" t="str">
        <f t="shared" ref="L906:L969" si="14">H906&amp;"-"&amp;K906</f>
        <v>KAMPALA-MBALE</v>
      </c>
      <c r="M906" s="31">
        <v>61</v>
      </c>
      <c r="N906" s="72">
        <v>20000</v>
      </c>
      <c r="O906" s="34">
        <v>4.5</v>
      </c>
    </row>
    <row r="907" spans="2:15" x14ac:dyDescent="0.2">
      <c r="B907" s="27">
        <v>0.66041666666666665</v>
      </c>
      <c r="C907" s="28">
        <v>6</v>
      </c>
      <c r="D907" s="33" t="str">
        <f>IF(C907="", "",VLOOKUP(C907,Key!$A$5:$B$7,2,FALSE))</f>
        <v>Large Bus</v>
      </c>
      <c r="E907" s="29" t="s">
        <v>224</v>
      </c>
      <c r="F907" s="29" t="s">
        <v>67</v>
      </c>
      <c r="G907" s="29" t="s">
        <v>70</v>
      </c>
      <c r="H907" s="30" t="s">
        <v>70</v>
      </c>
      <c r="I907" s="29" t="s">
        <v>257</v>
      </c>
      <c r="J907" s="29" t="s">
        <v>129</v>
      </c>
      <c r="K907" s="30" t="s">
        <v>129</v>
      </c>
      <c r="L907" s="29" t="str">
        <f t="shared" si="14"/>
        <v>KAMPALA-MBALE</v>
      </c>
      <c r="M907" s="31">
        <v>60</v>
      </c>
      <c r="N907" s="72">
        <v>20000</v>
      </c>
      <c r="O907" s="34">
        <v>4.5</v>
      </c>
    </row>
    <row r="908" spans="2:15" x14ac:dyDescent="0.2">
      <c r="B908" s="27">
        <v>0.70486111111111116</v>
      </c>
      <c r="C908" s="28">
        <v>6</v>
      </c>
      <c r="D908" s="33" t="str">
        <f>IF(C908="", "",VLOOKUP(C908,Key!$A$5:$B$7,2,FALSE))</f>
        <v>Large Bus</v>
      </c>
      <c r="E908" s="29" t="s">
        <v>224</v>
      </c>
      <c r="F908" s="29" t="s">
        <v>67</v>
      </c>
      <c r="G908" s="29" t="s">
        <v>70</v>
      </c>
      <c r="H908" s="30" t="s">
        <v>70</v>
      </c>
      <c r="I908" s="29" t="s">
        <v>257</v>
      </c>
      <c r="J908" s="29" t="s">
        <v>129</v>
      </c>
      <c r="K908" s="30" t="s">
        <v>129</v>
      </c>
      <c r="L908" s="29" t="str">
        <f t="shared" si="14"/>
        <v>KAMPALA-MBALE</v>
      </c>
      <c r="M908" s="31">
        <v>63</v>
      </c>
      <c r="N908" s="72">
        <v>20000</v>
      </c>
      <c r="O908" s="34">
        <v>4.5</v>
      </c>
    </row>
    <row r="909" spans="2:15" x14ac:dyDescent="0.2">
      <c r="B909" s="27">
        <v>0.74652777777777779</v>
      </c>
      <c r="C909" s="28">
        <v>6</v>
      </c>
      <c r="D909" s="33" t="str">
        <f>IF(C909="", "",VLOOKUP(C909,Key!$A$5:$B$7,2,FALSE))</f>
        <v>Large Bus</v>
      </c>
      <c r="E909" s="29" t="s">
        <v>224</v>
      </c>
      <c r="F909" s="29" t="s">
        <v>67</v>
      </c>
      <c r="G909" s="29" t="s">
        <v>70</v>
      </c>
      <c r="H909" s="30" t="s">
        <v>70</v>
      </c>
      <c r="I909" s="29" t="s">
        <v>257</v>
      </c>
      <c r="J909" s="29" t="s">
        <v>129</v>
      </c>
      <c r="K909" s="30" t="s">
        <v>129</v>
      </c>
      <c r="L909" s="29" t="str">
        <f t="shared" si="14"/>
        <v>KAMPALA-MBALE</v>
      </c>
      <c r="M909" s="31">
        <v>38</v>
      </c>
      <c r="N909" s="72">
        <v>20000</v>
      </c>
      <c r="O909" s="34">
        <v>4.5</v>
      </c>
    </row>
    <row r="910" spans="2:15" x14ac:dyDescent="0.2">
      <c r="B910" s="27">
        <v>0.30902777777777779</v>
      </c>
      <c r="C910" s="28">
        <v>6</v>
      </c>
      <c r="D910" s="33" t="str">
        <f>IF(C910="", "",VLOOKUP(C910,Key!$A$5:$B$7,2,FALSE))</f>
        <v>Large Bus</v>
      </c>
      <c r="E910" s="29" t="s">
        <v>224</v>
      </c>
      <c r="F910" s="29" t="s">
        <v>67</v>
      </c>
      <c r="G910" s="29" t="s">
        <v>70</v>
      </c>
      <c r="H910" s="30" t="s">
        <v>70</v>
      </c>
      <c r="I910" s="29" t="s">
        <v>257</v>
      </c>
      <c r="J910" s="29" t="s">
        <v>129</v>
      </c>
      <c r="K910" s="30" t="s">
        <v>129</v>
      </c>
      <c r="L910" s="29" t="str">
        <f t="shared" si="14"/>
        <v>KAMPALA-MBALE</v>
      </c>
      <c r="M910" s="31">
        <v>67</v>
      </c>
      <c r="N910" s="72">
        <v>20000</v>
      </c>
      <c r="O910" s="34">
        <v>4.5</v>
      </c>
    </row>
    <row r="911" spans="2:15" x14ac:dyDescent="0.2">
      <c r="B911" s="27">
        <v>0.41666666666666669</v>
      </c>
      <c r="C911" s="28">
        <v>6</v>
      </c>
      <c r="D911" s="33" t="str">
        <f>IF(C911="", "",VLOOKUP(C911,Key!$A$5:$B$7,2,FALSE))</f>
        <v>Large Bus</v>
      </c>
      <c r="E911" s="29" t="s">
        <v>224</v>
      </c>
      <c r="F911" s="29" t="s">
        <v>67</v>
      </c>
      <c r="G911" s="29" t="s">
        <v>70</v>
      </c>
      <c r="H911" s="30" t="s">
        <v>70</v>
      </c>
      <c r="I911" s="29" t="s">
        <v>257</v>
      </c>
      <c r="J911" s="29" t="s">
        <v>129</v>
      </c>
      <c r="K911" s="30" t="s">
        <v>129</v>
      </c>
      <c r="L911" s="29" t="str">
        <f t="shared" si="14"/>
        <v>KAMPALA-MBALE</v>
      </c>
      <c r="M911" s="31">
        <v>40</v>
      </c>
      <c r="N911" s="72">
        <v>20000</v>
      </c>
      <c r="O911" s="34">
        <v>4.5</v>
      </c>
    </row>
    <row r="912" spans="2:15" x14ac:dyDescent="0.2">
      <c r="B912" s="27">
        <v>0.9770833333333333</v>
      </c>
      <c r="C912" s="28">
        <v>6</v>
      </c>
      <c r="D912" s="33" t="str">
        <f>IF(C912="", "",VLOOKUP(C912,Key!$A$5:$B$7,2,FALSE))</f>
        <v>Large Bus</v>
      </c>
      <c r="E912" s="29" t="s">
        <v>224</v>
      </c>
      <c r="F912" s="29" t="s">
        <v>67</v>
      </c>
      <c r="G912" s="29" t="s">
        <v>70</v>
      </c>
      <c r="H912" s="30" t="s">
        <v>70</v>
      </c>
      <c r="I912" s="29" t="s">
        <v>257</v>
      </c>
      <c r="J912" s="29" t="s">
        <v>73</v>
      </c>
      <c r="K912" s="30" t="s">
        <v>73</v>
      </c>
      <c r="L912" s="29" t="str">
        <f t="shared" si="14"/>
        <v>KAMPALA-SOROTI</v>
      </c>
      <c r="M912" s="31">
        <v>53</v>
      </c>
      <c r="N912" s="72">
        <v>25000</v>
      </c>
      <c r="O912" s="34">
        <v>6</v>
      </c>
    </row>
    <row r="913" spans="2:15" x14ac:dyDescent="0.2">
      <c r="B913" s="27">
        <v>0.45833333333333331</v>
      </c>
      <c r="C913" s="28">
        <v>6</v>
      </c>
      <c r="D913" s="33" t="str">
        <f>IF(C913="", "",VLOOKUP(C913,Key!$A$5:$B$7,2,FALSE))</f>
        <v>Large Bus</v>
      </c>
      <c r="E913" s="29" t="s">
        <v>224</v>
      </c>
      <c r="F913" s="29" t="s">
        <v>67</v>
      </c>
      <c r="G913" s="29" t="s">
        <v>70</v>
      </c>
      <c r="H913" s="30" t="s">
        <v>70</v>
      </c>
      <c r="I913" s="29" t="s">
        <v>257</v>
      </c>
      <c r="J913" s="29" t="s">
        <v>73</v>
      </c>
      <c r="K913" s="30" t="s">
        <v>73</v>
      </c>
      <c r="L913" s="29" t="str">
        <f t="shared" si="14"/>
        <v>KAMPALA-SOROTI</v>
      </c>
      <c r="M913" s="31">
        <v>45</v>
      </c>
      <c r="N913" s="72">
        <v>25000</v>
      </c>
      <c r="O913" s="34">
        <v>6</v>
      </c>
    </row>
    <row r="914" spans="2:15" x14ac:dyDescent="0.2">
      <c r="B914" s="27">
        <v>8.4027777777777771E-2</v>
      </c>
      <c r="C914" s="28">
        <v>6</v>
      </c>
      <c r="D914" s="33" t="str">
        <f>IF(C914="", "",VLOOKUP(C914,Key!$A$5:$B$7,2,FALSE))</f>
        <v>Large Bus</v>
      </c>
      <c r="E914" s="29" t="s">
        <v>224</v>
      </c>
      <c r="F914" s="29" t="s">
        <v>67</v>
      </c>
      <c r="G914" s="29" t="s">
        <v>70</v>
      </c>
      <c r="H914" s="30" t="s">
        <v>70</v>
      </c>
      <c r="I914" s="29" t="s">
        <v>257</v>
      </c>
      <c r="J914" s="29" t="s">
        <v>73</v>
      </c>
      <c r="K914" s="30" t="s">
        <v>73</v>
      </c>
      <c r="L914" s="29" t="str">
        <f t="shared" si="14"/>
        <v>KAMPALA-SOROTI</v>
      </c>
      <c r="M914" s="31">
        <v>64</v>
      </c>
      <c r="N914" s="72">
        <v>25000</v>
      </c>
      <c r="O914" s="34">
        <v>6</v>
      </c>
    </row>
    <row r="915" spans="2:15" x14ac:dyDescent="0.2">
      <c r="B915" s="27">
        <v>0.10625</v>
      </c>
      <c r="C915" s="28">
        <v>6</v>
      </c>
      <c r="D915" s="33" t="str">
        <f>IF(C915="", "",VLOOKUP(C915,Key!$A$5:$B$7,2,FALSE))</f>
        <v>Large Bus</v>
      </c>
      <c r="E915" s="29" t="s">
        <v>224</v>
      </c>
      <c r="F915" s="29" t="s">
        <v>67</v>
      </c>
      <c r="G915" s="29" t="s">
        <v>70</v>
      </c>
      <c r="H915" s="30" t="s">
        <v>70</v>
      </c>
      <c r="I915" s="29" t="s">
        <v>257</v>
      </c>
      <c r="J915" s="29" t="s">
        <v>73</v>
      </c>
      <c r="K915" s="30" t="s">
        <v>73</v>
      </c>
      <c r="L915" s="29" t="str">
        <f t="shared" si="14"/>
        <v>KAMPALA-SOROTI</v>
      </c>
      <c r="M915" s="31">
        <v>51</v>
      </c>
      <c r="N915" s="72">
        <v>25000</v>
      </c>
      <c r="O915" s="34">
        <v>6</v>
      </c>
    </row>
    <row r="916" spans="2:15" x14ac:dyDescent="0.2">
      <c r="B916" s="27">
        <v>0.20138888888888887</v>
      </c>
      <c r="C916" s="28">
        <v>6</v>
      </c>
      <c r="D916" s="33" t="str">
        <f>IF(C916="", "",VLOOKUP(C916,Key!$A$5:$B$7,2,FALSE))</f>
        <v>Large Bus</v>
      </c>
      <c r="E916" s="29" t="s">
        <v>224</v>
      </c>
      <c r="F916" s="29" t="s">
        <v>67</v>
      </c>
      <c r="G916" s="29" t="s">
        <v>70</v>
      </c>
      <c r="H916" s="30" t="s">
        <v>70</v>
      </c>
      <c r="I916" s="29" t="s">
        <v>257</v>
      </c>
      <c r="J916" s="29" t="s">
        <v>129</v>
      </c>
      <c r="K916" s="30" t="s">
        <v>129</v>
      </c>
      <c r="L916" s="29" t="str">
        <f t="shared" si="14"/>
        <v>KAMPALA-MBALE</v>
      </c>
      <c r="M916" s="31">
        <v>65</v>
      </c>
      <c r="N916" s="72">
        <v>20000</v>
      </c>
      <c r="O916" s="34">
        <v>4.5</v>
      </c>
    </row>
    <row r="917" spans="2:15" x14ac:dyDescent="0.2">
      <c r="B917" s="27">
        <v>0.25277777777777777</v>
      </c>
      <c r="C917" s="28">
        <v>6</v>
      </c>
      <c r="D917" s="33" t="str">
        <f>IF(C917="", "",VLOOKUP(C917,Key!$A$5:$B$7,2,FALSE))</f>
        <v>Large Bus</v>
      </c>
      <c r="E917" s="29" t="s">
        <v>224</v>
      </c>
      <c r="F917" s="29" t="s">
        <v>67</v>
      </c>
      <c r="G917" s="29" t="s">
        <v>70</v>
      </c>
      <c r="H917" s="30" t="s">
        <v>70</v>
      </c>
      <c r="I917" s="29" t="s">
        <v>257</v>
      </c>
      <c r="J917" s="29" t="s">
        <v>73</v>
      </c>
      <c r="K917" s="30" t="s">
        <v>73</v>
      </c>
      <c r="L917" s="29" t="str">
        <f t="shared" si="14"/>
        <v>KAMPALA-SOROTI</v>
      </c>
      <c r="M917" s="31">
        <v>52</v>
      </c>
      <c r="N917" s="72">
        <v>25000</v>
      </c>
      <c r="O917" s="34">
        <v>6</v>
      </c>
    </row>
    <row r="918" spans="2:15" x14ac:dyDescent="0.2">
      <c r="B918" s="27">
        <v>0.25694444444444448</v>
      </c>
      <c r="C918" s="28">
        <v>6</v>
      </c>
      <c r="D918" s="33" t="str">
        <f>IF(C918="", "",VLOOKUP(C918,Key!$A$5:$B$7,2,FALSE))</f>
        <v>Large Bus</v>
      </c>
      <c r="E918" s="29" t="s">
        <v>224</v>
      </c>
      <c r="F918" s="29" t="s">
        <v>67</v>
      </c>
      <c r="G918" s="29" t="s">
        <v>70</v>
      </c>
      <c r="H918" s="30" t="s">
        <v>70</v>
      </c>
      <c r="I918" s="29" t="s">
        <v>257</v>
      </c>
      <c r="J918" s="29" t="s">
        <v>129</v>
      </c>
      <c r="K918" s="30" t="s">
        <v>129</v>
      </c>
      <c r="L918" s="29" t="str">
        <f t="shared" si="14"/>
        <v>KAMPALA-MBALE</v>
      </c>
      <c r="M918" s="31">
        <v>60</v>
      </c>
      <c r="N918" s="72">
        <v>20000</v>
      </c>
      <c r="O918" s="34">
        <v>4.5</v>
      </c>
    </row>
    <row r="919" spans="2:15" x14ac:dyDescent="0.2">
      <c r="B919" s="27">
        <v>0.2986111111111111</v>
      </c>
      <c r="C919" s="28">
        <v>6</v>
      </c>
      <c r="D919" s="33" t="str">
        <f>IF(C919="", "",VLOOKUP(C919,Key!$A$5:$B$7,2,FALSE))</f>
        <v>Large Bus</v>
      </c>
      <c r="E919" s="29" t="s">
        <v>224</v>
      </c>
      <c r="F919" s="29" t="s">
        <v>67</v>
      </c>
      <c r="G919" s="29" t="s">
        <v>70</v>
      </c>
      <c r="H919" s="30" t="s">
        <v>70</v>
      </c>
      <c r="I919" s="29" t="s">
        <v>257</v>
      </c>
      <c r="J919" s="29" t="s">
        <v>129</v>
      </c>
      <c r="K919" s="30" t="s">
        <v>129</v>
      </c>
      <c r="L919" s="29" t="str">
        <f t="shared" si="14"/>
        <v>KAMPALA-MBALE</v>
      </c>
      <c r="M919" s="31"/>
      <c r="N919" s="72">
        <v>20000</v>
      </c>
      <c r="O919" s="34">
        <v>4.5</v>
      </c>
    </row>
    <row r="920" spans="2:15" x14ac:dyDescent="0.2">
      <c r="B920" s="27">
        <v>0.8027777777777777</v>
      </c>
      <c r="C920" s="28">
        <v>6</v>
      </c>
      <c r="D920" s="33" t="str">
        <f>IF(C920="", "",VLOOKUP(C920,Key!$A$5:$B$7,2,FALSE))</f>
        <v>Large Bus</v>
      </c>
      <c r="E920" s="29" t="s">
        <v>224</v>
      </c>
      <c r="F920" s="29" t="s">
        <v>66</v>
      </c>
      <c r="G920" s="29" t="s">
        <v>130</v>
      </c>
      <c r="H920" s="30" t="s">
        <v>130</v>
      </c>
      <c r="I920" s="29" t="s">
        <v>257</v>
      </c>
      <c r="J920" s="29" t="s">
        <v>70</v>
      </c>
      <c r="K920" s="30" t="s">
        <v>70</v>
      </c>
      <c r="L920" s="29" t="str">
        <f t="shared" si="14"/>
        <v>LIRA-KAMPALA</v>
      </c>
      <c r="M920" s="31">
        <v>65</v>
      </c>
      <c r="N920" s="72">
        <v>20000</v>
      </c>
      <c r="O920" s="34">
        <v>5</v>
      </c>
    </row>
    <row r="921" spans="2:15" x14ac:dyDescent="0.2">
      <c r="B921" s="27">
        <v>0.8041666666666667</v>
      </c>
      <c r="C921" s="28">
        <v>6</v>
      </c>
      <c r="D921" s="33" t="str">
        <f>IF(C921="", "",VLOOKUP(C921,Key!$A$5:$B$7,2,FALSE))</f>
        <v>Large Bus</v>
      </c>
      <c r="E921" s="29" t="s">
        <v>224</v>
      </c>
      <c r="F921" s="29" t="s">
        <v>66</v>
      </c>
      <c r="G921" s="29" t="s">
        <v>130</v>
      </c>
      <c r="H921" s="30" t="s">
        <v>130</v>
      </c>
      <c r="I921" s="29" t="s">
        <v>257</v>
      </c>
      <c r="J921" s="29" t="s">
        <v>70</v>
      </c>
      <c r="K921" s="30" t="s">
        <v>70</v>
      </c>
      <c r="L921" s="29" t="str">
        <f t="shared" si="14"/>
        <v>LIRA-KAMPALA</v>
      </c>
      <c r="M921" s="31">
        <v>67</v>
      </c>
      <c r="N921" s="72">
        <v>20000</v>
      </c>
      <c r="O921" s="34">
        <v>5</v>
      </c>
    </row>
    <row r="922" spans="2:15" x14ac:dyDescent="0.2">
      <c r="B922" s="27">
        <v>0.86111111111111116</v>
      </c>
      <c r="C922" s="28">
        <v>6</v>
      </c>
      <c r="D922" s="33" t="str">
        <f>IF(C922="", "",VLOOKUP(C922,Key!$A$5:$B$7,2,FALSE))</f>
        <v>Large Bus</v>
      </c>
      <c r="E922" s="29" t="s">
        <v>224</v>
      </c>
      <c r="F922" s="29" t="s">
        <v>66</v>
      </c>
      <c r="G922" s="29" t="s">
        <v>129</v>
      </c>
      <c r="H922" s="30" t="s">
        <v>129</v>
      </c>
      <c r="I922" s="29" t="s">
        <v>257</v>
      </c>
      <c r="J922" s="29" t="s">
        <v>70</v>
      </c>
      <c r="K922" s="30" t="s">
        <v>70</v>
      </c>
      <c r="L922" s="29" t="str">
        <f t="shared" si="14"/>
        <v>MBALE-KAMPALA</v>
      </c>
      <c r="M922" s="31">
        <v>67</v>
      </c>
      <c r="N922" s="72">
        <v>20000</v>
      </c>
      <c r="O922" s="34">
        <v>4.5</v>
      </c>
    </row>
    <row r="923" spans="2:15" x14ac:dyDescent="0.2">
      <c r="B923" s="27">
        <v>0.9</v>
      </c>
      <c r="C923" s="28">
        <v>6</v>
      </c>
      <c r="D923" s="33" t="str">
        <f>IF(C923="", "",VLOOKUP(C923,Key!$A$5:$B$7,2,FALSE))</f>
        <v>Large Bus</v>
      </c>
      <c r="E923" s="29" t="s">
        <v>224</v>
      </c>
      <c r="F923" s="29" t="s">
        <v>66</v>
      </c>
      <c r="G923" s="29" t="s">
        <v>73</v>
      </c>
      <c r="H923" s="30" t="s">
        <v>73</v>
      </c>
      <c r="I923" s="29" t="s">
        <v>257</v>
      </c>
      <c r="J923" s="29" t="s">
        <v>70</v>
      </c>
      <c r="K923" s="30" t="s">
        <v>70</v>
      </c>
      <c r="L923" s="29" t="str">
        <f t="shared" si="14"/>
        <v>SOROTI-KAMPALA</v>
      </c>
      <c r="M923" s="31">
        <v>65</v>
      </c>
      <c r="N923" s="72">
        <v>25000</v>
      </c>
      <c r="O923" s="34">
        <v>6</v>
      </c>
    </row>
    <row r="924" spans="2:15" x14ac:dyDescent="0.2">
      <c r="B924" s="27">
        <v>0.91666666666666663</v>
      </c>
      <c r="C924" s="28">
        <v>6</v>
      </c>
      <c r="D924" s="33" t="str">
        <f>IF(C924="", "",VLOOKUP(C924,Key!$A$5:$B$7,2,FALSE))</f>
        <v>Large Bus</v>
      </c>
      <c r="E924" s="29" t="s">
        <v>224</v>
      </c>
      <c r="F924" s="29" t="s">
        <v>66</v>
      </c>
      <c r="G924" s="29" t="s">
        <v>129</v>
      </c>
      <c r="H924" s="30" t="s">
        <v>129</v>
      </c>
      <c r="I924" s="29" t="s">
        <v>257</v>
      </c>
      <c r="J924" s="29" t="s">
        <v>70</v>
      </c>
      <c r="K924" s="30" t="s">
        <v>70</v>
      </c>
      <c r="L924" s="29" t="str">
        <f t="shared" si="14"/>
        <v>MBALE-KAMPALA</v>
      </c>
      <c r="M924" s="31">
        <v>67</v>
      </c>
      <c r="N924" s="72">
        <v>20000</v>
      </c>
      <c r="O924" s="34">
        <v>4.5</v>
      </c>
    </row>
    <row r="925" spans="2:15" x14ac:dyDescent="0.2">
      <c r="B925" s="27">
        <v>0.94513888888888886</v>
      </c>
      <c r="C925" s="28">
        <v>6</v>
      </c>
      <c r="D925" s="33" t="str">
        <f>IF(C925="", "",VLOOKUP(C925,Key!$A$5:$B$7,2,FALSE))</f>
        <v>Large Bus</v>
      </c>
      <c r="E925" s="29" t="s">
        <v>224</v>
      </c>
      <c r="F925" s="29" t="s">
        <v>66</v>
      </c>
      <c r="G925" s="29" t="s">
        <v>73</v>
      </c>
      <c r="H925" s="30" t="s">
        <v>73</v>
      </c>
      <c r="I925" s="29" t="s">
        <v>257</v>
      </c>
      <c r="J925" s="29" t="s">
        <v>70</v>
      </c>
      <c r="K925" s="30" t="s">
        <v>70</v>
      </c>
      <c r="L925" s="29" t="str">
        <f t="shared" si="14"/>
        <v>SOROTI-KAMPALA</v>
      </c>
      <c r="M925" s="31">
        <v>65</v>
      </c>
      <c r="N925" s="72">
        <v>25000</v>
      </c>
      <c r="O925" s="34">
        <v>6</v>
      </c>
    </row>
    <row r="926" spans="2:15" x14ac:dyDescent="0.2">
      <c r="B926" s="27">
        <v>0.4909722222222222</v>
      </c>
      <c r="C926" s="28">
        <v>6</v>
      </c>
      <c r="D926" s="33" t="str">
        <f>IF(C926="", "",VLOOKUP(C926,Key!$A$5:$B$7,2,FALSE))</f>
        <v>Large Bus</v>
      </c>
      <c r="E926" s="29" t="s">
        <v>224</v>
      </c>
      <c r="F926" s="29" t="s">
        <v>66</v>
      </c>
      <c r="G926" s="29" t="s">
        <v>129</v>
      </c>
      <c r="H926" s="30" t="s">
        <v>129</v>
      </c>
      <c r="I926" s="29" t="s">
        <v>257</v>
      </c>
      <c r="J926" s="29" t="s">
        <v>70</v>
      </c>
      <c r="K926" s="30" t="s">
        <v>70</v>
      </c>
      <c r="L926" s="29" t="str">
        <f t="shared" si="14"/>
        <v>MBALE-KAMPALA</v>
      </c>
      <c r="M926" s="31">
        <v>57</v>
      </c>
      <c r="N926" s="72">
        <v>20000</v>
      </c>
      <c r="O926" s="34">
        <v>4.5</v>
      </c>
    </row>
    <row r="927" spans="2:15" x14ac:dyDescent="0.2">
      <c r="B927" s="27">
        <v>0.50624999999999998</v>
      </c>
      <c r="C927" s="28">
        <v>6</v>
      </c>
      <c r="D927" s="33" t="str">
        <f>IF(C927="", "",VLOOKUP(C927,Key!$A$5:$B$7,2,FALSE))</f>
        <v>Large Bus</v>
      </c>
      <c r="E927" s="29" t="s">
        <v>224</v>
      </c>
      <c r="F927" s="29" t="s">
        <v>66</v>
      </c>
      <c r="G927" s="29" t="s">
        <v>130</v>
      </c>
      <c r="H927" s="30" t="s">
        <v>130</v>
      </c>
      <c r="I927" s="29" t="s">
        <v>257</v>
      </c>
      <c r="J927" s="29" t="s">
        <v>70</v>
      </c>
      <c r="K927" s="30" t="s">
        <v>70</v>
      </c>
      <c r="L927" s="29" t="str">
        <f t="shared" si="14"/>
        <v>LIRA-KAMPALA</v>
      </c>
      <c r="M927" s="31">
        <v>65</v>
      </c>
      <c r="N927" s="72">
        <v>20000</v>
      </c>
      <c r="O927" s="34">
        <v>5</v>
      </c>
    </row>
    <row r="928" spans="2:15" x14ac:dyDescent="0.2">
      <c r="B928" s="27">
        <v>0.10902777777777778</v>
      </c>
      <c r="C928" s="28">
        <v>6</v>
      </c>
      <c r="D928" s="33" t="str">
        <f>IF(C928="", "",VLOOKUP(C928,Key!$A$5:$B$7,2,FALSE))</f>
        <v>Large Bus</v>
      </c>
      <c r="E928" s="29" t="s">
        <v>224</v>
      </c>
      <c r="F928" s="29" t="s">
        <v>66</v>
      </c>
      <c r="G928" s="29" t="s">
        <v>73</v>
      </c>
      <c r="H928" s="30" t="s">
        <v>73</v>
      </c>
      <c r="I928" s="29" t="s">
        <v>257</v>
      </c>
      <c r="J928" s="29" t="s">
        <v>70</v>
      </c>
      <c r="K928" s="30" t="s">
        <v>70</v>
      </c>
      <c r="L928" s="29" t="str">
        <f t="shared" si="14"/>
        <v>SOROTI-KAMPALA</v>
      </c>
      <c r="M928" s="31">
        <v>67</v>
      </c>
      <c r="N928" s="72">
        <v>25000</v>
      </c>
      <c r="O928" s="34">
        <v>6</v>
      </c>
    </row>
    <row r="929" spans="2:15" x14ac:dyDescent="0.2">
      <c r="B929" s="27">
        <v>0.15486111111111112</v>
      </c>
      <c r="C929" s="28">
        <v>6</v>
      </c>
      <c r="D929" s="33" t="str">
        <f>IF(C929="", "",VLOOKUP(C929,Key!$A$5:$B$7,2,FALSE))</f>
        <v>Large Bus</v>
      </c>
      <c r="E929" s="29" t="s">
        <v>224</v>
      </c>
      <c r="F929" s="29" t="s">
        <v>66</v>
      </c>
      <c r="G929" s="29" t="s">
        <v>129</v>
      </c>
      <c r="H929" s="30" t="s">
        <v>129</v>
      </c>
      <c r="I929" s="29" t="s">
        <v>257</v>
      </c>
      <c r="J929" s="29" t="s">
        <v>70</v>
      </c>
      <c r="K929" s="30" t="s">
        <v>70</v>
      </c>
      <c r="L929" s="29" t="str">
        <f t="shared" si="14"/>
        <v>MBALE-KAMPALA</v>
      </c>
      <c r="M929" s="31">
        <v>67</v>
      </c>
      <c r="N929" s="72">
        <v>20000</v>
      </c>
      <c r="O929" s="34">
        <v>4.5</v>
      </c>
    </row>
    <row r="930" spans="2:15" x14ac:dyDescent="0.2">
      <c r="B930" s="27">
        <v>0.22152777777777777</v>
      </c>
      <c r="C930" s="28">
        <v>6</v>
      </c>
      <c r="D930" s="33" t="str">
        <f>IF(C930="", "",VLOOKUP(C930,Key!$A$5:$B$7,2,FALSE))</f>
        <v>Large Bus</v>
      </c>
      <c r="E930" s="29" t="s">
        <v>224</v>
      </c>
      <c r="F930" s="29" t="s">
        <v>66</v>
      </c>
      <c r="G930" s="29" t="s">
        <v>131</v>
      </c>
      <c r="H930" s="30" t="s">
        <v>131</v>
      </c>
      <c r="I930" s="29" t="s">
        <v>257</v>
      </c>
      <c r="J930" s="29" t="s">
        <v>70</v>
      </c>
      <c r="K930" s="30" t="s">
        <v>70</v>
      </c>
      <c r="L930" s="29" t="str">
        <f t="shared" si="14"/>
        <v>APAC-KAMPALA</v>
      </c>
      <c r="M930" s="31">
        <v>67</v>
      </c>
      <c r="N930" s="72">
        <v>20000</v>
      </c>
      <c r="O930" s="34">
        <v>4.5</v>
      </c>
    </row>
    <row r="931" spans="2:15" x14ac:dyDescent="0.2">
      <c r="B931" s="27">
        <v>0.24444444444444446</v>
      </c>
      <c r="C931" s="28">
        <v>6</v>
      </c>
      <c r="D931" s="33" t="str">
        <f>IF(C931="", "",VLOOKUP(C931,Key!$A$5:$B$7,2,FALSE))</f>
        <v>Large Bus</v>
      </c>
      <c r="E931" s="29" t="s">
        <v>224</v>
      </c>
      <c r="F931" s="29" t="s">
        <v>66</v>
      </c>
      <c r="G931" s="29" t="s">
        <v>73</v>
      </c>
      <c r="H931" s="30" t="s">
        <v>73</v>
      </c>
      <c r="I931" s="29" t="s">
        <v>257</v>
      </c>
      <c r="J931" s="29" t="s">
        <v>70</v>
      </c>
      <c r="K931" s="30" t="s">
        <v>70</v>
      </c>
      <c r="L931" s="29" t="str">
        <f t="shared" si="14"/>
        <v>SOROTI-KAMPALA</v>
      </c>
      <c r="M931" s="31">
        <v>65</v>
      </c>
      <c r="N931" s="72">
        <v>25000</v>
      </c>
      <c r="O931" s="34">
        <v>6</v>
      </c>
    </row>
    <row r="932" spans="2:15" x14ac:dyDescent="0.2">
      <c r="B932" s="27">
        <v>0.27013888888888887</v>
      </c>
      <c r="C932" s="28">
        <v>6</v>
      </c>
      <c r="D932" s="33" t="str">
        <f>IF(C932="", "",VLOOKUP(C932,Key!$A$5:$B$7,2,FALSE))</f>
        <v>Large Bus</v>
      </c>
      <c r="E932" s="29" t="s">
        <v>224</v>
      </c>
      <c r="F932" s="29" t="s">
        <v>66</v>
      </c>
      <c r="G932" s="29" t="s">
        <v>129</v>
      </c>
      <c r="H932" s="30" t="s">
        <v>129</v>
      </c>
      <c r="I932" s="29" t="s">
        <v>257</v>
      </c>
      <c r="J932" s="29" t="s">
        <v>70</v>
      </c>
      <c r="K932" s="30" t="s">
        <v>70</v>
      </c>
      <c r="L932" s="29" t="str">
        <f t="shared" si="14"/>
        <v>MBALE-KAMPALA</v>
      </c>
      <c r="M932" s="31">
        <v>67</v>
      </c>
      <c r="N932" s="72">
        <v>20000</v>
      </c>
      <c r="O932" s="34">
        <v>4.5</v>
      </c>
    </row>
    <row r="933" spans="2:15" x14ac:dyDescent="0.2">
      <c r="B933" s="27">
        <v>0.27708333333333335</v>
      </c>
      <c r="C933" s="28">
        <v>6</v>
      </c>
      <c r="D933" s="33" t="str">
        <f>IF(C933="", "",VLOOKUP(C933,Key!$A$5:$B$7,2,FALSE))</f>
        <v>Large Bus</v>
      </c>
      <c r="E933" s="29" t="s">
        <v>224</v>
      </c>
      <c r="F933" s="29" t="s">
        <v>66</v>
      </c>
      <c r="G933" s="29" t="s">
        <v>129</v>
      </c>
      <c r="H933" s="30" t="s">
        <v>129</v>
      </c>
      <c r="I933" s="29" t="s">
        <v>257</v>
      </c>
      <c r="J933" s="29" t="s">
        <v>70</v>
      </c>
      <c r="K933" s="30" t="s">
        <v>70</v>
      </c>
      <c r="L933" s="29" t="str">
        <f t="shared" si="14"/>
        <v>MBALE-KAMPALA</v>
      </c>
      <c r="M933" s="31">
        <v>64</v>
      </c>
      <c r="N933" s="72">
        <v>19000</v>
      </c>
      <c r="O933" s="34">
        <v>4.5</v>
      </c>
    </row>
    <row r="934" spans="2:15" x14ac:dyDescent="0.2">
      <c r="B934" s="27">
        <v>0.28472222222222221</v>
      </c>
      <c r="C934" s="28">
        <v>6</v>
      </c>
      <c r="D934" s="33" t="str">
        <f>IF(C934="", "",VLOOKUP(C934,Key!$A$5:$B$7,2,FALSE))</f>
        <v>Large Bus</v>
      </c>
      <c r="E934" s="29" t="s">
        <v>224</v>
      </c>
      <c r="F934" s="29" t="s">
        <v>66</v>
      </c>
      <c r="G934" s="29" t="s">
        <v>129</v>
      </c>
      <c r="H934" s="30" t="s">
        <v>129</v>
      </c>
      <c r="I934" s="29" t="s">
        <v>257</v>
      </c>
      <c r="J934" s="29" t="s">
        <v>70</v>
      </c>
      <c r="K934" s="30" t="s">
        <v>70</v>
      </c>
      <c r="L934" s="29" t="str">
        <f t="shared" si="14"/>
        <v>MBALE-KAMPALA</v>
      </c>
      <c r="M934" s="31">
        <v>66</v>
      </c>
      <c r="N934" s="72">
        <v>19000</v>
      </c>
      <c r="O934" s="34">
        <v>4.5</v>
      </c>
    </row>
    <row r="935" spans="2:15" x14ac:dyDescent="0.2">
      <c r="B935" s="45" t="s">
        <v>221</v>
      </c>
      <c r="C935" s="47"/>
      <c r="D935" s="33" t="str">
        <f>IF(C935="", "",VLOOKUP(C935,Key!$A$5:$B$7,2,FALSE))</f>
        <v/>
      </c>
      <c r="E935" s="44" t="s">
        <v>224</v>
      </c>
      <c r="F935" s="48"/>
      <c r="G935" s="47"/>
      <c r="H935" s="47"/>
      <c r="I935" s="47" t="s">
        <v>257</v>
      </c>
      <c r="J935" s="47"/>
      <c r="K935" s="47"/>
      <c r="L935" s="47" t="str">
        <f t="shared" si="14"/>
        <v>-</v>
      </c>
      <c r="M935" s="47"/>
      <c r="N935" s="48"/>
      <c r="O935" s="48"/>
    </row>
    <row r="936" spans="2:15" x14ac:dyDescent="0.2">
      <c r="B936" s="27">
        <v>0.32291666666666669</v>
      </c>
      <c r="C936" s="28">
        <v>6</v>
      </c>
      <c r="D936" s="33" t="str">
        <f>IF(C936="", "",VLOOKUP(C936,Key!$A$5:$B$7,2,FALSE))</f>
        <v>Large Bus</v>
      </c>
      <c r="E936" s="29" t="s">
        <v>224</v>
      </c>
      <c r="F936" s="29" t="s">
        <v>67</v>
      </c>
      <c r="G936" s="29" t="s">
        <v>70</v>
      </c>
      <c r="H936" s="30" t="s">
        <v>70</v>
      </c>
      <c r="I936" s="29" t="s">
        <v>257</v>
      </c>
      <c r="J936" s="29" t="s">
        <v>73</v>
      </c>
      <c r="K936" s="30" t="s">
        <v>73</v>
      </c>
      <c r="L936" s="29" t="str">
        <f t="shared" si="14"/>
        <v>KAMPALA-SOROTI</v>
      </c>
      <c r="M936" s="31">
        <v>53</v>
      </c>
      <c r="N936" s="72">
        <v>25000</v>
      </c>
      <c r="O936" s="34">
        <v>6</v>
      </c>
    </row>
    <row r="937" spans="2:15" x14ac:dyDescent="0.2">
      <c r="B937" s="27">
        <v>0.38680555555555557</v>
      </c>
      <c r="C937" s="28">
        <v>6</v>
      </c>
      <c r="D937" s="33" t="str">
        <f>IF(C937="", "",VLOOKUP(C937,Key!$A$5:$B$7,2,FALSE))</f>
        <v>Large Bus</v>
      </c>
      <c r="E937" s="29" t="s">
        <v>224</v>
      </c>
      <c r="F937" s="29" t="s">
        <v>67</v>
      </c>
      <c r="G937" s="29" t="s">
        <v>70</v>
      </c>
      <c r="H937" s="30" t="s">
        <v>70</v>
      </c>
      <c r="I937" s="29" t="s">
        <v>257</v>
      </c>
      <c r="J937" s="29" t="s">
        <v>73</v>
      </c>
      <c r="K937" s="30" t="s">
        <v>73</v>
      </c>
      <c r="L937" s="29" t="str">
        <f t="shared" si="14"/>
        <v>KAMPALA-SOROTI</v>
      </c>
      <c r="M937" s="31">
        <v>60</v>
      </c>
      <c r="N937" s="72">
        <v>25000</v>
      </c>
      <c r="O937" s="34">
        <v>6</v>
      </c>
    </row>
    <row r="938" spans="2:15" x14ac:dyDescent="0.2">
      <c r="B938" s="27">
        <v>0.37222222222222223</v>
      </c>
      <c r="C938" s="28">
        <v>6</v>
      </c>
      <c r="D938" s="33" t="str">
        <f>IF(C938="", "",VLOOKUP(C938,Key!$A$5:$B$7,2,FALSE))</f>
        <v>Large Bus</v>
      </c>
      <c r="E938" s="29" t="s">
        <v>224</v>
      </c>
      <c r="F938" s="29" t="s">
        <v>67</v>
      </c>
      <c r="G938" s="29" t="s">
        <v>70</v>
      </c>
      <c r="H938" s="30" t="s">
        <v>70</v>
      </c>
      <c r="I938" s="29" t="s">
        <v>257</v>
      </c>
      <c r="J938" s="29" t="s">
        <v>129</v>
      </c>
      <c r="K938" s="30" t="s">
        <v>129</v>
      </c>
      <c r="L938" s="29" t="str">
        <f t="shared" si="14"/>
        <v>KAMPALA-MBALE</v>
      </c>
      <c r="M938" s="31">
        <v>52</v>
      </c>
      <c r="N938" s="72">
        <v>20000</v>
      </c>
      <c r="O938" s="34">
        <v>4.5</v>
      </c>
    </row>
    <row r="939" spans="2:15" x14ac:dyDescent="0.2">
      <c r="B939" s="27">
        <v>0.42222222222222222</v>
      </c>
      <c r="C939" s="28">
        <v>6</v>
      </c>
      <c r="D939" s="33" t="str">
        <f>IF(C939="", "",VLOOKUP(C939,Key!$A$5:$B$7,2,FALSE))</f>
        <v>Large Bus</v>
      </c>
      <c r="E939" s="29" t="s">
        <v>224</v>
      </c>
      <c r="F939" s="29" t="s">
        <v>67</v>
      </c>
      <c r="G939" s="29" t="s">
        <v>70</v>
      </c>
      <c r="H939" s="30" t="s">
        <v>70</v>
      </c>
      <c r="I939" s="29" t="s">
        <v>257</v>
      </c>
      <c r="J939" s="29" t="s">
        <v>129</v>
      </c>
      <c r="K939" s="30" t="s">
        <v>129</v>
      </c>
      <c r="L939" s="29" t="str">
        <f t="shared" si="14"/>
        <v>KAMPALA-MBALE</v>
      </c>
      <c r="M939" s="31">
        <v>62</v>
      </c>
      <c r="N939" s="72">
        <v>20000</v>
      </c>
      <c r="O939" s="34">
        <v>4.5</v>
      </c>
    </row>
    <row r="940" spans="2:15" x14ac:dyDescent="0.2">
      <c r="B940" s="27">
        <v>0.44097222222222227</v>
      </c>
      <c r="C940" s="28">
        <v>6</v>
      </c>
      <c r="D940" s="33" t="str">
        <f>IF(C940="", "",VLOOKUP(C940,Key!$A$5:$B$7,2,FALSE))</f>
        <v>Large Bus</v>
      </c>
      <c r="E940" s="29" t="s">
        <v>224</v>
      </c>
      <c r="F940" s="29" t="s">
        <v>67</v>
      </c>
      <c r="G940" s="29" t="s">
        <v>70</v>
      </c>
      <c r="H940" s="30" t="s">
        <v>70</v>
      </c>
      <c r="I940" s="29" t="s">
        <v>257</v>
      </c>
      <c r="J940" s="29" t="s">
        <v>73</v>
      </c>
      <c r="K940" s="30" t="s">
        <v>73</v>
      </c>
      <c r="L940" s="29" t="str">
        <f t="shared" si="14"/>
        <v>KAMPALA-SOROTI</v>
      </c>
      <c r="M940" s="31">
        <v>65</v>
      </c>
      <c r="N940" s="72">
        <v>25000</v>
      </c>
      <c r="O940" s="34">
        <v>6</v>
      </c>
    </row>
    <row r="941" spans="2:15" x14ac:dyDescent="0.2">
      <c r="B941" s="27">
        <v>0.51041666666666663</v>
      </c>
      <c r="C941" s="28">
        <v>6</v>
      </c>
      <c r="D941" s="33" t="str">
        <f>IF(C941="", "",VLOOKUP(C941,Key!$A$5:$B$7,2,FALSE))</f>
        <v>Large Bus</v>
      </c>
      <c r="E941" s="29" t="s">
        <v>224</v>
      </c>
      <c r="F941" s="29" t="s">
        <v>67</v>
      </c>
      <c r="G941" s="29" t="s">
        <v>70</v>
      </c>
      <c r="H941" s="30" t="s">
        <v>70</v>
      </c>
      <c r="I941" s="29" t="s">
        <v>257</v>
      </c>
      <c r="J941" s="29" t="s">
        <v>129</v>
      </c>
      <c r="K941" s="30" t="s">
        <v>129</v>
      </c>
      <c r="L941" s="29" t="str">
        <f t="shared" si="14"/>
        <v>KAMPALA-MBALE</v>
      </c>
      <c r="M941" s="31">
        <v>67</v>
      </c>
      <c r="N941" s="72">
        <v>20000</v>
      </c>
      <c r="O941" s="34">
        <v>4.5</v>
      </c>
    </row>
    <row r="942" spans="2:15" x14ac:dyDescent="0.2">
      <c r="B942" s="27">
        <v>0.55972222222222223</v>
      </c>
      <c r="C942" s="28">
        <v>6</v>
      </c>
      <c r="D942" s="33" t="str">
        <f>IF(C942="", "",VLOOKUP(C942,Key!$A$5:$B$7,2,FALSE))</f>
        <v>Large Bus</v>
      </c>
      <c r="E942" s="29" t="s">
        <v>224</v>
      </c>
      <c r="F942" s="29" t="s">
        <v>67</v>
      </c>
      <c r="G942" s="29" t="s">
        <v>70</v>
      </c>
      <c r="H942" s="30" t="s">
        <v>70</v>
      </c>
      <c r="I942" s="29" t="s">
        <v>257</v>
      </c>
      <c r="J942" s="29" t="s">
        <v>73</v>
      </c>
      <c r="K942" s="30" t="s">
        <v>73</v>
      </c>
      <c r="L942" s="29" t="str">
        <f t="shared" si="14"/>
        <v>KAMPALA-SOROTI</v>
      </c>
      <c r="M942" s="31">
        <v>65</v>
      </c>
      <c r="N942" s="72">
        <v>25000</v>
      </c>
      <c r="O942" s="34">
        <v>6</v>
      </c>
    </row>
    <row r="943" spans="2:15" x14ac:dyDescent="0.2">
      <c r="B943" s="27">
        <v>0.5541666666666667</v>
      </c>
      <c r="C943" s="28">
        <v>6</v>
      </c>
      <c r="D943" s="33" t="str">
        <f>IF(C943="", "",VLOOKUP(C943,Key!$A$5:$B$7,2,FALSE))</f>
        <v>Large Bus</v>
      </c>
      <c r="E943" s="29" t="s">
        <v>224</v>
      </c>
      <c r="F943" s="29" t="s">
        <v>67</v>
      </c>
      <c r="G943" s="29" t="s">
        <v>70</v>
      </c>
      <c r="H943" s="30" t="s">
        <v>70</v>
      </c>
      <c r="I943" s="29" t="s">
        <v>257</v>
      </c>
      <c r="J943" s="29" t="s">
        <v>129</v>
      </c>
      <c r="K943" s="30" t="s">
        <v>129</v>
      </c>
      <c r="L943" s="29" t="str">
        <f t="shared" si="14"/>
        <v>KAMPALA-MBALE</v>
      </c>
      <c r="M943" s="31">
        <v>67</v>
      </c>
      <c r="N943" s="72">
        <v>20000</v>
      </c>
      <c r="O943" s="34">
        <v>4.5</v>
      </c>
    </row>
    <row r="944" spans="2:15" x14ac:dyDescent="0.2">
      <c r="B944" s="27">
        <v>0.58819444444444446</v>
      </c>
      <c r="C944" s="28">
        <v>6</v>
      </c>
      <c r="D944" s="33" t="str">
        <f>IF(C944="", "",VLOOKUP(C944,Key!$A$5:$B$7,2,FALSE))</f>
        <v>Large Bus</v>
      </c>
      <c r="E944" s="29" t="s">
        <v>224</v>
      </c>
      <c r="F944" s="29" t="s">
        <v>67</v>
      </c>
      <c r="G944" s="29" t="s">
        <v>70</v>
      </c>
      <c r="H944" s="30" t="s">
        <v>70</v>
      </c>
      <c r="I944" s="29" t="s">
        <v>257</v>
      </c>
      <c r="J944" s="29" t="s">
        <v>129</v>
      </c>
      <c r="K944" s="30" t="s">
        <v>129</v>
      </c>
      <c r="L944" s="29" t="str">
        <f t="shared" si="14"/>
        <v>KAMPALA-MBALE</v>
      </c>
      <c r="M944" s="31">
        <v>67</v>
      </c>
      <c r="N944" s="72">
        <v>20000</v>
      </c>
      <c r="O944" s="34">
        <v>4.5</v>
      </c>
    </row>
    <row r="945" spans="2:15" x14ac:dyDescent="0.2">
      <c r="B945" s="27">
        <v>0.60416666666666663</v>
      </c>
      <c r="C945" s="28">
        <v>6</v>
      </c>
      <c r="D945" s="33" t="str">
        <f>IF(C945="", "",VLOOKUP(C945,Key!$A$5:$B$7,2,FALSE))</f>
        <v>Large Bus</v>
      </c>
      <c r="E945" s="29" t="s">
        <v>224</v>
      </c>
      <c r="F945" s="29" t="s">
        <v>67</v>
      </c>
      <c r="G945" s="29" t="s">
        <v>70</v>
      </c>
      <c r="H945" s="30" t="s">
        <v>70</v>
      </c>
      <c r="I945" s="29" t="s">
        <v>257</v>
      </c>
      <c r="J945" s="29" t="s">
        <v>73</v>
      </c>
      <c r="K945" s="30" t="s">
        <v>73</v>
      </c>
      <c r="L945" s="29" t="str">
        <f t="shared" si="14"/>
        <v>KAMPALA-SOROTI</v>
      </c>
      <c r="M945" s="31">
        <v>67</v>
      </c>
      <c r="N945" s="72">
        <v>25000</v>
      </c>
      <c r="O945" s="34">
        <v>6</v>
      </c>
    </row>
    <row r="946" spans="2:15" x14ac:dyDescent="0.2">
      <c r="B946" s="27">
        <v>0.72152777777777777</v>
      </c>
      <c r="C946" s="28">
        <v>6</v>
      </c>
      <c r="D946" s="33" t="str">
        <f>IF(C946="", "",VLOOKUP(C946,Key!$A$5:$B$7,2,FALSE))</f>
        <v>Large Bus</v>
      </c>
      <c r="E946" s="29" t="s">
        <v>224</v>
      </c>
      <c r="F946" s="29" t="s">
        <v>67</v>
      </c>
      <c r="G946" s="29" t="s">
        <v>70</v>
      </c>
      <c r="H946" s="30" t="s">
        <v>70</v>
      </c>
      <c r="I946" s="29" t="s">
        <v>257</v>
      </c>
      <c r="J946" s="29" t="s">
        <v>129</v>
      </c>
      <c r="K946" s="30" t="s">
        <v>129</v>
      </c>
      <c r="L946" s="29" t="str">
        <f t="shared" si="14"/>
        <v>KAMPALA-MBALE</v>
      </c>
      <c r="M946" s="31">
        <v>60</v>
      </c>
      <c r="N946" s="72">
        <v>20000</v>
      </c>
      <c r="O946" s="34">
        <v>4.5</v>
      </c>
    </row>
    <row r="947" spans="2:15" x14ac:dyDescent="0.2">
      <c r="B947" s="27">
        <v>0.76388888888888884</v>
      </c>
      <c r="C947" s="28">
        <v>6</v>
      </c>
      <c r="D947" s="33" t="str">
        <f>IF(C947="", "",VLOOKUP(C947,Key!$A$5:$B$7,2,FALSE))</f>
        <v>Large Bus</v>
      </c>
      <c r="E947" s="29" t="s">
        <v>224</v>
      </c>
      <c r="F947" s="29" t="s">
        <v>67</v>
      </c>
      <c r="G947" s="29" t="s">
        <v>70</v>
      </c>
      <c r="H947" s="30" t="s">
        <v>70</v>
      </c>
      <c r="I947" s="29" t="s">
        <v>257</v>
      </c>
      <c r="J947" s="29" t="s">
        <v>129</v>
      </c>
      <c r="K947" s="30" t="s">
        <v>129</v>
      </c>
      <c r="L947" s="29" t="str">
        <f t="shared" si="14"/>
        <v>KAMPALA-MBALE</v>
      </c>
      <c r="M947" s="31">
        <v>59</v>
      </c>
      <c r="N947" s="72">
        <v>20000</v>
      </c>
      <c r="O947" s="34">
        <v>4.5</v>
      </c>
    </row>
    <row r="948" spans="2:15" x14ac:dyDescent="0.2">
      <c r="B948" s="27">
        <v>0.80555555555555547</v>
      </c>
      <c r="C948" s="28">
        <v>6</v>
      </c>
      <c r="D948" s="33" t="str">
        <f>IF(C948="", "",VLOOKUP(C948,Key!$A$5:$B$7,2,FALSE))</f>
        <v>Large Bus</v>
      </c>
      <c r="E948" s="29" t="s">
        <v>224</v>
      </c>
      <c r="F948" s="29" t="s">
        <v>67</v>
      </c>
      <c r="G948" s="29" t="s">
        <v>70</v>
      </c>
      <c r="H948" s="30" t="s">
        <v>70</v>
      </c>
      <c r="I948" s="29" t="s">
        <v>257</v>
      </c>
      <c r="J948" s="29" t="s">
        <v>129</v>
      </c>
      <c r="K948" s="30" t="s">
        <v>129</v>
      </c>
      <c r="L948" s="29" t="str">
        <f t="shared" si="14"/>
        <v>KAMPALA-MBALE</v>
      </c>
      <c r="M948" s="31">
        <v>63</v>
      </c>
      <c r="N948" s="72">
        <v>20000</v>
      </c>
      <c r="O948" s="34">
        <v>4.5</v>
      </c>
    </row>
    <row r="949" spans="2:15" x14ac:dyDescent="0.2">
      <c r="B949" s="27">
        <v>0.91736111111111107</v>
      </c>
      <c r="C949" s="28">
        <v>6</v>
      </c>
      <c r="D949" s="33" t="str">
        <f>IF(C949="", "",VLOOKUP(C949,Key!$A$5:$B$7,2,FALSE))</f>
        <v>Large Bus</v>
      </c>
      <c r="E949" s="29" t="s">
        <v>224</v>
      </c>
      <c r="F949" s="29" t="s">
        <v>67</v>
      </c>
      <c r="G949" s="29" t="s">
        <v>70</v>
      </c>
      <c r="H949" s="30" t="s">
        <v>70</v>
      </c>
      <c r="I949" s="29" t="s">
        <v>257</v>
      </c>
      <c r="J949" s="29" t="s">
        <v>129</v>
      </c>
      <c r="K949" s="30" t="s">
        <v>129</v>
      </c>
      <c r="L949" s="29" t="str">
        <f t="shared" si="14"/>
        <v>KAMPALA-MBALE</v>
      </c>
      <c r="M949" s="31">
        <v>67</v>
      </c>
      <c r="N949" s="72">
        <v>20000</v>
      </c>
      <c r="O949" s="34">
        <v>4.5</v>
      </c>
    </row>
    <row r="950" spans="2:15" x14ac:dyDescent="0.2">
      <c r="B950" s="27">
        <v>0.97916666666666663</v>
      </c>
      <c r="C950" s="28">
        <v>6</v>
      </c>
      <c r="D950" s="33" t="str">
        <f>IF(C950="", "",VLOOKUP(C950,Key!$A$5:$B$7,2,FALSE))</f>
        <v>Large Bus</v>
      </c>
      <c r="E950" s="29" t="s">
        <v>224</v>
      </c>
      <c r="F950" s="29" t="s">
        <v>67</v>
      </c>
      <c r="G950" s="29" t="s">
        <v>70</v>
      </c>
      <c r="H950" s="30" t="s">
        <v>70</v>
      </c>
      <c r="I950" s="29" t="s">
        <v>257</v>
      </c>
      <c r="J950" s="29" t="s">
        <v>73</v>
      </c>
      <c r="K950" s="30" t="s">
        <v>73</v>
      </c>
      <c r="L950" s="29" t="str">
        <f t="shared" si="14"/>
        <v>KAMPALA-SOROTI</v>
      </c>
      <c r="M950" s="31">
        <v>60</v>
      </c>
      <c r="N950" s="72">
        <v>25000</v>
      </c>
      <c r="O950" s="34">
        <v>6</v>
      </c>
    </row>
    <row r="951" spans="2:15" x14ac:dyDescent="0.2">
      <c r="B951" s="27">
        <v>0.10833333333333334</v>
      </c>
      <c r="C951" s="28">
        <v>6</v>
      </c>
      <c r="D951" s="33" t="str">
        <f>IF(C951="", "",VLOOKUP(C951,Key!$A$5:$B$7,2,FALSE))</f>
        <v>Large Bus</v>
      </c>
      <c r="E951" s="29" t="s">
        <v>224</v>
      </c>
      <c r="F951" s="29" t="s">
        <v>67</v>
      </c>
      <c r="G951" s="29" t="s">
        <v>70</v>
      </c>
      <c r="H951" s="30" t="s">
        <v>70</v>
      </c>
      <c r="I951" s="29" t="s">
        <v>257</v>
      </c>
      <c r="J951" s="29" t="s">
        <v>130</v>
      </c>
      <c r="K951" s="30" t="s">
        <v>130</v>
      </c>
      <c r="L951" s="29" t="str">
        <f t="shared" si="14"/>
        <v>KAMPALA-LIRA</v>
      </c>
      <c r="M951" s="31">
        <v>67</v>
      </c>
      <c r="N951" s="72">
        <v>25000</v>
      </c>
      <c r="O951" s="34">
        <v>5</v>
      </c>
    </row>
    <row r="952" spans="2:15" x14ac:dyDescent="0.2">
      <c r="B952" s="27">
        <v>1</v>
      </c>
      <c r="C952" s="28">
        <v>6</v>
      </c>
      <c r="D952" s="33" t="str">
        <f>IF(C952="", "",VLOOKUP(C952,Key!$A$5:$B$7,2,FALSE))</f>
        <v>Large Bus</v>
      </c>
      <c r="E952" s="29" t="s">
        <v>224</v>
      </c>
      <c r="F952" s="29" t="s">
        <v>67</v>
      </c>
      <c r="G952" s="29" t="s">
        <v>70</v>
      </c>
      <c r="H952" s="30" t="s">
        <v>70</v>
      </c>
      <c r="I952" s="29" t="s">
        <v>257</v>
      </c>
      <c r="J952" s="29" t="s">
        <v>129</v>
      </c>
      <c r="K952" s="30" t="s">
        <v>129</v>
      </c>
      <c r="L952" s="29" t="str">
        <f t="shared" si="14"/>
        <v>KAMPALA-MBALE</v>
      </c>
      <c r="M952" s="31">
        <v>67</v>
      </c>
      <c r="N952" s="72">
        <v>20000</v>
      </c>
      <c r="O952" s="34">
        <v>4.5</v>
      </c>
    </row>
    <row r="953" spans="2:15" x14ac:dyDescent="0.2">
      <c r="B953" s="27">
        <v>4.1666666666666664E-2</v>
      </c>
      <c r="C953" s="28">
        <v>6</v>
      </c>
      <c r="D953" s="33" t="str">
        <f>IF(C953="", "",VLOOKUP(C953,Key!$A$5:$B$7,2,FALSE))</f>
        <v>Large Bus</v>
      </c>
      <c r="E953" s="29" t="s">
        <v>224</v>
      </c>
      <c r="F953" s="29" t="s">
        <v>67</v>
      </c>
      <c r="G953" s="29" t="s">
        <v>70</v>
      </c>
      <c r="H953" s="30" t="s">
        <v>70</v>
      </c>
      <c r="I953" s="29" t="s">
        <v>257</v>
      </c>
      <c r="J953" s="29" t="s">
        <v>73</v>
      </c>
      <c r="K953" s="30" t="s">
        <v>73</v>
      </c>
      <c r="L953" s="29" t="str">
        <f t="shared" si="14"/>
        <v>KAMPALA-SOROTI</v>
      </c>
      <c r="M953" s="31">
        <v>65</v>
      </c>
      <c r="N953" s="72">
        <v>25000</v>
      </c>
      <c r="O953" s="34">
        <v>6</v>
      </c>
    </row>
    <row r="954" spans="2:15" x14ac:dyDescent="0.2">
      <c r="B954" s="27">
        <v>8.4722222222222213E-2</v>
      </c>
      <c r="C954" s="28">
        <v>6</v>
      </c>
      <c r="D954" s="33" t="str">
        <f>IF(C954="", "",VLOOKUP(C954,Key!$A$5:$B$7,2,FALSE))</f>
        <v>Large Bus</v>
      </c>
      <c r="E954" s="29" t="s">
        <v>224</v>
      </c>
      <c r="F954" s="29" t="s">
        <v>67</v>
      </c>
      <c r="G954" s="29" t="s">
        <v>70</v>
      </c>
      <c r="H954" s="30" t="s">
        <v>70</v>
      </c>
      <c r="I954" s="29" t="s">
        <v>257</v>
      </c>
      <c r="J954" s="29" t="s">
        <v>129</v>
      </c>
      <c r="K954" s="30" t="s">
        <v>129</v>
      </c>
      <c r="L954" s="29" t="str">
        <f t="shared" si="14"/>
        <v>KAMPALA-MBALE</v>
      </c>
      <c r="M954" s="31">
        <v>56</v>
      </c>
      <c r="N954" s="72">
        <v>20000</v>
      </c>
      <c r="O954" s="34">
        <v>4.5</v>
      </c>
    </row>
    <row r="955" spans="2:15" x14ac:dyDescent="0.2">
      <c r="B955" s="27">
        <v>0.13749999999999998</v>
      </c>
      <c r="C955" s="28">
        <v>6</v>
      </c>
      <c r="D955" s="33" t="str">
        <f>IF(C955="", "",VLOOKUP(C955,Key!$A$5:$B$7,2,FALSE))</f>
        <v>Large Bus</v>
      </c>
      <c r="E955" s="29" t="s">
        <v>224</v>
      </c>
      <c r="F955" s="29" t="s">
        <v>67</v>
      </c>
      <c r="G955" s="29" t="s">
        <v>70</v>
      </c>
      <c r="H955" s="30" t="s">
        <v>70</v>
      </c>
      <c r="I955" s="29" t="s">
        <v>257</v>
      </c>
      <c r="J955" s="29" t="s">
        <v>73</v>
      </c>
      <c r="K955" s="30" t="s">
        <v>73</v>
      </c>
      <c r="L955" s="29" t="str">
        <f t="shared" si="14"/>
        <v>KAMPALA-SOROTI</v>
      </c>
      <c r="M955" s="31">
        <v>49</v>
      </c>
      <c r="N955" s="72">
        <v>25000</v>
      </c>
      <c r="O955" s="34">
        <v>6</v>
      </c>
    </row>
    <row r="956" spans="2:15" x14ac:dyDescent="0.2">
      <c r="B956" s="27">
        <v>2.0833333333333332E-2</v>
      </c>
      <c r="C956" s="28">
        <v>6</v>
      </c>
      <c r="D956" s="33" t="str">
        <f>IF(C956="", "",VLOOKUP(C956,Key!$A$5:$B$7,2,FALSE))</f>
        <v>Large Bus</v>
      </c>
      <c r="E956" s="29" t="s">
        <v>224</v>
      </c>
      <c r="F956" s="29" t="s">
        <v>67</v>
      </c>
      <c r="G956" s="29" t="s">
        <v>70</v>
      </c>
      <c r="H956" s="30" t="s">
        <v>70</v>
      </c>
      <c r="I956" s="29" t="s">
        <v>257</v>
      </c>
      <c r="J956" s="29" t="s">
        <v>73</v>
      </c>
      <c r="K956" s="30" t="s">
        <v>73</v>
      </c>
      <c r="L956" s="29" t="str">
        <f t="shared" si="14"/>
        <v>KAMPALA-SOROTI</v>
      </c>
      <c r="M956" s="31">
        <v>55</v>
      </c>
      <c r="N956" s="72">
        <v>25000</v>
      </c>
      <c r="O956" s="34">
        <v>6</v>
      </c>
    </row>
    <row r="957" spans="2:15" x14ac:dyDescent="0.2">
      <c r="B957" s="27">
        <v>0.27083333333333331</v>
      </c>
      <c r="C957" s="28">
        <v>6</v>
      </c>
      <c r="D957" s="33" t="str">
        <f>IF(C957="", "",VLOOKUP(C957,Key!$A$5:$B$7,2,FALSE))</f>
        <v>Large Bus</v>
      </c>
      <c r="E957" s="29" t="s">
        <v>224</v>
      </c>
      <c r="F957" s="29" t="s">
        <v>67</v>
      </c>
      <c r="G957" s="29" t="s">
        <v>70</v>
      </c>
      <c r="H957" s="30" t="s">
        <v>70</v>
      </c>
      <c r="I957" s="29" t="s">
        <v>257</v>
      </c>
      <c r="J957" s="29" t="s">
        <v>129</v>
      </c>
      <c r="K957" s="30" t="s">
        <v>129</v>
      </c>
      <c r="L957" s="29" t="str">
        <f t="shared" si="14"/>
        <v>KAMPALA-MBALE</v>
      </c>
      <c r="M957" s="31">
        <v>67</v>
      </c>
      <c r="N957" s="72">
        <v>20000</v>
      </c>
      <c r="O957" s="34">
        <v>4.5</v>
      </c>
    </row>
    <row r="958" spans="2:15" x14ac:dyDescent="0.2">
      <c r="B958" s="27">
        <v>0.82708333333333339</v>
      </c>
      <c r="C958" s="28">
        <v>6</v>
      </c>
      <c r="D958" s="33" t="str">
        <f>IF(C958="", "",VLOOKUP(C958,Key!$A$5:$B$7,2,FALSE))</f>
        <v>Large Bus</v>
      </c>
      <c r="E958" s="29" t="s">
        <v>224</v>
      </c>
      <c r="F958" s="29" t="s">
        <v>66</v>
      </c>
      <c r="G958" s="29" t="s">
        <v>73</v>
      </c>
      <c r="H958" s="30" t="s">
        <v>73</v>
      </c>
      <c r="I958" s="29" t="s">
        <v>257</v>
      </c>
      <c r="J958" s="29" t="s">
        <v>70</v>
      </c>
      <c r="K958" s="30" t="s">
        <v>70</v>
      </c>
      <c r="L958" s="29" t="str">
        <f t="shared" si="14"/>
        <v>SOROTI-KAMPALA</v>
      </c>
      <c r="M958" s="31">
        <v>67</v>
      </c>
      <c r="N958" s="72">
        <v>25000</v>
      </c>
      <c r="O958" s="34">
        <v>6</v>
      </c>
    </row>
    <row r="959" spans="2:15" x14ac:dyDescent="0.2">
      <c r="B959" s="27">
        <v>0.85763888888888884</v>
      </c>
      <c r="C959" s="28">
        <v>6</v>
      </c>
      <c r="D959" s="33" t="str">
        <f>IF(C959="", "",VLOOKUP(C959,Key!$A$5:$B$7,2,FALSE))</f>
        <v>Large Bus</v>
      </c>
      <c r="E959" s="29" t="s">
        <v>224</v>
      </c>
      <c r="F959" s="29" t="s">
        <v>66</v>
      </c>
      <c r="G959" s="29" t="s">
        <v>129</v>
      </c>
      <c r="H959" s="30" t="s">
        <v>129</v>
      </c>
      <c r="I959" s="29" t="s">
        <v>257</v>
      </c>
      <c r="J959" s="29" t="s">
        <v>70</v>
      </c>
      <c r="K959" s="30" t="s">
        <v>70</v>
      </c>
      <c r="L959" s="29" t="str">
        <f t="shared" si="14"/>
        <v>MBALE-KAMPALA</v>
      </c>
      <c r="M959" s="31">
        <v>65</v>
      </c>
      <c r="N959" s="72">
        <v>19000</v>
      </c>
      <c r="O959" s="34">
        <v>4.5</v>
      </c>
    </row>
    <row r="960" spans="2:15" x14ac:dyDescent="0.2">
      <c r="B960" s="27">
        <v>0.90625</v>
      </c>
      <c r="C960" s="28">
        <v>6</v>
      </c>
      <c r="D960" s="33" t="str">
        <f>IF(C960="", "",VLOOKUP(C960,Key!$A$5:$B$7,2,FALSE))</f>
        <v>Large Bus</v>
      </c>
      <c r="E960" s="29" t="s">
        <v>224</v>
      </c>
      <c r="F960" s="29" t="s">
        <v>66</v>
      </c>
      <c r="G960" s="29" t="s">
        <v>73</v>
      </c>
      <c r="H960" s="30" t="s">
        <v>73</v>
      </c>
      <c r="I960" s="29" t="s">
        <v>257</v>
      </c>
      <c r="J960" s="29" t="s">
        <v>70</v>
      </c>
      <c r="K960" s="30" t="s">
        <v>70</v>
      </c>
      <c r="L960" s="29" t="str">
        <f t="shared" si="14"/>
        <v>SOROTI-KAMPALA</v>
      </c>
      <c r="M960" s="31">
        <v>65</v>
      </c>
      <c r="N960" s="72">
        <v>25000</v>
      </c>
      <c r="O960" s="34">
        <v>6</v>
      </c>
    </row>
    <row r="961" spans="2:15" x14ac:dyDescent="0.2">
      <c r="B961" s="27">
        <v>0.92361111111111116</v>
      </c>
      <c r="C961" s="28">
        <v>6</v>
      </c>
      <c r="D961" s="33" t="str">
        <f>IF(C961="", "",VLOOKUP(C961,Key!$A$5:$B$7,2,FALSE))</f>
        <v>Large Bus</v>
      </c>
      <c r="E961" s="29" t="s">
        <v>224</v>
      </c>
      <c r="F961" s="29" t="s">
        <v>66</v>
      </c>
      <c r="G961" s="29" t="s">
        <v>129</v>
      </c>
      <c r="H961" s="30" t="s">
        <v>129</v>
      </c>
      <c r="I961" s="29" t="s">
        <v>257</v>
      </c>
      <c r="J961" s="29" t="s">
        <v>70</v>
      </c>
      <c r="K961" s="30" t="s">
        <v>70</v>
      </c>
      <c r="L961" s="29" t="str">
        <f t="shared" si="14"/>
        <v>MBALE-KAMPALA</v>
      </c>
      <c r="M961" s="31">
        <v>67</v>
      </c>
      <c r="N961" s="72">
        <v>19000</v>
      </c>
      <c r="O961" s="34">
        <v>4.5</v>
      </c>
    </row>
    <row r="962" spans="2:15" x14ac:dyDescent="0.2">
      <c r="B962" s="27">
        <v>0.96875</v>
      </c>
      <c r="C962" s="28">
        <v>6</v>
      </c>
      <c r="D962" s="33" t="str">
        <f>IF(C962="", "",VLOOKUP(C962,Key!$A$5:$B$7,2,FALSE))</f>
        <v>Large Bus</v>
      </c>
      <c r="E962" s="29" t="s">
        <v>224</v>
      </c>
      <c r="F962" s="29" t="s">
        <v>66</v>
      </c>
      <c r="G962" s="29" t="s">
        <v>73</v>
      </c>
      <c r="H962" s="30" t="s">
        <v>73</v>
      </c>
      <c r="I962" s="29" t="s">
        <v>257</v>
      </c>
      <c r="J962" s="29" t="s">
        <v>70</v>
      </c>
      <c r="K962" s="30" t="s">
        <v>70</v>
      </c>
      <c r="L962" s="29" t="str">
        <f t="shared" si="14"/>
        <v>SOROTI-KAMPALA</v>
      </c>
      <c r="M962" s="31">
        <v>67</v>
      </c>
      <c r="N962" s="72">
        <v>25000</v>
      </c>
      <c r="O962" s="34">
        <v>6</v>
      </c>
    </row>
    <row r="963" spans="2:15" x14ac:dyDescent="0.2">
      <c r="B963" s="27">
        <v>0.97152777777777777</v>
      </c>
      <c r="C963" s="28">
        <v>6</v>
      </c>
      <c r="D963" s="33" t="str">
        <f>IF(C963="", "",VLOOKUP(C963,Key!$A$5:$B$7,2,FALSE))</f>
        <v>Large Bus</v>
      </c>
      <c r="E963" s="29" t="s">
        <v>224</v>
      </c>
      <c r="F963" s="29" t="s">
        <v>66</v>
      </c>
      <c r="G963" s="29" t="s">
        <v>129</v>
      </c>
      <c r="H963" s="30" t="s">
        <v>129</v>
      </c>
      <c r="I963" s="29" t="s">
        <v>257</v>
      </c>
      <c r="J963" s="29" t="s">
        <v>70</v>
      </c>
      <c r="K963" s="30" t="s">
        <v>70</v>
      </c>
      <c r="L963" s="29" t="str">
        <f t="shared" si="14"/>
        <v>MBALE-KAMPALA</v>
      </c>
      <c r="M963" s="31">
        <v>67</v>
      </c>
      <c r="N963" s="72">
        <v>19000</v>
      </c>
      <c r="O963" s="34">
        <v>4.5</v>
      </c>
    </row>
    <row r="964" spans="2:15" x14ac:dyDescent="0.2">
      <c r="B964" s="27">
        <v>3.2638888888888891E-2</v>
      </c>
      <c r="C964" s="28">
        <v>6</v>
      </c>
      <c r="D964" s="33" t="str">
        <f>IF(C964="", "",VLOOKUP(C964,Key!$A$5:$B$7,2,FALSE))</f>
        <v>Large Bus</v>
      </c>
      <c r="E964" s="29" t="s">
        <v>224</v>
      </c>
      <c r="F964" s="29" t="s">
        <v>66</v>
      </c>
      <c r="G964" s="29" t="s">
        <v>129</v>
      </c>
      <c r="H964" s="30" t="s">
        <v>129</v>
      </c>
      <c r="I964" s="29" t="s">
        <v>257</v>
      </c>
      <c r="J964" s="29" t="s">
        <v>70</v>
      </c>
      <c r="K964" s="30" t="s">
        <v>70</v>
      </c>
      <c r="L964" s="29" t="str">
        <f t="shared" si="14"/>
        <v>MBALE-KAMPALA</v>
      </c>
      <c r="M964" s="31">
        <v>65</v>
      </c>
      <c r="N964" s="72">
        <v>19000</v>
      </c>
      <c r="O964" s="34">
        <v>4.5</v>
      </c>
    </row>
    <row r="965" spans="2:15" x14ac:dyDescent="0.2">
      <c r="B965" s="27">
        <v>3.4722222222222224E-2</v>
      </c>
      <c r="C965" s="28">
        <v>6</v>
      </c>
      <c r="D965" s="33" t="str">
        <f>IF(C965="", "",VLOOKUP(C965,Key!$A$5:$B$7,2,FALSE))</f>
        <v>Large Bus</v>
      </c>
      <c r="E965" s="29" t="s">
        <v>224</v>
      </c>
      <c r="F965" s="29" t="s">
        <v>66</v>
      </c>
      <c r="G965" s="29" t="s">
        <v>129</v>
      </c>
      <c r="H965" s="30" t="s">
        <v>129</v>
      </c>
      <c r="I965" s="29" t="s">
        <v>257</v>
      </c>
      <c r="J965" s="29" t="s">
        <v>70</v>
      </c>
      <c r="K965" s="30" t="s">
        <v>70</v>
      </c>
      <c r="L965" s="29" t="str">
        <f t="shared" si="14"/>
        <v>MBALE-KAMPALA</v>
      </c>
      <c r="M965" s="31">
        <v>61</v>
      </c>
      <c r="N965" s="72">
        <v>19000</v>
      </c>
      <c r="O965" s="34">
        <v>4.5</v>
      </c>
    </row>
    <row r="966" spans="2:15" x14ac:dyDescent="0.2">
      <c r="B966" s="27">
        <v>0.11180555555555556</v>
      </c>
      <c r="C966" s="28">
        <v>6</v>
      </c>
      <c r="D966" s="33" t="str">
        <f>IF(C966="", "",VLOOKUP(C966,Key!$A$5:$B$7,2,FALSE))</f>
        <v>Large Bus</v>
      </c>
      <c r="E966" s="29" t="s">
        <v>224</v>
      </c>
      <c r="F966" s="29" t="s">
        <v>66</v>
      </c>
      <c r="G966" s="29" t="s">
        <v>73</v>
      </c>
      <c r="H966" s="30" t="s">
        <v>73</v>
      </c>
      <c r="I966" s="29" t="s">
        <v>257</v>
      </c>
      <c r="J966" s="29" t="s">
        <v>70</v>
      </c>
      <c r="K966" s="30" t="s">
        <v>70</v>
      </c>
      <c r="L966" s="29" t="str">
        <f t="shared" si="14"/>
        <v>SOROTI-KAMPALA</v>
      </c>
      <c r="M966" s="31">
        <v>56</v>
      </c>
      <c r="N966" s="72">
        <v>25000</v>
      </c>
      <c r="O966" s="34">
        <v>6</v>
      </c>
    </row>
    <row r="967" spans="2:15" x14ac:dyDescent="0.2">
      <c r="B967" s="27">
        <v>0.16805555555555554</v>
      </c>
      <c r="C967" s="28">
        <v>6</v>
      </c>
      <c r="D967" s="33" t="str">
        <f>IF(C967="", "",VLOOKUP(C967,Key!$A$5:$B$7,2,FALSE))</f>
        <v>Large Bus</v>
      </c>
      <c r="E967" s="29" t="s">
        <v>224</v>
      </c>
      <c r="F967" s="29" t="s">
        <v>66</v>
      </c>
      <c r="G967" s="29" t="s">
        <v>129</v>
      </c>
      <c r="H967" s="30" t="s">
        <v>129</v>
      </c>
      <c r="I967" s="29" t="s">
        <v>257</v>
      </c>
      <c r="J967" s="29" t="s">
        <v>70</v>
      </c>
      <c r="K967" s="30" t="s">
        <v>70</v>
      </c>
      <c r="L967" s="29" t="str">
        <f t="shared" si="14"/>
        <v>MBALE-KAMPALA</v>
      </c>
      <c r="M967" s="31">
        <v>67</v>
      </c>
      <c r="N967" s="72">
        <v>19000</v>
      </c>
      <c r="O967" s="34">
        <v>4.5</v>
      </c>
    </row>
    <row r="968" spans="2:15" x14ac:dyDescent="0.2">
      <c r="B968" s="27">
        <v>0.22152777777777777</v>
      </c>
      <c r="C968" s="28">
        <v>6</v>
      </c>
      <c r="D968" s="33" t="str">
        <f>IF(C968="", "",VLOOKUP(C968,Key!$A$5:$B$7,2,FALSE))</f>
        <v>Large Bus</v>
      </c>
      <c r="E968" s="29" t="s">
        <v>224</v>
      </c>
      <c r="F968" s="29" t="s">
        <v>66</v>
      </c>
      <c r="G968" s="29" t="s">
        <v>131</v>
      </c>
      <c r="H968" s="30" t="s">
        <v>131</v>
      </c>
      <c r="I968" s="29" t="s">
        <v>257</v>
      </c>
      <c r="J968" s="29" t="s">
        <v>70</v>
      </c>
      <c r="K968" s="30" t="s">
        <v>70</v>
      </c>
      <c r="L968" s="29" t="str">
        <f t="shared" si="14"/>
        <v>APAC-KAMPALA</v>
      </c>
      <c r="M968" s="31">
        <v>67</v>
      </c>
      <c r="N968" s="72">
        <v>20000</v>
      </c>
      <c r="O968" s="34">
        <v>4.5</v>
      </c>
    </row>
    <row r="969" spans="2:15" x14ac:dyDescent="0.2">
      <c r="B969" s="27">
        <v>0.25</v>
      </c>
      <c r="C969" s="28">
        <v>6</v>
      </c>
      <c r="D969" s="33" t="str">
        <f>IF(C969="", "",VLOOKUP(C969,Key!$A$5:$B$7,2,FALSE))</f>
        <v>Large Bus</v>
      </c>
      <c r="E969" s="29" t="s">
        <v>224</v>
      </c>
      <c r="F969" s="29" t="s">
        <v>66</v>
      </c>
      <c r="G969" s="29" t="s">
        <v>73</v>
      </c>
      <c r="H969" s="30" t="s">
        <v>73</v>
      </c>
      <c r="I969" s="29" t="s">
        <v>257</v>
      </c>
      <c r="J969" s="29" t="s">
        <v>70</v>
      </c>
      <c r="K969" s="30" t="s">
        <v>70</v>
      </c>
      <c r="L969" s="29" t="str">
        <f t="shared" si="14"/>
        <v>SOROTI-KAMPALA</v>
      </c>
      <c r="M969" s="31">
        <v>65</v>
      </c>
      <c r="N969" s="72">
        <v>25000</v>
      </c>
      <c r="O969" s="34">
        <v>6</v>
      </c>
    </row>
    <row r="970" spans="2:15" x14ac:dyDescent="0.2">
      <c r="B970" s="27">
        <v>0.28263888888888888</v>
      </c>
      <c r="C970" s="28">
        <v>6</v>
      </c>
      <c r="D970" s="33" t="str">
        <f>IF(C970="", "",VLOOKUP(C970,Key!$A$5:$B$7,2,FALSE))</f>
        <v>Large Bus</v>
      </c>
      <c r="E970" s="29" t="s">
        <v>224</v>
      </c>
      <c r="F970" s="29" t="s">
        <v>66</v>
      </c>
      <c r="G970" s="29" t="s">
        <v>73</v>
      </c>
      <c r="H970" s="30" t="s">
        <v>73</v>
      </c>
      <c r="I970" s="29" t="s">
        <v>257</v>
      </c>
      <c r="J970" s="29" t="s">
        <v>70</v>
      </c>
      <c r="K970" s="30" t="s">
        <v>70</v>
      </c>
      <c r="L970" s="29" t="str">
        <f t="shared" ref="L970:L1033" si="15">H970&amp;"-"&amp;K970</f>
        <v>SOROTI-KAMPALA</v>
      </c>
      <c r="M970" s="31">
        <v>67</v>
      </c>
      <c r="N970" s="72">
        <v>25000</v>
      </c>
      <c r="O970" s="34">
        <v>6</v>
      </c>
    </row>
    <row r="971" spans="2:15" x14ac:dyDescent="0.2">
      <c r="B971" s="27">
        <v>0.40208333333333335</v>
      </c>
      <c r="C971" s="28">
        <v>6</v>
      </c>
      <c r="D971" s="33" t="str">
        <f>IF(C971="", "",VLOOKUP(C971,Key!$A$5:$B$7,2,FALSE))</f>
        <v>Large Bus</v>
      </c>
      <c r="E971" s="29" t="s">
        <v>224</v>
      </c>
      <c r="F971" s="29" t="s">
        <v>67</v>
      </c>
      <c r="G971" s="29" t="s">
        <v>129</v>
      </c>
      <c r="H971" s="30" t="s">
        <v>129</v>
      </c>
      <c r="I971" s="29" t="s">
        <v>257</v>
      </c>
      <c r="J971" s="29" t="s">
        <v>70</v>
      </c>
      <c r="K971" s="30" t="s">
        <v>70</v>
      </c>
      <c r="L971" s="29" t="str">
        <f t="shared" si="15"/>
        <v>MBALE-KAMPALA</v>
      </c>
      <c r="M971" s="31">
        <v>65</v>
      </c>
      <c r="N971" s="72">
        <v>19000</v>
      </c>
      <c r="O971" s="34">
        <v>4.5</v>
      </c>
    </row>
    <row r="972" spans="2:15" x14ac:dyDescent="0.2">
      <c r="B972" s="27">
        <v>0.53125</v>
      </c>
      <c r="C972" s="28">
        <v>6</v>
      </c>
      <c r="D972" s="33" t="str">
        <f>IF(C972="", "",VLOOKUP(C972,Key!$A$5:$B$7,2,FALSE))</f>
        <v>Large Bus</v>
      </c>
      <c r="E972" s="29" t="s">
        <v>224</v>
      </c>
      <c r="F972" s="29" t="s">
        <v>67</v>
      </c>
      <c r="G972" s="29" t="s">
        <v>129</v>
      </c>
      <c r="H972" s="30" t="s">
        <v>129</v>
      </c>
      <c r="I972" s="29" t="s">
        <v>257</v>
      </c>
      <c r="J972" s="29" t="s">
        <v>70</v>
      </c>
      <c r="K972" s="30" t="s">
        <v>70</v>
      </c>
      <c r="L972" s="29" t="str">
        <f t="shared" si="15"/>
        <v>MBALE-KAMPALA</v>
      </c>
      <c r="M972" s="31">
        <v>62</v>
      </c>
      <c r="N972" s="72">
        <v>19000</v>
      </c>
      <c r="O972" s="34">
        <v>4.5</v>
      </c>
    </row>
    <row r="973" spans="2:15" x14ac:dyDescent="0.2">
      <c r="B973" s="27">
        <v>0.5444444444444444</v>
      </c>
      <c r="C973" s="28">
        <v>6</v>
      </c>
      <c r="D973" s="33" t="str">
        <f>IF(C973="", "",VLOOKUP(C973,Key!$A$5:$B$7,2,FALSE))</f>
        <v>Large Bus</v>
      </c>
      <c r="E973" s="29" t="s">
        <v>224</v>
      </c>
      <c r="F973" s="29" t="s">
        <v>67</v>
      </c>
      <c r="G973" s="29" t="s">
        <v>129</v>
      </c>
      <c r="H973" s="30" t="s">
        <v>129</v>
      </c>
      <c r="I973" s="29" t="s">
        <v>257</v>
      </c>
      <c r="J973" s="29" t="s">
        <v>70</v>
      </c>
      <c r="K973" s="30" t="s">
        <v>70</v>
      </c>
      <c r="L973" s="29" t="str">
        <f t="shared" si="15"/>
        <v>MBALE-KAMPALA</v>
      </c>
      <c r="M973" s="31">
        <v>59</v>
      </c>
      <c r="N973" s="72">
        <v>19000</v>
      </c>
      <c r="O973" s="34">
        <v>4.5</v>
      </c>
    </row>
    <row r="974" spans="2:15" x14ac:dyDescent="0.2">
      <c r="B974" s="27">
        <v>0.625</v>
      </c>
      <c r="C974" s="28">
        <v>6</v>
      </c>
      <c r="D974" s="33" t="str">
        <f>IF(C974="", "",VLOOKUP(C974,Key!$A$5:$B$7,2,FALSE))</f>
        <v>Large Bus</v>
      </c>
      <c r="E974" s="29" t="s">
        <v>224</v>
      </c>
      <c r="F974" s="29" t="s">
        <v>67</v>
      </c>
      <c r="G974" s="29" t="s">
        <v>129</v>
      </c>
      <c r="H974" s="30" t="s">
        <v>129</v>
      </c>
      <c r="I974" s="29" t="s">
        <v>257</v>
      </c>
      <c r="J974" s="29" t="s">
        <v>70</v>
      </c>
      <c r="K974" s="30" t="s">
        <v>70</v>
      </c>
      <c r="L974" s="29" t="str">
        <f t="shared" si="15"/>
        <v>MBALE-KAMPALA</v>
      </c>
      <c r="M974" s="31">
        <v>65</v>
      </c>
      <c r="N974" s="72">
        <v>19000</v>
      </c>
      <c r="O974" s="34">
        <v>4.5</v>
      </c>
    </row>
    <row r="975" spans="2:15" x14ac:dyDescent="0.2">
      <c r="B975" s="27">
        <v>0.63055555555555554</v>
      </c>
      <c r="C975" s="28">
        <v>6</v>
      </c>
      <c r="D975" s="33" t="str">
        <f>IF(C975="", "",VLOOKUP(C975,Key!$A$5:$B$7,2,FALSE))</f>
        <v>Large Bus</v>
      </c>
      <c r="E975" s="29" t="s">
        <v>224</v>
      </c>
      <c r="F975" s="29" t="s">
        <v>67</v>
      </c>
      <c r="G975" s="29" t="s">
        <v>129</v>
      </c>
      <c r="H975" s="30" t="s">
        <v>129</v>
      </c>
      <c r="I975" s="29" t="s">
        <v>257</v>
      </c>
      <c r="J975" s="29" t="s">
        <v>70</v>
      </c>
      <c r="K975" s="30" t="s">
        <v>70</v>
      </c>
      <c r="L975" s="29" t="str">
        <f t="shared" si="15"/>
        <v>MBALE-KAMPALA</v>
      </c>
      <c r="M975" s="31">
        <v>65</v>
      </c>
      <c r="N975" s="72">
        <v>19000</v>
      </c>
      <c r="O975" s="34">
        <v>4.5</v>
      </c>
    </row>
    <row r="976" spans="2:15" x14ac:dyDescent="0.2">
      <c r="B976" s="27">
        <v>0.68333333333333324</v>
      </c>
      <c r="C976" s="28">
        <v>6</v>
      </c>
      <c r="D976" s="33" t="str">
        <f>IF(C976="", "",VLOOKUP(C976,Key!$A$5:$B$7,2,FALSE))</f>
        <v>Large Bus</v>
      </c>
      <c r="E976" s="29" t="s">
        <v>224</v>
      </c>
      <c r="F976" s="29" t="s">
        <v>67</v>
      </c>
      <c r="G976" s="29" t="s">
        <v>129</v>
      </c>
      <c r="H976" s="30" t="s">
        <v>129</v>
      </c>
      <c r="I976" s="29" t="s">
        <v>257</v>
      </c>
      <c r="J976" s="29" t="s">
        <v>70</v>
      </c>
      <c r="K976" s="30" t="s">
        <v>70</v>
      </c>
      <c r="L976" s="29" t="str">
        <f t="shared" si="15"/>
        <v>MBALE-KAMPALA</v>
      </c>
      <c r="M976" s="31">
        <v>67</v>
      </c>
      <c r="N976" s="72">
        <v>19000</v>
      </c>
      <c r="O976" s="34">
        <v>4.5</v>
      </c>
    </row>
    <row r="977" spans="2:15" x14ac:dyDescent="0.2">
      <c r="B977" s="27">
        <v>0.69236111111111109</v>
      </c>
      <c r="C977" s="28">
        <v>6</v>
      </c>
      <c r="D977" s="33" t="str">
        <f>IF(C977="", "",VLOOKUP(C977,Key!$A$5:$B$7,2,FALSE))</f>
        <v>Large Bus</v>
      </c>
      <c r="E977" s="29" t="s">
        <v>224</v>
      </c>
      <c r="F977" s="29" t="s">
        <v>67</v>
      </c>
      <c r="G977" s="29" t="s">
        <v>73</v>
      </c>
      <c r="H977" s="30" t="s">
        <v>73</v>
      </c>
      <c r="I977" s="29" t="s">
        <v>257</v>
      </c>
      <c r="J977" s="29" t="s">
        <v>70</v>
      </c>
      <c r="K977" s="30" t="s">
        <v>70</v>
      </c>
      <c r="L977" s="29" t="str">
        <f t="shared" si="15"/>
        <v>SOROTI-KAMPALA</v>
      </c>
      <c r="M977" s="31">
        <v>42</v>
      </c>
      <c r="N977" s="72">
        <v>25000</v>
      </c>
      <c r="O977" s="34">
        <v>6</v>
      </c>
    </row>
    <row r="978" spans="2:15" x14ac:dyDescent="0.2">
      <c r="B978" s="27">
        <v>0.72777777777777775</v>
      </c>
      <c r="C978" s="28">
        <v>6</v>
      </c>
      <c r="D978" s="33" t="str">
        <f>IF(C978="", "",VLOOKUP(C978,Key!$A$5:$B$7,2,FALSE))</f>
        <v>Large Bus</v>
      </c>
      <c r="E978" s="29" t="s">
        <v>224</v>
      </c>
      <c r="F978" s="29" t="s">
        <v>67</v>
      </c>
      <c r="G978" s="29" t="s">
        <v>129</v>
      </c>
      <c r="H978" s="30" t="s">
        <v>129</v>
      </c>
      <c r="I978" s="29" t="s">
        <v>257</v>
      </c>
      <c r="J978" s="29" t="s">
        <v>70</v>
      </c>
      <c r="K978" s="30" t="s">
        <v>70</v>
      </c>
      <c r="L978" s="29" t="str">
        <f t="shared" si="15"/>
        <v>MBALE-KAMPALA</v>
      </c>
      <c r="M978" s="31">
        <v>47</v>
      </c>
      <c r="N978" s="72">
        <v>19000</v>
      </c>
      <c r="O978" s="34">
        <v>4.5</v>
      </c>
    </row>
    <row r="979" spans="2:15" x14ac:dyDescent="0.2">
      <c r="B979" s="27">
        <v>0.75416666666666676</v>
      </c>
      <c r="C979" s="28">
        <v>6</v>
      </c>
      <c r="D979" s="33" t="str">
        <f>IF(C979="", "",VLOOKUP(C979,Key!$A$5:$B$7,2,FALSE))</f>
        <v>Large Bus</v>
      </c>
      <c r="E979" s="29" t="s">
        <v>224</v>
      </c>
      <c r="F979" s="29" t="s">
        <v>67</v>
      </c>
      <c r="G979" s="29" t="s">
        <v>129</v>
      </c>
      <c r="H979" s="30" t="s">
        <v>129</v>
      </c>
      <c r="I979" s="29" t="s">
        <v>257</v>
      </c>
      <c r="J979" s="29" t="s">
        <v>70</v>
      </c>
      <c r="K979" s="30" t="s">
        <v>70</v>
      </c>
      <c r="L979" s="29" t="str">
        <f t="shared" si="15"/>
        <v>MBALE-KAMPALA</v>
      </c>
      <c r="M979" s="31">
        <v>44</v>
      </c>
      <c r="N979" s="72">
        <v>19000</v>
      </c>
      <c r="O979" s="34">
        <v>4.5</v>
      </c>
    </row>
    <row r="980" spans="2:15" x14ac:dyDescent="0.2">
      <c r="B980" s="27">
        <v>0.40763888888888888</v>
      </c>
      <c r="C980" s="28">
        <v>6</v>
      </c>
      <c r="D980" s="33" t="str">
        <f>IF(C980="", "",VLOOKUP(C980,Key!$A$5:$B$7,2,FALSE))</f>
        <v>Large Bus</v>
      </c>
      <c r="E980" s="29" t="s">
        <v>224</v>
      </c>
      <c r="F980" s="29" t="s">
        <v>66</v>
      </c>
      <c r="G980" s="29" t="s">
        <v>129</v>
      </c>
      <c r="H980" s="30" t="s">
        <v>129</v>
      </c>
      <c r="I980" s="29" t="s">
        <v>257</v>
      </c>
      <c r="J980" s="29" t="s">
        <v>70</v>
      </c>
      <c r="K980" s="30" t="s">
        <v>70</v>
      </c>
      <c r="L980" s="29" t="str">
        <f t="shared" si="15"/>
        <v>MBALE-KAMPALA</v>
      </c>
      <c r="M980" s="31">
        <v>60</v>
      </c>
      <c r="N980" s="72">
        <v>19000</v>
      </c>
      <c r="O980" s="34">
        <v>4.5</v>
      </c>
    </row>
    <row r="981" spans="2:15" x14ac:dyDescent="0.2">
      <c r="B981" s="27">
        <v>0.48958333333333331</v>
      </c>
      <c r="C981" s="28">
        <v>6</v>
      </c>
      <c r="D981" s="33" t="str">
        <f>IF(C981="", "",VLOOKUP(C981,Key!$A$5:$B$7,2,FALSE))</f>
        <v>Large Bus</v>
      </c>
      <c r="E981" s="29" t="s">
        <v>224</v>
      </c>
      <c r="F981" s="29" t="s">
        <v>66</v>
      </c>
      <c r="G981" s="29" t="s">
        <v>129</v>
      </c>
      <c r="H981" s="30" t="s">
        <v>129</v>
      </c>
      <c r="I981" s="29" t="s">
        <v>257</v>
      </c>
      <c r="J981" s="29" t="s">
        <v>70</v>
      </c>
      <c r="K981" s="30" t="s">
        <v>70</v>
      </c>
      <c r="L981" s="29" t="str">
        <f t="shared" si="15"/>
        <v>MBALE-KAMPALA</v>
      </c>
      <c r="M981" s="31">
        <v>60</v>
      </c>
      <c r="N981" s="72">
        <v>19000</v>
      </c>
      <c r="O981" s="34">
        <v>4.5</v>
      </c>
    </row>
    <row r="982" spans="2:15" x14ac:dyDescent="0.2">
      <c r="B982" s="27">
        <v>0.54236111111111118</v>
      </c>
      <c r="C982" s="28">
        <v>6</v>
      </c>
      <c r="D982" s="33" t="str">
        <f>IF(C982="", "",VLOOKUP(C982,Key!$A$5:$B$7,2,FALSE))</f>
        <v>Large Bus</v>
      </c>
      <c r="E982" s="29" t="s">
        <v>224</v>
      </c>
      <c r="F982" s="29" t="s">
        <v>66</v>
      </c>
      <c r="G982" s="29" t="s">
        <v>129</v>
      </c>
      <c r="H982" s="30" t="s">
        <v>129</v>
      </c>
      <c r="I982" s="29" t="s">
        <v>257</v>
      </c>
      <c r="J982" s="29" t="s">
        <v>70</v>
      </c>
      <c r="K982" s="30" t="s">
        <v>70</v>
      </c>
      <c r="L982" s="29" t="str">
        <f t="shared" si="15"/>
        <v>MBALE-KAMPALA</v>
      </c>
      <c r="M982" s="31">
        <v>67</v>
      </c>
      <c r="N982" s="72">
        <v>19000</v>
      </c>
      <c r="O982" s="34">
        <v>4.5</v>
      </c>
    </row>
    <row r="983" spans="2:15" x14ac:dyDescent="0.2">
      <c r="B983" s="27">
        <v>0.63680555555555551</v>
      </c>
      <c r="C983" s="28">
        <v>6</v>
      </c>
      <c r="D983" s="33" t="str">
        <f>IF(C983="", "",VLOOKUP(C983,Key!$A$5:$B$7,2,FALSE))</f>
        <v>Large Bus</v>
      </c>
      <c r="E983" s="29" t="s">
        <v>224</v>
      </c>
      <c r="F983" s="29" t="s">
        <v>66</v>
      </c>
      <c r="G983" s="29" t="s">
        <v>129</v>
      </c>
      <c r="H983" s="30" t="s">
        <v>129</v>
      </c>
      <c r="I983" s="29" t="s">
        <v>257</v>
      </c>
      <c r="J983" s="29" t="s">
        <v>70</v>
      </c>
      <c r="K983" s="30" t="s">
        <v>70</v>
      </c>
      <c r="L983" s="29" t="str">
        <f t="shared" si="15"/>
        <v>MBALE-KAMPALA</v>
      </c>
      <c r="M983" s="31">
        <v>65</v>
      </c>
      <c r="N983" s="72">
        <v>19000</v>
      </c>
      <c r="O983" s="34">
        <v>4.5</v>
      </c>
    </row>
    <row r="984" spans="2:15" x14ac:dyDescent="0.2">
      <c r="B984" s="27">
        <v>0.64236111111111105</v>
      </c>
      <c r="C984" s="28">
        <v>6</v>
      </c>
      <c r="D984" s="33" t="str">
        <f>IF(C984="", "",VLOOKUP(C984,Key!$A$5:$B$7,2,FALSE))</f>
        <v>Large Bus</v>
      </c>
      <c r="E984" s="29" t="s">
        <v>224</v>
      </c>
      <c r="F984" s="29" t="s">
        <v>66</v>
      </c>
      <c r="G984" s="29" t="s">
        <v>129</v>
      </c>
      <c r="H984" s="30" t="s">
        <v>129</v>
      </c>
      <c r="I984" s="29" t="s">
        <v>257</v>
      </c>
      <c r="J984" s="29" t="s">
        <v>70</v>
      </c>
      <c r="K984" s="30" t="s">
        <v>70</v>
      </c>
      <c r="L984" s="29" t="str">
        <f t="shared" si="15"/>
        <v>MBALE-KAMPALA</v>
      </c>
      <c r="M984" s="31">
        <v>62</v>
      </c>
      <c r="N984" s="72">
        <v>19000</v>
      </c>
      <c r="O984" s="34">
        <v>4.5</v>
      </c>
    </row>
    <row r="985" spans="2:15" x14ac:dyDescent="0.2">
      <c r="B985" s="27">
        <v>0.64513888888888882</v>
      </c>
      <c r="C985" s="28">
        <v>6</v>
      </c>
      <c r="D985" s="33" t="str">
        <f>IF(C985="", "",VLOOKUP(C985,Key!$A$5:$B$7,2,FALSE))</f>
        <v>Large Bus</v>
      </c>
      <c r="E985" s="29" t="s">
        <v>224</v>
      </c>
      <c r="F985" s="29" t="s">
        <v>66</v>
      </c>
      <c r="G985" s="29" t="s">
        <v>129</v>
      </c>
      <c r="H985" s="30" t="s">
        <v>129</v>
      </c>
      <c r="I985" s="29" t="s">
        <v>257</v>
      </c>
      <c r="J985" s="29" t="s">
        <v>70</v>
      </c>
      <c r="K985" s="30" t="s">
        <v>70</v>
      </c>
      <c r="L985" s="29" t="str">
        <f t="shared" si="15"/>
        <v>MBALE-KAMPALA</v>
      </c>
      <c r="M985" s="31">
        <v>66</v>
      </c>
      <c r="N985" s="72">
        <v>19000</v>
      </c>
      <c r="O985" s="34">
        <v>4.5</v>
      </c>
    </row>
    <row r="986" spans="2:15" x14ac:dyDescent="0.2">
      <c r="B986" s="27">
        <v>0.71388888888888891</v>
      </c>
      <c r="C986" s="28">
        <v>6</v>
      </c>
      <c r="D986" s="33" t="str">
        <f>IF(C986="", "",VLOOKUP(C986,Key!$A$5:$B$7,2,FALSE))</f>
        <v>Large Bus</v>
      </c>
      <c r="E986" s="29" t="s">
        <v>224</v>
      </c>
      <c r="F986" s="29" t="s">
        <v>66</v>
      </c>
      <c r="G986" s="29" t="s">
        <v>129</v>
      </c>
      <c r="H986" s="30" t="s">
        <v>129</v>
      </c>
      <c r="I986" s="29" t="s">
        <v>257</v>
      </c>
      <c r="J986" s="29" t="s">
        <v>70</v>
      </c>
      <c r="K986" s="30" t="s">
        <v>70</v>
      </c>
      <c r="L986" s="29" t="str">
        <f t="shared" si="15"/>
        <v>MBALE-KAMPALA</v>
      </c>
      <c r="M986" s="31">
        <v>67</v>
      </c>
      <c r="N986" s="72">
        <v>19000</v>
      </c>
      <c r="O986" s="34">
        <v>4.5</v>
      </c>
    </row>
    <row r="987" spans="2:15" x14ac:dyDescent="0.2">
      <c r="B987" s="27">
        <v>0.7583333333333333</v>
      </c>
      <c r="C987" s="28">
        <v>6</v>
      </c>
      <c r="D987" s="33" t="str">
        <f>IF(C987="", "",VLOOKUP(C987,Key!$A$5:$B$7,2,FALSE))</f>
        <v>Large Bus</v>
      </c>
      <c r="E987" s="29" t="s">
        <v>224</v>
      </c>
      <c r="F987" s="29" t="s">
        <v>66</v>
      </c>
      <c r="G987" s="29" t="s">
        <v>73</v>
      </c>
      <c r="H987" s="30" t="s">
        <v>73</v>
      </c>
      <c r="I987" s="29" t="s">
        <v>257</v>
      </c>
      <c r="J987" s="29" t="s">
        <v>70</v>
      </c>
      <c r="K987" s="30" t="s">
        <v>70</v>
      </c>
      <c r="L987" s="29" t="str">
        <f t="shared" si="15"/>
        <v>SOROTI-KAMPALA</v>
      </c>
      <c r="M987" s="31">
        <v>65</v>
      </c>
      <c r="N987" s="72">
        <v>25000</v>
      </c>
      <c r="O987" s="34">
        <v>6</v>
      </c>
    </row>
    <row r="988" spans="2:15" x14ac:dyDescent="0.2">
      <c r="B988" s="27">
        <v>0.76388888888888884</v>
      </c>
      <c r="C988" s="28">
        <v>6</v>
      </c>
      <c r="D988" s="33" t="str">
        <f>IF(C988="", "",VLOOKUP(C988,Key!$A$5:$B$7,2,FALSE))</f>
        <v>Large Bus</v>
      </c>
      <c r="E988" s="29" t="s">
        <v>224</v>
      </c>
      <c r="F988" s="29" t="s">
        <v>66</v>
      </c>
      <c r="G988" s="29" t="s">
        <v>73</v>
      </c>
      <c r="H988" s="30" t="s">
        <v>73</v>
      </c>
      <c r="I988" s="29" t="s">
        <v>257</v>
      </c>
      <c r="J988" s="29" t="s">
        <v>70</v>
      </c>
      <c r="K988" s="30" t="s">
        <v>70</v>
      </c>
      <c r="L988" s="29" t="str">
        <f t="shared" si="15"/>
        <v>SOROTI-KAMPALA</v>
      </c>
      <c r="M988" s="31">
        <v>67</v>
      </c>
      <c r="N988" s="72">
        <v>25000</v>
      </c>
      <c r="O988" s="34">
        <v>6</v>
      </c>
    </row>
    <row r="989" spans="2:15" x14ac:dyDescent="0.2">
      <c r="B989" s="45" t="s">
        <v>222</v>
      </c>
      <c r="C989" s="47"/>
      <c r="D989" s="33" t="str">
        <f>IF(C989="", "",VLOOKUP(C989,Key!$A$5:$B$7,2,FALSE))</f>
        <v/>
      </c>
      <c r="E989" s="44" t="s">
        <v>224</v>
      </c>
      <c r="F989" s="48"/>
      <c r="G989" s="47"/>
      <c r="H989" s="47"/>
      <c r="I989" s="47" t="s">
        <v>257</v>
      </c>
      <c r="J989" s="47"/>
      <c r="K989" s="47"/>
      <c r="L989" s="47" t="str">
        <f t="shared" si="15"/>
        <v>-</v>
      </c>
      <c r="M989" s="47"/>
      <c r="N989" s="48"/>
      <c r="O989" s="48"/>
    </row>
    <row r="990" spans="2:15" x14ac:dyDescent="0.2">
      <c r="B990" s="27">
        <v>0.40416666666666662</v>
      </c>
      <c r="C990" s="28">
        <v>6</v>
      </c>
      <c r="D990" s="33" t="str">
        <f>IF(C990="", "",VLOOKUP(C990,Key!$A$5:$B$7,2,FALSE))</f>
        <v>Large Bus</v>
      </c>
      <c r="E990" s="29" t="s">
        <v>224</v>
      </c>
      <c r="F990" s="29" t="s">
        <v>67</v>
      </c>
      <c r="G990" s="29" t="s">
        <v>70</v>
      </c>
      <c r="H990" s="30" t="s">
        <v>70</v>
      </c>
      <c r="I990" s="29" t="s">
        <v>257</v>
      </c>
      <c r="J990" s="29" t="s">
        <v>129</v>
      </c>
      <c r="K990" s="30" t="s">
        <v>129</v>
      </c>
      <c r="L990" s="29" t="str">
        <f t="shared" si="15"/>
        <v>KAMPALA-MBALE</v>
      </c>
      <c r="M990" s="31">
        <v>67</v>
      </c>
      <c r="N990" s="72">
        <v>20000</v>
      </c>
      <c r="O990" s="34">
        <v>4.5</v>
      </c>
    </row>
    <row r="991" spans="2:15" x14ac:dyDescent="0.2">
      <c r="B991" s="27">
        <v>0.3659722222222222</v>
      </c>
      <c r="C991" s="28">
        <v>6</v>
      </c>
      <c r="D991" s="33" t="str">
        <f>IF(C991="", "",VLOOKUP(C991,Key!$A$5:$B$7,2,FALSE))</f>
        <v>Large Bus</v>
      </c>
      <c r="E991" s="29" t="s">
        <v>224</v>
      </c>
      <c r="F991" s="29" t="s">
        <v>67</v>
      </c>
      <c r="G991" s="29" t="s">
        <v>70</v>
      </c>
      <c r="H991" s="30" t="s">
        <v>70</v>
      </c>
      <c r="I991" s="29" t="s">
        <v>257</v>
      </c>
      <c r="J991" s="29" t="s">
        <v>73</v>
      </c>
      <c r="K991" s="30" t="s">
        <v>73</v>
      </c>
      <c r="L991" s="29" t="str">
        <f t="shared" si="15"/>
        <v>KAMPALA-SOROTI</v>
      </c>
      <c r="M991" s="31">
        <v>67</v>
      </c>
      <c r="N991" s="72">
        <v>25000</v>
      </c>
      <c r="O991" s="34">
        <v>6</v>
      </c>
    </row>
    <row r="992" spans="2:15" x14ac:dyDescent="0.2">
      <c r="B992" s="27">
        <v>0.42986111111111108</v>
      </c>
      <c r="C992" s="28">
        <v>6</v>
      </c>
      <c r="D992" s="33" t="str">
        <f>IF(C992="", "",VLOOKUP(C992,Key!$A$5:$B$7,2,FALSE))</f>
        <v>Large Bus</v>
      </c>
      <c r="E992" s="29" t="s">
        <v>224</v>
      </c>
      <c r="F992" s="29" t="s">
        <v>67</v>
      </c>
      <c r="G992" s="29" t="s">
        <v>70</v>
      </c>
      <c r="H992" s="30" t="s">
        <v>70</v>
      </c>
      <c r="I992" s="29" t="s">
        <v>257</v>
      </c>
      <c r="J992" s="29" t="s">
        <v>129</v>
      </c>
      <c r="K992" s="30" t="s">
        <v>129</v>
      </c>
      <c r="L992" s="29" t="str">
        <f t="shared" si="15"/>
        <v>KAMPALA-MBALE</v>
      </c>
      <c r="M992" s="31">
        <v>67</v>
      </c>
      <c r="N992" s="72">
        <v>20000</v>
      </c>
      <c r="O992" s="34">
        <v>4.5</v>
      </c>
    </row>
    <row r="993" spans="2:15" x14ac:dyDescent="0.2">
      <c r="B993" s="27">
        <v>0.41666666666666669</v>
      </c>
      <c r="C993" s="28">
        <v>6</v>
      </c>
      <c r="D993" s="33" t="str">
        <f>IF(C993="", "",VLOOKUP(C993,Key!$A$5:$B$7,2,FALSE))</f>
        <v>Large Bus</v>
      </c>
      <c r="E993" s="29" t="s">
        <v>224</v>
      </c>
      <c r="F993" s="29" t="s">
        <v>67</v>
      </c>
      <c r="G993" s="29" t="s">
        <v>70</v>
      </c>
      <c r="H993" s="30" t="s">
        <v>70</v>
      </c>
      <c r="I993" s="29" t="s">
        <v>257</v>
      </c>
      <c r="J993" s="29" t="s">
        <v>73</v>
      </c>
      <c r="K993" s="30" t="s">
        <v>73</v>
      </c>
      <c r="L993" s="29" t="str">
        <f t="shared" si="15"/>
        <v>KAMPALA-SOROTI</v>
      </c>
      <c r="M993" s="31">
        <v>67</v>
      </c>
      <c r="N993" s="72">
        <v>25000</v>
      </c>
      <c r="O993" s="34">
        <v>6</v>
      </c>
    </row>
    <row r="994" spans="2:15" x14ac:dyDescent="0.2">
      <c r="B994" s="27">
        <v>0.43541666666666662</v>
      </c>
      <c r="C994" s="28">
        <v>6</v>
      </c>
      <c r="D994" s="33" t="str">
        <f>IF(C994="", "",VLOOKUP(C994,Key!$A$5:$B$7,2,FALSE))</f>
        <v>Large Bus</v>
      </c>
      <c r="E994" s="29" t="s">
        <v>224</v>
      </c>
      <c r="F994" s="29" t="s">
        <v>67</v>
      </c>
      <c r="G994" s="29" t="s">
        <v>70</v>
      </c>
      <c r="H994" s="30" t="s">
        <v>70</v>
      </c>
      <c r="I994" s="29" t="s">
        <v>257</v>
      </c>
      <c r="J994" s="29" t="s">
        <v>73</v>
      </c>
      <c r="K994" s="30" t="s">
        <v>73</v>
      </c>
      <c r="L994" s="29" t="str">
        <f t="shared" si="15"/>
        <v>KAMPALA-SOROTI</v>
      </c>
      <c r="M994" s="31">
        <v>66</v>
      </c>
      <c r="N994" s="72">
        <v>25000</v>
      </c>
      <c r="O994" s="34">
        <v>6</v>
      </c>
    </row>
    <row r="995" spans="2:15" x14ac:dyDescent="0.2">
      <c r="B995" s="27">
        <v>0.44861111111111113</v>
      </c>
      <c r="C995" s="28">
        <v>6</v>
      </c>
      <c r="D995" s="33" t="str">
        <f>IF(C995="", "",VLOOKUP(C995,Key!$A$5:$B$7,2,FALSE))</f>
        <v>Large Bus</v>
      </c>
      <c r="E995" s="29" t="s">
        <v>224</v>
      </c>
      <c r="F995" s="29" t="s">
        <v>67</v>
      </c>
      <c r="G995" s="29" t="s">
        <v>70</v>
      </c>
      <c r="H995" s="30" t="s">
        <v>70</v>
      </c>
      <c r="I995" s="29" t="s">
        <v>257</v>
      </c>
      <c r="J995" s="29" t="s">
        <v>129</v>
      </c>
      <c r="K995" s="30" t="s">
        <v>129</v>
      </c>
      <c r="L995" s="29" t="str">
        <f t="shared" si="15"/>
        <v>KAMPALA-MBALE</v>
      </c>
      <c r="M995" s="31">
        <v>67</v>
      </c>
      <c r="N995" s="72">
        <v>20000</v>
      </c>
      <c r="O995" s="34">
        <v>4.5</v>
      </c>
    </row>
    <row r="996" spans="2:15" x14ac:dyDescent="0.2">
      <c r="B996" s="27">
        <v>0.46180555555555558</v>
      </c>
      <c r="C996" s="28">
        <v>6</v>
      </c>
      <c r="D996" s="33" t="str">
        <f>IF(C996="", "",VLOOKUP(C996,Key!$A$5:$B$7,2,FALSE))</f>
        <v>Large Bus</v>
      </c>
      <c r="E996" s="29" t="s">
        <v>224</v>
      </c>
      <c r="F996" s="29" t="s">
        <v>67</v>
      </c>
      <c r="G996" s="29" t="s">
        <v>70</v>
      </c>
      <c r="H996" s="30" t="s">
        <v>70</v>
      </c>
      <c r="I996" s="29" t="s">
        <v>257</v>
      </c>
      <c r="J996" s="29" t="s">
        <v>73</v>
      </c>
      <c r="K996" s="30" t="s">
        <v>73</v>
      </c>
      <c r="L996" s="29" t="str">
        <f t="shared" si="15"/>
        <v>KAMPALA-SOROTI</v>
      </c>
      <c r="M996" s="31">
        <v>67</v>
      </c>
      <c r="N996" s="72">
        <v>25000</v>
      </c>
      <c r="O996" s="34">
        <v>6</v>
      </c>
    </row>
    <row r="997" spans="2:15" x14ac:dyDescent="0.2">
      <c r="B997" s="27">
        <v>0.49444444444444446</v>
      </c>
      <c r="C997" s="28">
        <v>6</v>
      </c>
      <c r="D997" s="33" t="str">
        <f>IF(C997="", "",VLOOKUP(C997,Key!$A$5:$B$7,2,FALSE))</f>
        <v>Large Bus</v>
      </c>
      <c r="E997" s="29" t="s">
        <v>224</v>
      </c>
      <c r="F997" s="29" t="s">
        <v>67</v>
      </c>
      <c r="G997" s="29" t="s">
        <v>70</v>
      </c>
      <c r="H997" s="30" t="s">
        <v>70</v>
      </c>
      <c r="I997" s="29" t="s">
        <v>257</v>
      </c>
      <c r="J997" s="29" t="s">
        <v>129</v>
      </c>
      <c r="K997" s="30" t="s">
        <v>129</v>
      </c>
      <c r="L997" s="29" t="str">
        <f t="shared" si="15"/>
        <v>KAMPALA-MBALE</v>
      </c>
      <c r="M997" s="31">
        <v>65</v>
      </c>
      <c r="N997" s="72">
        <v>20000</v>
      </c>
      <c r="O997" s="34">
        <v>4.5</v>
      </c>
    </row>
    <row r="998" spans="2:15" x14ac:dyDescent="0.2">
      <c r="B998" s="27">
        <v>0.6479166666666667</v>
      </c>
      <c r="C998" s="28">
        <v>6</v>
      </c>
      <c r="D998" s="33" t="str">
        <f>IF(C998="", "",VLOOKUP(C998,Key!$A$5:$B$7,2,FALSE))</f>
        <v>Large Bus</v>
      </c>
      <c r="E998" s="29" t="s">
        <v>224</v>
      </c>
      <c r="F998" s="29" t="s">
        <v>67</v>
      </c>
      <c r="G998" s="29" t="s">
        <v>70</v>
      </c>
      <c r="H998" s="30" t="s">
        <v>70</v>
      </c>
      <c r="I998" s="29" t="s">
        <v>257</v>
      </c>
      <c r="J998" s="29" t="s">
        <v>73</v>
      </c>
      <c r="K998" s="30" t="s">
        <v>73</v>
      </c>
      <c r="L998" s="29" t="str">
        <f t="shared" si="15"/>
        <v>KAMPALA-SOROTI</v>
      </c>
      <c r="M998" s="31">
        <v>67</v>
      </c>
      <c r="N998" s="72">
        <v>25000</v>
      </c>
      <c r="O998" s="34">
        <v>6</v>
      </c>
    </row>
    <row r="999" spans="2:15" x14ac:dyDescent="0.2">
      <c r="B999" s="27">
        <v>0.76736111111111116</v>
      </c>
      <c r="C999" s="28">
        <v>6</v>
      </c>
      <c r="D999" s="33" t="str">
        <f>IF(C999="", "",VLOOKUP(C999,Key!$A$5:$B$7,2,FALSE))</f>
        <v>Large Bus</v>
      </c>
      <c r="E999" s="29" t="s">
        <v>224</v>
      </c>
      <c r="F999" s="29" t="s">
        <v>67</v>
      </c>
      <c r="G999" s="29" t="s">
        <v>70</v>
      </c>
      <c r="H999" s="30" t="s">
        <v>70</v>
      </c>
      <c r="I999" s="29" t="s">
        <v>257</v>
      </c>
      <c r="J999" s="29" t="s">
        <v>129</v>
      </c>
      <c r="K999" s="30" t="s">
        <v>129</v>
      </c>
      <c r="L999" s="29" t="str">
        <f t="shared" si="15"/>
        <v>KAMPALA-MBALE</v>
      </c>
      <c r="M999" s="31">
        <v>67</v>
      </c>
      <c r="N999" s="72">
        <v>20000</v>
      </c>
      <c r="O999" s="34">
        <v>4.5</v>
      </c>
    </row>
    <row r="1000" spans="2:15" x14ac:dyDescent="0.2">
      <c r="B1000" s="27">
        <v>0.39097222222222222</v>
      </c>
      <c r="C1000" s="28">
        <v>6</v>
      </c>
      <c r="D1000" s="33" t="str">
        <f>IF(C1000="", "",VLOOKUP(C1000,Key!$A$5:$B$7,2,FALSE))</f>
        <v>Large Bus</v>
      </c>
      <c r="E1000" s="29" t="s">
        <v>224</v>
      </c>
      <c r="F1000" s="29" t="s">
        <v>66</v>
      </c>
      <c r="G1000" s="29" t="s">
        <v>129</v>
      </c>
      <c r="H1000" s="30" t="s">
        <v>129</v>
      </c>
      <c r="I1000" s="29" t="s">
        <v>257</v>
      </c>
      <c r="J1000" s="29" t="s">
        <v>70</v>
      </c>
      <c r="K1000" s="30" t="s">
        <v>70</v>
      </c>
      <c r="L1000" s="29" t="str">
        <f t="shared" si="15"/>
        <v>MBALE-KAMPALA</v>
      </c>
      <c r="M1000" s="31">
        <v>67</v>
      </c>
      <c r="N1000" s="72">
        <v>19000</v>
      </c>
      <c r="O1000" s="34">
        <v>4.5</v>
      </c>
    </row>
    <row r="1001" spans="2:15" x14ac:dyDescent="0.2">
      <c r="B1001" s="27">
        <v>0.48125000000000001</v>
      </c>
      <c r="C1001" s="28">
        <v>6</v>
      </c>
      <c r="D1001" s="33" t="str">
        <f>IF(C1001="", "",VLOOKUP(C1001,Key!$A$5:$B$7,2,FALSE))</f>
        <v>Large Bus</v>
      </c>
      <c r="E1001" s="29" t="s">
        <v>224</v>
      </c>
      <c r="F1001" s="29" t="s">
        <v>66</v>
      </c>
      <c r="G1001" s="29" t="s">
        <v>129</v>
      </c>
      <c r="H1001" s="30" t="s">
        <v>129</v>
      </c>
      <c r="I1001" s="29" t="s">
        <v>257</v>
      </c>
      <c r="J1001" s="29" t="s">
        <v>70</v>
      </c>
      <c r="K1001" s="30" t="s">
        <v>70</v>
      </c>
      <c r="L1001" s="29" t="str">
        <f t="shared" si="15"/>
        <v>MBALE-KAMPALA</v>
      </c>
      <c r="M1001" s="31">
        <v>67</v>
      </c>
      <c r="N1001" s="72">
        <v>19000</v>
      </c>
      <c r="O1001" s="34">
        <v>4.5</v>
      </c>
    </row>
    <row r="1002" spans="2:15" x14ac:dyDescent="0.2">
      <c r="B1002" s="27">
        <v>0.53611111111111109</v>
      </c>
      <c r="C1002" s="28">
        <v>6</v>
      </c>
      <c r="D1002" s="33" t="str">
        <f>IF(C1002="", "",VLOOKUP(C1002,Key!$A$5:$B$7,2,FALSE))</f>
        <v>Large Bus</v>
      </c>
      <c r="E1002" s="29" t="s">
        <v>224</v>
      </c>
      <c r="F1002" s="29" t="s">
        <v>66</v>
      </c>
      <c r="G1002" s="29" t="s">
        <v>129</v>
      </c>
      <c r="H1002" s="30" t="s">
        <v>129</v>
      </c>
      <c r="I1002" s="29" t="s">
        <v>257</v>
      </c>
      <c r="J1002" s="29" t="s">
        <v>70</v>
      </c>
      <c r="K1002" s="30" t="s">
        <v>70</v>
      </c>
      <c r="L1002" s="29" t="str">
        <f t="shared" si="15"/>
        <v>MBALE-KAMPALA</v>
      </c>
      <c r="M1002" s="31">
        <v>67</v>
      </c>
      <c r="N1002" s="72">
        <v>19000</v>
      </c>
      <c r="O1002" s="34">
        <v>4.5</v>
      </c>
    </row>
    <row r="1003" spans="2:15" x14ac:dyDescent="0.2">
      <c r="B1003" s="27">
        <v>0.59791666666666665</v>
      </c>
      <c r="C1003" s="28">
        <v>6</v>
      </c>
      <c r="D1003" s="33" t="str">
        <f>IF(C1003="", "",VLOOKUP(C1003,Key!$A$5:$B$7,2,FALSE))</f>
        <v>Large Bus</v>
      </c>
      <c r="E1003" s="29" t="s">
        <v>224</v>
      </c>
      <c r="F1003" s="29" t="s">
        <v>66</v>
      </c>
      <c r="G1003" s="29" t="s">
        <v>129</v>
      </c>
      <c r="H1003" s="30" t="s">
        <v>129</v>
      </c>
      <c r="I1003" s="29" t="s">
        <v>257</v>
      </c>
      <c r="J1003" s="29" t="s">
        <v>70</v>
      </c>
      <c r="K1003" s="30" t="s">
        <v>70</v>
      </c>
      <c r="L1003" s="29" t="str">
        <f t="shared" si="15"/>
        <v>MBALE-KAMPALA</v>
      </c>
      <c r="M1003" s="31">
        <v>67</v>
      </c>
      <c r="N1003" s="72">
        <v>19000</v>
      </c>
      <c r="O1003" s="34">
        <v>4.5</v>
      </c>
    </row>
    <row r="1004" spans="2:15" x14ac:dyDescent="0.2">
      <c r="B1004" s="27">
        <v>0.59722222222222221</v>
      </c>
      <c r="C1004" s="28">
        <v>6</v>
      </c>
      <c r="D1004" s="33" t="str">
        <f>IF(C1004="", "",VLOOKUP(C1004,Key!$A$5:$B$7,2,FALSE))</f>
        <v>Large Bus</v>
      </c>
      <c r="E1004" s="29" t="s">
        <v>224</v>
      </c>
      <c r="F1004" s="29" t="s">
        <v>66</v>
      </c>
      <c r="G1004" s="29" t="s">
        <v>129</v>
      </c>
      <c r="H1004" s="30" t="s">
        <v>129</v>
      </c>
      <c r="I1004" s="29" t="s">
        <v>257</v>
      </c>
      <c r="J1004" s="29" t="s">
        <v>70</v>
      </c>
      <c r="K1004" s="30" t="s">
        <v>70</v>
      </c>
      <c r="L1004" s="29" t="str">
        <f t="shared" si="15"/>
        <v>MBALE-KAMPALA</v>
      </c>
      <c r="M1004" s="31">
        <v>67</v>
      </c>
      <c r="N1004" s="72">
        <v>19000</v>
      </c>
      <c r="O1004" s="34">
        <v>4.5</v>
      </c>
    </row>
    <row r="1005" spans="2:15" x14ac:dyDescent="0.2">
      <c r="B1005" s="27">
        <v>0.65277777777777779</v>
      </c>
      <c r="C1005" s="28">
        <v>6</v>
      </c>
      <c r="D1005" s="33" t="str">
        <f>IF(C1005="", "",VLOOKUP(C1005,Key!$A$5:$B$7,2,FALSE))</f>
        <v>Large Bus</v>
      </c>
      <c r="E1005" s="29" t="s">
        <v>224</v>
      </c>
      <c r="F1005" s="29" t="s">
        <v>66</v>
      </c>
      <c r="G1005" s="29" t="s">
        <v>129</v>
      </c>
      <c r="H1005" s="30" t="s">
        <v>129</v>
      </c>
      <c r="I1005" s="29" t="s">
        <v>257</v>
      </c>
      <c r="J1005" s="29" t="s">
        <v>70</v>
      </c>
      <c r="K1005" s="30" t="s">
        <v>70</v>
      </c>
      <c r="L1005" s="29" t="str">
        <f t="shared" si="15"/>
        <v>MBALE-KAMPALA</v>
      </c>
      <c r="M1005" s="31">
        <v>67</v>
      </c>
      <c r="N1005" s="72">
        <v>19000</v>
      </c>
      <c r="O1005" s="34">
        <v>4.5</v>
      </c>
    </row>
    <row r="1006" spans="2:15" x14ac:dyDescent="0.2">
      <c r="B1006" s="27">
        <v>0.67708333333333337</v>
      </c>
      <c r="C1006" s="28">
        <v>6</v>
      </c>
      <c r="D1006" s="33" t="str">
        <f>IF(C1006="", "",VLOOKUP(C1006,Key!$A$5:$B$7,2,FALSE))</f>
        <v>Large Bus</v>
      </c>
      <c r="E1006" s="29" t="s">
        <v>224</v>
      </c>
      <c r="F1006" s="29" t="s">
        <v>66</v>
      </c>
      <c r="G1006" s="29" t="s">
        <v>129</v>
      </c>
      <c r="H1006" s="30" t="s">
        <v>129</v>
      </c>
      <c r="I1006" s="29" t="s">
        <v>257</v>
      </c>
      <c r="J1006" s="29" t="s">
        <v>70</v>
      </c>
      <c r="K1006" s="30" t="s">
        <v>70</v>
      </c>
      <c r="L1006" s="29" t="str">
        <f t="shared" si="15"/>
        <v>MBALE-KAMPALA</v>
      </c>
      <c r="M1006" s="31">
        <v>67</v>
      </c>
      <c r="N1006" s="72">
        <v>19000</v>
      </c>
      <c r="O1006" s="34">
        <v>4.5</v>
      </c>
    </row>
    <row r="1007" spans="2:15" x14ac:dyDescent="0.2">
      <c r="B1007" s="27">
        <v>0.71736111111111101</v>
      </c>
      <c r="C1007" s="28">
        <v>6</v>
      </c>
      <c r="D1007" s="33" t="str">
        <f>IF(C1007="", "",VLOOKUP(C1007,Key!$A$5:$B$7,2,FALSE))</f>
        <v>Large Bus</v>
      </c>
      <c r="E1007" s="29" t="s">
        <v>224</v>
      </c>
      <c r="F1007" s="29" t="s">
        <v>66</v>
      </c>
      <c r="G1007" s="29" t="s">
        <v>130</v>
      </c>
      <c r="H1007" s="30" t="s">
        <v>130</v>
      </c>
      <c r="I1007" s="29" t="s">
        <v>257</v>
      </c>
      <c r="J1007" s="29" t="s">
        <v>70</v>
      </c>
      <c r="K1007" s="30" t="s">
        <v>70</v>
      </c>
      <c r="L1007" s="29" t="str">
        <f t="shared" si="15"/>
        <v>LIRA-KAMPALA</v>
      </c>
      <c r="M1007" s="31">
        <v>67</v>
      </c>
      <c r="N1007" s="72">
        <v>20000</v>
      </c>
      <c r="O1007" s="34">
        <v>5</v>
      </c>
    </row>
    <row r="1008" spans="2:15" x14ac:dyDescent="0.2">
      <c r="B1008" s="27">
        <v>0.74236111111111114</v>
      </c>
      <c r="C1008" s="28">
        <v>6</v>
      </c>
      <c r="D1008" s="33" t="str">
        <f>IF(C1008="", "",VLOOKUP(C1008,Key!$A$5:$B$7,2,FALSE))</f>
        <v>Large Bus</v>
      </c>
      <c r="E1008" s="29" t="s">
        <v>224</v>
      </c>
      <c r="F1008" s="29" t="s">
        <v>66</v>
      </c>
      <c r="G1008" s="29" t="s">
        <v>129</v>
      </c>
      <c r="H1008" s="30" t="s">
        <v>129</v>
      </c>
      <c r="I1008" s="29" t="s">
        <v>257</v>
      </c>
      <c r="J1008" s="29" t="s">
        <v>70</v>
      </c>
      <c r="K1008" s="30" t="s">
        <v>70</v>
      </c>
      <c r="L1008" s="29" t="str">
        <f t="shared" si="15"/>
        <v>MBALE-KAMPALA</v>
      </c>
      <c r="M1008" s="31">
        <v>64</v>
      </c>
      <c r="N1008" s="72">
        <v>19000</v>
      </c>
      <c r="O1008" s="34">
        <v>4.5</v>
      </c>
    </row>
    <row r="1009" spans="2:15" x14ac:dyDescent="0.2">
      <c r="B1009" s="27">
        <v>0.75486111111111109</v>
      </c>
      <c r="C1009" s="28">
        <v>6</v>
      </c>
      <c r="D1009" s="33" t="str">
        <f>IF(C1009="", "",VLOOKUP(C1009,Key!$A$5:$B$7,2,FALSE))</f>
        <v>Large Bus</v>
      </c>
      <c r="E1009" s="29" t="s">
        <v>224</v>
      </c>
      <c r="F1009" s="29" t="s">
        <v>66</v>
      </c>
      <c r="G1009" s="29" t="s">
        <v>73</v>
      </c>
      <c r="H1009" s="30" t="s">
        <v>73</v>
      </c>
      <c r="I1009" s="29" t="s">
        <v>257</v>
      </c>
      <c r="J1009" s="29" t="s">
        <v>70</v>
      </c>
      <c r="K1009" s="30" t="s">
        <v>70</v>
      </c>
      <c r="L1009" s="29" t="str">
        <f t="shared" si="15"/>
        <v>SOROTI-KAMPALA</v>
      </c>
      <c r="M1009" s="31">
        <v>66</v>
      </c>
      <c r="N1009" s="72">
        <v>25000</v>
      </c>
      <c r="O1009" s="34">
        <v>6</v>
      </c>
    </row>
    <row r="1010" spans="2:15" x14ac:dyDescent="0.2">
      <c r="B1010" s="27">
        <v>0.77916666666666667</v>
      </c>
      <c r="C1010" s="28">
        <v>6</v>
      </c>
      <c r="D1010" s="33" t="str">
        <f>IF(C1010="", "",VLOOKUP(C1010,Key!$A$5:$B$7,2,FALSE))</f>
        <v>Large Bus</v>
      </c>
      <c r="E1010" s="29" t="s">
        <v>224</v>
      </c>
      <c r="F1010" s="29" t="s">
        <v>66</v>
      </c>
      <c r="G1010" s="29" t="s">
        <v>73</v>
      </c>
      <c r="H1010" s="30" t="s">
        <v>73</v>
      </c>
      <c r="I1010" s="29" t="s">
        <v>257</v>
      </c>
      <c r="J1010" s="29" t="s">
        <v>70</v>
      </c>
      <c r="K1010" s="30" t="s">
        <v>70</v>
      </c>
      <c r="L1010" s="29" t="str">
        <f t="shared" si="15"/>
        <v>SOROTI-KAMPALA</v>
      </c>
      <c r="M1010" s="31">
        <v>65</v>
      </c>
      <c r="N1010" s="72">
        <v>25000</v>
      </c>
      <c r="O1010" s="34">
        <v>6</v>
      </c>
    </row>
    <row r="1011" spans="2:15" x14ac:dyDescent="0.2">
      <c r="B1011" s="27">
        <v>0.89166666666666661</v>
      </c>
      <c r="C1011" s="28">
        <v>6</v>
      </c>
      <c r="D1011" s="33" t="str">
        <f>IF(C1011="", "",VLOOKUP(C1011,Key!$A$5:$B$7,2,FALSE))</f>
        <v>Large Bus</v>
      </c>
      <c r="E1011" s="29" t="s">
        <v>224</v>
      </c>
      <c r="F1011" s="29" t="s">
        <v>67</v>
      </c>
      <c r="G1011" s="29" t="s">
        <v>70</v>
      </c>
      <c r="H1011" s="30" t="s">
        <v>70</v>
      </c>
      <c r="I1011" s="29" t="s">
        <v>257</v>
      </c>
      <c r="J1011" s="29" t="s">
        <v>129</v>
      </c>
      <c r="K1011" s="30" t="s">
        <v>129</v>
      </c>
      <c r="L1011" s="29" t="str">
        <f t="shared" si="15"/>
        <v>KAMPALA-MBALE</v>
      </c>
      <c r="M1011" s="31">
        <v>67</v>
      </c>
      <c r="N1011" s="72">
        <v>20000</v>
      </c>
      <c r="O1011" s="34">
        <v>4.5</v>
      </c>
    </row>
    <row r="1012" spans="2:15" x14ac:dyDescent="0.2">
      <c r="B1012" s="27">
        <v>0.85486111111111107</v>
      </c>
      <c r="C1012" s="28">
        <v>6</v>
      </c>
      <c r="D1012" s="33" t="str">
        <f>IF(C1012="", "",VLOOKUP(C1012,Key!$A$5:$B$7,2,FALSE))</f>
        <v>Large Bus</v>
      </c>
      <c r="E1012" s="29" t="s">
        <v>224</v>
      </c>
      <c r="F1012" s="29" t="s">
        <v>67</v>
      </c>
      <c r="G1012" s="29" t="s">
        <v>70</v>
      </c>
      <c r="H1012" s="30" t="s">
        <v>70</v>
      </c>
      <c r="I1012" s="29" t="s">
        <v>257</v>
      </c>
      <c r="J1012" s="29" t="s">
        <v>73</v>
      </c>
      <c r="K1012" s="30" t="s">
        <v>73</v>
      </c>
      <c r="L1012" s="29" t="str">
        <f t="shared" si="15"/>
        <v>KAMPALA-SOROTI</v>
      </c>
      <c r="M1012" s="31">
        <v>67</v>
      </c>
      <c r="N1012" s="72">
        <v>25000</v>
      </c>
      <c r="O1012" s="34">
        <v>6</v>
      </c>
    </row>
    <row r="1013" spans="2:15" x14ac:dyDescent="0.2">
      <c r="B1013" s="27" t="s">
        <v>132</v>
      </c>
      <c r="C1013" s="28">
        <v>6</v>
      </c>
      <c r="D1013" s="33" t="str">
        <f>IF(C1013="", "",VLOOKUP(C1013,Key!$A$5:$B$7,2,FALSE))</f>
        <v>Large Bus</v>
      </c>
      <c r="E1013" s="29" t="s">
        <v>224</v>
      </c>
      <c r="F1013" s="29" t="s">
        <v>67</v>
      </c>
      <c r="G1013" s="29" t="s">
        <v>70</v>
      </c>
      <c r="H1013" s="30" t="s">
        <v>70</v>
      </c>
      <c r="I1013" s="29" t="s">
        <v>257</v>
      </c>
      <c r="J1013" s="29" t="s">
        <v>73</v>
      </c>
      <c r="K1013" s="30" t="s">
        <v>73</v>
      </c>
      <c r="L1013" s="29" t="str">
        <f t="shared" si="15"/>
        <v>KAMPALA-SOROTI</v>
      </c>
      <c r="M1013" s="31">
        <v>67</v>
      </c>
      <c r="N1013" s="72">
        <v>25000</v>
      </c>
      <c r="O1013" s="34">
        <v>6</v>
      </c>
    </row>
    <row r="1014" spans="2:15" x14ac:dyDescent="0.2">
      <c r="B1014" s="27">
        <v>0</v>
      </c>
      <c r="C1014" s="28">
        <v>6</v>
      </c>
      <c r="D1014" s="33" t="str">
        <f>IF(C1014="", "",VLOOKUP(C1014,Key!$A$5:$B$7,2,FALSE))</f>
        <v>Large Bus</v>
      </c>
      <c r="E1014" s="29" t="s">
        <v>224</v>
      </c>
      <c r="F1014" s="29" t="s">
        <v>67</v>
      </c>
      <c r="G1014" s="29" t="s">
        <v>70</v>
      </c>
      <c r="H1014" s="30" t="s">
        <v>70</v>
      </c>
      <c r="I1014" s="29" t="s">
        <v>257</v>
      </c>
      <c r="J1014" s="29" t="s">
        <v>129</v>
      </c>
      <c r="K1014" s="30" t="s">
        <v>129</v>
      </c>
      <c r="L1014" s="29" t="str">
        <f t="shared" si="15"/>
        <v>KAMPALA-MBALE</v>
      </c>
      <c r="M1014" s="31">
        <v>67</v>
      </c>
      <c r="N1014" s="72">
        <v>20000</v>
      </c>
      <c r="O1014" s="34">
        <v>4.5</v>
      </c>
    </row>
    <row r="1015" spans="2:15" x14ac:dyDescent="0.2">
      <c r="B1015" s="27">
        <v>4.2361111111111106E-2</v>
      </c>
      <c r="C1015" s="28">
        <v>6</v>
      </c>
      <c r="D1015" s="33" t="str">
        <f>IF(C1015="", "",VLOOKUP(C1015,Key!$A$5:$B$7,2,FALSE))</f>
        <v>Large Bus</v>
      </c>
      <c r="E1015" s="29" t="s">
        <v>224</v>
      </c>
      <c r="F1015" s="29" t="s">
        <v>67</v>
      </c>
      <c r="G1015" s="29" t="s">
        <v>70</v>
      </c>
      <c r="H1015" s="30" t="s">
        <v>70</v>
      </c>
      <c r="I1015" s="29" t="s">
        <v>257</v>
      </c>
      <c r="J1015" s="29" t="s">
        <v>73</v>
      </c>
      <c r="K1015" s="30" t="s">
        <v>73</v>
      </c>
      <c r="L1015" s="29" t="str">
        <f t="shared" si="15"/>
        <v>KAMPALA-SOROTI</v>
      </c>
      <c r="M1015" s="31">
        <v>60</v>
      </c>
      <c r="N1015" s="72">
        <v>25000</v>
      </c>
      <c r="O1015" s="34">
        <v>6</v>
      </c>
    </row>
    <row r="1016" spans="2:15" x14ac:dyDescent="0.2">
      <c r="B1016" s="27">
        <v>0.1111111111111111</v>
      </c>
      <c r="C1016" s="28">
        <v>6</v>
      </c>
      <c r="D1016" s="33" t="str">
        <f>IF(C1016="", "",VLOOKUP(C1016,Key!$A$5:$B$7,2,FALSE))</f>
        <v>Large Bus</v>
      </c>
      <c r="E1016" s="29" t="s">
        <v>224</v>
      </c>
      <c r="F1016" s="29" t="s">
        <v>67</v>
      </c>
      <c r="G1016" s="29" t="s">
        <v>70</v>
      </c>
      <c r="H1016" s="30" t="s">
        <v>70</v>
      </c>
      <c r="I1016" s="29" t="s">
        <v>257</v>
      </c>
      <c r="J1016" s="29" t="s">
        <v>73</v>
      </c>
      <c r="K1016" s="30" t="s">
        <v>73</v>
      </c>
      <c r="L1016" s="29" t="str">
        <f t="shared" si="15"/>
        <v>KAMPALA-SOROTI</v>
      </c>
      <c r="M1016" s="31">
        <v>65</v>
      </c>
      <c r="N1016" s="72">
        <v>25000</v>
      </c>
      <c r="O1016" s="34">
        <v>6</v>
      </c>
    </row>
    <row r="1017" spans="2:15" x14ac:dyDescent="0.2">
      <c r="B1017" s="27">
        <v>0.125</v>
      </c>
      <c r="C1017" s="28">
        <v>6</v>
      </c>
      <c r="D1017" s="33" t="str">
        <f>IF(C1017="", "",VLOOKUP(C1017,Key!$A$5:$B$7,2,FALSE))</f>
        <v>Large Bus</v>
      </c>
      <c r="E1017" s="29" t="s">
        <v>224</v>
      </c>
      <c r="F1017" s="29" t="s">
        <v>67</v>
      </c>
      <c r="G1017" s="29" t="s">
        <v>70</v>
      </c>
      <c r="H1017" s="30" t="s">
        <v>70</v>
      </c>
      <c r="I1017" s="29" t="s">
        <v>257</v>
      </c>
      <c r="J1017" s="29" t="s">
        <v>73</v>
      </c>
      <c r="K1017" s="30" t="s">
        <v>73</v>
      </c>
      <c r="L1017" s="29" t="str">
        <f t="shared" si="15"/>
        <v>KAMPALA-SOROTI</v>
      </c>
      <c r="M1017" s="31">
        <v>63</v>
      </c>
      <c r="N1017" s="72">
        <v>25000</v>
      </c>
      <c r="O1017" s="34">
        <v>6</v>
      </c>
    </row>
    <row r="1018" spans="2:15" x14ac:dyDescent="0.2">
      <c r="B1018" s="27">
        <v>0.14583333333333334</v>
      </c>
      <c r="C1018" s="28">
        <v>6</v>
      </c>
      <c r="D1018" s="33" t="str">
        <f>IF(C1018="", "",VLOOKUP(C1018,Key!$A$5:$B$7,2,FALSE))</f>
        <v>Large Bus</v>
      </c>
      <c r="E1018" s="29" t="s">
        <v>224</v>
      </c>
      <c r="F1018" s="29" t="s">
        <v>67</v>
      </c>
      <c r="G1018" s="29" t="s">
        <v>70</v>
      </c>
      <c r="H1018" s="30" t="s">
        <v>70</v>
      </c>
      <c r="I1018" s="29" t="s">
        <v>257</v>
      </c>
      <c r="J1018" s="29" t="s">
        <v>73</v>
      </c>
      <c r="K1018" s="30" t="s">
        <v>73</v>
      </c>
      <c r="L1018" s="29" t="str">
        <f t="shared" si="15"/>
        <v>KAMPALA-SOROTI</v>
      </c>
      <c r="M1018" s="31">
        <v>67</v>
      </c>
      <c r="N1018" s="72">
        <v>25000</v>
      </c>
      <c r="O1018" s="34">
        <v>6</v>
      </c>
    </row>
    <row r="1019" spans="2:15" x14ac:dyDescent="0.2">
      <c r="B1019" s="27">
        <v>0.18055555555555555</v>
      </c>
      <c r="C1019" s="28">
        <v>6</v>
      </c>
      <c r="D1019" s="33" t="str">
        <f>IF(C1019="", "",VLOOKUP(C1019,Key!$A$5:$B$7,2,FALSE))</f>
        <v>Large Bus</v>
      </c>
      <c r="E1019" s="29" t="s">
        <v>224</v>
      </c>
      <c r="F1019" s="29" t="s">
        <v>67</v>
      </c>
      <c r="G1019" s="29" t="s">
        <v>70</v>
      </c>
      <c r="H1019" s="30" t="s">
        <v>70</v>
      </c>
      <c r="I1019" s="29" t="s">
        <v>257</v>
      </c>
      <c r="J1019" s="29" t="s">
        <v>129</v>
      </c>
      <c r="K1019" s="30" t="s">
        <v>129</v>
      </c>
      <c r="L1019" s="29" t="str">
        <f t="shared" si="15"/>
        <v>KAMPALA-MBALE</v>
      </c>
      <c r="M1019" s="31">
        <v>60</v>
      </c>
      <c r="N1019" s="72">
        <v>20000</v>
      </c>
      <c r="O1019" s="34">
        <v>4.5</v>
      </c>
    </row>
    <row r="1020" spans="2:15" x14ac:dyDescent="0.2">
      <c r="B1020" s="27">
        <v>0.25486111111111109</v>
      </c>
      <c r="C1020" s="28">
        <v>6</v>
      </c>
      <c r="D1020" s="33" t="str">
        <f>IF(C1020="", "",VLOOKUP(C1020,Key!$A$5:$B$7,2,FALSE))</f>
        <v>Large Bus</v>
      </c>
      <c r="E1020" s="29" t="s">
        <v>224</v>
      </c>
      <c r="F1020" s="29" t="s">
        <v>67</v>
      </c>
      <c r="G1020" s="29" t="s">
        <v>70</v>
      </c>
      <c r="H1020" s="30" t="s">
        <v>70</v>
      </c>
      <c r="I1020" s="29" t="s">
        <v>257</v>
      </c>
      <c r="J1020" s="29" t="s">
        <v>129</v>
      </c>
      <c r="K1020" s="30" t="s">
        <v>129</v>
      </c>
      <c r="L1020" s="29" t="str">
        <f t="shared" si="15"/>
        <v>KAMPALA-MBALE</v>
      </c>
      <c r="M1020" s="31">
        <v>67</v>
      </c>
      <c r="N1020" s="72">
        <v>20000</v>
      </c>
      <c r="O1020" s="34">
        <v>4.5</v>
      </c>
    </row>
    <row r="1021" spans="2:15" x14ac:dyDescent="0.2">
      <c r="B1021" s="27">
        <v>0.3125</v>
      </c>
      <c r="C1021" s="28">
        <v>6</v>
      </c>
      <c r="D1021" s="33" t="str">
        <f>IF(C1021="", "",VLOOKUP(C1021,Key!$A$5:$B$7,2,FALSE))</f>
        <v>Large Bus</v>
      </c>
      <c r="E1021" s="29" t="s">
        <v>224</v>
      </c>
      <c r="F1021" s="29" t="s">
        <v>67</v>
      </c>
      <c r="G1021" s="29" t="s">
        <v>70</v>
      </c>
      <c r="H1021" s="30" t="s">
        <v>70</v>
      </c>
      <c r="I1021" s="29" t="s">
        <v>257</v>
      </c>
      <c r="J1021" s="29" t="s">
        <v>73</v>
      </c>
      <c r="K1021" s="30" t="s">
        <v>73</v>
      </c>
      <c r="L1021" s="29" t="str">
        <f t="shared" si="15"/>
        <v>KAMPALA-SOROTI</v>
      </c>
      <c r="M1021" s="31">
        <v>67</v>
      </c>
      <c r="N1021" s="72">
        <v>25000</v>
      </c>
      <c r="O1021" s="34">
        <v>6</v>
      </c>
    </row>
    <row r="1022" spans="2:15" x14ac:dyDescent="0.2">
      <c r="B1022" s="27">
        <v>0.80138888888888893</v>
      </c>
      <c r="C1022" s="28">
        <v>6</v>
      </c>
      <c r="D1022" s="33" t="str">
        <f>IF(C1022="", "",VLOOKUP(C1022,Key!$A$5:$B$7,2,FALSE))</f>
        <v>Large Bus</v>
      </c>
      <c r="E1022" s="29" t="s">
        <v>224</v>
      </c>
      <c r="F1022" s="29" t="s">
        <v>66</v>
      </c>
      <c r="G1022" s="29" t="s">
        <v>73</v>
      </c>
      <c r="H1022" s="30" t="s">
        <v>73</v>
      </c>
      <c r="I1022" s="29" t="s">
        <v>257</v>
      </c>
      <c r="J1022" s="29" t="s">
        <v>70</v>
      </c>
      <c r="K1022" s="30" t="s">
        <v>70</v>
      </c>
      <c r="L1022" s="29" t="str">
        <f t="shared" si="15"/>
        <v>SOROTI-KAMPALA</v>
      </c>
      <c r="M1022" s="31">
        <v>64</v>
      </c>
      <c r="N1022" s="72">
        <v>25000</v>
      </c>
      <c r="O1022" s="34">
        <v>6</v>
      </c>
    </row>
    <row r="1023" spans="2:15" x14ac:dyDescent="0.2">
      <c r="B1023" s="27">
        <v>0.83680555555555547</v>
      </c>
      <c r="C1023" s="28">
        <v>6</v>
      </c>
      <c r="D1023" s="33" t="str">
        <f>IF(C1023="", "",VLOOKUP(C1023,Key!$A$5:$B$7,2,FALSE))</f>
        <v>Large Bus</v>
      </c>
      <c r="E1023" s="29" t="s">
        <v>224</v>
      </c>
      <c r="F1023" s="29" t="s">
        <v>66</v>
      </c>
      <c r="G1023" s="29" t="s">
        <v>129</v>
      </c>
      <c r="H1023" s="30" t="s">
        <v>129</v>
      </c>
      <c r="I1023" s="29" t="s">
        <v>257</v>
      </c>
      <c r="J1023" s="29" t="s">
        <v>70</v>
      </c>
      <c r="K1023" s="30" t="s">
        <v>70</v>
      </c>
      <c r="L1023" s="29" t="str">
        <f t="shared" si="15"/>
        <v>MBALE-KAMPALA</v>
      </c>
      <c r="M1023" s="31">
        <v>64</v>
      </c>
      <c r="N1023" s="72">
        <v>19000</v>
      </c>
      <c r="O1023" s="34">
        <v>4.5</v>
      </c>
    </row>
    <row r="1024" spans="2:15" x14ac:dyDescent="0.2">
      <c r="B1024" s="27">
        <v>0.9</v>
      </c>
      <c r="C1024" s="28">
        <v>6</v>
      </c>
      <c r="D1024" s="33" t="str">
        <f>IF(C1024="", "",VLOOKUP(C1024,Key!$A$5:$B$7,2,FALSE))</f>
        <v>Large Bus</v>
      </c>
      <c r="E1024" s="29" t="s">
        <v>224</v>
      </c>
      <c r="F1024" s="29" t="s">
        <v>66</v>
      </c>
      <c r="G1024" s="29" t="s">
        <v>73</v>
      </c>
      <c r="H1024" s="30" t="s">
        <v>73</v>
      </c>
      <c r="I1024" s="29" t="s">
        <v>257</v>
      </c>
      <c r="J1024" s="29" t="s">
        <v>70</v>
      </c>
      <c r="K1024" s="30" t="s">
        <v>70</v>
      </c>
      <c r="L1024" s="29" t="str">
        <f t="shared" si="15"/>
        <v>SOROTI-KAMPALA</v>
      </c>
      <c r="M1024" s="31">
        <v>66</v>
      </c>
      <c r="N1024" s="72">
        <v>25000</v>
      </c>
      <c r="O1024" s="34">
        <v>6</v>
      </c>
    </row>
    <row r="1025" spans="2:15" x14ac:dyDescent="0.2">
      <c r="B1025" s="27">
        <v>0.91388888888888886</v>
      </c>
      <c r="C1025" s="28">
        <v>6</v>
      </c>
      <c r="D1025" s="33" t="str">
        <f>IF(C1025="", "",VLOOKUP(C1025,Key!$A$5:$B$7,2,FALSE))</f>
        <v>Large Bus</v>
      </c>
      <c r="E1025" s="29" t="s">
        <v>224</v>
      </c>
      <c r="F1025" s="29" t="s">
        <v>66</v>
      </c>
      <c r="G1025" s="29" t="s">
        <v>129</v>
      </c>
      <c r="H1025" s="30" t="s">
        <v>129</v>
      </c>
      <c r="I1025" s="29" t="s">
        <v>257</v>
      </c>
      <c r="J1025" s="29" t="s">
        <v>70</v>
      </c>
      <c r="K1025" s="30" t="s">
        <v>70</v>
      </c>
      <c r="L1025" s="29" t="str">
        <f t="shared" si="15"/>
        <v>MBALE-KAMPALA</v>
      </c>
      <c r="M1025" s="31">
        <v>65</v>
      </c>
      <c r="N1025" s="72">
        <v>19000</v>
      </c>
      <c r="O1025" s="34">
        <v>4.5</v>
      </c>
    </row>
    <row r="1026" spans="2:15" x14ac:dyDescent="0.2">
      <c r="B1026" s="27">
        <v>0.92083333333333339</v>
      </c>
      <c r="C1026" s="28">
        <v>6</v>
      </c>
      <c r="D1026" s="33" t="str">
        <f>IF(C1026="", "",VLOOKUP(C1026,Key!$A$5:$B$7,2,FALSE))</f>
        <v>Large Bus</v>
      </c>
      <c r="E1026" s="29" t="s">
        <v>224</v>
      </c>
      <c r="F1026" s="29" t="s">
        <v>66</v>
      </c>
      <c r="G1026" s="29" t="s">
        <v>73</v>
      </c>
      <c r="H1026" s="30" t="s">
        <v>73</v>
      </c>
      <c r="I1026" s="29" t="s">
        <v>257</v>
      </c>
      <c r="J1026" s="29" t="s">
        <v>70</v>
      </c>
      <c r="K1026" s="30" t="s">
        <v>70</v>
      </c>
      <c r="L1026" s="29" t="str">
        <f t="shared" si="15"/>
        <v>SOROTI-KAMPALA</v>
      </c>
      <c r="M1026" s="31">
        <v>65</v>
      </c>
      <c r="N1026" s="72">
        <v>25000</v>
      </c>
      <c r="O1026" s="34">
        <v>6</v>
      </c>
    </row>
    <row r="1027" spans="2:15" x14ac:dyDescent="0.2">
      <c r="B1027" s="27">
        <v>0.96875</v>
      </c>
      <c r="C1027" s="28">
        <v>6</v>
      </c>
      <c r="D1027" s="33" t="str">
        <f>IF(C1027="", "",VLOOKUP(C1027,Key!$A$5:$B$7,2,FALSE))</f>
        <v>Large Bus</v>
      </c>
      <c r="E1027" s="29" t="s">
        <v>224</v>
      </c>
      <c r="F1027" s="29" t="s">
        <v>66</v>
      </c>
      <c r="G1027" s="29" t="s">
        <v>129</v>
      </c>
      <c r="H1027" s="30" t="s">
        <v>129</v>
      </c>
      <c r="I1027" s="29" t="s">
        <v>257</v>
      </c>
      <c r="J1027" s="29" t="s">
        <v>70</v>
      </c>
      <c r="K1027" s="30" t="s">
        <v>70</v>
      </c>
      <c r="L1027" s="29" t="str">
        <f t="shared" si="15"/>
        <v>MBALE-KAMPALA</v>
      </c>
      <c r="M1027" s="31">
        <v>65</v>
      </c>
      <c r="N1027" s="72">
        <v>19000</v>
      </c>
      <c r="O1027" s="34">
        <v>4.5</v>
      </c>
    </row>
    <row r="1028" spans="2:15" x14ac:dyDescent="0.2">
      <c r="B1028" s="27">
        <v>0.9902777777777777</v>
      </c>
      <c r="C1028" s="28">
        <v>6</v>
      </c>
      <c r="D1028" s="33" t="str">
        <f>IF(C1028="", "",VLOOKUP(C1028,Key!$A$5:$B$7,2,FALSE))</f>
        <v>Large Bus</v>
      </c>
      <c r="E1028" s="29" t="s">
        <v>224</v>
      </c>
      <c r="F1028" s="29" t="s">
        <v>66</v>
      </c>
      <c r="G1028" s="29" t="s">
        <v>129</v>
      </c>
      <c r="H1028" s="30" t="s">
        <v>129</v>
      </c>
      <c r="I1028" s="29" t="s">
        <v>257</v>
      </c>
      <c r="J1028" s="29" t="s">
        <v>70</v>
      </c>
      <c r="K1028" s="30" t="s">
        <v>70</v>
      </c>
      <c r="L1028" s="29" t="str">
        <f t="shared" si="15"/>
        <v>MBALE-KAMPALA</v>
      </c>
      <c r="M1028" s="31">
        <v>65</v>
      </c>
      <c r="N1028" s="72">
        <v>19000</v>
      </c>
      <c r="O1028" s="34">
        <v>4.5</v>
      </c>
    </row>
    <row r="1029" spans="2:15" x14ac:dyDescent="0.2">
      <c r="B1029" s="27">
        <v>4.2361111111111106E-2</v>
      </c>
      <c r="C1029" s="28">
        <v>6</v>
      </c>
      <c r="D1029" s="33" t="str">
        <f>IF(C1029="", "",VLOOKUP(C1029,Key!$A$5:$B$7,2,FALSE))</f>
        <v>Large Bus</v>
      </c>
      <c r="E1029" s="29" t="s">
        <v>224</v>
      </c>
      <c r="F1029" s="29" t="s">
        <v>66</v>
      </c>
      <c r="G1029" s="29" t="s">
        <v>129</v>
      </c>
      <c r="H1029" s="30" t="s">
        <v>129</v>
      </c>
      <c r="I1029" s="29" t="s">
        <v>257</v>
      </c>
      <c r="J1029" s="29" t="s">
        <v>70</v>
      </c>
      <c r="K1029" s="30" t="s">
        <v>70</v>
      </c>
      <c r="L1029" s="29" t="str">
        <f t="shared" si="15"/>
        <v>MBALE-KAMPALA</v>
      </c>
      <c r="M1029" s="31">
        <v>65</v>
      </c>
      <c r="N1029" s="72">
        <v>19000</v>
      </c>
      <c r="O1029" s="34">
        <v>4.5</v>
      </c>
    </row>
    <row r="1030" spans="2:15" x14ac:dyDescent="0.2">
      <c r="B1030" s="27">
        <v>0.1111111111111111</v>
      </c>
      <c r="C1030" s="28">
        <v>6</v>
      </c>
      <c r="D1030" s="33" t="str">
        <f>IF(C1030="", "",VLOOKUP(C1030,Key!$A$5:$B$7,2,FALSE))</f>
        <v>Large Bus</v>
      </c>
      <c r="E1030" s="29" t="s">
        <v>224</v>
      </c>
      <c r="F1030" s="29" t="s">
        <v>66</v>
      </c>
      <c r="G1030" s="29" t="s">
        <v>73</v>
      </c>
      <c r="H1030" s="30" t="s">
        <v>73</v>
      </c>
      <c r="I1030" s="29" t="s">
        <v>257</v>
      </c>
      <c r="J1030" s="29" t="s">
        <v>70</v>
      </c>
      <c r="K1030" s="30" t="s">
        <v>70</v>
      </c>
      <c r="L1030" s="29" t="str">
        <f t="shared" si="15"/>
        <v>SOROTI-KAMPALA</v>
      </c>
      <c r="M1030" s="31">
        <v>65</v>
      </c>
      <c r="N1030" s="72">
        <v>25000</v>
      </c>
      <c r="O1030" s="34">
        <v>6</v>
      </c>
    </row>
    <row r="1031" spans="2:15" x14ac:dyDescent="0.2">
      <c r="B1031" s="27">
        <v>0.20833333333333334</v>
      </c>
      <c r="C1031" s="28">
        <v>6</v>
      </c>
      <c r="D1031" s="33" t="str">
        <f>IF(C1031="", "",VLOOKUP(C1031,Key!$A$5:$B$7,2,FALSE))</f>
        <v>Large Bus</v>
      </c>
      <c r="E1031" s="29" t="s">
        <v>224</v>
      </c>
      <c r="F1031" s="29" t="s">
        <v>66</v>
      </c>
      <c r="G1031" s="29" t="s">
        <v>73</v>
      </c>
      <c r="H1031" s="30" t="s">
        <v>73</v>
      </c>
      <c r="I1031" s="29" t="s">
        <v>257</v>
      </c>
      <c r="J1031" s="29" t="s">
        <v>70</v>
      </c>
      <c r="K1031" s="30" t="s">
        <v>70</v>
      </c>
      <c r="L1031" s="29" t="str">
        <f t="shared" si="15"/>
        <v>SOROTI-KAMPALA</v>
      </c>
      <c r="M1031" s="31">
        <v>65</v>
      </c>
      <c r="N1031" s="72">
        <v>25000</v>
      </c>
      <c r="O1031" s="34">
        <v>6</v>
      </c>
    </row>
    <row r="1032" spans="2:15" x14ac:dyDescent="0.2">
      <c r="B1032" s="27">
        <v>0.23541666666666669</v>
      </c>
      <c r="C1032" s="28">
        <v>6</v>
      </c>
      <c r="D1032" s="33" t="str">
        <f>IF(C1032="", "",VLOOKUP(C1032,Key!$A$5:$B$7,2,FALSE))</f>
        <v>Large Bus</v>
      </c>
      <c r="E1032" s="29" t="s">
        <v>224</v>
      </c>
      <c r="F1032" s="29" t="s">
        <v>66</v>
      </c>
      <c r="G1032" s="29" t="s">
        <v>73</v>
      </c>
      <c r="H1032" s="30" t="s">
        <v>73</v>
      </c>
      <c r="I1032" s="29" t="s">
        <v>257</v>
      </c>
      <c r="J1032" s="29" t="s">
        <v>70</v>
      </c>
      <c r="K1032" s="30" t="s">
        <v>70</v>
      </c>
      <c r="L1032" s="29" t="str">
        <f t="shared" si="15"/>
        <v>SOROTI-KAMPALA</v>
      </c>
      <c r="M1032" s="31">
        <v>65</v>
      </c>
      <c r="N1032" s="72">
        <v>25000</v>
      </c>
      <c r="O1032" s="34">
        <v>6</v>
      </c>
    </row>
    <row r="1033" spans="2:15" x14ac:dyDescent="0.2">
      <c r="B1033" s="27">
        <v>0.25972222222222224</v>
      </c>
      <c r="C1033" s="28">
        <v>6</v>
      </c>
      <c r="D1033" s="33" t="str">
        <f>IF(C1033="", "",VLOOKUP(C1033,Key!$A$5:$B$7,2,FALSE))</f>
        <v>Large Bus</v>
      </c>
      <c r="E1033" s="29" t="s">
        <v>224</v>
      </c>
      <c r="F1033" s="29" t="s">
        <v>66</v>
      </c>
      <c r="G1033" s="29" t="s">
        <v>73</v>
      </c>
      <c r="H1033" s="30" t="s">
        <v>73</v>
      </c>
      <c r="I1033" s="29" t="s">
        <v>257</v>
      </c>
      <c r="J1033" s="29" t="s">
        <v>70</v>
      </c>
      <c r="K1033" s="30" t="s">
        <v>70</v>
      </c>
      <c r="L1033" s="29" t="str">
        <f t="shared" si="15"/>
        <v>SOROTI-KAMPALA</v>
      </c>
      <c r="M1033" s="31">
        <v>65</v>
      </c>
      <c r="N1033" s="72">
        <v>25000</v>
      </c>
      <c r="O1033" s="34">
        <v>6</v>
      </c>
    </row>
    <row r="1034" spans="2:15" x14ac:dyDescent="0.2">
      <c r="B1034" s="45" t="s">
        <v>219</v>
      </c>
      <c r="C1034" s="47"/>
      <c r="D1034" s="33" t="str">
        <f>IF(C1034="", "",VLOOKUP(C1034,Key!$A$5:$B$7,2,FALSE))</f>
        <v/>
      </c>
      <c r="E1034" s="44" t="s">
        <v>226</v>
      </c>
      <c r="F1034" s="48"/>
      <c r="G1034" s="47"/>
      <c r="H1034" s="47"/>
      <c r="I1034" s="47"/>
      <c r="J1034" s="47"/>
      <c r="K1034" s="47"/>
      <c r="L1034" s="47" t="str">
        <f t="shared" ref="L1034:L1097" si="16">H1034&amp;"-"&amp;K1034</f>
        <v>-</v>
      </c>
      <c r="M1034" s="47"/>
      <c r="N1034" s="48"/>
      <c r="O1034" s="48"/>
    </row>
    <row r="1035" spans="2:15" x14ac:dyDescent="0.2">
      <c r="B1035" s="27">
        <v>0.90555555555555556</v>
      </c>
      <c r="C1035" s="28">
        <v>6</v>
      </c>
      <c r="D1035" s="33" t="str">
        <f>IF(C1035="", "",VLOOKUP(C1035,Key!$A$5:$B$7,2,FALSE))</f>
        <v>Large Bus</v>
      </c>
      <c r="E1035" s="29" t="s">
        <v>226</v>
      </c>
      <c r="F1035" s="29" t="s">
        <v>67</v>
      </c>
      <c r="G1035" s="29" t="s">
        <v>70</v>
      </c>
      <c r="H1035" s="30" t="s">
        <v>70</v>
      </c>
      <c r="I1035" s="29" t="s">
        <v>257</v>
      </c>
      <c r="J1035" s="29" t="s">
        <v>133</v>
      </c>
      <c r="K1035" s="30" t="s">
        <v>133</v>
      </c>
      <c r="L1035" s="29" t="str">
        <f t="shared" si="16"/>
        <v>KAMPALA-JUBA</v>
      </c>
      <c r="M1035" s="31">
        <v>48</v>
      </c>
      <c r="N1035" s="72">
        <v>100000</v>
      </c>
      <c r="O1035" s="34">
        <v>10.25</v>
      </c>
    </row>
    <row r="1036" spans="2:15" x14ac:dyDescent="0.2">
      <c r="B1036" s="27">
        <v>0.94374999999999998</v>
      </c>
      <c r="C1036" s="28">
        <v>6</v>
      </c>
      <c r="D1036" s="33" t="str">
        <f>IF(C1036="", "",VLOOKUP(C1036,Key!$A$5:$B$7,2,FALSE))</f>
        <v>Large Bus</v>
      </c>
      <c r="E1036" s="29" t="s">
        <v>226</v>
      </c>
      <c r="F1036" s="29" t="s">
        <v>67</v>
      </c>
      <c r="G1036" s="29" t="s">
        <v>70</v>
      </c>
      <c r="H1036" s="30" t="s">
        <v>70</v>
      </c>
      <c r="I1036" s="29" t="s">
        <v>257</v>
      </c>
      <c r="J1036" s="29" t="s">
        <v>83</v>
      </c>
      <c r="K1036" s="30" t="s">
        <v>143</v>
      </c>
      <c r="L1036" s="29" t="str">
        <f t="shared" si="16"/>
        <v>KAMPALA-GISORO</v>
      </c>
      <c r="M1036" s="31">
        <v>49</v>
      </c>
      <c r="N1036" s="72">
        <v>40000</v>
      </c>
      <c r="O1036" s="34">
        <v>7</v>
      </c>
    </row>
    <row r="1037" spans="2:15" x14ac:dyDescent="0.2">
      <c r="B1037" s="27">
        <v>0.8833333333333333</v>
      </c>
      <c r="C1037" s="28">
        <v>6</v>
      </c>
      <c r="D1037" s="33" t="str">
        <f>IF(C1037="", "",VLOOKUP(C1037,Key!$A$5:$B$7,2,FALSE))</f>
        <v>Large Bus</v>
      </c>
      <c r="E1037" s="29" t="s">
        <v>226</v>
      </c>
      <c r="F1037" s="29" t="s">
        <v>67</v>
      </c>
      <c r="G1037" s="29" t="s">
        <v>70</v>
      </c>
      <c r="H1037" s="30" t="s">
        <v>70</v>
      </c>
      <c r="I1037" s="29" t="s">
        <v>257</v>
      </c>
      <c r="J1037" s="29" t="s">
        <v>134</v>
      </c>
      <c r="K1037" s="30" t="s">
        <v>262</v>
      </c>
      <c r="L1037" s="29" t="str">
        <f t="shared" si="16"/>
        <v>KAMPALA-BUKAVU-CONGO</v>
      </c>
      <c r="M1037" s="31">
        <v>48</v>
      </c>
      <c r="N1037" s="72">
        <v>58000</v>
      </c>
      <c r="O1037" s="34">
        <v>9.6999999999999993</v>
      </c>
    </row>
    <row r="1038" spans="2:15" x14ac:dyDescent="0.2">
      <c r="B1038" s="27">
        <v>0.88888888888888884</v>
      </c>
      <c r="C1038" s="28">
        <v>6</v>
      </c>
      <c r="D1038" s="33" t="str">
        <f>IF(C1038="", "",VLOOKUP(C1038,Key!$A$5:$B$7,2,FALSE))</f>
        <v>Large Bus</v>
      </c>
      <c r="E1038" s="29" t="s">
        <v>226</v>
      </c>
      <c r="F1038" s="29" t="s">
        <v>67</v>
      </c>
      <c r="G1038" s="29" t="s">
        <v>70</v>
      </c>
      <c r="H1038" s="30" t="s">
        <v>70</v>
      </c>
      <c r="I1038" s="29" t="s">
        <v>257</v>
      </c>
      <c r="J1038" s="29" t="s">
        <v>98</v>
      </c>
      <c r="K1038" s="30" t="s">
        <v>98</v>
      </c>
      <c r="L1038" s="29" t="str">
        <f t="shared" si="16"/>
        <v>KAMPALA-GISENYI</v>
      </c>
      <c r="M1038" s="31">
        <v>45</v>
      </c>
      <c r="N1038" s="72">
        <v>40000</v>
      </c>
      <c r="O1038" s="34">
        <v>7</v>
      </c>
    </row>
    <row r="1039" spans="2:15" x14ac:dyDescent="0.2">
      <c r="B1039" s="27">
        <v>0.95138888888888884</v>
      </c>
      <c r="C1039" s="28">
        <v>6</v>
      </c>
      <c r="D1039" s="33" t="str">
        <f>IF(C1039="", "",VLOOKUP(C1039,Key!$A$5:$B$7,2,FALSE))</f>
        <v>Large Bus</v>
      </c>
      <c r="E1039" s="29" t="s">
        <v>226</v>
      </c>
      <c r="F1039" s="29" t="s">
        <v>67</v>
      </c>
      <c r="G1039" s="29" t="s">
        <v>70</v>
      </c>
      <c r="H1039" s="30" t="s">
        <v>70</v>
      </c>
      <c r="I1039" s="29" t="s">
        <v>257</v>
      </c>
      <c r="J1039" s="29" t="s">
        <v>83</v>
      </c>
      <c r="K1039" s="30" t="s">
        <v>83</v>
      </c>
      <c r="L1039" s="29" t="str">
        <f t="shared" si="16"/>
        <v>KAMPALA-KISORO</v>
      </c>
      <c r="M1039" s="31">
        <v>60</v>
      </c>
      <c r="N1039" s="72">
        <v>50000</v>
      </c>
      <c r="O1039" s="34">
        <v>8.6</v>
      </c>
    </row>
    <row r="1040" spans="2:15" x14ac:dyDescent="0.2">
      <c r="B1040" s="27" t="s">
        <v>135</v>
      </c>
      <c r="C1040" s="28">
        <v>6</v>
      </c>
      <c r="D1040" s="33" t="str">
        <f>IF(C1040="", "",VLOOKUP(C1040,Key!$A$5:$B$7,2,FALSE))</f>
        <v>Large Bus</v>
      </c>
      <c r="E1040" s="29" t="s">
        <v>226</v>
      </c>
      <c r="F1040" s="29" t="s">
        <v>66</v>
      </c>
      <c r="G1040" s="29" t="s">
        <v>98</v>
      </c>
      <c r="H1040" s="30" t="s">
        <v>98</v>
      </c>
      <c r="I1040" s="29" t="s">
        <v>257</v>
      </c>
      <c r="J1040" s="29" t="s">
        <v>70</v>
      </c>
      <c r="K1040" s="30" t="s">
        <v>70</v>
      </c>
      <c r="L1040" s="29" t="str">
        <f t="shared" si="16"/>
        <v>GISENYI-KAMPALA</v>
      </c>
      <c r="M1040" s="31">
        <v>48</v>
      </c>
      <c r="N1040" s="72">
        <v>45000</v>
      </c>
      <c r="O1040" s="34">
        <v>12.3</v>
      </c>
    </row>
    <row r="1041" spans="2:15" x14ac:dyDescent="0.2">
      <c r="B1041" s="27" t="s">
        <v>136</v>
      </c>
      <c r="C1041" s="28">
        <v>6</v>
      </c>
      <c r="D1041" s="33" t="str">
        <f>IF(C1041="", "",VLOOKUP(C1041,Key!$A$5:$B$7,2,FALSE))</f>
        <v>Large Bus</v>
      </c>
      <c r="E1041" s="29" t="s">
        <v>226</v>
      </c>
      <c r="F1041" s="29" t="s">
        <v>66</v>
      </c>
      <c r="G1041" s="29" t="s">
        <v>137</v>
      </c>
      <c r="H1041" s="30" t="s">
        <v>137</v>
      </c>
      <c r="I1041" s="29" t="s">
        <v>257</v>
      </c>
      <c r="J1041" s="29" t="s">
        <v>70</v>
      </c>
      <c r="K1041" s="30" t="s">
        <v>70</v>
      </c>
      <c r="L1041" s="29" t="str">
        <f t="shared" si="16"/>
        <v>LUKAYA-KAMPALA</v>
      </c>
      <c r="M1041" s="31">
        <v>67</v>
      </c>
      <c r="N1041" s="72">
        <v>10000</v>
      </c>
      <c r="O1041" s="34">
        <v>2.25</v>
      </c>
    </row>
    <row r="1042" spans="2:15" x14ac:dyDescent="0.2">
      <c r="B1042" s="27" t="s">
        <v>138</v>
      </c>
      <c r="C1042" s="28">
        <v>6</v>
      </c>
      <c r="D1042" s="33" t="str">
        <f>IF(C1042="", "",VLOOKUP(C1042,Key!$A$5:$B$7,2,FALSE))</f>
        <v>Large Bus</v>
      </c>
      <c r="E1042" s="29" t="s">
        <v>226</v>
      </c>
      <c r="F1042" s="29" t="s">
        <v>66</v>
      </c>
      <c r="G1042" s="29" t="s">
        <v>70</v>
      </c>
      <c r="H1042" s="30" t="s">
        <v>70</v>
      </c>
      <c r="I1042" s="29" t="s">
        <v>257</v>
      </c>
      <c r="J1042" s="29" t="s">
        <v>94</v>
      </c>
      <c r="K1042" s="30" t="s">
        <v>94</v>
      </c>
      <c r="L1042" s="29" t="str">
        <f t="shared" si="16"/>
        <v>KAMPALA-KIGALI</v>
      </c>
      <c r="M1042" s="31">
        <v>43</v>
      </c>
      <c r="N1042" s="72">
        <v>50000</v>
      </c>
      <c r="O1042" s="34">
        <v>8.6</v>
      </c>
    </row>
    <row r="1043" spans="2:15" x14ac:dyDescent="0.2">
      <c r="B1043" s="27" t="s">
        <v>139</v>
      </c>
      <c r="C1043" s="28">
        <v>6</v>
      </c>
      <c r="D1043" s="33" t="str">
        <f>IF(C1043="", "",VLOOKUP(C1043,Key!$A$5:$B$7,2,FALSE))</f>
        <v>Large Bus</v>
      </c>
      <c r="E1043" s="29" t="s">
        <v>226</v>
      </c>
      <c r="F1043" s="29" t="s">
        <v>66</v>
      </c>
      <c r="G1043" s="29" t="s">
        <v>70</v>
      </c>
      <c r="H1043" s="30" t="s">
        <v>70</v>
      </c>
      <c r="I1043" s="29" t="s">
        <v>257</v>
      </c>
      <c r="J1043" s="29" t="s">
        <v>94</v>
      </c>
      <c r="K1043" s="30" t="s">
        <v>94</v>
      </c>
      <c r="L1043" s="29" t="str">
        <f t="shared" si="16"/>
        <v>KAMPALA-KIGALI</v>
      </c>
      <c r="M1043" s="31">
        <v>43</v>
      </c>
      <c r="N1043" s="72">
        <v>50000</v>
      </c>
      <c r="O1043" s="34">
        <v>8.6</v>
      </c>
    </row>
    <row r="1044" spans="2:15" x14ac:dyDescent="0.2">
      <c r="B1044" s="27" t="s">
        <v>140</v>
      </c>
      <c r="C1044" s="28">
        <v>6</v>
      </c>
      <c r="D1044" s="33" t="str">
        <f>IF(C1044="", "",VLOOKUP(C1044,Key!$A$5:$B$7,2,FALSE))</f>
        <v>Large Bus</v>
      </c>
      <c r="E1044" s="29" t="s">
        <v>226</v>
      </c>
      <c r="F1044" s="29" t="s">
        <v>66</v>
      </c>
      <c r="G1044" s="29" t="s">
        <v>133</v>
      </c>
      <c r="H1044" s="30" t="s">
        <v>70</v>
      </c>
      <c r="I1044" s="29" t="s">
        <v>257</v>
      </c>
      <c r="J1044" s="29" t="s">
        <v>94</v>
      </c>
      <c r="K1044" s="30" t="s">
        <v>94</v>
      </c>
      <c r="L1044" s="29" t="str">
        <f t="shared" si="16"/>
        <v>KAMPALA-KIGALI</v>
      </c>
      <c r="M1044" s="31">
        <v>48</v>
      </c>
      <c r="N1044" s="72">
        <v>50000</v>
      </c>
      <c r="O1044" s="34">
        <v>8.6</v>
      </c>
    </row>
    <row r="1045" spans="2:15" x14ac:dyDescent="0.2">
      <c r="B1045" s="27" t="s">
        <v>141</v>
      </c>
      <c r="C1045" s="28">
        <v>6</v>
      </c>
      <c r="D1045" s="33" t="str">
        <f>IF(C1045="", "",VLOOKUP(C1045,Key!$A$5:$B$7,2,FALSE))</f>
        <v>Large Bus</v>
      </c>
      <c r="E1045" s="29" t="s">
        <v>226</v>
      </c>
      <c r="F1045" s="29" t="s">
        <v>66</v>
      </c>
      <c r="G1045" s="29" t="s">
        <v>99</v>
      </c>
      <c r="H1045" s="30" t="s">
        <v>70</v>
      </c>
      <c r="I1045" s="29" t="s">
        <v>257</v>
      </c>
      <c r="J1045" s="29" t="s">
        <v>94</v>
      </c>
      <c r="K1045" s="30" t="s">
        <v>94</v>
      </c>
      <c r="L1045" s="29" t="str">
        <f t="shared" si="16"/>
        <v>KAMPALA-KIGALI</v>
      </c>
      <c r="M1045" s="31">
        <v>41</v>
      </c>
      <c r="N1045" s="72">
        <v>50000</v>
      </c>
      <c r="O1045" s="34">
        <v>8.6</v>
      </c>
    </row>
    <row r="1046" spans="2:15" x14ac:dyDescent="0.2">
      <c r="B1046" s="45" t="s">
        <v>218</v>
      </c>
      <c r="C1046" s="47"/>
      <c r="D1046" s="33" t="str">
        <f>IF(C1046="", "",VLOOKUP(C1046,Key!$A$5:$B$7,2,FALSE))</f>
        <v/>
      </c>
      <c r="E1046" s="44" t="s">
        <v>226</v>
      </c>
      <c r="F1046" s="48"/>
      <c r="G1046" s="47"/>
      <c r="H1046" s="47"/>
      <c r="I1046" s="47" t="s">
        <v>257</v>
      </c>
      <c r="J1046" s="47"/>
      <c r="K1046" s="47"/>
      <c r="L1046" s="47" t="str">
        <f t="shared" si="16"/>
        <v>-</v>
      </c>
      <c r="M1046" s="47"/>
      <c r="N1046" s="48"/>
      <c r="O1046" s="48"/>
    </row>
    <row r="1047" spans="2:15" x14ac:dyDescent="0.2">
      <c r="B1047" s="27" t="s">
        <v>142</v>
      </c>
      <c r="C1047" s="28">
        <v>6</v>
      </c>
      <c r="D1047" s="33" t="str">
        <f>IF(C1047="", "",VLOOKUP(C1047,Key!$A$5:$B$7,2,FALSE))</f>
        <v>Large Bus</v>
      </c>
      <c r="E1047" s="29" t="s">
        <v>226</v>
      </c>
      <c r="F1047" s="29" t="s">
        <v>66</v>
      </c>
      <c r="G1047" s="29" t="s">
        <v>94</v>
      </c>
      <c r="H1047" s="30" t="s">
        <v>94</v>
      </c>
      <c r="I1047" s="29" t="s">
        <v>257</v>
      </c>
      <c r="J1047" s="29" t="s">
        <v>70</v>
      </c>
      <c r="K1047" s="30" t="s">
        <v>70</v>
      </c>
      <c r="L1047" s="29" t="str">
        <f t="shared" si="16"/>
        <v>KIGALI-KAMPALA</v>
      </c>
      <c r="M1047" s="31">
        <v>50</v>
      </c>
      <c r="N1047" s="72">
        <v>50000</v>
      </c>
      <c r="O1047" s="34">
        <v>8.6</v>
      </c>
    </row>
    <row r="1048" spans="2:15" x14ac:dyDescent="0.2">
      <c r="B1048" s="27">
        <v>0.90277777777777779</v>
      </c>
      <c r="C1048" s="28">
        <v>6</v>
      </c>
      <c r="D1048" s="33" t="str">
        <f>IF(C1048="", "",VLOOKUP(C1048,Key!$A$5:$B$7,2,FALSE))</f>
        <v>Large Bus</v>
      </c>
      <c r="E1048" s="29" t="s">
        <v>226</v>
      </c>
      <c r="F1048" s="29" t="s">
        <v>66</v>
      </c>
      <c r="G1048" s="29" t="s">
        <v>133</v>
      </c>
      <c r="H1048" s="30" t="s">
        <v>133</v>
      </c>
      <c r="I1048" s="29" t="s">
        <v>257</v>
      </c>
      <c r="J1048" s="29" t="s">
        <v>70</v>
      </c>
      <c r="K1048" s="30" t="s">
        <v>70</v>
      </c>
      <c r="L1048" s="29" t="str">
        <f t="shared" si="16"/>
        <v>JUBA-KAMPALA</v>
      </c>
      <c r="M1048" s="31">
        <v>49</v>
      </c>
      <c r="N1048" s="72">
        <v>90000</v>
      </c>
      <c r="O1048" s="34">
        <v>10.25</v>
      </c>
    </row>
    <row r="1049" spans="2:15" x14ac:dyDescent="0.2">
      <c r="B1049" s="27">
        <v>0.23611111111111113</v>
      </c>
      <c r="C1049" s="28">
        <v>6</v>
      </c>
      <c r="D1049" s="33" t="str">
        <f>IF(C1049="", "",VLOOKUP(C1049,Key!$A$5:$B$7,2,FALSE))</f>
        <v>Large Bus</v>
      </c>
      <c r="E1049" s="29" t="s">
        <v>226</v>
      </c>
      <c r="F1049" s="29" t="s">
        <v>66</v>
      </c>
      <c r="G1049" s="29" t="s">
        <v>113</v>
      </c>
      <c r="H1049" s="30" t="s">
        <v>113</v>
      </c>
      <c r="I1049" s="29" t="s">
        <v>257</v>
      </c>
      <c r="J1049" s="29" t="s">
        <v>70</v>
      </c>
      <c r="K1049" s="30" t="s">
        <v>70</v>
      </c>
      <c r="L1049" s="29" t="str">
        <f t="shared" si="16"/>
        <v>NAIROBI-KAMPALA</v>
      </c>
      <c r="M1049" s="31">
        <v>35</v>
      </c>
      <c r="N1049" s="72">
        <v>70000</v>
      </c>
      <c r="O1049" s="34">
        <v>12.8</v>
      </c>
    </row>
    <row r="1050" spans="2:15" x14ac:dyDescent="0.2">
      <c r="B1050" s="27">
        <v>0.25</v>
      </c>
      <c r="C1050" s="28">
        <v>6</v>
      </c>
      <c r="D1050" s="33" t="str">
        <f>IF(C1050="", "",VLOOKUP(C1050,Key!$A$5:$B$7,2,FALSE))</f>
        <v>Large Bus</v>
      </c>
      <c r="E1050" s="29" t="s">
        <v>226</v>
      </c>
      <c r="F1050" s="29" t="s">
        <v>66</v>
      </c>
      <c r="G1050" s="29" t="s">
        <v>143</v>
      </c>
      <c r="H1050" s="30" t="s">
        <v>143</v>
      </c>
      <c r="I1050" s="29" t="s">
        <v>257</v>
      </c>
      <c r="J1050" s="29" t="s">
        <v>70</v>
      </c>
      <c r="K1050" s="30" t="s">
        <v>70</v>
      </c>
      <c r="L1050" s="29" t="str">
        <f t="shared" si="16"/>
        <v>GISORO-KAMPALA</v>
      </c>
      <c r="M1050" s="31">
        <v>67</v>
      </c>
      <c r="N1050" s="72">
        <v>40000</v>
      </c>
      <c r="O1050" s="34">
        <v>8.5</v>
      </c>
    </row>
    <row r="1051" spans="2:15" x14ac:dyDescent="0.2">
      <c r="B1051" s="27">
        <v>0.89583333333333337</v>
      </c>
      <c r="C1051" s="28">
        <v>6</v>
      </c>
      <c r="D1051" s="33" t="str">
        <f>IF(C1051="", "",VLOOKUP(C1051,Key!$A$5:$B$7,2,FALSE))</f>
        <v>Large Bus</v>
      </c>
      <c r="E1051" s="29" t="s">
        <v>226</v>
      </c>
      <c r="F1051" s="29" t="s">
        <v>67</v>
      </c>
      <c r="G1051" s="29" t="s">
        <v>70</v>
      </c>
      <c r="H1051" s="30" t="s">
        <v>70</v>
      </c>
      <c r="I1051" s="29" t="s">
        <v>257</v>
      </c>
      <c r="J1051" s="29" t="s">
        <v>133</v>
      </c>
      <c r="K1051" s="30" t="s">
        <v>133</v>
      </c>
      <c r="L1051" s="29" t="str">
        <f t="shared" si="16"/>
        <v>KAMPALA-JUBA</v>
      </c>
      <c r="M1051" s="31">
        <v>52</v>
      </c>
      <c r="N1051" s="72">
        <v>100000</v>
      </c>
      <c r="O1051" s="34">
        <v>10.25</v>
      </c>
    </row>
    <row r="1052" spans="2:15" x14ac:dyDescent="0.2">
      <c r="B1052" s="27">
        <v>0.89583333333333337</v>
      </c>
      <c r="C1052" s="28">
        <v>6</v>
      </c>
      <c r="D1052" s="33" t="str">
        <f>IF(C1052="", "",VLOOKUP(C1052,Key!$A$5:$B$7,2,FALSE))</f>
        <v>Large Bus</v>
      </c>
      <c r="E1052" s="29" t="s">
        <v>226</v>
      </c>
      <c r="F1052" s="29" t="s">
        <v>67</v>
      </c>
      <c r="G1052" s="29" t="s">
        <v>70</v>
      </c>
      <c r="H1052" s="30" t="s">
        <v>70</v>
      </c>
      <c r="I1052" s="29" t="s">
        <v>257</v>
      </c>
      <c r="J1052" s="29" t="s">
        <v>134</v>
      </c>
      <c r="K1052" s="30" t="s">
        <v>262</v>
      </c>
      <c r="L1052" s="29" t="str">
        <f t="shared" si="16"/>
        <v>KAMPALA-BUKAVU-CONGO</v>
      </c>
      <c r="M1052" s="31">
        <v>57</v>
      </c>
      <c r="N1052" s="72">
        <v>60000</v>
      </c>
      <c r="O1052" s="34">
        <v>9.6999999999999993</v>
      </c>
    </row>
    <row r="1053" spans="2:15" x14ac:dyDescent="0.2">
      <c r="B1053" s="27">
        <v>0.875</v>
      </c>
      <c r="C1053" s="28">
        <v>6</v>
      </c>
      <c r="D1053" s="33" t="str">
        <f>IF(C1053="", "",VLOOKUP(C1053,Key!$A$5:$B$7,2,FALSE))</f>
        <v>Large Bus</v>
      </c>
      <c r="E1053" s="29" t="s">
        <v>226</v>
      </c>
      <c r="F1053" s="29" t="s">
        <v>67</v>
      </c>
      <c r="G1053" s="29" t="s">
        <v>70</v>
      </c>
      <c r="H1053" s="30" t="s">
        <v>70</v>
      </c>
      <c r="I1053" s="29" t="s">
        <v>257</v>
      </c>
      <c r="J1053" s="29" t="s">
        <v>98</v>
      </c>
      <c r="K1053" s="30" t="s">
        <v>98</v>
      </c>
      <c r="L1053" s="29" t="str">
        <f t="shared" si="16"/>
        <v>KAMPALA-GISENYI</v>
      </c>
      <c r="M1053" s="31">
        <v>48</v>
      </c>
      <c r="N1053" s="72">
        <v>40000</v>
      </c>
      <c r="O1053" s="34">
        <v>7</v>
      </c>
    </row>
    <row r="1054" spans="2:15" x14ac:dyDescent="0.2">
      <c r="B1054" s="27">
        <v>0.91666666666666663</v>
      </c>
      <c r="C1054" s="28">
        <v>6</v>
      </c>
      <c r="D1054" s="33" t="str">
        <f>IF(C1054="", "",VLOOKUP(C1054,Key!$A$5:$B$7,2,FALSE))</f>
        <v>Large Bus</v>
      </c>
      <c r="E1054" s="29" t="s">
        <v>226</v>
      </c>
      <c r="F1054" s="29" t="s">
        <v>67</v>
      </c>
      <c r="G1054" s="29" t="s">
        <v>70</v>
      </c>
      <c r="H1054" s="30" t="s">
        <v>70</v>
      </c>
      <c r="I1054" s="29" t="s">
        <v>257</v>
      </c>
      <c r="J1054" s="29" t="s">
        <v>133</v>
      </c>
      <c r="K1054" s="30" t="s">
        <v>133</v>
      </c>
      <c r="L1054" s="29" t="str">
        <f t="shared" si="16"/>
        <v>KAMPALA-JUBA</v>
      </c>
      <c r="M1054" s="31">
        <v>52</v>
      </c>
      <c r="N1054" s="72">
        <v>100000</v>
      </c>
      <c r="O1054" s="34">
        <v>10.25</v>
      </c>
    </row>
    <row r="1055" spans="2:15" x14ac:dyDescent="0.2">
      <c r="B1055" s="27">
        <v>0.74652777777777779</v>
      </c>
      <c r="C1055" s="28">
        <v>6</v>
      </c>
      <c r="D1055" s="33" t="str">
        <f>IF(C1055="", "",VLOOKUP(C1055,Key!$A$5:$B$7,2,FALSE))</f>
        <v>Large Bus</v>
      </c>
      <c r="E1055" s="29" t="s">
        <v>226</v>
      </c>
      <c r="F1055" s="29" t="s">
        <v>67</v>
      </c>
      <c r="G1055" s="29" t="s">
        <v>70</v>
      </c>
      <c r="H1055" s="30" t="s">
        <v>70</v>
      </c>
      <c r="I1055" s="29" t="s">
        <v>257</v>
      </c>
      <c r="J1055" s="29" t="s">
        <v>94</v>
      </c>
      <c r="K1055" s="30" t="s">
        <v>94</v>
      </c>
      <c r="L1055" s="29" t="str">
        <f t="shared" si="16"/>
        <v>KAMPALA-KIGALI</v>
      </c>
      <c r="M1055" s="31">
        <v>49</v>
      </c>
      <c r="N1055" s="72">
        <v>50000</v>
      </c>
      <c r="O1055" s="34">
        <v>8.6</v>
      </c>
    </row>
    <row r="1056" spans="2:15" x14ac:dyDescent="0.2">
      <c r="B1056" s="45" t="s">
        <v>220</v>
      </c>
      <c r="C1056" s="47"/>
      <c r="D1056" s="33" t="str">
        <f>IF(C1056="", "",VLOOKUP(C1056,Key!$A$5:$B$7,2,FALSE))</f>
        <v/>
      </c>
      <c r="E1056" s="44" t="s">
        <v>226</v>
      </c>
      <c r="F1056" s="48"/>
      <c r="G1056" s="47"/>
      <c r="H1056" s="47"/>
      <c r="I1056" s="47" t="s">
        <v>257</v>
      </c>
      <c r="J1056" s="47"/>
      <c r="K1056" s="47"/>
      <c r="L1056" s="47" t="str">
        <f t="shared" si="16"/>
        <v>-</v>
      </c>
      <c r="M1056" s="47"/>
      <c r="N1056" s="48"/>
      <c r="O1056" s="48"/>
    </row>
    <row r="1057" spans="2:15" x14ac:dyDescent="0.2">
      <c r="B1057" s="27">
        <v>0.875</v>
      </c>
      <c r="C1057" s="28">
        <v>6</v>
      </c>
      <c r="D1057" s="33" t="str">
        <f>IF(C1057="", "",VLOOKUP(C1057,Key!$A$5:$B$7,2,FALSE))</f>
        <v>Large Bus</v>
      </c>
      <c r="E1057" s="29" t="s">
        <v>226</v>
      </c>
      <c r="F1057" s="29" t="s">
        <v>67</v>
      </c>
      <c r="G1057" s="29" t="s">
        <v>70</v>
      </c>
      <c r="H1057" s="30" t="s">
        <v>70</v>
      </c>
      <c r="I1057" s="29" t="s">
        <v>257</v>
      </c>
      <c r="J1057" s="29" t="s">
        <v>133</v>
      </c>
      <c r="K1057" s="30" t="s">
        <v>133</v>
      </c>
      <c r="L1057" s="29" t="str">
        <f t="shared" si="16"/>
        <v>KAMPALA-JUBA</v>
      </c>
      <c r="M1057" s="31">
        <v>60</v>
      </c>
      <c r="N1057" s="72">
        <v>100000</v>
      </c>
      <c r="O1057" s="34">
        <v>10.25</v>
      </c>
    </row>
    <row r="1058" spans="2:15" x14ac:dyDescent="0.2">
      <c r="B1058" s="27">
        <v>0.88124999999999998</v>
      </c>
      <c r="C1058" s="28">
        <v>6</v>
      </c>
      <c r="D1058" s="33" t="str">
        <f>IF(C1058="", "",VLOOKUP(C1058,Key!$A$5:$B$7,2,FALSE))</f>
        <v>Large Bus</v>
      </c>
      <c r="E1058" s="29" t="s">
        <v>226</v>
      </c>
      <c r="F1058" s="29" t="s">
        <v>67</v>
      </c>
      <c r="G1058" s="29" t="s">
        <v>70</v>
      </c>
      <c r="H1058" s="30" t="s">
        <v>70</v>
      </c>
      <c r="I1058" s="29" t="s">
        <v>257</v>
      </c>
      <c r="J1058" s="29" t="s">
        <v>98</v>
      </c>
      <c r="K1058" s="30" t="s">
        <v>98</v>
      </c>
      <c r="L1058" s="29" t="str">
        <f t="shared" si="16"/>
        <v>KAMPALA-GISENYI</v>
      </c>
      <c r="M1058" s="31">
        <v>57</v>
      </c>
      <c r="N1058" s="72">
        <v>40000</v>
      </c>
      <c r="O1058" s="34">
        <v>7</v>
      </c>
    </row>
    <row r="1059" spans="2:15" x14ac:dyDescent="0.2">
      <c r="B1059" s="27">
        <v>0.88194444444444453</v>
      </c>
      <c r="C1059" s="28">
        <v>6</v>
      </c>
      <c r="D1059" s="33" t="str">
        <f>IF(C1059="", "",VLOOKUP(C1059,Key!$A$5:$B$7,2,FALSE))</f>
        <v>Large Bus</v>
      </c>
      <c r="E1059" s="29" t="s">
        <v>226</v>
      </c>
      <c r="F1059" s="29" t="s">
        <v>67</v>
      </c>
      <c r="G1059" s="29" t="s">
        <v>70</v>
      </c>
      <c r="H1059" s="30" t="s">
        <v>70</v>
      </c>
      <c r="I1059" s="29" t="s">
        <v>257</v>
      </c>
      <c r="J1059" s="29" t="s">
        <v>96</v>
      </c>
      <c r="K1059" s="30" t="s">
        <v>96</v>
      </c>
      <c r="L1059" s="29" t="str">
        <f t="shared" si="16"/>
        <v>KAMPALA-GOMA</v>
      </c>
      <c r="M1059" s="31">
        <v>61</v>
      </c>
      <c r="N1059" s="72">
        <v>50000</v>
      </c>
      <c r="O1059" s="34">
        <v>12.3</v>
      </c>
    </row>
    <row r="1060" spans="2:15" x14ac:dyDescent="0.2">
      <c r="B1060" s="27">
        <v>0.92222222222222217</v>
      </c>
      <c r="C1060" s="28">
        <v>6</v>
      </c>
      <c r="D1060" s="33" t="str">
        <f>IF(C1060="", "",VLOOKUP(C1060,Key!$A$5:$B$7,2,FALSE))</f>
        <v>Large Bus</v>
      </c>
      <c r="E1060" s="29" t="s">
        <v>226</v>
      </c>
      <c r="F1060" s="29" t="s">
        <v>67</v>
      </c>
      <c r="G1060" s="29" t="s">
        <v>70</v>
      </c>
      <c r="H1060" s="30" t="s">
        <v>70</v>
      </c>
      <c r="I1060" s="29" t="s">
        <v>257</v>
      </c>
      <c r="J1060" s="29" t="s">
        <v>83</v>
      </c>
      <c r="K1060" s="30" t="s">
        <v>83</v>
      </c>
      <c r="L1060" s="29" t="str">
        <f t="shared" si="16"/>
        <v>KAMPALA-KISORO</v>
      </c>
      <c r="M1060" s="31">
        <v>49</v>
      </c>
      <c r="N1060" s="72">
        <v>50000</v>
      </c>
      <c r="O1060" s="34">
        <v>8.6</v>
      </c>
    </row>
    <row r="1061" spans="2:15" x14ac:dyDescent="0.2">
      <c r="B1061" s="45" t="s">
        <v>221</v>
      </c>
      <c r="C1061" s="47"/>
      <c r="D1061" s="33" t="str">
        <f>IF(C1061="", "",VLOOKUP(C1061,Key!$A$5:$B$7,2,FALSE))</f>
        <v/>
      </c>
      <c r="E1061" s="44" t="s">
        <v>226</v>
      </c>
      <c r="F1061" s="48"/>
      <c r="G1061" s="47"/>
      <c r="H1061" s="47"/>
      <c r="I1061" s="47" t="s">
        <v>257</v>
      </c>
      <c r="J1061" s="47"/>
      <c r="K1061" s="47"/>
      <c r="L1061" s="47" t="str">
        <f t="shared" si="16"/>
        <v>-</v>
      </c>
      <c r="M1061" s="47"/>
      <c r="N1061" s="48"/>
      <c r="O1061" s="48"/>
    </row>
    <row r="1062" spans="2:15" x14ac:dyDescent="0.2">
      <c r="B1062" s="27">
        <v>0.2951388888888889</v>
      </c>
      <c r="C1062" s="28">
        <v>6</v>
      </c>
      <c r="D1062" s="33" t="str">
        <f>IF(C1062="", "",VLOOKUP(C1062,Key!$A$5:$B$7,2,FALSE))</f>
        <v>Large Bus</v>
      </c>
      <c r="E1062" s="29" t="s">
        <v>226</v>
      </c>
      <c r="F1062" s="29" t="s">
        <v>66</v>
      </c>
      <c r="G1062" s="29" t="s">
        <v>94</v>
      </c>
      <c r="H1062" s="30" t="s">
        <v>94</v>
      </c>
      <c r="I1062" s="29" t="s">
        <v>257</v>
      </c>
      <c r="J1062" s="29" t="s">
        <v>70</v>
      </c>
      <c r="K1062" s="30" t="s">
        <v>70</v>
      </c>
      <c r="L1062" s="29" t="str">
        <f t="shared" si="16"/>
        <v>KIGALI-KAMPALA</v>
      </c>
      <c r="M1062" s="31">
        <v>54</v>
      </c>
      <c r="N1062" s="72">
        <v>50000</v>
      </c>
      <c r="O1062" s="34">
        <v>8.6</v>
      </c>
    </row>
    <row r="1063" spans="2:15" x14ac:dyDescent="0.2">
      <c r="B1063" s="27">
        <v>0.79861111111111116</v>
      </c>
      <c r="C1063" s="28">
        <v>6</v>
      </c>
      <c r="D1063" s="33" t="str">
        <f>IF(C1063="", "",VLOOKUP(C1063,Key!$A$5:$B$7,2,FALSE))</f>
        <v>Large Bus</v>
      </c>
      <c r="E1063" s="29" t="s">
        <v>226</v>
      </c>
      <c r="F1063" s="29" t="s">
        <v>66</v>
      </c>
      <c r="G1063" s="29" t="s">
        <v>98</v>
      </c>
      <c r="H1063" s="30" t="s">
        <v>98</v>
      </c>
      <c r="I1063" s="29" t="s">
        <v>257</v>
      </c>
      <c r="J1063" s="29" t="s">
        <v>70</v>
      </c>
      <c r="K1063" s="30" t="s">
        <v>70</v>
      </c>
      <c r="L1063" s="29" t="str">
        <f t="shared" si="16"/>
        <v>GISENYI-KAMPALA</v>
      </c>
      <c r="M1063" s="31">
        <v>48</v>
      </c>
      <c r="N1063" s="72">
        <v>45000</v>
      </c>
      <c r="O1063" s="34">
        <v>12.3</v>
      </c>
    </row>
    <row r="1064" spans="2:15" x14ac:dyDescent="0.2">
      <c r="B1064" s="27">
        <v>0.80902777777777779</v>
      </c>
      <c r="C1064" s="28">
        <v>6</v>
      </c>
      <c r="D1064" s="33" t="str">
        <f>IF(C1064="", "",VLOOKUP(C1064,Key!$A$5:$B$7,2,FALSE))</f>
        <v>Large Bus</v>
      </c>
      <c r="E1064" s="29" t="s">
        <v>226</v>
      </c>
      <c r="F1064" s="29" t="s">
        <v>66</v>
      </c>
      <c r="G1064" s="29" t="s">
        <v>98</v>
      </c>
      <c r="H1064" s="30" t="s">
        <v>98</v>
      </c>
      <c r="I1064" s="29" t="s">
        <v>257</v>
      </c>
      <c r="J1064" s="29" t="s">
        <v>70</v>
      </c>
      <c r="K1064" s="30" t="s">
        <v>70</v>
      </c>
      <c r="L1064" s="29" t="str">
        <f t="shared" si="16"/>
        <v>GISENYI-KAMPALA</v>
      </c>
      <c r="M1064" s="31">
        <v>48</v>
      </c>
      <c r="N1064" s="72">
        <v>45000</v>
      </c>
      <c r="O1064" s="34">
        <v>12.3</v>
      </c>
    </row>
    <row r="1065" spans="2:15" x14ac:dyDescent="0.2">
      <c r="B1065" s="27">
        <v>0.81805555555555554</v>
      </c>
      <c r="C1065" s="28">
        <v>6</v>
      </c>
      <c r="D1065" s="33" t="str">
        <f>IF(C1065="", "",VLOOKUP(C1065,Key!$A$5:$B$7,2,FALSE))</f>
        <v>Large Bus</v>
      </c>
      <c r="E1065" s="29" t="s">
        <v>226</v>
      </c>
      <c r="F1065" s="29" t="s">
        <v>66</v>
      </c>
      <c r="G1065" s="29" t="s">
        <v>98</v>
      </c>
      <c r="H1065" s="30" t="s">
        <v>98</v>
      </c>
      <c r="I1065" s="29" t="s">
        <v>257</v>
      </c>
      <c r="J1065" s="29" t="s">
        <v>70</v>
      </c>
      <c r="K1065" s="30" t="s">
        <v>70</v>
      </c>
      <c r="L1065" s="29" t="str">
        <f t="shared" si="16"/>
        <v>GISENYI-KAMPALA</v>
      </c>
      <c r="M1065" s="31">
        <v>48</v>
      </c>
      <c r="N1065" s="72">
        <v>45000</v>
      </c>
      <c r="O1065" s="34">
        <v>12.3</v>
      </c>
    </row>
    <row r="1066" spans="2:15" x14ac:dyDescent="0.2">
      <c r="B1066" s="27">
        <v>0.81597222222222221</v>
      </c>
      <c r="C1066" s="28">
        <v>6</v>
      </c>
      <c r="D1066" s="33" t="str">
        <f>IF(C1066="", "",VLOOKUP(C1066,Key!$A$5:$B$7,2,FALSE))</f>
        <v>Large Bus</v>
      </c>
      <c r="E1066" s="29" t="s">
        <v>226</v>
      </c>
      <c r="F1066" s="29" t="s">
        <v>66</v>
      </c>
      <c r="G1066" s="29" t="s">
        <v>133</v>
      </c>
      <c r="H1066" s="30" t="s">
        <v>133</v>
      </c>
      <c r="I1066" s="29" t="s">
        <v>257</v>
      </c>
      <c r="J1066" s="29" t="s">
        <v>70</v>
      </c>
      <c r="K1066" s="30" t="s">
        <v>70</v>
      </c>
      <c r="L1066" s="29" t="str">
        <f t="shared" si="16"/>
        <v>JUBA-KAMPALA</v>
      </c>
      <c r="M1066" s="31">
        <v>48</v>
      </c>
      <c r="N1066" s="72">
        <v>90000</v>
      </c>
      <c r="O1066" s="34">
        <v>10.25</v>
      </c>
    </row>
    <row r="1067" spans="2:15" x14ac:dyDescent="0.2">
      <c r="B1067" s="27"/>
      <c r="C1067" s="28">
        <v>6</v>
      </c>
      <c r="D1067" s="33" t="str">
        <f>IF(C1067="", "",VLOOKUP(C1067,Key!$A$5:$B$7,2,FALSE))</f>
        <v>Large Bus</v>
      </c>
      <c r="E1067" s="29" t="s">
        <v>226</v>
      </c>
      <c r="F1067" s="29" t="s">
        <v>66</v>
      </c>
      <c r="G1067" s="29" t="s">
        <v>96</v>
      </c>
      <c r="H1067" s="30" t="s">
        <v>96</v>
      </c>
      <c r="I1067" s="29" t="s">
        <v>257</v>
      </c>
      <c r="J1067" s="29" t="s">
        <v>70</v>
      </c>
      <c r="K1067" s="30" t="s">
        <v>70</v>
      </c>
      <c r="L1067" s="29" t="str">
        <f t="shared" si="16"/>
        <v>GOMA-KAMPALA</v>
      </c>
      <c r="M1067" s="31">
        <v>54</v>
      </c>
      <c r="N1067" s="72">
        <v>50000</v>
      </c>
      <c r="O1067" s="34">
        <v>12</v>
      </c>
    </row>
    <row r="1068" spans="2:15" x14ac:dyDescent="0.2">
      <c r="B1068" s="27">
        <v>0.31944444444444448</v>
      </c>
      <c r="C1068" s="28">
        <v>6</v>
      </c>
      <c r="D1068" s="33" t="str">
        <f>IF(C1068="", "",VLOOKUP(C1068,Key!$A$5:$B$7,2,FALSE))</f>
        <v>Large Bus</v>
      </c>
      <c r="E1068" s="29" t="s">
        <v>226</v>
      </c>
      <c r="F1068" s="29" t="s">
        <v>66</v>
      </c>
      <c r="G1068" s="29" t="s">
        <v>94</v>
      </c>
      <c r="H1068" s="30" t="s">
        <v>94</v>
      </c>
      <c r="I1068" s="29" t="s">
        <v>257</v>
      </c>
      <c r="J1068" s="29" t="s">
        <v>70</v>
      </c>
      <c r="K1068" s="30" t="s">
        <v>70</v>
      </c>
      <c r="L1068" s="29" t="str">
        <f t="shared" si="16"/>
        <v>KIGALI-KAMPALA</v>
      </c>
      <c r="M1068" s="31">
        <v>52</v>
      </c>
      <c r="N1068" s="72">
        <v>50000</v>
      </c>
      <c r="O1068" s="34">
        <v>8.6</v>
      </c>
    </row>
    <row r="1069" spans="2:15" x14ac:dyDescent="0.2">
      <c r="B1069" s="27">
        <v>0.80208333333333337</v>
      </c>
      <c r="C1069" s="28">
        <v>6</v>
      </c>
      <c r="D1069" s="33" t="str">
        <f>IF(C1069="", "",VLOOKUP(C1069,Key!$A$5:$B$7,2,FALSE))</f>
        <v>Large Bus</v>
      </c>
      <c r="E1069" s="29" t="s">
        <v>226</v>
      </c>
      <c r="F1069" s="29" t="s">
        <v>66</v>
      </c>
      <c r="G1069" s="29" t="s">
        <v>144</v>
      </c>
      <c r="H1069" s="30" t="s">
        <v>70</v>
      </c>
      <c r="I1069" s="29" t="s">
        <v>257</v>
      </c>
      <c r="J1069" s="29" t="s">
        <v>94</v>
      </c>
      <c r="K1069" s="30" t="s">
        <v>94</v>
      </c>
      <c r="L1069" s="29" t="str">
        <f t="shared" si="16"/>
        <v>KAMPALA-KIGALI</v>
      </c>
      <c r="M1069" s="31">
        <v>43</v>
      </c>
      <c r="N1069" s="72">
        <v>50000</v>
      </c>
      <c r="O1069" s="34">
        <v>8.6</v>
      </c>
    </row>
    <row r="1070" spans="2:15" x14ac:dyDescent="0.2">
      <c r="B1070" s="27">
        <v>0.8354166666666667</v>
      </c>
      <c r="C1070" s="28">
        <v>6</v>
      </c>
      <c r="D1070" s="33" t="str">
        <f>IF(C1070="", "",VLOOKUP(C1070,Key!$A$5:$B$7,2,FALSE))</f>
        <v>Large Bus</v>
      </c>
      <c r="E1070" s="29" t="s">
        <v>226</v>
      </c>
      <c r="F1070" s="29" t="s">
        <v>66</v>
      </c>
      <c r="G1070" s="29" t="s">
        <v>145</v>
      </c>
      <c r="H1070" s="30" t="s">
        <v>70</v>
      </c>
      <c r="I1070" s="29" t="s">
        <v>257</v>
      </c>
      <c r="J1070" s="29" t="s">
        <v>94</v>
      </c>
      <c r="K1070" s="30" t="s">
        <v>94</v>
      </c>
      <c r="L1070" s="29" t="str">
        <f t="shared" si="16"/>
        <v>KAMPALA-KIGALI</v>
      </c>
      <c r="M1070" s="31">
        <v>43</v>
      </c>
      <c r="N1070" s="72">
        <v>50000</v>
      </c>
      <c r="O1070" s="34">
        <v>8.6</v>
      </c>
    </row>
    <row r="1071" spans="2:15" x14ac:dyDescent="0.2">
      <c r="B1071" s="27">
        <v>0.84375</v>
      </c>
      <c r="C1071" s="28">
        <v>6</v>
      </c>
      <c r="D1071" s="33" t="str">
        <f>IF(C1071="", "",VLOOKUP(C1071,Key!$A$5:$B$7,2,FALSE))</f>
        <v>Large Bus</v>
      </c>
      <c r="E1071" s="29" t="s">
        <v>226</v>
      </c>
      <c r="F1071" s="29" t="s">
        <v>66</v>
      </c>
      <c r="G1071" s="29" t="s">
        <v>144</v>
      </c>
      <c r="H1071" s="30" t="s">
        <v>70</v>
      </c>
      <c r="I1071" s="29" t="s">
        <v>257</v>
      </c>
      <c r="J1071" s="29" t="s">
        <v>94</v>
      </c>
      <c r="K1071" s="30" t="s">
        <v>94</v>
      </c>
      <c r="L1071" s="29" t="str">
        <f t="shared" si="16"/>
        <v>KAMPALA-KIGALI</v>
      </c>
      <c r="M1071" s="31">
        <v>43</v>
      </c>
      <c r="N1071" s="72">
        <v>50000</v>
      </c>
      <c r="O1071" s="34">
        <v>8.6</v>
      </c>
    </row>
    <row r="1072" spans="2:15" x14ac:dyDescent="0.2">
      <c r="B1072" s="27">
        <v>0.85763888888888884</v>
      </c>
      <c r="C1072" s="28">
        <v>6</v>
      </c>
      <c r="D1072" s="33" t="str">
        <f>IF(C1072="", "",VLOOKUP(C1072,Key!$A$5:$B$7,2,FALSE))</f>
        <v>Large Bus</v>
      </c>
      <c r="E1072" s="29" t="s">
        <v>226</v>
      </c>
      <c r="F1072" s="29" t="s">
        <v>66</v>
      </c>
      <c r="G1072" s="29" t="s">
        <v>146</v>
      </c>
      <c r="H1072" s="30" t="s">
        <v>70</v>
      </c>
      <c r="I1072" s="29" t="s">
        <v>257</v>
      </c>
      <c r="J1072" s="29" t="s">
        <v>94</v>
      </c>
      <c r="K1072" s="30" t="s">
        <v>94</v>
      </c>
      <c r="L1072" s="29" t="str">
        <f t="shared" si="16"/>
        <v>KAMPALA-KIGALI</v>
      </c>
      <c r="M1072" s="31">
        <v>43</v>
      </c>
      <c r="N1072" s="72">
        <v>50000</v>
      </c>
      <c r="O1072" s="34">
        <v>8.6</v>
      </c>
    </row>
    <row r="1073" spans="2:15" x14ac:dyDescent="0.2">
      <c r="B1073" s="27">
        <v>0.97013888888888899</v>
      </c>
      <c r="C1073" s="28">
        <v>6</v>
      </c>
      <c r="D1073" s="33" t="str">
        <f>IF(C1073="", "",VLOOKUP(C1073,Key!$A$5:$B$7,2,FALSE))</f>
        <v>Large Bus</v>
      </c>
      <c r="E1073" s="29" t="s">
        <v>226</v>
      </c>
      <c r="F1073" s="29" t="s">
        <v>66</v>
      </c>
      <c r="G1073" s="29" t="s">
        <v>133</v>
      </c>
      <c r="H1073" s="30" t="s">
        <v>133</v>
      </c>
      <c r="I1073" s="29" t="s">
        <v>257</v>
      </c>
      <c r="J1073" s="29" t="s">
        <v>70</v>
      </c>
      <c r="K1073" s="30" t="s">
        <v>70</v>
      </c>
      <c r="L1073" s="29" t="str">
        <f t="shared" si="16"/>
        <v>JUBA-KAMPALA</v>
      </c>
      <c r="M1073" s="31">
        <v>58</v>
      </c>
      <c r="N1073" s="72">
        <v>90000</v>
      </c>
      <c r="O1073" s="34">
        <v>10.25</v>
      </c>
    </row>
    <row r="1074" spans="2:15" x14ac:dyDescent="0.2">
      <c r="B1074" s="27">
        <v>0.2986111111111111</v>
      </c>
      <c r="C1074" s="28">
        <v>6</v>
      </c>
      <c r="D1074" s="33" t="str">
        <f>IF(C1074="", "",VLOOKUP(C1074,Key!$A$5:$B$7,2,FALSE))</f>
        <v>Large Bus</v>
      </c>
      <c r="E1074" s="29" t="s">
        <v>226</v>
      </c>
      <c r="F1074" s="29" t="s">
        <v>66</v>
      </c>
      <c r="G1074" s="29" t="s">
        <v>94</v>
      </c>
      <c r="H1074" s="30" t="s">
        <v>94</v>
      </c>
      <c r="I1074" s="29" t="s">
        <v>257</v>
      </c>
      <c r="J1074" s="29" t="s">
        <v>70</v>
      </c>
      <c r="K1074" s="30" t="s">
        <v>70</v>
      </c>
      <c r="L1074" s="29" t="str">
        <f t="shared" si="16"/>
        <v>KIGALI-KAMPALA</v>
      </c>
      <c r="M1074" s="31">
        <v>54</v>
      </c>
      <c r="N1074" s="72">
        <v>50000</v>
      </c>
      <c r="O1074" s="34">
        <v>8.6</v>
      </c>
    </row>
    <row r="1075" spans="2:15" x14ac:dyDescent="0.2">
      <c r="B1075" s="27">
        <v>0.84513888888888899</v>
      </c>
      <c r="C1075" s="28">
        <v>6</v>
      </c>
      <c r="D1075" s="33" t="str">
        <f>IF(C1075="", "",VLOOKUP(C1075,Key!$A$5:$B$7,2,FALSE))</f>
        <v>Large Bus</v>
      </c>
      <c r="E1075" s="29" t="s">
        <v>226</v>
      </c>
      <c r="F1075" s="29" t="s">
        <v>67</v>
      </c>
      <c r="G1075" s="29" t="s">
        <v>70</v>
      </c>
      <c r="H1075" s="30" t="s">
        <v>70</v>
      </c>
      <c r="I1075" s="29" t="s">
        <v>257</v>
      </c>
      <c r="J1075" s="29" t="s">
        <v>133</v>
      </c>
      <c r="K1075" s="30" t="s">
        <v>133</v>
      </c>
      <c r="L1075" s="29" t="str">
        <f t="shared" si="16"/>
        <v>KAMPALA-JUBA</v>
      </c>
      <c r="M1075" s="31">
        <v>56</v>
      </c>
      <c r="N1075" s="72">
        <v>100000</v>
      </c>
      <c r="O1075" s="34">
        <v>10.25</v>
      </c>
    </row>
    <row r="1076" spans="2:15" x14ac:dyDescent="0.2">
      <c r="B1076" s="27">
        <v>0.90208333333333324</v>
      </c>
      <c r="C1076" s="28">
        <v>6</v>
      </c>
      <c r="D1076" s="33" t="str">
        <f>IF(C1076="", "",VLOOKUP(C1076,Key!$A$5:$B$7,2,FALSE))</f>
        <v>Large Bus</v>
      </c>
      <c r="E1076" s="29" t="s">
        <v>226</v>
      </c>
      <c r="F1076" s="29" t="s">
        <v>67</v>
      </c>
      <c r="G1076" s="29" t="s">
        <v>70</v>
      </c>
      <c r="H1076" s="30" t="s">
        <v>70</v>
      </c>
      <c r="I1076" s="29" t="s">
        <v>257</v>
      </c>
      <c r="J1076" s="29" t="s">
        <v>96</v>
      </c>
      <c r="K1076" s="30" t="s">
        <v>96</v>
      </c>
      <c r="L1076" s="29" t="str">
        <f t="shared" si="16"/>
        <v>KAMPALA-GOMA</v>
      </c>
      <c r="M1076" s="31">
        <v>53</v>
      </c>
      <c r="N1076" s="72">
        <v>50000</v>
      </c>
      <c r="O1076" s="34">
        <v>12.3</v>
      </c>
    </row>
    <row r="1077" spans="2:15" x14ac:dyDescent="0.2">
      <c r="B1077" s="27">
        <v>0.91666666666666663</v>
      </c>
      <c r="C1077" s="28">
        <v>6</v>
      </c>
      <c r="D1077" s="33" t="str">
        <f>IF(C1077="", "",VLOOKUP(C1077,Key!$A$5:$B$7,2,FALSE))</f>
        <v>Large Bus</v>
      </c>
      <c r="E1077" s="29" t="s">
        <v>226</v>
      </c>
      <c r="F1077" s="29" t="s">
        <v>67</v>
      </c>
      <c r="G1077" s="29" t="s">
        <v>70</v>
      </c>
      <c r="H1077" s="30" t="s">
        <v>70</v>
      </c>
      <c r="I1077" s="29" t="s">
        <v>257</v>
      </c>
      <c r="J1077" s="29" t="s">
        <v>98</v>
      </c>
      <c r="K1077" s="30" t="s">
        <v>98</v>
      </c>
      <c r="L1077" s="29" t="str">
        <f t="shared" si="16"/>
        <v>KAMPALA-GISENYI</v>
      </c>
      <c r="M1077" s="31">
        <v>53</v>
      </c>
      <c r="N1077" s="72">
        <v>40000</v>
      </c>
      <c r="O1077" s="34">
        <v>7</v>
      </c>
    </row>
    <row r="1078" spans="2:15" x14ac:dyDescent="0.2">
      <c r="B1078" s="27">
        <v>0.89583333333333337</v>
      </c>
      <c r="C1078" s="28">
        <v>6</v>
      </c>
      <c r="D1078" s="33" t="str">
        <f>IF(C1078="", "",VLOOKUP(C1078,Key!$A$5:$B$7,2,FALSE))</f>
        <v>Large Bus</v>
      </c>
      <c r="E1078" s="29" t="s">
        <v>226</v>
      </c>
      <c r="F1078" s="29" t="s">
        <v>67</v>
      </c>
      <c r="G1078" s="29" t="s">
        <v>70</v>
      </c>
      <c r="H1078" s="30" t="s">
        <v>70</v>
      </c>
      <c r="I1078" s="29" t="s">
        <v>257</v>
      </c>
      <c r="J1078" s="29" t="s">
        <v>133</v>
      </c>
      <c r="K1078" s="30" t="s">
        <v>133</v>
      </c>
      <c r="L1078" s="29" t="str">
        <f t="shared" si="16"/>
        <v>KAMPALA-JUBA</v>
      </c>
      <c r="M1078" s="31">
        <v>48</v>
      </c>
      <c r="N1078" s="72">
        <v>100000</v>
      </c>
      <c r="O1078" s="34">
        <v>10.25</v>
      </c>
    </row>
    <row r="1079" spans="2:15" x14ac:dyDescent="0.2">
      <c r="B1079" s="45" t="s">
        <v>222</v>
      </c>
      <c r="C1079" s="47"/>
      <c r="D1079" s="33" t="str">
        <f>IF(C1079="", "",VLOOKUP(C1079,Key!$A$5:$B$7,2,FALSE))</f>
        <v/>
      </c>
      <c r="E1079" s="44" t="s">
        <v>226</v>
      </c>
      <c r="F1079" s="48"/>
      <c r="G1079" s="47"/>
      <c r="H1079" s="47"/>
      <c r="I1079" s="47" t="s">
        <v>257</v>
      </c>
      <c r="J1079" s="47"/>
      <c r="K1079" s="47"/>
      <c r="L1079" s="47" t="str">
        <f t="shared" si="16"/>
        <v>-</v>
      </c>
      <c r="M1079" s="47"/>
      <c r="N1079" s="48"/>
      <c r="O1079" s="48"/>
    </row>
    <row r="1080" spans="2:15" x14ac:dyDescent="0.2">
      <c r="B1080" s="27">
        <v>0.90277777777777779</v>
      </c>
      <c r="C1080" s="28">
        <v>6</v>
      </c>
      <c r="D1080" s="33" t="str">
        <f>IF(C1080="", "",VLOOKUP(C1080,Key!$A$5:$B$7,2,FALSE))</f>
        <v>Large Bus</v>
      </c>
      <c r="E1080" s="29" t="s">
        <v>226</v>
      </c>
      <c r="F1080" s="29" t="s">
        <v>66</v>
      </c>
      <c r="G1080" s="29" t="s">
        <v>133</v>
      </c>
      <c r="H1080" s="30" t="s">
        <v>133</v>
      </c>
      <c r="I1080" s="29" t="s">
        <v>257</v>
      </c>
      <c r="J1080" s="29" t="s">
        <v>70</v>
      </c>
      <c r="K1080" s="30" t="s">
        <v>70</v>
      </c>
      <c r="L1080" s="29" t="str">
        <f t="shared" si="16"/>
        <v>JUBA-KAMPALA</v>
      </c>
      <c r="M1080" s="31">
        <v>48</v>
      </c>
      <c r="N1080" s="72">
        <v>90000</v>
      </c>
      <c r="O1080" s="34">
        <v>10.25</v>
      </c>
    </row>
    <row r="1081" spans="2:15" x14ac:dyDescent="0.2">
      <c r="B1081" s="27">
        <v>0.27083333333333331</v>
      </c>
      <c r="C1081" s="28">
        <v>6</v>
      </c>
      <c r="D1081" s="33" t="str">
        <f>IF(C1081="", "",VLOOKUP(C1081,Key!$A$5:$B$7,2,FALSE))</f>
        <v>Large Bus</v>
      </c>
      <c r="E1081" s="29" t="s">
        <v>226</v>
      </c>
      <c r="F1081" s="29" t="s">
        <v>66</v>
      </c>
      <c r="G1081" s="29" t="s">
        <v>96</v>
      </c>
      <c r="H1081" s="30" t="s">
        <v>96</v>
      </c>
      <c r="I1081" s="29" t="s">
        <v>257</v>
      </c>
      <c r="J1081" s="29" t="s">
        <v>70</v>
      </c>
      <c r="K1081" s="30" t="s">
        <v>70</v>
      </c>
      <c r="L1081" s="29" t="str">
        <f t="shared" si="16"/>
        <v>GOMA-KAMPALA</v>
      </c>
      <c r="M1081" s="31">
        <v>48</v>
      </c>
      <c r="N1081" s="72">
        <v>50000</v>
      </c>
      <c r="O1081" s="34">
        <v>12</v>
      </c>
    </row>
    <row r="1082" spans="2:15" x14ac:dyDescent="0.2">
      <c r="B1082" s="27">
        <v>0.38541666666666669</v>
      </c>
      <c r="C1082" s="28">
        <v>6</v>
      </c>
      <c r="D1082" s="33" t="str">
        <f>IF(C1082="", "",VLOOKUP(C1082,Key!$A$5:$B$7,2,FALSE))</f>
        <v>Large Bus</v>
      </c>
      <c r="E1082" s="29" t="s">
        <v>226</v>
      </c>
      <c r="F1082" s="29" t="s">
        <v>66</v>
      </c>
      <c r="G1082" s="29" t="s">
        <v>94</v>
      </c>
      <c r="H1082" s="30" t="s">
        <v>94</v>
      </c>
      <c r="I1082" s="29" t="s">
        <v>257</v>
      </c>
      <c r="J1082" s="29" t="s">
        <v>70</v>
      </c>
      <c r="K1082" s="30" t="s">
        <v>70</v>
      </c>
      <c r="L1082" s="29" t="str">
        <f t="shared" si="16"/>
        <v>KIGALI-KAMPALA</v>
      </c>
      <c r="M1082" s="31">
        <v>48</v>
      </c>
      <c r="N1082" s="72">
        <v>50000</v>
      </c>
      <c r="O1082" s="34">
        <v>8.6</v>
      </c>
    </row>
    <row r="1083" spans="2:15" x14ac:dyDescent="0.2">
      <c r="B1083" s="27">
        <v>0.70416666666666661</v>
      </c>
      <c r="C1083" s="28">
        <v>6</v>
      </c>
      <c r="D1083" s="33" t="str">
        <f>IF(C1083="", "",VLOOKUP(C1083,Key!$A$5:$B$7,2,FALSE))</f>
        <v>Large Bus</v>
      </c>
      <c r="E1083" s="29" t="s">
        <v>226</v>
      </c>
      <c r="F1083" s="29" t="s">
        <v>66</v>
      </c>
      <c r="G1083" s="29" t="s">
        <v>147</v>
      </c>
      <c r="H1083" s="30" t="s">
        <v>147</v>
      </c>
      <c r="I1083" s="29" t="s">
        <v>257</v>
      </c>
      <c r="J1083" s="29" t="s">
        <v>70</v>
      </c>
      <c r="K1083" s="30" t="s">
        <v>70</v>
      </c>
      <c r="L1083" s="29" t="str">
        <f t="shared" si="16"/>
        <v>KYEGEGWA-KAMPALA</v>
      </c>
      <c r="M1083" s="31">
        <v>4</v>
      </c>
      <c r="N1083" s="72">
        <v>15000</v>
      </c>
      <c r="O1083" s="34">
        <v>3.25</v>
      </c>
    </row>
    <row r="1084" spans="2:15" x14ac:dyDescent="0.2">
      <c r="B1084" s="27"/>
      <c r="C1084" s="28">
        <v>6</v>
      </c>
      <c r="D1084" s="33" t="str">
        <f>IF(C1084="", "",VLOOKUP(C1084,Key!$A$5:$B$7,2,FALSE))</f>
        <v>Large Bus</v>
      </c>
      <c r="E1084" s="29" t="s">
        <v>226</v>
      </c>
      <c r="F1084" s="29" t="s">
        <v>67</v>
      </c>
      <c r="G1084" s="29" t="s">
        <v>70</v>
      </c>
      <c r="H1084" s="30" t="s">
        <v>70</v>
      </c>
      <c r="I1084" s="29" t="s">
        <v>257</v>
      </c>
      <c r="J1084" s="29" t="s">
        <v>133</v>
      </c>
      <c r="K1084" s="30" t="s">
        <v>133</v>
      </c>
      <c r="L1084" s="29" t="str">
        <f t="shared" si="16"/>
        <v>KAMPALA-JUBA</v>
      </c>
      <c r="M1084" s="31">
        <v>49</v>
      </c>
      <c r="N1084" s="72">
        <v>100000</v>
      </c>
      <c r="O1084" s="34">
        <v>10.25</v>
      </c>
    </row>
    <row r="1085" spans="2:15" x14ac:dyDescent="0.2">
      <c r="B1085" s="27"/>
      <c r="C1085" s="28">
        <v>6</v>
      </c>
      <c r="D1085" s="33" t="str">
        <f>IF(C1085="", "",VLOOKUP(C1085,Key!$A$5:$B$7,2,FALSE))</f>
        <v>Large Bus</v>
      </c>
      <c r="E1085" s="29" t="s">
        <v>226</v>
      </c>
      <c r="F1085" s="29" t="s">
        <v>227</v>
      </c>
      <c r="G1085" s="29" t="s">
        <v>70</v>
      </c>
      <c r="H1085" s="30" t="s">
        <v>70</v>
      </c>
      <c r="I1085" s="29" t="s">
        <v>257</v>
      </c>
      <c r="J1085" s="29" t="s">
        <v>96</v>
      </c>
      <c r="K1085" s="30" t="s">
        <v>96</v>
      </c>
      <c r="L1085" s="29" t="str">
        <f t="shared" si="16"/>
        <v>KAMPALA-GOMA</v>
      </c>
      <c r="M1085" s="31">
        <v>40</v>
      </c>
      <c r="N1085" s="72">
        <v>50000</v>
      </c>
      <c r="O1085" s="34">
        <v>12.3</v>
      </c>
    </row>
    <row r="1086" spans="2:15" x14ac:dyDescent="0.2">
      <c r="B1086" s="27"/>
      <c r="C1086" s="28">
        <v>6</v>
      </c>
      <c r="D1086" s="33" t="str">
        <f>IF(C1086="", "",VLOOKUP(C1086,Key!$A$5:$B$7,2,FALSE))</f>
        <v>Large Bus</v>
      </c>
      <c r="E1086" s="29" t="s">
        <v>226</v>
      </c>
      <c r="F1086" s="29" t="s">
        <v>67</v>
      </c>
      <c r="G1086" s="29" t="s">
        <v>70</v>
      </c>
      <c r="H1086" s="30" t="s">
        <v>70</v>
      </c>
      <c r="I1086" s="29" t="s">
        <v>257</v>
      </c>
      <c r="J1086" s="29" t="s">
        <v>83</v>
      </c>
      <c r="K1086" s="30" t="s">
        <v>83</v>
      </c>
      <c r="L1086" s="29" t="str">
        <f t="shared" si="16"/>
        <v>KAMPALA-KISORO</v>
      </c>
      <c r="M1086" s="31">
        <v>66</v>
      </c>
      <c r="N1086" s="72">
        <v>50000</v>
      </c>
      <c r="O1086" s="34">
        <v>8.6</v>
      </c>
    </row>
    <row r="1087" spans="2:15" x14ac:dyDescent="0.2">
      <c r="B1087" s="27"/>
      <c r="C1087" s="28">
        <v>6</v>
      </c>
      <c r="D1087" s="33" t="str">
        <f>IF(C1087="", "",VLOOKUP(C1087,Key!$A$5:$B$7,2,FALSE))</f>
        <v>Large Bus</v>
      </c>
      <c r="E1087" s="29" t="s">
        <v>226</v>
      </c>
      <c r="F1087" s="29" t="s">
        <v>67</v>
      </c>
      <c r="G1087" s="29" t="s">
        <v>70</v>
      </c>
      <c r="H1087" s="30" t="s">
        <v>70</v>
      </c>
      <c r="I1087" s="29" t="s">
        <v>257</v>
      </c>
      <c r="J1087" s="29" t="s">
        <v>134</v>
      </c>
      <c r="K1087" s="30" t="s">
        <v>262</v>
      </c>
      <c r="L1087" s="29" t="str">
        <f t="shared" si="16"/>
        <v>KAMPALA-BUKAVU-CONGO</v>
      </c>
      <c r="M1087" s="31">
        <v>46</v>
      </c>
      <c r="N1087" s="72">
        <v>58000</v>
      </c>
      <c r="O1087" s="34">
        <v>9.6999999999999993</v>
      </c>
    </row>
    <row r="1088" spans="2:15" x14ac:dyDescent="0.2">
      <c r="B1088" s="45" t="s">
        <v>218</v>
      </c>
      <c r="C1088" s="47"/>
      <c r="D1088" s="33" t="str">
        <f>IF(C1088="", "",VLOOKUP(C1088,Key!$A$5:$B$7,2,FALSE))</f>
        <v/>
      </c>
      <c r="E1088" s="44" t="s">
        <v>225</v>
      </c>
      <c r="F1088" s="48"/>
      <c r="G1088" s="47"/>
      <c r="H1088" s="47"/>
      <c r="I1088" s="47"/>
      <c r="J1088" s="47"/>
      <c r="K1088" s="47"/>
      <c r="L1088" s="47" t="str">
        <f t="shared" si="16"/>
        <v>-</v>
      </c>
      <c r="M1088" s="47"/>
      <c r="N1088" s="48"/>
      <c r="O1088" s="48"/>
    </row>
    <row r="1089" spans="2:15" x14ac:dyDescent="0.2">
      <c r="B1089" s="27">
        <v>0.3430555555555555</v>
      </c>
      <c r="C1089" s="28">
        <v>6</v>
      </c>
      <c r="D1089" s="33" t="str">
        <f>IF(C1089="", "",VLOOKUP(C1089,Key!$A$5:$B$7,2,FALSE))</f>
        <v>Large Bus</v>
      </c>
      <c r="E1089" s="29" t="s">
        <v>225</v>
      </c>
      <c r="F1089" s="29" t="s">
        <v>67</v>
      </c>
      <c r="G1089" s="29" t="s">
        <v>70</v>
      </c>
      <c r="H1089" s="30" t="s">
        <v>70</v>
      </c>
      <c r="I1089" s="29" t="s">
        <v>257</v>
      </c>
      <c r="J1089" s="29" t="s">
        <v>88</v>
      </c>
      <c r="K1089" s="30" t="s">
        <v>86</v>
      </c>
      <c r="L1089" s="29" t="str">
        <f t="shared" si="16"/>
        <v>KAMPALA-RUBIRIZI</v>
      </c>
      <c r="M1089" s="31">
        <v>65</v>
      </c>
      <c r="N1089" s="72">
        <v>25000</v>
      </c>
      <c r="O1089" s="34">
        <v>6.3</v>
      </c>
    </row>
    <row r="1090" spans="2:15" x14ac:dyDescent="0.2">
      <c r="B1090" s="27">
        <v>0.44930555555555557</v>
      </c>
      <c r="C1090" s="28">
        <v>6</v>
      </c>
      <c r="D1090" s="33" t="str">
        <f>IF(C1090="", "",VLOOKUP(C1090,Key!$A$5:$B$7,2,FALSE))</f>
        <v>Large Bus</v>
      </c>
      <c r="E1090" s="29" t="s">
        <v>225</v>
      </c>
      <c r="F1090" s="29" t="s">
        <v>67</v>
      </c>
      <c r="G1090" s="29" t="s">
        <v>70</v>
      </c>
      <c r="H1090" s="30" t="s">
        <v>70</v>
      </c>
      <c r="I1090" s="29" t="s">
        <v>257</v>
      </c>
      <c r="J1090" s="29" t="s">
        <v>84</v>
      </c>
      <c r="K1090" s="30" t="s">
        <v>85</v>
      </c>
      <c r="L1090" s="29" t="str">
        <f t="shared" si="16"/>
        <v>KAMPALA-BUSHENYI</v>
      </c>
      <c r="M1090" s="31">
        <v>70</v>
      </c>
      <c r="N1090" s="72">
        <v>25000</v>
      </c>
      <c r="O1090" s="34">
        <v>6</v>
      </c>
    </row>
    <row r="1091" spans="2:15" x14ac:dyDescent="0.2">
      <c r="B1091" s="27">
        <v>3.472222222222222E-3</v>
      </c>
      <c r="C1091" s="28">
        <v>6</v>
      </c>
      <c r="D1091" s="33" t="str">
        <f>IF(C1091="", "",VLOOKUP(C1091,Key!$A$5:$B$7,2,FALSE))</f>
        <v>Large Bus</v>
      </c>
      <c r="E1091" s="29" t="s">
        <v>225</v>
      </c>
      <c r="F1091" s="29" t="s">
        <v>67</v>
      </c>
      <c r="G1091" s="29" t="s">
        <v>70</v>
      </c>
      <c r="H1091" s="30" t="s">
        <v>70</v>
      </c>
      <c r="I1091" s="29" t="s">
        <v>257</v>
      </c>
      <c r="J1091" s="29" t="s">
        <v>84</v>
      </c>
      <c r="K1091" s="30" t="s">
        <v>85</v>
      </c>
      <c r="L1091" s="29" t="str">
        <f t="shared" si="16"/>
        <v>KAMPALA-BUSHENYI</v>
      </c>
      <c r="M1091" s="31">
        <v>65</v>
      </c>
      <c r="N1091" s="72">
        <v>25000</v>
      </c>
      <c r="O1091" s="34">
        <v>6</v>
      </c>
    </row>
    <row r="1092" spans="2:15" x14ac:dyDescent="0.2">
      <c r="B1092" s="27">
        <v>0.57013888888888886</v>
      </c>
      <c r="C1092" s="28">
        <v>6</v>
      </c>
      <c r="D1092" s="33" t="str">
        <f>IF(C1092="", "",VLOOKUP(C1092,Key!$A$5:$B$7,2,FALSE))</f>
        <v>Large Bus</v>
      </c>
      <c r="E1092" s="29" t="s">
        <v>225</v>
      </c>
      <c r="F1092" s="29" t="s">
        <v>67</v>
      </c>
      <c r="G1092" s="29" t="s">
        <v>70</v>
      </c>
      <c r="H1092" s="30" t="s">
        <v>70</v>
      </c>
      <c r="I1092" s="29" t="s">
        <v>257</v>
      </c>
      <c r="J1092" s="29" t="s">
        <v>84</v>
      </c>
      <c r="K1092" s="30" t="s">
        <v>85</v>
      </c>
      <c r="L1092" s="29" t="str">
        <f t="shared" si="16"/>
        <v>KAMPALA-BUSHENYI</v>
      </c>
      <c r="M1092" s="31">
        <v>70</v>
      </c>
      <c r="N1092" s="72">
        <v>25000</v>
      </c>
      <c r="O1092" s="34">
        <v>6</v>
      </c>
    </row>
    <row r="1093" spans="2:15" x14ac:dyDescent="0.2">
      <c r="B1093" s="27">
        <v>0.61527777777777781</v>
      </c>
      <c r="C1093" s="28">
        <v>6</v>
      </c>
      <c r="D1093" s="33" t="str">
        <f>IF(C1093="", "",VLOOKUP(C1093,Key!$A$5:$B$7,2,FALSE))</f>
        <v>Large Bus</v>
      </c>
      <c r="E1093" s="29" t="s">
        <v>225</v>
      </c>
      <c r="F1093" s="29" t="s">
        <v>67</v>
      </c>
      <c r="G1093" s="29" t="s">
        <v>70</v>
      </c>
      <c r="H1093" s="30" t="s">
        <v>70</v>
      </c>
      <c r="I1093" s="29" t="s">
        <v>257</v>
      </c>
      <c r="J1093" s="29" t="s">
        <v>84</v>
      </c>
      <c r="K1093" s="30" t="s">
        <v>85</v>
      </c>
      <c r="L1093" s="29" t="str">
        <f t="shared" si="16"/>
        <v>KAMPALA-BUSHENYI</v>
      </c>
      <c r="M1093" s="31">
        <v>65</v>
      </c>
      <c r="N1093" s="72">
        <v>25000</v>
      </c>
      <c r="O1093" s="34">
        <v>6</v>
      </c>
    </row>
    <row r="1094" spans="2:15" x14ac:dyDescent="0.2">
      <c r="B1094" s="27">
        <v>0.65694444444444444</v>
      </c>
      <c r="C1094" s="28">
        <v>6</v>
      </c>
      <c r="D1094" s="33" t="str">
        <f>IF(C1094="", "",VLOOKUP(C1094,Key!$A$5:$B$7,2,FALSE))</f>
        <v>Large Bus</v>
      </c>
      <c r="E1094" s="29" t="s">
        <v>225</v>
      </c>
      <c r="F1094" s="29" t="s">
        <v>67</v>
      </c>
      <c r="G1094" s="29" t="s">
        <v>70</v>
      </c>
      <c r="H1094" s="30" t="s">
        <v>70</v>
      </c>
      <c r="I1094" s="29" t="s">
        <v>257</v>
      </c>
      <c r="J1094" s="29" t="s">
        <v>84</v>
      </c>
      <c r="K1094" s="30" t="s">
        <v>85</v>
      </c>
      <c r="L1094" s="29" t="str">
        <f t="shared" si="16"/>
        <v>KAMPALA-BUSHENYI</v>
      </c>
      <c r="M1094" s="31">
        <v>65</v>
      </c>
      <c r="N1094" s="72">
        <v>25000</v>
      </c>
      <c r="O1094" s="34">
        <v>6</v>
      </c>
    </row>
    <row r="1095" spans="2:15" x14ac:dyDescent="0.2">
      <c r="B1095" s="27">
        <v>0.67361111111111116</v>
      </c>
      <c r="C1095" s="28">
        <v>6</v>
      </c>
      <c r="D1095" s="33" t="str">
        <f>IF(C1095="", "",VLOOKUP(C1095,Key!$A$5:$B$7,2,FALSE))</f>
        <v>Large Bus</v>
      </c>
      <c r="E1095" s="29" t="s">
        <v>225</v>
      </c>
      <c r="F1095" s="29" t="s">
        <v>67</v>
      </c>
      <c r="G1095" s="29" t="s">
        <v>70</v>
      </c>
      <c r="H1095" s="30" t="s">
        <v>70</v>
      </c>
      <c r="I1095" s="29" t="s">
        <v>257</v>
      </c>
      <c r="J1095" s="29" t="s">
        <v>84</v>
      </c>
      <c r="K1095" s="30" t="s">
        <v>85</v>
      </c>
      <c r="L1095" s="29" t="str">
        <f t="shared" si="16"/>
        <v>KAMPALA-BUSHENYI</v>
      </c>
      <c r="M1095" s="31">
        <v>65</v>
      </c>
      <c r="N1095" s="72">
        <v>25000</v>
      </c>
      <c r="O1095" s="34">
        <v>6</v>
      </c>
    </row>
    <row r="1096" spans="2:15" x14ac:dyDescent="0.2">
      <c r="B1096" s="27">
        <v>0.7895833333333333</v>
      </c>
      <c r="C1096" s="28">
        <v>6</v>
      </c>
      <c r="D1096" s="33" t="str">
        <f>IF(C1096="", "",VLOOKUP(C1096,Key!$A$5:$B$7,2,FALSE))</f>
        <v>Large Bus</v>
      </c>
      <c r="E1096" s="29" t="s">
        <v>225</v>
      </c>
      <c r="F1096" s="29" t="s">
        <v>67</v>
      </c>
      <c r="G1096" s="29" t="s">
        <v>70</v>
      </c>
      <c r="H1096" s="30" t="s">
        <v>70</v>
      </c>
      <c r="I1096" s="29" t="s">
        <v>257</v>
      </c>
      <c r="J1096" s="29" t="s">
        <v>84</v>
      </c>
      <c r="K1096" s="30" t="s">
        <v>85</v>
      </c>
      <c r="L1096" s="29" t="str">
        <f t="shared" si="16"/>
        <v>KAMPALA-BUSHENYI</v>
      </c>
      <c r="M1096" s="31">
        <v>70</v>
      </c>
      <c r="N1096" s="72">
        <v>25000</v>
      </c>
      <c r="O1096" s="34">
        <v>6</v>
      </c>
    </row>
    <row r="1097" spans="2:15" x14ac:dyDescent="0.2">
      <c r="B1097" s="45" t="s">
        <v>220</v>
      </c>
      <c r="C1097" s="47"/>
      <c r="D1097" s="33" t="str">
        <f>IF(C1097="", "",VLOOKUP(C1097,Key!$A$5:$B$7,2,FALSE))</f>
        <v/>
      </c>
      <c r="E1097" s="44" t="s">
        <v>225</v>
      </c>
      <c r="F1097" s="48"/>
      <c r="G1097" s="47"/>
      <c r="H1097" s="47"/>
      <c r="I1097" s="47" t="s">
        <v>257</v>
      </c>
      <c r="J1097" s="47"/>
      <c r="K1097" s="47"/>
      <c r="L1097" s="47" t="str">
        <f t="shared" si="16"/>
        <v>-</v>
      </c>
      <c r="M1097" s="47"/>
      <c r="N1097" s="48"/>
      <c r="O1097" s="48"/>
    </row>
    <row r="1098" spans="2:15" x14ac:dyDescent="0.2">
      <c r="B1098" s="27">
        <v>0.40972222222222227</v>
      </c>
      <c r="C1098" s="28">
        <v>6</v>
      </c>
      <c r="D1098" s="33" t="str">
        <f>IF(C1098="", "",VLOOKUP(C1098,Key!$A$5:$B$7,2,FALSE))</f>
        <v>Large Bus</v>
      </c>
      <c r="E1098" s="29" t="s">
        <v>225</v>
      </c>
      <c r="F1098" s="29" t="s">
        <v>67</v>
      </c>
      <c r="G1098" s="29" t="s">
        <v>70</v>
      </c>
      <c r="H1098" s="30" t="s">
        <v>70</v>
      </c>
      <c r="I1098" s="29" t="s">
        <v>257</v>
      </c>
      <c r="J1098" s="29" t="s">
        <v>85</v>
      </c>
      <c r="K1098" s="30" t="s">
        <v>85</v>
      </c>
      <c r="L1098" s="29" t="str">
        <f t="shared" ref="L1098:L1161" si="17">H1098&amp;"-"&amp;K1098</f>
        <v>KAMPALA-BUSHENYI</v>
      </c>
      <c r="M1098" s="31">
        <v>1</v>
      </c>
      <c r="N1098" s="72">
        <v>25000</v>
      </c>
      <c r="O1098" s="34">
        <v>6</v>
      </c>
    </row>
    <row r="1099" spans="2:15" x14ac:dyDescent="0.2">
      <c r="B1099" s="27">
        <v>0.37847222222222227</v>
      </c>
      <c r="C1099" s="28">
        <v>6</v>
      </c>
      <c r="D1099" s="33" t="str">
        <f>IF(C1099="", "",VLOOKUP(C1099,Key!$A$5:$B$7,2,FALSE))</f>
        <v>Large Bus</v>
      </c>
      <c r="E1099" s="29" t="s">
        <v>225</v>
      </c>
      <c r="F1099" s="29" t="s">
        <v>67</v>
      </c>
      <c r="G1099" s="29" t="s">
        <v>70</v>
      </c>
      <c r="H1099" s="30" t="s">
        <v>70</v>
      </c>
      <c r="I1099" s="29" t="s">
        <v>257</v>
      </c>
      <c r="J1099" s="29" t="s">
        <v>68</v>
      </c>
      <c r="K1099" s="30" t="s">
        <v>68</v>
      </c>
      <c r="L1099" s="29" t="str">
        <f t="shared" si="17"/>
        <v>KAMPALA-MBARARA</v>
      </c>
      <c r="M1099" s="31">
        <v>2</v>
      </c>
      <c r="N1099" s="72">
        <v>20000</v>
      </c>
      <c r="O1099" s="34">
        <v>5</v>
      </c>
    </row>
    <row r="1100" spans="2:15" x14ac:dyDescent="0.2">
      <c r="B1100" s="27">
        <v>0.4513888888888889</v>
      </c>
      <c r="C1100" s="28">
        <v>6</v>
      </c>
      <c r="D1100" s="33" t="str">
        <f>IF(C1100="", "",VLOOKUP(C1100,Key!$A$5:$B$7,2,FALSE))</f>
        <v>Large Bus</v>
      </c>
      <c r="E1100" s="29" t="s">
        <v>225</v>
      </c>
      <c r="F1100" s="29" t="s">
        <v>67</v>
      </c>
      <c r="G1100" s="29" t="s">
        <v>70</v>
      </c>
      <c r="H1100" s="30" t="s">
        <v>70</v>
      </c>
      <c r="I1100" s="29" t="s">
        <v>257</v>
      </c>
      <c r="J1100" s="29" t="s">
        <v>68</v>
      </c>
      <c r="K1100" s="30" t="s">
        <v>68</v>
      </c>
      <c r="L1100" s="29" t="str">
        <f t="shared" si="17"/>
        <v>KAMPALA-MBARARA</v>
      </c>
      <c r="M1100" s="31">
        <v>3</v>
      </c>
      <c r="N1100" s="72">
        <v>20000</v>
      </c>
      <c r="O1100" s="34">
        <v>5</v>
      </c>
    </row>
    <row r="1101" spans="2:15" x14ac:dyDescent="0.2">
      <c r="B1101" s="27">
        <v>0.53611111111111109</v>
      </c>
      <c r="C1101" s="28">
        <v>6</v>
      </c>
      <c r="D1101" s="33" t="str">
        <f>IF(C1101="", "",VLOOKUP(C1101,Key!$A$5:$B$7,2,FALSE))</f>
        <v>Large Bus</v>
      </c>
      <c r="E1101" s="29" t="s">
        <v>225</v>
      </c>
      <c r="F1101" s="29" t="s">
        <v>67</v>
      </c>
      <c r="G1101" s="29" t="s">
        <v>70</v>
      </c>
      <c r="H1101" s="30" t="s">
        <v>70</v>
      </c>
      <c r="I1101" s="29" t="s">
        <v>257</v>
      </c>
      <c r="J1101" s="29" t="s">
        <v>68</v>
      </c>
      <c r="K1101" s="30" t="s">
        <v>68</v>
      </c>
      <c r="L1101" s="29" t="str">
        <f t="shared" si="17"/>
        <v>KAMPALA-MBARARA</v>
      </c>
      <c r="M1101" s="31">
        <v>4</v>
      </c>
      <c r="N1101" s="72">
        <v>20000</v>
      </c>
      <c r="O1101" s="34">
        <v>5</v>
      </c>
    </row>
    <row r="1102" spans="2:15" x14ac:dyDescent="0.2">
      <c r="B1102" s="27">
        <v>0.56597222222222221</v>
      </c>
      <c r="C1102" s="28">
        <v>6</v>
      </c>
      <c r="D1102" s="33" t="str">
        <f>IF(C1102="", "",VLOOKUP(C1102,Key!$A$5:$B$7,2,FALSE))</f>
        <v>Large Bus</v>
      </c>
      <c r="E1102" s="29" t="s">
        <v>225</v>
      </c>
      <c r="F1102" s="29" t="s">
        <v>67</v>
      </c>
      <c r="G1102" s="29" t="s">
        <v>70</v>
      </c>
      <c r="H1102" s="30" t="s">
        <v>70</v>
      </c>
      <c r="I1102" s="29" t="s">
        <v>257</v>
      </c>
      <c r="J1102" s="29" t="s">
        <v>84</v>
      </c>
      <c r="K1102" s="30" t="s">
        <v>84</v>
      </c>
      <c r="L1102" s="29" t="str">
        <f t="shared" si="17"/>
        <v>KAMPALA-ISHAKA</v>
      </c>
      <c r="M1102" s="31">
        <v>65</v>
      </c>
      <c r="N1102" s="72">
        <v>25000</v>
      </c>
      <c r="O1102" s="34">
        <v>6</v>
      </c>
    </row>
    <row r="1103" spans="2:15" x14ac:dyDescent="0.2">
      <c r="B1103" s="27">
        <v>0.60763888888888895</v>
      </c>
      <c r="C1103" s="28">
        <v>6</v>
      </c>
      <c r="D1103" s="33" t="str">
        <f>IF(C1103="", "",VLOOKUP(C1103,Key!$A$5:$B$7,2,FALSE))</f>
        <v>Large Bus</v>
      </c>
      <c r="E1103" s="29" t="s">
        <v>225</v>
      </c>
      <c r="F1103" s="29" t="s">
        <v>67</v>
      </c>
      <c r="G1103" s="29" t="s">
        <v>70</v>
      </c>
      <c r="H1103" s="30" t="s">
        <v>70</v>
      </c>
      <c r="I1103" s="29" t="s">
        <v>257</v>
      </c>
      <c r="J1103" s="29" t="s">
        <v>84</v>
      </c>
      <c r="K1103" s="30" t="s">
        <v>84</v>
      </c>
      <c r="L1103" s="29" t="str">
        <f t="shared" si="17"/>
        <v>KAMPALA-ISHAKA</v>
      </c>
      <c r="M1103" s="31">
        <v>65</v>
      </c>
      <c r="N1103" s="72">
        <v>25000</v>
      </c>
      <c r="O1103" s="34">
        <v>6</v>
      </c>
    </row>
    <row r="1104" spans="2:15" x14ac:dyDescent="0.2">
      <c r="B1104" s="27">
        <v>0.6777777777777777</v>
      </c>
      <c r="C1104" s="28">
        <v>6</v>
      </c>
      <c r="D1104" s="33" t="str">
        <f>IF(C1104="", "",VLOOKUP(C1104,Key!$A$5:$B$7,2,FALSE))</f>
        <v>Large Bus</v>
      </c>
      <c r="E1104" s="29" t="s">
        <v>225</v>
      </c>
      <c r="F1104" s="29" t="s">
        <v>67</v>
      </c>
      <c r="G1104" s="29" t="s">
        <v>70</v>
      </c>
      <c r="H1104" s="30" t="s">
        <v>70</v>
      </c>
      <c r="I1104" s="29" t="s">
        <v>257</v>
      </c>
      <c r="J1104" s="29" t="s">
        <v>84</v>
      </c>
      <c r="K1104" s="30" t="s">
        <v>84</v>
      </c>
      <c r="L1104" s="29" t="str">
        <f t="shared" si="17"/>
        <v>KAMPALA-ISHAKA</v>
      </c>
      <c r="M1104" s="31">
        <v>65</v>
      </c>
      <c r="N1104" s="72">
        <v>25000</v>
      </c>
      <c r="O1104" s="34">
        <v>5</v>
      </c>
    </row>
    <row r="1105" spans="2:15" x14ac:dyDescent="0.2">
      <c r="B1105" s="27">
        <v>0.75</v>
      </c>
      <c r="C1105" s="28">
        <v>6</v>
      </c>
      <c r="D1105" s="33" t="str">
        <f>IF(C1105="", "",VLOOKUP(C1105,Key!$A$5:$B$7,2,FALSE))</f>
        <v>Large Bus</v>
      </c>
      <c r="E1105" s="29" t="s">
        <v>225</v>
      </c>
      <c r="F1105" s="29" t="s">
        <v>67</v>
      </c>
      <c r="G1105" s="29" t="s">
        <v>70</v>
      </c>
      <c r="H1105" s="30" t="s">
        <v>70</v>
      </c>
      <c r="I1105" s="29" t="s">
        <v>257</v>
      </c>
      <c r="J1105" s="29" t="s">
        <v>84</v>
      </c>
      <c r="K1105" s="30" t="s">
        <v>84</v>
      </c>
      <c r="L1105" s="29" t="str">
        <f t="shared" si="17"/>
        <v>KAMPALA-ISHAKA</v>
      </c>
      <c r="M1105" s="31">
        <v>65</v>
      </c>
      <c r="N1105" s="72">
        <v>25000</v>
      </c>
      <c r="O1105" s="34">
        <v>6</v>
      </c>
    </row>
    <row r="1106" spans="2:15" x14ac:dyDescent="0.2">
      <c r="B1106" s="27">
        <v>0.8833333333333333</v>
      </c>
      <c r="C1106" s="28">
        <v>6</v>
      </c>
      <c r="D1106" s="33" t="str">
        <f>IF(C1106="", "",VLOOKUP(C1106,Key!$A$5:$B$7,2,FALSE))</f>
        <v>Large Bus</v>
      </c>
      <c r="E1106" s="29" t="s">
        <v>225</v>
      </c>
      <c r="F1106" s="29" t="s">
        <v>67</v>
      </c>
      <c r="G1106" s="29" t="s">
        <v>70</v>
      </c>
      <c r="H1106" s="30" t="s">
        <v>70</v>
      </c>
      <c r="I1106" s="29" t="s">
        <v>257</v>
      </c>
      <c r="J1106" s="29" t="s">
        <v>84</v>
      </c>
      <c r="K1106" s="30" t="s">
        <v>84</v>
      </c>
      <c r="L1106" s="29" t="str">
        <f t="shared" si="17"/>
        <v>KAMPALA-ISHAKA</v>
      </c>
      <c r="M1106" s="31">
        <v>65</v>
      </c>
      <c r="N1106" s="72">
        <v>25000</v>
      </c>
      <c r="O1106" s="34">
        <v>6</v>
      </c>
    </row>
    <row r="1107" spans="2:15" x14ac:dyDescent="0.2">
      <c r="B1107" s="27">
        <v>0.56527777777777777</v>
      </c>
      <c r="C1107" s="28">
        <v>6</v>
      </c>
      <c r="D1107" s="33" t="str">
        <f>IF(C1107="", "",VLOOKUP(C1107,Key!$A$5:$B$7,2,FALSE))</f>
        <v>Large Bus</v>
      </c>
      <c r="E1107" s="29" t="s">
        <v>225</v>
      </c>
      <c r="F1107" s="29" t="s">
        <v>66</v>
      </c>
      <c r="G1107" s="29" t="s">
        <v>84</v>
      </c>
      <c r="H1107" s="30" t="s">
        <v>85</v>
      </c>
      <c r="I1107" s="29" t="s">
        <v>257</v>
      </c>
      <c r="J1107" s="29" t="s">
        <v>70</v>
      </c>
      <c r="K1107" s="30" t="s">
        <v>70</v>
      </c>
      <c r="L1107" s="29" t="str">
        <f t="shared" si="17"/>
        <v>BUSHENYI-KAMPALA</v>
      </c>
      <c r="M1107" s="31">
        <v>27</v>
      </c>
      <c r="N1107" s="72">
        <v>23000</v>
      </c>
      <c r="O1107" s="34">
        <v>6</v>
      </c>
    </row>
    <row r="1108" spans="2:15" x14ac:dyDescent="0.2">
      <c r="B1108" s="27">
        <v>0.57222222222222219</v>
      </c>
      <c r="C1108" s="28">
        <v>6</v>
      </c>
      <c r="D1108" s="33" t="str">
        <f>IF(C1108="", "",VLOOKUP(C1108,Key!$A$5:$B$7,2,FALSE))</f>
        <v>Large Bus</v>
      </c>
      <c r="E1108" s="29" t="s">
        <v>225</v>
      </c>
      <c r="F1108" s="29" t="s">
        <v>66</v>
      </c>
      <c r="G1108" s="29" t="s">
        <v>84</v>
      </c>
      <c r="H1108" s="30" t="s">
        <v>85</v>
      </c>
      <c r="I1108" s="29" t="s">
        <v>257</v>
      </c>
      <c r="J1108" s="29" t="s">
        <v>70</v>
      </c>
      <c r="K1108" s="30" t="s">
        <v>70</v>
      </c>
      <c r="L1108" s="29" t="str">
        <f t="shared" si="17"/>
        <v>BUSHENYI-KAMPALA</v>
      </c>
      <c r="M1108" s="31">
        <v>30</v>
      </c>
      <c r="N1108" s="72">
        <v>23000</v>
      </c>
      <c r="O1108" s="34">
        <v>6</v>
      </c>
    </row>
    <row r="1109" spans="2:15" x14ac:dyDescent="0.2">
      <c r="B1109" s="27">
        <v>0.62777777777777777</v>
      </c>
      <c r="C1109" s="28">
        <v>6</v>
      </c>
      <c r="D1109" s="33" t="str">
        <f>IF(C1109="", "",VLOOKUP(C1109,Key!$A$5:$B$7,2,FALSE))</f>
        <v>Large Bus</v>
      </c>
      <c r="E1109" s="29" t="s">
        <v>225</v>
      </c>
      <c r="F1109" s="29" t="s">
        <v>66</v>
      </c>
      <c r="G1109" s="29" t="s">
        <v>84</v>
      </c>
      <c r="H1109" s="30" t="s">
        <v>85</v>
      </c>
      <c r="I1109" s="29" t="s">
        <v>257</v>
      </c>
      <c r="J1109" s="29" t="s">
        <v>70</v>
      </c>
      <c r="K1109" s="30" t="s">
        <v>70</v>
      </c>
      <c r="L1109" s="29" t="str">
        <f t="shared" si="17"/>
        <v>BUSHENYI-KAMPALA</v>
      </c>
      <c r="M1109" s="31">
        <v>6</v>
      </c>
      <c r="N1109" s="72">
        <v>23000</v>
      </c>
      <c r="O1109" s="34">
        <v>6</v>
      </c>
    </row>
    <row r="1110" spans="2:15" x14ac:dyDescent="0.2">
      <c r="B1110" s="27">
        <v>0.83680555555555547</v>
      </c>
      <c r="C1110" s="28">
        <v>6</v>
      </c>
      <c r="D1110" s="33" t="str">
        <f>IF(C1110="", "",VLOOKUP(C1110,Key!$A$5:$B$7,2,FALSE))</f>
        <v>Large Bus</v>
      </c>
      <c r="E1110" s="29" t="s">
        <v>225</v>
      </c>
      <c r="F1110" s="29" t="s">
        <v>66</v>
      </c>
      <c r="G1110" s="29" t="s">
        <v>84</v>
      </c>
      <c r="H1110" s="30" t="s">
        <v>85</v>
      </c>
      <c r="I1110" s="29" t="s">
        <v>257</v>
      </c>
      <c r="J1110" s="29" t="s">
        <v>70</v>
      </c>
      <c r="K1110" s="30" t="s">
        <v>70</v>
      </c>
      <c r="L1110" s="29" t="str">
        <f t="shared" si="17"/>
        <v>BUSHENYI-KAMPALA</v>
      </c>
      <c r="M1110" s="31">
        <v>30</v>
      </c>
      <c r="N1110" s="72">
        <v>23000</v>
      </c>
      <c r="O1110" s="34">
        <v>6</v>
      </c>
    </row>
    <row r="1111" spans="2:15" x14ac:dyDescent="0.2">
      <c r="B1111" s="27">
        <v>0.78194444444444444</v>
      </c>
      <c r="C1111" s="28">
        <v>6</v>
      </c>
      <c r="D1111" s="33" t="str">
        <f>IF(C1111="", "",VLOOKUP(C1111,Key!$A$5:$B$7,2,FALSE))</f>
        <v>Large Bus</v>
      </c>
      <c r="E1111" s="29" t="s">
        <v>225</v>
      </c>
      <c r="F1111" s="29" t="s">
        <v>66</v>
      </c>
      <c r="G1111" s="29" t="s">
        <v>84</v>
      </c>
      <c r="H1111" s="30" t="s">
        <v>85</v>
      </c>
      <c r="I1111" s="29" t="s">
        <v>257</v>
      </c>
      <c r="J1111" s="29" t="s">
        <v>70</v>
      </c>
      <c r="K1111" s="30" t="s">
        <v>70</v>
      </c>
      <c r="L1111" s="29" t="str">
        <f t="shared" si="17"/>
        <v>BUSHENYI-KAMPALA</v>
      </c>
      <c r="M1111" s="31">
        <v>35</v>
      </c>
      <c r="N1111" s="72">
        <v>23000</v>
      </c>
      <c r="O1111" s="34">
        <v>6</v>
      </c>
    </row>
    <row r="1112" spans="2:15" x14ac:dyDescent="0.2">
      <c r="B1112" s="27">
        <v>0.85277777777777775</v>
      </c>
      <c r="C1112" s="28">
        <v>6</v>
      </c>
      <c r="D1112" s="33" t="str">
        <f>IF(C1112="", "",VLOOKUP(C1112,Key!$A$5:$B$7,2,FALSE))</f>
        <v>Large Bus</v>
      </c>
      <c r="E1112" s="29" t="s">
        <v>225</v>
      </c>
      <c r="F1112" s="29" t="s">
        <v>66</v>
      </c>
      <c r="G1112" s="29" t="s">
        <v>84</v>
      </c>
      <c r="H1112" s="30" t="s">
        <v>85</v>
      </c>
      <c r="I1112" s="29" t="s">
        <v>257</v>
      </c>
      <c r="J1112" s="29" t="s">
        <v>70</v>
      </c>
      <c r="K1112" s="30" t="s">
        <v>70</v>
      </c>
      <c r="L1112" s="29" t="str">
        <f t="shared" si="17"/>
        <v>BUSHENYI-KAMPALA</v>
      </c>
      <c r="M1112" s="31">
        <v>65</v>
      </c>
      <c r="N1112" s="72">
        <v>23000</v>
      </c>
      <c r="O1112" s="34">
        <v>6</v>
      </c>
    </row>
    <row r="1113" spans="2:15" x14ac:dyDescent="0.2">
      <c r="B1113" s="27">
        <v>0.97638888888888886</v>
      </c>
      <c r="C1113" s="28">
        <v>6</v>
      </c>
      <c r="D1113" s="33" t="str">
        <f>IF(C1113="", "",VLOOKUP(C1113,Key!$A$5:$B$7,2,FALSE))</f>
        <v>Large Bus</v>
      </c>
      <c r="E1113" s="29" t="s">
        <v>225</v>
      </c>
      <c r="F1113" s="29" t="s">
        <v>66</v>
      </c>
      <c r="G1113" s="29" t="s">
        <v>84</v>
      </c>
      <c r="H1113" s="30" t="s">
        <v>85</v>
      </c>
      <c r="I1113" s="29" t="s">
        <v>257</v>
      </c>
      <c r="J1113" s="29" t="s">
        <v>70</v>
      </c>
      <c r="K1113" s="30" t="s">
        <v>70</v>
      </c>
      <c r="L1113" s="29" t="str">
        <f t="shared" si="17"/>
        <v>BUSHENYI-KAMPALA</v>
      </c>
      <c r="M1113" s="31">
        <v>65</v>
      </c>
      <c r="N1113" s="72">
        <v>23000</v>
      </c>
      <c r="O1113" s="34">
        <v>6</v>
      </c>
    </row>
    <row r="1114" spans="2:15" x14ac:dyDescent="0.2">
      <c r="B1114" s="45" t="s">
        <v>221</v>
      </c>
      <c r="C1114" s="47"/>
      <c r="D1114" s="33" t="str">
        <f>IF(C1114="", "",VLOOKUP(C1114,Key!$A$5:$B$7,2,FALSE))</f>
        <v/>
      </c>
      <c r="E1114" s="44" t="s">
        <v>225</v>
      </c>
      <c r="F1114" s="48"/>
      <c r="G1114" s="47"/>
      <c r="H1114" s="47"/>
      <c r="I1114" s="47" t="s">
        <v>257</v>
      </c>
      <c r="J1114" s="47"/>
      <c r="K1114" s="47"/>
      <c r="L1114" s="47" t="str">
        <f t="shared" si="17"/>
        <v>-</v>
      </c>
      <c r="M1114" s="47"/>
      <c r="N1114" s="48"/>
      <c r="O1114" s="48"/>
    </row>
    <row r="1115" spans="2:15" x14ac:dyDescent="0.2">
      <c r="B1115" s="27">
        <v>0.33124999999999999</v>
      </c>
      <c r="C1115" s="28">
        <v>6</v>
      </c>
      <c r="D1115" s="33" t="str">
        <f>IF(C1115="", "",VLOOKUP(C1115,Key!$A$5:$B$7,2,FALSE))</f>
        <v>Large Bus</v>
      </c>
      <c r="E1115" s="29" t="s">
        <v>225</v>
      </c>
      <c r="F1115" s="29" t="s">
        <v>67</v>
      </c>
      <c r="G1115" s="29" t="s">
        <v>70</v>
      </c>
      <c r="H1115" s="30" t="s">
        <v>70</v>
      </c>
      <c r="I1115" s="29" t="s">
        <v>257</v>
      </c>
      <c r="J1115" s="29" t="s">
        <v>84</v>
      </c>
      <c r="K1115" s="30" t="s">
        <v>85</v>
      </c>
      <c r="L1115" s="29" t="str">
        <f t="shared" si="17"/>
        <v>KAMPALA-BUSHENYI</v>
      </c>
      <c r="M1115" s="31">
        <v>67</v>
      </c>
      <c r="N1115" s="72">
        <v>25000</v>
      </c>
      <c r="O1115" s="34">
        <v>6</v>
      </c>
    </row>
    <row r="1116" spans="2:15" x14ac:dyDescent="0.2">
      <c r="B1116" s="27">
        <v>0.40972222222222227</v>
      </c>
      <c r="C1116" s="28">
        <v>6</v>
      </c>
      <c r="D1116" s="33" t="str">
        <f>IF(C1116="", "",VLOOKUP(C1116,Key!$A$5:$B$7,2,FALSE))</f>
        <v>Large Bus</v>
      </c>
      <c r="E1116" s="29" t="s">
        <v>225</v>
      </c>
      <c r="F1116" s="29" t="s">
        <v>67</v>
      </c>
      <c r="G1116" s="29" t="s">
        <v>70</v>
      </c>
      <c r="H1116" s="30" t="s">
        <v>70</v>
      </c>
      <c r="I1116" s="29" t="s">
        <v>257</v>
      </c>
      <c r="J1116" s="29" t="s">
        <v>84</v>
      </c>
      <c r="K1116" s="30" t="s">
        <v>85</v>
      </c>
      <c r="L1116" s="29" t="str">
        <f t="shared" si="17"/>
        <v>KAMPALA-BUSHENYI</v>
      </c>
      <c r="M1116" s="31">
        <v>67</v>
      </c>
      <c r="N1116" s="72">
        <v>25000</v>
      </c>
      <c r="O1116" s="34">
        <v>6</v>
      </c>
    </row>
    <row r="1117" spans="2:15" x14ac:dyDescent="0.2">
      <c r="B1117" s="27">
        <v>0.47916666666666669</v>
      </c>
      <c r="C1117" s="28">
        <v>6</v>
      </c>
      <c r="D1117" s="33" t="str">
        <f>IF(C1117="", "",VLOOKUP(C1117,Key!$A$5:$B$7,2,FALSE))</f>
        <v>Large Bus</v>
      </c>
      <c r="E1117" s="29" t="s">
        <v>225</v>
      </c>
      <c r="F1117" s="29" t="s">
        <v>67</v>
      </c>
      <c r="G1117" s="29" t="s">
        <v>70</v>
      </c>
      <c r="H1117" s="30" t="s">
        <v>70</v>
      </c>
      <c r="I1117" s="29" t="s">
        <v>257</v>
      </c>
      <c r="J1117" s="29" t="s">
        <v>84</v>
      </c>
      <c r="K1117" s="30" t="s">
        <v>85</v>
      </c>
      <c r="L1117" s="29" t="str">
        <f t="shared" si="17"/>
        <v>KAMPALA-BUSHENYI</v>
      </c>
      <c r="M1117" s="31">
        <v>67</v>
      </c>
      <c r="N1117" s="72">
        <v>25000</v>
      </c>
      <c r="O1117" s="34">
        <v>6</v>
      </c>
    </row>
    <row r="1118" spans="2:15" x14ac:dyDescent="0.2">
      <c r="B1118" s="27">
        <v>0.53402777777777777</v>
      </c>
      <c r="C1118" s="28">
        <v>6</v>
      </c>
      <c r="D1118" s="33" t="str">
        <f>IF(C1118="", "",VLOOKUP(C1118,Key!$A$5:$B$7,2,FALSE))</f>
        <v>Large Bus</v>
      </c>
      <c r="E1118" s="29" t="s">
        <v>225</v>
      </c>
      <c r="F1118" s="29" t="s">
        <v>67</v>
      </c>
      <c r="G1118" s="29" t="s">
        <v>70</v>
      </c>
      <c r="H1118" s="30" t="s">
        <v>70</v>
      </c>
      <c r="I1118" s="29" t="s">
        <v>257</v>
      </c>
      <c r="J1118" s="29" t="s">
        <v>84</v>
      </c>
      <c r="K1118" s="30" t="s">
        <v>85</v>
      </c>
      <c r="L1118" s="29" t="str">
        <f t="shared" si="17"/>
        <v>KAMPALA-BUSHENYI</v>
      </c>
      <c r="M1118" s="31">
        <v>67</v>
      </c>
      <c r="N1118" s="72">
        <v>25000</v>
      </c>
      <c r="O1118" s="34">
        <v>6</v>
      </c>
    </row>
    <row r="1119" spans="2:15" x14ac:dyDescent="0.2">
      <c r="B1119" s="27">
        <v>0.63888888888888895</v>
      </c>
      <c r="C1119" s="28">
        <v>6</v>
      </c>
      <c r="D1119" s="33" t="str">
        <f>IF(C1119="", "",VLOOKUP(C1119,Key!$A$5:$B$7,2,FALSE))</f>
        <v>Large Bus</v>
      </c>
      <c r="E1119" s="29" t="s">
        <v>225</v>
      </c>
      <c r="F1119" s="29" t="s">
        <v>67</v>
      </c>
      <c r="G1119" s="29" t="s">
        <v>70</v>
      </c>
      <c r="H1119" s="30" t="s">
        <v>70</v>
      </c>
      <c r="I1119" s="29" t="s">
        <v>257</v>
      </c>
      <c r="J1119" s="29" t="s">
        <v>84</v>
      </c>
      <c r="K1119" s="30" t="s">
        <v>85</v>
      </c>
      <c r="L1119" s="29" t="str">
        <f t="shared" si="17"/>
        <v>KAMPALA-BUSHENYI</v>
      </c>
      <c r="M1119" s="31">
        <v>67</v>
      </c>
      <c r="N1119" s="72">
        <v>25000</v>
      </c>
      <c r="O1119" s="34">
        <v>6</v>
      </c>
    </row>
    <row r="1120" spans="2:15" x14ac:dyDescent="0.2">
      <c r="B1120" s="27">
        <v>0.72083333333333333</v>
      </c>
      <c r="C1120" s="28">
        <v>6</v>
      </c>
      <c r="D1120" s="33" t="str">
        <f>IF(C1120="", "",VLOOKUP(C1120,Key!$A$5:$B$7,2,FALSE))</f>
        <v>Large Bus</v>
      </c>
      <c r="E1120" s="29" t="s">
        <v>225</v>
      </c>
      <c r="F1120" s="29" t="s">
        <v>67</v>
      </c>
      <c r="G1120" s="29" t="s">
        <v>70</v>
      </c>
      <c r="H1120" s="30" t="s">
        <v>70</v>
      </c>
      <c r="I1120" s="29" t="s">
        <v>257</v>
      </c>
      <c r="J1120" s="29" t="s">
        <v>84</v>
      </c>
      <c r="K1120" s="30" t="s">
        <v>85</v>
      </c>
      <c r="L1120" s="29" t="str">
        <f t="shared" si="17"/>
        <v>KAMPALA-BUSHENYI</v>
      </c>
      <c r="M1120" s="31">
        <v>67</v>
      </c>
      <c r="N1120" s="72">
        <v>25000</v>
      </c>
      <c r="O1120" s="34">
        <v>6</v>
      </c>
    </row>
    <row r="1121" spans="2:15" x14ac:dyDescent="0.2">
      <c r="B1121" s="27">
        <v>0.84027777777777779</v>
      </c>
      <c r="C1121" s="28">
        <v>6</v>
      </c>
      <c r="D1121" s="33" t="str">
        <f>IF(C1121="", "",VLOOKUP(C1121,Key!$A$5:$B$7,2,FALSE))</f>
        <v>Large Bus</v>
      </c>
      <c r="E1121" s="29" t="s">
        <v>225</v>
      </c>
      <c r="F1121" s="29" t="s">
        <v>67</v>
      </c>
      <c r="G1121" s="29" t="s">
        <v>70</v>
      </c>
      <c r="H1121" s="30" t="s">
        <v>70</v>
      </c>
      <c r="I1121" s="29" t="s">
        <v>257</v>
      </c>
      <c r="J1121" s="29" t="s">
        <v>84</v>
      </c>
      <c r="K1121" s="30" t="s">
        <v>85</v>
      </c>
      <c r="L1121" s="29" t="str">
        <f t="shared" si="17"/>
        <v>KAMPALA-BUSHENYI</v>
      </c>
      <c r="M1121" s="31">
        <v>65</v>
      </c>
      <c r="N1121" s="72">
        <v>25000</v>
      </c>
      <c r="O1121" s="34">
        <v>6</v>
      </c>
    </row>
    <row r="1122" spans="2:15" x14ac:dyDescent="0.2">
      <c r="B1122" s="27">
        <v>0.91111111111111109</v>
      </c>
      <c r="C1122" s="28">
        <v>6</v>
      </c>
      <c r="D1122" s="33" t="str">
        <f>IF(C1122="", "",VLOOKUP(C1122,Key!$A$5:$B$7,2,FALSE))</f>
        <v>Large Bus</v>
      </c>
      <c r="E1122" s="29" t="s">
        <v>225</v>
      </c>
      <c r="F1122" s="29" t="s">
        <v>67</v>
      </c>
      <c r="G1122" s="29" t="s">
        <v>70</v>
      </c>
      <c r="H1122" s="30" t="s">
        <v>70</v>
      </c>
      <c r="I1122" s="29" t="s">
        <v>257</v>
      </c>
      <c r="J1122" s="29" t="s">
        <v>84</v>
      </c>
      <c r="K1122" s="30" t="s">
        <v>85</v>
      </c>
      <c r="L1122" s="29" t="str">
        <f t="shared" si="17"/>
        <v>KAMPALA-BUSHENYI</v>
      </c>
      <c r="M1122" s="31">
        <v>65</v>
      </c>
      <c r="N1122" s="72">
        <v>25000</v>
      </c>
      <c r="O1122" s="34">
        <v>6</v>
      </c>
    </row>
    <row r="1123" spans="2:15" x14ac:dyDescent="0.2">
      <c r="B1123" s="27">
        <v>1.0416666666666666E-2</v>
      </c>
      <c r="C1123" s="28">
        <v>6</v>
      </c>
      <c r="D1123" s="33" t="str">
        <f>IF(C1123="", "",VLOOKUP(C1123,Key!$A$5:$B$7,2,FALSE))</f>
        <v>Large Bus</v>
      </c>
      <c r="E1123" s="29" t="s">
        <v>225</v>
      </c>
      <c r="F1123" s="29" t="s">
        <v>67</v>
      </c>
      <c r="G1123" s="29" t="s">
        <v>70</v>
      </c>
      <c r="H1123" s="30" t="s">
        <v>70</v>
      </c>
      <c r="I1123" s="29" t="s">
        <v>257</v>
      </c>
      <c r="J1123" s="29" t="s">
        <v>84</v>
      </c>
      <c r="K1123" s="30" t="s">
        <v>85</v>
      </c>
      <c r="L1123" s="29" t="str">
        <f t="shared" si="17"/>
        <v>KAMPALA-BUSHENYI</v>
      </c>
      <c r="M1123" s="31">
        <v>65</v>
      </c>
      <c r="N1123" s="72">
        <v>25000</v>
      </c>
      <c r="O1123" s="34">
        <v>6</v>
      </c>
    </row>
    <row r="1124" spans="2:15" x14ac:dyDescent="0.2">
      <c r="B1124" s="45" t="s">
        <v>222</v>
      </c>
      <c r="C1124" s="47"/>
      <c r="D1124" s="33" t="str">
        <f>IF(C1124="", "",VLOOKUP(C1124,Key!$A$5:$B$7,2,FALSE))</f>
        <v/>
      </c>
      <c r="E1124" s="44" t="s">
        <v>225</v>
      </c>
      <c r="F1124" s="48"/>
      <c r="G1124" s="47"/>
      <c r="H1124" s="47"/>
      <c r="I1124" s="47" t="s">
        <v>257</v>
      </c>
      <c r="J1124" s="47"/>
      <c r="K1124" s="47"/>
      <c r="L1124" s="47" t="str">
        <f t="shared" si="17"/>
        <v>-</v>
      </c>
      <c r="M1124" s="47"/>
      <c r="N1124" s="48"/>
      <c r="O1124" s="48"/>
    </row>
    <row r="1125" spans="2:15" x14ac:dyDescent="0.2">
      <c r="B1125" s="27">
        <v>0.27916666666666667</v>
      </c>
      <c r="C1125" s="28">
        <v>6</v>
      </c>
      <c r="D1125" s="33" t="str">
        <f>IF(C1125="", "",VLOOKUP(C1125,Key!$A$5:$B$7,2,FALSE))</f>
        <v>Large Bus</v>
      </c>
      <c r="E1125" s="29" t="s">
        <v>225</v>
      </c>
      <c r="F1125" s="29" t="s">
        <v>67</v>
      </c>
      <c r="G1125" s="29" t="s">
        <v>70</v>
      </c>
      <c r="H1125" s="30" t="s">
        <v>70</v>
      </c>
      <c r="I1125" s="29" t="s">
        <v>257</v>
      </c>
      <c r="J1125" s="29" t="s">
        <v>84</v>
      </c>
      <c r="K1125" s="30" t="s">
        <v>84</v>
      </c>
      <c r="L1125" s="29" t="str">
        <f t="shared" si="17"/>
        <v>KAMPALA-ISHAKA</v>
      </c>
      <c r="M1125" s="31">
        <v>65</v>
      </c>
      <c r="N1125" s="72">
        <v>25000</v>
      </c>
      <c r="O1125" s="34">
        <v>0</v>
      </c>
    </row>
    <row r="1126" spans="2:15" x14ac:dyDescent="0.2">
      <c r="B1126" s="27">
        <v>0.27916666666666667</v>
      </c>
      <c r="C1126" s="28">
        <v>6</v>
      </c>
      <c r="D1126" s="33" t="str">
        <f>IF(C1126="", "",VLOOKUP(C1126,Key!$A$5:$B$7,2,FALSE))</f>
        <v>Large Bus</v>
      </c>
      <c r="E1126" s="29" t="s">
        <v>225</v>
      </c>
      <c r="F1126" s="29" t="s">
        <v>67</v>
      </c>
      <c r="G1126" s="29" t="s">
        <v>70</v>
      </c>
      <c r="H1126" s="30" t="s">
        <v>70</v>
      </c>
      <c r="I1126" s="29" t="s">
        <v>257</v>
      </c>
      <c r="J1126" s="29" t="s">
        <v>84</v>
      </c>
      <c r="K1126" s="30" t="s">
        <v>84</v>
      </c>
      <c r="L1126" s="29" t="str">
        <f t="shared" si="17"/>
        <v>KAMPALA-ISHAKA</v>
      </c>
      <c r="M1126" s="31">
        <v>65</v>
      </c>
      <c r="N1126" s="72">
        <v>25000</v>
      </c>
      <c r="O1126" s="34">
        <v>6.833333333333333</v>
      </c>
    </row>
    <row r="1127" spans="2:15" x14ac:dyDescent="0.2">
      <c r="B1127" s="27">
        <v>0.29583333333333334</v>
      </c>
      <c r="C1127" s="28">
        <v>6</v>
      </c>
      <c r="D1127" s="33" t="str">
        <f>IF(C1127="", "",VLOOKUP(C1127,Key!$A$5:$B$7,2,FALSE))</f>
        <v>Large Bus</v>
      </c>
      <c r="E1127" s="29" t="s">
        <v>225</v>
      </c>
      <c r="F1127" s="29" t="s">
        <v>67</v>
      </c>
      <c r="G1127" s="29" t="s">
        <v>70</v>
      </c>
      <c r="H1127" s="30" t="s">
        <v>70</v>
      </c>
      <c r="I1127" s="29" t="s">
        <v>257</v>
      </c>
      <c r="J1127" s="29" t="s">
        <v>84</v>
      </c>
      <c r="K1127" s="30" t="s">
        <v>84</v>
      </c>
      <c r="L1127" s="29" t="str">
        <f t="shared" si="17"/>
        <v>KAMPALA-ISHAKA</v>
      </c>
      <c r="M1127" s="31">
        <v>65</v>
      </c>
      <c r="N1127" s="72">
        <v>25000</v>
      </c>
      <c r="O1127" s="34">
        <v>6</v>
      </c>
    </row>
    <row r="1128" spans="2:15" x14ac:dyDescent="0.2">
      <c r="B1128" s="27">
        <v>0.47500000000000003</v>
      </c>
      <c r="C1128" s="28">
        <v>6</v>
      </c>
      <c r="D1128" s="33" t="str">
        <f>IF(C1128="", "",VLOOKUP(C1128,Key!$A$5:$B$7,2,FALSE))</f>
        <v>Large Bus</v>
      </c>
      <c r="E1128" s="29" t="s">
        <v>225</v>
      </c>
      <c r="F1128" s="29" t="s">
        <v>67</v>
      </c>
      <c r="G1128" s="29" t="s">
        <v>70</v>
      </c>
      <c r="H1128" s="30" t="s">
        <v>70</v>
      </c>
      <c r="I1128" s="29" t="s">
        <v>257</v>
      </c>
      <c r="J1128" s="29" t="s">
        <v>84</v>
      </c>
      <c r="K1128" s="30" t="s">
        <v>84</v>
      </c>
      <c r="L1128" s="29" t="str">
        <f t="shared" si="17"/>
        <v>KAMPALA-ISHAKA</v>
      </c>
      <c r="M1128" s="31">
        <v>65</v>
      </c>
      <c r="N1128" s="72">
        <v>25000</v>
      </c>
      <c r="O1128" s="34">
        <v>6.833333333333333</v>
      </c>
    </row>
    <row r="1129" spans="2:15" x14ac:dyDescent="0.2">
      <c r="B1129" s="45" t="s">
        <v>219</v>
      </c>
      <c r="C1129" s="47"/>
      <c r="D1129" s="33" t="str">
        <f>IF(C1129="", "",VLOOKUP(C1129,Key!$A$5:$B$7,2,FALSE))</f>
        <v/>
      </c>
      <c r="E1129" s="44" t="s">
        <v>246</v>
      </c>
      <c r="F1129" s="48"/>
      <c r="G1129" s="47"/>
      <c r="H1129" s="47"/>
      <c r="I1129" s="47"/>
      <c r="J1129" s="47"/>
      <c r="K1129" s="47"/>
      <c r="L1129" s="47" t="str">
        <f t="shared" si="17"/>
        <v>-</v>
      </c>
      <c r="M1129" s="47"/>
      <c r="N1129" s="48"/>
      <c r="O1129" s="48"/>
    </row>
    <row r="1130" spans="2:15" x14ac:dyDescent="0.2">
      <c r="B1130" s="27">
        <v>0.3659722222222222</v>
      </c>
      <c r="C1130" s="28">
        <v>6</v>
      </c>
      <c r="D1130" s="33" t="str">
        <f>IF(C1130="", "",VLOOKUP(C1130,Key!$A$5:$B$7,2,FALSE))</f>
        <v>Large Bus</v>
      </c>
      <c r="E1130" s="29" t="s">
        <v>246</v>
      </c>
      <c r="F1130" s="29" t="s">
        <v>67</v>
      </c>
      <c r="G1130" s="29" t="s">
        <v>70</v>
      </c>
      <c r="H1130" s="30" t="s">
        <v>70</v>
      </c>
      <c r="I1130" s="29" t="s">
        <v>257</v>
      </c>
      <c r="J1130" s="29" t="s">
        <v>148</v>
      </c>
      <c r="K1130" s="30" t="s">
        <v>148</v>
      </c>
      <c r="L1130" s="29" t="str">
        <f t="shared" si="17"/>
        <v>KAMPALA-GULU</v>
      </c>
      <c r="M1130" s="31">
        <v>67</v>
      </c>
      <c r="N1130" s="72">
        <v>25000</v>
      </c>
      <c r="O1130" s="34">
        <v>5.25</v>
      </c>
    </row>
    <row r="1131" spans="2:15" x14ac:dyDescent="0.2">
      <c r="B1131" s="45" t="s">
        <v>222</v>
      </c>
      <c r="C1131" s="47"/>
      <c r="D1131" s="33" t="str">
        <f>IF(C1131="", "",VLOOKUP(C1131,Key!$A$5:$B$7,2,FALSE))</f>
        <v/>
      </c>
      <c r="E1131" s="44" t="s">
        <v>246</v>
      </c>
      <c r="F1131" s="48"/>
      <c r="G1131" s="47"/>
      <c r="H1131" s="47"/>
      <c r="I1131" s="47" t="s">
        <v>257</v>
      </c>
      <c r="J1131" s="47"/>
      <c r="K1131" s="47"/>
      <c r="L1131" s="47" t="str">
        <f t="shared" si="17"/>
        <v>-</v>
      </c>
      <c r="M1131" s="47"/>
      <c r="N1131" s="48"/>
      <c r="O1131" s="48"/>
    </row>
    <row r="1132" spans="2:15" x14ac:dyDescent="0.2">
      <c r="B1132" s="27" t="s">
        <v>149</v>
      </c>
      <c r="C1132" s="28">
        <v>6</v>
      </c>
      <c r="D1132" s="33" t="str">
        <f>IF(C1132="", "",VLOOKUP(C1132,Key!$A$5:$B$7,2,FALSE))</f>
        <v>Large Bus</v>
      </c>
      <c r="E1132" s="29" t="s">
        <v>246</v>
      </c>
      <c r="F1132" s="29" t="s">
        <v>66</v>
      </c>
      <c r="G1132" s="29" t="s">
        <v>148</v>
      </c>
      <c r="H1132" s="30" t="s">
        <v>148</v>
      </c>
      <c r="I1132" s="29" t="s">
        <v>257</v>
      </c>
      <c r="J1132" s="29" t="s">
        <v>70</v>
      </c>
      <c r="K1132" s="30" t="s">
        <v>70</v>
      </c>
      <c r="L1132" s="29" t="str">
        <f t="shared" si="17"/>
        <v>GULU-KAMPALA</v>
      </c>
      <c r="M1132" s="31">
        <v>30</v>
      </c>
      <c r="N1132" s="72">
        <v>20000</v>
      </c>
      <c r="O1132" s="34">
        <v>5.25</v>
      </c>
    </row>
    <row r="1133" spans="2:15" x14ac:dyDescent="0.2">
      <c r="B1133" s="27" t="s">
        <v>150</v>
      </c>
      <c r="C1133" s="28">
        <v>6</v>
      </c>
      <c r="D1133" s="33" t="str">
        <f>IF(C1133="", "",VLOOKUP(C1133,Key!$A$5:$B$7,2,FALSE))</f>
        <v>Large Bus</v>
      </c>
      <c r="E1133" s="29" t="s">
        <v>246</v>
      </c>
      <c r="F1133" s="29" t="s">
        <v>66</v>
      </c>
      <c r="G1133" s="29" t="s">
        <v>148</v>
      </c>
      <c r="H1133" s="30" t="s">
        <v>148</v>
      </c>
      <c r="I1133" s="29" t="s">
        <v>257</v>
      </c>
      <c r="J1133" s="29" t="s">
        <v>70</v>
      </c>
      <c r="K1133" s="30" t="s">
        <v>70</v>
      </c>
      <c r="L1133" s="29" t="str">
        <f t="shared" si="17"/>
        <v>GULU-KAMPALA</v>
      </c>
      <c r="M1133" s="31">
        <v>46</v>
      </c>
      <c r="N1133" s="72">
        <v>20000</v>
      </c>
      <c r="O1133" s="34">
        <v>5.25</v>
      </c>
    </row>
    <row r="1134" spans="2:15" x14ac:dyDescent="0.2">
      <c r="B1134" s="45" t="s">
        <v>218</v>
      </c>
      <c r="C1134" s="47"/>
      <c r="D1134" s="33" t="str">
        <f>IF(C1134="", "",VLOOKUP(C1134,Key!$A$5:$B$7,2,FALSE))</f>
        <v/>
      </c>
      <c r="E1134" s="44" t="s">
        <v>246</v>
      </c>
      <c r="F1134" s="48"/>
      <c r="G1134" s="47"/>
      <c r="H1134" s="47"/>
      <c r="I1134" s="47" t="s">
        <v>257</v>
      </c>
      <c r="J1134" s="47"/>
      <c r="K1134" s="47"/>
      <c r="L1134" s="47" t="str">
        <f t="shared" si="17"/>
        <v>-</v>
      </c>
      <c r="M1134" s="47"/>
      <c r="N1134" s="48"/>
      <c r="O1134" s="48"/>
    </row>
    <row r="1135" spans="2:15" x14ac:dyDescent="0.2">
      <c r="B1135" s="27" t="s">
        <v>151</v>
      </c>
      <c r="C1135" s="28">
        <v>6</v>
      </c>
      <c r="D1135" s="33" t="str">
        <f>IF(C1135="", "",VLOOKUP(C1135,Key!$A$5:$B$7,2,FALSE))</f>
        <v>Large Bus</v>
      </c>
      <c r="E1135" s="29" t="s">
        <v>246</v>
      </c>
      <c r="F1135" s="29" t="s">
        <v>66</v>
      </c>
      <c r="G1135" s="29" t="s">
        <v>148</v>
      </c>
      <c r="H1135" s="30" t="s">
        <v>148</v>
      </c>
      <c r="I1135" s="29" t="s">
        <v>257</v>
      </c>
      <c r="J1135" s="29" t="s">
        <v>70</v>
      </c>
      <c r="K1135" s="30" t="s">
        <v>70</v>
      </c>
      <c r="L1135" s="29" t="str">
        <f t="shared" si="17"/>
        <v>GULU-KAMPALA</v>
      </c>
      <c r="M1135" s="31">
        <v>65</v>
      </c>
      <c r="N1135" s="72">
        <v>20000</v>
      </c>
      <c r="O1135" s="34">
        <v>5.25</v>
      </c>
    </row>
    <row r="1136" spans="2:15" x14ac:dyDescent="0.2">
      <c r="B1136" s="27">
        <v>0.19791666666666666</v>
      </c>
      <c r="C1136" s="28">
        <v>6</v>
      </c>
      <c r="D1136" s="33" t="str">
        <f>IF(C1136="", "",VLOOKUP(C1136,Key!$A$5:$B$7,2,FALSE))</f>
        <v>Large Bus</v>
      </c>
      <c r="E1136" s="29" t="s">
        <v>246</v>
      </c>
      <c r="F1136" s="29" t="s">
        <v>67</v>
      </c>
      <c r="G1136" s="29" t="s">
        <v>70</v>
      </c>
      <c r="H1136" s="30" t="s">
        <v>70</v>
      </c>
      <c r="I1136" s="29" t="s">
        <v>257</v>
      </c>
      <c r="J1136" s="29" t="s">
        <v>148</v>
      </c>
      <c r="K1136" s="30" t="s">
        <v>148</v>
      </c>
      <c r="L1136" s="29" t="str">
        <f t="shared" si="17"/>
        <v>KAMPALA-GULU</v>
      </c>
      <c r="M1136" s="31">
        <v>67</v>
      </c>
      <c r="N1136" s="72">
        <v>25000</v>
      </c>
      <c r="O1136" s="34">
        <v>5.25</v>
      </c>
    </row>
    <row r="1137" spans="2:15" x14ac:dyDescent="0.2">
      <c r="B1137" s="45" t="s">
        <v>219</v>
      </c>
      <c r="C1137" s="47"/>
      <c r="D1137" s="33" t="str">
        <f>IF(C1137="", "",VLOOKUP(C1137,Key!$A$5:$B$7,2,FALSE))</f>
        <v/>
      </c>
      <c r="E1137" s="44" t="s">
        <v>246</v>
      </c>
      <c r="F1137" s="48"/>
      <c r="G1137" s="47"/>
      <c r="H1137" s="47"/>
      <c r="I1137" s="47" t="s">
        <v>257</v>
      </c>
      <c r="J1137" s="47"/>
      <c r="K1137" s="47"/>
      <c r="L1137" s="47" t="str">
        <f t="shared" si="17"/>
        <v>-</v>
      </c>
      <c r="M1137" s="47"/>
      <c r="N1137" s="48"/>
      <c r="O1137" s="48"/>
    </row>
    <row r="1138" spans="2:15" x14ac:dyDescent="0.2">
      <c r="B1138" s="27" t="s">
        <v>152</v>
      </c>
      <c r="C1138" s="28">
        <v>6</v>
      </c>
      <c r="D1138" s="33" t="str">
        <f>IF(C1138="", "",VLOOKUP(C1138,Key!$A$5:$B$7,2,FALSE))</f>
        <v>Large Bus</v>
      </c>
      <c r="E1138" s="29" t="s">
        <v>246</v>
      </c>
      <c r="F1138" s="29" t="s">
        <v>66</v>
      </c>
      <c r="G1138" s="29" t="s">
        <v>70</v>
      </c>
      <c r="H1138" s="30" t="s">
        <v>153</v>
      </c>
      <c r="I1138" s="29" t="s">
        <v>257</v>
      </c>
      <c r="J1138" s="29" t="s">
        <v>70</v>
      </c>
      <c r="K1138" s="30" t="s">
        <v>70</v>
      </c>
      <c r="L1138" s="29" t="str">
        <f t="shared" si="17"/>
        <v>KITGUM-KAMPALA</v>
      </c>
      <c r="M1138" s="31">
        <v>60</v>
      </c>
      <c r="N1138" s="72">
        <v>27000</v>
      </c>
      <c r="O1138" s="34">
        <v>6.5</v>
      </c>
    </row>
    <row r="1139" spans="2:15" x14ac:dyDescent="0.2">
      <c r="B1139" s="27">
        <v>0.45</v>
      </c>
      <c r="C1139" s="28">
        <v>6</v>
      </c>
      <c r="D1139" s="33" t="str">
        <f>IF(C1139="", "",VLOOKUP(C1139,Key!$A$5:$B$7,2,FALSE))</f>
        <v>Large Bus</v>
      </c>
      <c r="E1139" s="29" t="s">
        <v>246</v>
      </c>
      <c r="F1139" s="29" t="s">
        <v>67</v>
      </c>
      <c r="G1139" s="29" t="s">
        <v>70</v>
      </c>
      <c r="H1139" s="30" t="s">
        <v>70</v>
      </c>
      <c r="I1139" s="29" t="s">
        <v>257</v>
      </c>
      <c r="J1139" s="29" t="s">
        <v>153</v>
      </c>
      <c r="K1139" s="30" t="s">
        <v>153</v>
      </c>
      <c r="L1139" s="29" t="str">
        <f t="shared" si="17"/>
        <v>KAMPALA-KITGUM</v>
      </c>
      <c r="M1139" s="31">
        <v>65</v>
      </c>
      <c r="N1139" s="72">
        <v>30000</v>
      </c>
      <c r="O1139" s="34">
        <v>6.5</v>
      </c>
    </row>
    <row r="1140" spans="2:15" x14ac:dyDescent="0.2">
      <c r="B1140" s="27" t="s">
        <v>154</v>
      </c>
      <c r="C1140" s="28">
        <v>6</v>
      </c>
      <c r="D1140" s="33" t="str">
        <f>IF(C1140="", "",VLOOKUP(C1140,Key!$A$5:$B$7,2,FALSE))</f>
        <v>Large Bus</v>
      </c>
      <c r="E1140" s="29" t="s">
        <v>246</v>
      </c>
      <c r="F1140" s="29" t="s">
        <v>67</v>
      </c>
      <c r="G1140" s="29" t="s">
        <v>70</v>
      </c>
      <c r="H1140" s="30" t="s">
        <v>70</v>
      </c>
      <c r="I1140" s="29" t="s">
        <v>257</v>
      </c>
      <c r="J1140" s="29" t="s">
        <v>153</v>
      </c>
      <c r="K1140" s="30" t="s">
        <v>153</v>
      </c>
      <c r="L1140" s="29" t="str">
        <f t="shared" si="17"/>
        <v>KAMPALA-KITGUM</v>
      </c>
      <c r="M1140" s="31"/>
      <c r="N1140" s="72">
        <v>30000</v>
      </c>
      <c r="O1140" s="34">
        <v>6.5</v>
      </c>
    </row>
    <row r="1141" spans="2:15" x14ac:dyDescent="0.2">
      <c r="B1141" s="27">
        <v>0.49305555555555558</v>
      </c>
      <c r="C1141" s="28">
        <v>6</v>
      </c>
      <c r="D1141" s="33" t="str">
        <f>IF(C1141="", "",VLOOKUP(C1141,Key!$A$5:$B$7,2,FALSE))</f>
        <v>Large Bus</v>
      </c>
      <c r="E1141" s="29" t="s">
        <v>246</v>
      </c>
      <c r="F1141" s="29" t="s">
        <v>67</v>
      </c>
      <c r="G1141" s="29" t="s">
        <v>70</v>
      </c>
      <c r="H1141" s="30" t="s">
        <v>70</v>
      </c>
      <c r="I1141" s="29" t="s">
        <v>257</v>
      </c>
      <c r="J1141" s="29" t="s">
        <v>148</v>
      </c>
      <c r="K1141" s="30" t="s">
        <v>148</v>
      </c>
      <c r="L1141" s="29" t="str">
        <f t="shared" si="17"/>
        <v>KAMPALA-GULU</v>
      </c>
      <c r="M1141" s="31">
        <v>65</v>
      </c>
      <c r="N1141" s="72">
        <v>25000</v>
      </c>
      <c r="O1141" s="34">
        <v>5.25</v>
      </c>
    </row>
    <row r="1142" spans="2:15" x14ac:dyDescent="0.2">
      <c r="B1142" s="27" t="s">
        <v>155</v>
      </c>
      <c r="C1142" s="28">
        <v>6</v>
      </c>
      <c r="D1142" s="33" t="str">
        <f>IF(C1142="", "",VLOOKUP(C1142,Key!$A$5:$B$7,2,FALSE))</f>
        <v>Large Bus</v>
      </c>
      <c r="E1142" s="29" t="s">
        <v>246</v>
      </c>
      <c r="F1142" s="29" t="s">
        <v>67</v>
      </c>
      <c r="G1142" s="29" t="s">
        <v>70</v>
      </c>
      <c r="H1142" s="30" t="s">
        <v>70</v>
      </c>
      <c r="I1142" s="29" t="s">
        <v>257</v>
      </c>
      <c r="J1142" s="29" t="s">
        <v>148</v>
      </c>
      <c r="K1142" s="30" t="s">
        <v>148</v>
      </c>
      <c r="L1142" s="29" t="str">
        <f t="shared" si="17"/>
        <v>KAMPALA-GULU</v>
      </c>
      <c r="M1142" s="31">
        <v>65</v>
      </c>
      <c r="N1142" s="72">
        <v>25000</v>
      </c>
      <c r="O1142" s="34">
        <v>5.25</v>
      </c>
    </row>
    <row r="1143" spans="2:15" x14ac:dyDescent="0.2">
      <c r="B1143" s="27" t="s">
        <v>156</v>
      </c>
      <c r="C1143" s="28">
        <v>6</v>
      </c>
      <c r="D1143" s="33" t="str">
        <f>IF(C1143="", "",VLOOKUP(C1143,Key!$A$5:$B$7,2,FALSE))</f>
        <v>Large Bus</v>
      </c>
      <c r="E1143" s="29" t="s">
        <v>246</v>
      </c>
      <c r="F1143" s="29" t="s">
        <v>66</v>
      </c>
      <c r="G1143" s="29" t="s">
        <v>153</v>
      </c>
      <c r="H1143" s="30" t="s">
        <v>153</v>
      </c>
      <c r="I1143" s="29" t="s">
        <v>257</v>
      </c>
      <c r="J1143" s="29" t="s">
        <v>70</v>
      </c>
      <c r="K1143" s="30" t="s">
        <v>70</v>
      </c>
      <c r="L1143" s="29" t="str">
        <f t="shared" si="17"/>
        <v>KITGUM-KAMPALA</v>
      </c>
      <c r="M1143" s="31">
        <v>60</v>
      </c>
      <c r="N1143" s="72">
        <v>27000</v>
      </c>
      <c r="O1143" s="34">
        <v>6.5</v>
      </c>
    </row>
    <row r="1144" spans="2:15" x14ac:dyDescent="0.2">
      <c r="B1144" s="45" t="s">
        <v>220</v>
      </c>
      <c r="C1144" s="47"/>
      <c r="D1144" s="33" t="str">
        <f>IF(C1144="", "",VLOOKUP(C1144,Key!$A$5:$B$7,2,FALSE))</f>
        <v/>
      </c>
      <c r="E1144" s="44" t="s">
        <v>246</v>
      </c>
      <c r="F1144" s="48"/>
      <c r="G1144" s="47"/>
      <c r="H1144" s="47"/>
      <c r="I1144" s="47" t="s">
        <v>257</v>
      </c>
      <c r="J1144" s="47"/>
      <c r="K1144" s="47"/>
      <c r="L1144" s="47" t="str">
        <f t="shared" si="17"/>
        <v>-</v>
      </c>
      <c r="M1144" s="47"/>
      <c r="N1144" s="48"/>
      <c r="O1144" s="48"/>
    </row>
    <row r="1145" spans="2:15" x14ac:dyDescent="0.2">
      <c r="B1145" s="27" t="s">
        <v>157</v>
      </c>
      <c r="C1145" s="28">
        <v>6</v>
      </c>
      <c r="D1145" s="33" t="str">
        <f>IF(C1145="", "",VLOOKUP(C1145,Key!$A$5:$B$7,2,FALSE))</f>
        <v>Large Bus</v>
      </c>
      <c r="E1145" s="29" t="s">
        <v>246</v>
      </c>
      <c r="F1145" s="29" t="s">
        <v>66</v>
      </c>
      <c r="G1145" s="29" t="s">
        <v>153</v>
      </c>
      <c r="H1145" s="30" t="s">
        <v>153</v>
      </c>
      <c r="I1145" s="29" t="s">
        <v>257</v>
      </c>
      <c r="J1145" s="29" t="s">
        <v>70</v>
      </c>
      <c r="K1145" s="30" t="s">
        <v>70</v>
      </c>
      <c r="L1145" s="29" t="str">
        <f t="shared" si="17"/>
        <v>KITGUM-KAMPALA</v>
      </c>
      <c r="M1145" s="31">
        <v>63</v>
      </c>
      <c r="N1145" s="72">
        <v>27000</v>
      </c>
      <c r="O1145" s="34">
        <v>6.5</v>
      </c>
    </row>
    <row r="1146" spans="2:15" x14ac:dyDescent="0.2">
      <c r="B1146" s="27" t="s">
        <v>158</v>
      </c>
      <c r="C1146" s="28">
        <v>6</v>
      </c>
      <c r="D1146" s="33" t="str">
        <f>IF(C1146="", "",VLOOKUP(C1146,Key!$A$5:$B$7,2,FALSE))</f>
        <v>Large Bus</v>
      </c>
      <c r="E1146" s="29" t="s">
        <v>246</v>
      </c>
      <c r="F1146" s="29" t="s">
        <v>67</v>
      </c>
      <c r="G1146" s="29" t="s">
        <v>70</v>
      </c>
      <c r="H1146" s="30" t="s">
        <v>70</v>
      </c>
      <c r="I1146" s="29" t="s">
        <v>257</v>
      </c>
      <c r="J1146" s="29" t="s">
        <v>153</v>
      </c>
      <c r="K1146" s="30" t="s">
        <v>153</v>
      </c>
      <c r="L1146" s="29" t="str">
        <f t="shared" si="17"/>
        <v>KAMPALA-KITGUM</v>
      </c>
      <c r="M1146" s="31">
        <v>65</v>
      </c>
      <c r="N1146" s="72">
        <v>30000</v>
      </c>
      <c r="O1146" s="34">
        <v>6.5</v>
      </c>
    </row>
    <row r="1147" spans="2:15" x14ac:dyDescent="0.2">
      <c r="B1147" s="27" t="s">
        <v>159</v>
      </c>
      <c r="C1147" s="28">
        <v>6</v>
      </c>
      <c r="D1147" s="33" t="str">
        <f>IF(C1147="", "",VLOOKUP(C1147,Key!$A$5:$B$7,2,FALSE))</f>
        <v>Large Bus</v>
      </c>
      <c r="E1147" s="29" t="s">
        <v>246</v>
      </c>
      <c r="F1147" s="29" t="s">
        <v>67</v>
      </c>
      <c r="G1147" s="29" t="s">
        <v>70</v>
      </c>
      <c r="H1147" s="30" t="s">
        <v>70</v>
      </c>
      <c r="I1147" s="29" t="s">
        <v>257</v>
      </c>
      <c r="J1147" s="29" t="s">
        <v>153</v>
      </c>
      <c r="K1147" s="30" t="s">
        <v>153</v>
      </c>
      <c r="L1147" s="29" t="str">
        <f t="shared" si="17"/>
        <v>KAMPALA-KITGUM</v>
      </c>
      <c r="M1147" s="31">
        <v>63</v>
      </c>
      <c r="N1147" s="72">
        <v>30000</v>
      </c>
      <c r="O1147" s="34">
        <v>6.5</v>
      </c>
    </row>
    <row r="1148" spans="2:15" x14ac:dyDescent="0.2">
      <c r="B1148" s="27" t="s">
        <v>160</v>
      </c>
      <c r="C1148" s="28">
        <v>6</v>
      </c>
      <c r="D1148" s="33" t="str">
        <f>IF(C1148="", "",VLOOKUP(C1148,Key!$A$5:$B$7,2,FALSE))</f>
        <v>Large Bus</v>
      </c>
      <c r="E1148" s="29" t="s">
        <v>246</v>
      </c>
      <c r="F1148" s="29" t="s">
        <v>67</v>
      </c>
      <c r="G1148" s="29" t="s">
        <v>153</v>
      </c>
      <c r="H1148" s="30" t="s">
        <v>153</v>
      </c>
      <c r="I1148" s="29" t="s">
        <v>257</v>
      </c>
      <c r="J1148" s="29" t="s">
        <v>70</v>
      </c>
      <c r="K1148" s="30" t="s">
        <v>70</v>
      </c>
      <c r="L1148" s="29" t="str">
        <f t="shared" si="17"/>
        <v>KITGUM-KAMPALA</v>
      </c>
      <c r="M1148" s="31">
        <v>67</v>
      </c>
      <c r="N1148" s="72">
        <v>27000</v>
      </c>
      <c r="O1148" s="34">
        <v>6.5</v>
      </c>
    </row>
    <row r="1149" spans="2:15" x14ac:dyDescent="0.2">
      <c r="B1149" s="27" t="s">
        <v>161</v>
      </c>
      <c r="C1149" s="28">
        <v>6</v>
      </c>
      <c r="D1149" s="33" t="str">
        <f>IF(C1149="", "",VLOOKUP(C1149,Key!$A$5:$B$7,2,FALSE))</f>
        <v>Large Bus</v>
      </c>
      <c r="E1149" s="29" t="s">
        <v>246</v>
      </c>
      <c r="F1149" s="29" t="s">
        <v>66</v>
      </c>
      <c r="G1149" s="29" t="s">
        <v>153</v>
      </c>
      <c r="H1149" s="30" t="s">
        <v>153</v>
      </c>
      <c r="I1149" s="29" t="s">
        <v>257</v>
      </c>
      <c r="J1149" s="29" t="s">
        <v>70</v>
      </c>
      <c r="K1149" s="30" t="s">
        <v>70</v>
      </c>
      <c r="L1149" s="29" t="str">
        <f t="shared" si="17"/>
        <v>KITGUM-KAMPALA</v>
      </c>
      <c r="M1149" s="31">
        <v>65</v>
      </c>
      <c r="N1149" s="72">
        <v>27000</v>
      </c>
      <c r="O1149" s="34">
        <v>6.5</v>
      </c>
    </row>
    <row r="1150" spans="2:15" x14ac:dyDescent="0.2">
      <c r="B1150" s="27">
        <v>0.75</v>
      </c>
      <c r="C1150" s="28">
        <v>6</v>
      </c>
      <c r="D1150" s="33" t="str">
        <f>IF(C1150="", "",VLOOKUP(C1150,Key!$A$5:$B$7,2,FALSE))</f>
        <v>Large Bus</v>
      </c>
      <c r="E1150" s="29" t="s">
        <v>246</v>
      </c>
      <c r="F1150" s="29" t="s">
        <v>67</v>
      </c>
      <c r="G1150" s="29" t="s">
        <v>70</v>
      </c>
      <c r="H1150" s="30" t="s">
        <v>70</v>
      </c>
      <c r="I1150" s="29" t="s">
        <v>257</v>
      </c>
      <c r="J1150" s="29" t="s">
        <v>148</v>
      </c>
      <c r="K1150" s="30" t="s">
        <v>148</v>
      </c>
      <c r="L1150" s="29" t="str">
        <f t="shared" si="17"/>
        <v>KAMPALA-GULU</v>
      </c>
      <c r="M1150" s="31">
        <v>65</v>
      </c>
      <c r="N1150" s="72">
        <v>25000</v>
      </c>
      <c r="O1150" s="34">
        <v>5.25</v>
      </c>
    </row>
    <row r="1151" spans="2:15" x14ac:dyDescent="0.2">
      <c r="B1151" s="45" t="s">
        <v>221</v>
      </c>
      <c r="C1151" s="47"/>
      <c r="D1151" s="33" t="str">
        <f>IF(C1151="", "",VLOOKUP(C1151,Key!$A$5:$B$7,2,FALSE))</f>
        <v/>
      </c>
      <c r="E1151" s="44" t="s">
        <v>246</v>
      </c>
      <c r="F1151" s="48"/>
      <c r="G1151" s="47"/>
      <c r="H1151" s="47"/>
      <c r="I1151" s="47" t="s">
        <v>257</v>
      </c>
      <c r="J1151" s="47"/>
      <c r="K1151" s="47"/>
      <c r="L1151" s="47" t="str">
        <f t="shared" si="17"/>
        <v>-</v>
      </c>
      <c r="M1151" s="47"/>
      <c r="N1151" s="48"/>
      <c r="O1151" s="48"/>
    </row>
    <row r="1152" spans="2:15" x14ac:dyDescent="0.2">
      <c r="B1152" s="27" t="s">
        <v>162</v>
      </c>
      <c r="C1152" s="28">
        <v>6</v>
      </c>
      <c r="D1152" s="33" t="str">
        <f>IF(C1152="", "",VLOOKUP(C1152,Key!$A$5:$B$7,2,FALSE))</f>
        <v>Large Bus</v>
      </c>
      <c r="E1152" s="29" t="s">
        <v>246</v>
      </c>
      <c r="F1152" s="29" t="s">
        <v>66</v>
      </c>
      <c r="G1152" s="29" t="s">
        <v>148</v>
      </c>
      <c r="H1152" s="30" t="s">
        <v>148</v>
      </c>
      <c r="I1152" s="29" t="s">
        <v>257</v>
      </c>
      <c r="J1152" s="29" t="s">
        <v>70</v>
      </c>
      <c r="K1152" s="30" t="s">
        <v>70</v>
      </c>
      <c r="L1152" s="29" t="str">
        <f t="shared" si="17"/>
        <v>GULU-KAMPALA</v>
      </c>
      <c r="M1152" s="31">
        <v>67</v>
      </c>
      <c r="N1152" s="72">
        <v>20000</v>
      </c>
      <c r="O1152" s="34">
        <v>5.25</v>
      </c>
    </row>
    <row r="1153" spans="2:15" x14ac:dyDescent="0.2">
      <c r="B1153" s="27" t="s">
        <v>163</v>
      </c>
      <c r="C1153" s="28">
        <v>6</v>
      </c>
      <c r="D1153" s="33" t="str">
        <f>IF(C1153="", "",VLOOKUP(C1153,Key!$A$5:$B$7,2,FALSE))</f>
        <v>Large Bus</v>
      </c>
      <c r="E1153" s="29" t="s">
        <v>246</v>
      </c>
      <c r="F1153" s="29" t="s">
        <v>67</v>
      </c>
      <c r="G1153" s="29" t="s">
        <v>70</v>
      </c>
      <c r="H1153" s="30" t="s">
        <v>70</v>
      </c>
      <c r="I1153" s="29" t="s">
        <v>257</v>
      </c>
      <c r="J1153" s="29" t="s">
        <v>153</v>
      </c>
      <c r="K1153" s="30" t="s">
        <v>153</v>
      </c>
      <c r="L1153" s="29" t="str">
        <f t="shared" si="17"/>
        <v>KAMPALA-KITGUM</v>
      </c>
      <c r="M1153" s="31">
        <v>65</v>
      </c>
      <c r="N1153" s="72">
        <v>30000</v>
      </c>
      <c r="O1153" s="34">
        <v>6.5</v>
      </c>
    </row>
    <row r="1154" spans="2:15" x14ac:dyDescent="0.2">
      <c r="B1154" s="27" t="s">
        <v>164</v>
      </c>
      <c r="C1154" s="28">
        <v>6</v>
      </c>
      <c r="D1154" s="33" t="str">
        <f>IF(C1154="", "",VLOOKUP(C1154,Key!$A$5:$B$7,2,FALSE))</f>
        <v>Large Bus</v>
      </c>
      <c r="E1154" s="29" t="s">
        <v>246</v>
      </c>
      <c r="F1154" s="29" t="s">
        <v>67</v>
      </c>
      <c r="G1154" s="29" t="s">
        <v>70</v>
      </c>
      <c r="H1154" s="30" t="s">
        <v>70</v>
      </c>
      <c r="I1154" s="29" t="s">
        <v>257</v>
      </c>
      <c r="J1154" s="29" t="s">
        <v>153</v>
      </c>
      <c r="K1154" s="30" t="s">
        <v>153</v>
      </c>
      <c r="L1154" s="29" t="str">
        <f t="shared" si="17"/>
        <v>KAMPALA-KITGUM</v>
      </c>
      <c r="M1154" s="31">
        <v>64</v>
      </c>
      <c r="N1154" s="72">
        <v>30000</v>
      </c>
      <c r="O1154" s="34">
        <v>6.5</v>
      </c>
    </row>
    <row r="1155" spans="2:15" x14ac:dyDescent="0.2">
      <c r="B1155" s="27" t="s">
        <v>165</v>
      </c>
      <c r="C1155" s="28">
        <v>6</v>
      </c>
      <c r="D1155" s="33" t="str">
        <f>IF(C1155="", "",VLOOKUP(C1155,Key!$A$5:$B$7,2,FALSE))</f>
        <v>Large Bus</v>
      </c>
      <c r="E1155" s="29" t="s">
        <v>246</v>
      </c>
      <c r="F1155" s="29" t="s">
        <v>67</v>
      </c>
      <c r="G1155" s="29" t="s">
        <v>70</v>
      </c>
      <c r="H1155" s="30" t="s">
        <v>70</v>
      </c>
      <c r="I1155" s="29" t="s">
        <v>257</v>
      </c>
      <c r="J1155" s="29" t="s">
        <v>153</v>
      </c>
      <c r="K1155" s="30" t="s">
        <v>153</v>
      </c>
      <c r="L1155" s="29" t="str">
        <f t="shared" si="17"/>
        <v>KAMPALA-KITGUM</v>
      </c>
      <c r="M1155" s="31">
        <v>67</v>
      </c>
      <c r="N1155" s="72">
        <v>30000</v>
      </c>
      <c r="O1155" s="34">
        <v>6.5</v>
      </c>
    </row>
    <row r="1156" spans="2:15" x14ac:dyDescent="0.2">
      <c r="B1156" s="27" t="s">
        <v>152</v>
      </c>
      <c r="C1156" s="28">
        <v>6</v>
      </c>
      <c r="D1156" s="33" t="str">
        <f>IF(C1156="", "",VLOOKUP(C1156,Key!$A$5:$B$7,2,FALSE))</f>
        <v>Large Bus</v>
      </c>
      <c r="E1156" s="29" t="s">
        <v>246</v>
      </c>
      <c r="F1156" s="29" t="s">
        <v>66</v>
      </c>
      <c r="G1156" s="29" t="s">
        <v>153</v>
      </c>
      <c r="H1156" s="30" t="s">
        <v>153</v>
      </c>
      <c r="I1156" s="29" t="s">
        <v>257</v>
      </c>
      <c r="J1156" s="29" t="s">
        <v>70</v>
      </c>
      <c r="K1156" s="30" t="s">
        <v>70</v>
      </c>
      <c r="L1156" s="29" t="str">
        <f t="shared" si="17"/>
        <v>KITGUM-KAMPALA</v>
      </c>
      <c r="M1156" s="31">
        <v>67</v>
      </c>
      <c r="N1156" s="72">
        <v>27000</v>
      </c>
      <c r="O1156" s="34">
        <v>6.5</v>
      </c>
    </row>
    <row r="1157" spans="2:15" x14ac:dyDescent="0.2">
      <c r="B1157" s="45" t="s">
        <v>218</v>
      </c>
      <c r="C1157" s="47"/>
      <c r="D1157" s="33" t="str">
        <f>IF(C1157="", "",VLOOKUP(C1157,Key!$A$5:$B$7,2,FALSE))</f>
        <v/>
      </c>
      <c r="E1157" s="44" t="s">
        <v>229</v>
      </c>
      <c r="F1157" s="48"/>
      <c r="G1157" s="47"/>
      <c r="H1157" s="47"/>
      <c r="I1157" s="47"/>
      <c r="J1157" s="47"/>
      <c r="K1157" s="47"/>
      <c r="L1157" s="47" t="str">
        <f t="shared" si="17"/>
        <v>-</v>
      </c>
      <c r="M1157" s="47"/>
      <c r="N1157" s="48"/>
      <c r="O1157" s="48"/>
    </row>
    <row r="1158" spans="2:15" x14ac:dyDescent="0.2">
      <c r="B1158" s="27"/>
      <c r="C1158" s="28">
        <v>6</v>
      </c>
      <c r="D1158" s="33" t="str">
        <f>IF(C1158="", "",VLOOKUP(C1158,Key!$A$5:$B$7,2,FALSE))</f>
        <v>Large Bus</v>
      </c>
      <c r="E1158" s="29" t="s">
        <v>230</v>
      </c>
      <c r="F1158" s="29" t="s">
        <v>67</v>
      </c>
      <c r="G1158" s="29" t="s">
        <v>94</v>
      </c>
      <c r="H1158" s="30" t="s">
        <v>94</v>
      </c>
      <c r="I1158" s="29" t="s">
        <v>257</v>
      </c>
      <c r="J1158" s="29" t="s">
        <v>70</v>
      </c>
      <c r="K1158" s="30" t="s">
        <v>70</v>
      </c>
      <c r="L1158" s="29" t="str">
        <f t="shared" si="17"/>
        <v>KIGALI-KAMPALA</v>
      </c>
      <c r="M1158" s="31">
        <v>33</v>
      </c>
      <c r="N1158" s="72">
        <v>51000</v>
      </c>
      <c r="O1158" s="34">
        <v>8.6</v>
      </c>
    </row>
    <row r="1159" spans="2:15" x14ac:dyDescent="0.2">
      <c r="B1159" s="27"/>
      <c r="C1159" s="28">
        <v>6</v>
      </c>
      <c r="D1159" s="33" t="str">
        <f>IF(C1159="", "",VLOOKUP(C1159,Key!$A$5:$B$7,2,FALSE))</f>
        <v>Large Bus</v>
      </c>
      <c r="E1159" s="29" t="s">
        <v>230</v>
      </c>
      <c r="F1159" s="29" t="s">
        <v>67</v>
      </c>
      <c r="G1159" s="29" t="s">
        <v>113</v>
      </c>
      <c r="H1159" s="30" t="s">
        <v>113</v>
      </c>
      <c r="I1159" s="29" t="s">
        <v>257</v>
      </c>
      <c r="J1159" s="29" t="s">
        <v>70</v>
      </c>
      <c r="K1159" s="30" t="s">
        <v>70</v>
      </c>
      <c r="L1159" s="29" t="str">
        <f t="shared" si="17"/>
        <v>NAIROBI-KAMPALA</v>
      </c>
      <c r="M1159" s="31">
        <v>0</v>
      </c>
      <c r="N1159" s="72">
        <v>80000</v>
      </c>
      <c r="O1159" s="34">
        <v>13</v>
      </c>
    </row>
    <row r="1160" spans="2:15" x14ac:dyDescent="0.2">
      <c r="B1160" s="27"/>
      <c r="C1160" s="28">
        <v>6</v>
      </c>
      <c r="D1160" s="33" t="str">
        <f>IF(C1160="", "",VLOOKUP(C1160,Key!$A$5:$B$7,2,FALSE))</f>
        <v>Large Bus</v>
      </c>
      <c r="E1160" s="29" t="s">
        <v>230</v>
      </c>
      <c r="F1160" s="29" t="s">
        <v>67</v>
      </c>
      <c r="G1160" s="29" t="s">
        <v>70</v>
      </c>
      <c r="H1160" s="30" t="s">
        <v>70</v>
      </c>
      <c r="I1160" s="29" t="s">
        <v>257</v>
      </c>
      <c r="J1160" s="29" t="s">
        <v>113</v>
      </c>
      <c r="K1160" s="30" t="s">
        <v>113</v>
      </c>
      <c r="L1160" s="29" t="str">
        <f t="shared" si="17"/>
        <v>KAMPALA-NAIROBI</v>
      </c>
      <c r="M1160" s="31">
        <v>42</v>
      </c>
      <c r="N1160" s="72">
        <v>90000</v>
      </c>
      <c r="O1160" s="34">
        <v>13</v>
      </c>
    </row>
    <row r="1161" spans="2:15" x14ac:dyDescent="0.2">
      <c r="B1161" s="27" t="s">
        <v>174</v>
      </c>
      <c r="C1161" s="28">
        <v>6</v>
      </c>
      <c r="D1161" s="33" t="str">
        <f>IF(C1161="", "",VLOOKUP(C1161,Key!$A$5:$B$7,2,FALSE))</f>
        <v>Large Bus</v>
      </c>
      <c r="E1161" s="29" t="s">
        <v>230</v>
      </c>
      <c r="F1161" s="29" t="s">
        <v>67</v>
      </c>
      <c r="G1161" s="29" t="s">
        <v>70</v>
      </c>
      <c r="H1161" s="30" t="s">
        <v>70</v>
      </c>
      <c r="I1161" s="29" t="s">
        <v>257</v>
      </c>
      <c r="J1161" s="29" t="s">
        <v>113</v>
      </c>
      <c r="K1161" s="30" t="s">
        <v>113</v>
      </c>
      <c r="L1161" s="29" t="str">
        <f t="shared" si="17"/>
        <v>KAMPALA-NAIROBI</v>
      </c>
      <c r="M1161" s="31">
        <v>45</v>
      </c>
      <c r="N1161" s="72">
        <v>90000</v>
      </c>
      <c r="O1161" s="34">
        <v>13</v>
      </c>
    </row>
    <row r="1162" spans="2:15" x14ac:dyDescent="0.2">
      <c r="B1162" s="27" t="s">
        <v>175</v>
      </c>
      <c r="C1162" s="28">
        <v>6</v>
      </c>
      <c r="D1162" s="33" t="str">
        <f>IF(C1162="", "",VLOOKUP(C1162,Key!$A$5:$B$7,2,FALSE))</f>
        <v>Large Bus</v>
      </c>
      <c r="E1162" s="29" t="s">
        <v>230</v>
      </c>
      <c r="F1162" s="29" t="s">
        <v>67</v>
      </c>
      <c r="G1162" s="29" t="s">
        <v>70</v>
      </c>
      <c r="H1162" s="30" t="s">
        <v>70</v>
      </c>
      <c r="I1162" s="29" t="s">
        <v>257</v>
      </c>
      <c r="J1162" s="29" t="s">
        <v>113</v>
      </c>
      <c r="K1162" s="30" t="s">
        <v>113</v>
      </c>
      <c r="L1162" s="29" t="str">
        <f t="shared" ref="L1162:L1225" si="18">H1162&amp;"-"&amp;K1162</f>
        <v>KAMPALA-NAIROBI</v>
      </c>
      <c r="M1162" s="31">
        <v>45</v>
      </c>
      <c r="N1162" s="72">
        <v>90000</v>
      </c>
      <c r="O1162" s="34">
        <v>13</v>
      </c>
    </row>
    <row r="1163" spans="2:15" x14ac:dyDescent="0.2">
      <c r="B1163" s="27" t="s">
        <v>176</v>
      </c>
      <c r="C1163" s="28">
        <v>6</v>
      </c>
      <c r="D1163" s="33" t="str">
        <f>IF(C1163="", "",VLOOKUP(C1163,Key!$A$5:$B$7,2,FALSE))</f>
        <v>Large Bus</v>
      </c>
      <c r="E1163" s="29" t="s">
        <v>230</v>
      </c>
      <c r="F1163" s="29" t="s">
        <v>66</v>
      </c>
      <c r="G1163" s="29" t="s">
        <v>113</v>
      </c>
      <c r="H1163" s="30" t="s">
        <v>113</v>
      </c>
      <c r="I1163" s="29" t="s">
        <v>257</v>
      </c>
      <c r="J1163" s="29" t="s">
        <v>70</v>
      </c>
      <c r="K1163" s="30" t="s">
        <v>70</v>
      </c>
      <c r="L1163" s="29" t="str">
        <f t="shared" si="18"/>
        <v>NAIROBI-KAMPALA</v>
      </c>
      <c r="M1163" s="31">
        <v>46</v>
      </c>
      <c r="N1163" s="72">
        <v>80000</v>
      </c>
      <c r="O1163" s="34">
        <v>13</v>
      </c>
    </row>
    <row r="1164" spans="2:15" x14ac:dyDescent="0.2">
      <c r="B1164" s="27" t="s">
        <v>177</v>
      </c>
      <c r="C1164" s="28">
        <v>6</v>
      </c>
      <c r="D1164" s="33" t="str">
        <f>IF(C1164="", "",VLOOKUP(C1164,Key!$A$5:$B$7,2,FALSE))</f>
        <v>Large Bus</v>
      </c>
      <c r="E1164" s="29" t="s">
        <v>230</v>
      </c>
      <c r="F1164" s="29" t="s">
        <v>66</v>
      </c>
      <c r="G1164" s="29" t="s">
        <v>94</v>
      </c>
      <c r="H1164" s="30" t="s">
        <v>94</v>
      </c>
      <c r="I1164" s="29" t="s">
        <v>257</v>
      </c>
      <c r="J1164" s="29" t="s">
        <v>70</v>
      </c>
      <c r="K1164" s="30" t="s">
        <v>70</v>
      </c>
      <c r="L1164" s="29" t="str">
        <f t="shared" si="18"/>
        <v>KIGALI-KAMPALA</v>
      </c>
      <c r="M1164" s="31">
        <v>22</v>
      </c>
      <c r="N1164" s="72">
        <v>51000</v>
      </c>
      <c r="O1164" s="34">
        <v>8.6</v>
      </c>
    </row>
    <row r="1165" spans="2:15" x14ac:dyDescent="0.2">
      <c r="B1165" s="27" t="s">
        <v>178</v>
      </c>
      <c r="C1165" s="28">
        <v>6</v>
      </c>
      <c r="D1165" s="33" t="str">
        <f>IF(C1165="", "",VLOOKUP(C1165,Key!$A$5:$B$7,2,FALSE))</f>
        <v>Large Bus</v>
      </c>
      <c r="E1165" s="29" t="s">
        <v>230</v>
      </c>
      <c r="F1165" s="29" t="s">
        <v>66</v>
      </c>
      <c r="G1165" s="29" t="s">
        <v>113</v>
      </c>
      <c r="H1165" s="30" t="s">
        <v>113</v>
      </c>
      <c r="I1165" s="29" t="s">
        <v>257</v>
      </c>
      <c r="J1165" s="29" t="s">
        <v>70</v>
      </c>
      <c r="K1165" s="30" t="s">
        <v>70</v>
      </c>
      <c r="L1165" s="29" t="str">
        <f t="shared" si="18"/>
        <v>NAIROBI-KAMPALA</v>
      </c>
      <c r="M1165" s="31">
        <v>45</v>
      </c>
      <c r="N1165" s="72">
        <v>80000</v>
      </c>
      <c r="O1165" s="34">
        <v>13</v>
      </c>
    </row>
    <row r="1166" spans="2:15" x14ac:dyDescent="0.2">
      <c r="B1166" s="27" t="s">
        <v>179</v>
      </c>
      <c r="C1166" s="28">
        <v>6</v>
      </c>
      <c r="D1166" s="33" t="str">
        <f>IF(C1166="", "",VLOOKUP(C1166,Key!$A$5:$B$7,2,FALSE))</f>
        <v>Large Bus</v>
      </c>
      <c r="E1166" s="29" t="s">
        <v>230</v>
      </c>
      <c r="F1166" s="29" t="s">
        <v>66</v>
      </c>
      <c r="G1166" s="29" t="s">
        <v>113</v>
      </c>
      <c r="H1166" s="30" t="s">
        <v>113</v>
      </c>
      <c r="I1166" s="29" t="s">
        <v>257</v>
      </c>
      <c r="J1166" s="29" t="s">
        <v>70</v>
      </c>
      <c r="K1166" s="30" t="s">
        <v>70</v>
      </c>
      <c r="L1166" s="29" t="str">
        <f t="shared" si="18"/>
        <v>NAIROBI-KAMPALA</v>
      </c>
      <c r="M1166" s="31">
        <v>45</v>
      </c>
      <c r="N1166" s="72">
        <v>80000</v>
      </c>
      <c r="O1166" s="34">
        <v>13</v>
      </c>
    </row>
    <row r="1167" spans="2:15" x14ac:dyDescent="0.2">
      <c r="B1167" s="27" t="s">
        <v>180</v>
      </c>
      <c r="C1167" s="28">
        <v>6</v>
      </c>
      <c r="D1167" s="33" t="str">
        <f>IF(C1167="", "",VLOOKUP(C1167,Key!$A$5:$B$7,2,FALSE))</f>
        <v>Large Bus</v>
      </c>
      <c r="E1167" s="29" t="s">
        <v>230</v>
      </c>
      <c r="F1167" s="29" t="s">
        <v>66</v>
      </c>
      <c r="G1167" s="29" t="s">
        <v>181</v>
      </c>
      <c r="H1167" s="30" t="s">
        <v>181</v>
      </c>
      <c r="I1167" s="29" t="s">
        <v>257</v>
      </c>
      <c r="J1167" s="29" t="s">
        <v>70</v>
      </c>
      <c r="K1167" s="30" t="s">
        <v>70</v>
      </c>
      <c r="L1167" s="29" t="str">
        <f t="shared" si="18"/>
        <v>MOMBASA-KAMPALA</v>
      </c>
      <c r="M1167" s="31">
        <v>45</v>
      </c>
      <c r="N1167" s="72">
        <v>115000</v>
      </c>
      <c r="O1167" s="34">
        <v>20</v>
      </c>
    </row>
    <row r="1168" spans="2:15" x14ac:dyDescent="0.2">
      <c r="B1168" s="45" t="s">
        <v>219</v>
      </c>
      <c r="C1168" s="47"/>
      <c r="D1168" s="33" t="str">
        <f>IF(C1168="", "",VLOOKUP(C1168,Key!$A$5:$B$7,2,FALSE))</f>
        <v/>
      </c>
      <c r="E1168" s="44" t="s">
        <v>230</v>
      </c>
      <c r="F1168" s="48"/>
      <c r="G1168" s="47"/>
      <c r="H1168" s="47"/>
      <c r="I1168" s="47" t="s">
        <v>257</v>
      </c>
      <c r="J1168" s="47"/>
      <c r="K1168" s="47"/>
      <c r="L1168" s="47" t="str">
        <f t="shared" si="18"/>
        <v>-</v>
      </c>
      <c r="M1168" s="47"/>
      <c r="N1168" s="48"/>
      <c r="O1168" s="48"/>
    </row>
    <row r="1169" spans="2:15" x14ac:dyDescent="0.2">
      <c r="B1169" s="27" t="s">
        <v>166</v>
      </c>
      <c r="C1169" s="28">
        <v>6</v>
      </c>
      <c r="D1169" s="33" t="str">
        <f>IF(C1169="", "",VLOOKUP(C1169,Key!$A$5:$B$7,2,FALSE))</f>
        <v>Large Bus</v>
      </c>
      <c r="E1169" s="29" t="s">
        <v>230</v>
      </c>
      <c r="F1169" s="29" t="s">
        <v>66</v>
      </c>
      <c r="G1169" s="29" t="s">
        <v>94</v>
      </c>
      <c r="H1169" s="30" t="s">
        <v>94</v>
      </c>
      <c r="I1169" s="29" t="s">
        <v>257</v>
      </c>
      <c r="J1169" s="29" t="s">
        <v>70</v>
      </c>
      <c r="K1169" s="30" t="s">
        <v>70</v>
      </c>
      <c r="L1169" s="29" t="str">
        <f t="shared" si="18"/>
        <v>KIGALI-KAMPALA</v>
      </c>
      <c r="M1169" s="31">
        <v>30</v>
      </c>
      <c r="N1169" s="72">
        <v>51000</v>
      </c>
      <c r="O1169" s="34">
        <v>8.6</v>
      </c>
    </row>
    <row r="1170" spans="2:15" x14ac:dyDescent="0.2">
      <c r="B1170" s="27" t="s">
        <v>167</v>
      </c>
      <c r="C1170" s="28">
        <v>6</v>
      </c>
      <c r="D1170" s="33" t="str">
        <f>IF(C1170="", "",VLOOKUP(C1170,Key!$A$5:$B$7,2,FALSE))</f>
        <v>Large Bus</v>
      </c>
      <c r="E1170" s="29" t="s">
        <v>230</v>
      </c>
      <c r="F1170" s="29" t="s">
        <v>66</v>
      </c>
      <c r="G1170" s="29" t="s">
        <v>113</v>
      </c>
      <c r="H1170" s="30" t="s">
        <v>113</v>
      </c>
      <c r="I1170" s="29" t="s">
        <v>257</v>
      </c>
      <c r="J1170" s="29" t="s">
        <v>70</v>
      </c>
      <c r="K1170" s="30" t="s">
        <v>70</v>
      </c>
      <c r="L1170" s="29" t="str">
        <f t="shared" si="18"/>
        <v>NAIROBI-KAMPALA</v>
      </c>
      <c r="M1170" s="31">
        <v>40</v>
      </c>
      <c r="N1170" s="72">
        <v>80000</v>
      </c>
      <c r="O1170" s="34">
        <v>13</v>
      </c>
    </row>
    <row r="1171" spans="2:15" x14ac:dyDescent="0.2">
      <c r="B1171" s="27" t="s">
        <v>168</v>
      </c>
      <c r="C1171" s="28">
        <v>6</v>
      </c>
      <c r="D1171" s="33" t="str">
        <f>IF(C1171="", "",VLOOKUP(C1171,Key!$A$5:$B$7,2,FALSE))</f>
        <v>Large Bus</v>
      </c>
      <c r="E1171" s="29" t="s">
        <v>230</v>
      </c>
      <c r="F1171" s="29" t="s">
        <v>66</v>
      </c>
      <c r="G1171" s="29" t="s">
        <v>113</v>
      </c>
      <c r="H1171" s="30" t="s">
        <v>113</v>
      </c>
      <c r="I1171" s="29" t="s">
        <v>257</v>
      </c>
      <c r="J1171" s="29" t="s">
        <v>70</v>
      </c>
      <c r="K1171" s="30" t="s">
        <v>70</v>
      </c>
      <c r="L1171" s="29" t="str">
        <f t="shared" si="18"/>
        <v>NAIROBI-KAMPALA</v>
      </c>
      <c r="M1171" s="31">
        <v>22</v>
      </c>
      <c r="N1171" s="72">
        <v>80000</v>
      </c>
      <c r="O1171" s="34">
        <v>13</v>
      </c>
    </row>
    <row r="1172" spans="2:15" x14ac:dyDescent="0.2">
      <c r="B1172" s="27" t="s">
        <v>169</v>
      </c>
      <c r="C1172" s="28">
        <v>6</v>
      </c>
      <c r="D1172" s="33" t="str">
        <f>IF(C1172="", "",VLOOKUP(C1172,Key!$A$5:$B$7,2,FALSE))</f>
        <v>Large Bus</v>
      </c>
      <c r="E1172" s="29" t="s">
        <v>230</v>
      </c>
      <c r="F1172" s="29" t="s">
        <v>66</v>
      </c>
      <c r="G1172" s="29" t="s">
        <v>113</v>
      </c>
      <c r="H1172" s="30" t="s">
        <v>113</v>
      </c>
      <c r="I1172" s="29" t="s">
        <v>257</v>
      </c>
      <c r="J1172" s="29" t="s">
        <v>70</v>
      </c>
      <c r="K1172" s="30" t="s">
        <v>70</v>
      </c>
      <c r="L1172" s="29" t="str">
        <f t="shared" si="18"/>
        <v>NAIROBI-KAMPALA</v>
      </c>
      <c r="M1172" s="31">
        <v>26</v>
      </c>
      <c r="N1172" s="72">
        <v>80000</v>
      </c>
      <c r="O1172" s="34">
        <v>13</v>
      </c>
    </row>
    <row r="1173" spans="2:15" x14ac:dyDescent="0.2">
      <c r="B1173" s="27">
        <v>0.95138888888888884</v>
      </c>
      <c r="C1173" s="28">
        <v>6</v>
      </c>
      <c r="D1173" s="33" t="str">
        <f>IF(C1173="", "",VLOOKUP(C1173,Key!$A$5:$B$7,2,FALSE))</f>
        <v>Large Bus</v>
      </c>
      <c r="E1173" s="29" t="s">
        <v>230</v>
      </c>
      <c r="F1173" s="29" t="s">
        <v>66</v>
      </c>
      <c r="G1173" s="29" t="s">
        <v>113</v>
      </c>
      <c r="H1173" s="30" t="s">
        <v>113</v>
      </c>
      <c r="I1173" s="29" t="s">
        <v>257</v>
      </c>
      <c r="J1173" s="29" t="s">
        <v>70</v>
      </c>
      <c r="K1173" s="30" t="s">
        <v>70</v>
      </c>
      <c r="L1173" s="29" t="str">
        <f t="shared" si="18"/>
        <v>NAIROBI-KAMPALA</v>
      </c>
      <c r="M1173" s="31">
        <v>45</v>
      </c>
      <c r="N1173" s="72">
        <v>80000</v>
      </c>
      <c r="O1173" s="34">
        <v>13</v>
      </c>
    </row>
    <row r="1174" spans="2:15" x14ac:dyDescent="0.2">
      <c r="B1174" s="27">
        <v>0.64930555555555558</v>
      </c>
      <c r="C1174" s="28">
        <v>6</v>
      </c>
      <c r="D1174" s="33" t="str">
        <f>IF(C1174="", "",VLOOKUP(C1174,Key!$A$5:$B$7,2,FALSE))</f>
        <v>Large Bus</v>
      </c>
      <c r="E1174" s="29" t="s">
        <v>230</v>
      </c>
      <c r="F1174" s="29" t="s">
        <v>66</v>
      </c>
      <c r="G1174" s="29" t="s">
        <v>94</v>
      </c>
      <c r="H1174" s="30" t="s">
        <v>94</v>
      </c>
      <c r="I1174" s="29" t="s">
        <v>257</v>
      </c>
      <c r="J1174" s="29" t="s">
        <v>70</v>
      </c>
      <c r="K1174" s="30" t="s">
        <v>70</v>
      </c>
      <c r="L1174" s="29" t="str">
        <f t="shared" si="18"/>
        <v>KIGALI-KAMPALA</v>
      </c>
      <c r="M1174" s="31">
        <v>30</v>
      </c>
      <c r="N1174" s="72">
        <v>51000</v>
      </c>
      <c r="O1174" s="34">
        <v>8.6</v>
      </c>
    </row>
    <row r="1175" spans="2:15" x14ac:dyDescent="0.2">
      <c r="B1175" s="27" t="s">
        <v>170</v>
      </c>
      <c r="C1175" s="28">
        <v>6</v>
      </c>
      <c r="D1175" s="33" t="str">
        <f>IF(C1175="", "",VLOOKUP(C1175,Key!$A$5:$B$7,2,FALSE))</f>
        <v>Large Bus</v>
      </c>
      <c r="E1175" s="29" t="s">
        <v>230</v>
      </c>
      <c r="F1175" s="29" t="s">
        <v>67</v>
      </c>
      <c r="G1175" s="29" t="s">
        <v>70</v>
      </c>
      <c r="H1175" s="30" t="s">
        <v>70</v>
      </c>
      <c r="I1175" s="29" t="s">
        <v>257</v>
      </c>
      <c r="J1175" s="29" t="s">
        <v>113</v>
      </c>
      <c r="K1175" s="30" t="s">
        <v>113</v>
      </c>
      <c r="L1175" s="29" t="str">
        <f t="shared" si="18"/>
        <v>KAMPALA-NAIROBI</v>
      </c>
      <c r="M1175" s="31">
        <v>45</v>
      </c>
      <c r="N1175" s="72">
        <v>90000</v>
      </c>
      <c r="O1175" s="34">
        <v>13</v>
      </c>
    </row>
    <row r="1176" spans="2:15" x14ac:dyDescent="0.2">
      <c r="B1176" s="27" t="s">
        <v>171</v>
      </c>
      <c r="C1176" s="28">
        <v>6</v>
      </c>
      <c r="D1176" s="33" t="str">
        <f>IF(C1176="", "",VLOOKUP(C1176,Key!$A$5:$B$7,2,FALSE))</f>
        <v>Large Bus</v>
      </c>
      <c r="E1176" s="29" t="s">
        <v>230</v>
      </c>
      <c r="F1176" s="29" t="s">
        <v>67</v>
      </c>
      <c r="G1176" s="29" t="s">
        <v>70</v>
      </c>
      <c r="H1176" s="30" t="s">
        <v>70</v>
      </c>
      <c r="I1176" s="29" t="s">
        <v>257</v>
      </c>
      <c r="J1176" s="29" t="s">
        <v>113</v>
      </c>
      <c r="K1176" s="30" t="s">
        <v>113</v>
      </c>
      <c r="L1176" s="29" t="str">
        <f t="shared" si="18"/>
        <v>KAMPALA-NAIROBI</v>
      </c>
      <c r="M1176" s="31">
        <v>26</v>
      </c>
      <c r="N1176" s="72">
        <v>90000</v>
      </c>
      <c r="O1176" s="34">
        <v>13</v>
      </c>
    </row>
    <row r="1177" spans="2:15" x14ac:dyDescent="0.2">
      <c r="B1177" s="27" t="s">
        <v>163</v>
      </c>
      <c r="C1177" s="28">
        <v>6</v>
      </c>
      <c r="D1177" s="33" t="str">
        <f>IF(C1177="", "",VLOOKUP(C1177,Key!$A$5:$B$7,2,FALSE))</f>
        <v>Large Bus</v>
      </c>
      <c r="E1177" s="29" t="s">
        <v>230</v>
      </c>
      <c r="F1177" s="29" t="s">
        <v>67</v>
      </c>
      <c r="G1177" s="29" t="s">
        <v>70</v>
      </c>
      <c r="H1177" s="30" t="s">
        <v>70</v>
      </c>
      <c r="I1177" s="29" t="s">
        <v>257</v>
      </c>
      <c r="J1177" s="29" t="s">
        <v>113</v>
      </c>
      <c r="K1177" s="30" t="s">
        <v>113</v>
      </c>
      <c r="L1177" s="29" t="str">
        <f t="shared" si="18"/>
        <v>KAMPALA-NAIROBI</v>
      </c>
      <c r="M1177" s="31">
        <v>18</v>
      </c>
      <c r="N1177" s="72">
        <v>90000</v>
      </c>
      <c r="O1177" s="34">
        <v>13</v>
      </c>
    </row>
    <row r="1178" spans="2:15" x14ac:dyDescent="0.2">
      <c r="B1178" s="27" t="s">
        <v>172</v>
      </c>
      <c r="C1178" s="28">
        <v>6</v>
      </c>
      <c r="D1178" s="33" t="str">
        <f>IF(C1178="", "",VLOOKUP(C1178,Key!$A$5:$B$7,2,FALSE))</f>
        <v>Large Bus</v>
      </c>
      <c r="E1178" s="29" t="s">
        <v>230</v>
      </c>
      <c r="F1178" s="29" t="s">
        <v>67</v>
      </c>
      <c r="G1178" s="29" t="s">
        <v>70</v>
      </c>
      <c r="H1178" s="30" t="s">
        <v>70</v>
      </c>
      <c r="I1178" s="29" t="s">
        <v>257</v>
      </c>
      <c r="J1178" s="29" t="s">
        <v>173</v>
      </c>
      <c r="K1178" s="30" t="s">
        <v>113</v>
      </c>
      <c r="L1178" s="29" t="str">
        <f t="shared" si="18"/>
        <v>KAMPALA-NAIROBI</v>
      </c>
      <c r="M1178" s="31">
        <v>47</v>
      </c>
      <c r="N1178" s="72">
        <v>90000</v>
      </c>
      <c r="O1178" s="34">
        <v>13</v>
      </c>
    </row>
    <row r="1179" spans="2:15" x14ac:dyDescent="0.2">
      <c r="B1179" s="45" t="s">
        <v>220</v>
      </c>
      <c r="C1179" s="47"/>
      <c r="D1179" s="33" t="str">
        <f>IF(C1179="", "",VLOOKUP(C1179,Key!$A$5:$B$7,2,FALSE))</f>
        <v/>
      </c>
      <c r="E1179" s="44" t="s">
        <v>230</v>
      </c>
      <c r="F1179" s="48"/>
      <c r="G1179" s="47"/>
      <c r="H1179" s="47"/>
      <c r="I1179" s="47" t="s">
        <v>257</v>
      </c>
      <c r="J1179" s="47"/>
      <c r="K1179" s="47"/>
      <c r="L1179" s="47" t="str">
        <f t="shared" si="18"/>
        <v>-</v>
      </c>
      <c r="M1179" s="47"/>
      <c r="N1179" s="48"/>
      <c r="O1179" s="48"/>
    </row>
    <row r="1180" spans="2:15" x14ac:dyDescent="0.2">
      <c r="B1180" s="27" t="s">
        <v>182</v>
      </c>
      <c r="C1180" s="28">
        <v>6</v>
      </c>
      <c r="D1180" s="33" t="str">
        <f>IF(C1180="", "",VLOOKUP(C1180,Key!$A$5:$B$7,2,FALSE))</f>
        <v>Large Bus</v>
      </c>
      <c r="E1180" s="29" t="s">
        <v>230</v>
      </c>
      <c r="F1180" s="29" t="s">
        <v>67</v>
      </c>
      <c r="G1180" s="29" t="s">
        <v>70</v>
      </c>
      <c r="H1180" s="30" t="s">
        <v>70</v>
      </c>
      <c r="I1180" s="29" t="s">
        <v>257</v>
      </c>
      <c r="J1180" s="29" t="s">
        <v>113</v>
      </c>
      <c r="K1180" s="30" t="s">
        <v>113</v>
      </c>
      <c r="L1180" s="29" t="str">
        <f t="shared" si="18"/>
        <v>KAMPALA-NAIROBI</v>
      </c>
      <c r="M1180" s="31">
        <v>32</v>
      </c>
      <c r="N1180" s="72">
        <v>90000</v>
      </c>
      <c r="O1180" s="34">
        <v>13</v>
      </c>
    </row>
    <row r="1181" spans="2:15" x14ac:dyDescent="0.2">
      <c r="B1181" s="27" t="s">
        <v>183</v>
      </c>
      <c r="C1181" s="28">
        <v>6</v>
      </c>
      <c r="D1181" s="33" t="str">
        <f>IF(C1181="", "",VLOOKUP(C1181,Key!$A$5:$B$7,2,FALSE))</f>
        <v>Large Bus</v>
      </c>
      <c r="E1181" s="29" t="s">
        <v>230</v>
      </c>
      <c r="F1181" s="29" t="s">
        <v>67</v>
      </c>
      <c r="G1181" s="29" t="s">
        <v>70</v>
      </c>
      <c r="H1181" s="30" t="s">
        <v>70</v>
      </c>
      <c r="I1181" s="29" t="s">
        <v>257</v>
      </c>
      <c r="J1181" s="29" t="s">
        <v>113</v>
      </c>
      <c r="K1181" s="30" t="s">
        <v>113</v>
      </c>
      <c r="L1181" s="29" t="str">
        <f t="shared" si="18"/>
        <v>KAMPALA-NAIROBI</v>
      </c>
      <c r="M1181" s="31">
        <v>39</v>
      </c>
      <c r="N1181" s="72">
        <v>90000</v>
      </c>
      <c r="O1181" s="34">
        <v>13</v>
      </c>
    </row>
    <row r="1182" spans="2:15" x14ac:dyDescent="0.2">
      <c r="B1182" s="27" t="s">
        <v>142</v>
      </c>
      <c r="C1182" s="28">
        <v>6</v>
      </c>
      <c r="D1182" s="33" t="str">
        <f>IF(C1182="", "",VLOOKUP(C1182,Key!$A$5:$B$7,2,FALSE))</f>
        <v>Large Bus</v>
      </c>
      <c r="E1182" s="29" t="s">
        <v>230</v>
      </c>
      <c r="F1182" s="29" t="s">
        <v>66</v>
      </c>
      <c r="G1182" s="29" t="s">
        <v>94</v>
      </c>
      <c r="H1182" s="30" t="s">
        <v>94</v>
      </c>
      <c r="I1182" s="29" t="s">
        <v>257</v>
      </c>
      <c r="J1182" s="29" t="s">
        <v>70</v>
      </c>
      <c r="K1182" s="30" t="s">
        <v>70</v>
      </c>
      <c r="L1182" s="29" t="str">
        <f t="shared" si="18"/>
        <v>KIGALI-KAMPALA</v>
      </c>
      <c r="M1182" s="31">
        <v>32</v>
      </c>
      <c r="N1182" s="72">
        <v>51000</v>
      </c>
      <c r="O1182" s="34">
        <v>8.6</v>
      </c>
    </row>
    <row r="1183" spans="2:15" x14ac:dyDescent="0.2">
      <c r="B1183" s="27">
        <v>0.3611111111111111</v>
      </c>
      <c r="C1183" s="28">
        <v>6</v>
      </c>
      <c r="D1183" s="33" t="str">
        <f>IF(C1183="", "",VLOOKUP(C1183,Key!$A$5:$B$7,2,FALSE))</f>
        <v>Large Bus</v>
      </c>
      <c r="E1183" s="29" t="s">
        <v>230</v>
      </c>
      <c r="F1183" s="29" t="s">
        <v>66</v>
      </c>
      <c r="G1183" s="29" t="s">
        <v>113</v>
      </c>
      <c r="H1183" s="30" t="s">
        <v>113</v>
      </c>
      <c r="I1183" s="29" t="s">
        <v>257</v>
      </c>
      <c r="J1183" s="29" t="s">
        <v>70</v>
      </c>
      <c r="K1183" s="30" t="s">
        <v>70</v>
      </c>
      <c r="L1183" s="29" t="str">
        <f t="shared" si="18"/>
        <v>NAIROBI-KAMPALA</v>
      </c>
      <c r="M1183" s="31">
        <v>44</v>
      </c>
      <c r="N1183" s="72">
        <v>80000</v>
      </c>
      <c r="O1183" s="34">
        <v>13</v>
      </c>
    </row>
    <row r="1184" spans="2:15" x14ac:dyDescent="0.2">
      <c r="B1184" s="27">
        <v>0.4826388888888889</v>
      </c>
      <c r="C1184" s="28">
        <v>6</v>
      </c>
      <c r="D1184" s="33" t="str">
        <f>IF(C1184="", "",VLOOKUP(C1184,Key!$A$5:$B$7,2,FALSE))</f>
        <v>Large Bus</v>
      </c>
      <c r="E1184" s="29" t="s">
        <v>230</v>
      </c>
      <c r="F1184" s="29" t="s">
        <v>66</v>
      </c>
      <c r="G1184" s="29" t="s">
        <v>113</v>
      </c>
      <c r="H1184" s="30" t="s">
        <v>113</v>
      </c>
      <c r="I1184" s="29" t="s">
        <v>257</v>
      </c>
      <c r="J1184" s="29" t="s">
        <v>70</v>
      </c>
      <c r="K1184" s="30" t="s">
        <v>70</v>
      </c>
      <c r="L1184" s="29" t="str">
        <f t="shared" si="18"/>
        <v>NAIROBI-KAMPALA</v>
      </c>
      <c r="M1184" s="31">
        <v>30</v>
      </c>
      <c r="N1184" s="72">
        <v>80000</v>
      </c>
      <c r="O1184" s="34">
        <v>13</v>
      </c>
    </row>
    <row r="1185" spans="2:15" x14ac:dyDescent="0.2">
      <c r="B1185" s="27">
        <v>0.66666666666666663</v>
      </c>
      <c r="C1185" s="28">
        <v>6</v>
      </c>
      <c r="D1185" s="33" t="str">
        <f>IF(C1185="", "",VLOOKUP(C1185,Key!$A$5:$B$7,2,FALSE))</f>
        <v>Large Bus</v>
      </c>
      <c r="E1185" s="29" t="s">
        <v>230</v>
      </c>
      <c r="F1185" s="29" t="s">
        <v>66</v>
      </c>
      <c r="G1185" s="29" t="s">
        <v>113</v>
      </c>
      <c r="H1185" s="30" t="s">
        <v>113</v>
      </c>
      <c r="I1185" s="29" t="s">
        <v>257</v>
      </c>
      <c r="J1185" s="29" t="s">
        <v>70</v>
      </c>
      <c r="K1185" s="30" t="s">
        <v>70</v>
      </c>
      <c r="L1185" s="29" t="str">
        <f t="shared" si="18"/>
        <v>NAIROBI-KAMPALA</v>
      </c>
      <c r="M1185" s="31">
        <v>28</v>
      </c>
      <c r="N1185" s="72">
        <v>80000</v>
      </c>
      <c r="O1185" s="34">
        <v>13</v>
      </c>
    </row>
    <row r="1186" spans="2:15" x14ac:dyDescent="0.2">
      <c r="B1186" s="27" t="s">
        <v>184</v>
      </c>
      <c r="C1186" s="28">
        <v>6</v>
      </c>
      <c r="D1186" s="33" t="str">
        <f>IF(C1186="", "",VLOOKUP(C1186,Key!$A$5:$B$7,2,FALSE))</f>
        <v>Large Bus</v>
      </c>
      <c r="E1186" s="29" t="s">
        <v>230</v>
      </c>
      <c r="F1186" s="29" t="s">
        <v>66</v>
      </c>
      <c r="G1186" s="29" t="s">
        <v>113</v>
      </c>
      <c r="H1186" s="30" t="s">
        <v>113</v>
      </c>
      <c r="I1186" s="29" t="s">
        <v>257</v>
      </c>
      <c r="J1186" s="29" t="s">
        <v>70</v>
      </c>
      <c r="K1186" s="30" t="s">
        <v>70</v>
      </c>
      <c r="L1186" s="29" t="str">
        <f t="shared" si="18"/>
        <v>NAIROBI-KAMPALA</v>
      </c>
      <c r="M1186" s="31">
        <v>42</v>
      </c>
      <c r="N1186" s="72">
        <v>80000</v>
      </c>
      <c r="O1186" s="34">
        <v>13</v>
      </c>
    </row>
    <row r="1187" spans="2:15" x14ac:dyDescent="0.2">
      <c r="B1187" s="27" t="s">
        <v>185</v>
      </c>
      <c r="C1187" s="28">
        <v>6</v>
      </c>
      <c r="D1187" s="33" t="str">
        <f>IF(C1187="", "",VLOOKUP(C1187,Key!$A$5:$B$7,2,FALSE))</f>
        <v>Large Bus</v>
      </c>
      <c r="E1187" s="29" t="s">
        <v>230</v>
      </c>
      <c r="F1187" s="29" t="s">
        <v>66</v>
      </c>
      <c r="G1187" s="29" t="s">
        <v>94</v>
      </c>
      <c r="H1187" s="30" t="s">
        <v>94</v>
      </c>
      <c r="I1187" s="29" t="s">
        <v>257</v>
      </c>
      <c r="J1187" s="29" t="s">
        <v>70</v>
      </c>
      <c r="K1187" s="30" t="s">
        <v>70</v>
      </c>
      <c r="L1187" s="29" t="str">
        <f t="shared" si="18"/>
        <v>KIGALI-KAMPALA</v>
      </c>
      <c r="M1187" s="31">
        <v>38</v>
      </c>
      <c r="N1187" s="72">
        <v>51000</v>
      </c>
      <c r="O1187" s="34">
        <v>8.6</v>
      </c>
    </row>
    <row r="1188" spans="2:15" x14ac:dyDescent="0.2">
      <c r="B1188" s="27" t="s">
        <v>186</v>
      </c>
      <c r="C1188" s="28">
        <v>6</v>
      </c>
      <c r="D1188" s="33" t="str">
        <f>IF(C1188="", "",VLOOKUP(C1188,Key!$A$5:$B$7,2,FALSE))</f>
        <v>Large Bus</v>
      </c>
      <c r="E1188" s="29" t="s">
        <v>230</v>
      </c>
      <c r="F1188" s="29" t="s">
        <v>67</v>
      </c>
      <c r="G1188" s="29" t="s">
        <v>70</v>
      </c>
      <c r="H1188" s="30" t="s">
        <v>70</v>
      </c>
      <c r="I1188" s="29" t="s">
        <v>257</v>
      </c>
      <c r="J1188" s="29" t="s">
        <v>113</v>
      </c>
      <c r="K1188" s="30" t="s">
        <v>113</v>
      </c>
      <c r="L1188" s="29" t="str">
        <f t="shared" si="18"/>
        <v>KAMPALA-NAIROBI</v>
      </c>
      <c r="M1188" s="31">
        <v>43</v>
      </c>
      <c r="N1188" s="72">
        <v>90000</v>
      </c>
      <c r="O1188" s="34">
        <v>13</v>
      </c>
    </row>
    <row r="1189" spans="2:15" x14ac:dyDescent="0.2">
      <c r="B1189" s="27" t="s">
        <v>187</v>
      </c>
      <c r="C1189" s="28">
        <v>6</v>
      </c>
      <c r="D1189" s="33" t="str">
        <f>IF(C1189="", "",VLOOKUP(C1189,Key!$A$5:$B$7,2,FALSE))</f>
        <v>Large Bus</v>
      </c>
      <c r="E1189" s="29" t="s">
        <v>230</v>
      </c>
      <c r="F1189" s="29" t="s">
        <v>67</v>
      </c>
      <c r="G1189" s="29" t="s">
        <v>70</v>
      </c>
      <c r="H1189" s="30" t="s">
        <v>70</v>
      </c>
      <c r="I1189" s="29" t="s">
        <v>257</v>
      </c>
      <c r="J1189" s="29" t="s">
        <v>173</v>
      </c>
      <c r="K1189" s="30" t="s">
        <v>113</v>
      </c>
      <c r="L1189" s="29" t="str">
        <f t="shared" si="18"/>
        <v>KAMPALA-NAIROBI</v>
      </c>
      <c r="M1189" s="31">
        <v>34</v>
      </c>
      <c r="N1189" s="72">
        <v>90000</v>
      </c>
      <c r="O1189" s="34">
        <v>13</v>
      </c>
    </row>
    <row r="1190" spans="2:15" x14ac:dyDescent="0.2">
      <c r="B1190" s="27" t="s">
        <v>188</v>
      </c>
      <c r="C1190" s="28">
        <v>6</v>
      </c>
      <c r="D1190" s="33" t="str">
        <f>IF(C1190="", "",VLOOKUP(C1190,Key!$A$5:$B$7,2,FALSE))</f>
        <v>Large Bus</v>
      </c>
      <c r="E1190" s="29" t="s">
        <v>230</v>
      </c>
      <c r="F1190" s="29" t="s">
        <v>67</v>
      </c>
      <c r="G1190" s="29" t="s">
        <v>70</v>
      </c>
      <c r="H1190" s="30" t="s">
        <v>70</v>
      </c>
      <c r="I1190" s="29" t="s">
        <v>257</v>
      </c>
      <c r="J1190" s="29" t="s">
        <v>113</v>
      </c>
      <c r="K1190" s="30" t="s">
        <v>113</v>
      </c>
      <c r="L1190" s="29" t="str">
        <f t="shared" si="18"/>
        <v>KAMPALA-NAIROBI</v>
      </c>
      <c r="M1190" s="31">
        <v>47</v>
      </c>
      <c r="N1190" s="72">
        <v>90000</v>
      </c>
      <c r="O1190" s="34">
        <v>13</v>
      </c>
    </row>
    <row r="1191" spans="2:15" x14ac:dyDescent="0.2">
      <c r="B1191" s="45" t="s">
        <v>221</v>
      </c>
      <c r="C1191" s="47"/>
      <c r="D1191" s="33" t="str">
        <f>IF(C1191="", "",VLOOKUP(C1191,Key!$A$5:$B$7,2,FALSE))</f>
        <v/>
      </c>
      <c r="E1191" s="44" t="s">
        <v>230</v>
      </c>
      <c r="F1191" s="48"/>
      <c r="G1191" s="47"/>
      <c r="H1191" s="47"/>
      <c r="I1191" s="47" t="s">
        <v>257</v>
      </c>
      <c r="J1191" s="47"/>
      <c r="K1191" s="47"/>
      <c r="L1191" s="47" t="str">
        <f t="shared" si="18"/>
        <v>-</v>
      </c>
      <c r="M1191" s="47"/>
      <c r="N1191" s="48"/>
      <c r="O1191" s="48"/>
    </row>
    <row r="1192" spans="2:15" x14ac:dyDescent="0.2">
      <c r="B1192" s="27" t="s">
        <v>189</v>
      </c>
      <c r="C1192" s="28">
        <v>6</v>
      </c>
      <c r="D1192" s="33" t="str">
        <f>IF(C1192="", "",VLOOKUP(C1192,Key!$A$5:$B$7,2,FALSE))</f>
        <v>Large Bus</v>
      </c>
      <c r="E1192" s="29" t="s">
        <v>230</v>
      </c>
      <c r="F1192" s="29" t="s">
        <v>67</v>
      </c>
      <c r="G1192" s="29" t="s">
        <v>70</v>
      </c>
      <c r="H1192" s="30" t="s">
        <v>70</v>
      </c>
      <c r="I1192" s="29" t="s">
        <v>257</v>
      </c>
      <c r="J1192" s="29" t="s">
        <v>113</v>
      </c>
      <c r="K1192" s="30" t="s">
        <v>113</v>
      </c>
      <c r="L1192" s="29" t="str">
        <f t="shared" si="18"/>
        <v>KAMPALA-NAIROBI</v>
      </c>
      <c r="M1192" s="31">
        <v>43</v>
      </c>
      <c r="N1192" s="72">
        <v>90000</v>
      </c>
      <c r="O1192" s="34">
        <v>13</v>
      </c>
    </row>
    <row r="1193" spans="2:15" x14ac:dyDescent="0.2">
      <c r="B1193" s="27" t="s">
        <v>190</v>
      </c>
      <c r="C1193" s="28">
        <v>6</v>
      </c>
      <c r="D1193" s="33" t="str">
        <f>IF(C1193="", "",VLOOKUP(C1193,Key!$A$5:$B$7,2,FALSE))</f>
        <v>Large Bus</v>
      </c>
      <c r="E1193" s="29" t="s">
        <v>230</v>
      </c>
      <c r="F1193" s="29" t="s">
        <v>67</v>
      </c>
      <c r="G1193" s="29" t="s">
        <v>70</v>
      </c>
      <c r="H1193" s="30" t="s">
        <v>70</v>
      </c>
      <c r="I1193" s="29" t="s">
        <v>257</v>
      </c>
      <c r="J1193" s="29" t="s">
        <v>113</v>
      </c>
      <c r="K1193" s="30" t="s">
        <v>113</v>
      </c>
      <c r="L1193" s="29" t="str">
        <f t="shared" si="18"/>
        <v>KAMPALA-NAIROBI</v>
      </c>
      <c r="M1193" s="31">
        <v>44</v>
      </c>
      <c r="N1193" s="72">
        <v>90000</v>
      </c>
      <c r="O1193" s="34">
        <v>13</v>
      </c>
    </row>
    <row r="1194" spans="2:15" x14ac:dyDescent="0.2">
      <c r="B1194" s="27" t="s">
        <v>174</v>
      </c>
      <c r="C1194" s="28">
        <v>6</v>
      </c>
      <c r="D1194" s="33" t="str">
        <f>IF(C1194="", "",VLOOKUP(C1194,Key!$A$5:$B$7,2,FALSE))</f>
        <v>Large Bus</v>
      </c>
      <c r="E1194" s="29" t="s">
        <v>230</v>
      </c>
      <c r="F1194" s="29" t="s">
        <v>67</v>
      </c>
      <c r="G1194" s="29" t="s">
        <v>70</v>
      </c>
      <c r="H1194" s="30" t="s">
        <v>70</v>
      </c>
      <c r="I1194" s="29" t="s">
        <v>257</v>
      </c>
      <c r="J1194" s="29" t="s">
        <v>173</v>
      </c>
      <c r="K1194" s="30" t="s">
        <v>113</v>
      </c>
      <c r="L1194" s="29" t="str">
        <f t="shared" si="18"/>
        <v>KAMPALA-NAIROBI</v>
      </c>
      <c r="M1194" s="31">
        <v>33</v>
      </c>
      <c r="N1194" s="72">
        <v>90000</v>
      </c>
      <c r="O1194" s="34">
        <v>13</v>
      </c>
    </row>
    <row r="1195" spans="2:15" x14ac:dyDescent="0.2">
      <c r="B1195" s="27" t="s">
        <v>191</v>
      </c>
      <c r="C1195" s="28">
        <v>6</v>
      </c>
      <c r="D1195" s="33" t="str">
        <f>IF(C1195="", "",VLOOKUP(C1195,Key!$A$5:$B$7,2,FALSE))</f>
        <v>Large Bus</v>
      </c>
      <c r="E1195" s="29" t="s">
        <v>230</v>
      </c>
      <c r="F1195" s="29" t="s">
        <v>67</v>
      </c>
      <c r="G1195" s="29" t="s">
        <v>70</v>
      </c>
      <c r="H1195" s="30" t="s">
        <v>70</v>
      </c>
      <c r="I1195" s="29" t="s">
        <v>257</v>
      </c>
      <c r="J1195" s="29" t="s">
        <v>113</v>
      </c>
      <c r="K1195" s="30" t="s">
        <v>113</v>
      </c>
      <c r="L1195" s="29" t="str">
        <f t="shared" si="18"/>
        <v>KAMPALA-NAIROBI</v>
      </c>
      <c r="M1195" s="31">
        <v>77</v>
      </c>
      <c r="N1195" s="72">
        <v>90000</v>
      </c>
      <c r="O1195" s="34">
        <v>13</v>
      </c>
    </row>
    <row r="1196" spans="2:15" x14ac:dyDescent="0.2">
      <c r="B1196" s="27" t="s">
        <v>192</v>
      </c>
      <c r="C1196" s="28">
        <v>6</v>
      </c>
      <c r="D1196" s="33" t="str">
        <f>IF(C1196="", "",VLOOKUP(C1196,Key!$A$5:$B$7,2,FALSE))</f>
        <v>Large Bus</v>
      </c>
      <c r="E1196" s="29" t="s">
        <v>230</v>
      </c>
      <c r="F1196" s="29" t="s">
        <v>67</v>
      </c>
      <c r="G1196" s="29" t="s">
        <v>70</v>
      </c>
      <c r="H1196" s="30" t="s">
        <v>70</v>
      </c>
      <c r="I1196" s="29" t="s">
        <v>257</v>
      </c>
      <c r="J1196" s="29" t="s">
        <v>113</v>
      </c>
      <c r="K1196" s="30" t="s">
        <v>113</v>
      </c>
      <c r="L1196" s="29" t="str">
        <f t="shared" si="18"/>
        <v>KAMPALA-NAIROBI</v>
      </c>
      <c r="M1196" s="31">
        <v>40</v>
      </c>
      <c r="N1196" s="72">
        <v>90000</v>
      </c>
      <c r="O1196" s="34">
        <v>13</v>
      </c>
    </row>
    <row r="1197" spans="2:15" x14ac:dyDescent="0.2">
      <c r="B1197" s="27" t="s">
        <v>193</v>
      </c>
      <c r="C1197" s="28">
        <v>6</v>
      </c>
      <c r="D1197" s="33" t="str">
        <f>IF(C1197="", "",VLOOKUP(C1197,Key!$A$5:$B$7,2,FALSE))</f>
        <v>Large Bus</v>
      </c>
      <c r="E1197" s="29" t="s">
        <v>230</v>
      </c>
      <c r="F1197" s="29" t="s">
        <v>66</v>
      </c>
      <c r="G1197" s="29" t="s">
        <v>113</v>
      </c>
      <c r="H1197" s="30" t="s">
        <v>113</v>
      </c>
      <c r="I1197" s="29" t="s">
        <v>257</v>
      </c>
      <c r="J1197" s="29" t="s">
        <v>70</v>
      </c>
      <c r="K1197" s="30" t="s">
        <v>70</v>
      </c>
      <c r="L1197" s="29" t="str">
        <f t="shared" si="18"/>
        <v>NAIROBI-KAMPALA</v>
      </c>
      <c r="M1197" s="31">
        <v>45</v>
      </c>
      <c r="N1197" s="72">
        <v>80000</v>
      </c>
      <c r="O1197" s="34">
        <v>13</v>
      </c>
    </row>
    <row r="1198" spans="2:15" x14ac:dyDescent="0.2">
      <c r="B1198" s="27" t="s">
        <v>194</v>
      </c>
      <c r="C1198" s="28">
        <v>6</v>
      </c>
      <c r="D1198" s="33" t="str">
        <f>IF(C1198="", "",VLOOKUP(C1198,Key!$A$5:$B$7,2,FALSE))</f>
        <v>Large Bus</v>
      </c>
      <c r="E1198" s="29" t="s">
        <v>230</v>
      </c>
      <c r="F1198" s="29" t="s">
        <v>66</v>
      </c>
      <c r="G1198" s="29" t="s">
        <v>94</v>
      </c>
      <c r="H1198" s="30" t="s">
        <v>94</v>
      </c>
      <c r="I1198" s="29" t="s">
        <v>257</v>
      </c>
      <c r="J1198" s="29" t="s">
        <v>70</v>
      </c>
      <c r="K1198" s="30" t="s">
        <v>70</v>
      </c>
      <c r="L1198" s="29" t="str">
        <f t="shared" si="18"/>
        <v>KIGALI-KAMPALA</v>
      </c>
      <c r="M1198" s="31">
        <v>43</v>
      </c>
      <c r="N1198" s="72">
        <v>51000</v>
      </c>
      <c r="O1198" s="34">
        <v>8.6</v>
      </c>
    </row>
    <row r="1199" spans="2:15" x14ac:dyDescent="0.2">
      <c r="B1199" s="27" t="s">
        <v>195</v>
      </c>
      <c r="C1199" s="28">
        <v>6</v>
      </c>
      <c r="D1199" s="33" t="str">
        <f>IF(C1199="", "",VLOOKUP(C1199,Key!$A$5:$B$7,2,FALSE))</f>
        <v>Large Bus</v>
      </c>
      <c r="E1199" s="29" t="s">
        <v>230</v>
      </c>
      <c r="F1199" s="29" t="s">
        <v>66</v>
      </c>
      <c r="G1199" s="29" t="s">
        <v>94</v>
      </c>
      <c r="H1199" s="30" t="s">
        <v>94</v>
      </c>
      <c r="I1199" s="29" t="s">
        <v>257</v>
      </c>
      <c r="J1199" s="29" t="s">
        <v>70</v>
      </c>
      <c r="K1199" s="30" t="s">
        <v>70</v>
      </c>
      <c r="L1199" s="29" t="str">
        <f t="shared" si="18"/>
        <v>KIGALI-KAMPALA</v>
      </c>
      <c r="M1199" s="31">
        <v>37</v>
      </c>
      <c r="N1199" s="72">
        <v>51000</v>
      </c>
      <c r="O1199" s="34">
        <v>8.6</v>
      </c>
    </row>
    <row r="1200" spans="2:15" x14ac:dyDescent="0.2">
      <c r="B1200" s="27" t="s">
        <v>196</v>
      </c>
      <c r="C1200" s="28">
        <v>6</v>
      </c>
      <c r="D1200" s="33" t="str">
        <f>IF(C1200="", "",VLOOKUP(C1200,Key!$A$5:$B$7,2,FALSE))</f>
        <v>Large Bus</v>
      </c>
      <c r="E1200" s="29" t="s">
        <v>230</v>
      </c>
      <c r="F1200" s="29" t="s">
        <v>66</v>
      </c>
      <c r="G1200" s="29" t="s">
        <v>113</v>
      </c>
      <c r="H1200" s="30" t="s">
        <v>113</v>
      </c>
      <c r="I1200" s="29" t="s">
        <v>257</v>
      </c>
      <c r="J1200" s="29" t="s">
        <v>70</v>
      </c>
      <c r="K1200" s="30" t="s">
        <v>70</v>
      </c>
      <c r="L1200" s="29" t="str">
        <f t="shared" si="18"/>
        <v>NAIROBI-KAMPALA</v>
      </c>
      <c r="M1200" s="31">
        <v>42</v>
      </c>
      <c r="N1200" s="72">
        <v>80000</v>
      </c>
      <c r="O1200" s="34">
        <v>13</v>
      </c>
    </row>
    <row r="1201" spans="2:15" x14ac:dyDescent="0.2">
      <c r="B1201" s="27" t="s">
        <v>197</v>
      </c>
      <c r="C1201" s="28">
        <v>6</v>
      </c>
      <c r="D1201" s="33" t="str">
        <f>IF(C1201="", "",VLOOKUP(C1201,Key!$A$5:$B$7,2,FALSE))</f>
        <v>Large Bus</v>
      </c>
      <c r="E1201" s="29" t="s">
        <v>230</v>
      </c>
      <c r="F1201" s="29" t="s">
        <v>66</v>
      </c>
      <c r="G1201" s="29" t="s">
        <v>113</v>
      </c>
      <c r="H1201" s="30" t="s">
        <v>113</v>
      </c>
      <c r="I1201" s="29" t="s">
        <v>257</v>
      </c>
      <c r="J1201" s="29" t="s">
        <v>70</v>
      </c>
      <c r="K1201" s="30" t="s">
        <v>70</v>
      </c>
      <c r="L1201" s="29" t="str">
        <f t="shared" si="18"/>
        <v>NAIROBI-KAMPALA</v>
      </c>
      <c r="M1201" s="31">
        <v>35</v>
      </c>
      <c r="N1201" s="72">
        <v>80000</v>
      </c>
      <c r="O1201" s="34">
        <v>13</v>
      </c>
    </row>
    <row r="1202" spans="2:15" x14ac:dyDescent="0.2">
      <c r="B1202" s="27" t="s">
        <v>198</v>
      </c>
      <c r="C1202" s="28">
        <v>6</v>
      </c>
      <c r="D1202" s="33" t="str">
        <f>IF(C1202="", "",VLOOKUP(C1202,Key!$A$5:$B$7,2,FALSE))</f>
        <v>Large Bus</v>
      </c>
      <c r="E1202" s="29" t="s">
        <v>230</v>
      </c>
      <c r="F1202" s="29" t="s">
        <v>66</v>
      </c>
      <c r="G1202" s="29" t="s">
        <v>173</v>
      </c>
      <c r="H1202" s="30" t="s">
        <v>113</v>
      </c>
      <c r="I1202" s="29" t="s">
        <v>257</v>
      </c>
      <c r="J1202" s="29" t="s">
        <v>70</v>
      </c>
      <c r="K1202" s="30" t="s">
        <v>70</v>
      </c>
      <c r="L1202" s="29" t="str">
        <f t="shared" si="18"/>
        <v>NAIROBI-KAMPALA</v>
      </c>
      <c r="M1202" s="31">
        <v>38</v>
      </c>
      <c r="N1202" s="72">
        <v>80000</v>
      </c>
      <c r="O1202" s="34">
        <v>13</v>
      </c>
    </row>
    <row r="1203" spans="2:15" x14ac:dyDescent="0.2">
      <c r="B1203" s="45" t="s">
        <v>222</v>
      </c>
      <c r="C1203" s="47"/>
      <c r="D1203" s="33" t="str">
        <f>IF(C1203="", "",VLOOKUP(C1203,Key!$A$5:$B$7,2,FALSE))</f>
        <v/>
      </c>
      <c r="E1203" s="44" t="s">
        <v>230</v>
      </c>
      <c r="F1203" s="48"/>
      <c r="G1203" s="47"/>
      <c r="H1203" s="47"/>
      <c r="I1203" s="47" t="s">
        <v>257</v>
      </c>
      <c r="J1203" s="47"/>
      <c r="K1203" s="47"/>
      <c r="L1203" s="47" t="str">
        <f t="shared" si="18"/>
        <v>-</v>
      </c>
      <c r="M1203" s="47"/>
      <c r="N1203" s="48"/>
      <c r="O1203" s="48"/>
    </row>
    <row r="1204" spans="2:15" x14ac:dyDescent="0.2">
      <c r="B1204" s="27" t="s">
        <v>142</v>
      </c>
      <c r="C1204" s="28">
        <v>6</v>
      </c>
      <c r="D1204" s="33" t="str">
        <f>IF(C1204="", "",VLOOKUP(C1204,Key!$A$5:$B$7,2,FALSE))</f>
        <v>Large Bus</v>
      </c>
      <c r="E1204" s="29" t="s">
        <v>230</v>
      </c>
      <c r="F1204" s="29" t="s">
        <v>66</v>
      </c>
      <c r="G1204" s="29" t="s">
        <v>94</v>
      </c>
      <c r="H1204" s="30" t="s">
        <v>94</v>
      </c>
      <c r="I1204" s="29" t="s">
        <v>257</v>
      </c>
      <c r="J1204" s="29" t="s">
        <v>70</v>
      </c>
      <c r="K1204" s="30" t="s">
        <v>70</v>
      </c>
      <c r="L1204" s="29" t="str">
        <f t="shared" si="18"/>
        <v>KIGALI-KAMPALA</v>
      </c>
      <c r="M1204" s="31">
        <v>37</v>
      </c>
      <c r="N1204" s="72">
        <v>51000</v>
      </c>
      <c r="O1204" s="34">
        <v>8.6</v>
      </c>
    </row>
    <row r="1205" spans="2:15" x14ac:dyDescent="0.2">
      <c r="B1205" s="27" t="s">
        <v>199</v>
      </c>
      <c r="C1205" s="28">
        <v>6</v>
      </c>
      <c r="D1205" s="33" t="str">
        <f>IF(C1205="", "",VLOOKUP(C1205,Key!$A$5:$B$7,2,FALSE))</f>
        <v>Large Bus</v>
      </c>
      <c r="E1205" s="29" t="s">
        <v>230</v>
      </c>
      <c r="F1205" s="29" t="s">
        <v>66</v>
      </c>
      <c r="G1205" s="29" t="s">
        <v>113</v>
      </c>
      <c r="H1205" s="30" t="s">
        <v>113</v>
      </c>
      <c r="I1205" s="29" t="s">
        <v>257</v>
      </c>
      <c r="J1205" s="29" t="s">
        <v>70</v>
      </c>
      <c r="K1205" s="30" t="s">
        <v>70</v>
      </c>
      <c r="L1205" s="29" t="str">
        <f t="shared" si="18"/>
        <v>NAIROBI-KAMPALA</v>
      </c>
      <c r="M1205" s="31">
        <v>42</v>
      </c>
      <c r="N1205" s="72">
        <v>80000</v>
      </c>
      <c r="O1205" s="34">
        <v>13</v>
      </c>
    </row>
    <row r="1206" spans="2:15" x14ac:dyDescent="0.2">
      <c r="B1206" s="27" t="s">
        <v>200</v>
      </c>
      <c r="C1206" s="28">
        <v>6</v>
      </c>
      <c r="D1206" s="33" t="str">
        <f>IF(C1206="", "",VLOOKUP(C1206,Key!$A$5:$B$7,2,FALSE))</f>
        <v>Large Bus</v>
      </c>
      <c r="E1206" s="29" t="s">
        <v>230</v>
      </c>
      <c r="F1206" s="29" t="s">
        <v>66</v>
      </c>
      <c r="G1206" s="29" t="s">
        <v>113</v>
      </c>
      <c r="H1206" s="30" t="s">
        <v>113</v>
      </c>
      <c r="I1206" s="29" t="s">
        <v>257</v>
      </c>
      <c r="J1206" s="29" t="s">
        <v>70</v>
      </c>
      <c r="K1206" s="30" t="s">
        <v>70</v>
      </c>
      <c r="L1206" s="29" t="str">
        <f t="shared" si="18"/>
        <v>NAIROBI-KAMPALA</v>
      </c>
      <c r="M1206" s="31">
        <v>43</v>
      </c>
      <c r="N1206" s="72">
        <v>80000</v>
      </c>
      <c r="O1206" s="34">
        <v>13</v>
      </c>
    </row>
    <row r="1207" spans="2:15" x14ac:dyDescent="0.2">
      <c r="B1207" s="27" t="s">
        <v>186</v>
      </c>
      <c r="C1207" s="28">
        <v>6</v>
      </c>
      <c r="D1207" s="33" t="str">
        <f>IF(C1207="", "",VLOOKUP(C1207,Key!$A$5:$B$7,2,FALSE))</f>
        <v>Large Bus</v>
      </c>
      <c r="E1207" s="29" t="s">
        <v>230</v>
      </c>
      <c r="F1207" s="29" t="s">
        <v>67</v>
      </c>
      <c r="G1207" s="29" t="s">
        <v>70</v>
      </c>
      <c r="H1207" s="30" t="s">
        <v>70</v>
      </c>
      <c r="I1207" s="29" t="s">
        <v>257</v>
      </c>
      <c r="J1207" s="29" t="s">
        <v>113</v>
      </c>
      <c r="K1207" s="30" t="s">
        <v>113</v>
      </c>
      <c r="L1207" s="29" t="str">
        <f t="shared" si="18"/>
        <v>KAMPALA-NAIROBI</v>
      </c>
      <c r="M1207" s="31">
        <v>26</v>
      </c>
      <c r="N1207" s="72">
        <v>90000</v>
      </c>
      <c r="O1207" s="34">
        <v>13</v>
      </c>
    </row>
    <row r="1208" spans="2:15" x14ac:dyDescent="0.2">
      <c r="B1208" s="27" t="s">
        <v>201</v>
      </c>
      <c r="C1208" s="28">
        <v>6</v>
      </c>
      <c r="D1208" s="33" t="str">
        <f>IF(C1208="", "",VLOOKUP(C1208,Key!$A$5:$B$7,2,FALSE))</f>
        <v>Large Bus</v>
      </c>
      <c r="E1208" s="29" t="s">
        <v>230</v>
      </c>
      <c r="F1208" s="29" t="s">
        <v>67</v>
      </c>
      <c r="G1208" s="29" t="s">
        <v>70</v>
      </c>
      <c r="H1208" s="30" t="s">
        <v>70</v>
      </c>
      <c r="I1208" s="29" t="s">
        <v>257</v>
      </c>
      <c r="J1208" s="29" t="s">
        <v>113</v>
      </c>
      <c r="K1208" s="30" t="s">
        <v>113</v>
      </c>
      <c r="L1208" s="29" t="str">
        <f t="shared" si="18"/>
        <v>KAMPALA-NAIROBI</v>
      </c>
      <c r="M1208" s="31">
        <v>32</v>
      </c>
      <c r="N1208" s="72">
        <v>90000</v>
      </c>
      <c r="O1208" s="34">
        <v>13</v>
      </c>
    </row>
    <row r="1209" spans="2:15" x14ac:dyDescent="0.2">
      <c r="B1209" s="27" t="s">
        <v>202</v>
      </c>
      <c r="C1209" s="28">
        <v>6</v>
      </c>
      <c r="D1209" s="33" t="str">
        <f>IF(C1209="", "",VLOOKUP(C1209,Key!$A$5:$B$7,2,FALSE))</f>
        <v>Large Bus</v>
      </c>
      <c r="E1209" s="29" t="s">
        <v>230</v>
      </c>
      <c r="F1209" s="29" t="s">
        <v>66</v>
      </c>
      <c r="G1209" s="29" t="s">
        <v>203</v>
      </c>
      <c r="H1209" s="30" t="s">
        <v>113</v>
      </c>
      <c r="I1209" s="29" t="s">
        <v>257</v>
      </c>
      <c r="J1209" s="29" t="s">
        <v>70</v>
      </c>
      <c r="K1209" s="30" t="s">
        <v>70</v>
      </c>
      <c r="L1209" s="29" t="str">
        <f t="shared" si="18"/>
        <v>NAIROBI-KAMPALA</v>
      </c>
      <c r="M1209" s="31">
        <v>50</v>
      </c>
      <c r="N1209" s="72">
        <v>80000</v>
      </c>
      <c r="O1209" s="34">
        <v>13</v>
      </c>
    </row>
    <row r="1210" spans="2:15" x14ac:dyDescent="0.2">
      <c r="B1210" s="27" t="s">
        <v>199</v>
      </c>
      <c r="C1210" s="28">
        <v>6</v>
      </c>
      <c r="D1210" s="33" t="str">
        <f>IF(C1210="", "",VLOOKUP(C1210,Key!$A$5:$B$7,2,FALSE))</f>
        <v>Large Bus</v>
      </c>
      <c r="E1210" s="29" t="s">
        <v>230</v>
      </c>
      <c r="F1210" s="29" t="s">
        <v>66</v>
      </c>
      <c r="G1210" s="29" t="s">
        <v>94</v>
      </c>
      <c r="H1210" s="30" t="s">
        <v>94</v>
      </c>
      <c r="I1210" s="29" t="s">
        <v>257</v>
      </c>
      <c r="J1210" s="29" t="s">
        <v>70</v>
      </c>
      <c r="K1210" s="30" t="s">
        <v>70</v>
      </c>
      <c r="L1210" s="29" t="str">
        <f t="shared" si="18"/>
        <v>KIGALI-KAMPALA</v>
      </c>
      <c r="M1210" s="31">
        <v>42</v>
      </c>
      <c r="N1210" s="72">
        <v>51000</v>
      </c>
      <c r="O1210" s="34">
        <v>8.6</v>
      </c>
    </row>
    <row r="1211" spans="2:15" x14ac:dyDescent="0.2">
      <c r="B1211" s="27" t="s">
        <v>204</v>
      </c>
      <c r="C1211" s="28">
        <v>6</v>
      </c>
      <c r="D1211" s="33" t="str">
        <f>IF(C1211="", "",VLOOKUP(C1211,Key!$A$5:$B$7,2,FALSE))</f>
        <v>Large Bus</v>
      </c>
      <c r="E1211" s="29" t="s">
        <v>230</v>
      </c>
      <c r="F1211" s="29" t="s">
        <v>67</v>
      </c>
      <c r="G1211" s="29" t="s">
        <v>70</v>
      </c>
      <c r="H1211" s="30" t="s">
        <v>70</v>
      </c>
      <c r="I1211" s="29" t="s">
        <v>257</v>
      </c>
      <c r="J1211" s="29" t="s">
        <v>113</v>
      </c>
      <c r="K1211" s="30" t="s">
        <v>113</v>
      </c>
      <c r="L1211" s="29" t="str">
        <f t="shared" si="18"/>
        <v>KAMPALA-NAIROBI</v>
      </c>
      <c r="M1211" s="31">
        <v>47</v>
      </c>
      <c r="N1211" s="72">
        <v>90000</v>
      </c>
      <c r="O1211" s="34">
        <v>13</v>
      </c>
    </row>
    <row r="1212" spans="2:15" x14ac:dyDescent="0.2">
      <c r="B1212" s="45" t="s">
        <v>218</v>
      </c>
      <c r="C1212" s="47"/>
      <c r="D1212" s="33" t="str">
        <f>IF(C1212="", "",VLOOKUP(C1212,Key!$A$5:$B$7,2,FALSE))</f>
        <v/>
      </c>
      <c r="E1212" s="44" t="s">
        <v>228</v>
      </c>
      <c r="F1212" s="48"/>
      <c r="G1212" s="47"/>
      <c r="H1212" s="47"/>
      <c r="I1212" s="47"/>
      <c r="J1212" s="47"/>
      <c r="K1212" s="47"/>
      <c r="L1212" s="47" t="str">
        <f t="shared" si="18"/>
        <v>-</v>
      </c>
      <c r="M1212" s="47"/>
      <c r="N1212" s="48"/>
      <c r="O1212" s="48"/>
    </row>
    <row r="1213" spans="2:15" x14ac:dyDescent="0.2">
      <c r="B1213" s="27">
        <v>0.80069444444444438</v>
      </c>
      <c r="C1213" s="28">
        <v>6</v>
      </c>
      <c r="D1213" s="33" t="str">
        <f>IF(C1213="", "",VLOOKUP(C1213,Key!$A$5:$B$7,2,FALSE))</f>
        <v>Large Bus</v>
      </c>
      <c r="E1213" s="29" t="s">
        <v>228</v>
      </c>
      <c r="F1213" s="29" t="s">
        <v>66</v>
      </c>
      <c r="G1213" s="29" t="s">
        <v>205</v>
      </c>
      <c r="H1213" s="30" t="s">
        <v>205</v>
      </c>
      <c r="I1213" s="29" t="s">
        <v>257</v>
      </c>
      <c r="J1213" s="29" t="s">
        <v>99</v>
      </c>
      <c r="K1213" s="30" t="s">
        <v>70</v>
      </c>
      <c r="L1213" s="29" t="str">
        <f t="shared" si="18"/>
        <v>HOIMA-KAMPALA</v>
      </c>
      <c r="M1213" s="31">
        <v>65</v>
      </c>
      <c r="N1213" s="72">
        <v>15000</v>
      </c>
      <c r="O1213" s="34">
        <v>3.8</v>
      </c>
    </row>
    <row r="1214" spans="2:15" x14ac:dyDescent="0.2">
      <c r="B1214" s="27">
        <v>0.8256944444444444</v>
      </c>
      <c r="C1214" s="28">
        <v>6</v>
      </c>
      <c r="D1214" s="33" t="str">
        <f>IF(C1214="", "",VLOOKUP(C1214,Key!$A$5:$B$7,2,FALSE))</f>
        <v>Large Bus</v>
      </c>
      <c r="E1214" s="29" t="s">
        <v>228</v>
      </c>
      <c r="F1214" s="29" t="s">
        <v>66</v>
      </c>
      <c r="G1214" s="29" t="s">
        <v>206</v>
      </c>
      <c r="H1214" s="30" t="s">
        <v>206</v>
      </c>
      <c r="I1214" s="29" t="s">
        <v>257</v>
      </c>
      <c r="J1214" s="29" t="s">
        <v>99</v>
      </c>
      <c r="K1214" s="30" t="s">
        <v>70</v>
      </c>
      <c r="L1214" s="29" t="str">
        <f t="shared" si="18"/>
        <v>MASINDI-KAMPALA</v>
      </c>
      <c r="M1214" s="31">
        <v>65</v>
      </c>
      <c r="N1214" s="72">
        <v>12000</v>
      </c>
      <c r="O1214" s="34">
        <v>3.25</v>
      </c>
    </row>
    <row r="1215" spans="2:15" x14ac:dyDescent="0.2">
      <c r="B1215" s="27">
        <v>0.83888888888888891</v>
      </c>
      <c r="C1215" s="28">
        <v>6</v>
      </c>
      <c r="D1215" s="33" t="str">
        <f>IF(C1215="", "",VLOOKUP(C1215,Key!$A$5:$B$7,2,FALSE))</f>
        <v>Large Bus</v>
      </c>
      <c r="E1215" s="29" t="s">
        <v>228</v>
      </c>
      <c r="F1215" s="29" t="s">
        <v>66</v>
      </c>
      <c r="G1215" s="29" t="s">
        <v>207</v>
      </c>
      <c r="H1215" s="30" t="s">
        <v>207</v>
      </c>
      <c r="I1215" s="29" t="s">
        <v>257</v>
      </c>
      <c r="J1215" s="29" t="s">
        <v>99</v>
      </c>
      <c r="K1215" s="30" t="s">
        <v>70</v>
      </c>
      <c r="L1215" s="29" t="str">
        <f t="shared" si="18"/>
        <v>KASESE-KAMPALA</v>
      </c>
      <c r="M1215" s="31">
        <v>65</v>
      </c>
      <c r="N1215" s="72">
        <v>30000</v>
      </c>
      <c r="O1215" s="34">
        <v>7</v>
      </c>
    </row>
    <row r="1216" spans="2:15" x14ac:dyDescent="0.2">
      <c r="B1216" s="27">
        <v>0.87916666666666676</v>
      </c>
      <c r="C1216" s="28">
        <v>6</v>
      </c>
      <c r="D1216" s="33" t="str">
        <f>IF(C1216="", "",VLOOKUP(C1216,Key!$A$5:$B$7,2,FALSE))</f>
        <v>Large Bus</v>
      </c>
      <c r="E1216" s="29" t="s">
        <v>228</v>
      </c>
      <c r="F1216" s="29" t="s">
        <v>66</v>
      </c>
      <c r="G1216" s="29" t="s">
        <v>208</v>
      </c>
      <c r="H1216" s="30" t="s">
        <v>207</v>
      </c>
      <c r="I1216" s="29" t="s">
        <v>257</v>
      </c>
      <c r="J1216" s="29" t="s">
        <v>99</v>
      </c>
      <c r="K1216" s="30" t="s">
        <v>70</v>
      </c>
      <c r="L1216" s="29" t="str">
        <f t="shared" si="18"/>
        <v>KASESE-KAMPALA</v>
      </c>
      <c r="M1216" s="31">
        <v>67</v>
      </c>
      <c r="N1216" s="72">
        <v>30000</v>
      </c>
      <c r="O1216" s="34">
        <v>7</v>
      </c>
    </row>
    <row r="1217" spans="2:15" x14ac:dyDescent="0.2">
      <c r="B1217" s="27">
        <v>0.8847222222222223</v>
      </c>
      <c r="C1217" s="28">
        <v>6</v>
      </c>
      <c r="D1217" s="33" t="str">
        <f>IF(C1217="", "",VLOOKUP(C1217,Key!$A$5:$B$7,2,FALSE))</f>
        <v>Large Bus</v>
      </c>
      <c r="E1217" s="29" t="s">
        <v>228</v>
      </c>
      <c r="F1217" s="29" t="s">
        <v>66</v>
      </c>
      <c r="G1217" s="29" t="s">
        <v>205</v>
      </c>
      <c r="H1217" s="30" t="s">
        <v>205</v>
      </c>
      <c r="I1217" s="29" t="s">
        <v>257</v>
      </c>
      <c r="J1217" s="29" t="s">
        <v>99</v>
      </c>
      <c r="K1217" s="30" t="s">
        <v>70</v>
      </c>
      <c r="L1217" s="29" t="str">
        <f t="shared" si="18"/>
        <v>HOIMA-KAMPALA</v>
      </c>
      <c r="M1217" s="31">
        <v>65</v>
      </c>
      <c r="N1217" s="72">
        <v>15000</v>
      </c>
      <c r="O1217" s="34">
        <v>3.8</v>
      </c>
    </row>
    <row r="1218" spans="2:15" x14ac:dyDescent="0.2">
      <c r="B1218" s="27">
        <v>0.92499999999999993</v>
      </c>
      <c r="C1218" s="28">
        <v>6</v>
      </c>
      <c r="D1218" s="33" t="str">
        <f>IF(C1218="", "",VLOOKUP(C1218,Key!$A$5:$B$7,2,FALSE))</f>
        <v>Large Bus</v>
      </c>
      <c r="E1218" s="29" t="s">
        <v>228</v>
      </c>
      <c r="F1218" s="29" t="s">
        <v>66</v>
      </c>
      <c r="G1218" s="29" t="s">
        <v>207</v>
      </c>
      <c r="H1218" s="30" t="s">
        <v>207</v>
      </c>
      <c r="I1218" s="29" t="s">
        <v>257</v>
      </c>
      <c r="J1218" s="29" t="s">
        <v>99</v>
      </c>
      <c r="K1218" s="30" t="s">
        <v>70</v>
      </c>
      <c r="L1218" s="29" t="str">
        <f t="shared" si="18"/>
        <v>KASESE-KAMPALA</v>
      </c>
      <c r="M1218" s="31">
        <v>67</v>
      </c>
      <c r="N1218" s="72">
        <v>30000</v>
      </c>
      <c r="O1218" s="34">
        <v>7</v>
      </c>
    </row>
    <row r="1219" spans="2:15" x14ac:dyDescent="0.2">
      <c r="B1219" s="27">
        <v>0.95138888888888884</v>
      </c>
      <c r="C1219" s="28">
        <v>6</v>
      </c>
      <c r="D1219" s="33" t="str">
        <f>IF(C1219="", "",VLOOKUP(C1219,Key!$A$5:$B$7,2,FALSE))</f>
        <v>Large Bus</v>
      </c>
      <c r="E1219" s="29" t="s">
        <v>228</v>
      </c>
      <c r="F1219" s="29" t="s">
        <v>66</v>
      </c>
      <c r="G1219" s="29" t="s">
        <v>208</v>
      </c>
      <c r="H1219" s="30" t="s">
        <v>207</v>
      </c>
      <c r="I1219" s="29" t="s">
        <v>257</v>
      </c>
      <c r="J1219" s="29" t="s">
        <v>99</v>
      </c>
      <c r="K1219" s="30" t="s">
        <v>70</v>
      </c>
      <c r="L1219" s="29" t="str">
        <f t="shared" si="18"/>
        <v>KASESE-KAMPALA</v>
      </c>
      <c r="M1219" s="31">
        <v>67</v>
      </c>
      <c r="N1219" s="72">
        <v>30000</v>
      </c>
      <c r="O1219" s="34">
        <v>7</v>
      </c>
    </row>
    <row r="1220" spans="2:15" x14ac:dyDescent="0.2">
      <c r="B1220" s="27">
        <v>0.96180555555555547</v>
      </c>
      <c r="C1220" s="28">
        <v>6</v>
      </c>
      <c r="D1220" s="33" t="str">
        <f>IF(C1220="", "",VLOOKUP(C1220,Key!$A$5:$B$7,2,FALSE))</f>
        <v>Large Bus</v>
      </c>
      <c r="E1220" s="29" t="s">
        <v>228</v>
      </c>
      <c r="F1220" s="29" t="s">
        <v>66</v>
      </c>
      <c r="G1220" s="29" t="s">
        <v>207</v>
      </c>
      <c r="H1220" s="30" t="s">
        <v>207</v>
      </c>
      <c r="I1220" s="29" t="s">
        <v>257</v>
      </c>
      <c r="J1220" s="29" t="s">
        <v>99</v>
      </c>
      <c r="K1220" s="30" t="s">
        <v>70</v>
      </c>
      <c r="L1220" s="29" t="str">
        <f t="shared" si="18"/>
        <v>KASESE-KAMPALA</v>
      </c>
      <c r="M1220" s="31">
        <v>30</v>
      </c>
      <c r="N1220" s="72">
        <v>30000</v>
      </c>
      <c r="O1220" s="34">
        <v>7</v>
      </c>
    </row>
    <row r="1221" spans="2:15" x14ac:dyDescent="0.2">
      <c r="B1221" s="27">
        <v>5.7638888888888885E-2</v>
      </c>
      <c r="C1221" s="28">
        <v>6</v>
      </c>
      <c r="D1221" s="33" t="str">
        <f>IF(C1221="", "",VLOOKUP(C1221,Key!$A$5:$B$7,2,FALSE))</f>
        <v>Large Bus</v>
      </c>
      <c r="E1221" s="29" t="s">
        <v>228</v>
      </c>
      <c r="F1221" s="29" t="s">
        <v>66</v>
      </c>
      <c r="G1221" s="29" t="s">
        <v>207</v>
      </c>
      <c r="H1221" s="30" t="s">
        <v>207</v>
      </c>
      <c r="I1221" s="29" t="s">
        <v>257</v>
      </c>
      <c r="J1221" s="29" t="s">
        <v>99</v>
      </c>
      <c r="K1221" s="30" t="s">
        <v>70</v>
      </c>
      <c r="L1221" s="29" t="str">
        <f t="shared" si="18"/>
        <v>KASESE-KAMPALA</v>
      </c>
      <c r="M1221" s="31">
        <v>67</v>
      </c>
      <c r="N1221" s="72">
        <v>30000</v>
      </c>
      <c r="O1221" s="34">
        <v>7</v>
      </c>
    </row>
    <row r="1222" spans="2:15" x14ac:dyDescent="0.2">
      <c r="B1222" s="27">
        <v>8.2638888888888887E-2</v>
      </c>
      <c r="C1222" s="28">
        <v>6</v>
      </c>
      <c r="D1222" s="33" t="str">
        <f>IF(C1222="", "",VLOOKUP(C1222,Key!$A$5:$B$7,2,FALSE))</f>
        <v>Large Bus</v>
      </c>
      <c r="E1222" s="29" t="s">
        <v>228</v>
      </c>
      <c r="F1222" s="29" t="s">
        <v>66</v>
      </c>
      <c r="G1222" s="29" t="s">
        <v>207</v>
      </c>
      <c r="H1222" s="30" t="s">
        <v>207</v>
      </c>
      <c r="I1222" s="29" t="s">
        <v>257</v>
      </c>
      <c r="J1222" s="29" t="s">
        <v>99</v>
      </c>
      <c r="K1222" s="30" t="s">
        <v>70</v>
      </c>
      <c r="L1222" s="29" t="str">
        <f t="shared" si="18"/>
        <v>KASESE-KAMPALA</v>
      </c>
      <c r="M1222" s="31">
        <v>50</v>
      </c>
      <c r="N1222" s="72">
        <v>30000</v>
      </c>
      <c r="O1222" s="34">
        <v>7</v>
      </c>
    </row>
    <row r="1223" spans="2:15" x14ac:dyDescent="0.2">
      <c r="B1223" s="27">
        <v>0.12430555555555556</v>
      </c>
      <c r="C1223" s="28">
        <v>6</v>
      </c>
      <c r="D1223" s="33" t="str">
        <f>IF(C1223="", "",VLOOKUP(C1223,Key!$A$5:$B$7,2,FALSE))</f>
        <v>Large Bus</v>
      </c>
      <c r="E1223" s="29" t="s">
        <v>228</v>
      </c>
      <c r="F1223" s="29" t="s">
        <v>66</v>
      </c>
      <c r="G1223" s="29" t="s">
        <v>209</v>
      </c>
      <c r="H1223" s="30" t="s">
        <v>209</v>
      </c>
      <c r="I1223" s="29" t="s">
        <v>257</v>
      </c>
      <c r="J1223" s="29" t="s">
        <v>99</v>
      </c>
      <c r="K1223" s="30" t="s">
        <v>70</v>
      </c>
      <c r="L1223" s="29" t="str">
        <f t="shared" si="18"/>
        <v>BUNDIBUGYO-KAMPALA</v>
      </c>
      <c r="M1223" s="31">
        <v>65</v>
      </c>
      <c r="N1223" s="72">
        <v>23000</v>
      </c>
      <c r="O1223" s="34">
        <v>6.25</v>
      </c>
    </row>
    <row r="1224" spans="2:15" x14ac:dyDescent="0.2">
      <c r="B1224" s="27">
        <v>0.13749999999999998</v>
      </c>
      <c r="C1224" s="28">
        <v>6</v>
      </c>
      <c r="D1224" s="33" t="str">
        <f>IF(C1224="", "",VLOOKUP(C1224,Key!$A$5:$B$7,2,FALSE))</f>
        <v>Large Bus</v>
      </c>
      <c r="E1224" s="29" t="s">
        <v>228</v>
      </c>
      <c r="F1224" s="29" t="s">
        <v>66</v>
      </c>
      <c r="G1224" s="29" t="s">
        <v>207</v>
      </c>
      <c r="H1224" s="30" t="s">
        <v>207</v>
      </c>
      <c r="I1224" s="29" t="s">
        <v>257</v>
      </c>
      <c r="J1224" s="29" t="s">
        <v>99</v>
      </c>
      <c r="K1224" s="30" t="s">
        <v>70</v>
      </c>
      <c r="L1224" s="29" t="str">
        <f t="shared" si="18"/>
        <v>KASESE-KAMPALA</v>
      </c>
      <c r="M1224" s="31">
        <v>37</v>
      </c>
      <c r="N1224" s="72">
        <v>30000</v>
      </c>
      <c r="O1224" s="34">
        <v>7</v>
      </c>
    </row>
    <row r="1225" spans="2:15" x14ac:dyDescent="0.2">
      <c r="B1225" s="27">
        <v>0.15694444444444444</v>
      </c>
      <c r="C1225" s="28">
        <v>6</v>
      </c>
      <c r="D1225" s="33" t="str">
        <f>IF(C1225="", "",VLOOKUP(C1225,Key!$A$5:$B$7,2,FALSE))</f>
        <v>Large Bus</v>
      </c>
      <c r="E1225" s="29" t="s">
        <v>228</v>
      </c>
      <c r="F1225" s="29" t="s">
        <v>66</v>
      </c>
      <c r="G1225" s="29" t="s">
        <v>207</v>
      </c>
      <c r="H1225" s="30" t="s">
        <v>207</v>
      </c>
      <c r="I1225" s="29" t="s">
        <v>257</v>
      </c>
      <c r="J1225" s="29" t="s">
        <v>99</v>
      </c>
      <c r="K1225" s="30" t="s">
        <v>70</v>
      </c>
      <c r="L1225" s="29" t="str">
        <f t="shared" si="18"/>
        <v>KASESE-KAMPALA</v>
      </c>
      <c r="M1225" s="31">
        <v>65</v>
      </c>
      <c r="N1225" s="72">
        <v>30000</v>
      </c>
      <c r="O1225" s="34">
        <v>7</v>
      </c>
    </row>
    <row r="1226" spans="2:15" x14ac:dyDescent="0.2">
      <c r="B1226" s="27">
        <v>0.22013888888888888</v>
      </c>
      <c r="C1226" s="28">
        <v>6</v>
      </c>
      <c r="D1226" s="33" t="str">
        <f>IF(C1226="", "",VLOOKUP(C1226,Key!$A$5:$B$7,2,FALSE))</f>
        <v>Large Bus</v>
      </c>
      <c r="E1226" s="29" t="s">
        <v>228</v>
      </c>
      <c r="F1226" s="29" t="s">
        <v>66</v>
      </c>
      <c r="G1226" s="29" t="s">
        <v>207</v>
      </c>
      <c r="H1226" s="30" t="s">
        <v>207</v>
      </c>
      <c r="I1226" s="29" t="s">
        <v>257</v>
      </c>
      <c r="J1226" s="29" t="s">
        <v>99</v>
      </c>
      <c r="K1226" s="30" t="s">
        <v>70</v>
      </c>
      <c r="L1226" s="29" t="str">
        <f t="shared" ref="L1226:L1289" si="19">H1226&amp;"-"&amp;K1226</f>
        <v>KASESE-KAMPALA</v>
      </c>
      <c r="M1226" s="31">
        <v>67</v>
      </c>
      <c r="N1226" s="72">
        <v>30000</v>
      </c>
      <c r="O1226" s="34">
        <v>7</v>
      </c>
    </row>
    <row r="1227" spans="2:15" x14ac:dyDescent="0.2">
      <c r="B1227" s="27">
        <v>0.22083333333333333</v>
      </c>
      <c r="C1227" s="28">
        <v>6</v>
      </c>
      <c r="D1227" s="33" t="str">
        <f>IF(C1227="", "",VLOOKUP(C1227,Key!$A$5:$B$7,2,FALSE))</f>
        <v>Large Bus</v>
      </c>
      <c r="E1227" s="29" t="s">
        <v>228</v>
      </c>
      <c r="F1227" s="29" t="s">
        <v>66</v>
      </c>
      <c r="G1227" s="29" t="s">
        <v>207</v>
      </c>
      <c r="H1227" s="30" t="s">
        <v>207</v>
      </c>
      <c r="I1227" s="29" t="s">
        <v>257</v>
      </c>
      <c r="J1227" s="29" t="s">
        <v>99</v>
      </c>
      <c r="K1227" s="30" t="s">
        <v>70</v>
      </c>
      <c r="L1227" s="29" t="str">
        <f t="shared" si="19"/>
        <v>KASESE-KAMPALA</v>
      </c>
      <c r="M1227" s="31">
        <v>60</v>
      </c>
      <c r="N1227" s="72">
        <v>30000</v>
      </c>
      <c r="O1227" s="34">
        <v>7</v>
      </c>
    </row>
    <row r="1228" spans="2:15" x14ac:dyDescent="0.2">
      <c r="B1228" s="27">
        <v>0.3756944444444445</v>
      </c>
      <c r="C1228" s="28">
        <v>6</v>
      </c>
      <c r="D1228" s="33" t="str">
        <f>IF(C1228="", "",VLOOKUP(C1228,Key!$A$5:$B$7,2,FALSE))</f>
        <v>Large Bus</v>
      </c>
      <c r="E1228" s="29" t="s">
        <v>228</v>
      </c>
      <c r="F1228" s="29" t="s">
        <v>66</v>
      </c>
      <c r="G1228" s="29" t="s">
        <v>210</v>
      </c>
      <c r="H1228" s="30" t="s">
        <v>206</v>
      </c>
      <c r="I1228" s="29" t="s">
        <v>257</v>
      </c>
      <c r="J1228" s="29" t="s">
        <v>99</v>
      </c>
      <c r="K1228" s="30" t="s">
        <v>70</v>
      </c>
      <c r="L1228" s="29" t="str">
        <f t="shared" si="19"/>
        <v>MASINDI-KAMPALA</v>
      </c>
      <c r="M1228" s="31">
        <v>66</v>
      </c>
      <c r="N1228" s="72">
        <v>12000</v>
      </c>
      <c r="O1228" s="34">
        <v>3.25</v>
      </c>
    </row>
    <row r="1229" spans="2:15" x14ac:dyDescent="0.2">
      <c r="B1229" s="27">
        <v>0.44236111111111115</v>
      </c>
      <c r="C1229" s="28">
        <v>6</v>
      </c>
      <c r="D1229" s="33" t="str">
        <f>IF(C1229="", "",VLOOKUP(C1229,Key!$A$5:$B$7,2,FALSE))</f>
        <v>Large Bus</v>
      </c>
      <c r="E1229" s="29" t="s">
        <v>228</v>
      </c>
      <c r="F1229" s="29" t="s">
        <v>66</v>
      </c>
      <c r="G1229" s="29" t="s">
        <v>206</v>
      </c>
      <c r="H1229" s="30" t="s">
        <v>206</v>
      </c>
      <c r="I1229" s="29" t="s">
        <v>257</v>
      </c>
      <c r="J1229" s="29" t="s">
        <v>99</v>
      </c>
      <c r="K1229" s="30" t="s">
        <v>70</v>
      </c>
      <c r="L1229" s="29" t="str">
        <f t="shared" si="19"/>
        <v>MASINDI-KAMPALA</v>
      </c>
      <c r="M1229" s="31">
        <v>26</v>
      </c>
      <c r="N1229" s="72">
        <v>12000</v>
      </c>
      <c r="O1229" s="34">
        <v>3.25</v>
      </c>
    </row>
    <row r="1230" spans="2:15" x14ac:dyDescent="0.2">
      <c r="B1230" s="27">
        <v>0.46666666666666662</v>
      </c>
      <c r="C1230" s="28">
        <v>6</v>
      </c>
      <c r="D1230" s="33" t="str">
        <f>IF(C1230="", "",VLOOKUP(C1230,Key!$A$5:$B$7,2,FALSE))</f>
        <v>Large Bus</v>
      </c>
      <c r="E1230" s="29" t="s">
        <v>228</v>
      </c>
      <c r="F1230" s="29" t="s">
        <v>66</v>
      </c>
      <c r="G1230" s="29" t="s">
        <v>205</v>
      </c>
      <c r="H1230" s="30" t="s">
        <v>205</v>
      </c>
      <c r="I1230" s="29" t="s">
        <v>257</v>
      </c>
      <c r="J1230" s="29" t="s">
        <v>99</v>
      </c>
      <c r="K1230" s="30" t="s">
        <v>70</v>
      </c>
      <c r="L1230" s="29" t="str">
        <f t="shared" si="19"/>
        <v>HOIMA-KAMPALA</v>
      </c>
      <c r="M1230" s="31">
        <v>65</v>
      </c>
      <c r="N1230" s="72">
        <v>15000</v>
      </c>
      <c r="O1230" s="34">
        <v>3.8</v>
      </c>
    </row>
    <row r="1231" spans="2:15" x14ac:dyDescent="0.2">
      <c r="B1231" s="27">
        <v>0.49652777777777773</v>
      </c>
      <c r="C1231" s="28">
        <v>6</v>
      </c>
      <c r="D1231" s="33" t="str">
        <f>IF(C1231="", "",VLOOKUP(C1231,Key!$A$5:$B$7,2,FALSE))</f>
        <v>Large Bus</v>
      </c>
      <c r="E1231" s="29" t="s">
        <v>228</v>
      </c>
      <c r="F1231" s="29" t="s">
        <v>66</v>
      </c>
      <c r="G1231" s="29" t="s">
        <v>207</v>
      </c>
      <c r="H1231" s="30" t="s">
        <v>207</v>
      </c>
      <c r="I1231" s="29" t="s">
        <v>257</v>
      </c>
      <c r="J1231" s="29" t="s">
        <v>99</v>
      </c>
      <c r="K1231" s="30" t="s">
        <v>70</v>
      </c>
      <c r="L1231" s="29" t="str">
        <f t="shared" si="19"/>
        <v>KASESE-KAMPALA</v>
      </c>
      <c r="M1231" s="31">
        <v>50</v>
      </c>
      <c r="N1231" s="72">
        <v>30000</v>
      </c>
      <c r="O1231" s="34">
        <v>7</v>
      </c>
    </row>
    <row r="1232" spans="2:15" x14ac:dyDescent="0.2">
      <c r="B1232" s="27">
        <v>0.50972222222222219</v>
      </c>
      <c r="C1232" s="28">
        <v>6</v>
      </c>
      <c r="D1232" s="33" t="str">
        <f>IF(C1232="", "",VLOOKUP(C1232,Key!$A$5:$B$7,2,FALSE))</f>
        <v>Large Bus</v>
      </c>
      <c r="E1232" s="29" t="s">
        <v>228</v>
      </c>
      <c r="F1232" s="29" t="s">
        <v>66</v>
      </c>
      <c r="G1232" s="29" t="s">
        <v>205</v>
      </c>
      <c r="H1232" s="30" t="s">
        <v>205</v>
      </c>
      <c r="I1232" s="29" t="s">
        <v>257</v>
      </c>
      <c r="J1232" s="29" t="s">
        <v>99</v>
      </c>
      <c r="K1232" s="30" t="s">
        <v>70</v>
      </c>
      <c r="L1232" s="29" t="str">
        <f t="shared" si="19"/>
        <v>HOIMA-KAMPALA</v>
      </c>
      <c r="M1232" s="31">
        <v>50</v>
      </c>
      <c r="N1232" s="72">
        <v>15000</v>
      </c>
      <c r="O1232" s="34">
        <v>3.8</v>
      </c>
    </row>
    <row r="1233" spans="2:15" x14ac:dyDescent="0.2">
      <c r="B1233" s="27">
        <v>0.55625000000000002</v>
      </c>
      <c r="C1233" s="28">
        <v>6</v>
      </c>
      <c r="D1233" s="33" t="str">
        <f>IF(C1233="", "",VLOOKUP(C1233,Key!$A$5:$B$7,2,FALSE))</f>
        <v>Large Bus</v>
      </c>
      <c r="E1233" s="29" t="s">
        <v>228</v>
      </c>
      <c r="F1233" s="29" t="s">
        <v>66</v>
      </c>
      <c r="G1233" s="29" t="s">
        <v>206</v>
      </c>
      <c r="H1233" s="30" t="s">
        <v>206</v>
      </c>
      <c r="I1233" s="29" t="s">
        <v>257</v>
      </c>
      <c r="J1233" s="29" t="s">
        <v>99</v>
      </c>
      <c r="K1233" s="30" t="s">
        <v>70</v>
      </c>
      <c r="L1233" s="29" t="str">
        <f t="shared" si="19"/>
        <v>MASINDI-KAMPALA</v>
      </c>
      <c r="M1233" s="31">
        <v>40</v>
      </c>
      <c r="N1233" s="72">
        <v>12000</v>
      </c>
      <c r="O1233" s="34">
        <v>3.25</v>
      </c>
    </row>
    <row r="1234" spans="2:15" x14ac:dyDescent="0.2">
      <c r="B1234" s="27">
        <v>0.54861111111111105</v>
      </c>
      <c r="C1234" s="28">
        <v>6</v>
      </c>
      <c r="D1234" s="33" t="str">
        <f>IF(C1234="", "",VLOOKUP(C1234,Key!$A$5:$B$7,2,FALSE))</f>
        <v>Large Bus</v>
      </c>
      <c r="E1234" s="29" t="s">
        <v>228</v>
      </c>
      <c r="F1234" s="29" t="s">
        <v>66</v>
      </c>
      <c r="G1234" s="29" t="s">
        <v>207</v>
      </c>
      <c r="H1234" s="30" t="s">
        <v>207</v>
      </c>
      <c r="I1234" s="29" t="s">
        <v>257</v>
      </c>
      <c r="J1234" s="29" t="s">
        <v>99</v>
      </c>
      <c r="K1234" s="30" t="s">
        <v>70</v>
      </c>
      <c r="L1234" s="29" t="str">
        <f t="shared" si="19"/>
        <v>KASESE-KAMPALA</v>
      </c>
      <c r="M1234" s="31">
        <v>65</v>
      </c>
      <c r="N1234" s="72">
        <v>30000</v>
      </c>
      <c r="O1234" s="34">
        <v>7</v>
      </c>
    </row>
    <row r="1235" spans="2:15" x14ac:dyDescent="0.2">
      <c r="B1235" s="27">
        <v>9.0277777777777776E-2</v>
      </c>
      <c r="C1235" s="28">
        <v>6</v>
      </c>
      <c r="D1235" s="33" t="str">
        <f>IF(C1235="", "",VLOOKUP(C1235,Key!$A$5:$B$7,2,FALSE))</f>
        <v>Large Bus</v>
      </c>
      <c r="E1235" s="29" t="s">
        <v>228</v>
      </c>
      <c r="F1235" s="29" t="s">
        <v>66</v>
      </c>
      <c r="G1235" s="29" t="s">
        <v>205</v>
      </c>
      <c r="H1235" s="30" t="s">
        <v>205</v>
      </c>
      <c r="I1235" s="29" t="s">
        <v>257</v>
      </c>
      <c r="J1235" s="29" t="s">
        <v>99</v>
      </c>
      <c r="K1235" s="30" t="s">
        <v>70</v>
      </c>
      <c r="L1235" s="29" t="str">
        <f t="shared" si="19"/>
        <v>HOIMA-KAMPALA</v>
      </c>
      <c r="M1235" s="31">
        <v>50</v>
      </c>
      <c r="N1235" s="72">
        <v>15000</v>
      </c>
      <c r="O1235" s="34">
        <v>3.8</v>
      </c>
    </row>
    <row r="1236" spans="2:15" x14ac:dyDescent="0.2">
      <c r="B1236" s="27">
        <v>0.11458333333333333</v>
      </c>
      <c r="C1236" s="28">
        <v>6</v>
      </c>
      <c r="D1236" s="33" t="str">
        <f>IF(C1236="", "",VLOOKUP(C1236,Key!$A$5:$B$7,2,FALSE))</f>
        <v>Large Bus</v>
      </c>
      <c r="E1236" s="29" t="s">
        <v>228</v>
      </c>
      <c r="F1236" s="29" t="s">
        <v>66</v>
      </c>
      <c r="G1236" s="29" t="s">
        <v>207</v>
      </c>
      <c r="H1236" s="30" t="s">
        <v>207</v>
      </c>
      <c r="I1236" s="29" t="s">
        <v>257</v>
      </c>
      <c r="J1236" s="29" t="s">
        <v>99</v>
      </c>
      <c r="K1236" s="30" t="s">
        <v>70</v>
      </c>
      <c r="L1236" s="29" t="str">
        <f t="shared" si="19"/>
        <v>KASESE-KAMPALA</v>
      </c>
      <c r="M1236" s="31">
        <v>62</v>
      </c>
      <c r="N1236" s="72">
        <v>30000</v>
      </c>
      <c r="O1236" s="34">
        <v>7</v>
      </c>
    </row>
    <row r="1237" spans="2:15" x14ac:dyDescent="0.2">
      <c r="B1237" s="27">
        <v>0.14444444444444446</v>
      </c>
      <c r="C1237" s="28">
        <v>6</v>
      </c>
      <c r="D1237" s="33" t="str">
        <f>IF(C1237="", "",VLOOKUP(C1237,Key!$A$5:$B$7,2,FALSE))</f>
        <v>Large Bus</v>
      </c>
      <c r="E1237" s="29" t="s">
        <v>228</v>
      </c>
      <c r="F1237" s="29" t="s">
        <v>66</v>
      </c>
      <c r="G1237" s="29" t="s">
        <v>209</v>
      </c>
      <c r="H1237" s="30" t="s">
        <v>209</v>
      </c>
      <c r="I1237" s="29" t="s">
        <v>257</v>
      </c>
      <c r="J1237" s="29" t="s">
        <v>99</v>
      </c>
      <c r="K1237" s="30" t="s">
        <v>70</v>
      </c>
      <c r="L1237" s="29" t="str">
        <f t="shared" si="19"/>
        <v>BUNDIBUGYO-KAMPALA</v>
      </c>
      <c r="M1237" s="31">
        <v>65</v>
      </c>
      <c r="N1237" s="72">
        <v>23000</v>
      </c>
      <c r="O1237" s="34">
        <v>6.25</v>
      </c>
    </row>
    <row r="1238" spans="2:15" x14ac:dyDescent="0.2">
      <c r="B1238" s="27">
        <v>0.17083333333333331</v>
      </c>
      <c r="C1238" s="28">
        <v>6</v>
      </c>
      <c r="D1238" s="33" t="str">
        <f>IF(C1238="", "",VLOOKUP(C1238,Key!$A$5:$B$7,2,FALSE))</f>
        <v>Large Bus</v>
      </c>
      <c r="E1238" s="29" t="s">
        <v>228</v>
      </c>
      <c r="F1238" s="29" t="s">
        <v>66</v>
      </c>
      <c r="G1238" s="29" t="s">
        <v>209</v>
      </c>
      <c r="H1238" s="30" t="s">
        <v>209</v>
      </c>
      <c r="I1238" s="29" t="s">
        <v>257</v>
      </c>
      <c r="J1238" s="29" t="s">
        <v>99</v>
      </c>
      <c r="K1238" s="30" t="s">
        <v>70</v>
      </c>
      <c r="L1238" s="29" t="str">
        <f t="shared" si="19"/>
        <v>BUNDIBUGYO-KAMPALA</v>
      </c>
      <c r="M1238" s="31">
        <v>65</v>
      </c>
      <c r="N1238" s="72">
        <v>23000</v>
      </c>
      <c r="O1238" s="34">
        <v>6.25</v>
      </c>
    </row>
    <row r="1239" spans="2:15" x14ac:dyDescent="0.2">
      <c r="B1239" s="27">
        <v>0.17569444444444446</v>
      </c>
      <c r="C1239" s="28">
        <v>6</v>
      </c>
      <c r="D1239" s="33" t="str">
        <f>IF(C1239="", "",VLOOKUP(C1239,Key!$A$5:$B$7,2,FALSE))</f>
        <v>Large Bus</v>
      </c>
      <c r="E1239" s="29" t="s">
        <v>228</v>
      </c>
      <c r="F1239" s="29" t="s">
        <v>66</v>
      </c>
      <c r="G1239" s="29" t="s">
        <v>206</v>
      </c>
      <c r="H1239" s="30" t="s">
        <v>206</v>
      </c>
      <c r="I1239" s="29" t="s">
        <v>257</v>
      </c>
      <c r="J1239" s="29" t="s">
        <v>99</v>
      </c>
      <c r="K1239" s="30" t="s">
        <v>70</v>
      </c>
      <c r="L1239" s="29" t="str">
        <f t="shared" si="19"/>
        <v>MASINDI-KAMPALA</v>
      </c>
      <c r="M1239" s="31">
        <v>65</v>
      </c>
      <c r="N1239" s="72">
        <v>12000</v>
      </c>
      <c r="O1239" s="34">
        <v>3.25</v>
      </c>
    </row>
    <row r="1240" spans="2:15" x14ac:dyDescent="0.2">
      <c r="B1240" s="27">
        <v>0.1763888888888889</v>
      </c>
      <c r="C1240" s="28">
        <v>6</v>
      </c>
      <c r="D1240" s="33" t="str">
        <f>IF(C1240="", "",VLOOKUP(C1240,Key!$A$5:$B$7,2,FALSE))</f>
        <v>Large Bus</v>
      </c>
      <c r="E1240" s="29" t="s">
        <v>228</v>
      </c>
      <c r="F1240" s="29" t="s">
        <v>66</v>
      </c>
      <c r="G1240" s="29" t="s">
        <v>205</v>
      </c>
      <c r="H1240" s="30" t="s">
        <v>205</v>
      </c>
      <c r="I1240" s="29" t="s">
        <v>257</v>
      </c>
      <c r="J1240" s="29" t="s">
        <v>99</v>
      </c>
      <c r="K1240" s="30" t="s">
        <v>70</v>
      </c>
      <c r="L1240" s="29" t="str">
        <f t="shared" si="19"/>
        <v>HOIMA-KAMPALA</v>
      </c>
      <c r="M1240" s="31">
        <v>65</v>
      </c>
      <c r="N1240" s="72">
        <v>15000</v>
      </c>
      <c r="O1240" s="34">
        <v>3.8</v>
      </c>
    </row>
    <row r="1241" spans="2:15" x14ac:dyDescent="0.2">
      <c r="B1241" s="27">
        <v>0.18402777777777779</v>
      </c>
      <c r="C1241" s="28">
        <v>6</v>
      </c>
      <c r="D1241" s="33" t="str">
        <f>IF(C1241="", "",VLOOKUP(C1241,Key!$A$5:$B$7,2,FALSE))</f>
        <v>Large Bus</v>
      </c>
      <c r="E1241" s="29" t="s">
        <v>228</v>
      </c>
      <c r="F1241" s="29" t="s">
        <v>66</v>
      </c>
      <c r="G1241" s="29" t="s">
        <v>207</v>
      </c>
      <c r="H1241" s="30" t="s">
        <v>207</v>
      </c>
      <c r="I1241" s="29" t="s">
        <v>257</v>
      </c>
      <c r="J1241" s="29" t="s">
        <v>99</v>
      </c>
      <c r="K1241" s="30" t="s">
        <v>70</v>
      </c>
      <c r="L1241" s="29" t="str">
        <f t="shared" si="19"/>
        <v>KASESE-KAMPALA</v>
      </c>
      <c r="M1241" s="31">
        <v>65</v>
      </c>
      <c r="N1241" s="72">
        <v>30000</v>
      </c>
      <c r="O1241" s="34">
        <v>7</v>
      </c>
    </row>
    <row r="1242" spans="2:15" x14ac:dyDescent="0.2">
      <c r="B1242" s="27">
        <v>0.19444444444444445</v>
      </c>
      <c r="C1242" s="28">
        <v>6</v>
      </c>
      <c r="D1242" s="33" t="str">
        <f>IF(C1242="", "",VLOOKUP(C1242,Key!$A$5:$B$7,2,FALSE))</f>
        <v>Large Bus</v>
      </c>
      <c r="E1242" s="29" t="s">
        <v>228</v>
      </c>
      <c r="F1242" s="29" t="s">
        <v>66</v>
      </c>
      <c r="G1242" s="29" t="s">
        <v>208</v>
      </c>
      <c r="H1242" s="30" t="s">
        <v>207</v>
      </c>
      <c r="I1242" s="29" t="s">
        <v>257</v>
      </c>
      <c r="J1242" s="29" t="s">
        <v>99</v>
      </c>
      <c r="K1242" s="30" t="s">
        <v>70</v>
      </c>
      <c r="L1242" s="29" t="str">
        <f t="shared" si="19"/>
        <v>KASESE-KAMPALA</v>
      </c>
      <c r="M1242" s="31">
        <v>71</v>
      </c>
      <c r="N1242" s="72">
        <v>30000</v>
      </c>
      <c r="O1242" s="34">
        <v>7</v>
      </c>
    </row>
    <row r="1243" spans="2:15" x14ac:dyDescent="0.2">
      <c r="B1243" s="27">
        <v>0.75624999999999998</v>
      </c>
      <c r="C1243" s="28">
        <v>6</v>
      </c>
      <c r="D1243" s="33" t="str">
        <f>IF(C1243="", "",VLOOKUP(C1243,Key!$A$5:$B$7,2,FALSE))</f>
        <v>Large Bus</v>
      </c>
      <c r="E1243" s="29" t="s">
        <v>228</v>
      </c>
      <c r="F1243" s="29" t="s">
        <v>66</v>
      </c>
      <c r="G1243" s="29" t="s">
        <v>209</v>
      </c>
      <c r="H1243" s="30" t="s">
        <v>209</v>
      </c>
      <c r="I1243" s="29" t="s">
        <v>257</v>
      </c>
      <c r="J1243" s="29" t="s">
        <v>99</v>
      </c>
      <c r="K1243" s="30" t="s">
        <v>70</v>
      </c>
      <c r="L1243" s="29" t="str">
        <f t="shared" si="19"/>
        <v>BUNDIBUGYO-KAMPALA</v>
      </c>
      <c r="M1243" s="31">
        <v>65</v>
      </c>
      <c r="N1243" s="72">
        <v>23000</v>
      </c>
      <c r="O1243" s="34">
        <v>6.25</v>
      </c>
    </row>
    <row r="1244" spans="2:15" x14ac:dyDescent="0.2">
      <c r="B1244" s="27">
        <v>0.77777777777777779</v>
      </c>
      <c r="C1244" s="28">
        <v>6</v>
      </c>
      <c r="D1244" s="33" t="str">
        <f>IF(C1244="", "",VLOOKUP(C1244,Key!$A$5:$B$7,2,FALSE))</f>
        <v>Large Bus</v>
      </c>
      <c r="E1244" s="29" t="s">
        <v>228</v>
      </c>
      <c r="F1244" s="29" t="s">
        <v>66</v>
      </c>
      <c r="G1244" s="29" t="s">
        <v>205</v>
      </c>
      <c r="H1244" s="30" t="s">
        <v>205</v>
      </c>
      <c r="I1244" s="29" t="s">
        <v>257</v>
      </c>
      <c r="J1244" s="29" t="s">
        <v>99</v>
      </c>
      <c r="K1244" s="30" t="s">
        <v>70</v>
      </c>
      <c r="L1244" s="29" t="str">
        <f t="shared" si="19"/>
        <v>HOIMA-KAMPALA</v>
      </c>
      <c r="M1244" s="31">
        <v>50</v>
      </c>
      <c r="N1244" s="72">
        <v>15000</v>
      </c>
      <c r="O1244" s="34">
        <v>3.8</v>
      </c>
    </row>
    <row r="1245" spans="2:15" x14ac:dyDescent="0.2">
      <c r="B1245" s="27">
        <v>0.79027777777777775</v>
      </c>
      <c r="C1245" s="28">
        <v>6</v>
      </c>
      <c r="D1245" s="33" t="str">
        <f>IF(C1245="", "",VLOOKUP(C1245,Key!$A$5:$B$7,2,FALSE))</f>
        <v>Large Bus</v>
      </c>
      <c r="E1245" s="29" t="s">
        <v>228</v>
      </c>
      <c r="F1245" s="29" t="s">
        <v>66</v>
      </c>
      <c r="G1245" s="29" t="s">
        <v>207</v>
      </c>
      <c r="H1245" s="30" t="s">
        <v>207</v>
      </c>
      <c r="I1245" s="29" t="s">
        <v>257</v>
      </c>
      <c r="J1245" s="29" t="s">
        <v>99</v>
      </c>
      <c r="K1245" s="30" t="s">
        <v>70</v>
      </c>
      <c r="L1245" s="29" t="str">
        <f t="shared" si="19"/>
        <v>KASESE-KAMPALA</v>
      </c>
      <c r="M1245" s="31">
        <v>30</v>
      </c>
      <c r="N1245" s="72">
        <v>30000</v>
      </c>
      <c r="O1245" s="34">
        <v>7</v>
      </c>
    </row>
    <row r="1246" spans="2:15" x14ac:dyDescent="0.2">
      <c r="B1246" s="27">
        <v>0.33333333333333331</v>
      </c>
      <c r="C1246" s="28">
        <v>6</v>
      </c>
      <c r="D1246" s="33" t="str">
        <f>IF(C1246="", "",VLOOKUP(C1246,Key!$A$5:$B$7,2,FALSE))</f>
        <v>Large Bus</v>
      </c>
      <c r="E1246" s="29" t="s">
        <v>228</v>
      </c>
      <c r="F1246" s="29" t="s">
        <v>67</v>
      </c>
      <c r="G1246" s="29" t="s">
        <v>99</v>
      </c>
      <c r="H1246" s="30" t="s">
        <v>70</v>
      </c>
      <c r="I1246" s="29" t="s">
        <v>257</v>
      </c>
      <c r="J1246" s="29" t="s">
        <v>211</v>
      </c>
      <c r="K1246" s="30" t="s">
        <v>211</v>
      </c>
      <c r="L1246" s="29" t="str">
        <f t="shared" si="19"/>
        <v>KAMPALA-NYAHUKA</v>
      </c>
      <c r="M1246" s="31">
        <v>62</v>
      </c>
      <c r="N1246" s="72">
        <v>25000</v>
      </c>
      <c r="O1246" s="34">
        <v>6.8</v>
      </c>
    </row>
    <row r="1247" spans="2:15" x14ac:dyDescent="0.2">
      <c r="B1247" s="27">
        <v>0.35138888888888892</v>
      </c>
      <c r="C1247" s="28">
        <v>6</v>
      </c>
      <c r="D1247" s="33" t="str">
        <f>IF(C1247="", "",VLOOKUP(C1247,Key!$A$5:$B$7,2,FALSE))</f>
        <v>Large Bus</v>
      </c>
      <c r="E1247" s="29" t="s">
        <v>228</v>
      </c>
      <c r="F1247" s="29" t="s">
        <v>67</v>
      </c>
      <c r="G1247" s="29" t="s">
        <v>99</v>
      </c>
      <c r="H1247" s="30" t="s">
        <v>70</v>
      </c>
      <c r="I1247" s="29" t="s">
        <v>257</v>
      </c>
      <c r="J1247" s="29" t="s">
        <v>205</v>
      </c>
      <c r="K1247" s="30" t="s">
        <v>205</v>
      </c>
      <c r="L1247" s="29" t="str">
        <f t="shared" si="19"/>
        <v>KAMPALA-HOIMA</v>
      </c>
      <c r="M1247" s="31">
        <v>67</v>
      </c>
      <c r="N1247" s="72">
        <v>15000</v>
      </c>
      <c r="O1247" s="34">
        <v>3.8</v>
      </c>
    </row>
    <row r="1248" spans="2:15" x14ac:dyDescent="0.2">
      <c r="B1248" s="27">
        <v>0.375</v>
      </c>
      <c r="C1248" s="28">
        <v>6</v>
      </c>
      <c r="D1248" s="33" t="str">
        <f>IF(C1248="", "",VLOOKUP(C1248,Key!$A$5:$B$7,2,FALSE))</f>
        <v>Large Bus</v>
      </c>
      <c r="E1248" s="29" t="s">
        <v>228</v>
      </c>
      <c r="F1248" s="29" t="s">
        <v>67</v>
      </c>
      <c r="G1248" s="29" t="s">
        <v>99</v>
      </c>
      <c r="H1248" s="30" t="s">
        <v>70</v>
      </c>
      <c r="I1248" s="29" t="s">
        <v>257</v>
      </c>
      <c r="J1248" s="29" t="s">
        <v>208</v>
      </c>
      <c r="K1248" s="30" t="s">
        <v>208</v>
      </c>
      <c r="L1248" s="29" t="str">
        <f t="shared" si="19"/>
        <v>KAMPALA-BWERA</v>
      </c>
      <c r="M1248" s="31">
        <v>66</v>
      </c>
      <c r="N1248" s="72">
        <v>35000</v>
      </c>
      <c r="O1248" s="34">
        <v>7.3</v>
      </c>
    </row>
    <row r="1249" spans="2:15" x14ac:dyDescent="0.2">
      <c r="B1249" s="27">
        <v>0.38680555555555557</v>
      </c>
      <c r="C1249" s="28">
        <v>6</v>
      </c>
      <c r="D1249" s="33" t="str">
        <f>IF(C1249="", "",VLOOKUP(C1249,Key!$A$5:$B$7,2,FALSE))</f>
        <v>Large Bus</v>
      </c>
      <c r="E1249" s="29" t="s">
        <v>228</v>
      </c>
      <c r="F1249" s="29" t="s">
        <v>67</v>
      </c>
      <c r="G1249" s="29" t="s">
        <v>99</v>
      </c>
      <c r="H1249" s="30" t="s">
        <v>70</v>
      </c>
      <c r="I1249" s="29" t="s">
        <v>257</v>
      </c>
      <c r="J1249" s="29" t="s">
        <v>211</v>
      </c>
      <c r="K1249" s="30" t="s">
        <v>211</v>
      </c>
      <c r="L1249" s="29" t="str">
        <f t="shared" si="19"/>
        <v>KAMPALA-NYAHUKA</v>
      </c>
      <c r="M1249" s="31">
        <v>62</v>
      </c>
      <c r="N1249" s="72">
        <v>25000</v>
      </c>
      <c r="O1249" s="34">
        <v>6.8</v>
      </c>
    </row>
    <row r="1250" spans="2:15" x14ac:dyDescent="0.2">
      <c r="B1250" s="27">
        <v>0.40972222222222227</v>
      </c>
      <c r="C1250" s="28">
        <v>6</v>
      </c>
      <c r="D1250" s="33" t="str">
        <f>IF(C1250="", "",VLOOKUP(C1250,Key!$A$5:$B$7,2,FALSE))</f>
        <v>Large Bus</v>
      </c>
      <c r="E1250" s="29" t="s">
        <v>228</v>
      </c>
      <c r="F1250" s="29" t="s">
        <v>67</v>
      </c>
      <c r="G1250" s="29" t="s">
        <v>99</v>
      </c>
      <c r="H1250" s="30" t="s">
        <v>70</v>
      </c>
      <c r="I1250" s="29" t="s">
        <v>257</v>
      </c>
      <c r="J1250" s="29" t="s">
        <v>206</v>
      </c>
      <c r="K1250" s="30" t="s">
        <v>206</v>
      </c>
      <c r="L1250" s="29" t="str">
        <f t="shared" si="19"/>
        <v>KAMPALA-MASINDI</v>
      </c>
      <c r="M1250" s="31">
        <v>67</v>
      </c>
      <c r="N1250" s="72">
        <v>15000</v>
      </c>
      <c r="O1250" s="34">
        <v>3.25</v>
      </c>
    </row>
    <row r="1251" spans="2:15" x14ac:dyDescent="0.2">
      <c r="B1251" s="27">
        <v>0.43333333333333335</v>
      </c>
      <c r="C1251" s="28">
        <v>6</v>
      </c>
      <c r="D1251" s="33" t="str">
        <f>IF(C1251="", "",VLOOKUP(C1251,Key!$A$5:$B$7,2,FALSE))</f>
        <v>Large Bus</v>
      </c>
      <c r="E1251" s="29" t="s">
        <v>228</v>
      </c>
      <c r="F1251" s="29" t="s">
        <v>67</v>
      </c>
      <c r="G1251" s="29" t="s">
        <v>99</v>
      </c>
      <c r="H1251" s="30" t="s">
        <v>70</v>
      </c>
      <c r="I1251" s="29" t="s">
        <v>257</v>
      </c>
      <c r="J1251" s="29" t="s">
        <v>206</v>
      </c>
      <c r="K1251" s="30" t="s">
        <v>206</v>
      </c>
      <c r="L1251" s="29" t="str">
        <f t="shared" si="19"/>
        <v>KAMPALA-MASINDI</v>
      </c>
      <c r="M1251" s="31">
        <v>67</v>
      </c>
      <c r="N1251" s="72">
        <v>15000</v>
      </c>
      <c r="O1251" s="34">
        <v>3.25</v>
      </c>
    </row>
    <row r="1252" spans="2:15" x14ac:dyDescent="0.2">
      <c r="B1252" s="27">
        <v>0.4513888888888889</v>
      </c>
      <c r="C1252" s="28">
        <v>6</v>
      </c>
      <c r="D1252" s="33" t="str">
        <f>IF(C1252="", "",VLOOKUP(C1252,Key!$A$5:$B$7,2,FALSE))</f>
        <v>Large Bus</v>
      </c>
      <c r="E1252" s="29" t="s">
        <v>228</v>
      </c>
      <c r="F1252" s="29" t="s">
        <v>67</v>
      </c>
      <c r="G1252" s="29" t="s">
        <v>99</v>
      </c>
      <c r="H1252" s="30" t="s">
        <v>70</v>
      </c>
      <c r="I1252" s="29" t="s">
        <v>257</v>
      </c>
      <c r="J1252" s="29" t="s">
        <v>207</v>
      </c>
      <c r="K1252" s="30" t="s">
        <v>207</v>
      </c>
      <c r="L1252" s="29" t="str">
        <f t="shared" si="19"/>
        <v>KAMPALA-KASESE</v>
      </c>
      <c r="M1252" s="31">
        <v>67</v>
      </c>
      <c r="N1252" s="72">
        <v>35000</v>
      </c>
      <c r="O1252" s="34">
        <v>7</v>
      </c>
    </row>
    <row r="1253" spans="2:15" x14ac:dyDescent="0.2">
      <c r="B1253" s="27">
        <v>0.48472222222222222</v>
      </c>
      <c r="C1253" s="28">
        <v>6</v>
      </c>
      <c r="D1253" s="33" t="str">
        <f>IF(C1253="", "",VLOOKUP(C1253,Key!$A$5:$B$7,2,FALSE))</f>
        <v>Large Bus</v>
      </c>
      <c r="E1253" s="29" t="s">
        <v>228</v>
      </c>
      <c r="F1253" s="29" t="s">
        <v>67</v>
      </c>
      <c r="G1253" s="29" t="s">
        <v>99</v>
      </c>
      <c r="H1253" s="30" t="s">
        <v>70</v>
      </c>
      <c r="I1253" s="29" t="s">
        <v>257</v>
      </c>
      <c r="J1253" s="29" t="s">
        <v>207</v>
      </c>
      <c r="K1253" s="30" t="s">
        <v>207</v>
      </c>
      <c r="L1253" s="29" t="str">
        <f t="shared" si="19"/>
        <v>KAMPALA-KASESE</v>
      </c>
      <c r="M1253" s="31">
        <v>67</v>
      </c>
      <c r="N1253" s="72">
        <v>35000</v>
      </c>
      <c r="O1253" s="34">
        <v>7</v>
      </c>
    </row>
    <row r="1254" spans="2:15" x14ac:dyDescent="0.2">
      <c r="B1254" s="27">
        <v>0.4993055555555555</v>
      </c>
      <c r="C1254" s="28">
        <v>6</v>
      </c>
      <c r="D1254" s="33" t="str">
        <f>IF(C1254="", "",VLOOKUP(C1254,Key!$A$5:$B$7,2,FALSE))</f>
        <v>Large Bus</v>
      </c>
      <c r="E1254" s="29" t="s">
        <v>228</v>
      </c>
      <c r="F1254" s="29" t="s">
        <v>67</v>
      </c>
      <c r="G1254" s="29" t="s">
        <v>99</v>
      </c>
      <c r="H1254" s="30" t="s">
        <v>70</v>
      </c>
      <c r="I1254" s="29" t="s">
        <v>257</v>
      </c>
      <c r="J1254" s="29" t="s">
        <v>205</v>
      </c>
      <c r="K1254" s="30" t="s">
        <v>205</v>
      </c>
      <c r="L1254" s="29" t="str">
        <f t="shared" si="19"/>
        <v>KAMPALA-HOIMA</v>
      </c>
      <c r="M1254" s="31">
        <v>67</v>
      </c>
      <c r="N1254" s="72">
        <v>15000</v>
      </c>
      <c r="O1254" s="34">
        <v>3.8</v>
      </c>
    </row>
    <row r="1255" spans="2:15" x14ac:dyDescent="0.2">
      <c r="B1255" s="27">
        <v>0.51388888888888895</v>
      </c>
      <c r="C1255" s="28">
        <v>6</v>
      </c>
      <c r="D1255" s="33" t="str">
        <f>IF(C1255="", "",VLOOKUP(C1255,Key!$A$5:$B$7,2,FALSE))</f>
        <v>Large Bus</v>
      </c>
      <c r="E1255" s="29" t="s">
        <v>228</v>
      </c>
      <c r="F1255" s="29" t="s">
        <v>67</v>
      </c>
      <c r="G1255" s="29" t="s">
        <v>99</v>
      </c>
      <c r="H1255" s="30" t="s">
        <v>70</v>
      </c>
      <c r="I1255" s="29" t="s">
        <v>257</v>
      </c>
      <c r="J1255" s="29" t="s">
        <v>207</v>
      </c>
      <c r="K1255" s="30" t="s">
        <v>207</v>
      </c>
      <c r="L1255" s="29" t="str">
        <f t="shared" si="19"/>
        <v>KAMPALA-KASESE</v>
      </c>
      <c r="M1255" s="31">
        <v>67</v>
      </c>
      <c r="N1255" s="72">
        <v>35000</v>
      </c>
      <c r="O1255" s="34">
        <v>7</v>
      </c>
    </row>
    <row r="1256" spans="2:15" x14ac:dyDescent="0.2">
      <c r="B1256" s="27">
        <v>0.52083333333333337</v>
      </c>
      <c r="C1256" s="28">
        <v>6</v>
      </c>
      <c r="D1256" s="33" t="str">
        <f>IF(C1256="", "",VLOOKUP(C1256,Key!$A$5:$B$7,2,FALSE))</f>
        <v>Large Bus</v>
      </c>
      <c r="E1256" s="29" t="s">
        <v>228</v>
      </c>
      <c r="F1256" s="29" t="s">
        <v>67</v>
      </c>
      <c r="G1256" s="29" t="s">
        <v>99</v>
      </c>
      <c r="H1256" s="30" t="s">
        <v>70</v>
      </c>
      <c r="I1256" s="29" t="s">
        <v>257</v>
      </c>
      <c r="J1256" s="29" t="s">
        <v>209</v>
      </c>
      <c r="K1256" s="30" t="s">
        <v>209</v>
      </c>
      <c r="L1256" s="29" t="str">
        <f t="shared" si="19"/>
        <v>KAMPALA-BUNDIBUGYO</v>
      </c>
      <c r="M1256" s="31">
        <v>67</v>
      </c>
      <c r="N1256" s="72">
        <v>25000</v>
      </c>
      <c r="O1256" s="34">
        <v>6.25</v>
      </c>
    </row>
    <row r="1257" spans="2:15" x14ac:dyDescent="0.2">
      <c r="B1257" s="27">
        <v>0.53333333333333333</v>
      </c>
      <c r="C1257" s="28">
        <v>6</v>
      </c>
      <c r="D1257" s="33" t="str">
        <f>IF(C1257="", "",VLOOKUP(C1257,Key!$A$5:$B$7,2,FALSE))</f>
        <v>Large Bus</v>
      </c>
      <c r="E1257" s="29" t="s">
        <v>228</v>
      </c>
      <c r="F1257" s="29" t="s">
        <v>67</v>
      </c>
      <c r="G1257" s="29" t="s">
        <v>99</v>
      </c>
      <c r="H1257" s="30" t="s">
        <v>70</v>
      </c>
      <c r="I1257" s="29" t="s">
        <v>257</v>
      </c>
      <c r="J1257" s="29" t="s">
        <v>207</v>
      </c>
      <c r="K1257" s="30" t="s">
        <v>207</v>
      </c>
      <c r="L1257" s="29" t="str">
        <f t="shared" si="19"/>
        <v>KAMPALA-KASESE</v>
      </c>
      <c r="M1257" s="31">
        <v>67</v>
      </c>
      <c r="N1257" s="72">
        <v>35000</v>
      </c>
      <c r="O1257" s="34">
        <v>7</v>
      </c>
    </row>
    <row r="1258" spans="2:15" x14ac:dyDescent="0.2">
      <c r="B1258" s="27">
        <v>0.53819444444444442</v>
      </c>
      <c r="C1258" s="28">
        <v>6</v>
      </c>
      <c r="D1258" s="33" t="str">
        <f>IF(C1258="", "",VLOOKUP(C1258,Key!$A$5:$B$7,2,FALSE))</f>
        <v>Large Bus</v>
      </c>
      <c r="E1258" s="29" t="s">
        <v>228</v>
      </c>
      <c r="F1258" s="29" t="s">
        <v>67</v>
      </c>
      <c r="G1258" s="29" t="s">
        <v>99</v>
      </c>
      <c r="H1258" s="30" t="s">
        <v>70</v>
      </c>
      <c r="I1258" s="29" t="s">
        <v>257</v>
      </c>
      <c r="J1258" s="29" t="s">
        <v>206</v>
      </c>
      <c r="K1258" s="30" t="s">
        <v>206</v>
      </c>
      <c r="L1258" s="29" t="str">
        <f t="shared" si="19"/>
        <v>KAMPALA-MASINDI</v>
      </c>
      <c r="M1258" s="31">
        <v>67</v>
      </c>
      <c r="N1258" s="72">
        <v>15000</v>
      </c>
      <c r="O1258" s="34">
        <v>3.25</v>
      </c>
    </row>
    <row r="1259" spans="2:15" x14ac:dyDescent="0.2">
      <c r="B1259" s="27">
        <v>0.54861111111111105</v>
      </c>
      <c r="C1259" s="28">
        <v>6</v>
      </c>
      <c r="D1259" s="33" t="str">
        <f>IF(C1259="", "",VLOOKUP(C1259,Key!$A$5:$B$7,2,FALSE))</f>
        <v>Large Bus</v>
      </c>
      <c r="E1259" s="29" t="s">
        <v>228</v>
      </c>
      <c r="F1259" s="29" t="s">
        <v>67</v>
      </c>
      <c r="G1259" s="29" t="s">
        <v>99</v>
      </c>
      <c r="H1259" s="30" t="s">
        <v>70</v>
      </c>
      <c r="I1259" s="29" t="s">
        <v>257</v>
      </c>
      <c r="J1259" s="29" t="s">
        <v>205</v>
      </c>
      <c r="K1259" s="30" t="s">
        <v>205</v>
      </c>
      <c r="L1259" s="29" t="str">
        <f t="shared" si="19"/>
        <v>KAMPALA-HOIMA</v>
      </c>
      <c r="M1259" s="31">
        <v>65</v>
      </c>
      <c r="N1259" s="72">
        <v>15000</v>
      </c>
      <c r="O1259" s="34">
        <v>3.8</v>
      </c>
    </row>
    <row r="1260" spans="2:15" x14ac:dyDescent="0.2">
      <c r="B1260" s="27">
        <v>0.57500000000000007</v>
      </c>
      <c r="C1260" s="28">
        <v>6</v>
      </c>
      <c r="D1260" s="33" t="str">
        <f>IF(C1260="", "",VLOOKUP(C1260,Key!$A$5:$B$7,2,FALSE))</f>
        <v>Large Bus</v>
      </c>
      <c r="E1260" s="29" t="s">
        <v>228</v>
      </c>
      <c r="F1260" s="29" t="s">
        <v>67</v>
      </c>
      <c r="G1260" s="29" t="s">
        <v>99</v>
      </c>
      <c r="H1260" s="30" t="s">
        <v>70</v>
      </c>
      <c r="I1260" s="29" t="s">
        <v>257</v>
      </c>
      <c r="J1260" s="29" t="s">
        <v>207</v>
      </c>
      <c r="K1260" s="30" t="s">
        <v>207</v>
      </c>
      <c r="L1260" s="29" t="str">
        <f t="shared" si="19"/>
        <v>KAMPALA-KASESE</v>
      </c>
      <c r="M1260" s="31">
        <v>67</v>
      </c>
      <c r="N1260" s="72">
        <v>35000</v>
      </c>
      <c r="O1260" s="34">
        <v>7</v>
      </c>
    </row>
    <row r="1261" spans="2:15" x14ac:dyDescent="0.2">
      <c r="B1261" s="27">
        <v>0.59375</v>
      </c>
      <c r="C1261" s="28">
        <v>6</v>
      </c>
      <c r="D1261" s="33" t="str">
        <f>IF(C1261="", "",VLOOKUP(C1261,Key!$A$5:$B$7,2,FALSE))</f>
        <v>Large Bus</v>
      </c>
      <c r="E1261" s="29" t="s">
        <v>228</v>
      </c>
      <c r="F1261" s="29" t="s">
        <v>67</v>
      </c>
      <c r="G1261" s="29" t="s">
        <v>99</v>
      </c>
      <c r="H1261" s="30" t="s">
        <v>70</v>
      </c>
      <c r="I1261" s="29" t="s">
        <v>257</v>
      </c>
      <c r="J1261" s="29" t="s">
        <v>206</v>
      </c>
      <c r="K1261" s="30" t="s">
        <v>206</v>
      </c>
      <c r="L1261" s="29" t="str">
        <f t="shared" si="19"/>
        <v>KAMPALA-MASINDI</v>
      </c>
      <c r="M1261" s="31">
        <v>67</v>
      </c>
      <c r="N1261" s="72">
        <v>15000</v>
      </c>
      <c r="O1261" s="34">
        <v>3.25</v>
      </c>
    </row>
    <row r="1262" spans="2:15" x14ac:dyDescent="0.2">
      <c r="B1262" s="27">
        <v>0.60416666666666663</v>
      </c>
      <c r="C1262" s="28">
        <v>6</v>
      </c>
      <c r="D1262" s="33" t="str">
        <f>IF(C1262="", "",VLOOKUP(C1262,Key!$A$5:$B$7,2,FALSE))</f>
        <v>Large Bus</v>
      </c>
      <c r="E1262" s="29" t="s">
        <v>228</v>
      </c>
      <c r="F1262" s="29" t="s">
        <v>67</v>
      </c>
      <c r="G1262" s="29" t="s">
        <v>99</v>
      </c>
      <c r="H1262" s="30" t="s">
        <v>70</v>
      </c>
      <c r="I1262" s="29" t="s">
        <v>257</v>
      </c>
      <c r="J1262" s="29" t="s">
        <v>212</v>
      </c>
      <c r="K1262" s="30" t="s">
        <v>212</v>
      </c>
      <c r="L1262" s="29" t="str">
        <f t="shared" si="19"/>
        <v>KAMPALA-FORT PORTAL</v>
      </c>
      <c r="M1262" s="31">
        <v>67</v>
      </c>
      <c r="N1262" s="72">
        <v>25000</v>
      </c>
      <c r="O1262" s="34">
        <v>5</v>
      </c>
    </row>
    <row r="1263" spans="2:15" x14ac:dyDescent="0.2">
      <c r="B1263" s="27">
        <v>0.6166666666666667</v>
      </c>
      <c r="C1263" s="28">
        <v>6</v>
      </c>
      <c r="D1263" s="33" t="str">
        <f>IF(C1263="", "",VLOOKUP(C1263,Key!$A$5:$B$7,2,FALSE))</f>
        <v>Large Bus</v>
      </c>
      <c r="E1263" s="29" t="s">
        <v>228</v>
      </c>
      <c r="F1263" s="29" t="s">
        <v>67</v>
      </c>
      <c r="G1263" s="29" t="s">
        <v>99</v>
      </c>
      <c r="H1263" s="30" t="s">
        <v>70</v>
      </c>
      <c r="I1263" s="29" t="s">
        <v>257</v>
      </c>
      <c r="J1263" s="29" t="s">
        <v>205</v>
      </c>
      <c r="K1263" s="30" t="s">
        <v>205</v>
      </c>
      <c r="L1263" s="29" t="str">
        <f t="shared" si="19"/>
        <v>KAMPALA-HOIMA</v>
      </c>
      <c r="M1263" s="31">
        <v>50</v>
      </c>
      <c r="N1263" s="72">
        <v>15000</v>
      </c>
      <c r="O1263" s="34">
        <v>3.8</v>
      </c>
    </row>
    <row r="1264" spans="2:15" x14ac:dyDescent="0.2">
      <c r="B1264" s="27">
        <v>0.64583333333333337</v>
      </c>
      <c r="C1264" s="28">
        <v>6</v>
      </c>
      <c r="D1264" s="33" t="str">
        <f>IF(C1264="", "",VLOOKUP(C1264,Key!$A$5:$B$7,2,FALSE))</f>
        <v>Large Bus</v>
      </c>
      <c r="E1264" s="29" t="s">
        <v>228</v>
      </c>
      <c r="F1264" s="29" t="s">
        <v>67</v>
      </c>
      <c r="G1264" s="29" t="s">
        <v>99</v>
      </c>
      <c r="H1264" s="30" t="s">
        <v>70</v>
      </c>
      <c r="I1264" s="29" t="s">
        <v>257</v>
      </c>
      <c r="J1264" s="29" t="s">
        <v>207</v>
      </c>
      <c r="K1264" s="30" t="s">
        <v>207</v>
      </c>
      <c r="L1264" s="29" t="str">
        <f t="shared" si="19"/>
        <v>KAMPALA-KASESE</v>
      </c>
      <c r="M1264" s="31">
        <v>60</v>
      </c>
      <c r="N1264" s="72">
        <v>35000</v>
      </c>
      <c r="O1264" s="34">
        <v>7</v>
      </c>
    </row>
    <row r="1265" spans="2:15" x14ac:dyDescent="0.2">
      <c r="B1265" s="27">
        <v>0.82638888888888884</v>
      </c>
      <c r="C1265" s="28">
        <v>6</v>
      </c>
      <c r="D1265" s="33" t="str">
        <f>IF(C1265="", "",VLOOKUP(C1265,Key!$A$5:$B$7,2,FALSE))</f>
        <v>Large Bus</v>
      </c>
      <c r="E1265" s="29" t="s">
        <v>228</v>
      </c>
      <c r="F1265" s="29" t="s">
        <v>67</v>
      </c>
      <c r="G1265" s="29" t="s">
        <v>99</v>
      </c>
      <c r="H1265" s="30" t="s">
        <v>70</v>
      </c>
      <c r="I1265" s="29" t="s">
        <v>257</v>
      </c>
      <c r="J1265" s="29" t="s">
        <v>208</v>
      </c>
      <c r="K1265" s="30" t="s">
        <v>207</v>
      </c>
      <c r="L1265" s="29" t="str">
        <f t="shared" si="19"/>
        <v>KAMPALA-KASESE</v>
      </c>
      <c r="M1265" s="31">
        <v>60</v>
      </c>
      <c r="N1265" s="72">
        <v>35000</v>
      </c>
      <c r="O1265" s="34">
        <v>7</v>
      </c>
    </row>
    <row r="1266" spans="2:15" x14ac:dyDescent="0.2">
      <c r="B1266" s="27">
        <v>0.35833333333333334</v>
      </c>
      <c r="C1266" s="28">
        <v>6</v>
      </c>
      <c r="D1266" s="33" t="str">
        <f>IF(C1266="", "",VLOOKUP(C1266,Key!$A$5:$B$7,2,FALSE))</f>
        <v>Large Bus</v>
      </c>
      <c r="E1266" s="29" t="s">
        <v>228</v>
      </c>
      <c r="F1266" s="29" t="s">
        <v>67</v>
      </c>
      <c r="G1266" s="29" t="s">
        <v>99</v>
      </c>
      <c r="H1266" s="30" t="s">
        <v>70</v>
      </c>
      <c r="I1266" s="29" t="s">
        <v>257</v>
      </c>
      <c r="J1266" s="29" t="s">
        <v>208</v>
      </c>
      <c r="K1266" s="30" t="s">
        <v>207</v>
      </c>
      <c r="L1266" s="29" t="str">
        <f t="shared" si="19"/>
        <v>KAMPALA-KASESE</v>
      </c>
      <c r="M1266" s="31">
        <v>67</v>
      </c>
      <c r="N1266" s="72">
        <v>35000</v>
      </c>
      <c r="O1266" s="34">
        <v>7</v>
      </c>
    </row>
    <row r="1267" spans="2:15" x14ac:dyDescent="0.2">
      <c r="B1267" s="27">
        <v>0.38541666666666669</v>
      </c>
      <c r="C1267" s="28">
        <v>6</v>
      </c>
      <c r="D1267" s="33" t="str">
        <f>IF(C1267="", "",VLOOKUP(C1267,Key!$A$5:$B$7,2,FALSE))</f>
        <v>Large Bus</v>
      </c>
      <c r="E1267" s="29" t="s">
        <v>228</v>
      </c>
      <c r="F1267" s="29" t="s">
        <v>67</v>
      </c>
      <c r="G1267" s="29" t="s">
        <v>99</v>
      </c>
      <c r="H1267" s="30" t="s">
        <v>70</v>
      </c>
      <c r="I1267" s="29" t="s">
        <v>257</v>
      </c>
      <c r="J1267" s="29" t="s">
        <v>208</v>
      </c>
      <c r="K1267" s="30" t="s">
        <v>207</v>
      </c>
      <c r="L1267" s="29" t="str">
        <f t="shared" si="19"/>
        <v>KAMPALA-KASESE</v>
      </c>
      <c r="M1267" s="31">
        <v>58</v>
      </c>
      <c r="N1267" s="72">
        <v>35000</v>
      </c>
      <c r="O1267" s="34">
        <v>7</v>
      </c>
    </row>
    <row r="1268" spans="2:15" x14ac:dyDescent="0.2">
      <c r="B1268" s="27">
        <v>0.23402777777777781</v>
      </c>
      <c r="C1268" s="28">
        <v>6</v>
      </c>
      <c r="D1268" s="33" t="str">
        <f>IF(C1268="", "",VLOOKUP(C1268,Key!$A$5:$B$7,2,FALSE))</f>
        <v>Large Bus</v>
      </c>
      <c r="E1268" s="29" t="s">
        <v>228</v>
      </c>
      <c r="F1268" s="29" t="s">
        <v>67</v>
      </c>
      <c r="G1268" s="29" t="s">
        <v>99</v>
      </c>
      <c r="H1268" s="30" t="s">
        <v>70</v>
      </c>
      <c r="I1268" s="29" t="s">
        <v>257</v>
      </c>
      <c r="J1268" s="29" t="s">
        <v>208</v>
      </c>
      <c r="K1268" s="30" t="s">
        <v>207</v>
      </c>
      <c r="L1268" s="29" t="str">
        <f t="shared" si="19"/>
        <v>KAMPALA-KASESE</v>
      </c>
      <c r="M1268" s="31">
        <v>65</v>
      </c>
      <c r="N1268" s="72">
        <v>35000</v>
      </c>
      <c r="O1268" s="34">
        <v>7</v>
      </c>
    </row>
    <row r="1269" spans="2:15" x14ac:dyDescent="0.2">
      <c r="B1269" s="27">
        <v>0.23819444444444446</v>
      </c>
      <c r="C1269" s="28">
        <v>6</v>
      </c>
      <c r="D1269" s="33" t="str">
        <f>IF(C1269="", "",VLOOKUP(C1269,Key!$A$5:$B$7,2,FALSE))</f>
        <v>Large Bus</v>
      </c>
      <c r="E1269" s="29" t="s">
        <v>228</v>
      </c>
      <c r="F1269" s="29" t="s">
        <v>67</v>
      </c>
      <c r="G1269" s="29" t="s">
        <v>99</v>
      </c>
      <c r="H1269" s="30" t="s">
        <v>70</v>
      </c>
      <c r="I1269" s="29" t="s">
        <v>257</v>
      </c>
      <c r="J1269" s="29" t="s">
        <v>208</v>
      </c>
      <c r="K1269" s="30" t="s">
        <v>207</v>
      </c>
      <c r="L1269" s="29" t="str">
        <f t="shared" si="19"/>
        <v>KAMPALA-KASESE</v>
      </c>
      <c r="M1269" s="31">
        <v>66</v>
      </c>
      <c r="N1269" s="72">
        <v>35000</v>
      </c>
      <c r="O1269" s="34">
        <v>7</v>
      </c>
    </row>
    <row r="1270" spans="2:15" x14ac:dyDescent="0.2">
      <c r="B1270" s="27">
        <v>0.26458333333333334</v>
      </c>
      <c r="C1270" s="28">
        <v>6</v>
      </c>
      <c r="D1270" s="33" t="str">
        <f>IF(C1270="", "",VLOOKUP(C1270,Key!$A$5:$B$7,2,FALSE))</f>
        <v>Large Bus</v>
      </c>
      <c r="E1270" s="29" t="s">
        <v>228</v>
      </c>
      <c r="F1270" s="29" t="s">
        <v>67</v>
      </c>
      <c r="G1270" s="29" t="s">
        <v>99</v>
      </c>
      <c r="H1270" s="30" t="s">
        <v>70</v>
      </c>
      <c r="I1270" s="29" t="s">
        <v>257</v>
      </c>
      <c r="J1270" s="29" t="s">
        <v>208</v>
      </c>
      <c r="K1270" s="30" t="s">
        <v>207</v>
      </c>
      <c r="L1270" s="29" t="str">
        <f t="shared" si="19"/>
        <v>KAMPALA-KASESE</v>
      </c>
      <c r="M1270" s="31">
        <v>65</v>
      </c>
      <c r="N1270" s="72">
        <v>35000</v>
      </c>
      <c r="O1270" s="34">
        <v>7</v>
      </c>
    </row>
    <row r="1271" spans="2:15" x14ac:dyDescent="0.2">
      <c r="B1271" s="45" t="s">
        <v>219</v>
      </c>
      <c r="C1271" s="47"/>
      <c r="D1271" s="33" t="str">
        <f>IF(C1271="", "",VLOOKUP(C1271,Key!$A$5:$B$7,2,FALSE))</f>
        <v/>
      </c>
      <c r="E1271" s="44" t="s">
        <v>228</v>
      </c>
      <c r="F1271" s="48"/>
      <c r="G1271" s="47"/>
      <c r="H1271" s="47"/>
      <c r="I1271" s="47" t="s">
        <v>257</v>
      </c>
      <c r="J1271" s="47"/>
      <c r="K1271" s="47"/>
      <c r="L1271" s="47" t="str">
        <f t="shared" si="19"/>
        <v>-</v>
      </c>
      <c r="M1271" s="47"/>
      <c r="N1271" s="48"/>
      <c r="O1271" s="48"/>
    </row>
    <row r="1272" spans="2:15" x14ac:dyDescent="0.2">
      <c r="B1272" s="27">
        <v>0.8354166666666667</v>
      </c>
      <c r="C1272" s="28">
        <v>6</v>
      </c>
      <c r="D1272" s="33" t="str">
        <f>IF(C1272="", "",VLOOKUP(C1272,Key!$A$5:$B$7,2,FALSE))</f>
        <v>Large Bus</v>
      </c>
      <c r="E1272" s="29" t="s">
        <v>228</v>
      </c>
      <c r="F1272" s="29" t="s">
        <v>66</v>
      </c>
      <c r="G1272" s="29" t="s">
        <v>205</v>
      </c>
      <c r="H1272" s="30" t="s">
        <v>205</v>
      </c>
      <c r="I1272" s="29" t="s">
        <v>257</v>
      </c>
      <c r="J1272" s="29" t="s">
        <v>99</v>
      </c>
      <c r="K1272" s="30" t="s">
        <v>70</v>
      </c>
      <c r="L1272" s="29" t="str">
        <f t="shared" si="19"/>
        <v>HOIMA-KAMPALA</v>
      </c>
      <c r="M1272" s="31">
        <v>65</v>
      </c>
      <c r="N1272" s="72">
        <v>15000</v>
      </c>
      <c r="O1272" s="34">
        <v>3.8</v>
      </c>
    </row>
    <row r="1273" spans="2:15" x14ac:dyDescent="0.2">
      <c r="B1273" s="27">
        <v>0.85763888888888884</v>
      </c>
      <c r="C1273" s="28">
        <v>6</v>
      </c>
      <c r="D1273" s="33" t="str">
        <f>IF(C1273="", "",VLOOKUP(C1273,Key!$A$5:$B$7,2,FALSE))</f>
        <v>Large Bus</v>
      </c>
      <c r="E1273" s="29" t="s">
        <v>228</v>
      </c>
      <c r="F1273" s="29" t="s">
        <v>66</v>
      </c>
      <c r="G1273" s="29" t="s">
        <v>208</v>
      </c>
      <c r="H1273" s="30" t="s">
        <v>207</v>
      </c>
      <c r="I1273" s="29" t="s">
        <v>257</v>
      </c>
      <c r="J1273" s="29" t="s">
        <v>99</v>
      </c>
      <c r="K1273" s="30" t="s">
        <v>70</v>
      </c>
      <c r="L1273" s="29" t="str">
        <f t="shared" si="19"/>
        <v>KASESE-KAMPALA</v>
      </c>
      <c r="M1273" s="31">
        <v>60</v>
      </c>
      <c r="N1273" s="72">
        <v>30000</v>
      </c>
      <c r="O1273" s="34">
        <v>7</v>
      </c>
    </row>
    <row r="1274" spans="2:15" x14ac:dyDescent="0.2">
      <c r="B1274" s="27">
        <v>0.87152777777777779</v>
      </c>
      <c r="C1274" s="28">
        <v>6</v>
      </c>
      <c r="D1274" s="33" t="str">
        <f>IF(C1274="", "",VLOOKUP(C1274,Key!$A$5:$B$7,2,FALSE))</f>
        <v>Large Bus</v>
      </c>
      <c r="E1274" s="29" t="s">
        <v>228</v>
      </c>
      <c r="F1274" s="29" t="s">
        <v>66</v>
      </c>
      <c r="G1274" s="29" t="s">
        <v>206</v>
      </c>
      <c r="H1274" s="30" t="s">
        <v>206</v>
      </c>
      <c r="I1274" s="29" t="s">
        <v>257</v>
      </c>
      <c r="J1274" s="29" t="s">
        <v>99</v>
      </c>
      <c r="K1274" s="30" t="s">
        <v>70</v>
      </c>
      <c r="L1274" s="29" t="str">
        <f t="shared" si="19"/>
        <v>MASINDI-KAMPALA</v>
      </c>
      <c r="M1274" s="31">
        <v>58</v>
      </c>
      <c r="N1274" s="72">
        <v>12000</v>
      </c>
      <c r="O1274" s="34">
        <v>3.25</v>
      </c>
    </row>
    <row r="1275" spans="2:15" x14ac:dyDescent="0.2">
      <c r="B1275" s="27">
        <v>0.89513888888888893</v>
      </c>
      <c r="C1275" s="28">
        <v>6</v>
      </c>
      <c r="D1275" s="33" t="str">
        <f>IF(C1275="", "",VLOOKUP(C1275,Key!$A$5:$B$7,2,FALSE))</f>
        <v>Large Bus</v>
      </c>
      <c r="E1275" s="29" t="s">
        <v>228</v>
      </c>
      <c r="F1275" s="29" t="s">
        <v>66</v>
      </c>
      <c r="G1275" s="29" t="s">
        <v>213</v>
      </c>
      <c r="H1275" s="30" t="s">
        <v>205</v>
      </c>
      <c r="I1275" s="29" t="s">
        <v>257</v>
      </c>
      <c r="J1275" s="29" t="s">
        <v>99</v>
      </c>
      <c r="K1275" s="30" t="s">
        <v>70</v>
      </c>
      <c r="L1275" s="29" t="str">
        <f t="shared" si="19"/>
        <v>HOIMA-KAMPALA</v>
      </c>
      <c r="M1275" s="31">
        <v>67</v>
      </c>
      <c r="N1275" s="72">
        <v>15000</v>
      </c>
      <c r="O1275" s="34">
        <v>3.8</v>
      </c>
    </row>
    <row r="1276" spans="2:15" x14ac:dyDescent="0.2">
      <c r="B1276" s="27">
        <v>0.90069444444444446</v>
      </c>
      <c r="C1276" s="28">
        <v>6</v>
      </c>
      <c r="D1276" s="33" t="str">
        <f>IF(C1276="", "",VLOOKUP(C1276,Key!$A$5:$B$7,2,FALSE))</f>
        <v>Large Bus</v>
      </c>
      <c r="E1276" s="29" t="s">
        <v>228</v>
      </c>
      <c r="F1276" s="29" t="s">
        <v>66</v>
      </c>
      <c r="G1276" s="29" t="s">
        <v>212</v>
      </c>
      <c r="H1276" s="30" t="s">
        <v>212</v>
      </c>
      <c r="I1276" s="29" t="s">
        <v>257</v>
      </c>
      <c r="J1276" s="29" t="s">
        <v>99</v>
      </c>
      <c r="K1276" s="30" t="s">
        <v>70</v>
      </c>
      <c r="L1276" s="29" t="str">
        <f t="shared" si="19"/>
        <v>FORT PORTAL-KAMPALA</v>
      </c>
      <c r="M1276" s="31">
        <v>67</v>
      </c>
      <c r="N1276" s="72">
        <v>20000</v>
      </c>
      <c r="O1276" s="34">
        <v>5</v>
      </c>
    </row>
    <row r="1277" spans="2:15" x14ac:dyDescent="0.2">
      <c r="B1277" s="27">
        <v>0.92361111111111116</v>
      </c>
      <c r="C1277" s="28">
        <v>6</v>
      </c>
      <c r="D1277" s="33" t="str">
        <f>IF(C1277="", "",VLOOKUP(C1277,Key!$A$5:$B$7,2,FALSE))</f>
        <v>Large Bus</v>
      </c>
      <c r="E1277" s="29" t="s">
        <v>228</v>
      </c>
      <c r="F1277" s="29" t="s">
        <v>66</v>
      </c>
      <c r="G1277" s="29" t="s">
        <v>207</v>
      </c>
      <c r="H1277" s="30" t="s">
        <v>207</v>
      </c>
      <c r="I1277" s="29" t="s">
        <v>257</v>
      </c>
      <c r="J1277" s="29" t="s">
        <v>99</v>
      </c>
      <c r="K1277" s="30" t="s">
        <v>70</v>
      </c>
      <c r="L1277" s="29" t="str">
        <f t="shared" si="19"/>
        <v>KASESE-KAMPALA</v>
      </c>
      <c r="M1277" s="31">
        <v>65</v>
      </c>
      <c r="N1277" s="72">
        <v>30000</v>
      </c>
      <c r="O1277" s="34">
        <v>7</v>
      </c>
    </row>
    <row r="1278" spans="2:15" x14ac:dyDescent="0.2">
      <c r="B1278" s="27">
        <v>0.97499999999999998</v>
      </c>
      <c r="C1278" s="28">
        <v>6</v>
      </c>
      <c r="D1278" s="33" t="str">
        <f>IF(C1278="", "",VLOOKUP(C1278,Key!$A$5:$B$7,2,FALSE))</f>
        <v>Large Bus</v>
      </c>
      <c r="E1278" s="29" t="s">
        <v>228</v>
      </c>
      <c r="F1278" s="29" t="s">
        <v>66</v>
      </c>
      <c r="G1278" s="29" t="s">
        <v>207</v>
      </c>
      <c r="H1278" s="30" t="s">
        <v>207</v>
      </c>
      <c r="I1278" s="29" t="s">
        <v>257</v>
      </c>
      <c r="J1278" s="29" t="s">
        <v>99</v>
      </c>
      <c r="K1278" s="30" t="s">
        <v>70</v>
      </c>
      <c r="L1278" s="29" t="str">
        <f t="shared" si="19"/>
        <v>KASESE-KAMPALA</v>
      </c>
      <c r="M1278" s="31">
        <v>65</v>
      </c>
      <c r="N1278" s="72">
        <v>30000</v>
      </c>
      <c r="O1278" s="34">
        <v>7</v>
      </c>
    </row>
    <row r="1279" spans="2:15" x14ac:dyDescent="0.2">
      <c r="B1279" s="27">
        <v>5.6250000000000001E-2</v>
      </c>
      <c r="C1279" s="28">
        <v>6</v>
      </c>
      <c r="D1279" s="33" t="str">
        <f>IF(C1279="", "",VLOOKUP(C1279,Key!$A$5:$B$7,2,FALSE))</f>
        <v>Large Bus</v>
      </c>
      <c r="E1279" s="29" t="s">
        <v>228</v>
      </c>
      <c r="F1279" s="29" t="s">
        <v>66</v>
      </c>
      <c r="G1279" s="29" t="s">
        <v>208</v>
      </c>
      <c r="H1279" s="30" t="s">
        <v>207</v>
      </c>
      <c r="I1279" s="29" t="s">
        <v>257</v>
      </c>
      <c r="J1279" s="29" t="s">
        <v>99</v>
      </c>
      <c r="K1279" s="30" t="s">
        <v>70</v>
      </c>
      <c r="L1279" s="29" t="str">
        <f t="shared" si="19"/>
        <v>KASESE-KAMPALA</v>
      </c>
      <c r="M1279" s="31">
        <v>50</v>
      </c>
      <c r="N1279" s="72">
        <v>30000</v>
      </c>
      <c r="O1279" s="34">
        <v>7</v>
      </c>
    </row>
    <row r="1280" spans="2:15" x14ac:dyDescent="0.2">
      <c r="B1280" s="27">
        <v>0.11597222222222221</v>
      </c>
      <c r="C1280" s="28">
        <v>6</v>
      </c>
      <c r="D1280" s="33" t="str">
        <f>IF(C1280="", "",VLOOKUP(C1280,Key!$A$5:$B$7,2,FALSE))</f>
        <v>Large Bus</v>
      </c>
      <c r="E1280" s="29" t="s">
        <v>228</v>
      </c>
      <c r="F1280" s="29" t="s">
        <v>66</v>
      </c>
      <c r="G1280" s="29" t="s">
        <v>209</v>
      </c>
      <c r="H1280" s="30" t="s">
        <v>209</v>
      </c>
      <c r="I1280" s="29" t="s">
        <v>257</v>
      </c>
      <c r="J1280" s="29" t="s">
        <v>99</v>
      </c>
      <c r="K1280" s="30" t="s">
        <v>70</v>
      </c>
      <c r="L1280" s="29" t="str">
        <f t="shared" si="19"/>
        <v>BUNDIBUGYO-KAMPALA</v>
      </c>
      <c r="M1280" s="31">
        <v>65</v>
      </c>
      <c r="N1280" s="72">
        <v>23000</v>
      </c>
      <c r="O1280" s="34">
        <v>6.25</v>
      </c>
    </row>
    <row r="1281" spans="2:15" x14ac:dyDescent="0.2">
      <c r="B1281" s="27">
        <v>0.12708333333333333</v>
      </c>
      <c r="C1281" s="28">
        <v>6</v>
      </c>
      <c r="D1281" s="33" t="str">
        <f>IF(C1281="", "",VLOOKUP(C1281,Key!$A$5:$B$7,2,FALSE))</f>
        <v>Large Bus</v>
      </c>
      <c r="E1281" s="29" t="s">
        <v>228</v>
      </c>
      <c r="F1281" s="29" t="s">
        <v>66</v>
      </c>
      <c r="G1281" s="29" t="s">
        <v>207</v>
      </c>
      <c r="H1281" s="30" t="s">
        <v>207</v>
      </c>
      <c r="I1281" s="29" t="s">
        <v>257</v>
      </c>
      <c r="J1281" s="29" t="s">
        <v>99</v>
      </c>
      <c r="K1281" s="30" t="s">
        <v>70</v>
      </c>
      <c r="L1281" s="29" t="str">
        <f t="shared" si="19"/>
        <v>KASESE-KAMPALA</v>
      </c>
      <c r="M1281" s="31">
        <v>60</v>
      </c>
      <c r="N1281" s="72">
        <v>30000</v>
      </c>
      <c r="O1281" s="34">
        <v>7</v>
      </c>
    </row>
    <row r="1282" spans="2:15" x14ac:dyDescent="0.2">
      <c r="B1282" s="27">
        <v>0.2076388888888889</v>
      </c>
      <c r="C1282" s="28">
        <v>6</v>
      </c>
      <c r="D1282" s="33" t="str">
        <f>IF(C1282="", "",VLOOKUP(C1282,Key!$A$5:$B$7,2,FALSE))</f>
        <v>Large Bus</v>
      </c>
      <c r="E1282" s="29" t="s">
        <v>228</v>
      </c>
      <c r="F1282" s="29" t="s">
        <v>66</v>
      </c>
      <c r="G1282" s="29" t="s">
        <v>208</v>
      </c>
      <c r="H1282" s="30" t="s">
        <v>207</v>
      </c>
      <c r="I1282" s="29" t="s">
        <v>257</v>
      </c>
      <c r="J1282" s="29" t="s">
        <v>99</v>
      </c>
      <c r="K1282" s="30" t="s">
        <v>70</v>
      </c>
      <c r="L1282" s="29" t="str">
        <f t="shared" si="19"/>
        <v>KASESE-KAMPALA</v>
      </c>
      <c r="M1282" s="31">
        <v>65</v>
      </c>
      <c r="N1282" s="72">
        <v>30000</v>
      </c>
      <c r="O1282" s="34">
        <v>7</v>
      </c>
    </row>
    <row r="1283" spans="2:15" x14ac:dyDescent="0.2">
      <c r="B1283" s="27">
        <v>0.22708333333333333</v>
      </c>
      <c r="C1283" s="28">
        <v>6</v>
      </c>
      <c r="D1283" s="33" t="str">
        <f>IF(C1283="", "",VLOOKUP(C1283,Key!$A$5:$B$7,2,FALSE))</f>
        <v>Large Bus</v>
      </c>
      <c r="E1283" s="29" t="s">
        <v>228</v>
      </c>
      <c r="F1283" s="29" t="s">
        <v>66</v>
      </c>
      <c r="G1283" s="29" t="s">
        <v>208</v>
      </c>
      <c r="H1283" s="30" t="s">
        <v>207</v>
      </c>
      <c r="I1283" s="29" t="s">
        <v>257</v>
      </c>
      <c r="J1283" s="29" t="s">
        <v>99</v>
      </c>
      <c r="K1283" s="30" t="s">
        <v>70</v>
      </c>
      <c r="L1283" s="29" t="str">
        <f t="shared" si="19"/>
        <v>KASESE-KAMPALA</v>
      </c>
      <c r="M1283" s="31">
        <v>50</v>
      </c>
      <c r="N1283" s="72">
        <v>30000</v>
      </c>
      <c r="O1283" s="34">
        <v>7</v>
      </c>
    </row>
    <row r="1284" spans="2:15" x14ac:dyDescent="0.2">
      <c r="B1284" s="27">
        <v>0.3833333333333333</v>
      </c>
      <c r="C1284" s="28">
        <v>6</v>
      </c>
      <c r="D1284" s="33" t="str">
        <f>IF(C1284="", "",VLOOKUP(C1284,Key!$A$5:$B$7,2,FALSE))</f>
        <v>Large Bus</v>
      </c>
      <c r="E1284" s="29" t="s">
        <v>228</v>
      </c>
      <c r="F1284" s="29" t="s">
        <v>66</v>
      </c>
      <c r="G1284" s="29" t="s">
        <v>206</v>
      </c>
      <c r="H1284" s="30" t="s">
        <v>206</v>
      </c>
      <c r="I1284" s="29" t="s">
        <v>257</v>
      </c>
      <c r="J1284" s="29" t="s">
        <v>99</v>
      </c>
      <c r="K1284" s="30" t="s">
        <v>70</v>
      </c>
      <c r="L1284" s="29" t="str">
        <f t="shared" si="19"/>
        <v>MASINDI-KAMPALA</v>
      </c>
      <c r="M1284" s="31">
        <v>65</v>
      </c>
      <c r="N1284" s="72">
        <v>12000</v>
      </c>
      <c r="O1284" s="34">
        <v>3.25</v>
      </c>
    </row>
    <row r="1285" spans="2:15" x14ac:dyDescent="0.2">
      <c r="B1285" s="27">
        <v>0.44097222222222227</v>
      </c>
      <c r="C1285" s="28">
        <v>6</v>
      </c>
      <c r="D1285" s="33" t="str">
        <f>IF(C1285="", "",VLOOKUP(C1285,Key!$A$5:$B$7,2,FALSE))</f>
        <v>Large Bus</v>
      </c>
      <c r="E1285" s="29" t="s">
        <v>228</v>
      </c>
      <c r="F1285" s="29" t="s">
        <v>66</v>
      </c>
      <c r="G1285" s="29" t="s">
        <v>213</v>
      </c>
      <c r="H1285" s="30" t="s">
        <v>205</v>
      </c>
      <c r="I1285" s="29" t="s">
        <v>257</v>
      </c>
      <c r="J1285" s="29" t="s">
        <v>99</v>
      </c>
      <c r="K1285" s="30" t="s">
        <v>70</v>
      </c>
      <c r="L1285" s="29" t="str">
        <f t="shared" si="19"/>
        <v>HOIMA-KAMPALA</v>
      </c>
      <c r="M1285" s="31">
        <v>20</v>
      </c>
      <c r="N1285" s="72">
        <v>15000</v>
      </c>
      <c r="O1285" s="34">
        <v>3.8</v>
      </c>
    </row>
    <row r="1286" spans="2:15" x14ac:dyDescent="0.2">
      <c r="B1286" s="27">
        <v>0.44791666666666669</v>
      </c>
      <c r="C1286" s="28">
        <v>6</v>
      </c>
      <c r="D1286" s="33" t="str">
        <f>IF(C1286="", "",VLOOKUP(C1286,Key!$A$5:$B$7,2,FALSE))</f>
        <v>Large Bus</v>
      </c>
      <c r="E1286" s="29" t="s">
        <v>228</v>
      </c>
      <c r="F1286" s="29" t="s">
        <v>66</v>
      </c>
      <c r="G1286" s="29" t="s">
        <v>206</v>
      </c>
      <c r="H1286" s="30" t="s">
        <v>206</v>
      </c>
      <c r="I1286" s="29" t="s">
        <v>257</v>
      </c>
      <c r="J1286" s="29" t="s">
        <v>99</v>
      </c>
      <c r="K1286" s="30" t="s">
        <v>70</v>
      </c>
      <c r="L1286" s="29" t="str">
        <f t="shared" si="19"/>
        <v>MASINDI-KAMPALA</v>
      </c>
      <c r="M1286" s="31">
        <v>36</v>
      </c>
      <c r="N1286" s="72">
        <v>12000</v>
      </c>
      <c r="O1286" s="34">
        <v>3.25</v>
      </c>
    </row>
    <row r="1287" spans="2:15" x14ac:dyDescent="0.2">
      <c r="B1287" s="27">
        <v>0.5</v>
      </c>
      <c r="C1287" s="28">
        <v>6</v>
      </c>
      <c r="D1287" s="33" t="str">
        <f>IF(C1287="", "",VLOOKUP(C1287,Key!$A$5:$B$7,2,FALSE))</f>
        <v>Large Bus</v>
      </c>
      <c r="E1287" s="29" t="s">
        <v>228</v>
      </c>
      <c r="F1287" s="29" t="s">
        <v>66</v>
      </c>
      <c r="G1287" s="29" t="s">
        <v>207</v>
      </c>
      <c r="H1287" s="30" t="s">
        <v>207</v>
      </c>
      <c r="I1287" s="29" t="s">
        <v>257</v>
      </c>
      <c r="J1287" s="29" t="s">
        <v>99</v>
      </c>
      <c r="K1287" s="30" t="s">
        <v>70</v>
      </c>
      <c r="L1287" s="29" t="str">
        <f t="shared" si="19"/>
        <v>KASESE-KAMPALA</v>
      </c>
      <c r="M1287" s="31">
        <v>60</v>
      </c>
      <c r="N1287" s="72">
        <v>30000</v>
      </c>
      <c r="O1287" s="34">
        <v>7</v>
      </c>
    </row>
    <row r="1288" spans="2:15" x14ac:dyDescent="0.2">
      <c r="B1288" s="27">
        <v>0.51597222222222217</v>
      </c>
      <c r="C1288" s="28">
        <v>6</v>
      </c>
      <c r="D1288" s="33" t="str">
        <f>IF(C1288="", "",VLOOKUP(C1288,Key!$A$5:$B$7,2,FALSE))</f>
        <v>Large Bus</v>
      </c>
      <c r="E1288" s="29" t="s">
        <v>228</v>
      </c>
      <c r="F1288" s="29" t="s">
        <v>66</v>
      </c>
      <c r="G1288" s="29" t="s">
        <v>205</v>
      </c>
      <c r="H1288" s="30" t="s">
        <v>205</v>
      </c>
      <c r="I1288" s="29" t="s">
        <v>257</v>
      </c>
      <c r="J1288" s="29" t="s">
        <v>99</v>
      </c>
      <c r="K1288" s="30" t="s">
        <v>70</v>
      </c>
      <c r="L1288" s="29" t="str">
        <f t="shared" si="19"/>
        <v>HOIMA-KAMPALA</v>
      </c>
      <c r="M1288" s="31">
        <v>65</v>
      </c>
      <c r="N1288" s="72">
        <v>15000</v>
      </c>
      <c r="O1288" s="34">
        <v>3.8</v>
      </c>
    </row>
    <row r="1289" spans="2:15" x14ac:dyDescent="0.2">
      <c r="B1289" s="27">
        <v>0.53472222222222221</v>
      </c>
      <c r="C1289" s="28">
        <v>6</v>
      </c>
      <c r="D1289" s="33" t="str">
        <f>IF(C1289="", "",VLOOKUP(C1289,Key!$A$5:$B$7,2,FALSE))</f>
        <v>Large Bus</v>
      </c>
      <c r="E1289" s="29" t="s">
        <v>228</v>
      </c>
      <c r="F1289" s="29" t="s">
        <v>66</v>
      </c>
      <c r="G1289" s="29" t="s">
        <v>206</v>
      </c>
      <c r="H1289" s="30" t="s">
        <v>206</v>
      </c>
      <c r="I1289" s="29" t="s">
        <v>257</v>
      </c>
      <c r="J1289" s="29" t="s">
        <v>99</v>
      </c>
      <c r="K1289" s="30" t="s">
        <v>70</v>
      </c>
      <c r="L1289" s="29" t="str">
        <f t="shared" si="19"/>
        <v>MASINDI-KAMPALA</v>
      </c>
      <c r="M1289" s="31">
        <v>26</v>
      </c>
      <c r="N1289" s="72">
        <v>12000</v>
      </c>
      <c r="O1289" s="34">
        <v>3.25</v>
      </c>
    </row>
    <row r="1290" spans="2:15" x14ac:dyDescent="0.2">
      <c r="B1290" s="27">
        <v>0.55694444444444446</v>
      </c>
      <c r="C1290" s="28">
        <v>6</v>
      </c>
      <c r="D1290" s="33" t="str">
        <f>IF(C1290="", "",VLOOKUP(C1290,Key!$A$5:$B$7,2,FALSE))</f>
        <v>Large Bus</v>
      </c>
      <c r="E1290" s="29" t="s">
        <v>228</v>
      </c>
      <c r="F1290" s="29" t="s">
        <v>66</v>
      </c>
      <c r="G1290" s="29" t="s">
        <v>207</v>
      </c>
      <c r="H1290" s="30" t="s">
        <v>207</v>
      </c>
      <c r="I1290" s="29" t="s">
        <v>257</v>
      </c>
      <c r="J1290" s="29" t="s">
        <v>99</v>
      </c>
      <c r="K1290" s="30" t="s">
        <v>70</v>
      </c>
      <c r="L1290" s="29" t="str">
        <f t="shared" ref="L1290:L1353" si="20">H1290&amp;"-"&amp;K1290</f>
        <v>KASESE-KAMPALA</v>
      </c>
      <c r="M1290" s="31">
        <v>30</v>
      </c>
      <c r="N1290" s="72">
        <v>30000</v>
      </c>
      <c r="O1290" s="34">
        <v>7</v>
      </c>
    </row>
    <row r="1291" spans="2:15" x14ac:dyDescent="0.2">
      <c r="B1291" s="27">
        <v>0.57500000000000007</v>
      </c>
      <c r="C1291" s="28">
        <v>6</v>
      </c>
      <c r="D1291" s="33" t="str">
        <f>IF(C1291="", "",VLOOKUP(C1291,Key!$A$5:$B$7,2,FALSE))</f>
        <v>Large Bus</v>
      </c>
      <c r="E1291" s="29" t="s">
        <v>228</v>
      </c>
      <c r="F1291" s="29" t="s">
        <v>66</v>
      </c>
      <c r="G1291" s="29" t="s">
        <v>205</v>
      </c>
      <c r="H1291" s="30" t="s">
        <v>205</v>
      </c>
      <c r="I1291" s="29" t="s">
        <v>257</v>
      </c>
      <c r="J1291" s="29" t="s">
        <v>99</v>
      </c>
      <c r="K1291" s="30" t="s">
        <v>70</v>
      </c>
      <c r="L1291" s="29" t="str">
        <f t="shared" si="20"/>
        <v>HOIMA-KAMPALA</v>
      </c>
      <c r="M1291" s="31">
        <v>30</v>
      </c>
      <c r="N1291" s="72">
        <v>15000</v>
      </c>
      <c r="O1291" s="34">
        <v>3.8</v>
      </c>
    </row>
    <row r="1292" spans="2:15" x14ac:dyDescent="0.2">
      <c r="B1292" s="27">
        <v>0.10833333333333334</v>
      </c>
      <c r="C1292" s="28">
        <v>6</v>
      </c>
      <c r="D1292" s="33" t="str">
        <f>IF(C1292="", "",VLOOKUP(C1292,Key!$A$5:$B$7,2,FALSE))</f>
        <v>Large Bus</v>
      </c>
      <c r="E1292" s="29" t="s">
        <v>228</v>
      </c>
      <c r="F1292" s="29" t="s">
        <v>66</v>
      </c>
      <c r="G1292" s="29" t="s">
        <v>207</v>
      </c>
      <c r="H1292" s="30" t="s">
        <v>207</v>
      </c>
      <c r="I1292" s="29" t="s">
        <v>257</v>
      </c>
      <c r="J1292" s="29" t="s">
        <v>99</v>
      </c>
      <c r="K1292" s="30" t="s">
        <v>70</v>
      </c>
      <c r="L1292" s="29" t="str">
        <f t="shared" si="20"/>
        <v>KASESE-KAMPALA</v>
      </c>
      <c r="M1292" s="31">
        <v>65</v>
      </c>
      <c r="N1292" s="72">
        <v>30000</v>
      </c>
      <c r="O1292" s="34">
        <v>7</v>
      </c>
    </row>
    <row r="1293" spans="2:15" x14ac:dyDescent="0.2">
      <c r="B1293" s="27">
        <v>0.11805555555555557</v>
      </c>
      <c r="C1293" s="28">
        <v>6</v>
      </c>
      <c r="D1293" s="33" t="str">
        <f>IF(C1293="", "",VLOOKUP(C1293,Key!$A$5:$B$7,2,FALSE))</f>
        <v>Large Bus</v>
      </c>
      <c r="E1293" s="29" t="s">
        <v>228</v>
      </c>
      <c r="F1293" s="29" t="s">
        <v>66</v>
      </c>
      <c r="G1293" s="29" t="s">
        <v>205</v>
      </c>
      <c r="H1293" s="30" t="s">
        <v>205</v>
      </c>
      <c r="I1293" s="29" t="s">
        <v>257</v>
      </c>
      <c r="J1293" s="29" t="s">
        <v>99</v>
      </c>
      <c r="K1293" s="30" t="s">
        <v>70</v>
      </c>
      <c r="L1293" s="29" t="str">
        <f t="shared" si="20"/>
        <v>HOIMA-KAMPALA</v>
      </c>
      <c r="M1293" s="31">
        <v>50</v>
      </c>
      <c r="N1293" s="72">
        <v>15000</v>
      </c>
      <c r="O1293" s="34">
        <v>3.8</v>
      </c>
    </row>
    <row r="1294" spans="2:15" x14ac:dyDescent="0.2">
      <c r="B1294" s="27">
        <v>0.12083333333333333</v>
      </c>
      <c r="C1294" s="28">
        <v>6</v>
      </c>
      <c r="D1294" s="33" t="str">
        <f>IF(C1294="", "",VLOOKUP(C1294,Key!$A$5:$B$7,2,FALSE))</f>
        <v>Large Bus</v>
      </c>
      <c r="E1294" s="29" t="s">
        <v>228</v>
      </c>
      <c r="F1294" s="29" t="s">
        <v>66</v>
      </c>
      <c r="G1294" s="29" t="s">
        <v>209</v>
      </c>
      <c r="H1294" s="30" t="s">
        <v>209</v>
      </c>
      <c r="I1294" s="29" t="s">
        <v>257</v>
      </c>
      <c r="J1294" s="29" t="s">
        <v>99</v>
      </c>
      <c r="K1294" s="30" t="s">
        <v>70</v>
      </c>
      <c r="L1294" s="29" t="str">
        <f t="shared" si="20"/>
        <v>BUNDIBUGYO-KAMPALA</v>
      </c>
      <c r="M1294" s="31">
        <v>65</v>
      </c>
      <c r="N1294" s="72">
        <v>23000</v>
      </c>
      <c r="O1294" s="34">
        <v>6.25</v>
      </c>
    </row>
    <row r="1295" spans="2:15" x14ac:dyDescent="0.2">
      <c r="B1295" s="27">
        <v>0.13680555555555554</v>
      </c>
      <c r="C1295" s="28">
        <v>6</v>
      </c>
      <c r="D1295" s="33" t="str">
        <f>IF(C1295="", "",VLOOKUP(C1295,Key!$A$5:$B$7,2,FALSE))</f>
        <v>Large Bus</v>
      </c>
      <c r="E1295" s="29" t="s">
        <v>228</v>
      </c>
      <c r="F1295" s="29" t="s">
        <v>66</v>
      </c>
      <c r="G1295" s="29" t="s">
        <v>206</v>
      </c>
      <c r="H1295" s="30" t="s">
        <v>206</v>
      </c>
      <c r="I1295" s="29" t="s">
        <v>257</v>
      </c>
      <c r="J1295" s="29" t="s">
        <v>99</v>
      </c>
      <c r="K1295" s="30" t="s">
        <v>70</v>
      </c>
      <c r="L1295" s="29" t="str">
        <f t="shared" si="20"/>
        <v>MASINDI-KAMPALA</v>
      </c>
      <c r="M1295" s="31">
        <v>60</v>
      </c>
      <c r="N1295" s="72">
        <v>12000</v>
      </c>
      <c r="O1295" s="34">
        <v>3.25</v>
      </c>
    </row>
    <row r="1296" spans="2:15" x14ac:dyDescent="0.2">
      <c r="B1296" s="27">
        <v>0.65972222222222221</v>
      </c>
      <c r="C1296" s="28">
        <v>6</v>
      </c>
      <c r="D1296" s="33" t="str">
        <f>IF(C1296="", "",VLOOKUP(C1296,Key!$A$5:$B$7,2,FALSE))</f>
        <v>Large Bus</v>
      </c>
      <c r="E1296" s="29" t="s">
        <v>228</v>
      </c>
      <c r="F1296" s="29" t="s">
        <v>66</v>
      </c>
      <c r="G1296" s="29" t="s">
        <v>209</v>
      </c>
      <c r="H1296" s="30" t="s">
        <v>209</v>
      </c>
      <c r="I1296" s="29" t="s">
        <v>257</v>
      </c>
      <c r="J1296" s="29" t="s">
        <v>99</v>
      </c>
      <c r="K1296" s="30" t="s">
        <v>70</v>
      </c>
      <c r="L1296" s="29" t="str">
        <f t="shared" si="20"/>
        <v>BUNDIBUGYO-KAMPALA</v>
      </c>
      <c r="M1296" s="31">
        <v>65</v>
      </c>
      <c r="N1296" s="72">
        <v>23000</v>
      </c>
      <c r="O1296" s="34">
        <v>6.25</v>
      </c>
    </row>
    <row r="1297" spans="2:15" x14ac:dyDescent="0.2">
      <c r="B1297" s="27">
        <v>0.66111111111111109</v>
      </c>
      <c r="C1297" s="28">
        <v>6</v>
      </c>
      <c r="D1297" s="33" t="str">
        <f>IF(C1297="", "",VLOOKUP(C1297,Key!$A$5:$B$7,2,FALSE))</f>
        <v>Large Bus</v>
      </c>
      <c r="E1297" s="29" t="s">
        <v>228</v>
      </c>
      <c r="F1297" s="29" t="s">
        <v>66</v>
      </c>
      <c r="G1297" s="29" t="s">
        <v>207</v>
      </c>
      <c r="H1297" s="30" t="s">
        <v>207</v>
      </c>
      <c r="I1297" s="29" t="s">
        <v>257</v>
      </c>
      <c r="J1297" s="29" t="s">
        <v>99</v>
      </c>
      <c r="K1297" s="30" t="s">
        <v>70</v>
      </c>
      <c r="L1297" s="29" t="str">
        <f t="shared" si="20"/>
        <v>KASESE-KAMPALA</v>
      </c>
      <c r="M1297" s="31">
        <v>50</v>
      </c>
      <c r="N1297" s="72">
        <v>30000</v>
      </c>
      <c r="O1297" s="34">
        <v>7</v>
      </c>
    </row>
    <row r="1298" spans="2:15" x14ac:dyDescent="0.2">
      <c r="B1298" s="27">
        <v>0.68055555555555547</v>
      </c>
      <c r="C1298" s="28">
        <v>6</v>
      </c>
      <c r="D1298" s="33" t="str">
        <f>IF(C1298="", "",VLOOKUP(C1298,Key!$A$5:$B$7,2,FALSE))</f>
        <v>Large Bus</v>
      </c>
      <c r="E1298" s="29" t="s">
        <v>228</v>
      </c>
      <c r="F1298" s="29" t="s">
        <v>66</v>
      </c>
      <c r="G1298" s="29" t="s">
        <v>205</v>
      </c>
      <c r="H1298" s="30" t="s">
        <v>205</v>
      </c>
      <c r="I1298" s="29" t="s">
        <v>257</v>
      </c>
      <c r="J1298" s="29" t="s">
        <v>99</v>
      </c>
      <c r="K1298" s="30" t="s">
        <v>70</v>
      </c>
      <c r="L1298" s="29" t="str">
        <f t="shared" si="20"/>
        <v>HOIMA-KAMPALA</v>
      </c>
      <c r="M1298" s="31">
        <v>65</v>
      </c>
      <c r="N1298" s="72">
        <v>15000</v>
      </c>
      <c r="O1298" s="34">
        <v>3.8</v>
      </c>
    </row>
    <row r="1299" spans="2:15" x14ac:dyDescent="0.2">
      <c r="B1299" s="27">
        <v>0.68125000000000002</v>
      </c>
      <c r="C1299" s="28">
        <v>6</v>
      </c>
      <c r="D1299" s="33" t="str">
        <f>IF(C1299="", "",VLOOKUP(C1299,Key!$A$5:$B$7,2,FALSE))</f>
        <v>Large Bus</v>
      </c>
      <c r="E1299" s="29" t="s">
        <v>228</v>
      </c>
      <c r="F1299" s="29" t="s">
        <v>66</v>
      </c>
      <c r="G1299" s="29" t="s">
        <v>207</v>
      </c>
      <c r="H1299" s="30" t="s">
        <v>207</v>
      </c>
      <c r="I1299" s="29" t="s">
        <v>257</v>
      </c>
      <c r="J1299" s="29" t="s">
        <v>99</v>
      </c>
      <c r="K1299" s="30" t="s">
        <v>70</v>
      </c>
      <c r="L1299" s="29" t="str">
        <f t="shared" si="20"/>
        <v>KASESE-KAMPALA</v>
      </c>
      <c r="M1299" s="31">
        <v>50</v>
      </c>
      <c r="N1299" s="72">
        <v>30000</v>
      </c>
      <c r="O1299" s="34">
        <v>7</v>
      </c>
    </row>
    <row r="1300" spans="2:15" x14ac:dyDescent="0.2">
      <c r="B1300" s="27">
        <v>0.7270833333333333</v>
      </c>
      <c r="C1300" s="28">
        <v>6</v>
      </c>
      <c r="D1300" s="33" t="str">
        <f>IF(C1300="", "",VLOOKUP(C1300,Key!$A$5:$B$7,2,FALSE))</f>
        <v>Large Bus</v>
      </c>
      <c r="E1300" s="29" t="s">
        <v>228</v>
      </c>
      <c r="F1300" s="29" t="s">
        <v>66</v>
      </c>
      <c r="G1300" s="29" t="s">
        <v>207</v>
      </c>
      <c r="H1300" s="30" t="s">
        <v>207</v>
      </c>
      <c r="I1300" s="29" t="s">
        <v>257</v>
      </c>
      <c r="J1300" s="29" t="s">
        <v>99</v>
      </c>
      <c r="K1300" s="30" t="s">
        <v>70</v>
      </c>
      <c r="L1300" s="29" t="str">
        <f t="shared" si="20"/>
        <v>KASESE-KAMPALA</v>
      </c>
      <c r="M1300" s="31">
        <v>67</v>
      </c>
      <c r="N1300" s="72">
        <v>30000</v>
      </c>
      <c r="O1300" s="34">
        <v>7</v>
      </c>
    </row>
    <row r="1301" spans="2:15" x14ac:dyDescent="0.2">
      <c r="B1301" s="27">
        <v>0.76388888888888884</v>
      </c>
      <c r="C1301" s="28">
        <v>6</v>
      </c>
      <c r="D1301" s="33" t="str">
        <f>IF(C1301="", "",VLOOKUP(C1301,Key!$A$5:$B$7,2,FALSE))</f>
        <v>Large Bus</v>
      </c>
      <c r="E1301" s="29" t="s">
        <v>228</v>
      </c>
      <c r="F1301" s="29" t="s">
        <v>66</v>
      </c>
      <c r="G1301" s="29" t="s">
        <v>206</v>
      </c>
      <c r="H1301" s="30" t="s">
        <v>206</v>
      </c>
      <c r="I1301" s="29" t="s">
        <v>257</v>
      </c>
      <c r="J1301" s="29" t="s">
        <v>99</v>
      </c>
      <c r="K1301" s="30" t="s">
        <v>70</v>
      </c>
      <c r="L1301" s="29" t="str">
        <f t="shared" si="20"/>
        <v>MASINDI-KAMPALA</v>
      </c>
      <c r="M1301" s="31">
        <v>54</v>
      </c>
      <c r="N1301" s="72">
        <v>12000</v>
      </c>
      <c r="O1301" s="34">
        <v>3.25</v>
      </c>
    </row>
    <row r="1302" spans="2:15" x14ac:dyDescent="0.2">
      <c r="B1302" s="27">
        <v>0.76666666666666661</v>
      </c>
      <c r="C1302" s="28">
        <v>6</v>
      </c>
      <c r="D1302" s="33" t="str">
        <f>IF(C1302="", "",VLOOKUP(C1302,Key!$A$5:$B$7,2,FALSE))</f>
        <v>Large Bus</v>
      </c>
      <c r="E1302" s="29" t="s">
        <v>228</v>
      </c>
      <c r="F1302" s="29" t="s">
        <v>66</v>
      </c>
      <c r="G1302" s="29" t="s">
        <v>209</v>
      </c>
      <c r="H1302" s="30" t="s">
        <v>209</v>
      </c>
      <c r="I1302" s="29" t="s">
        <v>257</v>
      </c>
      <c r="J1302" s="29" t="s">
        <v>99</v>
      </c>
      <c r="K1302" s="30" t="s">
        <v>70</v>
      </c>
      <c r="L1302" s="29" t="str">
        <f t="shared" si="20"/>
        <v>BUNDIBUGYO-KAMPALA</v>
      </c>
      <c r="M1302" s="31">
        <v>65</v>
      </c>
      <c r="N1302" s="72">
        <v>23000</v>
      </c>
      <c r="O1302" s="34">
        <v>6.25</v>
      </c>
    </row>
    <row r="1303" spans="2:15" x14ac:dyDescent="0.2">
      <c r="B1303" s="27">
        <v>0.7680555555555556</v>
      </c>
      <c r="C1303" s="28">
        <v>6</v>
      </c>
      <c r="D1303" s="33" t="str">
        <f>IF(C1303="", "",VLOOKUP(C1303,Key!$A$5:$B$7,2,FALSE))</f>
        <v>Large Bus</v>
      </c>
      <c r="E1303" s="29" t="s">
        <v>228</v>
      </c>
      <c r="F1303" s="29" t="s">
        <v>66</v>
      </c>
      <c r="G1303" s="29" t="s">
        <v>205</v>
      </c>
      <c r="H1303" s="30" t="s">
        <v>205</v>
      </c>
      <c r="I1303" s="29" t="s">
        <v>257</v>
      </c>
      <c r="J1303" s="29" t="s">
        <v>99</v>
      </c>
      <c r="K1303" s="30" t="s">
        <v>70</v>
      </c>
      <c r="L1303" s="29" t="str">
        <f t="shared" si="20"/>
        <v>HOIMA-KAMPALA</v>
      </c>
      <c r="M1303" s="31">
        <v>60</v>
      </c>
      <c r="N1303" s="72">
        <v>15000</v>
      </c>
      <c r="O1303" s="34">
        <v>3.8</v>
      </c>
    </row>
    <row r="1304" spans="2:15" x14ac:dyDescent="0.2">
      <c r="B1304" s="27">
        <v>0.2986111111111111</v>
      </c>
      <c r="C1304" s="28">
        <v>6</v>
      </c>
      <c r="D1304" s="33" t="str">
        <f>IF(C1304="", "",VLOOKUP(C1304,Key!$A$5:$B$7,2,FALSE))</f>
        <v>Large Bus</v>
      </c>
      <c r="E1304" s="29" t="s">
        <v>228</v>
      </c>
      <c r="F1304" s="29" t="s">
        <v>66</v>
      </c>
      <c r="G1304" s="29" t="s">
        <v>99</v>
      </c>
      <c r="H1304" s="30" t="s">
        <v>70</v>
      </c>
      <c r="I1304" s="29" t="s">
        <v>257</v>
      </c>
      <c r="J1304" s="29" t="s">
        <v>207</v>
      </c>
      <c r="K1304" s="30" t="s">
        <v>207</v>
      </c>
      <c r="L1304" s="29" t="str">
        <f t="shared" si="20"/>
        <v>KAMPALA-KASESE</v>
      </c>
      <c r="M1304" s="31">
        <v>71</v>
      </c>
      <c r="N1304" s="72">
        <v>35000</v>
      </c>
      <c r="O1304" s="34">
        <v>7</v>
      </c>
    </row>
    <row r="1305" spans="2:15" x14ac:dyDescent="0.2">
      <c r="B1305" s="27">
        <v>0.30555555555555552</v>
      </c>
      <c r="C1305" s="28">
        <v>6</v>
      </c>
      <c r="D1305" s="33" t="str">
        <f>IF(C1305="", "",VLOOKUP(C1305,Key!$A$5:$B$7,2,FALSE))</f>
        <v>Large Bus</v>
      </c>
      <c r="E1305" s="29" t="s">
        <v>228</v>
      </c>
      <c r="F1305" s="29" t="s">
        <v>66</v>
      </c>
      <c r="G1305" s="29" t="s">
        <v>99</v>
      </c>
      <c r="H1305" s="30" t="s">
        <v>70</v>
      </c>
      <c r="I1305" s="29" t="s">
        <v>257</v>
      </c>
      <c r="J1305" s="29" t="s">
        <v>206</v>
      </c>
      <c r="K1305" s="30" t="s">
        <v>206</v>
      </c>
      <c r="L1305" s="29" t="str">
        <f t="shared" si="20"/>
        <v>KAMPALA-MASINDI</v>
      </c>
      <c r="M1305" s="31">
        <v>67</v>
      </c>
      <c r="N1305" s="72">
        <v>15000</v>
      </c>
      <c r="O1305" s="34">
        <v>3.25</v>
      </c>
    </row>
    <row r="1306" spans="2:15" x14ac:dyDescent="0.2">
      <c r="B1306" s="27">
        <v>0.31944444444444448</v>
      </c>
      <c r="C1306" s="28">
        <v>6</v>
      </c>
      <c r="D1306" s="33" t="str">
        <f>IF(C1306="", "",VLOOKUP(C1306,Key!$A$5:$B$7,2,FALSE))</f>
        <v>Large Bus</v>
      </c>
      <c r="E1306" s="29" t="s">
        <v>228</v>
      </c>
      <c r="F1306" s="29" t="s">
        <v>66</v>
      </c>
      <c r="G1306" s="29" t="s">
        <v>99</v>
      </c>
      <c r="H1306" s="30" t="s">
        <v>70</v>
      </c>
      <c r="I1306" s="29" t="s">
        <v>257</v>
      </c>
      <c r="J1306" s="29" t="s">
        <v>207</v>
      </c>
      <c r="K1306" s="30" t="s">
        <v>207</v>
      </c>
      <c r="L1306" s="29" t="str">
        <f t="shared" si="20"/>
        <v>KAMPALA-KASESE</v>
      </c>
      <c r="M1306" s="31">
        <v>67</v>
      </c>
      <c r="N1306" s="72">
        <v>35000</v>
      </c>
      <c r="O1306" s="34">
        <v>7</v>
      </c>
    </row>
    <row r="1307" spans="2:15" x14ac:dyDescent="0.2">
      <c r="B1307" s="27">
        <v>0.33680555555555558</v>
      </c>
      <c r="C1307" s="28">
        <v>6</v>
      </c>
      <c r="D1307" s="33" t="str">
        <f>IF(C1307="", "",VLOOKUP(C1307,Key!$A$5:$B$7,2,FALSE))</f>
        <v>Large Bus</v>
      </c>
      <c r="E1307" s="29" t="s">
        <v>228</v>
      </c>
      <c r="F1307" s="29" t="s">
        <v>66</v>
      </c>
      <c r="G1307" s="29" t="s">
        <v>99</v>
      </c>
      <c r="H1307" s="30" t="s">
        <v>70</v>
      </c>
      <c r="I1307" s="29" t="s">
        <v>257</v>
      </c>
      <c r="J1307" s="29" t="s">
        <v>209</v>
      </c>
      <c r="K1307" s="30" t="s">
        <v>209</v>
      </c>
      <c r="L1307" s="29" t="str">
        <f t="shared" si="20"/>
        <v>KAMPALA-BUNDIBUGYO</v>
      </c>
      <c r="M1307" s="31">
        <v>67</v>
      </c>
      <c r="N1307" s="72">
        <v>25000</v>
      </c>
      <c r="O1307" s="34">
        <v>6.25</v>
      </c>
    </row>
    <row r="1308" spans="2:15" x14ac:dyDescent="0.2">
      <c r="B1308" s="27">
        <v>0.37152777777777773</v>
      </c>
      <c r="C1308" s="28">
        <v>6</v>
      </c>
      <c r="D1308" s="33" t="str">
        <f>IF(C1308="", "",VLOOKUP(C1308,Key!$A$5:$B$7,2,FALSE))</f>
        <v>Large Bus</v>
      </c>
      <c r="E1308" s="29" t="s">
        <v>228</v>
      </c>
      <c r="F1308" s="29" t="s">
        <v>66</v>
      </c>
      <c r="G1308" s="29" t="s">
        <v>99</v>
      </c>
      <c r="H1308" s="30" t="s">
        <v>70</v>
      </c>
      <c r="I1308" s="29" t="s">
        <v>257</v>
      </c>
      <c r="J1308" s="29" t="s">
        <v>207</v>
      </c>
      <c r="K1308" s="30" t="s">
        <v>207</v>
      </c>
      <c r="L1308" s="29" t="str">
        <f t="shared" si="20"/>
        <v>KAMPALA-KASESE</v>
      </c>
      <c r="M1308" s="31">
        <v>70</v>
      </c>
      <c r="N1308" s="72">
        <v>35000</v>
      </c>
      <c r="O1308" s="34">
        <v>7</v>
      </c>
    </row>
    <row r="1309" spans="2:15" x14ac:dyDescent="0.2">
      <c r="B1309" s="27">
        <v>0.40902777777777777</v>
      </c>
      <c r="C1309" s="28">
        <v>6</v>
      </c>
      <c r="D1309" s="33" t="str">
        <f>IF(C1309="", "",VLOOKUP(C1309,Key!$A$5:$B$7,2,FALSE))</f>
        <v>Large Bus</v>
      </c>
      <c r="E1309" s="29" t="s">
        <v>228</v>
      </c>
      <c r="F1309" s="29" t="s">
        <v>66</v>
      </c>
      <c r="G1309" s="29" t="s">
        <v>99</v>
      </c>
      <c r="H1309" s="30" t="s">
        <v>70</v>
      </c>
      <c r="I1309" s="29" t="s">
        <v>257</v>
      </c>
      <c r="J1309" s="29" t="s">
        <v>211</v>
      </c>
      <c r="K1309" s="30" t="s">
        <v>211</v>
      </c>
      <c r="L1309" s="29" t="str">
        <f t="shared" si="20"/>
        <v>KAMPALA-NYAHUKA</v>
      </c>
      <c r="M1309" s="31">
        <v>67</v>
      </c>
      <c r="N1309" s="72">
        <v>25000</v>
      </c>
      <c r="O1309" s="34">
        <v>6.8</v>
      </c>
    </row>
    <row r="1310" spans="2:15" x14ac:dyDescent="0.2">
      <c r="B1310" s="27">
        <v>0.41041666666666665</v>
      </c>
      <c r="C1310" s="28">
        <v>6</v>
      </c>
      <c r="D1310" s="33" t="str">
        <f>IF(C1310="", "",VLOOKUP(C1310,Key!$A$5:$B$7,2,FALSE))</f>
        <v>Large Bus</v>
      </c>
      <c r="E1310" s="29" t="s">
        <v>228</v>
      </c>
      <c r="F1310" s="29" t="s">
        <v>66</v>
      </c>
      <c r="G1310" s="29" t="s">
        <v>99</v>
      </c>
      <c r="H1310" s="30" t="s">
        <v>70</v>
      </c>
      <c r="I1310" s="29" t="s">
        <v>257</v>
      </c>
      <c r="J1310" s="29" t="s">
        <v>205</v>
      </c>
      <c r="K1310" s="30" t="s">
        <v>205</v>
      </c>
      <c r="L1310" s="29" t="str">
        <f t="shared" si="20"/>
        <v>KAMPALA-HOIMA</v>
      </c>
      <c r="M1310" s="31">
        <v>67</v>
      </c>
      <c r="N1310" s="72">
        <v>15000</v>
      </c>
      <c r="O1310" s="34">
        <v>3.8</v>
      </c>
    </row>
    <row r="1311" spans="2:15" x14ac:dyDescent="0.2">
      <c r="B1311" s="27">
        <v>0.4145833333333333</v>
      </c>
      <c r="C1311" s="28">
        <v>6</v>
      </c>
      <c r="D1311" s="33" t="str">
        <f>IF(C1311="", "",VLOOKUP(C1311,Key!$A$5:$B$7,2,FALSE))</f>
        <v>Large Bus</v>
      </c>
      <c r="E1311" s="29" t="s">
        <v>228</v>
      </c>
      <c r="F1311" s="29" t="s">
        <v>66</v>
      </c>
      <c r="G1311" s="29" t="s">
        <v>99</v>
      </c>
      <c r="H1311" s="30" t="s">
        <v>70</v>
      </c>
      <c r="I1311" s="29" t="s">
        <v>257</v>
      </c>
      <c r="J1311" s="29" t="s">
        <v>206</v>
      </c>
      <c r="K1311" s="30" t="s">
        <v>206</v>
      </c>
      <c r="L1311" s="29" t="str">
        <f t="shared" si="20"/>
        <v>KAMPALA-MASINDI</v>
      </c>
      <c r="M1311" s="31">
        <v>67</v>
      </c>
      <c r="N1311" s="72">
        <v>15000</v>
      </c>
      <c r="O1311" s="34">
        <v>3.25</v>
      </c>
    </row>
    <row r="1312" spans="2:15" x14ac:dyDescent="0.2">
      <c r="B1312" s="27">
        <v>0.42638888888888887</v>
      </c>
      <c r="C1312" s="28">
        <v>6</v>
      </c>
      <c r="D1312" s="33" t="str">
        <f>IF(C1312="", "",VLOOKUP(C1312,Key!$A$5:$B$7,2,FALSE))</f>
        <v>Large Bus</v>
      </c>
      <c r="E1312" s="29" t="s">
        <v>228</v>
      </c>
      <c r="F1312" s="29" t="s">
        <v>66</v>
      </c>
      <c r="G1312" s="29" t="s">
        <v>99</v>
      </c>
      <c r="H1312" s="30" t="s">
        <v>70</v>
      </c>
      <c r="I1312" s="29" t="s">
        <v>257</v>
      </c>
      <c r="J1312" s="29" t="s">
        <v>207</v>
      </c>
      <c r="K1312" s="30" t="s">
        <v>207</v>
      </c>
      <c r="L1312" s="29" t="str">
        <f t="shared" si="20"/>
        <v>KAMPALA-KASESE</v>
      </c>
      <c r="M1312" s="31">
        <v>67</v>
      </c>
      <c r="N1312" s="72">
        <v>35000</v>
      </c>
      <c r="O1312" s="34">
        <v>7</v>
      </c>
    </row>
    <row r="1313" spans="2:15" x14ac:dyDescent="0.2">
      <c r="B1313" s="27">
        <v>0.46666666666666662</v>
      </c>
      <c r="C1313" s="28">
        <v>6</v>
      </c>
      <c r="D1313" s="33" t="str">
        <f>IF(C1313="", "",VLOOKUP(C1313,Key!$A$5:$B$7,2,FALSE))</f>
        <v>Large Bus</v>
      </c>
      <c r="E1313" s="29" t="s">
        <v>228</v>
      </c>
      <c r="F1313" s="29" t="s">
        <v>66</v>
      </c>
      <c r="G1313" s="29" t="s">
        <v>99</v>
      </c>
      <c r="H1313" s="30" t="s">
        <v>70</v>
      </c>
      <c r="I1313" s="29" t="s">
        <v>257</v>
      </c>
      <c r="J1313" s="29" t="s">
        <v>209</v>
      </c>
      <c r="K1313" s="30" t="s">
        <v>209</v>
      </c>
      <c r="L1313" s="29" t="str">
        <f t="shared" si="20"/>
        <v>KAMPALA-BUNDIBUGYO</v>
      </c>
      <c r="M1313" s="31">
        <v>70</v>
      </c>
      <c r="N1313" s="72">
        <v>25000</v>
      </c>
      <c r="O1313" s="34">
        <v>6.25</v>
      </c>
    </row>
    <row r="1314" spans="2:15" x14ac:dyDescent="0.2">
      <c r="B1314" s="27">
        <v>0.47569444444444442</v>
      </c>
      <c r="C1314" s="28">
        <v>6</v>
      </c>
      <c r="D1314" s="33" t="str">
        <f>IF(C1314="", "",VLOOKUP(C1314,Key!$A$5:$B$7,2,FALSE))</f>
        <v>Large Bus</v>
      </c>
      <c r="E1314" s="29" t="s">
        <v>228</v>
      </c>
      <c r="F1314" s="29" t="s">
        <v>66</v>
      </c>
      <c r="G1314" s="29" t="s">
        <v>99</v>
      </c>
      <c r="H1314" s="30" t="s">
        <v>70</v>
      </c>
      <c r="I1314" s="29" t="s">
        <v>257</v>
      </c>
      <c r="J1314" s="29" t="s">
        <v>206</v>
      </c>
      <c r="K1314" s="30" t="s">
        <v>206</v>
      </c>
      <c r="L1314" s="29" t="str">
        <f t="shared" si="20"/>
        <v>KAMPALA-MASINDI</v>
      </c>
      <c r="M1314" s="31">
        <v>67</v>
      </c>
      <c r="N1314" s="72">
        <v>15000</v>
      </c>
      <c r="O1314" s="34">
        <v>3.25</v>
      </c>
    </row>
    <row r="1315" spans="2:15" x14ac:dyDescent="0.2">
      <c r="B1315" s="27">
        <v>0.48958333333333331</v>
      </c>
      <c r="C1315" s="28">
        <v>6</v>
      </c>
      <c r="D1315" s="33" t="str">
        <f>IF(C1315="", "",VLOOKUP(C1315,Key!$A$5:$B$7,2,FALSE))</f>
        <v>Large Bus</v>
      </c>
      <c r="E1315" s="29" t="s">
        <v>228</v>
      </c>
      <c r="F1315" s="29" t="s">
        <v>66</v>
      </c>
      <c r="G1315" s="29" t="s">
        <v>99</v>
      </c>
      <c r="H1315" s="30" t="s">
        <v>70</v>
      </c>
      <c r="I1315" s="29" t="s">
        <v>257</v>
      </c>
      <c r="J1315" s="29" t="s">
        <v>207</v>
      </c>
      <c r="K1315" s="30" t="s">
        <v>207</v>
      </c>
      <c r="L1315" s="29" t="str">
        <f t="shared" si="20"/>
        <v>KAMPALA-KASESE</v>
      </c>
      <c r="M1315" s="31">
        <v>67</v>
      </c>
      <c r="N1315" s="72">
        <v>35000</v>
      </c>
      <c r="O1315" s="34">
        <v>7</v>
      </c>
    </row>
    <row r="1316" spans="2:15" x14ac:dyDescent="0.2">
      <c r="B1316" s="27">
        <v>0.5</v>
      </c>
      <c r="C1316" s="28">
        <v>6</v>
      </c>
      <c r="D1316" s="33" t="str">
        <f>IF(C1316="", "",VLOOKUP(C1316,Key!$A$5:$B$7,2,FALSE))</f>
        <v>Large Bus</v>
      </c>
      <c r="E1316" s="29" t="s">
        <v>228</v>
      </c>
      <c r="F1316" s="29" t="s">
        <v>66</v>
      </c>
      <c r="G1316" s="29" t="s">
        <v>99</v>
      </c>
      <c r="H1316" s="30" t="s">
        <v>70</v>
      </c>
      <c r="I1316" s="29" t="s">
        <v>257</v>
      </c>
      <c r="J1316" s="29" t="s">
        <v>205</v>
      </c>
      <c r="K1316" s="30" t="s">
        <v>205</v>
      </c>
      <c r="L1316" s="29" t="str">
        <f t="shared" si="20"/>
        <v>KAMPALA-HOIMA</v>
      </c>
      <c r="M1316" s="31">
        <v>67</v>
      </c>
      <c r="N1316" s="72">
        <v>15000</v>
      </c>
      <c r="O1316" s="34">
        <v>3.8</v>
      </c>
    </row>
    <row r="1317" spans="2:15" x14ac:dyDescent="0.2">
      <c r="B1317" s="27">
        <v>0.52777777777777779</v>
      </c>
      <c r="C1317" s="28">
        <v>6</v>
      </c>
      <c r="D1317" s="33" t="str">
        <f>IF(C1317="", "",VLOOKUP(C1317,Key!$A$5:$B$7,2,FALSE))</f>
        <v>Large Bus</v>
      </c>
      <c r="E1317" s="29" t="s">
        <v>228</v>
      </c>
      <c r="F1317" s="29" t="s">
        <v>66</v>
      </c>
      <c r="G1317" s="29" t="s">
        <v>99</v>
      </c>
      <c r="H1317" s="30" t="s">
        <v>70</v>
      </c>
      <c r="I1317" s="29" t="s">
        <v>257</v>
      </c>
      <c r="J1317" s="29" t="s">
        <v>209</v>
      </c>
      <c r="K1317" s="30" t="s">
        <v>209</v>
      </c>
      <c r="L1317" s="29" t="str">
        <f t="shared" si="20"/>
        <v>KAMPALA-BUNDIBUGYO</v>
      </c>
      <c r="M1317" s="31">
        <v>70</v>
      </c>
      <c r="N1317" s="72">
        <v>25000</v>
      </c>
      <c r="O1317" s="34">
        <v>6.25</v>
      </c>
    </row>
    <row r="1318" spans="2:15" x14ac:dyDescent="0.2">
      <c r="B1318" s="27">
        <v>5.9027777777777783E-2</v>
      </c>
      <c r="C1318" s="28">
        <v>6</v>
      </c>
      <c r="D1318" s="33" t="str">
        <f>IF(C1318="", "",VLOOKUP(C1318,Key!$A$5:$B$7,2,FALSE))</f>
        <v>Large Bus</v>
      </c>
      <c r="E1318" s="29" t="s">
        <v>228</v>
      </c>
      <c r="F1318" s="29" t="s">
        <v>66</v>
      </c>
      <c r="G1318" s="29" t="s">
        <v>99</v>
      </c>
      <c r="H1318" s="30" t="s">
        <v>70</v>
      </c>
      <c r="I1318" s="29" t="s">
        <v>257</v>
      </c>
      <c r="J1318" s="29" t="s">
        <v>206</v>
      </c>
      <c r="K1318" s="30" t="s">
        <v>206</v>
      </c>
      <c r="L1318" s="29" t="str">
        <f t="shared" si="20"/>
        <v>KAMPALA-MASINDI</v>
      </c>
      <c r="M1318" s="31">
        <v>65</v>
      </c>
      <c r="N1318" s="72">
        <v>15000</v>
      </c>
      <c r="O1318" s="34">
        <v>3.25</v>
      </c>
    </row>
    <row r="1319" spans="2:15" x14ac:dyDescent="0.2">
      <c r="B1319" s="27">
        <v>6.1805555555555558E-2</v>
      </c>
      <c r="C1319" s="28">
        <v>6</v>
      </c>
      <c r="D1319" s="33" t="str">
        <f>IF(C1319="", "",VLOOKUP(C1319,Key!$A$5:$B$7,2,FALSE))</f>
        <v>Large Bus</v>
      </c>
      <c r="E1319" s="29" t="s">
        <v>228</v>
      </c>
      <c r="F1319" s="29" t="s">
        <v>66</v>
      </c>
      <c r="G1319" s="29" t="s">
        <v>99</v>
      </c>
      <c r="H1319" s="30" t="s">
        <v>70</v>
      </c>
      <c r="I1319" s="29" t="s">
        <v>257</v>
      </c>
      <c r="J1319" s="29" t="s">
        <v>207</v>
      </c>
      <c r="K1319" s="30" t="s">
        <v>207</v>
      </c>
      <c r="L1319" s="29" t="str">
        <f t="shared" si="20"/>
        <v>KAMPALA-KASESE</v>
      </c>
      <c r="M1319" s="31">
        <v>65</v>
      </c>
      <c r="N1319" s="72">
        <v>35000</v>
      </c>
      <c r="O1319" s="34">
        <v>7</v>
      </c>
    </row>
    <row r="1320" spans="2:15" x14ac:dyDescent="0.2">
      <c r="B1320" s="27">
        <v>6.5277777777777782E-2</v>
      </c>
      <c r="C1320" s="28">
        <v>6</v>
      </c>
      <c r="D1320" s="33" t="str">
        <f>IF(C1320="", "",VLOOKUP(C1320,Key!$A$5:$B$7,2,FALSE))</f>
        <v>Large Bus</v>
      </c>
      <c r="E1320" s="29" t="s">
        <v>228</v>
      </c>
      <c r="F1320" s="29" t="s">
        <v>66</v>
      </c>
      <c r="G1320" s="29" t="s">
        <v>99</v>
      </c>
      <c r="H1320" s="30" t="s">
        <v>70</v>
      </c>
      <c r="I1320" s="29" t="s">
        <v>257</v>
      </c>
      <c r="J1320" s="29" t="s">
        <v>205</v>
      </c>
      <c r="K1320" s="30" t="s">
        <v>205</v>
      </c>
      <c r="L1320" s="29" t="str">
        <f t="shared" si="20"/>
        <v>KAMPALA-HOIMA</v>
      </c>
      <c r="M1320" s="31">
        <v>67</v>
      </c>
      <c r="N1320" s="72">
        <v>15000</v>
      </c>
      <c r="O1320" s="34">
        <v>3.8</v>
      </c>
    </row>
    <row r="1321" spans="2:15" x14ac:dyDescent="0.2">
      <c r="B1321" s="27">
        <v>8.3333333333333329E-2</v>
      </c>
      <c r="C1321" s="28">
        <v>6</v>
      </c>
      <c r="D1321" s="33" t="str">
        <f>IF(C1321="", "",VLOOKUP(C1321,Key!$A$5:$B$7,2,FALSE))</f>
        <v>Large Bus</v>
      </c>
      <c r="E1321" s="29" t="s">
        <v>228</v>
      </c>
      <c r="F1321" s="29" t="s">
        <v>66</v>
      </c>
      <c r="G1321" s="29" t="s">
        <v>99</v>
      </c>
      <c r="H1321" s="30" t="s">
        <v>70</v>
      </c>
      <c r="I1321" s="29" t="s">
        <v>257</v>
      </c>
      <c r="J1321" s="29" t="s">
        <v>207</v>
      </c>
      <c r="K1321" s="30" t="s">
        <v>207</v>
      </c>
      <c r="L1321" s="29" t="str">
        <f t="shared" si="20"/>
        <v>KAMPALA-KASESE</v>
      </c>
      <c r="M1321" s="31">
        <v>67</v>
      </c>
      <c r="N1321" s="72">
        <v>35000</v>
      </c>
      <c r="O1321" s="34">
        <v>7</v>
      </c>
    </row>
    <row r="1322" spans="2:15" x14ac:dyDescent="0.2">
      <c r="B1322" s="27">
        <v>0.1388888888888889</v>
      </c>
      <c r="C1322" s="28">
        <v>6</v>
      </c>
      <c r="D1322" s="33" t="str">
        <f>IF(C1322="", "",VLOOKUP(C1322,Key!$A$5:$B$7,2,FALSE))</f>
        <v>Large Bus</v>
      </c>
      <c r="E1322" s="29" t="s">
        <v>228</v>
      </c>
      <c r="F1322" s="29" t="s">
        <v>66</v>
      </c>
      <c r="G1322" s="29" t="s">
        <v>99</v>
      </c>
      <c r="H1322" s="30" t="s">
        <v>70</v>
      </c>
      <c r="I1322" s="29" t="s">
        <v>257</v>
      </c>
      <c r="J1322" s="29" t="s">
        <v>207</v>
      </c>
      <c r="K1322" s="30" t="s">
        <v>207</v>
      </c>
      <c r="L1322" s="29" t="str">
        <f t="shared" si="20"/>
        <v>KAMPALA-KASESE</v>
      </c>
      <c r="M1322" s="31">
        <v>70</v>
      </c>
      <c r="N1322" s="72">
        <v>35000</v>
      </c>
      <c r="O1322" s="34">
        <v>7</v>
      </c>
    </row>
    <row r="1323" spans="2:15" x14ac:dyDescent="0.2">
      <c r="B1323" s="27">
        <v>0.15625</v>
      </c>
      <c r="C1323" s="28">
        <v>6</v>
      </c>
      <c r="D1323" s="33" t="str">
        <f>IF(C1323="", "",VLOOKUP(C1323,Key!$A$5:$B$7,2,FALSE))</f>
        <v>Large Bus</v>
      </c>
      <c r="E1323" s="29" t="s">
        <v>228</v>
      </c>
      <c r="F1323" s="29" t="s">
        <v>66</v>
      </c>
      <c r="G1323" s="29" t="s">
        <v>99</v>
      </c>
      <c r="H1323" s="30" t="s">
        <v>70</v>
      </c>
      <c r="I1323" s="29" t="s">
        <v>257</v>
      </c>
      <c r="J1323" s="29" t="s">
        <v>205</v>
      </c>
      <c r="K1323" s="30" t="s">
        <v>205</v>
      </c>
      <c r="L1323" s="29" t="str">
        <f t="shared" si="20"/>
        <v>KAMPALA-HOIMA</v>
      </c>
      <c r="M1323" s="31">
        <v>67</v>
      </c>
      <c r="N1323" s="72">
        <v>15000</v>
      </c>
      <c r="O1323" s="34">
        <v>3.8</v>
      </c>
    </row>
    <row r="1324" spans="2:15" x14ac:dyDescent="0.2">
      <c r="B1324" s="27">
        <v>0.18055555555555555</v>
      </c>
      <c r="C1324" s="28">
        <v>6</v>
      </c>
      <c r="D1324" s="33" t="str">
        <f>IF(C1324="", "",VLOOKUP(C1324,Key!$A$5:$B$7,2,FALSE))</f>
        <v>Large Bus</v>
      </c>
      <c r="E1324" s="29" t="s">
        <v>228</v>
      </c>
      <c r="F1324" s="29" t="s">
        <v>66</v>
      </c>
      <c r="G1324" s="29" t="s">
        <v>99</v>
      </c>
      <c r="H1324" s="30" t="s">
        <v>70</v>
      </c>
      <c r="I1324" s="29" t="s">
        <v>257</v>
      </c>
      <c r="J1324" s="29" t="s">
        <v>207</v>
      </c>
      <c r="K1324" s="30" t="s">
        <v>207</v>
      </c>
      <c r="L1324" s="29" t="str">
        <f t="shared" si="20"/>
        <v>KAMPALA-KASESE</v>
      </c>
      <c r="M1324" s="31">
        <v>67</v>
      </c>
      <c r="N1324" s="72">
        <v>35000</v>
      </c>
      <c r="O1324" s="34">
        <v>7</v>
      </c>
    </row>
    <row r="1325" spans="2:15" x14ac:dyDescent="0.2">
      <c r="B1325" s="27">
        <v>0.23611111111111113</v>
      </c>
      <c r="C1325" s="28">
        <v>6</v>
      </c>
      <c r="D1325" s="33" t="str">
        <f>IF(C1325="", "",VLOOKUP(C1325,Key!$A$5:$B$7,2,FALSE))</f>
        <v>Large Bus</v>
      </c>
      <c r="E1325" s="29" t="s">
        <v>228</v>
      </c>
      <c r="F1325" s="29" t="s">
        <v>66</v>
      </c>
      <c r="G1325" s="29" t="s">
        <v>99</v>
      </c>
      <c r="H1325" s="30" t="s">
        <v>70</v>
      </c>
      <c r="I1325" s="29" t="s">
        <v>257</v>
      </c>
      <c r="J1325" s="29" t="s">
        <v>207</v>
      </c>
      <c r="K1325" s="30" t="s">
        <v>207</v>
      </c>
      <c r="L1325" s="29" t="str">
        <f t="shared" si="20"/>
        <v>KAMPALA-KASESE</v>
      </c>
      <c r="M1325" s="31">
        <v>70</v>
      </c>
      <c r="N1325" s="72">
        <v>35000</v>
      </c>
      <c r="O1325" s="34">
        <v>7</v>
      </c>
    </row>
    <row r="1326" spans="2:15" x14ac:dyDescent="0.2">
      <c r="B1326" s="27">
        <v>0.25555555555555559</v>
      </c>
      <c r="C1326" s="28">
        <v>6</v>
      </c>
      <c r="D1326" s="33" t="str">
        <f>IF(C1326="", "",VLOOKUP(C1326,Key!$A$5:$B$7,2,FALSE))</f>
        <v>Large Bus</v>
      </c>
      <c r="E1326" s="29" t="s">
        <v>228</v>
      </c>
      <c r="F1326" s="29" t="s">
        <v>66</v>
      </c>
      <c r="G1326" s="29" t="s">
        <v>99</v>
      </c>
      <c r="H1326" s="30" t="s">
        <v>70</v>
      </c>
      <c r="I1326" s="29" t="s">
        <v>257</v>
      </c>
      <c r="J1326" s="29" t="s">
        <v>206</v>
      </c>
      <c r="K1326" s="30" t="s">
        <v>206</v>
      </c>
      <c r="L1326" s="29" t="str">
        <f t="shared" si="20"/>
        <v>KAMPALA-MASINDI</v>
      </c>
      <c r="M1326" s="31">
        <v>67</v>
      </c>
      <c r="N1326" s="72">
        <v>15000</v>
      </c>
      <c r="O1326" s="34">
        <v>3.25</v>
      </c>
    </row>
    <row r="1327" spans="2:15" x14ac:dyDescent="0.2">
      <c r="B1327" s="27">
        <v>0.27638888888888885</v>
      </c>
      <c r="C1327" s="28">
        <v>6</v>
      </c>
      <c r="D1327" s="33" t="str">
        <f>IF(C1327="", "",VLOOKUP(C1327,Key!$A$5:$B$7,2,FALSE))</f>
        <v>Large Bus</v>
      </c>
      <c r="E1327" s="29" t="s">
        <v>228</v>
      </c>
      <c r="F1327" s="29" t="s">
        <v>66</v>
      </c>
      <c r="G1327" s="29" t="s">
        <v>99</v>
      </c>
      <c r="H1327" s="30" t="s">
        <v>70</v>
      </c>
      <c r="I1327" s="29" t="s">
        <v>257</v>
      </c>
      <c r="J1327" s="29" t="s">
        <v>207</v>
      </c>
      <c r="K1327" s="30" t="s">
        <v>207</v>
      </c>
      <c r="L1327" s="29" t="str">
        <f t="shared" si="20"/>
        <v>KAMPALA-KASESE</v>
      </c>
      <c r="M1327" s="31">
        <v>71</v>
      </c>
      <c r="N1327" s="72">
        <v>35000</v>
      </c>
      <c r="O1327" s="34">
        <v>7</v>
      </c>
    </row>
    <row r="1328" spans="2:15" x14ac:dyDescent="0.2">
      <c r="B1328" s="27">
        <v>0.80138888888888893</v>
      </c>
      <c r="C1328" s="28">
        <v>6</v>
      </c>
      <c r="D1328" s="33" t="str">
        <f>IF(C1328="", "",VLOOKUP(C1328,Key!$A$5:$B$7,2,FALSE))</f>
        <v>Large Bus</v>
      </c>
      <c r="E1328" s="29" t="s">
        <v>228</v>
      </c>
      <c r="F1328" s="29" t="s">
        <v>67</v>
      </c>
      <c r="G1328" s="29" t="s">
        <v>99</v>
      </c>
      <c r="H1328" s="30" t="s">
        <v>70</v>
      </c>
      <c r="I1328" s="29" t="s">
        <v>257</v>
      </c>
      <c r="J1328" s="29" t="s">
        <v>208</v>
      </c>
      <c r="K1328" s="30" t="s">
        <v>207</v>
      </c>
      <c r="L1328" s="29" t="str">
        <f t="shared" si="20"/>
        <v>KAMPALA-KASESE</v>
      </c>
      <c r="M1328" s="31">
        <v>68</v>
      </c>
      <c r="N1328" s="72">
        <v>35000</v>
      </c>
      <c r="O1328" s="34">
        <v>7</v>
      </c>
    </row>
    <row r="1329" spans="2:15" x14ac:dyDescent="0.2">
      <c r="B1329" s="27">
        <v>0.81874999999999998</v>
      </c>
      <c r="C1329" s="28">
        <v>6</v>
      </c>
      <c r="D1329" s="33" t="str">
        <f>IF(C1329="", "",VLOOKUP(C1329,Key!$A$5:$B$7,2,FALSE))</f>
        <v>Large Bus</v>
      </c>
      <c r="E1329" s="29" t="s">
        <v>228</v>
      </c>
      <c r="F1329" s="29" t="s">
        <v>67</v>
      </c>
      <c r="G1329" s="29" t="s">
        <v>99</v>
      </c>
      <c r="H1329" s="30" t="s">
        <v>70</v>
      </c>
      <c r="I1329" s="29" t="s">
        <v>257</v>
      </c>
      <c r="J1329" s="29" t="s">
        <v>208</v>
      </c>
      <c r="K1329" s="30" t="s">
        <v>207</v>
      </c>
      <c r="L1329" s="29" t="str">
        <f t="shared" si="20"/>
        <v>KAMPALA-KASESE</v>
      </c>
      <c r="M1329" s="31">
        <v>66</v>
      </c>
      <c r="N1329" s="72">
        <v>35000</v>
      </c>
      <c r="O1329" s="34">
        <v>7</v>
      </c>
    </row>
    <row r="1330" spans="2:15" x14ac:dyDescent="0.2">
      <c r="B1330" s="27">
        <v>0.88750000000000007</v>
      </c>
      <c r="C1330" s="28">
        <v>6</v>
      </c>
      <c r="D1330" s="33" t="str">
        <f>IF(C1330="", "",VLOOKUP(C1330,Key!$A$5:$B$7,2,FALSE))</f>
        <v>Large Bus</v>
      </c>
      <c r="E1330" s="29" t="s">
        <v>228</v>
      </c>
      <c r="F1330" s="29" t="s">
        <v>67</v>
      </c>
      <c r="G1330" s="29" t="s">
        <v>99</v>
      </c>
      <c r="H1330" s="30" t="s">
        <v>70</v>
      </c>
      <c r="I1330" s="29" t="s">
        <v>257</v>
      </c>
      <c r="J1330" s="29" t="s">
        <v>208</v>
      </c>
      <c r="K1330" s="30" t="s">
        <v>207</v>
      </c>
      <c r="L1330" s="29" t="str">
        <f t="shared" si="20"/>
        <v>KAMPALA-KASESE</v>
      </c>
      <c r="M1330" s="31">
        <v>67</v>
      </c>
      <c r="N1330" s="72">
        <v>35000</v>
      </c>
      <c r="O1330" s="34">
        <v>7</v>
      </c>
    </row>
    <row r="1331" spans="2:15" x14ac:dyDescent="0.2">
      <c r="B1331" s="27">
        <v>0.23124999999999998</v>
      </c>
      <c r="C1331" s="28">
        <v>6</v>
      </c>
      <c r="D1331" s="33" t="str">
        <f>IF(C1331="", "",VLOOKUP(C1331,Key!$A$5:$B$7,2,FALSE))</f>
        <v>Large Bus</v>
      </c>
      <c r="E1331" s="29" t="s">
        <v>228</v>
      </c>
      <c r="F1331" s="29" t="s">
        <v>67</v>
      </c>
      <c r="G1331" s="29" t="s">
        <v>99</v>
      </c>
      <c r="H1331" s="30" t="s">
        <v>70</v>
      </c>
      <c r="I1331" s="29" t="s">
        <v>257</v>
      </c>
      <c r="J1331" s="29" t="s">
        <v>213</v>
      </c>
      <c r="K1331" s="30" t="s">
        <v>205</v>
      </c>
      <c r="L1331" s="29" t="str">
        <f t="shared" si="20"/>
        <v>KAMPALA-HOIMA</v>
      </c>
      <c r="M1331" s="31">
        <v>65</v>
      </c>
      <c r="N1331" s="72">
        <v>15000</v>
      </c>
      <c r="O1331" s="34">
        <v>3.8</v>
      </c>
    </row>
    <row r="1332" spans="2:15" x14ac:dyDescent="0.2">
      <c r="B1332" s="27">
        <v>0.1277777777777778</v>
      </c>
      <c r="C1332" s="28">
        <v>6</v>
      </c>
      <c r="D1332" s="33" t="str">
        <f>IF(C1332="", "",VLOOKUP(C1332,Key!$A$5:$B$7,2,FALSE))</f>
        <v>Large Bus</v>
      </c>
      <c r="E1332" s="29" t="s">
        <v>228</v>
      </c>
      <c r="F1332" s="29" t="s">
        <v>67</v>
      </c>
      <c r="G1332" s="29" t="s">
        <v>99</v>
      </c>
      <c r="H1332" s="30" t="s">
        <v>70</v>
      </c>
      <c r="I1332" s="29" t="s">
        <v>257</v>
      </c>
      <c r="J1332" s="29" t="s">
        <v>208</v>
      </c>
      <c r="K1332" s="30" t="s">
        <v>207</v>
      </c>
      <c r="L1332" s="29" t="str">
        <f t="shared" si="20"/>
        <v>KAMPALA-KASESE</v>
      </c>
      <c r="M1332" s="31">
        <v>45</v>
      </c>
      <c r="N1332" s="72">
        <v>35000</v>
      </c>
      <c r="O1332" s="34">
        <v>7</v>
      </c>
    </row>
    <row r="1333" spans="2:15" x14ac:dyDescent="0.2">
      <c r="B1333" s="27">
        <v>0.25763888888888892</v>
      </c>
      <c r="C1333" s="28">
        <v>6</v>
      </c>
      <c r="D1333" s="33" t="str">
        <f>IF(C1333="", "",VLOOKUP(C1333,Key!$A$5:$B$7,2,FALSE))</f>
        <v>Large Bus</v>
      </c>
      <c r="E1333" s="29" t="s">
        <v>228</v>
      </c>
      <c r="F1333" s="29" t="s">
        <v>67</v>
      </c>
      <c r="G1333" s="29" t="s">
        <v>99</v>
      </c>
      <c r="H1333" s="30" t="s">
        <v>70</v>
      </c>
      <c r="I1333" s="29" t="s">
        <v>257</v>
      </c>
      <c r="J1333" s="29" t="s">
        <v>208</v>
      </c>
      <c r="K1333" s="30" t="s">
        <v>207</v>
      </c>
      <c r="L1333" s="29" t="str">
        <f t="shared" si="20"/>
        <v>KAMPALA-KASESE</v>
      </c>
      <c r="M1333" s="31">
        <v>65</v>
      </c>
      <c r="N1333" s="72">
        <v>35000</v>
      </c>
      <c r="O1333" s="34">
        <v>7</v>
      </c>
    </row>
    <row r="1334" spans="2:15" x14ac:dyDescent="0.2">
      <c r="B1334" s="45" t="s">
        <v>220</v>
      </c>
      <c r="C1334" s="47"/>
      <c r="D1334" s="33" t="str">
        <f>IF(C1334="", "",VLOOKUP(C1334,Key!$A$5:$B$7,2,FALSE))</f>
        <v/>
      </c>
      <c r="E1334" s="44" t="s">
        <v>228</v>
      </c>
      <c r="F1334" s="48"/>
      <c r="G1334" s="47"/>
      <c r="H1334" s="47"/>
      <c r="I1334" s="47" t="s">
        <v>257</v>
      </c>
      <c r="J1334" s="47"/>
      <c r="K1334" s="47"/>
      <c r="L1334" s="47" t="str">
        <f t="shared" si="20"/>
        <v>-</v>
      </c>
      <c r="M1334" s="47"/>
      <c r="N1334" s="48"/>
      <c r="O1334" s="48"/>
    </row>
    <row r="1335" spans="2:15" x14ac:dyDescent="0.2">
      <c r="B1335" s="27">
        <v>0.37777777777777777</v>
      </c>
      <c r="C1335" s="28">
        <v>6</v>
      </c>
      <c r="D1335" s="33" t="str">
        <f>IF(C1335="", "",VLOOKUP(C1335,Key!$A$5:$B$7,2,FALSE))</f>
        <v>Large Bus</v>
      </c>
      <c r="E1335" s="29" t="s">
        <v>228</v>
      </c>
      <c r="F1335" s="29" t="s">
        <v>66</v>
      </c>
      <c r="G1335" s="29" t="s">
        <v>99</v>
      </c>
      <c r="H1335" s="30" t="s">
        <v>70</v>
      </c>
      <c r="I1335" s="29" t="s">
        <v>257</v>
      </c>
      <c r="J1335" s="29" t="s">
        <v>205</v>
      </c>
      <c r="K1335" s="30" t="s">
        <v>205</v>
      </c>
      <c r="L1335" s="29" t="str">
        <f t="shared" si="20"/>
        <v>KAMPALA-HOIMA</v>
      </c>
      <c r="M1335" s="31">
        <v>67</v>
      </c>
      <c r="N1335" s="72">
        <v>15000</v>
      </c>
      <c r="O1335" s="34">
        <v>3.8</v>
      </c>
    </row>
    <row r="1336" spans="2:15" x14ac:dyDescent="0.2">
      <c r="B1336" s="27">
        <v>0.43055555555555558</v>
      </c>
      <c r="C1336" s="28">
        <v>6</v>
      </c>
      <c r="D1336" s="33" t="str">
        <f>IF(C1336="", "",VLOOKUP(C1336,Key!$A$5:$B$7,2,FALSE))</f>
        <v>Large Bus</v>
      </c>
      <c r="E1336" s="29" t="s">
        <v>228</v>
      </c>
      <c r="F1336" s="29" t="s">
        <v>66</v>
      </c>
      <c r="G1336" s="29" t="s">
        <v>99</v>
      </c>
      <c r="H1336" s="30" t="s">
        <v>70</v>
      </c>
      <c r="I1336" s="29" t="s">
        <v>257</v>
      </c>
      <c r="J1336" s="29" t="s">
        <v>205</v>
      </c>
      <c r="K1336" s="30" t="s">
        <v>205</v>
      </c>
      <c r="L1336" s="29" t="str">
        <f t="shared" si="20"/>
        <v>KAMPALA-HOIMA</v>
      </c>
      <c r="M1336" s="31">
        <v>67</v>
      </c>
      <c r="N1336" s="72">
        <v>15000</v>
      </c>
      <c r="O1336" s="34">
        <v>3.8</v>
      </c>
    </row>
    <row r="1337" spans="2:15" x14ac:dyDescent="0.2">
      <c r="B1337" s="27">
        <v>0.44861111111111113</v>
      </c>
      <c r="C1337" s="28">
        <v>6</v>
      </c>
      <c r="D1337" s="33" t="str">
        <f>IF(C1337="", "",VLOOKUP(C1337,Key!$A$5:$B$7,2,FALSE))</f>
        <v>Large Bus</v>
      </c>
      <c r="E1337" s="29" t="s">
        <v>228</v>
      </c>
      <c r="F1337" s="29" t="s">
        <v>66</v>
      </c>
      <c r="G1337" s="29" t="s">
        <v>99</v>
      </c>
      <c r="H1337" s="30" t="s">
        <v>70</v>
      </c>
      <c r="I1337" s="29" t="s">
        <v>257</v>
      </c>
      <c r="J1337" s="29" t="s">
        <v>205</v>
      </c>
      <c r="K1337" s="30" t="s">
        <v>205</v>
      </c>
      <c r="L1337" s="29" t="str">
        <f t="shared" si="20"/>
        <v>KAMPALA-HOIMA</v>
      </c>
      <c r="M1337" s="31">
        <v>67</v>
      </c>
      <c r="N1337" s="72">
        <v>15000</v>
      </c>
      <c r="O1337" s="34">
        <v>3.8</v>
      </c>
    </row>
    <row r="1338" spans="2:15" x14ac:dyDescent="0.2">
      <c r="B1338" s="27">
        <v>0.4909722222222222</v>
      </c>
      <c r="C1338" s="28">
        <v>6</v>
      </c>
      <c r="D1338" s="33" t="str">
        <f>IF(C1338="", "",VLOOKUP(C1338,Key!$A$5:$B$7,2,FALSE))</f>
        <v>Large Bus</v>
      </c>
      <c r="E1338" s="29" t="s">
        <v>228</v>
      </c>
      <c r="F1338" s="29" t="s">
        <v>66</v>
      </c>
      <c r="G1338" s="29" t="s">
        <v>99</v>
      </c>
      <c r="H1338" s="30" t="s">
        <v>70</v>
      </c>
      <c r="I1338" s="29" t="s">
        <v>257</v>
      </c>
      <c r="J1338" s="29" t="s">
        <v>205</v>
      </c>
      <c r="K1338" s="30" t="s">
        <v>205</v>
      </c>
      <c r="L1338" s="29" t="str">
        <f t="shared" si="20"/>
        <v>KAMPALA-HOIMA</v>
      </c>
      <c r="M1338" s="31">
        <v>67</v>
      </c>
      <c r="N1338" s="72">
        <v>15000</v>
      </c>
      <c r="O1338" s="34">
        <v>3.8</v>
      </c>
    </row>
    <row r="1339" spans="2:15" x14ac:dyDescent="0.2">
      <c r="B1339" s="27">
        <v>0.52430555555555558</v>
      </c>
      <c r="C1339" s="28">
        <v>6</v>
      </c>
      <c r="D1339" s="33" t="str">
        <f>IF(C1339="", "",VLOOKUP(C1339,Key!$A$5:$B$7,2,FALSE))</f>
        <v>Large Bus</v>
      </c>
      <c r="E1339" s="29" t="s">
        <v>228</v>
      </c>
      <c r="F1339" s="29" t="s">
        <v>66</v>
      </c>
      <c r="G1339" s="29" t="s">
        <v>99</v>
      </c>
      <c r="H1339" s="30" t="s">
        <v>70</v>
      </c>
      <c r="I1339" s="29" t="s">
        <v>257</v>
      </c>
      <c r="J1339" s="29" t="s">
        <v>205</v>
      </c>
      <c r="K1339" s="30" t="s">
        <v>205</v>
      </c>
      <c r="L1339" s="29" t="str">
        <f t="shared" si="20"/>
        <v>KAMPALA-HOIMA</v>
      </c>
      <c r="M1339" s="31">
        <v>67</v>
      </c>
      <c r="N1339" s="72">
        <v>15000</v>
      </c>
      <c r="O1339" s="34">
        <v>3.8</v>
      </c>
    </row>
    <row r="1340" spans="2:15" x14ac:dyDescent="0.2">
      <c r="B1340" s="27">
        <v>0.52500000000000002</v>
      </c>
      <c r="C1340" s="28">
        <v>6</v>
      </c>
      <c r="D1340" s="33" t="str">
        <f>IF(C1340="", "",VLOOKUP(C1340,Key!$A$5:$B$7,2,FALSE))</f>
        <v>Large Bus</v>
      </c>
      <c r="E1340" s="29" t="s">
        <v>228</v>
      </c>
      <c r="F1340" s="29" t="s">
        <v>66</v>
      </c>
      <c r="G1340" s="29" t="s">
        <v>99</v>
      </c>
      <c r="H1340" s="30" t="s">
        <v>70</v>
      </c>
      <c r="I1340" s="29" t="s">
        <v>257</v>
      </c>
      <c r="J1340" s="29" t="s">
        <v>205</v>
      </c>
      <c r="K1340" s="30" t="s">
        <v>205</v>
      </c>
      <c r="L1340" s="29" t="str">
        <f t="shared" si="20"/>
        <v>KAMPALA-HOIMA</v>
      </c>
      <c r="M1340" s="31">
        <v>67</v>
      </c>
      <c r="N1340" s="72">
        <v>15000</v>
      </c>
      <c r="O1340" s="34">
        <v>3.8</v>
      </c>
    </row>
    <row r="1341" spans="2:15" x14ac:dyDescent="0.2">
      <c r="B1341" s="27">
        <v>6.7361111111111108E-2</v>
      </c>
      <c r="C1341" s="28">
        <v>6</v>
      </c>
      <c r="D1341" s="33" t="str">
        <f>IF(C1341="", "",VLOOKUP(C1341,Key!$A$5:$B$7,2,FALSE))</f>
        <v>Large Bus</v>
      </c>
      <c r="E1341" s="29" t="s">
        <v>228</v>
      </c>
      <c r="F1341" s="29" t="s">
        <v>66</v>
      </c>
      <c r="G1341" s="29" t="s">
        <v>99</v>
      </c>
      <c r="H1341" s="30" t="s">
        <v>70</v>
      </c>
      <c r="I1341" s="29" t="s">
        <v>257</v>
      </c>
      <c r="J1341" s="29" t="s">
        <v>205</v>
      </c>
      <c r="K1341" s="30" t="s">
        <v>205</v>
      </c>
      <c r="L1341" s="29" t="str">
        <f t="shared" si="20"/>
        <v>KAMPALA-HOIMA</v>
      </c>
      <c r="M1341" s="31">
        <v>67</v>
      </c>
      <c r="N1341" s="72">
        <v>15000</v>
      </c>
      <c r="O1341" s="34">
        <v>3.8</v>
      </c>
    </row>
    <row r="1342" spans="2:15" x14ac:dyDescent="0.2">
      <c r="B1342" s="27">
        <v>7.4305555555555555E-2</v>
      </c>
      <c r="C1342" s="28">
        <v>6</v>
      </c>
      <c r="D1342" s="33" t="str">
        <f>IF(C1342="", "",VLOOKUP(C1342,Key!$A$5:$B$7,2,FALSE))</f>
        <v>Large Bus</v>
      </c>
      <c r="E1342" s="29" t="s">
        <v>228</v>
      </c>
      <c r="F1342" s="29" t="s">
        <v>66</v>
      </c>
      <c r="G1342" s="29" t="s">
        <v>99</v>
      </c>
      <c r="H1342" s="30" t="s">
        <v>70</v>
      </c>
      <c r="I1342" s="29" t="s">
        <v>257</v>
      </c>
      <c r="J1342" s="29" t="s">
        <v>205</v>
      </c>
      <c r="K1342" s="30" t="s">
        <v>205</v>
      </c>
      <c r="L1342" s="29" t="str">
        <f t="shared" si="20"/>
        <v>KAMPALA-HOIMA</v>
      </c>
      <c r="M1342" s="31">
        <v>67</v>
      </c>
      <c r="N1342" s="72">
        <v>15000</v>
      </c>
      <c r="O1342" s="34">
        <v>3.8</v>
      </c>
    </row>
    <row r="1343" spans="2:15" x14ac:dyDescent="0.2">
      <c r="B1343" s="27">
        <v>0.11527777777777777</v>
      </c>
      <c r="C1343" s="28">
        <v>6</v>
      </c>
      <c r="D1343" s="33" t="str">
        <f>IF(C1343="", "",VLOOKUP(C1343,Key!$A$5:$B$7,2,FALSE))</f>
        <v>Large Bus</v>
      </c>
      <c r="E1343" s="29" t="s">
        <v>228</v>
      </c>
      <c r="F1343" s="29" t="s">
        <v>66</v>
      </c>
      <c r="G1343" s="29" t="s">
        <v>99</v>
      </c>
      <c r="H1343" s="30" t="s">
        <v>70</v>
      </c>
      <c r="I1343" s="29" t="s">
        <v>257</v>
      </c>
      <c r="J1343" s="29" t="s">
        <v>205</v>
      </c>
      <c r="K1343" s="30" t="s">
        <v>205</v>
      </c>
      <c r="L1343" s="29" t="str">
        <f t="shared" si="20"/>
        <v>KAMPALA-HOIMA</v>
      </c>
      <c r="M1343" s="31">
        <v>67</v>
      </c>
      <c r="N1343" s="72">
        <v>15000</v>
      </c>
      <c r="O1343" s="34">
        <v>3.8</v>
      </c>
    </row>
    <row r="1344" spans="2:15" x14ac:dyDescent="0.2">
      <c r="B1344" s="27">
        <v>0.11597222222222221</v>
      </c>
      <c r="C1344" s="28">
        <v>6</v>
      </c>
      <c r="D1344" s="33" t="str">
        <f>IF(C1344="", "",VLOOKUP(C1344,Key!$A$5:$B$7,2,FALSE))</f>
        <v>Large Bus</v>
      </c>
      <c r="E1344" s="29" t="s">
        <v>228</v>
      </c>
      <c r="F1344" s="29" t="s">
        <v>66</v>
      </c>
      <c r="G1344" s="29" t="s">
        <v>99</v>
      </c>
      <c r="H1344" s="30" t="s">
        <v>70</v>
      </c>
      <c r="I1344" s="29" t="s">
        <v>257</v>
      </c>
      <c r="J1344" s="29" t="s">
        <v>205</v>
      </c>
      <c r="K1344" s="30" t="s">
        <v>205</v>
      </c>
      <c r="L1344" s="29" t="str">
        <f t="shared" si="20"/>
        <v>KAMPALA-HOIMA</v>
      </c>
      <c r="M1344" s="31">
        <v>67</v>
      </c>
      <c r="N1344" s="72">
        <v>15000</v>
      </c>
      <c r="O1344" s="34">
        <v>3.8</v>
      </c>
    </row>
    <row r="1345" spans="2:15" x14ac:dyDescent="0.2">
      <c r="B1345" s="27">
        <v>0.1388888888888889</v>
      </c>
      <c r="C1345" s="28">
        <v>6</v>
      </c>
      <c r="D1345" s="33" t="str">
        <f>IF(C1345="", "",VLOOKUP(C1345,Key!$A$5:$B$7,2,FALSE))</f>
        <v>Large Bus</v>
      </c>
      <c r="E1345" s="29" t="s">
        <v>228</v>
      </c>
      <c r="F1345" s="29" t="s">
        <v>66</v>
      </c>
      <c r="G1345" s="29" t="s">
        <v>99</v>
      </c>
      <c r="H1345" s="30" t="s">
        <v>70</v>
      </c>
      <c r="I1345" s="29" t="s">
        <v>257</v>
      </c>
      <c r="J1345" s="29" t="s">
        <v>205</v>
      </c>
      <c r="K1345" s="30" t="s">
        <v>205</v>
      </c>
      <c r="L1345" s="29" t="str">
        <f t="shared" si="20"/>
        <v>KAMPALA-HOIMA</v>
      </c>
      <c r="M1345" s="31">
        <v>67</v>
      </c>
      <c r="N1345" s="72">
        <v>15000</v>
      </c>
      <c r="O1345" s="34">
        <v>3.8</v>
      </c>
    </row>
    <row r="1346" spans="2:15" x14ac:dyDescent="0.2">
      <c r="B1346" s="27">
        <v>0.15416666666666667</v>
      </c>
      <c r="C1346" s="28">
        <v>6</v>
      </c>
      <c r="D1346" s="33" t="str">
        <f>IF(C1346="", "",VLOOKUP(C1346,Key!$A$5:$B$7,2,FALSE))</f>
        <v>Large Bus</v>
      </c>
      <c r="E1346" s="29" t="s">
        <v>228</v>
      </c>
      <c r="F1346" s="29" t="s">
        <v>66</v>
      </c>
      <c r="G1346" s="29" t="s">
        <v>99</v>
      </c>
      <c r="H1346" s="30" t="s">
        <v>70</v>
      </c>
      <c r="I1346" s="29" t="s">
        <v>257</v>
      </c>
      <c r="J1346" s="29" t="s">
        <v>205</v>
      </c>
      <c r="K1346" s="30" t="s">
        <v>205</v>
      </c>
      <c r="L1346" s="29" t="str">
        <f t="shared" si="20"/>
        <v>KAMPALA-HOIMA</v>
      </c>
      <c r="M1346" s="31">
        <v>67</v>
      </c>
      <c r="N1346" s="72">
        <v>15000</v>
      </c>
      <c r="O1346" s="34">
        <v>3.8</v>
      </c>
    </row>
    <row r="1347" spans="2:15" x14ac:dyDescent="0.2">
      <c r="B1347" s="27">
        <v>0.66666666666666663</v>
      </c>
      <c r="C1347" s="28">
        <v>6</v>
      </c>
      <c r="D1347" s="33" t="str">
        <f>IF(C1347="", "",VLOOKUP(C1347,Key!$A$5:$B$7,2,FALSE))</f>
        <v>Large Bus</v>
      </c>
      <c r="E1347" s="29" t="s">
        <v>228</v>
      </c>
      <c r="F1347" s="29" t="s">
        <v>66</v>
      </c>
      <c r="G1347" s="29" t="s">
        <v>99</v>
      </c>
      <c r="H1347" s="30" t="s">
        <v>70</v>
      </c>
      <c r="I1347" s="29" t="s">
        <v>257</v>
      </c>
      <c r="J1347" s="29" t="s">
        <v>205</v>
      </c>
      <c r="K1347" s="30" t="s">
        <v>205</v>
      </c>
      <c r="L1347" s="29" t="str">
        <f t="shared" si="20"/>
        <v>KAMPALA-HOIMA</v>
      </c>
      <c r="M1347" s="31">
        <v>67</v>
      </c>
      <c r="N1347" s="72">
        <v>15000</v>
      </c>
      <c r="O1347" s="34">
        <v>3.8</v>
      </c>
    </row>
    <row r="1348" spans="2:15" x14ac:dyDescent="0.2">
      <c r="B1348" s="27">
        <v>16.5</v>
      </c>
      <c r="C1348" s="28">
        <v>6</v>
      </c>
      <c r="D1348" s="33" t="str">
        <f>IF(C1348="", "",VLOOKUP(C1348,Key!$A$5:$B$7,2,FALSE))</f>
        <v>Large Bus</v>
      </c>
      <c r="E1348" s="29" t="s">
        <v>228</v>
      </c>
      <c r="F1348" s="29" t="s">
        <v>66</v>
      </c>
      <c r="G1348" s="29" t="s">
        <v>99</v>
      </c>
      <c r="H1348" s="30" t="s">
        <v>70</v>
      </c>
      <c r="I1348" s="29" t="s">
        <v>257</v>
      </c>
      <c r="J1348" s="29" t="s">
        <v>205</v>
      </c>
      <c r="K1348" s="30" t="s">
        <v>205</v>
      </c>
      <c r="L1348" s="29" t="str">
        <f t="shared" si="20"/>
        <v>KAMPALA-HOIMA</v>
      </c>
      <c r="M1348" s="31">
        <v>67</v>
      </c>
      <c r="N1348" s="72">
        <v>15000</v>
      </c>
      <c r="O1348" s="34">
        <v>3.8</v>
      </c>
    </row>
    <row r="1349" spans="2:15" x14ac:dyDescent="0.2">
      <c r="B1349" s="27">
        <v>0.54583333333333328</v>
      </c>
      <c r="C1349" s="28">
        <v>6</v>
      </c>
      <c r="D1349" s="33" t="str">
        <f>IF(C1349="", "",VLOOKUP(C1349,Key!$A$5:$B$7,2,FALSE))</f>
        <v>Large Bus</v>
      </c>
      <c r="E1349" s="29" t="s">
        <v>228</v>
      </c>
      <c r="F1349" s="29" t="s">
        <v>66</v>
      </c>
      <c r="G1349" s="29" t="s">
        <v>99</v>
      </c>
      <c r="H1349" s="30" t="s">
        <v>70</v>
      </c>
      <c r="I1349" s="29" t="s">
        <v>257</v>
      </c>
      <c r="J1349" s="29" t="s">
        <v>205</v>
      </c>
      <c r="K1349" s="30" t="s">
        <v>205</v>
      </c>
      <c r="L1349" s="29" t="str">
        <f t="shared" si="20"/>
        <v>KAMPALA-HOIMA</v>
      </c>
      <c r="M1349" s="31">
        <v>67</v>
      </c>
      <c r="N1349" s="72">
        <v>15000</v>
      </c>
      <c r="O1349" s="34">
        <v>3.8</v>
      </c>
    </row>
    <row r="1350" spans="2:15" x14ac:dyDescent="0.2">
      <c r="B1350" s="27">
        <v>0.71597222222222223</v>
      </c>
      <c r="C1350" s="28">
        <v>6</v>
      </c>
      <c r="D1350" s="33" t="str">
        <f>IF(C1350="", "",VLOOKUP(C1350,Key!$A$5:$B$7,2,FALSE))</f>
        <v>Large Bus</v>
      </c>
      <c r="E1350" s="29" t="s">
        <v>228</v>
      </c>
      <c r="F1350" s="29" t="s">
        <v>66</v>
      </c>
      <c r="G1350" s="29" t="s">
        <v>99</v>
      </c>
      <c r="H1350" s="30" t="s">
        <v>70</v>
      </c>
      <c r="I1350" s="29" t="s">
        <v>257</v>
      </c>
      <c r="J1350" s="29" t="s">
        <v>205</v>
      </c>
      <c r="K1350" s="30" t="s">
        <v>205</v>
      </c>
      <c r="L1350" s="29" t="str">
        <f t="shared" si="20"/>
        <v>KAMPALA-HOIMA</v>
      </c>
      <c r="M1350" s="31">
        <v>67</v>
      </c>
      <c r="N1350" s="72">
        <v>15000</v>
      </c>
      <c r="O1350" s="34">
        <v>3.8</v>
      </c>
    </row>
    <row r="1351" spans="2:15" x14ac:dyDescent="0.2">
      <c r="B1351" s="27">
        <v>0.73611111111111116</v>
      </c>
      <c r="C1351" s="28">
        <v>6</v>
      </c>
      <c r="D1351" s="33" t="str">
        <f>IF(C1351="", "",VLOOKUP(C1351,Key!$A$5:$B$7,2,FALSE))</f>
        <v>Large Bus</v>
      </c>
      <c r="E1351" s="29" t="s">
        <v>228</v>
      </c>
      <c r="F1351" s="29" t="s">
        <v>66</v>
      </c>
      <c r="G1351" s="29" t="s">
        <v>99</v>
      </c>
      <c r="H1351" s="30" t="s">
        <v>70</v>
      </c>
      <c r="I1351" s="29" t="s">
        <v>257</v>
      </c>
      <c r="J1351" s="29" t="s">
        <v>205</v>
      </c>
      <c r="K1351" s="30" t="s">
        <v>205</v>
      </c>
      <c r="L1351" s="29" t="str">
        <f t="shared" si="20"/>
        <v>KAMPALA-HOIMA</v>
      </c>
      <c r="M1351" s="31">
        <v>67</v>
      </c>
      <c r="N1351" s="72">
        <v>15000</v>
      </c>
      <c r="O1351" s="34">
        <v>3.8</v>
      </c>
    </row>
    <row r="1352" spans="2:15" x14ac:dyDescent="0.2">
      <c r="B1352" s="27">
        <v>0.27777777777777779</v>
      </c>
      <c r="C1352" s="28">
        <v>6</v>
      </c>
      <c r="D1352" s="33" t="str">
        <f>IF(C1352="", "",VLOOKUP(C1352,Key!$A$5:$B$7,2,FALSE))</f>
        <v>Large Bus</v>
      </c>
      <c r="E1352" s="29" t="s">
        <v>228</v>
      </c>
      <c r="F1352" s="29" t="s">
        <v>66</v>
      </c>
      <c r="G1352" s="29" t="s">
        <v>99</v>
      </c>
      <c r="H1352" s="30" t="s">
        <v>70</v>
      </c>
      <c r="I1352" s="29" t="s">
        <v>257</v>
      </c>
      <c r="J1352" s="29" t="s">
        <v>205</v>
      </c>
      <c r="K1352" s="30" t="s">
        <v>205</v>
      </c>
      <c r="L1352" s="29" t="str">
        <f t="shared" si="20"/>
        <v>KAMPALA-HOIMA</v>
      </c>
      <c r="M1352" s="31">
        <v>67</v>
      </c>
      <c r="N1352" s="72">
        <v>15000</v>
      </c>
      <c r="O1352" s="34">
        <v>3.8</v>
      </c>
    </row>
    <row r="1353" spans="2:15" x14ac:dyDescent="0.2">
      <c r="B1353" s="27">
        <v>0.28055555555555556</v>
      </c>
      <c r="C1353" s="28">
        <v>6</v>
      </c>
      <c r="D1353" s="33" t="str">
        <f>IF(C1353="", "",VLOOKUP(C1353,Key!$A$5:$B$7,2,FALSE))</f>
        <v>Large Bus</v>
      </c>
      <c r="E1353" s="29" t="s">
        <v>228</v>
      </c>
      <c r="F1353" s="29" t="s">
        <v>66</v>
      </c>
      <c r="G1353" s="29" t="s">
        <v>99</v>
      </c>
      <c r="H1353" s="30" t="s">
        <v>70</v>
      </c>
      <c r="I1353" s="29" t="s">
        <v>257</v>
      </c>
      <c r="J1353" s="29" t="s">
        <v>205</v>
      </c>
      <c r="K1353" s="30" t="s">
        <v>205</v>
      </c>
      <c r="L1353" s="29" t="str">
        <f t="shared" si="20"/>
        <v>KAMPALA-HOIMA</v>
      </c>
      <c r="M1353" s="31">
        <v>67</v>
      </c>
      <c r="N1353" s="72">
        <v>15000</v>
      </c>
      <c r="O1353" s="34">
        <v>3.8</v>
      </c>
    </row>
    <row r="1354" spans="2:15" x14ac:dyDescent="0.2">
      <c r="B1354" s="27">
        <v>0.33680555555555558</v>
      </c>
      <c r="C1354" s="28">
        <v>6</v>
      </c>
      <c r="D1354" s="33" t="str">
        <f>IF(C1354="", "",VLOOKUP(C1354,Key!$A$5:$B$7,2,FALSE))</f>
        <v>Large Bus</v>
      </c>
      <c r="E1354" s="29" t="s">
        <v>228</v>
      </c>
      <c r="F1354" s="29" t="s">
        <v>66</v>
      </c>
      <c r="G1354" s="29" t="s">
        <v>208</v>
      </c>
      <c r="H1354" s="30" t="s">
        <v>207</v>
      </c>
      <c r="I1354" s="29" t="s">
        <v>257</v>
      </c>
      <c r="J1354" s="29" t="s">
        <v>99</v>
      </c>
      <c r="K1354" s="30" t="s">
        <v>70</v>
      </c>
      <c r="L1354" s="29" t="str">
        <f t="shared" ref="L1354:L1417" si="21">H1354&amp;"-"&amp;K1354</f>
        <v>KASESE-KAMPALA</v>
      </c>
      <c r="M1354" s="31">
        <v>65</v>
      </c>
      <c r="N1354" s="72">
        <v>30000</v>
      </c>
      <c r="O1354" s="34">
        <v>7</v>
      </c>
    </row>
    <row r="1355" spans="2:15" x14ac:dyDescent="0.2">
      <c r="B1355" s="27">
        <v>0.375</v>
      </c>
      <c r="C1355" s="28">
        <v>6</v>
      </c>
      <c r="D1355" s="33" t="str">
        <f>IF(C1355="", "",VLOOKUP(C1355,Key!$A$5:$B$7,2,FALSE))</f>
        <v>Large Bus</v>
      </c>
      <c r="E1355" s="29" t="s">
        <v>228</v>
      </c>
      <c r="F1355" s="29" t="s">
        <v>66</v>
      </c>
      <c r="G1355" s="29" t="s">
        <v>205</v>
      </c>
      <c r="H1355" s="30" t="s">
        <v>205</v>
      </c>
      <c r="I1355" s="29" t="s">
        <v>257</v>
      </c>
      <c r="J1355" s="29" t="s">
        <v>99</v>
      </c>
      <c r="K1355" s="30" t="s">
        <v>70</v>
      </c>
      <c r="L1355" s="29" t="str">
        <f t="shared" si="21"/>
        <v>HOIMA-KAMPALA</v>
      </c>
      <c r="M1355" s="31">
        <v>65</v>
      </c>
      <c r="N1355" s="72">
        <v>15000</v>
      </c>
      <c r="O1355" s="34">
        <v>3.8</v>
      </c>
    </row>
    <row r="1356" spans="2:15" x14ac:dyDescent="0.2">
      <c r="B1356" s="27">
        <v>0.38472222222222219</v>
      </c>
      <c r="C1356" s="28">
        <v>6</v>
      </c>
      <c r="D1356" s="33" t="str">
        <f>IF(C1356="", "",VLOOKUP(C1356,Key!$A$5:$B$7,2,FALSE))</f>
        <v>Large Bus</v>
      </c>
      <c r="E1356" s="29" t="s">
        <v>228</v>
      </c>
      <c r="F1356" s="29" t="s">
        <v>66</v>
      </c>
      <c r="G1356" s="29" t="s">
        <v>207</v>
      </c>
      <c r="H1356" s="30" t="s">
        <v>207</v>
      </c>
      <c r="I1356" s="29" t="s">
        <v>257</v>
      </c>
      <c r="J1356" s="29" t="s">
        <v>99</v>
      </c>
      <c r="K1356" s="30" t="s">
        <v>70</v>
      </c>
      <c r="L1356" s="29" t="str">
        <f t="shared" si="21"/>
        <v>KASESE-KAMPALA</v>
      </c>
      <c r="M1356" s="31">
        <v>65</v>
      </c>
      <c r="N1356" s="72">
        <v>30000</v>
      </c>
      <c r="O1356" s="34">
        <v>7</v>
      </c>
    </row>
    <row r="1357" spans="2:15" x14ac:dyDescent="0.2">
      <c r="B1357" s="27">
        <v>0.40625</v>
      </c>
      <c r="C1357" s="28">
        <v>6</v>
      </c>
      <c r="D1357" s="33" t="str">
        <f>IF(C1357="", "",VLOOKUP(C1357,Key!$A$5:$B$7,2,FALSE))</f>
        <v>Large Bus</v>
      </c>
      <c r="E1357" s="29" t="s">
        <v>228</v>
      </c>
      <c r="F1357" s="29" t="s">
        <v>66</v>
      </c>
      <c r="G1357" s="29" t="s">
        <v>206</v>
      </c>
      <c r="H1357" s="30" t="s">
        <v>206</v>
      </c>
      <c r="I1357" s="29" t="s">
        <v>257</v>
      </c>
      <c r="J1357" s="29" t="s">
        <v>99</v>
      </c>
      <c r="K1357" s="30" t="s">
        <v>70</v>
      </c>
      <c r="L1357" s="29" t="str">
        <f t="shared" si="21"/>
        <v>MASINDI-KAMPALA</v>
      </c>
      <c r="M1357" s="31">
        <v>46</v>
      </c>
      <c r="N1357" s="72">
        <v>12000</v>
      </c>
      <c r="O1357" s="34">
        <v>3.25</v>
      </c>
    </row>
    <row r="1358" spans="2:15" x14ac:dyDescent="0.2">
      <c r="B1358" s="27">
        <v>0.4236111111111111</v>
      </c>
      <c r="C1358" s="28">
        <v>6</v>
      </c>
      <c r="D1358" s="33" t="str">
        <f>IF(C1358="", "",VLOOKUP(C1358,Key!$A$5:$B$7,2,FALSE))</f>
        <v>Large Bus</v>
      </c>
      <c r="E1358" s="29" t="s">
        <v>228</v>
      </c>
      <c r="F1358" s="29" t="s">
        <v>66</v>
      </c>
      <c r="G1358" s="29" t="s">
        <v>205</v>
      </c>
      <c r="H1358" s="30" t="s">
        <v>205</v>
      </c>
      <c r="I1358" s="29" t="s">
        <v>257</v>
      </c>
      <c r="J1358" s="29" t="s">
        <v>99</v>
      </c>
      <c r="K1358" s="30" t="s">
        <v>70</v>
      </c>
      <c r="L1358" s="29" t="str">
        <f t="shared" si="21"/>
        <v>HOIMA-KAMPALA</v>
      </c>
      <c r="M1358" s="31">
        <v>65</v>
      </c>
      <c r="N1358" s="72">
        <v>15000</v>
      </c>
      <c r="O1358" s="34">
        <v>3.8</v>
      </c>
    </row>
    <row r="1359" spans="2:15" x14ac:dyDescent="0.2">
      <c r="B1359" s="27">
        <v>0.4375</v>
      </c>
      <c r="C1359" s="28">
        <v>6</v>
      </c>
      <c r="D1359" s="33" t="str">
        <f>IF(C1359="", "",VLOOKUP(C1359,Key!$A$5:$B$7,2,FALSE))</f>
        <v>Large Bus</v>
      </c>
      <c r="E1359" s="29" t="s">
        <v>228</v>
      </c>
      <c r="F1359" s="29" t="s">
        <v>66</v>
      </c>
      <c r="G1359" s="29" t="s">
        <v>207</v>
      </c>
      <c r="H1359" s="30" t="s">
        <v>207</v>
      </c>
      <c r="I1359" s="29" t="s">
        <v>257</v>
      </c>
      <c r="J1359" s="29" t="s">
        <v>99</v>
      </c>
      <c r="K1359" s="30" t="s">
        <v>70</v>
      </c>
      <c r="L1359" s="29" t="str">
        <f t="shared" si="21"/>
        <v>KASESE-KAMPALA</v>
      </c>
      <c r="M1359" s="31">
        <v>65</v>
      </c>
      <c r="N1359" s="72">
        <v>30000</v>
      </c>
      <c r="O1359" s="34">
        <v>7</v>
      </c>
    </row>
    <row r="1360" spans="2:15" x14ac:dyDescent="0.2">
      <c r="B1360" s="27">
        <v>0.44513888888888892</v>
      </c>
      <c r="C1360" s="28">
        <v>6</v>
      </c>
      <c r="D1360" s="33" t="str">
        <f>IF(C1360="", "",VLOOKUP(C1360,Key!$A$5:$B$7,2,FALSE))</f>
        <v>Large Bus</v>
      </c>
      <c r="E1360" s="29" t="s">
        <v>228</v>
      </c>
      <c r="F1360" s="29" t="s">
        <v>66</v>
      </c>
      <c r="G1360" s="29" t="s">
        <v>208</v>
      </c>
      <c r="H1360" s="30" t="s">
        <v>207</v>
      </c>
      <c r="I1360" s="29" t="s">
        <v>257</v>
      </c>
      <c r="J1360" s="29" t="s">
        <v>99</v>
      </c>
      <c r="K1360" s="30" t="s">
        <v>70</v>
      </c>
      <c r="L1360" s="29" t="str">
        <f t="shared" si="21"/>
        <v>KASESE-KAMPALA</v>
      </c>
      <c r="M1360" s="31">
        <v>50</v>
      </c>
      <c r="N1360" s="72">
        <v>30000</v>
      </c>
      <c r="O1360" s="34">
        <v>7</v>
      </c>
    </row>
    <row r="1361" spans="2:15" x14ac:dyDescent="0.2">
      <c r="B1361" s="27">
        <v>0.52916666666666667</v>
      </c>
      <c r="C1361" s="28">
        <v>6</v>
      </c>
      <c r="D1361" s="33" t="str">
        <f>IF(C1361="", "",VLOOKUP(C1361,Key!$A$5:$B$7,2,FALSE))</f>
        <v>Large Bus</v>
      </c>
      <c r="E1361" s="29" t="s">
        <v>228</v>
      </c>
      <c r="F1361" s="29" t="s">
        <v>66</v>
      </c>
      <c r="G1361" s="29" t="s">
        <v>207</v>
      </c>
      <c r="H1361" s="30" t="s">
        <v>207</v>
      </c>
      <c r="I1361" s="29" t="s">
        <v>257</v>
      </c>
      <c r="J1361" s="29" t="s">
        <v>99</v>
      </c>
      <c r="K1361" s="30" t="s">
        <v>70</v>
      </c>
      <c r="L1361" s="29" t="str">
        <f t="shared" si="21"/>
        <v>KASESE-KAMPALA</v>
      </c>
      <c r="M1361" s="31">
        <v>65</v>
      </c>
      <c r="N1361" s="72">
        <v>30000</v>
      </c>
      <c r="O1361" s="34">
        <v>7</v>
      </c>
    </row>
    <row r="1362" spans="2:15" x14ac:dyDescent="0.2">
      <c r="B1362" s="27">
        <v>5.8333333333333327E-2</v>
      </c>
      <c r="C1362" s="28">
        <v>6</v>
      </c>
      <c r="D1362" s="33" t="str">
        <f>IF(C1362="", "",VLOOKUP(C1362,Key!$A$5:$B$7,2,FALSE))</f>
        <v>Large Bus</v>
      </c>
      <c r="E1362" s="29" t="s">
        <v>228</v>
      </c>
      <c r="F1362" s="29" t="s">
        <v>66</v>
      </c>
      <c r="G1362" s="29" t="s">
        <v>207</v>
      </c>
      <c r="H1362" s="30" t="s">
        <v>207</v>
      </c>
      <c r="I1362" s="29" t="s">
        <v>257</v>
      </c>
      <c r="J1362" s="29" t="s">
        <v>99</v>
      </c>
      <c r="K1362" s="30" t="s">
        <v>70</v>
      </c>
      <c r="L1362" s="29" t="str">
        <f t="shared" si="21"/>
        <v>KASESE-KAMPALA</v>
      </c>
      <c r="M1362" s="31">
        <v>60</v>
      </c>
      <c r="N1362" s="72">
        <v>30000</v>
      </c>
      <c r="O1362" s="34">
        <v>7</v>
      </c>
    </row>
    <row r="1363" spans="2:15" x14ac:dyDescent="0.2">
      <c r="B1363" s="27">
        <v>0.11388888888888889</v>
      </c>
      <c r="C1363" s="28">
        <v>6</v>
      </c>
      <c r="D1363" s="33" t="str">
        <f>IF(C1363="", "",VLOOKUP(C1363,Key!$A$5:$B$7,2,FALSE))</f>
        <v>Large Bus</v>
      </c>
      <c r="E1363" s="29" t="s">
        <v>228</v>
      </c>
      <c r="F1363" s="29" t="s">
        <v>66</v>
      </c>
      <c r="G1363" s="29" t="s">
        <v>209</v>
      </c>
      <c r="H1363" s="30" t="s">
        <v>209</v>
      </c>
      <c r="I1363" s="29" t="s">
        <v>257</v>
      </c>
      <c r="J1363" s="29" t="s">
        <v>99</v>
      </c>
      <c r="K1363" s="30" t="s">
        <v>70</v>
      </c>
      <c r="L1363" s="29" t="str">
        <f t="shared" si="21"/>
        <v>BUNDIBUGYO-KAMPALA</v>
      </c>
      <c r="M1363" s="31">
        <v>65</v>
      </c>
      <c r="N1363" s="72">
        <v>23000</v>
      </c>
      <c r="O1363" s="34">
        <v>6.25</v>
      </c>
    </row>
    <row r="1364" spans="2:15" x14ac:dyDescent="0.2">
      <c r="B1364" s="27">
        <v>0.15763888888888888</v>
      </c>
      <c r="C1364" s="28">
        <v>6</v>
      </c>
      <c r="D1364" s="33" t="str">
        <f>IF(C1364="", "",VLOOKUP(C1364,Key!$A$5:$B$7,2,FALSE))</f>
        <v>Large Bus</v>
      </c>
      <c r="E1364" s="29" t="s">
        <v>228</v>
      </c>
      <c r="F1364" s="29" t="s">
        <v>66</v>
      </c>
      <c r="G1364" s="29" t="s">
        <v>207</v>
      </c>
      <c r="H1364" s="30" t="s">
        <v>207</v>
      </c>
      <c r="I1364" s="29" t="s">
        <v>257</v>
      </c>
      <c r="J1364" s="29" t="s">
        <v>99</v>
      </c>
      <c r="K1364" s="30" t="s">
        <v>70</v>
      </c>
      <c r="L1364" s="29" t="str">
        <f t="shared" si="21"/>
        <v>KASESE-KAMPALA</v>
      </c>
      <c r="M1364" s="31">
        <v>65</v>
      </c>
      <c r="N1364" s="72">
        <v>30000</v>
      </c>
      <c r="O1364" s="34">
        <v>7</v>
      </c>
    </row>
    <row r="1365" spans="2:15" x14ac:dyDescent="0.2">
      <c r="B1365" s="27">
        <v>0.20347222222222219</v>
      </c>
      <c r="C1365" s="28">
        <v>6</v>
      </c>
      <c r="D1365" s="33" t="str">
        <f>IF(C1365="", "",VLOOKUP(C1365,Key!$A$5:$B$7,2,FALSE))</f>
        <v>Large Bus</v>
      </c>
      <c r="E1365" s="29" t="s">
        <v>228</v>
      </c>
      <c r="F1365" s="29" t="s">
        <v>66</v>
      </c>
      <c r="G1365" s="29" t="s">
        <v>207</v>
      </c>
      <c r="H1365" s="30" t="s">
        <v>207</v>
      </c>
      <c r="I1365" s="29" t="s">
        <v>257</v>
      </c>
      <c r="J1365" s="29" t="s">
        <v>99</v>
      </c>
      <c r="K1365" s="30" t="s">
        <v>70</v>
      </c>
      <c r="L1365" s="29" t="str">
        <f t="shared" si="21"/>
        <v>KASESE-KAMPALA</v>
      </c>
      <c r="M1365" s="31">
        <v>60</v>
      </c>
      <c r="N1365" s="72">
        <v>30000</v>
      </c>
      <c r="O1365" s="34">
        <v>7</v>
      </c>
    </row>
    <row r="1366" spans="2:15" x14ac:dyDescent="0.2">
      <c r="B1366" s="27">
        <v>0.20416666666666669</v>
      </c>
      <c r="C1366" s="28">
        <v>6</v>
      </c>
      <c r="D1366" s="33" t="str">
        <f>IF(C1366="", "",VLOOKUP(C1366,Key!$A$5:$B$7,2,FALSE))</f>
        <v>Large Bus</v>
      </c>
      <c r="E1366" s="29" t="s">
        <v>228</v>
      </c>
      <c r="F1366" s="29" t="s">
        <v>66</v>
      </c>
      <c r="G1366" s="29" t="s">
        <v>208</v>
      </c>
      <c r="H1366" s="30" t="s">
        <v>207</v>
      </c>
      <c r="I1366" s="29" t="s">
        <v>257</v>
      </c>
      <c r="J1366" s="29" t="s">
        <v>99</v>
      </c>
      <c r="K1366" s="30" t="s">
        <v>70</v>
      </c>
      <c r="L1366" s="29" t="str">
        <f t="shared" si="21"/>
        <v>KASESE-KAMPALA</v>
      </c>
      <c r="M1366" s="31">
        <v>65</v>
      </c>
      <c r="N1366" s="72">
        <v>30000</v>
      </c>
      <c r="O1366" s="34">
        <v>7</v>
      </c>
    </row>
    <row r="1367" spans="2:15" x14ac:dyDescent="0.2">
      <c r="B1367" s="45" t="s">
        <v>221</v>
      </c>
      <c r="C1367" s="47"/>
      <c r="D1367" s="33" t="str">
        <f>IF(C1367="", "",VLOOKUP(C1367,Key!$A$5:$B$7,2,FALSE))</f>
        <v/>
      </c>
      <c r="E1367" s="44" t="s">
        <v>228</v>
      </c>
      <c r="F1367" s="48"/>
      <c r="G1367" s="47"/>
      <c r="H1367" s="47"/>
      <c r="I1367" s="47" t="s">
        <v>257</v>
      </c>
      <c r="J1367" s="47"/>
      <c r="K1367" s="47"/>
      <c r="L1367" s="47" t="str">
        <f t="shared" si="21"/>
        <v>-</v>
      </c>
      <c r="M1367" s="47"/>
      <c r="N1367" s="48"/>
      <c r="O1367" s="48"/>
    </row>
    <row r="1368" spans="2:15" x14ac:dyDescent="0.2">
      <c r="B1368" s="27">
        <v>0.11666666666666665</v>
      </c>
      <c r="C1368" s="28">
        <v>6</v>
      </c>
      <c r="D1368" s="33" t="str">
        <f>IF(C1368="", "",VLOOKUP(C1368,Key!$A$5:$B$7,2,FALSE))</f>
        <v>Large Bus</v>
      </c>
      <c r="E1368" s="29" t="s">
        <v>228</v>
      </c>
      <c r="F1368" s="29" t="s">
        <v>67</v>
      </c>
      <c r="G1368" s="29" t="s">
        <v>99</v>
      </c>
      <c r="H1368" s="30" t="s">
        <v>70</v>
      </c>
      <c r="I1368" s="29" t="s">
        <v>257</v>
      </c>
      <c r="J1368" s="29" t="s">
        <v>205</v>
      </c>
      <c r="K1368" s="30" t="s">
        <v>205</v>
      </c>
      <c r="L1368" s="29" t="str">
        <f t="shared" si="21"/>
        <v>KAMPALA-HOIMA</v>
      </c>
      <c r="M1368" s="31">
        <v>68</v>
      </c>
      <c r="N1368" s="72">
        <v>15000</v>
      </c>
      <c r="O1368" s="34">
        <v>3.8</v>
      </c>
    </row>
    <row r="1369" spans="2:15" x14ac:dyDescent="0.2">
      <c r="B1369" s="27">
        <v>0.12361111111111112</v>
      </c>
      <c r="C1369" s="28">
        <v>6</v>
      </c>
      <c r="D1369" s="33" t="str">
        <f>IF(C1369="", "",VLOOKUP(C1369,Key!$A$5:$B$7,2,FALSE))</f>
        <v>Large Bus</v>
      </c>
      <c r="E1369" s="29" t="s">
        <v>228</v>
      </c>
      <c r="F1369" s="29" t="s">
        <v>67</v>
      </c>
      <c r="G1369" s="29" t="s">
        <v>99</v>
      </c>
      <c r="H1369" s="30" t="s">
        <v>70</v>
      </c>
      <c r="I1369" s="29" t="s">
        <v>257</v>
      </c>
      <c r="J1369" s="29" t="s">
        <v>206</v>
      </c>
      <c r="K1369" s="30" t="s">
        <v>206</v>
      </c>
      <c r="L1369" s="29" t="str">
        <f t="shared" si="21"/>
        <v>KAMPALA-MASINDI</v>
      </c>
      <c r="M1369" s="31">
        <v>65</v>
      </c>
      <c r="N1369" s="72">
        <v>15000</v>
      </c>
      <c r="O1369" s="34">
        <v>3.25</v>
      </c>
    </row>
    <row r="1370" spans="2:15" x14ac:dyDescent="0.2">
      <c r="B1370" s="27">
        <v>0.13333333333333333</v>
      </c>
      <c r="C1370" s="28">
        <v>6</v>
      </c>
      <c r="D1370" s="33" t="str">
        <f>IF(C1370="", "",VLOOKUP(C1370,Key!$A$5:$B$7,2,FALSE))</f>
        <v>Large Bus</v>
      </c>
      <c r="E1370" s="29" t="s">
        <v>228</v>
      </c>
      <c r="F1370" s="29" t="s">
        <v>67</v>
      </c>
      <c r="G1370" s="29" t="s">
        <v>99</v>
      </c>
      <c r="H1370" s="30" t="s">
        <v>70</v>
      </c>
      <c r="I1370" s="29" t="s">
        <v>257</v>
      </c>
      <c r="J1370" s="29" t="s">
        <v>207</v>
      </c>
      <c r="K1370" s="30" t="s">
        <v>207</v>
      </c>
      <c r="L1370" s="29" t="str">
        <f t="shared" si="21"/>
        <v>KAMPALA-KASESE</v>
      </c>
      <c r="M1370" s="31">
        <v>67</v>
      </c>
      <c r="N1370" s="72">
        <v>35000</v>
      </c>
      <c r="O1370" s="34">
        <v>7</v>
      </c>
    </row>
    <row r="1371" spans="2:15" x14ac:dyDescent="0.2">
      <c r="B1371" s="27">
        <v>0.16597222222222222</v>
      </c>
      <c r="C1371" s="28">
        <v>6</v>
      </c>
      <c r="D1371" s="33" t="str">
        <f>IF(C1371="", "",VLOOKUP(C1371,Key!$A$5:$B$7,2,FALSE))</f>
        <v>Large Bus</v>
      </c>
      <c r="E1371" s="29" t="s">
        <v>228</v>
      </c>
      <c r="F1371" s="29" t="s">
        <v>67</v>
      </c>
      <c r="G1371" s="29" t="s">
        <v>99</v>
      </c>
      <c r="H1371" s="30" t="s">
        <v>70</v>
      </c>
      <c r="I1371" s="29" t="s">
        <v>257</v>
      </c>
      <c r="J1371" s="29" t="s">
        <v>207</v>
      </c>
      <c r="K1371" s="30" t="s">
        <v>207</v>
      </c>
      <c r="L1371" s="29" t="str">
        <f t="shared" si="21"/>
        <v>KAMPALA-KASESE</v>
      </c>
      <c r="M1371" s="31">
        <v>65</v>
      </c>
      <c r="N1371" s="72">
        <v>35000</v>
      </c>
      <c r="O1371" s="34">
        <v>7</v>
      </c>
    </row>
    <row r="1372" spans="2:15" x14ac:dyDescent="0.2">
      <c r="B1372" s="27">
        <v>0.1763888888888889</v>
      </c>
      <c r="C1372" s="28">
        <v>6</v>
      </c>
      <c r="D1372" s="33" t="str">
        <f>IF(C1372="", "",VLOOKUP(C1372,Key!$A$5:$B$7,2,FALSE))</f>
        <v>Large Bus</v>
      </c>
      <c r="E1372" s="29" t="s">
        <v>228</v>
      </c>
      <c r="F1372" s="29" t="s">
        <v>67</v>
      </c>
      <c r="G1372" s="29" t="s">
        <v>99</v>
      </c>
      <c r="H1372" s="30" t="s">
        <v>70</v>
      </c>
      <c r="I1372" s="29" t="s">
        <v>257</v>
      </c>
      <c r="J1372" s="29" t="s">
        <v>206</v>
      </c>
      <c r="K1372" s="30" t="s">
        <v>206</v>
      </c>
      <c r="L1372" s="29" t="str">
        <f t="shared" si="21"/>
        <v>KAMPALA-MASINDI</v>
      </c>
      <c r="M1372" s="31">
        <v>67</v>
      </c>
      <c r="N1372" s="72">
        <v>15000</v>
      </c>
      <c r="O1372" s="34">
        <v>3.25</v>
      </c>
    </row>
    <row r="1373" spans="2:15" x14ac:dyDescent="0.2">
      <c r="B1373" s="27">
        <v>0.17777777777777778</v>
      </c>
      <c r="C1373" s="28">
        <v>6</v>
      </c>
      <c r="D1373" s="33" t="str">
        <f>IF(C1373="", "",VLOOKUP(C1373,Key!$A$5:$B$7,2,FALSE))</f>
        <v>Large Bus</v>
      </c>
      <c r="E1373" s="29" t="s">
        <v>228</v>
      </c>
      <c r="F1373" s="29" t="s">
        <v>67</v>
      </c>
      <c r="G1373" s="29" t="s">
        <v>99</v>
      </c>
      <c r="H1373" s="30" t="s">
        <v>70</v>
      </c>
      <c r="I1373" s="29" t="s">
        <v>257</v>
      </c>
      <c r="J1373" s="29" t="s">
        <v>205</v>
      </c>
      <c r="K1373" s="30" t="s">
        <v>205</v>
      </c>
      <c r="L1373" s="29" t="str">
        <f t="shared" si="21"/>
        <v>KAMPALA-HOIMA</v>
      </c>
      <c r="M1373" s="31">
        <v>67</v>
      </c>
      <c r="N1373" s="72">
        <v>15000</v>
      </c>
      <c r="O1373" s="34">
        <v>3.8</v>
      </c>
    </row>
    <row r="1374" spans="2:15" x14ac:dyDescent="0.2">
      <c r="B1374" s="27">
        <v>0.19444444444444445</v>
      </c>
      <c r="C1374" s="28">
        <v>6</v>
      </c>
      <c r="D1374" s="33" t="str">
        <f>IF(C1374="", "",VLOOKUP(C1374,Key!$A$5:$B$7,2,FALSE))</f>
        <v>Large Bus</v>
      </c>
      <c r="E1374" s="29" t="s">
        <v>228</v>
      </c>
      <c r="F1374" s="29" t="s">
        <v>67</v>
      </c>
      <c r="G1374" s="29" t="s">
        <v>99</v>
      </c>
      <c r="H1374" s="30" t="s">
        <v>70</v>
      </c>
      <c r="I1374" s="29" t="s">
        <v>257</v>
      </c>
      <c r="J1374" s="29" t="s">
        <v>207</v>
      </c>
      <c r="K1374" s="30" t="s">
        <v>207</v>
      </c>
      <c r="L1374" s="29" t="str">
        <f t="shared" si="21"/>
        <v>KAMPALA-KASESE</v>
      </c>
      <c r="M1374" s="31">
        <v>67</v>
      </c>
      <c r="N1374" s="72">
        <v>35000</v>
      </c>
      <c r="O1374" s="34">
        <v>7</v>
      </c>
    </row>
    <row r="1375" spans="2:15" x14ac:dyDescent="0.2">
      <c r="B1375" s="27">
        <v>0.22222222222222221</v>
      </c>
      <c r="C1375" s="28">
        <v>6</v>
      </c>
      <c r="D1375" s="33" t="str">
        <f>IF(C1375="", "",VLOOKUP(C1375,Key!$A$5:$B$7,2,FALSE))</f>
        <v>Large Bus</v>
      </c>
      <c r="E1375" s="29" t="s">
        <v>228</v>
      </c>
      <c r="F1375" s="29" t="s">
        <v>67</v>
      </c>
      <c r="G1375" s="29" t="s">
        <v>99</v>
      </c>
      <c r="H1375" s="30" t="s">
        <v>70</v>
      </c>
      <c r="I1375" s="29" t="s">
        <v>257</v>
      </c>
      <c r="J1375" s="29" t="s">
        <v>207</v>
      </c>
      <c r="K1375" s="30" t="s">
        <v>207</v>
      </c>
      <c r="L1375" s="29" t="str">
        <f t="shared" si="21"/>
        <v>KAMPALA-KASESE</v>
      </c>
      <c r="M1375" s="31">
        <v>67</v>
      </c>
      <c r="N1375" s="72">
        <v>35000</v>
      </c>
      <c r="O1375" s="34">
        <v>7</v>
      </c>
    </row>
    <row r="1376" spans="2:15" x14ac:dyDescent="0.2">
      <c r="B1376" s="27">
        <v>0.24861111111111112</v>
      </c>
      <c r="C1376" s="28">
        <v>6</v>
      </c>
      <c r="D1376" s="33" t="str">
        <f>IF(C1376="", "",VLOOKUP(C1376,Key!$A$5:$B$7,2,FALSE))</f>
        <v>Large Bus</v>
      </c>
      <c r="E1376" s="29" t="s">
        <v>228</v>
      </c>
      <c r="F1376" s="29" t="s">
        <v>67</v>
      </c>
      <c r="G1376" s="29" t="s">
        <v>99</v>
      </c>
      <c r="H1376" s="30" t="s">
        <v>70</v>
      </c>
      <c r="I1376" s="29" t="s">
        <v>257</v>
      </c>
      <c r="J1376" s="29" t="s">
        <v>207</v>
      </c>
      <c r="K1376" s="30" t="s">
        <v>207</v>
      </c>
      <c r="L1376" s="29" t="str">
        <f t="shared" si="21"/>
        <v>KAMPALA-KASESE</v>
      </c>
      <c r="M1376" s="31">
        <v>67</v>
      </c>
      <c r="N1376" s="72">
        <v>35000</v>
      </c>
      <c r="O1376" s="34">
        <v>7</v>
      </c>
    </row>
    <row r="1377" spans="2:15" x14ac:dyDescent="0.2">
      <c r="B1377" s="27">
        <v>0.26944444444444443</v>
      </c>
      <c r="C1377" s="28">
        <v>6</v>
      </c>
      <c r="D1377" s="33" t="str">
        <f>IF(C1377="", "",VLOOKUP(C1377,Key!$A$5:$B$7,2,FALSE))</f>
        <v>Large Bus</v>
      </c>
      <c r="E1377" s="29" t="s">
        <v>228</v>
      </c>
      <c r="F1377" s="29" t="s">
        <v>67</v>
      </c>
      <c r="G1377" s="29" t="s">
        <v>99</v>
      </c>
      <c r="H1377" s="30" t="s">
        <v>70</v>
      </c>
      <c r="I1377" s="29" t="s">
        <v>257</v>
      </c>
      <c r="J1377" s="29" t="s">
        <v>208</v>
      </c>
      <c r="K1377" s="30" t="s">
        <v>207</v>
      </c>
      <c r="L1377" s="29" t="str">
        <f t="shared" si="21"/>
        <v>KAMPALA-KASESE</v>
      </c>
      <c r="M1377" s="31">
        <v>67</v>
      </c>
      <c r="N1377" s="72">
        <v>35000</v>
      </c>
      <c r="O1377" s="34">
        <v>7</v>
      </c>
    </row>
    <row r="1378" spans="2:15" x14ac:dyDescent="0.2">
      <c r="B1378" s="27">
        <v>0.28333333333333333</v>
      </c>
      <c r="C1378" s="28">
        <v>6</v>
      </c>
      <c r="D1378" s="33" t="str">
        <f>IF(C1378="", "",VLOOKUP(C1378,Key!$A$5:$B$7,2,FALSE))</f>
        <v>Large Bus</v>
      </c>
      <c r="E1378" s="29" t="s">
        <v>228</v>
      </c>
      <c r="F1378" s="29" t="s">
        <v>67</v>
      </c>
      <c r="G1378" s="29" t="s">
        <v>99</v>
      </c>
      <c r="H1378" s="30" t="s">
        <v>70</v>
      </c>
      <c r="I1378" s="29" t="s">
        <v>257</v>
      </c>
      <c r="J1378" s="29" t="s">
        <v>205</v>
      </c>
      <c r="K1378" s="30" t="s">
        <v>205</v>
      </c>
      <c r="L1378" s="29" t="str">
        <f t="shared" si="21"/>
        <v>KAMPALA-HOIMA</v>
      </c>
      <c r="M1378" s="31">
        <v>67</v>
      </c>
      <c r="N1378" s="72">
        <v>15000</v>
      </c>
      <c r="O1378" s="34">
        <v>3.8</v>
      </c>
    </row>
    <row r="1379" spans="2:15" x14ac:dyDescent="0.2">
      <c r="B1379" s="27">
        <v>0.30555555555555552</v>
      </c>
      <c r="C1379" s="28">
        <v>6</v>
      </c>
      <c r="D1379" s="33" t="str">
        <f>IF(C1379="", "",VLOOKUP(C1379,Key!$A$5:$B$7,2,FALSE))</f>
        <v>Large Bus</v>
      </c>
      <c r="E1379" s="29" t="s">
        <v>228</v>
      </c>
      <c r="F1379" s="29" t="s">
        <v>67</v>
      </c>
      <c r="G1379" s="29" t="s">
        <v>99</v>
      </c>
      <c r="H1379" s="30" t="s">
        <v>70</v>
      </c>
      <c r="I1379" s="29" t="s">
        <v>257</v>
      </c>
      <c r="J1379" s="29" t="s">
        <v>207</v>
      </c>
      <c r="K1379" s="30" t="s">
        <v>207</v>
      </c>
      <c r="L1379" s="29" t="str">
        <f t="shared" si="21"/>
        <v>KAMPALA-KASESE</v>
      </c>
      <c r="M1379" s="31">
        <v>76</v>
      </c>
      <c r="N1379" s="72">
        <v>35000</v>
      </c>
      <c r="O1379" s="34">
        <v>7</v>
      </c>
    </row>
    <row r="1380" spans="2:15" x14ac:dyDescent="0.2">
      <c r="B1380" s="27">
        <v>0.31666666666666665</v>
      </c>
      <c r="C1380" s="28">
        <v>6</v>
      </c>
      <c r="D1380" s="33" t="str">
        <f>IF(C1380="", "",VLOOKUP(C1380,Key!$A$5:$B$7,2,FALSE))</f>
        <v>Large Bus</v>
      </c>
      <c r="E1380" s="29" t="s">
        <v>228</v>
      </c>
      <c r="F1380" s="29" t="s">
        <v>67</v>
      </c>
      <c r="G1380" s="29" t="s">
        <v>99</v>
      </c>
      <c r="H1380" s="30" t="s">
        <v>70</v>
      </c>
      <c r="I1380" s="29" t="s">
        <v>257</v>
      </c>
      <c r="J1380" s="29" t="s">
        <v>206</v>
      </c>
      <c r="K1380" s="30" t="s">
        <v>206</v>
      </c>
      <c r="L1380" s="29" t="str">
        <f t="shared" si="21"/>
        <v>KAMPALA-MASINDI</v>
      </c>
      <c r="M1380" s="31">
        <v>50</v>
      </c>
      <c r="N1380" s="72">
        <v>15000</v>
      </c>
      <c r="O1380" s="34">
        <v>3.25</v>
      </c>
    </row>
    <row r="1381" spans="2:15" x14ac:dyDescent="0.2">
      <c r="B1381" s="27">
        <v>0.34166666666666662</v>
      </c>
      <c r="C1381" s="28">
        <v>6</v>
      </c>
      <c r="D1381" s="33" t="str">
        <f>IF(C1381="", "",VLOOKUP(C1381,Key!$A$5:$B$7,2,FALSE))</f>
        <v>Large Bus</v>
      </c>
      <c r="E1381" s="29" t="s">
        <v>228</v>
      </c>
      <c r="F1381" s="29" t="s">
        <v>67</v>
      </c>
      <c r="G1381" s="29" t="s">
        <v>99</v>
      </c>
      <c r="H1381" s="30" t="s">
        <v>70</v>
      </c>
      <c r="I1381" s="29" t="s">
        <v>257</v>
      </c>
      <c r="J1381" s="29" t="s">
        <v>207</v>
      </c>
      <c r="K1381" s="30" t="s">
        <v>207</v>
      </c>
      <c r="L1381" s="29" t="str">
        <f t="shared" si="21"/>
        <v>KAMPALA-KASESE</v>
      </c>
      <c r="M1381" s="31">
        <v>56</v>
      </c>
      <c r="N1381" s="72">
        <v>35000</v>
      </c>
      <c r="O1381" s="34">
        <v>7</v>
      </c>
    </row>
    <row r="1382" spans="2:15" x14ac:dyDescent="0.2">
      <c r="B1382" s="27">
        <v>0.3430555555555555</v>
      </c>
      <c r="C1382" s="28">
        <v>6</v>
      </c>
      <c r="D1382" s="33" t="str">
        <f>IF(C1382="", "",VLOOKUP(C1382,Key!$A$5:$B$7,2,FALSE))</f>
        <v>Large Bus</v>
      </c>
      <c r="E1382" s="29" t="s">
        <v>228</v>
      </c>
      <c r="F1382" s="29" t="s">
        <v>67</v>
      </c>
      <c r="G1382" s="29" t="s">
        <v>99</v>
      </c>
      <c r="H1382" s="30" t="s">
        <v>70</v>
      </c>
      <c r="I1382" s="29" t="s">
        <v>257</v>
      </c>
      <c r="J1382" s="29" t="s">
        <v>205</v>
      </c>
      <c r="K1382" s="30" t="s">
        <v>205</v>
      </c>
      <c r="L1382" s="29" t="str">
        <f t="shared" si="21"/>
        <v>KAMPALA-HOIMA</v>
      </c>
      <c r="M1382" s="31">
        <v>65</v>
      </c>
      <c r="N1382" s="72">
        <v>15000</v>
      </c>
      <c r="O1382" s="34">
        <v>3.8</v>
      </c>
    </row>
    <row r="1383" spans="2:15" x14ac:dyDescent="0.2">
      <c r="B1383" s="27">
        <v>0.36874999999999997</v>
      </c>
      <c r="C1383" s="28">
        <v>6</v>
      </c>
      <c r="D1383" s="33" t="str">
        <f>IF(C1383="", "",VLOOKUP(C1383,Key!$A$5:$B$7,2,FALSE))</f>
        <v>Large Bus</v>
      </c>
      <c r="E1383" s="29" t="s">
        <v>228</v>
      </c>
      <c r="F1383" s="29" t="s">
        <v>67</v>
      </c>
      <c r="G1383" s="29" t="s">
        <v>99</v>
      </c>
      <c r="H1383" s="30" t="s">
        <v>70</v>
      </c>
      <c r="I1383" s="29" t="s">
        <v>257</v>
      </c>
      <c r="J1383" s="29" t="s">
        <v>207</v>
      </c>
      <c r="K1383" s="30" t="s">
        <v>207</v>
      </c>
      <c r="L1383" s="29" t="str">
        <f t="shared" si="21"/>
        <v>KAMPALA-KASESE</v>
      </c>
      <c r="M1383" s="31">
        <v>76</v>
      </c>
      <c r="N1383" s="72">
        <v>35000</v>
      </c>
      <c r="O1383" s="34">
        <v>7</v>
      </c>
    </row>
    <row r="1384" spans="2:15" x14ac:dyDescent="0.2">
      <c r="B1384" s="27">
        <v>0.40833333333333338</v>
      </c>
      <c r="C1384" s="28">
        <v>6</v>
      </c>
      <c r="D1384" s="33" t="str">
        <f>IF(C1384="", "",VLOOKUP(C1384,Key!$A$5:$B$7,2,FALSE))</f>
        <v>Large Bus</v>
      </c>
      <c r="E1384" s="29" t="s">
        <v>228</v>
      </c>
      <c r="F1384" s="29" t="s">
        <v>67</v>
      </c>
      <c r="G1384" s="29" t="s">
        <v>99</v>
      </c>
      <c r="H1384" s="30" t="s">
        <v>70</v>
      </c>
      <c r="I1384" s="29" t="s">
        <v>257</v>
      </c>
      <c r="J1384" s="29" t="s">
        <v>209</v>
      </c>
      <c r="K1384" s="30" t="s">
        <v>209</v>
      </c>
      <c r="L1384" s="29" t="str">
        <f t="shared" si="21"/>
        <v>KAMPALA-BUNDIBUGYO</v>
      </c>
      <c r="M1384" s="31">
        <v>60</v>
      </c>
      <c r="N1384" s="72">
        <v>25000</v>
      </c>
      <c r="O1384" s="34">
        <v>6.25</v>
      </c>
    </row>
    <row r="1385" spans="2:15" x14ac:dyDescent="0.2">
      <c r="B1385" s="27">
        <v>0.41805555555555557</v>
      </c>
      <c r="C1385" s="28">
        <v>6</v>
      </c>
      <c r="D1385" s="33" t="str">
        <f>IF(C1385="", "",VLOOKUP(C1385,Key!$A$5:$B$7,2,FALSE))</f>
        <v>Large Bus</v>
      </c>
      <c r="E1385" s="29" t="s">
        <v>228</v>
      </c>
      <c r="F1385" s="29" t="s">
        <v>67</v>
      </c>
      <c r="G1385" s="29" t="s">
        <v>99</v>
      </c>
      <c r="H1385" s="30" t="s">
        <v>70</v>
      </c>
      <c r="I1385" s="29" t="s">
        <v>257</v>
      </c>
      <c r="J1385" s="29" t="s">
        <v>205</v>
      </c>
      <c r="K1385" s="30" t="s">
        <v>205</v>
      </c>
      <c r="L1385" s="29" t="str">
        <f t="shared" si="21"/>
        <v>KAMPALA-HOIMA</v>
      </c>
      <c r="M1385" s="31">
        <v>67</v>
      </c>
      <c r="N1385" s="72">
        <v>15000</v>
      </c>
      <c r="O1385" s="34">
        <v>3.8</v>
      </c>
    </row>
    <row r="1386" spans="2:15" x14ac:dyDescent="0.2">
      <c r="B1386" s="27">
        <v>0.4201388888888889</v>
      </c>
      <c r="C1386" s="28">
        <v>6</v>
      </c>
      <c r="D1386" s="33" t="str">
        <f>IF(C1386="", "",VLOOKUP(C1386,Key!$A$5:$B$7,2,FALSE))</f>
        <v>Large Bus</v>
      </c>
      <c r="E1386" s="29" t="s">
        <v>228</v>
      </c>
      <c r="F1386" s="29" t="s">
        <v>67</v>
      </c>
      <c r="G1386" s="29" t="s">
        <v>99</v>
      </c>
      <c r="H1386" s="30" t="s">
        <v>70</v>
      </c>
      <c r="I1386" s="29" t="s">
        <v>257</v>
      </c>
      <c r="J1386" s="29" t="s">
        <v>206</v>
      </c>
      <c r="K1386" s="30" t="s">
        <v>206</v>
      </c>
      <c r="L1386" s="29" t="str">
        <f t="shared" si="21"/>
        <v>KAMPALA-MASINDI</v>
      </c>
      <c r="M1386" s="31">
        <v>67</v>
      </c>
      <c r="N1386" s="72">
        <v>15000</v>
      </c>
      <c r="O1386" s="34">
        <v>3.25</v>
      </c>
    </row>
    <row r="1387" spans="2:15" x14ac:dyDescent="0.2">
      <c r="B1387" s="27">
        <v>0.44027777777777777</v>
      </c>
      <c r="C1387" s="28">
        <v>6</v>
      </c>
      <c r="D1387" s="33" t="str">
        <f>IF(C1387="", "",VLOOKUP(C1387,Key!$A$5:$B$7,2,FALSE))</f>
        <v>Large Bus</v>
      </c>
      <c r="E1387" s="29" t="s">
        <v>228</v>
      </c>
      <c r="F1387" s="29" t="s">
        <v>67</v>
      </c>
      <c r="G1387" s="29" t="s">
        <v>99</v>
      </c>
      <c r="H1387" s="30" t="s">
        <v>70</v>
      </c>
      <c r="I1387" s="29" t="s">
        <v>257</v>
      </c>
      <c r="J1387" s="29" t="s">
        <v>207</v>
      </c>
      <c r="K1387" s="30" t="s">
        <v>207</v>
      </c>
      <c r="L1387" s="29" t="str">
        <f t="shared" si="21"/>
        <v>KAMPALA-KASESE</v>
      </c>
      <c r="M1387" s="31">
        <v>67</v>
      </c>
      <c r="N1387" s="72">
        <v>35000</v>
      </c>
      <c r="O1387" s="34">
        <v>7</v>
      </c>
    </row>
    <row r="1388" spans="2:15" x14ac:dyDescent="0.2">
      <c r="B1388" s="27">
        <v>0.4604166666666667</v>
      </c>
      <c r="C1388" s="28">
        <v>6</v>
      </c>
      <c r="D1388" s="33" t="str">
        <f>IF(C1388="", "",VLOOKUP(C1388,Key!$A$5:$B$7,2,FALSE))</f>
        <v>Large Bus</v>
      </c>
      <c r="E1388" s="29" t="s">
        <v>228</v>
      </c>
      <c r="F1388" s="29" t="s">
        <v>67</v>
      </c>
      <c r="G1388" s="29" t="s">
        <v>99</v>
      </c>
      <c r="H1388" s="30" t="s">
        <v>70</v>
      </c>
      <c r="I1388" s="29" t="s">
        <v>257</v>
      </c>
      <c r="J1388" s="29" t="s">
        <v>207</v>
      </c>
      <c r="K1388" s="30" t="s">
        <v>207</v>
      </c>
      <c r="L1388" s="29" t="str">
        <f t="shared" si="21"/>
        <v>KAMPALA-KASESE</v>
      </c>
      <c r="M1388" s="31">
        <v>67</v>
      </c>
      <c r="N1388" s="72">
        <v>35000</v>
      </c>
      <c r="O1388" s="34">
        <v>7</v>
      </c>
    </row>
    <row r="1389" spans="2:15" x14ac:dyDescent="0.2">
      <c r="B1389" s="27">
        <v>0.48402777777777778</v>
      </c>
      <c r="C1389" s="28">
        <v>6</v>
      </c>
      <c r="D1389" s="33" t="str">
        <f>IF(C1389="", "",VLOOKUP(C1389,Key!$A$5:$B$7,2,FALSE))</f>
        <v>Large Bus</v>
      </c>
      <c r="E1389" s="29" t="s">
        <v>228</v>
      </c>
      <c r="F1389" s="29" t="s">
        <v>67</v>
      </c>
      <c r="G1389" s="29" t="s">
        <v>99</v>
      </c>
      <c r="H1389" s="30" t="s">
        <v>70</v>
      </c>
      <c r="I1389" s="29" t="s">
        <v>257</v>
      </c>
      <c r="J1389" s="29" t="s">
        <v>209</v>
      </c>
      <c r="K1389" s="30" t="s">
        <v>209</v>
      </c>
      <c r="L1389" s="29" t="str">
        <f t="shared" si="21"/>
        <v>KAMPALA-BUNDIBUGYO</v>
      </c>
      <c r="M1389" s="31">
        <v>65</v>
      </c>
      <c r="N1389" s="72">
        <v>25000</v>
      </c>
      <c r="O1389" s="34">
        <v>6.25</v>
      </c>
    </row>
    <row r="1390" spans="2:15" x14ac:dyDescent="0.2">
      <c r="B1390" s="27">
        <v>0.48333333333333334</v>
      </c>
      <c r="C1390" s="28">
        <v>6</v>
      </c>
      <c r="D1390" s="33" t="str">
        <f>IF(C1390="", "",VLOOKUP(C1390,Key!$A$5:$B$7,2,FALSE))</f>
        <v>Large Bus</v>
      </c>
      <c r="E1390" s="29" t="s">
        <v>228</v>
      </c>
      <c r="F1390" s="29" t="s">
        <v>67</v>
      </c>
      <c r="G1390" s="29" t="s">
        <v>99</v>
      </c>
      <c r="H1390" s="30" t="s">
        <v>70</v>
      </c>
      <c r="I1390" s="29" t="s">
        <v>257</v>
      </c>
      <c r="J1390" s="29" t="s">
        <v>206</v>
      </c>
      <c r="K1390" s="30" t="s">
        <v>206</v>
      </c>
      <c r="L1390" s="29" t="str">
        <f t="shared" si="21"/>
        <v>KAMPALA-MASINDI</v>
      </c>
      <c r="M1390" s="31">
        <v>67</v>
      </c>
      <c r="N1390" s="72">
        <v>15000</v>
      </c>
      <c r="O1390" s="34">
        <v>3.25</v>
      </c>
    </row>
    <row r="1391" spans="2:15" x14ac:dyDescent="0.2">
      <c r="B1391" s="27">
        <v>0.4909722222222222</v>
      </c>
      <c r="C1391" s="28">
        <v>6</v>
      </c>
      <c r="D1391" s="33" t="str">
        <f>IF(C1391="", "",VLOOKUP(C1391,Key!$A$5:$B$7,2,FALSE))</f>
        <v>Large Bus</v>
      </c>
      <c r="E1391" s="29" t="s">
        <v>228</v>
      </c>
      <c r="F1391" s="29" t="s">
        <v>67</v>
      </c>
      <c r="G1391" s="29" t="s">
        <v>99</v>
      </c>
      <c r="H1391" s="30" t="s">
        <v>70</v>
      </c>
      <c r="I1391" s="29" t="s">
        <v>257</v>
      </c>
      <c r="J1391" s="29" t="s">
        <v>205</v>
      </c>
      <c r="K1391" s="30" t="s">
        <v>205</v>
      </c>
      <c r="L1391" s="29" t="str">
        <f t="shared" si="21"/>
        <v>KAMPALA-HOIMA</v>
      </c>
      <c r="M1391" s="31">
        <v>67</v>
      </c>
      <c r="N1391" s="72">
        <v>15000</v>
      </c>
      <c r="O1391" s="34">
        <v>3.8</v>
      </c>
    </row>
    <row r="1392" spans="2:15" x14ac:dyDescent="0.2">
      <c r="B1392" s="27">
        <v>0.5083333333333333</v>
      </c>
      <c r="C1392" s="28">
        <v>6</v>
      </c>
      <c r="D1392" s="33" t="str">
        <f>IF(C1392="", "",VLOOKUP(C1392,Key!$A$5:$B$7,2,FALSE))</f>
        <v>Large Bus</v>
      </c>
      <c r="E1392" s="29" t="s">
        <v>228</v>
      </c>
      <c r="F1392" s="29" t="s">
        <v>67</v>
      </c>
      <c r="G1392" s="29" t="s">
        <v>99</v>
      </c>
      <c r="H1392" s="30" t="s">
        <v>70</v>
      </c>
      <c r="I1392" s="29" t="s">
        <v>257</v>
      </c>
      <c r="J1392" s="29" t="s">
        <v>207</v>
      </c>
      <c r="K1392" s="30" t="s">
        <v>207</v>
      </c>
      <c r="L1392" s="29" t="str">
        <f t="shared" si="21"/>
        <v>KAMPALA-KASESE</v>
      </c>
      <c r="M1392" s="31">
        <v>67</v>
      </c>
      <c r="N1392" s="72">
        <v>35000</v>
      </c>
      <c r="O1392" s="34">
        <v>7</v>
      </c>
    </row>
    <row r="1393" spans="2:15" x14ac:dyDescent="0.2">
      <c r="B1393" s="27">
        <v>0.54027777777777775</v>
      </c>
      <c r="C1393" s="28">
        <v>6</v>
      </c>
      <c r="D1393" s="33" t="str">
        <f>IF(C1393="", "",VLOOKUP(C1393,Key!$A$5:$B$7,2,FALSE))</f>
        <v>Large Bus</v>
      </c>
      <c r="E1393" s="29" t="s">
        <v>228</v>
      </c>
      <c r="F1393" s="29" t="s">
        <v>67</v>
      </c>
      <c r="G1393" s="29" t="s">
        <v>99</v>
      </c>
      <c r="H1393" s="30" t="s">
        <v>70</v>
      </c>
      <c r="I1393" s="29" t="s">
        <v>257</v>
      </c>
      <c r="J1393" s="29" t="s">
        <v>207</v>
      </c>
      <c r="K1393" s="30" t="s">
        <v>207</v>
      </c>
      <c r="L1393" s="29" t="str">
        <f t="shared" si="21"/>
        <v>KAMPALA-KASESE</v>
      </c>
      <c r="M1393" s="31">
        <v>67</v>
      </c>
      <c r="N1393" s="72">
        <v>35000</v>
      </c>
      <c r="O1393" s="34">
        <v>7</v>
      </c>
    </row>
    <row r="1394" spans="2:15" x14ac:dyDescent="0.2">
      <c r="B1394" s="27">
        <v>0.53472222222222221</v>
      </c>
      <c r="C1394" s="28">
        <v>6</v>
      </c>
      <c r="D1394" s="33" t="str">
        <f>IF(C1394="", "",VLOOKUP(C1394,Key!$A$5:$B$7,2,FALSE))</f>
        <v>Large Bus</v>
      </c>
      <c r="E1394" s="29" t="s">
        <v>228</v>
      </c>
      <c r="F1394" s="29" t="s">
        <v>67</v>
      </c>
      <c r="G1394" s="29" t="s">
        <v>99</v>
      </c>
      <c r="H1394" s="30" t="s">
        <v>70</v>
      </c>
      <c r="I1394" s="29" t="s">
        <v>257</v>
      </c>
      <c r="J1394" s="29" t="s">
        <v>206</v>
      </c>
      <c r="K1394" s="30" t="s">
        <v>206</v>
      </c>
      <c r="L1394" s="29" t="str">
        <f t="shared" si="21"/>
        <v>KAMPALA-MASINDI</v>
      </c>
      <c r="M1394" s="31">
        <v>67</v>
      </c>
      <c r="N1394" s="72">
        <v>15000</v>
      </c>
      <c r="O1394" s="34">
        <v>3.25</v>
      </c>
    </row>
    <row r="1395" spans="2:15" x14ac:dyDescent="0.2">
      <c r="B1395" s="27">
        <v>4.9305555555555554E-2</v>
      </c>
      <c r="C1395" s="28">
        <v>6</v>
      </c>
      <c r="D1395" s="33" t="str">
        <f>IF(C1395="", "",VLOOKUP(C1395,Key!$A$5:$B$7,2,FALSE))</f>
        <v>Large Bus</v>
      </c>
      <c r="E1395" s="29" t="s">
        <v>228</v>
      </c>
      <c r="F1395" s="29" t="s">
        <v>67</v>
      </c>
      <c r="G1395" s="29" t="s">
        <v>99</v>
      </c>
      <c r="H1395" s="30" t="s">
        <v>70</v>
      </c>
      <c r="I1395" s="29" t="s">
        <v>257</v>
      </c>
      <c r="J1395" s="29" t="s">
        <v>206</v>
      </c>
      <c r="K1395" s="30" t="s">
        <v>206</v>
      </c>
      <c r="L1395" s="29" t="str">
        <f t="shared" si="21"/>
        <v>KAMPALA-MASINDI</v>
      </c>
      <c r="M1395" s="31">
        <v>60</v>
      </c>
      <c r="N1395" s="72">
        <v>15000</v>
      </c>
      <c r="O1395" s="34">
        <v>3.25</v>
      </c>
    </row>
    <row r="1396" spans="2:15" x14ac:dyDescent="0.2">
      <c r="B1396" s="27">
        <v>6.458333333333334E-2</v>
      </c>
      <c r="C1396" s="28">
        <v>6</v>
      </c>
      <c r="D1396" s="33" t="str">
        <f>IF(C1396="", "",VLOOKUP(C1396,Key!$A$5:$B$7,2,FALSE))</f>
        <v>Large Bus</v>
      </c>
      <c r="E1396" s="29" t="s">
        <v>228</v>
      </c>
      <c r="F1396" s="29" t="s">
        <v>67</v>
      </c>
      <c r="G1396" s="29" t="s">
        <v>99</v>
      </c>
      <c r="H1396" s="30" t="s">
        <v>70</v>
      </c>
      <c r="I1396" s="29" t="s">
        <v>257</v>
      </c>
      <c r="J1396" s="29" t="s">
        <v>207</v>
      </c>
      <c r="K1396" s="30" t="s">
        <v>207</v>
      </c>
      <c r="L1396" s="29" t="str">
        <f t="shared" si="21"/>
        <v>KAMPALA-KASESE</v>
      </c>
      <c r="M1396" s="31">
        <v>65</v>
      </c>
      <c r="N1396" s="72">
        <v>35000</v>
      </c>
      <c r="O1396" s="34">
        <v>7</v>
      </c>
    </row>
    <row r="1397" spans="2:15" x14ac:dyDescent="0.2">
      <c r="B1397" s="27">
        <v>8.819444444444445E-2</v>
      </c>
      <c r="C1397" s="28">
        <v>6</v>
      </c>
      <c r="D1397" s="33" t="str">
        <f>IF(C1397="", "",VLOOKUP(C1397,Key!$A$5:$B$7,2,FALSE))</f>
        <v>Large Bus</v>
      </c>
      <c r="E1397" s="29" t="s">
        <v>228</v>
      </c>
      <c r="F1397" s="29" t="s">
        <v>67</v>
      </c>
      <c r="G1397" s="29" t="s">
        <v>99</v>
      </c>
      <c r="H1397" s="30" t="s">
        <v>70</v>
      </c>
      <c r="I1397" s="29" t="s">
        <v>257</v>
      </c>
      <c r="J1397" s="29" t="s">
        <v>207</v>
      </c>
      <c r="K1397" s="30" t="s">
        <v>207</v>
      </c>
      <c r="L1397" s="29" t="str">
        <f t="shared" si="21"/>
        <v>KAMPALA-KASESE</v>
      </c>
      <c r="M1397" s="31">
        <v>60</v>
      </c>
      <c r="N1397" s="72">
        <v>35000</v>
      </c>
      <c r="O1397" s="34">
        <v>7</v>
      </c>
    </row>
    <row r="1398" spans="2:15" x14ac:dyDescent="0.2">
      <c r="B1398" s="27">
        <v>0.10694444444444444</v>
      </c>
      <c r="C1398" s="28">
        <v>6</v>
      </c>
      <c r="D1398" s="33" t="str">
        <f>IF(C1398="", "",VLOOKUP(C1398,Key!$A$5:$B$7,2,FALSE))</f>
        <v>Large Bus</v>
      </c>
      <c r="E1398" s="29" t="s">
        <v>228</v>
      </c>
      <c r="F1398" s="29" t="s">
        <v>67</v>
      </c>
      <c r="G1398" s="29" t="s">
        <v>99</v>
      </c>
      <c r="H1398" s="30" t="s">
        <v>70</v>
      </c>
      <c r="I1398" s="29" t="s">
        <v>257</v>
      </c>
      <c r="J1398" s="29" t="s">
        <v>207</v>
      </c>
      <c r="K1398" s="30" t="s">
        <v>207</v>
      </c>
      <c r="L1398" s="29" t="str">
        <f t="shared" si="21"/>
        <v>KAMPALA-KASESE</v>
      </c>
      <c r="M1398" s="31">
        <v>67</v>
      </c>
      <c r="N1398" s="72">
        <v>35000</v>
      </c>
      <c r="O1398" s="34">
        <v>7</v>
      </c>
    </row>
    <row r="1399" spans="2:15" x14ac:dyDescent="0.2">
      <c r="B1399" s="27">
        <v>0.30416666666666664</v>
      </c>
      <c r="C1399" s="28">
        <v>6</v>
      </c>
      <c r="D1399" s="33" t="str">
        <f>IF(C1399="", "",VLOOKUP(C1399,Key!$A$5:$B$7,2,FALSE))</f>
        <v>Large Bus</v>
      </c>
      <c r="E1399" s="29" t="s">
        <v>228</v>
      </c>
      <c r="F1399" s="29" t="s">
        <v>67</v>
      </c>
      <c r="G1399" s="29" t="s">
        <v>99</v>
      </c>
      <c r="H1399" s="30" t="s">
        <v>70</v>
      </c>
      <c r="I1399" s="29" t="s">
        <v>257</v>
      </c>
      <c r="J1399" s="29" t="s">
        <v>207</v>
      </c>
      <c r="K1399" s="30" t="s">
        <v>207</v>
      </c>
      <c r="L1399" s="29" t="str">
        <f t="shared" si="21"/>
        <v>KAMPALA-KASESE</v>
      </c>
      <c r="M1399" s="31">
        <v>70</v>
      </c>
      <c r="N1399" s="72">
        <v>35000</v>
      </c>
      <c r="O1399" s="34">
        <v>7</v>
      </c>
    </row>
    <row r="1400" spans="2:15" x14ac:dyDescent="0.2">
      <c r="B1400" s="27">
        <v>0.30555555555555552</v>
      </c>
      <c r="C1400" s="28">
        <v>6</v>
      </c>
      <c r="D1400" s="33" t="str">
        <f>IF(C1400="", "",VLOOKUP(C1400,Key!$A$5:$B$7,2,FALSE))</f>
        <v>Large Bus</v>
      </c>
      <c r="E1400" s="29" t="s">
        <v>228</v>
      </c>
      <c r="F1400" s="29" t="s">
        <v>67</v>
      </c>
      <c r="G1400" s="29" t="s">
        <v>99</v>
      </c>
      <c r="H1400" s="30" t="s">
        <v>70</v>
      </c>
      <c r="I1400" s="29" t="s">
        <v>257</v>
      </c>
      <c r="J1400" s="29" t="s">
        <v>206</v>
      </c>
      <c r="K1400" s="30" t="s">
        <v>206</v>
      </c>
      <c r="L1400" s="29" t="str">
        <f t="shared" si="21"/>
        <v>KAMPALA-MASINDI</v>
      </c>
      <c r="M1400" s="31">
        <v>65</v>
      </c>
      <c r="N1400" s="72">
        <v>15000</v>
      </c>
      <c r="O1400" s="34">
        <v>3.25</v>
      </c>
    </row>
    <row r="1401" spans="2:15" x14ac:dyDescent="0.2">
      <c r="B1401" s="27">
        <v>0.34027777777777773</v>
      </c>
      <c r="C1401" s="28">
        <v>6</v>
      </c>
      <c r="D1401" s="33" t="str">
        <f>IF(C1401="", "",VLOOKUP(C1401,Key!$A$5:$B$7,2,FALSE))</f>
        <v>Large Bus</v>
      </c>
      <c r="E1401" s="29" t="s">
        <v>228</v>
      </c>
      <c r="F1401" s="29" t="s">
        <v>67</v>
      </c>
      <c r="G1401" s="29" t="s">
        <v>99</v>
      </c>
      <c r="H1401" s="30" t="s">
        <v>70</v>
      </c>
      <c r="I1401" s="29" t="s">
        <v>257</v>
      </c>
      <c r="J1401" s="29" t="s">
        <v>208</v>
      </c>
      <c r="K1401" s="30" t="s">
        <v>207</v>
      </c>
      <c r="L1401" s="29" t="str">
        <f t="shared" si="21"/>
        <v>KAMPALA-KASESE</v>
      </c>
      <c r="M1401" s="31">
        <v>65</v>
      </c>
      <c r="N1401" s="72">
        <v>35000</v>
      </c>
      <c r="O1401" s="34">
        <v>7</v>
      </c>
    </row>
    <row r="1402" spans="2:15" x14ac:dyDescent="0.2">
      <c r="B1402" s="27">
        <v>0.37291666666666662</v>
      </c>
      <c r="C1402" s="28">
        <v>6</v>
      </c>
      <c r="D1402" s="33" t="str">
        <f>IF(C1402="", "",VLOOKUP(C1402,Key!$A$5:$B$7,2,FALSE))</f>
        <v>Large Bus</v>
      </c>
      <c r="E1402" s="29" t="s">
        <v>228</v>
      </c>
      <c r="F1402" s="29" t="s">
        <v>67</v>
      </c>
      <c r="G1402" s="29" t="s">
        <v>99</v>
      </c>
      <c r="H1402" s="30" t="s">
        <v>70</v>
      </c>
      <c r="I1402" s="29" t="s">
        <v>257</v>
      </c>
      <c r="J1402" s="29" t="s">
        <v>208</v>
      </c>
      <c r="K1402" s="30" t="s">
        <v>207</v>
      </c>
      <c r="L1402" s="29" t="str">
        <f t="shared" si="21"/>
        <v>KAMPALA-KASESE</v>
      </c>
      <c r="M1402" s="31">
        <v>65</v>
      </c>
      <c r="N1402" s="72">
        <v>35000</v>
      </c>
      <c r="O1402" s="34">
        <v>7</v>
      </c>
    </row>
    <row r="1403" spans="2:15" x14ac:dyDescent="0.2">
      <c r="B1403" s="27">
        <v>0.20833333333333334</v>
      </c>
      <c r="C1403" s="28">
        <v>6</v>
      </c>
      <c r="D1403" s="33" t="str">
        <f>IF(C1403="", "",VLOOKUP(C1403,Key!$A$5:$B$7,2,FALSE))</f>
        <v>Large Bus</v>
      </c>
      <c r="E1403" s="29" t="s">
        <v>228</v>
      </c>
      <c r="F1403" s="29" t="s">
        <v>67</v>
      </c>
      <c r="G1403" s="29" t="s">
        <v>99</v>
      </c>
      <c r="H1403" s="30" t="s">
        <v>70</v>
      </c>
      <c r="I1403" s="29" t="s">
        <v>257</v>
      </c>
      <c r="J1403" s="29" t="s">
        <v>208</v>
      </c>
      <c r="K1403" s="30" t="s">
        <v>207</v>
      </c>
      <c r="L1403" s="29" t="str">
        <f t="shared" si="21"/>
        <v>KAMPALA-KASESE</v>
      </c>
      <c r="M1403" s="31">
        <v>65</v>
      </c>
      <c r="N1403" s="72">
        <v>35000</v>
      </c>
      <c r="O1403" s="34">
        <v>7</v>
      </c>
    </row>
    <row r="1404" spans="2:15" x14ac:dyDescent="0.2">
      <c r="B1404" s="27">
        <v>0.25347222222222221</v>
      </c>
      <c r="C1404" s="28">
        <v>6</v>
      </c>
      <c r="D1404" s="33" t="str">
        <f>IF(C1404="", "",VLOOKUP(C1404,Key!$A$5:$B$7,2,FALSE))</f>
        <v>Large Bus</v>
      </c>
      <c r="E1404" s="29" t="s">
        <v>228</v>
      </c>
      <c r="F1404" s="29" t="s">
        <v>67</v>
      </c>
      <c r="G1404" s="29" t="s">
        <v>99</v>
      </c>
      <c r="H1404" s="30" t="s">
        <v>70</v>
      </c>
      <c r="I1404" s="29" t="s">
        <v>257</v>
      </c>
      <c r="J1404" s="29" t="s">
        <v>208</v>
      </c>
      <c r="K1404" s="30" t="s">
        <v>207</v>
      </c>
      <c r="L1404" s="29" t="str">
        <f t="shared" si="21"/>
        <v>KAMPALA-KASESE</v>
      </c>
      <c r="M1404" s="31">
        <v>65</v>
      </c>
      <c r="N1404" s="72">
        <v>35000</v>
      </c>
      <c r="O1404" s="34">
        <v>7</v>
      </c>
    </row>
    <row r="1405" spans="2:15" x14ac:dyDescent="0.2">
      <c r="B1405" s="27">
        <v>0.2638888888888889</v>
      </c>
      <c r="C1405" s="28">
        <v>6</v>
      </c>
      <c r="D1405" s="33" t="str">
        <f>IF(C1405="", "",VLOOKUP(C1405,Key!$A$5:$B$7,2,FALSE))</f>
        <v>Large Bus</v>
      </c>
      <c r="E1405" s="29" t="s">
        <v>228</v>
      </c>
      <c r="F1405" s="29" t="s">
        <v>67</v>
      </c>
      <c r="G1405" s="29" t="s">
        <v>99</v>
      </c>
      <c r="H1405" s="30" t="s">
        <v>70</v>
      </c>
      <c r="I1405" s="29" t="s">
        <v>257</v>
      </c>
      <c r="J1405" s="29" t="s">
        <v>205</v>
      </c>
      <c r="K1405" s="30" t="s">
        <v>205</v>
      </c>
      <c r="L1405" s="29" t="str">
        <f t="shared" si="21"/>
        <v>KAMPALA-HOIMA</v>
      </c>
      <c r="M1405" s="31">
        <v>58</v>
      </c>
      <c r="N1405" s="72">
        <v>15000</v>
      </c>
      <c r="O1405" s="34">
        <v>3.8</v>
      </c>
    </row>
    <row r="1406" spans="2:15" x14ac:dyDescent="0.2">
      <c r="B1406" s="27">
        <v>0.28125</v>
      </c>
      <c r="C1406" s="28">
        <v>6</v>
      </c>
      <c r="D1406" s="33" t="str">
        <f>IF(C1406="", "",VLOOKUP(C1406,Key!$A$5:$B$7,2,FALSE))</f>
        <v>Large Bus</v>
      </c>
      <c r="E1406" s="29" t="s">
        <v>228</v>
      </c>
      <c r="F1406" s="29" t="s">
        <v>67</v>
      </c>
      <c r="G1406" s="29" t="s">
        <v>99</v>
      </c>
      <c r="H1406" s="30" t="s">
        <v>70</v>
      </c>
      <c r="I1406" s="29" t="s">
        <v>257</v>
      </c>
      <c r="J1406" s="29" t="s">
        <v>208</v>
      </c>
      <c r="K1406" s="30" t="s">
        <v>207</v>
      </c>
      <c r="L1406" s="29" t="str">
        <f t="shared" si="21"/>
        <v>KAMPALA-KASESE</v>
      </c>
      <c r="M1406" s="31">
        <v>67</v>
      </c>
      <c r="N1406" s="72">
        <v>35000</v>
      </c>
      <c r="O1406" s="34">
        <v>7</v>
      </c>
    </row>
    <row r="1407" spans="2:15" x14ac:dyDescent="0.2">
      <c r="B1407" s="27">
        <v>0.32916666666666666</v>
      </c>
      <c r="C1407" s="28">
        <v>6</v>
      </c>
      <c r="D1407" s="33" t="str">
        <f>IF(C1407="", "",VLOOKUP(C1407,Key!$A$5:$B$7,2,FALSE))</f>
        <v>Large Bus</v>
      </c>
      <c r="E1407" s="29" t="s">
        <v>228</v>
      </c>
      <c r="F1407" s="29" t="s">
        <v>67</v>
      </c>
      <c r="G1407" s="29" t="s">
        <v>99</v>
      </c>
      <c r="H1407" s="30" t="s">
        <v>70</v>
      </c>
      <c r="I1407" s="29" t="s">
        <v>257</v>
      </c>
      <c r="J1407" s="29" t="s">
        <v>208</v>
      </c>
      <c r="K1407" s="30" t="s">
        <v>207</v>
      </c>
      <c r="L1407" s="29" t="str">
        <f t="shared" si="21"/>
        <v>KAMPALA-KASESE</v>
      </c>
      <c r="M1407" s="31">
        <v>66</v>
      </c>
      <c r="N1407" s="72">
        <v>35000</v>
      </c>
      <c r="O1407" s="34">
        <v>7</v>
      </c>
    </row>
    <row r="1408" spans="2:15" x14ac:dyDescent="0.2">
      <c r="B1408" s="27">
        <v>0.35555555555555557</v>
      </c>
      <c r="C1408" s="28">
        <v>6</v>
      </c>
      <c r="D1408" s="33" t="str">
        <f>IF(C1408="", "",VLOOKUP(C1408,Key!$A$5:$B$7,2,FALSE))</f>
        <v>Large Bus</v>
      </c>
      <c r="E1408" s="29" t="s">
        <v>228</v>
      </c>
      <c r="F1408" s="29" t="s">
        <v>67</v>
      </c>
      <c r="G1408" s="29" t="s">
        <v>99</v>
      </c>
      <c r="H1408" s="30" t="s">
        <v>70</v>
      </c>
      <c r="I1408" s="29" t="s">
        <v>257</v>
      </c>
      <c r="J1408" s="29" t="s">
        <v>208</v>
      </c>
      <c r="K1408" s="30" t="s">
        <v>207</v>
      </c>
      <c r="L1408" s="29" t="str">
        <f t="shared" si="21"/>
        <v>KAMPALA-KASESE</v>
      </c>
      <c r="M1408" s="31">
        <v>65</v>
      </c>
      <c r="N1408" s="72">
        <v>35000</v>
      </c>
      <c r="O1408" s="34">
        <v>7</v>
      </c>
    </row>
    <row r="1409" spans="2:15" x14ac:dyDescent="0.2">
      <c r="B1409" s="27">
        <v>0.39930555555555558</v>
      </c>
      <c r="C1409" s="28">
        <v>6</v>
      </c>
      <c r="D1409" s="33" t="str">
        <f>IF(C1409="", "",VLOOKUP(C1409,Key!$A$5:$B$7,2,FALSE))</f>
        <v>Large Bus</v>
      </c>
      <c r="E1409" s="29" t="s">
        <v>228</v>
      </c>
      <c r="F1409" s="29" t="s">
        <v>67</v>
      </c>
      <c r="G1409" s="29" t="s">
        <v>99</v>
      </c>
      <c r="H1409" s="30" t="s">
        <v>70</v>
      </c>
      <c r="I1409" s="29" t="s">
        <v>257</v>
      </c>
      <c r="J1409" s="29" t="s">
        <v>208</v>
      </c>
      <c r="K1409" s="30" t="s">
        <v>207</v>
      </c>
      <c r="L1409" s="29" t="str">
        <f t="shared" si="21"/>
        <v>KAMPALA-KASESE</v>
      </c>
      <c r="M1409" s="31">
        <v>67</v>
      </c>
      <c r="N1409" s="72">
        <v>35000</v>
      </c>
      <c r="O1409" s="34">
        <v>7</v>
      </c>
    </row>
    <row r="1410" spans="2:15" x14ac:dyDescent="0.2">
      <c r="B1410" s="27">
        <v>0.23472222222222219</v>
      </c>
      <c r="C1410" s="28">
        <v>6</v>
      </c>
      <c r="D1410" s="33" t="str">
        <f>IF(C1410="", "",VLOOKUP(C1410,Key!$A$5:$B$7,2,FALSE))</f>
        <v>Large Bus</v>
      </c>
      <c r="E1410" s="29" t="s">
        <v>228</v>
      </c>
      <c r="F1410" s="29" t="s">
        <v>67</v>
      </c>
      <c r="G1410" s="29" t="s">
        <v>99</v>
      </c>
      <c r="H1410" s="30" t="s">
        <v>70</v>
      </c>
      <c r="I1410" s="29" t="s">
        <v>257</v>
      </c>
      <c r="J1410" s="29" t="s">
        <v>208</v>
      </c>
      <c r="K1410" s="30" t="s">
        <v>207</v>
      </c>
      <c r="L1410" s="29" t="str">
        <f t="shared" si="21"/>
        <v>KAMPALA-KASESE</v>
      </c>
      <c r="M1410" s="31">
        <v>60</v>
      </c>
      <c r="N1410" s="72">
        <v>35000</v>
      </c>
      <c r="O1410" s="34">
        <v>7</v>
      </c>
    </row>
    <row r="1411" spans="2:15" x14ac:dyDescent="0.2">
      <c r="B1411" s="27">
        <v>0.25</v>
      </c>
      <c r="C1411" s="28">
        <v>6</v>
      </c>
      <c r="D1411" s="33" t="str">
        <f>IF(C1411="", "",VLOOKUP(C1411,Key!$A$5:$B$7,2,FALSE))</f>
        <v>Large Bus</v>
      </c>
      <c r="E1411" s="29" t="s">
        <v>228</v>
      </c>
      <c r="F1411" s="29" t="s">
        <v>67</v>
      </c>
      <c r="G1411" s="29" t="s">
        <v>99</v>
      </c>
      <c r="H1411" s="30" t="s">
        <v>70</v>
      </c>
      <c r="I1411" s="29" t="s">
        <v>257</v>
      </c>
      <c r="J1411" s="29" t="s">
        <v>213</v>
      </c>
      <c r="K1411" s="30" t="s">
        <v>205</v>
      </c>
      <c r="L1411" s="29" t="str">
        <f t="shared" si="21"/>
        <v>KAMPALA-HOIMA</v>
      </c>
      <c r="M1411" s="31">
        <v>65</v>
      </c>
      <c r="N1411" s="72">
        <v>15000</v>
      </c>
      <c r="O1411" s="34">
        <v>3.8</v>
      </c>
    </row>
    <row r="1412" spans="2:15" x14ac:dyDescent="0.2">
      <c r="B1412" s="27">
        <v>0.28472222222222221</v>
      </c>
      <c r="C1412" s="28">
        <v>6</v>
      </c>
      <c r="D1412" s="33" t="str">
        <f>IF(C1412="", "",VLOOKUP(C1412,Key!$A$5:$B$7,2,FALSE))</f>
        <v>Large Bus</v>
      </c>
      <c r="E1412" s="29" t="s">
        <v>228</v>
      </c>
      <c r="F1412" s="29" t="s">
        <v>67</v>
      </c>
      <c r="G1412" s="29" t="s">
        <v>99</v>
      </c>
      <c r="H1412" s="30" t="s">
        <v>70</v>
      </c>
      <c r="I1412" s="29" t="s">
        <v>257</v>
      </c>
      <c r="J1412" s="29" t="s">
        <v>208</v>
      </c>
      <c r="K1412" s="30" t="s">
        <v>207</v>
      </c>
      <c r="L1412" s="29" t="str">
        <f t="shared" si="21"/>
        <v>KAMPALA-KASESE</v>
      </c>
      <c r="M1412" s="31">
        <v>67</v>
      </c>
      <c r="N1412" s="72">
        <v>35000</v>
      </c>
      <c r="O1412" s="34">
        <v>7</v>
      </c>
    </row>
    <row r="1413" spans="2:15" x14ac:dyDescent="0.2">
      <c r="B1413" s="27">
        <v>0.375</v>
      </c>
      <c r="C1413" s="28">
        <v>6</v>
      </c>
      <c r="D1413" s="33" t="str">
        <f>IF(C1413="", "",VLOOKUP(C1413,Key!$A$5:$B$7,2,FALSE))</f>
        <v>Large Bus</v>
      </c>
      <c r="E1413" s="29" t="s">
        <v>228</v>
      </c>
      <c r="F1413" s="29" t="s">
        <v>66</v>
      </c>
      <c r="G1413" s="29" t="s">
        <v>210</v>
      </c>
      <c r="H1413" s="30" t="s">
        <v>206</v>
      </c>
      <c r="I1413" s="29" t="s">
        <v>257</v>
      </c>
      <c r="J1413" s="29" t="s">
        <v>99</v>
      </c>
      <c r="K1413" s="30" t="s">
        <v>70</v>
      </c>
      <c r="L1413" s="29" t="str">
        <f t="shared" si="21"/>
        <v>MASINDI-KAMPALA</v>
      </c>
      <c r="M1413" s="31">
        <v>45</v>
      </c>
      <c r="N1413" s="72">
        <v>12000</v>
      </c>
      <c r="O1413" s="34">
        <v>3.25</v>
      </c>
    </row>
    <row r="1414" spans="2:15" x14ac:dyDescent="0.2">
      <c r="B1414" s="27">
        <v>0.43611111111111112</v>
      </c>
      <c r="C1414" s="28">
        <v>6</v>
      </c>
      <c r="D1414" s="33" t="str">
        <f>IF(C1414="", "",VLOOKUP(C1414,Key!$A$5:$B$7,2,FALSE))</f>
        <v>Large Bus</v>
      </c>
      <c r="E1414" s="29" t="s">
        <v>228</v>
      </c>
      <c r="F1414" s="29" t="s">
        <v>66</v>
      </c>
      <c r="G1414" s="29" t="s">
        <v>214</v>
      </c>
      <c r="H1414" s="30" t="s">
        <v>206</v>
      </c>
      <c r="I1414" s="29" t="s">
        <v>257</v>
      </c>
      <c r="J1414" s="29" t="s">
        <v>99</v>
      </c>
      <c r="K1414" s="30" t="s">
        <v>70</v>
      </c>
      <c r="L1414" s="29" t="str">
        <f t="shared" si="21"/>
        <v>MASINDI-KAMPALA</v>
      </c>
      <c r="M1414" s="31">
        <v>52</v>
      </c>
      <c r="N1414" s="72">
        <v>12000</v>
      </c>
      <c r="O1414" s="34">
        <v>3.25</v>
      </c>
    </row>
    <row r="1415" spans="2:15" x14ac:dyDescent="0.2">
      <c r="B1415" s="27">
        <v>0.52222222222222225</v>
      </c>
      <c r="C1415" s="28">
        <v>6</v>
      </c>
      <c r="D1415" s="33" t="str">
        <f>IF(C1415="", "",VLOOKUP(C1415,Key!$A$5:$B$7,2,FALSE))</f>
        <v>Large Bus</v>
      </c>
      <c r="E1415" s="29" t="s">
        <v>228</v>
      </c>
      <c r="F1415" s="29" t="s">
        <v>66</v>
      </c>
      <c r="G1415" s="29" t="s">
        <v>205</v>
      </c>
      <c r="H1415" s="30" t="s">
        <v>205</v>
      </c>
      <c r="I1415" s="29" t="s">
        <v>257</v>
      </c>
      <c r="J1415" s="29" t="s">
        <v>99</v>
      </c>
      <c r="K1415" s="30" t="s">
        <v>70</v>
      </c>
      <c r="L1415" s="29" t="str">
        <f t="shared" si="21"/>
        <v>HOIMA-KAMPALA</v>
      </c>
      <c r="M1415" s="31">
        <v>65</v>
      </c>
      <c r="N1415" s="72">
        <v>15000</v>
      </c>
      <c r="O1415" s="34">
        <v>3.8</v>
      </c>
    </row>
    <row r="1416" spans="2:15" x14ac:dyDescent="0.2">
      <c r="B1416" s="27">
        <v>0.52986111111111112</v>
      </c>
      <c r="C1416" s="28">
        <v>6</v>
      </c>
      <c r="D1416" s="33" t="str">
        <f>IF(C1416="", "",VLOOKUP(C1416,Key!$A$5:$B$7,2,FALSE))</f>
        <v>Large Bus</v>
      </c>
      <c r="E1416" s="29" t="s">
        <v>228</v>
      </c>
      <c r="F1416" s="29" t="s">
        <v>66</v>
      </c>
      <c r="G1416" s="29" t="s">
        <v>207</v>
      </c>
      <c r="H1416" s="30" t="s">
        <v>207</v>
      </c>
      <c r="I1416" s="29" t="s">
        <v>257</v>
      </c>
      <c r="J1416" s="29" t="s">
        <v>99</v>
      </c>
      <c r="K1416" s="30" t="s">
        <v>70</v>
      </c>
      <c r="L1416" s="29" t="str">
        <f t="shared" si="21"/>
        <v>KASESE-KAMPALA</v>
      </c>
      <c r="M1416" s="31">
        <v>60</v>
      </c>
      <c r="N1416" s="72">
        <v>30000</v>
      </c>
      <c r="O1416" s="34">
        <v>7</v>
      </c>
    </row>
    <row r="1417" spans="2:15" x14ac:dyDescent="0.2">
      <c r="B1417" s="27">
        <v>0.13680555555555554</v>
      </c>
      <c r="C1417" s="28">
        <v>6</v>
      </c>
      <c r="D1417" s="33" t="str">
        <f>IF(C1417="", "",VLOOKUP(C1417,Key!$A$5:$B$7,2,FALSE))</f>
        <v>Large Bus</v>
      </c>
      <c r="E1417" s="29" t="s">
        <v>228</v>
      </c>
      <c r="F1417" s="29" t="s">
        <v>66</v>
      </c>
      <c r="G1417" s="29" t="s">
        <v>206</v>
      </c>
      <c r="H1417" s="30" t="s">
        <v>206</v>
      </c>
      <c r="I1417" s="29" t="s">
        <v>257</v>
      </c>
      <c r="J1417" s="29" t="s">
        <v>99</v>
      </c>
      <c r="K1417" s="30" t="s">
        <v>70</v>
      </c>
      <c r="L1417" s="29" t="str">
        <f t="shared" si="21"/>
        <v>MASINDI-KAMPALA</v>
      </c>
      <c r="M1417" s="31">
        <v>50</v>
      </c>
      <c r="N1417" s="72">
        <v>12000</v>
      </c>
      <c r="O1417" s="34">
        <v>3.25</v>
      </c>
    </row>
    <row r="1418" spans="2:15" x14ac:dyDescent="0.2">
      <c r="B1418" s="27">
        <v>0.13819444444444443</v>
      </c>
      <c r="C1418" s="28">
        <v>6</v>
      </c>
      <c r="D1418" s="33" t="str">
        <f>IF(C1418="", "",VLOOKUP(C1418,Key!$A$5:$B$7,2,FALSE))</f>
        <v>Large Bus</v>
      </c>
      <c r="E1418" s="29" t="s">
        <v>228</v>
      </c>
      <c r="F1418" s="29" t="s">
        <v>66</v>
      </c>
      <c r="G1418" s="29" t="s">
        <v>207</v>
      </c>
      <c r="H1418" s="30" t="s">
        <v>207</v>
      </c>
      <c r="I1418" s="29" t="s">
        <v>257</v>
      </c>
      <c r="J1418" s="29" t="s">
        <v>99</v>
      </c>
      <c r="K1418" s="30" t="s">
        <v>70</v>
      </c>
      <c r="L1418" s="29" t="str">
        <f t="shared" ref="L1418:L1481" si="22">H1418&amp;"-"&amp;K1418</f>
        <v>KASESE-KAMPALA</v>
      </c>
      <c r="M1418" s="31">
        <v>60</v>
      </c>
      <c r="N1418" s="72">
        <v>30000</v>
      </c>
      <c r="O1418" s="34">
        <v>7</v>
      </c>
    </row>
    <row r="1419" spans="2:15" x14ac:dyDescent="0.2">
      <c r="B1419" s="27">
        <v>0.56944444444444442</v>
      </c>
      <c r="C1419" s="28">
        <v>6</v>
      </c>
      <c r="D1419" s="33" t="str">
        <f>IF(C1419="", "",VLOOKUP(C1419,Key!$A$5:$B$7,2,FALSE))</f>
        <v>Large Bus</v>
      </c>
      <c r="E1419" s="29" t="s">
        <v>228</v>
      </c>
      <c r="F1419" s="29" t="s">
        <v>66</v>
      </c>
      <c r="G1419" s="29" t="s">
        <v>205</v>
      </c>
      <c r="H1419" s="30" t="s">
        <v>205</v>
      </c>
      <c r="I1419" s="29" t="s">
        <v>257</v>
      </c>
      <c r="J1419" s="29" t="s">
        <v>99</v>
      </c>
      <c r="K1419" s="30" t="s">
        <v>70</v>
      </c>
      <c r="L1419" s="29" t="str">
        <f t="shared" si="22"/>
        <v>HOIMA-KAMPALA</v>
      </c>
      <c r="M1419" s="31">
        <v>65</v>
      </c>
      <c r="N1419" s="72">
        <v>15000</v>
      </c>
      <c r="O1419" s="34">
        <v>3.8</v>
      </c>
    </row>
    <row r="1420" spans="2:15" x14ac:dyDescent="0.2">
      <c r="B1420" s="27">
        <v>0.60416666666666663</v>
      </c>
      <c r="C1420" s="28">
        <v>6</v>
      </c>
      <c r="D1420" s="33" t="str">
        <f>IF(C1420="", "",VLOOKUP(C1420,Key!$A$5:$B$7,2,FALSE))</f>
        <v>Large Bus</v>
      </c>
      <c r="E1420" s="29" t="s">
        <v>228</v>
      </c>
      <c r="F1420" s="29" t="s">
        <v>66</v>
      </c>
      <c r="G1420" s="29" t="s">
        <v>209</v>
      </c>
      <c r="H1420" s="30" t="s">
        <v>209</v>
      </c>
      <c r="I1420" s="29" t="s">
        <v>257</v>
      </c>
      <c r="J1420" s="29" t="s">
        <v>99</v>
      </c>
      <c r="K1420" s="30" t="s">
        <v>70</v>
      </c>
      <c r="L1420" s="29" t="str">
        <f t="shared" si="22"/>
        <v>BUNDIBUGYO-KAMPALA</v>
      </c>
      <c r="M1420" s="31">
        <v>65</v>
      </c>
      <c r="N1420" s="72">
        <v>23000</v>
      </c>
      <c r="O1420" s="34">
        <v>6.25</v>
      </c>
    </row>
    <row r="1421" spans="2:15" x14ac:dyDescent="0.2">
      <c r="B1421" s="27">
        <v>0.61944444444444446</v>
      </c>
      <c r="C1421" s="28">
        <v>6</v>
      </c>
      <c r="D1421" s="33" t="str">
        <f>IF(C1421="", "",VLOOKUP(C1421,Key!$A$5:$B$7,2,FALSE))</f>
        <v>Large Bus</v>
      </c>
      <c r="E1421" s="29" t="s">
        <v>228</v>
      </c>
      <c r="F1421" s="29" t="s">
        <v>66</v>
      </c>
      <c r="G1421" s="29" t="s">
        <v>207</v>
      </c>
      <c r="H1421" s="30" t="s">
        <v>207</v>
      </c>
      <c r="I1421" s="29" t="s">
        <v>257</v>
      </c>
      <c r="J1421" s="29" t="s">
        <v>99</v>
      </c>
      <c r="K1421" s="30" t="s">
        <v>70</v>
      </c>
      <c r="L1421" s="29" t="str">
        <f t="shared" si="22"/>
        <v>KASESE-KAMPALA</v>
      </c>
      <c r="M1421" s="31">
        <v>70</v>
      </c>
      <c r="N1421" s="72">
        <v>30000</v>
      </c>
      <c r="O1421" s="34">
        <v>7</v>
      </c>
    </row>
    <row r="1422" spans="2:15" x14ac:dyDescent="0.2">
      <c r="B1422" s="27">
        <v>0.72986111111111107</v>
      </c>
      <c r="C1422" s="28">
        <v>6</v>
      </c>
      <c r="D1422" s="33" t="str">
        <f>IF(C1422="", "",VLOOKUP(C1422,Key!$A$5:$B$7,2,FALSE))</f>
        <v>Large Bus</v>
      </c>
      <c r="E1422" s="29" t="s">
        <v>228</v>
      </c>
      <c r="F1422" s="29" t="s">
        <v>66</v>
      </c>
      <c r="G1422" s="29" t="s">
        <v>205</v>
      </c>
      <c r="H1422" s="30" t="s">
        <v>205</v>
      </c>
      <c r="I1422" s="29" t="s">
        <v>257</v>
      </c>
      <c r="J1422" s="29" t="s">
        <v>99</v>
      </c>
      <c r="K1422" s="30" t="s">
        <v>70</v>
      </c>
      <c r="L1422" s="29" t="str">
        <f t="shared" si="22"/>
        <v>HOIMA-KAMPALA</v>
      </c>
      <c r="M1422" s="31">
        <v>65</v>
      </c>
      <c r="N1422" s="72">
        <v>15000</v>
      </c>
      <c r="O1422" s="34">
        <v>3.8</v>
      </c>
    </row>
    <row r="1423" spans="2:15" x14ac:dyDescent="0.2">
      <c r="B1423" s="27">
        <v>0.64583333333333337</v>
      </c>
      <c r="C1423" s="28">
        <v>6</v>
      </c>
      <c r="D1423" s="33" t="str">
        <f>IF(C1423="", "",VLOOKUP(C1423,Key!$A$5:$B$7,2,FALSE))</f>
        <v>Large Bus</v>
      </c>
      <c r="E1423" s="29" t="s">
        <v>228</v>
      </c>
      <c r="F1423" s="29" t="s">
        <v>66</v>
      </c>
      <c r="G1423" s="29" t="s">
        <v>205</v>
      </c>
      <c r="H1423" s="30" t="s">
        <v>205</v>
      </c>
      <c r="I1423" s="29" t="s">
        <v>257</v>
      </c>
      <c r="J1423" s="29" t="s">
        <v>99</v>
      </c>
      <c r="K1423" s="30" t="s">
        <v>70</v>
      </c>
      <c r="L1423" s="29" t="str">
        <f t="shared" si="22"/>
        <v>HOIMA-KAMPALA</v>
      </c>
      <c r="M1423" s="31">
        <v>50</v>
      </c>
      <c r="N1423" s="72">
        <v>15000</v>
      </c>
      <c r="O1423" s="34">
        <v>3.8</v>
      </c>
    </row>
    <row r="1424" spans="2:15" x14ac:dyDescent="0.2">
      <c r="B1424" s="27">
        <v>0.65347222222222223</v>
      </c>
      <c r="C1424" s="28">
        <v>6</v>
      </c>
      <c r="D1424" s="33" t="str">
        <f>IF(C1424="", "",VLOOKUP(C1424,Key!$A$5:$B$7,2,FALSE))</f>
        <v>Large Bus</v>
      </c>
      <c r="E1424" s="29" t="s">
        <v>228</v>
      </c>
      <c r="F1424" s="29" t="s">
        <v>66</v>
      </c>
      <c r="G1424" s="29" t="s">
        <v>206</v>
      </c>
      <c r="H1424" s="30" t="s">
        <v>206</v>
      </c>
      <c r="I1424" s="29" t="s">
        <v>257</v>
      </c>
      <c r="J1424" s="29" t="s">
        <v>99</v>
      </c>
      <c r="K1424" s="30" t="s">
        <v>70</v>
      </c>
      <c r="L1424" s="29" t="str">
        <f t="shared" si="22"/>
        <v>MASINDI-KAMPALA</v>
      </c>
      <c r="M1424" s="31">
        <v>65</v>
      </c>
      <c r="N1424" s="72">
        <v>12000</v>
      </c>
      <c r="O1424" s="34">
        <v>3.25</v>
      </c>
    </row>
    <row r="1425" spans="2:15" x14ac:dyDescent="0.2">
      <c r="B1425" s="27">
        <v>0.68958333333333333</v>
      </c>
      <c r="C1425" s="28">
        <v>6</v>
      </c>
      <c r="D1425" s="33" t="str">
        <f>IF(C1425="", "",VLOOKUP(C1425,Key!$A$5:$B$7,2,FALSE))</f>
        <v>Large Bus</v>
      </c>
      <c r="E1425" s="29" t="s">
        <v>228</v>
      </c>
      <c r="F1425" s="29" t="s">
        <v>66</v>
      </c>
      <c r="G1425" s="29" t="s">
        <v>209</v>
      </c>
      <c r="H1425" s="30" t="s">
        <v>209</v>
      </c>
      <c r="I1425" s="29" t="s">
        <v>257</v>
      </c>
      <c r="J1425" s="29" t="s">
        <v>99</v>
      </c>
      <c r="K1425" s="30" t="s">
        <v>70</v>
      </c>
      <c r="L1425" s="29" t="str">
        <f t="shared" si="22"/>
        <v>BUNDIBUGYO-KAMPALA</v>
      </c>
      <c r="M1425" s="31">
        <v>65</v>
      </c>
      <c r="N1425" s="72">
        <v>23000</v>
      </c>
      <c r="O1425" s="34">
        <v>6.25</v>
      </c>
    </row>
    <row r="1426" spans="2:15" x14ac:dyDescent="0.2">
      <c r="B1426" s="27">
        <v>0.71319444444444446</v>
      </c>
      <c r="C1426" s="28">
        <v>6</v>
      </c>
      <c r="D1426" s="33" t="str">
        <f>IF(C1426="", "",VLOOKUP(C1426,Key!$A$5:$B$7,2,FALSE))</f>
        <v>Large Bus</v>
      </c>
      <c r="E1426" s="29" t="s">
        <v>228</v>
      </c>
      <c r="F1426" s="29" t="s">
        <v>66</v>
      </c>
      <c r="G1426" s="29" t="s">
        <v>207</v>
      </c>
      <c r="H1426" s="30" t="s">
        <v>207</v>
      </c>
      <c r="I1426" s="29" t="s">
        <v>257</v>
      </c>
      <c r="J1426" s="29" t="s">
        <v>99</v>
      </c>
      <c r="K1426" s="30" t="s">
        <v>70</v>
      </c>
      <c r="L1426" s="29" t="str">
        <f t="shared" si="22"/>
        <v>KASESE-KAMPALA</v>
      </c>
      <c r="M1426" s="31">
        <v>40</v>
      </c>
      <c r="N1426" s="72">
        <v>30000</v>
      </c>
      <c r="O1426" s="34">
        <v>7</v>
      </c>
    </row>
    <row r="1427" spans="2:15" x14ac:dyDescent="0.2">
      <c r="B1427" s="27">
        <v>0.71666666666666667</v>
      </c>
      <c r="C1427" s="28">
        <v>6</v>
      </c>
      <c r="D1427" s="33" t="str">
        <f>IF(C1427="", "",VLOOKUP(C1427,Key!$A$5:$B$7,2,FALSE))</f>
        <v>Large Bus</v>
      </c>
      <c r="E1427" s="29" t="s">
        <v>228</v>
      </c>
      <c r="F1427" s="29" t="s">
        <v>66</v>
      </c>
      <c r="G1427" s="29" t="s">
        <v>209</v>
      </c>
      <c r="H1427" s="30" t="s">
        <v>209</v>
      </c>
      <c r="I1427" s="29" t="s">
        <v>257</v>
      </c>
      <c r="J1427" s="29" t="s">
        <v>99</v>
      </c>
      <c r="K1427" s="30" t="s">
        <v>70</v>
      </c>
      <c r="L1427" s="29" t="str">
        <f t="shared" si="22"/>
        <v>BUNDIBUGYO-KAMPALA</v>
      </c>
      <c r="M1427" s="31">
        <v>65</v>
      </c>
      <c r="N1427" s="72">
        <v>23000</v>
      </c>
      <c r="O1427" s="34">
        <v>6.25</v>
      </c>
    </row>
    <row r="1428" spans="2:15" x14ac:dyDescent="0.2">
      <c r="B1428" s="27">
        <v>0.72291666666666676</v>
      </c>
      <c r="C1428" s="28">
        <v>6</v>
      </c>
      <c r="D1428" s="33" t="str">
        <f>IF(C1428="", "",VLOOKUP(C1428,Key!$A$5:$B$7,2,FALSE))</f>
        <v>Large Bus</v>
      </c>
      <c r="E1428" s="29" t="s">
        <v>228</v>
      </c>
      <c r="F1428" s="29" t="s">
        <v>66</v>
      </c>
      <c r="G1428" s="29" t="s">
        <v>208</v>
      </c>
      <c r="H1428" s="30" t="s">
        <v>208</v>
      </c>
      <c r="I1428" s="29" t="s">
        <v>257</v>
      </c>
      <c r="J1428" s="29" t="s">
        <v>99</v>
      </c>
      <c r="K1428" s="30" t="s">
        <v>70</v>
      </c>
      <c r="L1428" s="29" t="str">
        <f t="shared" si="22"/>
        <v>BWERA-KAMPALA</v>
      </c>
      <c r="M1428" s="31">
        <v>60</v>
      </c>
      <c r="N1428" s="72">
        <v>35000</v>
      </c>
      <c r="O1428" s="34">
        <v>7.25</v>
      </c>
    </row>
    <row r="1429" spans="2:15" x14ac:dyDescent="0.2">
      <c r="B1429" s="27">
        <v>0.74375000000000002</v>
      </c>
      <c r="C1429" s="28">
        <v>6</v>
      </c>
      <c r="D1429" s="33" t="str">
        <f>IF(C1429="", "",VLOOKUP(C1429,Key!$A$5:$B$7,2,FALSE))</f>
        <v>Large Bus</v>
      </c>
      <c r="E1429" s="29" t="s">
        <v>228</v>
      </c>
      <c r="F1429" s="29" t="s">
        <v>66</v>
      </c>
      <c r="G1429" s="29" t="s">
        <v>207</v>
      </c>
      <c r="H1429" s="30" t="s">
        <v>207</v>
      </c>
      <c r="I1429" s="29" t="s">
        <v>257</v>
      </c>
      <c r="J1429" s="29" t="s">
        <v>99</v>
      </c>
      <c r="K1429" s="30" t="s">
        <v>70</v>
      </c>
      <c r="L1429" s="29" t="str">
        <f t="shared" si="22"/>
        <v>KASESE-KAMPALA</v>
      </c>
      <c r="M1429" s="31">
        <v>67</v>
      </c>
      <c r="N1429" s="72">
        <v>30000</v>
      </c>
      <c r="O1429" s="34">
        <v>7</v>
      </c>
    </row>
    <row r="1430" spans="2:15" x14ac:dyDescent="0.2">
      <c r="B1430" s="27">
        <v>0.70277777777777783</v>
      </c>
      <c r="C1430" s="28">
        <v>6</v>
      </c>
      <c r="D1430" s="33" t="str">
        <f>IF(C1430="", "",VLOOKUP(C1430,Key!$A$5:$B$7,2,FALSE))</f>
        <v>Large Bus</v>
      </c>
      <c r="E1430" s="29" t="s">
        <v>228</v>
      </c>
      <c r="F1430" s="29" t="s">
        <v>66</v>
      </c>
      <c r="G1430" s="29" t="s">
        <v>206</v>
      </c>
      <c r="H1430" s="30" t="s">
        <v>206</v>
      </c>
      <c r="I1430" s="29" t="s">
        <v>257</v>
      </c>
      <c r="J1430" s="29" t="s">
        <v>99</v>
      </c>
      <c r="K1430" s="30" t="s">
        <v>70</v>
      </c>
      <c r="L1430" s="29" t="str">
        <f t="shared" si="22"/>
        <v>MASINDI-KAMPALA</v>
      </c>
      <c r="M1430" s="31">
        <v>65</v>
      </c>
      <c r="N1430" s="72">
        <v>12000</v>
      </c>
      <c r="O1430" s="34">
        <v>3.25</v>
      </c>
    </row>
    <row r="1431" spans="2:15" x14ac:dyDescent="0.2">
      <c r="B1431" s="27">
        <v>0.79999999999999993</v>
      </c>
      <c r="C1431" s="28">
        <v>6</v>
      </c>
      <c r="D1431" s="33" t="str">
        <f>IF(C1431="", "",VLOOKUP(C1431,Key!$A$5:$B$7,2,FALSE))</f>
        <v>Large Bus</v>
      </c>
      <c r="E1431" s="29" t="s">
        <v>228</v>
      </c>
      <c r="F1431" s="29" t="s">
        <v>66</v>
      </c>
      <c r="G1431" s="29" t="s">
        <v>208</v>
      </c>
      <c r="H1431" s="30" t="s">
        <v>208</v>
      </c>
      <c r="I1431" s="29" t="s">
        <v>257</v>
      </c>
      <c r="J1431" s="29" t="s">
        <v>99</v>
      </c>
      <c r="K1431" s="30" t="s">
        <v>70</v>
      </c>
      <c r="L1431" s="29" t="str">
        <f t="shared" si="22"/>
        <v>BWERA-KAMPALA</v>
      </c>
      <c r="M1431" s="31">
        <v>65</v>
      </c>
      <c r="N1431" s="72">
        <v>35000</v>
      </c>
      <c r="O1431" s="34">
        <v>7.25</v>
      </c>
    </row>
    <row r="1432" spans="2:15" x14ac:dyDescent="0.2">
      <c r="B1432" s="27">
        <v>0.8027777777777777</v>
      </c>
      <c r="C1432" s="28">
        <v>6</v>
      </c>
      <c r="D1432" s="33" t="str">
        <f>IF(C1432="", "",VLOOKUP(C1432,Key!$A$5:$B$7,2,FALSE))</f>
        <v>Large Bus</v>
      </c>
      <c r="E1432" s="29" t="s">
        <v>228</v>
      </c>
      <c r="F1432" s="29" t="s">
        <v>66</v>
      </c>
      <c r="G1432" s="29" t="s">
        <v>207</v>
      </c>
      <c r="H1432" s="30" t="s">
        <v>207</v>
      </c>
      <c r="I1432" s="29" t="s">
        <v>257</v>
      </c>
      <c r="J1432" s="29" t="s">
        <v>99</v>
      </c>
      <c r="K1432" s="30" t="s">
        <v>70</v>
      </c>
      <c r="L1432" s="29" t="str">
        <f t="shared" si="22"/>
        <v>KASESE-KAMPALA</v>
      </c>
      <c r="M1432" s="31">
        <v>65</v>
      </c>
      <c r="N1432" s="72">
        <v>30000</v>
      </c>
      <c r="O1432" s="34">
        <v>7</v>
      </c>
    </row>
    <row r="1433" spans="2:15" x14ac:dyDescent="0.2">
      <c r="B1433" s="27">
        <v>0.81388888888888899</v>
      </c>
      <c r="C1433" s="28">
        <v>6</v>
      </c>
      <c r="D1433" s="33" t="str">
        <f>IF(C1433="", "",VLOOKUP(C1433,Key!$A$5:$B$7,2,FALSE))</f>
        <v>Large Bus</v>
      </c>
      <c r="E1433" s="29" t="s">
        <v>228</v>
      </c>
      <c r="F1433" s="29" t="s">
        <v>66</v>
      </c>
      <c r="G1433" s="29" t="s">
        <v>205</v>
      </c>
      <c r="H1433" s="30" t="s">
        <v>205</v>
      </c>
      <c r="I1433" s="29" t="s">
        <v>257</v>
      </c>
      <c r="J1433" s="29" t="s">
        <v>99</v>
      </c>
      <c r="K1433" s="30" t="s">
        <v>70</v>
      </c>
      <c r="L1433" s="29" t="str">
        <f t="shared" si="22"/>
        <v>HOIMA-KAMPALA</v>
      </c>
      <c r="M1433" s="31">
        <v>65</v>
      </c>
      <c r="N1433" s="72">
        <v>15000</v>
      </c>
      <c r="O1433" s="34">
        <v>3.8</v>
      </c>
    </row>
    <row r="1434" spans="2:15" x14ac:dyDescent="0.2">
      <c r="B1434" s="27">
        <v>0.88263888888888886</v>
      </c>
      <c r="C1434" s="28">
        <v>6</v>
      </c>
      <c r="D1434" s="33" t="str">
        <f>IF(C1434="", "",VLOOKUP(C1434,Key!$A$5:$B$7,2,FALSE))</f>
        <v>Large Bus</v>
      </c>
      <c r="E1434" s="29" t="s">
        <v>228</v>
      </c>
      <c r="F1434" s="29" t="s">
        <v>66</v>
      </c>
      <c r="G1434" s="29" t="s">
        <v>208</v>
      </c>
      <c r="H1434" s="30" t="s">
        <v>207</v>
      </c>
      <c r="I1434" s="29" t="s">
        <v>257</v>
      </c>
      <c r="J1434" s="29" t="s">
        <v>99</v>
      </c>
      <c r="K1434" s="30" t="s">
        <v>70</v>
      </c>
      <c r="L1434" s="29" t="str">
        <f t="shared" si="22"/>
        <v>KASESE-KAMPALA</v>
      </c>
      <c r="M1434" s="31">
        <v>67</v>
      </c>
      <c r="N1434" s="72">
        <v>30000</v>
      </c>
      <c r="O1434" s="34">
        <v>7</v>
      </c>
    </row>
    <row r="1435" spans="2:15" x14ac:dyDescent="0.2">
      <c r="B1435" s="27">
        <v>0.88402777777777775</v>
      </c>
      <c r="C1435" s="28">
        <v>6</v>
      </c>
      <c r="D1435" s="33" t="str">
        <f>IF(C1435="", "",VLOOKUP(C1435,Key!$A$5:$B$7,2,FALSE))</f>
        <v>Large Bus</v>
      </c>
      <c r="E1435" s="29" t="s">
        <v>228</v>
      </c>
      <c r="F1435" s="29" t="s">
        <v>66</v>
      </c>
      <c r="G1435" s="29" t="s">
        <v>206</v>
      </c>
      <c r="H1435" s="30" t="s">
        <v>206</v>
      </c>
      <c r="I1435" s="29" t="s">
        <v>257</v>
      </c>
      <c r="J1435" s="29" t="s">
        <v>99</v>
      </c>
      <c r="K1435" s="30" t="s">
        <v>70</v>
      </c>
      <c r="L1435" s="29" t="str">
        <f t="shared" si="22"/>
        <v>MASINDI-KAMPALA</v>
      </c>
      <c r="M1435" s="31">
        <v>65</v>
      </c>
      <c r="N1435" s="72">
        <v>12000</v>
      </c>
      <c r="O1435" s="34">
        <v>3.25</v>
      </c>
    </row>
    <row r="1436" spans="2:15" x14ac:dyDescent="0.2">
      <c r="B1436" s="27">
        <v>0.8881944444444444</v>
      </c>
      <c r="C1436" s="28">
        <v>6</v>
      </c>
      <c r="D1436" s="33" t="str">
        <f>IF(C1436="", "",VLOOKUP(C1436,Key!$A$5:$B$7,2,FALSE))</f>
        <v>Large Bus</v>
      </c>
      <c r="E1436" s="29" t="s">
        <v>228</v>
      </c>
      <c r="F1436" s="29" t="s">
        <v>66</v>
      </c>
      <c r="G1436" s="29" t="s">
        <v>205</v>
      </c>
      <c r="H1436" s="30" t="s">
        <v>205</v>
      </c>
      <c r="I1436" s="29" t="s">
        <v>257</v>
      </c>
      <c r="J1436" s="29" t="s">
        <v>99</v>
      </c>
      <c r="K1436" s="30" t="s">
        <v>70</v>
      </c>
      <c r="L1436" s="29" t="str">
        <f t="shared" si="22"/>
        <v>HOIMA-KAMPALA</v>
      </c>
      <c r="M1436" s="31">
        <v>67</v>
      </c>
      <c r="N1436" s="72">
        <v>15000</v>
      </c>
      <c r="O1436" s="34">
        <v>3.8</v>
      </c>
    </row>
    <row r="1437" spans="2:15" x14ac:dyDescent="0.2">
      <c r="B1437" s="27">
        <v>0.93125000000000002</v>
      </c>
      <c r="C1437" s="28">
        <v>6</v>
      </c>
      <c r="D1437" s="33" t="str">
        <f>IF(C1437="", "",VLOOKUP(C1437,Key!$A$5:$B$7,2,FALSE))</f>
        <v>Large Bus</v>
      </c>
      <c r="E1437" s="29" t="s">
        <v>228</v>
      </c>
      <c r="F1437" s="29" t="s">
        <v>66</v>
      </c>
      <c r="G1437" s="29" t="s">
        <v>213</v>
      </c>
      <c r="H1437" s="30" t="s">
        <v>205</v>
      </c>
      <c r="I1437" s="29" t="s">
        <v>257</v>
      </c>
      <c r="J1437" s="29" t="s">
        <v>99</v>
      </c>
      <c r="K1437" s="30" t="s">
        <v>70</v>
      </c>
      <c r="L1437" s="29" t="str">
        <f t="shared" si="22"/>
        <v>HOIMA-KAMPALA</v>
      </c>
      <c r="M1437" s="31">
        <v>65</v>
      </c>
      <c r="N1437" s="72">
        <v>15000</v>
      </c>
      <c r="O1437" s="34">
        <v>3.8</v>
      </c>
    </row>
    <row r="1438" spans="2:15" x14ac:dyDescent="0.2">
      <c r="B1438" s="27">
        <v>0.9819444444444444</v>
      </c>
      <c r="C1438" s="28">
        <v>6</v>
      </c>
      <c r="D1438" s="33" t="str">
        <f>IF(C1438="", "",VLOOKUP(C1438,Key!$A$5:$B$7,2,FALSE))</f>
        <v>Large Bus</v>
      </c>
      <c r="E1438" s="29" t="s">
        <v>228</v>
      </c>
      <c r="F1438" s="29" t="s">
        <v>66</v>
      </c>
      <c r="G1438" s="29" t="s">
        <v>207</v>
      </c>
      <c r="H1438" s="30" t="s">
        <v>207</v>
      </c>
      <c r="I1438" s="29" t="s">
        <v>257</v>
      </c>
      <c r="J1438" s="29" t="s">
        <v>99</v>
      </c>
      <c r="K1438" s="30" t="s">
        <v>70</v>
      </c>
      <c r="L1438" s="29" t="str">
        <f t="shared" si="22"/>
        <v>KASESE-KAMPALA</v>
      </c>
      <c r="M1438" s="31">
        <v>65</v>
      </c>
      <c r="N1438" s="72">
        <v>30000</v>
      </c>
      <c r="O1438" s="34">
        <v>7</v>
      </c>
    </row>
    <row r="1439" spans="2:15" x14ac:dyDescent="0.2">
      <c r="B1439" s="27">
        <v>0.98749999999999993</v>
      </c>
      <c r="C1439" s="28">
        <v>6</v>
      </c>
      <c r="D1439" s="33" t="str">
        <f>IF(C1439="", "",VLOOKUP(C1439,Key!$A$5:$B$7,2,FALSE))</f>
        <v>Large Bus</v>
      </c>
      <c r="E1439" s="29" t="s">
        <v>228</v>
      </c>
      <c r="F1439" s="29" t="s">
        <v>66</v>
      </c>
      <c r="G1439" s="29" t="s">
        <v>208</v>
      </c>
      <c r="H1439" s="30" t="s">
        <v>207</v>
      </c>
      <c r="I1439" s="29" t="s">
        <v>257</v>
      </c>
      <c r="J1439" s="29" t="s">
        <v>99</v>
      </c>
      <c r="K1439" s="30" t="s">
        <v>70</v>
      </c>
      <c r="L1439" s="29" t="str">
        <f t="shared" si="22"/>
        <v>KASESE-KAMPALA</v>
      </c>
      <c r="M1439" s="31">
        <v>67</v>
      </c>
      <c r="N1439" s="72">
        <v>30000</v>
      </c>
      <c r="O1439" s="34">
        <v>7</v>
      </c>
    </row>
    <row r="1440" spans="2:15" x14ac:dyDescent="0.2">
      <c r="B1440" s="27">
        <v>1.5277777777777777E-2</v>
      </c>
      <c r="C1440" s="28">
        <v>6</v>
      </c>
      <c r="D1440" s="33" t="str">
        <f>IF(C1440="", "",VLOOKUP(C1440,Key!$A$5:$B$7,2,FALSE))</f>
        <v>Large Bus</v>
      </c>
      <c r="E1440" s="29" t="s">
        <v>228</v>
      </c>
      <c r="F1440" s="29" t="s">
        <v>66</v>
      </c>
      <c r="G1440" s="29" t="s">
        <v>207</v>
      </c>
      <c r="H1440" s="30" t="s">
        <v>207</v>
      </c>
      <c r="I1440" s="29" t="s">
        <v>257</v>
      </c>
      <c r="J1440" s="29" t="s">
        <v>99</v>
      </c>
      <c r="K1440" s="30" t="s">
        <v>70</v>
      </c>
      <c r="L1440" s="29" t="str">
        <f t="shared" si="22"/>
        <v>KASESE-KAMPALA</v>
      </c>
      <c r="M1440" s="31">
        <v>65</v>
      </c>
      <c r="N1440" s="72">
        <v>30000</v>
      </c>
      <c r="O1440" s="34">
        <v>7</v>
      </c>
    </row>
    <row r="1441" spans="2:15" x14ac:dyDescent="0.2">
      <c r="B1441" s="27">
        <v>3.0555555555555555E-2</v>
      </c>
      <c r="C1441" s="28">
        <v>6</v>
      </c>
      <c r="D1441" s="33" t="str">
        <f>IF(C1441="", "",VLOOKUP(C1441,Key!$A$5:$B$7,2,FALSE))</f>
        <v>Large Bus</v>
      </c>
      <c r="E1441" s="29" t="s">
        <v>228</v>
      </c>
      <c r="F1441" s="29" t="s">
        <v>66</v>
      </c>
      <c r="G1441" s="29" t="s">
        <v>208</v>
      </c>
      <c r="H1441" s="30" t="s">
        <v>207</v>
      </c>
      <c r="I1441" s="29" t="s">
        <v>257</v>
      </c>
      <c r="J1441" s="29" t="s">
        <v>99</v>
      </c>
      <c r="K1441" s="30" t="s">
        <v>70</v>
      </c>
      <c r="L1441" s="29" t="str">
        <f t="shared" si="22"/>
        <v>KASESE-KAMPALA</v>
      </c>
      <c r="M1441" s="31">
        <v>67</v>
      </c>
      <c r="N1441" s="72">
        <v>30000</v>
      </c>
      <c r="O1441" s="34">
        <v>7</v>
      </c>
    </row>
    <row r="1442" spans="2:15" x14ac:dyDescent="0.2">
      <c r="B1442" s="27">
        <v>9.375E-2</v>
      </c>
      <c r="C1442" s="28">
        <v>6</v>
      </c>
      <c r="D1442" s="33" t="str">
        <f>IF(C1442="", "",VLOOKUP(C1442,Key!$A$5:$B$7,2,FALSE))</f>
        <v>Large Bus</v>
      </c>
      <c r="E1442" s="29" t="s">
        <v>228</v>
      </c>
      <c r="F1442" s="29" t="s">
        <v>66</v>
      </c>
      <c r="G1442" s="29" t="s">
        <v>207</v>
      </c>
      <c r="H1442" s="30" t="s">
        <v>207</v>
      </c>
      <c r="I1442" s="29" t="s">
        <v>257</v>
      </c>
      <c r="J1442" s="29" t="s">
        <v>99</v>
      </c>
      <c r="K1442" s="30" t="s">
        <v>70</v>
      </c>
      <c r="L1442" s="29" t="str">
        <f t="shared" si="22"/>
        <v>KASESE-KAMPALA</v>
      </c>
      <c r="M1442" s="31">
        <v>67</v>
      </c>
      <c r="N1442" s="72">
        <v>30000</v>
      </c>
      <c r="O1442" s="34">
        <v>7</v>
      </c>
    </row>
    <row r="1443" spans="2:15" x14ac:dyDescent="0.2">
      <c r="B1443" s="27">
        <v>0.11805555555555557</v>
      </c>
      <c r="C1443" s="28">
        <v>6</v>
      </c>
      <c r="D1443" s="33" t="str">
        <f>IF(C1443="", "",VLOOKUP(C1443,Key!$A$5:$B$7,2,FALSE))</f>
        <v>Large Bus</v>
      </c>
      <c r="E1443" s="29" t="s">
        <v>228</v>
      </c>
      <c r="F1443" s="29" t="s">
        <v>66</v>
      </c>
      <c r="G1443" s="29" t="s">
        <v>209</v>
      </c>
      <c r="H1443" s="30" t="s">
        <v>209</v>
      </c>
      <c r="I1443" s="29" t="s">
        <v>257</v>
      </c>
      <c r="J1443" s="29" t="s">
        <v>99</v>
      </c>
      <c r="K1443" s="30" t="s">
        <v>70</v>
      </c>
      <c r="L1443" s="29" t="str">
        <f t="shared" si="22"/>
        <v>BUNDIBUGYO-KAMPALA</v>
      </c>
      <c r="M1443" s="31">
        <v>65</v>
      </c>
      <c r="N1443" s="72">
        <v>23000</v>
      </c>
      <c r="O1443" s="34">
        <v>6.25</v>
      </c>
    </row>
    <row r="1444" spans="2:15" x14ac:dyDescent="0.2">
      <c r="B1444" s="27">
        <v>0.14791666666666667</v>
      </c>
      <c r="C1444" s="28">
        <v>6</v>
      </c>
      <c r="D1444" s="33" t="str">
        <f>IF(C1444="", "",VLOOKUP(C1444,Key!$A$5:$B$7,2,FALSE))</f>
        <v>Large Bus</v>
      </c>
      <c r="E1444" s="29" t="s">
        <v>228</v>
      </c>
      <c r="F1444" s="29" t="s">
        <v>66</v>
      </c>
      <c r="G1444" s="29" t="s">
        <v>207</v>
      </c>
      <c r="H1444" s="30" t="s">
        <v>207</v>
      </c>
      <c r="I1444" s="29" t="s">
        <v>257</v>
      </c>
      <c r="J1444" s="29" t="s">
        <v>99</v>
      </c>
      <c r="K1444" s="30" t="s">
        <v>70</v>
      </c>
      <c r="L1444" s="29" t="str">
        <f t="shared" si="22"/>
        <v>KASESE-KAMPALA</v>
      </c>
      <c r="M1444" s="31">
        <v>65</v>
      </c>
      <c r="N1444" s="72">
        <v>30000</v>
      </c>
      <c r="O1444" s="34">
        <v>7</v>
      </c>
    </row>
    <row r="1445" spans="2:15" x14ac:dyDescent="0.2">
      <c r="B1445" s="27">
        <v>0.19930555555555554</v>
      </c>
      <c r="C1445" s="28">
        <v>6</v>
      </c>
      <c r="D1445" s="33" t="str">
        <f>IF(C1445="", "",VLOOKUP(C1445,Key!$A$5:$B$7,2,FALSE))</f>
        <v>Large Bus</v>
      </c>
      <c r="E1445" s="29" t="s">
        <v>228</v>
      </c>
      <c r="F1445" s="29" t="s">
        <v>66</v>
      </c>
      <c r="G1445" s="29" t="s">
        <v>207</v>
      </c>
      <c r="H1445" s="30" t="s">
        <v>207</v>
      </c>
      <c r="I1445" s="29" t="s">
        <v>257</v>
      </c>
      <c r="J1445" s="29" t="s">
        <v>99</v>
      </c>
      <c r="K1445" s="30" t="s">
        <v>70</v>
      </c>
      <c r="L1445" s="29" t="str">
        <f t="shared" si="22"/>
        <v>KASESE-KAMPALA</v>
      </c>
      <c r="M1445" s="31">
        <v>65</v>
      </c>
      <c r="N1445" s="72">
        <v>30000</v>
      </c>
      <c r="O1445" s="34">
        <v>7</v>
      </c>
    </row>
    <row r="1446" spans="2:15" x14ac:dyDescent="0.2">
      <c r="B1446" s="27">
        <v>0.22916666666666666</v>
      </c>
      <c r="C1446" s="28">
        <v>6</v>
      </c>
      <c r="D1446" s="33" t="str">
        <f>IF(C1446="", "",VLOOKUP(C1446,Key!$A$5:$B$7,2,FALSE))</f>
        <v>Large Bus</v>
      </c>
      <c r="E1446" s="29" t="s">
        <v>228</v>
      </c>
      <c r="F1446" s="29" t="s">
        <v>66</v>
      </c>
      <c r="G1446" s="29" t="s">
        <v>208</v>
      </c>
      <c r="H1446" s="30" t="s">
        <v>207</v>
      </c>
      <c r="I1446" s="29" t="s">
        <v>257</v>
      </c>
      <c r="J1446" s="29" t="s">
        <v>99</v>
      </c>
      <c r="K1446" s="30" t="s">
        <v>70</v>
      </c>
      <c r="L1446" s="29" t="str">
        <f t="shared" si="22"/>
        <v>KASESE-KAMPALA</v>
      </c>
      <c r="M1446" s="31">
        <v>65</v>
      </c>
      <c r="N1446" s="72">
        <v>30000</v>
      </c>
      <c r="O1446" s="34">
        <v>7</v>
      </c>
    </row>
    <row r="1447" spans="2:15" x14ac:dyDescent="0.2">
      <c r="B1447" s="45" t="s">
        <v>222</v>
      </c>
      <c r="C1447" s="47"/>
      <c r="D1447" s="33" t="str">
        <f>IF(C1447="", "",VLOOKUP(C1447,Key!$A$5:$B$7,2,FALSE))</f>
        <v/>
      </c>
      <c r="E1447" s="44" t="s">
        <v>228</v>
      </c>
      <c r="F1447" s="48"/>
      <c r="G1447" s="47"/>
      <c r="H1447" s="47"/>
      <c r="I1447" s="47" t="s">
        <v>257</v>
      </c>
      <c r="J1447" s="47"/>
      <c r="K1447" s="47"/>
      <c r="L1447" s="47" t="str">
        <f t="shared" si="22"/>
        <v>-</v>
      </c>
      <c r="M1447" s="47"/>
      <c r="N1447" s="48"/>
      <c r="O1447" s="48"/>
    </row>
    <row r="1448" spans="2:15" x14ac:dyDescent="0.2">
      <c r="B1448" s="27">
        <v>0.11597222222222221</v>
      </c>
      <c r="C1448" s="28">
        <v>6</v>
      </c>
      <c r="D1448" s="33" t="str">
        <f>IF(C1448="", "",VLOOKUP(C1448,Key!$A$5:$B$7,2,FALSE))</f>
        <v>Large Bus</v>
      </c>
      <c r="E1448" s="29" t="s">
        <v>228</v>
      </c>
      <c r="F1448" s="29" t="s">
        <v>66</v>
      </c>
      <c r="G1448" s="29" t="s">
        <v>99</v>
      </c>
      <c r="H1448" s="30" t="s">
        <v>70</v>
      </c>
      <c r="I1448" s="29" t="s">
        <v>257</v>
      </c>
      <c r="J1448" s="29" t="s">
        <v>206</v>
      </c>
      <c r="K1448" s="30" t="s">
        <v>206</v>
      </c>
      <c r="L1448" s="29" t="str">
        <f t="shared" si="22"/>
        <v>KAMPALA-MASINDI</v>
      </c>
      <c r="M1448" s="31">
        <v>67</v>
      </c>
      <c r="N1448" s="72">
        <v>15000</v>
      </c>
      <c r="O1448" s="34">
        <v>3.25</v>
      </c>
    </row>
    <row r="1449" spans="2:15" x14ac:dyDescent="0.2">
      <c r="B1449" s="27">
        <v>0.12152777777777778</v>
      </c>
      <c r="C1449" s="28">
        <v>6</v>
      </c>
      <c r="D1449" s="33" t="str">
        <f>IF(C1449="", "",VLOOKUP(C1449,Key!$A$5:$B$7,2,FALSE))</f>
        <v>Large Bus</v>
      </c>
      <c r="E1449" s="29" t="s">
        <v>228</v>
      </c>
      <c r="F1449" s="29" t="s">
        <v>66</v>
      </c>
      <c r="G1449" s="29" t="s">
        <v>99</v>
      </c>
      <c r="H1449" s="30" t="s">
        <v>70</v>
      </c>
      <c r="I1449" s="29" t="s">
        <v>257</v>
      </c>
      <c r="J1449" s="29" t="s">
        <v>207</v>
      </c>
      <c r="K1449" s="30" t="s">
        <v>207</v>
      </c>
      <c r="L1449" s="29" t="str">
        <f t="shared" si="22"/>
        <v>KAMPALA-KASESE</v>
      </c>
      <c r="M1449" s="31">
        <v>67</v>
      </c>
      <c r="N1449" s="72">
        <v>35000</v>
      </c>
      <c r="O1449" s="34">
        <v>7</v>
      </c>
    </row>
    <row r="1450" spans="2:15" x14ac:dyDescent="0.2">
      <c r="B1450" s="27">
        <v>0.13194444444444445</v>
      </c>
      <c r="C1450" s="28">
        <v>6</v>
      </c>
      <c r="D1450" s="33" t="str">
        <f>IF(C1450="", "",VLOOKUP(C1450,Key!$A$5:$B$7,2,FALSE))</f>
        <v>Large Bus</v>
      </c>
      <c r="E1450" s="29" t="s">
        <v>228</v>
      </c>
      <c r="F1450" s="29" t="s">
        <v>66</v>
      </c>
      <c r="G1450" s="29" t="s">
        <v>99</v>
      </c>
      <c r="H1450" s="30" t="s">
        <v>70</v>
      </c>
      <c r="I1450" s="29" t="s">
        <v>257</v>
      </c>
      <c r="J1450" s="29" t="s">
        <v>205</v>
      </c>
      <c r="K1450" s="30" t="s">
        <v>205</v>
      </c>
      <c r="L1450" s="29" t="str">
        <f t="shared" si="22"/>
        <v>KAMPALA-HOIMA</v>
      </c>
      <c r="M1450" s="31">
        <v>65</v>
      </c>
      <c r="N1450" s="72">
        <v>15000</v>
      </c>
      <c r="O1450" s="34">
        <v>3.8</v>
      </c>
    </row>
    <row r="1451" spans="2:15" x14ac:dyDescent="0.2">
      <c r="B1451" s="27">
        <v>0.16388888888888889</v>
      </c>
      <c r="C1451" s="28">
        <v>6</v>
      </c>
      <c r="D1451" s="33" t="str">
        <f>IF(C1451="", "",VLOOKUP(C1451,Key!$A$5:$B$7,2,FALSE))</f>
        <v>Large Bus</v>
      </c>
      <c r="E1451" s="29" t="s">
        <v>228</v>
      </c>
      <c r="F1451" s="29" t="s">
        <v>66</v>
      </c>
      <c r="G1451" s="29" t="s">
        <v>99</v>
      </c>
      <c r="H1451" s="30" t="s">
        <v>70</v>
      </c>
      <c r="I1451" s="29" t="s">
        <v>257</v>
      </c>
      <c r="J1451" s="29" t="s">
        <v>207</v>
      </c>
      <c r="K1451" s="30" t="s">
        <v>207</v>
      </c>
      <c r="L1451" s="29" t="str">
        <f t="shared" si="22"/>
        <v>KAMPALA-KASESE</v>
      </c>
      <c r="M1451" s="31">
        <v>67</v>
      </c>
      <c r="N1451" s="72">
        <v>35000</v>
      </c>
      <c r="O1451" s="34">
        <v>7</v>
      </c>
    </row>
    <row r="1452" spans="2:15" x14ac:dyDescent="0.2">
      <c r="B1452" s="27">
        <v>0.18888888888888888</v>
      </c>
      <c r="C1452" s="28">
        <v>6</v>
      </c>
      <c r="D1452" s="33" t="str">
        <f>IF(C1452="", "",VLOOKUP(C1452,Key!$A$5:$B$7,2,FALSE))</f>
        <v>Large Bus</v>
      </c>
      <c r="E1452" s="29" t="s">
        <v>228</v>
      </c>
      <c r="F1452" s="29" t="s">
        <v>66</v>
      </c>
      <c r="G1452" s="29" t="s">
        <v>99</v>
      </c>
      <c r="H1452" s="30" t="s">
        <v>70</v>
      </c>
      <c r="I1452" s="29" t="s">
        <v>257</v>
      </c>
      <c r="J1452" s="29" t="s">
        <v>212</v>
      </c>
      <c r="K1452" s="30" t="s">
        <v>212</v>
      </c>
      <c r="L1452" s="29" t="str">
        <f t="shared" si="22"/>
        <v>KAMPALA-FORT PORTAL</v>
      </c>
      <c r="M1452" s="31">
        <v>67</v>
      </c>
      <c r="N1452" s="72">
        <v>20000</v>
      </c>
      <c r="O1452" s="34">
        <v>5</v>
      </c>
    </row>
    <row r="1453" spans="2:15" x14ac:dyDescent="0.2">
      <c r="B1453" s="27">
        <v>0.20069444444444443</v>
      </c>
      <c r="C1453" s="28">
        <v>6</v>
      </c>
      <c r="D1453" s="33" t="str">
        <f>IF(C1453="", "",VLOOKUP(C1453,Key!$A$5:$B$7,2,FALSE))</f>
        <v>Large Bus</v>
      </c>
      <c r="E1453" s="29" t="s">
        <v>228</v>
      </c>
      <c r="F1453" s="29" t="s">
        <v>66</v>
      </c>
      <c r="G1453" s="29" t="s">
        <v>99</v>
      </c>
      <c r="H1453" s="30" t="s">
        <v>70</v>
      </c>
      <c r="I1453" s="29" t="s">
        <v>257</v>
      </c>
      <c r="J1453" s="29" t="s">
        <v>206</v>
      </c>
      <c r="K1453" s="30" t="s">
        <v>206</v>
      </c>
      <c r="L1453" s="29" t="str">
        <f t="shared" si="22"/>
        <v>KAMPALA-MASINDI</v>
      </c>
      <c r="M1453" s="31">
        <v>67</v>
      </c>
      <c r="N1453" s="72">
        <v>15000</v>
      </c>
      <c r="O1453" s="34">
        <v>3.25</v>
      </c>
    </row>
    <row r="1454" spans="2:15" x14ac:dyDescent="0.2">
      <c r="B1454" s="27">
        <v>0.20347222222222219</v>
      </c>
      <c r="C1454" s="28">
        <v>6</v>
      </c>
      <c r="D1454" s="33" t="str">
        <f>IF(C1454="", "",VLOOKUP(C1454,Key!$A$5:$B$7,2,FALSE))</f>
        <v>Large Bus</v>
      </c>
      <c r="E1454" s="29" t="s">
        <v>228</v>
      </c>
      <c r="F1454" s="29" t="s">
        <v>66</v>
      </c>
      <c r="G1454" s="29" t="s">
        <v>99</v>
      </c>
      <c r="H1454" s="30" t="s">
        <v>70</v>
      </c>
      <c r="I1454" s="29" t="s">
        <v>257</v>
      </c>
      <c r="J1454" s="29" t="s">
        <v>205</v>
      </c>
      <c r="K1454" s="30" t="s">
        <v>205</v>
      </c>
      <c r="L1454" s="29" t="str">
        <f t="shared" si="22"/>
        <v>KAMPALA-HOIMA</v>
      </c>
      <c r="M1454" s="31">
        <v>67</v>
      </c>
      <c r="N1454" s="72">
        <v>15000</v>
      </c>
      <c r="O1454" s="34">
        <v>3.8</v>
      </c>
    </row>
    <row r="1455" spans="2:15" x14ac:dyDescent="0.2">
      <c r="B1455" s="27">
        <v>0.21180555555555555</v>
      </c>
      <c r="C1455" s="28">
        <v>6</v>
      </c>
      <c r="D1455" s="33" t="str">
        <f>IF(C1455="", "",VLOOKUP(C1455,Key!$A$5:$B$7,2,FALSE))</f>
        <v>Large Bus</v>
      </c>
      <c r="E1455" s="29" t="s">
        <v>228</v>
      </c>
      <c r="F1455" s="29" t="s">
        <v>66</v>
      </c>
      <c r="G1455" s="29" t="s">
        <v>99</v>
      </c>
      <c r="H1455" s="30" t="s">
        <v>70</v>
      </c>
      <c r="I1455" s="29" t="s">
        <v>257</v>
      </c>
      <c r="J1455" s="29" t="s">
        <v>207</v>
      </c>
      <c r="K1455" s="30" t="s">
        <v>207</v>
      </c>
      <c r="L1455" s="29" t="str">
        <f t="shared" si="22"/>
        <v>KAMPALA-KASESE</v>
      </c>
      <c r="M1455" s="31">
        <v>67</v>
      </c>
      <c r="N1455" s="72">
        <v>35000</v>
      </c>
      <c r="O1455" s="34">
        <v>7</v>
      </c>
    </row>
    <row r="1456" spans="2:15" x14ac:dyDescent="0.2">
      <c r="B1456" s="27">
        <v>0.22013888888888888</v>
      </c>
      <c r="C1456" s="28">
        <v>6</v>
      </c>
      <c r="D1456" s="33" t="str">
        <f>IF(C1456="", "",VLOOKUP(C1456,Key!$A$5:$B$7,2,FALSE))</f>
        <v>Large Bus</v>
      </c>
      <c r="E1456" s="29" t="s">
        <v>228</v>
      </c>
      <c r="F1456" s="29" t="s">
        <v>66</v>
      </c>
      <c r="G1456" s="29" t="s">
        <v>99</v>
      </c>
      <c r="H1456" s="30" t="s">
        <v>70</v>
      </c>
      <c r="I1456" s="29" t="s">
        <v>257</v>
      </c>
      <c r="J1456" s="29" t="s">
        <v>207</v>
      </c>
      <c r="K1456" s="30" t="s">
        <v>207</v>
      </c>
      <c r="L1456" s="29" t="str">
        <f t="shared" si="22"/>
        <v>KAMPALA-KASESE</v>
      </c>
      <c r="M1456" s="31">
        <v>67</v>
      </c>
      <c r="N1456" s="72">
        <v>35000</v>
      </c>
      <c r="O1456" s="34">
        <v>7</v>
      </c>
    </row>
    <row r="1457" spans="2:15" x14ac:dyDescent="0.2">
      <c r="B1457" s="27">
        <v>0.26805555555555555</v>
      </c>
      <c r="C1457" s="28">
        <v>6</v>
      </c>
      <c r="D1457" s="33" t="str">
        <f>IF(C1457="", "",VLOOKUP(C1457,Key!$A$5:$B$7,2,FALSE))</f>
        <v>Large Bus</v>
      </c>
      <c r="E1457" s="29" t="s">
        <v>228</v>
      </c>
      <c r="F1457" s="29" t="s">
        <v>66</v>
      </c>
      <c r="G1457" s="29" t="s">
        <v>99</v>
      </c>
      <c r="H1457" s="30" t="s">
        <v>70</v>
      </c>
      <c r="I1457" s="29" t="s">
        <v>257</v>
      </c>
      <c r="J1457" s="29" t="s">
        <v>207</v>
      </c>
      <c r="K1457" s="30" t="s">
        <v>207</v>
      </c>
      <c r="L1457" s="29" t="str">
        <f t="shared" si="22"/>
        <v>KAMPALA-KASESE</v>
      </c>
      <c r="M1457" s="31">
        <v>67</v>
      </c>
      <c r="N1457" s="72">
        <v>35000</v>
      </c>
      <c r="O1457" s="34">
        <v>7</v>
      </c>
    </row>
    <row r="1458" spans="2:15" x14ac:dyDescent="0.2">
      <c r="B1458" s="27">
        <v>0.28611111111111115</v>
      </c>
      <c r="C1458" s="28">
        <v>6</v>
      </c>
      <c r="D1458" s="33" t="str">
        <f>IF(C1458="", "",VLOOKUP(C1458,Key!$A$5:$B$7,2,FALSE))</f>
        <v>Large Bus</v>
      </c>
      <c r="E1458" s="29" t="s">
        <v>228</v>
      </c>
      <c r="F1458" s="29" t="s">
        <v>66</v>
      </c>
      <c r="G1458" s="29" t="s">
        <v>99</v>
      </c>
      <c r="H1458" s="30" t="s">
        <v>70</v>
      </c>
      <c r="I1458" s="29" t="s">
        <v>257</v>
      </c>
      <c r="J1458" s="29" t="s">
        <v>206</v>
      </c>
      <c r="K1458" s="30" t="s">
        <v>206</v>
      </c>
      <c r="L1458" s="29" t="str">
        <f t="shared" si="22"/>
        <v>KAMPALA-MASINDI</v>
      </c>
      <c r="M1458" s="31">
        <v>65</v>
      </c>
      <c r="N1458" s="72">
        <v>15000</v>
      </c>
      <c r="O1458" s="34">
        <v>3.25</v>
      </c>
    </row>
    <row r="1459" spans="2:15" x14ac:dyDescent="0.2">
      <c r="B1459" s="27">
        <v>0.3215277777777778</v>
      </c>
      <c r="C1459" s="28">
        <v>6</v>
      </c>
      <c r="D1459" s="33" t="str">
        <f>IF(C1459="", "",VLOOKUP(C1459,Key!$A$5:$B$7,2,FALSE))</f>
        <v>Large Bus</v>
      </c>
      <c r="E1459" s="29" t="s">
        <v>228</v>
      </c>
      <c r="F1459" s="29" t="s">
        <v>66</v>
      </c>
      <c r="G1459" s="29" t="s">
        <v>99</v>
      </c>
      <c r="H1459" s="30" t="s">
        <v>70</v>
      </c>
      <c r="I1459" s="29" t="s">
        <v>257</v>
      </c>
      <c r="J1459" s="29" t="s">
        <v>209</v>
      </c>
      <c r="K1459" s="30" t="s">
        <v>209</v>
      </c>
      <c r="L1459" s="29" t="str">
        <f t="shared" si="22"/>
        <v>KAMPALA-BUNDIBUGYO</v>
      </c>
      <c r="M1459" s="31">
        <v>76</v>
      </c>
      <c r="N1459" s="72">
        <v>25000</v>
      </c>
      <c r="O1459" s="34">
        <v>6.25</v>
      </c>
    </row>
    <row r="1460" spans="2:15" x14ac:dyDescent="0.2">
      <c r="B1460" s="27">
        <v>0.32847222222222222</v>
      </c>
      <c r="C1460" s="28">
        <v>6</v>
      </c>
      <c r="D1460" s="33" t="str">
        <f>IF(C1460="", "",VLOOKUP(C1460,Key!$A$5:$B$7,2,FALSE))</f>
        <v>Large Bus</v>
      </c>
      <c r="E1460" s="29" t="s">
        <v>228</v>
      </c>
      <c r="F1460" s="29" t="s">
        <v>66</v>
      </c>
      <c r="G1460" s="29" t="s">
        <v>99</v>
      </c>
      <c r="H1460" s="30" t="s">
        <v>70</v>
      </c>
      <c r="I1460" s="29" t="s">
        <v>257</v>
      </c>
      <c r="J1460" s="29" t="s">
        <v>206</v>
      </c>
      <c r="K1460" s="30" t="s">
        <v>206</v>
      </c>
      <c r="L1460" s="29" t="str">
        <f t="shared" si="22"/>
        <v>KAMPALA-MASINDI</v>
      </c>
      <c r="M1460" s="31">
        <v>70</v>
      </c>
      <c r="N1460" s="72">
        <v>15000</v>
      </c>
      <c r="O1460" s="34">
        <v>3.25</v>
      </c>
    </row>
    <row r="1461" spans="2:15" x14ac:dyDescent="0.2">
      <c r="B1461" s="27">
        <v>0.34375</v>
      </c>
      <c r="C1461" s="28">
        <v>6</v>
      </c>
      <c r="D1461" s="33" t="str">
        <f>IF(C1461="", "",VLOOKUP(C1461,Key!$A$5:$B$7,2,FALSE))</f>
        <v>Large Bus</v>
      </c>
      <c r="E1461" s="29" t="s">
        <v>228</v>
      </c>
      <c r="F1461" s="29" t="s">
        <v>66</v>
      </c>
      <c r="G1461" s="29" t="s">
        <v>99</v>
      </c>
      <c r="H1461" s="30" t="s">
        <v>70</v>
      </c>
      <c r="I1461" s="29" t="s">
        <v>257</v>
      </c>
      <c r="J1461" s="29" t="s">
        <v>207</v>
      </c>
      <c r="K1461" s="30" t="s">
        <v>207</v>
      </c>
      <c r="L1461" s="29" t="str">
        <f t="shared" si="22"/>
        <v>KAMPALA-KASESE</v>
      </c>
      <c r="M1461" s="31">
        <v>67</v>
      </c>
      <c r="N1461" s="72">
        <v>35000</v>
      </c>
      <c r="O1461" s="34">
        <v>7</v>
      </c>
    </row>
    <row r="1462" spans="2:15" x14ac:dyDescent="0.2">
      <c r="B1462" s="27">
        <v>0.35833333333333334</v>
      </c>
      <c r="C1462" s="28">
        <v>6</v>
      </c>
      <c r="D1462" s="33" t="str">
        <f>IF(C1462="", "",VLOOKUP(C1462,Key!$A$5:$B$7,2,FALSE))</f>
        <v>Large Bus</v>
      </c>
      <c r="E1462" s="29" t="s">
        <v>228</v>
      </c>
      <c r="F1462" s="29" t="s">
        <v>66</v>
      </c>
      <c r="G1462" s="29" t="s">
        <v>99</v>
      </c>
      <c r="H1462" s="30" t="s">
        <v>70</v>
      </c>
      <c r="I1462" s="29" t="s">
        <v>257</v>
      </c>
      <c r="J1462" s="29" t="s">
        <v>205</v>
      </c>
      <c r="K1462" s="30" t="s">
        <v>205</v>
      </c>
      <c r="L1462" s="29" t="str">
        <f t="shared" si="22"/>
        <v>KAMPALA-HOIMA</v>
      </c>
      <c r="M1462" s="31">
        <v>65</v>
      </c>
      <c r="N1462" s="72">
        <v>15000</v>
      </c>
      <c r="O1462" s="34">
        <v>3.8</v>
      </c>
    </row>
    <row r="1463" spans="2:15" x14ac:dyDescent="0.2">
      <c r="B1463" s="27">
        <v>0.3840277777777778</v>
      </c>
      <c r="C1463" s="28">
        <v>6</v>
      </c>
      <c r="D1463" s="33" t="str">
        <f>IF(C1463="", "",VLOOKUP(C1463,Key!$A$5:$B$7,2,FALSE))</f>
        <v>Large Bus</v>
      </c>
      <c r="E1463" s="29" t="s">
        <v>228</v>
      </c>
      <c r="F1463" s="29" t="s">
        <v>66</v>
      </c>
      <c r="G1463" s="29" t="s">
        <v>99</v>
      </c>
      <c r="H1463" s="30" t="s">
        <v>70</v>
      </c>
      <c r="I1463" s="29" t="s">
        <v>257</v>
      </c>
      <c r="J1463" s="29" t="s">
        <v>209</v>
      </c>
      <c r="K1463" s="30" t="s">
        <v>209</v>
      </c>
      <c r="L1463" s="29" t="str">
        <f t="shared" si="22"/>
        <v>KAMPALA-BUNDIBUGYO</v>
      </c>
      <c r="M1463" s="31">
        <v>67</v>
      </c>
      <c r="N1463" s="72">
        <v>25000</v>
      </c>
      <c r="O1463" s="34">
        <v>6.25</v>
      </c>
    </row>
    <row r="1464" spans="2:15" x14ac:dyDescent="0.2">
      <c r="B1464" s="27">
        <v>0.39305555555555555</v>
      </c>
      <c r="C1464" s="28">
        <v>6</v>
      </c>
      <c r="D1464" s="33" t="str">
        <f>IF(C1464="", "",VLOOKUP(C1464,Key!$A$5:$B$7,2,FALSE))</f>
        <v>Large Bus</v>
      </c>
      <c r="E1464" s="29" t="s">
        <v>228</v>
      </c>
      <c r="F1464" s="29" t="s">
        <v>66</v>
      </c>
      <c r="G1464" s="29" t="s">
        <v>99</v>
      </c>
      <c r="H1464" s="30" t="s">
        <v>70</v>
      </c>
      <c r="I1464" s="29" t="s">
        <v>257</v>
      </c>
      <c r="J1464" s="29" t="s">
        <v>207</v>
      </c>
      <c r="K1464" s="30" t="s">
        <v>207</v>
      </c>
      <c r="L1464" s="29" t="str">
        <f t="shared" si="22"/>
        <v>KAMPALA-KASESE</v>
      </c>
      <c r="M1464" s="31">
        <v>67</v>
      </c>
      <c r="N1464" s="72">
        <v>35000</v>
      </c>
      <c r="O1464" s="34">
        <v>7</v>
      </c>
    </row>
    <row r="1465" spans="2:15" x14ac:dyDescent="0.2">
      <c r="B1465" s="27">
        <v>0.41875000000000001</v>
      </c>
      <c r="C1465" s="28">
        <v>6</v>
      </c>
      <c r="D1465" s="33" t="str">
        <f>IF(C1465="", "",VLOOKUP(C1465,Key!$A$5:$B$7,2,FALSE))</f>
        <v>Large Bus</v>
      </c>
      <c r="E1465" s="29" t="s">
        <v>228</v>
      </c>
      <c r="F1465" s="29" t="s">
        <v>66</v>
      </c>
      <c r="G1465" s="29" t="s">
        <v>99</v>
      </c>
      <c r="H1465" s="30" t="s">
        <v>70</v>
      </c>
      <c r="I1465" s="29" t="s">
        <v>257</v>
      </c>
      <c r="J1465" s="29" t="s">
        <v>209</v>
      </c>
      <c r="K1465" s="30" t="s">
        <v>209</v>
      </c>
      <c r="L1465" s="29" t="str">
        <f t="shared" si="22"/>
        <v>KAMPALA-BUNDIBUGYO</v>
      </c>
      <c r="M1465" s="31">
        <v>67</v>
      </c>
      <c r="N1465" s="72">
        <v>25000</v>
      </c>
      <c r="O1465" s="34">
        <v>6.25</v>
      </c>
    </row>
    <row r="1466" spans="2:15" x14ac:dyDescent="0.2">
      <c r="B1466" s="27">
        <v>0.42430555555555555</v>
      </c>
      <c r="C1466" s="28">
        <v>6</v>
      </c>
      <c r="D1466" s="33" t="str">
        <f>IF(C1466="", "",VLOOKUP(C1466,Key!$A$5:$B$7,2,FALSE))</f>
        <v>Large Bus</v>
      </c>
      <c r="E1466" s="29" t="s">
        <v>228</v>
      </c>
      <c r="F1466" s="29" t="s">
        <v>66</v>
      </c>
      <c r="G1466" s="29" t="s">
        <v>99</v>
      </c>
      <c r="H1466" s="30" t="s">
        <v>70</v>
      </c>
      <c r="I1466" s="29" t="s">
        <v>257</v>
      </c>
      <c r="J1466" s="29" t="s">
        <v>207</v>
      </c>
      <c r="K1466" s="30" t="s">
        <v>207</v>
      </c>
      <c r="L1466" s="29" t="str">
        <f t="shared" si="22"/>
        <v>KAMPALA-KASESE</v>
      </c>
      <c r="M1466" s="31">
        <v>65</v>
      </c>
      <c r="N1466" s="72">
        <v>35000</v>
      </c>
      <c r="O1466" s="34">
        <v>7</v>
      </c>
    </row>
    <row r="1467" spans="2:15" x14ac:dyDescent="0.2">
      <c r="B1467" s="27">
        <v>0.44791666666666669</v>
      </c>
      <c r="C1467" s="28">
        <v>6</v>
      </c>
      <c r="D1467" s="33" t="str">
        <f>IF(C1467="", "",VLOOKUP(C1467,Key!$A$5:$B$7,2,FALSE))</f>
        <v>Large Bus</v>
      </c>
      <c r="E1467" s="29" t="s">
        <v>228</v>
      </c>
      <c r="F1467" s="29" t="s">
        <v>66</v>
      </c>
      <c r="G1467" s="29" t="s">
        <v>99</v>
      </c>
      <c r="H1467" s="30" t="s">
        <v>70</v>
      </c>
      <c r="I1467" s="29" t="s">
        <v>257</v>
      </c>
      <c r="J1467" s="29" t="s">
        <v>207</v>
      </c>
      <c r="K1467" s="30" t="s">
        <v>207</v>
      </c>
      <c r="L1467" s="29" t="str">
        <f t="shared" si="22"/>
        <v>KAMPALA-KASESE</v>
      </c>
      <c r="M1467" s="31">
        <v>67</v>
      </c>
      <c r="N1467" s="72">
        <v>35000</v>
      </c>
      <c r="O1467" s="34">
        <v>7</v>
      </c>
    </row>
    <row r="1468" spans="2:15" x14ac:dyDescent="0.2">
      <c r="B1468" s="27">
        <v>0.45</v>
      </c>
      <c r="C1468" s="28">
        <v>6</v>
      </c>
      <c r="D1468" s="33" t="str">
        <f>IF(C1468="", "",VLOOKUP(C1468,Key!$A$5:$B$7,2,FALSE))</f>
        <v>Large Bus</v>
      </c>
      <c r="E1468" s="29" t="s">
        <v>228</v>
      </c>
      <c r="F1468" s="29" t="s">
        <v>66</v>
      </c>
      <c r="G1468" s="29" t="s">
        <v>99</v>
      </c>
      <c r="H1468" s="30" t="s">
        <v>70</v>
      </c>
      <c r="I1468" s="29" t="s">
        <v>257</v>
      </c>
      <c r="J1468" s="29" t="s">
        <v>205</v>
      </c>
      <c r="K1468" s="30" t="s">
        <v>205</v>
      </c>
      <c r="L1468" s="29" t="str">
        <f t="shared" si="22"/>
        <v>KAMPALA-HOIMA</v>
      </c>
      <c r="M1468" s="31">
        <v>65</v>
      </c>
      <c r="N1468" s="72">
        <v>15000</v>
      </c>
      <c r="O1468" s="34">
        <v>3.8</v>
      </c>
    </row>
    <row r="1469" spans="2:15" x14ac:dyDescent="0.2">
      <c r="B1469" s="27">
        <v>0.46875</v>
      </c>
      <c r="C1469" s="28">
        <v>6</v>
      </c>
      <c r="D1469" s="33" t="str">
        <f>IF(C1469="", "",VLOOKUP(C1469,Key!$A$5:$B$7,2,FALSE))</f>
        <v>Large Bus</v>
      </c>
      <c r="E1469" s="29" t="s">
        <v>228</v>
      </c>
      <c r="F1469" s="29" t="s">
        <v>66</v>
      </c>
      <c r="G1469" s="29" t="s">
        <v>99</v>
      </c>
      <c r="H1469" s="30" t="s">
        <v>70</v>
      </c>
      <c r="I1469" s="29" t="s">
        <v>257</v>
      </c>
      <c r="J1469" s="29" t="s">
        <v>207</v>
      </c>
      <c r="K1469" s="30" t="s">
        <v>207</v>
      </c>
      <c r="L1469" s="29" t="str">
        <f t="shared" si="22"/>
        <v>KAMPALA-KASESE</v>
      </c>
      <c r="M1469" s="31">
        <v>67</v>
      </c>
      <c r="N1469" s="72">
        <v>35000</v>
      </c>
      <c r="O1469" s="34">
        <v>7</v>
      </c>
    </row>
    <row r="1470" spans="2:15" x14ac:dyDescent="0.2">
      <c r="B1470" s="27">
        <v>0.49652777777777773</v>
      </c>
      <c r="C1470" s="28">
        <v>6</v>
      </c>
      <c r="D1470" s="33" t="str">
        <f>IF(C1470="", "",VLOOKUP(C1470,Key!$A$5:$B$7,2,FALSE))</f>
        <v>Large Bus</v>
      </c>
      <c r="E1470" s="29" t="s">
        <v>228</v>
      </c>
      <c r="F1470" s="29" t="s">
        <v>66</v>
      </c>
      <c r="G1470" s="29" t="s">
        <v>99</v>
      </c>
      <c r="H1470" s="30" t="s">
        <v>70</v>
      </c>
      <c r="I1470" s="29" t="s">
        <v>257</v>
      </c>
      <c r="J1470" s="29" t="s">
        <v>206</v>
      </c>
      <c r="K1470" s="30" t="s">
        <v>206</v>
      </c>
      <c r="L1470" s="29" t="str">
        <f t="shared" si="22"/>
        <v>KAMPALA-MASINDI</v>
      </c>
      <c r="M1470" s="31">
        <v>67</v>
      </c>
      <c r="N1470" s="72">
        <v>15000</v>
      </c>
      <c r="O1470" s="34">
        <v>3.25</v>
      </c>
    </row>
    <row r="1471" spans="2:15" x14ac:dyDescent="0.2">
      <c r="B1471" s="27">
        <v>0.50347222222222221</v>
      </c>
      <c r="C1471" s="28">
        <v>6</v>
      </c>
      <c r="D1471" s="33" t="str">
        <f>IF(C1471="", "",VLOOKUP(C1471,Key!$A$5:$B$7,2,FALSE))</f>
        <v>Large Bus</v>
      </c>
      <c r="E1471" s="29" t="s">
        <v>228</v>
      </c>
      <c r="F1471" s="29" t="s">
        <v>66</v>
      </c>
      <c r="G1471" s="29" t="s">
        <v>99</v>
      </c>
      <c r="H1471" s="30" t="s">
        <v>70</v>
      </c>
      <c r="I1471" s="29" t="s">
        <v>257</v>
      </c>
      <c r="J1471" s="29" t="s">
        <v>209</v>
      </c>
      <c r="K1471" s="30" t="s">
        <v>209</v>
      </c>
      <c r="L1471" s="29" t="str">
        <f t="shared" si="22"/>
        <v>KAMPALA-BUNDIBUGYO</v>
      </c>
      <c r="M1471" s="31">
        <v>67</v>
      </c>
      <c r="N1471" s="72">
        <v>25000</v>
      </c>
      <c r="O1471" s="34">
        <v>6.25</v>
      </c>
    </row>
    <row r="1472" spans="2:15" x14ac:dyDescent="0.2">
      <c r="B1472" s="27">
        <v>0.5083333333333333</v>
      </c>
      <c r="C1472" s="28">
        <v>6</v>
      </c>
      <c r="D1472" s="33" t="str">
        <f>IF(C1472="", "",VLOOKUP(C1472,Key!$A$5:$B$7,2,FALSE))</f>
        <v>Large Bus</v>
      </c>
      <c r="E1472" s="29" t="s">
        <v>228</v>
      </c>
      <c r="F1472" s="29" t="s">
        <v>66</v>
      </c>
      <c r="G1472" s="29" t="s">
        <v>99</v>
      </c>
      <c r="H1472" s="30" t="s">
        <v>70</v>
      </c>
      <c r="I1472" s="29" t="s">
        <v>257</v>
      </c>
      <c r="J1472" s="29" t="s">
        <v>205</v>
      </c>
      <c r="K1472" s="30" t="s">
        <v>205</v>
      </c>
      <c r="L1472" s="29" t="str">
        <f t="shared" si="22"/>
        <v>KAMPALA-HOIMA</v>
      </c>
      <c r="M1472" s="31">
        <v>67</v>
      </c>
      <c r="N1472" s="72">
        <v>15000</v>
      </c>
      <c r="O1472" s="34">
        <v>3.8</v>
      </c>
    </row>
    <row r="1473" spans="2:15" x14ac:dyDescent="0.2">
      <c r="B1473" s="27">
        <v>0.52569444444444446</v>
      </c>
      <c r="C1473" s="28">
        <v>6</v>
      </c>
      <c r="D1473" s="33" t="str">
        <f>IF(C1473="", "",VLOOKUP(C1473,Key!$A$5:$B$7,2,FALSE))</f>
        <v>Large Bus</v>
      </c>
      <c r="E1473" s="29" t="s">
        <v>228</v>
      </c>
      <c r="F1473" s="29" t="s">
        <v>66</v>
      </c>
      <c r="G1473" s="29" t="s">
        <v>99</v>
      </c>
      <c r="H1473" s="30" t="s">
        <v>70</v>
      </c>
      <c r="I1473" s="29" t="s">
        <v>257</v>
      </c>
      <c r="J1473" s="29" t="s">
        <v>207</v>
      </c>
      <c r="K1473" s="30" t="s">
        <v>207</v>
      </c>
      <c r="L1473" s="29" t="str">
        <f t="shared" si="22"/>
        <v>KAMPALA-KASESE</v>
      </c>
      <c r="M1473" s="31">
        <v>67</v>
      </c>
      <c r="N1473" s="72">
        <v>35000</v>
      </c>
      <c r="O1473" s="34">
        <v>7</v>
      </c>
    </row>
    <row r="1474" spans="2:15" x14ac:dyDescent="0.2">
      <c r="B1474" s="27">
        <v>4.7916666666666663E-2</v>
      </c>
      <c r="C1474" s="28">
        <v>6</v>
      </c>
      <c r="D1474" s="33" t="str">
        <f>IF(C1474="", "",VLOOKUP(C1474,Key!$A$5:$B$7,2,FALSE))</f>
        <v>Large Bus</v>
      </c>
      <c r="E1474" s="29" t="s">
        <v>228</v>
      </c>
      <c r="F1474" s="29" t="s">
        <v>66</v>
      </c>
      <c r="G1474" s="29" t="s">
        <v>99</v>
      </c>
      <c r="H1474" s="30" t="s">
        <v>70</v>
      </c>
      <c r="I1474" s="29" t="s">
        <v>257</v>
      </c>
      <c r="J1474" s="29" t="s">
        <v>207</v>
      </c>
      <c r="K1474" s="30" t="s">
        <v>207</v>
      </c>
      <c r="L1474" s="29" t="str">
        <f t="shared" si="22"/>
        <v>KAMPALA-KASESE</v>
      </c>
      <c r="M1474" s="31">
        <v>67</v>
      </c>
      <c r="N1474" s="72">
        <v>35000</v>
      </c>
      <c r="O1474" s="34">
        <v>7</v>
      </c>
    </row>
    <row r="1475" spans="2:15" x14ac:dyDescent="0.2">
      <c r="B1475" s="27">
        <v>5.7638888888888885E-2</v>
      </c>
      <c r="C1475" s="28">
        <v>6</v>
      </c>
      <c r="D1475" s="33" t="str">
        <f>IF(C1475="", "",VLOOKUP(C1475,Key!$A$5:$B$7,2,FALSE))</f>
        <v>Large Bus</v>
      </c>
      <c r="E1475" s="29" t="s">
        <v>228</v>
      </c>
      <c r="F1475" s="29" t="s">
        <v>66</v>
      </c>
      <c r="G1475" s="29" t="s">
        <v>99</v>
      </c>
      <c r="H1475" s="30" t="s">
        <v>70</v>
      </c>
      <c r="I1475" s="29" t="s">
        <v>257</v>
      </c>
      <c r="J1475" s="29" t="s">
        <v>206</v>
      </c>
      <c r="K1475" s="30" t="s">
        <v>206</v>
      </c>
      <c r="L1475" s="29" t="str">
        <f t="shared" si="22"/>
        <v>KAMPALA-MASINDI</v>
      </c>
      <c r="M1475" s="31">
        <v>67</v>
      </c>
      <c r="N1475" s="72">
        <v>15000</v>
      </c>
      <c r="O1475" s="34">
        <v>3.25</v>
      </c>
    </row>
    <row r="1476" spans="2:15" x14ac:dyDescent="0.2">
      <c r="B1476" s="27">
        <v>6.458333333333334E-2</v>
      </c>
      <c r="C1476" s="28">
        <v>6</v>
      </c>
      <c r="D1476" s="33" t="str">
        <f>IF(C1476="", "",VLOOKUP(C1476,Key!$A$5:$B$7,2,FALSE))</f>
        <v>Large Bus</v>
      </c>
      <c r="E1476" s="29" t="s">
        <v>228</v>
      </c>
      <c r="F1476" s="29" t="s">
        <v>66</v>
      </c>
      <c r="G1476" s="29" t="s">
        <v>99</v>
      </c>
      <c r="H1476" s="30" t="s">
        <v>70</v>
      </c>
      <c r="I1476" s="29" t="s">
        <v>257</v>
      </c>
      <c r="J1476" s="29" t="s">
        <v>205</v>
      </c>
      <c r="K1476" s="30" t="s">
        <v>205</v>
      </c>
      <c r="L1476" s="29" t="str">
        <f t="shared" si="22"/>
        <v>KAMPALA-HOIMA</v>
      </c>
      <c r="M1476" s="31">
        <v>67</v>
      </c>
      <c r="N1476" s="72">
        <v>15000</v>
      </c>
      <c r="O1476" s="34">
        <v>3.8</v>
      </c>
    </row>
    <row r="1477" spans="2:15" x14ac:dyDescent="0.2">
      <c r="B1477" s="27">
        <v>6.6666666666666666E-2</v>
      </c>
      <c r="C1477" s="28">
        <v>6</v>
      </c>
      <c r="D1477" s="33" t="str">
        <f>IF(C1477="", "",VLOOKUP(C1477,Key!$A$5:$B$7,2,FALSE))</f>
        <v>Large Bus</v>
      </c>
      <c r="E1477" s="29" t="s">
        <v>228</v>
      </c>
      <c r="F1477" s="29" t="s">
        <v>66</v>
      </c>
      <c r="G1477" s="29" t="s">
        <v>99</v>
      </c>
      <c r="H1477" s="30" t="s">
        <v>70</v>
      </c>
      <c r="I1477" s="29" t="s">
        <v>257</v>
      </c>
      <c r="J1477" s="29" t="s">
        <v>207</v>
      </c>
      <c r="K1477" s="30" t="s">
        <v>207</v>
      </c>
      <c r="L1477" s="29" t="str">
        <f t="shared" si="22"/>
        <v>KAMPALA-KASESE</v>
      </c>
      <c r="M1477" s="31">
        <v>67</v>
      </c>
      <c r="N1477" s="72">
        <v>35000</v>
      </c>
      <c r="O1477" s="34">
        <v>7</v>
      </c>
    </row>
    <row r="1478" spans="2:15" x14ac:dyDescent="0.2">
      <c r="B1478" s="27">
        <v>9.7916666666666666E-2</v>
      </c>
      <c r="C1478" s="28">
        <v>6</v>
      </c>
      <c r="D1478" s="33" t="str">
        <f>IF(C1478="", "",VLOOKUP(C1478,Key!$A$5:$B$7,2,FALSE))</f>
        <v>Large Bus</v>
      </c>
      <c r="E1478" s="29" t="s">
        <v>228</v>
      </c>
      <c r="F1478" s="29" t="s">
        <v>66</v>
      </c>
      <c r="G1478" s="29" t="s">
        <v>99</v>
      </c>
      <c r="H1478" s="30" t="s">
        <v>70</v>
      </c>
      <c r="I1478" s="29" t="s">
        <v>257</v>
      </c>
      <c r="J1478" s="29" t="s">
        <v>207</v>
      </c>
      <c r="K1478" s="30" t="s">
        <v>207</v>
      </c>
      <c r="L1478" s="29" t="str">
        <f t="shared" si="22"/>
        <v>KAMPALA-KASESE</v>
      </c>
      <c r="M1478" s="31">
        <v>67</v>
      </c>
      <c r="N1478" s="72">
        <v>35000</v>
      </c>
      <c r="O1478" s="34">
        <v>7</v>
      </c>
    </row>
    <row r="1479" spans="2:15" x14ac:dyDescent="0.2">
      <c r="B1479" s="27">
        <v>0.2986111111111111</v>
      </c>
      <c r="C1479" s="28">
        <v>6</v>
      </c>
      <c r="D1479" s="33" t="str">
        <f>IF(C1479="", "",VLOOKUP(C1479,Key!$A$5:$B$7,2,FALSE))</f>
        <v>Large Bus</v>
      </c>
      <c r="E1479" s="29" t="s">
        <v>228</v>
      </c>
      <c r="F1479" s="29" t="s">
        <v>67</v>
      </c>
      <c r="G1479" s="29" t="s">
        <v>99</v>
      </c>
      <c r="H1479" s="30" t="s">
        <v>70</v>
      </c>
      <c r="I1479" s="29" t="s">
        <v>257</v>
      </c>
      <c r="J1479" s="29" t="s">
        <v>208</v>
      </c>
      <c r="K1479" s="30" t="s">
        <v>207</v>
      </c>
      <c r="L1479" s="29" t="str">
        <f t="shared" si="22"/>
        <v>KAMPALA-KASESE</v>
      </c>
      <c r="M1479" s="31">
        <v>65</v>
      </c>
      <c r="N1479" s="72">
        <v>35000</v>
      </c>
      <c r="O1479" s="34">
        <v>7</v>
      </c>
    </row>
    <row r="1480" spans="2:15" x14ac:dyDescent="0.2">
      <c r="B1480" s="27">
        <v>0.30555555555555552</v>
      </c>
      <c r="C1480" s="28">
        <v>6</v>
      </c>
      <c r="D1480" s="33" t="str">
        <f>IF(C1480="", "",VLOOKUP(C1480,Key!$A$5:$B$7,2,FALSE))</f>
        <v>Large Bus</v>
      </c>
      <c r="E1480" s="29" t="s">
        <v>228</v>
      </c>
      <c r="F1480" s="29" t="s">
        <v>67</v>
      </c>
      <c r="G1480" s="29" t="s">
        <v>99</v>
      </c>
      <c r="H1480" s="30" t="s">
        <v>70</v>
      </c>
      <c r="I1480" s="29" t="s">
        <v>257</v>
      </c>
      <c r="J1480" s="29" t="s">
        <v>206</v>
      </c>
      <c r="K1480" s="30" t="s">
        <v>205</v>
      </c>
      <c r="L1480" s="29" t="str">
        <f t="shared" si="22"/>
        <v>KAMPALA-HOIMA</v>
      </c>
      <c r="M1480" s="31">
        <v>64</v>
      </c>
      <c r="N1480" s="72">
        <v>15000</v>
      </c>
      <c r="O1480" s="34">
        <v>3.8</v>
      </c>
    </row>
    <row r="1481" spans="2:15" x14ac:dyDescent="0.2">
      <c r="B1481" s="27">
        <v>0.33333333333333331</v>
      </c>
      <c r="C1481" s="28">
        <v>6</v>
      </c>
      <c r="D1481" s="33" t="str">
        <f>IF(C1481="", "",VLOOKUP(C1481,Key!$A$5:$B$7,2,FALSE))</f>
        <v>Large Bus</v>
      </c>
      <c r="E1481" s="29" t="s">
        <v>228</v>
      </c>
      <c r="F1481" s="29" t="s">
        <v>67</v>
      </c>
      <c r="G1481" s="29" t="s">
        <v>99</v>
      </c>
      <c r="H1481" s="30" t="s">
        <v>70</v>
      </c>
      <c r="I1481" s="29" t="s">
        <v>257</v>
      </c>
      <c r="J1481" s="29" t="s">
        <v>208</v>
      </c>
      <c r="K1481" s="30" t="s">
        <v>207</v>
      </c>
      <c r="L1481" s="29" t="str">
        <f t="shared" si="22"/>
        <v>KAMPALA-KASESE</v>
      </c>
      <c r="M1481" s="31">
        <v>65</v>
      </c>
      <c r="N1481" s="72">
        <v>35000</v>
      </c>
      <c r="O1481" s="34">
        <v>7</v>
      </c>
    </row>
    <row r="1482" spans="2:15" x14ac:dyDescent="0.2">
      <c r="B1482" s="27">
        <v>0.40416666666666662</v>
      </c>
      <c r="C1482" s="28">
        <v>6</v>
      </c>
      <c r="D1482" s="33" t="str">
        <f>IF(C1482="", "",VLOOKUP(C1482,Key!$A$5:$B$7,2,FALSE))</f>
        <v>Large Bus</v>
      </c>
      <c r="E1482" s="29" t="s">
        <v>228</v>
      </c>
      <c r="F1482" s="29" t="s">
        <v>67</v>
      </c>
      <c r="G1482" s="29" t="s">
        <v>99</v>
      </c>
      <c r="H1482" s="30" t="s">
        <v>70</v>
      </c>
      <c r="I1482" s="29" t="s">
        <v>257</v>
      </c>
      <c r="J1482" s="29" t="s">
        <v>208</v>
      </c>
      <c r="K1482" s="30" t="s">
        <v>207</v>
      </c>
      <c r="L1482" s="29" t="str">
        <f t="shared" ref="L1482:L1545" si="23">H1482&amp;"-"&amp;K1482</f>
        <v>KAMPALA-KASESE</v>
      </c>
      <c r="M1482" s="31">
        <v>65</v>
      </c>
      <c r="N1482" s="72">
        <v>35000</v>
      </c>
      <c r="O1482" s="34">
        <v>7</v>
      </c>
    </row>
    <row r="1483" spans="2:15" x14ac:dyDescent="0.2">
      <c r="B1483" s="27">
        <v>0.20833333333333334</v>
      </c>
      <c r="C1483" s="28">
        <v>6</v>
      </c>
      <c r="D1483" s="33" t="str">
        <f>IF(C1483="", "",VLOOKUP(C1483,Key!$A$5:$B$7,2,FALSE))</f>
        <v>Large Bus</v>
      </c>
      <c r="E1483" s="29" t="s">
        <v>228</v>
      </c>
      <c r="F1483" s="29" t="s">
        <v>67</v>
      </c>
      <c r="G1483" s="29" t="s">
        <v>99</v>
      </c>
      <c r="H1483" s="30" t="s">
        <v>70</v>
      </c>
      <c r="I1483" s="29" t="s">
        <v>257</v>
      </c>
      <c r="J1483" s="29" t="s">
        <v>208</v>
      </c>
      <c r="K1483" s="30" t="s">
        <v>207</v>
      </c>
      <c r="L1483" s="29" t="str">
        <f t="shared" si="23"/>
        <v>KAMPALA-KASESE</v>
      </c>
      <c r="M1483" s="31">
        <v>67</v>
      </c>
      <c r="N1483" s="72">
        <v>35000</v>
      </c>
      <c r="O1483" s="34">
        <v>7</v>
      </c>
    </row>
    <row r="1484" spans="2:15" x14ac:dyDescent="0.2">
      <c r="B1484" s="27">
        <v>0.25694444444444448</v>
      </c>
      <c r="C1484" s="28">
        <v>6</v>
      </c>
      <c r="D1484" s="33" t="str">
        <f>IF(C1484="", "",VLOOKUP(C1484,Key!$A$5:$B$7,2,FALSE))</f>
        <v>Large Bus</v>
      </c>
      <c r="E1484" s="29" t="s">
        <v>228</v>
      </c>
      <c r="F1484" s="29" t="s">
        <v>67</v>
      </c>
      <c r="G1484" s="29" t="s">
        <v>99</v>
      </c>
      <c r="H1484" s="30" t="s">
        <v>70</v>
      </c>
      <c r="I1484" s="29" t="s">
        <v>257</v>
      </c>
      <c r="J1484" s="29" t="s">
        <v>213</v>
      </c>
      <c r="K1484" s="30" t="s">
        <v>205</v>
      </c>
      <c r="L1484" s="29" t="str">
        <f t="shared" si="23"/>
        <v>KAMPALA-HOIMA</v>
      </c>
      <c r="M1484" s="31">
        <v>66</v>
      </c>
      <c r="N1484" s="72">
        <v>15000</v>
      </c>
      <c r="O1484" s="34">
        <v>3.8</v>
      </c>
    </row>
    <row r="1485" spans="2:15" x14ac:dyDescent="0.2">
      <c r="B1485" s="27">
        <v>0.27777777777777779</v>
      </c>
      <c r="C1485" s="28">
        <v>6</v>
      </c>
      <c r="D1485" s="33" t="str">
        <f>IF(C1485="", "",VLOOKUP(C1485,Key!$A$5:$B$7,2,FALSE))</f>
        <v>Large Bus</v>
      </c>
      <c r="E1485" s="29" t="s">
        <v>228</v>
      </c>
      <c r="F1485" s="29" t="s">
        <v>67</v>
      </c>
      <c r="G1485" s="29" t="s">
        <v>99</v>
      </c>
      <c r="H1485" s="30" t="s">
        <v>70</v>
      </c>
      <c r="I1485" s="29" t="s">
        <v>257</v>
      </c>
      <c r="J1485" s="29" t="s">
        <v>208</v>
      </c>
      <c r="K1485" s="30" t="s">
        <v>207</v>
      </c>
      <c r="L1485" s="29" t="str">
        <f t="shared" si="23"/>
        <v>KAMPALA-KASESE</v>
      </c>
      <c r="M1485" s="31">
        <v>66</v>
      </c>
      <c r="N1485" s="72">
        <v>35000</v>
      </c>
      <c r="O1485" s="34">
        <v>7</v>
      </c>
    </row>
    <row r="1486" spans="2:15" x14ac:dyDescent="0.2">
      <c r="B1486" s="27">
        <v>0.2951388888888889</v>
      </c>
      <c r="C1486" s="28">
        <v>6</v>
      </c>
      <c r="D1486" s="33" t="str">
        <f>IF(C1486="", "",VLOOKUP(C1486,Key!$A$5:$B$7,2,FALSE))</f>
        <v>Large Bus</v>
      </c>
      <c r="E1486" s="29" t="s">
        <v>228</v>
      </c>
      <c r="F1486" s="29" t="s">
        <v>66</v>
      </c>
      <c r="G1486" s="29" t="s">
        <v>207</v>
      </c>
      <c r="H1486" s="30" t="s">
        <v>207</v>
      </c>
      <c r="I1486" s="29" t="s">
        <v>257</v>
      </c>
      <c r="J1486" s="29" t="s">
        <v>99</v>
      </c>
      <c r="K1486" s="30" t="s">
        <v>70</v>
      </c>
      <c r="L1486" s="29" t="str">
        <f t="shared" si="23"/>
        <v>KASESE-KAMPALA</v>
      </c>
      <c r="M1486" s="31">
        <v>50</v>
      </c>
      <c r="N1486" s="72">
        <v>30000</v>
      </c>
      <c r="O1486" s="34">
        <v>7</v>
      </c>
    </row>
    <row r="1487" spans="2:15" x14ac:dyDescent="0.2">
      <c r="B1487" s="27">
        <v>0.3125</v>
      </c>
      <c r="C1487" s="28">
        <v>6</v>
      </c>
      <c r="D1487" s="33" t="str">
        <f>IF(C1487="", "",VLOOKUP(C1487,Key!$A$5:$B$7,2,FALSE))</f>
        <v>Large Bus</v>
      </c>
      <c r="E1487" s="29" t="s">
        <v>228</v>
      </c>
      <c r="F1487" s="29" t="s">
        <v>66</v>
      </c>
      <c r="G1487" s="29" t="s">
        <v>207</v>
      </c>
      <c r="H1487" s="30" t="s">
        <v>207</v>
      </c>
      <c r="I1487" s="29" t="s">
        <v>257</v>
      </c>
      <c r="J1487" s="29" t="s">
        <v>99</v>
      </c>
      <c r="K1487" s="30" t="s">
        <v>70</v>
      </c>
      <c r="L1487" s="29" t="str">
        <f t="shared" si="23"/>
        <v>KASESE-KAMPALA</v>
      </c>
      <c r="M1487" s="31">
        <v>67</v>
      </c>
      <c r="N1487" s="72">
        <v>30000</v>
      </c>
      <c r="O1487" s="34">
        <v>7</v>
      </c>
    </row>
    <row r="1488" spans="2:15" x14ac:dyDescent="0.2">
      <c r="B1488" s="27">
        <v>0.32222222222222224</v>
      </c>
      <c r="C1488" s="28">
        <v>6</v>
      </c>
      <c r="D1488" s="33" t="str">
        <f>IF(C1488="", "",VLOOKUP(C1488,Key!$A$5:$B$7,2,FALSE))</f>
        <v>Large Bus</v>
      </c>
      <c r="E1488" s="29" t="s">
        <v>228</v>
      </c>
      <c r="F1488" s="29" t="s">
        <v>66</v>
      </c>
      <c r="G1488" s="29" t="s">
        <v>205</v>
      </c>
      <c r="H1488" s="30" t="s">
        <v>205</v>
      </c>
      <c r="I1488" s="29" t="s">
        <v>257</v>
      </c>
      <c r="J1488" s="29" t="s">
        <v>99</v>
      </c>
      <c r="K1488" s="30" t="s">
        <v>70</v>
      </c>
      <c r="L1488" s="29" t="str">
        <f t="shared" si="23"/>
        <v>HOIMA-KAMPALA</v>
      </c>
      <c r="M1488" s="31">
        <v>65</v>
      </c>
      <c r="N1488" s="72">
        <v>15000</v>
      </c>
      <c r="O1488" s="34">
        <v>3.8</v>
      </c>
    </row>
    <row r="1489" spans="2:15" x14ac:dyDescent="0.2">
      <c r="B1489" s="27">
        <v>0.34166666666666662</v>
      </c>
      <c r="C1489" s="28">
        <v>6</v>
      </c>
      <c r="D1489" s="33" t="str">
        <f>IF(C1489="", "",VLOOKUP(C1489,Key!$A$5:$B$7,2,FALSE))</f>
        <v>Large Bus</v>
      </c>
      <c r="E1489" s="29" t="s">
        <v>228</v>
      </c>
      <c r="F1489" s="29" t="s">
        <v>66</v>
      </c>
      <c r="G1489" s="29" t="s">
        <v>207</v>
      </c>
      <c r="H1489" s="30" t="s">
        <v>207</v>
      </c>
      <c r="I1489" s="29" t="s">
        <v>257</v>
      </c>
      <c r="J1489" s="29" t="s">
        <v>99</v>
      </c>
      <c r="K1489" s="30" t="s">
        <v>70</v>
      </c>
      <c r="L1489" s="29" t="str">
        <f t="shared" si="23"/>
        <v>KASESE-KAMPALA</v>
      </c>
      <c r="M1489" s="31">
        <v>65</v>
      </c>
      <c r="N1489" s="72">
        <v>30000</v>
      </c>
      <c r="O1489" s="34">
        <v>7</v>
      </c>
    </row>
    <row r="1490" spans="2:15" x14ac:dyDescent="0.2">
      <c r="B1490" s="27">
        <v>0.36944444444444446</v>
      </c>
      <c r="C1490" s="28">
        <v>6</v>
      </c>
      <c r="D1490" s="33" t="str">
        <f>IF(C1490="", "",VLOOKUP(C1490,Key!$A$5:$B$7,2,FALSE))</f>
        <v>Large Bus</v>
      </c>
      <c r="E1490" s="29" t="s">
        <v>228</v>
      </c>
      <c r="F1490" s="29" t="s">
        <v>66</v>
      </c>
      <c r="G1490" s="29" t="s">
        <v>206</v>
      </c>
      <c r="H1490" s="30" t="s">
        <v>206</v>
      </c>
      <c r="I1490" s="29" t="s">
        <v>257</v>
      </c>
      <c r="J1490" s="29" t="s">
        <v>99</v>
      </c>
      <c r="K1490" s="30" t="s">
        <v>70</v>
      </c>
      <c r="L1490" s="29" t="str">
        <f t="shared" si="23"/>
        <v>MASINDI-KAMPALA</v>
      </c>
      <c r="M1490" s="31">
        <v>70</v>
      </c>
      <c r="N1490" s="72">
        <v>12000</v>
      </c>
      <c r="O1490" s="34">
        <v>3.25</v>
      </c>
    </row>
    <row r="1491" spans="2:15" x14ac:dyDescent="0.2">
      <c r="B1491" s="27">
        <v>0.38541666666666669</v>
      </c>
      <c r="C1491" s="28">
        <v>6</v>
      </c>
      <c r="D1491" s="33" t="str">
        <f>IF(C1491="", "",VLOOKUP(C1491,Key!$A$5:$B$7,2,FALSE))</f>
        <v>Large Bus</v>
      </c>
      <c r="E1491" s="29" t="s">
        <v>228</v>
      </c>
      <c r="F1491" s="29" t="s">
        <v>66</v>
      </c>
      <c r="G1491" s="29" t="s">
        <v>207</v>
      </c>
      <c r="H1491" s="30" t="s">
        <v>207</v>
      </c>
      <c r="I1491" s="29" t="s">
        <v>257</v>
      </c>
      <c r="J1491" s="29" t="s">
        <v>99</v>
      </c>
      <c r="K1491" s="30" t="s">
        <v>70</v>
      </c>
      <c r="L1491" s="29" t="str">
        <f t="shared" si="23"/>
        <v>KASESE-KAMPALA</v>
      </c>
      <c r="M1491" s="31">
        <v>67</v>
      </c>
      <c r="N1491" s="72">
        <v>30000</v>
      </c>
      <c r="O1491" s="34">
        <v>7</v>
      </c>
    </row>
    <row r="1492" spans="2:15" x14ac:dyDescent="0.2">
      <c r="B1492" s="27">
        <v>0.41666666666666669</v>
      </c>
      <c r="C1492" s="28">
        <v>6</v>
      </c>
      <c r="D1492" s="33" t="str">
        <f>IF(C1492="", "",VLOOKUP(C1492,Key!$A$5:$B$7,2,FALSE))</f>
        <v>Large Bus</v>
      </c>
      <c r="E1492" s="29" t="s">
        <v>228</v>
      </c>
      <c r="F1492" s="29" t="s">
        <v>66</v>
      </c>
      <c r="G1492" s="29" t="s">
        <v>207</v>
      </c>
      <c r="H1492" s="30" t="s">
        <v>207</v>
      </c>
      <c r="I1492" s="29" t="s">
        <v>257</v>
      </c>
      <c r="J1492" s="29" t="s">
        <v>99</v>
      </c>
      <c r="K1492" s="30" t="s">
        <v>70</v>
      </c>
      <c r="L1492" s="29" t="str">
        <f t="shared" si="23"/>
        <v>KASESE-KAMPALA</v>
      </c>
      <c r="M1492" s="31">
        <v>67</v>
      </c>
      <c r="N1492" s="72">
        <v>30000</v>
      </c>
      <c r="O1492" s="34">
        <v>7</v>
      </c>
    </row>
    <row r="1493" spans="2:15" x14ac:dyDescent="0.2">
      <c r="B1493" s="27">
        <v>0.43402777777777773</v>
      </c>
      <c r="C1493" s="28">
        <v>6</v>
      </c>
      <c r="D1493" s="33" t="str">
        <f>IF(C1493="", "",VLOOKUP(C1493,Key!$A$5:$B$7,2,FALSE))</f>
        <v>Large Bus</v>
      </c>
      <c r="E1493" s="29" t="s">
        <v>228</v>
      </c>
      <c r="F1493" s="29" t="s">
        <v>66</v>
      </c>
      <c r="G1493" s="29" t="s">
        <v>212</v>
      </c>
      <c r="H1493" s="30" t="s">
        <v>212</v>
      </c>
      <c r="I1493" s="29" t="s">
        <v>257</v>
      </c>
      <c r="J1493" s="29" t="s">
        <v>99</v>
      </c>
      <c r="K1493" s="30" t="s">
        <v>70</v>
      </c>
      <c r="L1493" s="29" t="str">
        <f t="shared" si="23"/>
        <v>FORT PORTAL-KAMPALA</v>
      </c>
      <c r="M1493" s="31">
        <v>65</v>
      </c>
      <c r="N1493" s="72">
        <v>20000</v>
      </c>
      <c r="O1493" s="34">
        <v>5</v>
      </c>
    </row>
    <row r="1494" spans="2:15" x14ac:dyDescent="0.2">
      <c r="B1494" s="27">
        <v>0.44236111111111115</v>
      </c>
      <c r="C1494" s="28">
        <v>6</v>
      </c>
      <c r="D1494" s="33" t="str">
        <f>IF(C1494="", "",VLOOKUP(C1494,Key!$A$5:$B$7,2,FALSE))</f>
        <v>Large Bus</v>
      </c>
      <c r="E1494" s="29" t="s">
        <v>228</v>
      </c>
      <c r="F1494" s="29" t="s">
        <v>66</v>
      </c>
      <c r="G1494" s="29" t="s">
        <v>205</v>
      </c>
      <c r="H1494" s="30" t="s">
        <v>205</v>
      </c>
      <c r="I1494" s="29" t="s">
        <v>257</v>
      </c>
      <c r="J1494" s="29" t="s">
        <v>99</v>
      </c>
      <c r="K1494" s="30" t="s">
        <v>70</v>
      </c>
      <c r="L1494" s="29" t="str">
        <f t="shared" si="23"/>
        <v>HOIMA-KAMPALA</v>
      </c>
      <c r="M1494" s="31">
        <v>67</v>
      </c>
      <c r="N1494" s="72">
        <v>15000</v>
      </c>
      <c r="O1494" s="34">
        <v>3.8</v>
      </c>
    </row>
    <row r="1495" spans="2:15" x14ac:dyDescent="0.2">
      <c r="B1495" s="27">
        <v>0.49583333333333335</v>
      </c>
      <c r="C1495" s="28">
        <v>6</v>
      </c>
      <c r="D1495" s="33" t="str">
        <f>IF(C1495="", "",VLOOKUP(C1495,Key!$A$5:$B$7,2,FALSE))</f>
        <v>Large Bus</v>
      </c>
      <c r="E1495" s="29" t="s">
        <v>228</v>
      </c>
      <c r="F1495" s="29" t="s">
        <v>66</v>
      </c>
      <c r="G1495" s="29" t="s">
        <v>207</v>
      </c>
      <c r="H1495" s="30" t="s">
        <v>207</v>
      </c>
      <c r="I1495" s="29" t="s">
        <v>257</v>
      </c>
      <c r="J1495" s="29" t="s">
        <v>99</v>
      </c>
      <c r="K1495" s="30" t="s">
        <v>70</v>
      </c>
      <c r="L1495" s="29" t="str">
        <f t="shared" si="23"/>
        <v>KASESE-KAMPALA</v>
      </c>
      <c r="M1495" s="31">
        <v>65</v>
      </c>
      <c r="N1495" s="72">
        <v>30000</v>
      </c>
      <c r="O1495" s="34">
        <v>7</v>
      </c>
    </row>
    <row r="1496" spans="2:15" x14ac:dyDescent="0.2">
      <c r="B1496" s="27">
        <v>6.3888888888888884E-2</v>
      </c>
      <c r="C1496" s="28">
        <v>6</v>
      </c>
      <c r="D1496" s="33" t="str">
        <f>IF(C1496="", "",VLOOKUP(C1496,Key!$A$5:$B$7,2,FALSE))</f>
        <v>Large Bus</v>
      </c>
      <c r="E1496" s="29" t="s">
        <v>228</v>
      </c>
      <c r="F1496" s="29" t="s">
        <v>66</v>
      </c>
      <c r="G1496" s="29" t="s">
        <v>205</v>
      </c>
      <c r="H1496" s="30" t="s">
        <v>205</v>
      </c>
      <c r="I1496" s="29" t="s">
        <v>257</v>
      </c>
      <c r="J1496" s="29" t="s">
        <v>99</v>
      </c>
      <c r="K1496" s="30" t="s">
        <v>70</v>
      </c>
      <c r="L1496" s="29" t="str">
        <f t="shared" si="23"/>
        <v>HOIMA-KAMPALA</v>
      </c>
      <c r="M1496" s="31">
        <v>65</v>
      </c>
      <c r="N1496" s="72">
        <v>15000</v>
      </c>
      <c r="O1496" s="34">
        <v>3.8</v>
      </c>
    </row>
    <row r="1497" spans="2:15" x14ac:dyDescent="0.2">
      <c r="B1497" s="27">
        <v>7.6388888888888895E-2</v>
      </c>
      <c r="C1497" s="28">
        <v>6</v>
      </c>
      <c r="D1497" s="33" t="str">
        <f>IF(C1497="", "",VLOOKUP(C1497,Key!$A$5:$B$7,2,FALSE))</f>
        <v>Large Bus</v>
      </c>
      <c r="E1497" s="29" t="s">
        <v>228</v>
      </c>
      <c r="F1497" s="29" t="s">
        <v>66</v>
      </c>
      <c r="G1497" s="29" t="s">
        <v>207</v>
      </c>
      <c r="H1497" s="30" t="s">
        <v>207</v>
      </c>
      <c r="I1497" s="29" t="s">
        <v>257</v>
      </c>
      <c r="J1497" s="29" t="s">
        <v>99</v>
      </c>
      <c r="K1497" s="30" t="s">
        <v>70</v>
      </c>
      <c r="L1497" s="29" t="str">
        <f t="shared" si="23"/>
        <v>KASESE-KAMPALA</v>
      </c>
      <c r="M1497" s="31">
        <v>67</v>
      </c>
      <c r="N1497" s="72">
        <v>30000</v>
      </c>
      <c r="O1497" s="34">
        <v>7</v>
      </c>
    </row>
    <row r="1498" spans="2:15" x14ac:dyDescent="0.2">
      <c r="B1498" s="27">
        <v>0.15138888888888888</v>
      </c>
      <c r="C1498" s="28">
        <v>6</v>
      </c>
      <c r="D1498" s="33" t="str">
        <f>IF(C1498="", "",VLOOKUP(C1498,Key!$A$5:$B$7,2,FALSE))</f>
        <v>Large Bus</v>
      </c>
      <c r="E1498" s="29" t="s">
        <v>228</v>
      </c>
      <c r="F1498" s="29" t="s">
        <v>66</v>
      </c>
      <c r="G1498" s="29" t="s">
        <v>207</v>
      </c>
      <c r="H1498" s="30" t="s">
        <v>207</v>
      </c>
      <c r="I1498" s="29" t="s">
        <v>257</v>
      </c>
      <c r="J1498" s="29" t="s">
        <v>99</v>
      </c>
      <c r="K1498" s="30" t="s">
        <v>70</v>
      </c>
      <c r="L1498" s="29" t="str">
        <f t="shared" si="23"/>
        <v>KASESE-KAMPALA</v>
      </c>
      <c r="M1498" s="31">
        <v>65</v>
      </c>
      <c r="N1498" s="72">
        <v>30000</v>
      </c>
      <c r="O1498" s="34">
        <v>7</v>
      </c>
    </row>
    <row r="1499" spans="2:15" x14ac:dyDescent="0.2">
      <c r="B1499" s="27">
        <v>0.36805555555555558</v>
      </c>
      <c r="C1499" s="28">
        <v>6</v>
      </c>
      <c r="D1499" s="33" t="str">
        <f>IF(C1499="", "",VLOOKUP(C1499,Key!$A$5:$B$7,2,FALSE))</f>
        <v>Large Bus</v>
      </c>
      <c r="E1499" s="29" t="s">
        <v>228</v>
      </c>
      <c r="F1499" s="29" t="s">
        <v>66</v>
      </c>
      <c r="G1499" s="29" t="s">
        <v>206</v>
      </c>
      <c r="H1499" s="30" t="s">
        <v>206</v>
      </c>
      <c r="I1499" s="29" t="s">
        <v>257</v>
      </c>
      <c r="J1499" s="29" t="s">
        <v>99</v>
      </c>
      <c r="K1499" s="30" t="s">
        <v>70</v>
      </c>
      <c r="L1499" s="29" t="str">
        <f t="shared" si="23"/>
        <v>MASINDI-KAMPALA</v>
      </c>
      <c r="M1499" s="31">
        <v>53</v>
      </c>
      <c r="N1499" s="72">
        <v>12000</v>
      </c>
      <c r="O1499" s="34">
        <v>3.25</v>
      </c>
    </row>
    <row r="1500" spans="2:15" x14ac:dyDescent="0.2">
      <c r="B1500" s="27">
        <v>0.42291666666666666</v>
      </c>
      <c r="C1500" s="28">
        <v>6</v>
      </c>
      <c r="D1500" s="33" t="str">
        <f>IF(C1500="", "",VLOOKUP(C1500,Key!$A$5:$B$7,2,FALSE))</f>
        <v>Large Bus</v>
      </c>
      <c r="E1500" s="29" t="s">
        <v>228</v>
      </c>
      <c r="F1500" s="29" t="s">
        <v>66</v>
      </c>
      <c r="G1500" s="29" t="s">
        <v>206</v>
      </c>
      <c r="H1500" s="30" t="s">
        <v>206</v>
      </c>
      <c r="I1500" s="29" t="s">
        <v>257</v>
      </c>
      <c r="J1500" s="29" t="s">
        <v>99</v>
      </c>
      <c r="K1500" s="30" t="s">
        <v>70</v>
      </c>
      <c r="L1500" s="29" t="str">
        <f t="shared" si="23"/>
        <v>MASINDI-KAMPALA</v>
      </c>
      <c r="M1500" s="31">
        <v>40</v>
      </c>
      <c r="N1500" s="72">
        <v>12000</v>
      </c>
      <c r="O1500" s="34">
        <v>3.25</v>
      </c>
    </row>
    <row r="1501" spans="2:15" x14ac:dyDescent="0.2">
      <c r="B1501" s="27">
        <v>0.44444444444444442</v>
      </c>
      <c r="C1501" s="28">
        <v>6</v>
      </c>
      <c r="D1501" s="33" t="str">
        <f>IF(C1501="", "",VLOOKUP(C1501,Key!$A$5:$B$7,2,FALSE))</f>
        <v>Large Bus</v>
      </c>
      <c r="E1501" s="29" t="s">
        <v>228</v>
      </c>
      <c r="F1501" s="29" t="s">
        <v>66</v>
      </c>
      <c r="G1501" s="29" t="s">
        <v>215</v>
      </c>
      <c r="H1501" s="30" t="s">
        <v>215</v>
      </c>
      <c r="I1501" s="29" t="s">
        <v>257</v>
      </c>
      <c r="J1501" s="29" t="s">
        <v>99</v>
      </c>
      <c r="K1501" s="30" t="s">
        <v>70</v>
      </c>
      <c r="L1501" s="29" t="str">
        <f t="shared" si="23"/>
        <v>KAIIGO-KAMPALA</v>
      </c>
      <c r="M1501" s="31">
        <v>35</v>
      </c>
      <c r="N1501" s="72">
        <v>15000</v>
      </c>
      <c r="O1501" s="34">
        <v>3.4</v>
      </c>
    </row>
    <row r="1502" spans="2:15" x14ac:dyDescent="0.2">
      <c r="B1502" s="27">
        <v>0.46666666666666662</v>
      </c>
      <c r="C1502" s="28">
        <v>6</v>
      </c>
      <c r="D1502" s="33" t="str">
        <f>IF(C1502="", "",VLOOKUP(C1502,Key!$A$5:$B$7,2,FALSE))</f>
        <v>Large Bus</v>
      </c>
      <c r="E1502" s="29" t="s">
        <v>228</v>
      </c>
      <c r="F1502" s="29" t="s">
        <v>66</v>
      </c>
      <c r="G1502" s="29" t="s">
        <v>206</v>
      </c>
      <c r="H1502" s="30" t="s">
        <v>206</v>
      </c>
      <c r="I1502" s="29" t="s">
        <v>257</v>
      </c>
      <c r="J1502" s="29" t="s">
        <v>99</v>
      </c>
      <c r="K1502" s="30" t="s">
        <v>70</v>
      </c>
      <c r="L1502" s="29" t="str">
        <f t="shared" si="23"/>
        <v>MASINDI-KAMPALA</v>
      </c>
      <c r="M1502" s="31">
        <v>47</v>
      </c>
      <c r="N1502" s="72">
        <v>12000</v>
      </c>
      <c r="O1502" s="34">
        <v>3.25</v>
      </c>
    </row>
    <row r="1503" spans="2:15" x14ac:dyDescent="0.2">
      <c r="B1503" s="27">
        <v>0.51944444444444449</v>
      </c>
      <c r="C1503" s="28">
        <v>6</v>
      </c>
      <c r="D1503" s="33" t="str">
        <f>IF(C1503="", "",VLOOKUP(C1503,Key!$A$5:$B$7,2,FALSE))</f>
        <v>Large Bus</v>
      </c>
      <c r="E1503" s="29" t="s">
        <v>228</v>
      </c>
      <c r="F1503" s="29" t="s">
        <v>66</v>
      </c>
      <c r="G1503" s="29" t="s">
        <v>205</v>
      </c>
      <c r="H1503" s="30" t="s">
        <v>205</v>
      </c>
      <c r="I1503" s="29" t="s">
        <v>257</v>
      </c>
      <c r="J1503" s="29" t="s">
        <v>99</v>
      </c>
      <c r="K1503" s="30" t="s">
        <v>70</v>
      </c>
      <c r="L1503" s="29" t="str">
        <f t="shared" si="23"/>
        <v>HOIMA-KAMPALA</v>
      </c>
      <c r="M1503" s="31">
        <v>65</v>
      </c>
      <c r="N1503" s="72">
        <v>15000</v>
      </c>
      <c r="O1503" s="34">
        <v>3.8</v>
      </c>
    </row>
    <row r="1504" spans="2:15" x14ac:dyDescent="0.2">
      <c r="B1504" s="27">
        <v>0.52083333333333337</v>
      </c>
      <c r="C1504" s="28">
        <v>6</v>
      </c>
      <c r="D1504" s="33" t="str">
        <f>IF(C1504="", "",VLOOKUP(C1504,Key!$A$5:$B$7,2,FALSE))</f>
        <v>Large Bus</v>
      </c>
      <c r="E1504" s="29" t="s">
        <v>228</v>
      </c>
      <c r="F1504" s="29" t="s">
        <v>66</v>
      </c>
      <c r="G1504" s="29" t="s">
        <v>207</v>
      </c>
      <c r="H1504" s="30" t="s">
        <v>207</v>
      </c>
      <c r="I1504" s="29" t="s">
        <v>257</v>
      </c>
      <c r="J1504" s="29" t="s">
        <v>99</v>
      </c>
      <c r="K1504" s="30" t="s">
        <v>70</v>
      </c>
      <c r="L1504" s="29" t="str">
        <f t="shared" si="23"/>
        <v>KASESE-KAMPALA</v>
      </c>
      <c r="M1504" s="31">
        <v>60</v>
      </c>
      <c r="N1504" s="72">
        <v>30000</v>
      </c>
      <c r="O1504" s="34">
        <v>7</v>
      </c>
    </row>
    <row r="1505" spans="2:15" x14ac:dyDescent="0.2">
      <c r="B1505" s="27">
        <v>0.56944444444444442</v>
      </c>
      <c r="C1505" s="28">
        <v>6</v>
      </c>
      <c r="D1505" s="33" t="str">
        <f>IF(C1505="", "",VLOOKUP(C1505,Key!$A$5:$B$7,2,FALSE))</f>
        <v>Large Bus</v>
      </c>
      <c r="E1505" s="29" t="s">
        <v>228</v>
      </c>
      <c r="F1505" s="29" t="s">
        <v>66</v>
      </c>
      <c r="G1505" s="29" t="s">
        <v>207</v>
      </c>
      <c r="H1505" s="30" t="s">
        <v>207</v>
      </c>
      <c r="I1505" s="29" t="s">
        <v>257</v>
      </c>
      <c r="J1505" s="29" t="s">
        <v>99</v>
      </c>
      <c r="K1505" s="30" t="s">
        <v>70</v>
      </c>
      <c r="L1505" s="29" t="str">
        <f t="shared" si="23"/>
        <v>KASESE-KAMPALA</v>
      </c>
      <c r="M1505" s="31">
        <v>65</v>
      </c>
      <c r="N1505" s="72">
        <v>30000</v>
      </c>
      <c r="O1505" s="34">
        <v>7</v>
      </c>
    </row>
    <row r="1506" spans="2:15" x14ac:dyDescent="0.2">
      <c r="B1506" s="27">
        <v>0.58194444444444449</v>
      </c>
      <c r="C1506" s="28">
        <v>6</v>
      </c>
      <c r="D1506" s="33" t="str">
        <f>IF(C1506="", "",VLOOKUP(C1506,Key!$A$5:$B$7,2,FALSE))</f>
        <v>Large Bus</v>
      </c>
      <c r="E1506" s="29" t="s">
        <v>228</v>
      </c>
      <c r="F1506" s="29" t="s">
        <v>66</v>
      </c>
      <c r="G1506" s="29" t="s">
        <v>205</v>
      </c>
      <c r="H1506" s="30" t="s">
        <v>205</v>
      </c>
      <c r="I1506" s="29" t="s">
        <v>257</v>
      </c>
      <c r="J1506" s="29" t="s">
        <v>99</v>
      </c>
      <c r="K1506" s="30" t="s">
        <v>70</v>
      </c>
      <c r="L1506" s="29" t="str">
        <f t="shared" si="23"/>
        <v>HOIMA-KAMPALA</v>
      </c>
      <c r="M1506" s="31">
        <v>67</v>
      </c>
      <c r="N1506" s="72">
        <v>15000</v>
      </c>
      <c r="O1506" s="34">
        <v>3.8</v>
      </c>
    </row>
    <row r="1507" spans="2:15" x14ac:dyDescent="0.2">
      <c r="B1507" s="27">
        <v>0.58472222222222225</v>
      </c>
      <c r="C1507" s="28">
        <v>6</v>
      </c>
      <c r="D1507" s="33" t="str">
        <f>IF(C1507="", "",VLOOKUP(C1507,Key!$A$5:$B$7,2,FALSE))</f>
        <v>Large Bus</v>
      </c>
      <c r="E1507" s="29" t="s">
        <v>228</v>
      </c>
      <c r="F1507" s="29" t="s">
        <v>66</v>
      </c>
      <c r="G1507" s="29" t="s">
        <v>206</v>
      </c>
      <c r="H1507" s="30" t="s">
        <v>206</v>
      </c>
      <c r="I1507" s="29" t="s">
        <v>257</v>
      </c>
      <c r="J1507" s="29" t="s">
        <v>99</v>
      </c>
      <c r="K1507" s="30" t="s">
        <v>70</v>
      </c>
      <c r="L1507" s="29" t="str">
        <f t="shared" si="23"/>
        <v>MASINDI-KAMPALA</v>
      </c>
      <c r="M1507" s="31">
        <v>60</v>
      </c>
      <c r="N1507" s="72">
        <v>12000</v>
      </c>
      <c r="O1507" s="34">
        <v>3.25</v>
      </c>
    </row>
    <row r="1508" spans="2:15" x14ac:dyDescent="0.2">
      <c r="B1508" s="27">
        <v>0.14583333333333334</v>
      </c>
      <c r="C1508" s="28">
        <v>6</v>
      </c>
      <c r="D1508" s="33" t="str">
        <f>IF(C1508="", "",VLOOKUP(C1508,Key!$A$5:$B$7,2,FALSE))</f>
        <v>Large Bus</v>
      </c>
      <c r="E1508" s="29" t="s">
        <v>228</v>
      </c>
      <c r="F1508" s="29" t="s">
        <v>66</v>
      </c>
      <c r="G1508" s="29" t="s">
        <v>205</v>
      </c>
      <c r="H1508" s="30" t="s">
        <v>205</v>
      </c>
      <c r="I1508" s="29" t="s">
        <v>257</v>
      </c>
      <c r="J1508" s="29" t="s">
        <v>99</v>
      </c>
      <c r="K1508" s="30" t="s">
        <v>70</v>
      </c>
      <c r="L1508" s="29" t="str">
        <f t="shared" si="23"/>
        <v>HOIMA-KAMPALA</v>
      </c>
      <c r="M1508" s="31">
        <v>50</v>
      </c>
      <c r="N1508" s="72">
        <v>15000</v>
      </c>
      <c r="O1508" s="34">
        <v>3.8</v>
      </c>
    </row>
    <row r="1509" spans="2:15" x14ac:dyDescent="0.2">
      <c r="B1509" s="27">
        <v>0.14930555555555555</v>
      </c>
      <c r="C1509" s="28">
        <v>6</v>
      </c>
      <c r="D1509" s="33" t="str">
        <f>IF(C1509="", "",VLOOKUP(C1509,Key!$A$5:$B$7,2,FALSE))</f>
        <v>Large Bus</v>
      </c>
      <c r="E1509" s="29" t="s">
        <v>228</v>
      </c>
      <c r="F1509" s="29" t="s">
        <v>66</v>
      </c>
      <c r="G1509" s="29" t="s">
        <v>209</v>
      </c>
      <c r="H1509" s="30" t="s">
        <v>209</v>
      </c>
      <c r="I1509" s="29" t="s">
        <v>257</v>
      </c>
      <c r="J1509" s="29" t="s">
        <v>99</v>
      </c>
      <c r="K1509" s="30" t="s">
        <v>70</v>
      </c>
      <c r="L1509" s="29" t="str">
        <f t="shared" si="23"/>
        <v>BUNDIBUGYO-KAMPALA</v>
      </c>
      <c r="M1509" s="31">
        <v>65</v>
      </c>
      <c r="N1509" s="72">
        <v>23000</v>
      </c>
      <c r="O1509" s="34">
        <v>6.25</v>
      </c>
    </row>
    <row r="1510" spans="2:15" x14ac:dyDescent="0.2">
      <c r="B1510" s="27">
        <v>0.15277777777777776</v>
      </c>
      <c r="C1510" s="28">
        <v>6</v>
      </c>
      <c r="D1510" s="33" t="str">
        <f>IF(C1510="", "",VLOOKUP(C1510,Key!$A$5:$B$7,2,FALSE))</f>
        <v>Large Bus</v>
      </c>
      <c r="E1510" s="29" t="s">
        <v>228</v>
      </c>
      <c r="F1510" s="29" t="s">
        <v>66</v>
      </c>
      <c r="G1510" s="29" t="s">
        <v>207</v>
      </c>
      <c r="H1510" s="30" t="s">
        <v>207</v>
      </c>
      <c r="I1510" s="29" t="s">
        <v>257</v>
      </c>
      <c r="J1510" s="29" t="s">
        <v>99</v>
      </c>
      <c r="K1510" s="30" t="s">
        <v>70</v>
      </c>
      <c r="L1510" s="29" t="str">
        <f t="shared" si="23"/>
        <v>KASESE-KAMPALA</v>
      </c>
      <c r="M1510" s="31">
        <v>60</v>
      </c>
      <c r="N1510" s="72">
        <v>30000</v>
      </c>
      <c r="O1510" s="34">
        <v>7</v>
      </c>
    </row>
    <row r="1511" spans="2:15" x14ac:dyDescent="0.2">
      <c r="B1511" s="27">
        <v>0.16805555555555554</v>
      </c>
      <c r="C1511" s="28">
        <v>6</v>
      </c>
      <c r="D1511" s="33" t="str">
        <f>IF(C1511="", "",VLOOKUP(C1511,Key!$A$5:$B$7,2,FALSE))</f>
        <v>Large Bus</v>
      </c>
      <c r="E1511" s="29" t="s">
        <v>228</v>
      </c>
      <c r="F1511" s="29" t="s">
        <v>66</v>
      </c>
      <c r="G1511" s="29" t="s">
        <v>206</v>
      </c>
      <c r="H1511" s="30" t="s">
        <v>206</v>
      </c>
      <c r="I1511" s="29" t="s">
        <v>257</v>
      </c>
      <c r="J1511" s="29" t="s">
        <v>99</v>
      </c>
      <c r="K1511" s="30" t="s">
        <v>70</v>
      </c>
      <c r="L1511" s="29" t="str">
        <f t="shared" si="23"/>
        <v>MASINDI-KAMPALA</v>
      </c>
      <c r="M1511" s="31">
        <v>67</v>
      </c>
      <c r="N1511" s="72">
        <v>12000</v>
      </c>
      <c r="O1511" s="34">
        <v>3.25</v>
      </c>
    </row>
    <row r="1512" spans="2:15" x14ac:dyDescent="0.2">
      <c r="B1512" s="27">
        <v>0.1875</v>
      </c>
      <c r="C1512" s="28">
        <v>6</v>
      </c>
      <c r="D1512" s="33" t="str">
        <f>IF(C1512="", "",VLOOKUP(C1512,Key!$A$5:$B$7,2,FALSE))</f>
        <v>Large Bus</v>
      </c>
      <c r="E1512" s="29" t="s">
        <v>228</v>
      </c>
      <c r="F1512" s="29" t="s">
        <v>66</v>
      </c>
      <c r="G1512" s="29" t="s">
        <v>207</v>
      </c>
      <c r="H1512" s="30" t="s">
        <v>207</v>
      </c>
      <c r="I1512" s="29" t="s">
        <v>257</v>
      </c>
      <c r="J1512" s="29" t="s">
        <v>99</v>
      </c>
      <c r="K1512" s="30" t="s">
        <v>70</v>
      </c>
      <c r="L1512" s="29" t="str">
        <f t="shared" si="23"/>
        <v>KASESE-KAMPALA</v>
      </c>
      <c r="M1512" s="31">
        <v>62</v>
      </c>
      <c r="N1512" s="72">
        <v>30000</v>
      </c>
      <c r="O1512" s="34">
        <v>7</v>
      </c>
    </row>
    <row r="1513" spans="2:15" x14ac:dyDescent="0.2">
      <c r="B1513" s="27">
        <v>0.19375000000000001</v>
      </c>
      <c r="C1513" s="28">
        <v>6</v>
      </c>
      <c r="D1513" s="33" t="str">
        <f>IF(C1513="", "",VLOOKUP(C1513,Key!$A$5:$B$7,2,FALSE))</f>
        <v>Large Bus</v>
      </c>
      <c r="E1513" s="29" t="s">
        <v>228</v>
      </c>
      <c r="F1513" s="29" t="s">
        <v>66</v>
      </c>
      <c r="G1513" s="29" t="s">
        <v>209</v>
      </c>
      <c r="H1513" s="30" t="s">
        <v>209</v>
      </c>
      <c r="I1513" s="29" t="s">
        <v>257</v>
      </c>
      <c r="J1513" s="29" t="s">
        <v>99</v>
      </c>
      <c r="K1513" s="30" t="s">
        <v>70</v>
      </c>
      <c r="L1513" s="29" t="str">
        <f t="shared" si="23"/>
        <v>BUNDIBUGYO-KAMPALA</v>
      </c>
      <c r="M1513" s="31">
        <v>65</v>
      </c>
      <c r="N1513" s="72">
        <v>23000</v>
      </c>
      <c r="O1513" s="34">
        <v>6.25</v>
      </c>
    </row>
    <row r="1514" spans="2:15" x14ac:dyDescent="0.2">
      <c r="B1514" s="27">
        <v>0.22569444444444445</v>
      </c>
      <c r="C1514" s="28">
        <v>6</v>
      </c>
      <c r="D1514" s="33" t="str">
        <f>IF(C1514="", "",VLOOKUP(C1514,Key!$A$5:$B$7,2,FALSE))</f>
        <v>Large Bus</v>
      </c>
      <c r="E1514" s="29" t="s">
        <v>228</v>
      </c>
      <c r="F1514" s="29" t="s">
        <v>66</v>
      </c>
      <c r="G1514" s="29" t="s">
        <v>207</v>
      </c>
      <c r="H1514" s="30" t="s">
        <v>207</v>
      </c>
      <c r="I1514" s="29" t="s">
        <v>257</v>
      </c>
      <c r="J1514" s="29" t="s">
        <v>99</v>
      </c>
      <c r="K1514" s="30" t="s">
        <v>70</v>
      </c>
      <c r="L1514" s="29" t="str">
        <f t="shared" si="23"/>
        <v>KASESE-KAMPALA</v>
      </c>
      <c r="M1514" s="31">
        <v>60</v>
      </c>
      <c r="N1514" s="72">
        <v>30000</v>
      </c>
      <c r="O1514" s="34">
        <v>7</v>
      </c>
    </row>
    <row r="1515" spans="2:15" x14ac:dyDescent="0.2">
      <c r="B1515" s="27">
        <v>0.22916666666666666</v>
      </c>
      <c r="C1515" s="28">
        <v>6</v>
      </c>
      <c r="D1515" s="33" t="str">
        <f>IF(C1515="", "",VLOOKUP(C1515,Key!$A$5:$B$7,2,FALSE))</f>
        <v>Large Bus</v>
      </c>
      <c r="E1515" s="29" t="s">
        <v>228</v>
      </c>
      <c r="F1515" s="29" t="s">
        <v>66</v>
      </c>
      <c r="G1515" s="29" t="s">
        <v>205</v>
      </c>
      <c r="H1515" s="30" t="s">
        <v>205</v>
      </c>
      <c r="I1515" s="29" t="s">
        <v>257</v>
      </c>
      <c r="J1515" s="29" t="s">
        <v>99</v>
      </c>
      <c r="K1515" s="30" t="s">
        <v>70</v>
      </c>
      <c r="L1515" s="29" t="str">
        <f t="shared" si="23"/>
        <v>HOIMA-KAMPALA</v>
      </c>
      <c r="M1515" s="31">
        <v>65</v>
      </c>
      <c r="N1515" s="72">
        <v>15000</v>
      </c>
      <c r="O1515" s="34">
        <v>3.8</v>
      </c>
    </row>
    <row r="1516" spans="2:15" x14ac:dyDescent="0.2">
      <c r="B1516" s="27">
        <v>0.23541666666666669</v>
      </c>
      <c r="C1516" s="28">
        <v>6</v>
      </c>
      <c r="D1516" s="33" t="str">
        <f>IF(C1516="", "",VLOOKUP(C1516,Key!$A$5:$B$7,2,FALSE))</f>
        <v>Large Bus</v>
      </c>
      <c r="E1516" s="29" t="s">
        <v>228</v>
      </c>
      <c r="F1516" s="29" t="s">
        <v>66</v>
      </c>
      <c r="G1516" s="29" t="s">
        <v>207</v>
      </c>
      <c r="H1516" s="30" t="s">
        <v>207</v>
      </c>
      <c r="I1516" s="29" t="s">
        <v>257</v>
      </c>
      <c r="J1516" s="29" t="s">
        <v>99</v>
      </c>
      <c r="K1516" s="30" t="s">
        <v>70</v>
      </c>
      <c r="L1516" s="29" t="str">
        <f t="shared" si="23"/>
        <v>KASESE-KAMPALA</v>
      </c>
      <c r="M1516" s="31">
        <v>60</v>
      </c>
      <c r="N1516" s="72">
        <v>30000</v>
      </c>
      <c r="O1516" s="34">
        <v>7</v>
      </c>
    </row>
    <row r="1517" spans="2:15" x14ac:dyDescent="0.2">
      <c r="B1517" s="27">
        <v>0.23750000000000002</v>
      </c>
      <c r="C1517" s="28">
        <v>6</v>
      </c>
      <c r="D1517" s="33" t="str">
        <f>IF(C1517="", "",VLOOKUP(C1517,Key!$A$5:$B$7,2,FALSE))</f>
        <v>Large Bus</v>
      </c>
      <c r="E1517" s="29" t="s">
        <v>228</v>
      </c>
      <c r="F1517" s="29" t="s">
        <v>66</v>
      </c>
      <c r="G1517" s="29" t="s">
        <v>208</v>
      </c>
      <c r="H1517" s="30" t="s">
        <v>208</v>
      </c>
      <c r="I1517" s="29" t="s">
        <v>257</v>
      </c>
      <c r="J1517" s="29" t="s">
        <v>99</v>
      </c>
      <c r="K1517" s="30" t="s">
        <v>70</v>
      </c>
      <c r="L1517" s="29" t="str">
        <f t="shared" si="23"/>
        <v>BWERA-KAMPALA</v>
      </c>
      <c r="M1517" s="31">
        <v>40</v>
      </c>
      <c r="N1517" s="72">
        <v>35000</v>
      </c>
      <c r="O1517" s="34">
        <v>7.25</v>
      </c>
    </row>
    <row r="1518" spans="2:15" x14ac:dyDescent="0.2">
      <c r="B1518" s="27">
        <v>0.75763888888888886</v>
      </c>
      <c r="C1518" s="28">
        <v>6</v>
      </c>
      <c r="D1518" s="33" t="str">
        <f>IF(C1518="", "",VLOOKUP(C1518,Key!$A$5:$B$7,2,FALSE))</f>
        <v>Large Bus</v>
      </c>
      <c r="E1518" s="29" t="s">
        <v>228</v>
      </c>
      <c r="F1518" s="29" t="s">
        <v>66</v>
      </c>
      <c r="G1518" s="29" t="s">
        <v>207</v>
      </c>
      <c r="H1518" s="30" t="s">
        <v>207</v>
      </c>
      <c r="I1518" s="29" t="s">
        <v>257</v>
      </c>
      <c r="J1518" s="29" t="s">
        <v>99</v>
      </c>
      <c r="K1518" s="30" t="s">
        <v>70</v>
      </c>
      <c r="L1518" s="29" t="str">
        <f t="shared" si="23"/>
        <v>KASESE-KAMPALA</v>
      </c>
      <c r="M1518" s="31">
        <v>40</v>
      </c>
      <c r="N1518" s="72">
        <v>30000</v>
      </c>
      <c r="O1518" s="34">
        <v>7</v>
      </c>
    </row>
    <row r="1519" spans="2:15" x14ac:dyDescent="0.2">
      <c r="B1519" s="27" t="s">
        <v>216</v>
      </c>
      <c r="C1519" s="28">
        <v>6</v>
      </c>
      <c r="D1519" s="33" t="str">
        <f>IF(C1519="", "",VLOOKUP(C1519,Key!$A$5:$B$7,2,FALSE))</f>
        <v>Large Bus</v>
      </c>
      <c r="E1519" s="29" t="s">
        <v>228</v>
      </c>
      <c r="F1519" s="29" t="s">
        <v>66</v>
      </c>
      <c r="G1519" s="29" t="s">
        <v>206</v>
      </c>
      <c r="H1519" s="30" t="s">
        <v>206</v>
      </c>
      <c r="I1519" s="29" t="s">
        <v>257</v>
      </c>
      <c r="J1519" s="29" t="s">
        <v>99</v>
      </c>
      <c r="K1519" s="30" t="s">
        <v>70</v>
      </c>
      <c r="L1519" s="29" t="str">
        <f t="shared" si="23"/>
        <v>MASINDI-KAMPALA</v>
      </c>
      <c r="M1519" s="31">
        <v>35</v>
      </c>
      <c r="N1519" s="72">
        <v>12000</v>
      </c>
      <c r="O1519" s="34">
        <v>3.25</v>
      </c>
    </row>
    <row r="1520" spans="2:15" x14ac:dyDescent="0.2">
      <c r="B1520" s="27">
        <v>0.2951388888888889</v>
      </c>
      <c r="C1520" s="28">
        <v>6</v>
      </c>
      <c r="D1520" s="33" t="str">
        <f>IF(C1520="", "",VLOOKUP(C1520,Key!$A$5:$B$7,2,FALSE))</f>
        <v>Large Bus</v>
      </c>
      <c r="E1520" s="29" t="s">
        <v>228</v>
      </c>
      <c r="F1520" s="29" t="s">
        <v>66</v>
      </c>
      <c r="G1520" s="29" t="s">
        <v>99</v>
      </c>
      <c r="H1520" s="30" t="s">
        <v>70</v>
      </c>
      <c r="I1520" s="29" t="s">
        <v>257</v>
      </c>
      <c r="J1520" s="29" t="s">
        <v>207</v>
      </c>
      <c r="K1520" s="30" t="s">
        <v>207</v>
      </c>
      <c r="L1520" s="29" t="str">
        <f t="shared" si="23"/>
        <v>KAMPALA-KASESE</v>
      </c>
      <c r="M1520" s="31">
        <v>76</v>
      </c>
      <c r="N1520" s="72">
        <v>35000</v>
      </c>
      <c r="O1520" s="34">
        <v>7</v>
      </c>
    </row>
    <row r="1521" spans="2:15" x14ac:dyDescent="0.2">
      <c r="B1521" s="27">
        <v>0.31111111111111112</v>
      </c>
      <c r="C1521" s="28">
        <v>6</v>
      </c>
      <c r="D1521" s="33" t="str">
        <f>IF(C1521="", "",VLOOKUP(C1521,Key!$A$5:$B$7,2,FALSE))</f>
        <v>Large Bus</v>
      </c>
      <c r="E1521" s="29" t="s">
        <v>228</v>
      </c>
      <c r="F1521" s="29" t="s">
        <v>66</v>
      </c>
      <c r="G1521" s="29" t="s">
        <v>99</v>
      </c>
      <c r="H1521" s="30" t="s">
        <v>70</v>
      </c>
      <c r="I1521" s="29" t="s">
        <v>257</v>
      </c>
      <c r="J1521" s="29" t="s">
        <v>206</v>
      </c>
      <c r="K1521" s="30" t="s">
        <v>206</v>
      </c>
      <c r="L1521" s="29" t="str">
        <f t="shared" si="23"/>
        <v>KAMPALA-MASINDI</v>
      </c>
      <c r="M1521" s="31">
        <v>67</v>
      </c>
      <c r="N1521" s="72">
        <v>15000</v>
      </c>
      <c r="O1521" s="34">
        <v>3.25</v>
      </c>
    </row>
    <row r="1522" spans="2:15" x14ac:dyDescent="0.2">
      <c r="B1522" s="27">
        <v>0.3125</v>
      </c>
      <c r="C1522" s="28">
        <v>6</v>
      </c>
      <c r="D1522" s="33" t="str">
        <f>IF(C1522="", "",VLOOKUP(C1522,Key!$A$5:$B$7,2,FALSE))</f>
        <v>Large Bus</v>
      </c>
      <c r="E1522" s="29" t="s">
        <v>228</v>
      </c>
      <c r="F1522" s="29" t="s">
        <v>66</v>
      </c>
      <c r="G1522" s="29" t="s">
        <v>99</v>
      </c>
      <c r="H1522" s="30" t="s">
        <v>70</v>
      </c>
      <c r="I1522" s="29" t="s">
        <v>257</v>
      </c>
      <c r="J1522" s="29" t="s">
        <v>205</v>
      </c>
      <c r="K1522" s="30" t="s">
        <v>205</v>
      </c>
      <c r="L1522" s="29" t="str">
        <f t="shared" si="23"/>
        <v>KAMPALA-HOIMA</v>
      </c>
      <c r="M1522" s="31">
        <v>67</v>
      </c>
      <c r="N1522" s="72">
        <v>15000</v>
      </c>
      <c r="O1522" s="34">
        <v>3.8</v>
      </c>
    </row>
    <row r="1523" spans="2:15" x14ac:dyDescent="0.2">
      <c r="B1523" s="27">
        <v>0.32569444444444445</v>
      </c>
      <c r="C1523" s="28">
        <v>6</v>
      </c>
      <c r="D1523" s="33" t="str">
        <f>IF(C1523="", "",VLOOKUP(C1523,Key!$A$5:$B$7,2,FALSE))</f>
        <v>Large Bus</v>
      </c>
      <c r="E1523" s="29" t="s">
        <v>228</v>
      </c>
      <c r="F1523" s="29" t="s">
        <v>66</v>
      </c>
      <c r="G1523" s="29" t="s">
        <v>99</v>
      </c>
      <c r="H1523" s="30" t="s">
        <v>70</v>
      </c>
      <c r="I1523" s="29" t="s">
        <v>257</v>
      </c>
      <c r="J1523" s="29" t="s">
        <v>217</v>
      </c>
      <c r="K1523" s="30" t="s">
        <v>209</v>
      </c>
      <c r="L1523" s="29" t="str">
        <f t="shared" si="23"/>
        <v>KAMPALA-BUNDIBUGYO</v>
      </c>
      <c r="M1523" s="31">
        <v>67</v>
      </c>
      <c r="N1523" s="72">
        <v>25000</v>
      </c>
      <c r="O1523" s="34">
        <v>6.25</v>
      </c>
    </row>
    <row r="1524" spans="2:15" x14ac:dyDescent="0.2">
      <c r="B1524" s="27">
        <v>0.3611111111111111</v>
      </c>
      <c r="C1524" s="28">
        <v>6</v>
      </c>
      <c r="D1524" s="33" t="str">
        <f>IF(C1524="", "",VLOOKUP(C1524,Key!$A$5:$B$7,2,FALSE))</f>
        <v>Large Bus</v>
      </c>
      <c r="E1524" s="29" t="s">
        <v>228</v>
      </c>
      <c r="F1524" s="29" t="s">
        <v>66</v>
      </c>
      <c r="G1524" s="29" t="s">
        <v>99</v>
      </c>
      <c r="H1524" s="30" t="s">
        <v>70</v>
      </c>
      <c r="I1524" s="29" t="s">
        <v>257</v>
      </c>
      <c r="J1524" s="29" t="s">
        <v>207</v>
      </c>
      <c r="K1524" s="30" t="s">
        <v>207</v>
      </c>
      <c r="L1524" s="29" t="str">
        <f t="shared" si="23"/>
        <v>KAMPALA-KASESE</v>
      </c>
      <c r="M1524" s="31">
        <v>67</v>
      </c>
      <c r="N1524" s="72">
        <v>35000</v>
      </c>
      <c r="O1524" s="34">
        <v>7</v>
      </c>
    </row>
    <row r="1525" spans="2:15" x14ac:dyDescent="0.2">
      <c r="B1525" s="27">
        <v>0.36805555555555558</v>
      </c>
      <c r="C1525" s="28">
        <v>6</v>
      </c>
      <c r="D1525" s="33" t="str">
        <f>IF(C1525="", "",VLOOKUP(C1525,Key!$A$5:$B$7,2,FALSE))</f>
        <v>Large Bus</v>
      </c>
      <c r="E1525" s="29" t="s">
        <v>228</v>
      </c>
      <c r="F1525" s="29" t="s">
        <v>66</v>
      </c>
      <c r="G1525" s="29" t="s">
        <v>99</v>
      </c>
      <c r="H1525" s="30" t="s">
        <v>70</v>
      </c>
      <c r="I1525" s="29" t="s">
        <v>257</v>
      </c>
      <c r="J1525" s="29" t="s">
        <v>205</v>
      </c>
      <c r="K1525" s="30" t="s">
        <v>205</v>
      </c>
      <c r="L1525" s="29" t="str">
        <f t="shared" si="23"/>
        <v>KAMPALA-HOIMA</v>
      </c>
      <c r="M1525" s="31">
        <v>65</v>
      </c>
      <c r="N1525" s="72">
        <v>15000</v>
      </c>
      <c r="O1525" s="34">
        <v>3.8</v>
      </c>
    </row>
    <row r="1526" spans="2:15" x14ac:dyDescent="0.2">
      <c r="B1526" s="27">
        <v>0.37847222222222227</v>
      </c>
      <c r="C1526" s="28">
        <v>6</v>
      </c>
      <c r="D1526" s="33" t="str">
        <f>IF(C1526="", "",VLOOKUP(C1526,Key!$A$5:$B$7,2,FALSE))</f>
        <v>Large Bus</v>
      </c>
      <c r="E1526" s="29" t="s">
        <v>228</v>
      </c>
      <c r="F1526" s="29" t="s">
        <v>66</v>
      </c>
      <c r="G1526" s="29" t="s">
        <v>99</v>
      </c>
      <c r="H1526" s="30" t="s">
        <v>70</v>
      </c>
      <c r="I1526" s="29" t="s">
        <v>257</v>
      </c>
      <c r="J1526" s="29" t="s">
        <v>206</v>
      </c>
      <c r="K1526" s="30" t="s">
        <v>206</v>
      </c>
      <c r="L1526" s="29" t="str">
        <f t="shared" si="23"/>
        <v>KAMPALA-MASINDI</v>
      </c>
      <c r="M1526" s="31">
        <v>67</v>
      </c>
      <c r="N1526" s="72">
        <v>15000</v>
      </c>
      <c r="O1526" s="34">
        <v>3.25</v>
      </c>
    </row>
    <row r="1527" spans="2:15" x14ac:dyDescent="0.2">
      <c r="B1527" s="27">
        <v>0.40277777777777773</v>
      </c>
      <c r="C1527" s="28">
        <v>6</v>
      </c>
      <c r="D1527" s="33" t="str">
        <f>IF(C1527="", "",VLOOKUP(C1527,Key!$A$5:$B$7,2,FALSE))</f>
        <v>Large Bus</v>
      </c>
      <c r="E1527" s="29" t="s">
        <v>228</v>
      </c>
      <c r="F1527" s="29" t="s">
        <v>66</v>
      </c>
      <c r="G1527" s="29" t="s">
        <v>99</v>
      </c>
      <c r="H1527" s="30" t="s">
        <v>70</v>
      </c>
      <c r="I1527" s="29" t="s">
        <v>257</v>
      </c>
      <c r="J1527" s="29" t="s">
        <v>209</v>
      </c>
      <c r="K1527" s="30" t="s">
        <v>209</v>
      </c>
      <c r="L1527" s="29" t="str">
        <f t="shared" si="23"/>
        <v>KAMPALA-BUNDIBUGYO</v>
      </c>
      <c r="M1527" s="31">
        <v>67</v>
      </c>
      <c r="N1527" s="72">
        <v>25000</v>
      </c>
      <c r="O1527" s="34">
        <v>6.25</v>
      </c>
    </row>
    <row r="1528" spans="2:15" x14ac:dyDescent="0.2">
      <c r="B1528" s="27">
        <v>0.4236111111111111</v>
      </c>
      <c r="C1528" s="28">
        <v>6</v>
      </c>
      <c r="D1528" s="33" t="str">
        <f>IF(C1528="", "",VLOOKUP(C1528,Key!$A$5:$B$7,2,FALSE))</f>
        <v>Large Bus</v>
      </c>
      <c r="E1528" s="29" t="s">
        <v>228</v>
      </c>
      <c r="F1528" s="29" t="s">
        <v>66</v>
      </c>
      <c r="G1528" s="29" t="s">
        <v>99</v>
      </c>
      <c r="H1528" s="30" t="s">
        <v>70</v>
      </c>
      <c r="I1528" s="29" t="s">
        <v>257</v>
      </c>
      <c r="J1528" s="29" t="s">
        <v>207</v>
      </c>
      <c r="K1528" s="30" t="s">
        <v>207</v>
      </c>
      <c r="L1528" s="29" t="str">
        <f t="shared" si="23"/>
        <v>KAMPALA-KASESE</v>
      </c>
      <c r="M1528" s="31">
        <v>67</v>
      </c>
      <c r="N1528" s="72">
        <v>35000</v>
      </c>
      <c r="O1528" s="34">
        <v>7</v>
      </c>
    </row>
    <row r="1529" spans="2:15" x14ac:dyDescent="0.2">
      <c r="B1529" s="27">
        <v>0.44444444444444442</v>
      </c>
      <c r="C1529" s="28">
        <v>6</v>
      </c>
      <c r="D1529" s="33" t="str">
        <f>IF(C1529="", "",VLOOKUP(C1529,Key!$A$5:$B$7,2,FALSE))</f>
        <v>Large Bus</v>
      </c>
      <c r="E1529" s="29" t="s">
        <v>228</v>
      </c>
      <c r="F1529" s="29" t="s">
        <v>66</v>
      </c>
      <c r="G1529" s="29" t="s">
        <v>99</v>
      </c>
      <c r="H1529" s="30" t="s">
        <v>70</v>
      </c>
      <c r="I1529" s="29" t="s">
        <v>257</v>
      </c>
      <c r="J1529" s="29" t="s">
        <v>206</v>
      </c>
      <c r="K1529" s="30" t="s">
        <v>206</v>
      </c>
      <c r="L1529" s="29" t="str">
        <f t="shared" si="23"/>
        <v>KAMPALA-MASINDI</v>
      </c>
      <c r="M1529" s="31">
        <v>67</v>
      </c>
      <c r="N1529" s="72">
        <v>15000</v>
      </c>
      <c r="O1529" s="34">
        <v>3.25</v>
      </c>
    </row>
    <row r="1530" spans="2:15" x14ac:dyDescent="0.2">
      <c r="B1530" s="27">
        <v>0.4513888888888889</v>
      </c>
      <c r="C1530" s="28">
        <v>6</v>
      </c>
      <c r="D1530" s="33" t="str">
        <f>IF(C1530="", "",VLOOKUP(C1530,Key!$A$5:$B$7,2,FALSE))</f>
        <v>Large Bus</v>
      </c>
      <c r="E1530" s="29" t="s">
        <v>228</v>
      </c>
      <c r="F1530" s="29" t="s">
        <v>66</v>
      </c>
      <c r="G1530" s="29" t="s">
        <v>99</v>
      </c>
      <c r="H1530" s="30" t="s">
        <v>70</v>
      </c>
      <c r="I1530" s="29" t="s">
        <v>257</v>
      </c>
      <c r="J1530" s="29" t="s">
        <v>205</v>
      </c>
      <c r="K1530" s="30" t="s">
        <v>205</v>
      </c>
      <c r="L1530" s="29" t="str">
        <f t="shared" si="23"/>
        <v>KAMPALA-HOIMA</v>
      </c>
      <c r="M1530" s="31">
        <v>67</v>
      </c>
      <c r="N1530" s="72">
        <v>15000</v>
      </c>
      <c r="O1530" s="34">
        <v>3.8</v>
      </c>
    </row>
    <row r="1531" spans="2:15" x14ac:dyDescent="0.2">
      <c r="B1531" s="27">
        <v>0.79513888888888884</v>
      </c>
      <c r="C1531" s="28">
        <v>6</v>
      </c>
      <c r="D1531" s="33" t="str">
        <f>IF(C1531="", "",VLOOKUP(C1531,Key!$A$5:$B$7,2,FALSE))</f>
        <v>Large Bus</v>
      </c>
      <c r="E1531" s="29" t="s">
        <v>228</v>
      </c>
      <c r="F1531" s="29" t="s">
        <v>66</v>
      </c>
      <c r="G1531" s="29" t="s">
        <v>99</v>
      </c>
      <c r="H1531" s="30" t="s">
        <v>70</v>
      </c>
      <c r="I1531" s="29" t="s">
        <v>257</v>
      </c>
      <c r="J1531" s="29" t="s">
        <v>211</v>
      </c>
      <c r="K1531" s="30" t="s">
        <v>209</v>
      </c>
      <c r="L1531" s="29" t="str">
        <f t="shared" si="23"/>
        <v>KAMPALA-BUNDIBUGYO</v>
      </c>
      <c r="M1531" s="31">
        <v>70</v>
      </c>
      <c r="N1531" s="72">
        <v>25000</v>
      </c>
      <c r="O1531" s="34">
        <v>6.25</v>
      </c>
    </row>
    <row r="1532" spans="2:15" x14ac:dyDescent="0.2">
      <c r="B1532" s="27">
        <v>0.47916666666666669</v>
      </c>
      <c r="C1532" s="28">
        <v>6</v>
      </c>
      <c r="D1532" s="33" t="str">
        <f>IF(C1532="", "",VLOOKUP(C1532,Key!$A$5:$B$7,2,FALSE))</f>
        <v>Large Bus</v>
      </c>
      <c r="E1532" s="29" t="s">
        <v>228</v>
      </c>
      <c r="F1532" s="29" t="s">
        <v>66</v>
      </c>
      <c r="G1532" s="29" t="s">
        <v>99</v>
      </c>
      <c r="H1532" s="30" t="s">
        <v>70</v>
      </c>
      <c r="I1532" s="29" t="s">
        <v>257</v>
      </c>
      <c r="J1532" s="29" t="s">
        <v>207</v>
      </c>
      <c r="K1532" s="30" t="s">
        <v>207</v>
      </c>
      <c r="L1532" s="29" t="str">
        <f t="shared" si="23"/>
        <v>KAMPALA-KASESE</v>
      </c>
      <c r="M1532" s="31">
        <v>67</v>
      </c>
      <c r="N1532" s="72">
        <v>35000</v>
      </c>
      <c r="O1532" s="34">
        <v>7</v>
      </c>
    </row>
    <row r="1533" spans="2:15" x14ac:dyDescent="0.2">
      <c r="B1533" s="27">
        <v>0.5</v>
      </c>
      <c r="C1533" s="28">
        <v>6</v>
      </c>
      <c r="D1533" s="33" t="str">
        <f>IF(C1533="", "",VLOOKUP(C1533,Key!$A$5:$B$7,2,FALSE))</f>
        <v>Large Bus</v>
      </c>
      <c r="E1533" s="29" t="s">
        <v>228</v>
      </c>
      <c r="F1533" s="29" t="s">
        <v>66</v>
      </c>
      <c r="G1533" s="29" t="s">
        <v>99</v>
      </c>
      <c r="H1533" s="30" t="s">
        <v>70</v>
      </c>
      <c r="I1533" s="29" t="s">
        <v>257</v>
      </c>
      <c r="J1533" s="29" t="s">
        <v>207</v>
      </c>
      <c r="K1533" s="30" t="s">
        <v>207</v>
      </c>
      <c r="L1533" s="29" t="str">
        <f t="shared" si="23"/>
        <v>KAMPALA-KASESE</v>
      </c>
      <c r="M1533" s="31">
        <v>67</v>
      </c>
      <c r="N1533" s="72">
        <v>35000</v>
      </c>
      <c r="O1533" s="34">
        <v>7</v>
      </c>
    </row>
    <row r="1534" spans="2:15" x14ac:dyDescent="0.2">
      <c r="B1534" s="27">
        <v>0.51458333333333328</v>
      </c>
      <c r="C1534" s="28">
        <v>6</v>
      </c>
      <c r="D1534" s="33" t="str">
        <f>IF(C1534="", "",VLOOKUP(C1534,Key!$A$5:$B$7,2,FALSE))</f>
        <v>Large Bus</v>
      </c>
      <c r="E1534" s="29" t="s">
        <v>228</v>
      </c>
      <c r="F1534" s="29" t="s">
        <v>66</v>
      </c>
      <c r="G1534" s="29" t="s">
        <v>99</v>
      </c>
      <c r="H1534" s="30" t="s">
        <v>70</v>
      </c>
      <c r="I1534" s="29" t="s">
        <v>257</v>
      </c>
      <c r="J1534" s="29" t="s">
        <v>205</v>
      </c>
      <c r="K1534" s="30" t="s">
        <v>205</v>
      </c>
      <c r="L1534" s="29" t="str">
        <f t="shared" si="23"/>
        <v>KAMPALA-HOIMA</v>
      </c>
      <c r="M1534" s="31">
        <v>67</v>
      </c>
      <c r="N1534" s="72">
        <v>15000</v>
      </c>
      <c r="O1534" s="34">
        <v>3.8</v>
      </c>
    </row>
    <row r="1535" spans="2:15" x14ac:dyDescent="0.2">
      <c r="B1535" s="27">
        <v>0.51527777777777783</v>
      </c>
      <c r="C1535" s="28">
        <v>6</v>
      </c>
      <c r="D1535" s="33" t="str">
        <f>IF(C1535="", "",VLOOKUP(C1535,Key!$A$5:$B$7,2,FALSE))</f>
        <v>Large Bus</v>
      </c>
      <c r="E1535" s="29" t="s">
        <v>228</v>
      </c>
      <c r="F1535" s="29" t="s">
        <v>66</v>
      </c>
      <c r="G1535" s="29" t="s">
        <v>99</v>
      </c>
      <c r="H1535" s="30" t="s">
        <v>70</v>
      </c>
      <c r="I1535" s="29" t="s">
        <v>257</v>
      </c>
      <c r="J1535" s="29" t="s">
        <v>206</v>
      </c>
      <c r="K1535" s="30" t="s">
        <v>206</v>
      </c>
      <c r="L1535" s="29" t="str">
        <f t="shared" si="23"/>
        <v>KAMPALA-MASINDI</v>
      </c>
      <c r="M1535" s="31">
        <v>67</v>
      </c>
      <c r="N1535" s="72">
        <v>15000</v>
      </c>
      <c r="O1535" s="34">
        <v>3.25</v>
      </c>
    </row>
    <row r="1536" spans="2:15" x14ac:dyDescent="0.2">
      <c r="B1536" s="27">
        <v>0.53125</v>
      </c>
      <c r="C1536" s="28">
        <v>6</v>
      </c>
      <c r="D1536" s="33" t="str">
        <f>IF(C1536="", "",VLOOKUP(C1536,Key!$A$5:$B$7,2,FALSE))</f>
        <v>Large Bus</v>
      </c>
      <c r="E1536" s="29" t="s">
        <v>228</v>
      </c>
      <c r="F1536" s="29" t="s">
        <v>66</v>
      </c>
      <c r="G1536" s="29" t="s">
        <v>99</v>
      </c>
      <c r="H1536" s="30" t="s">
        <v>70</v>
      </c>
      <c r="I1536" s="29" t="s">
        <v>257</v>
      </c>
      <c r="J1536" s="29" t="s">
        <v>207</v>
      </c>
      <c r="K1536" s="30" t="s">
        <v>207</v>
      </c>
      <c r="L1536" s="29" t="str">
        <f t="shared" si="23"/>
        <v>KAMPALA-KASESE</v>
      </c>
      <c r="M1536" s="31">
        <v>67</v>
      </c>
      <c r="N1536" s="72">
        <v>35000</v>
      </c>
      <c r="O1536" s="34">
        <v>7</v>
      </c>
    </row>
    <row r="1537" spans="2:15" x14ac:dyDescent="0.2">
      <c r="B1537" s="27">
        <v>4.1666666666666664E-2</v>
      </c>
      <c r="C1537" s="28">
        <v>6</v>
      </c>
      <c r="D1537" s="33" t="str">
        <f>IF(C1537="", "",VLOOKUP(C1537,Key!$A$5:$B$7,2,FALSE))</f>
        <v>Large Bus</v>
      </c>
      <c r="E1537" s="29" t="s">
        <v>228</v>
      </c>
      <c r="F1537" s="29" t="s">
        <v>66</v>
      </c>
      <c r="G1537" s="29" t="s">
        <v>99</v>
      </c>
      <c r="H1537" s="30" t="s">
        <v>70</v>
      </c>
      <c r="I1537" s="29" t="s">
        <v>257</v>
      </c>
      <c r="J1537" s="29" t="s">
        <v>206</v>
      </c>
      <c r="K1537" s="30" t="s">
        <v>206</v>
      </c>
      <c r="L1537" s="29" t="str">
        <f t="shared" si="23"/>
        <v>KAMPALA-MASINDI</v>
      </c>
      <c r="M1537" s="31">
        <v>67</v>
      </c>
      <c r="N1537" s="72">
        <v>15000</v>
      </c>
      <c r="O1537" s="34">
        <v>3.25</v>
      </c>
    </row>
    <row r="1538" spans="2:15" x14ac:dyDescent="0.2">
      <c r="B1538" s="27">
        <v>6.9444444444444434E-2</v>
      </c>
      <c r="C1538" s="28">
        <v>6</v>
      </c>
      <c r="D1538" s="33" t="str">
        <f>IF(C1538="", "",VLOOKUP(C1538,Key!$A$5:$B$7,2,FALSE))</f>
        <v>Large Bus</v>
      </c>
      <c r="E1538" s="29" t="s">
        <v>228</v>
      </c>
      <c r="F1538" s="29" t="s">
        <v>66</v>
      </c>
      <c r="G1538" s="29" t="s">
        <v>99</v>
      </c>
      <c r="H1538" s="30" t="s">
        <v>70</v>
      </c>
      <c r="I1538" s="29" t="s">
        <v>257</v>
      </c>
      <c r="J1538" s="29" t="s">
        <v>207</v>
      </c>
      <c r="K1538" s="30" t="s">
        <v>207</v>
      </c>
      <c r="L1538" s="29" t="str">
        <f t="shared" si="23"/>
        <v>KAMPALA-KASESE</v>
      </c>
      <c r="M1538" s="31">
        <v>67</v>
      </c>
      <c r="N1538" s="72">
        <v>35000</v>
      </c>
      <c r="O1538" s="34">
        <v>7</v>
      </c>
    </row>
    <row r="1539" spans="2:15" x14ac:dyDescent="0.2">
      <c r="B1539" s="27">
        <v>7.9861111111111105E-2</v>
      </c>
      <c r="C1539" s="28">
        <v>6</v>
      </c>
      <c r="D1539" s="33" t="str">
        <f>IF(C1539="", "",VLOOKUP(C1539,Key!$A$5:$B$7,2,FALSE))</f>
        <v>Large Bus</v>
      </c>
      <c r="E1539" s="29" t="s">
        <v>228</v>
      </c>
      <c r="F1539" s="29" t="s">
        <v>66</v>
      </c>
      <c r="G1539" s="29" t="s">
        <v>99</v>
      </c>
      <c r="H1539" s="30" t="s">
        <v>70</v>
      </c>
      <c r="I1539" s="29" t="s">
        <v>257</v>
      </c>
      <c r="J1539" s="29" t="s">
        <v>205</v>
      </c>
      <c r="K1539" s="30" t="s">
        <v>205</v>
      </c>
      <c r="L1539" s="29" t="str">
        <f t="shared" si="23"/>
        <v>KAMPALA-HOIMA</v>
      </c>
      <c r="M1539" s="31">
        <v>67</v>
      </c>
      <c r="N1539" s="72">
        <v>15000</v>
      </c>
      <c r="O1539" s="34">
        <v>3.8</v>
      </c>
    </row>
  </sheetData>
  <sortState ref="A10:V1539">
    <sortCondition ref="A10:A1539"/>
  </sortState>
  <mergeCells count="18">
    <mergeCell ref="J7:L7"/>
    <mergeCell ref="M7:M8"/>
    <mergeCell ref="N7:N8"/>
    <mergeCell ref="O7:O8"/>
    <mergeCell ref="B7:B8"/>
    <mergeCell ref="C7:C8"/>
    <mergeCell ref="D7:D8"/>
    <mergeCell ref="E7:E8"/>
    <mergeCell ref="F7:F8"/>
    <mergeCell ref="G7:I7"/>
    <mergeCell ref="B5:C5"/>
    <mergeCell ref="D5:E5"/>
    <mergeCell ref="H5:I5"/>
    <mergeCell ref="B1:O1"/>
    <mergeCell ref="B2:O2"/>
    <mergeCell ref="B4:C4"/>
    <mergeCell ref="H4:I4"/>
    <mergeCell ref="K4:L4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C5F2-469D-4A66-B4DD-DEED20249F84}">
  <dimension ref="B2:K133"/>
  <sheetViews>
    <sheetView topLeftCell="A4" zoomScale="85" zoomScaleNormal="85" zoomScaleSheetLayoutView="90" workbookViewId="0">
      <selection activeCell="O13" sqref="O13"/>
    </sheetView>
  </sheetViews>
  <sheetFormatPr defaultRowHeight="12.75" x14ac:dyDescent="0.2"/>
  <cols>
    <col min="1" max="1" width="4.5703125" customWidth="1"/>
    <col min="2" max="2" width="13.7109375" customWidth="1"/>
    <col min="3" max="3" width="15.5703125" customWidth="1"/>
    <col min="4" max="4" width="14.7109375" customWidth="1"/>
    <col min="5" max="5" width="16.7109375" customWidth="1"/>
    <col min="6" max="6" width="19.28515625" customWidth="1"/>
    <col min="7" max="8" width="10.85546875" customWidth="1"/>
    <col min="9" max="9" width="11.28515625" customWidth="1"/>
    <col min="10" max="10" width="10.140625" customWidth="1"/>
    <col min="11" max="11" width="12.28515625" customWidth="1"/>
    <col min="12" max="12" width="13.5703125" customWidth="1"/>
  </cols>
  <sheetData>
    <row r="2" spans="2:11" ht="15" x14ac:dyDescent="0.25">
      <c r="B2" s="50" t="s">
        <v>245</v>
      </c>
    </row>
    <row r="4" spans="2:11" x14ac:dyDescent="0.2">
      <c r="B4" s="113" t="s">
        <v>258</v>
      </c>
      <c r="C4" s="113"/>
      <c r="D4" s="114" t="s">
        <v>231</v>
      </c>
      <c r="E4" s="114"/>
      <c r="F4" s="114"/>
      <c r="G4" s="114"/>
      <c r="H4" s="114"/>
      <c r="I4" s="114"/>
      <c r="J4" s="114" t="s">
        <v>232</v>
      </c>
      <c r="K4" s="114"/>
    </row>
    <row r="5" spans="2:11" s="53" customFormat="1" ht="38.25" x14ac:dyDescent="0.2">
      <c r="B5" s="51" t="s">
        <v>233</v>
      </c>
      <c r="C5" s="51" t="s">
        <v>234</v>
      </c>
      <c r="D5" s="51" t="s">
        <v>235</v>
      </c>
      <c r="E5" s="51" t="s">
        <v>236</v>
      </c>
      <c r="F5" s="51" t="s">
        <v>237</v>
      </c>
      <c r="G5" s="52" t="s">
        <v>238</v>
      </c>
      <c r="H5" s="52" t="s">
        <v>239</v>
      </c>
      <c r="I5" s="52" t="s">
        <v>240</v>
      </c>
      <c r="J5" s="52" t="s">
        <v>241</v>
      </c>
      <c r="K5" s="52" t="s">
        <v>242</v>
      </c>
    </row>
    <row r="6" spans="2:11" ht="15" customHeight="1" x14ac:dyDescent="0.2">
      <c r="B6" s="54" t="s">
        <v>70</v>
      </c>
      <c r="C6" s="54" t="s">
        <v>243</v>
      </c>
      <c r="D6" s="54" t="s">
        <v>70</v>
      </c>
      <c r="E6" s="54" t="s">
        <v>68</v>
      </c>
      <c r="F6" s="55" t="str">
        <f>D6&amp;"-"&amp;E6</f>
        <v>KAMPALA-MBARARA</v>
      </c>
      <c r="G6" s="56">
        <f>ROUNDUP(COUNTIF('PT-01'!$L$10:$L$466,Summary!F6)/5,0)</f>
        <v>48</v>
      </c>
      <c r="H6" s="56">
        <v>270</v>
      </c>
      <c r="I6" s="57">
        <f>AVERAGEIF('PT-01'!$L$10:$L$466,Summary!F6,'PT-01'!$O$10:$O$466)</f>
        <v>4.8999999999999977</v>
      </c>
      <c r="J6" s="56">
        <f>AVERAGEIF('PT-01'!$L$10:$L$466,Summary!F6,'PT-01'!$M$10:$M$466)</f>
        <v>65.058333333333337</v>
      </c>
      <c r="K6" s="58">
        <f>AVERAGEIF('PT-01'!$L$10:$L$466,Summary!F6,'PT-01'!$N$10:$N$466)</f>
        <v>20000</v>
      </c>
    </row>
    <row r="7" spans="2:11" ht="15" customHeight="1" x14ac:dyDescent="0.2">
      <c r="B7" s="54" t="s">
        <v>70</v>
      </c>
      <c r="C7" s="54" t="s">
        <v>244</v>
      </c>
      <c r="D7" s="54" t="s">
        <v>68</v>
      </c>
      <c r="E7" s="54" t="s">
        <v>70</v>
      </c>
      <c r="F7" s="55" t="str">
        <f t="shared" ref="F7" si="0">D7&amp;"-"&amp;E7</f>
        <v>MBARARA-KAMPALA</v>
      </c>
      <c r="G7" s="56">
        <f>ROUNDUP(COUNTIF('PT-01'!$L$10:$L$466,Summary!F7)/5,0)</f>
        <v>43</v>
      </c>
      <c r="H7" s="56">
        <v>270</v>
      </c>
      <c r="I7" s="57">
        <f>AVERAGEIF('PT-01'!$L$10:$L$466,Summary!F7,'PT-01'!$O$10:$O$466)</f>
        <v>4.8999999999999861</v>
      </c>
      <c r="J7" s="56">
        <f>AVERAGEIF('PT-01'!$L$10:$L$466,Summary!F7,'PT-01'!$M$10:$M$466)</f>
        <v>65.924528301886795</v>
      </c>
      <c r="K7" s="58">
        <f>AVERAGEIF('PT-01'!$L$10:$L$466,Summary!F7,'PT-01'!$N$10:$N$466)</f>
        <v>20000</v>
      </c>
    </row>
    <row r="8" spans="2:11" ht="15" customHeight="1" x14ac:dyDescent="0.2">
      <c r="B8" s="60"/>
      <c r="C8" s="60"/>
      <c r="D8" s="61"/>
      <c r="E8" s="60"/>
      <c r="F8" s="61"/>
      <c r="G8" s="62"/>
      <c r="H8" s="62"/>
      <c r="I8" s="63"/>
      <c r="J8" s="62"/>
      <c r="K8" s="64"/>
    </row>
    <row r="9" spans="2:11" ht="15" customHeight="1" x14ac:dyDescent="0.2"/>
    <row r="10" spans="2:11" x14ac:dyDescent="0.2">
      <c r="B10" s="113" t="s">
        <v>247</v>
      </c>
      <c r="C10" s="113"/>
      <c r="D10" s="114" t="s">
        <v>231</v>
      </c>
      <c r="E10" s="114"/>
      <c r="F10" s="114"/>
      <c r="G10" s="114"/>
      <c r="H10" s="114"/>
      <c r="I10" s="114"/>
      <c r="J10" s="114" t="s">
        <v>232</v>
      </c>
      <c r="K10" s="114"/>
    </row>
    <row r="11" spans="2:11" s="53" customFormat="1" ht="38.25" x14ac:dyDescent="0.2">
      <c r="B11" s="51" t="s">
        <v>233</v>
      </c>
      <c r="C11" s="51" t="s">
        <v>234</v>
      </c>
      <c r="D11" s="51" t="s">
        <v>235</v>
      </c>
      <c r="E11" s="51" t="s">
        <v>236</v>
      </c>
      <c r="F11" s="51" t="s">
        <v>237</v>
      </c>
      <c r="G11" s="52" t="s">
        <v>238</v>
      </c>
      <c r="H11" s="52" t="s">
        <v>239</v>
      </c>
      <c r="I11" s="52" t="s">
        <v>240</v>
      </c>
      <c r="J11" s="52" t="s">
        <v>241</v>
      </c>
      <c r="K11" s="52" t="s">
        <v>242</v>
      </c>
    </row>
    <row r="12" spans="2:11" ht="15" customHeight="1" x14ac:dyDescent="0.2">
      <c r="B12" s="54" t="s">
        <v>70</v>
      </c>
      <c r="C12" s="54" t="s">
        <v>243</v>
      </c>
      <c r="D12" s="54" t="s">
        <v>70</v>
      </c>
      <c r="E12" s="54" t="s">
        <v>85</v>
      </c>
      <c r="F12" s="55" t="str">
        <f>D12&amp;"-"&amp;E12</f>
        <v>KAMPALA-BUSHENYI</v>
      </c>
      <c r="G12" s="56">
        <f>ROUNDUP(COUNTIF('PT-01'!$L$468:$L$609,Summary!F12)/5,0)</f>
        <v>6</v>
      </c>
      <c r="H12" s="56">
        <v>331</v>
      </c>
      <c r="I12" s="57">
        <f>AVERAGEIF('PT-01'!$L$468:$L$609,Summary!F12,'PT-01'!$O$468:$O$609)</f>
        <v>6</v>
      </c>
      <c r="J12" s="56">
        <f>AVERAGEIF('PT-01'!$L$468:$L$609,Summary!F12,'PT-01'!$M$468:$M$609)</f>
        <v>57.466666666666669</v>
      </c>
      <c r="K12" s="58">
        <f>AVERAGEIF('PT-01'!$L$468:$L$609,Summary!F12,'PT-01'!$N$468:$N$609)</f>
        <v>25000</v>
      </c>
    </row>
    <row r="13" spans="2:11" ht="15" customHeight="1" x14ac:dyDescent="0.2">
      <c r="B13" s="54" t="s">
        <v>70</v>
      </c>
      <c r="C13" s="54" t="s">
        <v>243</v>
      </c>
      <c r="D13" s="54" t="s">
        <v>70</v>
      </c>
      <c r="E13" s="54" t="s">
        <v>84</v>
      </c>
      <c r="F13" s="55" t="str">
        <f t="shared" ref="F13:F21" si="1">D13&amp;"-"&amp;E13</f>
        <v>KAMPALA-ISHAKA</v>
      </c>
      <c r="G13" s="56">
        <f>ROUNDUP(COUNTIF('PT-01'!$L$468:$L$609,Summary!F13)/5,0)</f>
        <v>3</v>
      </c>
      <c r="H13" s="56">
        <v>328</v>
      </c>
      <c r="I13" s="57">
        <f>AVERAGEIF('PT-01'!$L$468:$L$609,Summary!F13,'PT-01'!$O$468:$O$609)</f>
        <v>5.450000000000002</v>
      </c>
      <c r="J13" s="56">
        <f>AVERAGEIF('PT-01'!$L$468:$L$609,Summary!F13,'PT-01'!$M$468:$M$609)</f>
        <v>11.6</v>
      </c>
      <c r="K13" s="58">
        <f>AVERAGEIF('PT-01'!$L$468:$L$609,Summary!F13,'PT-01'!$N$468:$N$609)</f>
        <v>25000</v>
      </c>
    </row>
    <row r="14" spans="2:11" ht="15" customHeight="1" x14ac:dyDescent="0.2">
      <c r="B14" s="54" t="s">
        <v>70</v>
      </c>
      <c r="C14" s="54" t="s">
        <v>243</v>
      </c>
      <c r="D14" s="54" t="s">
        <v>70</v>
      </c>
      <c r="E14" s="54" t="s">
        <v>259</v>
      </c>
      <c r="F14" s="55" t="str">
        <f t="shared" si="1"/>
        <v>KAMPALA-KATENDE-ISHAKA</v>
      </c>
      <c r="G14" s="56">
        <f>ROUNDUP(COUNTIF('PT-01'!$L$468:$L$609,Summary!F14)/5,0)</f>
        <v>1</v>
      </c>
      <c r="H14" s="56">
        <v>328</v>
      </c>
      <c r="I14" s="57">
        <f>AVERAGEIF('PT-01'!$L$468:$L$609,Summary!F14,'PT-01'!$O$468:$O$609)</f>
        <v>5.45</v>
      </c>
      <c r="J14" s="56">
        <f>AVERAGEIF('PT-01'!$L$468:$L$609,Summary!F14,'PT-01'!$M$468:$M$609)</f>
        <v>4</v>
      </c>
      <c r="K14" s="58">
        <f>AVERAGEIF('PT-01'!$L$468:$L$609,Summary!F14,'PT-01'!$N$468:$N$609)</f>
        <v>25000</v>
      </c>
    </row>
    <row r="15" spans="2:11" ht="15" customHeight="1" x14ac:dyDescent="0.2">
      <c r="B15" s="54" t="s">
        <v>70</v>
      </c>
      <c r="C15" s="54" t="s">
        <v>243</v>
      </c>
      <c r="D15" s="54" t="s">
        <v>70</v>
      </c>
      <c r="E15" s="54" t="s">
        <v>83</v>
      </c>
      <c r="F15" s="55" t="str">
        <f t="shared" si="1"/>
        <v>KAMPALA-KISORO</v>
      </c>
      <c r="G15" s="56">
        <f>ROUNDUP(COUNTIF('PT-01'!$L$468:$L$609,Summary!F15)/5,0)</f>
        <v>5</v>
      </c>
      <c r="H15" s="65">
        <v>467</v>
      </c>
      <c r="I15" s="57">
        <f>AVERAGEIF('PT-01'!$L$468:$L$609,Summary!F15,'PT-01'!$O$468:$O$609)</f>
        <v>9</v>
      </c>
      <c r="J15" s="56">
        <f>AVERAGEIF('PT-01'!$L$468:$L$609,Summary!F15,'PT-01'!$M$468:$M$609)</f>
        <v>65.739130434782609</v>
      </c>
      <c r="K15" s="58">
        <f>AVERAGEIF('PT-01'!$L$468:$L$609,Summary!F15,'PT-01'!$N$468:$N$609)</f>
        <v>40000</v>
      </c>
    </row>
    <row r="16" spans="2:11" ht="15" customHeight="1" x14ac:dyDescent="0.2">
      <c r="B16" s="54" t="s">
        <v>70</v>
      </c>
      <c r="C16" s="54" t="s">
        <v>243</v>
      </c>
      <c r="D16" s="54" t="s">
        <v>70</v>
      </c>
      <c r="E16" s="54" t="s">
        <v>68</v>
      </c>
      <c r="F16" s="55" t="str">
        <f t="shared" si="1"/>
        <v>KAMPALA-MBARARA</v>
      </c>
      <c r="G16" s="56">
        <f>ROUNDUP(COUNTIF('PT-01'!$L$468:$L$609,Summary!F16)/5,0)</f>
        <v>1</v>
      </c>
      <c r="H16" s="56">
        <v>270</v>
      </c>
      <c r="I16" s="57">
        <f>AVERAGEIF('PT-01'!$L$468:$L$609,Summary!F16,'PT-01'!$O$468:$O$609)</f>
        <v>4.9000000000000004</v>
      </c>
      <c r="J16" s="56">
        <f>AVERAGEIF('PT-01'!$L$468:$L$609,Summary!F16,'PT-01'!$M$468:$M$609)</f>
        <v>3</v>
      </c>
      <c r="K16" s="58">
        <f>AVERAGEIF('PT-01'!$L$468:$L$609,Summary!F16,'PT-01'!$N$468:$N$609)</f>
        <v>20000</v>
      </c>
    </row>
    <row r="17" spans="2:11" ht="15" customHeight="1" x14ac:dyDescent="0.2">
      <c r="B17" s="54" t="s">
        <v>70</v>
      </c>
      <c r="C17" s="54" t="s">
        <v>243</v>
      </c>
      <c r="D17" s="54" t="s">
        <v>70</v>
      </c>
      <c r="E17" s="54" t="s">
        <v>86</v>
      </c>
      <c r="F17" s="55" t="str">
        <f t="shared" si="1"/>
        <v>KAMPALA-RUBIRIZI</v>
      </c>
      <c r="G17" s="56">
        <f>ROUNDUP(COUNTIF('PT-01'!$L$468:$L$609,Summary!F17)/5,0)</f>
        <v>1</v>
      </c>
      <c r="H17" s="56">
        <v>365</v>
      </c>
      <c r="I17" s="57">
        <f>AVERAGEIF('PT-01'!$L$468:$L$609,Summary!F17,'PT-01'!$O$468:$O$609)</f>
        <v>6.25</v>
      </c>
      <c r="J17" s="56">
        <f>AVERAGEIF('PT-01'!$L$468:$L$609,Summary!F17,'PT-01'!$M$468:$M$609)</f>
        <v>66.666666666666671</v>
      </c>
      <c r="K17" s="58">
        <f>AVERAGEIF('PT-01'!$L$468:$L$609,Summary!F17,'PT-01'!$N$468:$N$609)</f>
        <v>25000</v>
      </c>
    </row>
    <row r="18" spans="2:11" ht="15" customHeight="1" x14ac:dyDescent="0.2">
      <c r="B18" s="54" t="s">
        <v>70</v>
      </c>
      <c r="C18" s="54" t="s">
        <v>244</v>
      </c>
      <c r="D18" s="54" t="s">
        <v>85</v>
      </c>
      <c r="E18" s="54" t="s">
        <v>70</v>
      </c>
      <c r="F18" s="55" t="str">
        <f t="shared" si="1"/>
        <v>BUSHENYI-KAMPALA</v>
      </c>
      <c r="G18" s="56">
        <f>ROUNDUP(COUNTIF('PT-01'!$L$468:$L$609,Summary!F18)/5,0)</f>
        <v>7</v>
      </c>
      <c r="H18" s="56">
        <v>331</v>
      </c>
      <c r="I18" s="57">
        <f>AVERAGEIF('PT-01'!$L$468:$L$609,Summary!F18,'PT-01'!$O$468:$O$609)</f>
        <v>6</v>
      </c>
      <c r="J18" s="56">
        <f>AVERAGEIF('PT-01'!$L$468:$L$609,Summary!F18,'PT-01'!$M$468:$M$609)</f>
        <v>36.647058823529413</v>
      </c>
      <c r="K18" s="58">
        <f>AVERAGEIF('PT-01'!$L$468:$L$609,Summary!F18,'PT-01'!$N$468:$N$609)</f>
        <v>25000</v>
      </c>
    </row>
    <row r="19" spans="2:11" ht="15" customHeight="1" x14ac:dyDescent="0.2">
      <c r="B19" s="54" t="s">
        <v>70</v>
      </c>
      <c r="C19" s="54" t="s">
        <v>244</v>
      </c>
      <c r="D19" s="54" t="s">
        <v>83</v>
      </c>
      <c r="E19" s="54" t="s">
        <v>70</v>
      </c>
      <c r="F19" s="55" t="str">
        <f t="shared" si="1"/>
        <v>KISORO-KAMPALA</v>
      </c>
      <c r="G19" s="56">
        <f>ROUNDUP(COUNTIF('PT-01'!$L$468:$L$609,Summary!F19)/5,0)</f>
        <v>5</v>
      </c>
      <c r="H19" s="56">
        <v>467</v>
      </c>
      <c r="I19" s="57">
        <f>AVERAGEIF('PT-01'!$L$468:$L$609,Summary!F19,'PT-01'!$O$468:$O$609)</f>
        <v>9</v>
      </c>
      <c r="J19" s="56">
        <f>AVERAGEIF('PT-01'!$L$468:$L$609,Summary!F19,'PT-01'!$M$468:$M$609)</f>
        <v>62.04</v>
      </c>
      <c r="K19" s="58">
        <f>AVERAGEIF('PT-01'!$L$468:$L$609,Summary!F19,'PT-01'!$N$468:$N$609)</f>
        <v>35000</v>
      </c>
    </row>
    <row r="20" spans="2:11" ht="15" customHeight="1" x14ac:dyDescent="0.2">
      <c r="B20" s="54" t="s">
        <v>70</v>
      </c>
      <c r="C20" s="54" t="s">
        <v>244</v>
      </c>
      <c r="D20" s="54" t="s">
        <v>68</v>
      </c>
      <c r="E20" s="54" t="s">
        <v>70</v>
      </c>
      <c r="F20" s="55" t="str">
        <f t="shared" si="1"/>
        <v>MBARARA-KAMPALA</v>
      </c>
      <c r="G20" s="56">
        <f>ROUNDUP(COUNTIF('PT-01'!$L$468:$L$609,Summary!F20)/5,0)</f>
        <v>1</v>
      </c>
      <c r="H20" s="56">
        <v>270</v>
      </c>
      <c r="I20" s="57">
        <f>AVERAGEIF('PT-01'!$L$468:$L$609,Summary!F20,'PT-01'!$O$468:$O$609)</f>
        <v>4.9000000000000004</v>
      </c>
      <c r="J20" s="56">
        <f>AVERAGEIF('PT-01'!$L$468:$L$609,Summary!F20,'PT-01'!$M$468:$M$609)</f>
        <v>55</v>
      </c>
      <c r="K20" s="58">
        <f>AVERAGEIF('PT-01'!$L$468:$L$609,Summary!F20,'PT-01'!$N$468:$N$609)</f>
        <v>20000</v>
      </c>
    </row>
    <row r="21" spans="2:11" ht="15" customHeight="1" x14ac:dyDescent="0.2">
      <c r="B21" s="54" t="s">
        <v>70</v>
      </c>
      <c r="C21" s="54" t="s">
        <v>244</v>
      </c>
      <c r="D21" s="54" t="s">
        <v>86</v>
      </c>
      <c r="E21" s="54" t="s">
        <v>70</v>
      </c>
      <c r="F21" s="55" t="str">
        <f t="shared" si="1"/>
        <v>RUBIRIZI-KAMPALA</v>
      </c>
      <c r="G21" s="56">
        <f>ROUNDUP(COUNTIF('PT-01'!$L$468:$L$609,Summary!F21)/5,0)</f>
        <v>1</v>
      </c>
      <c r="H21" s="56">
        <v>365</v>
      </c>
      <c r="I21" s="57">
        <f>AVERAGEIF('PT-01'!$L$468:$L$609,Summary!F21,'PT-01'!$O$468:$O$609)</f>
        <v>6.3</v>
      </c>
      <c r="J21" s="56">
        <f>AVERAGEIF('PT-01'!$L$468:$L$609,Summary!F21,'PT-01'!$M$468:$M$609)</f>
        <v>39.5</v>
      </c>
      <c r="K21" s="58">
        <f>AVERAGEIF('PT-01'!$L$468:$L$609,Summary!F21,'PT-01'!$N$468:$N$609)</f>
        <v>21500</v>
      </c>
    </row>
    <row r="22" spans="2:11" ht="15" customHeight="1" x14ac:dyDescent="0.2">
      <c r="B22" s="60"/>
      <c r="C22" s="60"/>
      <c r="D22" s="61"/>
      <c r="E22" s="60"/>
      <c r="F22" s="61"/>
      <c r="G22" s="62"/>
      <c r="H22" s="62"/>
      <c r="I22" s="63"/>
      <c r="J22" s="62"/>
      <c r="K22" s="64"/>
    </row>
    <row r="23" spans="2:11" ht="15" customHeight="1" x14ac:dyDescent="0.2"/>
    <row r="24" spans="2:11" x14ac:dyDescent="0.2">
      <c r="B24" s="113" t="s">
        <v>248</v>
      </c>
      <c r="C24" s="113"/>
      <c r="D24" s="114" t="s">
        <v>231</v>
      </c>
      <c r="E24" s="114"/>
      <c r="F24" s="114"/>
      <c r="G24" s="114"/>
      <c r="H24" s="114"/>
      <c r="I24" s="114"/>
      <c r="J24" s="114" t="s">
        <v>232</v>
      </c>
      <c r="K24" s="114"/>
    </row>
    <row r="25" spans="2:11" s="53" customFormat="1" ht="38.25" x14ac:dyDescent="0.2">
      <c r="B25" s="51" t="s">
        <v>233</v>
      </c>
      <c r="C25" s="51" t="s">
        <v>234</v>
      </c>
      <c r="D25" s="51" t="s">
        <v>235</v>
      </c>
      <c r="E25" s="51" t="s">
        <v>236</v>
      </c>
      <c r="F25" s="51" t="s">
        <v>237</v>
      </c>
      <c r="G25" s="52" t="s">
        <v>238</v>
      </c>
      <c r="H25" s="52" t="s">
        <v>239</v>
      </c>
      <c r="I25" s="52" t="s">
        <v>240</v>
      </c>
      <c r="J25" s="52" t="s">
        <v>241</v>
      </c>
      <c r="K25" s="52" t="s">
        <v>242</v>
      </c>
    </row>
    <row r="26" spans="2:11" ht="15" customHeight="1" x14ac:dyDescent="0.2">
      <c r="B26" s="54" t="s">
        <v>70</v>
      </c>
      <c r="C26" s="54" t="s">
        <v>243</v>
      </c>
      <c r="D26" s="54" t="s">
        <v>70</v>
      </c>
      <c r="E26" s="54" t="s">
        <v>102</v>
      </c>
      <c r="F26" s="55" t="str">
        <f>D26&amp;"-"&amp;E26</f>
        <v>KAMPALA-DRC</v>
      </c>
      <c r="G26" s="56">
        <f>ROUNDUP(COUNTIF('PT-01'!$L$611:$L$699,Summary!F26)/5,0)</f>
        <v>1</v>
      </c>
      <c r="H26" s="56">
        <v>570</v>
      </c>
      <c r="I26" s="57">
        <f>AVERAGEIF('PT-01'!$L$611:$L$699,Summary!F26,'PT-01'!$O$611:$O$699)</f>
        <v>12</v>
      </c>
      <c r="J26" s="56">
        <f>AVERAGEIF('PT-01'!$L$611:$L$699,Summary!F26,'PT-01'!$M$611:$M$699)</f>
        <v>64</v>
      </c>
      <c r="K26" s="58">
        <f>AVERAGEIF('PT-01'!$L$611:$L$699,Summary!F26,'PT-01'!$N$611:$N$699)</f>
        <v>50000</v>
      </c>
    </row>
    <row r="27" spans="2:11" ht="15" customHeight="1" x14ac:dyDescent="0.2">
      <c r="B27" s="54" t="s">
        <v>70</v>
      </c>
      <c r="C27" s="54" t="s">
        <v>243</v>
      </c>
      <c r="D27" s="54" t="s">
        <v>70</v>
      </c>
      <c r="E27" s="54" t="s">
        <v>104</v>
      </c>
      <c r="F27" s="55" t="str">
        <f t="shared" ref="F27:F42" si="2">D27&amp;"-"&amp;E27</f>
        <v>KAMPALA-KAMEMBE</v>
      </c>
      <c r="G27" s="56">
        <f>ROUNDUP(COUNTIF('PT-01'!$L$611:$L$699,Summary!F27)/5,0)</f>
        <v>1</v>
      </c>
      <c r="H27" s="56">
        <v>744</v>
      </c>
      <c r="I27" s="57">
        <f>AVERAGEIF('PT-01'!$L$611:$L$699,Summary!F27,'PT-01'!$O$611:$O$699)</f>
        <v>13.8</v>
      </c>
      <c r="J27" s="56">
        <f>AVERAGEIF('PT-01'!$L$611:$L$699,Summary!F27,'PT-01'!$M$611:$M$699)</f>
        <v>55</v>
      </c>
      <c r="K27" s="58">
        <f>AVERAGEIF('PT-01'!$L$611:$L$699,Summary!F27,'PT-01'!$N$611:$N$699)</f>
        <v>60000</v>
      </c>
    </row>
    <row r="28" spans="2:11" ht="15" customHeight="1" x14ac:dyDescent="0.2">
      <c r="B28" s="54" t="s">
        <v>70</v>
      </c>
      <c r="C28" s="54" t="s">
        <v>243</v>
      </c>
      <c r="D28" s="54" t="s">
        <v>70</v>
      </c>
      <c r="E28" s="54" t="s">
        <v>103</v>
      </c>
      <c r="F28" s="55" t="str">
        <f t="shared" si="2"/>
        <v>KAMPALA-KANYALU</v>
      </c>
      <c r="G28" s="56">
        <f>ROUNDUP(COUNTIF('PT-01'!$L$611:$L$699,Summary!F28)/5,0)</f>
        <v>1</v>
      </c>
      <c r="H28" s="56">
        <v>617</v>
      </c>
      <c r="I28" s="57">
        <f>AVERAGEIF('PT-01'!$L$611:$L$699,Summary!F28,'PT-01'!$O$611:$O$699)</f>
        <v>11</v>
      </c>
      <c r="J28" s="56">
        <f>AVERAGEIF('PT-01'!$L$611:$L$699,Summary!F28,'PT-01'!$M$611:$M$699)</f>
        <v>45.5</v>
      </c>
      <c r="K28" s="58">
        <f>AVERAGEIF('PT-01'!$L$611:$L$699,Summary!F28,'PT-01'!$N$611:$N$699)</f>
        <v>60000</v>
      </c>
    </row>
    <row r="29" spans="2:11" ht="15" customHeight="1" x14ac:dyDescent="0.2">
      <c r="B29" s="54" t="s">
        <v>70</v>
      </c>
      <c r="C29" s="54" t="s">
        <v>243</v>
      </c>
      <c r="D29" s="54" t="s">
        <v>70</v>
      </c>
      <c r="E29" s="54" t="s">
        <v>94</v>
      </c>
      <c r="F29" s="55" t="str">
        <f t="shared" si="2"/>
        <v>KAMPALA-KIGALI</v>
      </c>
      <c r="G29" s="56">
        <f>ROUNDUP(COUNTIF('PT-01'!$L$611:$L$699,Summary!F29)/5,0)</f>
        <v>2</v>
      </c>
      <c r="H29" s="56">
        <v>510</v>
      </c>
      <c r="I29" s="57">
        <f>AVERAGEIF('PT-01'!$L$611:$L$699,Summary!F29,'PT-01'!$O$611:$O$699)</f>
        <v>8.6</v>
      </c>
      <c r="J29" s="56">
        <f>AVERAGEIF('PT-01'!$L$611:$L$699,Summary!F29,'PT-01'!$M$611:$M$699)</f>
        <v>48.333333333333336</v>
      </c>
      <c r="K29" s="58">
        <f>AVERAGEIF('PT-01'!$L$611:$L$699,Summary!F29,'PT-01'!$N$611:$N$699)</f>
        <v>50000</v>
      </c>
    </row>
    <row r="30" spans="2:11" ht="15" customHeight="1" x14ac:dyDescent="0.2">
      <c r="B30" s="54" t="s">
        <v>70</v>
      </c>
      <c r="C30" s="54" t="s">
        <v>243</v>
      </c>
      <c r="D30" s="54" t="s">
        <v>70</v>
      </c>
      <c r="E30" s="54" t="s">
        <v>96</v>
      </c>
      <c r="F30" s="55" t="str">
        <f t="shared" si="2"/>
        <v>KAMPALA-GOMA</v>
      </c>
      <c r="G30" s="56">
        <f>ROUNDUP(COUNTIF('PT-01'!$L$611:$L$699,Summary!F30)/5,0)</f>
        <v>1</v>
      </c>
      <c r="H30" s="56">
        <v>570</v>
      </c>
      <c r="I30" s="57">
        <f>AVERAGEIF('PT-01'!$L$611:$L$699,Summary!F30,'PT-01'!$O$611:$O$699)</f>
        <v>12</v>
      </c>
      <c r="J30" s="56">
        <f>AVERAGEIF('PT-01'!$L$611:$L$699,Summary!F30,'PT-01'!$M$611:$M$699)</f>
        <v>48</v>
      </c>
      <c r="K30" s="58">
        <f>AVERAGEIF('PT-01'!$L$611:$L$699,Summary!F30,'PT-01'!$N$611:$N$699)</f>
        <v>50000</v>
      </c>
    </row>
    <row r="31" spans="2:11" ht="15" customHeight="1" x14ac:dyDescent="0.2">
      <c r="B31" s="54" t="s">
        <v>70</v>
      </c>
      <c r="C31" s="54" t="s">
        <v>243</v>
      </c>
      <c r="D31" s="54" t="s">
        <v>70</v>
      </c>
      <c r="E31" s="54" t="s">
        <v>83</v>
      </c>
      <c r="F31" s="55" t="str">
        <f t="shared" si="2"/>
        <v>KAMPALA-KISORO</v>
      </c>
      <c r="G31" s="56">
        <f>ROUNDUP(COUNTIF('PT-01'!$L$611:$L$699,Summary!F31)/5,0)</f>
        <v>5</v>
      </c>
      <c r="H31" s="56">
        <v>467</v>
      </c>
      <c r="I31" s="57">
        <f>AVERAGEIF('PT-01'!$L$611:$L$699,Summary!F31,'PT-01'!$O$611:$O$699)</f>
        <v>8.5</v>
      </c>
      <c r="J31" s="56">
        <f>AVERAGEIF('PT-01'!$L$611:$L$699,Summary!F31,'PT-01'!$M$611:$M$699)</f>
        <v>56.88</v>
      </c>
      <c r="K31" s="58">
        <f>AVERAGEIF('PT-01'!$L$611:$L$699,Summary!F31,'PT-01'!$N$611:$N$699)</f>
        <v>40000</v>
      </c>
    </row>
    <row r="32" spans="2:11" ht="15" customHeight="1" x14ac:dyDescent="0.2">
      <c r="B32" s="54" t="s">
        <v>70</v>
      </c>
      <c r="C32" s="54" t="s">
        <v>243</v>
      </c>
      <c r="D32" s="54" t="s">
        <v>70</v>
      </c>
      <c r="E32" s="55" t="s">
        <v>108</v>
      </c>
      <c r="F32" s="55" t="str">
        <f t="shared" si="2"/>
        <v>KAMPALA-KIVU/KISENYI</v>
      </c>
      <c r="G32" s="56">
        <f>ROUNDUP(COUNTIF('PT-01'!$L$611:$L$699,Summary!F32)/5,0)</f>
        <v>1</v>
      </c>
      <c r="H32" s="56">
        <v>694</v>
      </c>
      <c r="I32" s="57">
        <f>AVERAGEIF('PT-01'!$L$611:$L$699,Summary!F32,'PT-01'!$O$611:$O$699)</f>
        <v>13.25</v>
      </c>
      <c r="J32" s="56">
        <f>AVERAGEIF('PT-01'!$L$611:$L$699,Summary!F32,'PT-01'!$M$611:$M$699)</f>
        <v>48</v>
      </c>
      <c r="K32" s="58">
        <f>AVERAGEIF('PT-01'!$L$611:$L$699,Summary!F32,'PT-01'!$N$611:$N$699)</f>
        <v>50000</v>
      </c>
    </row>
    <row r="33" spans="2:11" ht="15" customHeight="1" x14ac:dyDescent="0.2">
      <c r="B33" s="54" t="s">
        <v>70</v>
      </c>
      <c r="C33" s="54" t="s">
        <v>243</v>
      </c>
      <c r="D33" s="54" t="s">
        <v>70</v>
      </c>
      <c r="E33" s="55" t="s">
        <v>107</v>
      </c>
      <c r="F33" s="55" t="str">
        <f t="shared" si="2"/>
        <v>KAMPALA-LUBAVU</v>
      </c>
      <c r="G33" s="56">
        <f>ROUNDUP(COUNTIF('PT-01'!$L$611:$L$699,Summary!F33)/5,0)</f>
        <v>1</v>
      </c>
      <c r="H33" s="56">
        <v>570</v>
      </c>
      <c r="I33" s="57">
        <f>AVERAGEIF('PT-01'!$L$611:$L$699,Summary!F33,'PT-01'!$O$611:$O$699)</f>
        <v>12</v>
      </c>
      <c r="J33" s="56">
        <f>AVERAGEIF('PT-01'!$L$611:$L$699,Summary!F33,'PT-01'!$M$611:$M$699)</f>
        <v>48</v>
      </c>
      <c r="K33" s="58">
        <f>AVERAGEIF('PT-01'!$L$611:$L$699,Summary!F33,'PT-01'!$N$611:$N$699)</f>
        <v>50000</v>
      </c>
    </row>
    <row r="34" spans="2:11" ht="15" customHeight="1" x14ac:dyDescent="0.2">
      <c r="B34" s="54" t="s">
        <v>70</v>
      </c>
      <c r="C34" s="54" t="s">
        <v>244</v>
      </c>
      <c r="D34" s="54" t="s">
        <v>98</v>
      </c>
      <c r="E34" s="54" t="s">
        <v>70</v>
      </c>
      <c r="F34" s="55" t="str">
        <f t="shared" si="2"/>
        <v>GISENYI-KAMPALA</v>
      </c>
      <c r="G34" s="56">
        <f>ROUNDUP(COUNTIF('PT-01'!$L$611:$L$699,Summary!F34)/5,0)</f>
        <v>1</v>
      </c>
      <c r="H34" s="56">
        <v>669</v>
      </c>
      <c r="I34" s="57">
        <f>AVERAGEIF('PT-01'!$L$611:$L$699,Summary!F34,'PT-01'!$O$611:$O$699)</f>
        <v>12.25</v>
      </c>
      <c r="J34" s="56">
        <f>AVERAGEIF('PT-01'!$L$611:$L$699,Summary!F34,'PT-01'!$M$611:$M$699)</f>
        <v>46</v>
      </c>
      <c r="K34" s="58">
        <f>AVERAGEIF('PT-01'!$L$611:$L$699,Summary!F34,'PT-01'!$N$611:$N$699)</f>
        <v>40000</v>
      </c>
    </row>
    <row r="35" spans="2:11" ht="15" customHeight="1" x14ac:dyDescent="0.2">
      <c r="B35" s="54" t="s">
        <v>70</v>
      </c>
      <c r="C35" s="54" t="s">
        <v>244</v>
      </c>
      <c r="D35" s="54" t="s">
        <v>96</v>
      </c>
      <c r="E35" s="54" t="s">
        <v>70</v>
      </c>
      <c r="F35" s="55" t="str">
        <f t="shared" si="2"/>
        <v>GOMA-KAMPALA</v>
      </c>
      <c r="G35" s="56">
        <f>ROUNDUP(COUNTIF('PT-01'!$L$611:$L$699,Summary!F35)/5,0)</f>
        <v>1</v>
      </c>
      <c r="H35" s="56">
        <v>570</v>
      </c>
      <c r="I35" s="57">
        <f>AVERAGEIF('PT-01'!$L$611:$L$699,Summary!F35,'PT-01'!$O$611:$O$699)</f>
        <v>12</v>
      </c>
      <c r="J35" s="56">
        <f>AVERAGEIF('PT-01'!$L$611:$L$699,Summary!F35,'PT-01'!$M$611:$M$699)</f>
        <v>48.5</v>
      </c>
      <c r="K35" s="58">
        <f>AVERAGEIF('PT-01'!$L$611:$L$699,Summary!F35,'PT-01'!$N$611:$N$699)</f>
        <v>46500</v>
      </c>
    </row>
    <row r="36" spans="2:11" ht="15" customHeight="1" x14ac:dyDescent="0.2">
      <c r="B36" s="54" t="s">
        <v>70</v>
      </c>
      <c r="C36" s="54" t="s">
        <v>244</v>
      </c>
      <c r="D36" s="54" t="s">
        <v>101</v>
      </c>
      <c r="E36" s="54" t="s">
        <v>70</v>
      </c>
      <c r="F36" s="55" t="str">
        <f t="shared" si="2"/>
        <v>KABALE-KAMPALA</v>
      </c>
      <c r="G36" s="56">
        <f>ROUNDUP(COUNTIF('PT-01'!$L$611:$L$699,Summary!F36)/5,0)</f>
        <v>1</v>
      </c>
      <c r="H36" s="56">
        <v>410</v>
      </c>
      <c r="I36" s="57">
        <f>AVERAGEIF('PT-01'!$L$611:$L$699,Summary!F36,'PT-01'!$O$611:$O$699)</f>
        <v>6.6</v>
      </c>
      <c r="J36" s="56">
        <f>AVERAGEIF('PT-01'!$L$611:$L$699,Summary!F36,'PT-01'!$M$611:$M$699)</f>
        <v>50</v>
      </c>
      <c r="K36" s="58">
        <f>AVERAGEIF('PT-01'!$L$611:$L$699,Summary!F36,'PT-01'!$N$611:$N$699)</f>
        <v>30000</v>
      </c>
    </row>
    <row r="37" spans="2:11" ht="15" customHeight="1" x14ac:dyDescent="0.2">
      <c r="B37" s="54" t="s">
        <v>70</v>
      </c>
      <c r="C37" s="54" t="s">
        <v>244</v>
      </c>
      <c r="D37" s="54" t="s">
        <v>94</v>
      </c>
      <c r="E37" s="54" t="s">
        <v>70</v>
      </c>
      <c r="F37" s="55" t="str">
        <f t="shared" si="2"/>
        <v>KIGALI-KAMPALA</v>
      </c>
      <c r="G37" s="56">
        <f>ROUNDUP(COUNTIF('PT-01'!$L$611:$L$699,Summary!F37)/5,0)</f>
        <v>2</v>
      </c>
      <c r="H37" s="56">
        <v>510</v>
      </c>
      <c r="I37" s="57">
        <f>AVERAGEIF('PT-01'!$L$611:$L$699,Summary!F37,'PT-01'!$O$611:$O$699)</f>
        <v>8.5999999999999979</v>
      </c>
      <c r="J37" s="56">
        <f>AVERAGEIF('PT-01'!$L$611:$L$699,Summary!F37,'PT-01'!$M$611:$M$699)</f>
        <v>48.9</v>
      </c>
      <c r="K37" s="58">
        <f>AVERAGEIF('PT-01'!$L$611:$L$699,Summary!F37,'PT-01'!$N$611:$N$699)</f>
        <v>50000</v>
      </c>
    </row>
    <row r="38" spans="2:11" ht="15" customHeight="1" x14ac:dyDescent="0.2">
      <c r="B38" s="54" t="s">
        <v>70</v>
      </c>
      <c r="C38" s="54" t="s">
        <v>244</v>
      </c>
      <c r="D38" s="54" t="s">
        <v>103</v>
      </c>
      <c r="E38" s="54" t="s">
        <v>70</v>
      </c>
      <c r="F38" s="55" t="str">
        <f t="shared" si="2"/>
        <v>KANYALU-KAMPALA</v>
      </c>
      <c r="G38" s="56">
        <f>ROUNDUP(COUNTIF('PT-01'!$L$611:$L$699,Summary!F38)/5,0)</f>
        <v>1</v>
      </c>
      <c r="H38" s="56">
        <v>617</v>
      </c>
      <c r="I38" s="57">
        <f>AVERAGEIF('PT-01'!$L$611:$L$699,Summary!F38,'PT-01'!$O$611:$O$699)</f>
        <v>11</v>
      </c>
      <c r="J38" s="56">
        <f>AVERAGEIF('PT-01'!$L$611:$L$699,Summary!F38,'PT-01'!$M$611:$M$699)</f>
        <v>50</v>
      </c>
      <c r="K38" s="58">
        <f>AVERAGEIF('PT-01'!$L$611:$L$699,Summary!F38,'PT-01'!$N$611:$N$699)</f>
        <v>60000</v>
      </c>
    </row>
    <row r="39" spans="2:11" ht="15" customHeight="1" x14ac:dyDescent="0.2">
      <c r="B39" s="54" t="s">
        <v>70</v>
      </c>
      <c r="C39" s="54" t="s">
        <v>244</v>
      </c>
      <c r="D39" s="54" t="s">
        <v>100</v>
      </c>
      <c r="E39" s="54" t="s">
        <v>70</v>
      </c>
      <c r="F39" s="55" t="str">
        <f t="shared" ref="F39" si="3">D39&amp;"-"&amp;E39</f>
        <v>KATUNA-KAMPALA</v>
      </c>
      <c r="G39" s="56">
        <f>ROUNDUP(COUNTIF('PT-01'!$L$611:$L$699,Summary!F39)/5,0)</f>
        <v>1</v>
      </c>
      <c r="H39" s="56">
        <v>430</v>
      </c>
      <c r="I39" s="57">
        <f>AVERAGEIF('PT-01'!$L$611:$L$699,Summary!F39,'PT-01'!$O$611:$O$699)</f>
        <v>7</v>
      </c>
      <c r="J39" s="56">
        <f>AVERAGEIF('PT-01'!$L$611:$L$699,Summary!F39,'PT-01'!$M$611:$M$699)</f>
        <v>45</v>
      </c>
      <c r="K39" s="58">
        <f>AVERAGEIF('PT-01'!$L$611:$L$699,Summary!F39,'PT-01'!$N$611:$N$699)</f>
        <v>40000</v>
      </c>
    </row>
    <row r="40" spans="2:11" ht="15" customHeight="1" x14ac:dyDescent="0.2">
      <c r="B40" s="54" t="s">
        <v>70</v>
      </c>
      <c r="C40" s="54" t="s">
        <v>244</v>
      </c>
      <c r="D40" s="54" t="s">
        <v>99</v>
      </c>
      <c r="E40" s="54" t="s">
        <v>70</v>
      </c>
      <c r="F40" s="55" t="str">
        <f t="shared" si="2"/>
        <v>KISENYI-KAMPALA</v>
      </c>
      <c r="G40" s="56">
        <f>ROUNDUP(COUNTIF('PT-01'!$L$611:$L$699,Summary!F40)/5,0)</f>
        <v>1</v>
      </c>
      <c r="H40" s="56">
        <v>669</v>
      </c>
      <c r="I40" s="57">
        <f>AVERAGEIF('PT-01'!$L$611:$L$699,Summary!F40,'PT-01'!$O$611:$O$699)</f>
        <v>12.25</v>
      </c>
      <c r="J40" s="56">
        <f>AVERAGEIF('PT-01'!$L$611:$L$699,Summary!F40,'PT-01'!$M$611:$M$699)</f>
        <v>42</v>
      </c>
      <c r="K40" s="58">
        <f>AVERAGEIF('PT-01'!$L$611:$L$699,Summary!F40,'PT-01'!$N$611:$N$699)</f>
        <v>50000</v>
      </c>
    </row>
    <row r="41" spans="2:11" ht="15" customHeight="1" x14ac:dyDescent="0.2">
      <c r="B41" s="54" t="s">
        <v>70</v>
      </c>
      <c r="C41" s="54" t="s">
        <v>244</v>
      </c>
      <c r="D41" s="54" t="s">
        <v>83</v>
      </c>
      <c r="E41" s="54" t="s">
        <v>70</v>
      </c>
      <c r="F41" s="55" t="str">
        <f t="shared" ref="F41" si="4">D41&amp;"-"&amp;E41</f>
        <v>KISORO-KAMPALA</v>
      </c>
      <c r="G41" s="56">
        <f>ROUNDUP(COUNTIF('PT-01'!$L$611:$L$699,Summary!F41)/5,0)</f>
        <v>4</v>
      </c>
      <c r="H41" s="56">
        <v>467</v>
      </c>
      <c r="I41" s="57">
        <f>AVERAGEIF('PT-01'!$L$611:$L$699,Summary!F41,'PT-01'!$O$611:$O$699)</f>
        <v>8.5</v>
      </c>
      <c r="J41" s="56">
        <f>AVERAGEIF('PT-01'!$L$611:$L$699,Summary!F41,'PT-01'!$M$611:$M$699)</f>
        <v>54.888888888888886</v>
      </c>
      <c r="K41" s="58">
        <f>AVERAGEIF('PT-01'!$L$611:$L$699,Summary!F41,'PT-01'!$N$611:$N$699)</f>
        <v>40000</v>
      </c>
    </row>
    <row r="42" spans="2:11" ht="15" customHeight="1" x14ac:dyDescent="0.2">
      <c r="B42" s="54" t="s">
        <v>70</v>
      </c>
      <c r="C42" s="54" t="s">
        <v>244</v>
      </c>
      <c r="D42" s="54" t="s">
        <v>95</v>
      </c>
      <c r="E42" s="54" t="s">
        <v>70</v>
      </c>
      <c r="F42" s="55" t="str">
        <f t="shared" si="2"/>
        <v>NARUKOKO-KAMPALA</v>
      </c>
      <c r="G42" s="56">
        <f>ROUNDUP(COUNTIF('PT-01'!$L$611:$L$699,Summary!F42)/5,0)</f>
        <v>1</v>
      </c>
      <c r="H42" s="56">
        <v>520</v>
      </c>
      <c r="I42" s="57">
        <f>AVERAGEIF('PT-01'!$L$611:$L$699,Summary!F42,'PT-01'!$O$611:$O$699)</f>
        <v>11</v>
      </c>
      <c r="J42" s="56">
        <f>AVERAGEIF('PT-01'!$L$611:$L$699,Summary!F42,'PT-01'!$M$611:$M$699)</f>
        <v>45</v>
      </c>
      <c r="K42" s="58">
        <f>AVERAGEIF('PT-01'!$L$611:$L$699,Summary!F42,'PT-01'!$N$611:$N$699)</f>
        <v>40000</v>
      </c>
    </row>
    <row r="45" spans="2:11" x14ac:dyDescent="0.2">
      <c r="B45" s="113" t="s">
        <v>249</v>
      </c>
      <c r="C45" s="113"/>
      <c r="D45" s="114" t="s">
        <v>231</v>
      </c>
      <c r="E45" s="114"/>
      <c r="F45" s="114"/>
      <c r="G45" s="114"/>
      <c r="H45" s="114"/>
      <c r="I45" s="114"/>
      <c r="J45" s="114" t="s">
        <v>232</v>
      </c>
      <c r="K45" s="114"/>
    </row>
    <row r="46" spans="2:11" s="53" customFormat="1" ht="38.25" x14ac:dyDescent="0.2">
      <c r="B46" s="51" t="s">
        <v>233</v>
      </c>
      <c r="C46" s="51" t="s">
        <v>234</v>
      </c>
      <c r="D46" s="51" t="s">
        <v>235</v>
      </c>
      <c r="E46" s="51" t="s">
        <v>236</v>
      </c>
      <c r="F46" s="51" t="s">
        <v>237</v>
      </c>
      <c r="G46" s="52" t="s">
        <v>238</v>
      </c>
      <c r="H46" s="52" t="s">
        <v>239</v>
      </c>
      <c r="I46" s="52" t="s">
        <v>240</v>
      </c>
      <c r="J46" s="52" t="s">
        <v>241</v>
      </c>
      <c r="K46" s="52" t="s">
        <v>242</v>
      </c>
    </row>
    <row r="47" spans="2:11" ht="15" customHeight="1" x14ac:dyDescent="0.2">
      <c r="B47" s="54" t="s">
        <v>70</v>
      </c>
      <c r="C47" s="54" t="s">
        <v>243</v>
      </c>
      <c r="D47" s="54" t="s">
        <v>70</v>
      </c>
      <c r="E47" s="54" t="s">
        <v>113</v>
      </c>
      <c r="F47" s="55" t="str">
        <f>D47&amp;"-"&amp;E47</f>
        <v>KAMPALA-NAIROBI</v>
      </c>
      <c r="G47" s="56">
        <f>ROUNDUP(COUNTIF('PT-01'!$L$701:$L$735,Summary!F47)/5,0)</f>
        <v>3</v>
      </c>
      <c r="H47" s="56">
        <v>664</v>
      </c>
      <c r="I47" s="57">
        <f>AVERAGEIF('PT-01'!$L$701:$L$735,Summary!F47,'PT-01'!$O$701:$O$735)</f>
        <v>12.8</v>
      </c>
      <c r="J47" s="56">
        <f>AVERAGEIF('PT-01'!$L$701:$L$735,Summary!F47,'PT-01'!$M$701:$M$735)</f>
        <v>30.23076923076923</v>
      </c>
      <c r="K47" s="58">
        <f>AVERAGEIF('PT-01'!$L$701:$L$735,Summary!F47,'PT-01'!$N$701:$N$735)</f>
        <v>70000</v>
      </c>
    </row>
    <row r="48" spans="2:11" ht="15" customHeight="1" x14ac:dyDescent="0.2">
      <c r="B48" s="54" t="s">
        <v>70</v>
      </c>
      <c r="C48" s="54" t="s">
        <v>244</v>
      </c>
      <c r="D48" s="54" t="s">
        <v>113</v>
      </c>
      <c r="E48" s="54" t="s">
        <v>70</v>
      </c>
      <c r="F48" s="55" t="str">
        <f t="shared" ref="F48:F50" si="5">D48&amp;"-"&amp;E48</f>
        <v>NAIROBI-KAMPALA</v>
      </c>
      <c r="G48" s="56">
        <f>ROUNDUP(COUNTIF('PT-01'!$L$701:$L$735,Summary!F48)/5,0)</f>
        <v>3</v>
      </c>
      <c r="H48" s="56">
        <v>664</v>
      </c>
      <c r="I48" s="57">
        <f>AVERAGEIF('PT-01'!$L$701:$L$735,Summary!F48,'PT-01'!$O$701:$O$735)</f>
        <v>12.8</v>
      </c>
      <c r="J48" s="56">
        <f>AVERAGEIF('PT-01'!$L$701:$L$735,Summary!F48,'PT-01'!$M$701:$M$735)</f>
        <v>32.92307692307692</v>
      </c>
      <c r="K48" s="58">
        <f>AVERAGEIF('PT-01'!$L$701:$L$735,Summary!F48,'PT-01'!$N$701:$N$735)</f>
        <v>73000</v>
      </c>
    </row>
    <row r="49" spans="2:11" ht="15" customHeight="1" x14ac:dyDescent="0.2">
      <c r="B49" s="54" t="s">
        <v>70</v>
      </c>
      <c r="C49" s="54" t="s">
        <v>244</v>
      </c>
      <c r="D49" s="54" t="s">
        <v>114</v>
      </c>
      <c r="E49" s="54" t="s">
        <v>70</v>
      </c>
      <c r="F49" s="55" t="str">
        <f t="shared" si="5"/>
        <v>KISUMU-KAMPALA</v>
      </c>
      <c r="G49" s="56">
        <f>ROUNDUP(COUNTIF('PT-01'!$L$701:$L$735,Summary!F49)/5,0)</f>
        <v>1</v>
      </c>
      <c r="H49" s="56">
        <v>316</v>
      </c>
      <c r="I49" s="57">
        <f>AVERAGEIF('PT-01'!$L$701:$L$735,Summary!F49,'PT-01'!$O$701:$O$735)</f>
        <v>6.8</v>
      </c>
      <c r="J49" s="56">
        <f>AVERAGEIF('PT-01'!$L$701:$L$735,Summary!F49,'PT-01'!$M$701:$M$735)</f>
        <v>32.25</v>
      </c>
      <c r="K49" s="58">
        <f>AVERAGEIF('PT-01'!$L$701:$L$735,Summary!F49,'PT-01'!$N$701:$N$735)</f>
        <v>42000</v>
      </c>
    </row>
    <row r="50" spans="2:11" ht="15" customHeight="1" x14ac:dyDescent="0.2">
      <c r="B50" s="54" t="s">
        <v>70</v>
      </c>
      <c r="C50" s="54" t="s">
        <v>244</v>
      </c>
      <c r="D50" s="55" t="s">
        <v>115</v>
      </c>
      <c r="E50" s="54" t="s">
        <v>70</v>
      </c>
      <c r="F50" s="55" t="str">
        <f t="shared" si="5"/>
        <v>MAKUENI-KAMPALA</v>
      </c>
      <c r="G50" s="56">
        <f>ROUNDUP(COUNTIF('PT-01'!$L$701:$L$735,Summary!F50)/5,0)</f>
        <v>1</v>
      </c>
      <c r="H50" s="56">
        <v>846</v>
      </c>
      <c r="I50" s="57">
        <f>AVERAGEIF('PT-01'!$L$701:$L$735,Summary!F50,'PT-01'!$O$701:$O$735)</f>
        <v>15.5</v>
      </c>
      <c r="J50" s="56">
        <f>AVERAGEIF('PT-01'!$L$701:$L$735,Summary!F50,'PT-01'!$M$701:$M$735)</f>
        <v>34</v>
      </c>
      <c r="K50" s="58">
        <f>AVERAGEIF('PT-01'!$L$701:$L$735,Summary!F50,'PT-01'!$N$701:$N$735)</f>
        <v>76000</v>
      </c>
    </row>
    <row r="53" spans="2:11" x14ac:dyDescent="0.2">
      <c r="B53" s="113" t="s">
        <v>250</v>
      </c>
      <c r="C53" s="113"/>
      <c r="D53" s="114" t="s">
        <v>231</v>
      </c>
      <c r="E53" s="114"/>
      <c r="F53" s="114"/>
      <c r="G53" s="114"/>
      <c r="H53" s="114"/>
      <c r="I53" s="114"/>
      <c r="J53" s="114" t="s">
        <v>232</v>
      </c>
      <c r="K53" s="114"/>
    </row>
    <row r="54" spans="2:11" s="53" customFormat="1" ht="38.25" x14ac:dyDescent="0.2">
      <c r="B54" s="51" t="s">
        <v>233</v>
      </c>
      <c r="C54" s="51" t="s">
        <v>234</v>
      </c>
      <c r="D54" s="51" t="s">
        <v>235</v>
      </c>
      <c r="E54" s="51" t="s">
        <v>236</v>
      </c>
      <c r="F54" s="51" t="s">
        <v>237</v>
      </c>
      <c r="G54" s="52" t="s">
        <v>238</v>
      </c>
      <c r="H54" s="52" t="s">
        <v>239</v>
      </c>
      <c r="I54" s="52" t="s">
        <v>240</v>
      </c>
      <c r="J54" s="52" t="s">
        <v>241</v>
      </c>
      <c r="K54" s="52" t="s">
        <v>242</v>
      </c>
    </row>
    <row r="55" spans="2:11" ht="15" customHeight="1" x14ac:dyDescent="0.2">
      <c r="B55" s="54" t="s">
        <v>70</v>
      </c>
      <c r="C55" s="54" t="s">
        <v>243</v>
      </c>
      <c r="D55" s="54" t="s">
        <v>70</v>
      </c>
      <c r="E55" s="54" t="s">
        <v>118</v>
      </c>
      <c r="F55" s="55" t="str">
        <f>D55&amp;"-"&amp;E55</f>
        <v>KAMPALA-ARUA</v>
      </c>
      <c r="G55" s="56">
        <f>ROUNDUP(COUNTIF('PT-01'!$L$737:$L$808,Summary!F55)/5,0)</f>
        <v>4</v>
      </c>
      <c r="H55" s="56">
        <v>495</v>
      </c>
      <c r="I55" s="57">
        <f>AVERAGEIF('PT-01'!$L$737:$L$808,Summary!F55,'PT-01'!$O$737:$O$808)</f>
        <v>8.4000000000000021</v>
      </c>
      <c r="J55" s="56">
        <f>AVERAGEIF('PT-01'!$L$737:$L$808,Summary!F55,'PT-01'!$M$737:$M$808)</f>
        <v>45.95</v>
      </c>
      <c r="K55" s="58">
        <f>AVERAGEIF('PT-01'!$L$737:$L$808,Summary!F55,'PT-01'!$N$737:$N$808)</f>
        <v>43000</v>
      </c>
    </row>
    <row r="56" spans="2:11" ht="15" customHeight="1" x14ac:dyDescent="0.2">
      <c r="B56" s="54" t="s">
        <v>70</v>
      </c>
      <c r="C56" s="54" t="s">
        <v>243</v>
      </c>
      <c r="D56" s="54" t="s">
        <v>70</v>
      </c>
      <c r="E56" s="54" t="s">
        <v>119</v>
      </c>
      <c r="F56" s="55" t="str">
        <f t="shared" ref="F56:F60" si="6">D56&amp;"-"&amp;E56</f>
        <v>KAMPALA-KOBOKO</v>
      </c>
      <c r="G56" s="56">
        <f>ROUNDUP(COUNTIF('PT-01'!$L$737:$L$808,Summary!F56)/5,0)</f>
        <v>2</v>
      </c>
      <c r="H56" s="56">
        <v>549</v>
      </c>
      <c r="I56" s="57">
        <f>AVERAGEIF('PT-01'!$L$737:$L$808,Summary!F56,'PT-01'!$O$737:$O$808)</f>
        <v>8</v>
      </c>
      <c r="J56" s="56">
        <f>AVERAGEIF('PT-01'!$L$737:$L$808,Summary!F56,'PT-01'!$M$737:$M$808)</f>
        <v>48.444444444444443</v>
      </c>
      <c r="K56" s="58">
        <f>AVERAGEIF('PT-01'!$L$737:$L$808,Summary!F56,'PT-01'!$N$737:$N$808)</f>
        <v>40000</v>
      </c>
    </row>
    <row r="57" spans="2:11" ht="15" customHeight="1" x14ac:dyDescent="0.2">
      <c r="B57" s="54" t="s">
        <v>70</v>
      </c>
      <c r="C57" s="54" t="s">
        <v>243</v>
      </c>
      <c r="D57" s="54" t="s">
        <v>70</v>
      </c>
      <c r="E57" s="54" t="s">
        <v>121</v>
      </c>
      <c r="F57" s="55" t="str">
        <f t="shared" si="6"/>
        <v>KAMPALA-ZOMBO</v>
      </c>
      <c r="G57" s="56">
        <f>ROUNDUP(COUNTIF('PT-01'!$L$737:$L$808,Summary!F57)/5,0)</f>
        <v>2</v>
      </c>
      <c r="H57" s="56">
        <v>458</v>
      </c>
      <c r="I57" s="57">
        <f>AVERAGEIF('PT-01'!$L$737:$L$808,Summary!F57,'PT-01'!$O$737:$O$808)</f>
        <v>7</v>
      </c>
      <c r="J57" s="56">
        <f>AVERAGEIF('PT-01'!$L$737:$L$808,Summary!F57,'PT-01'!$M$737:$M$808)</f>
        <v>45.428571428571431</v>
      </c>
      <c r="K57" s="58">
        <f>AVERAGEIF('PT-01'!$L$737:$L$808,Summary!F57,'PT-01'!$N$737:$N$808)</f>
        <v>30000</v>
      </c>
    </row>
    <row r="58" spans="2:11" ht="15" customHeight="1" x14ac:dyDescent="0.2">
      <c r="B58" s="54" t="s">
        <v>70</v>
      </c>
      <c r="C58" s="54" t="s">
        <v>244</v>
      </c>
      <c r="D58" s="54" t="s">
        <v>118</v>
      </c>
      <c r="E58" s="54" t="s">
        <v>70</v>
      </c>
      <c r="F58" s="55" t="str">
        <f t="shared" si="6"/>
        <v>ARUA-KAMPALA</v>
      </c>
      <c r="G58" s="56">
        <f>ROUNDUP(COUNTIF('PT-01'!$L$737:$L$808,Summary!F58)/5,0)</f>
        <v>3</v>
      </c>
      <c r="H58" s="56">
        <v>495</v>
      </c>
      <c r="I58" s="57">
        <f>AVERAGEIF('PT-01'!$L$737:$L$808,Summary!F58,'PT-01'!$O$737:$O$808)</f>
        <v>8.4000000000000021</v>
      </c>
      <c r="J58" s="56">
        <f>AVERAGEIF('PT-01'!$L$737:$L$808,Summary!F58,'PT-01'!$M$737:$M$808)</f>
        <v>47.642857142857146</v>
      </c>
      <c r="K58" s="58">
        <f>AVERAGEIF('PT-01'!$L$737:$L$808,Summary!F58,'PT-01'!$N$737:$N$808)</f>
        <v>40000</v>
      </c>
    </row>
    <row r="59" spans="2:11" ht="15" customHeight="1" x14ac:dyDescent="0.2">
      <c r="B59" s="54" t="s">
        <v>70</v>
      </c>
      <c r="C59" s="54" t="s">
        <v>244</v>
      </c>
      <c r="D59" s="54" t="s">
        <v>119</v>
      </c>
      <c r="E59" s="54" t="s">
        <v>70</v>
      </c>
      <c r="F59" s="55" t="str">
        <f t="shared" si="6"/>
        <v>KOBOKO-KAMPALA</v>
      </c>
      <c r="G59" s="56">
        <f>ROUNDUP(COUNTIF('PT-01'!$L$737:$L$808,Summary!F59)/5,0)</f>
        <v>2</v>
      </c>
      <c r="H59" s="56">
        <v>549</v>
      </c>
      <c r="I59" s="57">
        <f>AVERAGEIF('PT-01'!$L$737:$L$808,Summary!F59,'PT-01'!$O$737:$O$808)</f>
        <v>8</v>
      </c>
      <c r="J59" s="56">
        <f>AVERAGEIF('PT-01'!$L$737:$L$808,Summary!F59,'PT-01'!$M$737:$M$808)</f>
        <v>53.2</v>
      </c>
      <c r="K59" s="58">
        <f>AVERAGEIF('PT-01'!$L$737:$L$808,Summary!F59,'PT-01'!$N$737:$N$808)</f>
        <v>40000</v>
      </c>
    </row>
    <row r="60" spans="2:11" ht="15" customHeight="1" x14ac:dyDescent="0.2">
      <c r="B60" s="54" t="s">
        <v>70</v>
      </c>
      <c r="C60" s="54" t="s">
        <v>244</v>
      </c>
      <c r="D60" s="54" t="s">
        <v>121</v>
      </c>
      <c r="E60" s="54" t="s">
        <v>70</v>
      </c>
      <c r="F60" s="55" t="str">
        <f t="shared" si="6"/>
        <v>ZOMBO-KAMPALA</v>
      </c>
      <c r="G60" s="56">
        <f>ROUNDUP(COUNTIF('PT-01'!$L$737:$L$808,Summary!F60)/5,0)</f>
        <v>2</v>
      </c>
      <c r="H60" s="56">
        <v>458</v>
      </c>
      <c r="I60" s="57">
        <f>AVERAGEIF('PT-01'!$L$737:$L$808,Summary!F60,'PT-01'!$O$737:$O$808)</f>
        <v>7</v>
      </c>
      <c r="J60" s="56">
        <f>AVERAGEIF('PT-01'!$L$737:$L$808,Summary!F60,'PT-01'!$M$737:$M$808)</f>
        <v>46.571428571428569</v>
      </c>
      <c r="K60" s="58">
        <f>AVERAGEIF('PT-01'!$L$737:$L$808,Summary!F60,'PT-01'!$N$737:$N$808)</f>
        <v>27571.428571428572</v>
      </c>
    </row>
    <row r="63" spans="2:11" x14ac:dyDescent="0.2">
      <c r="B63" s="113" t="s">
        <v>251</v>
      </c>
      <c r="C63" s="113"/>
      <c r="D63" s="114" t="s">
        <v>231</v>
      </c>
      <c r="E63" s="114"/>
      <c r="F63" s="114"/>
      <c r="G63" s="114"/>
      <c r="H63" s="114"/>
      <c r="I63" s="114"/>
      <c r="J63" s="114" t="s">
        <v>232</v>
      </c>
      <c r="K63" s="114"/>
    </row>
    <row r="64" spans="2:11" s="53" customFormat="1" ht="38.25" x14ac:dyDescent="0.2">
      <c r="B64" s="51" t="s">
        <v>233</v>
      </c>
      <c r="C64" s="51" t="s">
        <v>234</v>
      </c>
      <c r="D64" s="51" t="s">
        <v>235</v>
      </c>
      <c r="E64" s="51" t="s">
        <v>236</v>
      </c>
      <c r="F64" s="51" t="s">
        <v>237</v>
      </c>
      <c r="G64" s="52" t="s">
        <v>238</v>
      </c>
      <c r="H64" s="52" t="s">
        <v>239</v>
      </c>
      <c r="I64" s="52" t="s">
        <v>240</v>
      </c>
      <c r="J64" s="52" t="s">
        <v>241</v>
      </c>
      <c r="K64" s="52" t="s">
        <v>242</v>
      </c>
    </row>
    <row r="65" spans="2:11" ht="15" customHeight="1" x14ac:dyDescent="0.2">
      <c r="B65" s="54" t="s">
        <v>70</v>
      </c>
      <c r="C65" s="54" t="s">
        <v>243</v>
      </c>
      <c r="D65" s="54" t="s">
        <v>70</v>
      </c>
      <c r="E65" s="54" t="s">
        <v>130</v>
      </c>
      <c r="F65" s="55" t="str">
        <f>D65&amp;"-"&amp;E65</f>
        <v>KAMPALA-LIRA</v>
      </c>
      <c r="G65" s="56">
        <f>ROUNDUP(COUNTIF('PT-01'!$L$810:$L$1033,Summary!F65)/5,0)</f>
        <v>2</v>
      </c>
      <c r="H65" s="66">
        <v>337</v>
      </c>
      <c r="I65" s="57">
        <f>AVERAGEIF('PT-01'!$L$810:$L$1033,Summary!F65,'PT-01'!$O$810:$O$1033)</f>
        <v>5</v>
      </c>
      <c r="J65" s="56">
        <f>AVERAGEIF('PT-01'!$L$810:$L$1033,Summary!F65,'PT-01'!$M$810:$M$1033)</f>
        <v>61</v>
      </c>
      <c r="K65" s="58">
        <f>AVERAGEIF('PT-01'!$L$810:$L$1033,Summary!F65,'PT-01'!$N$810:$N$1033)</f>
        <v>25000</v>
      </c>
    </row>
    <row r="66" spans="2:11" ht="15" customHeight="1" x14ac:dyDescent="0.2">
      <c r="B66" s="54" t="s">
        <v>70</v>
      </c>
      <c r="C66" s="54" t="s">
        <v>243</v>
      </c>
      <c r="D66" s="54" t="s">
        <v>70</v>
      </c>
      <c r="E66" s="54" t="s">
        <v>129</v>
      </c>
      <c r="F66" s="55" t="str">
        <f t="shared" ref="F66:F71" si="7">D66&amp;"-"&amp;E66</f>
        <v>KAMPALA-MBALE</v>
      </c>
      <c r="G66" s="56">
        <f>ROUNDUP(COUNTIF('PT-01'!$L$810:$L$1033,Summary!F66)/5,0)</f>
        <v>12</v>
      </c>
      <c r="H66" s="69">
        <v>226</v>
      </c>
      <c r="I66" s="57">
        <f>AVERAGEIF('PT-01'!$L$810:$L$1033,Summary!F66,'PT-01'!$O$810:$O$1033)</f>
        <v>4.5</v>
      </c>
      <c r="J66" s="56">
        <f>AVERAGEIF('PT-01'!$L$810:$L$1033,Summary!F66,'PT-01'!$M$810:$M$1033)</f>
        <v>61.403508771929822</v>
      </c>
      <c r="K66" s="58">
        <f>AVERAGEIF('PT-01'!$L$810:$L$1033,Summary!F66,'PT-01'!$N$810:$N$1033)</f>
        <v>20000</v>
      </c>
    </row>
    <row r="67" spans="2:11" ht="15" customHeight="1" x14ac:dyDescent="0.2">
      <c r="B67" s="54" t="s">
        <v>70</v>
      </c>
      <c r="C67" s="54" t="s">
        <v>243</v>
      </c>
      <c r="D67" s="54" t="s">
        <v>70</v>
      </c>
      <c r="E67" s="54" t="s">
        <v>73</v>
      </c>
      <c r="F67" s="55" t="str">
        <f t="shared" si="7"/>
        <v>KAMPALA-SOROTI</v>
      </c>
      <c r="G67" s="56">
        <f>ROUNDUP(COUNTIF('PT-01'!$L$810:$L$1033,Summary!F67)/5,0)</f>
        <v>9</v>
      </c>
      <c r="H67" s="70">
        <v>327</v>
      </c>
      <c r="I67" s="57">
        <f>AVERAGEIF('PT-01'!$L$810:$L$1033,Summary!F67,'PT-01'!$O$810:$O$1033)</f>
        <v>6</v>
      </c>
      <c r="J67" s="56">
        <f>AVERAGEIF('PT-01'!$L$810:$L$1033,Summary!F67,'PT-01'!$M$810:$M$1033)</f>
        <v>60.555555555555557</v>
      </c>
      <c r="K67" s="58">
        <f>AVERAGEIF('PT-01'!$L$810:$L$1033,Summary!F67,'PT-01'!$N$810:$N$1033)</f>
        <v>25000</v>
      </c>
    </row>
    <row r="68" spans="2:11" ht="15" customHeight="1" x14ac:dyDescent="0.2">
      <c r="B68" s="54" t="s">
        <v>70</v>
      </c>
      <c r="C68" s="54" t="s">
        <v>244</v>
      </c>
      <c r="D68" s="54" t="s">
        <v>131</v>
      </c>
      <c r="E68" s="54" t="s">
        <v>70</v>
      </c>
      <c r="F68" s="55" t="str">
        <f t="shared" si="7"/>
        <v>APAC-KAMPALA</v>
      </c>
      <c r="G68" s="56">
        <f>ROUNDUP(COUNTIF('PT-01'!$L$810:$L$1033,Summary!F68)/5,0)</f>
        <v>1</v>
      </c>
      <c r="H68" s="68">
        <v>268</v>
      </c>
      <c r="I68" s="57">
        <f>AVERAGEIF('PT-01'!$L$810:$L$1033,Summary!F68,'PT-01'!$O$810:$O$1033)</f>
        <v>4.5</v>
      </c>
      <c r="J68" s="56">
        <f>AVERAGEIF('PT-01'!$L$810:$L$1033,Summary!F68,'PT-01'!$M$810:$M$1033)</f>
        <v>67</v>
      </c>
      <c r="K68" s="58">
        <f>AVERAGEIF('PT-01'!$L$810:$L$1033,Summary!F68,'PT-01'!$N$810:$N$1033)</f>
        <v>20000</v>
      </c>
    </row>
    <row r="69" spans="2:11" ht="15" customHeight="1" x14ac:dyDescent="0.2">
      <c r="B69" s="54" t="s">
        <v>70</v>
      </c>
      <c r="C69" s="54" t="s">
        <v>244</v>
      </c>
      <c r="D69" s="54" t="s">
        <v>130</v>
      </c>
      <c r="E69" s="54" t="s">
        <v>70</v>
      </c>
      <c r="F69" s="55" t="str">
        <f t="shared" si="7"/>
        <v>LIRA-KAMPALA</v>
      </c>
      <c r="G69" s="56">
        <f>ROUNDUP(COUNTIF('PT-01'!$L$810:$L$1033,Summary!F69)/5,0)</f>
        <v>2</v>
      </c>
      <c r="H69" s="67">
        <v>337</v>
      </c>
      <c r="I69" s="57">
        <f>AVERAGEIF('PT-01'!$L$810:$L$1033,Summary!F69,'PT-01'!$O$810:$O$1033)</f>
        <v>5</v>
      </c>
      <c r="J69" s="56">
        <f>AVERAGEIF('PT-01'!$L$810:$L$1033,Summary!F69,'PT-01'!$M$810:$M$1033)</f>
        <v>66.555555555555557</v>
      </c>
      <c r="K69" s="58">
        <f>AVERAGEIF('PT-01'!$L$810:$L$1033,Summary!F69,'PT-01'!$N$810:$N$1033)</f>
        <v>20000</v>
      </c>
    </row>
    <row r="70" spans="2:11" ht="15" customHeight="1" x14ac:dyDescent="0.2">
      <c r="B70" s="54" t="s">
        <v>70</v>
      </c>
      <c r="C70" s="54" t="s">
        <v>244</v>
      </c>
      <c r="D70" s="54" t="s">
        <v>129</v>
      </c>
      <c r="E70" s="54" t="s">
        <v>70</v>
      </c>
      <c r="F70" s="55" t="str">
        <f t="shared" si="7"/>
        <v>MBALE-KAMPALA</v>
      </c>
      <c r="G70" s="56">
        <f>ROUNDUP(COUNTIF('PT-01'!$L$810:$L$1033,Summary!F70)/5,0)</f>
        <v>13</v>
      </c>
      <c r="H70" s="70">
        <v>226</v>
      </c>
      <c r="I70" s="57">
        <f>AVERAGEIF('PT-01'!$L$810:$L$1033,Summary!F70,'PT-01'!$O$810:$O$1033)</f>
        <v>4.5</v>
      </c>
      <c r="J70" s="56">
        <f>AVERAGEIF('PT-01'!$L$810:$L$1033,Summary!F70,'PT-01'!$M$810:$M$1033)</f>
        <v>63.153846153846153</v>
      </c>
      <c r="K70" s="58">
        <f>AVERAGEIF('PT-01'!$L$810:$L$1033,Summary!F70,'PT-01'!$N$810:$N$1033)</f>
        <v>19076.923076923078</v>
      </c>
    </row>
    <row r="71" spans="2:11" ht="15" customHeight="1" x14ac:dyDescent="0.2">
      <c r="B71" s="54" t="s">
        <v>70</v>
      </c>
      <c r="C71" s="54" t="s">
        <v>244</v>
      </c>
      <c r="D71" s="54" t="s">
        <v>73</v>
      </c>
      <c r="E71" s="54" t="s">
        <v>70</v>
      </c>
      <c r="F71" s="55" t="str">
        <f t="shared" si="7"/>
        <v>SOROTI-KAMPALA</v>
      </c>
      <c r="G71" s="56">
        <f>ROUNDUP(COUNTIF('PT-01'!$L$810:$L$1033,Summary!F71)/5,0)</f>
        <v>7</v>
      </c>
      <c r="H71" s="70">
        <v>327</v>
      </c>
      <c r="I71" s="57">
        <f>AVERAGEIF('PT-01'!$L$810:$L$1033,Summary!F71,'PT-01'!$O$810:$O$1033)</f>
        <v>6</v>
      </c>
      <c r="J71" s="56">
        <f>AVERAGEIF('PT-01'!$L$810:$L$1033,Summary!F71,'PT-01'!$M$810:$M$1033)</f>
        <v>62.46875</v>
      </c>
      <c r="K71" s="58">
        <f>AVERAGEIF('PT-01'!$L$810:$L$1033,Summary!F71,'PT-01'!$N$810:$N$1033)</f>
        <v>25000</v>
      </c>
    </row>
    <row r="74" spans="2:11" x14ac:dyDescent="0.2">
      <c r="B74" s="113" t="s">
        <v>252</v>
      </c>
      <c r="C74" s="113"/>
      <c r="D74" s="114" t="s">
        <v>231</v>
      </c>
      <c r="E74" s="114"/>
      <c r="F74" s="114"/>
      <c r="G74" s="114"/>
      <c r="H74" s="114"/>
      <c r="I74" s="114"/>
      <c r="J74" s="114" t="s">
        <v>232</v>
      </c>
      <c r="K74" s="114"/>
    </row>
    <row r="75" spans="2:11" s="53" customFormat="1" ht="38.25" x14ac:dyDescent="0.2">
      <c r="B75" s="51" t="s">
        <v>233</v>
      </c>
      <c r="C75" s="51" t="s">
        <v>234</v>
      </c>
      <c r="D75" s="51" t="s">
        <v>235</v>
      </c>
      <c r="E75" s="51" t="s">
        <v>236</v>
      </c>
      <c r="F75" s="51" t="s">
        <v>237</v>
      </c>
      <c r="G75" s="52" t="s">
        <v>238</v>
      </c>
      <c r="H75" s="52" t="s">
        <v>239</v>
      </c>
      <c r="I75" s="52" t="s">
        <v>240</v>
      </c>
      <c r="J75" s="52" t="s">
        <v>241</v>
      </c>
      <c r="K75" s="52" t="s">
        <v>242</v>
      </c>
    </row>
    <row r="76" spans="2:11" ht="15" customHeight="1" x14ac:dyDescent="0.2">
      <c r="B76" s="54" t="s">
        <v>70</v>
      </c>
      <c r="C76" s="54" t="s">
        <v>243</v>
      </c>
      <c r="D76" s="54" t="s">
        <v>70</v>
      </c>
      <c r="E76" s="55" t="s">
        <v>262</v>
      </c>
      <c r="F76" s="55" t="str">
        <f>D76&amp;"-"&amp;E76</f>
        <v>KAMPALA-BUKAVU-CONGO</v>
      </c>
      <c r="G76" s="56">
        <f>ROUNDUP(COUNTIF('PT-01'!$L$1035:$L$1087,Summary!F76)/5,0)</f>
        <v>1</v>
      </c>
      <c r="H76" s="56">
        <v>570</v>
      </c>
      <c r="I76" s="57">
        <f>AVERAGEIF('PT-01'!$L$1035:$L$1087,Summary!F76,'PT-01'!$O$1035:$O$1087)</f>
        <v>9.6999999999999993</v>
      </c>
      <c r="J76" s="56">
        <f>AVERAGEIF('PT-01'!$L$1035:$L$1087,Summary!F76,'PT-01'!$M$1035:$M$1087)</f>
        <v>50.333333333333336</v>
      </c>
      <c r="K76" s="58">
        <f>AVERAGEIF('PT-01'!$L$1035:$L$1087,Summary!F76,'PT-01'!$N$1035:$N$1087)</f>
        <v>58666.666666666664</v>
      </c>
    </row>
    <row r="77" spans="2:11" ht="15" customHeight="1" x14ac:dyDescent="0.2">
      <c r="B77" s="54" t="s">
        <v>70</v>
      </c>
      <c r="C77" s="54" t="s">
        <v>243</v>
      </c>
      <c r="D77" s="54" t="s">
        <v>70</v>
      </c>
      <c r="E77" s="54" t="s">
        <v>98</v>
      </c>
      <c r="F77" s="55" t="str">
        <f t="shared" ref="F77:F90" si="8">D77&amp;"-"&amp;E77</f>
        <v>KAMPALA-GISENYI</v>
      </c>
      <c r="G77" s="56">
        <f>ROUNDUP(COUNTIF('PT-01'!$L$1035:$L$1087,Summary!F77)/5,0)</f>
        <v>1</v>
      </c>
      <c r="H77" s="70">
        <v>669</v>
      </c>
      <c r="I77" s="57">
        <f>AVERAGEIF('PT-01'!$L$1035:$L$1087,Summary!F77,'PT-01'!$O$1035:$O$1087)</f>
        <v>7</v>
      </c>
      <c r="J77" s="56">
        <f>AVERAGEIF('PT-01'!$L$1035:$L$1087,Summary!F77,'PT-01'!$M$1035:$M$1087)</f>
        <v>50.75</v>
      </c>
      <c r="K77" s="58">
        <f>AVERAGEIF('PT-01'!$L$1035:$L$1087,Summary!F77,'PT-01'!$N$1035:$N$1087)</f>
        <v>40000</v>
      </c>
    </row>
    <row r="78" spans="2:11" ht="15" customHeight="1" x14ac:dyDescent="0.2">
      <c r="B78" s="54" t="s">
        <v>70</v>
      </c>
      <c r="C78" s="54" t="s">
        <v>243</v>
      </c>
      <c r="D78" s="54" t="s">
        <v>70</v>
      </c>
      <c r="E78" s="54" t="s">
        <v>143</v>
      </c>
      <c r="F78" s="55" t="str">
        <f t="shared" si="8"/>
        <v>KAMPALA-GISORO</v>
      </c>
      <c r="G78" s="56">
        <f>ROUNDUP(COUNTIF('PT-01'!$L$1035:$L$1087,Summary!F78)/5,0)</f>
        <v>1</v>
      </c>
      <c r="H78" s="56">
        <v>467</v>
      </c>
      <c r="I78" s="57">
        <f>AVERAGEIF('PT-01'!$L$1035:$L$1087,Summary!F78,'PT-01'!$O$1035:$O$1087)</f>
        <v>7</v>
      </c>
      <c r="J78" s="56">
        <f>AVERAGEIF('PT-01'!$L$1035:$L$1087,Summary!F78,'PT-01'!$M$1035:$M$1087)</f>
        <v>49</v>
      </c>
      <c r="K78" s="58">
        <f>AVERAGEIF('PT-01'!$L$1035:$L$1087,Summary!F78,'PT-01'!$N$1035:$N$1087)</f>
        <v>40000</v>
      </c>
    </row>
    <row r="79" spans="2:11" ht="15" customHeight="1" x14ac:dyDescent="0.2">
      <c r="B79" s="54" t="s">
        <v>70</v>
      </c>
      <c r="C79" s="54" t="s">
        <v>243</v>
      </c>
      <c r="D79" s="54" t="s">
        <v>70</v>
      </c>
      <c r="E79" s="54" t="s">
        <v>96</v>
      </c>
      <c r="F79" s="55" t="str">
        <f t="shared" si="8"/>
        <v>KAMPALA-GOMA</v>
      </c>
      <c r="G79" s="56">
        <f>ROUNDUP(COUNTIF('PT-01'!$L$1035:$L$1087,Summary!F79)/5,0)</f>
        <v>1</v>
      </c>
      <c r="H79" s="56">
        <v>570</v>
      </c>
      <c r="I79" s="57">
        <f>AVERAGEIF('PT-01'!$L$1035:$L$1087,Summary!F79,'PT-01'!$O$1035:$O$1087)</f>
        <v>12.300000000000002</v>
      </c>
      <c r="J79" s="56">
        <f>AVERAGEIF('PT-01'!$L$1035:$L$1087,Summary!F79,'PT-01'!$M$1035:$M$1087)</f>
        <v>51.333333333333336</v>
      </c>
      <c r="K79" s="58">
        <f>AVERAGEIF('PT-01'!$L$1035:$L$1087,Summary!F79,'PT-01'!$N$1035:$N$1087)</f>
        <v>50000</v>
      </c>
    </row>
    <row r="80" spans="2:11" ht="15" customHeight="1" x14ac:dyDescent="0.2">
      <c r="B80" s="54" t="s">
        <v>70</v>
      </c>
      <c r="C80" s="54" t="s">
        <v>243</v>
      </c>
      <c r="D80" s="54" t="s">
        <v>70</v>
      </c>
      <c r="E80" s="54" t="s">
        <v>133</v>
      </c>
      <c r="F80" s="55" t="str">
        <f t="shared" si="8"/>
        <v>KAMPALA-JUBA</v>
      </c>
      <c r="G80" s="56">
        <f>ROUNDUP(COUNTIF('PT-01'!$L$1035:$L$1087,Summary!F80)/5,0)</f>
        <v>2</v>
      </c>
      <c r="H80" s="70">
        <v>635</v>
      </c>
      <c r="I80" s="57">
        <f>AVERAGEIF('PT-01'!$L$1035:$L$1087,Summary!F80,'PT-01'!$O$1035:$O$1087)</f>
        <v>10.25</v>
      </c>
      <c r="J80" s="56">
        <f>AVERAGEIF('PT-01'!$L$1035:$L$1087,Summary!F80,'PT-01'!$M$1035:$M$1087)</f>
        <v>52.142857142857146</v>
      </c>
      <c r="K80" s="58">
        <f>AVERAGEIF('PT-01'!$L$1035:$L$1087,Summary!F80,'PT-01'!$N$1035:$N$1087)</f>
        <v>100000</v>
      </c>
    </row>
    <row r="81" spans="2:11" ht="15" customHeight="1" x14ac:dyDescent="0.2">
      <c r="B81" s="54" t="s">
        <v>70</v>
      </c>
      <c r="C81" s="54" t="s">
        <v>243</v>
      </c>
      <c r="D81" s="54" t="s">
        <v>70</v>
      </c>
      <c r="E81" s="54" t="s">
        <v>94</v>
      </c>
      <c r="F81" s="55" t="str">
        <f t="shared" si="8"/>
        <v>KAMPALA-KIGALI</v>
      </c>
      <c r="G81" s="56">
        <f>ROUNDUP(COUNTIF('PT-01'!$L$1035:$L$1087,Summary!F81)/5,0)</f>
        <v>2</v>
      </c>
      <c r="H81" s="56">
        <v>510</v>
      </c>
      <c r="I81" s="57">
        <f>AVERAGEIF('PT-01'!$L$1035:$L$1087,Summary!F81,'PT-01'!$O$1035:$O$1087)</f>
        <v>8.6</v>
      </c>
      <c r="J81" s="56">
        <f>AVERAGEIF('PT-01'!$L$1035:$L$1087,Summary!F81,'PT-01'!$M$1035:$M$1087)</f>
        <v>44</v>
      </c>
      <c r="K81" s="58">
        <f>AVERAGEIF('PT-01'!$L$1035:$L$1087,Summary!F81,'PT-01'!$N$1035:$N$1087)</f>
        <v>50000</v>
      </c>
    </row>
    <row r="82" spans="2:11" ht="15" customHeight="1" x14ac:dyDescent="0.2">
      <c r="B82" s="54" t="s">
        <v>70</v>
      </c>
      <c r="C82" s="54" t="s">
        <v>243</v>
      </c>
      <c r="D82" s="54" t="s">
        <v>70</v>
      </c>
      <c r="E82" s="54" t="s">
        <v>83</v>
      </c>
      <c r="F82" s="55" t="str">
        <f t="shared" si="8"/>
        <v>KAMPALA-KISORO</v>
      </c>
      <c r="G82" s="56">
        <f>ROUNDUP(COUNTIF('PT-01'!$L$1035:$L$1087,Summary!F82)/5,0)</f>
        <v>1</v>
      </c>
      <c r="H82" s="56">
        <v>467</v>
      </c>
      <c r="I82" s="57">
        <f>AVERAGEIF('PT-01'!$L$1035:$L$1087,Summary!F82,'PT-01'!$O$1035:$O$1087)</f>
        <v>8.6</v>
      </c>
      <c r="J82" s="56">
        <f>AVERAGEIF('PT-01'!$L$1035:$L$1087,Summary!F82,'PT-01'!$M$1035:$M$1087)</f>
        <v>58.333333333333336</v>
      </c>
      <c r="K82" s="58">
        <f>AVERAGEIF('PT-01'!$L$1035:$L$1087,Summary!F82,'PT-01'!$N$1035:$N$1087)</f>
        <v>50000</v>
      </c>
    </row>
    <row r="83" spans="2:11" ht="15" customHeight="1" x14ac:dyDescent="0.2">
      <c r="B83" s="54" t="s">
        <v>70</v>
      </c>
      <c r="C83" s="54" t="s">
        <v>244</v>
      </c>
      <c r="D83" s="54" t="s">
        <v>98</v>
      </c>
      <c r="E83" s="54" t="s">
        <v>70</v>
      </c>
      <c r="F83" s="55" t="str">
        <f t="shared" si="8"/>
        <v>GISENYI-KAMPALA</v>
      </c>
      <c r="G83" s="56">
        <f>ROUNDUP(COUNTIF('PT-01'!$L$1035:$L$1087,Summary!F83)/5,0)</f>
        <v>1</v>
      </c>
      <c r="H83" s="70">
        <v>669</v>
      </c>
      <c r="I83" s="57">
        <f>AVERAGEIF('PT-01'!$L$1035:$L$1087,Summary!F83,'PT-01'!$O$1035:$O$1087)</f>
        <v>12.3</v>
      </c>
      <c r="J83" s="56">
        <f>AVERAGEIF('PT-01'!$L$1035:$L$1087,Summary!F83,'PT-01'!$M$1035:$M$1087)</f>
        <v>48</v>
      </c>
      <c r="K83" s="58">
        <f>AVERAGEIF('PT-01'!$L$1035:$L$1087,Summary!F83,'PT-01'!$N$1035:$N$1087)</f>
        <v>45000</v>
      </c>
    </row>
    <row r="84" spans="2:11" ht="15" customHeight="1" x14ac:dyDescent="0.2">
      <c r="B84" s="54" t="s">
        <v>70</v>
      </c>
      <c r="C84" s="54" t="s">
        <v>244</v>
      </c>
      <c r="D84" s="54" t="s">
        <v>143</v>
      </c>
      <c r="E84" s="54" t="s">
        <v>70</v>
      </c>
      <c r="F84" s="55" t="str">
        <f t="shared" si="8"/>
        <v>GISORO-KAMPALA</v>
      </c>
      <c r="G84" s="56">
        <f>ROUNDUP(COUNTIF('PT-01'!$L$1035:$L$1087,Summary!F84)/5,0)</f>
        <v>1</v>
      </c>
      <c r="H84" s="56">
        <v>467</v>
      </c>
      <c r="I84" s="57">
        <f>AVERAGEIF('PT-01'!$L$1035:$L$1087,Summary!F84,'PT-01'!$O$1035:$O$1087)</f>
        <v>8.5</v>
      </c>
      <c r="J84" s="56">
        <f>AVERAGEIF('PT-01'!$L$1035:$L$1087,Summary!F84,'PT-01'!$M$1035:$M$1087)</f>
        <v>67</v>
      </c>
      <c r="K84" s="58">
        <f>AVERAGEIF('PT-01'!$L$1035:$L$1087,Summary!F84,'PT-01'!$N$1035:$N$1087)</f>
        <v>40000</v>
      </c>
    </row>
    <row r="85" spans="2:11" ht="15" customHeight="1" x14ac:dyDescent="0.2">
      <c r="B85" s="54" t="s">
        <v>70</v>
      </c>
      <c r="C85" s="54" t="s">
        <v>244</v>
      </c>
      <c r="D85" s="54" t="s">
        <v>96</v>
      </c>
      <c r="E85" s="54" t="s">
        <v>70</v>
      </c>
      <c r="F85" s="55" t="str">
        <f t="shared" si="8"/>
        <v>GOMA-KAMPALA</v>
      </c>
      <c r="G85" s="56">
        <f>ROUNDUP(COUNTIF('PT-01'!$L$1035:$L$1087,Summary!F85)/5,0)</f>
        <v>1</v>
      </c>
      <c r="H85" s="56">
        <v>570</v>
      </c>
      <c r="I85" s="57">
        <f>AVERAGEIF('PT-01'!$L$1035:$L$1087,Summary!F85,'PT-01'!$O$1035:$O$1087)</f>
        <v>12</v>
      </c>
      <c r="J85" s="56">
        <f>AVERAGEIF('PT-01'!$L$1035:$L$1087,Summary!F85,'PT-01'!$M$1035:$M$1087)</f>
        <v>51</v>
      </c>
      <c r="K85" s="58">
        <f>AVERAGEIF('PT-01'!$L$1035:$L$1087,Summary!F85,'PT-01'!$N$1035:$N$1087)</f>
        <v>50000</v>
      </c>
    </row>
    <row r="86" spans="2:11" ht="15" customHeight="1" x14ac:dyDescent="0.2">
      <c r="B86" s="54" t="s">
        <v>70</v>
      </c>
      <c r="C86" s="54" t="s">
        <v>244</v>
      </c>
      <c r="D86" s="54" t="s">
        <v>133</v>
      </c>
      <c r="E86" s="54" t="s">
        <v>70</v>
      </c>
      <c r="F86" s="55" t="str">
        <f t="shared" si="8"/>
        <v>JUBA-KAMPALA</v>
      </c>
      <c r="G86" s="56">
        <f>ROUNDUP(COUNTIF('PT-01'!$L$1035:$L$1087,Summary!F86)/5,0)</f>
        <v>1</v>
      </c>
      <c r="H86" s="70">
        <v>635</v>
      </c>
      <c r="I86" s="57">
        <f>AVERAGEIF('PT-01'!$L$1035:$L$1087,Summary!F86,'PT-01'!$O$1035:$O$1087)</f>
        <v>10.25</v>
      </c>
      <c r="J86" s="56">
        <f>AVERAGEIF('PT-01'!$L$1035:$L$1087,Summary!F86,'PT-01'!$M$1035:$M$1087)</f>
        <v>50.75</v>
      </c>
      <c r="K86" s="58">
        <f>AVERAGEIF('PT-01'!$L$1035:$L$1087,Summary!F86,'PT-01'!$N$1035:$N$1087)</f>
        <v>90000</v>
      </c>
    </row>
    <row r="87" spans="2:11" ht="15" customHeight="1" x14ac:dyDescent="0.2">
      <c r="B87" s="54" t="s">
        <v>70</v>
      </c>
      <c r="C87" s="54" t="s">
        <v>244</v>
      </c>
      <c r="D87" s="54" t="s">
        <v>94</v>
      </c>
      <c r="E87" s="54" t="s">
        <v>70</v>
      </c>
      <c r="F87" s="55" t="str">
        <f t="shared" si="8"/>
        <v>KIGALI-KAMPALA</v>
      </c>
      <c r="G87" s="56">
        <f>ROUNDUP(COUNTIF('PT-01'!$L$1035:$L$1087,Summary!F87)/5,0)</f>
        <v>1</v>
      </c>
      <c r="H87" s="56">
        <v>510</v>
      </c>
      <c r="I87" s="57">
        <f>AVERAGEIF('PT-01'!$L$1035:$L$1087,Summary!F87,'PT-01'!$O$1035:$O$1087)</f>
        <v>8.6</v>
      </c>
      <c r="J87" s="56">
        <f>AVERAGEIF('PT-01'!$L$1035:$L$1087,Summary!F87,'PT-01'!$M$1035:$M$1087)</f>
        <v>51.6</v>
      </c>
      <c r="K87" s="58">
        <f>AVERAGEIF('PT-01'!$L$1035:$L$1087,Summary!F87,'PT-01'!$N$1035:$N$1087)</f>
        <v>50000</v>
      </c>
    </row>
    <row r="88" spans="2:11" ht="15" customHeight="1" x14ac:dyDescent="0.2">
      <c r="B88" s="54" t="s">
        <v>70</v>
      </c>
      <c r="C88" s="54" t="s">
        <v>244</v>
      </c>
      <c r="D88" s="54" t="s">
        <v>147</v>
      </c>
      <c r="E88" s="54" t="s">
        <v>70</v>
      </c>
      <c r="F88" s="55" t="str">
        <f t="shared" ref="F88:F89" si="9">D88&amp;"-"&amp;E88</f>
        <v>KYEGEGWA-KAMPALA</v>
      </c>
      <c r="G88" s="56">
        <f>ROUNDUP(COUNTIF('PT-01'!$L$1035:$L$1087,Summary!F88)/5,0)</f>
        <v>1</v>
      </c>
      <c r="H88" s="70">
        <v>192</v>
      </c>
      <c r="I88" s="57">
        <f>AVERAGEIF('PT-01'!$L$1035:$L$1087,Summary!F88,'PT-01'!$O$1035:$O$1087)</f>
        <v>3.25</v>
      </c>
      <c r="J88" s="56">
        <f>AVERAGEIF('PT-01'!$L$1035:$L$1087,Summary!F88,'PT-01'!$M$1035:$M$1087)</f>
        <v>4</v>
      </c>
      <c r="K88" s="58">
        <f>AVERAGEIF('PT-01'!$L$1035:$L$1087,Summary!F88,'PT-01'!$N$1035:$N$1087)</f>
        <v>15000</v>
      </c>
    </row>
    <row r="89" spans="2:11" ht="15" customHeight="1" x14ac:dyDescent="0.2">
      <c r="B89" s="54" t="s">
        <v>70</v>
      </c>
      <c r="C89" s="54" t="s">
        <v>244</v>
      </c>
      <c r="D89" s="54" t="s">
        <v>137</v>
      </c>
      <c r="E89" s="54" t="s">
        <v>70</v>
      </c>
      <c r="F89" s="55" t="str">
        <f t="shared" si="9"/>
        <v>LUKAYA-KAMPALA</v>
      </c>
      <c r="G89" s="56">
        <f>ROUNDUP(COUNTIF('PT-01'!$L$1035:$L$1087,Summary!F89)/5,0)</f>
        <v>1</v>
      </c>
      <c r="H89" s="70">
        <v>105</v>
      </c>
      <c r="I89" s="57">
        <f>AVERAGEIF('PT-01'!$L$1035:$L$1087,Summary!F89,'PT-01'!$O$1035:$O$1087)</f>
        <v>2.25</v>
      </c>
      <c r="J89" s="56">
        <f>AVERAGEIF('PT-01'!$L$1035:$L$1087,Summary!F89,'PT-01'!$M$1035:$M$1087)</f>
        <v>67</v>
      </c>
      <c r="K89" s="58">
        <f>AVERAGEIF('PT-01'!$L$1035:$L$1087,Summary!F89,'PT-01'!$N$1035:$N$1087)</f>
        <v>10000</v>
      </c>
    </row>
    <row r="90" spans="2:11" ht="15" customHeight="1" x14ac:dyDescent="0.2">
      <c r="B90" s="54" t="s">
        <v>70</v>
      </c>
      <c r="C90" s="54" t="s">
        <v>244</v>
      </c>
      <c r="D90" s="54" t="s">
        <v>113</v>
      </c>
      <c r="E90" s="54" t="s">
        <v>70</v>
      </c>
      <c r="F90" s="55" t="str">
        <f t="shared" si="8"/>
        <v>NAIROBI-KAMPALA</v>
      </c>
      <c r="G90" s="56">
        <f>ROUNDUP(COUNTIF('PT-01'!$L$1035:$L$1087,Summary!F90)/5,0)</f>
        <v>1</v>
      </c>
      <c r="H90" s="56">
        <v>664</v>
      </c>
      <c r="I90" s="57">
        <f>AVERAGEIF('PT-01'!$L$1035:$L$1087,Summary!F90,'PT-01'!$O$1035:$O$1087)</f>
        <v>12.8</v>
      </c>
      <c r="J90" s="56">
        <f>AVERAGEIF('PT-01'!$L$1035:$L$1087,Summary!F90,'PT-01'!$M$1035:$M$1087)</f>
        <v>35</v>
      </c>
      <c r="K90" s="58">
        <f>AVERAGEIF('PT-01'!$L$1035:$L$1087,Summary!F90,'PT-01'!$N$1035:$N$1087)</f>
        <v>70000</v>
      </c>
    </row>
    <row r="91" spans="2:11" ht="15" customHeight="1" x14ac:dyDescent="0.2">
      <c r="B91" s="60"/>
      <c r="C91" s="60"/>
      <c r="D91" s="60"/>
      <c r="E91" s="60"/>
      <c r="F91" s="61"/>
      <c r="G91" s="62"/>
      <c r="H91" s="71"/>
      <c r="I91" s="63"/>
      <c r="J91" s="62"/>
      <c r="K91" s="64"/>
    </row>
    <row r="93" spans="2:11" x14ac:dyDescent="0.2">
      <c r="B93" s="113" t="s">
        <v>253</v>
      </c>
      <c r="C93" s="113"/>
      <c r="D93" s="114" t="s">
        <v>231</v>
      </c>
      <c r="E93" s="114"/>
      <c r="F93" s="114"/>
      <c r="G93" s="114"/>
      <c r="H93" s="114"/>
      <c r="I93" s="114"/>
      <c r="J93" s="114" t="s">
        <v>232</v>
      </c>
      <c r="K93" s="114"/>
    </row>
    <row r="94" spans="2:11" s="53" customFormat="1" ht="38.25" x14ac:dyDescent="0.2">
      <c r="B94" s="51" t="s">
        <v>233</v>
      </c>
      <c r="C94" s="51" t="s">
        <v>234</v>
      </c>
      <c r="D94" s="51" t="s">
        <v>235</v>
      </c>
      <c r="E94" s="51" t="s">
        <v>236</v>
      </c>
      <c r="F94" s="51" t="s">
        <v>237</v>
      </c>
      <c r="G94" s="52" t="s">
        <v>238</v>
      </c>
      <c r="H94" s="52" t="s">
        <v>239</v>
      </c>
      <c r="I94" s="52" t="s">
        <v>240</v>
      </c>
      <c r="J94" s="52" t="s">
        <v>241</v>
      </c>
      <c r="K94" s="52" t="s">
        <v>242</v>
      </c>
    </row>
    <row r="95" spans="2:11" ht="15" customHeight="1" x14ac:dyDescent="0.2">
      <c r="B95" s="54" t="s">
        <v>70</v>
      </c>
      <c r="C95" s="54" t="s">
        <v>243</v>
      </c>
      <c r="D95" s="54" t="s">
        <v>70</v>
      </c>
      <c r="E95" s="54" t="s">
        <v>85</v>
      </c>
      <c r="F95" s="55" t="str">
        <f>D95&amp;"-"&amp;E95</f>
        <v>KAMPALA-BUSHENYI</v>
      </c>
      <c r="G95" s="56">
        <f>ROUNDUP(COUNTIF('PT-01'!$L$1089:$L$1128,Summary!F95)/5,0)</f>
        <v>4</v>
      </c>
      <c r="H95" s="56">
        <v>331</v>
      </c>
      <c r="I95" s="57">
        <f>AVERAGEIF('PT-01'!$L$1089:$L$1128,Summary!F95,'PT-01'!$O$1089:$O$1128)</f>
        <v>6</v>
      </c>
      <c r="J95" s="56">
        <f>AVERAGEIF('PT-01'!$L$1089:$L$1128,Summary!F95,'PT-01'!$M$1089:$M$1128)</f>
        <v>62.823529411764703</v>
      </c>
      <c r="K95" s="58">
        <f>AVERAGEIF('PT-01'!$L$1089:$L$1128,Summary!F95,'PT-01'!$N$1089:$N$1128)</f>
        <v>25000</v>
      </c>
    </row>
    <row r="96" spans="2:11" ht="15" customHeight="1" x14ac:dyDescent="0.2">
      <c r="B96" s="54" t="s">
        <v>70</v>
      </c>
      <c r="C96" s="54" t="s">
        <v>243</v>
      </c>
      <c r="D96" s="54" t="s">
        <v>70</v>
      </c>
      <c r="E96" s="54" t="s">
        <v>84</v>
      </c>
      <c r="F96" s="55" t="str">
        <f t="shared" ref="F96:F99" si="10">D96&amp;"-"&amp;E96</f>
        <v>KAMPALA-ISHAKA</v>
      </c>
      <c r="G96" s="56">
        <f>ROUNDUP(COUNTIF('PT-01'!$L$1089:$L$1128,Summary!F96)/5,0)</f>
        <v>2</v>
      </c>
      <c r="H96" s="56">
        <v>328</v>
      </c>
      <c r="I96" s="57">
        <f>AVERAGEIF('PT-01'!$L$1089:$L$1128,Summary!F96,'PT-01'!$O$1089:$O$1128)</f>
        <v>5.4074074074074083</v>
      </c>
      <c r="J96" s="56">
        <f>AVERAGEIF('PT-01'!$L$1089:$L$1128,Summary!F96,'PT-01'!$M$1089:$M$1128)</f>
        <v>65</v>
      </c>
      <c r="K96" s="58">
        <f>AVERAGEIF('PT-01'!$L$1089:$L$1128,Summary!F96,'PT-01'!$N$1089:$N$1128)</f>
        <v>25000</v>
      </c>
    </row>
    <row r="97" spans="2:11" ht="15" customHeight="1" x14ac:dyDescent="0.2">
      <c r="B97" s="54" t="s">
        <v>70</v>
      </c>
      <c r="C97" s="54" t="s">
        <v>243</v>
      </c>
      <c r="D97" s="54" t="s">
        <v>70</v>
      </c>
      <c r="E97" s="54" t="s">
        <v>68</v>
      </c>
      <c r="F97" s="55" t="str">
        <f t="shared" si="10"/>
        <v>KAMPALA-MBARARA</v>
      </c>
      <c r="G97" s="56">
        <f>ROUNDUP(COUNTIF('PT-01'!$L$1089:$L$1128,Summary!F97)/5,0)</f>
        <v>1</v>
      </c>
      <c r="H97" s="56">
        <v>270</v>
      </c>
      <c r="I97" s="57">
        <f>AVERAGEIF('PT-01'!$L$1089:$L$1128,Summary!F97,'PT-01'!$O$1089:$O$1128)</f>
        <v>5</v>
      </c>
      <c r="J97" s="56">
        <f>AVERAGEIF('PT-01'!$L$1089:$L$1128,Summary!F97,'PT-01'!$M$1089:$M$1128)</f>
        <v>3</v>
      </c>
      <c r="K97" s="58">
        <f>AVERAGEIF('PT-01'!$L$1089:$L$1128,Summary!F97,'PT-01'!$N$1089:$N$1128)</f>
        <v>20000</v>
      </c>
    </row>
    <row r="98" spans="2:11" ht="15" customHeight="1" x14ac:dyDescent="0.2">
      <c r="B98" s="54" t="s">
        <v>70</v>
      </c>
      <c r="C98" s="54" t="s">
        <v>243</v>
      </c>
      <c r="D98" s="54" t="s">
        <v>70</v>
      </c>
      <c r="E98" s="54" t="s">
        <v>86</v>
      </c>
      <c r="F98" s="55" t="str">
        <f t="shared" si="10"/>
        <v>KAMPALA-RUBIRIZI</v>
      </c>
      <c r="G98" s="56">
        <f>ROUNDUP(COUNTIF('PT-01'!$L$1089:$L$1128,Summary!F98)/5,0)</f>
        <v>1</v>
      </c>
      <c r="H98" s="56">
        <v>365</v>
      </c>
      <c r="I98" s="57">
        <f>AVERAGEIF('PT-01'!$L$1089:$L$1128,Summary!F98,'PT-01'!$O$1089:$O$1128)</f>
        <v>6.3</v>
      </c>
      <c r="J98" s="56">
        <f>AVERAGEIF('PT-01'!$L$1089:$L$1128,Summary!F98,'PT-01'!$M$1089:$M$1128)</f>
        <v>65</v>
      </c>
      <c r="K98" s="58">
        <f>AVERAGEIF('PT-01'!$L$1089:$L$1128,Summary!F98,'PT-01'!$N$1089:$N$1128)</f>
        <v>25000</v>
      </c>
    </row>
    <row r="99" spans="2:11" ht="15" customHeight="1" x14ac:dyDescent="0.2">
      <c r="B99" s="54" t="s">
        <v>70</v>
      </c>
      <c r="C99" s="54" t="s">
        <v>244</v>
      </c>
      <c r="D99" s="54" t="s">
        <v>85</v>
      </c>
      <c r="E99" s="54" t="s">
        <v>70</v>
      </c>
      <c r="F99" s="55" t="str">
        <f t="shared" si="10"/>
        <v>BUSHENYI-KAMPALA</v>
      </c>
      <c r="G99" s="56">
        <f>ROUNDUP(COUNTIF('PT-01'!$L$1089:$L$1128,Summary!F99)/5,0)</f>
        <v>2</v>
      </c>
      <c r="H99" s="56">
        <v>331</v>
      </c>
      <c r="I99" s="57">
        <f>AVERAGEIF('PT-01'!$L$1089:$L$1128,Summary!F99,'PT-01'!$O$1089:$O$1128)</f>
        <v>6</v>
      </c>
      <c r="J99" s="56">
        <f>AVERAGEIF('PT-01'!$L$1089:$L$1128,Summary!F99,'PT-01'!$M$1089:$M$1128)</f>
        <v>36.857142857142854</v>
      </c>
      <c r="K99" s="58">
        <f>AVERAGEIF('PT-01'!$L$1089:$L$1128,Summary!F99,'PT-01'!$N$1089:$N$1128)</f>
        <v>23000</v>
      </c>
    </row>
    <row r="102" spans="2:11" x14ac:dyDescent="0.2">
      <c r="B102" s="113" t="s">
        <v>246</v>
      </c>
      <c r="C102" s="113"/>
      <c r="D102" s="114" t="s">
        <v>231</v>
      </c>
      <c r="E102" s="114"/>
      <c r="F102" s="114"/>
      <c r="G102" s="114"/>
      <c r="H102" s="114"/>
      <c r="I102" s="114"/>
      <c r="J102" s="114" t="s">
        <v>232</v>
      </c>
      <c r="K102" s="114"/>
    </row>
    <row r="103" spans="2:11" s="53" customFormat="1" ht="38.25" x14ac:dyDescent="0.2">
      <c r="B103" s="51" t="s">
        <v>233</v>
      </c>
      <c r="C103" s="51" t="s">
        <v>234</v>
      </c>
      <c r="D103" s="51" t="s">
        <v>235</v>
      </c>
      <c r="E103" s="51" t="s">
        <v>236</v>
      </c>
      <c r="F103" s="51" t="s">
        <v>237</v>
      </c>
      <c r="G103" s="52" t="s">
        <v>238</v>
      </c>
      <c r="H103" s="52" t="s">
        <v>239</v>
      </c>
      <c r="I103" s="52" t="s">
        <v>240</v>
      </c>
      <c r="J103" s="52" t="s">
        <v>241</v>
      </c>
      <c r="K103" s="52" t="s">
        <v>242</v>
      </c>
    </row>
    <row r="104" spans="2:11" ht="15" customHeight="1" x14ac:dyDescent="0.2">
      <c r="B104" s="54" t="s">
        <v>70</v>
      </c>
      <c r="C104" s="54" t="s">
        <v>243</v>
      </c>
      <c r="D104" s="54" t="s">
        <v>70</v>
      </c>
      <c r="E104" s="54" t="s">
        <v>148</v>
      </c>
      <c r="F104" s="55" t="str">
        <f>D104&amp;"-"&amp;E104</f>
        <v>KAMPALA-GULU</v>
      </c>
      <c r="G104" s="56">
        <f>ROUNDUP(COUNTIF('PT-01'!$L$1130:$L$1156,Summary!F104)/5,0)</f>
        <v>1</v>
      </c>
      <c r="H104" s="56">
        <v>334</v>
      </c>
      <c r="I104" s="57">
        <f>AVERAGEIF('PT-01'!$L$1130:$L$1156,Summary!F104,'PT-01'!$O$1130:$O$1156)</f>
        <v>5.25</v>
      </c>
      <c r="J104" s="56">
        <f>AVERAGEIF('PT-01'!$L$1130:$L$1156,Summary!F104,'PT-01'!$M$1130:$M$1156)</f>
        <v>65.8</v>
      </c>
      <c r="K104" s="58">
        <f>AVERAGEIF('PT-01'!$L$1130:$L$1156,Summary!F104,'PT-01'!$N$1130:$N$1156)</f>
        <v>25000</v>
      </c>
    </row>
    <row r="105" spans="2:11" ht="15" customHeight="1" x14ac:dyDescent="0.2">
      <c r="B105" s="54" t="s">
        <v>70</v>
      </c>
      <c r="C105" s="54" t="s">
        <v>243</v>
      </c>
      <c r="D105" s="54" t="s">
        <v>70</v>
      </c>
      <c r="E105" s="54" t="s">
        <v>153</v>
      </c>
      <c r="F105" s="55" t="str">
        <f t="shared" ref="F105:F107" si="11">D105&amp;"-"&amp;E105</f>
        <v>KAMPALA-KITGUM</v>
      </c>
      <c r="G105" s="56">
        <f>ROUNDUP(COUNTIF('PT-01'!$L$1130:$L$1156,Summary!F105)/5,0)</f>
        <v>2</v>
      </c>
      <c r="H105" s="56">
        <v>435</v>
      </c>
      <c r="I105" s="57">
        <f>AVERAGEIF('PT-01'!$L$1130:$L$1156,Summary!F105,'PT-01'!$O$1130:$O$1156)</f>
        <v>6.5</v>
      </c>
      <c r="J105" s="56">
        <f>AVERAGEIF('PT-01'!$L$1130:$L$1156,Summary!F105,'PT-01'!$M$1130:$M$1156)</f>
        <v>64.833333333333329</v>
      </c>
      <c r="K105" s="58">
        <f>AVERAGEIF('PT-01'!$L$1130:$L$1156,Summary!F105,'PT-01'!$N$1130:$N$1156)</f>
        <v>30000</v>
      </c>
    </row>
    <row r="106" spans="2:11" ht="15" customHeight="1" x14ac:dyDescent="0.2">
      <c r="B106" s="54" t="s">
        <v>70</v>
      </c>
      <c r="C106" s="54" t="s">
        <v>244</v>
      </c>
      <c r="D106" s="54" t="s">
        <v>148</v>
      </c>
      <c r="E106" s="54" t="s">
        <v>70</v>
      </c>
      <c r="F106" s="55" t="str">
        <f t="shared" si="11"/>
        <v>GULU-KAMPALA</v>
      </c>
      <c r="G106" s="56">
        <f>ROUNDUP(COUNTIF('PT-01'!$L$1130:$L$1156,Summary!F106)/5,0)</f>
        <v>1</v>
      </c>
      <c r="H106" s="56">
        <v>334</v>
      </c>
      <c r="I106" s="57">
        <f>AVERAGEIF('PT-01'!$L$1130:$L$1156,Summary!F106,'PT-01'!$O$1130:$O$1156)</f>
        <v>5.25</v>
      </c>
      <c r="J106" s="56">
        <f>AVERAGEIF('PT-01'!$L$1130:$L$1156,Summary!F106,'PT-01'!$M$1130:$M$1156)</f>
        <v>52</v>
      </c>
      <c r="K106" s="58">
        <f>AVERAGEIF('PT-01'!$L$1130:$L$1156,Summary!F106,'PT-01'!$N$1130:$N$1156)</f>
        <v>20000</v>
      </c>
    </row>
    <row r="107" spans="2:11" ht="15" customHeight="1" x14ac:dyDescent="0.2">
      <c r="B107" s="54" t="s">
        <v>70</v>
      </c>
      <c r="C107" s="54" t="s">
        <v>244</v>
      </c>
      <c r="D107" s="54" t="s">
        <v>153</v>
      </c>
      <c r="E107" s="54" t="s">
        <v>70</v>
      </c>
      <c r="F107" s="55" t="str">
        <f t="shared" si="11"/>
        <v>KITGUM-KAMPALA</v>
      </c>
      <c r="G107" s="56">
        <f>ROUNDUP(COUNTIF('PT-01'!$L$1130:$L$1156,Summary!F107)/5,0)</f>
        <v>2</v>
      </c>
      <c r="H107" s="56">
        <v>435</v>
      </c>
      <c r="I107" s="57">
        <f>AVERAGEIF('PT-01'!$L$1130:$L$1156,Summary!F107,'PT-01'!$O$1130:$O$1156)</f>
        <v>6.5</v>
      </c>
      <c r="J107" s="56">
        <f>AVERAGEIF('PT-01'!$L$1130:$L$1156,Summary!F107,'PT-01'!$M$1130:$M$1156)</f>
        <v>63.666666666666664</v>
      </c>
      <c r="K107" s="58">
        <f>AVERAGEIF('PT-01'!$L$1130:$L$1156,Summary!F107,'PT-01'!$N$1130:$N$1156)</f>
        <v>27000</v>
      </c>
    </row>
    <row r="110" spans="2:11" x14ac:dyDescent="0.2">
      <c r="B110" s="113" t="s">
        <v>254</v>
      </c>
      <c r="C110" s="113"/>
      <c r="D110" s="114" t="s">
        <v>231</v>
      </c>
      <c r="E110" s="114"/>
      <c r="F110" s="114"/>
      <c r="G110" s="114"/>
      <c r="H110" s="114"/>
      <c r="I110" s="114"/>
      <c r="J110" s="114" t="s">
        <v>232</v>
      </c>
      <c r="K110" s="114"/>
    </row>
    <row r="111" spans="2:11" s="53" customFormat="1" ht="38.25" x14ac:dyDescent="0.2">
      <c r="B111" s="51" t="s">
        <v>233</v>
      </c>
      <c r="C111" s="51" t="s">
        <v>234</v>
      </c>
      <c r="D111" s="51" t="s">
        <v>235</v>
      </c>
      <c r="E111" s="51" t="s">
        <v>236</v>
      </c>
      <c r="F111" s="51" t="s">
        <v>237</v>
      </c>
      <c r="G111" s="52" t="s">
        <v>238</v>
      </c>
      <c r="H111" s="52" t="s">
        <v>239</v>
      </c>
      <c r="I111" s="52" t="s">
        <v>240</v>
      </c>
      <c r="J111" s="52" t="s">
        <v>241</v>
      </c>
      <c r="K111" s="52" t="s">
        <v>242</v>
      </c>
    </row>
    <row r="112" spans="2:11" ht="15" customHeight="1" x14ac:dyDescent="0.2">
      <c r="B112" s="54" t="s">
        <v>70</v>
      </c>
      <c r="C112" s="54" t="s">
        <v>243</v>
      </c>
      <c r="D112" s="54" t="s">
        <v>70</v>
      </c>
      <c r="E112" s="54" t="s">
        <v>113</v>
      </c>
      <c r="F112" s="55" t="str">
        <f>D112&amp;"-"&amp;E112</f>
        <v>KAMPALA-NAIROBI</v>
      </c>
      <c r="G112" s="56">
        <f>ROUNDUP(COUNTIF('PT-01'!$L$1158:$L$1211,Summary!F112)/5,0)</f>
        <v>4</v>
      </c>
      <c r="H112" s="56">
        <v>664</v>
      </c>
      <c r="I112" s="57">
        <f>AVERAGEIF('PT-01'!$L$1158:$L$1211,Summary!F112,'PT-01'!$O$1158:$O$1211)</f>
        <v>13</v>
      </c>
      <c r="J112" s="56">
        <f>AVERAGEIF('PT-01'!$L$1158:$L$1211,Summary!F112,'PT-01'!$M$1158:$M$1211)</f>
        <v>40.25</v>
      </c>
      <c r="K112" s="58">
        <f>AVERAGEIF('PT-01'!$L$1158:$L$1211,Summary!F112,'PT-01'!$N$1158:$N$1211)</f>
        <v>90000</v>
      </c>
    </row>
    <row r="113" spans="2:11" ht="15" customHeight="1" x14ac:dyDescent="0.2">
      <c r="B113" s="54" t="s">
        <v>70</v>
      </c>
      <c r="C113" s="54" t="s">
        <v>244</v>
      </c>
      <c r="D113" s="54" t="s">
        <v>94</v>
      </c>
      <c r="E113" s="54" t="s">
        <v>70</v>
      </c>
      <c r="F113" s="55" t="str">
        <f t="shared" ref="F113:F115" si="12">D113&amp;"-"&amp;E113</f>
        <v>KIGALI-KAMPALA</v>
      </c>
      <c r="G113" s="56">
        <f>ROUNDUP(COUNTIF('PT-01'!$L$1158:$L$1211,Summary!F113)/5,0)</f>
        <v>2</v>
      </c>
      <c r="H113" s="56">
        <v>510</v>
      </c>
      <c r="I113" s="57">
        <f>AVERAGEIF('PT-01'!$L$1158:$L$1211,Summary!F113,'PT-01'!$O$1158:$O$1211)</f>
        <v>8.5999999999999979</v>
      </c>
      <c r="J113" s="56">
        <f>AVERAGEIF('PT-01'!$L$1158:$L$1211,Summary!F113,'PT-01'!$M$1158:$M$1211)</f>
        <v>34.4</v>
      </c>
      <c r="K113" s="58">
        <f>AVERAGEIF('PT-01'!$L$1158:$L$1211,Summary!F113,'PT-01'!$N$1158:$N$1211)</f>
        <v>51000</v>
      </c>
    </row>
    <row r="114" spans="2:11" ht="15" customHeight="1" x14ac:dyDescent="0.2">
      <c r="B114" s="54" t="s">
        <v>70</v>
      </c>
      <c r="C114" s="54" t="s">
        <v>244</v>
      </c>
      <c r="D114" s="54" t="s">
        <v>181</v>
      </c>
      <c r="E114" s="54" t="s">
        <v>70</v>
      </c>
      <c r="F114" s="55" t="str">
        <f t="shared" si="12"/>
        <v>MOMBASA-KAMPALA</v>
      </c>
      <c r="G114" s="56">
        <f>ROUNDUP(COUNTIF('PT-01'!$L$1158:$L$1211,Summary!F114)/5,0)</f>
        <v>1</v>
      </c>
      <c r="H114" s="56">
        <v>1150</v>
      </c>
      <c r="I114" s="57">
        <f>AVERAGEIF('PT-01'!$L$1158:$L$1211,Summary!F114,'PT-01'!$O$1158:$O$1211)</f>
        <v>20</v>
      </c>
      <c r="J114" s="56">
        <f>AVERAGEIF('PT-01'!$L$1158:$L$1211,Summary!F114,'PT-01'!$M$1158:$M$1211)</f>
        <v>45</v>
      </c>
      <c r="K114" s="58">
        <f>AVERAGEIF('PT-01'!$L$1158:$L$1211,Summary!F114,'PT-01'!$N$1158:$N$1211)</f>
        <v>115000</v>
      </c>
    </row>
    <row r="115" spans="2:11" ht="15" customHeight="1" x14ac:dyDescent="0.2">
      <c r="B115" s="54" t="s">
        <v>70</v>
      </c>
      <c r="C115" s="54" t="s">
        <v>244</v>
      </c>
      <c r="D115" s="54" t="s">
        <v>113</v>
      </c>
      <c r="E115" s="54" t="s">
        <v>70</v>
      </c>
      <c r="F115" s="55" t="str">
        <f t="shared" si="12"/>
        <v>NAIROBI-KAMPALA</v>
      </c>
      <c r="G115" s="56">
        <f>ROUNDUP(COUNTIF('PT-01'!$L$1158:$L$1211,Summary!F115)/5,0)</f>
        <v>4</v>
      </c>
      <c r="H115" s="56">
        <v>664</v>
      </c>
      <c r="I115" s="57">
        <f>AVERAGEIF('PT-01'!$L$1158:$L$1211,Summary!F115,'PT-01'!$O$1158:$O$1211)</f>
        <v>13</v>
      </c>
      <c r="J115" s="56">
        <f>AVERAGEIF('PT-01'!$L$1158:$L$1211,Summary!F115,'PT-01'!$M$1158:$M$1211)</f>
        <v>37.263157894736842</v>
      </c>
      <c r="K115" s="58">
        <f>AVERAGEIF('PT-01'!$L$1158:$L$1211,Summary!F115,'PT-01'!$N$1158:$N$1211)</f>
        <v>80000</v>
      </c>
    </row>
    <row r="118" spans="2:11" x14ac:dyDescent="0.2">
      <c r="B118" s="113" t="s">
        <v>255</v>
      </c>
      <c r="C118" s="113"/>
      <c r="D118" s="114" t="s">
        <v>231</v>
      </c>
      <c r="E118" s="114"/>
      <c r="F118" s="114"/>
      <c r="G118" s="114"/>
      <c r="H118" s="114"/>
      <c r="I118" s="114"/>
      <c r="J118" s="114" t="s">
        <v>232</v>
      </c>
      <c r="K118" s="114"/>
    </row>
    <row r="119" spans="2:11" s="53" customFormat="1" ht="38.25" x14ac:dyDescent="0.2">
      <c r="B119" s="51" t="s">
        <v>233</v>
      </c>
      <c r="C119" s="51" t="s">
        <v>234</v>
      </c>
      <c r="D119" s="51" t="s">
        <v>235</v>
      </c>
      <c r="E119" s="51" t="s">
        <v>236</v>
      </c>
      <c r="F119" s="51" t="s">
        <v>237</v>
      </c>
      <c r="G119" s="52" t="s">
        <v>238</v>
      </c>
      <c r="H119" s="52" t="s">
        <v>239</v>
      </c>
      <c r="I119" s="52" t="s">
        <v>240</v>
      </c>
      <c r="J119" s="52" t="s">
        <v>241</v>
      </c>
      <c r="K119" s="52" t="s">
        <v>242</v>
      </c>
    </row>
    <row r="120" spans="2:11" ht="15" customHeight="1" x14ac:dyDescent="0.2">
      <c r="B120" s="54" t="s">
        <v>70</v>
      </c>
      <c r="C120" s="54" t="s">
        <v>243</v>
      </c>
      <c r="D120" s="54" t="s">
        <v>70</v>
      </c>
      <c r="E120" s="55" t="s">
        <v>209</v>
      </c>
      <c r="F120" s="55" t="str">
        <f>D120&amp;"-"&amp;E120</f>
        <v>KAMPALA-BUNDIBUGYO</v>
      </c>
      <c r="G120" s="56">
        <f>ROUNDUP(COUNTIF('PT-01'!$L$1213:$L$1539,Summary!F120)/5,0)</f>
        <v>3</v>
      </c>
      <c r="H120" s="56">
        <v>379</v>
      </c>
      <c r="I120" s="57">
        <f>AVERAGEIF('PT-01'!$L$1213:$L$1539,Summary!F120,'PT-01'!$O$1213:$O$1539)</f>
        <v>6.25</v>
      </c>
      <c r="J120" s="56">
        <f>AVERAGEIF('PT-01'!$L$1213:$L$1539,Summary!F120,'PT-01'!$M$1213:$M$1539)</f>
        <v>67.692307692307693</v>
      </c>
      <c r="K120" s="58">
        <f>AVERAGEIF('PT-01'!$L$1213:$L$1539,Summary!F120,'PT-01'!$N$1213:$N$1539)</f>
        <v>25000</v>
      </c>
    </row>
    <row r="121" spans="2:11" ht="15" customHeight="1" x14ac:dyDescent="0.2">
      <c r="B121" s="54" t="s">
        <v>70</v>
      </c>
      <c r="C121" s="54" t="s">
        <v>243</v>
      </c>
      <c r="D121" s="54" t="s">
        <v>70</v>
      </c>
      <c r="E121" s="54" t="s">
        <v>208</v>
      </c>
      <c r="F121" s="55" t="str">
        <f t="shared" ref="F121:F133" si="13">D121&amp;"-"&amp;E121</f>
        <v>KAMPALA-BWERA</v>
      </c>
      <c r="G121" s="56">
        <f>ROUNDUP(COUNTIF('PT-01'!$L$1213:$L$1539,Summary!F121)/5,0)</f>
        <v>1</v>
      </c>
      <c r="H121" s="56">
        <v>424</v>
      </c>
      <c r="I121" s="57">
        <f>AVERAGEIF('PT-01'!$L$1213:$L$1539,Summary!F121,'PT-01'!$O$1213:$O$1539)</f>
        <v>7.3</v>
      </c>
      <c r="J121" s="56">
        <f>AVERAGEIF('PT-01'!$L$1213:$L$1539,Summary!F121,'PT-01'!$M$1213:$M$1539)</f>
        <v>66</v>
      </c>
      <c r="K121" s="58">
        <f>AVERAGEIF('PT-01'!$L$1213:$L$1539,Summary!F121,'PT-01'!$N$1213:$N$1539)</f>
        <v>35000</v>
      </c>
    </row>
    <row r="122" spans="2:11" ht="15" customHeight="1" x14ac:dyDescent="0.2">
      <c r="B122" s="54" t="s">
        <v>70</v>
      </c>
      <c r="C122" s="54" t="s">
        <v>243</v>
      </c>
      <c r="D122" s="54" t="s">
        <v>70</v>
      </c>
      <c r="E122" s="55" t="s">
        <v>212</v>
      </c>
      <c r="F122" s="55" t="str">
        <f t="shared" si="13"/>
        <v>KAMPALA-FORT PORTAL</v>
      </c>
      <c r="G122" s="56">
        <f>ROUNDUP(COUNTIF('PT-01'!$L$1213:$L$1539,Summary!F122)/5,0)</f>
        <v>1</v>
      </c>
      <c r="H122" s="56">
        <v>295</v>
      </c>
      <c r="I122" s="57">
        <f>AVERAGEIF('PT-01'!$L$1213:$L$1539,Summary!F122,'PT-01'!$O$1213:$O$1539)</f>
        <v>5</v>
      </c>
      <c r="J122" s="56">
        <f>AVERAGEIF('PT-01'!$L$1213:$L$1539,Summary!F122,'PT-01'!$M$1213:$M$1539)</f>
        <v>67</v>
      </c>
      <c r="K122" s="58">
        <f>AVERAGEIF('PT-01'!$L$1213:$L$1539,Summary!F122,'PT-01'!$N$1213:$N$1539)</f>
        <v>22500</v>
      </c>
    </row>
    <row r="123" spans="2:11" ht="15" customHeight="1" x14ac:dyDescent="0.2">
      <c r="B123" s="54" t="s">
        <v>70</v>
      </c>
      <c r="C123" s="54" t="s">
        <v>243</v>
      </c>
      <c r="D123" s="54" t="s">
        <v>70</v>
      </c>
      <c r="E123" s="54" t="s">
        <v>205</v>
      </c>
      <c r="F123" s="55" t="str">
        <f t="shared" si="13"/>
        <v>KAMPALA-HOIMA</v>
      </c>
      <c r="G123" s="56">
        <f>ROUNDUP(COUNTIF('PT-01'!$L$1213:$L$1539,Summary!F123)/5,0)</f>
        <v>10</v>
      </c>
      <c r="H123" s="56">
        <v>199</v>
      </c>
      <c r="I123" s="57">
        <f>AVERAGEIF('PT-01'!$L$1213:$L$1539,Summary!F123,'PT-01'!$O$1213:$O$1539)</f>
        <v>3.800000000000002</v>
      </c>
      <c r="J123" s="56">
        <f>AVERAGEIF('PT-01'!$L$1213:$L$1539,Summary!F123,'PT-01'!$M$1213:$M$1539)</f>
        <v>66.08163265306122</v>
      </c>
      <c r="K123" s="58">
        <f>AVERAGEIF('PT-01'!$L$1213:$L$1539,Summary!F123,'PT-01'!$N$1213:$N$1539)</f>
        <v>15000</v>
      </c>
    </row>
    <row r="124" spans="2:11" ht="15" customHeight="1" x14ac:dyDescent="0.2">
      <c r="B124" s="54" t="s">
        <v>70</v>
      </c>
      <c r="C124" s="54" t="s">
        <v>243</v>
      </c>
      <c r="D124" s="54" t="s">
        <v>70</v>
      </c>
      <c r="E124" s="54" t="s">
        <v>207</v>
      </c>
      <c r="F124" s="55" t="str">
        <f t="shared" si="13"/>
        <v>KAMPALA-KASESE</v>
      </c>
      <c r="G124" s="56">
        <f>ROUNDUP(COUNTIF('PT-01'!$L$1213:$L$1539,Summary!F124)/5,0)</f>
        <v>17</v>
      </c>
      <c r="H124" s="56">
        <v>370</v>
      </c>
      <c r="I124" s="57">
        <f>AVERAGEIF('PT-01'!$L$1213:$L$1539,Summary!F124,'PT-01'!$O$1213:$O$1539)</f>
        <v>7</v>
      </c>
      <c r="J124" s="56">
        <f>AVERAGEIF('PT-01'!$L$1213:$L$1539,Summary!F124,'PT-01'!$M$1213:$M$1539)</f>
        <v>66.308641975308646</v>
      </c>
      <c r="K124" s="58">
        <f>AVERAGEIF('PT-01'!$L$1213:$L$1539,Summary!F124,'PT-01'!$N$1213:$N$1539)</f>
        <v>35000</v>
      </c>
    </row>
    <row r="125" spans="2:11" ht="15" customHeight="1" x14ac:dyDescent="0.2">
      <c r="B125" s="54" t="s">
        <v>70</v>
      </c>
      <c r="C125" s="54" t="s">
        <v>243</v>
      </c>
      <c r="D125" s="54" t="s">
        <v>70</v>
      </c>
      <c r="E125" s="54" t="s">
        <v>206</v>
      </c>
      <c r="F125" s="55" t="str">
        <f t="shared" si="13"/>
        <v>KAMPALA-MASINDI</v>
      </c>
      <c r="G125" s="56">
        <f>ROUNDUP(COUNTIF('PT-01'!$L$1213:$L$1539,Summary!F125)/5,0)</f>
        <v>6</v>
      </c>
      <c r="H125" s="56">
        <v>211</v>
      </c>
      <c r="I125" s="57">
        <f>AVERAGEIF('PT-01'!$L$1213:$L$1539,Summary!F125,'PT-01'!$O$1213:$O$1539)</f>
        <v>3.25</v>
      </c>
      <c r="J125" s="56">
        <f>AVERAGEIF('PT-01'!$L$1213:$L$1539,Summary!F125,'PT-01'!$M$1213:$M$1539)</f>
        <v>65.964285714285708</v>
      </c>
      <c r="K125" s="58">
        <f>AVERAGEIF('PT-01'!$L$1213:$L$1539,Summary!F125,'PT-01'!$N$1213:$N$1539)</f>
        <v>15000</v>
      </c>
    </row>
    <row r="126" spans="2:11" ht="15" customHeight="1" x14ac:dyDescent="0.2">
      <c r="B126" s="54" t="s">
        <v>70</v>
      </c>
      <c r="C126" s="54" t="s">
        <v>243</v>
      </c>
      <c r="D126" s="54" t="s">
        <v>70</v>
      </c>
      <c r="E126" s="55" t="s">
        <v>211</v>
      </c>
      <c r="F126" s="55" t="str">
        <f t="shared" si="13"/>
        <v>KAMPALA-NYAHUKA</v>
      </c>
      <c r="G126" s="56">
        <f>ROUNDUP(COUNTIF('PT-01'!$L$1213:$L$1539,Summary!F126)/5,0)</f>
        <v>1</v>
      </c>
      <c r="H126" s="56">
        <v>391</v>
      </c>
      <c r="I126" s="57">
        <f>AVERAGEIF('PT-01'!$L$1213:$L$1539,Summary!F126,'PT-01'!$O$1213:$O$1539)</f>
        <v>6.8</v>
      </c>
      <c r="J126" s="56">
        <f>AVERAGEIF('PT-01'!$L$1213:$L$1539,Summary!F126,'PT-01'!$M$1213:$M$1539)</f>
        <v>63.666666666666664</v>
      </c>
      <c r="K126" s="58">
        <f>AVERAGEIF('PT-01'!$L$1213:$L$1539,Summary!F126,'PT-01'!$N$1213:$N$1539)</f>
        <v>25000</v>
      </c>
    </row>
    <row r="127" spans="2:11" ht="15" customHeight="1" x14ac:dyDescent="0.2">
      <c r="B127" s="54" t="s">
        <v>70</v>
      </c>
      <c r="C127" s="54" t="s">
        <v>244</v>
      </c>
      <c r="D127" s="55" t="s">
        <v>209</v>
      </c>
      <c r="E127" s="54" t="s">
        <v>70</v>
      </c>
      <c r="F127" s="55" t="str">
        <f t="shared" si="13"/>
        <v>BUNDIBUGYO-KAMPALA</v>
      </c>
      <c r="G127" s="56">
        <f>ROUNDUP(COUNTIF('PT-01'!$L$1213:$L$1539,Summary!F127)/5,0)</f>
        <v>3</v>
      </c>
      <c r="H127" s="56">
        <v>379</v>
      </c>
      <c r="I127" s="57">
        <f>AVERAGEIF('PT-01'!$L$1213:$L$1539,Summary!F127,'PT-01'!$O$1213:$O$1539)</f>
        <v>6.25</v>
      </c>
      <c r="J127" s="56">
        <f>AVERAGEIF('PT-01'!$L$1213:$L$1539,Summary!F127,'PT-01'!$M$1213:$M$1539)</f>
        <v>65</v>
      </c>
      <c r="K127" s="58">
        <f>AVERAGEIF('PT-01'!$L$1213:$L$1539,Summary!F127,'PT-01'!$N$1213:$N$1539)</f>
        <v>23000</v>
      </c>
    </row>
    <row r="128" spans="2:11" ht="15" customHeight="1" x14ac:dyDescent="0.2">
      <c r="B128" s="54" t="s">
        <v>70</v>
      </c>
      <c r="C128" s="54" t="s">
        <v>244</v>
      </c>
      <c r="D128" s="54" t="s">
        <v>208</v>
      </c>
      <c r="E128" s="54" t="s">
        <v>70</v>
      </c>
      <c r="F128" s="55" t="str">
        <f t="shared" si="13"/>
        <v>BWERA-KAMPALA</v>
      </c>
      <c r="G128" s="56">
        <f>ROUNDUP(COUNTIF('PT-01'!$L$1213:$L$1539,Summary!F128)/5,0)</f>
        <v>1</v>
      </c>
      <c r="H128" s="56">
        <v>424</v>
      </c>
      <c r="I128" s="57">
        <f>AVERAGEIF('PT-01'!$L$1213:$L$1539,Summary!F128,'PT-01'!$O$1213:$O$1539)</f>
        <v>7.25</v>
      </c>
      <c r="J128" s="56">
        <f>AVERAGEIF('PT-01'!$L$1213:$L$1539,Summary!F128,'PT-01'!$M$1213:$M$1539)</f>
        <v>55</v>
      </c>
      <c r="K128" s="58">
        <f>AVERAGEIF('PT-01'!$L$1213:$L$1539,Summary!F128,'PT-01'!$N$1213:$N$1539)</f>
        <v>35000</v>
      </c>
    </row>
    <row r="129" spans="2:11" ht="15" customHeight="1" x14ac:dyDescent="0.2">
      <c r="B129" s="54" t="s">
        <v>70</v>
      </c>
      <c r="C129" s="54" t="s">
        <v>244</v>
      </c>
      <c r="D129" s="55" t="s">
        <v>212</v>
      </c>
      <c r="E129" s="54" t="s">
        <v>70</v>
      </c>
      <c r="F129" s="55" t="str">
        <f t="shared" si="13"/>
        <v>FORT PORTAL-KAMPALA</v>
      </c>
      <c r="G129" s="56">
        <f>ROUNDUP(COUNTIF('PT-01'!$L$1213:$L$1539,Summary!F129)/5,0)</f>
        <v>1</v>
      </c>
      <c r="H129" s="56">
        <v>295</v>
      </c>
      <c r="I129" s="57">
        <f>AVERAGEIF('PT-01'!$L$1213:$L$1539,Summary!F129,'PT-01'!$O$1213:$O$1539)</f>
        <v>5</v>
      </c>
      <c r="J129" s="56">
        <f>AVERAGEIF('PT-01'!$L$1213:$L$1539,Summary!F129,'PT-01'!$M$1213:$M$1539)</f>
        <v>66</v>
      </c>
      <c r="K129" s="58">
        <f>AVERAGEIF('PT-01'!$L$1213:$L$1539,Summary!F129,'PT-01'!$N$1213:$N$1539)</f>
        <v>20000</v>
      </c>
    </row>
    <row r="130" spans="2:11" ht="15" customHeight="1" x14ac:dyDescent="0.2">
      <c r="B130" s="54" t="s">
        <v>70</v>
      </c>
      <c r="C130" s="54" t="s">
        <v>244</v>
      </c>
      <c r="D130" s="54" t="s">
        <v>205</v>
      </c>
      <c r="E130" s="54" t="s">
        <v>70</v>
      </c>
      <c r="F130" s="55" t="str">
        <f t="shared" si="13"/>
        <v>HOIMA-KAMPALA</v>
      </c>
      <c r="G130" s="56">
        <f>ROUNDUP(COUNTIF('PT-01'!$L$1213:$L$1539,Summary!F130)/5,0)</f>
        <v>7</v>
      </c>
      <c r="H130" s="56">
        <v>199</v>
      </c>
      <c r="I130" s="57">
        <f>AVERAGEIF('PT-01'!$L$1213:$L$1539,Summary!F130,'PT-01'!$O$1213:$O$1539)</f>
        <v>3.799999999999998</v>
      </c>
      <c r="J130" s="56">
        <f>AVERAGEIF('PT-01'!$L$1213:$L$1539,Summary!F130,'PT-01'!$M$1213:$M$1539)</f>
        <v>59.612903225806448</v>
      </c>
      <c r="K130" s="58">
        <f>AVERAGEIF('PT-01'!$L$1213:$L$1539,Summary!F130,'PT-01'!$N$1213:$N$1539)</f>
        <v>15000</v>
      </c>
    </row>
    <row r="131" spans="2:11" ht="15" customHeight="1" x14ac:dyDescent="0.2">
      <c r="B131" s="54" t="s">
        <v>70</v>
      </c>
      <c r="C131" s="54" t="s">
        <v>244</v>
      </c>
      <c r="D131" s="54" t="s">
        <v>215</v>
      </c>
      <c r="E131" s="54" t="s">
        <v>70</v>
      </c>
      <c r="F131" s="55" t="str">
        <f t="shared" si="13"/>
        <v>KAIIGO-KAMPALA</v>
      </c>
      <c r="G131" s="56">
        <f>ROUNDUP(COUNTIF('PT-01'!$L$1213:$L$1539,Summary!F131)/5,0)</f>
        <v>1</v>
      </c>
      <c r="H131" s="56">
        <v>215</v>
      </c>
      <c r="I131" s="57">
        <f>AVERAGEIF('PT-01'!$L$1213:$L$1539,Summary!F131,'PT-01'!$O$1213:$O$1539)</f>
        <v>3.4</v>
      </c>
      <c r="J131" s="56">
        <f>AVERAGEIF('PT-01'!$L$1213:$L$1539,Summary!F131,'PT-01'!$M$1213:$M$1539)</f>
        <v>35</v>
      </c>
      <c r="K131" s="58">
        <f>AVERAGEIF('PT-01'!$L$1213:$L$1539,Summary!F131,'PT-01'!$N$1213:$N$1539)</f>
        <v>15000</v>
      </c>
    </row>
    <row r="132" spans="2:11" ht="15" customHeight="1" x14ac:dyDescent="0.2">
      <c r="B132" s="54" t="s">
        <v>70</v>
      </c>
      <c r="C132" s="54" t="s">
        <v>244</v>
      </c>
      <c r="D132" s="54" t="s">
        <v>207</v>
      </c>
      <c r="E132" s="54" t="s">
        <v>70</v>
      </c>
      <c r="F132" s="55" t="str">
        <f t="shared" ref="F132" si="14">D132&amp;"-"&amp;E132</f>
        <v>KASESE-KAMPALA</v>
      </c>
      <c r="G132" s="56">
        <f>ROUNDUP(COUNTIF('PT-01'!$L$1213:$L$1539,Summary!F132)/5,0)</f>
        <v>14</v>
      </c>
      <c r="H132" s="56">
        <v>370</v>
      </c>
      <c r="I132" s="57">
        <f>AVERAGEIF('PT-01'!$L$1213:$L$1539,Summary!F132,'PT-01'!$O$1213:$O$1539)</f>
        <v>7</v>
      </c>
      <c r="J132" s="56">
        <f>AVERAGEIF('PT-01'!$L$1213:$L$1539,Summary!F132,'PT-01'!$M$1213:$M$1539)</f>
        <v>60.246376811594203</v>
      </c>
      <c r="K132" s="58">
        <f>AVERAGEIF('PT-01'!$L$1213:$L$1539,Summary!F132,'PT-01'!$N$1213:$N$1539)</f>
        <v>30000</v>
      </c>
    </row>
    <row r="133" spans="2:11" ht="15" customHeight="1" x14ac:dyDescent="0.2">
      <c r="B133" s="54" t="s">
        <v>70</v>
      </c>
      <c r="C133" s="54" t="s">
        <v>244</v>
      </c>
      <c r="D133" s="54" t="s">
        <v>206</v>
      </c>
      <c r="E133" s="54" t="s">
        <v>70</v>
      </c>
      <c r="F133" s="55" t="str">
        <f t="shared" si="13"/>
        <v>MASINDI-KAMPALA</v>
      </c>
      <c r="G133" s="56">
        <f>ROUNDUP(COUNTIF('PT-01'!$L$1213:$L$1539,Summary!F133)/5,0)</f>
        <v>5</v>
      </c>
      <c r="H133" s="56">
        <v>211</v>
      </c>
      <c r="I133" s="57">
        <f>AVERAGEIF('PT-01'!$L$1213:$L$1539,Summary!F133,'PT-01'!$O$1213:$O$1539)</f>
        <v>3.25</v>
      </c>
      <c r="J133" s="56">
        <f>AVERAGEIF('PT-01'!$L$1213:$L$1539,Summary!F133,'PT-01'!$M$1213:$M$1539)</f>
        <v>52.84</v>
      </c>
      <c r="K133" s="58">
        <f>AVERAGEIF('PT-01'!$L$1213:$L$1539,Summary!F133,'PT-01'!$N$1213:$N$1539)</f>
        <v>12000</v>
      </c>
    </row>
  </sheetData>
  <mergeCells count="33">
    <mergeCell ref="D4:I4"/>
    <mergeCell ref="J4:K4"/>
    <mergeCell ref="B4:C4"/>
    <mergeCell ref="B24:C24"/>
    <mergeCell ref="D24:I24"/>
    <mergeCell ref="J24:K24"/>
    <mergeCell ref="B10:C10"/>
    <mergeCell ref="D10:I10"/>
    <mergeCell ref="J10:K10"/>
    <mergeCell ref="B45:C45"/>
    <mergeCell ref="D45:I45"/>
    <mergeCell ref="J45:K45"/>
    <mergeCell ref="B53:C53"/>
    <mergeCell ref="D53:I53"/>
    <mergeCell ref="J53:K53"/>
    <mergeCell ref="B63:C63"/>
    <mergeCell ref="D63:I63"/>
    <mergeCell ref="J63:K63"/>
    <mergeCell ref="B74:C74"/>
    <mergeCell ref="D74:I74"/>
    <mergeCell ref="J74:K74"/>
    <mergeCell ref="B93:C93"/>
    <mergeCell ref="D93:I93"/>
    <mergeCell ref="J93:K93"/>
    <mergeCell ref="B102:C102"/>
    <mergeCell ref="D102:I102"/>
    <mergeCell ref="J102:K102"/>
    <mergeCell ref="B110:C110"/>
    <mergeCell ref="D110:I110"/>
    <mergeCell ref="J110:K110"/>
    <mergeCell ref="B118:C118"/>
    <mergeCell ref="D118:I118"/>
    <mergeCell ref="J118:K118"/>
  </mergeCells>
  <pageMargins left="0.70866141732283472" right="0.70866141732283472" top="0.74803149606299213" bottom="0.74803149606299213" header="0.31496062992125984" footer="0.31496062992125984"/>
  <pageSetup paperSize="9" scale="63" orientation="portrait" r:id="rId1"/>
  <rowBreaks count="1" manualBreakCount="1">
    <brk id="6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workbookViewId="0">
      <selection activeCell="D19" sqref="D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18.42578125" customWidth="1"/>
    <col min="5" max="5" width="4.85546875" customWidth="1"/>
    <col min="6" max="6" width="24.28515625" customWidth="1"/>
    <col min="7" max="7" width="5.140625" customWidth="1"/>
    <col min="8" max="8" width="47.85546875" customWidth="1"/>
  </cols>
  <sheetData>
    <row r="1" spans="1:13" ht="30.75" customHeight="1" x14ac:dyDescent="0.2">
      <c r="A1" s="25"/>
      <c r="B1" s="23" t="s">
        <v>33</v>
      </c>
      <c r="C1" s="23"/>
      <c r="D1" s="24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">
      <c r="A2">
        <v>1</v>
      </c>
      <c r="B2" s="22" t="s">
        <v>39</v>
      </c>
      <c r="C2" s="10"/>
      <c r="F2" s="19"/>
      <c r="H2" s="19"/>
    </row>
    <row r="3" spans="1:13" x14ac:dyDescent="0.2">
      <c r="A3">
        <v>2</v>
      </c>
      <c r="B3" s="22" t="s">
        <v>40</v>
      </c>
      <c r="C3" s="10"/>
      <c r="F3" s="19"/>
      <c r="H3" s="19"/>
    </row>
    <row r="4" spans="1:13" x14ac:dyDescent="0.2">
      <c r="A4">
        <v>3</v>
      </c>
      <c r="B4" s="22" t="s">
        <v>41</v>
      </c>
      <c r="C4" s="10"/>
      <c r="F4" s="19"/>
      <c r="H4" s="19"/>
    </row>
    <row r="5" spans="1:13" x14ac:dyDescent="0.2">
      <c r="A5">
        <v>4</v>
      </c>
      <c r="B5" s="22" t="s">
        <v>42</v>
      </c>
      <c r="C5" s="10"/>
      <c r="F5" s="19"/>
      <c r="H5" s="26"/>
    </row>
    <row r="6" spans="1:13" x14ac:dyDescent="0.2">
      <c r="A6">
        <v>5</v>
      </c>
      <c r="B6" s="22" t="s">
        <v>43</v>
      </c>
      <c r="C6" s="10"/>
      <c r="F6" s="19"/>
      <c r="H6" s="19"/>
    </row>
    <row r="7" spans="1:13" x14ac:dyDescent="0.2">
      <c r="A7">
        <v>6</v>
      </c>
      <c r="B7" s="22" t="s">
        <v>44</v>
      </c>
      <c r="C7" s="10"/>
      <c r="F7" s="19"/>
      <c r="H7" s="19"/>
    </row>
    <row r="8" spans="1:13" x14ac:dyDescent="0.2">
      <c r="A8">
        <v>7</v>
      </c>
      <c r="B8" s="22" t="s">
        <v>45</v>
      </c>
      <c r="C8" s="10"/>
      <c r="H8" s="19"/>
    </row>
    <row r="9" spans="1:13" x14ac:dyDescent="0.2">
      <c r="A9">
        <v>8</v>
      </c>
      <c r="B9" s="22" t="s">
        <v>46</v>
      </c>
      <c r="C9" s="10"/>
      <c r="H9" s="19"/>
    </row>
    <row r="10" spans="1:13" x14ac:dyDescent="0.2">
      <c r="A10">
        <v>9</v>
      </c>
      <c r="B10" s="22" t="s">
        <v>47</v>
      </c>
      <c r="C10" s="10"/>
      <c r="H10" s="19"/>
    </row>
    <row r="11" spans="1:13" x14ac:dyDescent="0.2">
      <c r="A11">
        <v>10</v>
      </c>
      <c r="B11" s="22" t="s">
        <v>48</v>
      </c>
      <c r="C11" s="10"/>
      <c r="H11" s="26"/>
    </row>
    <row r="12" spans="1:13" x14ac:dyDescent="0.2">
      <c r="A12">
        <v>11</v>
      </c>
      <c r="B12" s="22" t="s">
        <v>50</v>
      </c>
      <c r="C12" s="10"/>
      <c r="H12" s="19"/>
    </row>
    <row r="13" spans="1:13" x14ac:dyDescent="0.2">
      <c r="A13">
        <v>12</v>
      </c>
      <c r="B13" s="22" t="s">
        <v>49</v>
      </c>
      <c r="C13" s="10"/>
      <c r="H13" s="19"/>
    </row>
    <row r="14" spans="1:13" x14ac:dyDescent="0.2">
      <c r="C14" s="10"/>
    </row>
    <row r="15" spans="1:13" x14ac:dyDescent="0.2">
      <c r="B15" s="1"/>
      <c r="C15" s="10"/>
    </row>
    <row r="16" spans="1:13" x14ac:dyDescent="0.2">
      <c r="C16" s="10"/>
    </row>
    <row r="17" spans="3:3" x14ac:dyDescent="0.2">
      <c r="C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RSI FORM</vt:lpstr>
      <vt:lpstr>PT-01</vt:lpstr>
      <vt:lpstr>Summary</vt:lpstr>
      <vt:lpstr>Key</vt:lpstr>
      <vt:lpstr>'PT-01'!Veh_Type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2020-04-15T04:01:35Z</cp:lastPrinted>
  <dcterms:created xsi:type="dcterms:W3CDTF">2010-10-20T14:55:17Z</dcterms:created>
  <dcterms:modified xsi:type="dcterms:W3CDTF">2020-04-15T04:05:52Z</dcterms:modified>
</cp:coreProperties>
</file>