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729"/>
  <workbookPr defaultThemeVersion="124226"/>
  <mc:AlternateContent xmlns:mc="http://schemas.openxmlformats.org/markup-compatibility/2006">
    <mc:Choice Requires="x15">
      <x15ac:absPath xmlns:x15ac="http://schemas.microsoft.com/office/spreadsheetml/2010/11/ac" url="H:\EDMP ANALYSIS_V5.0\PT-DATA_V1.0\PT-DATA_V1.0\PT-16-KABALE\"/>
    </mc:Choice>
  </mc:AlternateContent>
  <bookViews>
    <workbookView xWindow="-120" yWindow="-120" windowWidth="20730" windowHeight="11160" activeTab="2"/>
  </bookViews>
  <sheets>
    <sheet name="PT-16" sheetId="3" r:id="rId1"/>
    <sheet name="RSI FORM" sheetId="4" state="hidden" r:id="rId2"/>
    <sheet name="Summary" sheetId="6" r:id="rId3"/>
    <sheet name="Key" sheetId="5" r:id="rId4"/>
  </sheets>
  <definedNames>
    <definedName name="_xlnm._FilterDatabase" localSheetId="0" hidden="1">'PT-16'!$B$9:$O$23</definedName>
    <definedName name="_xlnm.Print_Area" localSheetId="2">Summary!$A$1:$L$12</definedName>
    <definedName name="Veh_Type">'PT-16'!$C$9:$C$23</definedName>
    <definedName name="zones" localSheetId="2">#REF!</definedName>
    <definedName name="zones">#REF!</definedName>
    <definedName name="Zones_Ndeke" localSheetId="2">#REF!</definedName>
    <definedName name="Zones_Ndeke">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10" i="3" l="1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9" i="3"/>
  <c r="F11" i="6"/>
  <c r="G11" i="6" s="1"/>
  <c r="F10" i="6"/>
  <c r="F9" i="6"/>
  <c r="F8" i="6"/>
  <c r="G8" i="6" s="1"/>
  <c r="F7" i="6"/>
  <c r="K7" i="6" s="1"/>
  <c r="F6" i="6"/>
  <c r="G9" i="6" l="1"/>
  <c r="K6" i="6"/>
  <c r="G10" i="6"/>
  <c r="I11" i="6"/>
  <c r="K11" i="6"/>
  <c r="J11" i="6"/>
  <c r="K9" i="6"/>
  <c r="J9" i="6"/>
  <c r="I9" i="6"/>
  <c r="J8" i="6"/>
  <c r="I8" i="6"/>
  <c r="K8" i="6"/>
  <c r="I7" i="6"/>
  <c r="J7" i="6"/>
  <c r="G7" i="6"/>
  <c r="G6" i="6"/>
  <c r="I6" i="6"/>
  <c r="J6" i="6"/>
  <c r="K10" i="6"/>
  <c r="J10" i="6"/>
  <c r="I10" i="6"/>
  <c r="D18" i="3" l="1"/>
  <c r="D19" i="3"/>
  <c r="D20" i="3"/>
  <c r="D21" i="3"/>
  <c r="D22" i="3"/>
  <c r="D10" i="3"/>
  <c r="D11" i="3"/>
  <c r="D12" i="3"/>
  <c r="D13" i="3"/>
  <c r="D14" i="3"/>
  <c r="D15" i="3"/>
  <c r="D16" i="3"/>
  <c r="D17" i="3"/>
  <c r="D23" i="3"/>
  <c r="D9" i="3"/>
</calcChain>
</file>

<file path=xl/sharedStrings.xml><?xml version="1.0" encoding="utf-8"?>
<sst xmlns="http://schemas.openxmlformats.org/spreadsheetml/2006/main" count="277" uniqueCount="110">
  <si>
    <t>Feasibility Study and Detailed Design of Kampala - Jinja Highway</t>
  </si>
  <si>
    <t>Roadside OD Interview Survey</t>
  </si>
  <si>
    <t>Date:</t>
  </si>
  <si>
    <t>Interviewer:</t>
  </si>
  <si>
    <t>Survey Station:</t>
  </si>
  <si>
    <t>Direction:</t>
  </si>
  <si>
    <t>Coded By:</t>
  </si>
  <si>
    <t>Chkd By:</t>
  </si>
  <si>
    <t>Time Period</t>
  </si>
  <si>
    <t>Veh_Type</t>
  </si>
  <si>
    <t>Veh_Other</t>
  </si>
  <si>
    <t>Occupancy</t>
  </si>
  <si>
    <t>Origin_Address</t>
  </si>
  <si>
    <t>Village/Town</t>
  </si>
  <si>
    <t>City/Country</t>
  </si>
  <si>
    <t>Origin_Purpose</t>
  </si>
  <si>
    <t>Origin_other</t>
  </si>
  <si>
    <t>Destination_Address</t>
  </si>
  <si>
    <t>Destination_Purpose</t>
  </si>
  <si>
    <t>Destination_Other</t>
  </si>
  <si>
    <t>Origin_Zone</t>
  </si>
  <si>
    <t>Dest_Zone</t>
  </si>
  <si>
    <t>AM</t>
  </si>
  <si>
    <t>Bukoto</t>
  </si>
  <si>
    <t>Kla, Ug</t>
  </si>
  <si>
    <t>Kla</t>
  </si>
  <si>
    <t>Blank</t>
  </si>
  <si>
    <t>WTP</t>
  </si>
  <si>
    <t>Bweyogerere</t>
  </si>
  <si>
    <t>Bweyogerere-Kireka</t>
  </si>
  <si>
    <t>Entebbe</t>
  </si>
  <si>
    <t>Kiwanga</t>
  </si>
  <si>
    <t>Yes</t>
  </si>
  <si>
    <t>Vehicle Type</t>
  </si>
  <si>
    <t>Time</t>
  </si>
  <si>
    <t>Veh_Reg_No.</t>
  </si>
  <si>
    <t>District</t>
  </si>
  <si>
    <t>Country</t>
  </si>
  <si>
    <t>Supervisor:</t>
  </si>
  <si>
    <t>Car</t>
  </si>
  <si>
    <t>Station Wagon</t>
  </si>
  <si>
    <t>Pickups</t>
  </si>
  <si>
    <t>Minibus, matatu</t>
  </si>
  <si>
    <t xml:space="preserve">Medium bus </t>
  </si>
  <si>
    <t>Large Bus</t>
  </si>
  <si>
    <t xml:space="preserve">Light Truck </t>
  </si>
  <si>
    <t xml:space="preserve">Medium Truck </t>
  </si>
  <si>
    <t xml:space="preserve">Heavy truck </t>
  </si>
  <si>
    <t xml:space="preserve">Truck Trailer </t>
  </si>
  <si>
    <t>Tractors</t>
  </si>
  <si>
    <t>Motor cycles</t>
  </si>
  <si>
    <t>Consultancy services for Preparation of Expressway Development Master Plan (EDMP) for Uganda</t>
  </si>
  <si>
    <t>Approx_Journey Time (Hrs)</t>
  </si>
  <si>
    <t>Town</t>
  </si>
  <si>
    <t>IN / OUT</t>
  </si>
  <si>
    <t>Type of Veh.</t>
  </si>
  <si>
    <t>No. Passengers</t>
  </si>
  <si>
    <t>Enumerator:</t>
  </si>
  <si>
    <t>Location</t>
  </si>
  <si>
    <t>Cost of Trip (UGX)</t>
  </si>
  <si>
    <t>Bakole. D.M</t>
  </si>
  <si>
    <t>Public Transport/Bus Surveys</t>
  </si>
  <si>
    <t>21.10.19</t>
  </si>
  <si>
    <t>Kabale park</t>
  </si>
  <si>
    <t>Denis</t>
  </si>
  <si>
    <t>Isaac A.</t>
  </si>
  <si>
    <t>Ndahura John</t>
  </si>
  <si>
    <t>UAL 264L</t>
  </si>
  <si>
    <t>Kabale</t>
  </si>
  <si>
    <t>Uga</t>
  </si>
  <si>
    <t>Kampala</t>
  </si>
  <si>
    <t>UAL 942T</t>
  </si>
  <si>
    <t>out</t>
  </si>
  <si>
    <t>UBB 419V</t>
  </si>
  <si>
    <t>Kisoro</t>
  </si>
  <si>
    <t>UAZ 438Z</t>
  </si>
  <si>
    <t xml:space="preserve">in  </t>
  </si>
  <si>
    <t>UAZ 712C</t>
  </si>
  <si>
    <t>in</t>
  </si>
  <si>
    <t>UBE 977S</t>
  </si>
  <si>
    <t>UAS 201N</t>
  </si>
  <si>
    <t>UAS 741N</t>
  </si>
  <si>
    <t>UAX 241K</t>
  </si>
  <si>
    <t>UAL 347T</t>
  </si>
  <si>
    <t>UBB 364M</t>
  </si>
  <si>
    <t>UAS 744T</t>
  </si>
  <si>
    <t>Ishaka</t>
  </si>
  <si>
    <t>UAZ 483D</t>
  </si>
  <si>
    <t>Kyanika</t>
  </si>
  <si>
    <t>BUS JOURNEY</t>
  </si>
  <si>
    <t>PASSENGER DETAILS</t>
  </si>
  <si>
    <t>STATION</t>
  </si>
  <si>
    <t>DIRECTION</t>
  </si>
  <si>
    <t>ORIGIN</t>
  </si>
  <si>
    <t>DESTINATION</t>
  </si>
  <si>
    <t>ROUTE ID</t>
  </si>
  <si>
    <t>BUS TRIPS / DAY</t>
  </si>
  <si>
    <t>JOURNEY DISTANCE (KM)</t>
  </si>
  <si>
    <t>JOURNEY TIME/ TRIP (HRS)</t>
  </si>
  <si>
    <t>EST. PAX/ BUS</t>
  </si>
  <si>
    <t>AVERAGE PAX FARE (UGX)</t>
  </si>
  <si>
    <t>FROM KAMPALA</t>
  </si>
  <si>
    <t>KAMPALA</t>
  </si>
  <si>
    <t>TO KAMPALA</t>
  </si>
  <si>
    <t>Journey_Desc</t>
  </si>
  <si>
    <t>KABALE</t>
  </si>
  <si>
    <t>ISHAKA</t>
  </si>
  <si>
    <t>KISORO</t>
  </si>
  <si>
    <t>KYANIKA</t>
  </si>
  <si>
    <t>BUS OPERATIONS AT KABALE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</si>
</sst>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-* #,##0_-;\-* #,##0_-;_-* &quot;-&quot;_-;_-@_-"/>
    <numFmt numFmtId="165" formatCode="h:mm;@"/>
    <numFmt numFmtId="166" formatCode="0.0"/>
    <numFmt numFmtId="167" formatCode="_(* #,##0_);_(* \(#,##0\);_(* &quot;-&quot;??_);_(@_)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0"/>
      <name val="Times New Roman"/>
      <family val="1"/>
    </font>
    <font>
      <sz val="12"/>
      <name val="Arial"/>
      <family val="2"/>
    </font>
    <font>
      <b/>
      <u/>
      <sz val="12"/>
      <name val="Arial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8">
    <xf numFmtId="0" fontId="0" fillId="0" borderId="0"/>
    <xf numFmtId="43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9" fillId="0" borderId="0"/>
    <xf numFmtId="43" fontId="6" fillId="0" borderId="0" applyFont="0" applyFill="0" applyBorder="0" applyAlignment="0" applyProtection="0"/>
    <xf numFmtId="0" fontId="1" fillId="0" borderId="0"/>
    <xf numFmtId="0" fontId="6" fillId="0" borderId="0"/>
    <xf numFmtId="164" fontId="6" fillId="0" borderId="0" applyFont="0" applyFill="0" applyBorder="0" applyAlignment="0" applyProtection="0"/>
  </cellStyleXfs>
  <cellXfs count="89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1" xfId="0" applyBorder="1"/>
    <xf numFmtId="0" fontId="5" fillId="0" borderId="0" xfId="0" applyFont="1" applyBorder="1" applyAlignment="1">
      <alignment horizontal="left" vertical="center"/>
    </xf>
    <xf numFmtId="0" fontId="0" fillId="0" borderId="0" xfId="0" applyBorder="1"/>
    <xf numFmtId="1" fontId="6" fillId="0" borderId="2" xfId="0" applyNumberFormat="1" applyFont="1" applyBorder="1"/>
    <xf numFmtId="1" fontId="0" fillId="0" borderId="2" xfId="0" applyNumberFormat="1" applyBorder="1"/>
    <xf numFmtId="1" fontId="6" fillId="0" borderId="2" xfId="0" applyNumberFormat="1" applyFont="1" applyBorder="1" applyAlignment="1">
      <alignment horizontal="center"/>
    </xf>
    <xf numFmtId="0" fontId="0" fillId="0" borderId="2" xfId="0" applyBorder="1"/>
    <xf numFmtId="1" fontId="6" fillId="0" borderId="3" xfId="0" applyNumberFormat="1" applyFont="1" applyBorder="1"/>
    <xf numFmtId="1" fontId="0" fillId="0" borderId="3" xfId="0" applyNumberFormat="1" applyBorder="1"/>
    <xf numFmtId="1" fontId="6" fillId="0" borderId="3" xfId="0" applyNumberFormat="1" applyFont="1" applyBorder="1" applyAlignment="1">
      <alignment horizontal="center"/>
    </xf>
    <xf numFmtId="1" fontId="2" fillId="0" borderId="4" xfId="0" applyNumberFormat="1" applyFont="1" applyBorder="1" applyAlignment="1">
      <alignment vertical="center" wrapText="1"/>
    </xf>
    <xf numFmtId="0" fontId="6" fillId="0" borderId="0" xfId="0" applyFont="1"/>
    <xf numFmtId="14" fontId="5" fillId="0" borderId="1" xfId="0" applyNumberFormat="1" applyFont="1" applyBorder="1" applyAlignment="1">
      <alignment vertical="center"/>
    </xf>
    <xf numFmtId="1" fontId="8" fillId="0" borderId="2" xfId="0" applyNumberFormat="1" applyFont="1" applyBorder="1" applyAlignment="1">
      <alignment horizontal="center"/>
    </xf>
    <xf numFmtId="0" fontId="6" fillId="0" borderId="0" xfId="0" applyFont="1" applyBorder="1"/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6" fillId="0" borderId="0" xfId="0" applyFont="1" applyAlignment="1"/>
    <xf numFmtId="0" fontId="4" fillId="0" borderId="0" xfId="0" applyFont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0" fillId="0" borderId="0" xfId="0" applyFill="1"/>
    <xf numFmtId="1" fontId="2" fillId="2" borderId="7" xfId="0" applyNumberFormat="1" applyFont="1" applyFill="1" applyBorder="1" applyAlignment="1">
      <alignment horizontal="center" vertical="center" wrapText="1"/>
    </xf>
    <xf numFmtId="0" fontId="10" fillId="0" borderId="0" xfId="0" applyFont="1"/>
    <xf numFmtId="20" fontId="3" fillId="3" borderId="2" xfId="0" applyNumberFormat="1" applyFont="1" applyFill="1" applyBorder="1" applyAlignment="1">
      <alignment vertical="center"/>
    </xf>
    <xf numFmtId="0" fontId="10" fillId="0" borderId="22" xfId="0" applyFont="1" applyFill="1" applyBorder="1" applyAlignment="1"/>
    <xf numFmtId="0" fontId="3" fillId="0" borderId="0" xfId="0" applyFont="1" applyBorder="1" applyAlignment="1">
      <alignment horizontal="right" vertical="center"/>
    </xf>
    <xf numFmtId="0" fontId="10" fillId="3" borderId="20" xfId="0" applyFont="1" applyFill="1" applyBorder="1" applyAlignment="1"/>
    <xf numFmtId="0" fontId="10" fillId="0" borderId="0" xfId="0" applyFont="1" applyBorder="1"/>
    <xf numFmtId="0" fontId="10" fillId="0" borderId="0" xfId="0" applyFont="1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/>
    </xf>
    <xf numFmtId="1" fontId="2" fillId="2" borderId="7" xfId="0" applyNumberFormat="1" applyFont="1" applyFill="1" applyBorder="1" applyAlignment="1">
      <alignment horizontal="center" vertical="center" wrapText="1"/>
    </xf>
    <xf numFmtId="0" fontId="4" fillId="0" borderId="0" xfId="6" applyFont="1"/>
    <xf numFmtId="0" fontId="6" fillId="0" borderId="0" xfId="6"/>
    <xf numFmtId="0" fontId="2" fillId="4" borderId="2" xfId="6" applyFont="1" applyFill="1" applyBorder="1" applyAlignment="1">
      <alignment vertical="center" wrapText="1"/>
    </xf>
    <xf numFmtId="0" fontId="2" fillId="4" borderId="2" xfId="6" applyFont="1" applyFill="1" applyBorder="1" applyAlignment="1">
      <alignment horizontal="center" vertical="center" wrapText="1"/>
    </xf>
    <xf numFmtId="0" fontId="6" fillId="0" borderId="0" xfId="6" applyAlignment="1">
      <alignment vertical="center"/>
    </xf>
    <xf numFmtId="0" fontId="6" fillId="5" borderId="2" xfId="6" applyFill="1" applyBorder="1" applyAlignment="1">
      <alignment vertical="center"/>
    </xf>
    <xf numFmtId="1" fontId="6" fillId="5" borderId="2" xfId="6" applyNumberFormat="1" applyFill="1" applyBorder="1" applyAlignment="1">
      <alignment horizontal="center" vertical="center"/>
    </xf>
    <xf numFmtId="166" fontId="6" fillId="5" borderId="2" xfId="6" applyNumberFormat="1" applyFill="1" applyBorder="1" applyAlignment="1">
      <alignment vertical="center"/>
    </xf>
    <xf numFmtId="164" fontId="0" fillId="5" borderId="2" xfId="7" applyFont="1" applyFill="1" applyBorder="1" applyAlignment="1">
      <alignment vertical="center"/>
    </xf>
    <xf numFmtId="165" fontId="6" fillId="3" borderId="2" xfId="0" applyNumberFormat="1" applyFont="1" applyFill="1" applyBorder="1" applyAlignment="1">
      <alignment horizontal="center"/>
    </xf>
    <xf numFmtId="1" fontId="6" fillId="3" borderId="2" xfId="0" applyNumberFormat="1" applyFont="1" applyFill="1" applyBorder="1" applyAlignment="1">
      <alignment horizontal="center" wrapText="1"/>
    </xf>
    <xf numFmtId="1" fontId="6" fillId="2" borderId="2" xfId="0" applyNumberFormat="1" applyFont="1" applyFill="1" applyBorder="1" applyAlignment="1">
      <alignment horizontal="center" wrapText="1"/>
    </xf>
    <xf numFmtId="1" fontId="6" fillId="3" borderId="2" xfId="0" applyNumberFormat="1" applyFont="1" applyFill="1" applyBorder="1" applyAlignment="1">
      <alignment horizontal="center"/>
    </xf>
    <xf numFmtId="0" fontId="6" fillId="3" borderId="2" xfId="0" applyFont="1" applyFill="1" applyBorder="1"/>
    <xf numFmtId="0" fontId="6" fillId="3" borderId="2" xfId="0" applyFont="1" applyFill="1" applyBorder="1" applyAlignment="1">
      <alignment horizontal="center"/>
    </xf>
    <xf numFmtId="167" fontId="6" fillId="3" borderId="2" xfId="1" applyNumberFormat="1" applyFont="1" applyFill="1" applyBorder="1" applyAlignment="1">
      <alignment horizontal="right"/>
    </xf>
    <xf numFmtId="166" fontId="6" fillId="3" borderId="2" xfId="0" applyNumberFormat="1" applyFont="1" applyFill="1" applyBorder="1" applyAlignment="1">
      <alignment horizontal="center"/>
    </xf>
    <xf numFmtId="0" fontId="12" fillId="0" borderId="0" xfId="0" applyFont="1" applyAlignment="1">
      <alignment horizontal="center" vertical="center"/>
    </xf>
    <xf numFmtId="1" fontId="2" fillId="2" borderId="10" xfId="0" applyNumberFormat="1" applyFont="1" applyFill="1" applyBorder="1" applyAlignment="1">
      <alignment horizontal="center" vertical="center" wrapText="1"/>
    </xf>
    <xf numFmtId="1" fontId="2" fillId="2" borderId="3" xfId="0" applyNumberFormat="1" applyFont="1" applyFill="1" applyBorder="1" applyAlignment="1">
      <alignment horizontal="center" vertical="center" wrapText="1"/>
    </xf>
    <xf numFmtId="1" fontId="2" fillId="2" borderId="8" xfId="0" applyNumberFormat="1" applyFont="1" applyFill="1" applyBorder="1" applyAlignment="1">
      <alignment horizontal="center" vertical="center" wrapText="1"/>
    </xf>
    <xf numFmtId="1" fontId="2" fillId="2" borderId="7" xfId="0" applyNumberFormat="1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horizontal="left" vertical="center"/>
    </xf>
    <xf numFmtId="0" fontId="3" fillId="3" borderId="21" xfId="0" applyFont="1" applyFill="1" applyBorder="1" applyAlignment="1">
      <alignment horizontal="left" vertical="center"/>
    </xf>
    <xf numFmtId="0" fontId="10" fillId="3" borderId="20" xfId="0" applyFont="1" applyFill="1" applyBorder="1" applyAlignment="1">
      <alignment horizontal="left"/>
    </xf>
    <xf numFmtId="0" fontId="10" fillId="3" borderId="21" xfId="0" applyFont="1" applyFill="1" applyBorder="1" applyAlignment="1">
      <alignment horizontal="left"/>
    </xf>
    <xf numFmtId="0" fontId="3" fillId="0" borderId="0" xfId="0" applyFont="1" applyAlignment="1">
      <alignment horizontal="right" vertical="center"/>
    </xf>
    <xf numFmtId="0" fontId="3" fillId="0" borderId="23" xfId="0" applyFont="1" applyBorder="1" applyAlignment="1">
      <alignment horizontal="right" vertical="center"/>
    </xf>
    <xf numFmtId="0" fontId="3" fillId="0" borderId="0" xfId="0" applyFont="1" applyAlignment="1">
      <alignment horizontal="right"/>
    </xf>
    <xf numFmtId="0" fontId="3" fillId="0" borderId="23" xfId="0" applyFont="1" applyBorder="1" applyAlignment="1">
      <alignment horizontal="right"/>
    </xf>
    <xf numFmtId="1" fontId="2" fillId="2" borderId="18" xfId="0" applyNumberFormat="1" applyFont="1" applyFill="1" applyBorder="1" applyAlignment="1">
      <alignment horizontal="center" vertical="center" wrapText="1"/>
    </xf>
    <xf numFmtId="1" fontId="2" fillId="2" borderId="19" xfId="0" applyNumberFormat="1" applyFont="1" applyFill="1" applyBorder="1" applyAlignment="1">
      <alignment horizontal="center" vertical="center" wrapText="1"/>
    </xf>
    <xf numFmtId="1" fontId="2" fillId="2" borderId="1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1" fontId="2" fillId="2" borderId="12" xfId="0" applyNumberFormat="1" applyFont="1" applyFill="1" applyBorder="1" applyAlignment="1">
      <alignment horizontal="center" vertical="center" wrapText="1"/>
    </xf>
    <xf numFmtId="1" fontId="2" fillId="0" borderId="13" xfId="0" applyNumberFormat="1" applyFont="1" applyBorder="1" applyAlignment="1">
      <alignment horizontal="center" vertical="center" wrapText="1"/>
    </xf>
    <xf numFmtId="1" fontId="2" fillId="0" borderId="14" xfId="0" applyNumberFormat="1" applyFont="1" applyBorder="1" applyAlignment="1">
      <alignment horizontal="center" vertical="center" wrapText="1"/>
    </xf>
    <xf numFmtId="1" fontId="2" fillId="0" borderId="15" xfId="0" applyNumberFormat="1" applyFont="1" applyBorder="1" applyAlignment="1">
      <alignment horizontal="center" vertical="center" wrapText="1"/>
    </xf>
    <xf numFmtId="1" fontId="2" fillId="0" borderId="6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" fontId="2" fillId="0" borderId="11" xfId="0" applyNumberFormat="1" applyFont="1" applyBorder="1" applyAlignment="1">
      <alignment horizontal="center" vertical="center" wrapText="1"/>
    </xf>
    <xf numFmtId="1" fontId="2" fillId="0" borderId="16" xfId="0" applyNumberFormat="1" applyFont="1" applyBorder="1" applyAlignment="1">
      <alignment horizontal="center" vertical="center" wrapText="1"/>
    </xf>
    <xf numFmtId="1" fontId="2" fillId="0" borderId="8" xfId="0" applyNumberFormat="1" applyFont="1" applyBorder="1" applyAlignment="1">
      <alignment horizontal="center" vertical="center" wrapText="1"/>
    </xf>
    <xf numFmtId="1" fontId="2" fillId="0" borderId="4" xfId="0" applyNumberFormat="1" applyFont="1" applyBorder="1" applyAlignment="1">
      <alignment horizontal="center" vertical="center" wrapText="1"/>
    </xf>
    <xf numFmtId="1" fontId="2" fillId="0" borderId="9" xfId="0" applyNumberFormat="1" applyFont="1" applyBorder="1" applyAlignment="1">
      <alignment horizontal="center" vertical="center" wrapText="1"/>
    </xf>
    <xf numFmtId="1" fontId="2" fillId="0" borderId="5" xfId="0" applyNumberFormat="1" applyFont="1" applyBorder="1" applyAlignment="1">
      <alignment horizontal="center" vertical="center" wrapText="1"/>
    </xf>
    <xf numFmtId="0" fontId="2" fillId="4" borderId="7" xfId="6" applyFont="1" applyFill="1" applyBorder="1" applyAlignment="1">
      <alignment horizontal="center"/>
    </xf>
  </cellXfs>
  <cellStyles count="8">
    <cellStyle name="Comma" xfId="1" builtinId="3"/>
    <cellStyle name="Comma [0] 2" xfId="7"/>
    <cellStyle name="Comma 2" xfId="4"/>
    <cellStyle name="Normal" xfId="0" builtinId="0"/>
    <cellStyle name="Normal 2" xfId="3"/>
    <cellStyle name="Normal 3" xfId="5"/>
    <cellStyle name="Normal 4" xfId="6"/>
    <cellStyle name="Percent 2" xfId="2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3"/>
  <sheetViews>
    <sheetView view="pageBreakPreview" topLeftCell="A8" zoomScale="75" zoomScaleNormal="75" zoomScaleSheetLayoutView="75" workbookViewId="0">
      <selection activeCell="G31" sqref="G31"/>
    </sheetView>
  </sheetViews>
  <sheetFormatPr defaultRowHeight="12.75" x14ac:dyDescent="0.2"/>
  <cols>
    <col min="1" max="1" width="4.42578125" customWidth="1"/>
    <col min="2" max="2" width="16.42578125" customWidth="1"/>
    <col min="3" max="3" width="11.7109375" customWidth="1"/>
    <col min="4" max="4" width="11.7109375" style="29" customWidth="1"/>
    <col min="5" max="5" width="19.28515625" customWidth="1"/>
    <col min="6" max="6" width="11.5703125" customWidth="1"/>
    <col min="7" max="7" width="33.5703125" customWidth="1"/>
    <col min="8" max="8" width="21" customWidth="1"/>
    <col min="9" max="9" width="14.85546875" customWidth="1"/>
    <col min="10" max="10" width="22.5703125" customWidth="1"/>
    <col min="11" max="11" width="16.28515625" customWidth="1"/>
    <col min="12" max="12" width="18.85546875" customWidth="1"/>
    <col min="13" max="13" width="14.7109375" customWidth="1"/>
    <col min="14" max="14" width="16.42578125" customWidth="1"/>
    <col min="15" max="15" width="18.7109375" customWidth="1"/>
  </cols>
  <sheetData>
    <row r="1" spans="1:22" s="1" customFormat="1" ht="20.25" x14ac:dyDescent="0.2">
      <c r="B1" s="59" t="s">
        <v>51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6"/>
      <c r="Q1" s="6"/>
      <c r="R1" s="6"/>
      <c r="S1" s="6"/>
      <c r="T1" s="6"/>
      <c r="U1" s="6"/>
      <c r="V1" s="6"/>
    </row>
    <row r="2" spans="1:22" ht="20.25" x14ac:dyDescent="0.2">
      <c r="B2" s="59" t="s">
        <v>61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7"/>
      <c r="Q2" s="7"/>
      <c r="R2" s="7"/>
      <c r="S2" s="7"/>
      <c r="T2" s="7"/>
      <c r="U2" s="7"/>
      <c r="V2" s="7"/>
    </row>
    <row r="3" spans="1:22" ht="15" x14ac:dyDescent="0.2">
      <c r="B3" s="2"/>
      <c r="C3" s="2"/>
      <c r="D3" s="28"/>
      <c r="E3" s="2"/>
      <c r="F3" s="27"/>
      <c r="G3" s="2"/>
      <c r="H3" s="2"/>
      <c r="I3" s="2"/>
      <c r="J3" s="2"/>
      <c r="K3" s="2"/>
      <c r="L3" s="2"/>
      <c r="M3" s="2"/>
      <c r="N3" s="2"/>
      <c r="O3" s="2"/>
    </row>
    <row r="4" spans="1:22" s="31" customFormat="1" ht="15" customHeight="1" x14ac:dyDescent="0.25">
      <c r="B4" s="68" t="s">
        <v>2</v>
      </c>
      <c r="C4" s="69"/>
      <c r="D4" s="32" t="s">
        <v>62</v>
      </c>
      <c r="G4" s="40" t="s">
        <v>58</v>
      </c>
      <c r="H4" s="64" t="s">
        <v>63</v>
      </c>
      <c r="I4" s="65"/>
      <c r="J4" s="34" t="s">
        <v>6</v>
      </c>
      <c r="K4" s="66" t="s">
        <v>65</v>
      </c>
      <c r="L4" s="67"/>
      <c r="M4" s="33"/>
      <c r="N4" s="34" t="s">
        <v>7</v>
      </c>
      <c r="O4" s="35" t="s">
        <v>60</v>
      </c>
      <c r="P4" s="33"/>
      <c r="R4" s="36"/>
      <c r="S4" s="37"/>
    </row>
    <row r="5" spans="1:22" s="31" customFormat="1" ht="15" customHeight="1" x14ac:dyDescent="0.25">
      <c r="B5" s="70" t="s">
        <v>57</v>
      </c>
      <c r="C5" s="71"/>
      <c r="D5" s="64" t="s">
        <v>66</v>
      </c>
      <c r="E5" s="65"/>
      <c r="F5" s="38"/>
      <c r="G5" s="40" t="s">
        <v>38</v>
      </c>
      <c r="H5" s="64" t="s">
        <v>64</v>
      </c>
      <c r="I5" s="65"/>
      <c r="K5" s="39"/>
      <c r="M5" s="39"/>
    </row>
    <row r="6" spans="1:22" ht="13.5" thickBot="1" x14ac:dyDescent="0.25"/>
    <row r="7" spans="1:22" ht="30.75" customHeight="1" x14ac:dyDescent="0.2">
      <c r="A7" s="29"/>
      <c r="B7" s="75" t="s">
        <v>34</v>
      </c>
      <c r="C7" s="62" t="s">
        <v>9</v>
      </c>
      <c r="D7" s="60" t="s">
        <v>55</v>
      </c>
      <c r="E7" s="60" t="s">
        <v>35</v>
      </c>
      <c r="F7" s="60" t="s">
        <v>54</v>
      </c>
      <c r="G7" s="72" t="s">
        <v>12</v>
      </c>
      <c r="H7" s="73"/>
      <c r="I7" s="74"/>
      <c r="J7" s="72" t="s">
        <v>17</v>
      </c>
      <c r="K7" s="73"/>
      <c r="L7" s="74"/>
      <c r="M7" s="62" t="s">
        <v>56</v>
      </c>
      <c r="N7" s="60" t="s">
        <v>59</v>
      </c>
      <c r="O7" s="60" t="s">
        <v>52</v>
      </c>
      <c r="Q7" s="19"/>
    </row>
    <row r="8" spans="1:22" ht="38.25" customHeight="1" x14ac:dyDescent="0.2">
      <c r="A8" s="29"/>
      <c r="B8" s="76"/>
      <c r="C8" s="63"/>
      <c r="D8" s="61"/>
      <c r="E8" s="61"/>
      <c r="F8" s="61"/>
      <c r="G8" s="30" t="s">
        <v>53</v>
      </c>
      <c r="H8" s="30" t="s">
        <v>36</v>
      </c>
      <c r="I8" s="30" t="s">
        <v>37</v>
      </c>
      <c r="J8" s="30" t="s">
        <v>53</v>
      </c>
      <c r="K8" s="30" t="s">
        <v>36</v>
      </c>
      <c r="L8" s="41" t="s">
        <v>104</v>
      </c>
      <c r="M8" s="63"/>
      <c r="N8" s="61"/>
      <c r="O8" s="61"/>
    </row>
    <row r="9" spans="1:22" s="19" customFormat="1" x14ac:dyDescent="0.2">
      <c r="B9" s="51">
        <v>0.58333333333333337</v>
      </c>
      <c r="C9" s="52">
        <v>6</v>
      </c>
      <c r="D9" s="53" t="str">
        <f>IF(C9="", "",VLOOKUP(C9,Key!$A$5:$B$7,2,FALSE))</f>
        <v>Large Bus</v>
      </c>
      <c r="E9" s="52" t="s">
        <v>67</v>
      </c>
      <c r="F9" s="52" t="s">
        <v>72</v>
      </c>
      <c r="G9" s="54" t="s">
        <v>68</v>
      </c>
      <c r="H9" s="54" t="s">
        <v>68</v>
      </c>
      <c r="I9" s="54" t="s">
        <v>69</v>
      </c>
      <c r="J9" s="54" t="s">
        <v>70</v>
      </c>
      <c r="K9" s="55" t="s">
        <v>70</v>
      </c>
      <c r="L9" s="55" t="str">
        <f t="shared" ref="L9:L23" si="0">H9&amp;"-"&amp;K9</f>
        <v>Kabale-Kampala</v>
      </c>
      <c r="M9" s="56">
        <v>58</v>
      </c>
      <c r="N9" s="57">
        <v>30000</v>
      </c>
      <c r="O9" s="58">
        <v>6.5</v>
      </c>
    </row>
    <row r="10" spans="1:22" s="19" customFormat="1" x14ac:dyDescent="0.2">
      <c r="B10" s="51">
        <v>0.62222222222222223</v>
      </c>
      <c r="C10" s="52">
        <v>6</v>
      </c>
      <c r="D10" s="53" t="str">
        <f>IF(C10="", "",VLOOKUP(C10,Key!$A$5:$B$7,2,FALSE))</f>
        <v>Large Bus</v>
      </c>
      <c r="E10" s="52" t="s">
        <v>71</v>
      </c>
      <c r="F10" s="52" t="s">
        <v>72</v>
      </c>
      <c r="G10" s="54" t="s">
        <v>68</v>
      </c>
      <c r="H10" s="54" t="s">
        <v>68</v>
      </c>
      <c r="I10" s="54" t="s">
        <v>69</v>
      </c>
      <c r="J10" s="54" t="s">
        <v>70</v>
      </c>
      <c r="K10" s="55" t="s">
        <v>70</v>
      </c>
      <c r="L10" s="55" t="str">
        <f t="shared" si="0"/>
        <v>Kabale-Kampala</v>
      </c>
      <c r="M10" s="56">
        <v>64</v>
      </c>
      <c r="N10" s="57">
        <v>30000</v>
      </c>
      <c r="O10" s="58">
        <v>6.5</v>
      </c>
    </row>
    <row r="11" spans="1:22" s="19" customFormat="1" x14ac:dyDescent="0.2">
      <c r="B11" s="51">
        <v>0.63541666666666663</v>
      </c>
      <c r="C11" s="52">
        <v>6</v>
      </c>
      <c r="D11" s="53" t="str">
        <f>IF(C11="", "",VLOOKUP(C11,Key!$A$5:$B$7,2,FALSE))</f>
        <v>Large Bus</v>
      </c>
      <c r="E11" s="52" t="s">
        <v>73</v>
      </c>
      <c r="F11" s="52" t="s">
        <v>72</v>
      </c>
      <c r="G11" s="54" t="s">
        <v>74</v>
      </c>
      <c r="H11" s="54" t="s">
        <v>74</v>
      </c>
      <c r="I11" s="54" t="s">
        <v>69</v>
      </c>
      <c r="J11" s="54" t="s">
        <v>70</v>
      </c>
      <c r="K11" s="55" t="s">
        <v>70</v>
      </c>
      <c r="L11" s="55" t="str">
        <f t="shared" si="0"/>
        <v>Kisoro-Kampala</v>
      </c>
      <c r="M11" s="56">
        <v>60</v>
      </c>
      <c r="N11" s="57">
        <v>40000</v>
      </c>
      <c r="O11" s="58">
        <v>9</v>
      </c>
    </row>
    <row r="12" spans="1:22" s="19" customFormat="1" x14ac:dyDescent="0.2">
      <c r="B12" s="51">
        <v>0.71527777777777779</v>
      </c>
      <c r="C12" s="52">
        <v>6</v>
      </c>
      <c r="D12" s="53" t="str">
        <f>IF(C12="", "",VLOOKUP(C12,Key!$A$5:$B$7,2,FALSE))</f>
        <v>Large Bus</v>
      </c>
      <c r="E12" s="52" t="s">
        <v>75</v>
      </c>
      <c r="F12" s="52" t="s">
        <v>76</v>
      </c>
      <c r="G12" s="54" t="s">
        <v>70</v>
      </c>
      <c r="H12" s="54" t="s">
        <v>70</v>
      </c>
      <c r="I12" s="54" t="s">
        <v>69</v>
      </c>
      <c r="J12" s="54" t="s">
        <v>68</v>
      </c>
      <c r="K12" s="55" t="s">
        <v>68</v>
      </c>
      <c r="L12" s="55" t="str">
        <f t="shared" si="0"/>
        <v>Kampala-Kabale</v>
      </c>
      <c r="M12" s="56">
        <v>64</v>
      </c>
      <c r="N12" s="57">
        <v>30000</v>
      </c>
      <c r="O12" s="58">
        <v>6.5</v>
      </c>
    </row>
    <row r="13" spans="1:22" s="19" customFormat="1" x14ac:dyDescent="0.2">
      <c r="B13" s="51">
        <v>0.83333333333333337</v>
      </c>
      <c r="C13" s="52">
        <v>6</v>
      </c>
      <c r="D13" s="53" t="str">
        <f>IF(C13="", "",VLOOKUP(C13,Key!$A$5:$B$7,2,FALSE))</f>
        <v>Large Bus</v>
      </c>
      <c r="E13" s="52" t="s">
        <v>77</v>
      </c>
      <c r="F13" s="52" t="s">
        <v>72</v>
      </c>
      <c r="G13" s="54" t="s">
        <v>68</v>
      </c>
      <c r="H13" s="54" t="s">
        <v>68</v>
      </c>
      <c r="I13" s="54" t="s">
        <v>69</v>
      </c>
      <c r="J13" s="54" t="s">
        <v>70</v>
      </c>
      <c r="K13" s="55" t="s">
        <v>70</v>
      </c>
      <c r="L13" s="55" t="str">
        <f t="shared" si="0"/>
        <v>Kabale-Kampala</v>
      </c>
      <c r="M13" s="56">
        <v>40</v>
      </c>
      <c r="N13" s="57">
        <v>30000</v>
      </c>
      <c r="O13" s="58">
        <v>6.5</v>
      </c>
    </row>
    <row r="14" spans="1:22" s="19" customFormat="1" x14ac:dyDescent="0.2">
      <c r="B14" s="51">
        <v>0.91666666666666663</v>
      </c>
      <c r="C14" s="52">
        <v>6</v>
      </c>
      <c r="D14" s="53" t="str">
        <f>IF(C14="", "",VLOOKUP(C14,Key!$A$5:$B$7,2,FALSE))</f>
        <v>Large Bus</v>
      </c>
      <c r="E14" s="52" t="s">
        <v>79</v>
      </c>
      <c r="F14" s="52" t="s">
        <v>78</v>
      </c>
      <c r="G14" s="54" t="s">
        <v>70</v>
      </c>
      <c r="H14" s="54" t="s">
        <v>70</v>
      </c>
      <c r="I14" s="54" t="s">
        <v>69</v>
      </c>
      <c r="J14" s="54" t="s">
        <v>68</v>
      </c>
      <c r="K14" s="55" t="s">
        <v>68</v>
      </c>
      <c r="L14" s="55" t="str">
        <f t="shared" si="0"/>
        <v>Kampala-Kabale</v>
      </c>
      <c r="M14" s="56">
        <v>42</v>
      </c>
      <c r="N14" s="57">
        <v>30000</v>
      </c>
      <c r="O14" s="58">
        <v>6.5</v>
      </c>
    </row>
    <row r="15" spans="1:22" s="19" customFormat="1" x14ac:dyDescent="0.2">
      <c r="B15" s="51">
        <v>0.34027777777777773</v>
      </c>
      <c r="C15" s="52">
        <v>6</v>
      </c>
      <c r="D15" s="53" t="str">
        <f>IF(C15="", "",VLOOKUP(C15,Key!$A$5:$B$7,2,FALSE))</f>
        <v>Large Bus</v>
      </c>
      <c r="E15" s="52" t="s">
        <v>80</v>
      </c>
      <c r="F15" s="52" t="s">
        <v>72</v>
      </c>
      <c r="G15" s="54" t="s">
        <v>68</v>
      </c>
      <c r="H15" s="54" t="s">
        <v>68</v>
      </c>
      <c r="I15" s="54" t="s">
        <v>69</v>
      </c>
      <c r="J15" s="54" t="s">
        <v>70</v>
      </c>
      <c r="K15" s="55" t="s">
        <v>70</v>
      </c>
      <c r="L15" s="55" t="str">
        <f t="shared" si="0"/>
        <v>Kabale-Kampala</v>
      </c>
      <c r="M15" s="56">
        <v>64</v>
      </c>
      <c r="N15" s="57">
        <v>30000</v>
      </c>
      <c r="O15" s="58">
        <v>7</v>
      </c>
    </row>
    <row r="16" spans="1:22" s="19" customFormat="1" x14ac:dyDescent="0.2">
      <c r="B16" s="51">
        <v>0.40625</v>
      </c>
      <c r="C16" s="52">
        <v>6</v>
      </c>
      <c r="D16" s="53" t="str">
        <f>IF(C16="", "",VLOOKUP(C16,Key!$A$5:$B$7,2,FALSE))</f>
        <v>Large Bus</v>
      </c>
      <c r="E16" s="52" t="s">
        <v>81</v>
      </c>
      <c r="F16" s="52" t="s">
        <v>72</v>
      </c>
      <c r="G16" s="54" t="s">
        <v>74</v>
      </c>
      <c r="H16" s="54" t="s">
        <v>74</v>
      </c>
      <c r="I16" s="54" t="s">
        <v>69</v>
      </c>
      <c r="J16" s="54" t="s">
        <v>70</v>
      </c>
      <c r="K16" s="55" t="s">
        <v>70</v>
      </c>
      <c r="L16" s="55" t="str">
        <f t="shared" si="0"/>
        <v>Kisoro-Kampala</v>
      </c>
      <c r="M16" s="56">
        <v>34</v>
      </c>
      <c r="N16" s="57">
        <v>40000</v>
      </c>
      <c r="O16" s="58">
        <v>9</v>
      </c>
    </row>
    <row r="17" spans="2:15" s="19" customFormat="1" x14ac:dyDescent="0.2">
      <c r="B17" s="51">
        <v>0.54166666666666663</v>
      </c>
      <c r="C17" s="52">
        <v>6</v>
      </c>
      <c r="D17" s="53" t="str">
        <f>IF(C17="", "",VLOOKUP(C17,Key!$A$5:$B$7,2,FALSE))</f>
        <v>Large Bus</v>
      </c>
      <c r="E17" s="52" t="s">
        <v>85</v>
      </c>
      <c r="F17" s="52" t="s">
        <v>78</v>
      </c>
      <c r="G17" s="54" t="s">
        <v>70</v>
      </c>
      <c r="H17" s="54" t="s">
        <v>70</v>
      </c>
      <c r="I17" s="54" t="s">
        <v>69</v>
      </c>
      <c r="J17" s="54" t="s">
        <v>74</v>
      </c>
      <c r="K17" s="55" t="s">
        <v>74</v>
      </c>
      <c r="L17" s="55" t="str">
        <f t="shared" si="0"/>
        <v>Kampala-Kisoro</v>
      </c>
      <c r="M17" s="56">
        <v>64</v>
      </c>
      <c r="N17" s="57">
        <v>40000</v>
      </c>
      <c r="O17" s="58">
        <v>9</v>
      </c>
    </row>
    <row r="18" spans="2:15" s="19" customFormat="1" x14ac:dyDescent="0.2">
      <c r="B18" s="51">
        <v>0.58333333333333337</v>
      </c>
      <c r="C18" s="52">
        <v>6</v>
      </c>
      <c r="D18" s="53" t="str">
        <f>IF(C18="", "",VLOOKUP(C18,Key!$A$5:$B$7,2,FALSE))</f>
        <v>Large Bus</v>
      </c>
      <c r="E18" s="52" t="s">
        <v>82</v>
      </c>
      <c r="F18" s="52" t="s">
        <v>78</v>
      </c>
      <c r="G18" s="54" t="s">
        <v>70</v>
      </c>
      <c r="H18" s="54" t="s">
        <v>70</v>
      </c>
      <c r="I18" s="54" t="s">
        <v>69</v>
      </c>
      <c r="J18" s="54" t="s">
        <v>74</v>
      </c>
      <c r="K18" s="55" t="s">
        <v>74</v>
      </c>
      <c r="L18" s="55" t="str">
        <f t="shared" si="0"/>
        <v>Kampala-Kisoro</v>
      </c>
      <c r="M18" s="56">
        <v>31</v>
      </c>
      <c r="N18" s="57">
        <v>40000</v>
      </c>
      <c r="O18" s="58">
        <v>9</v>
      </c>
    </row>
    <row r="19" spans="2:15" s="19" customFormat="1" x14ac:dyDescent="0.2">
      <c r="B19" s="51">
        <v>0.59652777777777777</v>
      </c>
      <c r="C19" s="52">
        <v>6</v>
      </c>
      <c r="D19" s="53" t="str">
        <f>IF(C19="", "",VLOOKUP(C19,Key!$A$5:$B$7,2,FALSE))</f>
        <v>Large Bus</v>
      </c>
      <c r="E19" s="52" t="s">
        <v>83</v>
      </c>
      <c r="F19" s="52" t="s">
        <v>78</v>
      </c>
      <c r="G19" s="54" t="s">
        <v>70</v>
      </c>
      <c r="H19" s="54" t="s">
        <v>70</v>
      </c>
      <c r="I19" s="54" t="s">
        <v>69</v>
      </c>
      <c r="J19" s="54" t="s">
        <v>74</v>
      </c>
      <c r="K19" s="55" t="s">
        <v>74</v>
      </c>
      <c r="L19" s="55" t="str">
        <f t="shared" si="0"/>
        <v>Kampala-Kisoro</v>
      </c>
      <c r="M19" s="56">
        <v>30</v>
      </c>
      <c r="N19" s="57">
        <v>40000</v>
      </c>
      <c r="O19" s="58">
        <v>9</v>
      </c>
    </row>
    <row r="20" spans="2:15" s="19" customFormat="1" x14ac:dyDescent="0.2">
      <c r="B20" s="51">
        <v>0.66666666666666663</v>
      </c>
      <c r="C20" s="52">
        <v>6</v>
      </c>
      <c r="D20" s="53" t="str">
        <f>IF(C20="", "",VLOOKUP(C20,Key!$A$5:$B$7,2,FALSE))</f>
        <v>Large Bus</v>
      </c>
      <c r="E20" s="52" t="s">
        <v>84</v>
      </c>
      <c r="F20" s="52" t="s">
        <v>78</v>
      </c>
      <c r="G20" s="54" t="s">
        <v>70</v>
      </c>
      <c r="H20" s="54" t="s">
        <v>70</v>
      </c>
      <c r="I20" s="54" t="s">
        <v>69</v>
      </c>
      <c r="J20" s="54" t="s">
        <v>86</v>
      </c>
      <c r="K20" s="55" t="s">
        <v>86</v>
      </c>
      <c r="L20" s="55" t="str">
        <f t="shared" si="0"/>
        <v>Kampala-Ishaka</v>
      </c>
      <c r="M20" s="56">
        <v>64</v>
      </c>
      <c r="N20" s="57">
        <v>25000</v>
      </c>
      <c r="O20" s="58">
        <v>5.5</v>
      </c>
    </row>
    <row r="21" spans="2:15" s="19" customFormat="1" x14ac:dyDescent="0.2">
      <c r="B21" s="51">
        <v>0.83333333333333337</v>
      </c>
      <c r="C21" s="52">
        <v>6</v>
      </c>
      <c r="D21" s="53" t="str">
        <f>IF(C21="", "",VLOOKUP(C21,Key!$A$5:$B$7,2,FALSE))</f>
        <v>Large Bus</v>
      </c>
      <c r="E21" s="52" t="s">
        <v>77</v>
      </c>
      <c r="F21" s="52" t="s">
        <v>72</v>
      </c>
      <c r="G21" s="54" t="s">
        <v>68</v>
      </c>
      <c r="H21" s="54" t="s">
        <v>68</v>
      </c>
      <c r="I21" s="54" t="s">
        <v>69</v>
      </c>
      <c r="J21" s="54" t="s">
        <v>70</v>
      </c>
      <c r="K21" s="55" t="s">
        <v>70</v>
      </c>
      <c r="L21" s="55" t="str">
        <f t="shared" si="0"/>
        <v>Kabale-Kampala</v>
      </c>
      <c r="M21" s="56">
        <v>42</v>
      </c>
      <c r="N21" s="57">
        <v>30000</v>
      </c>
      <c r="O21" s="58">
        <v>6.5</v>
      </c>
    </row>
    <row r="22" spans="2:15" s="19" customFormat="1" x14ac:dyDescent="0.2">
      <c r="B22" s="51">
        <v>0.91666666666666663</v>
      </c>
      <c r="C22" s="52">
        <v>6</v>
      </c>
      <c r="D22" s="53" t="str">
        <f>IF(C22="", "",VLOOKUP(C22,Key!$A$5:$B$7,2,FALSE))</f>
        <v>Large Bus</v>
      </c>
      <c r="E22" s="52" t="s">
        <v>79</v>
      </c>
      <c r="F22" s="52" t="s">
        <v>78</v>
      </c>
      <c r="G22" s="54" t="s">
        <v>70</v>
      </c>
      <c r="H22" s="54" t="s">
        <v>70</v>
      </c>
      <c r="I22" s="54" t="s">
        <v>69</v>
      </c>
      <c r="J22" s="54" t="s">
        <v>68</v>
      </c>
      <c r="K22" s="55" t="s">
        <v>68</v>
      </c>
      <c r="L22" s="55" t="str">
        <f t="shared" si="0"/>
        <v>Kampala-Kabale</v>
      </c>
      <c r="M22" s="56">
        <v>40</v>
      </c>
      <c r="N22" s="57">
        <v>30000</v>
      </c>
      <c r="O22" s="58">
        <v>6.5</v>
      </c>
    </row>
    <row r="23" spans="2:15" s="19" customFormat="1" x14ac:dyDescent="0.2">
      <c r="B23" s="51">
        <v>0.95833333333333337</v>
      </c>
      <c r="C23" s="52">
        <v>6</v>
      </c>
      <c r="D23" s="53" t="str">
        <f>IF(C23="", "",VLOOKUP(C23,Key!$A$5:$B$7,2,FALSE))</f>
        <v>Large Bus</v>
      </c>
      <c r="E23" s="52" t="s">
        <v>87</v>
      </c>
      <c r="F23" s="52" t="s">
        <v>78</v>
      </c>
      <c r="G23" s="54" t="s">
        <v>70</v>
      </c>
      <c r="H23" s="54" t="s">
        <v>70</v>
      </c>
      <c r="I23" s="54" t="s">
        <v>69</v>
      </c>
      <c r="J23" s="54" t="s">
        <v>88</v>
      </c>
      <c r="K23" s="55" t="s">
        <v>88</v>
      </c>
      <c r="L23" s="55" t="str">
        <f t="shared" si="0"/>
        <v>Kampala-Kyanika</v>
      </c>
      <c r="M23" s="56">
        <v>64</v>
      </c>
      <c r="N23" s="57">
        <v>40000</v>
      </c>
      <c r="O23" s="58">
        <v>8</v>
      </c>
    </row>
  </sheetData>
  <sortState ref="A9:V23">
    <sortCondition ref="A9:A23"/>
  </sortState>
  <mergeCells count="18">
    <mergeCell ref="J7:L7"/>
    <mergeCell ref="D7:D8"/>
    <mergeCell ref="B1:O1"/>
    <mergeCell ref="B2:O2"/>
    <mergeCell ref="E7:E8"/>
    <mergeCell ref="M7:M8"/>
    <mergeCell ref="D5:E5"/>
    <mergeCell ref="O7:O8"/>
    <mergeCell ref="K4:L4"/>
    <mergeCell ref="B4:C4"/>
    <mergeCell ref="B5:C5"/>
    <mergeCell ref="H5:I5"/>
    <mergeCell ref="H4:I4"/>
    <mergeCell ref="G7:I7"/>
    <mergeCell ref="F7:F8"/>
    <mergeCell ref="N7:N8"/>
    <mergeCell ref="B7:B8"/>
    <mergeCell ref="C7:C8"/>
  </mergeCells>
  <pageMargins left="0.2" right="0.2" top="0.15" bottom="0.15" header="0.05" footer="0.3"/>
  <pageSetup paperSize="9" scale="5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1489"/>
  <sheetViews>
    <sheetView workbookViewId="0">
      <selection activeCell="O4" sqref="O4"/>
    </sheetView>
  </sheetViews>
  <sheetFormatPr defaultRowHeight="12.75" x14ac:dyDescent="0.2"/>
  <cols>
    <col min="1" max="1" width="2.7109375" customWidth="1"/>
    <col min="2" max="2" width="7.28515625" customWidth="1"/>
    <col min="3" max="3" width="9.7109375" customWidth="1"/>
    <col min="4" max="4" width="10.28515625" customWidth="1"/>
    <col min="5" max="5" width="10.85546875" customWidth="1"/>
    <col min="6" max="6" width="13.140625" customWidth="1"/>
    <col min="7" max="7" width="12.28515625" customWidth="1"/>
    <col min="8" max="8" width="8.42578125" customWidth="1"/>
    <col min="9" max="9" width="12.7109375" bestFit="1" customWidth="1"/>
    <col min="10" max="10" width="12.7109375" customWidth="1"/>
    <col min="11" max="11" width="17" bestFit="1" customWidth="1"/>
    <col min="12" max="12" width="10.85546875" customWidth="1"/>
    <col min="13" max="13" width="12.85546875" customWidth="1"/>
    <col min="14" max="15" width="8" customWidth="1"/>
    <col min="16" max="16" width="6.28515625" customWidth="1"/>
  </cols>
  <sheetData>
    <row r="1" spans="2:25" s="1" customFormat="1" ht="15.75" x14ac:dyDescent="0.2">
      <c r="B1" s="81" t="s">
        <v>0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6"/>
      <c r="R1" s="6"/>
      <c r="S1" s="6"/>
      <c r="T1" s="6"/>
      <c r="U1" s="6"/>
      <c r="V1" s="6"/>
      <c r="W1" s="6"/>
      <c r="X1" s="6"/>
      <c r="Y1" s="6"/>
    </row>
    <row r="2" spans="2:25" ht="15" x14ac:dyDescent="0.2">
      <c r="B2" s="81" t="s">
        <v>1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7"/>
      <c r="R2" s="7"/>
      <c r="S2" s="7"/>
      <c r="T2" s="7"/>
      <c r="U2" s="7"/>
      <c r="V2" s="7"/>
      <c r="W2" s="7"/>
      <c r="X2" s="7"/>
      <c r="Y2" s="7"/>
    </row>
    <row r="3" spans="2:25" ht="15" x14ac:dyDescent="0.2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25" x14ac:dyDescent="0.2">
      <c r="B4" s="3" t="s">
        <v>2</v>
      </c>
      <c r="C4" s="20">
        <v>40465</v>
      </c>
      <c r="D4" s="5" t="s">
        <v>3</v>
      </c>
      <c r="E4" s="8"/>
      <c r="F4" s="4"/>
      <c r="G4" s="3" t="s">
        <v>4</v>
      </c>
      <c r="H4" s="4" t="s">
        <v>28</v>
      </c>
      <c r="I4" s="4"/>
      <c r="J4" s="3" t="s">
        <v>5</v>
      </c>
      <c r="K4" s="4" t="s">
        <v>29</v>
      </c>
      <c r="L4" s="9" t="s">
        <v>6</v>
      </c>
      <c r="M4" s="4"/>
      <c r="N4" s="5" t="s">
        <v>7</v>
      </c>
      <c r="O4" s="4"/>
      <c r="P4" s="5"/>
      <c r="Q4" s="10"/>
      <c r="R4" s="5"/>
      <c r="S4" s="5"/>
      <c r="T4" s="10"/>
      <c r="U4" s="10"/>
      <c r="V4" s="5"/>
    </row>
    <row r="5" spans="2:25" ht="15" x14ac:dyDescent="0.2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2:25" ht="13.5" thickBot="1" x14ac:dyDescent="0.25"/>
    <row r="7" spans="2:25" ht="30.75" customHeight="1" x14ac:dyDescent="0.2">
      <c r="B7" s="82" t="s">
        <v>8</v>
      </c>
      <c r="C7" s="84" t="s">
        <v>9</v>
      </c>
      <c r="D7" s="84" t="s">
        <v>10</v>
      </c>
      <c r="E7" s="84" t="s">
        <v>11</v>
      </c>
      <c r="F7" s="84" t="s">
        <v>12</v>
      </c>
      <c r="G7" s="84"/>
      <c r="H7" s="84" t="s">
        <v>15</v>
      </c>
      <c r="I7" s="84" t="s">
        <v>16</v>
      </c>
      <c r="J7" s="84" t="s">
        <v>17</v>
      </c>
      <c r="K7" s="84"/>
      <c r="L7" s="84" t="s">
        <v>18</v>
      </c>
      <c r="M7" s="84" t="s">
        <v>19</v>
      </c>
      <c r="N7" s="84" t="s">
        <v>20</v>
      </c>
      <c r="O7" s="86" t="s">
        <v>21</v>
      </c>
      <c r="P7" s="77" t="s">
        <v>27</v>
      </c>
      <c r="Q7" s="78"/>
    </row>
    <row r="8" spans="2:25" ht="24.75" customHeight="1" thickBot="1" x14ac:dyDescent="0.25">
      <c r="B8" s="83"/>
      <c r="C8" s="85"/>
      <c r="D8" s="85"/>
      <c r="E8" s="85"/>
      <c r="F8" s="18" t="s">
        <v>13</v>
      </c>
      <c r="G8" s="18" t="s">
        <v>14</v>
      </c>
      <c r="H8" s="85"/>
      <c r="I8" s="85"/>
      <c r="J8" s="18" t="s">
        <v>13</v>
      </c>
      <c r="K8" s="18" t="s">
        <v>14</v>
      </c>
      <c r="L8" s="85"/>
      <c r="M8" s="85"/>
      <c r="N8" s="85"/>
      <c r="O8" s="87"/>
      <c r="P8" s="79"/>
      <c r="Q8" s="80"/>
    </row>
    <row r="9" spans="2:25" x14ac:dyDescent="0.2">
      <c r="B9" s="15" t="s">
        <v>22</v>
      </c>
      <c r="C9" s="16">
        <v>3</v>
      </c>
      <c r="D9" s="16"/>
      <c r="E9" s="16">
        <v>2</v>
      </c>
      <c r="F9" s="15" t="s">
        <v>30</v>
      </c>
      <c r="G9" s="17" t="s">
        <v>24</v>
      </c>
      <c r="H9" s="16">
        <v>1</v>
      </c>
      <c r="I9" s="16"/>
      <c r="J9" s="15" t="s">
        <v>25</v>
      </c>
      <c r="K9" s="17" t="s">
        <v>24</v>
      </c>
      <c r="L9" s="16">
        <v>2</v>
      </c>
      <c r="M9" s="16"/>
      <c r="N9" s="15" t="s">
        <v>26</v>
      </c>
      <c r="O9" s="15" t="s">
        <v>26</v>
      </c>
      <c r="P9" s="15" t="s">
        <v>32</v>
      </c>
      <c r="Q9" s="15">
        <v>3000</v>
      </c>
    </row>
    <row r="10" spans="2:25" s="19" customFormat="1" x14ac:dyDescent="0.2">
      <c r="B10" s="11" t="s">
        <v>22</v>
      </c>
      <c r="C10" s="11">
        <v>1</v>
      </c>
      <c r="D10" s="11"/>
      <c r="E10" s="11">
        <v>1</v>
      </c>
      <c r="F10" s="11" t="s">
        <v>31</v>
      </c>
      <c r="G10" s="21" t="s">
        <v>24</v>
      </c>
      <c r="H10" s="11">
        <v>1</v>
      </c>
      <c r="I10" s="11"/>
      <c r="J10" s="11" t="s">
        <v>25</v>
      </c>
      <c r="K10" s="13" t="s">
        <v>24</v>
      </c>
      <c r="L10" s="11">
        <v>2</v>
      </c>
      <c r="M10" s="11"/>
      <c r="N10" s="11" t="s">
        <v>26</v>
      </c>
      <c r="O10" s="11" t="s">
        <v>26</v>
      </c>
      <c r="P10" s="11" t="s">
        <v>32</v>
      </c>
      <c r="Q10" s="11">
        <v>2000</v>
      </c>
    </row>
    <row r="11" spans="2:25" x14ac:dyDescent="0.2">
      <c r="B11" s="11" t="s">
        <v>22</v>
      </c>
      <c r="C11" s="12"/>
      <c r="D11" s="12"/>
      <c r="E11" s="12">
        <v>1</v>
      </c>
      <c r="F11" s="11" t="s">
        <v>23</v>
      </c>
      <c r="G11" s="13" t="s">
        <v>24</v>
      </c>
      <c r="H11" s="12">
        <v>3</v>
      </c>
      <c r="I11" s="12"/>
      <c r="J11" s="11" t="s">
        <v>25</v>
      </c>
      <c r="K11" s="13" t="s">
        <v>24</v>
      </c>
      <c r="L11" s="12">
        <v>1</v>
      </c>
      <c r="M11" s="12"/>
      <c r="N11" s="11" t="s">
        <v>26</v>
      </c>
      <c r="O11" s="11" t="s">
        <v>26</v>
      </c>
      <c r="P11" s="11"/>
      <c r="Q11" s="14"/>
    </row>
    <row r="12" spans="2:25" x14ac:dyDescent="0.2">
      <c r="B12" s="11" t="s">
        <v>22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4"/>
    </row>
    <row r="13" spans="2:25" x14ac:dyDescent="0.2">
      <c r="B13" s="11" t="s">
        <v>22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4"/>
    </row>
    <row r="14" spans="2:25" x14ac:dyDescent="0.2">
      <c r="B14" s="11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4"/>
    </row>
    <row r="15" spans="2:25" x14ac:dyDescent="0.2">
      <c r="B15" s="11" t="s">
        <v>22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4"/>
    </row>
    <row r="16" spans="2:25" x14ac:dyDescent="0.2">
      <c r="B16" s="11" t="s">
        <v>22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4"/>
    </row>
    <row r="17" spans="2:17" x14ac:dyDescent="0.2">
      <c r="B17" s="11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4"/>
    </row>
    <row r="18" spans="2:17" x14ac:dyDescent="0.2">
      <c r="B18" s="11" t="s">
        <v>22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4"/>
    </row>
    <row r="19" spans="2:17" x14ac:dyDescent="0.2">
      <c r="B19" s="11" t="s">
        <v>22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4"/>
    </row>
    <row r="20" spans="2:17" x14ac:dyDescent="0.2">
      <c r="B20" s="11" t="s">
        <v>22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4"/>
    </row>
    <row r="21" spans="2:17" x14ac:dyDescent="0.2">
      <c r="B21" s="11" t="s">
        <v>22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4"/>
    </row>
    <row r="22" spans="2:17" x14ac:dyDescent="0.2">
      <c r="B22" s="11" t="s">
        <v>22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4"/>
    </row>
    <row r="23" spans="2:17" x14ac:dyDescent="0.2"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4"/>
    </row>
    <row r="24" spans="2:17" x14ac:dyDescent="0.2">
      <c r="B24" s="11" t="s">
        <v>22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4"/>
    </row>
    <row r="25" spans="2:17" x14ac:dyDescent="0.2">
      <c r="B25" s="11" t="s">
        <v>22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4"/>
    </row>
    <row r="26" spans="2:17" x14ac:dyDescent="0.2">
      <c r="B26" s="11" t="s">
        <v>22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4"/>
    </row>
    <row r="27" spans="2:17" x14ac:dyDescent="0.2">
      <c r="B27" s="11" t="s">
        <v>22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4"/>
    </row>
    <row r="28" spans="2:17" x14ac:dyDescent="0.2">
      <c r="B28" s="11" t="s">
        <v>22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4"/>
    </row>
    <row r="29" spans="2:17" x14ac:dyDescent="0.2">
      <c r="B29" s="11" t="s">
        <v>22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4"/>
    </row>
    <row r="30" spans="2:17" x14ac:dyDescent="0.2">
      <c r="B30" s="11" t="s">
        <v>22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4"/>
    </row>
    <row r="31" spans="2:17" x14ac:dyDescent="0.2">
      <c r="B31" s="11" t="s">
        <v>22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4"/>
    </row>
    <row r="32" spans="2:17" x14ac:dyDescent="0.2">
      <c r="B32" s="11" t="s">
        <v>22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4"/>
    </row>
    <row r="33" spans="2:17" x14ac:dyDescent="0.2">
      <c r="B33" s="11" t="s">
        <v>22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4"/>
    </row>
    <row r="34" spans="2:17" x14ac:dyDescent="0.2">
      <c r="B34" s="11" t="s">
        <v>22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4"/>
    </row>
    <row r="35" spans="2:17" x14ac:dyDescent="0.2">
      <c r="B35" s="11" t="s">
        <v>22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4"/>
    </row>
    <row r="36" spans="2:17" x14ac:dyDescent="0.2">
      <c r="B36" s="11" t="s">
        <v>22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4"/>
    </row>
    <row r="37" spans="2:17" x14ac:dyDescent="0.2">
      <c r="B37" s="11" t="s">
        <v>22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4"/>
    </row>
    <row r="38" spans="2:17" x14ac:dyDescent="0.2">
      <c r="B38" s="11" t="s">
        <v>22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4"/>
    </row>
    <row r="39" spans="2:17" x14ac:dyDescent="0.2">
      <c r="B39" s="11" t="s">
        <v>22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4"/>
    </row>
    <row r="40" spans="2:17" x14ac:dyDescent="0.2">
      <c r="B40" s="11" t="s">
        <v>22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4"/>
    </row>
    <row r="41" spans="2:17" x14ac:dyDescent="0.2">
      <c r="B41" s="11" t="s">
        <v>22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4"/>
    </row>
    <row r="42" spans="2:17" x14ac:dyDescent="0.2">
      <c r="B42" s="11" t="s">
        <v>22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4"/>
    </row>
    <row r="43" spans="2:17" x14ac:dyDescent="0.2">
      <c r="B43" s="11" t="s">
        <v>22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4"/>
    </row>
    <row r="44" spans="2:17" x14ac:dyDescent="0.2">
      <c r="B44" s="11" t="s">
        <v>22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4"/>
    </row>
    <row r="45" spans="2:17" x14ac:dyDescent="0.2">
      <c r="B45" s="11" t="s">
        <v>22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4"/>
    </row>
    <row r="46" spans="2:17" x14ac:dyDescent="0.2">
      <c r="B46" s="11" t="s">
        <v>22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4"/>
    </row>
    <row r="47" spans="2:17" x14ac:dyDescent="0.2">
      <c r="B47" s="11" t="s">
        <v>22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4"/>
    </row>
    <row r="48" spans="2:17" x14ac:dyDescent="0.2">
      <c r="B48" s="11" t="s">
        <v>22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4"/>
    </row>
    <row r="49" spans="2:17" x14ac:dyDescent="0.2">
      <c r="B49" s="11" t="s">
        <v>22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4"/>
    </row>
    <row r="50" spans="2:17" x14ac:dyDescent="0.2">
      <c r="B50" s="11" t="s">
        <v>22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4"/>
    </row>
    <row r="51" spans="2:17" x14ac:dyDescent="0.2">
      <c r="B51" s="11" t="s">
        <v>22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4"/>
    </row>
    <row r="52" spans="2:17" x14ac:dyDescent="0.2">
      <c r="B52" s="11" t="s">
        <v>22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4"/>
    </row>
    <row r="53" spans="2:17" x14ac:dyDescent="0.2">
      <c r="B53" s="11" t="s">
        <v>22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4"/>
    </row>
    <row r="54" spans="2:17" x14ac:dyDescent="0.2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4"/>
    </row>
    <row r="55" spans="2:17" x14ac:dyDescent="0.2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4"/>
    </row>
    <row r="56" spans="2:17" x14ac:dyDescent="0.2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4"/>
    </row>
    <row r="57" spans="2:17" x14ac:dyDescent="0.2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4"/>
    </row>
    <row r="58" spans="2:17" x14ac:dyDescent="0.2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4"/>
    </row>
    <row r="59" spans="2:17" x14ac:dyDescent="0.2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4"/>
    </row>
    <row r="60" spans="2:17" x14ac:dyDescent="0.2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4"/>
    </row>
    <row r="61" spans="2:17" x14ac:dyDescent="0.2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4"/>
    </row>
    <row r="62" spans="2:17" x14ac:dyDescent="0.2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4"/>
    </row>
    <row r="63" spans="2:17" x14ac:dyDescent="0.2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4"/>
    </row>
    <row r="64" spans="2:17" x14ac:dyDescent="0.2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4"/>
    </row>
    <row r="65" spans="2:17" x14ac:dyDescent="0.2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4"/>
    </row>
    <row r="66" spans="2:17" x14ac:dyDescent="0.2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4"/>
    </row>
    <row r="67" spans="2:17" x14ac:dyDescent="0.2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4"/>
    </row>
    <row r="68" spans="2:17" x14ac:dyDescent="0.2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4"/>
    </row>
    <row r="69" spans="2:17" x14ac:dyDescent="0.2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4"/>
    </row>
    <row r="70" spans="2:17" x14ac:dyDescent="0.2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4"/>
    </row>
    <row r="71" spans="2:17" x14ac:dyDescent="0.2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4"/>
    </row>
    <row r="72" spans="2:17" x14ac:dyDescent="0.2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4"/>
    </row>
    <row r="73" spans="2:17" x14ac:dyDescent="0.2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4"/>
    </row>
    <row r="74" spans="2:17" x14ac:dyDescent="0.2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4"/>
    </row>
    <row r="75" spans="2:17" x14ac:dyDescent="0.2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4"/>
    </row>
    <row r="76" spans="2:17" x14ac:dyDescent="0.2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4"/>
    </row>
    <row r="77" spans="2:17" x14ac:dyDescent="0.2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4"/>
    </row>
    <row r="78" spans="2:17" x14ac:dyDescent="0.2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4"/>
    </row>
    <row r="79" spans="2:17" x14ac:dyDescent="0.2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4"/>
    </row>
    <row r="80" spans="2:17" x14ac:dyDescent="0.2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4"/>
    </row>
    <row r="81" spans="2:17" x14ac:dyDescent="0.2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4"/>
    </row>
    <row r="82" spans="2:17" x14ac:dyDescent="0.2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4"/>
    </row>
    <row r="83" spans="2:17" x14ac:dyDescent="0.2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4"/>
    </row>
    <row r="84" spans="2:17" x14ac:dyDescent="0.2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4"/>
    </row>
    <row r="85" spans="2:17" x14ac:dyDescent="0.2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4"/>
    </row>
    <row r="86" spans="2:17" x14ac:dyDescent="0.2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4"/>
    </row>
    <row r="87" spans="2:17" x14ac:dyDescent="0.2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4"/>
    </row>
    <row r="88" spans="2:17" x14ac:dyDescent="0.2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4"/>
    </row>
    <row r="89" spans="2:17" x14ac:dyDescent="0.2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4"/>
    </row>
    <row r="90" spans="2:17" x14ac:dyDescent="0.2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4"/>
    </row>
    <row r="91" spans="2:17" x14ac:dyDescent="0.2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4"/>
    </row>
    <row r="92" spans="2:17" x14ac:dyDescent="0.2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4"/>
    </row>
    <row r="93" spans="2:17" x14ac:dyDescent="0.2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4"/>
    </row>
    <row r="94" spans="2:17" x14ac:dyDescent="0.2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4"/>
    </row>
    <row r="95" spans="2:17" x14ac:dyDescent="0.2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4"/>
    </row>
    <row r="96" spans="2:17" x14ac:dyDescent="0.2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4"/>
    </row>
    <row r="97" spans="2:17" x14ac:dyDescent="0.2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4"/>
    </row>
    <row r="98" spans="2:17" x14ac:dyDescent="0.2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4"/>
    </row>
    <row r="99" spans="2:17" x14ac:dyDescent="0.2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4"/>
    </row>
    <row r="100" spans="2:17" x14ac:dyDescent="0.2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4"/>
    </row>
    <row r="101" spans="2:17" x14ac:dyDescent="0.2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4"/>
    </row>
    <row r="102" spans="2:17" x14ac:dyDescent="0.2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4"/>
    </row>
    <row r="103" spans="2:17" x14ac:dyDescent="0.2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4"/>
    </row>
    <row r="104" spans="2:17" x14ac:dyDescent="0.2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4"/>
    </row>
    <row r="105" spans="2:17" x14ac:dyDescent="0.2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4"/>
    </row>
    <row r="106" spans="2:17" x14ac:dyDescent="0.2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4"/>
    </row>
    <row r="107" spans="2:17" x14ac:dyDescent="0.2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4"/>
    </row>
    <row r="108" spans="2:17" x14ac:dyDescent="0.2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4"/>
    </row>
    <row r="109" spans="2:17" x14ac:dyDescent="0.2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4"/>
    </row>
    <row r="110" spans="2:17" x14ac:dyDescent="0.2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4"/>
    </row>
    <row r="111" spans="2:17" x14ac:dyDescent="0.2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4"/>
    </row>
    <row r="112" spans="2:17" x14ac:dyDescent="0.2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4"/>
    </row>
    <row r="113" spans="2:17" x14ac:dyDescent="0.2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4"/>
    </row>
    <row r="114" spans="2:17" x14ac:dyDescent="0.2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4"/>
    </row>
    <row r="115" spans="2:17" x14ac:dyDescent="0.2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4"/>
    </row>
    <row r="116" spans="2:17" x14ac:dyDescent="0.2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4"/>
    </row>
    <row r="117" spans="2:17" x14ac:dyDescent="0.2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4"/>
    </row>
    <row r="118" spans="2:17" x14ac:dyDescent="0.2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4"/>
    </row>
    <row r="119" spans="2:17" x14ac:dyDescent="0.2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4"/>
    </row>
    <row r="120" spans="2:17" x14ac:dyDescent="0.2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4"/>
    </row>
    <row r="121" spans="2:17" x14ac:dyDescent="0.2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4"/>
    </row>
    <row r="122" spans="2:17" x14ac:dyDescent="0.2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4"/>
    </row>
    <row r="123" spans="2:17" x14ac:dyDescent="0.2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4"/>
    </row>
    <row r="124" spans="2:17" x14ac:dyDescent="0.2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4"/>
    </row>
    <row r="125" spans="2:17" x14ac:dyDescent="0.2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4"/>
    </row>
    <row r="126" spans="2:17" x14ac:dyDescent="0.2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4"/>
    </row>
    <row r="127" spans="2:17" x14ac:dyDescent="0.2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4"/>
    </row>
    <row r="128" spans="2:17" x14ac:dyDescent="0.2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4"/>
    </row>
    <row r="129" spans="2:17" x14ac:dyDescent="0.2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4"/>
    </row>
    <row r="130" spans="2:17" x14ac:dyDescent="0.2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4"/>
    </row>
    <row r="131" spans="2:17" x14ac:dyDescent="0.2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4"/>
    </row>
    <row r="132" spans="2:17" x14ac:dyDescent="0.2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4"/>
    </row>
    <row r="133" spans="2:17" x14ac:dyDescent="0.2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4"/>
    </row>
    <row r="134" spans="2:17" x14ac:dyDescent="0.2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4"/>
    </row>
    <row r="135" spans="2:17" x14ac:dyDescent="0.2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4"/>
    </row>
    <row r="136" spans="2:17" x14ac:dyDescent="0.2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4"/>
    </row>
    <row r="137" spans="2:17" x14ac:dyDescent="0.2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4"/>
    </row>
    <row r="138" spans="2:17" x14ac:dyDescent="0.2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4"/>
    </row>
    <row r="139" spans="2:17" x14ac:dyDescent="0.2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4"/>
    </row>
    <row r="140" spans="2:17" x14ac:dyDescent="0.2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4"/>
    </row>
    <row r="141" spans="2:17" x14ac:dyDescent="0.2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4"/>
    </row>
    <row r="142" spans="2:17" x14ac:dyDescent="0.2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4"/>
    </row>
    <row r="143" spans="2:17" x14ac:dyDescent="0.2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4"/>
    </row>
    <row r="144" spans="2:17" x14ac:dyDescent="0.2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4"/>
    </row>
    <row r="145" spans="2:17" x14ac:dyDescent="0.2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4"/>
    </row>
    <row r="146" spans="2:17" x14ac:dyDescent="0.2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4"/>
    </row>
    <row r="147" spans="2:17" x14ac:dyDescent="0.2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4"/>
    </row>
    <row r="148" spans="2:17" x14ac:dyDescent="0.2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4"/>
    </row>
    <row r="149" spans="2:17" x14ac:dyDescent="0.2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4"/>
    </row>
    <row r="150" spans="2:17" x14ac:dyDescent="0.2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4"/>
    </row>
    <row r="151" spans="2:17" x14ac:dyDescent="0.2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4"/>
    </row>
    <row r="152" spans="2:17" x14ac:dyDescent="0.2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4"/>
    </row>
    <row r="153" spans="2:17" x14ac:dyDescent="0.2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4"/>
    </row>
    <row r="154" spans="2:17" x14ac:dyDescent="0.2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4"/>
    </row>
    <row r="155" spans="2:17" x14ac:dyDescent="0.2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4"/>
    </row>
    <row r="156" spans="2:17" x14ac:dyDescent="0.2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4"/>
    </row>
    <row r="157" spans="2:17" x14ac:dyDescent="0.2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4"/>
    </row>
    <row r="158" spans="2:17" x14ac:dyDescent="0.2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4"/>
    </row>
    <row r="159" spans="2:17" x14ac:dyDescent="0.2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4"/>
    </row>
    <row r="160" spans="2:17" x14ac:dyDescent="0.2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4"/>
    </row>
    <row r="161" spans="2:17" x14ac:dyDescent="0.2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4"/>
    </row>
    <row r="162" spans="2:17" x14ac:dyDescent="0.2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4"/>
    </row>
    <row r="163" spans="2:17" x14ac:dyDescent="0.2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4"/>
    </row>
    <row r="164" spans="2:17" x14ac:dyDescent="0.2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4"/>
    </row>
    <row r="165" spans="2:17" x14ac:dyDescent="0.2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4"/>
    </row>
    <row r="166" spans="2:17" x14ac:dyDescent="0.2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4"/>
    </row>
    <row r="167" spans="2:17" x14ac:dyDescent="0.2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4"/>
    </row>
    <row r="168" spans="2:17" x14ac:dyDescent="0.2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4"/>
    </row>
    <row r="169" spans="2:17" x14ac:dyDescent="0.2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4"/>
    </row>
    <row r="170" spans="2:17" x14ac:dyDescent="0.2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4"/>
    </row>
    <row r="171" spans="2:17" x14ac:dyDescent="0.2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4"/>
    </row>
    <row r="172" spans="2:17" x14ac:dyDescent="0.2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4"/>
    </row>
    <row r="173" spans="2:17" x14ac:dyDescent="0.2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4"/>
    </row>
    <row r="174" spans="2:17" x14ac:dyDescent="0.2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4"/>
    </row>
    <row r="175" spans="2:17" x14ac:dyDescent="0.2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4"/>
    </row>
    <row r="176" spans="2:17" x14ac:dyDescent="0.2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4"/>
    </row>
    <row r="177" spans="2:17" x14ac:dyDescent="0.2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4"/>
    </row>
    <row r="178" spans="2:17" x14ac:dyDescent="0.2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4"/>
    </row>
    <row r="179" spans="2:17" x14ac:dyDescent="0.2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4"/>
    </row>
    <row r="180" spans="2:17" x14ac:dyDescent="0.2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4"/>
    </row>
    <row r="181" spans="2:17" x14ac:dyDescent="0.2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4"/>
    </row>
    <row r="182" spans="2:17" x14ac:dyDescent="0.2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4"/>
    </row>
    <row r="183" spans="2:17" x14ac:dyDescent="0.2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4"/>
    </row>
    <row r="184" spans="2:17" x14ac:dyDescent="0.2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4"/>
    </row>
    <row r="185" spans="2:17" x14ac:dyDescent="0.2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4"/>
    </row>
    <row r="186" spans="2:17" x14ac:dyDescent="0.2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4"/>
    </row>
    <row r="187" spans="2:17" x14ac:dyDescent="0.2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4"/>
    </row>
    <row r="188" spans="2:17" x14ac:dyDescent="0.2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4"/>
    </row>
    <row r="189" spans="2:17" x14ac:dyDescent="0.2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4"/>
    </row>
    <row r="190" spans="2:17" x14ac:dyDescent="0.2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4"/>
    </row>
    <row r="191" spans="2:17" x14ac:dyDescent="0.2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4"/>
    </row>
    <row r="192" spans="2:17" x14ac:dyDescent="0.2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4"/>
    </row>
    <row r="193" spans="2:17" x14ac:dyDescent="0.2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4"/>
    </row>
    <row r="194" spans="2:17" x14ac:dyDescent="0.2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4"/>
    </row>
    <row r="195" spans="2:17" x14ac:dyDescent="0.2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4"/>
    </row>
    <row r="196" spans="2:17" x14ac:dyDescent="0.2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4"/>
    </row>
    <row r="197" spans="2:17" x14ac:dyDescent="0.2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4"/>
    </row>
    <row r="198" spans="2:17" x14ac:dyDescent="0.2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4"/>
    </row>
    <row r="199" spans="2:17" x14ac:dyDescent="0.2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4"/>
    </row>
    <row r="200" spans="2:17" x14ac:dyDescent="0.2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4"/>
    </row>
    <row r="201" spans="2:17" x14ac:dyDescent="0.2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4"/>
    </row>
    <row r="202" spans="2:17" x14ac:dyDescent="0.2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4"/>
    </row>
    <row r="203" spans="2:17" x14ac:dyDescent="0.2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4"/>
    </row>
    <row r="204" spans="2:17" x14ac:dyDescent="0.2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4"/>
    </row>
    <row r="205" spans="2:17" x14ac:dyDescent="0.2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4"/>
    </row>
    <row r="206" spans="2:17" x14ac:dyDescent="0.2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4"/>
    </row>
    <row r="207" spans="2:17" x14ac:dyDescent="0.2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4"/>
    </row>
    <row r="208" spans="2:17" x14ac:dyDescent="0.2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4"/>
    </row>
    <row r="209" spans="2:17" x14ac:dyDescent="0.2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4"/>
    </row>
    <row r="210" spans="2:17" x14ac:dyDescent="0.2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4"/>
    </row>
    <row r="211" spans="2:17" x14ac:dyDescent="0.2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4"/>
    </row>
    <row r="212" spans="2:17" x14ac:dyDescent="0.2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4"/>
    </row>
    <row r="213" spans="2:17" x14ac:dyDescent="0.2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4"/>
    </row>
    <row r="214" spans="2:17" x14ac:dyDescent="0.2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4"/>
    </row>
    <row r="215" spans="2:17" x14ac:dyDescent="0.2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4"/>
    </row>
    <row r="216" spans="2:17" x14ac:dyDescent="0.2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4"/>
    </row>
    <row r="217" spans="2:17" x14ac:dyDescent="0.2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4"/>
    </row>
    <row r="218" spans="2:17" x14ac:dyDescent="0.2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4"/>
    </row>
    <row r="219" spans="2:17" x14ac:dyDescent="0.2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4"/>
    </row>
    <row r="220" spans="2:17" x14ac:dyDescent="0.2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4"/>
    </row>
    <row r="221" spans="2:17" x14ac:dyDescent="0.2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4"/>
    </row>
    <row r="222" spans="2:17" x14ac:dyDescent="0.2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4"/>
    </row>
    <row r="223" spans="2:17" x14ac:dyDescent="0.2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4"/>
    </row>
    <row r="224" spans="2:17" x14ac:dyDescent="0.2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4"/>
    </row>
    <row r="225" spans="2:17" x14ac:dyDescent="0.2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4"/>
    </row>
    <row r="226" spans="2:17" x14ac:dyDescent="0.2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4"/>
    </row>
    <row r="227" spans="2:17" x14ac:dyDescent="0.2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4"/>
    </row>
    <row r="228" spans="2:17" x14ac:dyDescent="0.2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4"/>
    </row>
    <row r="229" spans="2:17" x14ac:dyDescent="0.2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4"/>
    </row>
    <row r="230" spans="2:17" x14ac:dyDescent="0.2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4"/>
    </row>
    <row r="231" spans="2:17" x14ac:dyDescent="0.2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4"/>
    </row>
    <row r="232" spans="2:17" x14ac:dyDescent="0.2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4"/>
    </row>
    <row r="233" spans="2:17" x14ac:dyDescent="0.2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4"/>
    </row>
    <row r="234" spans="2:17" x14ac:dyDescent="0.2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4"/>
    </row>
    <row r="235" spans="2:17" x14ac:dyDescent="0.2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4"/>
    </row>
    <row r="236" spans="2:17" x14ac:dyDescent="0.2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4"/>
    </row>
    <row r="237" spans="2:17" x14ac:dyDescent="0.2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4"/>
    </row>
    <row r="238" spans="2:17" x14ac:dyDescent="0.2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4"/>
    </row>
    <row r="239" spans="2:17" x14ac:dyDescent="0.2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4"/>
    </row>
    <row r="240" spans="2:17" x14ac:dyDescent="0.2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4"/>
    </row>
    <row r="241" spans="2:17" x14ac:dyDescent="0.2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4"/>
    </row>
    <row r="242" spans="2:17" x14ac:dyDescent="0.2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4"/>
    </row>
    <row r="243" spans="2:17" x14ac:dyDescent="0.2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4"/>
    </row>
    <row r="244" spans="2:17" x14ac:dyDescent="0.2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4"/>
    </row>
    <row r="245" spans="2:17" x14ac:dyDescent="0.2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4"/>
    </row>
    <row r="246" spans="2:17" x14ac:dyDescent="0.2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4"/>
    </row>
    <row r="247" spans="2:17" x14ac:dyDescent="0.2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4"/>
    </row>
    <row r="248" spans="2:17" x14ac:dyDescent="0.2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4"/>
    </row>
    <row r="249" spans="2:17" x14ac:dyDescent="0.2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4"/>
    </row>
    <row r="250" spans="2:17" x14ac:dyDescent="0.2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4"/>
    </row>
    <row r="251" spans="2:17" x14ac:dyDescent="0.2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4"/>
    </row>
    <row r="252" spans="2:17" x14ac:dyDescent="0.2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4"/>
    </row>
    <row r="253" spans="2:17" x14ac:dyDescent="0.2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4"/>
    </row>
    <row r="254" spans="2:17" x14ac:dyDescent="0.2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4"/>
    </row>
    <row r="255" spans="2:17" x14ac:dyDescent="0.2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4"/>
    </row>
    <row r="256" spans="2:17" x14ac:dyDescent="0.2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4"/>
    </row>
    <row r="257" spans="2:17" x14ac:dyDescent="0.2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4"/>
    </row>
    <row r="258" spans="2:17" x14ac:dyDescent="0.2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4"/>
    </row>
    <row r="259" spans="2:17" x14ac:dyDescent="0.2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4"/>
    </row>
    <row r="260" spans="2:17" x14ac:dyDescent="0.2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4"/>
    </row>
    <row r="261" spans="2:17" x14ac:dyDescent="0.2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4"/>
    </row>
    <row r="262" spans="2:17" x14ac:dyDescent="0.2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4"/>
    </row>
    <row r="263" spans="2:17" x14ac:dyDescent="0.2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4"/>
    </row>
    <row r="264" spans="2:17" x14ac:dyDescent="0.2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4"/>
    </row>
    <row r="265" spans="2:17" x14ac:dyDescent="0.2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4"/>
    </row>
    <row r="266" spans="2:17" x14ac:dyDescent="0.2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4"/>
    </row>
    <row r="267" spans="2:17" x14ac:dyDescent="0.2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4"/>
    </row>
    <row r="268" spans="2:17" x14ac:dyDescent="0.2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4"/>
    </row>
    <row r="269" spans="2:17" x14ac:dyDescent="0.2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4"/>
    </row>
    <row r="270" spans="2:17" x14ac:dyDescent="0.2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4"/>
    </row>
    <row r="271" spans="2:17" x14ac:dyDescent="0.2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4"/>
    </row>
    <row r="272" spans="2:17" x14ac:dyDescent="0.2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4"/>
    </row>
    <row r="273" spans="2:17" x14ac:dyDescent="0.2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4"/>
    </row>
    <row r="274" spans="2:17" x14ac:dyDescent="0.2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4"/>
    </row>
    <row r="275" spans="2:17" x14ac:dyDescent="0.2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4"/>
    </row>
    <row r="276" spans="2:17" x14ac:dyDescent="0.2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4"/>
    </row>
    <row r="277" spans="2:17" x14ac:dyDescent="0.2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4"/>
    </row>
    <row r="278" spans="2:17" x14ac:dyDescent="0.2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4"/>
    </row>
    <row r="279" spans="2:17" x14ac:dyDescent="0.2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4"/>
    </row>
    <row r="280" spans="2:17" x14ac:dyDescent="0.2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4"/>
    </row>
    <row r="281" spans="2:17" x14ac:dyDescent="0.2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4"/>
    </row>
    <row r="282" spans="2:17" x14ac:dyDescent="0.2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4"/>
    </row>
    <row r="283" spans="2:17" x14ac:dyDescent="0.2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4"/>
    </row>
    <row r="284" spans="2:17" x14ac:dyDescent="0.2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4"/>
    </row>
    <row r="285" spans="2:17" x14ac:dyDescent="0.2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4"/>
    </row>
    <row r="286" spans="2:17" x14ac:dyDescent="0.2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4"/>
    </row>
    <row r="287" spans="2:17" x14ac:dyDescent="0.2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4"/>
    </row>
    <row r="288" spans="2:17" x14ac:dyDescent="0.2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4"/>
    </row>
    <row r="289" spans="2:17" x14ac:dyDescent="0.2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4"/>
    </row>
    <row r="290" spans="2:17" x14ac:dyDescent="0.2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4"/>
    </row>
    <row r="291" spans="2:17" x14ac:dyDescent="0.2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4"/>
    </row>
    <row r="292" spans="2:17" x14ac:dyDescent="0.2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4"/>
    </row>
    <row r="293" spans="2:17" x14ac:dyDescent="0.2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4"/>
    </row>
    <row r="294" spans="2:17" x14ac:dyDescent="0.2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4"/>
    </row>
    <row r="295" spans="2:17" x14ac:dyDescent="0.2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4"/>
    </row>
    <row r="296" spans="2:17" x14ac:dyDescent="0.2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4"/>
    </row>
    <row r="297" spans="2:17" x14ac:dyDescent="0.2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4"/>
    </row>
    <row r="298" spans="2:17" x14ac:dyDescent="0.2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4"/>
    </row>
    <row r="299" spans="2:17" x14ac:dyDescent="0.2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4"/>
    </row>
    <row r="300" spans="2:17" x14ac:dyDescent="0.2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4"/>
    </row>
    <row r="301" spans="2:17" x14ac:dyDescent="0.2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4"/>
    </row>
    <row r="302" spans="2:17" x14ac:dyDescent="0.2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4"/>
    </row>
    <row r="303" spans="2:17" x14ac:dyDescent="0.2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4"/>
    </row>
    <row r="304" spans="2:17" x14ac:dyDescent="0.2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4"/>
    </row>
    <row r="305" spans="2:17" x14ac:dyDescent="0.2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4"/>
    </row>
    <row r="306" spans="2:17" x14ac:dyDescent="0.2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4"/>
    </row>
    <row r="307" spans="2:17" x14ac:dyDescent="0.2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4"/>
    </row>
    <row r="308" spans="2:17" x14ac:dyDescent="0.2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4"/>
    </row>
    <row r="309" spans="2:17" x14ac:dyDescent="0.2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4"/>
    </row>
    <row r="310" spans="2:17" x14ac:dyDescent="0.2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4"/>
    </row>
    <row r="311" spans="2:17" x14ac:dyDescent="0.2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4"/>
    </row>
    <row r="312" spans="2:17" x14ac:dyDescent="0.2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4"/>
    </row>
    <row r="313" spans="2:17" x14ac:dyDescent="0.2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4"/>
    </row>
    <row r="314" spans="2:17" x14ac:dyDescent="0.2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4"/>
    </row>
    <row r="315" spans="2:17" x14ac:dyDescent="0.2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4"/>
    </row>
    <row r="316" spans="2:17" x14ac:dyDescent="0.2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4"/>
    </row>
    <row r="317" spans="2:17" x14ac:dyDescent="0.2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4"/>
    </row>
    <row r="318" spans="2:17" x14ac:dyDescent="0.2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4"/>
    </row>
    <row r="319" spans="2:17" x14ac:dyDescent="0.2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4"/>
    </row>
    <row r="320" spans="2:17" x14ac:dyDescent="0.2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4"/>
    </row>
    <row r="321" spans="2:17" x14ac:dyDescent="0.2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4"/>
    </row>
    <row r="322" spans="2:17" x14ac:dyDescent="0.2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4"/>
    </row>
    <row r="323" spans="2:17" x14ac:dyDescent="0.2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4"/>
    </row>
    <row r="324" spans="2:17" x14ac:dyDescent="0.2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4"/>
    </row>
    <row r="325" spans="2:17" x14ac:dyDescent="0.2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4"/>
    </row>
    <row r="326" spans="2:17" x14ac:dyDescent="0.2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4"/>
    </row>
    <row r="327" spans="2:17" x14ac:dyDescent="0.2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4"/>
    </row>
    <row r="328" spans="2:17" x14ac:dyDescent="0.2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4"/>
    </row>
    <row r="329" spans="2:17" x14ac:dyDescent="0.2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4"/>
    </row>
    <row r="330" spans="2:17" x14ac:dyDescent="0.2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4"/>
    </row>
    <row r="331" spans="2:17" x14ac:dyDescent="0.2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4"/>
    </row>
    <row r="332" spans="2:17" x14ac:dyDescent="0.2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4"/>
    </row>
    <row r="333" spans="2:17" x14ac:dyDescent="0.2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4"/>
    </row>
    <row r="334" spans="2:17" x14ac:dyDescent="0.2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4"/>
    </row>
    <row r="335" spans="2:17" x14ac:dyDescent="0.2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4"/>
    </row>
    <row r="336" spans="2:17" x14ac:dyDescent="0.2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4"/>
    </row>
    <row r="337" spans="2:17" x14ac:dyDescent="0.2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4"/>
    </row>
    <row r="338" spans="2:17" x14ac:dyDescent="0.2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4"/>
    </row>
    <row r="339" spans="2:17" x14ac:dyDescent="0.2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4"/>
    </row>
    <row r="340" spans="2:17" x14ac:dyDescent="0.2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4"/>
    </row>
    <row r="341" spans="2:17" x14ac:dyDescent="0.2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4"/>
    </row>
    <row r="342" spans="2:17" x14ac:dyDescent="0.2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4"/>
    </row>
    <row r="343" spans="2:17" x14ac:dyDescent="0.2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4"/>
    </row>
    <row r="344" spans="2:17" x14ac:dyDescent="0.2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4"/>
    </row>
    <row r="345" spans="2:17" x14ac:dyDescent="0.2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4"/>
    </row>
    <row r="346" spans="2:17" x14ac:dyDescent="0.2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4"/>
    </row>
    <row r="347" spans="2:17" x14ac:dyDescent="0.2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4"/>
    </row>
    <row r="348" spans="2:17" x14ac:dyDescent="0.2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4"/>
    </row>
    <row r="349" spans="2:17" x14ac:dyDescent="0.2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4"/>
    </row>
    <row r="350" spans="2:17" x14ac:dyDescent="0.2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4"/>
    </row>
    <row r="351" spans="2:17" x14ac:dyDescent="0.2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4"/>
    </row>
    <row r="352" spans="2:17" x14ac:dyDescent="0.2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4"/>
    </row>
    <row r="353" spans="2:17" x14ac:dyDescent="0.2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4"/>
    </row>
    <row r="354" spans="2:17" x14ac:dyDescent="0.2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4"/>
    </row>
    <row r="355" spans="2:17" x14ac:dyDescent="0.2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4"/>
    </row>
    <row r="356" spans="2:17" x14ac:dyDescent="0.2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4"/>
    </row>
    <row r="357" spans="2:17" x14ac:dyDescent="0.2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4"/>
    </row>
    <row r="358" spans="2:17" x14ac:dyDescent="0.2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4"/>
    </row>
    <row r="359" spans="2:17" x14ac:dyDescent="0.2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4"/>
    </row>
    <row r="360" spans="2:17" x14ac:dyDescent="0.2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4"/>
    </row>
    <row r="361" spans="2:17" x14ac:dyDescent="0.2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4"/>
    </row>
    <row r="362" spans="2:17" x14ac:dyDescent="0.2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4"/>
    </row>
    <row r="363" spans="2:17" x14ac:dyDescent="0.2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4"/>
    </row>
    <row r="364" spans="2:17" x14ac:dyDescent="0.2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4"/>
    </row>
    <row r="365" spans="2:17" x14ac:dyDescent="0.2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4"/>
    </row>
    <row r="366" spans="2:17" x14ac:dyDescent="0.2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4"/>
    </row>
    <row r="367" spans="2:17" x14ac:dyDescent="0.2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4"/>
    </row>
    <row r="368" spans="2:17" x14ac:dyDescent="0.2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4"/>
    </row>
    <row r="369" spans="2:17" x14ac:dyDescent="0.2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4"/>
    </row>
    <row r="370" spans="2:17" x14ac:dyDescent="0.2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4"/>
    </row>
    <row r="371" spans="2:17" x14ac:dyDescent="0.2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4"/>
    </row>
    <row r="372" spans="2:17" x14ac:dyDescent="0.2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4"/>
    </row>
    <row r="373" spans="2:17" x14ac:dyDescent="0.2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4"/>
    </row>
    <row r="374" spans="2:17" x14ac:dyDescent="0.2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4"/>
    </row>
    <row r="375" spans="2:17" x14ac:dyDescent="0.2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4"/>
    </row>
    <row r="376" spans="2:17" x14ac:dyDescent="0.2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4"/>
    </row>
    <row r="377" spans="2:17" x14ac:dyDescent="0.2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4"/>
    </row>
    <row r="378" spans="2:17" x14ac:dyDescent="0.2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4"/>
    </row>
    <row r="379" spans="2:17" x14ac:dyDescent="0.2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4"/>
    </row>
    <row r="380" spans="2:17" x14ac:dyDescent="0.2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4"/>
    </row>
    <row r="381" spans="2:17" x14ac:dyDescent="0.2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4"/>
    </row>
    <row r="382" spans="2:17" x14ac:dyDescent="0.2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4"/>
    </row>
    <row r="383" spans="2:17" x14ac:dyDescent="0.2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4"/>
    </row>
    <row r="384" spans="2:17" x14ac:dyDescent="0.2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4"/>
    </row>
    <row r="385" spans="2:17" x14ac:dyDescent="0.2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4"/>
    </row>
    <row r="386" spans="2:17" x14ac:dyDescent="0.2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4"/>
    </row>
    <row r="387" spans="2:17" x14ac:dyDescent="0.2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4"/>
    </row>
    <row r="388" spans="2:17" x14ac:dyDescent="0.2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4"/>
    </row>
    <row r="389" spans="2:17" x14ac:dyDescent="0.2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4"/>
    </row>
    <row r="390" spans="2:17" x14ac:dyDescent="0.2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4"/>
    </row>
    <row r="391" spans="2:17" x14ac:dyDescent="0.2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4"/>
    </row>
    <row r="392" spans="2:17" x14ac:dyDescent="0.2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4"/>
    </row>
    <row r="393" spans="2:17" x14ac:dyDescent="0.2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4"/>
    </row>
    <row r="394" spans="2:17" x14ac:dyDescent="0.2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4"/>
    </row>
    <row r="395" spans="2:17" x14ac:dyDescent="0.2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4"/>
    </row>
    <row r="396" spans="2:17" x14ac:dyDescent="0.2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4"/>
    </row>
    <row r="397" spans="2:17" x14ac:dyDescent="0.2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4"/>
    </row>
    <row r="398" spans="2:17" x14ac:dyDescent="0.2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4"/>
    </row>
    <row r="399" spans="2:17" x14ac:dyDescent="0.2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4"/>
    </row>
    <row r="400" spans="2:17" x14ac:dyDescent="0.2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4"/>
    </row>
    <row r="401" spans="2:17" x14ac:dyDescent="0.2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4"/>
    </row>
    <row r="402" spans="2:17" x14ac:dyDescent="0.2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4"/>
    </row>
    <row r="403" spans="2:17" x14ac:dyDescent="0.2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4"/>
    </row>
    <row r="404" spans="2:17" x14ac:dyDescent="0.2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4"/>
    </row>
    <row r="405" spans="2:17" x14ac:dyDescent="0.2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4"/>
    </row>
    <row r="406" spans="2:17" x14ac:dyDescent="0.2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4"/>
    </row>
    <row r="407" spans="2:17" x14ac:dyDescent="0.2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4"/>
    </row>
    <row r="408" spans="2:17" x14ac:dyDescent="0.2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4"/>
    </row>
    <row r="409" spans="2:17" x14ac:dyDescent="0.2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4"/>
    </row>
    <row r="410" spans="2:17" x14ac:dyDescent="0.2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4"/>
    </row>
    <row r="411" spans="2:17" x14ac:dyDescent="0.2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4"/>
    </row>
    <row r="412" spans="2:17" x14ac:dyDescent="0.2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4"/>
    </row>
    <row r="413" spans="2:17" x14ac:dyDescent="0.2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4"/>
    </row>
    <row r="414" spans="2:17" x14ac:dyDescent="0.2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4"/>
    </row>
    <row r="415" spans="2:17" x14ac:dyDescent="0.2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4"/>
    </row>
    <row r="416" spans="2:17" x14ac:dyDescent="0.2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4"/>
    </row>
    <row r="417" spans="2:17" x14ac:dyDescent="0.2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4"/>
    </row>
    <row r="418" spans="2:17" x14ac:dyDescent="0.2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4"/>
    </row>
    <row r="419" spans="2:17" x14ac:dyDescent="0.2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4"/>
    </row>
    <row r="420" spans="2:17" x14ac:dyDescent="0.2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4"/>
    </row>
    <row r="421" spans="2:17" x14ac:dyDescent="0.2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4"/>
    </row>
    <row r="422" spans="2:17" x14ac:dyDescent="0.2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4"/>
    </row>
    <row r="423" spans="2:17" x14ac:dyDescent="0.2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4"/>
    </row>
    <row r="424" spans="2:17" x14ac:dyDescent="0.2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4"/>
    </row>
    <row r="425" spans="2:17" x14ac:dyDescent="0.2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4"/>
    </row>
    <row r="426" spans="2:17" x14ac:dyDescent="0.2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4"/>
    </row>
    <row r="427" spans="2:17" x14ac:dyDescent="0.2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4"/>
    </row>
    <row r="428" spans="2:17" x14ac:dyDescent="0.2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4"/>
    </row>
    <row r="429" spans="2:17" x14ac:dyDescent="0.2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4"/>
    </row>
    <row r="430" spans="2:17" x14ac:dyDescent="0.2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4"/>
    </row>
    <row r="431" spans="2:17" x14ac:dyDescent="0.2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4"/>
    </row>
    <row r="432" spans="2:17" x14ac:dyDescent="0.2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4"/>
    </row>
    <row r="433" spans="2:17" x14ac:dyDescent="0.2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4"/>
    </row>
    <row r="434" spans="2:17" x14ac:dyDescent="0.2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4"/>
    </row>
    <row r="435" spans="2:17" x14ac:dyDescent="0.2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4"/>
    </row>
    <row r="436" spans="2:17" x14ac:dyDescent="0.2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4"/>
    </row>
    <row r="437" spans="2:17" x14ac:dyDescent="0.2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4"/>
    </row>
    <row r="438" spans="2:17" x14ac:dyDescent="0.2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4"/>
    </row>
    <row r="439" spans="2:17" x14ac:dyDescent="0.2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4"/>
    </row>
    <row r="440" spans="2:17" x14ac:dyDescent="0.2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4"/>
    </row>
    <row r="441" spans="2:17" x14ac:dyDescent="0.2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4"/>
    </row>
    <row r="442" spans="2:17" x14ac:dyDescent="0.2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4"/>
    </row>
    <row r="443" spans="2:17" x14ac:dyDescent="0.2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4"/>
    </row>
    <row r="444" spans="2:17" x14ac:dyDescent="0.2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4"/>
    </row>
    <row r="445" spans="2:17" x14ac:dyDescent="0.2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4"/>
    </row>
    <row r="446" spans="2:17" x14ac:dyDescent="0.2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4"/>
    </row>
    <row r="447" spans="2:17" x14ac:dyDescent="0.2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4"/>
    </row>
    <row r="448" spans="2:17" x14ac:dyDescent="0.2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4"/>
    </row>
    <row r="449" spans="2:17" x14ac:dyDescent="0.2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4"/>
    </row>
    <row r="450" spans="2:17" x14ac:dyDescent="0.2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4"/>
    </row>
    <row r="451" spans="2:17" x14ac:dyDescent="0.2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4"/>
    </row>
    <row r="452" spans="2:17" x14ac:dyDescent="0.2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4"/>
    </row>
    <row r="453" spans="2:17" x14ac:dyDescent="0.2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4"/>
    </row>
    <row r="454" spans="2:17" x14ac:dyDescent="0.2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4"/>
    </row>
    <row r="455" spans="2:17" x14ac:dyDescent="0.2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4"/>
    </row>
    <row r="456" spans="2:17" x14ac:dyDescent="0.2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4"/>
    </row>
    <row r="457" spans="2:17" x14ac:dyDescent="0.2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4"/>
    </row>
    <row r="458" spans="2:17" x14ac:dyDescent="0.2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4"/>
    </row>
    <row r="459" spans="2:17" x14ac:dyDescent="0.2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4"/>
    </row>
    <row r="460" spans="2:17" x14ac:dyDescent="0.2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4"/>
    </row>
    <row r="461" spans="2:17" x14ac:dyDescent="0.2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4"/>
    </row>
    <row r="462" spans="2:17" x14ac:dyDescent="0.2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4"/>
    </row>
    <row r="463" spans="2:17" x14ac:dyDescent="0.2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4"/>
    </row>
    <row r="464" spans="2:17" x14ac:dyDescent="0.2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4"/>
    </row>
    <row r="465" spans="2:17" x14ac:dyDescent="0.2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4"/>
    </row>
    <row r="466" spans="2:17" x14ac:dyDescent="0.2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4"/>
    </row>
    <row r="467" spans="2:17" x14ac:dyDescent="0.2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4"/>
    </row>
    <row r="468" spans="2:17" x14ac:dyDescent="0.2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4"/>
    </row>
    <row r="469" spans="2:17" x14ac:dyDescent="0.2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4"/>
    </row>
    <row r="470" spans="2:17" x14ac:dyDescent="0.2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4"/>
    </row>
    <row r="471" spans="2:17" x14ac:dyDescent="0.2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4"/>
    </row>
    <row r="472" spans="2:17" x14ac:dyDescent="0.2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4"/>
    </row>
    <row r="473" spans="2:17" x14ac:dyDescent="0.2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4"/>
    </row>
    <row r="474" spans="2:17" x14ac:dyDescent="0.2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4"/>
    </row>
    <row r="475" spans="2:17" x14ac:dyDescent="0.2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4"/>
    </row>
    <row r="476" spans="2:17" x14ac:dyDescent="0.2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4"/>
    </row>
    <row r="477" spans="2:17" x14ac:dyDescent="0.2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4"/>
    </row>
    <row r="478" spans="2:17" x14ac:dyDescent="0.2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4"/>
    </row>
    <row r="479" spans="2:17" x14ac:dyDescent="0.2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4"/>
    </row>
    <row r="480" spans="2:17" x14ac:dyDescent="0.2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4"/>
    </row>
    <row r="481" spans="2:17" x14ac:dyDescent="0.2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4"/>
    </row>
    <row r="482" spans="2:17" x14ac:dyDescent="0.2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4"/>
    </row>
    <row r="483" spans="2:17" x14ac:dyDescent="0.2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4"/>
    </row>
    <row r="484" spans="2:17" x14ac:dyDescent="0.2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4"/>
    </row>
    <row r="485" spans="2:17" x14ac:dyDescent="0.2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4"/>
    </row>
    <row r="486" spans="2:17" x14ac:dyDescent="0.2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4"/>
    </row>
    <row r="487" spans="2:17" x14ac:dyDescent="0.2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4"/>
    </row>
    <row r="488" spans="2:17" x14ac:dyDescent="0.2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4"/>
    </row>
    <row r="489" spans="2:17" x14ac:dyDescent="0.2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4"/>
    </row>
    <row r="490" spans="2:17" x14ac:dyDescent="0.2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4"/>
    </row>
    <row r="491" spans="2:17" x14ac:dyDescent="0.2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4"/>
    </row>
    <row r="492" spans="2:17" x14ac:dyDescent="0.2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4"/>
    </row>
    <row r="493" spans="2:17" x14ac:dyDescent="0.2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4"/>
    </row>
    <row r="494" spans="2:17" x14ac:dyDescent="0.2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4"/>
    </row>
    <row r="495" spans="2:17" x14ac:dyDescent="0.2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4"/>
    </row>
    <row r="496" spans="2:17" x14ac:dyDescent="0.2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4"/>
    </row>
    <row r="497" spans="2:17" x14ac:dyDescent="0.2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4"/>
    </row>
    <row r="498" spans="2:17" x14ac:dyDescent="0.2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4"/>
    </row>
    <row r="499" spans="2:17" x14ac:dyDescent="0.2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4"/>
    </row>
    <row r="500" spans="2:17" x14ac:dyDescent="0.2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4"/>
    </row>
    <row r="501" spans="2:17" x14ac:dyDescent="0.2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4"/>
    </row>
    <row r="502" spans="2:17" x14ac:dyDescent="0.2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4"/>
    </row>
    <row r="503" spans="2:17" x14ac:dyDescent="0.2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4"/>
    </row>
    <row r="504" spans="2:17" x14ac:dyDescent="0.2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4"/>
    </row>
    <row r="505" spans="2:17" x14ac:dyDescent="0.2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4"/>
    </row>
    <row r="506" spans="2:17" x14ac:dyDescent="0.2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4"/>
    </row>
    <row r="507" spans="2:17" x14ac:dyDescent="0.2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4"/>
    </row>
    <row r="508" spans="2:17" x14ac:dyDescent="0.2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4"/>
    </row>
    <row r="509" spans="2:17" x14ac:dyDescent="0.2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4"/>
    </row>
    <row r="510" spans="2:17" x14ac:dyDescent="0.2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4"/>
    </row>
    <row r="511" spans="2:17" x14ac:dyDescent="0.2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4"/>
    </row>
    <row r="512" spans="2:17" x14ac:dyDescent="0.2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4"/>
    </row>
    <row r="513" spans="2:17" x14ac:dyDescent="0.2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4"/>
    </row>
    <row r="514" spans="2:17" x14ac:dyDescent="0.2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4"/>
    </row>
    <row r="515" spans="2:17" x14ac:dyDescent="0.2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4"/>
    </row>
    <row r="516" spans="2:17" x14ac:dyDescent="0.2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4"/>
    </row>
    <row r="517" spans="2:17" x14ac:dyDescent="0.2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4"/>
    </row>
    <row r="518" spans="2:17" x14ac:dyDescent="0.2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4"/>
    </row>
    <row r="519" spans="2:17" x14ac:dyDescent="0.2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4"/>
    </row>
    <row r="520" spans="2:17" x14ac:dyDescent="0.2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4"/>
    </row>
    <row r="521" spans="2:17" x14ac:dyDescent="0.2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4"/>
    </row>
    <row r="522" spans="2:17" x14ac:dyDescent="0.2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4"/>
    </row>
    <row r="523" spans="2:17" x14ac:dyDescent="0.2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4"/>
    </row>
    <row r="524" spans="2:17" x14ac:dyDescent="0.2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4"/>
    </row>
    <row r="525" spans="2:17" x14ac:dyDescent="0.2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4"/>
    </row>
    <row r="526" spans="2:17" x14ac:dyDescent="0.2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4"/>
    </row>
    <row r="527" spans="2:17" x14ac:dyDescent="0.2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4"/>
    </row>
    <row r="528" spans="2:17" x14ac:dyDescent="0.2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4"/>
    </row>
    <row r="529" spans="2:17" x14ac:dyDescent="0.2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4"/>
    </row>
    <row r="530" spans="2:17" x14ac:dyDescent="0.2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4"/>
    </row>
    <row r="531" spans="2:17" x14ac:dyDescent="0.2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4"/>
    </row>
    <row r="532" spans="2:17" x14ac:dyDescent="0.2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4"/>
    </row>
    <row r="533" spans="2:17" x14ac:dyDescent="0.2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4"/>
    </row>
    <row r="534" spans="2:17" x14ac:dyDescent="0.2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4"/>
    </row>
    <row r="535" spans="2:17" x14ac:dyDescent="0.2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4"/>
    </row>
    <row r="536" spans="2:17" x14ac:dyDescent="0.2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4"/>
    </row>
    <row r="537" spans="2:17" x14ac:dyDescent="0.2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4"/>
    </row>
    <row r="538" spans="2:17" x14ac:dyDescent="0.2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4"/>
    </row>
    <row r="539" spans="2:17" x14ac:dyDescent="0.2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4"/>
    </row>
    <row r="540" spans="2:17" x14ac:dyDescent="0.2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4"/>
    </row>
    <row r="541" spans="2:17" x14ac:dyDescent="0.2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4"/>
    </row>
    <row r="542" spans="2:17" x14ac:dyDescent="0.2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4"/>
    </row>
    <row r="543" spans="2:17" x14ac:dyDescent="0.2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4"/>
    </row>
    <row r="544" spans="2:17" x14ac:dyDescent="0.2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4"/>
    </row>
    <row r="545" spans="2:17" x14ac:dyDescent="0.2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4"/>
    </row>
    <row r="546" spans="2:17" x14ac:dyDescent="0.2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4"/>
    </row>
    <row r="547" spans="2:17" x14ac:dyDescent="0.2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4"/>
    </row>
    <row r="548" spans="2:17" x14ac:dyDescent="0.2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4"/>
    </row>
    <row r="549" spans="2:17" x14ac:dyDescent="0.2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4"/>
    </row>
    <row r="550" spans="2:17" x14ac:dyDescent="0.2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4"/>
    </row>
    <row r="551" spans="2:17" x14ac:dyDescent="0.2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4"/>
    </row>
    <row r="552" spans="2:17" x14ac:dyDescent="0.2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4"/>
    </row>
    <row r="553" spans="2:17" x14ac:dyDescent="0.2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4"/>
    </row>
    <row r="554" spans="2:17" x14ac:dyDescent="0.2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4"/>
    </row>
    <row r="555" spans="2:17" x14ac:dyDescent="0.2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4"/>
    </row>
    <row r="556" spans="2:17" x14ac:dyDescent="0.2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4"/>
    </row>
    <row r="557" spans="2:17" x14ac:dyDescent="0.2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4"/>
    </row>
    <row r="558" spans="2:17" x14ac:dyDescent="0.2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4"/>
    </row>
    <row r="559" spans="2:17" x14ac:dyDescent="0.2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4"/>
    </row>
    <row r="560" spans="2:17" x14ac:dyDescent="0.2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4"/>
    </row>
    <row r="561" spans="2:17" x14ac:dyDescent="0.2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4"/>
    </row>
    <row r="562" spans="2:17" x14ac:dyDescent="0.2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4"/>
    </row>
    <row r="563" spans="2:17" x14ac:dyDescent="0.2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4"/>
    </row>
    <row r="564" spans="2:17" x14ac:dyDescent="0.2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4"/>
    </row>
    <row r="565" spans="2:17" x14ac:dyDescent="0.2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4"/>
    </row>
    <row r="566" spans="2:17" x14ac:dyDescent="0.2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4"/>
    </row>
    <row r="567" spans="2:17" x14ac:dyDescent="0.2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4"/>
    </row>
    <row r="568" spans="2:17" x14ac:dyDescent="0.2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4"/>
    </row>
    <row r="569" spans="2:17" x14ac:dyDescent="0.2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4"/>
    </row>
    <row r="570" spans="2:17" x14ac:dyDescent="0.2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4"/>
    </row>
    <row r="571" spans="2:17" x14ac:dyDescent="0.2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4"/>
    </row>
    <row r="572" spans="2:17" x14ac:dyDescent="0.2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4"/>
    </row>
    <row r="573" spans="2:17" x14ac:dyDescent="0.2"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4"/>
    </row>
    <row r="574" spans="2:17" x14ac:dyDescent="0.2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4"/>
    </row>
    <row r="575" spans="2:17" x14ac:dyDescent="0.2"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4"/>
    </row>
    <row r="576" spans="2:17" x14ac:dyDescent="0.2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4"/>
    </row>
    <row r="577" spans="2:17" x14ac:dyDescent="0.2"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4"/>
    </row>
    <row r="578" spans="2:17" x14ac:dyDescent="0.2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4"/>
    </row>
    <row r="579" spans="2:17" x14ac:dyDescent="0.2"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4"/>
    </row>
    <row r="580" spans="2:17" x14ac:dyDescent="0.2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4"/>
    </row>
    <row r="581" spans="2:17" x14ac:dyDescent="0.2"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4"/>
    </row>
    <row r="582" spans="2:17" x14ac:dyDescent="0.2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4"/>
    </row>
    <row r="583" spans="2:17" x14ac:dyDescent="0.2"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4"/>
    </row>
    <row r="584" spans="2:17" x14ac:dyDescent="0.2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4"/>
    </row>
    <row r="585" spans="2:17" x14ac:dyDescent="0.2"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4"/>
    </row>
    <row r="586" spans="2:17" x14ac:dyDescent="0.2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4"/>
    </row>
    <row r="587" spans="2:17" x14ac:dyDescent="0.2"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4"/>
    </row>
    <row r="588" spans="2:17" x14ac:dyDescent="0.2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4"/>
    </row>
    <row r="589" spans="2:17" x14ac:dyDescent="0.2"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4"/>
    </row>
    <row r="590" spans="2:17" x14ac:dyDescent="0.2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4"/>
    </row>
    <row r="591" spans="2:17" x14ac:dyDescent="0.2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4"/>
    </row>
    <row r="592" spans="2:17" x14ac:dyDescent="0.2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4"/>
    </row>
    <row r="593" spans="2:17" x14ac:dyDescent="0.2"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4"/>
    </row>
    <row r="594" spans="2:17" x14ac:dyDescent="0.2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4"/>
    </row>
    <row r="595" spans="2:17" x14ac:dyDescent="0.2"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4"/>
    </row>
    <row r="596" spans="2:17" x14ac:dyDescent="0.2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4"/>
    </row>
    <row r="597" spans="2:17" x14ac:dyDescent="0.2"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4"/>
    </row>
    <row r="598" spans="2:17" x14ac:dyDescent="0.2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4"/>
    </row>
    <row r="599" spans="2:17" x14ac:dyDescent="0.2"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4"/>
    </row>
    <row r="600" spans="2:17" x14ac:dyDescent="0.2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4"/>
    </row>
    <row r="601" spans="2:17" x14ac:dyDescent="0.2"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4"/>
    </row>
    <row r="602" spans="2:17" x14ac:dyDescent="0.2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4"/>
    </row>
    <row r="603" spans="2:17" x14ac:dyDescent="0.2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4"/>
    </row>
    <row r="604" spans="2:17" x14ac:dyDescent="0.2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4"/>
    </row>
    <row r="605" spans="2:17" x14ac:dyDescent="0.2"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4"/>
    </row>
    <row r="606" spans="2:17" x14ac:dyDescent="0.2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4"/>
    </row>
    <row r="607" spans="2:17" x14ac:dyDescent="0.2"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4"/>
    </row>
    <row r="608" spans="2:17" x14ac:dyDescent="0.2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4"/>
    </row>
    <row r="609" spans="2:17" x14ac:dyDescent="0.2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4"/>
    </row>
    <row r="610" spans="2:17" x14ac:dyDescent="0.2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4"/>
    </row>
    <row r="611" spans="2:17" x14ac:dyDescent="0.2"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4"/>
    </row>
    <row r="612" spans="2:17" x14ac:dyDescent="0.2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4"/>
    </row>
    <row r="613" spans="2:17" x14ac:dyDescent="0.2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4"/>
    </row>
    <row r="614" spans="2:17" x14ac:dyDescent="0.2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4"/>
    </row>
    <row r="615" spans="2:17" x14ac:dyDescent="0.2"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4"/>
    </row>
    <row r="616" spans="2:17" x14ac:dyDescent="0.2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4"/>
    </row>
    <row r="617" spans="2:17" x14ac:dyDescent="0.2"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4"/>
    </row>
    <row r="618" spans="2:17" x14ac:dyDescent="0.2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4"/>
    </row>
    <row r="619" spans="2:17" x14ac:dyDescent="0.2"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4"/>
    </row>
    <row r="620" spans="2:17" x14ac:dyDescent="0.2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4"/>
    </row>
    <row r="621" spans="2:17" x14ac:dyDescent="0.2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4"/>
    </row>
    <row r="622" spans="2:17" x14ac:dyDescent="0.2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4"/>
    </row>
    <row r="623" spans="2:17" x14ac:dyDescent="0.2"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4"/>
    </row>
    <row r="624" spans="2:17" x14ac:dyDescent="0.2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4"/>
    </row>
    <row r="625" spans="2:17" x14ac:dyDescent="0.2"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4"/>
    </row>
    <row r="626" spans="2:17" x14ac:dyDescent="0.2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4"/>
    </row>
    <row r="627" spans="2:17" x14ac:dyDescent="0.2"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4"/>
    </row>
    <row r="628" spans="2:17" x14ac:dyDescent="0.2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4"/>
    </row>
    <row r="629" spans="2:17" x14ac:dyDescent="0.2"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4"/>
    </row>
    <row r="630" spans="2:17" x14ac:dyDescent="0.2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4"/>
    </row>
    <row r="631" spans="2:17" x14ac:dyDescent="0.2"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4"/>
    </row>
    <row r="632" spans="2:17" x14ac:dyDescent="0.2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4"/>
    </row>
    <row r="633" spans="2:17" x14ac:dyDescent="0.2"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4"/>
    </row>
    <row r="634" spans="2:17" x14ac:dyDescent="0.2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4"/>
    </row>
    <row r="635" spans="2:17" x14ac:dyDescent="0.2"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4"/>
    </row>
    <row r="636" spans="2:17" x14ac:dyDescent="0.2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4"/>
    </row>
    <row r="637" spans="2:17" x14ac:dyDescent="0.2"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4"/>
    </row>
    <row r="638" spans="2:17" x14ac:dyDescent="0.2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4"/>
    </row>
    <row r="639" spans="2:17" x14ac:dyDescent="0.2"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4"/>
    </row>
    <row r="640" spans="2:17" x14ac:dyDescent="0.2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4"/>
    </row>
    <row r="641" spans="2:17" x14ac:dyDescent="0.2"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4"/>
    </row>
    <row r="642" spans="2:17" x14ac:dyDescent="0.2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4"/>
    </row>
    <row r="643" spans="2:17" x14ac:dyDescent="0.2"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4"/>
    </row>
    <row r="644" spans="2:17" x14ac:dyDescent="0.2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4"/>
    </row>
    <row r="645" spans="2:17" x14ac:dyDescent="0.2"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4"/>
    </row>
    <row r="646" spans="2:17" x14ac:dyDescent="0.2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4"/>
    </row>
    <row r="647" spans="2:17" x14ac:dyDescent="0.2"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4"/>
    </row>
    <row r="648" spans="2:17" x14ac:dyDescent="0.2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4"/>
    </row>
    <row r="649" spans="2:17" x14ac:dyDescent="0.2"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4"/>
    </row>
    <row r="650" spans="2:17" x14ac:dyDescent="0.2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4"/>
    </row>
    <row r="651" spans="2:17" x14ac:dyDescent="0.2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4"/>
    </row>
    <row r="652" spans="2:17" x14ac:dyDescent="0.2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4"/>
    </row>
    <row r="653" spans="2:17" x14ac:dyDescent="0.2"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4"/>
    </row>
    <row r="654" spans="2:17" x14ac:dyDescent="0.2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4"/>
    </row>
    <row r="655" spans="2:17" x14ac:dyDescent="0.2"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4"/>
    </row>
    <row r="656" spans="2:17" x14ac:dyDescent="0.2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4"/>
    </row>
    <row r="657" spans="2:17" x14ac:dyDescent="0.2"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4"/>
    </row>
    <row r="658" spans="2:17" x14ac:dyDescent="0.2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4"/>
    </row>
    <row r="659" spans="2:17" x14ac:dyDescent="0.2"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4"/>
    </row>
    <row r="660" spans="2:17" x14ac:dyDescent="0.2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4"/>
    </row>
    <row r="661" spans="2:17" x14ac:dyDescent="0.2"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4"/>
    </row>
    <row r="662" spans="2:17" x14ac:dyDescent="0.2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4"/>
    </row>
    <row r="663" spans="2:17" x14ac:dyDescent="0.2"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4"/>
    </row>
    <row r="664" spans="2:17" x14ac:dyDescent="0.2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4"/>
    </row>
    <row r="665" spans="2:17" x14ac:dyDescent="0.2"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4"/>
    </row>
    <row r="666" spans="2:17" x14ac:dyDescent="0.2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4"/>
    </row>
    <row r="667" spans="2:17" x14ac:dyDescent="0.2"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4"/>
    </row>
    <row r="668" spans="2:17" x14ac:dyDescent="0.2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4"/>
    </row>
    <row r="669" spans="2:17" x14ac:dyDescent="0.2"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4"/>
    </row>
    <row r="670" spans="2:17" x14ac:dyDescent="0.2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4"/>
    </row>
    <row r="671" spans="2:17" x14ac:dyDescent="0.2"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4"/>
    </row>
    <row r="672" spans="2:17" x14ac:dyDescent="0.2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4"/>
    </row>
    <row r="673" spans="2:17" x14ac:dyDescent="0.2"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4"/>
    </row>
    <row r="674" spans="2:17" x14ac:dyDescent="0.2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4"/>
    </row>
    <row r="675" spans="2:17" x14ac:dyDescent="0.2"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4"/>
    </row>
    <row r="676" spans="2:17" x14ac:dyDescent="0.2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4"/>
    </row>
    <row r="677" spans="2:17" x14ac:dyDescent="0.2"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4"/>
    </row>
    <row r="678" spans="2:17" x14ac:dyDescent="0.2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4"/>
    </row>
    <row r="679" spans="2:17" x14ac:dyDescent="0.2"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4"/>
    </row>
    <row r="680" spans="2:17" x14ac:dyDescent="0.2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4"/>
    </row>
    <row r="681" spans="2:17" x14ac:dyDescent="0.2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4"/>
    </row>
    <row r="682" spans="2:17" x14ac:dyDescent="0.2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4"/>
    </row>
    <row r="683" spans="2:17" x14ac:dyDescent="0.2"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4"/>
    </row>
    <row r="684" spans="2:17" x14ac:dyDescent="0.2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4"/>
    </row>
    <row r="685" spans="2:17" x14ac:dyDescent="0.2"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4"/>
    </row>
    <row r="686" spans="2:17" x14ac:dyDescent="0.2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4"/>
    </row>
    <row r="687" spans="2:17" x14ac:dyDescent="0.2"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4"/>
    </row>
    <row r="688" spans="2:17" x14ac:dyDescent="0.2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4"/>
    </row>
    <row r="689" spans="2:17" x14ac:dyDescent="0.2"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4"/>
    </row>
    <row r="690" spans="2:17" x14ac:dyDescent="0.2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4"/>
    </row>
    <row r="691" spans="2:17" x14ac:dyDescent="0.2"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4"/>
    </row>
    <row r="692" spans="2:17" x14ac:dyDescent="0.2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4"/>
    </row>
    <row r="693" spans="2:17" x14ac:dyDescent="0.2"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4"/>
    </row>
    <row r="694" spans="2:17" x14ac:dyDescent="0.2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4"/>
    </row>
    <row r="695" spans="2:17" x14ac:dyDescent="0.2"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4"/>
    </row>
    <row r="696" spans="2:17" x14ac:dyDescent="0.2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4"/>
    </row>
    <row r="697" spans="2:17" x14ac:dyDescent="0.2"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4"/>
    </row>
    <row r="698" spans="2:17" x14ac:dyDescent="0.2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4"/>
    </row>
    <row r="699" spans="2:17" x14ac:dyDescent="0.2"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4"/>
    </row>
    <row r="700" spans="2:17" x14ac:dyDescent="0.2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4"/>
    </row>
    <row r="701" spans="2:17" x14ac:dyDescent="0.2"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4"/>
    </row>
    <row r="702" spans="2:17" x14ac:dyDescent="0.2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4"/>
    </row>
    <row r="703" spans="2:17" x14ac:dyDescent="0.2"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4"/>
    </row>
    <row r="704" spans="2:17" x14ac:dyDescent="0.2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4"/>
    </row>
    <row r="705" spans="2:17" x14ac:dyDescent="0.2"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4"/>
    </row>
    <row r="706" spans="2:17" x14ac:dyDescent="0.2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4"/>
    </row>
    <row r="707" spans="2:17" x14ac:dyDescent="0.2"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4"/>
    </row>
    <row r="708" spans="2:17" x14ac:dyDescent="0.2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4"/>
    </row>
    <row r="709" spans="2:17" x14ac:dyDescent="0.2"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4"/>
    </row>
    <row r="710" spans="2:17" x14ac:dyDescent="0.2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4"/>
    </row>
    <row r="711" spans="2:17" x14ac:dyDescent="0.2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4"/>
    </row>
    <row r="712" spans="2:17" x14ac:dyDescent="0.2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4"/>
    </row>
    <row r="713" spans="2:17" x14ac:dyDescent="0.2"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4"/>
    </row>
    <row r="714" spans="2:17" x14ac:dyDescent="0.2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4"/>
    </row>
    <row r="715" spans="2:17" x14ac:dyDescent="0.2"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4"/>
    </row>
    <row r="716" spans="2:17" x14ac:dyDescent="0.2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4"/>
    </row>
    <row r="717" spans="2:17" x14ac:dyDescent="0.2"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4"/>
    </row>
    <row r="718" spans="2:17" x14ac:dyDescent="0.2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4"/>
    </row>
    <row r="719" spans="2:17" x14ac:dyDescent="0.2"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4"/>
    </row>
    <row r="720" spans="2:17" x14ac:dyDescent="0.2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4"/>
    </row>
    <row r="721" spans="2:17" x14ac:dyDescent="0.2"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4"/>
    </row>
    <row r="722" spans="2:17" x14ac:dyDescent="0.2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4"/>
    </row>
    <row r="723" spans="2:17" x14ac:dyDescent="0.2"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4"/>
    </row>
    <row r="724" spans="2:17" x14ac:dyDescent="0.2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4"/>
    </row>
    <row r="725" spans="2:17" x14ac:dyDescent="0.2"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4"/>
    </row>
    <row r="726" spans="2:17" x14ac:dyDescent="0.2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4"/>
    </row>
    <row r="727" spans="2:17" x14ac:dyDescent="0.2"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4"/>
    </row>
    <row r="728" spans="2:17" x14ac:dyDescent="0.2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4"/>
    </row>
    <row r="729" spans="2:17" x14ac:dyDescent="0.2"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4"/>
    </row>
    <row r="730" spans="2:17" x14ac:dyDescent="0.2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4"/>
    </row>
    <row r="731" spans="2:17" x14ac:dyDescent="0.2"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4"/>
    </row>
    <row r="732" spans="2:17" x14ac:dyDescent="0.2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4"/>
    </row>
    <row r="733" spans="2:17" x14ac:dyDescent="0.2"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4"/>
    </row>
    <row r="734" spans="2:17" x14ac:dyDescent="0.2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4"/>
    </row>
    <row r="735" spans="2:17" x14ac:dyDescent="0.2"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4"/>
    </row>
    <row r="736" spans="2:17" x14ac:dyDescent="0.2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4"/>
    </row>
    <row r="737" spans="2:17" x14ac:dyDescent="0.2"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4"/>
    </row>
    <row r="738" spans="2:17" x14ac:dyDescent="0.2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4"/>
    </row>
    <row r="739" spans="2:17" x14ac:dyDescent="0.2"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4"/>
    </row>
    <row r="740" spans="2:17" x14ac:dyDescent="0.2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4"/>
    </row>
    <row r="741" spans="2:17" x14ac:dyDescent="0.2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4"/>
    </row>
    <row r="742" spans="2:17" x14ac:dyDescent="0.2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4"/>
    </row>
    <row r="743" spans="2:17" x14ac:dyDescent="0.2"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4"/>
    </row>
    <row r="744" spans="2:17" x14ac:dyDescent="0.2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4"/>
    </row>
    <row r="745" spans="2:17" x14ac:dyDescent="0.2"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4"/>
    </row>
    <row r="746" spans="2:17" x14ac:dyDescent="0.2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4"/>
    </row>
    <row r="747" spans="2:17" x14ac:dyDescent="0.2"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4"/>
    </row>
    <row r="748" spans="2:17" x14ac:dyDescent="0.2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4"/>
    </row>
    <row r="749" spans="2:17" x14ac:dyDescent="0.2"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4"/>
    </row>
    <row r="750" spans="2:17" x14ac:dyDescent="0.2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4"/>
    </row>
    <row r="751" spans="2:17" x14ac:dyDescent="0.2"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4"/>
    </row>
    <row r="752" spans="2:17" x14ac:dyDescent="0.2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4"/>
    </row>
    <row r="753" spans="2:17" x14ac:dyDescent="0.2"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4"/>
    </row>
    <row r="754" spans="2:17" x14ac:dyDescent="0.2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4"/>
    </row>
    <row r="755" spans="2:17" x14ac:dyDescent="0.2"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4"/>
    </row>
    <row r="756" spans="2:17" x14ac:dyDescent="0.2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4"/>
    </row>
    <row r="757" spans="2:17" x14ac:dyDescent="0.2"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4"/>
    </row>
    <row r="758" spans="2:17" x14ac:dyDescent="0.2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4"/>
    </row>
    <row r="759" spans="2:17" x14ac:dyDescent="0.2"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4"/>
    </row>
    <row r="760" spans="2:17" x14ac:dyDescent="0.2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4"/>
    </row>
    <row r="761" spans="2:17" x14ac:dyDescent="0.2"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4"/>
    </row>
    <row r="762" spans="2:17" x14ac:dyDescent="0.2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4"/>
    </row>
    <row r="763" spans="2:17" x14ac:dyDescent="0.2"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4"/>
    </row>
    <row r="764" spans="2:17" x14ac:dyDescent="0.2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4"/>
    </row>
    <row r="765" spans="2:17" x14ac:dyDescent="0.2"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4"/>
    </row>
    <row r="766" spans="2:17" x14ac:dyDescent="0.2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4"/>
    </row>
    <row r="767" spans="2:17" x14ac:dyDescent="0.2"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4"/>
    </row>
    <row r="768" spans="2:17" x14ac:dyDescent="0.2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4"/>
    </row>
    <row r="769" spans="2:17" x14ac:dyDescent="0.2"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4"/>
    </row>
    <row r="770" spans="2:17" x14ac:dyDescent="0.2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4"/>
    </row>
    <row r="771" spans="2:17" x14ac:dyDescent="0.2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4"/>
    </row>
    <row r="772" spans="2:17" x14ac:dyDescent="0.2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4"/>
    </row>
    <row r="773" spans="2:17" x14ac:dyDescent="0.2"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4"/>
    </row>
    <row r="774" spans="2:17" x14ac:dyDescent="0.2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4"/>
    </row>
    <row r="775" spans="2:17" x14ac:dyDescent="0.2"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4"/>
    </row>
    <row r="776" spans="2:17" x14ac:dyDescent="0.2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4"/>
    </row>
    <row r="777" spans="2:17" x14ac:dyDescent="0.2"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4"/>
    </row>
    <row r="778" spans="2:17" x14ac:dyDescent="0.2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4"/>
    </row>
    <row r="779" spans="2:17" x14ac:dyDescent="0.2"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4"/>
    </row>
    <row r="780" spans="2:17" x14ac:dyDescent="0.2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4"/>
    </row>
    <row r="781" spans="2:17" x14ac:dyDescent="0.2"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4"/>
    </row>
    <row r="782" spans="2:17" x14ac:dyDescent="0.2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4"/>
    </row>
    <row r="783" spans="2:17" x14ac:dyDescent="0.2"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4"/>
    </row>
    <row r="784" spans="2:17" x14ac:dyDescent="0.2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4"/>
    </row>
    <row r="785" spans="2:17" x14ac:dyDescent="0.2"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4"/>
    </row>
    <row r="786" spans="2:17" x14ac:dyDescent="0.2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4"/>
    </row>
    <row r="787" spans="2:17" x14ac:dyDescent="0.2"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4"/>
    </row>
    <row r="788" spans="2:17" x14ac:dyDescent="0.2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4"/>
    </row>
    <row r="789" spans="2:17" x14ac:dyDescent="0.2"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4"/>
    </row>
    <row r="790" spans="2:17" x14ac:dyDescent="0.2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4"/>
    </row>
    <row r="791" spans="2:17" x14ac:dyDescent="0.2"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4"/>
    </row>
    <row r="792" spans="2:17" x14ac:dyDescent="0.2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4"/>
    </row>
    <row r="793" spans="2:17" x14ac:dyDescent="0.2"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4"/>
    </row>
    <row r="794" spans="2:17" x14ac:dyDescent="0.2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4"/>
    </row>
    <row r="795" spans="2:17" x14ac:dyDescent="0.2"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4"/>
    </row>
    <row r="796" spans="2:17" x14ac:dyDescent="0.2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4"/>
    </row>
    <row r="797" spans="2:17" x14ac:dyDescent="0.2"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4"/>
    </row>
    <row r="798" spans="2:17" x14ac:dyDescent="0.2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4"/>
    </row>
    <row r="799" spans="2:17" x14ac:dyDescent="0.2"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4"/>
    </row>
    <row r="800" spans="2:17" x14ac:dyDescent="0.2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4"/>
    </row>
    <row r="801" spans="2:17" x14ac:dyDescent="0.2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4"/>
    </row>
    <row r="802" spans="2:17" x14ac:dyDescent="0.2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4"/>
    </row>
    <row r="803" spans="2:17" x14ac:dyDescent="0.2"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4"/>
    </row>
    <row r="804" spans="2:17" x14ac:dyDescent="0.2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4"/>
    </row>
    <row r="805" spans="2:17" x14ac:dyDescent="0.2"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4"/>
    </row>
    <row r="806" spans="2:17" x14ac:dyDescent="0.2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4"/>
    </row>
    <row r="807" spans="2:17" x14ac:dyDescent="0.2"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4"/>
    </row>
    <row r="808" spans="2:17" x14ac:dyDescent="0.2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4"/>
    </row>
    <row r="809" spans="2:17" x14ac:dyDescent="0.2"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4"/>
    </row>
    <row r="810" spans="2:17" x14ac:dyDescent="0.2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4"/>
    </row>
    <row r="811" spans="2:17" x14ac:dyDescent="0.2"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4"/>
    </row>
    <row r="812" spans="2:17" x14ac:dyDescent="0.2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4"/>
    </row>
    <row r="813" spans="2:17" x14ac:dyDescent="0.2"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4"/>
    </row>
    <row r="814" spans="2:17" x14ac:dyDescent="0.2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4"/>
    </row>
    <row r="815" spans="2:17" x14ac:dyDescent="0.2"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4"/>
    </row>
    <row r="816" spans="2:17" x14ac:dyDescent="0.2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4"/>
    </row>
    <row r="817" spans="2:17" x14ac:dyDescent="0.2"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4"/>
    </row>
    <row r="818" spans="2:17" x14ac:dyDescent="0.2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4"/>
    </row>
    <row r="819" spans="2:17" x14ac:dyDescent="0.2"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4"/>
    </row>
    <row r="820" spans="2:17" x14ac:dyDescent="0.2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4"/>
    </row>
    <row r="821" spans="2:17" x14ac:dyDescent="0.2"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4"/>
    </row>
    <row r="822" spans="2:17" x14ac:dyDescent="0.2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4"/>
    </row>
    <row r="823" spans="2:17" x14ac:dyDescent="0.2"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4"/>
    </row>
    <row r="824" spans="2:17" x14ac:dyDescent="0.2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4"/>
    </row>
    <row r="825" spans="2:17" x14ac:dyDescent="0.2"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4"/>
    </row>
    <row r="826" spans="2:17" x14ac:dyDescent="0.2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4"/>
    </row>
    <row r="827" spans="2:17" x14ac:dyDescent="0.2"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4"/>
    </row>
    <row r="828" spans="2:17" x14ac:dyDescent="0.2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4"/>
    </row>
    <row r="829" spans="2:17" x14ac:dyDescent="0.2"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4"/>
    </row>
    <row r="830" spans="2:17" x14ac:dyDescent="0.2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4"/>
    </row>
    <row r="831" spans="2:17" x14ac:dyDescent="0.2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4"/>
    </row>
    <row r="832" spans="2:17" x14ac:dyDescent="0.2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4"/>
    </row>
    <row r="833" spans="2:17" x14ac:dyDescent="0.2"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4"/>
    </row>
    <row r="834" spans="2:17" x14ac:dyDescent="0.2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4"/>
    </row>
    <row r="835" spans="2:17" x14ac:dyDescent="0.2"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4"/>
    </row>
    <row r="836" spans="2:17" x14ac:dyDescent="0.2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4"/>
    </row>
    <row r="837" spans="2:17" x14ac:dyDescent="0.2"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4"/>
    </row>
    <row r="838" spans="2:17" x14ac:dyDescent="0.2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4"/>
    </row>
    <row r="839" spans="2:17" x14ac:dyDescent="0.2"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4"/>
    </row>
    <row r="840" spans="2:17" x14ac:dyDescent="0.2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4"/>
    </row>
    <row r="841" spans="2:17" x14ac:dyDescent="0.2"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4"/>
    </row>
    <row r="842" spans="2:17" x14ac:dyDescent="0.2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4"/>
    </row>
    <row r="843" spans="2:17" x14ac:dyDescent="0.2"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4"/>
    </row>
    <row r="844" spans="2:17" x14ac:dyDescent="0.2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4"/>
    </row>
    <row r="845" spans="2:17" x14ac:dyDescent="0.2"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4"/>
    </row>
    <row r="846" spans="2:17" x14ac:dyDescent="0.2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4"/>
    </row>
    <row r="847" spans="2:17" x14ac:dyDescent="0.2"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4"/>
    </row>
    <row r="848" spans="2:17" x14ac:dyDescent="0.2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4"/>
    </row>
    <row r="849" spans="2:17" x14ac:dyDescent="0.2"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4"/>
    </row>
    <row r="850" spans="2:17" x14ac:dyDescent="0.2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4"/>
    </row>
    <row r="851" spans="2:17" x14ac:dyDescent="0.2"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4"/>
    </row>
    <row r="852" spans="2:17" x14ac:dyDescent="0.2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4"/>
    </row>
    <row r="853" spans="2:17" x14ac:dyDescent="0.2"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4"/>
    </row>
    <row r="854" spans="2:17" x14ac:dyDescent="0.2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4"/>
    </row>
    <row r="855" spans="2:17" x14ac:dyDescent="0.2"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4"/>
    </row>
    <row r="856" spans="2:17" x14ac:dyDescent="0.2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4"/>
    </row>
    <row r="857" spans="2:17" x14ac:dyDescent="0.2"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4"/>
    </row>
    <row r="858" spans="2:17" x14ac:dyDescent="0.2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4"/>
    </row>
    <row r="859" spans="2:17" x14ac:dyDescent="0.2"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4"/>
    </row>
    <row r="860" spans="2:17" x14ac:dyDescent="0.2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4"/>
    </row>
    <row r="861" spans="2:17" x14ac:dyDescent="0.2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4"/>
    </row>
    <row r="862" spans="2:17" x14ac:dyDescent="0.2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4"/>
    </row>
    <row r="863" spans="2:17" x14ac:dyDescent="0.2"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4"/>
    </row>
    <row r="864" spans="2:17" x14ac:dyDescent="0.2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4"/>
    </row>
    <row r="865" spans="2:17" x14ac:dyDescent="0.2"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4"/>
    </row>
    <row r="866" spans="2:17" x14ac:dyDescent="0.2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4"/>
    </row>
    <row r="867" spans="2:17" x14ac:dyDescent="0.2"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4"/>
    </row>
    <row r="868" spans="2:17" x14ac:dyDescent="0.2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4"/>
    </row>
    <row r="869" spans="2:17" x14ac:dyDescent="0.2"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4"/>
    </row>
    <row r="870" spans="2:17" x14ac:dyDescent="0.2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4"/>
    </row>
    <row r="871" spans="2:17" x14ac:dyDescent="0.2"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4"/>
    </row>
    <row r="872" spans="2:17" x14ac:dyDescent="0.2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4"/>
    </row>
    <row r="873" spans="2:17" x14ac:dyDescent="0.2"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4"/>
    </row>
    <row r="874" spans="2:17" x14ac:dyDescent="0.2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4"/>
    </row>
    <row r="875" spans="2:17" x14ac:dyDescent="0.2"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4"/>
    </row>
    <row r="876" spans="2:17" x14ac:dyDescent="0.2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4"/>
    </row>
    <row r="877" spans="2:17" x14ac:dyDescent="0.2"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4"/>
    </row>
    <row r="878" spans="2:17" x14ac:dyDescent="0.2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4"/>
    </row>
    <row r="879" spans="2:17" x14ac:dyDescent="0.2"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4"/>
    </row>
    <row r="880" spans="2:17" x14ac:dyDescent="0.2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4"/>
    </row>
    <row r="881" spans="2:17" x14ac:dyDescent="0.2"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4"/>
    </row>
    <row r="882" spans="2:17" x14ac:dyDescent="0.2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4"/>
    </row>
    <row r="883" spans="2:17" x14ac:dyDescent="0.2"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4"/>
    </row>
    <row r="884" spans="2:17" x14ac:dyDescent="0.2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4"/>
    </row>
    <row r="885" spans="2:17" x14ac:dyDescent="0.2"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4"/>
    </row>
    <row r="886" spans="2:17" x14ac:dyDescent="0.2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4"/>
    </row>
    <row r="887" spans="2:17" x14ac:dyDescent="0.2"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4"/>
    </row>
    <row r="888" spans="2:17" x14ac:dyDescent="0.2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4"/>
    </row>
    <row r="889" spans="2:17" x14ac:dyDescent="0.2"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4"/>
    </row>
    <row r="890" spans="2:17" x14ac:dyDescent="0.2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4"/>
    </row>
    <row r="891" spans="2:17" x14ac:dyDescent="0.2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4"/>
    </row>
    <row r="892" spans="2:17" x14ac:dyDescent="0.2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4"/>
    </row>
    <row r="893" spans="2:17" x14ac:dyDescent="0.2"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4"/>
    </row>
    <row r="894" spans="2:17" x14ac:dyDescent="0.2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4"/>
    </row>
    <row r="895" spans="2:17" x14ac:dyDescent="0.2"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4"/>
    </row>
    <row r="896" spans="2:17" x14ac:dyDescent="0.2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4"/>
    </row>
    <row r="897" spans="2:17" x14ac:dyDescent="0.2"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4"/>
    </row>
    <row r="898" spans="2:17" x14ac:dyDescent="0.2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4"/>
    </row>
    <row r="899" spans="2:17" x14ac:dyDescent="0.2"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4"/>
    </row>
    <row r="900" spans="2:17" x14ac:dyDescent="0.2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4"/>
    </row>
    <row r="901" spans="2:17" x14ac:dyDescent="0.2"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4"/>
    </row>
    <row r="902" spans="2:17" x14ac:dyDescent="0.2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4"/>
    </row>
    <row r="903" spans="2:17" x14ac:dyDescent="0.2"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4"/>
    </row>
    <row r="904" spans="2:17" x14ac:dyDescent="0.2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4"/>
    </row>
    <row r="905" spans="2:17" x14ac:dyDescent="0.2"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4"/>
    </row>
    <row r="906" spans="2:17" x14ac:dyDescent="0.2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4"/>
    </row>
    <row r="907" spans="2:17" x14ac:dyDescent="0.2"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4"/>
    </row>
    <row r="908" spans="2:17" x14ac:dyDescent="0.2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4"/>
    </row>
    <row r="909" spans="2:17" x14ac:dyDescent="0.2"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4"/>
    </row>
    <row r="910" spans="2:17" x14ac:dyDescent="0.2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4"/>
    </row>
    <row r="911" spans="2:17" x14ac:dyDescent="0.2"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4"/>
    </row>
    <row r="912" spans="2:17" x14ac:dyDescent="0.2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4"/>
    </row>
    <row r="913" spans="2:17" x14ac:dyDescent="0.2"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4"/>
    </row>
    <row r="914" spans="2:17" x14ac:dyDescent="0.2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4"/>
    </row>
    <row r="915" spans="2:17" x14ac:dyDescent="0.2"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4"/>
    </row>
    <row r="916" spans="2:17" x14ac:dyDescent="0.2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4"/>
    </row>
    <row r="917" spans="2:17" x14ac:dyDescent="0.2"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4"/>
    </row>
    <row r="918" spans="2:17" x14ac:dyDescent="0.2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4"/>
    </row>
    <row r="919" spans="2:17" x14ac:dyDescent="0.2"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4"/>
    </row>
    <row r="920" spans="2:17" x14ac:dyDescent="0.2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4"/>
    </row>
    <row r="921" spans="2:17" x14ac:dyDescent="0.2"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4"/>
    </row>
    <row r="922" spans="2:17" x14ac:dyDescent="0.2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4"/>
    </row>
    <row r="923" spans="2:17" x14ac:dyDescent="0.2"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4"/>
    </row>
    <row r="924" spans="2:17" x14ac:dyDescent="0.2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4"/>
    </row>
    <row r="925" spans="2:17" x14ac:dyDescent="0.2"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4"/>
    </row>
    <row r="926" spans="2:17" x14ac:dyDescent="0.2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4"/>
    </row>
    <row r="927" spans="2:17" x14ac:dyDescent="0.2"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4"/>
    </row>
    <row r="928" spans="2:17" x14ac:dyDescent="0.2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4"/>
    </row>
    <row r="929" spans="2:17" x14ac:dyDescent="0.2"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4"/>
    </row>
    <row r="930" spans="2:17" x14ac:dyDescent="0.2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4"/>
    </row>
    <row r="931" spans="2:17" x14ac:dyDescent="0.2"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4"/>
    </row>
    <row r="932" spans="2:17" x14ac:dyDescent="0.2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4"/>
    </row>
    <row r="933" spans="2:17" x14ac:dyDescent="0.2"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4"/>
    </row>
    <row r="934" spans="2:17" x14ac:dyDescent="0.2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4"/>
    </row>
    <row r="935" spans="2:17" x14ac:dyDescent="0.2"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4"/>
    </row>
    <row r="936" spans="2:17" x14ac:dyDescent="0.2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4"/>
    </row>
    <row r="937" spans="2:17" x14ac:dyDescent="0.2"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4"/>
    </row>
    <row r="938" spans="2:17" x14ac:dyDescent="0.2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4"/>
    </row>
    <row r="939" spans="2:17" x14ac:dyDescent="0.2"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4"/>
    </row>
    <row r="940" spans="2:17" x14ac:dyDescent="0.2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4"/>
    </row>
    <row r="941" spans="2:17" x14ac:dyDescent="0.2"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4"/>
    </row>
    <row r="942" spans="2:17" x14ac:dyDescent="0.2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4"/>
    </row>
    <row r="943" spans="2:17" x14ac:dyDescent="0.2"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4"/>
    </row>
    <row r="944" spans="2:17" x14ac:dyDescent="0.2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4"/>
    </row>
    <row r="945" spans="2:17" x14ac:dyDescent="0.2"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4"/>
    </row>
    <row r="946" spans="2:17" x14ac:dyDescent="0.2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4"/>
    </row>
    <row r="947" spans="2:17" x14ac:dyDescent="0.2"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4"/>
    </row>
    <row r="948" spans="2:17" x14ac:dyDescent="0.2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4"/>
    </row>
    <row r="949" spans="2:17" x14ac:dyDescent="0.2"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4"/>
    </row>
    <row r="950" spans="2:17" x14ac:dyDescent="0.2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4"/>
    </row>
    <row r="951" spans="2:17" x14ac:dyDescent="0.2"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4"/>
    </row>
    <row r="952" spans="2:17" x14ac:dyDescent="0.2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4"/>
    </row>
    <row r="953" spans="2:17" x14ac:dyDescent="0.2"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4"/>
    </row>
    <row r="954" spans="2:17" x14ac:dyDescent="0.2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4"/>
    </row>
    <row r="955" spans="2:17" x14ac:dyDescent="0.2"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4"/>
    </row>
    <row r="956" spans="2:17" x14ac:dyDescent="0.2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4"/>
    </row>
    <row r="957" spans="2:17" x14ac:dyDescent="0.2"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4"/>
    </row>
    <row r="958" spans="2:17" x14ac:dyDescent="0.2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4"/>
    </row>
    <row r="959" spans="2:17" x14ac:dyDescent="0.2"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4"/>
    </row>
    <row r="960" spans="2:17" x14ac:dyDescent="0.2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4"/>
    </row>
    <row r="961" spans="2:17" x14ac:dyDescent="0.2"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4"/>
    </row>
    <row r="962" spans="2:17" x14ac:dyDescent="0.2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4"/>
    </row>
    <row r="963" spans="2:17" x14ac:dyDescent="0.2"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4"/>
    </row>
    <row r="964" spans="2:17" x14ac:dyDescent="0.2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4"/>
    </row>
    <row r="965" spans="2:17" x14ac:dyDescent="0.2"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4"/>
    </row>
    <row r="966" spans="2:17" x14ac:dyDescent="0.2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4"/>
    </row>
    <row r="967" spans="2:17" x14ac:dyDescent="0.2"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4"/>
    </row>
    <row r="968" spans="2:17" x14ac:dyDescent="0.2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4"/>
    </row>
    <row r="969" spans="2:17" x14ac:dyDescent="0.2"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4"/>
    </row>
    <row r="970" spans="2:17" x14ac:dyDescent="0.2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4"/>
    </row>
    <row r="971" spans="2:17" x14ac:dyDescent="0.2"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4"/>
    </row>
    <row r="972" spans="2:17" x14ac:dyDescent="0.2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4"/>
    </row>
    <row r="973" spans="2:17" x14ac:dyDescent="0.2"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4"/>
    </row>
    <row r="974" spans="2:17" x14ac:dyDescent="0.2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4"/>
    </row>
    <row r="975" spans="2:17" x14ac:dyDescent="0.2"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4"/>
    </row>
    <row r="976" spans="2:17" x14ac:dyDescent="0.2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4"/>
    </row>
    <row r="977" spans="2:17" x14ac:dyDescent="0.2"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4"/>
    </row>
    <row r="978" spans="2:17" x14ac:dyDescent="0.2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4"/>
    </row>
    <row r="979" spans="2:17" x14ac:dyDescent="0.2"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4"/>
    </row>
    <row r="980" spans="2:17" x14ac:dyDescent="0.2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4"/>
    </row>
    <row r="981" spans="2:17" x14ac:dyDescent="0.2"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4"/>
    </row>
    <row r="982" spans="2:17" x14ac:dyDescent="0.2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4"/>
    </row>
    <row r="983" spans="2:17" x14ac:dyDescent="0.2"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4"/>
    </row>
    <row r="984" spans="2:17" x14ac:dyDescent="0.2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4"/>
    </row>
    <row r="985" spans="2:17" x14ac:dyDescent="0.2"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4"/>
    </row>
    <row r="986" spans="2:17" x14ac:dyDescent="0.2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4"/>
    </row>
    <row r="987" spans="2:17" x14ac:dyDescent="0.2"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4"/>
    </row>
    <row r="988" spans="2:17" x14ac:dyDescent="0.2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4"/>
    </row>
    <row r="989" spans="2:17" x14ac:dyDescent="0.2"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4"/>
    </row>
    <row r="990" spans="2:17" x14ac:dyDescent="0.2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4"/>
    </row>
    <row r="991" spans="2:17" x14ac:dyDescent="0.2"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4"/>
    </row>
    <row r="992" spans="2:17" x14ac:dyDescent="0.2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4"/>
    </row>
    <row r="993" spans="2:17" x14ac:dyDescent="0.2"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4"/>
    </row>
    <row r="994" spans="2:17" x14ac:dyDescent="0.2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4"/>
    </row>
    <row r="995" spans="2:17" x14ac:dyDescent="0.2"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4"/>
    </row>
    <row r="996" spans="2:17" x14ac:dyDescent="0.2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4"/>
    </row>
    <row r="997" spans="2:17" x14ac:dyDescent="0.2"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4"/>
    </row>
    <row r="998" spans="2:17" x14ac:dyDescent="0.2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4"/>
    </row>
    <row r="999" spans="2:17" x14ac:dyDescent="0.2"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4"/>
    </row>
    <row r="1000" spans="2:17" x14ac:dyDescent="0.2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4"/>
    </row>
    <row r="1001" spans="2:17" x14ac:dyDescent="0.2"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4"/>
    </row>
    <row r="1002" spans="2:17" x14ac:dyDescent="0.2"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4"/>
    </row>
    <row r="1003" spans="2:17" x14ac:dyDescent="0.2"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4"/>
    </row>
    <row r="1004" spans="2:17" x14ac:dyDescent="0.2"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4"/>
    </row>
    <row r="1005" spans="2:17" x14ac:dyDescent="0.2"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4"/>
    </row>
    <row r="1006" spans="2:17" x14ac:dyDescent="0.2"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4"/>
    </row>
    <row r="1007" spans="2:17" x14ac:dyDescent="0.2"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4"/>
    </row>
    <row r="1008" spans="2:17" x14ac:dyDescent="0.2"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4"/>
    </row>
    <row r="1009" spans="2:17" x14ac:dyDescent="0.2"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4"/>
    </row>
    <row r="1010" spans="2:17" x14ac:dyDescent="0.2"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4"/>
    </row>
    <row r="1011" spans="2:17" x14ac:dyDescent="0.2"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4"/>
    </row>
    <row r="1012" spans="2:17" x14ac:dyDescent="0.2"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4"/>
    </row>
    <row r="1013" spans="2:17" x14ac:dyDescent="0.2"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4"/>
    </row>
    <row r="1014" spans="2:17" x14ac:dyDescent="0.2"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4"/>
    </row>
    <row r="1015" spans="2:17" x14ac:dyDescent="0.2"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4"/>
    </row>
    <row r="1016" spans="2:17" x14ac:dyDescent="0.2"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4"/>
    </row>
    <row r="1017" spans="2:17" x14ac:dyDescent="0.2"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4"/>
    </row>
    <row r="1018" spans="2:17" x14ac:dyDescent="0.2"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4"/>
    </row>
    <row r="1019" spans="2:17" x14ac:dyDescent="0.2"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4"/>
    </row>
    <row r="1020" spans="2:17" x14ac:dyDescent="0.2"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4"/>
    </row>
    <row r="1021" spans="2:17" x14ac:dyDescent="0.2"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4"/>
    </row>
    <row r="1022" spans="2:17" x14ac:dyDescent="0.2"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4"/>
    </row>
    <row r="1023" spans="2:17" x14ac:dyDescent="0.2"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4"/>
    </row>
    <row r="1024" spans="2:17" x14ac:dyDescent="0.2"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4"/>
    </row>
    <row r="1025" spans="2:17" x14ac:dyDescent="0.2"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4"/>
    </row>
    <row r="1026" spans="2:17" x14ac:dyDescent="0.2"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4"/>
    </row>
    <row r="1027" spans="2:17" x14ac:dyDescent="0.2"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4"/>
    </row>
    <row r="1028" spans="2:17" x14ac:dyDescent="0.2"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4"/>
    </row>
    <row r="1029" spans="2:17" x14ac:dyDescent="0.2"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4"/>
    </row>
    <row r="1030" spans="2:17" x14ac:dyDescent="0.2"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4"/>
    </row>
    <row r="1031" spans="2:17" x14ac:dyDescent="0.2"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4"/>
    </row>
    <row r="1032" spans="2:17" x14ac:dyDescent="0.2"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4"/>
    </row>
    <row r="1033" spans="2:17" x14ac:dyDescent="0.2"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4"/>
    </row>
    <row r="1034" spans="2:17" x14ac:dyDescent="0.2"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4"/>
    </row>
    <row r="1035" spans="2:17" x14ac:dyDescent="0.2"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4"/>
    </row>
    <row r="1036" spans="2:17" x14ac:dyDescent="0.2"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4"/>
    </row>
    <row r="1037" spans="2:17" x14ac:dyDescent="0.2"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4"/>
    </row>
    <row r="1038" spans="2:17" x14ac:dyDescent="0.2"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4"/>
    </row>
    <row r="1039" spans="2:17" x14ac:dyDescent="0.2"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4"/>
    </row>
    <row r="1040" spans="2:17" x14ac:dyDescent="0.2"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4"/>
    </row>
    <row r="1041" spans="2:17" x14ac:dyDescent="0.2"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4"/>
    </row>
    <row r="1042" spans="2:17" x14ac:dyDescent="0.2"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4"/>
    </row>
    <row r="1043" spans="2:17" x14ac:dyDescent="0.2"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4"/>
    </row>
    <row r="1044" spans="2:17" x14ac:dyDescent="0.2"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4"/>
    </row>
    <row r="1045" spans="2:17" x14ac:dyDescent="0.2"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4"/>
    </row>
    <row r="1046" spans="2:17" x14ac:dyDescent="0.2"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4"/>
    </row>
    <row r="1047" spans="2:17" x14ac:dyDescent="0.2"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4"/>
    </row>
    <row r="1048" spans="2:17" x14ac:dyDescent="0.2"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4"/>
    </row>
    <row r="1049" spans="2:17" x14ac:dyDescent="0.2"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4"/>
    </row>
    <row r="1050" spans="2:17" x14ac:dyDescent="0.2"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4"/>
    </row>
    <row r="1051" spans="2:17" x14ac:dyDescent="0.2"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4"/>
    </row>
    <row r="1052" spans="2:17" x14ac:dyDescent="0.2"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4"/>
    </row>
    <row r="1053" spans="2:17" x14ac:dyDescent="0.2"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4"/>
    </row>
    <row r="1054" spans="2:17" x14ac:dyDescent="0.2"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4"/>
    </row>
    <row r="1055" spans="2:17" x14ac:dyDescent="0.2"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4"/>
    </row>
    <row r="1056" spans="2:17" x14ac:dyDescent="0.2"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4"/>
    </row>
    <row r="1057" spans="2:17" x14ac:dyDescent="0.2"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4"/>
    </row>
    <row r="1058" spans="2:17" x14ac:dyDescent="0.2"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4"/>
    </row>
    <row r="1059" spans="2:17" x14ac:dyDescent="0.2"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4"/>
    </row>
    <row r="1060" spans="2:17" x14ac:dyDescent="0.2"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4"/>
    </row>
    <row r="1061" spans="2:17" x14ac:dyDescent="0.2"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4"/>
    </row>
    <row r="1062" spans="2:17" x14ac:dyDescent="0.2"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4"/>
    </row>
    <row r="1063" spans="2:17" x14ac:dyDescent="0.2"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4"/>
    </row>
    <row r="1064" spans="2:17" x14ac:dyDescent="0.2"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4"/>
    </row>
    <row r="1065" spans="2:17" x14ac:dyDescent="0.2"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4"/>
    </row>
    <row r="1066" spans="2:17" x14ac:dyDescent="0.2"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4"/>
    </row>
    <row r="1067" spans="2:17" x14ac:dyDescent="0.2"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4"/>
    </row>
    <row r="1068" spans="2:17" x14ac:dyDescent="0.2"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4"/>
    </row>
    <row r="1069" spans="2:17" x14ac:dyDescent="0.2"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4"/>
    </row>
    <row r="1070" spans="2:17" x14ac:dyDescent="0.2"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4"/>
    </row>
    <row r="1071" spans="2:17" x14ac:dyDescent="0.2"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4"/>
    </row>
    <row r="1072" spans="2:17" x14ac:dyDescent="0.2"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4"/>
    </row>
    <row r="1073" spans="2:17" x14ac:dyDescent="0.2"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4"/>
    </row>
    <row r="1074" spans="2:17" x14ac:dyDescent="0.2"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4"/>
    </row>
    <row r="1075" spans="2:17" x14ac:dyDescent="0.2"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4"/>
    </row>
    <row r="1076" spans="2:17" x14ac:dyDescent="0.2"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4"/>
    </row>
    <row r="1077" spans="2:17" x14ac:dyDescent="0.2"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4"/>
    </row>
    <row r="1078" spans="2:17" x14ac:dyDescent="0.2"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4"/>
    </row>
    <row r="1079" spans="2:17" x14ac:dyDescent="0.2"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4"/>
    </row>
    <row r="1080" spans="2:17" x14ac:dyDescent="0.2"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4"/>
    </row>
    <row r="1081" spans="2:17" x14ac:dyDescent="0.2"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4"/>
    </row>
    <row r="1082" spans="2:17" x14ac:dyDescent="0.2"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4"/>
    </row>
    <row r="1083" spans="2:17" x14ac:dyDescent="0.2"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4"/>
    </row>
    <row r="1084" spans="2:17" x14ac:dyDescent="0.2"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4"/>
    </row>
    <row r="1085" spans="2:17" x14ac:dyDescent="0.2"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4"/>
    </row>
    <row r="1086" spans="2:17" x14ac:dyDescent="0.2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4"/>
    </row>
    <row r="1087" spans="2:17" x14ac:dyDescent="0.2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4"/>
    </row>
    <row r="1088" spans="2:17" x14ac:dyDescent="0.2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4"/>
    </row>
    <row r="1089" spans="2:17" x14ac:dyDescent="0.2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4"/>
    </row>
    <row r="1090" spans="2:17" x14ac:dyDescent="0.2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4"/>
    </row>
    <row r="1091" spans="2:17" x14ac:dyDescent="0.2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4"/>
    </row>
    <row r="1092" spans="2:17" x14ac:dyDescent="0.2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4"/>
    </row>
    <row r="1093" spans="2:17" x14ac:dyDescent="0.2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4"/>
    </row>
    <row r="1094" spans="2:17" x14ac:dyDescent="0.2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4"/>
    </row>
    <row r="1095" spans="2:17" x14ac:dyDescent="0.2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4"/>
    </row>
    <row r="1096" spans="2:17" x14ac:dyDescent="0.2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4"/>
    </row>
    <row r="1097" spans="2:17" x14ac:dyDescent="0.2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4"/>
    </row>
    <row r="1098" spans="2:17" x14ac:dyDescent="0.2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4"/>
    </row>
    <row r="1099" spans="2:17" x14ac:dyDescent="0.2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4"/>
    </row>
    <row r="1100" spans="2:17" x14ac:dyDescent="0.2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4"/>
    </row>
    <row r="1101" spans="2:17" x14ac:dyDescent="0.2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4"/>
    </row>
    <row r="1102" spans="2:17" x14ac:dyDescent="0.2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4"/>
    </row>
    <row r="1103" spans="2:17" x14ac:dyDescent="0.2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4"/>
    </row>
    <row r="1104" spans="2:17" x14ac:dyDescent="0.2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4"/>
    </row>
    <row r="1105" spans="2:17" x14ac:dyDescent="0.2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4"/>
    </row>
    <row r="1106" spans="2:17" x14ac:dyDescent="0.2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4"/>
    </row>
    <row r="1107" spans="2:17" x14ac:dyDescent="0.2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4"/>
    </row>
    <row r="1108" spans="2:17" x14ac:dyDescent="0.2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4"/>
    </row>
    <row r="1109" spans="2:17" x14ac:dyDescent="0.2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4"/>
    </row>
    <row r="1110" spans="2:17" x14ac:dyDescent="0.2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4"/>
    </row>
    <row r="1111" spans="2:17" x14ac:dyDescent="0.2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4"/>
    </row>
    <row r="1112" spans="2:17" x14ac:dyDescent="0.2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4"/>
    </row>
    <row r="1113" spans="2:17" x14ac:dyDescent="0.2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4"/>
    </row>
    <row r="1114" spans="2:17" x14ac:dyDescent="0.2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4"/>
    </row>
    <row r="1115" spans="2:17" x14ac:dyDescent="0.2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4"/>
    </row>
    <row r="1116" spans="2:17" x14ac:dyDescent="0.2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4"/>
    </row>
    <row r="1117" spans="2:17" x14ac:dyDescent="0.2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4"/>
    </row>
    <row r="1118" spans="2:17" x14ac:dyDescent="0.2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4"/>
    </row>
    <row r="1119" spans="2:17" x14ac:dyDescent="0.2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4"/>
    </row>
    <row r="1120" spans="2:17" x14ac:dyDescent="0.2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4"/>
    </row>
    <row r="1121" spans="2:17" x14ac:dyDescent="0.2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4"/>
    </row>
    <row r="1122" spans="2:17" x14ac:dyDescent="0.2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4"/>
    </row>
    <row r="1123" spans="2:17" x14ac:dyDescent="0.2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4"/>
    </row>
    <row r="1124" spans="2:17" x14ac:dyDescent="0.2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4"/>
    </row>
    <row r="1125" spans="2:17" x14ac:dyDescent="0.2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4"/>
    </row>
    <row r="1126" spans="2:17" x14ac:dyDescent="0.2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4"/>
    </row>
    <row r="1127" spans="2:17" x14ac:dyDescent="0.2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4"/>
    </row>
    <row r="1128" spans="2:17" x14ac:dyDescent="0.2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4"/>
    </row>
    <row r="1129" spans="2:17" x14ac:dyDescent="0.2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4"/>
    </row>
    <row r="1130" spans="2:17" x14ac:dyDescent="0.2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4"/>
    </row>
    <row r="1131" spans="2:17" x14ac:dyDescent="0.2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4"/>
    </row>
    <row r="1132" spans="2:17" x14ac:dyDescent="0.2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4"/>
    </row>
    <row r="1133" spans="2:17" x14ac:dyDescent="0.2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4"/>
    </row>
    <row r="1134" spans="2:17" x14ac:dyDescent="0.2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4"/>
    </row>
    <row r="1135" spans="2:17" x14ac:dyDescent="0.2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4"/>
    </row>
    <row r="1136" spans="2:17" x14ac:dyDescent="0.2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4"/>
    </row>
    <row r="1137" spans="2:17" x14ac:dyDescent="0.2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4"/>
    </row>
    <row r="1138" spans="2:17" x14ac:dyDescent="0.2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4"/>
    </row>
    <row r="1139" spans="2:17" x14ac:dyDescent="0.2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4"/>
    </row>
    <row r="1140" spans="2:17" x14ac:dyDescent="0.2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4"/>
    </row>
    <row r="1141" spans="2:17" x14ac:dyDescent="0.2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4"/>
    </row>
    <row r="1142" spans="2:17" x14ac:dyDescent="0.2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4"/>
    </row>
    <row r="1143" spans="2:17" x14ac:dyDescent="0.2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4"/>
    </row>
    <row r="1144" spans="2:17" x14ac:dyDescent="0.2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4"/>
    </row>
    <row r="1145" spans="2:17" x14ac:dyDescent="0.2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4"/>
    </row>
    <row r="1146" spans="2:17" x14ac:dyDescent="0.2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4"/>
    </row>
    <row r="1147" spans="2:17" x14ac:dyDescent="0.2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4"/>
    </row>
    <row r="1148" spans="2:17" x14ac:dyDescent="0.2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4"/>
    </row>
    <row r="1149" spans="2:17" x14ac:dyDescent="0.2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4"/>
    </row>
    <row r="1150" spans="2:17" x14ac:dyDescent="0.2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4"/>
    </row>
    <row r="1151" spans="2:17" x14ac:dyDescent="0.2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4"/>
    </row>
    <row r="1152" spans="2:17" x14ac:dyDescent="0.2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4"/>
    </row>
    <row r="1153" spans="2:17" x14ac:dyDescent="0.2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4"/>
    </row>
    <row r="1154" spans="2:17" x14ac:dyDescent="0.2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4"/>
    </row>
    <row r="1155" spans="2:17" x14ac:dyDescent="0.2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4"/>
    </row>
    <row r="1156" spans="2:17" x14ac:dyDescent="0.2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4"/>
    </row>
    <row r="1157" spans="2:17" x14ac:dyDescent="0.2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4"/>
    </row>
    <row r="1158" spans="2:17" x14ac:dyDescent="0.2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4"/>
    </row>
    <row r="1159" spans="2:17" x14ac:dyDescent="0.2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4"/>
    </row>
    <row r="1160" spans="2:17" x14ac:dyDescent="0.2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4"/>
    </row>
    <row r="1161" spans="2:17" x14ac:dyDescent="0.2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4"/>
    </row>
    <row r="1162" spans="2:17" x14ac:dyDescent="0.2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4"/>
    </row>
    <row r="1163" spans="2:17" x14ac:dyDescent="0.2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4"/>
    </row>
    <row r="1164" spans="2:17" x14ac:dyDescent="0.2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4"/>
    </row>
    <row r="1165" spans="2:17" x14ac:dyDescent="0.2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4"/>
    </row>
    <row r="1166" spans="2:17" x14ac:dyDescent="0.2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4"/>
    </row>
    <row r="1167" spans="2:17" x14ac:dyDescent="0.2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4"/>
    </row>
    <row r="1168" spans="2:17" x14ac:dyDescent="0.2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4"/>
    </row>
    <row r="1169" spans="2:17" x14ac:dyDescent="0.2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4"/>
    </row>
    <row r="1170" spans="2:17" x14ac:dyDescent="0.2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4"/>
    </row>
    <row r="1171" spans="2:17" x14ac:dyDescent="0.2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4"/>
    </row>
    <row r="1172" spans="2:17" x14ac:dyDescent="0.2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4"/>
    </row>
    <row r="1173" spans="2:17" x14ac:dyDescent="0.2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4"/>
    </row>
    <row r="1174" spans="2:17" x14ac:dyDescent="0.2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4"/>
    </row>
    <row r="1175" spans="2:17" x14ac:dyDescent="0.2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4"/>
    </row>
    <row r="1176" spans="2:17" x14ac:dyDescent="0.2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4"/>
    </row>
    <row r="1177" spans="2:17" x14ac:dyDescent="0.2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4"/>
    </row>
    <row r="1178" spans="2:17" x14ac:dyDescent="0.2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4"/>
    </row>
    <row r="1179" spans="2:17" x14ac:dyDescent="0.2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4"/>
    </row>
    <row r="1180" spans="2:17" x14ac:dyDescent="0.2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4"/>
    </row>
    <row r="1181" spans="2:17" x14ac:dyDescent="0.2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4"/>
    </row>
    <row r="1182" spans="2:17" x14ac:dyDescent="0.2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4"/>
    </row>
    <row r="1183" spans="2:17" x14ac:dyDescent="0.2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4"/>
    </row>
    <row r="1184" spans="2:17" x14ac:dyDescent="0.2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4"/>
    </row>
    <row r="1185" spans="2:17" x14ac:dyDescent="0.2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4"/>
    </row>
    <row r="1186" spans="2:17" x14ac:dyDescent="0.2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4"/>
    </row>
    <row r="1187" spans="2:17" x14ac:dyDescent="0.2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4"/>
    </row>
    <row r="1188" spans="2:17" x14ac:dyDescent="0.2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4"/>
    </row>
    <row r="1189" spans="2:17" x14ac:dyDescent="0.2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4"/>
    </row>
    <row r="1190" spans="2:17" x14ac:dyDescent="0.2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4"/>
    </row>
    <row r="1191" spans="2:17" x14ac:dyDescent="0.2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4"/>
    </row>
    <row r="1192" spans="2:17" x14ac:dyDescent="0.2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4"/>
    </row>
    <row r="1193" spans="2:17" x14ac:dyDescent="0.2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4"/>
    </row>
    <row r="1194" spans="2:17" x14ac:dyDescent="0.2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4"/>
    </row>
    <row r="1195" spans="2:17" x14ac:dyDescent="0.2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4"/>
    </row>
    <row r="1196" spans="2:17" x14ac:dyDescent="0.2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4"/>
    </row>
    <row r="1197" spans="2:17" x14ac:dyDescent="0.2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4"/>
    </row>
    <row r="1198" spans="2:17" x14ac:dyDescent="0.2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4"/>
    </row>
    <row r="1199" spans="2:17" x14ac:dyDescent="0.2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4"/>
    </row>
    <row r="1200" spans="2:17" x14ac:dyDescent="0.2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4"/>
    </row>
    <row r="1201" spans="2:17" x14ac:dyDescent="0.2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4"/>
    </row>
    <row r="1202" spans="2:17" x14ac:dyDescent="0.2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4"/>
    </row>
    <row r="1203" spans="2:17" x14ac:dyDescent="0.2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4"/>
    </row>
    <row r="1204" spans="2:17" x14ac:dyDescent="0.2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4"/>
    </row>
    <row r="1205" spans="2:17" x14ac:dyDescent="0.2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4"/>
    </row>
    <row r="1206" spans="2:17" x14ac:dyDescent="0.2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4"/>
    </row>
    <row r="1207" spans="2:17" x14ac:dyDescent="0.2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4"/>
    </row>
    <row r="1208" spans="2:17" x14ac:dyDescent="0.2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4"/>
    </row>
    <row r="1209" spans="2:17" x14ac:dyDescent="0.2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4"/>
    </row>
    <row r="1210" spans="2:17" x14ac:dyDescent="0.2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4"/>
    </row>
    <row r="1211" spans="2:17" x14ac:dyDescent="0.2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4"/>
    </row>
    <row r="1212" spans="2:17" x14ac:dyDescent="0.2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4"/>
    </row>
    <row r="1213" spans="2:17" x14ac:dyDescent="0.2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4"/>
    </row>
    <row r="1214" spans="2:17" x14ac:dyDescent="0.2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4"/>
    </row>
    <row r="1215" spans="2:17" x14ac:dyDescent="0.2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4"/>
    </row>
    <row r="1216" spans="2:17" x14ac:dyDescent="0.2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4"/>
    </row>
    <row r="1217" spans="2:17" x14ac:dyDescent="0.2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4"/>
    </row>
    <row r="1218" spans="2:17" x14ac:dyDescent="0.2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4"/>
    </row>
    <row r="1219" spans="2:17" x14ac:dyDescent="0.2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4"/>
    </row>
    <row r="1220" spans="2:17" x14ac:dyDescent="0.2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4"/>
    </row>
    <row r="1221" spans="2:17" x14ac:dyDescent="0.2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4"/>
    </row>
    <row r="1222" spans="2:17" x14ac:dyDescent="0.2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4"/>
    </row>
    <row r="1223" spans="2:17" x14ac:dyDescent="0.2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4"/>
    </row>
    <row r="1224" spans="2:17" x14ac:dyDescent="0.2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4"/>
    </row>
    <row r="1225" spans="2:17" x14ac:dyDescent="0.2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4"/>
    </row>
    <row r="1226" spans="2:17" x14ac:dyDescent="0.2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4"/>
    </row>
    <row r="1227" spans="2:17" x14ac:dyDescent="0.2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4"/>
    </row>
    <row r="1228" spans="2:17" x14ac:dyDescent="0.2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4"/>
    </row>
    <row r="1229" spans="2:17" x14ac:dyDescent="0.2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4"/>
    </row>
    <row r="1230" spans="2:17" x14ac:dyDescent="0.2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4"/>
    </row>
    <row r="1231" spans="2:17" x14ac:dyDescent="0.2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4"/>
    </row>
    <row r="1232" spans="2:17" x14ac:dyDescent="0.2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4"/>
    </row>
    <row r="1233" spans="2:17" x14ac:dyDescent="0.2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4"/>
    </row>
    <row r="1234" spans="2:17" x14ac:dyDescent="0.2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4"/>
    </row>
    <row r="1235" spans="2:17" x14ac:dyDescent="0.2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4"/>
    </row>
    <row r="1236" spans="2:17" x14ac:dyDescent="0.2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4"/>
    </row>
    <row r="1237" spans="2:17" x14ac:dyDescent="0.2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4"/>
    </row>
    <row r="1238" spans="2:17" x14ac:dyDescent="0.2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4"/>
    </row>
    <row r="1239" spans="2:17" x14ac:dyDescent="0.2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4"/>
    </row>
    <row r="1240" spans="2:17" x14ac:dyDescent="0.2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4"/>
    </row>
    <row r="1241" spans="2:17" x14ac:dyDescent="0.2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4"/>
    </row>
    <row r="1242" spans="2:17" x14ac:dyDescent="0.2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4"/>
    </row>
    <row r="1243" spans="2:17" x14ac:dyDescent="0.2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4"/>
    </row>
    <row r="1244" spans="2:17" x14ac:dyDescent="0.2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4"/>
    </row>
    <row r="1245" spans="2:17" x14ac:dyDescent="0.2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4"/>
    </row>
    <row r="1246" spans="2:17" x14ac:dyDescent="0.2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4"/>
    </row>
    <row r="1247" spans="2:17" x14ac:dyDescent="0.2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4"/>
    </row>
    <row r="1248" spans="2:17" x14ac:dyDescent="0.2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4"/>
    </row>
    <row r="1249" spans="2:17" x14ac:dyDescent="0.2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4"/>
    </row>
    <row r="1250" spans="2:17" x14ac:dyDescent="0.2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4"/>
    </row>
    <row r="1251" spans="2:17" x14ac:dyDescent="0.2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4"/>
    </row>
    <row r="1252" spans="2:17" x14ac:dyDescent="0.2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4"/>
    </row>
    <row r="1253" spans="2:17" x14ac:dyDescent="0.2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4"/>
    </row>
    <row r="1254" spans="2:17" x14ac:dyDescent="0.2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4"/>
    </row>
    <row r="1255" spans="2:17" x14ac:dyDescent="0.2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4"/>
    </row>
    <row r="1256" spans="2:17" x14ac:dyDescent="0.2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4"/>
    </row>
    <row r="1257" spans="2:17" x14ac:dyDescent="0.2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4"/>
    </row>
    <row r="1258" spans="2:17" x14ac:dyDescent="0.2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4"/>
    </row>
    <row r="1259" spans="2:17" x14ac:dyDescent="0.2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4"/>
    </row>
    <row r="1260" spans="2:17" x14ac:dyDescent="0.2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4"/>
    </row>
    <row r="1261" spans="2:17" x14ac:dyDescent="0.2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4"/>
    </row>
    <row r="1262" spans="2:17" x14ac:dyDescent="0.2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4"/>
    </row>
    <row r="1263" spans="2:17" x14ac:dyDescent="0.2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4"/>
    </row>
    <row r="1264" spans="2:17" x14ac:dyDescent="0.2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4"/>
    </row>
    <row r="1265" spans="2:17" x14ac:dyDescent="0.2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4"/>
    </row>
    <row r="1266" spans="2:17" x14ac:dyDescent="0.2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4"/>
    </row>
    <row r="1267" spans="2:17" x14ac:dyDescent="0.2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4"/>
    </row>
    <row r="1268" spans="2:17" x14ac:dyDescent="0.2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4"/>
    </row>
    <row r="1269" spans="2:17" x14ac:dyDescent="0.2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4"/>
    </row>
    <row r="1270" spans="2:17" x14ac:dyDescent="0.2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4"/>
    </row>
    <row r="1271" spans="2:17" x14ac:dyDescent="0.2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4"/>
    </row>
    <row r="1272" spans="2:17" x14ac:dyDescent="0.2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4"/>
    </row>
    <row r="1273" spans="2:17" x14ac:dyDescent="0.2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4"/>
    </row>
    <row r="1274" spans="2:17" x14ac:dyDescent="0.2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4"/>
    </row>
    <row r="1275" spans="2:17" x14ac:dyDescent="0.2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4"/>
    </row>
    <row r="1276" spans="2:17" x14ac:dyDescent="0.2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4"/>
    </row>
    <row r="1277" spans="2:17" x14ac:dyDescent="0.2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4"/>
    </row>
    <row r="1278" spans="2:17" x14ac:dyDescent="0.2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4"/>
    </row>
    <row r="1279" spans="2:17" x14ac:dyDescent="0.2"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4"/>
    </row>
    <row r="1280" spans="2:17" x14ac:dyDescent="0.2"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4"/>
    </row>
    <row r="1281" spans="2:17" x14ac:dyDescent="0.2"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4"/>
    </row>
    <row r="1282" spans="2:17" x14ac:dyDescent="0.2"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4"/>
    </row>
    <row r="1283" spans="2:17" x14ac:dyDescent="0.2"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4"/>
    </row>
    <row r="1284" spans="2:17" x14ac:dyDescent="0.2"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4"/>
    </row>
    <row r="1285" spans="2:17" x14ac:dyDescent="0.2"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4"/>
    </row>
    <row r="1286" spans="2:17" x14ac:dyDescent="0.2"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4"/>
    </row>
    <row r="1287" spans="2:17" x14ac:dyDescent="0.2"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4"/>
    </row>
    <row r="1288" spans="2:17" x14ac:dyDescent="0.2"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4"/>
    </row>
    <row r="1289" spans="2:17" x14ac:dyDescent="0.2"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4"/>
    </row>
    <row r="1290" spans="2:17" x14ac:dyDescent="0.2"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4"/>
    </row>
    <row r="1291" spans="2:17" x14ac:dyDescent="0.2"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4"/>
    </row>
    <row r="1292" spans="2:17" x14ac:dyDescent="0.2"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4"/>
    </row>
    <row r="1293" spans="2:17" x14ac:dyDescent="0.2"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4"/>
    </row>
    <row r="1294" spans="2:17" x14ac:dyDescent="0.2"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4"/>
    </row>
    <row r="1295" spans="2:17" x14ac:dyDescent="0.2"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4"/>
    </row>
    <row r="1296" spans="2:17" x14ac:dyDescent="0.2"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4"/>
    </row>
    <row r="1297" spans="2:17" x14ac:dyDescent="0.2"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4"/>
    </row>
    <row r="1298" spans="2:17" x14ac:dyDescent="0.2"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4"/>
    </row>
    <row r="1299" spans="2:17" x14ac:dyDescent="0.2"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4"/>
    </row>
    <row r="1300" spans="2:17" x14ac:dyDescent="0.2"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4"/>
    </row>
    <row r="1301" spans="2:17" x14ac:dyDescent="0.2"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4"/>
    </row>
    <row r="1302" spans="2:17" x14ac:dyDescent="0.2"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4"/>
    </row>
    <row r="1303" spans="2:17" x14ac:dyDescent="0.2"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4"/>
    </row>
    <row r="1304" spans="2:17" x14ac:dyDescent="0.2"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4"/>
    </row>
    <row r="1305" spans="2:17" x14ac:dyDescent="0.2"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4"/>
    </row>
    <row r="1306" spans="2:17" x14ac:dyDescent="0.2"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4"/>
    </row>
    <row r="1307" spans="2:17" x14ac:dyDescent="0.2"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</row>
    <row r="1308" spans="2:17" x14ac:dyDescent="0.2">
      <c r="B1308" s="14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</row>
    <row r="1309" spans="2:17" x14ac:dyDescent="0.2">
      <c r="B1309" s="14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</row>
    <row r="1310" spans="2:17" x14ac:dyDescent="0.2">
      <c r="B1310" s="14"/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</row>
    <row r="1311" spans="2:17" x14ac:dyDescent="0.2">
      <c r="B1311" s="14"/>
      <c r="C1311" s="14"/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</row>
    <row r="1312" spans="2:17" x14ac:dyDescent="0.2">
      <c r="B1312" s="14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</row>
    <row r="1313" spans="2:17" x14ac:dyDescent="0.2">
      <c r="B1313" s="14"/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</row>
    <row r="1314" spans="2:17" x14ac:dyDescent="0.2">
      <c r="B1314" s="14"/>
      <c r="C1314" s="14"/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</row>
    <row r="1315" spans="2:17" x14ac:dyDescent="0.2">
      <c r="B1315" s="14"/>
      <c r="C1315" s="14"/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</row>
    <row r="1316" spans="2:17" x14ac:dyDescent="0.2">
      <c r="B1316" s="14"/>
      <c r="C1316" s="14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</row>
    <row r="1317" spans="2:17" x14ac:dyDescent="0.2">
      <c r="B1317" s="14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</row>
    <row r="1318" spans="2:17" x14ac:dyDescent="0.2">
      <c r="B1318" s="14"/>
      <c r="C1318" s="14"/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</row>
    <row r="1319" spans="2:17" x14ac:dyDescent="0.2">
      <c r="B1319" s="14"/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</row>
    <row r="1320" spans="2:17" x14ac:dyDescent="0.2">
      <c r="B1320" s="14"/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</row>
    <row r="1321" spans="2:17" x14ac:dyDescent="0.2">
      <c r="B1321" s="14"/>
      <c r="C1321" s="14"/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</row>
    <row r="1322" spans="2:17" x14ac:dyDescent="0.2">
      <c r="B1322" s="14"/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</row>
    <row r="1323" spans="2:17" x14ac:dyDescent="0.2"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</row>
    <row r="1324" spans="2:17" x14ac:dyDescent="0.2">
      <c r="B1324" s="14"/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</row>
    <row r="1325" spans="2:17" x14ac:dyDescent="0.2">
      <c r="B1325" s="14"/>
      <c r="C1325" s="14"/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</row>
    <row r="1326" spans="2:17" x14ac:dyDescent="0.2">
      <c r="B1326" s="14"/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</row>
    <row r="1327" spans="2:17" x14ac:dyDescent="0.2">
      <c r="B1327" s="14"/>
      <c r="C1327" s="14"/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</row>
    <row r="1328" spans="2:17" x14ac:dyDescent="0.2">
      <c r="B1328" s="14"/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</row>
    <row r="1329" spans="2:17" x14ac:dyDescent="0.2">
      <c r="B1329" s="14"/>
      <c r="C1329" s="14"/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</row>
    <row r="1330" spans="2:17" x14ac:dyDescent="0.2">
      <c r="B1330" s="14"/>
      <c r="C1330" s="14"/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</row>
    <row r="1331" spans="2:17" x14ac:dyDescent="0.2">
      <c r="B1331" s="14"/>
      <c r="C1331" s="14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</row>
    <row r="1332" spans="2:17" x14ac:dyDescent="0.2">
      <c r="B1332" s="14"/>
      <c r="C1332" s="14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</row>
    <row r="1333" spans="2:17" x14ac:dyDescent="0.2">
      <c r="B1333" s="14"/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</row>
    <row r="1334" spans="2:17" x14ac:dyDescent="0.2">
      <c r="B1334" s="14"/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</row>
    <row r="1335" spans="2:17" x14ac:dyDescent="0.2">
      <c r="B1335" s="14"/>
      <c r="C1335" s="14"/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</row>
    <row r="1336" spans="2:17" x14ac:dyDescent="0.2">
      <c r="B1336" s="14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</row>
    <row r="1337" spans="2:17" x14ac:dyDescent="0.2"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</row>
    <row r="1338" spans="2:17" x14ac:dyDescent="0.2"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</row>
    <row r="1339" spans="2:17" x14ac:dyDescent="0.2">
      <c r="B1339" s="14"/>
      <c r="C1339" s="14"/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</row>
    <row r="1340" spans="2:17" x14ac:dyDescent="0.2">
      <c r="B1340" s="14"/>
      <c r="C1340" s="14"/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</row>
    <row r="1341" spans="2:17" x14ac:dyDescent="0.2">
      <c r="B1341" s="14"/>
      <c r="C1341" s="14"/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</row>
    <row r="1342" spans="2:17" x14ac:dyDescent="0.2">
      <c r="B1342" s="14"/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</row>
    <row r="1343" spans="2:17" x14ac:dyDescent="0.2">
      <c r="B1343" s="14"/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</row>
    <row r="1344" spans="2:17" x14ac:dyDescent="0.2">
      <c r="B1344" s="14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</row>
    <row r="1345" spans="2:17" x14ac:dyDescent="0.2">
      <c r="B1345" s="14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</row>
    <row r="1346" spans="2:17" x14ac:dyDescent="0.2">
      <c r="B1346" s="14"/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</row>
    <row r="1347" spans="2:17" x14ac:dyDescent="0.2">
      <c r="B1347" s="14"/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</row>
    <row r="1348" spans="2:17" x14ac:dyDescent="0.2">
      <c r="B1348" s="14"/>
      <c r="C1348" s="14"/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</row>
    <row r="1349" spans="2:17" x14ac:dyDescent="0.2">
      <c r="B1349" s="14"/>
      <c r="C1349" s="14"/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</row>
    <row r="1350" spans="2:17" x14ac:dyDescent="0.2">
      <c r="B1350" s="14"/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</row>
    <row r="1351" spans="2:17" x14ac:dyDescent="0.2">
      <c r="B1351" s="14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</row>
    <row r="1352" spans="2:17" x14ac:dyDescent="0.2">
      <c r="B1352" s="14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</row>
    <row r="1353" spans="2:17" x14ac:dyDescent="0.2">
      <c r="B1353" s="14"/>
      <c r="C1353" s="14"/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</row>
    <row r="1354" spans="2:17" x14ac:dyDescent="0.2">
      <c r="B1354" s="14"/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</row>
    <row r="1355" spans="2:17" x14ac:dyDescent="0.2">
      <c r="B1355" s="14"/>
      <c r="C1355" s="14"/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</row>
    <row r="1356" spans="2:17" x14ac:dyDescent="0.2">
      <c r="B1356" s="14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</row>
    <row r="1357" spans="2:17" x14ac:dyDescent="0.2">
      <c r="B1357" s="14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</row>
    <row r="1358" spans="2:17" x14ac:dyDescent="0.2">
      <c r="B1358" s="14"/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</row>
    <row r="1359" spans="2:17" x14ac:dyDescent="0.2">
      <c r="B1359" s="14"/>
      <c r="C1359" s="14"/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</row>
    <row r="1360" spans="2:17" x14ac:dyDescent="0.2">
      <c r="B1360" s="14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</row>
    <row r="1361" spans="2:17" x14ac:dyDescent="0.2"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</row>
    <row r="1362" spans="2:17" x14ac:dyDescent="0.2">
      <c r="B1362" s="14"/>
      <c r="C1362" s="14"/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</row>
    <row r="1363" spans="2:17" x14ac:dyDescent="0.2">
      <c r="B1363" s="14"/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</row>
    <row r="1364" spans="2:17" x14ac:dyDescent="0.2">
      <c r="B1364" s="14"/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</row>
    <row r="1365" spans="2:17" x14ac:dyDescent="0.2">
      <c r="B1365" s="14"/>
      <c r="C1365" s="14"/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</row>
    <row r="1366" spans="2:17" x14ac:dyDescent="0.2">
      <c r="B1366" s="14"/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</row>
    <row r="1367" spans="2:17" x14ac:dyDescent="0.2">
      <c r="B1367" s="14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</row>
    <row r="1368" spans="2:17" x14ac:dyDescent="0.2">
      <c r="B1368" s="14"/>
      <c r="C1368" s="14"/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</row>
    <row r="1369" spans="2:17" x14ac:dyDescent="0.2">
      <c r="B1369" s="14"/>
      <c r="C1369" s="14"/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</row>
    <row r="1370" spans="2:17" x14ac:dyDescent="0.2">
      <c r="B1370" s="14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</row>
    <row r="1371" spans="2:17" x14ac:dyDescent="0.2">
      <c r="B1371" s="14"/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</row>
    <row r="1372" spans="2:17" x14ac:dyDescent="0.2">
      <c r="B1372" s="14"/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</row>
    <row r="1373" spans="2:17" x14ac:dyDescent="0.2">
      <c r="B1373" s="14"/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</row>
    <row r="1374" spans="2:17" x14ac:dyDescent="0.2">
      <c r="B1374" s="14"/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</row>
    <row r="1375" spans="2:17" x14ac:dyDescent="0.2">
      <c r="B1375" s="14"/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</row>
    <row r="1376" spans="2:17" x14ac:dyDescent="0.2">
      <c r="B1376" s="14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</row>
    <row r="1377" spans="2:17" x14ac:dyDescent="0.2">
      <c r="B1377" s="14"/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</row>
    <row r="1378" spans="2:17" x14ac:dyDescent="0.2">
      <c r="B1378" s="14"/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</row>
    <row r="1379" spans="2:17" x14ac:dyDescent="0.2">
      <c r="B1379" s="14"/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</row>
    <row r="1380" spans="2:17" x14ac:dyDescent="0.2">
      <c r="B1380" s="14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</row>
    <row r="1381" spans="2:17" x14ac:dyDescent="0.2">
      <c r="B1381" s="14"/>
      <c r="C1381" s="14"/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</row>
    <row r="1382" spans="2:17" x14ac:dyDescent="0.2">
      <c r="B1382" s="14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</row>
    <row r="1383" spans="2:17" x14ac:dyDescent="0.2">
      <c r="B1383" s="14"/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</row>
    <row r="1384" spans="2:17" x14ac:dyDescent="0.2">
      <c r="B1384" s="14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</row>
    <row r="1385" spans="2:17" x14ac:dyDescent="0.2">
      <c r="B1385" s="14"/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</row>
    <row r="1386" spans="2:17" x14ac:dyDescent="0.2">
      <c r="B1386" s="14"/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</row>
    <row r="1387" spans="2:17" x14ac:dyDescent="0.2">
      <c r="B1387" s="14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</row>
    <row r="1388" spans="2:17" x14ac:dyDescent="0.2">
      <c r="B1388" s="14"/>
      <c r="C1388" s="14"/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</row>
    <row r="1389" spans="2:17" x14ac:dyDescent="0.2">
      <c r="B1389" s="14"/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</row>
    <row r="1390" spans="2:17" x14ac:dyDescent="0.2">
      <c r="B1390" s="14"/>
      <c r="C1390" s="14"/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</row>
    <row r="1391" spans="2:17" x14ac:dyDescent="0.2">
      <c r="B1391" s="14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</row>
    <row r="1392" spans="2:17" x14ac:dyDescent="0.2">
      <c r="B1392" s="14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</row>
    <row r="1393" spans="2:17" x14ac:dyDescent="0.2">
      <c r="B1393" s="14"/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</row>
    <row r="1394" spans="2:17" x14ac:dyDescent="0.2">
      <c r="B1394" s="14"/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</row>
    <row r="1395" spans="2:17" x14ac:dyDescent="0.2">
      <c r="B1395" s="14"/>
      <c r="C1395" s="14"/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</row>
    <row r="1396" spans="2:17" x14ac:dyDescent="0.2"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</row>
    <row r="1397" spans="2:17" x14ac:dyDescent="0.2">
      <c r="B1397" s="14"/>
      <c r="C1397" s="14"/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</row>
    <row r="1398" spans="2:17" x14ac:dyDescent="0.2">
      <c r="B1398" s="14"/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</row>
    <row r="1399" spans="2:17" x14ac:dyDescent="0.2">
      <c r="B1399" s="14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</row>
    <row r="1400" spans="2:17" x14ac:dyDescent="0.2"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</row>
    <row r="1401" spans="2:17" x14ac:dyDescent="0.2">
      <c r="B1401" s="14"/>
      <c r="C1401" s="14"/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</row>
    <row r="1402" spans="2:17" x14ac:dyDescent="0.2">
      <c r="B1402" s="14"/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</row>
    <row r="1403" spans="2:17" x14ac:dyDescent="0.2">
      <c r="B1403" s="14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</row>
    <row r="1404" spans="2:17" x14ac:dyDescent="0.2">
      <c r="B1404" s="14"/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</row>
    <row r="1405" spans="2:17" x14ac:dyDescent="0.2">
      <c r="B1405" s="14"/>
      <c r="C1405" s="14"/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</row>
    <row r="1406" spans="2:17" x14ac:dyDescent="0.2">
      <c r="B1406" s="14"/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</row>
    <row r="1407" spans="2:17" x14ac:dyDescent="0.2"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</row>
    <row r="1408" spans="2:17" x14ac:dyDescent="0.2">
      <c r="B1408" s="14"/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</row>
    <row r="1409" spans="2:17" x14ac:dyDescent="0.2">
      <c r="B1409" s="14"/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</row>
    <row r="1410" spans="2:17" x14ac:dyDescent="0.2">
      <c r="B1410" s="14"/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</row>
    <row r="1411" spans="2:17" x14ac:dyDescent="0.2">
      <c r="B1411" s="14"/>
      <c r="C1411" s="14"/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</row>
    <row r="1412" spans="2:17" x14ac:dyDescent="0.2">
      <c r="B1412" s="14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</row>
    <row r="1413" spans="2:17" x14ac:dyDescent="0.2">
      <c r="B1413" s="14"/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</row>
    <row r="1414" spans="2:17" x14ac:dyDescent="0.2">
      <c r="B1414" s="14"/>
      <c r="C1414" s="14"/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</row>
    <row r="1415" spans="2:17" x14ac:dyDescent="0.2"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</row>
    <row r="1416" spans="2:17" x14ac:dyDescent="0.2">
      <c r="B1416" s="14"/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</row>
    <row r="1417" spans="2:17" x14ac:dyDescent="0.2"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</row>
    <row r="1418" spans="2:17" x14ac:dyDescent="0.2">
      <c r="B1418" s="14"/>
      <c r="C1418" s="14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</row>
    <row r="1419" spans="2:17" x14ac:dyDescent="0.2"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</row>
    <row r="1420" spans="2:17" x14ac:dyDescent="0.2">
      <c r="B1420" s="14"/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</row>
    <row r="1421" spans="2:17" x14ac:dyDescent="0.2"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</row>
    <row r="1422" spans="2:17" x14ac:dyDescent="0.2">
      <c r="B1422" s="14"/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</row>
    <row r="1423" spans="2:17" x14ac:dyDescent="0.2"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</row>
    <row r="1424" spans="2:17" x14ac:dyDescent="0.2">
      <c r="B1424" s="14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</row>
    <row r="1425" spans="2:17" x14ac:dyDescent="0.2"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</row>
    <row r="1426" spans="2:17" x14ac:dyDescent="0.2">
      <c r="B1426" s="14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</row>
    <row r="1427" spans="2:17" x14ac:dyDescent="0.2">
      <c r="B1427" s="14"/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</row>
    <row r="1428" spans="2:17" x14ac:dyDescent="0.2">
      <c r="B1428" s="14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</row>
    <row r="1429" spans="2:17" x14ac:dyDescent="0.2">
      <c r="B1429" s="14"/>
      <c r="C1429" s="14"/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</row>
    <row r="1430" spans="2:17" x14ac:dyDescent="0.2">
      <c r="B1430" s="14"/>
      <c r="C1430" s="14"/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</row>
    <row r="1431" spans="2:17" x14ac:dyDescent="0.2"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</row>
    <row r="1432" spans="2:17" x14ac:dyDescent="0.2">
      <c r="B1432" s="14"/>
      <c r="C1432" s="14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</row>
    <row r="1433" spans="2:17" x14ac:dyDescent="0.2">
      <c r="B1433" s="14"/>
      <c r="C1433" s="14"/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</row>
    <row r="1434" spans="2:17" x14ac:dyDescent="0.2">
      <c r="B1434" s="14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</row>
    <row r="1435" spans="2:17" x14ac:dyDescent="0.2"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</row>
    <row r="1436" spans="2:17" x14ac:dyDescent="0.2">
      <c r="B1436" s="14"/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</row>
    <row r="1437" spans="2:17" x14ac:dyDescent="0.2">
      <c r="B1437" s="14"/>
      <c r="C1437" s="14"/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</row>
    <row r="1438" spans="2:17" x14ac:dyDescent="0.2"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</row>
    <row r="1439" spans="2:17" x14ac:dyDescent="0.2">
      <c r="B1439" s="14"/>
      <c r="C1439" s="14"/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</row>
    <row r="1440" spans="2:17" x14ac:dyDescent="0.2"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</row>
    <row r="1441" spans="2:17" x14ac:dyDescent="0.2"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</row>
    <row r="1442" spans="2:17" x14ac:dyDescent="0.2"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</row>
    <row r="1443" spans="2:17" x14ac:dyDescent="0.2"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</row>
    <row r="1444" spans="2:17" x14ac:dyDescent="0.2"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</row>
    <row r="1445" spans="2:17" x14ac:dyDescent="0.2"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</row>
    <row r="1446" spans="2:17" x14ac:dyDescent="0.2"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</row>
    <row r="1447" spans="2:17" x14ac:dyDescent="0.2"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</row>
    <row r="1448" spans="2:17" x14ac:dyDescent="0.2"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</row>
    <row r="1449" spans="2:17" x14ac:dyDescent="0.2"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</row>
    <row r="1450" spans="2:17" x14ac:dyDescent="0.2"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</row>
    <row r="1451" spans="2:17" x14ac:dyDescent="0.2">
      <c r="B1451" s="14"/>
      <c r="C1451" s="14"/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</row>
    <row r="1452" spans="2:17" x14ac:dyDescent="0.2">
      <c r="B1452" s="14"/>
      <c r="C1452" s="14"/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</row>
    <row r="1453" spans="2:17" x14ac:dyDescent="0.2">
      <c r="B1453" s="14"/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</row>
    <row r="1454" spans="2:17" x14ac:dyDescent="0.2"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</row>
    <row r="1455" spans="2:17" x14ac:dyDescent="0.2">
      <c r="B1455" s="14"/>
      <c r="C1455" s="14"/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</row>
    <row r="1456" spans="2:17" x14ac:dyDescent="0.2">
      <c r="B1456" s="14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</row>
    <row r="1457" spans="2:17" x14ac:dyDescent="0.2"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</row>
    <row r="1458" spans="2:17" x14ac:dyDescent="0.2">
      <c r="B1458" s="14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</row>
    <row r="1459" spans="2:17" x14ac:dyDescent="0.2"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</row>
    <row r="1460" spans="2:17" x14ac:dyDescent="0.2">
      <c r="B1460" s="14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</row>
    <row r="1461" spans="2:17" x14ac:dyDescent="0.2">
      <c r="B1461" s="14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</row>
    <row r="1462" spans="2:17" x14ac:dyDescent="0.2">
      <c r="B1462" s="14"/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</row>
    <row r="1463" spans="2:17" x14ac:dyDescent="0.2"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</row>
    <row r="1464" spans="2:17" x14ac:dyDescent="0.2"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</row>
    <row r="1465" spans="2:17" x14ac:dyDescent="0.2"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</row>
    <row r="1466" spans="2:17" x14ac:dyDescent="0.2">
      <c r="B1466" s="14"/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</row>
    <row r="1467" spans="2:17" x14ac:dyDescent="0.2"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</row>
    <row r="1468" spans="2:17" x14ac:dyDescent="0.2"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</row>
    <row r="1469" spans="2:17" x14ac:dyDescent="0.2"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</row>
    <row r="1470" spans="2:17" x14ac:dyDescent="0.2">
      <c r="B1470" s="14"/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</row>
    <row r="1471" spans="2:17" x14ac:dyDescent="0.2"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</row>
    <row r="1472" spans="2:17" x14ac:dyDescent="0.2"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</row>
    <row r="1473" spans="2:17" x14ac:dyDescent="0.2"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</row>
    <row r="1474" spans="2:17" x14ac:dyDescent="0.2">
      <c r="B1474" s="14"/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</row>
    <row r="1475" spans="2:17" x14ac:dyDescent="0.2">
      <c r="B1475" s="14"/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</row>
    <row r="1476" spans="2:17" x14ac:dyDescent="0.2">
      <c r="B1476" s="14"/>
      <c r="C1476" s="14"/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</row>
    <row r="1477" spans="2:17" x14ac:dyDescent="0.2"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</row>
    <row r="1478" spans="2:17" x14ac:dyDescent="0.2">
      <c r="B1478" s="14"/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</row>
    <row r="1479" spans="2:17" x14ac:dyDescent="0.2">
      <c r="B1479" s="14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</row>
    <row r="1480" spans="2:17" x14ac:dyDescent="0.2">
      <c r="B1480" s="14"/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</row>
    <row r="1481" spans="2:17" x14ac:dyDescent="0.2"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</row>
    <row r="1482" spans="2:17" x14ac:dyDescent="0.2">
      <c r="B1482" s="14"/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</row>
    <row r="1483" spans="2:17" x14ac:dyDescent="0.2">
      <c r="B1483" s="14"/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</row>
    <row r="1484" spans="2:17" x14ac:dyDescent="0.2">
      <c r="B1484" s="14"/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</row>
    <row r="1485" spans="2:17" x14ac:dyDescent="0.2"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</row>
    <row r="1486" spans="2:17" x14ac:dyDescent="0.2">
      <c r="B1486" s="14"/>
      <c r="C1486" s="14"/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</row>
    <row r="1487" spans="2:17" x14ac:dyDescent="0.2">
      <c r="B1487" s="14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</row>
    <row r="1488" spans="2:17" x14ac:dyDescent="0.2">
      <c r="B1488" s="14"/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</row>
    <row r="1489" spans="2:17" x14ac:dyDescent="0.2">
      <c r="B1489" s="14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</row>
  </sheetData>
  <mergeCells count="15">
    <mergeCell ref="P7:Q8"/>
    <mergeCell ref="B1:P1"/>
    <mergeCell ref="B2:P2"/>
    <mergeCell ref="B7:B8"/>
    <mergeCell ref="C7:C8"/>
    <mergeCell ref="D7:D8"/>
    <mergeCell ref="E7:E8"/>
    <mergeCell ref="F7:G7"/>
    <mergeCell ref="H7:H8"/>
    <mergeCell ref="I7:I8"/>
    <mergeCell ref="J7:K7"/>
    <mergeCell ref="L7:L8"/>
    <mergeCell ref="M7:M8"/>
    <mergeCell ref="N7:N8"/>
    <mergeCell ref="O7:O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1"/>
  <sheetViews>
    <sheetView tabSelected="1" view="pageBreakPreview" zoomScale="60" zoomScaleNormal="85" workbookViewId="0">
      <selection activeCell="G6" sqref="G6:K11"/>
    </sheetView>
  </sheetViews>
  <sheetFormatPr defaultRowHeight="12.75" x14ac:dyDescent="0.2"/>
  <cols>
    <col min="1" max="1" width="9.140625" style="43"/>
    <col min="2" max="2" width="12" style="43" customWidth="1"/>
    <col min="3" max="3" width="18" style="43" customWidth="1"/>
    <col min="4" max="4" width="12.140625" style="43" customWidth="1"/>
    <col min="5" max="5" width="13.28515625" style="43" customWidth="1"/>
    <col min="6" max="6" width="20.7109375" style="43" customWidth="1"/>
    <col min="7" max="8" width="10.85546875" style="43" customWidth="1"/>
    <col min="9" max="9" width="11.28515625" style="43" customWidth="1"/>
    <col min="10" max="10" width="10.140625" style="43" customWidth="1"/>
    <col min="11" max="11" width="12.28515625" style="43" customWidth="1"/>
    <col min="12" max="12" width="8.28515625" style="43" customWidth="1"/>
    <col min="13" max="16384" width="9.140625" style="43"/>
  </cols>
  <sheetData>
    <row r="2" spans="2:11" ht="15" x14ac:dyDescent="0.25">
      <c r="B2" s="42" t="s">
        <v>109</v>
      </c>
    </row>
    <row r="4" spans="2:11" x14ac:dyDescent="0.2">
      <c r="D4" s="88" t="s">
        <v>89</v>
      </c>
      <c r="E4" s="88"/>
      <c r="F4" s="88"/>
      <c r="G4" s="88"/>
      <c r="H4" s="88"/>
      <c r="I4" s="88"/>
      <c r="J4" s="88" t="s">
        <v>90</v>
      </c>
      <c r="K4" s="88"/>
    </row>
    <row r="5" spans="2:11" s="46" customFormat="1" ht="54.75" customHeight="1" x14ac:dyDescent="0.2">
      <c r="B5" s="44" t="s">
        <v>91</v>
      </c>
      <c r="C5" s="44" t="s">
        <v>92</v>
      </c>
      <c r="D5" s="44" t="s">
        <v>93</v>
      </c>
      <c r="E5" s="44" t="s">
        <v>94</v>
      </c>
      <c r="F5" s="44" t="s">
        <v>95</v>
      </c>
      <c r="G5" s="45" t="s">
        <v>96</v>
      </c>
      <c r="H5" s="45" t="s">
        <v>97</v>
      </c>
      <c r="I5" s="45" t="s">
        <v>98</v>
      </c>
      <c r="J5" s="45" t="s">
        <v>99</v>
      </c>
      <c r="K5" s="45" t="s">
        <v>100</v>
      </c>
    </row>
    <row r="6" spans="2:11" ht="15" customHeight="1" x14ac:dyDescent="0.2">
      <c r="B6" s="47" t="s">
        <v>105</v>
      </c>
      <c r="C6" s="47" t="s">
        <v>101</v>
      </c>
      <c r="D6" s="47" t="s">
        <v>102</v>
      </c>
      <c r="E6" s="47" t="s">
        <v>106</v>
      </c>
      <c r="F6" s="47" t="str">
        <f>D6&amp;"-"&amp;E6</f>
        <v>KAMPALA-ISHAKA</v>
      </c>
      <c r="G6" s="48">
        <f>ROUNDUP(COUNTIF('PT-16'!$L$9:$L$233,Summary!F6),0)</f>
        <v>1</v>
      </c>
      <c r="H6" s="48">
        <v>331</v>
      </c>
      <c r="I6" s="49">
        <f>AVERAGEIF('PT-16'!$L$9:$L$233,Summary!F6,'PT-16'!$O$9:$O$233)</f>
        <v>5.5</v>
      </c>
      <c r="J6" s="48">
        <f>AVERAGEIF('PT-16'!$L$9:$L$233,Summary!F6,'PT-16'!$M$9:$M$233)</f>
        <v>64</v>
      </c>
      <c r="K6" s="50">
        <f>AVERAGEIF('PT-16'!$L$9:$L$233,Summary!F6,'PT-16'!$N$9:$N$233)</f>
        <v>25000</v>
      </c>
    </row>
    <row r="7" spans="2:11" ht="15" customHeight="1" x14ac:dyDescent="0.2">
      <c r="B7" s="47" t="s">
        <v>105</v>
      </c>
      <c r="C7" s="47" t="s">
        <v>101</v>
      </c>
      <c r="D7" s="47" t="s">
        <v>102</v>
      </c>
      <c r="E7" s="47" t="s">
        <v>105</v>
      </c>
      <c r="F7" s="47" t="str">
        <f t="shared" ref="F7:F11" si="0">D7&amp;"-"&amp;E7</f>
        <v>KAMPALA-KABALE</v>
      </c>
      <c r="G7" s="48">
        <f>ROUNDUP(COUNTIF('PT-16'!$L$9:$L$233,Summary!F7),0)</f>
        <v>3</v>
      </c>
      <c r="H7" s="48">
        <v>410</v>
      </c>
      <c r="I7" s="49">
        <f>AVERAGEIF('PT-16'!$L$9:$L$233,Summary!F7,'PT-16'!$O$9:$O$233)</f>
        <v>6.5</v>
      </c>
      <c r="J7" s="48">
        <f>AVERAGEIF('PT-16'!$L$9:$L$233,Summary!F7,'PT-16'!$M$9:$M$233)</f>
        <v>48.666666666666664</v>
      </c>
      <c r="K7" s="50">
        <f>AVERAGEIF('PT-16'!$L$9:$L$233,Summary!F7,'PT-16'!$N$9:$N$233)</f>
        <v>30000</v>
      </c>
    </row>
    <row r="8" spans="2:11" ht="15" customHeight="1" x14ac:dyDescent="0.2">
      <c r="B8" s="47" t="s">
        <v>105</v>
      </c>
      <c r="C8" s="47" t="s">
        <v>101</v>
      </c>
      <c r="D8" s="47" t="s">
        <v>102</v>
      </c>
      <c r="E8" s="47" t="s">
        <v>107</v>
      </c>
      <c r="F8" s="47" t="str">
        <f t="shared" si="0"/>
        <v>KAMPALA-KISORO</v>
      </c>
      <c r="G8" s="48">
        <f>ROUNDUP(COUNTIF('PT-16'!$L$9:$L$233,Summary!F8),0)</f>
        <v>3</v>
      </c>
      <c r="H8" s="48">
        <v>467</v>
      </c>
      <c r="I8" s="49">
        <f>AVERAGEIF('PT-16'!$L$9:$L$233,Summary!F8,'PT-16'!$O$9:$O$233)</f>
        <v>9</v>
      </c>
      <c r="J8" s="48">
        <f>AVERAGEIF('PT-16'!$L$9:$L$233,Summary!F8,'PT-16'!$M$9:$M$233)</f>
        <v>41.666666666666664</v>
      </c>
      <c r="K8" s="50">
        <f>AVERAGEIF('PT-16'!$L$9:$L$233,Summary!F8,'PT-16'!$N$9:$N$233)</f>
        <v>40000</v>
      </c>
    </row>
    <row r="9" spans="2:11" ht="15" customHeight="1" x14ac:dyDescent="0.2">
      <c r="B9" s="47" t="s">
        <v>105</v>
      </c>
      <c r="C9" s="47" t="s">
        <v>101</v>
      </c>
      <c r="D9" s="47" t="s">
        <v>102</v>
      </c>
      <c r="E9" s="47" t="s">
        <v>108</v>
      </c>
      <c r="F9" s="47" t="str">
        <f t="shared" si="0"/>
        <v>KAMPALA-KYANIKA</v>
      </c>
      <c r="G9" s="48">
        <f>ROUNDUP(COUNTIF('PT-16'!$L$9:$L$233,Summary!F9),0)</f>
        <v>1</v>
      </c>
      <c r="H9" s="48">
        <v>470</v>
      </c>
      <c r="I9" s="49">
        <f>AVERAGEIF('PT-16'!$L$9:$L$233,Summary!F9,'PT-16'!$O$9:$O$233)</f>
        <v>8</v>
      </c>
      <c r="J9" s="48">
        <f>AVERAGEIF('PT-16'!$L$9:$L$233,Summary!F9,'PT-16'!$M$9:$M$233)</f>
        <v>64</v>
      </c>
      <c r="K9" s="50">
        <f>AVERAGEIF('PT-16'!$L$9:$L$233,Summary!F9,'PT-16'!$N$9:$N$233)</f>
        <v>40000</v>
      </c>
    </row>
    <row r="10" spans="2:11" ht="15" customHeight="1" x14ac:dyDescent="0.2">
      <c r="B10" s="47" t="s">
        <v>105</v>
      </c>
      <c r="C10" s="47" t="s">
        <v>103</v>
      </c>
      <c r="D10" s="47" t="s">
        <v>105</v>
      </c>
      <c r="E10" s="47" t="s">
        <v>102</v>
      </c>
      <c r="F10" s="47" t="str">
        <f t="shared" si="0"/>
        <v>KABALE-KAMPALA</v>
      </c>
      <c r="G10" s="48">
        <f>ROUNDUP(COUNTIF('PT-16'!$L$9:$L$233,Summary!F10),0)</f>
        <v>5</v>
      </c>
      <c r="H10" s="48">
        <v>410</v>
      </c>
      <c r="I10" s="49">
        <f>AVERAGEIF('PT-16'!$L$9:$L$233,Summary!F10,'PT-16'!$O$9:$O$233)</f>
        <v>6.6</v>
      </c>
      <c r="J10" s="48">
        <f>AVERAGEIF('PT-16'!$L$9:$L$233,Summary!F10,'PT-16'!$M$9:$M$233)</f>
        <v>53.6</v>
      </c>
      <c r="K10" s="50">
        <f>AVERAGEIF('PT-16'!$L$9:$L$233,Summary!F10,'PT-16'!$N$9:$N$233)</f>
        <v>30000</v>
      </c>
    </row>
    <row r="11" spans="2:11" ht="15" customHeight="1" x14ac:dyDescent="0.2">
      <c r="B11" s="47" t="s">
        <v>105</v>
      </c>
      <c r="C11" s="47" t="s">
        <v>103</v>
      </c>
      <c r="D11" s="47" t="s">
        <v>107</v>
      </c>
      <c r="E11" s="47" t="s">
        <v>102</v>
      </c>
      <c r="F11" s="47" t="str">
        <f t="shared" si="0"/>
        <v>KISORO-KAMPALA</v>
      </c>
      <c r="G11" s="48">
        <f>ROUNDUP(COUNTIF('PT-16'!$L$9:$L$233,Summary!F11),0)</f>
        <v>2</v>
      </c>
      <c r="H11" s="48">
        <v>467</v>
      </c>
      <c r="I11" s="49">
        <f>AVERAGEIF('PT-16'!$L$9:$L$233,Summary!F11,'PT-16'!$O$9:$O$233)</f>
        <v>9</v>
      </c>
      <c r="J11" s="48">
        <f>AVERAGEIF('PT-16'!$L$9:$L$233,Summary!F11,'PT-16'!$M$9:$M$233)</f>
        <v>47</v>
      </c>
      <c r="K11" s="50">
        <f>AVERAGEIF('PT-16'!$L$9:$L$233,Summary!F11,'PT-16'!$N$9:$N$233)</f>
        <v>40000</v>
      </c>
    </row>
    <row r="12" spans="2:11" ht="15" customHeight="1" x14ac:dyDescent="0.2"/>
    <row r="13" spans="2:11" ht="15" customHeight="1" x14ac:dyDescent="0.2"/>
    <row r="14" spans="2:11" ht="15" customHeight="1" x14ac:dyDescent="0.2"/>
    <row r="15" spans="2:11" ht="15" customHeight="1" x14ac:dyDescent="0.2"/>
    <row r="16" spans="2:11" ht="15" customHeight="1" x14ac:dyDescent="0.2"/>
    <row r="17" ht="15" customHeight="1" x14ac:dyDescent="0.2"/>
    <row r="18" ht="15" customHeight="1" x14ac:dyDescent="0.2"/>
    <row r="19" ht="15" customHeight="1" x14ac:dyDescent="0.2"/>
    <row r="20" ht="15" customHeight="1" x14ac:dyDescent="0.2"/>
    <row r="21" ht="15" customHeight="1" x14ac:dyDescent="0.2"/>
  </sheetData>
  <mergeCells count="2">
    <mergeCell ref="D4:I4"/>
    <mergeCell ref="J4:K4"/>
  </mergeCells>
  <pageMargins left="0.7" right="0.7" top="0.75" bottom="0.75" header="0.3" footer="0.3"/>
  <pageSetup scale="6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workbookViewId="0">
      <selection activeCell="D19" sqref="D19"/>
    </sheetView>
  </sheetViews>
  <sheetFormatPr defaultRowHeight="12.75" x14ac:dyDescent="0.2"/>
  <cols>
    <col min="1" max="1" width="4.28515625" customWidth="1"/>
    <col min="2" max="2" width="25.5703125" bestFit="1" customWidth="1"/>
    <col min="3" max="3" width="4.5703125" customWidth="1"/>
    <col min="4" max="4" width="18.42578125" customWidth="1"/>
    <col min="5" max="5" width="4.85546875" customWidth="1"/>
    <col min="6" max="6" width="24.28515625" customWidth="1"/>
    <col min="7" max="7" width="5.140625" customWidth="1"/>
    <col min="8" max="8" width="47.85546875" customWidth="1"/>
  </cols>
  <sheetData>
    <row r="1" spans="1:13" ht="30.75" customHeight="1" x14ac:dyDescent="0.2">
      <c r="A1" s="25"/>
      <c r="B1" s="23" t="s">
        <v>33</v>
      </c>
      <c r="C1" s="23"/>
      <c r="D1" s="24"/>
      <c r="E1" s="25"/>
      <c r="F1" s="25"/>
      <c r="G1" s="25"/>
      <c r="H1" s="25"/>
      <c r="I1" s="25"/>
      <c r="J1" s="25"/>
      <c r="K1" s="25"/>
      <c r="L1" s="25"/>
      <c r="M1" s="25"/>
    </row>
    <row r="2" spans="1:13" x14ac:dyDescent="0.2">
      <c r="A2">
        <v>1</v>
      </c>
      <c r="B2" s="22" t="s">
        <v>39</v>
      </c>
      <c r="C2" s="10"/>
      <c r="F2" s="19"/>
      <c r="H2" s="19"/>
    </row>
    <row r="3" spans="1:13" x14ac:dyDescent="0.2">
      <c r="A3">
        <v>2</v>
      </c>
      <c r="B3" s="22" t="s">
        <v>40</v>
      </c>
      <c r="C3" s="10"/>
      <c r="F3" s="19"/>
      <c r="H3" s="19"/>
    </row>
    <row r="4" spans="1:13" x14ac:dyDescent="0.2">
      <c r="A4">
        <v>3</v>
      </c>
      <c r="B4" s="22" t="s">
        <v>41</v>
      </c>
      <c r="C4" s="10"/>
      <c r="F4" s="19"/>
      <c r="H4" s="19"/>
    </row>
    <row r="5" spans="1:13" x14ac:dyDescent="0.2">
      <c r="A5">
        <v>4</v>
      </c>
      <c r="B5" s="22" t="s">
        <v>42</v>
      </c>
      <c r="C5" s="10"/>
      <c r="F5" s="19"/>
      <c r="H5" s="26"/>
    </row>
    <row r="6" spans="1:13" x14ac:dyDescent="0.2">
      <c r="A6">
        <v>5</v>
      </c>
      <c r="B6" s="22" t="s">
        <v>43</v>
      </c>
      <c r="C6" s="10"/>
      <c r="F6" s="19"/>
      <c r="H6" s="19"/>
    </row>
    <row r="7" spans="1:13" x14ac:dyDescent="0.2">
      <c r="A7">
        <v>6</v>
      </c>
      <c r="B7" s="22" t="s">
        <v>44</v>
      </c>
      <c r="C7" s="10"/>
      <c r="F7" s="19"/>
      <c r="H7" s="19"/>
    </row>
    <row r="8" spans="1:13" x14ac:dyDescent="0.2">
      <c r="A8">
        <v>7</v>
      </c>
      <c r="B8" s="22" t="s">
        <v>45</v>
      </c>
      <c r="C8" s="10"/>
      <c r="H8" s="19"/>
    </row>
    <row r="9" spans="1:13" x14ac:dyDescent="0.2">
      <c r="A9">
        <v>8</v>
      </c>
      <c r="B9" s="22" t="s">
        <v>46</v>
      </c>
      <c r="C9" s="10"/>
      <c r="H9" s="19"/>
    </row>
    <row r="10" spans="1:13" x14ac:dyDescent="0.2">
      <c r="A10">
        <v>9</v>
      </c>
      <c r="B10" s="22" t="s">
        <v>47</v>
      </c>
      <c r="C10" s="10"/>
      <c r="H10" s="19"/>
    </row>
    <row r="11" spans="1:13" x14ac:dyDescent="0.2">
      <c r="A11">
        <v>10</v>
      </c>
      <c r="B11" s="22" t="s">
        <v>48</v>
      </c>
      <c r="C11" s="10"/>
      <c r="H11" s="26"/>
    </row>
    <row r="12" spans="1:13" x14ac:dyDescent="0.2">
      <c r="A12">
        <v>11</v>
      </c>
      <c r="B12" s="22" t="s">
        <v>50</v>
      </c>
      <c r="C12" s="10"/>
      <c r="H12" s="19"/>
    </row>
    <row r="13" spans="1:13" x14ac:dyDescent="0.2">
      <c r="A13">
        <v>12</v>
      </c>
      <c r="B13" s="22" t="s">
        <v>49</v>
      </c>
      <c r="C13" s="10"/>
      <c r="H13" s="19"/>
    </row>
    <row r="14" spans="1:13" x14ac:dyDescent="0.2">
      <c r="C14" s="10"/>
    </row>
    <row r="15" spans="1:13" x14ac:dyDescent="0.2">
      <c r="B15" s="1"/>
      <c r="C15" s="10"/>
    </row>
    <row r="16" spans="1:13" x14ac:dyDescent="0.2">
      <c r="C16" s="10"/>
    </row>
    <row r="17" spans="3:3" x14ac:dyDescent="0.2">
      <c r="C17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PT-16</vt:lpstr>
      <vt:lpstr>RSI FORM</vt:lpstr>
      <vt:lpstr>Summary</vt:lpstr>
      <vt:lpstr>Key</vt:lpstr>
      <vt:lpstr>Summary!Print_Area</vt:lpstr>
      <vt:lpstr>Veh_Type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Mr.&amp;Mrs.O</cp:lastModifiedBy>
  <cp:lastPrinted>2019-07-30T09:53:06Z</cp:lastPrinted>
  <dcterms:created xsi:type="dcterms:W3CDTF">2010-10-20T14:55:17Z</dcterms:created>
  <dcterms:modified xsi:type="dcterms:W3CDTF">2020-03-31T23:39:11Z</dcterms:modified>
</cp:coreProperties>
</file>