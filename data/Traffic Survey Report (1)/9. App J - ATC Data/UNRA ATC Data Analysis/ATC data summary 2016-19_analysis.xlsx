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0. Steward Consultancy\Reference Docs\Traffic Data\UNRA ATC Data\"/>
    </mc:Choice>
  </mc:AlternateContent>
  <xr:revisionPtr revIDLastSave="0" documentId="13_ncr:1_{88A95E19-45E3-4B88-861D-BFD55C00C121}" xr6:coauthVersionLast="45" xr6:coauthVersionMax="45" xr10:uidLastSave="{00000000-0000-0000-0000-000000000000}"/>
  <bookViews>
    <workbookView xWindow="-120" yWindow="-120" windowWidth="20730" windowHeight="11160" xr2:uid="{04265B0E-7478-4577-B887-5AA2D94D83F4}"/>
  </bookViews>
  <sheets>
    <sheet name="ATC Data Summary 2016-18" sheetId="1" r:id="rId1"/>
    <sheet name="ATC Data 2019 Summary" sheetId="2" r:id="rId2"/>
  </sheets>
  <externalReferences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0" i="1" l="1"/>
  <c r="F60" i="1"/>
  <c r="G60" i="1"/>
  <c r="H60" i="1"/>
  <c r="I60" i="1"/>
  <c r="J60" i="1"/>
  <c r="K60" i="1"/>
  <c r="L60" i="1"/>
  <c r="M60" i="1"/>
  <c r="N60" i="1"/>
  <c r="O60" i="1"/>
  <c r="D60" i="1"/>
  <c r="O59" i="1"/>
  <c r="N59" i="1"/>
  <c r="M59" i="1"/>
  <c r="L59" i="1"/>
  <c r="K59" i="1"/>
  <c r="J59" i="1"/>
  <c r="I59" i="1"/>
  <c r="H59" i="1"/>
  <c r="G59" i="1"/>
  <c r="F59" i="1"/>
  <c r="E59" i="1"/>
  <c r="D59" i="1"/>
  <c r="E55" i="1"/>
  <c r="F55" i="1"/>
  <c r="G55" i="1"/>
  <c r="H55" i="1"/>
  <c r="I55" i="1"/>
  <c r="J55" i="1"/>
  <c r="K55" i="1"/>
  <c r="L55" i="1"/>
  <c r="M55" i="1"/>
  <c r="N55" i="1"/>
  <c r="O55" i="1"/>
  <c r="D55" i="1"/>
  <c r="E51" i="1"/>
  <c r="F51" i="1"/>
  <c r="G51" i="1"/>
  <c r="H51" i="1"/>
  <c r="I51" i="1"/>
  <c r="J51" i="1"/>
  <c r="K51" i="1"/>
  <c r="L51" i="1"/>
  <c r="M51" i="1"/>
  <c r="N51" i="1"/>
  <c r="O51" i="1"/>
  <c r="D51" i="1"/>
  <c r="E46" i="1"/>
  <c r="F46" i="1"/>
  <c r="G46" i="1"/>
  <c r="H46" i="1"/>
  <c r="I46" i="1"/>
  <c r="J46" i="1"/>
  <c r="K46" i="1"/>
  <c r="L46" i="1"/>
  <c r="M46" i="1"/>
  <c r="N46" i="1"/>
  <c r="O46" i="1"/>
  <c r="D46" i="1"/>
  <c r="C26" i="1" l="1"/>
  <c r="AG26" i="1" s="1"/>
  <c r="E43" i="1" s="1"/>
  <c r="AP26" i="1" l="1"/>
  <c r="N43" i="1" s="1"/>
  <c r="AM26" i="1"/>
  <c r="K43" i="1" s="1"/>
  <c r="AL26" i="1"/>
  <c r="J43" i="1" s="1"/>
  <c r="AN26" i="1"/>
  <c r="L43" i="1" s="1"/>
  <c r="AH26" i="1"/>
  <c r="F43" i="1" s="1"/>
  <c r="AF26" i="1"/>
  <c r="D43" i="1" s="1"/>
  <c r="AJ26" i="1"/>
  <c r="H43" i="1" s="1"/>
  <c r="AK26" i="1"/>
  <c r="I43" i="1" s="1"/>
  <c r="AQ26" i="1"/>
  <c r="O43" i="1" s="1"/>
  <c r="AI26" i="1"/>
  <c r="G43" i="1" s="1"/>
  <c r="AO26" i="1"/>
  <c r="M43" i="1" s="1"/>
  <c r="N17" i="2"/>
  <c r="M17" i="2"/>
  <c r="L17" i="2"/>
  <c r="K17" i="2"/>
  <c r="J17" i="2"/>
  <c r="I17" i="2"/>
  <c r="H17" i="2"/>
  <c r="G17" i="2"/>
  <c r="F17" i="2"/>
  <c r="N16" i="2"/>
  <c r="M16" i="2"/>
  <c r="L16" i="2"/>
  <c r="K16" i="2"/>
  <c r="J16" i="2"/>
  <c r="I16" i="2"/>
  <c r="H16" i="2"/>
  <c r="G16" i="2"/>
  <c r="F16" i="2"/>
  <c r="E16" i="2"/>
  <c r="C16" i="2"/>
  <c r="N15" i="2"/>
  <c r="M15" i="2"/>
  <c r="L15" i="2"/>
  <c r="K15" i="2"/>
  <c r="J15" i="2"/>
  <c r="I15" i="2"/>
  <c r="H15" i="2"/>
  <c r="G15" i="2"/>
  <c r="F15" i="2"/>
  <c r="C15" i="2"/>
  <c r="N14" i="2"/>
  <c r="M14" i="2"/>
  <c r="L14" i="2"/>
  <c r="K14" i="2"/>
  <c r="J14" i="2"/>
  <c r="I14" i="2"/>
  <c r="H14" i="2"/>
  <c r="G14" i="2"/>
  <c r="F14" i="2"/>
  <c r="C14" i="2"/>
  <c r="N12" i="2"/>
  <c r="N11" i="2"/>
  <c r="M11" i="2"/>
  <c r="L11" i="2"/>
  <c r="K11" i="2"/>
  <c r="J11" i="2"/>
  <c r="I11" i="2"/>
  <c r="H11" i="2"/>
  <c r="G11" i="2"/>
  <c r="F11" i="2"/>
  <c r="C11" i="2"/>
  <c r="N10" i="2"/>
  <c r="M10" i="2"/>
  <c r="L10" i="2"/>
  <c r="K10" i="2"/>
  <c r="J10" i="2"/>
  <c r="I10" i="2"/>
  <c r="H10" i="2"/>
  <c r="G10" i="2"/>
  <c r="D9" i="2"/>
  <c r="N8" i="2"/>
  <c r="M8" i="2"/>
  <c r="L8" i="2"/>
  <c r="K8" i="2"/>
  <c r="J8" i="2"/>
  <c r="I8" i="2"/>
  <c r="H8" i="2"/>
  <c r="G8" i="2"/>
  <c r="F8" i="2"/>
  <c r="N7" i="2"/>
  <c r="M7" i="2"/>
  <c r="L7" i="2"/>
  <c r="K7" i="2"/>
  <c r="J7" i="2"/>
  <c r="I7" i="2"/>
  <c r="H7" i="2"/>
  <c r="G7" i="2"/>
  <c r="F7" i="2"/>
  <c r="D7" i="2"/>
  <c r="N6" i="2"/>
  <c r="M6" i="2"/>
  <c r="L6" i="2"/>
  <c r="K6" i="2"/>
  <c r="J6" i="2"/>
  <c r="I6" i="2"/>
  <c r="H6" i="2"/>
  <c r="G6" i="2"/>
  <c r="F6" i="2"/>
  <c r="E6" i="2"/>
  <c r="D6" i="2"/>
  <c r="C6" i="2"/>
  <c r="N5" i="2"/>
  <c r="M5" i="2"/>
  <c r="L5" i="2"/>
  <c r="K5" i="2"/>
  <c r="J5" i="2"/>
  <c r="I5" i="2"/>
  <c r="H5" i="2"/>
  <c r="G5" i="2"/>
  <c r="F5" i="2"/>
  <c r="C5" i="2"/>
  <c r="N4" i="2"/>
  <c r="M4" i="2"/>
  <c r="L4" i="2"/>
  <c r="K4" i="2"/>
  <c r="J4" i="2"/>
  <c r="I4" i="2"/>
  <c r="H4" i="2"/>
  <c r="G4" i="2"/>
  <c r="F4" i="2"/>
  <c r="C4" i="2"/>
  <c r="N3" i="2"/>
  <c r="M3" i="2"/>
  <c r="L3" i="2"/>
  <c r="K3" i="2"/>
  <c r="J3" i="2"/>
  <c r="I3" i="2"/>
  <c r="H3" i="2"/>
  <c r="G3" i="2"/>
  <c r="C3" i="2"/>
  <c r="AE17" i="1" l="1"/>
  <c r="AD17" i="1"/>
  <c r="AC17" i="1"/>
  <c r="AB17" i="1"/>
  <c r="Z17" i="1"/>
  <c r="Y17" i="1"/>
  <c r="X17" i="1"/>
  <c r="W17" i="1"/>
  <c r="V17" i="1"/>
  <c r="T17" i="1"/>
  <c r="S17" i="1"/>
  <c r="R17" i="1"/>
  <c r="Q17" i="1"/>
  <c r="P17" i="1"/>
  <c r="O17" i="1"/>
  <c r="N17" i="1"/>
  <c r="M17" i="1"/>
  <c r="J17" i="1"/>
  <c r="I17" i="1"/>
  <c r="G17" i="1"/>
  <c r="F17" i="1"/>
  <c r="E17" i="1"/>
  <c r="D17" i="1"/>
  <c r="C17" i="1"/>
  <c r="AE16" i="1"/>
  <c r="AD16" i="1"/>
  <c r="AC16" i="1"/>
  <c r="AB16" i="1"/>
  <c r="Z16" i="1"/>
  <c r="Y16" i="1"/>
  <c r="X16" i="1"/>
  <c r="W16" i="1"/>
  <c r="V16" i="1"/>
  <c r="S16" i="1"/>
  <c r="R16" i="1"/>
  <c r="Q16" i="1"/>
  <c r="P16" i="1"/>
  <c r="O16" i="1"/>
  <c r="N16" i="1"/>
  <c r="L16" i="1"/>
  <c r="K16" i="1"/>
  <c r="J16" i="1"/>
  <c r="I16" i="1"/>
  <c r="H16" i="1"/>
  <c r="G16" i="1"/>
  <c r="F16" i="1"/>
  <c r="E16" i="1"/>
  <c r="D16" i="1"/>
  <c r="C16" i="1"/>
  <c r="AE15" i="1"/>
  <c r="AD15" i="1"/>
  <c r="AC15" i="1"/>
  <c r="AB15" i="1"/>
  <c r="AA15" i="1"/>
  <c r="Z15" i="1"/>
  <c r="W15" i="1"/>
  <c r="V15" i="1"/>
  <c r="U15" i="1"/>
  <c r="S15" i="1"/>
  <c r="R15" i="1"/>
  <c r="Q15" i="1"/>
  <c r="P15" i="1"/>
  <c r="C15" i="1"/>
  <c r="AE14" i="1"/>
  <c r="AD14" i="1"/>
  <c r="AB14" i="1"/>
  <c r="AA14" i="1"/>
  <c r="Z14" i="1"/>
  <c r="Y14" i="1"/>
  <c r="X14" i="1"/>
  <c r="V14" i="1"/>
  <c r="U14" i="1"/>
  <c r="S14" i="1"/>
  <c r="R14" i="1"/>
  <c r="Q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Z12" i="1"/>
  <c r="Y12" i="1"/>
  <c r="X12" i="1"/>
  <c r="W12" i="1"/>
  <c r="U12" i="1"/>
  <c r="T12" i="1"/>
  <c r="S12" i="1"/>
  <c r="R12" i="1"/>
  <c r="Q12" i="1"/>
  <c r="P12" i="1"/>
  <c r="O12" i="1"/>
  <c r="N12" i="1"/>
  <c r="M12" i="1"/>
  <c r="K12" i="1"/>
  <c r="J12" i="1"/>
  <c r="I12" i="1"/>
  <c r="H12" i="1"/>
  <c r="G12" i="1"/>
  <c r="F12" i="1"/>
  <c r="E12" i="1"/>
  <c r="D12" i="1"/>
  <c r="C12" i="1"/>
  <c r="AE11" i="1"/>
  <c r="AD11" i="1"/>
  <c r="AC11" i="1"/>
  <c r="AB11" i="1"/>
  <c r="AA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AE9" i="1"/>
  <c r="AD9" i="1"/>
  <c r="AC9" i="1"/>
  <c r="AB9" i="1"/>
  <c r="AA9" i="1"/>
  <c r="Z9" i="1"/>
  <c r="Y9" i="1"/>
  <c r="W9" i="1"/>
  <c r="V9" i="1"/>
  <c r="U9" i="1"/>
  <c r="T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AE8" i="1"/>
  <c r="AD8" i="1"/>
  <c r="AC8" i="1"/>
  <c r="AB8" i="1"/>
  <c r="AA8" i="1"/>
  <c r="Z8" i="1"/>
  <c r="Y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AE7" i="1"/>
  <c r="AD7" i="1"/>
  <c r="AC7" i="1"/>
  <c r="AB7" i="1"/>
  <c r="AA7" i="1"/>
  <c r="Z7" i="1"/>
  <c r="Y7" i="1"/>
  <c r="X7" i="1"/>
  <c r="W7" i="1"/>
  <c r="U7" i="1"/>
  <c r="T7" i="1"/>
  <c r="S7" i="1"/>
  <c r="R7" i="1"/>
  <c r="Q7" i="1"/>
  <c r="P7" i="1"/>
  <c r="M7" i="1"/>
  <c r="L7" i="1"/>
  <c r="K7" i="1"/>
  <c r="J7" i="1"/>
  <c r="G7" i="1"/>
  <c r="F7" i="1"/>
  <c r="E7" i="1"/>
  <c r="D7" i="1"/>
  <c r="C7" i="1"/>
  <c r="AE6" i="1"/>
  <c r="AD6" i="1"/>
  <c r="AC6" i="1"/>
  <c r="AB6" i="1"/>
  <c r="AA6" i="1"/>
  <c r="Z6" i="1"/>
  <c r="Y6" i="1"/>
  <c r="X6" i="1"/>
  <c r="W6" i="1"/>
  <c r="V6" i="1"/>
  <c r="U6" i="1"/>
  <c r="S6" i="1"/>
  <c r="R6" i="1"/>
  <c r="Q6" i="1"/>
  <c r="P6" i="1"/>
  <c r="C6" i="1"/>
  <c r="AE5" i="1"/>
  <c r="AD5" i="1"/>
  <c r="AC5" i="1"/>
  <c r="AB5" i="1"/>
  <c r="Y5" i="1"/>
  <c r="X5" i="1"/>
  <c r="W5" i="1"/>
  <c r="K5" i="1"/>
  <c r="J5" i="1"/>
  <c r="I5" i="1"/>
  <c r="H5" i="1"/>
  <c r="G5" i="1"/>
  <c r="F5" i="1"/>
  <c r="E5" i="1"/>
  <c r="D5" i="1"/>
  <c r="C5" i="1"/>
  <c r="AE4" i="1"/>
  <c r="AD4" i="1"/>
  <c r="AC4" i="1"/>
  <c r="AB4" i="1"/>
  <c r="AA4" i="1"/>
  <c r="Z4" i="1"/>
  <c r="W4" i="1"/>
  <c r="V4" i="1"/>
  <c r="U4" i="1"/>
  <c r="S4" i="1"/>
  <c r="R4" i="1"/>
  <c r="Q4" i="1"/>
  <c r="P4" i="1"/>
  <c r="K4" i="1"/>
  <c r="J4" i="1"/>
  <c r="I4" i="1"/>
  <c r="H4" i="1"/>
  <c r="G4" i="1"/>
  <c r="F4" i="1"/>
  <c r="E4" i="1"/>
  <c r="D4" i="1"/>
  <c r="C4" i="1"/>
  <c r="AE3" i="1"/>
  <c r="AD3" i="1"/>
  <c r="AC3" i="1"/>
  <c r="AB3" i="1"/>
  <c r="AA3" i="1"/>
  <c r="Y3" i="1"/>
  <c r="X3" i="1"/>
  <c r="V3" i="1"/>
  <c r="U3" i="1"/>
  <c r="T3" i="1"/>
  <c r="S3" i="1"/>
  <c r="R3" i="1"/>
  <c r="Q3" i="1"/>
  <c r="P3" i="1"/>
  <c r="L3" i="1"/>
  <c r="K3" i="1"/>
  <c r="J3" i="1"/>
  <c r="I3" i="1"/>
  <c r="H3" i="1"/>
  <c r="G3" i="1"/>
  <c r="F3" i="1"/>
  <c r="E3" i="1"/>
  <c r="D3" i="1"/>
  <c r="C3" i="1"/>
  <c r="AA16" i="1" l="1"/>
  <c r="AA17" i="1"/>
  <c r="C38" i="1" s="1"/>
  <c r="C36" i="1"/>
  <c r="AB36" i="1" s="1"/>
  <c r="L56" i="1" s="1"/>
  <c r="C25" i="1"/>
  <c r="Z25" i="1" s="1"/>
  <c r="J42" i="1" s="1"/>
  <c r="C24" i="1"/>
  <c r="Y24" i="1" s="1"/>
  <c r="I41" i="1" s="1"/>
  <c r="C29" i="1"/>
  <c r="L29" i="1" s="1"/>
  <c r="H47" i="1" s="1"/>
  <c r="C32" i="1"/>
  <c r="J32" i="1" s="1"/>
  <c r="F50" i="1" s="1"/>
  <c r="C34" i="1"/>
  <c r="L34" i="1" s="1"/>
  <c r="H53" i="1" s="1"/>
  <c r="C28" i="1"/>
  <c r="X28" i="1" s="1"/>
  <c r="H45" i="1" s="1"/>
  <c r="C30" i="1"/>
  <c r="K30" i="1" s="1"/>
  <c r="G48" i="1" s="1"/>
  <c r="C31" i="1"/>
  <c r="M31" i="1" s="1"/>
  <c r="I49" i="1" s="1"/>
  <c r="V28" i="1"/>
  <c r="F45" i="1" s="1"/>
  <c r="C35" i="1"/>
  <c r="H35" i="1" s="1"/>
  <c r="D54" i="1" s="1"/>
  <c r="C27" i="1"/>
  <c r="AF27" i="1" s="1"/>
  <c r="D44" i="1" s="1"/>
  <c r="N30" i="1"/>
  <c r="J48" i="1" s="1"/>
  <c r="C33" i="1"/>
  <c r="S33" i="1" s="1"/>
  <c r="O52" i="1" s="1"/>
  <c r="D29" i="1" l="1"/>
  <c r="L47" i="1" s="1"/>
  <c r="L30" i="1"/>
  <c r="H48" i="1" s="1"/>
  <c r="U24" i="1"/>
  <c r="E41" i="1" s="1"/>
  <c r="K29" i="1"/>
  <c r="G47" i="1" s="1"/>
  <c r="F30" i="1"/>
  <c r="N48" i="1" s="1"/>
  <c r="H29" i="1"/>
  <c r="D47" i="1" s="1"/>
  <c r="G30" i="1"/>
  <c r="O48" i="1" s="1"/>
  <c r="N29" i="1"/>
  <c r="J47" i="1" s="1"/>
  <c r="F29" i="1"/>
  <c r="N47" i="1" s="1"/>
  <c r="U28" i="1"/>
  <c r="E45" i="1" s="1"/>
  <c r="Z36" i="1"/>
  <c r="J56" i="1" s="1"/>
  <c r="AD38" i="1"/>
  <c r="N58" i="1" s="1"/>
  <c r="T38" i="1"/>
  <c r="D58" i="1" s="1"/>
  <c r="W38" i="1"/>
  <c r="G58" i="1" s="1"/>
  <c r="X38" i="1"/>
  <c r="H58" i="1" s="1"/>
  <c r="I31" i="1"/>
  <c r="E49" i="1" s="1"/>
  <c r="D35" i="1"/>
  <c r="L54" i="1" s="1"/>
  <c r="AA25" i="1"/>
  <c r="K42" i="1" s="1"/>
  <c r="AD25" i="1"/>
  <c r="N42" i="1" s="1"/>
  <c r="E35" i="1"/>
  <c r="M54" i="1" s="1"/>
  <c r="N34" i="1"/>
  <c r="J53" i="1" s="1"/>
  <c r="W25" i="1"/>
  <c r="G42" i="1" s="1"/>
  <c r="AB25" i="1"/>
  <c r="L42" i="1" s="1"/>
  <c r="U25" i="1"/>
  <c r="E42" i="1" s="1"/>
  <c r="M35" i="1"/>
  <c r="I54" i="1" s="1"/>
  <c r="O34" i="1"/>
  <c r="K53" i="1" s="1"/>
  <c r="V25" i="1"/>
  <c r="F42" i="1" s="1"/>
  <c r="W36" i="1"/>
  <c r="G56" i="1" s="1"/>
  <c r="K34" i="1"/>
  <c r="G53" i="1" s="1"/>
  <c r="K31" i="1"/>
  <c r="G49" i="1" s="1"/>
  <c r="H31" i="1"/>
  <c r="D49" i="1" s="1"/>
  <c r="AE25" i="1"/>
  <c r="O42" i="1" s="1"/>
  <c r="AC25" i="1"/>
  <c r="M42" i="1" s="1"/>
  <c r="D31" i="1"/>
  <c r="L49" i="1" s="1"/>
  <c r="T24" i="1"/>
  <c r="D41" i="1" s="1"/>
  <c r="AB28" i="1"/>
  <c r="L45" i="1" s="1"/>
  <c r="C37" i="1"/>
  <c r="AA37" i="1" s="1"/>
  <c r="K57" i="1" s="1"/>
  <c r="AC27" i="1"/>
  <c r="M44" i="1" s="1"/>
  <c r="Z28" i="1"/>
  <c r="J45" i="1" s="1"/>
  <c r="E31" i="1"/>
  <c r="M49" i="1" s="1"/>
  <c r="V24" i="1"/>
  <c r="F41" i="1" s="1"/>
  <c r="Y38" i="1"/>
  <c r="I58" i="1" s="1"/>
  <c r="AC38" i="1"/>
  <c r="M58" i="1" s="1"/>
  <c r="V38" i="1"/>
  <c r="F58" i="1" s="1"/>
  <c r="AA27" i="1"/>
  <c r="K44" i="1" s="1"/>
  <c r="Y28" i="1"/>
  <c r="I45" i="1" s="1"/>
  <c r="X36" i="1"/>
  <c r="H56" i="1" s="1"/>
  <c r="Y36" i="1"/>
  <c r="I56" i="1" s="1"/>
  <c r="T36" i="1"/>
  <c r="D56" i="1" s="1"/>
  <c r="AD36" i="1"/>
  <c r="N56" i="1" s="1"/>
  <c r="L35" i="1"/>
  <c r="H54" i="1" s="1"/>
  <c r="I35" i="1"/>
  <c r="E54" i="1" s="1"/>
  <c r="Q32" i="1"/>
  <c r="M50" i="1" s="1"/>
  <c r="X24" i="1"/>
  <c r="H41" i="1" s="1"/>
  <c r="S36" i="1"/>
  <c r="O56" i="1" s="1"/>
  <c r="AA36" i="1"/>
  <c r="K56" i="1" s="1"/>
  <c r="AC36" i="1"/>
  <c r="M56" i="1" s="1"/>
  <c r="V36" i="1"/>
  <c r="F56" i="1" s="1"/>
  <c r="N32" i="1"/>
  <c r="J50" i="1" s="1"/>
  <c r="T32" i="1"/>
  <c r="D50" i="1" s="1"/>
  <c r="S32" i="1"/>
  <c r="O50" i="1" s="1"/>
  <c r="I30" i="1"/>
  <c r="E48" i="1" s="1"/>
  <c r="AA38" i="1"/>
  <c r="K58" i="1" s="1"/>
  <c r="U36" i="1"/>
  <c r="E56" i="1" s="1"/>
  <c r="S38" i="1"/>
  <c r="O58" i="1" s="1"/>
  <c r="U38" i="1"/>
  <c r="E58" i="1" s="1"/>
  <c r="W28" i="1"/>
  <c r="G45" i="1" s="1"/>
  <c r="AD28" i="1"/>
  <c r="N45" i="1" s="1"/>
  <c r="AC28" i="1"/>
  <c r="M45" i="1" s="1"/>
  <c r="O31" i="1"/>
  <c r="K49" i="1" s="1"/>
  <c r="Z38" i="1"/>
  <c r="J58" i="1" s="1"/>
  <c r="AB38" i="1"/>
  <c r="L58" i="1" s="1"/>
  <c r="U33" i="1"/>
  <c r="E52" i="1" s="1"/>
  <c r="O30" i="1"/>
  <c r="K48" i="1" s="1"/>
  <c r="E30" i="1"/>
  <c r="M48" i="1" s="1"/>
  <c r="L31" i="1"/>
  <c r="H49" i="1" s="1"/>
  <c r="M33" i="1"/>
  <c r="I52" i="1" s="1"/>
  <c r="J30" i="1"/>
  <c r="F48" i="1" s="1"/>
  <c r="M30" i="1"/>
  <c r="I48" i="1" s="1"/>
  <c r="H30" i="1"/>
  <c r="D48" i="1" s="1"/>
  <c r="G35" i="1"/>
  <c r="O54" i="1" s="1"/>
  <c r="X25" i="1"/>
  <c r="H42" i="1" s="1"/>
  <c r="AF25" i="1"/>
  <c r="D42" i="1" s="1"/>
  <c r="Y25" i="1"/>
  <c r="I42" i="1" s="1"/>
  <c r="R33" i="1"/>
  <c r="N52" i="1" s="1"/>
  <c r="D30" i="1"/>
  <c r="L48" i="1" s="1"/>
  <c r="W24" i="1"/>
  <c r="G41" i="1" s="1"/>
  <c r="Z24" i="1"/>
  <c r="J41" i="1" s="1"/>
  <c r="S24" i="1"/>
  <c r="O41" i="1" s="1"/>
  <c r="R24" i="1"/>
  <c r="N41" i="1" s="1"/>
  <c r="J31" i="1"/>
  <c r="F49" i="1" s="1"/>
  <c r="K35" i="1"/>
  <c r="G54" i="1" s="1"/>
  <c r="O29" i="1"/>
  <c r="K47" i="1" s="1"/>
  <c r="N31" i="1"/>
  <c r="J49" i="1" s="1"/>
  <c r="P24" i="1"/>
  <c r="L41" i="1" s="1"/>
  <c r="Q24" i="1"/>
  <c r="M41" i="1" s="1"/>
  <c r="AA24" i="1"/>
  <c r="K41" i="1" s="1"/>
  <c r="J33" i="1"/>
  <c r="F52" i="1" s="1"/>
  <c r="L33" i="1"/>
  <c r="H52" i="1" s="1"/>
  <c r="U27" i="1"/>
  <c r="E44" i="1" s="1"/>
  <c r="S34" i="1"/>
  <c r="O53" i="1" s="1"/>
  <c r="K32" i="1"/>
  <c r="G50" i="1" s="1"/>
  <c r="P34" i="1"/>
  <c r="L53" i="1" s="1"/>
  <c r="G31" i="1"/>
  <c r="O49" i="1" s="1"/>
  <c r="P32" i="1"/>
  <c r="L50" i="1" s="1"/>
  <c r="N33" i="1"/>
  <c r="J52" i="1" s="1"/>
  <c r="X27" i="1"/>
  <c r="H44" i="1" s="1"/>
  <c r="R34" i="1"/>
  <c r="N53" i="1" s="1"/>
  <c r="H34" i="1"/>
  <c r="D53" i="1" s="1"/>
  <c r="AE27" i="1"/>
  <c r="O44" i="1" s="1"/>
  <c r="T33" i="1"/>
  <c r="D52" i="1" s="1"/>
  <c r="U32" i="1"/>
  <c r="E50" i="1" s="1"/>
  <c r="AB27" i="1"/>
  <c r="L44" i="1" s="1"/>
  <c r="J34" i="1"/>
  <c r="F53" i="1" s="1"/>
  <c r="J35" i="1"/>
  <c r="F54" i="1" s="1"/>
  <c r="T28" i="1"/>
  <c r="D45" i="1" s="1"/>
  <c r="W27" i="1"/>
  <c r="G44" i="1" s="1"/>
  <c r="O33" i="1"/>
  <c r="K52" i="1" s="1"/>
  <c r="M29" i="1"/>
  <c r="I47" i="1" s="1"/>
  <c r="N35" i="1"/>
  <c r="J54" i="1" s="1"/>
  <c r="F31" i="1"/>
  <c r="N49" i="1" s="1"/>
  <c r="M32" i="1"/>
  <c r="I50" i="1" s="1"/>
  <c r="Z27" i="1"/>
  <c r="J44" i="1" s="1"/>
  <c r="Q33" i="1"/>
  <c r="M52" i="1" s="1"/>
  <c r="Q34" i="1"/>
  <c r="M53" i="1" s="1"/>
  <c r="M34" i="1"/>
  <c r="I53" i="1" s="1"/>
  <c r="R32" i="1"/>
  <c r="N50" i="1" s="1"/>
  <c r="E29" i="1"/>
  <c r="M47" i="1" s="1"/>
  <c r="O32" i="1"/>
  <c r="K50" i="1" s="1"/>
  <c r="AA28" i="1"/>
  <c r="K45" i="1" s="1"/>
  <c r="F35" i="1"/>
  <c r="N54" i="1" s="1"/>
  <c r="I34" i="1"/>
  <c r="E53" i="1" s="1"/>
  <c r="Y27" i="1"/>
  <c r="I44" i="1" s="1"/>
  <c r="V27" i="1"/>
  <c r="F44" i="1" s="1"/>
  <c r="I29" i="1"/>
  <c r="E47" i="1" s="1"/>
  <c r="AE28" i="1"/>
  <c r="O45" i="1" s="1"/>
  <c r="K33" i="1"/>
  <c r="G52" i="1" s="1"/>
  <c r="L32" i="1"/>
  <c r="H50" i="1" s="1"/>
  <c r="G29" i="1"/>
  <c r="O47" i="1" s="1"/>
  <c r="P33" i="1"/>
  <c r="L52" i="1" s="1"/>
  <c r="J29" i="1"/>
  <c r="F47" i="1" s="1"/>
  <c r="O35" i="1"/>
  <c r="K54" i="1" s="1"/>
  <c r="AD27" i="1"/>
  <c r="N44" i="1" s="1"/>
  <c r="U37" i="1" l="1"/>
  <c r="E57" i="1" s="1"/>
  <c r="T37" i="1"/>
  <c r="D57" i="1" s="1"/>
  <c r="W37" i="1"/>
  <c r="G57" i="1" s="1"/>
  <c r="X37" i="1"/>
  <c r="H57" i="1" s="1"/>
  <c r="AB37" i="1"/>
  <c r="L57" i="1" s="1"/>
  <c r="AD37" i="1"/>
  <c r="N57" i="1" s="1"/>
  <c r="S37" i="1"/>
  <c r="O57" i="1" s="1"/>
  <c r="V37" i="1"/>
  <c r="F57" i="1" s="1"/>
  <c r="Y37" i="1"/>
  <c r="I57" i="1" s="1"/>
  <c r="AC37" i="1"/>
  <c r="M57" i="1" s="1"/>
  <c r="Z37" i="1"/>
  <c r="J57" i="1" s="1"/>
</calcChain>
</file>

<file path=xl/sharedStrings.xml><?xml version="1.0" encoding="utf-8"?>
<sst xmlns="http://schemas.openxmlformats.org/spreadsheetml/2006/main" count="178" uniqueCount="60">
  <si>
    <t>No</t>
  </si>
  <si>
    <t>Link Name/Mother station</t>
  </si>
  <si>
    <t>ADT including summary motorcycles (24 hr counts)</t>
  </si>
  <si>
    <t>Kasangati - Kyaliwajala</t>
  </si>
  <si>
    <t>E.M</t>
  </si>
  <si>
    <t>N.A</t>
  </si>
  <si>
    <t>Mukono - Kalagi</t>
  </si>
  <si>
    <t>Njeru - Bukoloto</t>
  </si>
  <si>
    <t>Kampala - Mukono</t>
  </si>
  <si>
    <t>I.D</t>
  </si>
  <si>
    <t>Buwama - Nyendo</t>
  </si>
  <si>
    <t>Lyantonde - Ntusi</t>
  </si>
  <si>
    <t>Ishaka - Katunguru</t>
  </si>
  <si>
    <t>Kyenjojo - Fortportal</t>
  </si>
  <si>
    <t>Ibanda - Kamwenje Road</t>
  </si>
  <si>
    <t>Tirinyi - Budaka - Kamonkoli</t>
  </si>
  <si>
    <t>Palisa - Kanyago Bridge</t>
  </si>
  <si>
    <t>Kumi - Brooks corner</t>
  </si>
  <si>
    <t>Lira - Corner Kilak</t>
  </si>
  <si>
    <t>Lamogi - Amuru Junction</t>
  </si>
  <si>
    <t>Nebi - Olevu</t>
  </si>
  <si>
    <t>Equipment malfunction</t>
  </si>
  <si>
    <t>Not applicable</t>
  </si>
  <si>
    <t>Insufficient data</t>
  </si>
  <si>
    <t>Type of Vehicle</t>
  </si>
  <si>
    <t>Mortocycles/bicycles</t>
  </si>
  <si>
    <t>Saloon cars</t>
  </si>
  <si>
    <t>Minibuses/matatus/Pickups/Vans/4WD</t>
  </si>
  <si>
    <t>Medium buses/Light single unit truck</t>
  </si>
  <si>
    <t>Buses/medium - large unit Trucks</t>
  </si>
  <si>
    <t>Trailers</t>
  </si>
  <si>
    <t>D.M</t>
  </si>
  <si>
    <t>L.B</t>
  </si>
  <si>
    <t>M.R</t>
  </si>
  <si>
    <t>Lack of Batteries</t>
  </si>
  <si>
    <t>Damaged Machine</t>
  </si>
  <si>
    <t>Machine Removed due to road construction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</si>
  <si>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</si>
  <si>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</si>
  <si>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</si>
  <si>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</si>
  <si>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</si>
  <si>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</si>
  <si>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</si>
  <si>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</si>
  <si>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</si>
  <si>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</si>
  <si>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</si>
  <si>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</si>
  <si>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ATC Survey Site / Month</t>
  </si>
  <si>
    <t>SCF - NATIONAL</t>
  </si>
  <si>
    <t>Region</t>
  </si>
  <si>
    <t>Central</t>
  </si>
  <si>
    <t>Western</t>
  </si>
  <si>
    <t>Eastern</t>
  </si>
  <si>
    <t>Northern</t>
  </si>
  <si>
    <t>SCF Central Region</t>
  </si>
  <si>
    <t>SCF Western Region</t>
  </si>
  <si>
    <t>SCF Eastern Region</t>
  </si>
  <si>
    <t>SCF Northern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</si>
</sst>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_-* #,##0.000_-;\-* #,##0.000_-;_-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9"/>
      <name val="Arial"/>
      <family val="2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sz val="9"/>
      <color theme="1"/>
      <name val="Arial"/>
      <family val="2"/>
    </font>
    <font>
      <b/>
      <i/>
      <sz val="9"/>
      <name val="Arial"/>
      <family val="2"/>
    </font>
    <font>
      <b/>
      <i/>
      <sz val="9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99">
    <xf numFmtId="0" fontId="0" fillId="0" borderId="0" xfId="0"/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" fillId="0" borderId="0" xfId="0" applyFont="1"/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7" fontId="3" fillId="0" borderId="7" xfId="0" applyNumberFormat="1" applyFont="1" applyBorder="1" applyAlignment="1">
      <alignment horizontal="center" vertical="center" wrapText="1"/>
    </xf>
    <xf numFmtId="17" fontId="3" fillId="0" borderId="7" xfId="0" applyNumberFormat="1" applyFont="1" applyBorder="1" applyAlignment="1">
      <alignment horizontal="center" vertical="center"/>
    </xf>
    <xf numFmtId="17" fontId="3" fillId="0" borderId="7" xfId="0" applyNumberFormat="1" applyFont="1" applyBorder="1"/>
    <xf numFmtId="0" fontId="5" fillId="0" borderId="7" xfId="0" applyFont="1" applyBorder="1" applyAlignment="1">
      <alignment horizontal="left"/>
    </xf>
    <xf numFmtId="0" fontId="5" fillId="0" borderId="7" xfId="0" applyFont="1" applyBorder="1"/>
    <xf numFmtId="164" fontId="5" fillId="0" borderId="7" xfId="1" applyNumberFormat="1" applyFont="1" applyBorder="1" applyAlignment="1">
      <alignment horizontal="center" vertical="center"/>
    </xf>
    <xf numFmtId="164" fontId="5" fillId="0" borderId="7" xfId="1" applyNumberFormat="1" applyFont="1" applyFill="1" applyBorder="1" applyAlignment="1">
      <alignment horizontal="center" vertical="center"/>
    </xf>
    <xf numFmtId="164" fontId="6" fillId="0" borderId="7" xfId="1" applyNumberFormat="1" applyFont="1" applyFill="1" applyBorder="1" applyAlignment="1">
      <alignment horizontal="center" vertical="center"/>
    </xf>
    <xf numFmtId="164" fontId="5" fillId="0" borderId="8" xfId="1" applyNumberFormat="1" applyFont="1" applyFill="1" applyBorder="1" applyAlignment="1">
      <alignment horizontal="center" vertical="center"/>
    </xf>
    <xf numFmtId="41" fontId="5" fillId="0" borderId="7" xfId="2" applyFont="1" applyFill="1" applyBorder="1"/>
    <xf numFmtId="41" fontId="5" fillId="0" borderId="7" xfId="0" applyNumberFormat="1" applyFont="1" applyBorder="1"/>
    <xf numFmtId="0" fontId="5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/>
    <xf numFmtId="164" fontId="6" fillId="0" borderId="0" xfId="1" applyNumberFormat="1" applyFont="1" applyFill="1" applyBorder="1" applyAlignment="1">
      <alignment horizontal="center" vertical="center"/>
    </xf>
    <xf numFmtId="41" fontId="6" fillId="0" borderId="7" xfId="2" applyFont="1" applyFill="1" applyBorder="1" applyAlignment="1">
      <alignment horizontal="center" vertical="center"/>
    </xf>
    <xf numFmtId="0" fontId="0" fillId="0" borderId="7" xfId="0" applyBorder="1"/>
    <xf numFmtId="0" fontId="5" fillId="0" borderId="0" xfId="0" applyFont="1" applyAlignment="1">
      <alignment horizontal="left"/>
    </xf>
    <xf numFmtId="0" fontId="7" fillId="0" borderId="0" xfId="0" applyFont="1"/>
    <xf numFmtId="164" fontId="4" fillId="0" borderId="0" xfId="1" applyNumberFormat="1" applyFont="1" applyFill="1" applyBorder="1" applyAlignment="1">
      <alignment horizontal="center" vertical="center"/>
    </xf>
    <xf numFmtId="21" fontId="5" fillId="0" borderId="0" xfId="0" applyNumberFormat="1" applyFont="1"/>
    <xf numFmtId="0" fontId="4" fillId="0" borderId="7" xfId="0" applyFont="1" applyBorder="1" applyAlignment="1">
      <alignment vertical="center"/>
    </xf>
    <xf numFmtId="0" fontId="4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17" fontId="4" fillId="0" borderId="7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>
      <alignment horizontal="center"/>
    </xf>
    <xf numFmtId="41" fontId="5" fillId="0" borderId="7" xfId="0" applyNumberFormat="1" applyFont="1" applyBorder="1" applyAlignment="1">
      <alignment horizontal="center"/>
    </xf>
    <xf numFmtId="41" fontId="5" fillId="0" borderId="7" xfId="2" applyFont="1" applyFill="1" applyBorder="1" applyAlignment="1">
      <alignment horizontal="center"/>
    </xf>
    <xf numFmtId="41" fontId="5" fillId="0" borderId="7" xfId="0" applyNumberFormat="1" applyFont="1" applyBorder="1" applyAlignment="1">
      <alignment horizontal="center" vertical="center"/>
    </xf>
    <xf numFmtId="41" fontId="5" fillId="2" borderId="7" xfId="0" applyNumberFormat="1" applyFont="1" applyFill="1" applyBorder="1" applyAlignment="1">
      <alignment horizontal="center" vertical="center"/>
    </xf>
    <xf numFmtId="41" fontId="5" fillId="3" borderId="7" xfId="0" applyNumberFormat="1" applyFont="1" applyFill="1" applyBorder="1" applyAlignment="1">
      <alignment horizontal="center" vertical="center"/>
    </xf>
    <xf numFmtId="41" fontId="5" fillId="3" borderId="7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64" fontId="4" fillId="0" borderId="0" xfId="1" applyNumberFormat="1" applyFont="1" applyFill="1" applyBorder="1" applyAlignment="1">
      <alignment vertical="center"/>
    </xf>
    <xf numFmtId="164" fontId="4" fillId="0" borderId="0" xfId="1" applyNumberFormat="1" applyFont="1" applyFill="1" applyBorder="1" applyAlignment="1">
      <alignment horizontal="left" vertical="center"/>
    </xf>
    <xf numFmtId="164" fontId="4" fillId="0" borderId="0" xfId="1" applyNumberFormat="1" applyFont="1" applyFill="1" applyBorder="1" applyAlignment="1">
      <alignment wrapText="1"/>
    </xf>
    <xf numFmtId="0" fontId="2" fillId="0" borderId="0" xfId="0" applyFont="1" applyAlignment="1">
      <alignment horizontal="left"/>
    </xf>
    <xf numFmtId="21" fontId="5" fillId="0" borderId="0" xfId="0" applyNumberFormat="1" applyFont="1" applyAlignment="1">
      <alignment horizontal="center"/>
    </xf>
    <xf numFmtId="21" fontId="3" fillId="0" borderId="0" xfId="0" applyNumberFormat="1" applyFont="1"/>
    <xf numFmtId="21" fontId="3" fillId="0" borderId="0" xfId="0" applyNumberFormat="1" applyFont="1" applyAlignment="1">
      <alignment horizontal="center"/>
    </xf>
    <xf numFmtId="21" fontId="0" fillId="0" borderId="0" xfId="0" applyNumberFormat="1"/>
    <xf numFmtId="2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4" fontId="6" fillId="3" borderId="7" xfId="1" applyNumberFormat="1" applyFont="1" applyFill="1" applyBorder="1" applyAlignment="1">
      <alignment horizontal="center" vertical="center"/>
    </xf>
    <xf numFmtId="164" fontId="5" fillId="3" borderId="7" xfId="1" applyNumberFormat="1" applyFont="1" applyFill="1" applyBorder="1" applyAlignment="1">
      <alignment horizontal="center" vertical="center"/>
    </xf>
    <xf numFmtId="164" fontId="6" fillId="3" borderId="8" xfId="1" applyNumberFormat="1" applyFont="1" applyFill="1" applyBorder="1" applyAlignment="1">
      <alignment horizontal="center" vertical="center"/>
    </xf>
    <xf numFmtId="164" fontId="6" fillId="3" borderId="0" xfId="1" applyNumberFormat="1" applyFont="1" applyFill="1" applyBorder="1" applyAlignment="1">
      <alignment horizontal="center" vertical="center"/>
    </xf>
    <xf numFmtId="41" fontId="6" fillId="3" borderId="7" xfId="2" applyFont="1" applyFill="1" applyBorder="1" applyAlignment="1">
      <alignment horizontal="center" vertical="center"/>
    </xf>
    <xf numFmtId="164" fontId="5" fillId="4" borderId="7" xfId="1" applyNumberFormat="1" applyFont="1" applyFill="1" applyBorder="1" applyAlignment="1">
      <alignment horizontal="center" vertical="center"/>
    </xf>
    <xf numFmtId="164" fontId="5" fillId="4" borderId="8" xfId="1" applyNumberFormat="1" applyFont="1" applyFill="1" applyBorder="1" applyAlignment="1">
      <alignment horizontal="center" vertical="center"/>
    </xf>
    <xf numFmtId="0" fontId="5" fillId="4" borderId="7" xfId="0" applyFont="1" applyFill="1" applyBorder="1"/>
    <xf numFmtId="164" fontId="6" fillId="4" borderId="7" xfId="1" applyNumberFormat="1" applyFont="1" applyFill="1" applyBorder="1" applyAlignment="1">
      <alignment horizontal="center" vertical="center"/>
    </xf>
    <xf numFmtId="0" fontId="5" fillId="5" borderId="7" xfId="0" applyFont="1" applyFill="1" applyBorder="1"/>
    <xf numFmtId="41" fontId="5" fillId="5" borderId="7" xfId="2" applyFont="1" applyFill="1" applyBorder="1"/>
    <xf numFmtId="41" fontId="5" fillId="5" borderId="7" xfId="0" applyNumberFormat="1" applyFont="1" applyFill="1" applyBorder="1"/>
    <xf numFmtId="41" fontId="5" fillId="5" borderId="7" xfId="0" applyNumberFormat="1" applyFont="1" applyFill="1" applyBorder="1" applyAlignment="1">
      <alignment horizontal="center"/>
    </xf>
    <xf numFmtId="41" fontId="5" fillId="5" borderId="7" xfId="2" applyFont="1" applyFill="1" applyBorder="1" applyAlignment="1">
      <alignment horizontal="center"/>
    </xf>
    <xf numFmtId="164" fontId="6" fillId="5" borderId="7" xfId="1" applyNumberFormat="1" applyFont="1" applyFill="1" applyBorder="1" applyAlignment="1">
      <alignment horizontal="center" vertical="center"/>
    </xf>
    <xf numFmtId="41" fontId="5" fillId="5" borderId="7" xfId="0" applyNumberFormat="1" applyFont="1" applyFill="1" applyBorder="1" applyAlignment="1">
      <alignment horizontal="center" vertical="center"/>
    </xf>
    <xf numFmtId="164" fontId="5" fillId="5" borderId="7" xfId="1" applyNumberFormat="1" applyFont="1" applyFill="1" applyBorder="1" applyAlignment="1">
      <alignment horizontal="center" vertical="center"/>
    </xf>
    <xf numFmtId="164" fontId="5" fillId="5" borderId="8" xfId="1" applyNumberFormat="1" applyFont="1" applyFill="1" applyBorder="1" applyAlignment="1">
      <alignment horizontal="center" vertical="center"/>
    </xf>
    <xf numFmtId="164" fontId="5" fillId="5" borderId="0" xfId="1" applyNumberFormat="1" applyFont="1" applyFill="1" applyBorder="1" applyAlignment="1">
      <alignment horizontal="center" vertical="center"/>
    </xf>
    <xf numFmtId="41" fontId="5" fillId="4" borderId="7" xfId="2" applyFont="1" applyFill="1" applyBorder="1"/>
    <xf numFmtId="164" fontId="0" fillId="0" borderId="0" xfId="0" applyNumberFormat="1" applyAlignment="1">
      <alignment horizontal="center"/>
    </xf>
    <xf numFmtId="165" fontId="0" fillId="0" borderId="0" xfId="0" applyNumberFormat="1"/>
    <xf numFmtId="165" fontId="0" fillId="6" borderId="0" xfId="0" applyNumberFormat="1" applyFill="1"/>
    <xf numFmtId="0" fontId="0" fillId="0" borderId="0" xfId="0" applyFill="1"/>
    <xf numFmtId="43" fontId="0" fillId="0" borderId="0" xfId="0" applyNumberFormat="1"/>
    <xf numFmtId="166" fontId="0" fillId="0" borderId="0" xfId="0" applyNumberFormat="1"/>
    <xf numFmtId="41" fontId="0" fillId="0" borderId="0" xfId="0" applyNumberFormat="1" applyAlignment="1">
      <alignment horizontal="center"/>
    </xf>
    <xf numFmtId="0" fontId="9" fillId="7" borderId="7" xfId="0" applyFont="1" applyFill="1" applyBorder="1" applyAlignment="1">
      <alignment horizontal="left"/>
    </xf>
    <xf numFmtId="0" fontId="10" fillId="8" borderId="7" xfId="0" applyFont="1" applyFill="1" applyBorder="1"/>
    <xf numFmtId="17" fontId="11" fillId="8" borderId="7" xfId="0" applyNumberFormat="1" applyFont="1" applyFill="1" applyBorder="1" applyAlignment="1">
      <alignment horizontal="center" vertical="center"/>
    </xf>
    <xf numFmtId="0" fontId="9" fillId="9" borderId="7" xfId="0" applyFont="1" applyFill="1" applyBorder="1" applyAlignment="1">
      <alignment horizontal="left"/>
    </xf>
    <xf numFmtId="0" fontId="9" fillId="9" borderId="7" xfId="0" applyFont="1" applyFill="1" applyBorder="1"/>
    <xf numFmtId="166" fontId="12" fillId="9" borderId="7" xfId="0" applyNumberFormat="1" applyFont="1" applyFill="1" applyBorder="1" applyAlignment="1">
      <alignment horizontal="center"/>
    </xf>
    <xf numFmtId="166" fontId="12" fillId="9" borderId="7" xfId="0" applyNumberFormat="1" applyFont="1" applyFill="1" applyBorder="1"/>
    <xf numFmtId="0" fontId="12" fillId="9" borderId="7" xfId="0" applyFont="1" applyFill="1" applyBorder="1"/>
    <xf numFmtId="165" fontId="12" fillId="9" borderId="7" xfId="0" applyNumberFormat="1" applyFont="1" applyFill="1" applyBorder="1"/>
    <xf numFmtId="166" fontId="14" fillId="9" borderId="7" xfId="0" applyNumberFormat="1" applyFont="1" applyFill="1" applyBorder="1" applyAlignment="1">
      <alignment horizontal="center"/>
    </xf>
    <xf numFmtId="166" fontId="14" fillId="10" borderId="7" xfId="0" applyNumberFormat="1" applyFont="1" applyFill="1" applyBorder="1" applyAlignment="1">
      <alignment horizontal="center"/>
    </xf>
    <xf numFmtId="0" fontId="13" fillId="10" borderId="8" xfId="0" applyFont="1" applyFill="1" applyBorder="1" applyAlignment="1">
      <alignment horizontal="left"/>
    </xf>
    <xf numFmtId="0" fontId="13" fillId="10" borderId="9" xfId="0" applyFont="1" applyFill="1" applyBorder="1" applyAlignment="1">
      <alignment horizontal="left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3" fillId="9" borderId="8" xfId="0" applyFont="1" applyFill="1" applyBorder="1" applyAlignment="1">
      <alignment horizontal="left"/>
    </xf>
    <xf numFmtId="0" fontId="13" fillId="9" borderId="9" xfId="0" applyFont="1" applyFill="1" applyBorder="1" applyAlignment="1">
      <alignment horizontal="left"/>
    </xf>
    <xf numFmtId="43" fontId="12" fillId="9" borderId="7" xfId="0" applyNumberFormat="1" applyFont="1" applyFill="1" applyBorder="1" applyAlignment="1">
      <alignment horizontal="center"/>
    </xf>
    <xf numFmtId="43" fontId="14" fillId="9" borderId="7" xfId="0" applyNumberFormat="1" applyFont="1" applyFill="1" applyBorder="1" applyAlignment="1">
      <alignment horizontal="center"/>
    </xf>
  </cellXfs>
  <cellStyles count="3">
    <cellStyle name="Comma" xfId="1" builtinId="3"/>
    <cellStyle name="Comma [0]" xfId="2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TC%20DATA%202016,%202017%20&amp;%202018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HQ\TINA%20DATA\ATC%20Data\ATC%202018\ATC%20ANALYSIS\Analysis%20Oct%202018\Lira-C%20Kilak%20Oct%202018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TC%20Data%20Summary%202019.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TC data Aug 2016"/>
      <sheetName val="ATC data Sept 2016"/>
      <sheetName val="ATC data Oct 2016"/>
      <sheetName val="ATC data Nov 2016"/>
      <sheetName val="ATC data Dec 2016"/>
      <sheetName val="ATC data Jan 2017"/>
      <sheetName val="ATC data Feb 2017"/>
      <sheetName val="ATC data Mar 2017"/>
      <sheetName val="ATC data Apr 2017"/>
      <sheetName val="ATC data May 2017"/>
      <sheetName val="ATC data Jun 2017"/>
      <sheetName val="ATC data Jul 2017"/>
      <sheetName val="ATC data Aug 2017"/>
      <sheetName val="ATC data Sep 2017"/>
      <sheetName val="ATC data Oct 2017"/>
      <sheetName val="ATC data Nov 2017"/>
      <sheetName val="ATC data Dec 2017"/>
      <sheetName val="ATC data Jan 2018"/>
      <sheetName val="ATC data Feb 2018"/>
      <sheetName val="ATC data Mar 2018"/>
      <sheetName val="ATC data Apr 2018"/>
      <sheetName val="ATC data May 2018"/>
      <sheetName val="ATC data Jun 2018"/>
      <sheetName val="ATC data Jul 2018"/>
      <sheetName val="ATC data Aug 2018"/>
      <sheetName val="ATC data Sep 2018"/>
      <sheetName val="ATC data Oct 2018"/>
      <sheetName val="ATC data Nov 2018 "/>
      <sheetName val="ATC data Dec  2018 )"/>
      <sheetName val="ATC Data Summary"/>
      <sheetName val="Sheet1"/>
    </sheetNames>
    <sheetDataSet>
      <sheetData sheetId="0">
        <row r="3">
          <cell r="C3">
            <v>4290</v>
          </cell>
        </row>
        <row r="4">
          <cell r="C4">
            <v>4358</v>
          </cell>
        </row>
        <row r="5">
          <cell r="C5">
            <v>3635</v>
          </cell>
        </row>
        <row r="6">
          <cell r="C6">
            <v>28152</v>
          </cell>
        </row>
        <row r="7">
          <cell r="C7">
            <v>7004</v>
          </cell>
        </row>
        <row r="9">
          <cell r="C9">
            <v>1563</v>
          </cell>
        </row>
        <row r="10">
          <cell r="C10">
            <v>737</v>
          </cell>
        </row>
        <row r="11">
          <cell r="C11">
            <v>2142</v>
          </cell>
        </row>
        <row r="12">
          <cell r="C12">
            <v>4880</v>
          </cell>
        </row>
        <row r="13">
          <cell r="C13">
            <v>2147</v>
          </cell>
        </row>
        <row r="14">
          <cell r="C14">
            <v>2488</v>
          </cell>
        </row>
        <row r="15">
          <cell r="C15">
            <v>1597</v>
          </cell>
        </row>
        <row r="16">
          <cell r="C16">
            <v>1257</v>
          </cell>
        </row>
        <row r="17">
          <cell r="C17">
            <v>960</v>
          </cell>
        </row>
      </sheetData>
      <sheetData sheetId="1">
        <row r="3">
          <cell r="C3">
            <v>0</v>
          </cell>
        </row>
        <row r="4">
          <cell r="C4">
            <v>4061</v>
          </cell>
        </row>
        <row r="5">
          <cell r="C5">
            <v>0</v>
          </cell>
        </row>
        <row r="7">
          <cell r="C7">
            <v>6820</v>
          </cell>
        </row>
        <row r="8">
          <cell r="C8">
            <v>695</v>
          </cell>
        </row>
        <row r="9">
          <cell r="C9">
            <v>1342</v>
          </cell>
        </row>
        <row r="10">
          <cell r="C10">
            <v>1240</v>
          </cell>
        </row>
        <row r="11">
          <cell r="C11">
            <v>2080</v>
          </cell>
        </row>
        <row r="13">
          <cell r="C13">
            <v>2010</v>
          </cell>
        </row>
        <row r="14">
          <cell r="C14">
            <v>3125</v>
          </cell>
        </row>
        <row r="16">
          <cell r="C16">
            <v>1080</v>
          </cell>
        </row>
        <row r="17">
          <cell r="C17">
            <v>1064</v>
          </cell>
        </row>
      </sheetData>
      <sheetData sheetId="2">
        <row r="4">
          <cell r="C4">
            <v>4055</v>
          </cell>
        </row>
        <row r="7">
          <cell r="C7">
            <v>5321</v>
          </cell>
        </row>
        <row r="8">
          <cell r="C8">
            <v>503</v>
          </cell>
        </row>
        <row r="9">
          <cell r="C9">
            <v>1505</v>
          </cell>
        </row>
        <row r="10">
          <cell r="C10">
            <v>2106</v>
          </cell>
        </row>
        <row r="14">
          <cell r="C14">
            <v>3109</v>
          </cell>
        </row>
      </sheetData>
      <sheetData sheetId="3">
        <row r="3">
          <cell r="C3">
            <v>4910</v>
          </cell>
        </row>
        <row r="4">
          <cell r="C4">
            <v>3973</v>
          </cell>
        </row>
        <row r="5">
          <cell r="C5">
            <v>0</v>
          </cell>
        </row>
        <row r="7">
          <cell r="C7">
            <v>5381</v>
          </cell>
        </row>
        <row r="8">
          <cell r="C8">
            <v>578.5</v>
          </cell>
        </row>
        <row r="9">
          <cell r="C9">
            <v>1533</v>
          </cell>
        </row>
        <row r="10">
          <cell r="C10">
            <v>2076</v>
          </cell>
        </row>
        <row r="11">
          <cell r="C11">
            <v>2212</v>
          </cell>
        </row>
        <row r="12">
          <cell r="C12">
            <v>5446</v>
          </cell>
        </row>
        <row r="13">
          <cell r="C13">
            <v>1699</v>
          </cell>
        </row>
        <row r="14">
          <cell r="C14">
            <v>2527</v>
          </cell>
        </row>
        <row r="16">
          <cell r="C16">
            <v>1754</v>
          </cell>
        </row>
        <row r="17">
          <cell r="C17">
            <v>831</v>
          </cell>
        </row>
      </sheetData>
      <sheetData sheetId="4">
        <row r="3">
          <cell r="C3">
            <v>4053</v>
          </cell>
        </row>
        <row r="4">
          <cell r="C4">
            <v>5113</v>
          </cell>
        </row>
        <row r="5">
          <cell r="C5">
            <v>3939</v>
          </cell>
        </row>
        <row r="7">
          <cell r="C7">
            <v>4447</v>
          </cell>
        </row>
        <row r="8">
          <cell r="C8">
            <v>655</v>
          </cell>
        </row>
        <row r="9">
          <cell r="C9">
            <v>1492</v>
          </cell>
        </row>
        <row r="10">
          <cell r="C10">
            <v>2224</v>
          </cell>
        </row>
        <row r="11">
          <cell r="C11">
            <v>2972</v>
          </cell>
        </row>
        <row r="12">
          <cell r="C12">
            <v>5292</v>
          </cell>
        </row>
        <row r="13">
          <cell r="C13">
            <v>1720</v>
          </cell>
        </row>
        <row r="14">
          <cell r="C14">
            <v>2587</v>
          </cell>
        </row>
        <row r="16">
          <cell r="C16">
            <v>850</v>
          </cell>
        </row>
        <row r="17">
          <cell r="C17">
            <v>933</v>
          </cell>
        </row>
      </sheetData>
      <sheetData sheetId="5">
        <row r="3">
          <cell r="C3">
            <v>3509</v>
          </cell>
        </row>
        <row r="4">
          <cell r="C4">
            <v>4596</v>
          </cell>
        </row>
        <row r="5">
          <cell r="C5">
            <v>3626</v>
          </cell>
        </row>
        <row r="8">
          <cell r="C8">
            <v>616</v>
          </cell>
        </row>
        <row r="9">
          <cell r="C9">
            <v>1508</v>
          </cell>
        </row>
        <row r="10">
          <cell r="C10">
            <v>2316</v>
          </cell>
        </row>
        <row r="11">
          <cell r="C11">
            <v>2270</v>
          </cell>
        </row>
        <row r="12">
          <cell r="C12">
            <v>4838</v>
          </cell>
        </row>
        <row r="13">
          <cell r="C13">
            <v>2203</v>
          </cell>
        </row>
        <row r="14">
          <cell r="C14">
            <v>2190</v>
          </cell>
        </row>
        <row r="16">
          <cell r="C16">
            <v>821</v>
          </cell>
        </row>
      </sheetData>
      <sheetData sheetId="6">
        <row r="3">
          <cell r="C3">
            <v>4246</v>
          </cell>
        </row>
        <row r="4">
          <cell r="C4">
            <v>4177</v>
          </cell>
        </row>
        <row r="5">
          <cell r="C5">
            <v>3783</v>
          </cell>
        </row>
        <row r="8">
          <cell r="C8">
            <v>667</v>
          </cell>
        </row>
        <row r="9">
          <cell r="C9">
            <v>1375</v>
          </cell>
        </row>
        <row r="10">
          <cell r="C10">
            <v>2301</v>
          </cell>
        </row>
        <row r="11">
          <cell r="C11">
            <v>2448</v>
          </cell>
        </row>
        <row r="12">
          <cell r="C12">
            <v>4741</v>
          </cell>
        </row>
        <row r="13">
          <cell r="C13">
            <v>1669</v>
          </cell>
        </row>
        <row r="14">
          <cell r="C14">
            <v>2249</v>
          </cell>
        </row>
        <row r="16">
          <cell r="C16">
            <v>906</v>
          </cell>
        </row>
        <row r="17">
          <cell r="C17">
            <v>892</v>
          </cell>
        </row>
      </sheetData>
      <sheetData sheetId="7">
        <row r="3">
          <cell r="C3">
            <v>2666</v>
          </cell>
        </row>
        <row r="4">
          <cell r="C4">
            <v>4039</v>
          </cell>
        </row>
        <row r="5">
          <cell r="C5">
            <v>3351.5</v>
          </cell>
        </row>
        <row r="7">
          <cell r="C7">
            <v>7026</v>
          </cell>
        </row>
        <row r="8">
          <cell r="C8">
            <v>533</v>
          </cell>
        </row>
        <row r="9">
          <cell r="C9">
            <v>1420</v>
          </cell>
        </row>
        <row r="10">
          <cell r="C10">
            <v>2176</v>
          </cell>
        </row>
        <row r="11">
          <cell r="C11">
            <v>2131</v>
          </cell>
        </row>
        <row r="12">
          <cell r="C12">
            <v>4847</v>
          </cell>
        </row>
        <row r="13">
          <cell r="C13">
            <v>1530</v>
          </cell>
        </row>
        <row r="14">
          <cell r="C14">
            <v>2247</v>
          </cell>
        </row>
        <row r="16">
          <cell r="C16">
            <v>1030</v>
          </cell>
        </row>
        <row r="17">
          <cell r="C17">
            <v>812.5</v>
          </cell>
        </row>
      </sheetData>
      <sheetData sheetId="8">
        <row r="3">
          <cell r="C3">
            <v>1989</v>
          </cell>
        </row>
        <row r="4">
          <cell r="C4">
            <v>0</v>
          </cell>
        </row>
        <row r="5">
          <cell r="C5">
            <v>3494</v>
          </cell>
        </row>
        <row r="7">
          <cell r="C7">
            <v>8081</v>
          </cell>
        </row>
        <row r="8">
          <cell r="C8">
            <v>586</v>
          </cell>
        </row>
        <row r="9">
          <cell r="C9">
            <v>1383</v>
          </cell>
        </row>
        <row r="10">
          <cell r="C10">
            <v>2133</v>
          </cell>
        </row>
        <row r="11">
          <cell r="C11">
            <v>2423</v>
          </cell>
        </row>
        <row r="12">
          <cell r="C12">
            <v>4105</v>
          </cell>
        </row>
        <row r="13">
          <cell r="C13">
            <v>3100</v>
          </cell>
        </row>
        <row r="14">
          <cell r="C14">
            <v>2249</v>
          </cell>
        </row>
        <row r="16">
          <cell r="C16">
            <v>1004</v>
          </cell>
        </row>
      </sheetData>
      <sheetData sheetId="9">
        <row r="3">
          <cell r="C3">
            <v>2600</v>
          </cell>
        </row>
        <row r="7">
          <cell r="C7">
            <v>7525</v>
          </cell>
        </row>
        <row r="8">
          <cell r="C8">
            <v>590</v>
          </cell>
        </row>
        <row r="9">
          <cell r="C9">
            <v>1436</v>
          </cell>
        </row>
        <row r="10">
          <cell r="C10">
            <v>2525</v>
          </cell>
        </row>
        <row r="11">
          <cell r="C11">
            <v>2451</v>
          </cell>
        </row>
        <row r="13">
          <cell r="C13">
            <v>2331</v>
          </cell>
        </row>
        <row r="14">
          <cell r="C14">
            <v>2344</v>
          </cell>
        </row>
        <row r="16">
          <cell r="C16">
            <v>2300</v>
          </cell>
        </row>
      </sheetData>
      <sheetData sheetId="10">
        <row r="7">
          <cell r="C7">
            <v>7361</v>
          </cell>
        </row>
        <row r="8">
          <cell r="C8">
            <v>618</v>
          </cell>
        </row>
        <row r="9">
          <cell r="C9">
            <v>1498</v>
          </cell>
        </row>
        <row r="10">
          <cell r="C10">
            <v>2026</v>
          </cell>
        </row>
        <row r="11">
          <cell r="C11">
            <v>2213</v>
          </cell>
        </row>
        <row r="12">
          <cell r="C12">
            <v>4103</v>
          </cell>
        </row>
        <row r="13">
          <cell r="C13">
            <v>1916</v>
          </cell>
        </row>
        <row r="14">
          <cell r="C14">
            <v>2318</v>
          </cell>
        </row>
        <row r="17">
          <cell r="C17">
            <v>881</v>
          </cell>
        </row>
      </sheetData>
      <sheetData sheetId="11">
        <row r="8">
          <cell r="C8">
            <v>578</v>
          </cell>
        </row>
        <row r="9">
          <cell r="C9">
            <v>1550</v>
          </cell>
        </row>
        <row r="10">
          <cell r="C10">
            <v>2232</v>
          </cell>
        </row>
        <row r="11">
          <cell r="C11">
            <v>1550</v>
          </cell>
        </row>
        <row r="12">
          <cell r="C12">
            <v>4343</v>
          </cell>
        </row>
        <row r="13">
          <cell r="C13">
            <v>1716</v>
          </cell>
        </row>
        <row r="14">
          <cell r="C14">
            <v>2543</v>
          </cell>
        </row>
        <row r="16">
          <cell r="C16">
            <v>902</v>
          </cell>
        </row>
        <row r="17">
          <cell r="C17">
            <v>946</v>
          </cell>
        </row>
      </sheetData>
      <sheetData sheetId="12">
        <row r="8">
          <cell r="C8">
            <v>688</v>
          </cell>
        </row>
        <row r="9">
          <cell r="C9">
            <v>1673</v>
          </cell>
        </row>
        <row r="10">
          <cell r="C10">
            <v>2185</v>
          </cell>
        </row>
        <row r="11">
          <cell r="C11">
            <v>2231</v>
          </cell>
        </row>
        <row r="12">
          <cell r="C12">
            <v>4481</v>
          </cell>
        </row>
        <row r="13">
          <cell r="C13">
            <v>2165</v>
          </cell>
        </row>
        <row r="14">
          <cell r="C14">
            <v>1778</v>
          </cell>
        </row>
        <row r="16">
          <cell r="C16">
            <v>798</v>
          </cell>
        </row>
        <row r="17">
          <cell r="C17">
            <v>860</v>
          </cell>
        </row>
      </sheetData>
      <sheetData sheetId="13">
        <row r="3">
          <cell r="C3">
            <v>4783</v>
          </cell>
        </row>
        <row r="4">
          <cell r="C4">
            <v>4415</v>
          </cell>
        </row>
        <row r="6">
          <cell r="C6">
            <v>29985</v>
          </cell>
        </row>
        <row r="7">
          <cell r="C7">
            <v>6651</v>
          </cell>
        </row>
        <row r="8">
          <cell r="C8">
            <v>545</v>
          </cell>
        </row>
        <row r="9">
          <cell r="C9">
            <v>1508</v>
          </cell>
        </row>
        <row r="11">
          <cell r="C11">
            <v>2317</v>
          </cell>
        </row>
        <row r="12">
          <cell r="C12">
            <v>4281</v>
          </cell>
        </row>
        <row r="13">
          <cell r="C13">
            <v>1801</v>
          </cell>
        </row>
        <row r="15">
          <cell r="C15">
            <v>2165</v>
          </cell>
        </row>
        <row r="16">
          <cell r="C16">
            <v>901</v>
          </cell>
        </row>
        <row r="17">
          <cell r="C17">
            <v>901</v>
          </cell>
        </row>
      </sheetData>
      <sheetData sheetId="14">
        <row r="3">
          <cell r="C3">
            <v>4952</v>
          </cell>
        </row>
        <row r="4">
          <cell r="C4">
            <v>4517</v>
          </cell>
        </row>
        <row r="6">
          <cell r="C6">
            <v>29616</v>
          </cell>
        </row>
        <row r="7">
          <cell r="C7">
            <v>6830</v>
          </cell>
        </row>
        <row r="8">
          <cell r="C8">
            <v>581</v>
          </cell>
        </row>
        <row r="9">
          <cell r="C9">
            <v>1517</v>
          </cell>
        </row>
        <row r="11">
          <cell r="C11">
            <v>2174</v>
          </cell>
        </row>
        <row r="12">
          <cell r="C12">
            <v>4259</v>
          </cell>
        </row>
        <row r="13">
          <cell r="C13">
            <v>1931</v>
          </cell>
        </row>
        <row r="14">
          <cell r="C14">
            <v>2496</v>
          </cell>
        </row>
        <row r="15">
          <cell r="C15">
            <v>708</v>
          </cell>
        </row>
        <row r="16">
          <cell r="C16">
            <v>704</v>
          </cell>
        </row>
        <row r="17">
          <cell r="C17">
            <v>888</v>
          </cell>
        </row>
      </sheetData>
      <sheetData sheetId="15">
        <row r="3">
          <cell r="C3">
            <v>5232</v>
          </cell>
        </row>
        <row r="4">
          <cell r="C4">
            <v>4576</v>
          </cell>
        </row>
        <row r="6">
          <cell r="C6">
            <v>29958</v>
          </cell>
        </row>
        <row r="7">
          <cell r="C7">
            <v>6820</v>
          </cell>
        </row>
        <row r="8">
          <cell r="C8">
            <v>498</v>
          </cell>
        </row>
        <row r="9">
          <cell r="C9">
            <v>1636</v>
          </cell>
        </row>
        <row r="11">
          <cell r="C11">
            <v>2321</v>
          </cell>
        </row>
        <row r="12">
          <cell r="C12">
            <v>4481</v>
          </cell>
        </row>
        <row r="13">
          <cell r="C13">
            <v>1716</v>
          </cell>
        </row>
        <row r="14">
          <cell r="C14">
            <v>2445</v>
          </cell>
        </row>
        <row r="15">
          <cell r="C15">
            <v>1954</v>
          </cell>
        </row>
        <row r="16">
          <cell r="C16">
            <v>832</v>
          </cell>
        </row>
        <row r="17">
          <cell r="C17">
            <v>832</v>
          </cell>
        </row>
      </sheetData>
      <sheetData sheetId="16">
        <row r="3">
          <cell r="C3">
            <v>4529</v>
          </cell>
        </row>
        <row r="4">
          <cell r="C4">
            <v>4854</v>
          </cell>
        </row>
        <row r="6">
          <cell r="C6">
            <v>31427</v>
          </cell>
        </row>
        <row r="7">
          <cell r="C7">
            <v>7768</v>
          </cell>
        </row>
        <row r="8">
          <cell r="C8">
            <v>654</v>
          </cell>
        </row>
        <row r="11">
          <cell r="C11">
            <v>2193</v>
          </cell>
        </row>
        <row r="12">
          <cell r="C12">
            <v>4461</v>
          </cell>
        </row>
        <row r="13">
          <cell r="C13">
            <v>1805</v>
          </cell>
        </row>
        <row r="14">
          <cell r="C14">
            <v>1033</v>
          </cell>
        </row>
        <row r="15">
          <cell r="C15">
            <v>1976</v>
          </cell>
        </row>
        <row r="16">
          <cell r="C16">
            <v>841</v>
          </cell>
        </row>
        <row r="17">
          <cell r="C17">
            <v>1033</v>
          </cell>
        </row>
      </sheetData>
      <sheetData sheetId="17">
        <row r="3">
          <cell r="C3">
            <v>4296</v>
          </cell>
        </row>
        <row r="7">
          <cell r="C7">
            <v>8011</v>
          </cell>
        </row>
        <row r="8">
          <cell r="C8">
            <v>548</v>
          </cell>
        </row>
        <row r="9">
          <cell r="C9">
            <v>1570</v>
          </cell>
        </row>
        <row r="11">
          <cell r="C11">
            <v>2584</v>
          </cell>
        </row>
        <row r="12">
          <cell r="C12">
            <v>4614</v>
          </cell>
        </row>
        <row r="13">
          <cell r="C13">
            <v>1773</v>
          </cell>
        </row>
        <row r="17">
          <cell r="C17">
            <v>906</v>
          </cell>
        </row>
      </sheetData>
      <sheetData sheetId="18">
        <row r="3">
          <cell r="C3">
            <v>4997</v>
          </cell>
        </row>
        <row r="4">
          <cell r="C4">
            <v>4539</v>
          </cell>
        </row>
        <row r="6">
          <cell r="C6">
            <v>31554</v>
          </cell>
        </row>
        <row r="7">
          <cell r="C7">
            <v>7061</v>
          </cell>
        </row>
        <row r="8">
          <cell r="C8">
            <v>610</v>
          </cell>
        </row>
        <row r="9">
          <cell r="C9">
            <v>1567</v>
          </cell>
        </row>
        <row r="11">
          <cell r="C11">
            <v>2689</v>
          </cell>
        </row>
        <row r="12">
          <cell r="C12">
            <v>4363</v>
          </cell>
        </row>
        <row r="13">
          <cell r="C13">
            <v>1614</v>
          </cell>
        </row>
        <row r="14">
          <cell r="C14">
            <v>2206</v>
          </cell>
        </row>
        <row r="15">
          <cell r="C15">
            <v>1813</v>
          </cell>
        </row>
      </sheetData>
      <sheetData sheetId="19">
        <row r="3">
          <cell r="C3">
            <v>5223</v>
          </cell>
        </row>
        <row r="4">
          <cell r="C4">
            <v>4540</v>
          </cell>
        </row>
        <row r="6">
          <cell r="C6">
            <v>29704</v>
          </cell>
        </row>
        <row r="8">
          <cell r="C8">
            <v>563</v>
          </cell>
        </row>
        <row r="9">
          <cell r="C9">
            <v>1537</v>
          </cell>
        </row>
        <row r="11">
          <cell r="C11">
            <v>2475</v>
          </cell>
        </row>
        <row r="13">
          <cell r="C13">
            <v>1547</v>
          </cell>
        </row>
        <row r="14">
          <cell r="C14">
            <v>2335</v>
          </cell>
        </row>
        <row r="15">
          <cell r="C15">
            <v>1681</v>
          </cell>
        </row>
        <row r="16">
          <cell r="C16">
            <v>901</v>
          </cell>
        </row>
        <row r="17">
          <cell r="C17">
            <v>963</v>
          </cell>
        </row>
      </sheetData>
      <sheetData sheetId="20">
        <row r="3">
          <cell r="C3">
            <v>0</v>
          </cell>
        </row>
        <row r="4">
          <cell r="C4">
            <v>4433</v>
          </cell>
        </row>
        <row r="5">
          <cell r="C5">
            <v>3603</v>
          </cell>
        </row>
        <row r="6">
          <cell r="C6">
            <v>29620</v>
          </cell>
        </row>
        <row r="7">
          <cell r="C7">
            <v>6426</v>
          </cell>
        </row>
        <row r="9">
          <cell r="C9">
            <v>1616</v>
          </cell>
        </row>
        <row r="11">
          <cell r="C11">
            <v>2137</v>
          </cell>
        </row>
        <row r="12">
          <cell r="C12">
            <v>4000</v>
          </cell>
        </row>
        <row r="13">
          <cell r="C13">
            <v>1587</v>
          </cell>
        </row>
        <row r="15">
          <cell r="C15">
            <v>1486</v>
          </cell>
        </row>
        <row r="16">
          <cell r="C16">
            <v>896</v>
          </cell>
        </row>
        <row r="17">
          <cell r="C17">
            <v>888</v>
          </cell>
        </row>
      </sheetData>
      <sheetData sheetId="21">
        <row r="3">
          <cell r="C3">
            <v>4745</v>
          </cell>
        </row>
        <row r="5">
          <cell r="C5">
            <v>3682</v>
          </cell>
        </row>
        <row r="6">
          <cell r="C6">
            <v>30282</v>
          </cell>
        </row>
        <row r="7">
          <cell r="C7">
            <v>7670</v>
          </cell>
        </row>
        <row r="11">
          <cell r="C11">
            <v>2412</v>
          </cell>
        </row>
        <row r="12">
          <cell r="C12">
            <v>4593</v>
          </cell>
        </row>
        <row r="13">
          <cell r="C13">
            <v>1863</v>
          </cell>
        </row>
        <row r="14">
          <cell r="C14">
            <v>2383</v>
          </cell>
        </row>
        <row r="16">
          <cell r="C16">
            <v>862</v>
          </cell>
        </row>
        <row r="17">
          <cell r="C17">
            <v>995</v>
          </cell>
        </row>
      </sheetData>
      <sheetData sheetId="22">
        <row r="3">
          <cell r="C3">
            <v>5075</v>
          </cell>
        </row>
        <row r="5">
          <cell r="C5">
            <v>3433</v>
          </cell>
        </row>
        <row r="6">
          <cell r="C6">
            <v>30891</v>
          </cell>
        </row>
        <row r="7">
          <cell r="C7">
            <v>7029</v>
          </cell>
        </row>
        <row r="8">
          <cell r="C8">
            <v>618</v>
          </cell>
        </row>
        <row r="9">
          <cell r="C9">
            <v>1702</v>
          </cell>
        </row>
        <row r="11">
          <cell r="C11">
            <v>2223</v>
          </cell>
        </row>
        <row r="12">
          <cell r="C12">
            <v>0</v>
          </cell>
        </row>
        <row r="13">
          <cell r="C13">
            <v>1855</v>
          </cell>
        </row>
        <row r="14">
          <cell r="C14">
            <v>0</v>
          </cell>
        </row>
        <row r="16">
          <cell r="C16">
            <v>739</v>
          </cell>
        </row>
        <row r="17">
          <cell r="C17">
            <v>1001</v>
          </cell>
        </row>
      </sheetData>
      <sheetData sheetId="23">
        <row r="4">
          <cell r="C4">
            <v>4845</v>
          </cell>
        </row>
        <row r="6">
          <cell r="C6">
            <v>31035</v>
          </cell>
        </row>
        <row r="7">
          <cell r="C7">
            <v>7241</v>
          </cell>
        </row>
        <row r="8">
          <cell r="C8">
            <v>618</v>
          </cell>
        </row>
        <row r="9">
          <cell r="C9">
            <v>1674</v>
          </cell>
        </row>
        <row r="12">
          <cell r="C12">
            <v>5009</v>
          </cell>
        </row>
        <row r="14">
          <cell r="C14">
            <v>2479</v>
          </cell>
        </row>
        <row r="15">
          <cell r="C15">
            <v>1566</v>
          </cell>
        </row>
        <row r="16">
          <cell r="C16">
            <v>819</v>
          </cell>
        </row>
        <row r="17">
          <cell r="C17">
            <v>852</v>
          </cell>
        </row>
      </sheetData>
      <sheetData sheetId="24">
        <row r="3">
          <cell r="C3">
            <v>4383</v>
          </cell>
        </row>
        <row r="4">
          <cell r="C4">
            <v>4981</v>
          </cell>
        </row>
        <row r="6">
          <cell r="C6">
            <v>31198</v>
          </cell>
        </row>
        <row r="7">
          <cell r="C7">
            <v>6074</v>
          </cell>
        </row>
        <row r="8">
          <cell r="C8">
            <v>622</v>
          </cell>
        </row>
        <row r="9">
          <cell r="C9">
            <v>1737</v>
          </cell>
        </row>
        <row r="11">
          <cell r="C11">
            <v>2419</v>
          </cell>
        </row>
        <row r="14">
          <cell r="C14">
            <v>2524</v>
          </cell>
        </row>
        <row r="15">
          <cell r="C15">
            <v>1748</v>
          </cell>
        </row>
      </sheetData>
      <sheetData sheetId="25">
        <row r="3">
          <cell r="C3">
            <v>4801</v>
          </cell>
        </row>
        <row r="4">
          <cell r="C4">
            <v>4979</v>
          </cell>
        </row>
        <row r="5">
          <cell r="C5">
            <v>3158</v>
          </cell>
        </row>
        <row r="6">
          <cell r="C6">
            <v>31677</v>
          </cell>
        </row>
        <row r="7">
          <cell r="C7">
            <v>7458</v>
          </cell>
        </row>
        <row r="8">
          <cell r="C8">
            <v>535</v>
          </cell>
        </row>
        <row r="9">
          <cell r="C9">
            <v>1747</v>
          </cell>
        </row>
        <row r="11">
          <cell r="C11">
            <v>2621</v>
          </cell>
        </row>
        <row r="14">
          <cell r="C14">
            <v>2608</v>
          </cell>
        </row>
        <row r="16">
          <cell r="C16">
            <v>898</v>
          </cell>
        </row>
        <row r="17">
          <cell r="C17">
            <v>921</v>
          </cell>
        </row>
      </sheetData>
      <sheetData sheetId="26">
        <row r="3">
          <cell r="C3">
            <v>6019</v>
          </cell>
        </row>
        <row r="4">
          <cell r="C4">
            <v>4203</v>
          </cell>
        </row>
        <row r="5">
          <cell r="C5">
            <v>3507</v>
          </cell>
        </row>
        <row r="6">
          <cell r="C6">
            <v>30780</v>
          </cell>
        </row>
        <row r="7">
          <cell r="C7">
            <v>6246</v>
          </cell>
        </row>
        <row r="8">
          <cell r="C8">
            <v>671</v>
          </cell>
        </row>
        <row r="9">
          <cell r="C9">
            <v>1701</v>
          </cell>
        </row>
        <row r="11">
          <cell r="C11">
            <v>2339</v>
          </cell>
        </row>
        <row r="15">
          <cell r="C15">
            <v>1566</v>
          </cell>
        </row>
        <row r="16">
          <cell r="C16">
            <v>917</v>
          </cell>
        </row>
        <row r="17">
          <cell r="C17">
            <v>1021</v>
          </cell>
        </row>
      </sheetData>
      <sheetData sheetId="27">
        <row r="3">
          <cell r="C3">
            <v>5512</v>
          </cell>
        </row>
        <row r="4">
          <cell r="C4">
            <v>4173</v>
          </cell>
        </row>
        <row r="5">
          <cell r="C5">
            <v>3626</v>
          </cell>
        </row>
        <row r="6">
          <cell r="C6">
            <v>32527</v>
          </cell>
        </row>
        <row r="7">
          <cell r="C7">
            <v>7424</v>
          </cell>
        </row>
        <row r="8">
          <cell r="C8">
            <v>603</v>
          </cell>
        </row>
        <row r="9">
          <cell r="C9">
            <v>1751</v>
          </cell>
        </row>
        <row r="11">
          <cell r="C11">
            <v>2374</v>
          </cell>
        </row>
        <row r="14">
          <cell r="C14">
            <v>2524</v>
          </cell>
        </row>
        <row r="15">
          <cell r="C15">
            <v>1536</v>
          </cell>
        </row>
        <row r="16">
          <cell r="C16">
            <v>786</v>
          </cell>
        </row>
        <row r="17">
          <cell r="C17">
            <v>1000</v>
          </cell>
        </row>
      </sheetData>
      <sheetData sheetId="28">
        <row r="3">
          <cell r="C3">
            <v>3641</v>
          </cell>
        </row>
        <row r="4">
          <cell r="C4">
            <v>4981</v>
          </cell>
        </row>
        <row r="5">
          <cell r="C5">
            <v>4837</v>
          </cell>
        </row>
        <row r="6">
          <cell r="C6">
            <v>34373</v>
          </cell>
        </row>
        <row r="7">
          <cell r="C7">
            <v>7561</v>
          </cell>
        </row>
        <row r="8">
          <cell r="C8">
            <v>614</v>
          </cell>
        </row>
        <row r="9">
          <cell r="C9">
            <v>1543</v>
          </cell>
        </row>
        <row r="11">
          <cell r="C11">
            <v>2851</v>
          </cell>
        </row>
        <row r="14">
          <cell r="C14">
            <v>2380</v>
          </cell>
        </row>
        <row r="15">
          <cell r="C15">
            <v>649</v>
          </cell>
        </row>
        <row r="16">
          <cell r="C16">
            <v>834</v>
          </cell>
        </row>
        <row r="17">
          <cell r="C17">
            <v>1351</v>
          </cell>
        </row>
      </sheetData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ra-C Kilak OCT   Dir 1 "/>
      <sheetName val="Lira-C Kilak OCT Dir 2"/>
      <sheetName val="Lira-C Kilak Sept   Dir 1 "/>
      <sheetName val="Lira-C Kilak Sept Dir 2 "/>
    </sheetNames>
    <sheetDataSet>
      <sheetData sheetId="0" refreshError="1"/>
      <sheetData sheetId="1">
        <row r="5">
          <cell r="S5">
            <v>1566</v>
          </cell>
        </row>
      </sheetData>
      <sheetData sheetId="2" refreshError="1"/>
      <sheetData sheetId="3">
        <row r="5">
          <cell r="S5">
            <v>1652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TC Data 2019 Summary"/>
      <sheetName val="ATC data Jan 2019"/>
      <sheetName val="ATC data  Feb 2019"/>
      <sheetName val="ATC data  MARCH  2019"/>
      <sheetName val="ATC data  APRIL  2019"/>
      <sheetName val="ATC data  MAY 2019"/>
      <sheetName val="ATC data  JUNE 2019 "/>
      <sheetName val="ATC data  JULY 2019 "/>
      <sheetName val="ATC data  AUG 2019"/>
      <sheetName val="ATC data SEPT 2019"/>
      <sheetName val="ATC data OCT 2019"/>
      <sheetName val="ATC data NOV 2019 "/>
      <sheetName val="ATC data DEC 2019 "/>
    </sheetNames>
    <sheetDataSet>
      <sheetData sheetId="0"/>
      <sheetData sheetId="1">
        <row r="3">
          <cell r="C3">
            <v>4438</v>
          </cell>
        </row>
        <row r="4">
          <cell r="C4">
            <v>5120</v>
          </cell>
        </row>
        <row r="5">
          <cell r="C5">
            <v>3961</v>
          </cell>
        </row>
        <row r="6">
          <cell r="C6">
            <v>32894</v>
          </cell>
        </row>
        <row r="11">
          <cell r="C11">
            <v>2307</v>
          </cell>
        </row>
        <row r="14">
          <cell r="C14">
            <v>2273</v>
          </cell>
        </row>
        <row r="15">
          <cell r="C15">
            <v>1598</v>
          </cell>
        </row>
        <row r="16">
          <cell r="C16">
            <v>1177</v>
          </cell>
        </row>
      </sheetData>
      <sheetData sheetId="2">
        <row r="6">
          <cell r="C6">
            <v>32115</v>
          </cell>
        </row>
        <row r="7">
          <cell r="C7">
            <v>6724</v>
          </cell>
        </row>
        <row r="9">
          <cell r="C9">
            <v>1696</v>
          </cell>
        </row>
      </sheetData>
      <sheetData sheetId="3">
        <row r="6">
          <cell r="C6">
            <v>36221</v>
          </cell>
        </row>
        <row r="16">
          <cell r="C16">
            <v>1028</v>
          </cell>
        </row>
      </sheetData>
      <sheetData sheetId="4">
        <row r="4">
          <cell r="C4">
            <v>5037</v>
          </cell>
        </row>
        <row r="5">
          <cell r="C5">
            <v>4326</v>
          </cell>
        </row>
        <row r="6">
          <cell r="C6">
            <v>35907</v>
          </cell>
        </row>
        <row r="7">
          <cell r="C7">
            <v>6990</v>
          </cell>
        </row>
        <row r="8">
          <cell r="C8">
            <v>524</v>
          </cell>
        </row>
        <row r="11">
          <cell r="C11">
            <v>2510</v>
          </cell>
        </row>
        <row r="14">
          <cell r="C14">
            <v>0</v>
          </cell>
        </row>
        <row r="15">
          <cell r="C15">
            <v>0</v>
          </cell>
        </row>
        <row r="16">
          <cell r="C16">
            <v>1019</v>
          </cell>
        </row>
        <row r="17">
          <cell r="C17">
            <v>0</v>
          </cell>
        </row>
      </sheetData>
      <sheetData sheetId="5">
        <row r="3">
          <cell r="C3">
            <v>5666</v>
          </cell>
        </row>
        <row r="4">
          <cell r="C4">
            <v>0</v>
          </cell>
        </row>
        <row r="5">
          <cell r="C5">
            <v>3865</v>
          </cell>
        </row>
        <row r="6">
          <cell r="C6">
            <v>30846</v>
          </cell>
        </row>
        <row r="7">
          <cell r="C7">
            <v>6256</v>
          </cell>
        </row>
        <row r="8">
          <cell r="C8">
            <v>637</v>
          </cell>
        </row>
        <row r="10">
          <cell r="C10">
            <v>2447</v>
          </cell>
        </row>
        <row r="11">
          <cell r="C11">
            <v>2393</v>
          </cell>
        </row>
        <row r="14">
          <cell r="C14">
            <v>2525</v>
          </cell>
        </row>
        <row r="15">
          <cell r="C15">
            <v>2435</v>
          </cell>
        </row>
        <row r="16">
          <cell r="C16">
            <v>1063</v>
          </cell>
        </row>
        <row r="17">
          <cell r="C17">
            <v>0</v>
          </cell>
        </row>
      </sheetData>
      <sheetData sheetId="6">
        <row r="3">
          <cell r="C3">
            <v>5514</v>
          </cell>
        </row>
        <row r="4">
          <cell r="C4">
            <v>5174</v>
          </cell>
        </row>
        <row r="5">
          <cell r="C5">
            <v>4294</v>
          </cell>
        </row>
        <row r="6">
          <cell r="C6">
            <v>30793</v>
          </cell>
        </row>
        <row r="7">
          <cell r="C7">
            <v>6600</v>
          </cell>
        </row>
        <row r="8">
          <cell r="C8">
            <v>680</v>
          </cell>
        </row>
        <row r="10">
          <cell r="C10">
            <v>2381</v>
          </cell>
        </row>
        <row r="11">
          <cell r="C11">
            <v>2458</v>
          </cell>
        </row>
        <row r="14">
          <cell r="C14">
            <v>2425</v>
          </cell>
        </row>
        <row r="15">
          <cell r="C15">
            <v>0</v>
          </cell>
        </row>
        <row r="16">
          <cell r="C16">
            <v>1024</v>
          </cell>
        </row>
        <row r="17">
          <cell r="C17">
            <v>0</v>
          </cell>
        </row>
      </sheetData>
      <sheetData sheetId="7">
        <row r="3">
          <cell r="C3">
            <v>4827</v>
          </cell>
        </row>
        <row r="4">
          <cell r="C4">
            <v>4875</v>
          </cell>
        </row>
        <row r="5">
          <cell r="C5">
            <v>4253</v>
          </cell>
        </row>
        <row r="6">
          <cell r="C6">
            <v>32556</v>
          </cell>
        </row>
        <row r="7">
          <cell r="C7">
            <v>8142</v>
          </cell>
        </row>
        <row r="8">
          <cell r="C8">
            <v>605</v>
          </cell>
        </row>
        <row r="10">
          <cell r="C10">
            <v>2260</v>
          </cell>
        </row>
        <row r="11">
          <cell r="C11">
            <v>2498</v>
          </cell>
        </row>
        <row r="14">
          <cell r="C14">
            <v>2396</v>
          </cell>
        </row>
        <row r="15">
          <cell r="C15">
            <v>2636</v>
          </cell>
        </row>
        <row r="16">
          <cell r="C16">
            <v>1039</v>
          </cell>
        </row>
        <row r="17">
          <cell r="C17">
            <v>1049</v>
          </cell>
        </row>
      </sheetData>
      <sheetData sheetId="8">
        <row r="3">
          <cell r="C3">
            <v>4866</v>
          </cell>
        </row>
        <row r="4">
          <cell r="C4">
            <v>5143</v>
          </cell>
        </row>
        <row r="5">
          <cell r="C5">
            <v>4143</v>
          </cell>
        </row>
        <row r="6">
          <cell r="C6">
            <v>31837</v>
          </cell>
        </row>
        <row r="7">
          <cell r="C7">
            <v>6557</v>
          </cell>
        </row>
        <row r="8">
          <cell r="C8">
            <v>639</v>
          </cell>
        </row>
        <row r="10">
          <cell r="C10">
            <v>2296</v>
          </cell>
        </row>
        <row r="11">
          <cell r="C11">
            <v>1895</v>
          </cell>
        </row>
        <row r="14">
          <cell r="C14">
            <v>1842</v>
          </cell>
        </row>
        <row r="15">
          <cell r="C15">
            <v>1936</v>
          </cell>
        </row>
        <row r="16">
          <cell r="C16">
            <v>1090</v>
          </cell>
        </row>
        <row r="17">
          <cell r="C17">
            <v>1312</v>
          </cell>
        </row>
      </sheetData>
      <sheetData sheetId="9">
        <row r="3">
          <cell r="C3">
            <v>4820</v>
          </cell>
        </row>
        <row r="4">
          <cell r="C4">
            <v>5308</v>
          </cell>
        </row>
        <row r="5">
          <cell r="C5">
            <v>4421</v>
          </cell>
        </row>
        <row r="6">
          <cell r="C6">
            <v>30043</v>
          </cell>
        </row>
        <row r="7">
          <cell r="C7">
            <v>8336</v>
          </cell>
        </row>
        <row r="8">
          <cell r="C8">
            <v>647</v>
          </cell>
        </row>
        <row r="10">
          <cell r="C10">
            <v>2317</v>
          </cell>
        </row>
        <row r="11">
          <cell r="C11">
            <v>2368</v>
          </cell>
        </row>
        <row r="14">
          <cell r="C14">
            <v>1856</v>
          </cell>
        </row>
        <row r="15">
          <cell r="C15">
            <v>1827</v>
          </cell>
        </row>
        <row r="16">
          <cell r="C16">
            <v>0</v>
          </cell>
        </row>
        <row r="17">
          <cell r="C17">
            <v>1146</v>
          </cell>
        </row>
      </sheetData>
      <sheetData sheetId="10">
        <row r="3">
          <cell r="C3">
            <v>5007</v>
          </cell>
        </row>
        <row r="4">
          <cell r="C4">
            <v>5516</v>
          </cell>
        </row>
        <row r="5">
          <cell r="C5">
            <v>4369</v>
          </cell>
        </row>
        <row r="6">
          <cell r="C6">
            <v>31092</v>
          </cell>
        </row>
        <row r="7">
          <cell r="C7">
            <v>4926</v>
          </cell>
        </row>
        <row r="8">
          <cell r="C8">
            <v>539</v>
          </cell>
        </row>
        <row r="10">
          <cell r="C10">
            <v>2273</v>
          </cell>
        </row>
        <row r="11">
          <cell r="C11">
            <v>2257</v>
          </cell>
        </row>
        <row r="14">
          <cell r="C14">
            <v>2615</v>
          </cell>
        </row>
        <row r="15">
          <cell r="C15">
            <v>2012</v>
          </cell>
        </row>
        <row r="16">
          <cell r="C16">
            <v>1073</v>
          </cell>
        </row>
        <row r="17">
          <cell r="C17">
            <v>1073</v>
          </cell>
        </row>
      </sheetData>
      <sheetData sheetId="11">
        <row r="3">
          <cell r="C3">
            <v>6267</v>
          </cell>
        </row>
        <row r="4">
          <cell r="C4">
            <v>4765</v>
          </cell>
        </row>
        <row r="5">
          <cell r="C5">
            <v>4514</v>
          </cell>
        </row>
        <row r="6">
          <cell r="C6">
            <v>33110</v>
          </cell>
        </row>
        <row r="7">
          <cell r="C7">
            <v>3347</v>
          </cell>
        </row>
        <row r="8">
          <cell r="C8">
            <v>658</v>
          </cell>
        </row>
        <row r="10">
          <cell r="C10">
            <v>2467</v>
          </cell>
        </row>
        <row r="11">
          <cell r="C11">
            <v>2438</v>
          </cell>
        </row>
        <row r="14">
          <cell r="C14">
            <v>0</v>
          </cell>
        </row>
        <row r="15">
          <cell r="C15">
            <v>1261</v>
          </cell>
        </row>
        <row r="16">
          <cell r="C16">
            <v>0</v>
          </cell>
        </row>
        <row r="17">
          <cell r="C17">
            <v>1057</v>
          </cell>
        </row>
      </sheetData>
      <sheetData sheetId="12">
        <row r="3">
          <cell r="C3">
            <v>5277</v>
          </cell>
        </row>
        <row r="4">
          <cell r="C4">
            <v>3549</v>
          </cell>
        </row>
        <row r="5">
          <cell r="C5">
            <v>4786</v>
          </cell>
        </row>
        <row r="6">
          <cell r="C6">
            <v>34829</v>
          </cell>
        </row>
        <row r="7">
          <cell r="C7">
            <v>4561</v>
          </cell>
        </row>
        <row r="8">
          <cell r="C8">
            <v>776</v>
          </cell>
        </row>
        <row r="10">
          <cell r="C10">
            <v>2623</v>
          </cell>
        </row>
        <row r="11">
          <cell r="C11">
            <v>3025</v>
          </cell>
        </row>
        <row r="12">
          <cell r="C12">
            <v>5156</v>
          </cell>
        </row>
        <row r="14">
          <cell r="C14">
            <v>2949</v>
          </cell>
        </row>
        <row r="15">
          <cell r="C15">
            <v>1876</v>
          </cell>
        </row>
        <row r="16">
          <cell r="C16">
            <v>1071</v>
          </cell>
        </row>
        <row r="17">
          <cell r="C17">
            <v>956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AD061-3C67-444A-A8D0-3D99D5696696}">
  <sheetPr>
    <pageSetUpPr fitToPage="1"/>
  </sheetPr>
  <dimension ref="A1:AQ64"/>
  <sheetViews>
    <sheetView tabSelected="1" topLeftCell="A40" zoomScaleNormal="100" workbookViewId="0">
      <selection activeCell="P44" sqref="P44"/>
    </sheetView>
  </sheetViews>
  <sheetFormatPr defaultRowHeight="15" x14ac:dyDescent="0.25"/>
  <cols>
    <col min="1" max="1" width="4.7109375" style="24" bestFit="1" customWidth="1"/>
    <col min="2" max="2" width="22.85546875" style="17" customWidth="1"/>
    <col min="3" max="3" width="8" style="18" bestFit="1" customWidth="1"/>
    <col min="4" max="14" width="6.7109375" customWidth="1"/>
    <col min="15" max="15" width="7.42578125" customWidth="1"/>
    <col min="16" max="18" width="9.7109375" customWidth="1"/>
    <col min="23" max="23" width="9.5703125" bestFit="1" customWidth="1"/>
  </cols>
  <sheetData>
    <row r="1" spans="1:43" s="3" customFormat="1" ht="28.9" customHeight="1" x14ac:dyDescent="0.25">
      <c r="A1" s="1" t="s">
        <v>0</v>
      </c>
      <c r="B1" s="2" t="s">
        <v>1</v>
      </c>
      <c r="C1" s="93" t="s">
        <v>2</v>
      </c>
      <c r="D1" s="94"/>
      <c r="E1" s="94"/>
      <c r="F1" s="94"/>
      <c r="G1" s="94"/>
      <c r="H1" s="94"/>
      <c r="I1" s="94"/>
      <c r="J1" s="94"/>
    </row>
    <row r="2" spans="1:43" s="3" customFormat="1" x14ac:dyDescent="0.25">
      <c r="A2" s="4"/>
      <c r="B2" s="5"/>
      <c r="C2" s="6">
        <v>42583</v>
      </c>
      <c r="D2" s="7">
        <v>42614</v>
      </c>
      <c r="E2" s="7">
        <v>42644</v>
      </c>
      <c r="F2" s="7">
        <v>42675</v>
      </c>
      <c r="G2" s="7">
        <v>42705</v>
      </c>
      <c r="H2" s="7">
        <v>42736</v>
      </c>
      <c r="I2" s="7">
        <v>371485</v>
      </c>
      <c r="J2" s="7">
        <v>371513</v>
      </c>
      <c r="K2" s="7">
        <v>371544</v>
      </c>
      <c r="L2" s="7">
        <v>371574</v>
      </c>
      <c r="M2" s="7">
        <v>371605</v>
      </c>
      <c r="N2" s="7">
        <v>371635</v>
      </c>
      <c r="O2" s="7">
        <v>371666</v>
      </c>
      <c r="P2" s="7">
        <v>371697</v>
      </c>
      <c r="Q2" s="7">
        <v>371727</v>
      </c>
      <c r="R2" s="7">
        <v>371758</v>
      </c>
      <c r="S2" s="7">
        <v>371788</v>
      </c>
      <c r="T2" s="7">
        <v>371819</v>
      </c>
      <c r="U2" s="7">
        <v>371850</v>
      </c>
      <c r="V2" s="7">
        <v>371878</v>
      </c>
      <c r="W2" s="7">
        <v>371909</v>
      </c>
      <c r="X2" s="7">
        <v>371939</v>
      </c>
      <c r="Y2" s="7">
        <v>371970</v>
      </c>
      <c r="Z2" s="7">
        <v>372000</v>
      </c>
      <c r="AA2" s="7">
        <v>372031</v>
      </c>
      <c r="AB2" s="7">
        <v>372062</v>
      </c>
      <c r="AC2" s="7">
        <v>372092</v>
      </c>
      <c r="AD2" s="8">
        <v>43405</v>
      </c>
      <c r="AE2" s="8">
        <v>43435</v>
      </c>
      <c r="AF2" s="33">
        <v>43466</v>
      </c>
      <c r="AG2" s="33">
        <v>43497</v>
      </c>
      <c r="AH2" s="33">
        <v>43525</v>
      </c>
      <c r="AI2" s="33">
        <v>43556</v>
      </c>
      <c r="AJ2" s="33">
        <v>43586</v>
      </c>
      <c r="AK2" s="33">
        <v>43617</v>
      </c>
      <c r="AL2" s="34">
        <v>43647</v>
      </c>
      <c r="AM2" s="34">
        <v>43678</v>
      </c>
      <c r="AN2" s="7">
        <v>43709</v>
      </c>
      <c r="AO2" s="7">
        <v>43739</v>
      </c>
      <c r="AP2" s="7">
        <v>43770</v>
      </c>
      <c r="AQ2" s="34">
        <v>43800</v>
      </c>
    </row>
    <row r="3" spans="1:43" s="17" customFormat="1" x14ac:dyDescent="0.25">
      <c r="A3" s="9">
        <v>1</v>
      </c>
      <c r="B3" s="10" t="s">
        <v>3</v>
      </c>
      <c r="C3" s="11">
        <f>'[1]ATC data Aug 2016'!C3</f>
        <v>4290</v>
      </c>
      <c r="D3" s="54">
        <f>'[1]ATC data Sept 2016'!C3</f>
        <v>0</v>
      </c>
      <c r="E3" s="54">
        <f>'[1]ATC data Oct 2016'!C3</f>
        <v>0</v>
      </c>
      <c r="F3" s="12">
        <f>'[1]ATC data Nov 2016'!C3</f>
        <v>4910</v>
      </c>
      <c r="G3" s="12">
        <f>'[1]ATC data Dec 2016'!C3</f>
        <v>4053</v>
      </c>
      <c r="H3" s="12">
        <f>'[1]ATC data Jan 2017'!C3</f>
        <v>3509</v>
      </c>
      <c r="I3" s="12">
        <f>'[1]ATC data Feb 2017'!C3</f>
        <v>4246</v>
      </c>
      <c r="J3" s="12">
        <f>'[1]ATC data Mar 2017'!C3</f>
        <v>2666</v>
      </c>
      <c r="K3" s="12">
        <f>'[1]ATC data Apr 2017'!C3</f>
        <v>1989</v>
      </c>
      <c r="L3" s="12">
        <f>'[1]ATC data May 2017'!C3</f>
        <v>2600</v>
      </c>
      <c r="M3" s="53"/>
      <c r="N3" s="53"/>
      <c r="O3" s="53"/>
      <c r="P3" s="69">
        <f>'[1]ATC data Sep 2017'!C3</f>
        <v>4783</v>
      </c>
      <c r="Q3" s="69">
        <f>'[1]ATC data Oct 2017'!C3</f>
        <v>4952</v>
      </c>
      <c r="R3" s="69">
        <f>'[1]ATC data Nov 2017'!C3</f>
        <v>5232</v>
      </c>
      <c r="S3" s="70">
        <f>'[1]ATC data Dec 2017'!C3</f>
        <v>4529</v>
      </c>
      <c r="T3" s="62">
        <f>'[1]ATC data Jan 2018'!C3</f>
        <v>4296</v>
      </c>
      <c r="U3" s="62">
        <f>'[1]ATC data Feb 2018'!C3</f>
        <v>4997</v>
      </c>
      <c r="V3" s="62">
        <f>'[1]ATC data Mar 2018'!C3</f>
        <v>5223</v>
      </c>
      <c r="W3" s="61">
        <v>5071.6364814971639</v>
      </c>
      <c r="X3" s="62">
        <f>'[1]ATC data May 2018'!C3</f>
        <v>4745</v>
      </c>
      <c r="Y3" s="62">
        <f>'[1]ATC data Jun 2018'!C3</f>
        <v>5075</v>
      </c>
      <c r="Z3" s="61">
        <v>4280.2244817777819</v>
      </c>
      <c r="AA3" s="62">
        <f>'[1]ATC data Aug 2018'!C3</f>
        <v>4383</v>
      </c>
      <c r="AB3" s="10">
        <f>'[1]ATC data Sep 2018'!C3</f>
        <v>4801</v>
      </c>
      <c r="AC3" s="15">
        <f>'[1]ATC data Oct 2018'!C3</f>
        <v>6019</v>
      </c>
      <c r="AD3" s="16">
        <f>'[1]ATC data Nov 2018 '!C3</f>
        <v>5512</v>
      </c>
      <c r="AE3" s="16">
        <f>'[1]ATC data Dec  2018 )'!C3</f>
        <v>3641</v>
      </c>
      <c r="AF3" s="35">
        <v>4438</v>
      </c>
      <c r="AG3" s="53"/>
      <c r="AH3" s="53"/>
      <c r="AI3" s="53"/>
      <c r="AJ3" s="35">
        <v>5666</v>
      </c>
      <c r="AK3" s="35">
        <v>5514</v>
      </c>
      <c r="AL3" s="35">
        <v>4827</v>
      </c>
      <c r="AM3" s="36">
        <v>4866</v>
      </c>
      <c r="AN3" s="37">
        <v>4820</v>
      </c>
      <c r="AO3" s="37">
        <v>5007</v>
      </c>
      <c r="AP3" s="37">
        <v>6267</v>
      </c>
      <c r="AQ3" s="35">
        <v>5277</v>
      </c>
    </row>
    <row r="4" spans="1:43" s="17" customFormat="1" x14ac:dyDescent="0.25">
      <c r="A4" s="9">
        <v>2</v>
      </c>
      <c r="B4" s="10" t="s">
        <v>6</v>
      </c>
      <c r="C4" s="11">
        <f>'[1]ATC data Aug 2016'!C4</f>
        <v>4358</v>
      </c>
      <c r="D4" s="12">
        <f>'[1]ATC data Sept 2016'!C4</f>
        <v>4061</v>
      </c>
      <c r="E4" s="12">
        <f>'[1]ATC data Oct 2016'!C4</f>
        <v>4055</v>
      </c>
      <c r="F4" s="12">
        <f>'[1]ATC data Nov 2016'!C4</f>
        <v>3973</v>
      </c>
      <c r="G4" s="12">
        <f>'[1]ATC data Dec 2016'!C4</f>
        <v>5113</v>
      </c>
      <c r="H4" s="12">
        <f>'[1]ATC data Jan 2017'!C4</f>
        <v>4596</v>
      </c>
      <c r="I4" s="12">
        <f>'[1]ATC data Feb 2017'!C4</f>
        <v>4177</v>
      </c>
      <c r="J4" s="12">
        <f>'[1]ATC data Mar 2017'!C4</f>
        <v>4039</v>
      </c>
      <c r="K4" s="54">
        <f>'[1]ATC data Apr 2017'!C4</f>
        <v>0</v>
      </c>
      <c r="L4" s="53"/>
      <c r="M4" s="53"/>
      <c r="N4" s="53"/>
      <c r="O4" s="53"/>
      <c r="P4" s="12">
        <f>'[1]ATC data Sep 2017'!C4</f>
        <v>4415</v>
      </c>
      <c r="Q4" s="12">
        <f>'[1]ATC data Oct 2017'!C4</f>
        <v>4517</v>
      </c>
      <c r="R4" s="12">
        <f>'[1]ATC data Nov 2017'!C4</f>
        <v>4576</v>
      </c>
      <c r="S4" s="14">
        <f>'[1]ATC data Dec 2017'!C4</f>
        <v>4854</v>
      </c>
      <c r="T4" s="53"/>
      <c r="U4" s="62">
        <f>'[1]ATC data Feb 2018'!C4</f>
        <v>4539</v>
      </c>
      <c r="V4" s="62">
        <f>'[1]ATC data Mar 2018'!C4</f>
        <v>4540</v>
      </c>
      <c r="W4" s="62">
        <f>'[1]ATC data Apr 2018'!C4</f>
        <v>4433</v>
      </c>
      <c r="X4" s="67">
        <v>4502.4140496049649</v>
      </c>
      <c r="Y4" s="67">
        <v>4645.548461111388</v>
      </c>
      <c r="Z4" s="62">
        <f>'[1]ATC data Jul 2018'!C4</f>
        <v>4845</v>
      </c>
      <c r="AA4" s="62">
        <f>'[1]ATC data Aug 2018'!C4</f>
        <v>4981</v>
      </c>
      <c r="AB4" s="62">
        <f>'[1]ATC data Sep 2018'!C4</f>
        <v>4979</v>
      </c>
      <c r="AC4" s="63">
        <f>'[1]ATC data Oct 2018'!C4</f>
        <v>4203</v>
      </c>
      <c r="AD4" s="64">
        <f>'[1]ATC data Nov 2018 '!C4</f>
        <v>4173</v>
      </c>
      <c r="AE4" s="64">
        <f>'[1]ATC data Dec  2018 )'!C4</f>
        <v>4981</v>
      </c>
      <c r="AF4" s="65">
        <v>5120</v>
      </c>
      <c r="AG4" s="53"/>
      <c r="AH4" s="53"/>
      <c r="AI4" s="35">
        <v>5037</v>
      </c>
      <c r="AJ4" s="40">
        <v>0</v>
      </c>
      <c r="AK4" s="35">
        <v>5174</v>
      </c>
      <c r="AL4" s="35">
        <v>4875</v>
      </c>
      <c r="AM4" s="36">
        <v>5143</v>
      </c>
      <c r="AN4" s="37">
        <v>5308</v>
      </c>
      <c r="AO4" s="37">
        <v>5516</v>
      </c>
      <c r="AP4" s="37">
        <v>4765</v>
      </c>
      <c r="AQ4" s="35">
        <v>3549</v>
      </c>
    </row>
    <row r="5" spans="1:43" s="17" customFormat="1" x14ac:dyDescent="0.25">
      <c r="A5" s="9">
        <v>3</v>
      </c>
      <c r="B5" s="10" t="s">
        <v>7</v>
      </c>
      <c r="C5" s="11">
        <f>'[1]ATC data Aug 2016'!C5</f>
        <v>3635</v>
      </c>
      <c r="D5" s="54">
        <f>'[1]ATC data Sept 2016'!C5</f>
        <v>0</v>
      </c>
      <c r="E5" s="54">
        <f>'[1]ATC data Oct 2016'!C5</f>
        <v>0</v>
      </c>
      <c r="F5" s="54">
        <f>'[1]ATC data Nov 2016'!C5</f>
        <v>0</v>
      </c>
      <c r="G5" s="12">
        <f>'[1]ATC data Dec 2016'!C5</f>
        <v>3939</v>
      </c>
      <c r="H5" s="12">
        <f>'[1]ATC data Jan 2017'!C5</f>
        <v>3626</v>
      </c>
      <c r="I5" s="12">
        <f>'[1]ATC data Feb 2017'!C5</f>
        <v>3783</v>
      </c>
      <c r="J5" s="12">
        <f>'[1]ATC data Mar 2017'!C5</f>
        <v>3351.5</v>
      </c>
      <c r="K5" s="12">
        <f>'[1]ATC data Apr 2017'!C5</f>
        <v>3494</v>
      </c>
      <c r="L5" s="53"/>
      <c r="M5" s="53"/>
      <c r="N5" s="53"/>
      <c r="O5" s="53"/>
      <c r="P5" s="53"/>
      <c r="Q5" s="53"/>
      <c r="R5" s="53"/>
      <c r="S5" s="55"/>
      <c r="T5" s="55"/>
      <c r="U5" s="53"/>
      <c r="V5" s="53"/>
      <c r="W5" s="10">
        <f>'[1]ATC data Apr 2018'!C5</f>
        <v>3603</v>
      </c>
      <c r="X5" s="10">
        <f>'[1]ATC data May 2018'!C5</f>
        <v>3682</v>
      </c>
      <c r="Y5" s="10">
        <f>'[1]ATC data Jun 2018'!C5</f>
        <v>3433</v>
      </c>
      <c r="Z5" s="53">
        <v>3743.6413959719475</v>
      </c>
      <c r="AA5" s="53">
        <v>3673.9533909371503</v>
      </c>
      <c r="AB5" s="10">
        <f>'[1]ATC data Sep 2018'!C5</f>
        <v>3158</v>
      </c>
      <c r="AC5" s="15">
        <f>'[1]ATC data Oct 2018'!C5</f>
        <v>3507</v>
      </c>
      <c r="AD5" s="16">
        <f>'[1]ATC data Nov 2018 '!C5</f>
        <v>3626</v>
      </c>
      <c r="AE5" s="16">
        <f>'[1]ATC data Dec  2018 )'!C5</f>
        <v>4837</v>
      </c>
      <c r="AF5" s="35">
        <v>3961</v>
      </c>
      <c r="AG5" s="67">
        <v>3998.2039000340701</v>
      </c>
      <c r="AH5" s="67">
        <v>4663.7348962904143</v>
      </c>
      <c r="AI5" s="65">
        <v>4326</v>
      </c>
      <c r="AJ5" s="65">
        <v>3865</v>
      </c>
      <c r="AK5" s="65">
        <v>4294</v>
      </c>
      <c r="AL5" s="65">
        <v>4253</v>
      </c>
      <c r="AM5" s="66">
        <v>4143</v>
      </c>
      <c r="AN5" s="68">
        <v>4421</v>
      </c>
      <c r="AO5" s="68">
        <v>4369</v>
      </c>
      <c r="AP5" s="68">
        <v>4514</v>
      </c>
      <c r="AQ5" s="65">
        <v>4786</v>
      </c>
    </row>
    <row r="6" spans="1:43" s="17" customFormat="1" x14ac:dyDescent="0.25">
      <c r="A6" s="9">
        <v>4</v>
      </c>
      <c r="B6" s="10" t="s">
        <v>8</v>
      </c>
      <c r="C6" s="11">
        <f>'[1]ATC data Aug 2016'!C6</f>
        <v>28152</v>
      </c>
      <c r="D6" s="12">
        <v>6725</v>
      </c>
      <c r="E6" s="12">
        <v>3423</v>
      </c>
      <c r="F6" s="12">
        <v>2307</v>
      </c>
      <c r="G6" s="12">
        <v>1041</v>
      </c>
      <c r="H6" s="12">
        <v>482</v>
      </c>
      <c r="I6" s="12">
        <v>407</v>
      </c>
      <c r="J6" s="12">
        <v>6725</v>
      </c>
      <c r="K6" s="76">
        <v>3423</v>
      </c>
      <c r="L6" s="76">
        <v>2307</v>
      </c>
      <c r="M6" s="76">
        <v>1041</v>
      </c>
      <c r="N6" s="76">
        <v>482</v>
      </c>
      <c r="O6" s="76">
        <v>407</v>
      </c>
      <c r="P6" s="58">
        <f>'[1]ATC data Sep 2017'!C6</f>
        <v>29985</v>
      </c>
      <c r="Q6" s="58">
        <f>'[1]ATC data Oct 2017'!C6</f>
        <v>29616</v>
      </c>
      <c r="R6" s="58">
        <f>'[1]ATC data Nov 2017'!C6</f>
        <v>29958</v>
      </c>
      <c r="S6" s="59">
        <f>'[1]ATC data Dec 2017'!C6</f>
        <v>31427</v>
      </c>
      <c r="T6" s="61"/>
      <c r="U6" s="60">
        <f>'[1]ATC data Feb 2018'!C6</f>
        <v>31554</v>
      </c>
      <c r="V6" s="60">
        <f>'[1]ATC data Mar 2018'!C6</f>
        <v>29704</v>
      </c>
      <c r="W6" s="60">
        <f>'[1]ATC data Apr 2018'!C6</f>
        <v>29620</v>
      </c>
      <c r="X6" s="60">
        <f>'[1]ATC data May 2018'!C6</f>
        <v>30282</v>
      </c>
      <c r="Y6" s="60">
        <f>'[1]ATC data Jun 2018'!C6</f>
        <v>30891</v>
      </c>
      <c r="Z6" s="60">
        <f>'[1]ATC data Jul 2018'!C6</f>
        <v>31035</v>
      </c>
      <c r="AA6" s="60">
        <f>'[1]ATC data Aug 2018'!C6</f>
        <v>31198</v>
      </c>
      <c r="AB6" s="62">
        <f>'[1]ATC data Sep 2018'!C6</f>
        <v>31677</v>
      </c>
      <c r="AC6" s="63">
        <f>'[1]ATC data Oct 2018'!C6</f>
        <v>30780</v>
      </c>
      <c r="AD6" s="64">
        <f>'[1]ATC data Nov 2018 '!C6</f>
        <v>32527</v>
      </c>
      <c r="AE6" s="64">
        <f>'[1]ATC data Dec  2018 )'!C6</f>
        <v>34373</v>
      </c>
      <c r="AF6" s="65">
        <v>32894</v>
      </c>
      <c r="AG6" s="65">
        <v>32115</v>
      </c>
      <c r="AH6" s="65">
        <v>36221</v>
      </c>
      <c r="AI6" s="65">
        <v>35907</v>
      </c>
      <c r="AJ6" s="65">
        <v>30846</v>
      </c>
      <c r="AK6" s="65">
        <v>30793</v>
      </c>
      <c r="AL6" s="65">
        <v>32556</v>
      </c>
      <c r="AM6" s="66">
        <v>31837</v>
      </c>
      <c r="AN6" s="68">
        <v>30043</v>
      </c>
      <c r="AO6" s="68">
        <v>31092</v>
      </c>
      <c r="AP6" s="68">
        <v>33110</v>
      </c>
      <c r="AQ6" s="65">
        <v>34829</v>
      </c>
    </row>
    <row r="7" spans="1:43" s="20" customFormat="1" x14ac:dyDescent="0.25">
      <c r="A7" s="9">
        <v>5</v>
      </c>
      <c r="B7" s="10" t="s">
        <v>10</v>
      </c>
      <c r="C7" s="11">
        <f>'[1]ATC data Aug 2016'!C7</f>
        <v>7004</v>
      </c>
      <c r="D7" s="12">
        <f>'[1]ATC data Sept 2016'!C7</f>
        <v>6820</v>
      </c>
      <c r="E7" s="12">
        <f>'[1]ATC data Oct 2016'!C7</f>
        <v>5321</v>
      </c>
      <c r="F7" s="12">
        <f>'[1]ATC data Nov 2016'!C7</f>
        <v>5381</v>
      </c>
      <c r="G7" s="12">
        <f>'[1]ATC data Dec 2016'!C7</f>
        <v>4447</v>
      </c>
      <c r="H7" s="53"/>
      <c r="I7" s="53"/>
      <c r="J7" s="12">
        <f>'[1]ATC data Mar 2017'!C7</f>
        <v>7026</v>
      </c>
      <c r="K7" s="12">
        <f>'[1]ATC data Apr 2017'!C7</f>
        <v>8081</v>
      </c>
      <c r="L7" s="12">
        <f>'[1]ATC data May 2017'!C7</f>
        <v>7525</v>
      </c>
      <c r="M7" s="12">
        <f>'[1]ATC data Jun 2017'!C7</f>
        <v>7361</v>
      </c>
      <c r="N7" s="53"/>
      <c r="O7" s="53"/>
      <c r="P7" s="12">
        <f>'[1]ATC data Sep 2017'!C7</f>
        <v>6651</v>
      </c>
      <c r="Q7" s="12">
        <f>'[1]ATC data Oct 2017'!C7</f>
        <v>6830</v>
      </c>
      <c r="R7" s="12">
        <f>'[1]ATC data Nov 2017'!C7</f>
        <v>6820</v>
      </c>
      <c r="S7" s="14">
        <f>'[1]ATC data Dec 2017'!C7</f>
        <v>7768</v>
      </c>
      <c r="T7" s="10">
        <f>'[1]ATC data Jan 2018'!C7</f>
        <v>8011</v>
      </c>
      <c r="U7" s="10">
        <f>'[1]ATC data Feb 2018'!C7</f>
        <v>7061</v>
      </c>
      <c r="V7" s="53"/>
      <c r="W7" s="62">
        <f>'[1]ATC data Apr 2018'!C7</f>
        <v>6426</v>
      </c>
      <c r="X7" s="62">
        <f>'[1]ATC data May 2018'!C7</f>
        <v>7670</v>
      </c>
      <c r="Y7" s="62">
        <f>'[1]ATC data Jun 2018'!C7</f>
        <v>7029</v>
      </c>
      <c r="Z7" s="62">
        <f>'[1]ATC data Jul 2018'!C7</f>
        <v>7241</v>
      </c>
      <c r="AA7" s="62">
        <f>'[1]ATC data Aug 2018'!C7</f>
        <v>6074</v>
      </c>
      <c r="AB7" s="62">
        <f>'[1]ATC data Sep 2018'!C7</f>
        <v>7458</v>
      </c>
      <c r="AC7" s="63">
        <f>'[1]ATC data Oct 2018'!C7</f>
        <v>6246</v>
      </c>
      <c r="AD7" s="64">
        <f>'[1]ATC data Nov 2018 '!C7</f>
        <v>7424</v>
      </c>
      <c r="AE7" s="64">
        <f>'[1]ATC data Dec  2018 )'!C7</f>
        <v>7561</v>
      </c>
      <c r="AF7" s="53"/>
      <c r="AG7" s="65">
        <v>6724</v>
      </c>
      <c r="AH7" s="53"/>
      <c r="AI7" s="35">
        <v>6990</v>
      </c>
      <c r="AJ7" s="35">
        <v>6256</v>
      </c>
      <c r="AK7" s="35">
        <v>6600</v>
      </c>
      <c r="AL7" s="35">
        <v>8142</v>
      </c>
      <c r="AM7" s="36">
        <v>6557</v>
      </c>
      <c r="AN7" s="37">
        <v>8336</v>
      </c>
      <c r="AO7" s="39">
        <v>4926</v>
      </c>
      <c r="AP7" s="39">
        <v>3347</v>
      </c>
      <c r="AQ7" s="40">
        <v>4561</v>
      </c>
    </row>
    <row r="8" spans="1:43" s="17" customFormat="1" x14ac:dyDescent="0.25">
      <c r="A8" s="9">
        <v>6</v>
      </c>
      <c r="B8" s="10" t="s">
        <v>11</v>
      </c>
      <c r="C8" s="53"/>
      <c r="D8" s="58">
        <f>'[1]ATC data Sept 2016'!C8</f>
        <v>695</v>
      </c>
      <c r="E8" s="58">
        <f>'[1]ATC data Oct 2016'!C8</f>
        <v>503</v>
      </c>
      <c r="F8" s="58">
        <f>'[1]ATC data Nov 2016'!C8</f>
        <v>578.5</v>
      </c>
      <c r="G8" s="58">
        <f>'[1]ATC data Dec 2016'!C8</f>
        <v>655</v>
      </c>
      <c r="H8" s="58">
        <f>'[1]ATC data Jan 2017'!C8</f>
        <v>616</v>
      </c>
      <c r="I8" s="58">
        <f>'[1]ATC data Feb 2017'!C8</f>
        <v>667</v>
      </c>
      <c r="J8" s="58">
        <f>'[1]ATC data Mar 2017'!C8</f>
        <v>533</v>
      </c>
      <c r="K8" s="58">
        <f>'[1]ATC data Apr 2017'!C8</f>
        <v>586</v>
      </c>
      <c r="L8" s="58">
        <f>'[1]ATC data May 2017'!C8</f>
        <v>590</v>
      </c>
      <c r="M8" s="58">
        <f>'[1]ATC data Jun 2017'!C8</f>
        <v>618</v>
      </c>
      <c r="N8" s="58">
        <f>'[1]ATC data Jul 2017'!C8</f>
        <v>578</v>
      </c>
      <c r="O8" s="58">
        <f>'[1]ATC data Aug 2017'!C8</f>
        <v>688</v>
      </c>
      <c r="P8" s="12">
        <f>'[1]ATC data Sep 2017'!C8</f>
        <v>545</v>
      </c>
      <c r="Q8" s="12">
        <f>'[1]ATC data Oct 2017'!C8</f>
        <v>581</v>
      </c>
      <c r="R8" s="12">
        <f>'[1]ATC data Nov 2017'!C8</f>
        <v>498</v>
      </c>
      <c r="S8" s="14">
        <f>'[1]ATC data Dec 2017'!C8</f>
        <v>654</v>
      </c>
      <c r="T8" s="10">
        <f>'[1]ATC data Jan 2018'!C8</f>
        <v>548</v>
      </c>
      <c r="U8" s="10">
        <f>'[1]ATC data Feb 2018'!C8</f>
        <v>610</v>
      </c>
      <c r="V8" s="10">
        <f>'[1]ATC data Mar 2018'!C8</f>
        <v>563</v>
      </c>
      <c r="W8" s="53"/>
      <c r="X8" s="53"/>
      <c r="Y8" s="10">
        <f>'[1]ATC data Jun 2018'!C8</f>
        <v>618</v>
      </c>
      <c r="Z8" s="10">
        <f>'[1]ATC data Jul 2018'!C8</f>
        <v>618</v>
      </c>
      <c r="AA8" s="10">
        <f>'[1]ATC data Aug 2018'!C8</f>
        <v>622</v>
      </c>
      <c r="AB8" s="10">
        <f>'[1]ATC data Sep 2018'!C8</f>
        <v>535</v>
      </c>
      <c r="AC8" s="15">
        <f>'[1]ATC data Oct 2018'!C8</f>
        <v>671</v>
      </c>
      <c r="AD8" s="16">
        <f>'[1]ATC data Nov 2018 '!C8</f>
        <v>603</v>
      </c>
      <c r="AE8" s="16">
        <f>'[1]ATC data Dec  2018 )'!C8</f>
        <v>614</v>
      </c>
      <c r="AF8" s="53"/>
      <c r="AG8" s="53"/>
      <c r="AH8" s="53"/>
      <c r="AI8" s="35">
        <v>524</v>
      </c>
      <c r="AJ8" s="35">
        <v>637</v>
      </c>
      <c r="AK8" s="35">
        <v>680</v>
      </c>
      <c r="AL8" s="35">
        <v>605</v>
      </c>
      <c r="AM8" s="36">
        <v>639</v>
      </c>
      <c r="AN8" s="37">
        <v>647</v>
      </c>
      <c r="AO8" s="37">
        <v>539</v>
      </c>
      <c r="AP8" s="37">
        <v>658</v>
      </c>
      <c r="AQ8" s="35">
        <v>776</v>
      </c>
    </row>
    <row r="9" spans="1:43" s="17" customFormat="1" x14ac:dyDescent="0.25">
      <c r="A9" s="9">
        <v>7</v>
      </c>
      <c r="B9" s="10" t="s">
        <v>12</v>
      </c>
      <c r="C9" s="11">
        <f>'[1]ATC data Aug 2016'!C9</f>
        <v>1563</v>
      </c>
      <c r="D9" s="58">
        <f>'[1]ATC data Sept 2016'!C9</f>
        <v>1342</v>
      </c>
      <c r="E9" s="58">
        <f>'[1]ATC data Oct 2016'!C9</f>
        <v>1505</v>
      </c>
      <c r="F9" s="58">
        <f>'[1]ATC data Nov 2016'!C9</f>
        <v>1533</v>
      </c>
      <c r="G9" s="58">
        <f>'[1]ATC data Dec 2016'!C9</f>
        <v>1492</v>
      </c>
      <c r="H9" s="58">
        <f>'[1]ATC data Jan 2017'!C9</f>
        <v>1508</v>
      </c>
      <c r="I9" s="58">
        <f>'[1]ATC data Feb 2017'!C9</f>
        <v>1375</v>
      </c>
      <c r="J9" s="58">
        <f>'[1]ATC data Mar 2017'!C9</f>
        <v>1420</v>
      </c>
      <c r="K9" s="58">
        <f>'[1]ATC data Apr 2017'!C9</f>
        <v>1383</v>
      </c>
      <c r="L9" s="58">
        <f>'[1]ATC data May 2017'!C9</f>
        <v>1436</v>
      </c>
      <c r="M9" s="58">
        <f>'[1]ATC data Jun 2017'!C9</f>
        <v>1498</v>
      </c>
      <c r="N9" s="58">
        <f>'[1]ATC data Jul 2017'!C9</f>
        <v>1550</v>
      </c>
      <c r="O9" s="58">
        <f>'[1]ATC data Aug 2017'!C9</f>
        <v>1673</v>
      </c>
      <c r="P9" s="12">
        <f>'[1]ATC data Sep 2017'!C9</f>
        <v>1508</v>
      </c>
      <c r="Q9" s="12">
        <f>'[1]ATC data Oct 2017'!C9</f>
        <v>1517</v>
      </c>
      <c r="R9" s="12">
        <f>'[1]ATC data Nov 2017'!C9</f>
        <v>1636</v>
      </c>
      <c r="S9" s="56"/>
      <c r="T9" s="62">
        <f>'[1]ATC data Jan 2018'!C9</f>
        <v>1570</v>
      </c>
      <c r="U9" s="62">
        <f>'[1]ATC data Feb 2018'!C9</f>
        <v>1567</v>
      </c>
      <c r="V9" s="62">
        <f>'[1]ATC data Mar 2018'!C9</f>
        <v>1537</v>
      </c>
      <c r="W9" s="62">
        <f>'[1]ATC data Apr 2018'!C9</f>
        <v>1616</v>
      </c>
      <c r="X9" s="67">
        <v>1762.7372082926233</v>
      </c>
      <c r="Y9" s="62">
        <f>'[1]ATC data Jun 2018'!C9</f>
        <v>1702</v>
      </c>
      <c r="Z9" s="62">
        <f>'[1]ATC data Jul 2018'!C9</f>
        <v>1674</v>
      </c>
      <c r="AA9" s="62">
        <f>'[1]ATC data Aug 2018'!C9</f>
        <v>1737</v>
      </c>
      <c r="AB9" s="62">
        <f>'[1]ATC data Sep 2018'!C9</f>
        <v>1747</v>
      </c>
      <c r="AC9" s="63">
        <f>'[1]ATC data Oct 2018'!C9</f>
        <v>1701</v>
      </c>
      <c r="AD9" s="64">
        <f>'[1]ATC data Nov 2018 '!C9</f>
        <v>1751</v>
      </c>
      <c r="AE9" s="64">
        <f>'[1]ATC data Dec  2018 )'!C9</f>
        <v>1543</v>
      </c>
      <c r="AF9" s="53"/>
      <c r="AG9" s="35">
        <v>1696</v>
      </c>
      <c r="AH9" s="53"/>
      <c r="AI9" s="53"/>
      <c r="AJ9" s="53"/>
      <c r="AK9" s="53"/>
      <c r="AL9" s="53"/>
      <c r="AM9" s="57"/>
      <c r="AN9" s="53"/>
      <c r="AO9" s="53"/>
      <c r="AP9" s="53"/>
      <c r="AQ9" s="53"/>
    </row>
    <row r="10" spans="1:43" s="17" customFormat="1" x14ac:dyDescent="0.25">
      <c r="A10" s="9">
        <v>8</v>
      </c>
      <c r="B10" s="10" t="s">
        <v>13</v>
      </c>
      <c r="C10" s="12">
        <f>'[1]ATC data Aug 2016'!C10</f>
        <v>737</v>
      </c>
      <c r="D10" s="58">
        <f>'[1]ATC data Sept 2016'!C10</f>
        <v>1240</v>
      </c>
      <c r="E10" s="58">
        <f>'[1]ATC data Oct 2016'!C10</f>
        <v>2106</v>
      </c>
      <c r="F10" s="58">
        <f>'[1]ATC data Nov 2016'!C10</f>
        <v>2076</v>
      </c>
      <c r="G10" s="58">
        <f>'[1]ATC data Dec 2016'!C10</f>
        <v>2224</v>
      </c>
      <c r="H10" s="58">
        <f>'[1]ATC data Jan 2017'!C10</f>
        <v>2316</v>
      </c>
      <c r="I10" s="58">
        <f>'[1]ATC data Feb 2017'!C10</f>
        <v>2301</v>
      </c>
      <c r="J10" s="58">
        <f>'[1]ATC data Mar 2017'!C10</f>
        <v>2176</v>
      </c>
      <c r="K10" s="58">
        <f>'[1]ATC data Apr 2017'!C10</f>
        <v>2133</v>
      </c>
      <c r="L10" s="58">
        <f>'[1]ATC data May 2017'!C10</f>
        <v>2525</v>
      </c>
      <c r="M10" s="58">
        <f>'[1]ATC data Jun 2017'!C10</f>
        <v>2026</v>
      </c>
      <c r="N10" s="58">
        <f>'[1]ATC data Jul 2017'!C10</f>
        <v>2232</v>
      </c>
      <c r="O10" s="58">
        <f>'[1]ATC data Aug 2017'!C10</f>
        <v>2185</v>
      </c>
      <c r="P10" s="53"/>
      <c r="Q10" s="53"/>
      <c r="R10" s="53"/>
      <c r="S10" s="55"/>
      <c r="T10" s="55"/>
      <c r="U10" s="53"/>
      <c r="V10" s="53"/>
      <c r="W10" s="53"/>
      <c r="X10" s="53"/>
      <c r="Y10" s="53"/>
      <c r="Z10" s="53"/>
      <c r="AA10" s="53"/>
      <c r="AB10" s="53"/>
      <c r="AC10" s="57"/>
      <c r="AD10" s="53"/>
      <c r="AE10" s="53"/>
      <c r="AF10" s="53"/>
      <c r="AG10" s="53"/>
      <c r="AH10" s="53"/>
      <c r="AI10" s="53"/>
      <c r="AJ10" s="35">
        <v>2447</v>
      </c>
      <c r="AK10" s="35">
        <v>2381</v>
      </c>
      <c r="AL10" s="35">
        <v>2260</v>
      </c>
      <c r="AM10" s="36">
        <v>2296</v>
      </c>
      <c r="AN10" s="37">
        <v>2317</v>
      </c>
      <c r="AO10" s="37">
        <v>2273</v>
      </c>
      <c r="AP10" s="37">
        <v>2467</v>
      </c>
      <c r="AQ10" s="35">
        <v>2623</v>
      </c>
    </row>
    <row r="11" spans="1:43" s="17" customFormat="1" x14ac:dyDescent="0.25">
      <c r="A11" s="9">
        <v>9</v>
      </c>
      <c r="B11" s="10" t="s">
        <v>14</v>
      </c>
      <c r="C11" s="12">
        <f>'[1]ATC data Aug 2016'!C11</f>
        <v>2142</v>
      </c>
      <c r="D11" s="12">
        <f>'[1]ATC data Sept 2016'!C11</f>
        <v>2080</v>
      </c>
      <c r="E11" s="54">
        <f>'[1]ATC data Oct 2016'!C11</f>
        <v>0</v>
      </c>
      <c r="F11" s="12">
        <f>'[1]ATC data Nov 2016'!C11</f>
        <v>2212</v>
      </c>
      <c r="G11" s="12">
        <f>'[1]ATC data Dec 2016'!C11</f>
        <v>2972</v>
      </c>
      <c r="H11" s="12">
        <f>'[1]ATC data Jan 2017'!C11</f>
        <v>2270</v>
      </c>
      <c r="I11" s="12">
        <f>'[1]ATC data Feb 2017'!C11</f>
        <v>2448</v>
      </c>
      <c r="J11" s="58">
        <f>'[1]ATC data Mar 2017'!C11</f>
        <v>2131</v>
      </c>
      <c r="K11" s="58">
        <f>'[1]ATC data Apr 2017'!C11</f>
        <v>2423</v>
      </c>
      <c r="L11" s="58">
        <f>'[1]ATC data May 2017'!C11</f>
        <v>2451</v>
      </c>
      <c r="M11" s="58">
        <f>'[1]ATC data Jun 2017'!C11</f>
        <v>2213</v>
      </c>
      <c r="N11" s="58">
        <f>'[1]ATC data Jul 2017'!C11</f>
        <v>1550</v>
      </c>
      <c r="O11" s="58">
        <f>'[1]ATC data Aug 2017'!C11</f>
        <v>2231</v>
      </c>
      <c r="P11" s="58">
        <f>'[1]ATC data Sep 2017'!C11</f>
        <v>2317</v>
      </c>
      <c r="Q11" s="58">
        <f>'[1]ATC data Oct 2017'!C11</f>
        <v>2174</v>
      </c>
      <c r="R11" s="58">
        <f>'[1]ATC data Nov 2017'!C11</f>
        <v>2321</v>
      </c>
      <c r="S11" s="59">
        <f>'[1]ATC data Dec 2017'!C11</f>
        <v>2193</v>
      </c>
      <c r="T11" s="60">
        <f>'[1]ATC data Jan 2018'!C11</f>
        <v>2584</v>
      </c>
      <c r="U11" s="60">
        <f>'[1]ATC data Feb 2018'!C11</f>
        <v>2689</v>
      </c>
      <c r="V11" s="60">
        <f>'[1]ATC data Mar 2018'!C11</f>
        <v>2475</v>
      </c>
      <c r="W11" s="60">
        <f>'[1]ATC data Apr 2018'!C11</f>
        <v>2137</v>
      </c>
      <c r="X11" s="60">
        <f>'[1]ATC data May 2018'!C11</f>
        <v>2412</v>
      </c>
      <c r="Y11" s="60">
        <f>'[1]ATC data Jun 2018'!C11</f>
        <v>2223</v>
      </c>
      <c r="Z11" s="61"/>
      <c r="AA11" s="60">
        <f>'[1]ATC data Aug 2018'!C11</f>
        <v>2419</v>
      </c>
      <c r="AB11" s="10">
        <f>'[1]ATC data Sep 2018'!C11</f>
        <v>2621</v>
      </c>
      <c r="AC11" s="15">
        <f>'[1]ATC data Oct 2018'!C11</f>
        <v>2339</v>
      </c>
      <c r="AD11" s="16">
        <f>'[1]ATC data Nov 2018 '!C11</f>
        <v>2374</v>
      </c>
      <c r="AE11" s="15">
        <f>'[1]ATC data Dec  2018 )'!C11</f>
        <v>2851</v>
      </c>
      <c r="AF11" s="35">
        <v>2307</v>
      </c>
      <c r="AG11" s="53"/>
      <c r="AH11" s="53"/>
      <c r="AI11" s="35">
        <v>2510</v>
      </c>
      <c r="AJ11" s="35">
        <v>2393</v>
      </c>
      <c r="AK11" s="35">
        <v>2458</v>
      </c>
      <c r="AL11" s="35">
        <v>2498</v>
      </c>
      <c r="AM11" s="36">
        <v>1895</v>
      </c>
      <c r="AN11" s="37">
        <v>2368</v>
      </c>
      <c r="AO11" s="37">
        <v>2257</v>
      </c>
      <c r="AP11" s="37">
        <v>2438</v>
      </c>
      <c r="AQ11" s="35">
        <v>3025</v>
      </c>
    </row>
    <row r="12" spans="1:43" s="17" customFormat="1" x14ac:dyDescent="0.25">
      <c r="A12" s="9">
        <v>10</v>
      </c>
      <c r="B12" s="23" t="s">
        <v>15</v>
      </c>
      <c r="C12" s="12">
        <f>'[1]ATC data Aug 2016'!C12</f>
        <v>4880</v>
      </c>
      <c r="D12" s="54">
        <f>'[1]ATC data Sept 2016'!C12</f>
        <v>0</v>
      </c>
      <c r="E12" s="54">
        <f>'[1]ATC data Oct 2016'!C12</f>
        <v>0</v>
      </c>
      <c r="F12" s="58">
        <f>'[1]ATC data Nov 2016'!C12</f>
        <v>5446</v>
      </c>
      <c r="G12" s="58">
        <f>'[1]ATC data Dec 2016'!C12</f>
        <v>5292</v>
      </c>
      <c r="H12" s="58">
        <f>'[1]ATC data Jan 2017'!C12</f>
        <v>4838</v>
      </c>
      <c r="I12" s="58">
        <f>'[1]ATC data Feb 2017'!C12</f>
        <v>4741</v>
      </c>
      <c r="J12" s="58">
        <f>'[1]ATC data Mar 2017'!C12</f>
        <v>4847</v>
      </c>
      <c r="K12" s="58">
        <f>'[1]ATC data Apr 2017'!C12</f>
        <v>4105</v>
      </c>
      <c r="L12" s="61">
        <v>4292.9307036247337</v>
      </c>
      <c r="M12" s="58">
        <f>'[1]ATC data Jun 2017'!C12</f>
        <v>4103</v>
      </c>
      <c r="N12" s="58">
        <f>'[1]ATC data Jul 2017'!C12</f>
        <v>4343</v>
      </c>
      <c r="O12" s="58">
        <f>'[1]ATC data Aug 2017'!C12</f>
        <v>4481</v>
      </c>
      <c r="P12" s="58">
        <f>'[1]ATC data Sep 2017'!C12</f>
        <v>4281</v>
      </c>
      <c r="Q12" s="58">
        <f>'[1]ATC data Oct 2017'!C12</f>
        <v>4259</v>
      </c>
      <c r="R12" s="12">
        <f>'[1]ATC data Nov 2017'!C12</f>
        <v>4481</v>
      </c>
      <c r="S12" s="14">
        <f>'[1]ATC data Dec 2017'!C12</f>
        <v>4461</v>
      </c>
      <c r="T12" s="10">
        <f>'[1]ATC data Jan 2018'!C12</f>
        <v>4614</v>
      </c>
      <c r="U12" s="10">
        <f>'[1]ATC data Feb 2018'!C12</f>
        <v>4363</v>
      </c>
      <c r="V12" s="53"/>
      <c r="W12" s="10">
        <f>'[1]ATC data Apr 2018'!C12</f>
        <v>4000</v>
      </c>
      <c r="X12" s="10">
        <f>'[1]ATC data May 2018'!C12</f>
        <v>4593</v>
      </c>
      <c r="Y12" s="10">
        <f>'[1]ATC data Jun 2018'!C12</f>
        <v>0</v>
      </c>
      <c r="Z12" s="10">
        <f>'[1]ATC data Jul 2018'!C12</f>
        <v>5009</v>
      </c>
      <c r="AA12" s="53"/>
      <c r="AB12" s="53"/>
      <c r="AC12" s="57"/>
      <c r="AD12" s="53"/>
      <c r="AE12" s="53"/>
      <c r="AF12" s="53"/>
      <c r="AG12" s="53"/>
      <c r="AH12" s="53"/>
      <c r="AI12" s="53"/>
      <c r="AJ12" s="53"/>
      <c r="AK12" s="53"/>
      <c r="AL12" s="53"/>
      <c r="AM12" s="57"/>
      <c r="AN12" s="53"/>
      <c r="AO12" s="53"/>
      <c r="AP12" s="53"/>
      <c r="AQ12" s="40">
        <v>5156</v>
      </c>
    </row>
    <row r="13" spans="1:43" s="17" customFormat="1" x14ac:dyDescent="0.25">
      <c r="A13" s="9">
        <v>11</v>
      </c>
      <c r="B13" s="10" t="s">
        <v>16</v>
      </c>
      <c r="C13" s="12">
        <f>'[1]ATC data Aug 2016'!C13</f>
        <v>2147</v>
      </c>
      <c r="D13" s="12">
        <f>'[1]ATC data Sept 2016'!C13</f>
        <v>2010</v>
      </c>
      <c r="E13" s="54">
        <f>'[1]ATC data Oct 2016'!C13</f>
        <v>0</v>
      </c>
      <c r="F13" s="12">
        <f>'[1]ATC data Nov 2016'!C13</f>
        <v>1699</v>
      </c>
      <c r="G13" s="12">
        <f>'[1]ATC data Dec 2016'!C13</f>
        <v>1720</v>
      </c>
      <c r="H13" s="69">
        <f>'[1]ATC data Jan 2017'!C13</f>
        <v>2203</v>
      </c>
      <c r="I13" s="69">
        <f>'[1]ATC data Feb 2017'!C13</f>
        <v>1669</v>
      </c>
      <c r="J13" s="69">
        <f>'[1]ATC data Mar 2017'!C13</f>
        <v>1530</v>
      </c>
      <c r="K13" s="69">
        <f>'[1]ATC data Apr 2017'!C13</f>
        <v>3100</v>
      </c>
      <c r="L13" s="69">
        <f>'[1]ATC data May 2017'!C13</f>
        <v>2331</v>
      </c>
      <c r="M13" s="69">
        <f>'[1]ATC data Jun 2017'!C13</f>
        <v>1916</v>
      </c>
      <c r="N13" s="69">
        <f>'[1]ATC data Jul 2017'!C13</f>
        <v>1716</v>
      </c>
      <c r="O13" s="69">
        <f>'[1]ATC data Aug 2017'!C13</f>
        <v>2165</v>
      </c>
      <c r="P13" s="69">
        <f>'[1]ATC data Sep 2017'!C13</f>
        <v>1801</v>
      </c>
      <c r="Q13" s="69">
        <f>'[1]ATC data Oct 2017'!C13</f>
        <v>1931</v>
      </c>
      <c r="R13" s="69">
        <f>'[1]ATC data Nov 2017'!C13</f>
        <v>1716</v>
      </c>
      <c r="S13" s="70">
        <f>'[1]ATC data Dec 2017'!C13</f>
        <v>1805</v>
      </c>
      <c r="T13" s="62">
        <f>'[1]ATC data Jan 2018'!C13</f>
        <v>1773</v>
      </c>
      <c r="U13" s="62">
        <f>'[1]ATC data Feb 2018'!C13</f>
        <v>1614</v>
      </c>
      <c r="V13" s="62">
        <f>'[1]ATC data Mar 2018'!C13</f>
        <v>1547</v>
      </c>
      <c r="W13" s="62">
        <f>'[1]ATC data Apr 2018'!C13</f>
        <v>1587</v>
      </c>
      <c r="X13" s="62">
        <f>'[1]ATC data May 2018'!C13</f>
        <v>1863</v>
      </c>
      <c r="Y13" s="62">
        <f>'[1]ATC data Jun 2018'!C13</f>
        <v>1855</v>
      </c>
      <c r="Z13" s="53"/>
      <c r="AA13" s="53"/>
      <c r="AB13" s="53"/>
      <c r="AC13" s="57"/>
      <c r="AD13" s="53"/>
      <c r="AE13" s="53"/>
      <c r="AF13" s="53"/>
      <c r="AG13" s="53"/>
      <c r="AH13" s="53"/>
      <c r="AI13" s="53"/>
      <c r="AJ13" s="53"/>
      <c r="AK13" s="53"/>
      <c r="AL13" s="53"/>
      <c r="AM13" s="57"/>
      <c r="AN13" s="53"/>
      <c r="AO13" s="53"/>
      <c r="AP13" s="53"/>
      <c r="AQ13" s="13"/>
    </row>
    <row r="14" spans="1:43" s="17" customFormat="1" x14ac:dyDescent="0.25">
      <c r="A14" s="9">
        <v>12</v>
      </c>
      <c r="B14" s="10" t="s">
        <v>17</v>
      </c>
      <c r="C14" s="12">
        <f>'[1]ATC data Aug 2016'!C14</f>
        <v>2488</v>
      </c>
      <c r="D14" s="58">
        <f>'[1]ATC data Sept 2016'!C14</f>
        <v>3125</v>
      </c>
      <c r="E14" s="58">
        <f>'[1]ATC data Oct 2016'!C14</f>
        <v>3109</v>
      </c>
      <c r="F14" s="58">
        <f>'[1]ATC data Nov 2016'!C14</f>
        <v>2527</v>
      </c>
      <c r="G14" s="58">
        <f>'[1]ATC data Dec 2016'!C14</f>
        <v>2587</v>
      </c>
      <c r="H14" s="58">
        <f>'[1]ATC data Jan 2017'!C14</f>
        <v>2190</v>
      </c>
      <c r="I14" s="58">
        <f>'[1]ATC data Feb 2017'!C14</f>
        <v>2249</v>
      </c>
      <c r="J14" s="58">
        <f>'[1]ATC data Mar 2017'!C14</f>
        <v>2247</v>
      </c>
      <c r="K14" s="58">
        <f>'[1]ATC data Apr 2017'!C14</f>
        <v>2249</v>
      </c>
      <c r="L14" s="58">
        <f>'[1]ATC data May 2017'!C14</f>
        <v>2344</v>
      </c>
      <c r="M14" s="58">
        <f>'[1]ATC data Jun 2017'!C14</f>
        <v>2318</v>
      </c>
      <c r="N14" s="58">
        <f>'[1]ATC data Jul 2017'!C14</f>
        <v>2543</v>
      </c>
      <c r="O14" s="58">
        <f>'[1]ATC data Aug 2017'!C14</f>
        <v>1778</v>
      </c>
      <c r="P14" s="53"/>
      <c r="Q14" s="12">
        <f>'[1]ATC data Oct 2017'!C14</f>
        <v>2496</v>
      </c>
      <c r="R14" s="12">
        <f>'[1]ATC data Nov 2017'!C14</f>
        <v>2445</v>
      </c>
      <c r="S14" s="14">
        <f>'[1]ATC data Dec 2017'!C14</f>
        <v>1033</v>
      </c>
      <c r="T14" s="53">
        <v>2092.4893449503284</v>
      </c>
      <c r="U14" s="10">
        <f>'[1]ATC data Feb 2018'!C14</f>
        <v>2206</v>
      </c>
      <c r="V14" s="10">
        <f>'[1]ATC data Mar 2018'!C14</f>
        <v>2335</v>
      </c>
      <c r="W14" s="53"/>
      <c r="X14" s="10">
        <f>'[1]ATC data May 2018'!C14</f>
        <v>2383</v>
      </c>
      <c r="Y14" s="10">
        <f>'[1]ATC data Jun 2018'!C14</f>
        <v>0</v>
      </c>
      <c r="Z14" s="10">
        <f>'[1]ATC data Jul 2018'!C14</f>
        <v>2479</v>
      </c>
      <c r="AA14" s="10">
        <f>'[1]ATC data Aug 2018'!C14</f>
        <v>2524</v>
      </c>
      <c r="AB14" s="10">
        <f>'[1]ATC data Sep 2018'!C14</f>
        <v>2608</v>
      </c>
      <c r="AC14" s="56"/>
      <c r="AD14" s="16">
        <f>'[1]ATC data Nov 2018 '!C14</f>
        <v>2524</v>
      </c>
      <c r="AE14" s="16">
        <f>'[1]ATC data Dec  2018 )'!C14</f>
        <v>2380</v>
      </c>
      <c r="AF14" s="35">
        <v>2273</v>
      </c>
      <c r="AG14" s="53"/>
      <c r="AH14" s="53"/>
      <c r="AI14" s="40">
        <v>0</v>
      </c>
      <c r="AJ14" s="35">
        <v>2525</v>
      </c>
      <c r="AK14" s="35">
        <v>2425</v>
      </c>
      <c r="AL14" s="35">
        <v>2396</v>
      </c>
      <c r="AM14" s="36">
        <v>1842</v>
      </c>
      <c r="AN14" s="37">
        <v>1856</v>
      </c>
      <c r="AO14" s="37">
        <v>2615</v>
      </c>
      <c r="AP14" s="39">
        <v>0</v>
      </c>
      <c r="AQ14" s="35">
        <v>2949</v>
      </c>
    </row>
    <row r="15" spans="1:43" s="17" customFormat="1" x14ac:dyDescent="0.25">
      <c r="A15" s="9">
        <v>13</v>
      </c>
      <c r="B15" s="10" t="s">
        <v>18</v>
      </c>
      <c r="C15" s="12">
        <f>'[1]ATC data Aug 2016'!C15</f>
        <v>1597</v>
      </c>
      <c r="D15" s="12">
        <v>226</v>
      </c>
      <c r="E15" s="12">
        <v>372</v>
      </c>
      <c r="F15" s="12">
        <v>44</v>
      </c>
      <c r="G15" s="12">
        <v>46</v>
      </c>
      <c r="H15" s="12">
        <v>6</v>
      </c>
      <c r="I15" s="54">
        <v>0</v>
      </c>
      <c r="J15" s="12">
        <v>226</v>
      </c>
      <c r="K15" s="12">
        <v>372</v>
      </c>
      <c r="L15" s="12">
        <v>44</v>
      </c>
      <c r="M15" s="12">
        <v>46</v>
      </c>
      <c r="N15" s="12">
        <v>6</v>
      </c>
      <c r="O15" s="54">
        <v>0</v>
      </c>
      <c r="P15" s="12">
        <f>'[1]ATC data Sep 2017'!C15</f>
        <v>2165</v>
      </c>
      <c r="Q15" s="12">
        <f>'[1]ATC data Oct 2017'!C15</f>
        <v>708</v>
      </c>
      <c r="R15" s="12">
        <f>'[1]ATC data Nov 2017'!C15</f>
        <v>1954</v>
      </c>
      <c r="S15" s="14">
        <f>'[1]ATC data Dec 2017'!C15</f>
        <v>1976</v>
      </c>
      <c r="T15" s="53">
        <v>1624.5339105925045</v>
      </c>
      <c r="U15" s="62">
        <f>'[1]ATC data Feb 2018'!C15</f>
        <v>1813</v>
      </c>
      <c r="V15" s="62">
        <f>'[1]ATC data Mar 2018'!C15</f>
        <v>1681</v>
      </c>
      <c r="W15" s="62">
        <f>'[1]ATC data Apr 2018'!C15</f>
        <v>1486</v>
      </c>
      <c r="X15" s="67">
        <v>1643.4</v>
      </c>
      <c r="Y15" s="67">
        <v>1507.2586666666664</v>
      </c>
      <c r="Z15" s="62">
        <f>'[1]ATC data Jul 2018'!C15</f>
        <v>1566</v>
      </c>
      <c r="AA15" s="62">
        <f>'[1]ATC data Aug 2018'!C15</f>
        <v>1748</v>
      </c>
      <c r="AB15" s="62">
        <f>'[2]Lira-C Kilak Sept Dir 2 '!$S$5</f>
        <v>1652</v>
      </c>
      <c r="AC15" s="63">
        <f>'[1]ATC data Oct 2018'!C15</f>
        <v>1566</v>
      </c>
      <c r="AD15" s="71">
        <f>'[1]ATC data Nov 2018 '!C15</f>
        <v>1536</v>
      </c>
      <c r="AE15" s="64">
        <f>'[1]ATC data Dec  2018 )'!C15</f>
        <v>649</v>
      </c>
      <c r="AF15" s="65">
        <v>1598</v>
      </c>
      <c r="AG15" s="53"/>
      <c r="AH15" s="53"/>
      <c r="AI15" s="40">
        <v>0</v>
      </c>
      <c r="AJ15" s="35">
        <v>2435</v>
      </c>
      <c r="AK15" s="40">
        <v>0</v>
      </c>
      <c r="AL15" s="35">
        <v>2636</v>
      </c>
      <c r="AM15" s="36">
        <v>1936</v>
      </c>
      <c r="AN15" s="37">
        <v>1827</v>
      </c>
      <c r="AO15" s="37">
        <v>2012</v>
      </c>
      <c r="AP15" s="37">
        <v>1261</v>
      </c>
      <c r="AQ15" s="35">
        <v>1876</v>
      </c>
    </row>
    <row r="16" spans="1:43" s="17" customFormat="1" x14ac:dyDescent="0.25">
      <c r="A16" s="9">
        <v>14</v>
      </c>
      <c r="B16" s="10" t="s">
        <v>19</v>
      </c>
      <c r="C16" s="11">
        <f>'[1]ATC data Aug 2016'!C16</f>
        <v>1257</v>
      </c>
      <c r="D16" s="12">
        <f>'[1]ATC data Sept 2016'!C16</f>
        <v>1080</v>
      </c>
      <c r="E16" s="54">
        <f>'[1]ATC data Oct 2016'!C16</f>
        <v>0</v>
      </c>
      <c r="F16" s="12">
        <f>'[1]ATC data Nov 2016'!C16</f>
        <v>1754</v>
      </c>
      <c r="G16" s="12">
        <f>'[1]ATC data Dec 2016'!C16</f>
        <v>850</v>
      </c>
      <c r="H16" s="12">
        <f>'[1]ATC data Jan 2017'!C16</f>
        <v>821</v>
      </c>
      <c r="I16" s="12">
        <f>'[1]ATC data Feb 2017'!C16</f>
        <v>906</v>
      </c>
      <c r="J16" s="12">
        <f>'[1]ATC data Mar 2017'!C16</f>
        <v>1030</v>
      </c>
      <c r="K16" s="12">
        <f>'[1]ATC data Apr 2017'!C16</f>
        <v>1004</v>
      </c>
      <c r="L16" s="12">
        <f>'[1]ATC data May 2017'!C16</f>
        <v>2300</v>
      </c>
      <c r="M16" s="53"/>
      <c r="N16" s="12">
        <f>'[1]ATC data Jul 2017'!C16</f>
        <v>902</v>
      </c>
      <c r="O16" s="12">
        <f>'[1]ATC data Aug 2017'!C16</f>
        <v>798</v>
      </c>
      <c r="P16" s="12">
        <f>'[1]ATC data Sep 2017'!C16</f>
        <v>901</v>
      </c>
      <c r="Q16" s="12">
        <f>'[1]ATC data Oct 2017'!C16</f>
        <v>704</v>
      </c>
      <c r="R16" s="12">
        <f>'[1]ATC data Nov 2017'!C16</f>
        <v>832</v>
      </c>
      <c r="S16" s="14">
        <f>'[1]ATC data Dec 2017'!C16</f>
        <v>841</v>
      </c>
      <c r="T16" s="53">
        <v>832.58238582975071</v>
      </c>
      <c r="U16" s="53">
        <v>859.38982511548988</v>
      </c>
      <c r="V16" s="62">
        <f>'[1]ATC data Mar 2018'!C16</f>
        <v>901</v>
      </c>
      <c r="W16" s="62">
        <f>'[1]ATC data Apr 2018'!C16</f>
        <v>896</v>
      </c>
      <c r="X16" s="62">
        <f>'[1]ATC data May 2018'!C16</f>
        <v>862</v>
      </c>
      <c r="Y16" s="62">
        <f>'[1]ATC data Jun 2018'!C16</f>
        <v>739</v>
      </c>
      <c r="Z16" s="62">
        <f>'[1]ATC data Jul 2018'!C16</f>
        <v>819</v>
      </c>
      <c r="AA16" s="67">
        <f>AVERAGE(W16:Z16)*1.01</f>
        <v>837.29</v>
      </c>
      <c r="AB16" s="62">
        <f>'[1]ATC data Sep 2018'!C16</f>
        <v>898</v>
      </c>
      <c r="AC16" s="63">
        <f>'[1]ATC data Oct 2018'!C16</f>
        <v>917</v>
      </c>
      <c r="AD16" s="64">
        <f>'[1]ATC data Nov 2018 '!C16</f>
        <v>786</v>
      </c>
      <c r="AE16" s="64">
        <f>'[1]ATC data Dec  2018 )'!C16</f>
        <v>834</v>
      </c>
      <c r="AF16" s="65">
        <v>1177</v>
      </c>
      <c r="AG16" s="67"/>
      <c r="AH16" s="35">
        <v>1028</v>
      </c>
      <c r="AI16" s="35">
        <v>1019</v>
      </c>
      <c r="AJ16" s="35">
        <v>1063</v>
      </c>
      <c r="AK16" s="35">
        <v>1024</v>
      </c>
      <c r="AL16" s="35">
        <v>1039</v>
      </c>
      <c r="AM16" s="36">
        <v>1090</v>
      </c>
      <c r="AN16" s="39">
        <v>0</v>
      </c>
      <c r="AO16" s="37">
        <v>1073</v>
      </c>
      <c r="AP16" s="39">
        <v>0</v>
      </c>
      <c r="AQ16" s="35">
        <v>1071</v>
      </c>
    </row>
    <row r="17" spans="1:43" s="17" customFormat="1" x14ac:dyDescent="0.25">
      <c r="A17" s="9">
        <v>15</v>
      </c>
      <c r="B17" s="10" t="s">
        <v>20</v>
      </c>
      <c r="C17" s="11">
        <f>'[1]ATC data Aug 2016'!C17</f>
        <v>960</v>
      </c>
      <c r="D17" s="12">
        <f>'[1]ATC data Sept 2016'!C17</f>
        <v>1064</v>
      </c>
      <c r="E17" s="54">
        <f>'[1]ATC data Oct 2016'!C17</f>
        <v>0</v>
      </c>
      <c r="F17" s="12">
        <f>'[1]ATC data Nov 2016'!C17</f>
        <v>831</v>
      </c>
      <c r="G17" s="12">
        <f>'[1]ATC data Dec 2016'!C17</f>
        <v>933</v>
      </c>
      <c r="H17" s="53"/>
      <c r="I17" s="12">
        <f>'[1]ATC data Feb 2017'!C17</f>
        <v>892</v>
      </c>
      <c r="J17" s="12">
        <f>'[1]ATC data Mar 2017'!C17</f>
        <v>812.5</v>
      </c>
      <c r="K17" s="53"/>
      <c r="L17" s="53"/>
      <c r="M17" s="58">
        <f>'[1]ATC data Jun 2017'!C17</f>
        <v>881</v>
      </c>
      <c r="N17" s="58">
        <f>'[1]ATC data Jul 2017'!C17</f>
        <v>946</v>
      </c>
      <c r="O17" s="58">
        <f>'[1]ATC data Aug 2017'!C17</f>
        <v>860</v>
      </c>
      <c r="P17" s="58">
        <f>'[1]ATC data Sep 2017'!C17</f>
        <v>901</v>
      </c>
      <c r="Q17" s="58">
        <f>'[1]ATC data Oct 2017'!C17</f>
        <v>888</v>
      </c>
      <c r="R17" s="58">
        <f>'[1]ATC data Nov 2017'!C17</f>
        <v>832</v>
      </c>
      <c r="S17" s="59">
        <f>'[1]ATC data Dec 2017'!C17</f>
        <v>1033</v>
      </c>
      <c r="T17" s="60">
        <f>'[1]ATC data Jan 2018'!C17</f>
        <v>906</v>
      </c>
      <c r="U17" s="61">
        <v>932.90333333333331</v>
      </c>
      <c r="V17" s="60">
        <f>'[1]ATC data Mar 2018'!C17</f>
        <v>963</v>
      </c>
      <c r="W17" s="60">
        <f>'[1]ATC data Apr 2018'!C17</f>
        <v>888</v>
      </c>
      <c r="X17" s="60">
        <f>'[1]ATC data May 2018'!C17</f>
        <v>995</v>
      </c>
      <c r="Y17" s="60">
        <f>'[1]ATC data Jun 2018'!C17</f>
        <v>1001</v>
      </c>
      <c r="Z17" s="60">
        <f>'[1]ATC data Jul 2018'!C17</f>
        <v>852</v>
      </c>
      <c r="AA17" s="67">
        <f>AVERAGE(W17:Z17)*1.01</f>
        <v>943.34</v>
      </c>
      <c r="AB17" s="60">
        <f>'[1]ATC data Sep 2018'!C17</f>
        <v>921</v>
      </c>
      <c r="AC17" s="72">
        <f>'[1]ATC data Oct 2018'!C17</f>
        <v>1021</v>
      </c>
      <c r="AD17" s="60">
        <f>'[1]ATC data Nov 2018 '!C17</f>
        <v>1000</v>
      </c>
      <c r="AE17" s="60">
        <f>'[1]ATC data Dec  2018 )'!C17</f>
        <v>1351</v>
      </c>
      <c r="AF17" s="53"/>
      <c r="AG17" s="53"/>
      <c r="AH17" s="53"/>
      <c r="AI17" s="40">
        <v>0</v>
      </c>
      <c r="AJ17" s="40">
        <v>0</v>
      </c>
      <c r="AK17" s="40">
        <v>0</v>
      </c>
      <c r="AL17" s="35">
        <v>1049</v>
      </c>
      <c r="AM17" s="36">
        <v>1312</v>
      </c>
      <c r="AN17" s="37">
        <v>1146</v>
      </c>
      <c r="AO17" s="39">
        <v>1073</v>
      </c>
      <c r="AP17" s="37">
        <v>1057</v>
      </c>
      <c r="AQ17" s="35">
        <v>956</v>
      </c>
    </row>
    <row r="18" spans="1:43" x14ac:dyDescent="0.25">
      <c r="K18" s="77"/>
      <c r="L18" s="77"/>
      <c r="M18" s="77"/>
      <c r="N18" s="77"/>
      <c r="T18" s="77"/>
      <c r="U18" s="77"/>
      <c r="X18" s="77"/>
      <c r="Y18" s="77"/>
      <c r="AA18" s="77"/>
    </row>
    <row r="19" spans="1:43" x14ac:dyDescent="0.25">
      <c r="K19" s="77"/>
      <c r="L19" s="77"/>
      <c r="M19" s="77"/>
      <c r="N19" s="77"/>
      <c r="T19" s="77"/>
      <c r="U19" s="77"/>
      <c r="X19" s="77"/>
      <c r="Y19" s="77"/>
      <c r="AA19" s="77"/>
    </row>
    <row r="20" spans="1:43" x14ac:dyDescent="0.25">
      <c r="K20" s="77"/>
      <c r="L20" s="77"/>
      <c r="M20" s="77"/>
      <c r="N20" s="77"/>
      <c r="T20" s="77"/>
      <c r="X20" s="77"/>
      <c r="Y20" s="77"/>
      <c r="AA20" s="77"/>
    </row>
    <row r="21" spans="1:43" x14ac:dyDescent="0.25">
      <c r="K21" s="77"/>
      <c r="L21" s="77"/>
      <c r="M21" s="77"/>
      <c r="N21" s="77"/>
      <c r="T21" s="77"/>
      <c r="U21" s="77"/>
      <c r="X21" s="77"/>
      <c r="Y21" s="77"/>
      <c r="AA21" s="77"/>
    </row>
    <row r="22" spans="1:43" x14ac:dyDescent="0.25">
      <c r="A22" s="9"/>
      <c r="B22" s="10"/>
      <c r="K22" s="77"/>
      <c r="L22" s="77"/>
      <c r="M22" s="77"/>
      <c r="N22" s="77"/>
      <c r="T22" s="77"/>
      <c r="U22" s="77"/>
      <c r="X22" s="77"/>
      <c r="Y22" s="77"/>
      <c r="AA22" s="77"/>
    </row>
    <row r="23" spans="1:43" x14ac:dyDescent="0.25">
      <c r="A23" s="9"/>
      <c r="B23" s="10"/>
      <c r="K23" s="77"/>
      <c r="L23" s="77"/>
      <c r="M23" s="77"/>
      <c r="N23" s="77"/>
      <c r="T23" s="77"/>
      <c r="U23" s="77"/>
      <c r="X23" s="77"/>
      <c r="Y23" s="77"/>
    </row>
    <row r="24" spans="1:43" x14ac:dyDescent="0.25">
      <c r="A24" s="9">
        <v>1</v>
      </c>
      <c r="B24" s="10" t="s">
        <v>3</v>
      </c>
      <c r="C24" s="73">
        <f>AVERAGE(P3:AA3)</f>
        <v>4797.2384136062456</v>
      </c>
      <c r="K24" s="77"/>
      <c r="L24" s="77"/>
      <c r="P24" s="78">
        <f>P3/$C$24</f>
        <v>0.99703195622592744</v>
      </c>
      <c r="Q24" s="78">
        <f t="shared" ref="Q24:AA24" si="0">Q3/$C$24</f>
        <v>1.0322605576480854</v>
      </c>
      <c r="R24" s="78">
        <f t="shared" si="0"/>
        <v>1.090627471246927</v>
      </c>
      <c r="S24" s="78">
        <f t="shared" si="0"/>
        <v>0.94408482746126399</v>
      </c>
      <c r="T24" s="78">
        <f>T3/$C$24</f>
        <v>0.89551521721651361</v>
      </c>
      <c r="U24" s="78">
        <f t="shared" si="0"/>
        <v>1.0416409544764706</v>
      </c>
      <c r="V24" s="78">
        <f t="shared" si="0"/>
        <v>1.0887513918812501</v>
      </c>
      <c r="W24" s="78">
        <f t="shared" si="0"/>
        <v>1.0571991725724226</v>
      </c>
      <c r="X24" s="78">
        <f t="shared" si="0"/>
        <v>0.98911073223751322</v>
      </c>
      <c r="Y24" s="78">
        <f t="shared" si="0"/>
        <v>1.0579003089790051</v>
      </c>
      <c r="Z24" s="78">
        <f t="shared" si="0"/>
        <v>0.89222675896989512</v>
      </c>
      <c r="AA24" s="78">
        <f t="shared" si="0"/>
        <v>0.9136506510847251</v>
      </c>
    </row>
    <row r="25" spans="1:43" x14ac:dyDescent="0.25">
      <c r="A25" s="9">
        <v>2</v>
      </c>
      <c r="B25" s="10" t="s">
        <v>6</v>
      </c>
      <c r="C25" s="73">
        <f>AVERAGE(U4:AF4)</f>
        <v>4661.830209226363</v>
      </c>
      <c r="K25" s="77"/>
      <c r="L25" s="77"/>
      <c r="U25" s="78">
        <f>U4/$C$25</f>
        <v>0.97365193417313523</v>
      </c>
      <c r="V25" s="78">
        <f t="shared" ref="V25:AF25" si="1">V4/$C$25</f>
        <v>0.97386644220005159</v>
      </c>
      <c r="W25" s="78">
        <f t="shared" si="1"/>
        <v>0.95091408332000626</v>
      </c>
      <c r="X25" s="78">
        <f t="shared" si="1"/>
        <v>0.96580395414103826</v>
      </c>
      <c r="Y25" s="78">
        <f t="shared" si="1"/>
        <v>0.99650743433710831</v>
      </c>
      <c r="Z25" s="78">
        <f t="shared" si="1"/>
        <v>1.0392913904095264</v>
      </c>
      <c r="AA25" s="78">
        <f t="shared" si="1"/>
        <v>1.0684644820701446</v>
      </c>
      <c r="AB25" s="78">
        <f t="shared" si="1"/>
        <v>1.0680354660163121</v>
      </c>
      <c r="AC25" s="78">
        <f t="shared" si="1"/>
        <v>0.90157723712925475</v>
      </c>
      <c r="AD25" s="78">
        <f t="shared" si="1"/>
        <v>0.89514199632176539</v>
      </c>
      <c r="AE25" s="78">
        <f t="shared" si="1"/>
        <v>1.0684644820701446</v>
      </c>
      <c r="AF25" s="78">
        <f t="shared" si="1"/>
        <v>1.0982810978115118</v>
      </c>
    </row>
    <row r="26" spans="1:43" x14ac:dyDescent="0.25">
      <c r="A26" s="9">
        <v>3</v>
      </c>
      <c r="B26" s="10" t="s">
        <v>7</v>
      </c>
      <c r="C26" s="79">
        <f>AVERAGE(AF5:AQ5)</f>
        <v>4299.4948996937064</v>
      </c>
      <c r="K26" s="77"/>
      <c r="L26" s="77"/>
      <c r="AF26" s="74">
        <f>AF5/$C$26</f>
        <v>0.92127100796937322</v>
      </c>
      <c r="AG26" s="74">
        <f t="shared" ref="AG26:AQ26" si="2">AG5/$C$26</f>
        <v>0.92992409418113275</v>
      </c>
      <c r="AH26" s="74">
        <f t="shared" si="2"/>
        <v>1.0847169272424666</v>
      </c>
      <c r="AI26" s="74">
        <f t="shared" si="2"/>
        <v>1.0061647009531705</v>
      </c>
      <c r="AJ26" s="74">
        <f t="shared" si="2"/>
        <v>0.89894280378733338</v>
      </c>
      <c r="AK26" s="74">
        <f t="shared" si="2"/>
        <v>0.99872196622582388</v>
      </c>
      <c r="AL26" s="74">
        <f t="shared" si="2"/>
        <v>0.9891859623564111</v>
      </c>
      <c r="AM26" s="74">
        <f t="shared" si="2"/>
        <v>0.96360156173115707</v>
      </c>
      <c r="AN26" s="74">
        <f t="shared" si="2"/>
        <v>1.0282603196749809</v>
      </c>
      <c r="AO26" s="74">
        <f t="shared" si="2"/>
        <v>1.0161658757430425</v>
      </c>
      <c r="AP26" s="74">
        <f t="shared" si="2"/>
        <v>1.0498907674763318</v>
      </c>
      <c r="AQ26" s="74">
        <f t="shared" si="2"/>
        <v>1.113154012658778</v>
      </c>
    </row>
    <row r="27" spans="1:43" x14ac:dyDescent="0.25">
      <c r="A27" s="9">
        <v>4</v>
      </c>
      <c r="B27" s="10" t="s">
        <v>8</v>
      </c>
      <c r="C27" s="73">
        <f>AVERAGE(U6:AF6)</f>
        <v>31377.916666666668</v>
      </c>
      <c r="K27" s="77"/>
      <c r="U27" s="78">
        <f t="shared" ref="U27:AF27" si="3">U6/$C$27</f>
        <v>1.0056116961238664</v>
      </c>
      <c r="V27" s="78">
        <f t="shared" si="3"/>
        <v>0.9466530335825355</v>
      </c>
      <c r="W27" s="78">
        <f t="shared" si="3"/>
        <v>0.94397599160768586</v>
      </c>
      <c r="X27" s="78">
        <f t="shared" si="3"/>
        <v>0.96507363193328632</v>
      </c>
      <c r="Y27" s="78">
        <f t="shared" si="3"/>
        <v>0.98448218625094608</v>
      </c>
      <c r="Z27" s="78">
        <f t="shared" si="3"/>
        <v>0.98907140106497404</v>
      </c>
      <c r="AA27" s="78">
        <f t="shared" si="3"/>
        <v>0.994266137278075</v>
      </c>
      <c r="AB27" s="78">
        <f t="shared" si="3"/>
        <v>1.0095316504441818</v>
      </c>
      <c r="AC27" s="78">
        <f t="shared" si="3"/>
        <v>0.98094466649846623</v>
      </c>
      <c r="AD27" s="78">
        <f t="shared" si="3"/>
        <v>1.0366207656658744</v>
      </c>
      <c r="AE27" s="78">
        <f t="shared" si="3"/>
        <v>1.0954519500179265</v>
      </c>
      <c r="AF27" s="78">
        <f t="shared" si="3"/>
        <v>1.0483168895321815</v>
      </c>
    </row>
    <row r="28" spans="1:43" x14ac:dyDescent="0.25">
      <c r="A28" s="9">
        <v>5</v>
      </c>
      <c r="B28" s="10" t="s">
        <v>10</v>
      </c>
      <c r="C28" s="73">
        <f>AVERAGE(T9:AE9)</f>
        <v>1658.9781006910518</v>
      </c>
      <c r="T28" s="78">
        <f>T9/$C$28</f>
        <v>0.94636571715202999</v>
      </c>
      <c r="U28" s="78">
        <f t="shared" ref="U28:AE28" si="4">U9/$C$28</f>
        <v>0.9445573750173446</v>
      </c>
      <c r="V28" s="78">
        <f t="shared" si="4"/>
        <v>0.92647395367049057</v>
      </c>
      <c r="W28" s="78">
        <f t="shared" si="4"/>
        <v>0.97409362988387294</v>
      </c>
      <c r="X28" s="78">
        <f t="shared" si="4"/>
        <v>1.0625439887110928</v>
      </c>
      <c r="Y28" s="78">
        <f t="shared" si="4"/>
        <v>1.025932771078188</v>
      </c>
      <c r="Z28" s="78">
        <f t="shared" si="4"/>
        <v>1.0090549111544576</v>
      </c>
      <c r="AA28" s="78">
        <f t="shared" si="4"/>
        <v>1.0470300959828511</v>
      </c>
      <c r="AB28" s="78">
        <f t="shared" si="4"/>
        <v>1.053057903098469</v>
      </c>
      <c r="AC28" s="78">
        <f t="shared" si="4"/>
        <v>1.0253299903666262</v>
      </c>
      <c r="AD28" s="78">
        <f t="shared" si="4"/>
        <v>1.0554690259447164</v>
      </c>
      <c r="AE28" s="78">
        <f t="shared" si="4"/>
        <v>0.93009063793986135</v>
      </c>
    </row>
    <row r="29" spans="1:43" x14ac:dyDescent="0.25">
      <c r="A29" s="9">
        <v>6</v>
      </c>
      <c r="B29" s="10" t="s">
        <v>11</v>
      </c>
      <c r="C29" s="73">
        <f>AVERAGE(D8:O8)</f>
        <v>608.95833333333337</v>
      </c>
      <c r="D29" s="74">
        <f>D8/$C$29</f>
        <v>1.1412931919261033</v>
      </c>
      <c r="E29" s="74">
        <f t="shared" ref="E29:O29" si="5">E8/$C$29</f>
        <v>0.82600068422853223</v>
      </c>
      <c r="F29" s="74">
        <f t="shared" si="5"/>
        <v>0.94998289428669169</v>
      </c>
      <c r="G29" s="74">
        <f t="shared" si="5"/>
        <v>1.0756072528224427</v>
      </c>
      <c r="H29" s="74">
        <f t="shared" si="5"/>
        <v>1.0115634621963736</v>
      </c>
      <c r="I29" s="74">
        <f t="shared" si="5"/>
        <v>1.0953130345535409</v>
      </c>
      <c r="J29" s="74">
        <f t="shared" si="5"/>
        <v>0.87526513855627774</v>
      </c>
      <c r="K29" s="74">
        <f t="shared" si="5"/>
        <v>0.9622990078686281</v>
      </c>
      <c r="L29" s="74">
        <f t="shared" si="5"/>
        <v>0.96886760177899411</v>
      </c>
      <c r="M29" s="74">
        <f t="shared" si="5"/>
        <v>1.0148477591515566</v>
      </c>
      <c r="N29" s="74">
        <f t="shared" si="5"/>
        <v>0.94916182004789595</v>
      </c>
      <c r="O29" s="74">
        <f t="shared" si="5"/>
        <v>1.1297981525829626</v>
      </c>
    </row>
    <row r="30" spans="1:43" x14ac:dyDescent="0.25">
      <c r="A30" s="9">
        <v>7</v>
      </c>
      <c r="B30" s="10" t="s">
        <v>12</v>
      </c>
      <c r="C30" s="73">
        <f t="shared" ref="C30:C31" si="6">AVERAGE(D9:O9)</f>
        <v>1476.25</v>
      </c>
      <c r="D30" s="74">
        <f>D9/$C$30</f>
        <v>0.90906011854360713</v>
      </c>
      <c r="E30" s="74">
        <f t="shared" ref="E30:O30" si="7">E9/$C$30</f>
        <v>1.0194750211685013</v>
      </c>
      <c r="F30" s="74">
        <f t="shared" si="7"/>
        <v>1.0384419983065198</v>
      </c>
      <c r="G30" s="74">
        <f t="shared" si="7"/>
        <v>1.0106689246401355</v>
      </c>
      <c r="H30" s="74">
        <f t="shared" si="7"/>
        <v>1.0215071972904319</v>
      </c>
      <c r="I30" s="74">
        <f t="shared" si="7"/>
        <v>0.93141405588484338</v>
      </c>
      <c r="J30" s="74">
        <f t="shared" si="7"/>
        <v>0.96189669771380182</v>
      </c>
      <c r="K30" s="74">
        <f t="shared" si="7"/>
        <v>0.93683319220999151</v>
      </c>
      <c r="L30" s="74">
        <f t="shared" si="7"/>
        <v>0.97273497036409817</v>
      </c>
      <c r="M30" s="74">
        <f t="shared" si="7"/>
        <v>1.0147332768839965</v>
      </c>
      <c r="N30" s="74">
        <f t="shared" si="7"/>
        <v>1.0499576629974599</v>
      </c>
      <c r="O30" s="74">
        <f t="shared" si="7"/>
        <v>1.133276883996613</v>
      </c>
    </row>
    <row r="31" spans="1:43" x14ac:dyDescent="0.25">
      <c r="A31" s="9">
        <v>8</v>
      </c>
      <c r="B31" s="10" t="s">
        <v>13</v>
      </c>
      <c r="C31" s="73">
        <f t="shared" si="6"/>
        <v>2128.3333333333335</v>
      </c>
      <c r="D31" s="75">
        <f>D10/$C$31</f>
        <v>0.58261550509005477</v>
      </c>
      <c r="E31" s="74">
        <f>E10/$C$31</f>
        <v>0.98950665622552847</v>
      </c>
      <c r="F31" s="74">
        <f t="shared" ref="F31:O31" si="8">F10/$C$31</f>
        <v>0.97541111981205941</v>
      </c>
      <c r="G31" s="74">
        <f t="shared" si="8"/>
        <v>1.0449490994518402</v>
      </c>
      <c r="H31" s="74">
        <f t="shared" si="8"/>
        <v>1.0881754111198121</v>
      </c>
      <c r="I31" s="74">
        <f t="shared" si="8"/>
        <v>1.0811276429130774</v>
      </c>
      <c r="J31" s="74">
        <f t="shared" si="8"/>
        <v>1.0223962411902896</v>
      </c>
      <c r="K31" s="74">
        <f t="shared" si="8"/>
        <v>1.0021926389976508</v>
      </c>
      <c r="L31" s="74">
        <f t="shared" si="8"/>
        <v>1.1863743148003132</v>
      </c>
      <c r="M31" s="74">
        <f t="shared" si="8"/>
        <v>0.95191855912294432</v>
      </c>
      <c r="N31" s="74">
        <f t="shared" si="8"/>
        <v>1.0487079091620986</v>
      </c>
      <c r="O31" s="74">
        <f t="shared" si="8"/>
        <v>1.0266249021143303</v>
      </c>
    </row>
    <row r="32" spans="1:43" x14ac:dyDescent="0.25">
      <c r="A32" s="9">
        <v>9</v>
      </c>
      <c r="B32" s="10" t="s">
        <v>14</v>
      </c>
      <c r="C32" s="73">
        <f>AVERAGE(J11:U11)</f>
        <v>2273.0833333333335</v>
      </c>
      <c r="J32" s="74">
        <f t="shared" ref="J32:U32" si="9">J11/$C$32</f>
        <v>0.9374931260769146</v>
      </c>
      <c r="K32" s="74">
        <f t="shared" si="9"/>
        <v>1.0659530006965574</v>
      </c>
      <c r="L32" s="74">
        <f t="shared" si="9"/>
        <v>1.0782710708655643</v>
      </c>
      <c r="M32" s="74">
        <f t="shared" si="9"/>
        <v>0.97356747442900604</v>
      </c>
      <c r="N32" s="74">
        <f t="shared" si="9"/>
        <v>0.68189317007002237</v>
      </c>
      <c r="O32" s="74">
        <f t="shared" si="9"/>
        <v>0.98148623382336764</v>
      </c>
      <c r="P32" s="74">
        <f t="shared" si="9"/>
        <v>1.0193203064853171</v>
      </c>
      <c r="Q32" s="74">
        <f t="shared" si="9"/>
        <v>0.95641016240788934</v>
      </c>
      <c r="R32" s="74">
        <f t="shared" si="9"/>
        <v>1.0210800307951753</v>
      </c>
      <c r="S32" s="74">
        <f t="shared" si="9"/>
        <v>0.96476885287971548</v>
      </c>
      <c r="T32" s="74">
        <f t="shared" si="9"/>
        <v>1.1367819041683469</v>
      </c>
      <c r="U32" s="74">
        <f t="shared" si="9"/>
        <v>1.1829746673021226</v>
      </c>
    </row>
    <row r="33" spans="1:30" x14ac:dyDescent="0.25">
      <c r="A33" s="9">
        <v>10</v>
      </c>
      <c r="B33" s="23" t="s">
        <v>15</v>
      </c>
      <c r="C33" s="73">
        <f>AVERAGE(J12:U12)</f>
        <v>4385.9108919687278</v>
      </c>
      <c r="F33" s="74"/>
      <c r="G33" s="74"/>
      <c r="H33" s="74"/>
      <c r="I33" s="74"/>
      <c r="J33" s="74">
        <f t="shared" ref="J33:U33" si="10">J12/$C$33</f>
        <v>1.1051296114737754</v>
      </c>
      <c r="K33" s="74">
        <f t="shared" si="10"/>
        <v>0.93595152776972312</v>
      </c>
      <c r="L33" s="74">
        <f t="shared" si="10"/>
        <v>0.9788002559481418</v>
      </c>
      <c r="M33" s="74">
        <f t="shared" si="10"/>
        <v>0.93549552215327014</v>
      </c>
      <c r="N33" s="74">
        <f t="shared" si="10"/>
        <v>0.99021619612762668</v>
      </c>
      <c r="O33" s="74">
        <f t="shared" si="10"/>
        <v>1.0216805836628817</v>
      </c>
      <c r="P33" s="74">
        <f t="shared" si="10"/>
        <v>0.97608002201758459</v>
      </c>
      <c r="Q33" s="74">
        <f t="shared" si="10"/>
        <v>0.97106396023660191</v>
      </c>
      <c r="R33" s="74">
        <f t="shared" si="10"/>
        <v>1.0216805836628817</v>
      </c>
      <c r="S33" s="74">
        <f t="shared" si="10"/>
        <v>1.0171205274983519</v>
      </c>
      <c r="T33" s="74">
        <f t="shared" si="10"/>
        <v>1.0520049571570043</v>
      </c>
      <c r="U33" s="74">
        <f t="shared" si="10"/>
        <v>0.99477625229215638</v>
      </c>
    </row>
    <row r="34" spans="1:30" x14ac:dyDescent="0.25">
      <c r="A34" s="9">
        <v>11</v>
      </c>
      <c r="B34" s="10" t="s">
        <v>16</v>
      </c>
      <c r="C34" s="73">
        <f>AVERAGE(H13:S13)</f>
        <v>1990.25</v>
      </c>
      <c r="H34" s="74">
        <f>H13/$C$34</f>
        <v>1.1068961185780681</v>
      </c>
      <c r="I34" s="74">
        <f t="shared" ref="I34:S34" si="11">I13/$C$34</f>
        <v>0.83858811707071979</v>
      </c>
      <c r="J34" s="74">
        <f t="shared" si="11"/>
        <v>0.7687476447682452</v>
      </c>
      <c r="K34" s="74">
        <f t="shared" si="11"/>
        <v>1.5575932671774904</v>
      </c>
      <c r="L34" s="74">
        <f t="shared" si="11"/>
        <v>1.1712096470292677</v>
      </c>
      <c r="M34" s="74">
        <f t="shared" si="11"/>
        <v>0.96269312900389403</v>
      </c>
      <c r="N34" s="74">
        <f t="shared" si="11"/>
        <v>0.86220324079889465</v>
      </c>
      <c r="O34" s="74">
        <f t="shared" si="11"/>
        <v>1.0878030398191183</v>
      </c>
      <c r="P34" s="74">
        <f t="shared" si="11"/>
        <v>0.90491144328601936</v>
      </c>
      <c r="Q34" s="74">
        <f t="shared" si="11"/>
        <v>0.97022987061926891</v>
      </c>
      <c r="R34" s="74">
        <f t="shared" si="11"/>
        <v>0.86220324079889465</v>
      </c>
      <c r="S34" s="74">
        <f t="shared" si="11"/>
        <v>0.90692124105011929</v>
      </c>
    </row>
    <row r="35" spans="1:30" x14ac:dyDescent="0.25">
      <c r="A35" s="9">
        <v>12</v>
      </c>
      <c r="B35" s="10" t="s">
        <v>17</v>
      </c>
      <c r="C35" s="73">
        <f t="shared" ref="C35" si="12">AVERAGE(D14:O14)</f>
        <v>2438.8333333333335</v>
      </c>
      <c r="D35" s="74">
        <f>D14/$C$35</f>
        <v>1.2813503724458415</v>
      </c>
      <c r="E35" s="74">
        <f t="shared" ref="E35:O35" si="13">E14/$C$35</f>
        <v>1.2747898585389188</v>
      </c>
      <c r="F35" s="74">
        <f t="shared" si="13"/>
        <v>1.0361511651746054</v>
      </c>
      <c r="G35" s="74">
        <f t="shared" si="13"/>
        <v>1.0607530923255655</v>
      </c>
      <c r="H35" s="74">
        <f t="shared" si="13"/>
        <v>0.89797034101004569</v>
      </c>
      <c r="I35" s="74">
        <f t="shared" si="13"/>
        <v>0.92216223604182324</v>
      </c>
      <c r="J35" s="74">
        <f t="shared" si="13"/>
        <v>0.9213421718034579</v>
      </c>
      <c r="K35" s="74">
        <f t="shared" si="13"/>
        <v>0.92216223604182324</v>
      </c>
      <c r="L35" s="74">
        <f t="shared" si="13"/>
        <v>0.96111528736417684</v>
      </c>
      <c r="M35" s="74">
        <f t="shared" si="13"/>
        <v>0.95045445226542735</v>
      </c>
      <c r="N35" s="74">
        <f t="shared" si="13"/>
        <v>1.0427116790815281</v>
      </c>
      <c r="O35" s="75">
        <f t="shared" si="13"/>
        <v>0.729037107906786</v>
      </c>
    </row>
    <row r="36" spans="1:30" x14ac:dyDescent="0.25">
      <c r="A36" s="9">
        <v>13</v>
      </c>
      <c r="B36" s="10" t="s">
        <v>18</v>
      </c>
      <c r="C36" s="73">
        <f>AVERAGE(S15:AD15)</f>
        <v>1649.9327147715976</v>
      </c>
      <c r="S36" s="74">
        <f>S15/$C$36</f>
        <v>1.1976245954208746</v>
      </c>
      <c r="T36" s="74">
        <f t="shared" ref="T36:AD36" si="14">T15/$C$36</f>
        <v>0.9846061576016395</v>
      </c>
      <c r="U36" s="74">
        <f t="shared" si="14"/>
        <v>1.0988326880050838</v>
      </c>
      <c r="V36" s="74">
        <f t="shared" si="14"/>
        <v>1.0188294255579404</v>
      </c>
      <c r="W36" s="74">
        <f t="shared" si="14"/>
        <v>0.90064278785193308</v>
      </c>
      <c r="X36" s="74">
        <f t="shared" si="14"/>
        <v>0.99604061746693606</v>
      </c>
      <c r="Y36" s="74">
        <f t="shared" si="14"/>
        <v>0.91352735367473348</v>
      </c>
      <c r="Z36" s="74">
        <f t="shared" si="14"/>
        <v>0.94912961357747461</v>
      </c>
      <c r="AA36" s="74">
        <f t="shared" si="14"/>
        <v>1.0594371421030815</v>
      </c>
      <c r="AB36" s="74">
        <f t="shared" si="14"/>
        <v>1.0012529512324317</v>
      </c>
      <c r="AC36" s="74">
        <f t="shared" si="14"/>
        <v>0.94912961357747461</v>
      </c>
      <c r="AD36" s="74">
        <f t="shared" si="14"/>
        <v>0.93094705393039656</v>
      </c>
    </row>
    <row r="37" spans="1:30" x14ac:dyDescent="0.25">
      <c r="A37" s="9">
        <v>14</v>
      </c>
      <c r="B37" s="10" t="s">
        <v>19</v>
      </c>
      <c r="C37" s="73">
        <f>AVERAGE(S16:AD16)</f>
        <v>849.02185091210333</v>
      </c>
      <c r="S37" s="74">
        <f>S16/$C$37</f>
        <v>0.99055165552749269</v>
      </c>
      <c r="T37" s="74">
        <f t="shared" ref="T37:AD37" si="15">T16/$C$37</f>
        <v>0.98063717080462454</v>
      </c>
      <c r="U37" s="74">
        <f t="shared" si="15"/>
        <v>1.0122116694549714</v>
      </c>
      <c r="V37" s="74">
        <f t="shared" si="15"/>
        <v>1.0612212147803459</v>
      </c>
      <c r="W37" s="74">
        <f t="shared" si="15"/>
        <v>1.0553320848426082</v>
      </c>
      <c r="X37" s="74">
        <f t="shared" si="15"/>
        <v>1.0152860012659912</v>
      </c>
      <c r="Y37" s="74">
        <f t="shared" si="15"/>
        <v>0.87041340479764218</v>
      </c>
      <c r="Z37" s="74">
        <f t="shared" si="15"/>
        <v>0.96463948380144648</v>
      </c>
      <c r="AA37" s="74">
        <f t="shared" si="15"/>
        <v>0.98618192111369118</v>
      </c>
      <c r="AB37" s="74">
        <f t="shared" si="15"/>
        <v>1.0576877368177031</v>
      </c>
      <c r="AC37" s="74">
        <f t="shared" si="15"/>
        <v>1.0800664305811067</v>
      </c>
      <c r="AD37" s="74">
        <f t="shared" si="15"/>
        <v>0.92577122621237717</v>
      </c>
    </row>
    <row r="38" spans="1:30" x14ac:dyDescent="0.25">
      <c r="A38" s="9">
        <v>15</v>
      </c>
      <c r="B38" s="10" t="s">
        <v>20</v>
      </c>
      <c r="C38" s="73">
        <f>AVERAGE(S17:AD17)</f>
        <v>954.68694444444452</v>
      </c>
      <c r="S38" s="74">
        <f>S17/$C$38</f>
        <v>1.0820300895610631</v>
      </c>
      <c r="T38" s="74">
        <f t="shared" ref="T38:AD38" si="16">T17/$C$38</f>
        <v>0.94900218890834775</v>
      </c>
      <c r="U38" s="74">
        <f t="shared" si="16"/>
        <v>0.97718245626184019</v>
      </c>
      <c r="V38" s="74">
        <f t="shared" si="16"/>
        <v>1.0087076246343696</v>
      </c>
      <c r="W38" s="74">
        <f t="shared" si="16"/>
        <v>0.93014784078434076</v>
      </c>
      <c r="X38" s="74">
        <f t="shared" si="16"/>
        <v>1.0422264657437152</v>
      </c>
      <c r="Y38" s="74">
        <f t="shared" si="16"/>
        <v>1.0485112484517176</v>
      </c>
      <c r="Z38" s="74">
        <f t="shared" si="16"/>
        <v>0.892439144536327</v>
      </c>
      <c r="AA38" s="74">
        <f t="shared" si="16"/>
        <v>0.98811448662781542</v>
      </c>
      <c r="AB38" s="74">
        <f t="shared" si="16"/>
        <v>0.96471414567835345</v>
      </c>
      <c r="AC38" s="74">
        <f t="shared" si="16"/>
        <v>1.0694605241450585</v>
      </c>
      <c r="AD38" s="74">
        <f t="shared" si="16"/>
        <v>1.0474637846670505</v>
      </c>
    </row>
    <row r="39" spans="1:30" x14ac:dyDescent="0.25">
      <c r="B39" s="25"/>
    </row>
    <row r="40" spans="1:30" x14ac:dyDescent="0.25">
      <c r="A40" s="80"/>
      <c r="B40" s="81" t="s">
        <v>49</v>
      </c>
      <c r="C40" s="82" t="s">
        <v>51</v>
      </c>
      <c r="D40" s="82" t="s">
        <v>37</v>
      </c>
      <c r="E40" s="82" t="s">
        <v>38</v>
      </c>
      <c r="F40" s="82" t="s">
        <v>39</v>
      </c>
      <c r="G40" s="82" t="s">
        <v>40</v>
      </c>
      <c r="H40" s="82" t="s">
        <v>41</v>
      </c>
      <c r="I40" s="82" t="s">
        <v>42</v>
      </c>
      <c r="J40" s="82" t="s">
        <v>43</v>
      </c>
      <c r="K40" s="82" t="s">
        <v>44</v>
      </c>
      <c r="L40" s="82" t="s">
        <v>45</v>
      </c>
      <c r="M40" s="82" t="s">
        <v>46</v>
      </c>
      <c r="N40" s="82" t="s">
        <v>47</v>
      </c>
      <c r="O40" s="82" t="s">
        <v>48</v>
      </c>
    </row>
    <row r="41" spans="1:30" x14ac:dyDescent="0.25">
      <c r="A41" s="83">
        <v>1</v>
      </c>
      <c r="B41" s="84" t="s">
        <v>3</v>
      </c>
      <c r="C41" s="84" t="s">
        <v>52</v>
      </c>
      <c r="D41" s="85">
        <f t="shared" ref="D41:K41" si="17">T24</f>
        <v>0.89551521721651361</v>
      </c>
      <c r="E41" s="85">
        <f t="shared" si="17"/>
        <v>1.0416409544764706</v>
      </c>
      <c r="F41" s="85">
        <f t="shared" si="17"/>
        <v>1.0887513918812501</v>
      </c>
      <c r="G41" s="85">
        <f t="shared" si="17"/>
        <v>1.0571991725724226</v>
      </c>
      <c r="H41" s="85">
        <f t="shared" si="17"/>
        <v>0.98911073223751322</v>
      </c>
      <c r="I41" s="85">
        <f t="shared" si="17"/>
        <v>1.0579003089790051</v>
      </c>
      <c r="J41" s="85">
        <f t="shared" si="17"/>
        <v>0.89222675896989512</v>
      </c>
      <c r="K41" s="85">
        <f t="shared" si="17"/>
        <v>0.9136506510847251</v>
      </c>
      <c r="L41" s="86">
        <f>P24</f>
        <v>0.99703195622592744</v>
      </c>
      <c r="M41" s="86">
        <f>Q24</f>
        <v>1.0322605576480854</v>
      </c>
      <c r="N41" s="86">
        <f>R24</f>
        <v>1.090627471246927</v>
      </c>
      <c r="O41" s="86">
        <f>S24</f>
        <v>0.94408482746126399</v>
      </c>
    </row>
    <row r="42" spans="1:30" x14ac:dyDescent="0.25">
      <c r="A42" s="83">
        <v>2</v>
      </c>
      <c r="B42" s="84" t="s">
        <v>6</v>
      </c>
      <c r="C42" s="84" t="s">
        <v>52</v>
      </c>
      <c r="D42" s="85">
        <f>AF25</f>
        <v>1.0982810978115118</v>
      </c>
      <c r="E42" s="86">
        <f t="shared" ref="E42:O42" si="18">U25</f>
        <v>0.97365193417313523</v>
      </c>
      <c r="F42" s="86">
        <f t="shared" si="18"/>
        <v>0.97386644220005159</v>
      </c>
      <c r="G42" s="86">
        <f t="shared" si="18"/>
        <v>0.95091408332000626</v>
      </c>
      <c r="H42" s="86">
        <f t="shared" si="18"/>
        <v>0.96580395414103826</v>
      </c>
      <c r="I42" s="86">
        <f t="shared" si="18"/>
        <v>0.99650743433710831</v>
      </c>
      <c r="J42" s="86">
        <f t="shared" si="18"/>
        <v>1.0392913904095264</v>
      </c>
      <c r="K42" s="86">
        <f t="shared" si="18"/>
        <v>1.0684644820701446</v>
      </c>
      <c r="L42" s="86">
        <f t="shared" si="18"/>
        <v>1.0680354660163121</v>
      </c>
      <c r="M42" s="86">
        <f t="shared" si="18"/>
        <v>0.90157723712925475</v>
      </c>
      <c r="N42" s="86">
        <f t="shared" si="18"/>
        <v>0.89514199632176539</v>
      </c>
      <c r="O42" s="86">
        <f t="shared" si="18"/>
        <v>1.0684644820701446</v>
      </c>
    </row>
    <row r="43" spans="1:30" x14ac:dyDescent="0.25">
      <c r="A43" s="83">
        <v>3</v>
      </c>
      <c r="B43" s="84" t="s">
        <v>7</v>
      </c>
      <c r="C43" s="84" t="s">
        <v>52</v>
      </c>
      <c r="D43" s="85">
        <f>AF26</f>
        <v>0.92127100796937322</v>
      </c>
      <c r="E43" s="85">
        <f t="shared" ref="E43:O43" si="19">AG26</f>
        <v>0.92992409418113275</v>
      </c>
      <c r="F43" s="85">
        <f t="shared" si="19"/>
        <v>1.0847169272424666</v>
      </c>
      <c r="G43" s="85">
        <f t="shared" si="19"/>
        <v>1.0061647009531705</v>
      </c>
      <c r="H43" s="85">
        <f t="shared" si="19"/>
        <v>0.89894280378733338</v>
      </c>
      <c r="I43" s="85">
        <f t="shared" si="19"/>
        <v>0.99872196622582388</v>
      </c>
      <c r="J43" s="85">
        <f t="shared" si="19"/>
        <v>0.9891859623564111</v>
      </c>
      <c r="K43" s="85">
        <f t="shared" si="19"/>
        <v>0.96360156173115707</v>
      </c>
      <c r="L43" s="85">
        <f t="shared" si="19"/>
        <v>1.0282603196749809</v>
      </c>
      <c r="M43" s="85">
        <f t="shared" si="19"/>
        <v>1.0161658757430425</v>
      </c>
      <c r="N43" s="85">
        <f t="shared" si="19"/>
        <v>1.0498907674763318</v>
      </c>
      <c r="O43" s="85">
        <f t="shared" si="19"/>
        <v>1.113154012658778</v>
      </c>
    </row>
    <row r="44" spans="1:30" x14ac:dyDescent="0.25">
      <c r="A44" s="83">
        <v>4</v>
      </c>
      <c r="B44" s="84" t="s">
        <v>8</v>
      </c>
      <c r="C44" s="84" t="s">
        <v>52</v>
      </c>
      <c r="D44" s="85">
        <f>AF27</f>
        <v>1.0483168895321815</v>
      </c>
      <c r="E44" s="86">
        <f t="shared" ref="E44:O45" si="20">U27</f>
        <v>1.0056116961238664</v>
      </c>
      <c r="F44" s="86">
        <f t="shared" si="20"/>
        <v>0.9466530335825355</v>
      </c>
      <c r="G44" s="86">
        <f t="shared" si="20"/>
        <v>0.94397599160768586</v>
      </c>
      <c r="H44" s="86">
        <f t="shared" si="20"/>
        <v>0.96507363193328632</v>
      </c>
      <c r="I44" s="86">
        <f t="shared" si="20"/>
        <v>0.98448218625094608</v>
      </c>
      <c r="J44" s="86">
        <f t="shared" si="20"/>
        <v>0.98907140106497404</v>
      </c>
      <c r="K44" s="86">
        <f t="shared" si="20"/>
        <v>0.994266137278075</v>
      </c>
      <c r="L44" s="86">
        <f t="shared" si="20"/>
        <v>1.0095316504441818</v>
      </c>
      <c r="M44" s="86">
        <f t="shared" si="20"/>
        <v>0.98094466649846623</v>
      </c>
      <c r="N44" s="86">
        <f t="shared" si="20"/>
        <v>1.0366207656658744</v>
      </c>
      <c r="O44" s="86">
        <f t="shared" si="20"/>
        <v>1.0954519500179265</v>
      </c>
    </row>
    <row r="45" spans="1:30" x14ac:dyDescent="0.25">
      <c r="A45" s="83">
        <v>5</v>
      </c>
      <c r="B45" s="84" t="s">
        <v>10</v>
      </c>
      <c r="C45" s="84" t="s">
        <v>52</v>
      </c>
      <c r="D45" s="85">
        <f>T28</f>
        <v>0.94636571715202999</v>
      </c>
      <c r="E45" s="85">
        <f t="shared" si="20"/>
        <v>0.9445573750173446</v>
      </c>
      <c r="F45" s="85">
        <f t="shared" si="20"/>
        <v>0.92647395367049057</v>
      </c>
      <c r="G45" s="85">
        <f t="shared" si="20"/>
        <v>0.97409362988387294</v>
      </c>
      <c r="H45" s="85">
        <f t="shared" si="20"/>
        <v>1.0625439887110928</v>
      </c>
      <c r="I45" s="85">
        <f t="shared" si="20"/>
        <v>1.025932771078188</v>
      </c>
      <c r="J45" s="85">
        <f t="shared" si="20"/>
        <v>1.0090549111544576</v>
      </c>
      <c r="K45" s="85">
        <f t="shared" si="20"/>
        <v>1.0470300959828511</v>
      </c>
      <c r="L45" s="85">
        <f t="shared" si="20"/>
        <v>1.053057903098469</v>
      </c>
      <c r="M45" s="85">
        <f t="shared" si="20"/>
        <v>1.0253299903666262</v>
      </c>
      <c r="N45" s="85">
        <f t="shared" si="20"/>
        <v>1.0554690259447164</v>
      </c>
      <c r="O45" s="85">
        <f t="shared" si="20"/>
        <v>0.93009063793986135</v>
      </c>
    </row>
    <row r="46" spans="1:30" x14ac:dyDescent="0.25">
      <c r="A46" s="83"/>
      <c r="B46" s="95" t="s">
        <v>56</v>
      </c>
      <c r="C46" s="96"/>
      <c r="D46" s="89">
        <f>AVERAGE(D41:D44)</f>
        <v>0.99084605313239504</v>
      </c>
      <c r="E46" s="89">
        <f t="shared" ref="E46:O46" si="21">AVERAGE(E41:E44)</f>
        <v>0.98770716973865125</v>
      </c>
      <c r="F46" s="89">
        <f t="shared" si="21"/>
        <v>1.0234969487265759</v>
      </c>
      <c r="G46" s="89">
        <f t="shared" si="21"/>
        <v>0.98956348711332121</v>
      </c>
      <c r="H46" s="89">
        <f t="shared" si="21"/>
        <v>0.95473278052479282</v>
      </c>
      <c r="I46" s="89">
        <f t="shared" si="21"/>
        <v>1.0094029739482209</v>
      </c>
      <c r="J46" s="89">
        <f t="shared" si="21"/>
        <v>0.97744387820020173</v>
      </c>
      <c r="K46" s="89">
        <f t="shared" si="21"/>
        <v>0.98499570804102543</v>
      </c>
      <c r="L46" s="89">
        <f t="shared" si="21"/>
        <v>1.0257148480903506</v>
      </c>
      <c r="M46" s="89">
        <f t="shared" si="21"/>
        <v>0.98273708425471229</v>
      </c>
      <c r="N46" s="89">
        <f t="shared" si="21"/>
        <v>1.0180702501777246</v>
      </c>
      <c r="O46" s="89">
        <f t="shared" si="21"/>
        <v>1.0552888180520281</v>
      </c>
    </row>
    <row r="47" spans="1:30" x14ac:dyDescent="0.25">
      <c r="A47" s="83">
        <v>6</v>
      </c>
      <c r="B47" s="84" t="s">
        <v>11</v>
      </c>
      <c r="C47" s="84" t="s">
        <v>53</v>
      </c>
      <c r="D47" s="85">
        <f t="shared" ref="D47:K49" si="22">H29</f>
        <v>1.0115634621963736</v>
      </c>
      <c r="E47" s="85">
        <f t="shared" si="22"/>
        <v>1.0953130345535409</v>
      </c>
      <c r="F47" s="85">
        <f t="shared" si="22"/>
        <v>0.87526513855627774</v>
      </c>
      <c r="G47" s="85">
        <f t="shared" si="22"/>
        <v>0.9622990078686281</v>
      </c>
      <c r="H47" s="85">
        <f t="shared" si="22"/>
        <v>0.96886760177899411</v>
      </c>
      <c r="I47" s="85">
        <f t="shared" si="22"/>
        <v>1.0148477591515566</v>
      </c>
      <c r="J47" s="85">
        <f t="shared" si="22"/>
        <v>0.94916182004789595</v>
      </c>
      <c r="K47" s="85">
        <f t="shared" si="22"/>
        <v>1.1297981525829626</v>
      </c>
      <c r="L47" s="85">
        <f t="shared" ref="L47:O49" si="23">D29</f>
        <v>1.1412931919261033</v>
      </c>
      <c r="M47" s="85">
        <f t="shared" si="23"/>
        <v>0.82600068422853223</v>
      </c>
      <c r="N47" s="85">
        <f t="shared" si="23"/>
        <v>0.94998289428669169</v>
      </c>
      <c r="O47" s="85">
        <f t="shared" si="23"/>
        <v>1.0756072528224427</v>
      </c>
    </row>
    <row r="48" spans="1:30" x14ac:dyDescent="0.25">
      <c r="A48" s="83">
        <v>7</v>
      </c>
      <c r="B48" s="84" t="s">
        <v>12</v>
      </c>
      <c r="C48" s="84" t="s">
        <v>53</v>
      </c>
      <c r="D48" s="85">
        <f t="shared" si="22"/>
        <v>1.0215071972904319</v>
      </c>
      <c r="E48" s="85">
        <f t="shared" si="22"/>
        <v>0.93141405588484338</v>
      </c>
      <c r="F48" s="85">
        <f t="shared" si="22"/>
        <v>0.96189669771380182</v>
      </c>
      <c r="G48" s="85">
        <f t="shared" si="22"/>
        <v>0.93683319220999151</v>
      </c>
      <c r="H48" s="85">
        <f t="shared" si="22"/>
        <v>0.97273497036409817</v>
      </c>
      <c r="I48" s="85">
        <f t="shared" si="22"/>
        <v>1.0147332768839965</v>
      </c>
      <c r="J48" s="85">
        <f t="shared" si="22"/>
        <v>1.0499576629974599</v>
      </c>
      <c r="K48" s="85">
        <f t="shared" si="22"/>
        <v>1.133276883996613</v>
      </c>
      <c r="L48" s="85">
        <f t="shared" si="23"/>
        <v>0.90906011854360713</v>
      </c>
      <c r="M48" s="85">
        <f t="shared" si="23"/>
        <v>1.0194750211685013</v>
      </c>
      <c r="N48" s="85">
        <f t="shared" si="23"/>
        <v>1.0384419983065198</v>
      </c>
      <c r="O48" s="85">
        <f t="shared" si="23"/>
        <v>1.0106689246401355</v>
      </c>
    </row>
    <row r="49" spans="1:15" x14ac:dyDescent="0.25">
      <c r="A49" s="83">
        <v>8</v>
      </c>
      <c r="B49" s="84" t="s">
        <v>13</v>
      </c>
      <c r="C49" s="84" t="s">
        <v>53</v>
      </c>
      <c r="D49" s="85">
        <f t="shared" si="22"/>
        <v>1.0881754111198121</v>
      </c>
      <c r="E49" s="85">
        <f t="shared" si="22"/>
        <v>1.0811276429130774</v>
      </c>
      <c r="F49" s="85">
        <f t="shared" si="22"/>
        <v>1.0223962411902896</v>
      </c>
      <c r="G49" s="85">
        <f t="shared" si="22"/>
        <v>1.0021926389976508</v>
      </c>
      <c r="H49" s="85">
        <f t="shared" si="22"/>
        <v>1.1863743148003132</v>
      </c>
      <c r="I49" s="85">
        <f t="shared" si="22"/>
        <v>0.95191855912294432</v>
      </c>
      <c r="J49" s="85">
        <f t="shared" si="22"/>
        <v>1.0487079091620986</v>
      </c>
      <c r="K49" s="85">
        <f t="shared" si="22"/>
        <v>1.0266249021143303</v>
      </c>
      <c r="L49" s="85">
        <f t="shared" si="23"/>
        <v>0.58261550509005477</v>
      </c>
      <c r="M49" s="85">
        <f t="shared" si="23"/>
        <v>0.98950665622552847</v>
      </c>
      <c r="N49" s="85">
        <f t="shared" si="23"/>
        <v>0.97541111981205941</v>
      </c>
      <c r="O49" s="85">
        <f t="shared" si="23"/>
        <v>1.0449490994518402</v>
      </c>
    </row>
    <row r="50" spans="1:15" x14ac:dyDescent="0.25">
      <c r="A50" s="83">
        <v>9</v>
      </c>
      <c r="B50" s="84" t="s">
        <v>14</v>
      </c>
      <c r="C50" s="84" t="s">
        <v>53</v>
      </c>
      <c r="D50" s="85">
        <f>T32</f>
        <v>1.1367819041683469</v>
      </c>
      <c r="E50" s="85">
        <f>U32</f>
        <v>1.1829746673021226</v>
      </c>
      <c r="F50" s="85">
        <f t="shared" ref="F50:O50" si="24">J32</f>
        <v>0.9374931260769146</v>
      </c>
      <c r="G50" s="85">
        <f t="shared" si="24"/>
        <v>1.0659530006965574</v>
      </c>
      <c r="H50" s="85">
        <f t="shared" si="24"/>
        <v>1.0782710708655643</v>
      </c>
      <c r="I50" s="85">
        <f t="shared" si="24"/>
        <v>0.97356747442900604</v>
      </c>
      <c r="J50" s="85">
        <f t="shared" si="24"/>
        <v>0.68189317007002237</v>
      </c>
      <c r="K50" s="85">
        <f t="shared" si="24"/>
        <v>0.98148623382336764</v>
      </c>
      <c r="L50" s="85">
        <f t="shared" si="24"/>
        <v>1.0193203064853171</v>
      </c>
      <c r="M50" s="85">
        <f t="shared" si="24"/>
        <v>0.95641016240788934</v>
      </c>
      <c r="N50" s="85">
        <f t="shared" si="24"/>
        <v>1.0210800307951753</v>
      </c>
      <c r="O50" s="85">
        <f t="shared" si="24"/>
        <v>0.96476885287971548</v>
      </c>
    </row>
    <row r="51" spans="1:15" x14ac:dyDescent="0.25">
      <c r="A51" s="83"/>
      <c r="B51" s="95" t="s">
        <v>57</v>
      </c>
      <c r="C51" s="96"/>
      <c r="D51" s="89">
        <f>AVERAGE(D47:D50)</f>
        <v>1.0645069936937412</v>
      </c>
      <c r="E51" s="89">
        <f t="shared" ref="E51:O51" si="25">AVERAGE(E47:E50)</f>
        <v>1.0727073501633959</v>
      </c>
      <c r="F51" s="89">
        <f t="shared" si="25"/>
        <v>0.94926280088432091</v>
      </c>
      <c r="G51" s="89">
        <f t="shared" si="25"/>
        <v>0.99181945994320697</v>
      </c>
      <c r="H51" s="89">
        <f t="shared" si="25"/>
        <v>1.0515619894522423</v>
      </c>
      <c r="I51" s="89">
        <f t="shared" si="25"/>
        <v>0.98876676739687586</v>
      </c>
      <c r="J51" s="89">
        <f t="shared" si="25"/>
        <v>0.93243014056936913</v>
      </c>
      <c r="K51" s="89">
        <f t="shared" si="25"/>
        <v>1.0677965431293184</v>
      </c>
      <c r="L51" s="89">
        <f t="shared" si="25"/>
        <v>0.91307228051127065</v>
      </c>
      <c r="M51" s="89">
        <f t="shared" si="25"/>
        <v>0.94784813100761289</v>
      </c>
      <c r="N51" s="89">
        <f t="shared" si="25"/>
        <v>0.99622901080011161</v>
      </c>
      <c r="O51" s="89">
        <f t="shared" si="25"/>
        <v>1.0239985324485334</v>
      </c>
    </row>
    <row r="52" spans="1:15" x14ac:dyDescent="0.25">
      <c r="A52" s="83">
        <v>10</v>
      </c>
      <c r="B52" s="87" t="s">
        <v>15</v>
      </c>
      <c r="C52" s="84" t="s">
        <v>54</v>
      </c>
      <c r="D52" s="97">
        <f>T33</f>
        <v>1.0520049571570043</v>
      </c>
      <c r="E52" s="97">
        <f>U33</f>
        <v>0.99477625229215638</v>
      </c>
      <c r="F52" s="97">
        <f t="shared" ref="F52:O53" si="26">J33</f>
        <v>1.1051296114737754</v>
      </c>
      <c r="G52" s="97">
        <f t="shared" si="26"/>
        <v>0.93595152776972312</v>
      </c>
      <c r="H52" s="97">
        <f t="shared" si="26"/>
        <v>0.9788002559481418</v>
      </c>
      <c r="I52" s="97">
        <f t="shared" si="26"/>
        <v>0.93549552215327014</v>
      </c>
      <c r="J52" s="97">
        <f t="shared" si="26"/>
        <v>0.99021619612762668</v>
      </c>
      <c r="K52" s="97">
        <f t="shared" si="26"/>
        <v>1.0216805836628817</v>
      </c>
      <c r="L52" s="97">
        <f t="shared" si="26"/>
        <v>0.97608002201758459</v>
      </c>
      <c r="M52" s="97">
        <f t="shared" si="26"/>
        <v>0.97106396023660191</v>
      </c>
      <c r="N52" s="97">
        <f t="shared" si="26"/>
        <v>1.0216805836628817</v>
      </c>
      <c r="O52" s="97">
        <f t="shared" si="26"/>
        <v>1.0171205274983519</v>
      </c>
    </row>
    <row r="53" spans="1:15" x14ac:dyDescent="0.25">
      <c r="A53" s="83">
        <v>11</v>
      </c>
      <c r="B53" s="84" t="s">
        <v>16</v>
      </c>
      <c r="C53" s="84" t="s">
        <v>54</v>
      </c>
      <c r="D53" s="97">
        <f>H34</f>
        <v>1.1068961185780681</v>
      </c>
      <c r="E53" s="97">
        <f>I34</f>
        <v>0.83858811707071979</v>
      </c>
      <c r="F53" s="97">
        <f t="shared" si="26"/>
        <v>0.7687476447682452</v>
      </c>
      <c r="G53" s="97">
        <f t="shared" si="26"/>
        <v>1.5575932671774904</v>
      </c>
      <c r="H53" s="97">
        <f t="shared" si="26"/>
        <v>1.1712096470292677</v>
      </c>
      <c r="I53" s="97">
        <f t="shared" si="26"/>
        <v>0.96269312900389403</v>
      </c>
      <c r="J53" s="97">
        <f t="shared" si="26"/>
        <v>0.86220324079889465</v>
      </c>
      <c r="K53" s="97">
        <f t="shared" si="26"/>
        <v>1.0878030398191183</v>
      </c>
      <c r="L53" s="97">
        <f t="shared" si="26"/>
        <v>0.90491144328601936</v>
      </c>
      <c r="M53" s="97">
        <f t="shared" si="26"/>
        <v>0.97022987061926891</v>
      </c>
      <c r="N53" s="97">
        <f t="shared" si="26"/>
        <v>0.86220324079889465</v>
      </c>
      <c r="O53" s="97">
        <f t="shared" si="26"/>
        <v>0.90692124105011929</v>
      </c>
    </row>
    <row r="54" spans="1:15" x14ac:dyDescent="0.25">
      <c r="A54" s="83">
        <v>12</v>
      </c>
      <c r="B54" s="84" t="s">
        <v>17</v>
      </c>
      <c r="C54" s="84" t="s">
        <v>54</v>
      </c>
      <c r="D54" s="97">
        <f>H35</f>
        <v>0.89797034101004569</v>
      </c>
      <c r="E54" s="97">
        <f>I35</f>
        <v>0.92216223604182324</v>
      </c>
      <c r="F54" s="97">
        <f t="shared" ref="F54:K54" si="27">J35</f>
        <v>0.9213421718034579</v>
      </c>
      <c r="G54" s="97">
        <f t="shared" si="27"/>
        <v>0.92216223604182324</v>
      </c>
      <c r="H54" s="97">
        <f t="shared" si="27"/>
        <v>0.96111528736417684</v>
      </c>
      <c r="I54" s="97">
        <f t="shared" si="27"/>
        <v>0.95045445226542735</v>
      </c>
      <c r="J54" s="97">
        <f t="shared" si="27"/>
        <v>1.0427116790815281</v>
      </c>
      <c r="K54" s="97">
        <f t="shared" si="27"/>
        <v>0.729037107906786</v>
      </c>
      <c r="L54" s="97">
        <f>D35</f>
        <v>1.2813503724458415</v>
      </c>
      <c r="M54" s="97">
        <f>E35</f>
        <v>1.2747898585389188</v>
      </c>
      <c r="N54" s="97">
        <f>F35</f>
        <v>1.0361511651746054</v>
      </c>
      <c r="O54" s="97">
        <f>G35</f>
        <v>1.0607530923255655</v>
      </c>
    </row>
    <row r="55" spans="1:15" x14ac:dyDescent="0.25">
      <c r="A55" s="83"/>
      <c r="B55" s="95" t="s">
        <v>58</v>
      </c>
      <c r="C55" s="96"/>
      <c r="D55" s="98">
        <f>AVERAGE(D52:D54)</f>
        <v>1.0189571389150396</v>
      </c>
      <c r="E55" s="98">
        <f t="shared" ref="E55:O55" si="28">AVERAGE(E52:E54)</f>
        <v>0.9185088684682331</v>
      </c>
      <c r="F55" s="98">
        <f t="shared" si="28"/>
        <v>0.93173980934849288</v>
      </c>
      <c r="G55" s="98">
        <f t="shared" si="28"/>
        <v>1.1385690103296788</v>
      </c>
      <c r="H55" s="98">
        <f t="shared" si="28"/>
        <v>1.0370417301138621</v>
      </c>
      <c r="I55" s="98">
        <f t="shared" si="28"/>
        <v>0.94954770114086384</v>
      </c>
      <c r="J55" s="98">
        <f t="shared" si="28"/>
        <v>0.96504370533601647</v>
      </c>
      <c r="K55" s="98">
        <f t="shared" si="28"/>
        <v>0.94617357712959549</v>
      </c>
      <c r="L55" s="98">
        <f t="shared" si="28"/>
        <v>1.0541139459164819</v>
      </c>
      <c r="M55" s="98">
        <f t="shared" si="28"/>
        <v>1.0720278964649299</v>
      </c>
      <c r="N55" s="98">
        <f t="shared" si="28"/>
        <v>0.97334499654546069</v>
      </c>
      <c r="O55" s="98">
        <f t="shared" si="28"/>
        <v>0.99493162029134563</v>
      </c>
    </row>
    <row r="56" spans="1:15" x14ac:dyDescent="0.25">
      <c r="A56" s="83">
        <v>13</v>
      </c>
      <c r="B56" s="84" t="s">
        <v>18</v>
      </c>
      <c r="C56" s="84" t="s">
        <v>55</v>
      </c>
      <c r="D56" s="85">
        <f t="shared" ref="D56:N58" si="29">T36</f>
        <v>0.9846061576016395</v>
      </c>
      <c r="E56" s="85">
        <f t="shared" si="29"/>
        <v>1.0988326880050838</v>
      </c>
      <c r="F56" s="85">
        <f t="shared" si="29"/>
        <v>1.0188294255579404</v>
      </c>
      <c r="G56" s="85">
        <f t="shared" si="29"/>
        <v>0.90064278785193308</v>
      </c>
      <c r="H56" s="85">
        <f t="shared" si="29"/>
        <v>0.99604061746693606</v>
      </c>
      <c r="I56" s="85">
        <f t="shared" si="29"/>
        <v>0.91352735367473348</v>
      </c>
      <c r="J56" s="85">
        <f t="shared" si="29"/>
        <v>0.94912961357747461</v>
      </c>
      <c r="K56" s="85">
        <f t="shared" si="29"/>
        <v>1.0594371421030815</v>
      </c>
      <c r="L56" s="85">
        <f t="shared" si="29"/>
        <v>1.0012529512324317</v>
      </c>
      <c r="M56" s="85">
        <f t="shared" si="29"/>
        <v>0.94912961357747461</v>
      </c>
      <c r="N56" s="85">
        <f t="shared" si="29"/>
        <v>0.93094705393039656</v>
      </c>
      <c r="O56" s="88">
        <f>S36</f>
        <v>1.1976245954208746</v>
      </c>
    </row>
    <row r="57" spans="1:15" x14ac:dyDescent="0.25">
      <c r="A57" s="83">
        <v>14</v>
      </c>
      <c r="B57" s="84" t="s">
        <v>19</v>
      </c>
      <c r="C57" s="84" t="s">
        <v>55</v>
      </c>
      <c r="D57" s="85">
        <f t="shared" si="29"/>
        <v>0.98063717080462454</v>
      </c>
      <c r="E57" s="85">
        <f t="shared" si="29"/>
        <v>1.0122116694549714</v>
      </c>
      <c r="F57" s="85">
        <f t="shared" si="29"/>
        <v>1.0612212147803459</v>
      </c>
      <c r="G57" s="85">
        <f t="shared" si="29"/>
        <v>1.0553320848426082</v>
      </c>
      <c r="H57" s="85">
        <f t="shared" si="29"/>
        <v>1.0152860012659912</v>
      </c>
      <c r="I57" s="85">
        <f t="shared" si="29"/>
        <v>0.87041340479764218</v>
      </c>
      <c r="J57" s="85">
        <f t="shared" si="29"/>
        <v>0.96463948380144648</v>
      </c>
      <c r="K57" s="85">
        <f t="shared" si="29"/>
        <v>0.98618192111369118</v>
      </c>
      <c r="L57" s="85">
        <f t="shared" si="29"/>
        <v>1.0576877368177031</v>
      </c>
      <c r="M57" s="85">
        <f t="shared" si="29"/>
        <v>1.0800664305811067</v>
      </c>
      <c r="N57" s="85">
        <f t="shared" si="29"/>
        <v>0.92577122621237717</v>
      </c>
      <c r="O57" s="88">
        <f>S37</f>
        <v>0.99055165552749269</v>
      </c>
    </row>
    <row r="58" spans="1:15" x14ac:dyDescent="0.25">
      <c r="A58" s="83">
        <v>15</v>
      </c>
      <c r="B58" s="84" t="s">
        <v>20</v>
      </c>
      <c r="C58" s="84" t="s">
        <v>55</v>
      </c>
      <c r="D58" s="85">
        <f t="shared" si="29"/>
        <v>0.94900218890834775</v>
      </c>
      <c r="E58" s="85">
        <f t="shared" si="29"/>
        <v>0.97718245626184019</v>
      </c>
      <c r="F58" s="85">
        <f t="shared" si="29"/>
        <v>1.0087076246343696</v>
      </c>
      <c r="G58" s="85">
        <f t="shared" si="29"/>
        <v>0.93014784078434076</v>
      </c>
      <c r="H58" s="85">
        <f t="shared" si="29"/>
        <v>1.0422264657437152</v>
      </c>
      <c r="I58" s="85">
        <f t="shared" si="29"/>
        <v>1.0485112484517176</v>
      </c>
      <c r="J58" s="85">
        <f t="shared" si="29"/>
        <v>0.892439144536327</v>
      </c>
      <c r="K58" s="85">
        <f t="shared" si="29"/>
        <v>0.98811448662781542</v>
      </c>
      <c r="L58" s="85">
        <f t="shared" si="29"/>
        <v>0.96471414567835345</v>
      </c>
      <c r="M58" s="85">
        <f t="shared" si="29"/>
        <v>1.0694605241450585</v>
      </c>
      <c r="N58" s="85">
        <f t="shared" si="29"/>
        <v>1.0474637846670505</v>
      </c>
      <c r="O58" s="88">
        <f>S38</f>
        <v>1.0820300895610631</v>
      </c>
    </row>
    <row r="59" spans="1:15" x14ac:dyDescent="0.25">
      <c r="A59" s="83"/>
      <c r="B59" s="95" t="s">
        <v>59</v>
      </c>
      <c r="C59" s="96"/>
      <c r="D59" s="89">
        <f>AVERAGE(D56:D58)</f>
        <v>0.97141517243820397</v>
      </c>
      <c r="E59" s="89">
        <f t="shared" ref="E59" si="30">AVERAGE(E56:E58)</f>
        <v>1.0294089379072984</v>
      </c>
      <c r="F59" s="89">
        <f t="shared" ref="F59" si="31">AVERAGE(F56:F58)</f>
        <v>1.0295860883242185</v>
      </c>
      <c r="G59" s="89">
        <f t="shared" ref="G59" si="32">AVERAGE(G56:G58)</f>
        <v>0.96204090449296065</v>
      </c>
      <c r="H59" s="89">
        <f t="shared" ref="H59" si="33">AVERAGE(H56:H58)</f>
        <v>1.0178510281588808</v>
      </c>
      <c r="I59" s="89">
        <f t="shared" ref="I59" si="34">AVERAGE(I56:I58)</f>
        <v>0.94415066897469779</v>
      </c>
      <c r="J59" s="89">
        <f t="shared" ref="J59" si="35">AVERAGE(J56:J58)</f>
        <v>0.93540274730508266</v>
      </c>
      <c r="K59" s="89">
        <f t="shared" ref="K59" si="36">AVERAGE(K56:K58)</f>
        <v>1.0112445166148627</v>
      </c>
      <c r="L59" s="89">
        <f t="shared" ref="L59" si="37">AVERAGE(L56:L58)</f>
        <v>1.0078849445761628</v>
      </c>
      <c r="M59" s="89">
        <f t="shared" ref="M59" si="38">AVERAGE(M56:M58)</f>
        <v>1.0328855227678799</v>
      </c>
      <c r="N59" s="89">
        <f t="shared" ref="N59" si="39">AVERAGE(N56:N58)</f>
        <v>0.96806068826994141</v>
      </c>
      <c r="O59" s="89">
        <f t="shared" ref="O59" si="40">AVERAGE(O56:O58)</f>
        <v>1.0900687801698101</v>
      </c>
    </row>
    <row r="60" spans="1:15" x14ac:dyDescent="0.25">
      <c r="A60" s="80"/>
      <c r="B60" s="91" t="s">
        <v>50</v>
      </c>
      <c r="C60" s="92"/>
      <c r="D60" s="90">
        <f>AVERAGE(D41:D45,D47:D50,D52:D54,D56:D58)</f>
        <v>1.0092596559010871</v>
      </c>
      <c r="E60" s="90">
        <f t="shared" ref="E60:O60" si="41">AVERAGE(E41:E45,E47:E50,E52:E54,E56:E58)</f>
        <v>1.0019979249168085</v>
      </c>
      <c r="F60" s="90">
        <f t="shared" si="41"/>
        <v>0.98009937634214761</v>
      </c>
      <c r="G60" s="90">
        <f t="shared" si="41"/>
        <v>1.0134303441718602</v>
      </c>
      <c r="H60" s="90">
        <f t="shared" si="41"/>
        <v>1.0168267562291642</v>
      </c>
      <c r="I60" s="90">
        <f t="shared" si="41"/>
        <v>0.97998045645368381</v>
      </c>
      <c r="J60" s="90">
        <f t="shared" si="41"/>
        <v>0.95665935627706911</v>
      </c>
      <c r="K60" s="90">
        <f t="shared" si="41"/>
        <v>1.0086968921265067</v>
      </c>
      <c r="L60" s="90">
        <f t="shared" si="41"/>
        <v>0.99961353926552587</v>
      </c>
      <c r="M60" s="90">
        <f t="shared" si="41"/>
        <v>1.0041607406076238</v>
      </c>
      <c r="N60" s="90">
        <f t="shared" si="41"/>
        <v>0.99579220828681769</v>
      </c>
      <c r="O60" s="90">
        <f t="shared" si="41"/>
        <v>1.0334827494217049</v>
      </c>
    </row>
    <row r="61" spans="1:15" x14ac:dyDescent="0.25">
      <c r="B61" s="25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</row>
    <row r="62" spans="1:15" x14ac:dyDescent="0.25">
      <c r="B62" s="25"/>
    </row>
    <row r="63" spans="1:15" x14ac:dyDescent="0.25">
      <c r="B63" s="25"/>
    </row>
    <row r="64" spans="1:15" x14ac:dyDescent="0.25">
      <c r="B64" s="25"/>
    </row>
  </sheetData>
  <mergeCells count="6">
    <mergeCell ref="B60:C60"/>
    <mergeCell ref="C1:J1"/>
    <mergeCell ref="B46:C46"/>
    <mergeCell ref="B51:C51"/>
    <mergeCell ref="B55:C55"/>
    <mergeCell ref="B59:C59"/>
  </mergeCells>
  <phoneticPr fontId="8" type="noConversion"/>
  <printOptions horizontalCentered="1" verticalCentered="1"/>
  <pageMargins left="0.25" right="0.25" top="0.75" bottom="0.75" header="0.3" footer="0.3"/>
  <pageSetup paperSize="9" scale="77" orientation="landscape" horizontalDpi="1200" verticalDpi="1200" r:id="rId1"/>
  <ignoredErrors>
    <ignoredError sqref="E43:O43 O5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3BAF6-70B5-4DE1-9E8A-925D656350E7}">
  <sheetPr>
    <pageSetUpPr fitToPage="1"/>
  </sheetPr>
  <dimension ref="A1:N34"/>
  <sheetViews>
    <sheetView zoomScaleNormal="100" workbookViewId="0">
      <pane xSplit="2" ySplit="1" topLeftCell="C14" activePane="bottomRight" state="frozen"/>
      <selection activeCell="F20" sqref="F20:F25"/>
      <selection pane="topRight" activeCell="F20" sqref="F20:F25"/>
      <selection pane="bottomLeft" activeCell="F20" sqref="F20:F25"/>
      <selection pane="bottomRight" activeCell="C2" sqref="C2:N17"/>
    </sheetView>
  </sheetViews>
  <sheetFormatPr defaultRowHeight="15" x14ac:dyDescent="0.25"/>
  <cols>
    <col min="1" max="1" width="4.7109375" style="24" bestFit="1" customWidth="1"/>
    <col min="2" max="2" width="27" style="17" customWidth="1"/>
    <col min="3" max="3" width="9.42578125" style="52" customWidth="1"/>
    <col min="4" max="6" width="9.140625" style="18"/>
    <col min="7" max="7" width="12.42578125" style="18" customWidth="1"/>
    <col min="8" max="8" width="9.140625" style="18"/>
    <col min="9" max="9" width="9.140625" style="18" customWidth="1"/>
    <col min="10" max="10" width="8" style="18" bestFit="1" customWidth="1"/>
    <col min="11" max="13" width="9.140625" style="42"/>
    <col min="14" max="14" width="9.140625" style="18"/>
  </cols>
  <sheetData>
    <row r="1" spans="1:14" s="3" customFormat="1" ht="28.9" customHeight="1" x14ac:dyDescent="0.25">
      <c r="A1" s="28" t="s">
        <v>0</v>
      </c>
      <c r="B1" s="28" t="s">
        <v>1</v>
      </c>
      <c r="C1" s="29"/>
      <c r="D1" s="30"/>
      <c r="E1" s="30"/>
      <c r="F1" s="30"/>
      <c r="G1" s="30"/>
      <c r="H1" s="30"/>
      <c r="I1" s="31"/>
      <c r="J1" s="31"/>
      <c r="K1" s="32"/>
      <c r="L1" s="32"/>
      <c r="M1" s="32"/>
      <c r="N1" s="31"/>
    </row>
    <row r="2" spans="1:14" s="3" customFormat="1" x14ac:dyDescent="0.25">
      <c r="A2" s="29"/>
      <c r="B2" s="29"/>
      <c r="C2" s="33">
        <v>43466</v>
      </c>
      <c r="D2" s="33">
        <v>43497</v>
      </c>
      <c r="E2" s="33">
        <v>43525</v>
      </c>
      <c r="F2" s="33">
        <v>43556</v>
      </c>
      <c r="G2" s="33">
        <v>43586</v>
      </c>
      <c r="H2" s="33">
        <v>43617</v>
      </c>
      <c r="I2" s="34">
        <v>43647</v>
      </c>
      <c r="J2" s="34">
        <v>43678</v>
      </c>
      <c r="K2" s="7">
        <v>43709</v>
      </c>
      <c r="L2" s="7">
        <v>43739</v>
      </c>
      <c r="M2" s="7">
        <v>43770</v>
      </c>
      <c r="N2" s="34">
        <v>43800</v>
      </c>
    </row>
    <row r="3" spans="1:14" s="17" customFormat="1" x14ac:dyDescent="0.25">
      <c r="A3" s="9">
        <v>1</v>
      </c>
      <c r="B3" s="10" t="s">
        <v>3</v>
      </c>
      <c r="C3" s="35">
        <f>'[3]ATC data Jan 2019'!C3</f>
        <v>4438</v>
      </c>
      <c r="D3" s="13" t="s">
        <v>31</v>
      </c>
      <c r="E3" s="13" t="s">
        <v>31</v>
      </c>
      <c r="F3" s="13" t="s">
        <v>31</v>
      </c>
      <c r="G3" s="35">
        <f>'[3]ATC data  MAY 2019'!C3</f>
        <v>5666</v>
      </c>
      <c r="H3" s="35">
        <f>'[3]ATC data  JUNE 2019 '!C3</f>
        <v>5514</v>
      </c>
      <c r="I3" s="35">
        <f>'[3]ATC data  JULY 2019 '!C3</f>
        <v>4827</v>
      </c>
      <c r="J3" s="36">
        <f>'[3]ATC data  AUG 2019'!C3</f>
        <v>4866</v>
      </c>
      <c r="K3" s="37">
        <f>'[3]ATC data SEPT 2019'!C3</f>
        <v>4820</v>
      </c>
      <c r="L3" s="37">
        <f>'[3]ATC data OCT 2019'!C3</f>
        <v>5007</v>
      </c>
      <c r="M3" s="37">
        <f>'[3]ATC data NOV 2019 '!C3</f>
        <v>6267</v>
      </c>
      <c r="N3" s="35">
        <f>'[3]ATC data DEC 2019 '!C3</f>
        <v>5277</v>
      </c>
    </row>
    <row r="4" spans="1:14" s="17" customFormat="1" x14ac:dyDescent="0.25">
      <c r="A4" s="9">
        <v>2</v>
      </c>
      <c r="B4" s="10" t="s">
        <v>6</v>
      </c>
      <c r="C4" s="35">
        <f>'[3]ATC data Jan 2019'!C4</f>
        <v>5120</v>
      </c>
      <c r="D4" s="13" t="s">
        <v>32</v>
      </c>
      <c r="E4" s="13" t="s">
        <v>32</v>
      </c>
      <c r="F4" s="35">
        <f>'[3]ATC data  APRIL  2019'!C4</f>
        <v>5037</v>
      </c>
      <c r="G4" s="35">
        <f>'[3]ATC data  MAY 2019'!C4</f>
        <v>0</v>
      </c>
      <c r="H4" s="35">
        <f>'[3]ATC data  JUNE 2019 '!C4</f>
        <v>5174</v>
      </c>
      <c r="I4" s="35">
        <f>'[3]ATC data  JULY 2019 '!C4</f>
        <v>4875</v>
      </c>
      <c r="J4" s="36">
        <f>'[3]ATC data  AUG 2019'!C4</f>
        <v>5143</v>
      </c>
      <c r="K4" s="37">
        <f>'[3]ATC data SEPT 2019'!C4</f>
        <v>5308</v>
      </c>
      <c r="L4" s="37">
        <f>'[3]ATC data OCT 2019'!C4</f>
        <v>5516</v>
      </c>
      <c r="M4" s="37">
        <f>'[3]ATC data NOV 2019 '!C4</f>
        <v>4765</v>
      </c>
      <c r="N4" s="35">
        <f>'[3]ATC data DEC 2019 '!C4</f>
        <v>3549</v>
      </c>
    </row>
    <row r="5" spans="1:14" s="17" customFormat="1" x14ac:dyDescent="0.25">
      <c r="A5" s="9">
        <v>3</v>
      </c>
      <c r="B5" s="10" t="s">
        <v>7</v>
      </c>
      <c r="C5" s="35">
        <f>'[3]ATC data Jan 2019'!C5</f>
        <v>3961</v>
      </c>
      <c r="D5" s="13" t="s">
        <v>32</v>
      </c>
      <c r="E5" s="13" t="s">
        <v>32</v>
      </c>
      <c r="F5" s="35">
        <f>'[3]ATC data  APRIL  2019'!C5</f>
        <v>4326</v>
      </c>
      <c r="G5" s="35">
        <f>'[3]ATC data  MAY 2019'!C5</f>
        <v>3865</v>
      </c>
      <c r="H5" s="35">
        <f>'[3]ATC data  JUNE 2019 '!C5</f>
        <v>4294</v>
      </c>
      <c r="I5" s="35">
        <f>'[3]ATC data  JULY 2019 '!C5</f>
        <v>4253</v>
      </c>
      <c r="J5" s="36">
        <f>'[3]ATC data  AUG 2019'!C5</f>
        <v>4143</v>
      </c>
      <c r="K5" s="37">
        <f>'[3]ATC data SEPT 2019'!C5</f>
        <v>4421</v>
      </c>
      <c r="L5" s="37">
        <f>'[3]ATC data OCT 2019'!C5</f>
        <v>4369</v>
      </c>
      <c r="M5" s="38">
        <f>'[3]ATC data NOV 2019 '!C5</f>
        <v>4514</v>
      </c>
      <c r="N5" s="35">
        <f>'[3]ATC data DEC 2019 '!C5</f>
        <v>4786</v>
      </c>
    </row>
    <row r="6" spans="1:14" s="17" customFormat="1" x14ac:dyDescent="0.25">
      <c r="A6" s="9">
        <v>4</v>
      </c>
      <c r="B6" s="10" t="s">
        <v>8</v>
      </c>
      <c r="C6" s="35">
        <f>'[3]ATC data Jan 2019'!C6</f>
        <v>32894</v>
      </c>
      <c r="D6" s="35">
        <f>'[3]ATC data  Feb 2019'!C6</f>
        <v>32115</v>
      </c>
      <c r="E6" s="35">
        <f>'[3]ATC data  MARCH  2019'!C6</f>
        <v>36221</v>
      </c>
      <c r="F6" s="35">
        <f>'[3]ATC data  APRIL  2019'!C6</f>
        <v>35907</v>
      </c>
      <c r="G6" s="35">
        <f>'[3]ATC data  MAY 2019'!C6</f>
        <v>30846</v>
      </c>
      <c r="H6" s="35">
        <f>'[3]ATC data  JUNE 2019 '!C6</f>
        <v>30793</v>
      </c>
      <c r="I6" s="35">
        <f>'[3]ATC data  JULY 2019 '!C6</f>
        <v>32556</v>
      </c>
      <c r="J6" s="36">
        <f>'[3]ATC data  AUG 2019'!C6</f>
        <v>31837</v>
      </c>
      <c r="K6" s="37">
        <f>'[3]ATC data SEPT 2019'!C6</f>
        <v>30043</v>
      </c>
      <c r="L6" s="37">
        <f>'[3]ATC data OCT 2019'!C6</f>
        <v>31092</v>
      </c>
      <c r="M6" s="37">
        <f>'[3]ATC data NOV 2019 '!C6</f>
        <v>33110</v>
      </c>
      <c r="N6" s="35">
        <f>'[3]ATC data DEC 2019 '!C6</f>
        <v>34829</v>
      </c>
    </row>
    <row r="7" spans="1:14" s="20" customFormat="1" x14ac:dyDescent="0.25">
      <c r="A7" s="9">
        <v>5</v>
      </c>
      <c r="B7" s="10" t="s">
        <v>10</v>
      </c>
      <c r="C7" s="13" t="s">
        <v>32</v>
      </c>
      <c r="D7" s="35">
        <f>'[3]ATC data  Feb 2019'!C7</f>
        <v>6724</v>
      </c>
      <c r="E7" s="13" t="s">
        <v>32</v>
      </c>
      <c r="F7" s="35">
        <f>'[3]ATC data  APRIL  2019'!C7</f>
        <v>6990</v>
      </c>
      <c r="G7" s="35">
        <f>'[3]ATC data  MAY 2019'!C7</f>
        <v>6256</v>
      </c>
      <c r="H7" s="35">
        <f>'[3]ATC data  JUNE 2019 '!C7</f>
        <v>6600</v>
      </c>
      <c r="I7" s="35">
        <f>'[3]ATC data  JULY 2019 '!C7</f>
        <v>8142</v>
      </c>
      <c r="J7" s="36">
        <f>'[3]ATC data  AUG 2019'!C7</f>
        <v>6557</v>
      </c>
      <c r="K7" s="37">
        <f>'[3]ATC data SEPT 2019'!C7</f>
        <v>8336</v>
      </c>
      <c r="L7" s="39">
        <f>'[3]ATC data OCT 2019'!C7</f>
        <v>4926</v>
      </c>
      <c r="M7" s="39">
        <f>'[3]ATC data NOV 2019 '!C7</f>
        <v>3347</v>
      </c>
      <c r="N7" s="40">
        <f>'[3]ATC data DEC 2019 '!C7</f>
        <v>4561</v>
      </c>
    </row>
    <row r="8" spans="1:14" s="17" customFormat="1" x14ac:dyDescent="0.25">
      <c r="A8" s="9">
        <v>6</v>
      </c>
      <c r="B8" s="10" t="s">
        <v>11</v>
      </c>
      <c r="C8" s="13" t="s">
        <v>32</v>
      </c>
      <c r="D8" s="13" t="s">
        <v>32</v>
      </c>
      <c r="E8" s="13" t="s">
        <v>32</v>
      </c>
      <c r="F8" s="35">
        <f>'[3]ATC data  APRIL  2019'!C8</f>
        <v>524</v>
      </c>
      <c r="G8" s="35">
        <f>'[3]ATC data  MAY 2019'!C8</f>
        <v>637</v>
      </c>
      <c r="H8" s="35">
        <f>'[3]ATC data  JUNE 2019 '!C8</f>
        <v>680</v>
      </c>
      <c r="I8" s="35">
        <f>'[3]ATC data  JULY 2019 '!C8</f>
        <v>605</v>
      </c>
      <c r="J8" s="36">
        <f>'[3]ATC data  AUG 2019'!C8</f>
        <v>639</v>
      </c>
      <c r="K8" s="37">
        <f>'[3]ATC data SEPT 2019'!C8</f>
        <v>647</v>
      </c>
      <c r="L8" s="37">
        <f>'[3]ATC data OCT 2019'!C8</f>
        <v>539</v>
      </c>
      <c r="M8" s="37">
        <f>'[3]ATC data NOV 2019 '!C8</f>
        <v>658</v>
      </c>
      <c r="N8" s="35">
        <f>'[3]ATC data DEC 2019 '!C8</f>
        <v>776</v>
      </c>
    </row>
    <row r="9" spans="1:14" s="17" customFormat="1" x14ac:dyDescent="0.25">
      <c r="A9" s="9">
        <v>7</v>
      </c>
      <c r="B9" s="10" t="s">
        <v>12</v>
      </c>
      <c r="C9" s="13" t="s">
        <v>32</v>
      </c>
      <c r="D9" s="35">
        <f>'[3]ATC data  Feb 2019'!C9</f>
        <v>1696</v>
      </c>
      <c r="E9" s="13" t="s">
        <v>33</v>
      </c>
      <c r="F9" s="13" t="s">
        <v>33</v>
      </c>
      <c r="G9" s="13" t="s">
        <v>33</v>
      </c>
      <c r="H9" s="13" t="s">
        <v>33</v>
      </c>
      <c r="I9" s="13" t="s">
        <v>33</v>
      </c>
      <c r="J9" s="22" t="s">
        <v>33</v>
      </c>
      <c r="K9" s="13" t="s">
        <v>33</v>
      </c>
      <c r="L9" s="13" t="s">
        <v>33</v>
      </c>
      <c r="M9" s="13" t="s">
        <v>33</v>
      </c>
      <c r="N9" s="13" t="s">
        <v>33</v>
      </c>
    </row>
    <row r="10" spans="1:14" s="17" customFormat="1" x14ac:dyDescent="0.25">
      <c r="A10" s="9">
        <v>8</v>
      </c>
      <c r="B10" s="10" t="s">
        <v>13</v>
      </c>
      <c r="C10" s="13" t="s">
        <v>33</v>
      </c>
      <c r="D10" s="13" t="s">
        <v>33</v>
      </c>
      <c r="E10" s="13" t="s">
        <v>33</v>
      </c>
      <c r="F10" s="13" t="s">
        <v>33</v>
      </c>
      <c r="G10" s="35">
        <f>'[3]ATC data  MAY 2019'!C10</f>
        <v>2447</v>
      </c>
      <c r="H10" s="35">
        <f>'[3]ATC data  JUNE 2019 '!C10</f>
        <v>2381</v>
      </c>
      <c r="I10" s="35">
        <f>'[3]ATC data  JULY 2019 '!C10</f>
        <v>2260</v>
      </c>
      <c r="J10" s="36">
        <f>'[3]ATC data  AUG 2019'!C10</f>
        <v>2296</v>
      </c>
      <c r="K10" s="37">
        <f>'[3]ATC data SEPT 2019'!C10</f>
        <v>2317</v>
      </c>
      <c r="L10" s="37">
        <f>'[3]ATC data OCT 2019'!C10</f>
        <v>2273</v>
      </c>
      <c r="M10" s="37">
        <f>'[3]ATC data NOV 2019 '!C10</f>
        <v>2467</v>
      </c>
      <c r="N10" s="35">
        <f>'[3]ATC data DEC 2019 '!C10</f>
        <v>2623</v>
      </c>
    </row>
    <row r="11" spans="1:14" s="17" customFormat="1" x14ac:dyDescent="0.25">
      <c r="A11" s="9">
        <v>9</v>
      </c>
      <c r="B11" s="10" t="s">
        <v>14</v>
      </c>
      <c r="C11" s="35">
        <f>'[3]ATC data Jan 2019'!C11</f>
        <v>2307</v>
      </c>
      <c r="D11" s="13" t="s">
        <v>32</v>
      </c>
      <c r="E11" s="13" t="s">
        <v>32</v>
      </c>
      <c r="F11" s="35">
        <f>'[3]ATC data  APRIL  2019'!C11</f>
        <v>2510</v>
      </c>
      <c r="G11" s="35">
        <f>'[3]ATC data  MAY 2019'!C11</f>
        <v>2393</v>
      </c>
      <c r="H11" s="35">
        <f>'[3]ATC data  JUNE 2019 '!C11</f>
        <v>2458</v>
      </c>
      <c r="I11" s="35">
        <f>'[3]ATC data  JULY 2019 '!C11</f>
        <v>2498</v>
      </c>
      <c r="J11" s="36">
        <f>'[3]ATC data  AUG 2019'!C11</f>
        <v>1895</v>
      </c>
      <c r="K11" s="37">
        <f>'[3]ATC data SEPT 2019'!C11</f>
        <v>2368</v>
      </c>
      <c r="L11" s="37">
        <f>'[3]ATC data OCT 2019'!C11</f>
        <v>2257</v>
      </c>
      <c r="M11" s="37">
        <f>'[3]ATC data NOV 2019 '!C11</f>
        <v>2438</v>
      </c>
      <c r="N11" s="35">
        <f>'[3]ATC data DEC 2019 '!C11</f>
        <v>3025</v>
      </c>
    </row>
    <row r="12" spans="1:14" s="17" customFormat="1" x14ac:dyDescent="0.25">
      <c r="A12" s="9">
        <v>10</v>
      </c>
      <c r="B12" s="23" t="s">
        <v>15</v>
      </c>
      <c r="C12" s="13" t="s">
        <v>33</v>
      </c>
      <c r="D12" s="13" t="s">
        <v>33</v>
      </c>
      <c r="E12" s="13" t="s">
        <v>33</v>
      </c>
      <c r="F12" s="13" t="s">
        <v>33</v>
      </c>
      <c r="G12" s="13" t="s">
        <v>33</v>
      </c>
      <c r="H12" s="13" t="s">
        <v>33</v>
      </c>
      <c r="I12" s="13" t="s">
        <v>33</v>
      </c>
      <c r="J12" s="22" t="s">
        <v>33</v>
      </c>
      <c r="K12" s="13" t="s">
        <v>33</v>
      </c>
      <c r="L12" s="13" t="s">
        <v>33</v>
      </c>
      <c r="M12" s="13" t="s">
        <v>33</v>
      </c>
      <c r="N12" s="40">
        <f>'[3]ATC data DEC 2019 '!C12</f>
        <v>5156</v>
      </c>
    </row>
    <row r="13" spans="1:14" s="17" customFormat="1" x14ac:dyDescent="0.25">
      <c r="A13" s="9">
        <v>11</v>
      </c>
      <c r="B13" s="10" t="s">
        <v>16</v>
      </c>
      <c r="C13" s="13" t="s">
        <v>33</v>
      </c>
      <c r="D13" s="13" t="s">
        <v>33</v>
      </c>
      <c r="E13" s="13" t="s">
        <v>33</v>
      </c>
      <c r="F13" s="13" t="s">
        <v>33</v>
      </c>
      <c r="G13" s="13" t="s">
        <v>33</v>
      </c>
      <c r="H13" s="13" t="s">
        <v>33</v>
      </c>
      <c r="I13" s="13" t="s">
        <v>33</v>
      </c>
      <c r="J13" s="22" t="s">
        <v>33</v>
      </c>
      <c r="K13" s="13" t="s">
        <v>33</v>
      </c>
      <c r="L13" s="13" t="s">
        <v>33</v>
      </c>
      <c r="M13" s="13" t="s">
        <v>33</v>
      </c>
      <c r="N13" s="13" t="s">
        <v>33</v>
      </c>
    </row>
    <row r="14" spans="1:14" s="17" customFormat="1" x14ac:dyDescent="0.25">
      <c r="A14" s="9">
        <v>12</v>
      </c>
      <c r="B14" s="10" t="s">
        <v>17</v>
      </c>
      <c r="C14" s="35">
        <f>'[3]ATC data Jan 2019'!C14</f>
        <v>2273</v>
      </c>
      <c r="D14" s="13" t="s">
        <v>32</v>
      </c>
      <c r="E14" s="13" t="s">
        <v>32</v>
      </c>
      <c r="F14" s="35">
        <f>'[3]ATC data  APRIL  2019'!C14</f>
        <v>0</v>
      </c>
      <c r="G14" s="35">
        <f>'[3]ATC data  MAY 2019'!C14</f>
        <v>2525</v>
      </c>
      <c r="H14" s="35">
        <f>'[3]ATC data  JUNE 2019 '!C14</f>
        <v>2425</v>
      </c>
      <c r="I14" s="35">
        <f>'[3]ATC data  JULY 2019 '!C14</f>
        <v>2396</v>
      </c>
      <c r="J14" s="36">
        <f>'[3]ATC data  AUG 2019'!C14</f>
        <v>1842</v>
      </c>
      <c r="K14" s="37">
        <f>'[3]ATC data SEPT 2019'!C14</f>
        <v>1856</v>
      </c>
      <c r="L14" s="37">
        <f>'[3]ATC data OCT 2019'!C14</f>
        <v>2615</v>
      </c>
      <c r="M14" s="39">
        <f>'[3]ATC data NOV 2019 '!C14</f>
        <v>0</v>
      </c>
      <c r="N14" s="35">
        <f>'[3]ATC data DEC 2019 '!C14</f>
        <v>2949</v>
      </c>
    </row>
    <row r="15" spans="1:14" s="17" customFormat="1" x14ac:dyDescent="0.25">
      <c r="A15" s="9">
        <v>13</v>
      </c>
      <c r="B15" s="10" t="s">
        <v>18</v>
      </c>
      <c r="C15" s="35">
        <f>'[3]ATC data Jan 2019'!C15</f>
        <v>1598</v>
      </c>
      <c r="D15" s="13" t="s">
        <v>32</v>
      </c>
      <c r="E15" s="13" t="s">
        <v>32</v>
      </c>
      <c r="F15" s="35">
        <f>'[3]ATC data  APRIL  2019'!C15</f>
        <v>0</v>
      </c>
      <c r="G15" s="35">
        <f>'[3]ATC data  MAY 2019'!C15</f>
        <v>2435</v>
      </c>
      <c r="H15" s="35">
        <f>'[3]ATC data  JUNE 2019 '!C15</f>
        <v>0</v>
      </c>
      <c r="I15" s="35">
        <f>'[3]ATC data  JULY 2019 '!C15</f>
        <v>2636</v>
      </c>
      <c r="J15" s="36">
        <f>'[3]ATC data  AUG 2019'!C15</f>
        <v>1936</v>
      </c>
      <c r="K15" s="37">
        <f>'[3]ATC data SEPT 2019'!C15</f>
        <v>1827</v>
      </c>
      <c r="L15" s="37">
        <f>'[3]ATC data OCT 2019'!C15</f>
        <v>2012</v>
      </c>
      <c r="M15" s="37">
        <f>'[3]ATC data NOV 2019 '!C15</f>
        <v>1261</v>
      </c>
      <c r="N15" s="35">
        <f>'[3]ATC data DEC 2019 '!C15</f>
        <v>1876</v>
      </c>
    </row>
    <row r="16" spans="1:14" s="17" customFormat="1" x14ac:dyDescent="0.25">
      <c r="A16" s="9">
        <v>14</v>
      </c>
      <c r="B16" s="10" t="s">
        <v>19</v>
      </c>
      <c r="C16" s="35">
        <f>'[3]ATC data Jan 2019'!C16</f>
        <v>1177</v>
      </c>
      <c r="D16" s="13" t="s">
        <v>32</v>
      </c>
      <c r="E16" s="35">
        <f>'[3]ATC data  MARCH  2019'!C16</f>
        <v>1028</v>
      </c>
      <c r="F16" s="35">
        <f>'[3]ATC data  APRIL  2019'!C16</f>
        <v>1019</v>
      </c>
      <c r="G16" s="35">
        <f>'[3]ATC data  MAY 2019'!C16</f>
        <v>1063</v>
      </c>
      <c r="H16" s="35">
        <f>'[3]ATC data  JUNE 2019 '!C16</f>
        <v>1024</v>
      </c>
      <c r="I16" s="35">
        <f>'[3]ATC data  JULY 2019 '!C16</f>
        <v>1039</v>
      </c>
      <c r="J16" s="36">
        <f>'[3]ATC data  AUG 2019'!C16</f>
        <v>1090</v>
      </c>
      <c r="K16" s="39">
        <f>'[3]ATC data SEPT 2019'!C16</f>
        <v>0</v>
      </c>
      <c r="L16" s="37">
        <f>'[3]ATC data OCT 2019'!C16</f>
        <v>1073</v>
      </c>
      <c r="M16" s="39">
        <f>'[3]ATC data NOV 2019 '!C16</f>
        <v>0</v>
      </c>
      <c r="N16" s="35">
        <f>'[3]ATC data DEC 2019 '!C16</f>
        <v>1071</v>
      </c>
    </row>
    <row r="17" spans="1:14" s="17" customFormat="1" x14ac:dyDescent="0.25">
      <c r="A17" s="9">
        <v>15</v>
      </c>
      <c r="B17" s="10" t="s">
        <v>20</v>
      </c>
      <c r="C17" s="13" t="s">
        <v>32</v>
      </c>
      <c r="D17" s="13" t="s">
        <v>32</v>
      </c>
      <c r="E17" s="13" t="s">
        <v>32</v>
      </c>
      <c r="F17" s="35">
        <f>'[3]ATC data  APRIL  2019'!C17</f>
        <v>0</v>
      </c>
      <c r="G17" s="35">
        <f>'[3]ATC data  MAY 2019'!C17</f>
        <v>0</v>
      </c>
      <c r="H17" s="35">
        <f>'[3]ATC data  JUNE 2019 '!C17</f>
        <v>0</v>
      </c>
      <c r="I17" s="35">
        <f>'[3]ATC data  JULY 2019 '!C17</f>
        <v>1049</v>
      </c>
      <c r="J17" s="36">
        <f>'[3]ATC data  AUG 2019'!C17</f>
        <v>1312</v>
      </c>
      <c r="K17" s="37">
        <f>'[3]ATC data SEPT 2019'!C17</f>
        <v>1146</v>
      </c>
      <c r="L17" s="39">
        <f>'[3]ATC data OCT 2019'!C17</f>
        <v>1073</v>
      </c>
      <c r="M17" s="37">
        <f>'[3]ATC data NOV 2019 '!C17</f>
        <v>1057</v>
      </c>
      <c r="N17" s="35">
        <f>'[3]ATC data DEC 2019 '!C17</f>
        <v>956</v>
      </c>
    </row>
    <row r="19" spans="1:14" x14ac:dyDescent="0.25">
      <c r="B19" s="25"/>
      <c r="C19" s="41"/>
    </row>
    <row r="20" spans="1:14" x14ac:dyDescent="0.25">
      <c r="A20" s="21" t="s">
        <v>4</v>
      </c>
      <c r="B20" s="19" t="s">
        <v>21</v>
      </c>
      <c r="C20" s="31"/>
    </row>
    <row r="21" spans="1:14" x14ac:dyDescent="0.25">
      <c r="A21" s="21" t="s">
        <v>5</v>
      </c>
      <c r="B21" s="19" t="s">
        <v>22</v>
      </c>
      <c r="C21" s="31"/>
    </row>
    <row r="22" spans="1:14" x14ac:dyDescent="0.25">
      <c r="A22" s="21" t="s">
        <v>9</v>
      </c>
      <c r="B22" s="19" t="s">
        <v>23</v>
      </c>
      <c r="C22" s="31"/>
    </row>
    <row r="23" spans="1:14" x14ac:dyDescent="0.25">
      <c r="A23" s="21" t="s">
        <v>32</v>
      </c>
      <c r="B23" s="43" t="s">
        <v>34</v>
      </c>
      <c r="C23" s="21"/>
    </row>
    <row r="24" spans="1:14" x14ac:dyDescent="0.25">
      <c r="A24" s="21" t="s">
        <v>31</v>
      </c>
      <c r="B24" s="44" t="s">
        <v>35</v>
      </c>
      <c r="C24" s="21"/>
    </row>
    <row r="25" spans="1:14" ht="30" x14ac:dyDescent="0.25">
      <c r="A25" s="21" t="s">
        <v>33</v>
      </c>
      <c r="B25" s="45" t="s">
        <v>36</v>
      </c>
      <c r="C25" s="26"/>
    </row>
    <row r="26" spans="1:14" x14ac:dyDescent="0.25">
      <c r="A26" s="46"/>
      <c r="B26" s="26"/>
      <c r="C26" s="26"/>
    </row>
    <row r="27" spans="1:14" x14ac:dyDescent="0.25">
      <c r="B27" s="27"/>
      <c r="C27" s="47"/>
    </row>
    <row r="28" spans="1:14" x14ac:dyDescent="0.25">
      <c r="A28" s="48" t="s">
        <v>24</v>
      </c>
      <c r="C28" s="49"/>
    </row>
    <row r="29" spans="1:14" x14ac:dyDescent="0.25">
      <c r="A29" s="50" t="s">
        <v>25</v>
      </c>
      <c r="C29" s="51"/>
    </row>
    <row r="30" spans="1:14" x14ac:dyDescent="0.25">
      <c r="A30" s="50" t="s">
        <v>26</v>
      </c>
      <c r="C30" s="51"/>
    </row>
    <row r="31" spans="1:14" x14ac:dyDescent="0.25">
      <c r="A31" s="50" t="s">
        <v>27</v>
      </c>
      <c r="C31" s="51"/>
    </row>
    <row r="32" spans="1:14" x14ac:dyDescent="0.25">
      <c r="A32" s="50" t="s">
        <v>28</v>
      </c>
      <c r="C32" s="51"/>
    </row>
    <row r="33" spans="1:3" x14ac:dyDescent="0.25">
      <c r="A33" s="50" t="s">
        <v>29</v>
      </c>
      <c r="C33" s="51"/>
    </row>
    <row r="34" spans="1:3" x14ac:dyDescent="0.25">
      <c r="A34" s="50" t="s">
        <v>30</v>
      </c>
      <c r="C34" s="51"/>
    </row>
  </sheetData>
  <printOptions horizontalCentered="1" verticalCentered="1"/>
  <pageMargins left="0.25" right="0.25" top="0.75" bottom="0.75" header="0.3" footer="0.3"/>
  <pageSetup paperSize="9" scale="94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ATC Data Summary 2016-18</vt:lpstr>
      <vt:lpstr>ATC Data 2019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2020-02-14T09:27:11Z</dcterms:created>
  <dcterms:modified xsi:type="dcterms:W3CDTF">2020-06-02T06:45:36Z</dcterms:modified>
</cp:coreProperties>
</file>