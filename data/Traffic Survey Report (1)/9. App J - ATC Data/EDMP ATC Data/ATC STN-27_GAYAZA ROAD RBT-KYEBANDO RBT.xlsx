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New 170320\ATC\"/>
    </mc:Choice>
  </mc:AlternateContent>
  <xr:revisionPtr revIDLastSave="0" documentId="13_ncr:1_{73DEF883-5F32-480A-95AF-A689DC0BFA27}" xr6:coauthVersionLast="45" xr6:coauthVersionMax="45" xr10:uidLastSave="{00000000-0000-0000-0000-000000000000}"/>
  <bookViews>
    <workbookView xWindow="-120" yWindow="-120" windowWidth="20730" windowHeight="11160" firstSheet="1" activeTab="2" xr2:uid="{00000000-000D-0000-FFFF-FFFF00000000}"/>
  </bookViews>
  <sheets>
    <sheet name="21-28-GAYAZA RBT-KYEBANDO RBT" sheetId="1" r:id="rId1"/>
    <sheet name="21-28-KYEBANDO RBT-GAYAZA RBT" sheetId="2" r:id="rId2"/>
    <sheet name="21-28-KYEBANDO-GAYAZA 2DIR" sheetId="3" r:id="rId3"/>
  </sheets>
  <externalReferences>
    <externalReference r:id="rId4"/>
  </externalReferences>
  <definedNames>
    <definedName name="_xlnm.Print_Area" localSheetId="0">'21-28-GAYAZA RBT-KYEBANDO RBT'!$A$1:$W$58</definedName>
    <definedName name="_xlnm.Print_Area" localSheetId="1">'21-28-KYEBANDO RBT-GAYAZA RBT'!$A$1:$W$58</definedName>
    <definedName name="_xlnm.Print_Area" localSheetId="2">'21-28-KYEBANDO-GAYAZA 2DIR'!$A$1:$W$58</definedName>
    <definedName name="_xlnm.Print_Titles" localSheetId="0">'21-28-GAYAZA RBT-KYEBANDO RBT'!$1:$8</definedName>
    <definedName name="_xlnm.Print_Titles" localSheetId="1">'21-28-KYEBANDO RBT-GAYAZA RBT'!$1:$8</definedName>
    <definedName name="_xlnm.Print_Titles" localSheetId="2">'21-28-KYEBANDO-GAYAZA 2DIR'!$1:$8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3" i="3" l="1"/>
  <c r="AC16" i="3" s="1"/>
  <c r="AB13" i="3"/>
  <c r="AB16" i="3" s="1"/>
  <c r="AC14" i="3" l="1"/>
  <c r="AB15" i="3"/>
  <c r="AB14" i="3"/>
  <c r="AC15" i="3"/>
  <c r="D11" i="1" l="1"/>
  <c r="E11" i="1"/>
  <c r="F11" i="1"/>
  <c r="G11" i="1"/>
  <c r="H11" i="1"/>
  <c r="I11" i="1"/>
  <c r="J11" i="1"/>
  <c r="K11" i="1"/>
  <c r="L11" i="1"/>
  <c r="M11" i="1"/>
  <c r="N11" i="1"/>
  <c r="D12" i="1"/>
  <c r="E12" i="1"/>
  <c r="F12" i="1"/>
  <c r="G12" i="1"/>
  <c r="H12" i="1"/>
  <c r="I12" i="1"/>
  <c r="J12" i="1"/>
  <c r="K12" i="1"/>
  <c r="L12" i="1"/>
  <c r="M12" i="1"/>
  <c r="N12" i="1"/>
  <c r="D13" i="1"/>
  <c r="E13" i="1"/>
  <c r="F13" i="1"/>
  <c r="G13" i="1"/>
  <c r="H13" i="1"/>
  <c r="I13" i="1"/>
  <c r="J13" i="1"/>
  <c r="K13" i="1"/>
  <c r="L13" i="1"/>
  <c r="M13" i="1"/>
  <c r="N13" i="1"/>
  <c r="D14" i="1"/>
  <c r="E14" i="1"/>
  <c r="F14" i="1"/>
  <c r="G14" i="1"/>
  <c r="H14" i="1"/>
  <c r="I14" i="1"/>
  <c r="J14" i="1"/>
  <c r="K14" i="1"/>
  <c r="L14" i="1"/>
  <c r="M14" i="1"/>
  <c r="N14" i="1"/>
  <c r="D15" i="1"/>
  <c r="E15" i="1"/>
  <c r="F15" i="1"/>
  <c r="G15" i="1"/>
  <c r="H15" i="1"/>
  <c r="I15" i="1"/>
  <c r="J15" i="1"/>
  <c r="K15" i="1"/>
  <c r="L15" i="1"/>
  <c r="M15" i="1"/>
  <c r="N15" i="1"/>
  <c r="D16" i="1"/>
  <c r="E16" i="1"/>
  <c r="F16" i="1"/>
  <c r="G16" i="1"/>
  <c r="H16" i="1"/>
  <c r="I16" i="1"/>
  <c r="J16" i="1"/>
  <c r="K16" i="1"/>
  <c r="L16" i="1"/>
  <c r="M16" i="1"/>
  <c r="N16" i="1"/>
  <c r="E10" i="1"/>
  <c r="F10" i="1"/>
  <c r="G10" i="1"/>
  <c r="H10" i="1"/>
  <c r="I10" i="1"/>
  <c r="J10" i="1"/>
  <c r="K10" i="1"/>
  <c r="L10" i="1"/>
  <c r="M10" i="1"/>
  <c r="N10" i="1"/>
  <c r="D11" i="2"/>
  <c r="E11" i="2"/>
  <c r="F11" i="2"/>
  <c r="G11" i="2"/>
  <c r="H11" i="2"/>
  <c r="I11" i="2"/>
  <c r="J11" i="2"/>
  <c r="K11" i="2"/>
  <c r="L11" i="2"/>
  <c r="M11" i="2"/>
  <c r="N11" i="2"/>
  <c r="D12" i="2"/>
  <c r="E12" i="2"/>
  <c r="F12" i="2"/>
  <c r="G12" i="2"/>
  <c r="H12" i="2"/>
  <c r="I12" i="2"/>
  <c r="J12" i="2"/>
  <c r="K12" i="2"/>
  <c r="L12" i="2"/>
  <c r="M12" i="2"/>
  <c r="N12" i="2"/>
  <c r="D13" i="2"/>
  <c r="E13" i="2"/>
  <c r="F13" i="2"/>
  <c r="G13" i="2"/>
  <c r="H13" i="2"/>
  <c r="I13" i="2"/>
  <c r="J13" i="2"/>
  <c r="K13" i="2"/>
  <c r="L13" i="2"/>
  <c r="M13" i="2"/>
  <c r="N13" i="2"/>
  <c r="D14" i="2"/>
  <c r="E14" i="2"/>
  <c r="F14" i="2"/>
  <c r="G14" i="2"/>
  <c r="H14" i="2"/>
  <c r="I14" i="2"/>
  <c r="J14" i="2"/>
  <c r="K14" i="2"/>
  <c r="L14" i="2"/>
  <c r="M14" i="2"/>
  <c r="N14" i="2"/>
  <c r="D15" i="2"/>
  <c r="E15" i="2"/>
  <c r="F15" i="2"/>
  <c r="G15" i="2"/>
  <c r="H15" i="2"/>
  <c r="I15" i="2"/>
  <c r="J15" i="2"/>
  <c r="K15" i="2"/>
  <c r="L15" i="2"/>
  <c r="M15" i="2"/>
  <c r="N15" i="2"/>
  <c r="D16" i="2"/>
  <c r="E16" i="2"/>
  <c r="F16" i="2"/>
  <c r="G16" i="2"/>
  <c r="H16" i="2"/>
  <c r="I16" i="2"/>
  <c r="J16" i="2"/>
  <c r="K16" i="2"/>
  <c r="L16" i="2"/>
  <c r="M16" i="2"/>
  <c r="N16" i="2"/>
  <c r="E10" i="2"/>
  <c r="F10" i="2"/>
  <c r="G10" i="2"/>
  <c r="H10" i="2"/>
  <c r="I10" i="2"/>
  <c r="J10" i="2"/>
  <c r="K10" i="2"/>
  <c r="L10" i="2"/>
  <c r="M10" i="2"/>
  <c r="N10" i="2"/>
  <c r="D10" i="2"/>
  <c r="D10" i="1"/>
  <c r="C11" i="3" l="1"/>
  <c r="D11" i="3"/>
  <c r="E11" i="3"/>
  <c r="F11" i="3"/>
  <c r="G11" i="3"/>
  <c r="H11" i="3"/>
  <c r="I11" i="3"/>
  <c r="J11" i="3"/>
  <c r="K11" i="3"/>
  <c r="L11" i="3"/>
  <c r="M11" i="3"/>
  <c r="N11" i="3"/>
  <c r="C12" i="3"/>
  <c r="D12" i="3"/>
  <c r="E12" i="3"/>
  <c r="F12" i="3"/>
  <c r="G12" i="3"/>
  <c r="H12" i="3"/>
  <c r="I12" i="3"/>
  <c r="J12" i="3"/>
  <c r="K12" i="3"/>
  <c r="L12" i="3"/>
  <c r="M12" i="3"/>
  <c r="N12" i="3"/>
  <c r="C13" i="3"/>
  <c r="D13" i="3"/>
  <c r="E13" i="3"/>
  <c r="F13" i="3"/>
  <c r="G13" i="3"/>
  <c r="H13" i="3"/>
  <c r="I13" i="3"/>
  <c r="J13" i="3"/>
  <c r="K13" i="3"/>
  <c r="L13" i="3"/>
  <c r="M13" i="3"/>
  <c r="N13" i="3"/>
  <c r="C14" i="3"/>
  <c r="D14" i="3"/>
  <c r="E14" i="3"/>
  <c r="F14" i="3"/>
  <c r="G14" i="3"/>
  <c r="H14" i="3"/>
  <c r="I14" i="3"/>
  <c r="J14" i="3"/>
  <c r="K14" i="3"/>
  <c r="L14" i="3"/>
  <c r="M14" i="3"/>
  <c r="N14" i="3"/>
  <c r="C15" i="3"/>
  <c r="D15" i="3"/>
  <c r="E15" i="3"/>
  <c r="F15" i="3"/>
  <c r="G15" i="3"/>
  <c r="H15" i="3"/>
  <c r="I15" i="3"/>
  <c r="J15" i="3"/>
  <c r="K15" i="3"/>
  <c r="L15" i="3"/>
  <c r="M15" i="3"/>
  <c r="N15" i="3"/>
  <c r="C16" i="3"/>
  <c r="D16" i="3"/>
  <c r="E16" i="3"/>
  <c r="F16" i="3"/>
  <c r="G16" i="3"/>
  <c r="H16" i="3"/>
  <c r="I16" i="3"/>
  <c r="J16" i="3"/>
  <c r="K16" i="3"/>
  <c r="L16" i="3"/>
  <c r="M16" i="3"/>
  <c r="N16" i="3"/>
  <c r="D10" i="3"/>
  <c r="E10" i="3"/>
  <c r="F10" i="3"/>
  <c r="G10" i="3"/>
  <c r="H10" i="3"/>
  <c r="I10" i="3"/>
  <c r="J10" i="3"/>
  <c r="K10" i="3"/>
  <c r="L10" i="3"/>
  <c r="M10" i="3"/>
  <c r="N10" i="3"/>
  <c r="C10" i="3"/>
  <c r="O10" i="3" l="1"/>
  <c r="P10" i="3"/>
  <c r="O11" i="3"/>
  <c r="P11" i="3"/>
  <c r="O12" i="3"/>
  <c r="P12" i="3"/>
  <c r="O13" i="3"/>
  <c r="P13" i="3"/>
  <c r="O14" i="3"/>
  <c r="P14" i="3"/>
  <c r="O15" i="3"/>
  <c r="P15" i="3"/>
  <c r="O16" i="3"/>
  <c r="P16" i="3"/>
  <c r="C17" i="3"/>
  <c r="D17" i="3"/>
  <c r="E17" i="3"/>
  <c r="F17" i="3"/>
  <c r="G17" i="3"/>
  <c r="H17" i="3"/>
  <c r="I17" i="3"/>
  <c r="J17" i="3"/>
  <c r="K17" i="3"/>
  <c r="L17" i="3"/>
  <c r="M17" i="3"/>
  <c r="N17" i="3"/>
  <c r="P18" i="3" l="1"/>
  <c r="O17" i="3"/>
  <c r="G19" i="3" s="1"/>
  <c r="I19" i="3"/>
  <c r="P17" i="3"/>
  <c r="N18" i="3" s="1"/>
  <c r="O18" i="3"/>
  <c r="K19" i="3"/>
  <c r="F19" i="3"/>
  <c r="D19" i="3"/>
  <c r="E19" i="3" l="1"/>
  <c r="J19" i="3"/>
  <c r="M19" i="3"/>
  <c r="H19" i="3"/>
  <c r="L19" i="3"/>
  <c r="N19" i="3"/>
  <c r="F18" i="3"/>
  <c r="J18" i="3"/>
  <c r="H18" i="3"/>
  <c r="K18" i="3"/>
  <c r="D18" i="3"/>
  <c r="E18" i="3"/>
  <c r="G18" i="3"/>
  <c r="I18" i="3"/>
  <c r="M18" i="3"/>
  <c r="C18" i="3"/>
  <c r="L18" i="3"/>
  <c r="N17" i="2"/>
  <c r="M17" i="2"/>
  <c r="L17" i="2"/>
  <c r="K17" i="2"/>
  <c r="J17" i="2"/>
  <c r="I17" i="2"/>
  <c r="H17" i="2"/>
  <c r="G17" i="2"/>
  <c r="F17" i="2"/>
  <c r="E17" i="2"/>
  <c r="D17" i="2"/>
  <c r="P16" i="2"/>
  <c r="P15" i="2"/>
  <c r="P14" i="2"/>
  <c r="P13" i="2"/>
  <c r="P12" i="2"/>
  <c r="P11" i="1"/>
  <c r="P12" i="1"/>
  <c r="P13" i="1"/>
  <c r="P14" i="1"/>
  <c r="P15" i="1"/>
  <c r="P16" i="1"/>
  <c r="P10" i="1"/>
  <c r="D17" i="1"/>
  <c r="E17" i="1"/>
  <c r="F17" i="1"/>
  <c r="G17" i="1"/>
  <c r="H17" i="1"/>
  <c r="I17" i="1"/>
  <c r="J17" i="1"/>
  <c r="K17" i="1"/>
  <c r="L17" i="1"/>
  <c r="M17" i="1"/>
  <c r="N17" i="1"/>
  <c r="C17" i="1"/>
  <c r="O17" i="1" l="1"/>
  <c r="E19" i="1" s="1"/>
  <c r="P17" i="1"/>
  <c r="C18" i="1" s="1"/>
  <c r="O17" i="2"/>
  <c r="G19" i="2" s="1"/>
  <c r="O18" i="2"/>
  <c r="L19" i="1" l="1"/>
  <c r="H19" i="1"/>
  <c r="I19" i="1"/>
  <c r="K19" i="1"/>
  <c r="G19" i="1"/>
  <c r="M19" i="1"/>
  <c r="F19" i="1"/>
  <c r="D19" i="1"/>
  <c r="N19" i="1"/>
  <c r="K19" i="2"/>
  <c r="L19" i="2"/>
  <c r="H19" i="2"/>
  <c r="E19" i="2"/>
  <c r="F19" i="2"/>
  <c r="M19" i="2"/>
  <c r="N19" i="2"/>
  <c r="D19" i="2"/>
  <c r="I19" i="2"/>
  <c r="J19" i="2"/>
  <c r="J19" i="1"/>
  <c r="F18" i="1" l="1"/>
  <c r="E18" i="1" l="1"/>
  <c r="K18" i="1"/>
  <c r="M18" i="1"/>
  <c r="I18" i="1"/>
  <c r="D18" i="1"/>
  <c r="L18" i="1"/>
  <c r="H18" i="1"/>
  <c r="G18" i="1"/>
  <c r="N18" i="1"/>
  <c r="J18" i="1"/>
  <c r="P18" i="1"/>
  <c r="O18" i="1" l="1"/>
  <c r="P10" i="2"/>
  <c r="P11" i="2"/>
  <c r="C17" i="2"/>
  <c r="P18" i="2" l="1"/>
  <c r="P17" i="2"/>
  <c r="M18" i="2" s="1"/>
  <c r="F18" i="2" l="1"/>
  <c r="C18" i="2"/>
  <c r="G18" i="2"/>
  <c r="J18" i="2"/>
  <c r="I18" i="2"/>
  <c r="H18" i="2"/>
  <c r="L18" i="2"/>
  <c r="K18" i="2"/>
  <c r="N18" i="2"/>
  <c r="E18" i="2"/>
  <c r="D18" i="2"/>
</calcChain>
</file>

<file path=xl/sharedStrings.xml><?xml version="1.0" encoding="utf-8"?>
<sst xmlns="http://schemas.openxmlformats.org/spreadsheetml/2006/main" count="123" uniqueCount="45">
  <si>
    <t>Consultancy services for Preparation of Expressway Development Master Plan (EDMP) for Uganda</t>
  </si>
  <si>
    <t>ROAD NAME:</t>
  </si>
  <si>
    <t>Date</t>
  </si>
  <si>
    <t xml:space="preserve">  Location</t>
  </si>
  <si>
    <t>Surveyor</t>
  </si>
  <si>
    <t>Dir. From</t>
  </si>
  <si>
    <t xml:space="preserve">  Dir. To</t>
  </si>
  <si>
    <t>Supervisor</t>
  </si>
  <si>
    <t>Time / Veh Type</t>
  </si>
  <si>
    <t>SUMMARY TRAFFIC VOLUMES</t>
  </si>
  <si>
    <t>Total Excl M/ Cycles</t>
  </si>
  <si>
    <t>%ges + MCs</t>
  </si>
  <si>
    <t>%ges w/o MCs</t>
  </si>
  <si>
    <t>IVAN</t>
  </si>
  <si>
    <t>ATC</t>
  </si>
  <si>
    <t>1.Motorcycles</t>
  </si>
  <si>
    <t>Mon</t>
  </si>
  <si>
    <t>THU</t>
  </si>
  <si>
    <t>FRI</t>
  </si>
  <si>
    <t>SAT</t>
  </si>
  <si>
    <t>TUE</t>
  </si>
  <si>
    <t>WED</t>
  </si>
  <si>
    <t>SUN</t>
  </si>
  <si>
    <t>Average daily volume</t>
  </si>
  <si>
    <t xml:space="preserve"> Total All</t>
  </si>
  <si>
    <t>WEEKLY TRAFFIC VOLUMES</t>
  </si>
  <si>
    <t>21.01.2020 TO 28.01.2020</t>
  </si>
  <si>
    <t xml:space="preserve">ATC - STN27-NORTHERN BYPASS RD </t>
  </si>
  <si>
    <t>GAYAZA RD RBT</t>
  </si>
  <si>
    <t>KYEBANDO RBT</t>
  </si>
  <si>
    <t>GAYAZA ROAD RBT</t>
  </si>
  <si>
    <t>AUTOMATED TRAFFIC COUNT (ATC)</t>
  </si>
  <si>
    <t>ATC - STN27-BOTH DIRECTIONS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</si>
  <si>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</si>
  <si>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</si>
  <si>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</si>
  <si>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</si>
  <si>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</si>
  <si>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</si>
  <si>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</si>
  <si>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</si>
  <si>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</si>
  <si>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</si>
  <si>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12. Tractors</t>
  </si>
  <si>
    <t>4. Minibus matatu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</si>
</sst>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/>
    <xf numFmtId="0" fontId="0" fillId="0" borderId="4" xfId="0" applyBorder="1"/>
    <xf numFmtId="0" fontId="10" fillId="2" borderId="1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9" fontId="0" fillId="0" borderId="0" xfId="1" applyFont="1"/>
    <xf numFmtId="1" fontId="2" fillId="0" borderId="6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164" fontId="0" fillId="0" borderId="0" xfId="0" applyNumberFormat="1"/>
    <xf numFmtId="0" fontId="9" fillId="0" borderId="4" xfId="0" applyFont="1" applyBorder="1" applyAlignment="1">
      <alignment horizontal="center" vertical="center" wrapText="1"/>
    </xf>
    <xf numFmtId="0" fontId="5" fillId="0" borderId="0" xfId="0" applyFont="1" applyBorder="1" applyAlignment="1"/>
    <xf numFmtId="0" fontId="9" fillId="0" borderId="4" xfId="0" applyFont="1" applyBorder="1" applyAlignment="1">
      <alignment horizontal="left" vertical="center" wrapText="1"/>
    </xf>
    <xf numFmtId="9" fontId="2" fillId="0" borderId="4" xfId="1" applyFont="1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1" fontId="0" fillId="0" borderId="4" xfId="0" applyNumberFormat="1" applyBorder="1" applyAlignment="1"/>
    <xf numFmtId="1" fontId="0" fillId="0" borderId="4" xfId="0" applyNumberFormat="1" applyBorder="1" applyAlignment="1">
      <alignment horizontal="right"/>
    </xf>
    <xf numFmtId="164" fontId="13" fillId="0" borderId="0" xfId="1" applyNumberFormat="1" applyFont="1" applyAlignment="1">
      <alignment horizontal="center"/>
    </xf>
    <xf numFmtId="164" fontId="13" fillId="0" borderId="0" xfId="1" applyNumberFormat="1" applyFont="1"/>
    <xf numFmtId="0" fontId="2" fillId="0" borderId="4" xfId="0" applyFont="1" applyBorder="1" applyAlignment="1">
      <alignment horizontal="center" vertical="center" wrapText="1"/>
    </xf>
    <xf numFmtId="1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5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'21-28-GAYAZA RBT-KYEBANDO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'21-28-GAYAZA RBT-KYEBANDO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'21-28-GAYAZA RBT-KYEBANDO RBT'!$O$10:$O$16</c:f>
              <c:numCache>
                <c:formatCode>0</c:formatCode>
                <c:ptCount val="7"/>
                <c:pt idx="0">
                  <c:v>14749</c:v>
                </c:pt>
                <c:pt idx="1">
                  <c:v>14349</c:v>
                </c:pt>
                <c:pt idx="2">
                  <c:v>13450</c:v>
                </c:pt>
                <c:pt idx="3">
                  <c:v>14581</c:v>
                </c:pt>
                <c:pt idx="4">
                  <c:v>14955</c:v>
                </c:pt>
                <c:pt idx="5">
                  <c:v>14661</c:v>
                </c:pt>
                <c:pt idx="6">
                  <c:v>13726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32-4FEA-9337-4E2FD7646512}"/>
            </c:ext>
          </c:extLst>
        </c:ser>
        <c:ser>
          <c:idx val="1"/>
          <c:order val="1"/>
          <c:tx>
            <c:strRef>
              <c:f>'21-28-GAYAZA RBT-KYEBANDO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'21-28-GAYAZA RBT-KYEBANDO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'21-28-GAYAZA RBT-KYEBANDO RBT'!$P$10:$P$16</c:f>
              <c:numCache>
                <c:formatCode>0</c:formatCode>
                <c:ptCount val="7"/>
                <c:pt idx="0">
                  <c:v>18432.999999999996</c:v>
                </c:pt>
                <c:pt idx="1">
                  <c:v>18527.999999999996</c:v>
                </c:pt>
                <c:pt idx="2">
                  <c:v>17733.999999999993</c:v>
                </c:pt>
                <c:pt idx="3">
                  <c:v>18916.999999999996</c:v>
                </c:pt>
                <c:pt idx="4">
                  <c:v>18926.999999999996</c:v>
                </c:pt>
                <c:pt idx="5">
                  <c:v>18630.999999999996</c:v>
                </c:pt>
                <c:pt idx="6">
                  <c:v>18556.999999999996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32-4FEA-9337-4E2FD7646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'21-28-GAYAZA RBT-KYEBANDO RBT'!$C$18:$N$18</c:f>
              <c:strCache>
                <c:ptCount val="12"/>
                <c:pt idx="0">
                  <c:v>23%</c:v>
                </c:pt>
                <c:pt idx="1">
                  <c:v>36%</c:v>
                </c:pt>
                <c:pt idx="2">
                  <c:v>6%</c:v>
                </c:pt>
                <c:pt idx="3">
                  <c:v>5%</c:v>
                </c:pt>
                <c:pt idx="4">
                  <c:v>15%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458-40FA-AC31-D48FDE464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458-40FA-AC31-D48FDE464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458-40FA-AC31-D48FDE464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458-40FA-AC31-D48FDE464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458-40FA-AC31-D48FDE464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458-40FA-AC31-D48FDE464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458-40FA-AC31-D48FDE464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458-40FA-AC31-D48FDE464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458-40FA-AC31-D48FDE464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458-40FA-AC31-D48FDE464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458-40FA-AC31-D48FDE464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458-40FA-AC31-D48FDE46438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458-40FA-AC31-D48FDE4643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'21-28-GAYAZA RBT-KYEBANDO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458-40FA-AC31-D48FDE464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'21-28-GAYAZA RBT-KYEBANDO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5EE-4E36-A14A-A997E962A1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5EE-4E36-A14A-A997E962A1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5EE-4E36-A14A-A997E962A1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5EE-4E36-A14A-A997E962A1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5EE-4E36-A14A-A997E962A1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5EE-4E36-A14A-A997E962A1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5EE-4E36-A14A-A997E962A1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5EE-4E36-A14A-A997E962A16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5EE-4E36-A14A-A997E962A16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5EE-4E36-A14A-A997E962A16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5EE-4E36-A14A-A997E962A16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5EE-4E36-A14A-A997E962A16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5EE-4E36-A14A-A997E962A1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'21-28-GAYAZA RBT-KYEBANDO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EE-4E36-A14A-A997E962A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30571164873657"/>
          <c:y val="0.14189235127478753"/>
          <c:w val="0.74266939327419168"/>
          <c:h val="0.68825054092034532"/>
        </c:manualLayout>
      </c:layout>
      <c:lineChart>
        <c:grouping val="standard"/>
        <c:varyColors val="0"/>
        <c:ser>
          <c:idx val="0"/>
          <c:order val="0"/>
          <c:tx>
            <c:strRef>
              <c:f>'21-28-KYEBANDO RBT-GAYAZA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'21-28-KYEBANDO RBT-GAYAZA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'21-28-KYEBANDO RBT-GAYAZA RBT'!$O$10:$O$16</c:f>
              <c:numCache>
                <c:formatCode>0</c:formatCode>
                <c:ptCount val="7"/>
                <c:pt idx="0">
                  <c:v>13845</c:v>
                </c:pt>
                <c:pt idx="1">
                  <c:v>13546</c:v>
                </c:pt>
                <c:pt idx="2">
                  <c:v>12645</c:v>
                </c:pt>
                <c:pt idx="3">
                  <c:v>13930</c:v>
                </c:pt>
                <c:pt idx="4">
                  <c:v>14227</c:v>
                </c:pt>
                <c:pt idx="5">
                  <c:v>13470</c:v>
                </c:pt>
                <c:pt idx="6">
                  <c:v>13150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7A-47D0-B109-A9114B7F6EA2}"/>
            </c:ext>
          </c:extLst>
        </c:ser>
        <c:ser>
          <c:idx val="1"/>
          <c:order val="1"/>
          <c:tx>
            <c:strRef>
              <c:f>'21-28-KYEBANDO RBT-GAYAZA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'21-28-KYEBANDO RBT-GAYAZA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'21-28-KYEBANDO RBT-GAYAZA RBT'!$P$10:$P$16</c:f>
              <c:numCache>
                <c:formatCode>0</c:formatCode>
                <c:ptCount val="7"/>
                <c:pt idx="0">
                  <c:v>17816.999999999993</c:v>
                </c:pt>
                <c:pt idx="1">
                  <c:v>17885.999999999996</c:v>
                </c:pt>
                <c:pt idx="2">
                  <c:v>17256</c:v>
                </c:pt>
                <c:pt idx="3">
                  <c:v>18492.999999999996</c:v>
                </c:pt>
                <c:pt idx="4">
                  <c:v>18298.999999999996</c:v>
                </c:pt>
                <c:pt idx="5">
                  <c:v>17241.999999999993</c:v>
                </c:pt>
                <c:pt idx="6">
                  <c:v>18197.999999999996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7A-47D0-B109-A9114B7F6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'21-28-KYEBANDO RBT-GAYAZA RBT'!$C$18:$N$18</c:f>
              <c:strCache>
                <c:ptCount val="12"/>
                <c:pt idx="0">
                  <c:v>24%</c:v>
                </c:pt>
                <c:pt idx="1">
                  <c:v>35%</c:v>
                </c:pt>
                <c:pt idx="2">
                  <c:v>5%</c:v>
                </c:pt>
                <c:pt idx="3">
                  <c:v>5%</c:v>
                </c:pt>
                <c:pt idx="4">
                  <c:v>14%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2%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C0-43BE-ADDE-6EEEF26FE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C0-43BE-ADDE-6EEEF26FE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C0-43BE-ADDE-6EEEF26FE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C0-43BE-ADDE-6EEEF26FE9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C0-43BE-ADDE-6EEEF26FE9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C0-43BE-ADDE-6EEEF26FE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1C0-43BE-ADDE-6EEEF26FE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1C0-43BE-ADDE-6EEEF26FE9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1C0-43BE-ADDE-6EEEF26FE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1C0-43BE-ADDE-6EEEF26FE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1C0-43BE-ADDE-6EEEF26FE9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1C0-43BE-ADDE-6EEEF26FE9B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C0-43BE-ADDE-6EEEF26FE9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'21-28-KYEBANDO RBT-GAYAZA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1C0-43BE-ADDE-6EEEF26FE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'21-28-KYEBANDO RBT-GAYAZA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1B6-44FA-B163-D2897382F4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1B6-44FA-B163-D2897382F4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1B6-44FA-B163-D2897382F42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1B6-44FA-B163-D2897382F4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1B6-44FA-B163-D2897382F42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1B6-44FA-B163-D2897382F42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1B6-44FA-B163-D2897382F42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1B6-44FA-B163-D2897382F42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1B6-44FA-B163-D2897382F42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1B6-44FA-B163-D2897382F42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1B6-44FA-B163-D2897382F42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1B6-44FA-B163-D2897382F42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1B6-44FA-B163-D2897382F4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'21-28-KYEBANDO RBT-GAYAZA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1B6-44FA-B163-D2897382F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Average Weekly Traffic Variation - Gayza to Kyebando Rd  </a:t>
            </a:r>
            <a:endParaRPr lang="x-none"/>
          </a:p>
        </c:rich>
      </c:tx>
      <c:layout>
        <c:manualLayout>
          <c:xMode val="edge"/>
          <c:yMode val="edge"/>
          <c:x val="0.28018988085471691"/>
          <c:y val="2.96173835125448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530571164873657"/>
          <c:y val="9.6372535842293924E-2"/>
          <c:w val="0.83839587611604061"/>
          <c:h val="0.73377016129032269"/>
        </c:manualLayout>
      </c:layout>
      <c:lineChart>
        <c:grouping val="standard"/>
        <c:varyColors val="0"/>
        <c:ser>
          <c:idx val="0"/>
          <c:order val="0"/>
          <c:tx>
            <c:strRef>
              <c:f>'21-28-KYEBANDO-GAYAZA 2DIR'!$O$9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'21-28-KYEBANDO-GAYAZA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'21-28-KYEBANDO-GAYAZA 2DIR'!$O$10:$O$16</c:f>
              <c:numCache>
                <c:formatCode>0</c:formatCode>
                <c:ptCount val="7"/>
                <c:pt idx="0">
                  <c:v>28593.999999999985</c:v>
                </c:pt>
                <c:pt idx="1">
                  <c:v>27894.999999999993</c:v>
                </c:pt>
                <c:pt idx="2">
                  <c:v>26094.999999999993</c:v>
                </c:pt>
                <c:pt idx="3">
                  <c:v>28510.999999999993</c:v>
                </c:pt>
                <c:pt idx="4">
                  <c:v>29181.999999999989</c:v>
                </c:pt>
                <c:pt idx="5">
                  <c:v>28130.999999999989</c:v>
                </c:pt>
                <c:pt idx="6">
                  <c:v>26875.999999999993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CB-4A7D-B7F6-BE5BEC1BE97F}"/>
            </c:ext>
          </c:extLst>
        </c:ser>
        <c:ser>
          <c:idx val="1"/>
          <c:order val="1"/>
          <c:tx>
            <c:strRef>
              <c:f>'21-28-KYEBANDO-GAYAZA 2DIR'!$P$9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'21-28-KYEBANDO-GAYAZA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'21-28-KYEBANDO-GAYAZA 2DIR'!$P$10:$P$16</c:f>
              <c:numCache>
                <c:formatCode>0</c:formatCode>
                <c:ptCount val="7"/>
                <c:pt idx="0">
                  <c:v>36249.999999999985</c:v>
                </c:pt>
                <c:pt idx="1">
                  <c:v>36413.999999999985</c:v>
                </c:pt>
                <c:pt idx="2">
                  <c:v>34990</c:v>
                </c:pt>
                <c:pt idx="3">
                  <c:v>37409.999999999993</c:v>
                </c:pt>
                <c:pt idx="4">
                  <c:v>37225.999999999985</c:v>
                </c:pt>
                <c:pt idx="5">
                  <c:v>35872.999999999993</c:v>
                </c:pt>
                <c:pt idx="6">
                  <c:v>36754.999999999993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CB-4A7D-B7F6-BE5BEC1BE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150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/>
                  <a:t>Traffic Volume </a:t>
                </a:r>
              </a:p>
            </c:rich>
          </c:tx>
          <c:layout>
            <c:manualLayout>
              <c:xMode val="edge"/>
              <c:yMode val="edge"/>
              <c:x val="4.7071398200229063E-2"/>
              <c:y val="0.40135459838058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1792"/>
        <c:crosses val="autoZero"/>
        <c:crossBetween val="between"/>
        <c:majorUnit val="2500"/>
      </c:valAx>
      <c:spPr>
        <a:solidFill>
          <a:schemeClr val="bg1">
            <a:lumMod val="8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layout>
        <c:manualLayout>
          <c:xMode val="edge"/>
          <c:yMode val="edge"/>
          <c:x val="0.13228249158249158"/>
          <c:y val="2.2577777777777776E-2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'21-28-KYEBANDO-GAYAZA 2DIR'!$C$18:$N$18</c:f>
              <c:strCache>
                <c:ptCount val="12"/>
                <c:pt idx="0">
                  <c:v>23%</c:v>
                </c:pt>
                <c:pt idx="1">
                  <c:v>36%</c:v>
                </c:pt>
                <c:pt idx="2">
                  <c:v>5%</c:v>
                </c:pt>
                <c:pt idx="3">
                  <c:v>5%</c:v>
                </c:pt>
                <c:pt idx="4">
                  <c:v>15%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2%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7FB-4573-A76A-8975108458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7FB-4573-A76A-8975108458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7FB-4573-A76A-8975108458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7FB-4573-A76A-8975108458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7FB-4573-A76A-8975108458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7FB-4573-A76A-8975108458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7FB-4573-A76A-8975108458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7FB-4573-A76A-8975108458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7FB-4573-A76A-8975108458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7FB-4573-A76A-8975108458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7FB-4573-A76A-8975108458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7FB-4573-A76A-89751084582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7FB-4573-A76A-8975108458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'21-28-KYEBANDO-GAYAZA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7FB-4573-A76A-897510845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'21-28-KYEBANDO-GAYAZA 2DIR'!$D$19:$N$19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8CF-4E22-83A3-3234C91042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8CF-4E22-83A3-3234C91042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8CF-4E22-83A3-3234C91042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8CF-4E22-83A3-3234C91042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8CF-4E22-83A3-3234C91042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8CF-4E22-83A3-3234C910426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8CF-4E22-83A3-3234C910426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8CF-4E22-83A3-3234C910426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8CF-4E22-83A3-3234C910426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8CF-4E22-83A3-3234C910426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8CF-4E22-83A3-3234C910426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8CF-4E22-83A3-3234C910426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8CF-4E22-83A3-3234C91042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'21-28-KYEBANDO-GAYAZA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8CF-4E22-83A3-3234C9104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35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39</xdr:row>
      <xdr:rowOff>206375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206373</xdr:colOff>
      <xdr:row>19</xdr:row>
      <xdr:rowOff>206375</xdr:rowOff>
    </xdr:from>
    <xdr:to>
      <xdr:col>9</xdr:col>
      <xdr:colOff>811373</xdr:colOff>
      <xdr:row>35</xdr:row>
      <xdr:rowOff>134375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19048</xdr:colOff>
      <xdr:row>19</xdr:row>
      <xdr:rowOff>206374</xdr:rowOff>
    </xdr:from>
    <xdr:to>
      <xdr:col>22</xdr:col>
      <xdr:colOff>450423</xdr:colOff>
      <xdr:row>35</xdr:row>
      <xdr:rowOff>134374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873125</xdr:colOff>
      <xdr:row>19</xdr:row>
      <xdr:rowOff>206375</xdr:rowOff>
    </xdr:from>
    <xdr:to>
      <xdr:col>14</xdr:col>
      <xdr:colOff>891750</xdr:colOff>
      <xdr:row>35</xdr:row>
      <xdr:rowOff>134375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R.O/Desktop/STN-C1-RD-1A-SALAMA%20ROAD/MCC%20DATA/MCC-C1-STN1A-%20SALAM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proportions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07">
          <cell r="C107">
            <v>0.12930183209716614</v>
          </cell>
          <cell r="D107">
            <v>4.7988984766631639E-2</v>
          </cell>
          <cell r="E107">
            <v>1.3401469889907276E-2</v>
          </cell>
          <cell r="F107">
            <v>0.15237739492909838</v>
          </cell>
          <cell r="G107">
            <v>1.6530797551375614E-3</v>
          </cell>
          <cell r="H107">
            <v>3.3379495055662294E-4</v>
          </cell>
          <cell r="I107">
            <v>1.1366910191276423E-2</v>
          </cell>
          <cell r="J107">
            <v>2.1160215615643068E-3</v>
          </cell>
          <cell r="K107">
            <v>1.8398459774728146E-3</v>
          </cell>
          <cell r="L107">
            <v>1.4106810410428709E-4</v>
          </cell>
          <cell r="M107">
            <v>0.63936435904415434</v>
          </cell>
          <cell r="N107">
            <v>1.1523873293026267E-4</v>
          </cell>
        </row>
        <row r="108">
          <cell r="C108">
            <v>0.35853869505093411</v>
          </cell>
          <cell r="D108">
            <v>0.13306778176288778</v>
          </cell>
          <cell r="E108">
            <v>3.7160691756331646E-2</v>
          </cell>
          <cell r="F108">
            <v>0.42252450291721066</v>
          </cell>
          <cell r="G108">
            <v>4.5837947429604037E-3</v>
          </cell>
          <cell r="H108">
            <v>9.2557393848238909E-4</v>
          </cell>
          <cell r="I108">
            <v>3.1519098226534203E-2</v>
          </cell>
          <cell r="J108">
            <v>5.8674776457365756E-3</v>
          </cell>
          <cell r="K108">
            <v>5.1016753990160259E-3</v>
          </cell>
          <cell r="L108">
            <v>3.9116517638243829E-4</v>
          </cell>
          <cell r="M108">
            <v>3.9116502739489079E-4</v>
          </cell>
          <cell r="N108">
            <v>3.1954338352368198E-4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D151"/>
  <sheetViews>
    <sheetView view="pageBreakPreview" zoomScale="60" workbookViewId="0">
      <selection activeCell="D10" sqref="D10:N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9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0" t="s">
        <v>31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3" t="s">
        <v>27</v>
      </c>
      <c r="D3" s="33"/>
      <c r="E3" s="33"/>
      <c r="F3" s="33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2" t="s">
        <v>26</v>
      </c>
      <c r="E5" s="32"/>
      <c r="F5" s="4" t="s">
        <v>3</v>
      </c>
      <c r="G5" s="34"/>
      <c r="H5" s="35"/>
      <c r="I5" s="5"/>
      <c r="J5" s="3" t="s">
        <v>4</v>
      </c>
      <c r="K5" s="34" t="s">
        <v>14</v>
      </c>
      <c r="L5" s="35"/>
      <c r="M5" s="2"/>
      <c r="N5" s="2"/>
    </row>
    <row r="6" spans="2:30" ht="23.25" customHeight="1" x14ac:dyDescent="0.25">
      <c r="C6" s="3" t="s">
        <v>5</v>
      </c>
      <c r="D6" s="36" t="s">
        <v>28</v>
      </c>
      <c r="E6" s="37"/>
      <c r="F6" s="3" t="s">
        <v>6</v>
      </c>
      <c r="G6" s="36" t="s">
        <v>29</v>
      </c>
      <c r="H6" s="37"/>
      <c r="J6" s="3" t="s">
        <v>7</v>
      </c>
      <c r="K6" s="36" t="s">
        <v>13</v>
      </c>
      <c r="L6" s="37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1" t="s">
        <v>9</v>
      </c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R8"/>
      <c r="S8"/>
    </row>
    <row r="9" spans="2:30" ht="98.25" customHeight="1" x14ac:dyDescent="0.25">
      <c r="B9" s="14" t="s">
        <v>8</v>
      </c>
      <c r="C9" s="26" t="s">
        <v>15</v>
      </c>
      <c r="D9" s="26" t="s">
        <v>33</v>
      </c>
      <c r="E9" s="26" t="s">
        <v>34</v>
      </c>
      <c r="F9" s="26" t="s">
        <v>35</v>
      </c>
      <c r="G9" s="26" t="s">
        <v>36</v>
      </c>
      <c r="H9" s="26" t="s">
        <v>37</v>
      </c>
      <c r="I9" s="26" t="s">
        <v>38</v>
      </c>
      <c r="J9" s="26" t="s">
        <v>39</v>
      </c>
      <c r="K9" s="26" t="s">
        <v>40</v>
      </c>
      <c r="L9" s="26" t="s">
        <v>41</v>
      </c>
      <c r="M9" s="26" t="s">
        <v>42</v>
      </c>
      <c r="N9" s="26" t="s">
        <v>43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23">
        <v>3684</v>
      </c>
      <c r="D10" s="8">
        <f>$O10*D$20</f>
        <v>6839.7177321286927</v>
      </c>
      <c r="E10" s="8">
        <f t="shared" ref="E10:N16" si="0">$O10*E$20</f>
        <v>1058.4179824902419</v>
      </c>
      <c r="F10" s="8">
        <f t="shared" si="0"/>
        <v>966.76854463744189</v>
      </c>
      <c r="G10" s="8">
        <f t="shared" si="0"/>
        <v>2796.0876545321653</v>
      </c>
      <c r="H10" s="8">
        <f t="shared" si="0"/>
        <v>178.75768734352403</v>
      </c>
      <c r="I10" s="8">
        <f t="shared" si="0"/>
        <v>59.723507549722413</v>
      </c>
      <c r="J10" s="8">
        <f t="shared" si="0"/>
        <v>1082.1789478594862</v>
      </c>
      <c r="K10" s="8">
        <f t="shared" si="0"/>
        <v>893.19211905391296</v>
      </c>
      <c r="L10" s="8">
        <f t="shared" si="0"/>
        <v>396.00079929090145</v>
      </c>
      <c r="M10" s="8">
        <f t="shared" si="0"/>
        <v>477.46696627116796</v>
      </c>
      <c r="N10" s="8">
        <f t="shared" si="0"/>
        <v>0.68805884273873752</v>
      </c>
      <c r="O10" s="9">
        <v>14749</v>
      </c>
      <c r="P10" s="9">
        <f>SUM(C10:N10)</f>
        <v>18432.999999999996</v>
      </c>
      <c r="R10"/>
      <c r="S10"/>
    </row>
    <row r="11" spans="2:30" s="10" customFormat="1" ht="23.1" customHeight="1" x14ac:dyDescent="0.25">
      <c r="B11" s="6" t="s">
        <v>20</v>
      </c>
      <c r="C11" s="23">
        <v>4179</v>
      </c>
      <c r="D11" s="8">
        <f t="shared" ref="D11:D16" si="1">$O11*D$20</f>
        <v>6654.2212853966112</v>
      </c>
      <c r="E11" s="8">
        <f t="shared" si="0"/>
        <v>1029.7131758595485</v>
      </c>
      <c r="F11" s="8">
        <f t="shared" si="0"/>
        <v>940.54931500458702</v>
      </c>
      <c r="G11" s="8">
        <f t="shared" si="0"/>
        <v>2720.2564075450564</v>
      </c>
      <c r="H11" s="8">
        <f t="shared" si="0"/>
        <v>173.90969256846066</v>
      </c>
      <c r="I11" s="8">
        <f t="shared" si="0"/>
        <v>58.103777193773603</v>
      </c>
      <c r="J11" s="8">
        <f t="shared" si="0"/>
        <v>1052.8297323775014</v>
      </c>
      <c r="K11" s="8">
        <f t="shared" si="0"/>
        <v>868.96831760150496</v>
      </c>
      <c r="L11" s="8">
        <f t="shared" si="0"/>
        <v>385.26106644688758</v>
      </c>
      <c r="M11" s="8">
        <f t="shared" si="0"/>
        <v>464.51783165129768</v>
      </c>
      <c r="N11" s="8">
        <f t="shared" si="0"/>
        <v>0.66939835476697707</v>
      </c>
      <c r="O11" s="9">
        <v>14349</v>
      </c>
      <c r="P11" s="9">
        <f t="shared" ref="P11:P16" si="2">SUM(C11:N11)</f>
        <v>18527.999999999996</v>
      </c>
    </row>
    <row r="12" spans="2:30" ht="23.1" customHeight="1" x14ac:dyDescent="0.25">
      <c r="B12" s="6" t="s">
        <v>21</v>
      </c>
      <c r="C12" s="6">
        <v>4284</v>
      </c>
      <c r="D12" s="8">
        <f t="shared" si="1"/>
        <v>6237.3180213662572</v>
      </c>
      <c r="E12" s="8">
        <f t="shared" si="0"/>
        <v>965.19912295706513</v>
      </c>
      <c r="F12" s="8">
        <f t="shared" si="0"/>
        <v>881.62159640474567</v>
      </c>
      <c r="G12" s="8">
        <f t="shared" si="0"/>
        <v>2549.8256799415299</v>
      </c>
      <c r="H12" s="8">
        <f t="shared" si="0"/>
        <v>163.01382431150574</v>
      </c>
      <c r="I12" s="8">
        <f t="shared" si="0"/>
        <v>54.463433218778661</v>
      </c>
      <c r="J12" s="8">
        <f t="shared" si="0"/>
        <v>986.86737058174049</v>
      </c>
      <c r="K12" s="8">
        <f t="shared" si="0"/>
        <v>814.52532383721802</v>
      </c>
      <c r="L12" s="8">
        <f t="shared" si="0"/>
        <v>361.12351687996642</v>
      </c>
      <c r="M12" s="8">
        <f t="shared" si="0"/>
        <v>435.41465159313913</v>
      </c>
      <c r="N12" s="8">
        <f t="shared" si="0"/>
        <v>0.62745890805044535</v>
      </c>
      <c r="O12" s="9">
        <v>13450</v>
      </c>
      <c r="P12" s="9">
        <f t="shared" si="2"/>
        <v>17733.999999999993</v>
      </c>
      <c r="R12"/>
      <c r="S12"/>
    </row>
    <row r="13" spans="2:30" ht="23.1" customHeight="1" x14ac:dyDescent="0.25">
      <c r="B13" s="6" t="s">
        <v>17</v>
      </c>
      <c r="C13" s="6">
        <v>4336</v>
      </c>
      <c r="D13" s="8">
        <f t="shared" si="1"/>
        <v>6761.8092245012185</v>
      </c>
      <c r="E13" s="8">
        <f t="shared" si="0"/>
        <v>1046.3619637053507</v>
      </c>
      <c r="F13" s="8">
        <f t="shared" si="0"/>
        <v>955.75646819164285</v>
      </c>
      <c r="G13" s="8">
        <f t="shared" si="0"/>
        <v>2764.2385307975796</v>
      </c>
      <c r="H13" s="8">
        <f t="shared" si="0"/>
        <v>176.72152953799741</v>
      </c>
      <c r="I13" s="8">
        <f t="shared" si="0"/>
        <v>59.043220800223914</v>
      </c>
      <c r="J13" s="8">
        <f t="shared" si="0"/>
        <v>1069.8522773570526</v>
      </c>
      <c r="K13" s="8">
        <f t="shared" si="0"/>
        <v>883.01812244390158</v>
      </c>
      <c r="L13" s="8">
        <f t="shared" si="0"/>
        <v>391.49011149641564</v>
      </c>
      <c r="M13" s="8">
        <f t="shared" si="0"/>
        <v>472.02832973082246</v>
      </c>
      <c r="N13" s="8">
        <f t="shared" si="0"/>
        <v>0.68022143779059807</v>
      </c>
      <c r="O13" s="9">
        <v>14581</v>
      </c>
      <c r="P13" s="9">
        <f t="shared" si="2"/>
        <v>18916.999999999996</v>
      </c>
      <c r="R13"/>
      <c r="S13"/>
    </row>
    <row r="14" spans="2:30" ht="23.1" customHeight="1" x14ac:dyDescent="0.25">
      <c r="B14" s="6" t="s">
        <v>18</v>
      </c>
      <c r="C14" s="6">
        <v>3972</v>
      </c>
      <c r="D14" s="8">
        <f t="shared" si="1"/>
        <v>6935.2484021957152</v>
      </c>
      <c r="E14" s="8">
        <f t="shared" si="0"/>
        <v>1073.2009579050489</v>
      </c>
      <c r="F14" s="8">
        <f t="shared" si="0"/>
        <v>980.27144789836223</v>
      </c>
      <c r="G14" s="8">
        <f t="shared" si="0"/>
        <v>2835.1407467305262</v>
      </c>
      <c r="H14" s="8">
        <f t="shared" si="0"/>
        <v>181.25440465268164</v>
      </c>
      <c r="I14" s="8">
        <f t="shared" si="0"/>
        <v>60.557668683036049</v>
      </c>
      <c r="J14" s="8">
        <f t="shared" si="0"/>
        <v>1097.2937938327084</v>
      </c>
      <c r="K14" s="8">
        <f t="shared" si="0"/>
        <v>905.66737680190306</v>
      </c>
      <c r="L14" s="8">
        <f t="shared" si="0"/>
        <v>401.53176170556856</v>
      </c>
      <c r="M14" s="8">
        <f t="shared" si="0"/>
        <v>484.1357706004012</v>
      </c>
      <c r="N14" s="8">
        <f t="shared" si="0"/>
        <v>0.69766899404419414</v>
      </c>
      <c r="O14" s="9">
        <v>14955</v>
      </c>
      <c r="P14" s="9">
        <f t="shared" si="2"/>
        <v>18926.999999999996</v>
      </c>
      <c r="R14"/>
      <c r="S14"/>
    </row>
    <row r="15" spans="2:30" ht="23.1" customHeight="1" x14ac:dyDescent="0.25">
      <c r="B15" s="6" t="s">
        <v>19</v>
      </c>
      <c r="C15" s="6">
        <v>3970</v>
      </c>
      <c r="D15" s="8">
        <f t="shared" si="1"/>
        <v>6798.9085138476348</v>
      </c>
      <c r="E15" s="8">
        <f t="shared" si="0"/>
        <v>1052.1029250314893</v>
      </c>
      <c r="F15" s="8">
        <f t="shared" si="0"/>
        <v>961.00031411821385</v>
      </c>
      <c r="G15" s="8">
        <f t="shared" si="0"/>
        <v>2779.4047801950014</v>
      </c>
      <c r="H15" s="8">
        <f t="shared" si="0"/>
        <v>177.69112849301007</v>
      </c>
      <c r="I15" s="8">
        <f t="shared" si="0"/>
        <v>59.367166871413673</v>
      </c>
      <c r="J15" s="8">
        <f t="shared" si="0"/>
        <v>1075.7221204534496</v>
      </c>
      <c r="K15" s="8">
        <f t="shared" si="0"/>
        <v>887.86288273438322</v>
      </c>
      <c r="L15" s="8">
        <f t="shared" si="0"/>
        <v>393.63805806521839</v>
      </c>
      <c r="M15" s="8">
        <f t="shared" si="0"/>
        <v>474.61815665479651</v>
      </c>
      <c r="N15" s="8">
        <f t="shared" si="0"/>
        <v>0.68395353538495018</v>
      </c>
      <c r="O15" s="9">
        <v>14661</v>
      </c>
      <c r="P15" s="9">
        <f t="shared" si="2"/>
        <v>18630.999999999996</v>
      </c>
      <c r="R15"/>
      <c r="S15"/>
    </row>
    <row r="16" spans="2:30" ht="23.1" customHeight="1" x14ac:dyDescent="0.25">
      <c r="B16" s="6" t="s">
        <v>22</v>
      </c>
      <c r="C16" s="6">
        <v>4831</v>
      </c>
      <c r="D16" s="8">
        <f t="shared" si="1"/>
        <v>6365.3105696113935</v>
      </c>
      <c r="E16" s="8">
        <f t="shared" si="0"/>
        <v>985.00543953224349</v>
      </c>
      <c r="F16" s="8">
        <f t="shared" si="0"/>
        <v>899.71286485141559</v>
      </c>
      <c r="G16" s="8">
        <f t="shared" si="0"/>
        <v>2602.1492403626348</v>
      </c>
      <c r="H16" s="8">
        <f t="shared" si="0"/>
        <v>166.35894070629945</v>
      </c>
      <c r="I16" s="8">
        <f t="shared" si="0"/>
        <v>55.581047164383335</v>
      </c>
      <c r="J16" s="8">
        <f t="shared" si="0"/>
        <v>1007.11832926431</v>
      </c>
      <c r="K16" s="8">
        <f t="shared" si="0"/>
        <v>831.23974683937956</v>
      </c>
      <c r="L16" s="8">
        <f t="shared" si="0"/>
        <v>368.53393254233595</v>
      </c>
      <c r="M16" s="8">
        <f t="shared" si="0"/>
        <v>444.34955448084963</v>
      </c>
      <c r="N16" s="8">
        <f t="shared" si="0"/>
        <v>0.64033464475096014</v>
      </c>
      <c r="O16" s="9">
        <v>13726</v>
      </c>
      <c r="P16" s="9">
        <f t="shared" si="2"/>
        <v>18556.999999999996</v>
      </c>
      <c r="R16"/>
      <c r="S16"/>
    </row>
    <row r="17" spans="2:19" ht="37.5" customHeight="1" x14ac:dyDescent="0.25">
      <c r="B17" s="16" t="s">
        <v>23</v>
      </c>
      <c r="C17" s="11">
        <f>AVERAGE(C10:C16)</f>
        <v>4179.4285714285716</v>
      </c>
      <c r="D17" s="11">
        <f t="shared" ref="D17:N17" si="3">AVERAGE(D10:D16)</f>
        <v>6656.0762498639315</v>
      </c>
      <c r="E17" s="11">
        <f t="shared" si="3"/>
        <v>1030.0002239258554</v>
      </c>
      <c r="F17" s="11">
        <f t="shared" si="3"/>
        <v>940.81150730091565</v>
      </c>
      <c r="G17" s="11">
        <f t="shared" si="3"/>
        <v>2721.0147200149281</v>
      </c>
      <c r="H17" s="11">
        <f t="shared" si="3"/>
        <v>173.95817251621131</v>
      </c>
      <c r="I17" s="11">
        <f t="shared" si="3"/>
        <v>58.119974497333097</v>
      </c>
      <c r="J17" s="11">
        <f t="shared" si="3"/>
        <v>1053.1232245323213</v>
      </c>
      <c r="K17" s="11">
        <f t="shared" si="3"/>
        <v>869.21055561602896</v>
      </c>
      <c r="L17" s="11">
        <f t="shared" si="3"/>
        <v>385.36846377532777</v>
      </c>
      <c r="M17" s="11">
        <f t="shared" si="3"/>
        <v>464.64732299749636</v>
      </c>
      <c r="N17" s="11">
        <f t="shared" si="3"/>
        <v>0.66958495964669473</v>
      </c>
      <c r="O17" s="12">
        <f>AVERAGE(O10:O16)</f>
        <v>14353</v>
      </c>
      <c r="P17" s="12">
        <f>AVERAGE(P10:P16)</f>
        <v>18532.428571428569</v>
      </c>
      <c r="R17"/>
      <c r="S17"/>
    </row>
    <row r="18" spans="2:19" ht="23.1" customHeight="1" x14ac:dyDescent="0.25">
      <c r="B18" s="18" t="s">
        <v>11</v>
      </c>
      <c r="C18" s="17">
        <f>C$17/P$17</f>
        <v>0.22551974531130764</v>
      </c>
      <c r="D18" s="17">
        <f>D17/$P$17</f>
        <v>0.35915833827227583</v>
      </c>
      <c r="E18" s="17">
        <f>E17/$P$17</f>
        <v>5.5578264875322705E-2</v>
      </c>
      <c r="F18" s="17">
        <f t="shared" ref="F18:N18" si="4">F17/$P$17</f>
        <v>5.0765689109486929E-2</v>
      </c>
      <c r="G18" s="17">
        <f t="shared" si="4"/>
        <v>0.14682450869984273</v>
      </c>
      <c r="H18" s="17">
        <f t="shared" si="4"/>
        <v>9.3866905703013197E-3</v>
      </c>
      <c r="I18" s="17">
        <f t="shared" si="4"/>
        <v>3.1361229465055982E-3</v>
      </c>
      <c r="J18" s="17">
        <f t="shared" si="4"/>
        <v>5.6825969703502358E-2</v>
      </c>
      <c r="K18" s="17">
        <f t="shared" si="4"/>
        <v>4.6902139795973109E-2</v>
      </c>
      <c r="L18" s="17">
        <f t="shared" si="4"/>
        <v>2.0794277570800948E-2</v>
      </c>
      <c r="M18" s="17">
        <f t="shared" si="4"/>
        <v>2.5072122695988307E-2</v>
      </c>
      <c r="N18" s="17">
        <f t="shared" si="4"/>
        <v>3.6130448692460812E-5</v>
      </c>
      <c r="O18" s="12">
        <f>SUM(O10:O16)</f>
        <v>100471</v>
      </c>
      <c r="P18" s="12">
        <f>SUM(P10:P16)</f>
        <v>129726.99999999999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0.46374111683020491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0.18957811746777176</v>
      </c>
      <c r="H19" s="17">
        <f t="shared" si="5"/>
        <v>1.2119986937658421E-2</v>
      </c>
      <c r="I19" s="17">
        <f t="shared" si="5"/>
        <v>4.0493258898720193E-3</v>
      </c>
      <c r="J19" s="17">
        <f t="shared" si="5"/>
        <v>7.3373038704962118E-2</v>
      </c>
      <c r="K19" s="17">
        <f t="shared" si="5"/>
        <v>6.0559503631019924E-2</v>
      </c>
      <c r="L19" s="17">
        <f t="shared" si="5"/>
        <v>2.6849332110034679E-2</v>
      </c>
      <c r="M19" s="17">
        <f t="shared" si="5"/>
        <v>3.2372836549675772E-2</v>
      </c>
      <c r="N19" s="17">
        <f t="shared" si="5"/>
        <v>4.6651219929401152E-5</v>
      </c>
      <c r="O19" s="12"/>
      <c r="P19" s="12"/>
      <c r="R19"/>
      <c r="S19"/>
    </row>
    <row r="20" spans="2:19" ht="23.1" customHeight="1" x14ac:dyDescent="0.25">
      <c r="D20" s="24">
        <v>0.46374111683020497</v>
      </c>
      <c r="E20" s="24">
        <v>7.1762016576733464E-2</v>
      </c>
      <c r="F20" s="25">
        <v>6.5548074082137225E-2</v>
      </c>
      <c r="G20" s="25">
        <v>0.18957811746777173</v>
      </c>
      <c r="H20" s="25">
        <v>1.2119986937658419E-2</v>
      </c>
      <c r="I20" s="25">
        <v>4.0493258898720193E-3</v>
      </c>
      <c r="J20" s="25">
        <v>7.3373038704962118E-2</v>
      </c>
      <c r="K20" s="25">
        <v>6.0559503631019931E-2</v>
      </c>
      <c r="L20" s="25">
        <v>2.6849332110034676E-2</v>
      </c>
      <c r="M20" s="25">
        <v>3.2372836549675772E-2</v>
      </c>
      <c r="N20" s="25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B1:P1"/>
    <mergeCell ref="B2:P2"/>
    <mergeCell ref="C8:P8"/>
    <mergeCell ref="D5:E5"/>
    <mergeCell ref="C3:F3"/>
    <mergeCell ref="G5:H5"/>
    <mergeCell ref="K5:L5"/>
    <mergeCell ref="D6:E6"/>
    <mergeCell ref="G6:H6"/>
    <mergeCell ref="K6:L6"/>
  </mergeCells>
  <phoneticPr fontId="12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D151"/>
  <sheetViews>
    <sheetView view="pageBreakPreview" zoomScale="60" workbookViewId="0">
      <selection activeCell="D10" sqref="D10:N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9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0" t="s">
        <v>31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3" t="s">
        <v>27</v>
      </c>
      <c r="D3" s="33"/>
      <c r="E3" s="33"/>
      <c r="F3" s="33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2" t="s">
        <v>26</v>
      </c>
      <c r="E5" s="32"/>
      <c r="F5" s="4" t="s">
        <v>3</v>
      </c>
      <c r="G5" s="34"/>
      <c r="H5" s="35"/>
      <c r="I5" s="5"/>
      <c r="J5" s="3" t="s">
        <v>4</v>
      </c>
      <c r="K5" s="34" t="s">
        <v>14</v>
      </c>
      <c r="L5" s="35"/>
      <c r="M5" s="2"/>
      <c r="N5" s="2"/>
    </row>
    <row r="6" spans="2:30" ht="23.25" customHeight="1" x14ac:dyDescent="0.25">
      <c r="C6" s="3" t="s">
        <v>5</v>
      </c>
      <c r="D6" s="36" t="s">
        <v>29</v>
      </c>
      <c r="E6" s="37"/>
      <c r="F6" s="3" t="s">
        <v>6</v>
      </c>
      <c r="G6" s="36" t="s">
        <v>30</v>
      </c>
      <c r="H6" s="37"/>
      <c r="J6" s="3" t="s">
        <v>7</v>
      </c>
      <c r="K6" s="36" t="s">
        <v>13</v>
      </c>
      <c r="L6" s="37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1" t="s">
        <v>25</v>
      </c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R8"/>
      <c r="S8"/>
    </row>
    <row r="9" spans="2:30" ht="98.25" customHeight="1" x14ac:dyDescent="0.25">
      <c r="B9" s="14" t="s">
        <v>8</v>
      </c>
      <c r="C9" s="26" t="s">
        <v>15</v>
      </c>
      <c r="D9" s="26" t="s">
        <v>33</v>
      </c>
      <c r="E9" s="26" t="s">
        <v>34</v>
      </c>
      <c r="F9" s="26" t="s">
        <v>35</v>
      </c>
      <c r="G9" s="26" t="s">
        <v>36</v>
      </c>
      <c r="H9" s="26" t="s">
        <v>37</v>
      </c>
      <c r="I9" s="26" t="s">
        <v>38</v>
      </c>
      <c r="J9" s="26" t="s">
        <v>39</v>
      </c>
      <c r="K9" s="26" t="s">
        <v>40</v>
      </c>
      <c r="L9" s="26" t="s">
        <v>41</v>
      </c>
      <c r="M9" s="26" t="s">
        <v>42</v>
      </c>
      <c r="N9" s="26" t="s">
        <v>43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22">
        <v>3972</v>
      </c>
      <c r="D10" s="8">
        <f>$O10*D$20</f>
        <v>6420.4957625141878</v>
      </c>
      <c r="E10" s="8">
        <f t="shared" ref="E10:N16" si="0">$O10*E$20</f>
        <v>993.54511950487483</v>
      </c>
      <c r="F10" s="8">
        <f t="shared" si="0"/>
        <v>907.5130856671899</v>
      </c>
      <c r="G10" s="8">
        <f t="shared" si="0"/>
        <v>2624.7090363412995</v>
      </c>
      <c r="H10" s="8">
        <f t="shared" si="0"/>
        <v>167.80121915188082</v>
      </c>
      <c r="I10" s="8">
        <f t="shared" si="0"/>
        <v>56.062916945278104</v>
      </c>
      <c r="J10" s="8">
        <f t="shared" si="0"/>
        <v>1015.8497208702005</v>
      </c>
      <c r="K10" s="8">
        <f t="shared" si="0"/>
        <v>838.44632777147092</v>
      </c>
      <c r="L10" s="8">
        <f t="shared" si="0"/>
        <v>371.72900306343007</v>
      </c>
      <c r="M10" s="8">
        <f t="shared" si="0"/>
        <v>448.20192203026107</v>
      </c>
      <c r="N10" s="8">
        <f t="shared" si="0"/>
        <v>0.64588613992255883</v>
      </c>
      <c r="O10" s="9">
        <v>13845</v>
      </c>
      <c r="P10" s="9">
        <f>SUM(C10:N10)</f>
        <v>17816.999999999993</v>
      </c>
      <c r="R10"/>
      <c r="S10"/>
    </row>
    <row r="11" spans="2:30" s="10" customFormat="1" ht="23.1" customHeight="1" x14ac:dyDescent="0.25">
      <c r="B11" s="6" t="s">
        <v>20</v>
      </c>
      <c r="C11" s="23">
        <v>4340</v>
      </c>
      <c r="D11" s="8">
        <f t="shared" ref="D11:D16" si="1">$O11*D$20</f>
        <v>6281.8371685819566</v>
      </c>
      <c r="E11" s="8">
        <f t="shared" si="0"/>
        <v>972.08827654843151</v>
      </c>
      <c r="F11" s="8">
        <f t="shared" si="0"/>
        <v>887.91421151663087</v>
      </c>
      <c r="G11" s="8">
        <f t="shared" si="0"/>
        <v>2568.0251792184358</v>
      </c>
      <c r="H11" s="8">
        <f t="shared" si="0"/>
        <v>164.17734305752094</v>
      </c>
      <c r="I11" s="8">
        <f t="shared" si="0"/>
        <v>54.852168504206375</v>
      </c>
      <c r="J11" s="8">
        <f t="shared" si="0"/>
        <v>993.91118229741687</v>
      </c>
      <c r="K11" s="8">
        <f t="shared" si="0"/>
        <v>820.33903618579598</v>
      </c>
      <c r="L11" s="8">
        <f t="shared" si="0"/>
        <v>363.70105276252974</v>
      </c>
      <c r="M11" s="8">
        <f t="shared" si="0"/>
        <v>438.52244390190799</v>
      </c>
      <c r="N11" s="8">
        <f t="shared" si="0"/>
        <v>0.63193742516366791</v>
      </c>
      <c r="O11" s="9">
        <v>13546</v>
      </c>
      <c r="P11" s="9">
        <f t="shared" ref="P11:P16" si="2">SUM(C11:N11)</f>
        <v>17885.999999999996</v>
      </c>
    </row>
    <row r="12" spans="2:30" ht="23.1" customHeight="1" x14ac:dyDescent="0.25">
      <c r="B12" s="6" t="s">
        <v>21</v>
      </c>
      <c r="C12" s="22">
        <v>4611</v>
      </c>
      <c r="D12" s="8">
        <f t="shared" si="1"/>
        <v>5864.0064223179415</v>
      </c>
      <c r="E12" s="8">
        <f t="shared" si="0"/>
        <v>907.43069961279468</v>
      </c>
      <c r="F12" s="8">
        <f t="shared" si="0"/>
        <v>828.85539676862527</v>
      </c>
      <c r="G12" s="8">
        <f t="shared" si="0"/>
        <v>2397.2152953799737</v>
      </c>
      <c r="H12" s="8">
        <f t="shared" si="0"/>
        <v>153.25723482669071</v>
      </c>
      <c r="I12" s="8">
        <f t="shared" si="0"/>
        <v>51.203725877431687</v>
      </c>
      <c r="J12" s="8">
        <f t="shared" si="0"/>
        <v>927.80207442424603</v>
      </c>
      <c r="K12" s="8">
        <f t="shared" si="0"/>
        <v>765.77492341424704</v>
      </c>
      <c r="L12" s="8">
        <f t="shared" si="0"/>
        <v>339.50980453138845</v>
      </c>
      <c r="M12" s="8">
        <f t="shared" si="0"/>
        <v>409.35451817065012</v>
      </c>
      <c r="N12" s="8">
        <f t="shared" si="0"/>
        <v>0.58990467600727747</v>
      </c>
      <c r="O12" s="9">
        <v>12645</v>
      </c>
      <c r="P12" s="9">
        <f t="shared" si="2"/>
        <v>17256</v>
      </c>
      <c r="R12"/>
      <c r="S12"/>
    </row>
    <row r="13" spans="2:30" ht="23.1" customHeight="1" x14ac:dyDescent="0.25">
      <c r="B13" s="6" t="s">
        <v>17</v>
      </c>
      <c r="C13" s="6">
        <v>4563</v>
      </c>
      <c r="D13" s="8">
        <f t="shared" si="1"/>
        <v>6459.913757444755</v>
      </c>
      <c r="E13" s="8">
        <f t="shared" si="0"/>
        <v>999.64489091389714</v>
      </c>
      <c r="F13" s="8">
        <f t="shared" si="0"/>
        <v>913.08467196417155</v>
      </c>
      <c r="G13" s="8">
        <f t="shared" si="0"/>
        <v>2640.8231763260601</v>
      </c>
      <c r="H13" s="8">
        <f t="shared" si="0"/>
        <v>168.83141804158177</v>
      </c>
      <c r="I13" s="8">
        <f t="shared" si="0"/>
        <v>56.407109645917231</v>
      </c>
      <c r="J13" s="8">
        <f t="shared" si="0"/>
        <v>1022.0864291601223</v>
      </c>
      <c r="K13" s="8">
        <f t="shared" si="0"/>
        <v>843.59388558010767</v>
      </c>
      <c r="L13" s="8">
        <f t="shared" si="0"/>
        <v>374.01119629278304</v>
      </c>
      <c r="M13" s="8">
        <f t="shared" si="0"/>
        <v>450.95361313698351</v>
      </c>
      <c r="N13" s="8">
        <f t="shared" si="0"/>
        <v>0.64985149361655792</v>
      </c>
      <c r="O13" s="9">
        <v>13930</v>
      </c>
      <c r="P13" s="9">
        <f t="shared" si="2"/>
        <v>18492.999999999996</v>
      </c>
      <c r="R13"/>
      <c r="S13"/>
    </row>
    <row r="14" spans="2:30" ht="23.1" customHeight="1" x14ac:dyDescent="0.25">
      <c r="B14" s="6" t="s">
        <v>18</v>
      </c>
      <c r="C14" s="6">
        <v>4072</v>
      </c>
      <c r="D14" s="8">
        <f t="shared" si="1"/>
        <v>6597.6448691433261</v>
      </c>
      <c r="E14" s="8">
        <f t="shared" si="0"/>
        <v>1020.958209837187</v>
      </c>
      <c r="F14" s="8">
        <f t="shared" si="0"/>
        <v>932.55244996656631</v>
      </c>
      <c r="G14" s="8">
        <f t="shared" si="0"/>
        <v>2697.1278772139885</v>
      </c>
      <c r="H14" s="8">
        <f t="shared" si="0"/>
        <v>172.43105416206632</v>
      </c>
      <c r="I14" s="8">
        <f t="shared" si="0"/>
        <v>57.60975943520922</v>
      </c>
      <c r="J14" s="8">
        <f t="shared" si="0"/>
        <v>1043.878221655496</v>
      </c>
      <c r="K14" s="8">
        <f t="shared" si="0"/>
        <v>861.58005815852061</v>
      </c>
      <c r="L14" s="8">
        <f t="shared" si="0"/>
        <v>381.98544792946336</v>
      </c>
      <c r="M14" s="8">
        <f t="shared" si="0"/>
        <v>460.56834559223722</v>
      </c>
      <c r="N14" s="8">
        <f t="shared" si="0"/>
        <v>0.66370690593559012</v>
      </c>
      <c r="O14" s="9">
        <v>14227</v>
      </c>
      <c r="P14" s="9">
        <f t="shared" si="2"/>
        <v>18298.999999999996</v>
      </c>
      <c r="R14"/>
      <c r="S14"/>
    </row>
    <row r="15" spans="2:30" ht="23.1" customHeight="1" x14ac:dyDescent="0.25">
      <c r="B15" s="6" t="s">
        <v>19</v>
      </c>
      <c r="C15" s="6">
        <v>3772</v>
      </c>
      <c r="D15" s="8">
        <f t="shared" si="1"/>
        <v>6246.5928437028606</v>
      </c>
      <c r="E15" s="8">
        <f t="shared" si="0"/>
        <v>966.63436328859973</v>
      </c>
      <c r="F15" s="8">
        <f t="shared" si="0"/>
        <v>882.93255788638839</v>
      </c>
      <c r="G15" s="8">
        <f t="shared" si="0"/>
        <v>2553.6172422908853</v>
      </c>
      <c r="H15" s="8">
        <f t="shared" si="0"/>
        <v>163.25622405025891</v>
      </c>
      <c r="I15" s="8">
        <f t="shared" si="0"/>
        <v>54.544419736576103</v>
      </c>
      <c r="J15" s="8">
        <f t="shared" si="0"/>
        <v>988.3348313558397</v>
      </c>
      <c r="K15" s="8">
        <f t="shared" si="0"/>
        <v>815.73651390983844</v>
      </c>
      <c r="L15" s="8">
        <f t="shared" si="0"/>
        <v>361.66050352216706</v>
      </c>
      <c r="M15" s="8">
        <f t="shared" si="0"/>
        <v>436.06210832413268</v>
      </c>
      <c r="N15" s="8">
        <f t="shared" si="0"/>
        <v>0.62839193244903346</v>
      </c>
      <c r="O15" s="9">
        <v>13470</v>
      </c>
      <c r="P15" s="9">
        <f t="shared" si="2"/>
        <v>17241.999999999993</v>
      </c>
      <c r="R15"/>
      <c r="S15"/>
    </row>
    <row r="16" spans="2:30" ht="23.1" customHeight="1" x14ac:dyDescent="0.25">
      <c r="B16" s="6" t="s">
        <v>22</v>
      </c>
      <c r="C16" s="6">
        <v>5048</v>
      </c>
      <c r="D16" s="8">
        <f t="shared" si="1"/>
        <v>6098.1956863171954</v>
      </c>
      <c r="E16" s="8">
        <f t="shared" si="0"/>
        <v>943.67051798404509</v>
      </c>
      <c r="F16" s="8">
        <f t="shared" si="0"/>
        <v>861.95717418010452</v>
      </c>
      <c r="G16" s="8">
        <f t="shared" si="0"/>
        <v>2492.9522447011982</v>
      </c>
      <c r="H16" s="8">
        <f t="shared" si="0"/>
        <v>159.37782823020819</v>
      </c>
      <c r="I16" s="8">
        <f t="shared" si="0"/>
        <v>53.248635451817051</v>
      </c>
      <c r="J16" s="8">
        <f t="shared" si="0"/>
        <v>964.8554589702519</v>
      </c>
      <c r="K16" s="8">
        <f t="shared" si="0"/>
        <v>796.35747274791208</v>
      </c>
      <c r="L16" s="8">
        <f t="shared" si="0"/>
        <v>353.068717246956</v>
      </c>
      <c r="M16" s="8">
        <f t="shared" si="0"/>
        <v>425.70280062823639</v>
      </c>
      <c r="N16" s="8">
        <f t="shared" si="0"/>
        <v>0.61346354207162501</v>
      </c>
      <c r="O16" s="9">
        <v>13150</v>
      </c>
      <c r="P16" s="9">
        <f t="shared" si="2"/>
        <v>18197.999999999996</v>
      </c>
      <c r="R16"/>
      <c r="S16"/>
    </row>
    <row r="17" spans="2:19" ht="37.5" customHeight="1" x14ac:dyDescent="0.25">
      <c r="B17" s="16" t="s">
        <v>23</v>
      </c>
      <c r="C17" s="11">
        <f>AVERAGE(C10:C16)</f>
        <v>4339.7142857142853</v>
      </c>
      <c r="D17" s="11">
        <f t="shared" ref="D17:N17" si="3">AVERAGE(D10:D16)</f>
        <v>6281.2409300031741</v>
      </c>
      <c r="E17" s="11">
        <f t="shared" si="3"/>
        <v>971.99601109854723</v>
      </c>
      <c r="F17" s="11">
        <f t="shared" si="3"/>
        <v>887.8299354213824</v>
      </c>
      <c r="G17" s="11">
        <f t="shared" si="3"/>
        <v>2567.781435924549</v>
      </c>
      <c r="H17" s="11">
        <f t="shared" si="3"/>
        <v>164.16176021717251</v>
      </c>
      <c r="I17" s="11">
        <f t="shared" si="3"/>
        <v>54.846962228062253</v>
      </c>
      <c r="J17" s="11">
        <f t="shared" si="3"/>
        <v>993.81684553336765</v>
      </c>
      <c r="K17" s="11">
        <f t="shared" si="3"/>
        <v>820.26117396684174</v>
      </c>
      <c r="L17" s="11">
        <f t="shared" si="3"/>
        <v>363.66653219267397</v>
      </c>
      <c r="M17" s="11">
        <f t="shared" si="3"/>
        <v>438.48082168348702</v>
      </c>
      <c r="N17" s="11">
        <f t="shared" si="3"/>
        <v>0.63187744502375864</v>
      </c>
      <c r="O17" s="12">
        <f>AVERAGE(O10:O16)</f>
        <v>13544.714285714286</v>
      </c>
      <c r="P17" s="12">
        <f>AVERAGE(P10:P16)</f>
        <v>17884.428571428569</v>
      </c>
      <c r="R17"/>
      <c r="S17"/>
    </row>
    <row r="18" spans="2:19" ht="23.1" customHeight="1" x14ac:dyDescent="0.25">
      <c r="B18" s="18" t="s">
        <v>11</v>
      </c>
      <c r="C18" s="17">
        <f>C$17/P$17</f>
        <v>0.24265322587086932</v>
      </c>
      <c r="D18" s="17">
        <f>D17/$P$17</f>
        <v>0.35121283886239607</v>
      </c>
      <c r="E18" s="17">
        <f>E17/$P$17</f>
        <v>5.4348731759390305E-2</v>
      </c>
      <c r="F18" s="17">
        <f t="shared" ref="F18:N18" si="4">F17/$P$17</f>
        <v>4.9642622456483917E-2</v>
      </c>
      <c r="G18" s="17">
        <f t="shared" si="4"/>
        <v>0.14357637570969037</v>
      </c>
      <c r="H18" s="17">
        <f t="shared" si="4"/>
        <v>9.1790330097228055E-3</v>
      </c>
      <c r="I18" s="17">
        <f t="shared" si="4"/>
        <v>3.066743900092146E-3</v>
      </c>
      <c r="J18" s="17">
        <f t="shared" si="4"/>
        <v>5.5568834171254917E-2</v>
      </c>
      <c r="K18" s="17">
        <f t="shared" si="4"/>
        <v>4.5864544717814322E-2</v>
      </c>
      <c r="L18" s="17">
        <f t="shared" si="4"/>
        <v>2.0334255061056451E-2</v>
      </c>
      <c r="M18" s="17">
        <f t="shared" si="4"/>
        <v>2.451746333030657E-2</v>
      </c>
      <c r="N18" s="17">
        <f t="shared" si="4"/>
        <v>3.5331150922720574E-5</v>
      </c>
      <c r="O18" s="12">
        <f>SUM(O10:O16)</f>
        <v>94813</v>
      </c>
      <c r="P18" s="12">
        <f>SUM(P10:P16)</f>
        <v>125190.99999999997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0.46374111683020491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0.18957811746777176</v>
      </c>
      <c r="H19" s="17">
        <f t="shared" si="5"/>
        <v>1.2119986937658417E-2</v>
      </c>
      <c r="I19" s="17">
        <f t="shared" si="5"/>
        <v>4.0493258898720193E-3</v>
      </c>
      <c r="J19" s="17">
        <f t="shared" si="5"/>
        <v>7.3373038704962118E-2</v>
      </c>
      <c r="K19" s="17">
        <f t="shared" si="5"/>
        <v>6.0559503631019924E-2</v>
      </c>
      <c r="L19" s="17">
        <f t="shared" si="5"/>
        <v>2.6849332110034676E-2</v>
      </c>
      <c r="M19" s="17">
        <f t="shared" si="5"/>
        <v>3.2372836549675772E-2</v>
      </c>
      <c r="N19" s="17">
        <f t="shared" si="5"/>
        <v>4.6651219929401138E-5</v>
      </c>
      <c r="O19" s="12"/>
      <c r="P19" s="12"/>
      <c r="R19"/>
      <c r="S19"/>
    </row>
    <row r="20" spans="2:19" ht="23.1" customHeight="1" x14ac:dyDescent="0.25">
      <c r="D20" s="24">
        <v>0.46374111683020497</v>
      </c>
      <c r="E20" s="24">
        <v>7.1762016576733464E-2</v>
      </c>
      <c r="F20" s="25">
        <v>6.5548074082137225E-2</v>
      </c>
      <c r="G20" s="25">
        <v>0.18957811746777173</v>
      </c>
      <c r="H20" s="25">
        <v>1.2119986937658419E-2</v>
      </c>
      <c r="I20" s="25">
        <v>4.0493258898720193E-3</v>
      </c>
      <c r="J20" s="25">
        <v>7.3373038704962118E-2</v>
      </c>
      <c r="K20" s="25">
        <v>6.0559503631019931E-2</v>
      </c>
      <c r="L20" s="25">
        <v>2.6849332110034676E-2</v>
      </c>
      <c r="M20" s="25">
        <v>3.2372836549675772E-2</v>
      </c>
      <c r="N20" s="25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D6:E6"/>
    <mergeCell ref="G6:H6"/>
    <mergeCell ref="K6:L6"/>
    <mergeCell ref="C8:P8"/>
    <mergeCell ref="C3:F3"/>
    <mergeCell ref="B1:P1"/>
    <mergeCell ref="B2:P2"/>
    <mergeCell ref="D5:E5"/>
    <mergeCell ref="G5:H5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D151"/>
  <sheetViews>
    <sheetView tabSelected="1" view="pageBreakPreview" topLeftCell="A8" zoomScale="55" zoomScaleSheetLayoutView="55" workbookViewId="0">
      <selection activeCell="AB13" sqref="AB13:AC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9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0" t="s">
        <v>31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3" t="s">
        <v>32</v>
      </c>
      <c r="D3" s="33"/>
      <c r="E3" s="33"/>
      <c r="F3" s="33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2" t="s">
        <v>26</v>
      </c>
      <c r="E5" s="32"/>
      <c r="F5" s="4" t="s">
        <v>3</v>
      </c>
      <c r="G5" s="34"/>
      <c r="H5" s="35"/>
      <c r="I5" s="5"/>
      <c r="J5" s="3" t="s">
        <v>4</v>
      </c>
      <c r="K5" s="34" t="s">
        <v>14</v>
      </c>
      <c r="L5" s="35"/>
      <c r="M5" s="2"/>
      <c r="N5" s="2"/>
    </row>
    <row r="6" spans="2:30" ht="23.25" customHeight="1" x14ac:dyDescent="0.25">
      <c r="C6" s="3" t="s">
        <v>5</v>
      </c>
      <c r="D6" s="36" t="s">
        <v>29</v>
      </c>
      <c r="E6" s="37"/>
      <c r="F6" s="3" t="s">
        <v>6</v>
      </c>
      <c r="G6" s="36" t="s">
        <v>30</v>
      </c>
      <c r="H6" s="37"/>
      <c r="J6" s="3" t="s">
        <v>7</v>
      </c>
      <c r="K6" s="36" t="s">
        <v>13</v>
      </c>
      <c r="L6" s="37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1" t="s">
        <v>25</v>
      </c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R8"/>
      <c r="S8"/>
    </row>
    <row r="9" spans="2:30" ht="57" customHeight="1" x14ac:dyDescent="0.25">
      <c r="B9" s="14" t="s">
        <v>8</v>
      </c>
      <c r="C9" s="26" t="s">
        <v>15</v>
      </c>
      <c r="D9" s="26" t="s">
        <v>33</v>
      </c>
      <c r="E9" s="26" t="s">
        <v>34</v>
      </c>
      <c r="F9" s="26" t="s">
        <v>35</v>
      </c>
      <c r="G9" s="26" t="s">
        <v>44</v>
      </c>
      <c r="H9" s="26" t="s">
        <v>37</v>
      </c>
      <c r="I9" s="26" t="s">
        <v>38</v>
      </c>
      <c r="J9" s="26" t="s">
        <v>39</v>
      </c>
      <c r="K9" s="26" t="s">
        <v>40</v>
      </c>
      <c r="L9" s="26" t="s">
        <v>41</v>
      </c>
      <c r="M9" s="26" t="s">
        <v>42</v>
      </c>
      <c r="N9" s="26" t="s">
        <v>43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22">
        <f>'21-28-GAYAZA RBT-KYEBANDO RBT'!C10+'21-28-KYEBANDO RBT-GAYAZA RBT'!C10</f>
        <v>7656</v>
      </c>
      <c r="D10" s="22">
        <f>'21-28-GAYAZA RBT-KYEBANDO RBT'!D10+'21-28-KYEBANDO RBT-GAYAZA RBT'!D10</f>
        <v>13260.213494642881</v>
      </c>
      <c r="E10" s="22">
        <f>'21-28-GAYAZA RBT-KYEBANDO RBT'!E10+'21-28-KYEBANDO RBT-GAYAZA RBT'!E10</f>
        <v>2051.9631019951166</v>
      </c>
      <c r="F10" s="22">
        <f>'21-28-GAYAZA RBT-KYEBANDO RBT'!F10+'21-28-KYEBANDO RBT-GAYAZA RBT'!F10</f>
        <v>1874.2816303046318</v>
      </c>
      <c r="G10" s="22">
        <f>'21-28-GAYAZA RBT-KYEBANDO RBT'!G10+'21-28-KYEBANDO RBT-GAYAZA RBT'!G10</f>
        <v>5420.7966908734652</v>
      </c>
      <c r="H10" s="22">
        <f>'21-28-GAYAZA RBT-KYEBANDO RBT'!H10+'21-28-KYEBANDO RBT-GAYAZA RBT'!H10</f>
        <v>346.55890649540481</v>
      </c>
      <c r="I10" s="22">
        <f>'21-28-GAYAZA RBT-KYEBANDO RBT'!I10+'21-28-KYEBANDO RBT-GAYAZA RBT'!I10</f>
        <v>115.78642449500052</v>
      </c>
      <c r="J10" s="22">
        <f>'21-28-GAYAZA RBT-KYEBANDO RBT'!J10+'21-28-KYEBANDO RBT-GAYAZA RBT'!J10</f>
        <v>2098.0286687296866</v>
      </c>
      <c r="K10" s="22">
        <f>'21-28-GAYAZA RBT-KYEBANDO RBT'!K10+'21-28-KYEBANDO RBT-GAYAZA RBT'!K10</f>
        <v>1731.6384468253839</v>
      </c>
      <c r="L10" s="22">
        <f>'21-28-GAYAZA RBT-KYEBANDO RBT'!L10+'21-28-KYEBANDO RBT-GAYAZA RBT'!L10</f>
        <v>767.72980235433147</v>
      </c>
      <c r="M10" s="22">
        <f>'21-28-GAYAZA RBT-KYEBANDO RBT'!M10+'21-28-KYEBANDO RBT-GAYAZA RBT'!M10</f>
        <v>925.66888830142898</v>
      </c>
      <c r="N10" s="22">
        <f>'21-28-GAYAZA RBT-KYEBANDO RBT'!N10+'21-28-KYEBANDO RBT-GAYAZA RBT'!N10</f>
        <v>1.3339449826612964</v>
      </c>
      <c r="O10" s="9">
        <f t="shared" ref="O10:O16" si="0">SUM(D10:N10)</f>
        <v>28593.999999999985</v>
      </c>
      <c r="P10" s="9">
        <f t="shared" ref="P10:P16" si="1">SUM(C10:N10)</f>
        <v>36249.999999999985</v>
      </c>
      <c r="R10"/>
      <c r="S10"/>
    </row>
    <row r="11" spans="2:30" s="10" customFormat="1" ht="23.1" customHeight="1" x14ac:dyDescent="0.25">
      <c r="B11" s="6" t="s">
        <v>20</v>
      </c>
      <c r="C11" s="22">
        <f>'21-28-GAYAZA RBT-KYEBANDO RBT'!C11+'21-28-KYEBANDO RBT-GAYAZA RBT'!C11</f>
        <v>8519</v>
      </c>
      <c r="D11" s="22">
        <f>'21-28-GAYAZA RBT-KYEBANDO RBT'!D11+'21-28-KYEBANDO RBT-GAYAZA RBT'!D11</f>
        <v>12936.058453978567</v>
      </c>
      <c r="E11" s="22">
        <f>'21-28-GAYAZA RBT-KYEBANDO RBT'!E11+'21-28-KYEBANDO RBT-GAYAZA RBT'!E11</f>
        <v>2001.8014524079799</v>
      </c>
      <c r="F11" s="22">
        <f>'21-28-GAYAZA RBT-KYEBANDO RBT'!F11+'21-28-KYEBANDO RBT-GAYAZA RBT'!F11</f>
        <v>1828.4635265212178</v>
      </c>
      <c r="G11" s="22">
        <f>'21-28-GAYAZA RBT-KYEBANDO RBT'!G11+'21-28-KYEBANDO RBT-GAYAZA RBT'!G11</f>
        <v>5288.2815867634927</v>
      </c>
      <c r="H11" s="22">
        <f>'21-28-GAYAZA RBT-KYEBANDO RBT'!H11+'21-28-KYEBANDO RBT-GAYAZA RBT'!H11</f>
        <v>338.08703562598157</v>
      </c>
      <c r="I11" s="22">
        <f>'21-28-GAYAZA RBT-KYEBANDO RBT'!I11+'21-28-KYEBANDO RBT-GAYAZA RBT'!I11</f>
        <v>112.95594569797998</v>
      </c>
      <c r="J11" s="22">
        <f>'21-28-GAYAZA RBT-KYEBANDO RBT'!J11+'21-28-KYEBANDO RBT-GAYAZA RBT'!J11</f>
        <v>2046.7409146749183</v>
      </c>
      <c r="K11" s="22">
        <f>'21-28-GAYAZA RBT-KYEBANDO RBT'!K11+'21-28-KYEBANDO RBT-GAYAZA RBT'!K11</f>
        <v>1689.3073537873011</v>
      </c>
      <c r="L11" s="22">
        <f>'21-28-GAYAZA RBT-KYEBANDO RBT'!L11+'21-28-KYEBANDO RBT-GAYAZA RBT'!L11</f>
        <v>748.96211920941732</v>
      </c>
      <c r="M11" s="22">
        <f>'21-28-GAYAZA RBT-KYEBANDO RBT'!M11+'21-28-KYEBANDO RBT-GAYAZA RBT'!M11</f>
        <v>903.04027555320567</v>
      </c>
      <c r="N11" s="22">
        <f>'21-28-GAYAZA RBT-KYEBANDO RBT'!N11+'21-28-KYEBANDO RBT-GAYAZA RBT'!N11</f>
        <v>1.3013357799306449</v>
      </c>
      <c r="O11" s="9">
        <f t="shared" si="0"/>
        <v>27894.999999999993</v>
      </c>
      <c r="P11" s="9">
        <f t="shared" si="1"/>
        <v>36413.999999999985</v>
      </c>
    </row>
    <row r="12" spans="2:30" ht="23.1" customHeight="1" x14ac:dyDescent="0.25">
      <c r="B12" s="6" t="s">
        <v>21</v>
      </c>
      <c r="C12" s="22">
        <f>'21-28-GAYAZA RBT-KYEBANDO RBT'!C12+'21-28-KYEBANDO RBT-GAYAZA RBT'!C12</f>
        <v>8895</v>
      </c>
      <c r="D12" s="22">
        <f>'21-28-GAYAZA RBT-KYEBANDO RBT'!D12+'21-28-KYEBANDO RBT-GAYAZA RBT'!D12</f>
        <v>12101.3244436842</v>
      </c>
      <c r="E12" s="22">
        <f>'21-28-GAYAZA RBT-KYEBANDO RBT'!E12+'21-28-KYEBANDO RBT-GAYAZA RBT'!E12</f>
        <v>1872.6298225698597</v>
      </c>
      <c r="F12" s="22">
        <f>'21-28-GAYAZA RBT-KYEBANDO RBT'!F12+'21-28-KYEBANDO RBT-GAYAZA RBT'!F12</f>
        <v>1710.4769931733708</v>
      </c>
      <c r="G12" s="22">
        <f>'21-28-GAYAZA RBT-KYEBANDO RBT'!G12+'21-28-KYEBANDO RBT-GAYAZA RBT'!G12</f>
        <v>4947.0409753215035</v>
      </c>
      <c r="H12" s="22">
        <f>'21-28-GAYAZA RBT-KYEBANDO RBT'!H12+'21-28-KYEBANDO RBT-GAYAZA RBT'!H12</f>
        <v>316.27105913819645</v>
      </c>
      <c r="I12" s="22">
        <f>'21-28-GAYAZA RBT-KYEBANDO RBT'!I12+'21-28-KYEBANDO RBT-GAYAZA RBT'!I12</f>
        <v>105.66715909621036</v>
      </c>
      <c r="J12" s="22">
        <f>'21-28-GAYAZA RBT-KYEBANDO RBT'!J12+'21-28-KYEBANDO RBT-GAYAZA RBT'!J12</f>
        <v>1914.6694450059865</v>
      </c>
      <c r="K12" s="22">
        <f>'21-28-GAYAZA RBT-KYEBANDO RBT'!K12+'21-28-KYEBANDO RBT-GAYAZA RBT'!K12</f>
        <v>1580.300247251465</v>
      </c>
      <c r="L12" s="22">
        <f>'21-28-GAYAZA RBT-KYEBANDO RBT'!L12+'21-28-KYEBANDO RBT-GAYAZA RBT'!L12</f>
        <v>700.63332141135493</v>
      </c>
      <c r="M12" s="22">
        <f>'21-28-GAYAZA RBT-KYEBANDO RBT'!M12+'21-28-KYEBANDO RBT-GAYAZA RBT'!M12</f>
        <v>844.76916976378925</v>
      </c>
      <c r="N12" s="22">
        <f>'21-28-GAYAZA RBT-KYEBANDO RBT'!N12+'21-28-KYEBANDO RBT-GAYAZA RBT'!N12</f>
        <v>1.2173635840577228</v>
      </c>
      <c r="O12" s="9">
        <f t="shared" si="0"/>
        <v>26094.999999999993</v>
      </c>
      <c r="P12" s="9">
        <f t="shared" si="1"/>
        <v>34990</v>
      </c>
      <c r="R12"/>
      <c r="S12"/>
    </row>
    <row r="13" spans="2:30" ht="23.1" customHeight="1" x14ac:dyDescent="0.25">
      <c r="B13" s="6" t="s">
        <v>17</v>
      </c>
      <c r="C13" s="22">
        <f>'21-28-GAYAZA RBT-KYEBANDO RBT'!C13+'21-28-KYEBANDO RBT-GAYAZA RBT'!C13</f>
        <v>8899</v>
      </c>
      <c r="D13" s="22">
        <f>'21-28-GAYAZA RBT-KYEBANDO RBT'!D13+'21-28-KYEBANDO RBT-GAYAZA RBT'!D13</f>
        <v>13221.722981945974</v>
      </c>
      <c r="E13" s="22">
        <f>'21-28-GAYAZA RBT-KYEBANDO RBT'!E13+'21-28-KYEBANDO RBT-GAYAZA RBT'!E13</f>
        <v>2046.0068546192479</v>
      </c>
      <c r="F13" s="22">
        <f>'21-28-GAYAZA RBT-KYEBANDO RBT'!F13+'21-28-KYEBANDO RBT-GAYAZA RBT'!F13</f>
        <v>1868.8411401558144</v>
      </c>
      <c r="G13" s="22">
        <f>'21-28-GAYAZA RBT-KYEBANDO RBT'!G13+'21-28-KYEBANDO RBT-GAYAZA RBT'!G13</f>
        <v>5405.0617071236393</v>
      </c>
      <c r="H13" s="22">
        <f>'21-28-GAYAZA RBT-KYEBANDO RBT'!H13+'21-28-KYEBANDO RBT-GAYAZA RBT'!H13</f>
        <v>345.55294757957915</v>
      </c>
      <c r="I13" s="22">
        <f>'21-28-GAYAZA RBT-KYEBANDO RBT'!I13+'21-28-KYEBANDO RBT-GAYAZA RBT'!I13</f>
        <v>115.45033044614115</v>
      </c>
      <c r="J13" s="22">
        <f>'21-28-GAYAZA RBT-KYEBANDO RBT'!J13+'21-28-KYEBANDO RBT-GAYAZA RBT'!J13</f>
        <v>2091.938706517175</v>
      </c>
      <c r="K13" s="22">
        <f>'21-28-GAYAZA RBT-KYEBANDO RBT'!K13+'21-28-KYEBANDO RBT-GAYAZA RBT'!K13</f>
        <v>1726.6120080240094</v>
      </c>
      <c r="L13" s="22">
        <f>'21-28-GAYAZA RBT-KYEBANDO RBT'!L13+'21-28-KYEBANDO RBT-GAYAZA RBT'!L13</f>
        <v>765.50130778919868</v>
      </c>
      <c r="M13" s="22">
        <f>'21-28-GAYAZA RBT-KYEBANDO RBT'!M13+'21-28-KYEBANDO RBT-GAYAZA RBT'!M13</f>
        <v>922.98194286780597</v>
      </c>
      <c r="N13" s="22">
        <f>'21-28-GAYAZA RBT-KYEBANDO RBT'!N13+'21-28-KYEBANDO RBT-GAYAZA RBT'!N13</f>
        <v>1.330072931407156</v>
      </c>
      <c r="O13" s="9">
        <f t="shared" si="0"/>
        <v>28510.999999999993</v>
      </c>
      <c r="P13" s="9">
        <f t="shared" si="1"/>
        <v>37409.999999999993</v>
      </c>
      <c r="R13"/>
      <c r="S13"/>
      <c r="AB13" s="27">
        <f>AVERAGE(O10:O13)</f>
        <v>27773.749999999993</v>
      </c>
      <c r="AC13" s="27">
        <f>AVERAGE(P10:P13)</f>
        <v>36265.999999999993</v>
      </c>
    </row>
    <row r="14" spans="2:30" ht="23.1" customHeight="1" x14ac:dyDescent="0.25">
      <c r="B14" s="6" t="s">
        <v>18</v>
      </c>
      <c r="C14" s="22">
        <f>'21-28-GAYAZA RBT-KYEBANDO RBT'!C14+'21-28-KYEBANDO RBT-GAYAZA RBT'!C14</f>
        <v>8044</v>
      </c>
      <c r="D14" s="22">
        <f>'21-28-GAYAZA RBT-KYEBANDO RBT'!D14+'21-28-KYEBANDO RBT-GAYAZA RBT'!D14</f>
        <v>13532.893271339042</v>
      </c>
      <c r="E14" s="22">
        <f>'21-28-GAYAZA RBT-KYEBANDO RBT'!E14+'21-28-KYEBANDO RBT-GAYAZA RBT'!E14</f>
        <v>2094.1591677422357</v>
      </c>
      <c r="F14" s="22">
        <f>'21-28-GAYAZA RBT-KYEBANDO RBT'!F14+'21-28-KYEBANDO RBT-GAYAZA RBT'!F14</f>
        <v>1912.8238978649285</v>
      </c>
      <c r="G14" s="22">
        <f>'21-28-GAYAZA RBT-KYEBANDO RBT'!G14+'21-28-KYEBANDO RBT-GAYAZA RBT'!G14</f>
        <v>5532.2686239445147</v>
      </c>
      <c r="H14" s="22">
        <f>'21-28-GAYAZA RBT-KYEBANDO RBT'!H14+'21-28-KYEBANDO RBT-GAYAZA RBT'!H14</f>
        <v>353.68545881474796</v>
      </c>
      <c r="I14" s="22">
        <f>'21-28-GAYAZA RBT-KYEBANDO RBT'!I14+'21-28-KYEBANDO RBT-GAYAZA RBT'!I14</f>
        <v>118.16742811824527</v>
      </c>
      <c r="J14" s="22">
        <f>'21-28-GAYAZA RBT-KYEBANDO RBT'!J14+'21-28-KYEBANDO RBT-GAYAZA RBT'!J14</f>
        <v>2141.1720154882041</v>
      </c>
      <c r="K14" s="22">
        <f>'21-28-GAYAZA RBT-KYEBANDO RBT'!K14+'21-28-KYEBANDO RBT-GAYAZA RBT'!K14</f>
        <v>1767.2474349604236</v>
      </c>
      <c r="L14" s="22">
        <f>'21-28-GAYAZA RBT-KYEBANDO RBT'!L14+'21-28-KYEBANDO RBT-GAYAZA RBT'!L14</f>
        <v>783.51720963503192</v>
      </c>
      <c r="M14" s="22">
        <f>'21-28-GAYAZA RBT-KYEBANDO RBT'!M14+'21-28-KYEBANDO RBT-GAYAZA RBT'!M14</f>
        <v>944.70411619263837</v>
      </c>
      <c r="N14" s="22">
        <f>'21-28-GAYAZA RBT-KYEBANDO RBT'!N14+'21-28-KYEBANDO RBT-GAYAZA RBT'!N14</f>
        <v>1.3613758999797843</v>
      </c>
      <c r="O14" s="9">
        <f t="shared" si="0"/>
        <v>29181.999999999989</v>
      </c>
      <c r="P14" s="9">
        <f t="shared" si="1"/>
        <v>37225.999999999985</v>
      </c>
      <c r="R14"/>
      <c r="S14"/>
      <c r="AB14" s="28">
        <f>O14/AB13</f>
        <v>1.0507043521310588</v>
      </c>
      <c r="AC14" s="28">
        <f>P14/AC13</f>
        <v>1.0264710748359342</v>
      </c>
    </row>
    <row r="15" spans="2:30" ht="23.1" customHeight="1" x14ac:dyDescent="0.25">
      <c r="B15" s="6" t="s">
        <v>19</v>
      </c>
      <c r="C15" s="22">
        <f>'21-28-GAYAZA RBT-KYEBANDO RBT'!C15+'21-28-KYEBANDO RBT-GAYAZA RBT'!C15</f>
        <v>7742</v>
      </c>
      <c r="D15" s="22">
        <f>'21-28-GAYAZA RBT-KYEBANDO RBT'!D15+'21-28-KYEBANDO RBT-GAYAZA RBT'!D15</f>
        <v>13045.501357550496</v>
      </c>
      <c r="E15" s="22">
        <f>'21-28-GAYAZA RBT-KYEBANDO RBT'!E15+'21-28-KYEBANDO RBT-GAYAZA RBT'!E15</f>
        <v>2018.7372883200892</v>
      </c>
      <c r="F15" s="22">
        <f>'21-28-GAYAZA RBT-KYEBANDO RBT'!F15+'21-28-KYEBANDO RBT-GAYAZA RBT'!F15</f>
        <v>1843.9328720046024</v>
      </c>
      <c r="G15" s="22">
        <f>'21-28-GAYAZA RBT-KYEBANDO RBT'!G15+'21-28-KYEBANDO RBT-GAYAZA RBT'!G15</f>
        <v>5333.0220224858867</v>
      </c>
      <c r="H15" s="22">
        <f>'21-28-GAYAZA RBT-KYEBANDO RBT'!H15+'21-28-KYEBANDO RBT-GAYAZA RBT'!H15</f>
        <v>340.94735254326895</v>
      </c>
      <c r="I15" s="22">
        <f>'21-28-GAYAZA RBT-KYEBANDO RBT'!I15+'21-28-KYEBANDO RBT-GAYAZA RBT'!I15</f>
        <v>113.91158660798978</v>
      </c>
      <c r="J15" s="22">
        <f>'21-28-GAYAZA RBT-KYEBANDO RBT'!J15+'21-28-KYEBANDO RBT-GAYAZA RBT'!J15</f>
        <v>2064.0569518092893</v>
      </c>
      <c r="K15" s="22">
        <f>'21-28-GAYAZA RBT-KYEBANDO RBT'!K15+'21-28-KYEBANDO RBT-GAYAZA RBT'!K15</f>
        <v>1703.5993966442215</v>
      </c>
      <c r="L15" s="22">
        <f>'21-28-GAYAZA RBT-KYEBANDO RBT'!L15+'21-28-KYEBANDO RBT-GAYAZA RBT'!L15</f>
        <v>755.29856158738539</v>
      </c>
      <c r="M15" s="22">
        <f>'21-28-GAYAZA RBT-KYEBANDO RBT'!M15+'21-28-KYEBANDO RBT-GAYAZA RBT'!M15</f>
        <v>910.68026497892924</v>
      </c>
      <c r="N15" s="22">
        <f>'21-28-GAYAZA RBT-KYEBANDO RBT'!N15+'21-28-KYEBANDO RBT-GAYAZA RBT'!N15</f>
        <v>1.3123454678339836</v>
      </c>
      <c r="O15" s="9">
        <f t="shared" si="0"/>
        <v>28130.999999999989</v>
      </c>
      <c r="P15" s="9">
        <f t="shared" si="1"/>
        <v>35872.999999999993</v>
      </c>
      <c r="R15"/>
      <c r="S15"/>
      <c r="AB15" s="28">
        <f>O15/AB13</f>
        <v>1.0128628651154417</v>
      </c>
      <c r="AC15" s="28">
        <f>P15/AC13</f>
        <v>0.98916340373903933</v>
      </c>
    </row>
    <row r="16" spans="2:30" ht="23.1" customHeight="1" x14ac:dyDescent="0.25">
      <c r="B16" s="6" t="s">
        <v>22</v>
      </c>
      <c r="C16" s="22">
        <f>'21-28-GAYAZA RBT-KYEBANDO RBT'!C16+'21-28-KYEBANDO RBT-GAYAZA RBT'!C16</f>
        <v>9879</v>
      </c>
      <c r="D16" s="22">
        <f>'21-28-GAYAZA RBT-KYEBANDO RBT'!D16+'21-28-KYEBANDO RBT-GAYAZA RBT'!D16</f>
        <v>12463.506255928589</v>
      </c>
      <c r="E16" s="22">
        <f>'21-28-GAYAZA RBT-KYEBANDO RBT'!E16+'21-28-KYEBANDO RBT-GAYAZA RBT'!E16</f>
        <v>1928.6759575162887</v>
      </c>
      <c r="F16" s="22">
        <f>'21-28-GAYAZA RBT-KYEBANDO RBT'!F16+'21-28-KYEBANDO RBT-GAYAZA RBT'!F16</f>
        <v>1761.67003903152</v>
      </c>
      <c r="G16" s="22">
        <f>'21-28-GAYAZA RBT-KYEBANDO RBT'!G16+'21-28-KYEBANDO RBT-GAYAZA RBT'!G16</f>
        <v>5095.101485063833</v>
      </c>
      <c r="H16" s="22">
        <f>'21-28-GAYAZA RBT-KYEBANDO RBT'!H16+'21-28-KYEBANDO RBT-GAYAZA RBT'!H16</f>
        <v>325.73676893650764</v>
      </c>
      <c r="I16" s="22">
        <f>'21-28-GAYAZA RBT-KYEBANDO RBT'!I16+'21-28-KYEBANDO RBT-GAYAZA RBT'!I16</f>
        <v>108.82968261620039</v>
      </c>
      <c r="J16" s="22">
        <f>'21-28-GAYAZA RBT-KYEBANDO RBT'!J16+'21-28-KYEBANDO RBT-GAYAZA RBT'!J16</f>
        <v>1971.9737882345619</v>
      </c>
      <c r="K16" s="22">
        <f>'21-28-GAYAZA RBT-KYEBANDO RBT'!K16+'21-28-KYEBANDO RBT-GAYAZA RBT'!K16</f>
        <v>1627.5972195872916</v>
      </c>
      <c r="L16" s="22">
        <f>'21-28-GAYAZA RBT-KYEBANDO RBT'!L16+'21-28-KYEBANDO RBT-GAYAZA RBT'!L16</f>
        <v>721.60264978929195</v>
      </c>
      <c r="M16" s="22">
        <f>'21-28-GAYAZA RBT-KYEBANDO RBT'!M16+'21-28-KYEBANDO RBT-GAYAZA RBT'!M16</f>
        <v>870.05235510908597</v>
      </c>
      <c r="N16" s="22">
        <f>'21-28-GAYAZA RBT-KYEBANDO RBT'!N16+'21-28-KYEBANDO RBT-GAYAZA RBT'!N16</f>
        <v>1.2537981868225851</v>
      </c>
      <c r="O16" s="9">
        <f t="shared" si="0"/>
        <v>26875.999999999993</v>
      </c>
      <c r="P16" s="9">
        <f t="shared" si="1"/>
        <v>36754.999999999993</v>
      </c>
      <c r="R16"/>
      <c r="S16"/>
      <c r="AB16" s="28">
        <f>O16/AB13</f>
        <v>0.96767631306539448</v>
      </c>
      <c r="AC16" s="28">
        <f>P16/AC13</f>
        <v>1.0134837037445541</v>
      </c>
    </row>
    <row r="17" spans="2:19" ht="24.75" customHeight="1" x14ac:dyDescent="0.25">
      <c r="B17" s="16" t="s">
        <v>23</v>
      </c>
      <c r="C17" s="11">
        <f t="shared" ref="C17:P17" si="2">AVERAGE(C10:C16)</f>
        <v>8519.1428571428569</v>
      </c>
      <c r="D17" s="11">
        <f t="shared" si="2"/>
        <v>12937.317179867108</v>
      </c>
      <c r="E17" s="11">
        <f t="shared" si="2"/>
        <v>2001.9962350244025</v>
      </c>
      <c r="F17" s="11">
        <f t="shared" si="2"/>
        <v>1828.6414427222978</v>
      </c>
      <c r="G17" s="11">
        <f t="shared" si="2"/>
        <v>5288.7961559394762</v>
      </c>
      <c r="H17" s="11">
        <f t="shared" si="2"/>
        <v>338.11993273338385</v>
      </c>
      <c r="I17" s="11">
        <f t="shared" si="2"/>
        <v>112.96693672539534</v>
      </c>
      <c r="J17" s="11">
        <f t="shared" si="2"/>
        <v>2046.9400700656886</v>
      </c>
      <c r="K17" s="11">
        <f t="shared" si="2"/>
        <v>1689.4717295828707</v>
      </c>
      <c r="L17" s="11">
        <f t="shared" si="2"/>
        <v>749.03499596800157</v>
      </c>
      <c r="M17" s="11">
        <f t="shared" si="2"/>
        <v>903.12814468098338</v>
      </c>
      <c r="N17" s="11">
        <f t="shared" si="2"/>
        <v>1.3014624046704533</v>
      </c>
      <c r="O17" s="12">
        <f t="shared" si="2"/>
        <v>27897.714285714283</v>
      </c>
      <c r="P17" s="12">
        <f t="shared" si="2"/>
        <v>36416.857142857138</v>
      </c>
      <c r="R17"/>
      <c r="S17"/>
    </row>
    <row r="18" spans="2:19" ht="23.1" customHeight="1" x14ac:dyDescent="0.25">
      <c r="B18" s="18" t="s">
        <v>11</v>
      </c>
      <c r="C18" s="17">
        <f>C$17/P$17</f>
        <v>0.23393404938058515</v>
      </c>
      <c r="D18" s="17">
        <f t="shared" ref="D18:N18" si="3">D17/$P$17</f>
        <v>0.35525627950584021</v>
      </c>
      <c r="E18" s="17">
        <f t="shared" si="3"/>
        <v>5.4974437447221539E-2</v>
      </c>
      <c r="F18" s="17">
        <f t="shared" si="3"/>
        <v>5.0214147683004286E-2</v>
      </c>
      <c r="G18" s="17">
        <f t="shared" si="3"/>
        <v>0.14522934077458766</v>
      </c>
      <c r="H18" s="17">
        <f t="shared" si="3"/>
        <v>9.2847093148921891E-3</v>
      </c>
      <c r="I18" s="17">
        <f t="shared" si="3"/>
        <v>3.1020506871926169E-3</v>
      </c>
      <c r="J18" s="17">
        <f t="shared" si="3"/>
        <v>5.6208586645351923E-2</v>
      </c>
      <c r="K18" s="17">
        <f t="shared" si="3"/>
        <v>4.6392573718137188E-2</v>
      </c>
      <c r="L18" s="17">
        <f t="shared" si="3"/>
        <v>2.0568359126370093E-2</v>
      </c>
      <c r="M18" s="17">
        <f t="shared" si="3"/>
        <v>2.4799727805674313E-2</v>
      </c>
      <c r="N18" s="17">
        <f t="shared" si="3"/>
        <v>3.5737911142772085E-5</v>
      </c>
      <c r="O18" s="12">
        <f>SUM(O10:O16)</f>
        <v>195283.99999999997</v>
      </c>
      <c r="P18" s="12">
        <f>SUM(P10:P16)</f>
        <v>254917.99999999994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4">D$17/$O$17</f>
        <v>0.46374111683020508</v>
      </c>
      <c r="E19" s="17">
        <f t="shared" si="4"/>
        <v>7.1762016576733464E-2</v>
      </c>
      <c r="F19" s="17">
        <f t="shared" si="4"/>
        <v>6.5548074082137225E-2</v>
      </c>
      <c r="G19" s="17">
        <f t="shared" si="4"/>
        <v>0.18957811746777176</v>
      </c>
      <c r="H19" s="17">
        <f t="shared" si="4"/>
        <v>1.2119986937658422E-2</v>
      </c>
      <c r="I19" s="17">
        <f t="shared" si="4"/>
        <v>4.0493258898720193E-3</v>
      </c>
      <c r="J19" s="17">
        <f t="shared" si="4"/>
        <v>7.3373038704962118E-2</v>
      </c>
      <c r="K19" s="17">
        <f t="shared" si="4"/>
        <v>6.0559503631019931E-2</v>
      </c>
      <c r="L19" s="17">
        <f t="shared" si="4"/>
        <v>2.6849332110034676E-2</v>
      </c>
      <c r="M19" s="17">
        <f t="shared" si="4"/>
        <v>3.2372836549675779E-2</v>
      </c>
      <c r="N19" s="17">
        <f t="shared" si="4"/>
        <v>4.6651219929401145E-5</v>
      </c>
      <c r="O19" s="12"/>
      <c r="P19" s="12"/>
      <c r="R19"/>
      <c r="S19"/>
    </row>
    <row r="20" spans="2:19" ht="23.1" customHeight="1" x14ac:dyDescent="0.25">
      <c r="D20" s="2"/>
      <c r="E20" s="2"/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D6:E6"/>
    <mergeCell ref="G6:H6"/>
    <mergeCell ref="K6:L6"/>
    <mergeCell ref="C8:P8"/>
    <mergeCell ref="C3:F3"/>
    <mergeCell ref="B1:P1"/>
    <mergeCell ref="B2:P2"/>
    <mergeCell ref="D5:E5"/>
    <mergeCell ref="G5:H5"/>
    <mergeCell ref="K5:L5"/>
  </mergeCells>
  <pageMargins left="0" right="0" top="0" bottom="0" header="0.15748031496062992" footer="0.11811023622047245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21-28-GAYAZA RBT-KYEBANDO RBT</vt:lpstr>
      <vt:lpstr>21-28-KYEBANDO RBT-GAYAZA RBT</vt:lpstr>
      <vt:lpstr>21-28-KYEBANDO-GAYAZA 2DIR</vt:lpstr>
      <vt:lpstr>'21-28-GAYAZA RBT-KYEBANDO RBT'!Print_Area</vt:lpstr>
      <vt:lpstr>'21-28-KYEBANDO RBT-GAYAZA RBT'!Print_Area</vt:lpstr>
      <vt:lpstr>'21-28-KYEBANDO-GAYAZA 2DIR'!Print_Area</vt:lpstr>
      <vt:lpstr>'21-28-GAYAZA RBT-KYEBANDO RBT'!Print_Titles</vt:lpstr>
      <vt:lpstr>'21-28-KYEBANDO RBT-GAYAZA RBT'!Print_Titles</vt:lpstr>
      <vt:lpstr>'21-28-KYEBANDO-GAYAZA 2DIR'!Print_Titles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MR.O</dc:creator>
  <cp:lastModifiedBy>USER</cp:lastModifiedBy>
  <cp:lastPrinted>2020-03-24T09:53:36Z</cp:lastPrinted>
  <dcterms:created xsi:type="dcterms:W3CDTF">2020-02-14T20:49:42Z</dcterms:created>
  <dcterms:modified xsi:type="dcterms:W3CDTF">2020-03-24T10:24:35Z</dcterms:modified>
</cp:coreProperties>
</file>