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 Folder\EDMP\Analysed Data\New 170320\ATC\"/>
    </mc:Choice>
  </mc:AlternateContent>
  <xr:revisionPtr revIDLastSave="0" documentId="13_ncr:1_{85F51B72-C081-4968-90BF-6FE2A54B01BC}" xr6:coauthVersionLast="45" xr6:coauthVersionMax="45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29-04-NALYA RBT-BWEYOGERERE" sheetId="1" r:id="rId1"/>
    <sheet name="29-04-BWEYOGERERE-NALYA RBT" sheetId="2" r:id="rId2"/>
    <sheet name="29-04-BWEYOGERERE-NALYA  2 DIR" sheetId="3" r:id="rId3"/>
  </sheets>
  <externalReferences>
    <externalReference r:id="rId4"/>
  </externalReferences>
  <definedNames>
    <definedName name="_xlnm.Print_Area" localSheetId="2">'29-04-BWEYOGERERE-NALYA  2 DIR'!$A$1:$W$58</definedName>
    <definedName name="_xlnm.Print_Area" localSheetId="1">'29-04-BWEYOGERERE-NALYA RBT'!$A$1:$W$58</definedName>
    <definedName name="_xlnm.Print_Area" localSheetId="0">'29-04-NALYA RBT-BWEYOGERERE'!$A$1:$W$58</definedName>
    <definedName name="_xlnm.Print_Titles" localSheetId="2">'29-04-BWEYOGERERE-NALYA  2 DIR'!$1:$8</definedName>
    <definedName name="_xlnm.Print_Titles" localSheetId="1">'29-04-BWEYOGERERE-NALYA RBT'!$1:$8</definedName>
    <definedName name="_xlnm.Print_Titles" localSheetId="0">'29-04-NALYA RBT-BWEYOGERERE'!$1:$8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3" i="3" l="1"/>
  <c r="AC16" i="3" s="1"/>
  <c r="AB13" i="3"/>
  <c r="AB14" i="3" s="1"/>
  <c r="AB15" i="3" l="1"/>
  <c r="AC14" i="3"/>
  <c r="AB16" i="3"/>
  <c r="AC15" i="3"/>
  <c r="D11" i="1"/>
  <c r="E11" i="1"/>
  <c r="F11" i="1"/>
  <c r="G11" i="1"/>
  <c r="H11" i="1"/>
  <c r="I11" i="1"/>
  <c r="J11" i="1"/>
  <c r="K11" i="1"/>
  <c r="L11" i="1"/>
  <c r="M11" i="1"/>
  <c r="N11" i="1"/>
  <c r="D12" i="1"/>
  <c r="E12" i="1"/>
  <c r="F12" i="1"/>
  <c r="G12" i="1"/>
  <c r="H12" i="1"/>
  <c r="I12" i="1"/>
  <c r="J12" i="1"/>
  <c r="K12" i="1"/>
  <c r="L12" i="1"/>
  <c r="M12" i="1"/>
  <c r="N12" i="1"/>
  <c r="D13" i="1"/>
  <c r="E13" i="1"/>
  <c r="F13" i="1"/>
  <c r="G13" i="1"/>
  <c r="H13" i="1"/>
  <c r="I13" i="1"/>
  <c r="J13" i="1"/>
  <c r="K13" i="1"/>
  <c r="L13" i="1"/>
  <c r="M13" i="1"/>
  <c r="N13" i="1"/>
  <c r="D14" i="1"/>
  <c r="E14" i="1"/>
  <c r="F14" i="1"/>
  <c r="G14" i="1"/>
  <c r="H14" i="1"/>
  <c r="I14" i="1"/>
  <c r="J14" i="1"/>
  <c r="K14" i="1"/>
  <c r="L14" i="1"/>
  <c r="M14" i="1"/>
  <c r="N14" i="1"/>
  <c r="D15" i="1"/>
  <c r="E15" i="1"/>
  <c r="F15" i="1"/>
  <c r="G15" i="1"/>
  <c r="H15" i="1"/>
  <c r="I15" i="1"/>
  <c r="J15" i="1"/>
  <c r="K15" i="1"/>
  <c r="L15" i="1"/>
  <c r="M15" i="1"/>
  <c r="N15" i="1"/>
  <c r="D16" i="1"/>
  <c r="E16" i="1"/>
  <c r="F16" i="1"/>
  <c r="G16" i="1"/>
  <c r="H16" i="1"/>
  <c r="I16" i="1"/>
  <c r="J16" i="1"/>
  <c r="K16" i="1"/>
  <c r="L16" i="1"/>
  <c r="M16" i="1"/>
  <c r="N16" i="1"/>
  <c r="E10" i="1"/>
  <c r="F10" i="1"/>
  <c r="G10" i="1"/>
  <c r="H10" i="1"/>
  <c r="I10" i="1"/>
  <c r="J10" i="1"/>
  <c r="K10" i="1"/>
  <c r="L10" i="1"/>
  <c r="M10" i="1"/>
  <c r="N10" i="1"/>
  <c r="D11" i="2"/>
  <c r="E11" i="2"/>
  <c r="F11" i="2"/>
  <c r="G11" i="2"/>
  <c r="H11" i="2"/>
  <c r="I11" i="2"/>
  <c r="J11" i="2"/>
  <c r="K11" i="2"/>
  <c r="L11" i="2"/>
  <c r="M11" i="2"/>
  <c r="N11" i="2"/>
  <c r="D12" i="2"/>
  <c r="E12" i="2"/>
  <c r="F12" i="2"/>
  <c r="G12" i="2"/>
  <c r="H12" i="2"/>
  <c r="I12" i="2"/>
  <c r="J12" i="2"/>
  <c r="K12" i="2"/>
  <c r="L12" i="2"/>
  <c r="M12" i="2"/>
  <c r="N12" i="2"/>
  <c r="D13" i="2"/>
  <c r="E13" i="2"/>
  <c r="F13" i="2"/>
  <c r="G13" i="2"/>
  <c r="H13" i="2"/>
  <c r="I13" i="2"/>
  <c r="J13" i="2"/>
  <c r="K13" i="2"/>
  <c r="L13" i="2"/>
  <c r="M13" i="2"/>
  <c r="N13" i="2"/>
  <c r="D14" i="2"/>
  <c r="E14" i="2"/>
  <c r="F14" i="2"/>
  <c r="G14" i="2"/>
  <c r="H14" i="2"/>
  <c r="I14" i="2"/>
  <c r="J14" i="2"/>
  <c r="K14" i="2"/>
  <c r="L14" i="2"/>
  <c r="M14" i="2"/>
  <c r="N14" i="2"/>
  <c r="D15" i="2"/>
  <c r="E15" i="2"/>
  <c r="F15" i="2"/>
  <c r="G15" i="2"/>
  <c r="H15" i="2"/>
  <c r="I15" i="2"/>
  <c r="J15" i="2"/>
  <c r="K15" i="2"/>
  <c r="L15" i="2"/>
  <c r="M15" i="2"/>
  <c r="N15" i="2"/>
  <c r="D16" i="2"/>
  <c r="E16" i="2"/>
  <c r="F16" i="2"/>
  <c r="G16" i="2"/>
  <c r="H16" i="2"/>
  <c r="I16" i="2"/>
  <c r="J16" i="2"/>
  <c r="K16" i="2"/>
  <c r="L16" i="2"/>
  <c r="M16" i="2"/>
  <c r="N16" i="2"/>
  <c r="E10" i="2"/>
  <c r="F10" i="2"/>
  <c r="G10" i="2"/>
  <c r="H10" i="2"/>
  <c r="I10" i="2"/>
  <c r="J10" i="2"/>
  <c r="K10" i="2"/>
  <c r="L10" i="2"/>
  <c r="M10" i="2"/>
  <c r="N10" i="2"/>
  <c r="D10" i="2"/>
  <c r="D10" i="1"/>
  <c r="C11" i="3" l="1"/>
  <c r="D11" i="3"/>
  <c r="E11" i="3"/>
  <c r="F11" i="3"/>
  <c r="G11" i="3"/>
  <c r="H11" i="3"/>
  <c r="I11" i="3"/>
  <c r="J11" i="3"/>
  <c r="K11" i="3"/>
  <c r="L11" i="3"/>
  <c r="M11" i="3"/>
  <c r="N11" i="3"/>
  <c r="C12" i="3"/>
  <c r="D12" i="3"/>
  <c r="E12" i="3"/>
  <c r="F12" i="3"/>
  <c r="F17" i="3" s="1"/>
  <c r="G12" i="3"/>
  <c r="H12" i="3"/>
  <c r="I12" i="3"/>
  <c r="J12" i="3"/>
  <c r="K12" i="3"/>
  <c r="L12" i="3"/>
  <c r="M12" i="3"/>
  <c r="N12" i="3"/>
  <c r="C13" i="3"/>
  <c r="D13" i="3"/>
  <c r="E13" i="3"/>
  <c r="F13" i="3"/>
  <c r="G13" i="3"/>
  <c r="H13" i="3"/>
  <c r="I13" i="3"/>
  <c r="J13" i="3"/>
  <c r="K13" i="3"/>
  <c r="L13" i="3"/>
  <c r="M13" i="3"/>
  <c r="N13" i="3"/>
  <c r="C14" i="3"/>
  <c r="C17" i="3" s="1"/>
  <c r="D14" i="3"/>
  <c r="E14" i="3"/>
  <c r="F14" i="3"/>
  <c r="G14" i="3"/>
  <c r="H14" i="3"/>
  <c r="I14" i="3"/>
  <c r="J14" i="3"/>
  <c r="K14" i="3"/>
  <c r="L14" i="3"/>
  <c r="M14" i="3"/>
  <c r="N14" i="3"/>
  <c r="C15" i="3"/>
  <c r="D15" i="3"/>
  <c r="E15" i="3"/>
  <c r="F15" i="3"/>
  <c r="G15" i="3"/>
  <c r="H15" i="3"/>
  <c r="I15" i="3"/>
  <c r="J15" i="3"/>
  <c r="K15" i="3"/>
  <c r="L15" i="3"/>
  <c r="M15" i="3"/>
  <c r="N15" i="3"/>
  <c r="C16" i="3"/>
  <c r="D16" i="3"/>
  <c r="E16" i="3"/>
  <c r="F16" i="3"/>
  <c r="G16" i="3"/>
  <c r="H16" i="3"/>
  <c r="I16" i="3"/>
  <c r="J16" i="3"/>
  <c r="K16" i="3"/>
  <c r="L16" i="3"/>
  <c r="M16" i="3"/>
  <c r="N16" i="3"/>
  <c r="D10" i="3"/>
  <c r="E10" i="3"/>
  <c r="F10" i="3"/>
  <c r="G10" i="3"/>
  <c r="H10" i="3"/>
  <c r="I10" i="3"/>
  <c r="J10" i="3"/>
  <c r="K10" i="3"/>
  <c r="L10" i="3"/>
  <c r="M10" i="3"/>
  <c r="N10" i="3"/>
  <c r="C10" i="3"/>
  <c r="O16" i="3" l="1"/>
  <c r="J17" i="3"/>
  <c r="O11" i="3"/>
  <c r="O15" i="3"/>
  <c r="O12" i="3"/>
  <c r="N17" i="3"/>
  <c r="O14" i="3"/>
  <c r="P10" i="3"/>
  <c r="O10" i="3"/>
  <c r="G17" i="3"/>
  <c r="I17" i="3"/>
  <c r="P16" i="3"/>
  <c r="P14" i="3"/>
  <c r="P12" i="3"/>
  <c r="H17" i="3"/>
  <c r="M17" i="3"/>
  <c r="L17" i="3"/>
  <c r="P11" i="3"/>
  <c r="P15" i="3"/>
  <c r="P13" i="3"/>
  <c r="O13" i="3"/>
  <c r="K17" i="3"/>
  <c r="D17" i="3"/>
  <c r="O18" i="3"/>
  <c r="E17" i="3"/>
  <c r="O17" i="3" l="1"/>
  <c r="P17" i="3"/>
  <c r="M18" i="3" s="1"/>
  <c r="K19" i="3"/>
  <c r="L18" i="3"/>
  <c r="D18" i="3"/>
  <c r="C18" i="3"/>
  <c r="K18" i="3"/>
  <c r="G18" i="3"/>
  <c r="F19" i="3"/>
  <c r="J19" i="3"/>
  <c r="P18" i="3"/>
  <c r="N19" i="3"/>
  <c r="F18" i="3"/>
  <c r="N18" i="3"/>
  <c r="E18" i="3"/>
  <c r="I18" i="3"/>
  <c r="H18" i="3"/>
  <c r="J18" i="3"/>
  <c r="I19" i="3"/>
  <c r="M19" i="3"/>
  <c r="E19" i="3"/>
  <c r="D19" i="3"/>
  <c r="H19" i="3"/>
  <c r="L19" i="3"/>
  <c r="G19" i="3"/>
  <c r="N17" i="2"/>
  <c r="M17" i="2"/>
  <c r="L17" i="2"/>
  <c r="K17" i="2"/>
  <c r="J17" i="2"/>
  <c r="I17" i="2"/>
  <c r="H17" i="2"/>
  <c r="G17" i="2"/>
  <c r="F17" i="2"/>
  <c r="E17" i="2"/>
  <c r="D17" i="2"/>
  <c r="P16" i="2"/>
  <c r="P15" i="2"/>
  <c r="P14" i="2"/>
  <c r="P13" i="2"/>
  <c r="P12" i="2"/>
  <c r="P11" i="1"/>
  <c r="P12" i="1"/>
  <c r="P13" i="1"/>
  <c r="P14" i="1"/>
  <c r="P15" i="1"/>
  <c r="P16" i="1"/>
  <c r="P10" i="1"/>
  <c r="D17" i="1"/>
  <c r="E17" i="1"/>
  <c r="F17" i="1"/>
  <c r="G17" i="1"/>
  <c r="H17" i="1"/>
  <c r="I17" i="1"/>
  <c r="J17" i="1"/>
  <c r="K17" i="1"/>
  <c r="L17" i="1"/>
  <c r="M17" i="1"/>
  <c r="N17" i="1"/>
  <c r="C17" i="1"/>
  <c r="P17" i="1" l="1"/>
  <c r="C18" i="1" s="1"/>
  <c r="O17" i="1"/>
  <c r="E19" i="1" s="1"/>
  <c r="O17" i="2"/>
  <c r="G19" i="2" s="1"/>
  <c r="O18" i="2"/>
  <c r="L19" i="1" l="1"/>
  <c r="H19" i="1"/>
  <c r="I19" i="1"/>
  <c r="K19" i="1"/>
  <c r="G19" i="1"/>
  <c r="M19" i="1"/>
  <c r="F19" i="1"/>
  <c r="D19" i="1"/>
  <c r="N19" i="1"/>
  <c r="K19" i="2"/>
  <c r="L19" i="2"/>
  <c r="H19" i="2"/>
  <c r="E19" i="2"/>
  <c r="F19" i="2"/>
  <c r="M19" i="2"/>
  <c r="N19" i="2"/>
  <c r="D19" i="2"/>
  <c r="I19" i="2"/>
  <c r="J19" i="2"/>
  <c r="J19" i="1"/>
  <c r="F18" i="1" l="1"/>
  <c r="E18" i="1" l="1"/>
  <c r="K18" i="1"/>
  <c r="M18" i="1"/>
  <c r="I18" i="1"/>
  <c r="D18" i="1"/>
  <c r="L18" i="1"/>
  <c r="H18" i="1"/>
  <c r="G18" i="1"/>
  <c r="N18" i="1"/>
  <c r="J18" i="1"/>
  <c r="P18" i="1"/>
  <c r="O18" i="1" l="1"/>
  <c r="P10" i="2"/>
  <c r="P11" i="2"/>
  <c r="C17" i="2"/>
  <c r="P18" i="2" l="1"/>
  <c r="P17" i="2"/>
  <c r="M18" i="2" s="1"/>
  <c r="C18" i="2" l="1"/>
  <c r="F18" i="2"/>
  <c r="G18" i="2"/>
  <c r="J18" i="2"/>
  <c r="I18" i="2"/>
  <c r="H18" i="2"/>
  <c r="L18" i="2"/>
  <c r="K18" i="2"/>
  <c r="N18" i="2"/>
  <c r="E18" i="2"/>
  <c r="D18" i="2"/>
</calcChain>
</file>

<file path=xl/sharedStrings.xml><?xml version="1.0" encoding="utf-8"?>
<sst xmlns="http://schemas.openxmlformats.org/spreadsheetml/2006/main" count="123" uniqueCount="44">
  <si>
    <t>Consultancy services for Preparation of Expressway Development Master Plan (EDMP) for Uganda</t>
  </si>
  <si>
    <t>ROAD NAME:</t>
  </si>
  <si>
    <t>Date</t>
  </si>
  <si>
    <t xml:space="preserve">  Location</t>
  </si>
  <si>
    <t>Surveyor</t>
  </si>
  <si>
    <t>Dir. From</t>
  </si>
  <si>
    <t xml:space="preserve">  Dir. To</t>
  </si>
  <si>
    <t>Supervisor</t>
  </si>
  <si>
    <t>Time / Veh Type</t>
  </si>
  <si>
    <t>SUMMARY TRAFFIC VOLUMES</t>
  </si>
  <si>
    <t>Total Excl M/ Cycles</t>
  </si>
  <si>
    <t>%ges + MCs</t>
  </si>
  <si>
    <t>%ges w/o MCs</t>
  </si>
  <si>
    <t>IVAN</t>
  </si>
  <si>
    <t>ATC</t>
  </si>
  <si>
    <t>1.Motorcycles</t>
  </si>
  <si>
    <t>Mon</t>
  </si>
  <si>
    <t>THU</t>
  </si>
  <si>
    <t>FRI</t>
  </si>
  <si>
    <t>SAT</t>
  </si>
  <si>
    <t>TUE</t>
  </si>
  <si>
    <t>WED</t>
  </si>
  <si>
    <t>SUN</t>
  </si>
  <si>
    <t>Average daily volume</t>
  </si>
  <si>
    <t xml:space="preserve"> Total All</t>
  </si>
  <si>
    <t>AUTOMATIC TRAFFIC COUNT (ATC)</t>
  </si>
  <si>
    <t>WEEKLY TRAFFIC VOLUMES</t>
  </si>
  <si>
    <t>29.01.2020 TO 04.02.2020</t>
  </si>
  <si>
    <t>NALYA RBT</t>
  </si>
  <si>
    <t>BWEYOGERERE</t>
  </si>
  <si>
    <t xml:space="preserve">ATC - STN40-NORTHERN BYPASS RD </t>
  </si>
  <si>
    <t>ATC - STN40 BOTH DIRECTION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</si>
  <si>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</si>
  <si>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</si>
  <si>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</si>
  <si>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</si>
  <si>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</si>
  <si>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</si>
  <si>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</si>
  <si>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</si>
  <si>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</si>
  <si>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</si>
  <si>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12. Tractors</t>
  </si>
  <si>
    <t>4. Minibus matatu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</si>
</sst>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0" fillId="0" borderId="4" xfId="0" applyBorder="1"/>
    <xf numFmtId="0" fontId="10" fillId="2" borderId="1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9" fontId="0" fillId="0" borderId="0" xfId="1" applyFont="1"/>
    <xf numFmtId="1" fontId="2" fillId="0" borderId="6" xfId="0" applyNumberFormat="1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64" fontId="0" fillId="0" borderId="0" xfId="0" applyNumberFormat="1"/>
    <xf numFmtId="0" fontId="9" fillId="0" borderId="4" xfId="0" applyFont="1" applyBorder="1" applyAlignment="1">
      <alignment horizontal="center" vertical="center" wrapText="1"/>
    </xf>
    <xf numFmtId="0" fontId="5" fillId="0" borderId="0" xfId="0" applyFont="1" applyBorder="1" applyAlignment="1"/>
    <xf numFmtId="0" fontId="9" fillId="0" borderId="4" xfId="0" applyFont="1" applyBorder="1" applyAlignment="1">
      <alignment horizontal="left" vertical="center" wrapText="1"/>
    </xf>
    <xf numFmtId="9" fontId="2" fillId="0" borderId="4" xfId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  <xf numFmtId="1" fontId="0" fillId="0" borderId="4" xfId="0" applyNumberFormat="1" applyBorder="1" applyAlignment="1"/>
    <xf numFmtId="1" fontId="0" fillId="0" borderId="4" xfId="0" applyNumberFormat="1" applyBorder="1" applyAlignment="1">
      <alignment horizontal="right"/>
    </xf>
    <xf numFmtId="164" fontId="13" fillId="0" borderId="0" xfId="1" applyNumberFormat="1" applyFont="1" applyAlignment="1">
      <alignment horizontal="center"/>
    </xf>
    <xf numFmtId="164" fontId="13" fillId="0" borderId="0" xfId="1" applyNumberFormat="1" applyFont="1"/>
    <xf numFmtId="0" fontId="2" fillId="0" borderId="4" xfId="0" applyFont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5" fillId="0" borderId="4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Weekly Traffic Variation </a:t>
            </a:r>
          </a:p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'29-04-NALYA RBT-BWEYOGERERE'!$O$9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'29-04-NALYA RBT-BWEYOGERERE'!$B$10:$B$16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'29-04-NALYA RBT-BWEYOGERERE'!$O$10:$O$16</c:f>
              <c:numCache>
                <c:formatCode>0</c:formatCode>
                <c:ptCount val="7"/>
                <c:pt idx="0">
                  <c:v>10245</c:v>
                </c:pt>
                <c:pt idx="1">
                  <c:v>9801</c:v>
                </c:pt>
                <c:pt idx="2">
                  <c:v>9788</c:v>
                </c:pt>
                <c:pt idx="3">
                  <c:v>8285</c:v>
                </c:pt>
                <c:pt idx="4">
                  <c:v>10073</c:v>
                </c:pt>
                <c:pt idx="5">
                  <c:v>11913</c:v>
                </c:pt>
                <c:pt idx="6">
                  <c:v>8438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32-4FEA-9337-4E2FD7646512}"/>
            </c:ext>
          </c:extLst>
        </c:ser>
        <c:ser>
          <c:idx val="1"/>
          <c:order val="1"/>
          <c:tx>
            <c:strRef>
              <c:f>'29-04-NALYA RBT-BWEYOGERERE'!$P$9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'29-04-NALYA RBT-BWEYOGERERE'!$B$10:$B$16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'29-04-NALYA RBT-BWEYOGERERE'!$P$10:$P$16</c:f>
              <c:numCache>
                <c:formatCode>0</c:formatCode>
                <c:ptCount val="7"/>
                <c:pt idx="0">
                  <c:v>12206.999999999995</c:v>
                </c:pt>
                <c:pt idx="1">
                  <c:v>11951.499999999996</c:v>
                </c:pt>
                <c:pt idx="2">
                  <c:v>11937.999999999998</c:v>
                </c:pt>
                <c:pt idx="3">
                  <c:v>10268.999999999998</c:v>
                </c:pt>
                <c:pt idx="4">
                  <c:v>11967.999999999996</c:v>
                </c:pt>
                <c:pt idx="5">
                  <c:v>14314.999999999996</c:v>
                </c:pt>
                <c:pt idx="6">
                  <c:v>10947.999999999993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32-4FEA-9337-4E2FD7646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'29-04-NALYA RBT-BWEYOGERERE'!$C$18:$N$18</c:f>
              <c:strCache>
                <c:ptCount val="12"/>
                <c:pt idx="0">
                  <c:v>18%</c:v>
                </c:pt>
                <c:pt idx="1">
                  <c:v>38%</c:v>
                </c:pt>
                <c:pt idx="2">
                  <c:v>6%</c:v>
                </c:pt>
                <c:pt idx="3">
                  <c:v>5%</c:v>
                </c:pt>
                <c:pt idx="4">
                  <c:v>16%</c:v>
                </c:pt>
                <c:pt idx="5">
                  <c:v>1%</c:v>
                </c:pt>
                <c:pt idx="6">
                  <c:v>0%</c:v>
                </c:pt>
                <c:pt idx="7">
                  <c:v>6%</c:v>
                </c:pt>
                <c:pt idx="8">
                  <c:v>5%</c:v>
                </c:pt>
                <c:pt idx="9">
                  <c:v>2%</c:v>
                </c:pt>
                <c:pt idx="10">
                  <c:v>3%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58-40FA-AC31-D48FDE464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58-40FA-AC31-D48FDE464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58-40FA-AC31-D48FDE464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58-40FA-AC31-D48FDE4643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58-40FA-AC31-D48FDE4643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458-40FA-AC31-D48FDE4643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458-40FA-AC31-D48FDE4643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458-40FA-AC31-D48FDE4643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458-40FA-AC31-D48FDE46438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458-40FA-AC31-D48FDE46438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458-40FA-AC31-D48FDE46438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458-40FA-AC31-D48FDE46438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458-40FA-AC31-D48FDE4643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'29-04-NALYA RBT-BWEYOGERERE'!$C$9:$N$9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58-40FA-AC31-D48FDE464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18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'29-04-NALYA RBT-BWEYOGERERE'!$D$19:$N$19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EE-4E36-A14A-A997E962A1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EE-4E36-A14A-A997E962A1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5EE-4E36-A14A-A997E962A1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5EE-4E36-A14A-A997E962A1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5EE-4E36-A14A-A997E962A1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5EE-4E36-A14A-A997E962A1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5EE-4E36-A14A-A997E962A1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5EE-4E36-A14A-A997E962A1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5EE-4E36-A14A-A997E962A1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5EE-4E36-A14A-A997E962A16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5EE-4E36-A14A-A997E962A16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5EE-4E36-A14A-A997E962A16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5EE-4E36-A14A-A997E962A1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'29-04-NALYA RBT-BWEYOGERERE'!$C$9:$N$9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EE-4E36-A14A-A997E962A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Weekly Traffic Variation </a:t>
            </a:r>
          </a:p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30571164873657"/>
          <c:y val="0.14189235127478753"/>
          <c:w val="0.74266939327419168"/>
          <c:h val="0.68825054092034532"/>
        </c:manualLayout>
      </c:layout>
      <c:lineChart>
        <c:grouping val="standard"/>
        <c:varyColors val="0"/>
        <c:ser>
          <c:idx val="0"/>
          <c:order val="0"/>
          <c:tx>
            <c:strRef>
              <c:f>'29-04-BWEYOGERERE-NALYA RBT'!$O$9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'29-04-BWEYOGERERE-NALYA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'29-04-BWEYOGERERE-NALYA RBT'!$O$10:$O$16</c:f>
              <c:numCache>
                <c:formatCode>0</c:formatCode>
                <c:ptCount val="7"/>
                <c:pt idx="0">
                  <c:v>10245</c:v>
                </c:pt>
                <c:pt idx="1">
                  <c:v>9801</c:v>
                </c:pt>
                <c:pt idx="2">
                  <c:v>9788</c:v>
                </c:pt>
                <c:pt idx="3">
                  <c:v>8285</c:v>
                </c:pt>
                <c:pt idx="4">
                  <c:v>10073</c:v>
                </c:pt>
                <c:pt idx="5">
                  <c:v>11913</c:v>
                </c:pt>
                <c:pt idx="6">
                  <c:v>8438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7A-47D0-B109-A9114B7F6EA2}"/>
            </c:ext>
          </c:extLst>
        </c:ser>
        <c:ser>
          <c:idx val="1"/>
          <c:order val="1"/>
          <c:tx>
            <c:strRef>
              <c:f>'29-04-BWEYOGERERE-NALYA RBT'!$P$9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'29-04-BWEYOGERERE-NALYA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'29-04-BWEYOGERERE-NALYA RBT'!$P$10:$P$16</c:f>
              <c:numCache>
                <c:formatCode>0</c:formatCode>
                <c:ptCount val="7"/>
                <c:pt idx="0">
                  <c:v>12078.999999999995</c:v>
                </c:pt>
                <c:pt idx="1">
                  <c:v>11774.999999999996</c:v>
                </c:pt>
                <c:pt idx="2">
                  <c:v>11763.999999999998</c:v>
                </c:pt>
                <c:pt idx="3">
                  <c:v>10151.999999999998</c:v>
                </c:pt>
                <c:pt idx="4">
                  <c:v>11757.999999999996</c:v>
                </c:pt>
                <c:pt idx="5">
                  <c:v>14127.999999999996</c:v>
                </c:pt>
                <c:pt idx="6">
                  <c:v>10717.999999999993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7A-47D0-B109-A9114B7F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'29-04-BWEYOGERERE-NALYA RBT'!$C$18:$N$18</c:f>
              <c:strCache>
                <c:ptCount val="12"/>
                <c:pt idx="0">
                  <c:v>17%</c:v>
                </c:pt>
                <c:pt idx="1">
                  <c:v>39%</c:v>
                </c:pt>
                <c:pt idx="2">
                  <c:v>6%</c:v>
                </c:pt>
                <c:pt idx="3">
                  <c:v>5%</c:v>
                </c:pt>
                <c:pt idx="4">
                  <c:v>16%</c:v>
                </c:pt>
                <c:pt idx="5">
                  <c:v>1%</c:v>
                </c:pt>
                <c:pt idx="6">
                  <c:v>0%</c:v>
                </c:pt>
                <c:pt idx="7">
                  <c:v>6%</c:v>
                </c:pt>
                <c:pt idx="8">
                  <c:v>5%</c:v>
                </c:pt>
                <c:pt idx="9">
                  <c:v>2%</c:v>
                </c:pt>
                <c:pt idx="10">
                  <c:v>3%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C0-43BE-ADDE-6EEEF26FE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C0-43BE-ADDE-6EEEF26FE9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C0-43BE-ADDE-6EEEF26FE9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C0-43BE-ADDE-6EEEF26FE9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C0-43BE-ADDE-6EEEF26FE9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C0-43BE-ADDE-6EEEF26FE9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1C0-43BE-ADDE-6EEEF26FE9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1C0-43BE-ADDE-6EEEF26FE9B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1C0-43BE-ADDE-6EEEF26FE9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1C0-43BE-ADDE-6EEEF26FE9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1C0-43BE-ADDE-6EEEF26FE9B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1C0-43BE-ADDE-6EEEF26FE9B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C0-43BE-ADDE-6EEEF26FE9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'29-04-BWEYOGERERE-NALYA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C0-43BE-ADDE-6EEEF26F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'29-04-BWEYOGERERE-NALYA RBT'!$D$19:$N$19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B6-44FA-B163-D2897382F4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B6-44FA-B163-D2897382F4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B6-44FA-B163-D2897382F4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1B6-44FA-B163-D2897382F4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1B6-44FA-B163-D2897382F4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1B6-44FA-B163-D2897382F4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1B6-44FA-B163-D2897382F4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1B6-44FA-B163-D2897382F4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1B6-44FA-B163-D2897382F4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1B6-44FA-B163-D2897382F4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1B6-44FA-B163-D2897382F4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1B6-44FA-B163-D2897382F42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1B6-44FA-B163-D2897382F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'29-04-BWEYOGERERE-NALYA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1B6-44FA-B163-D2897382F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Average Weekly Traffic Variation - KNBP Naalya Jn to Bweyogerere  </a:t>
            </a:r>
            <a:endParaRPr lang="x-none" sz="1400"/>
          </a:p>
        </c:rich>
      </c:tx>
      <c:layout>
        <c:manualLayout>
          <c:xMode val="edge"/>
          <c:yMode val="edge"/>
          <c:x val="0.26932495197187534"/>
          <c:y val="1.1487051370703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530571164873657"/>
          <c:y val="7.3903682719546726E-2"/>
          <c:w val="0.83668647463672186"/>
          <c:h val="0.75623920947558609"/>
        </c:manualLayout>
      </c:layout>
      <c:lineChart>
        <c:grouping val="standard"/>
        <c:varyColors val="0"/>
        <c:ser>
          <c:idx val="0"/>
          <c:order val="0"/>
          <c:tx>
            <c:strRef>
              <c:f>'29-04-BWEYOGERERE-NALYA  2 DIR'!$O$9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'29-04-BWEYOGERERE-NALYA  2 DIR'!$B$10:$B$16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'29-04-BWEYOGERERE-NALYA  2 DIR'!$O$10:$O$16</c:f>
              <c:numCache>
                <c:formatCode>0</c:formatCode>
                <c:ptCount val="7"/>
                <c:pt idx="0">
                  <c:v>20489.999999999993</c:v>
                </c:pt>
                <c:pt idx="1">
                  <c:v>19601.999999999993</c:v>
                </c:pt>
                <c:pt idx="2">
                  <c:v>19575.999999999996</c:v>
                </c:pt>
                <c:pt idx="3">
                  <c:v>16570</c:v>
                </c:pt>
                <c:pt idx="4">
                  <c:v>20145.999999999989</c:v>
                </c:pt>
                <c:pt idx="5">
                  <c:v>23825.999999999993</c:v>
                </c:pt>
                <c:pt idx="6">
                  <c:v>16875.999999999993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40-4C08-A6B4-9F419A254F69}"/>
            </c:ext>
          </c:extLst>
        </c:ser>
        <c:ser>
          <c:idx val="1"/>
          <c:order val="1"/>
          <c:tx>
            <c:strRef>
              <c:f>'29-04-BWEYOGERERE-NALYA  2 DIR'!$P$9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'29-04-BWEYOGERERE-NALYA  2 DIR'!$B$10:$B$16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'29-04-BWEYOGERERE-NALYA  2 DIR'!$P$10:$P$16</c:f>
              <c:numCache>
                <c:formatCode>0</c:formatCode>
                <c:ptCount val="7"/>
                <c:pt idx="0">
                  <c:v>24285.999999999989</c:v>
                </c:pt>
                <c:pt idx="1">
                  <c:v>23726.499999999993</c:v>
                </c:pt>
                <c:pt idx="2">
                  <c:v>23701.999999999996</c:v>
                </c:pt>
                <c:pt idx="3">
                  <c:v>20420.999999999996</c:v>
                </c:pt>
                <c:pt idx="4">
                  <c:v>23725.999999999993</c:v>
                </c:pt>
                <c:pt idx="5">
                  <c:v>28442.999999999993</c:v>
                </c:pt>
                <c:pt idx="6">
                  <c:v>21665.999999999985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40-4C08-A6B4-9F419A254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Traffic Volume </a:t>
                </a:r>
              </a:p>
            </c:rich>
          </c:tx>
          <c:layout>
            <c:manualLayout>
              <c:xMode val="edge"/>
              <c:yMode val="edge"/>
              <c:x val="4.1943193762272853E-2"/>
              <c:y val="0.39455573152506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802091792"/>
        <c:crosses val="autoZero"/>
        <c:crossBetween val="between"/>
        <c:majorUnit val="2500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layout>
        <c:manualLayout>
          <c:xMode val="edge"/>
          <c:yMode val="edge"/>
          <c:x val="0.11731616161616161"/>
          <c:y val="1.4111111111111111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'29-04-BWEYOGERERE-NALYA  2 DIR'!$C$18:$N$18</c:f>
              <c:strCache>
                <c:ptCount val="12"/>
                <c:pt idx="0">
                  <c:v>17%</c:v>
                </c:pt>
                <c:pt idx="1">
                  <c:v>38%</c:v>
                </c:pt>
                <c:pt idx="2">
                  <c:v>6%</c:v>
                </c:pt>
                <c:pt idx="3">
                  <c:v>5%</c:v>
                </c:pt>
                <c:pt idx="4">
                  <c:v>16%</c:v>
                </c:pt>
                <c:pt idx="5">
                  <c:v>1%</c:v>
                </c:pt>
                <c:pt idx="6">
                  <c:v>0%</c:v>
                </c:pt>
                <c:pt idx="7">
                  <c:v>6%</c:v>
                </c:pt>
                <c:pt idx="8">
                  <c:v>5%</c:v>
                </c:pt>
                <c:pt idx="9">
                  <c:v>2%</c:v>
                </c:pt>
                <c:pt idx="10">
                  <c:v>3%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AA5-46B0-8A09-FC8A47A051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AA5-46B0-8A09-FC8A47A051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AA5-46B0-8A09-FC8A47A051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AA5-46B0-8A09-FC8A47A051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AA5-46B0-8A09-FC8A47A051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AA5-46B0-8A09-FC8A47A051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AA5-46B0-8A09-FC8A47A051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AA5-46B0-8A09-FC8A47A051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AA5-46B0-8A09-FC8A47A051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AA5-46B0-8A09-FC8A47A051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AA5-46B0-8A09-FC8A47A051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AA5-46B0-8A09-FC8A47A0515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AA5-46B0-8A09-FC8A47A05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'29-04-BWEYOGERERE-NALYA  2 DIR'!$C$9:$N$9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AA5-46B0-8A09-FC8A47A05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'29-04-BWEYOGERERE-NALYA  2 DIR'!$D$19:$N$19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8E-4745-ABB8-CB8D61336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8E-4745-ABB8-CB8D61336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8E-4745-ABB8-CB8D61336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8E-4745-ABB8-CB8D61336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F8E-4745-ABB8-CB8D613361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F8E-4745-ABB8-CB8D613361C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F8E-4745-ABB8-CB8D613361C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F8E-4745-ABB8-CB8D613361C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F8E-4745-ABB8-CB8D613361C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F8E-4745-ABB8-CB8D613361C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F8E-4745-ABB8-CB8D613361C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F8E-4745-ABB8-CB8D613361C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F8E-4745-ABB8-CB8D613361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'29-04-BWEYOGERERE-NALYA  2 DIR'!$C$9:$N$9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F8E-4745-ABB8-CB8D61336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20</xdr:row>
      <xdr:rowOff>31750</xdr:rowOff>
    </xdr:from>
    <xdr:to>
      <xdr:col>9</xdr:col>
      <xdr:colOff>0</xdr:colOff>
      <xdr:row>35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971549</xdr:colOff>
      <xdr:row>19</xdr:row>
      <xdr:rowOff>253999</xdr:rowOff>
    </xdr:from>
    <xdr:to>
      <xdr:col>22</xdr:col>
      <xdr:colOff>396875</xdr:colOff>
      <xdr:row>39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15875</xdr:rowOff>
    </xdr:from>
    <xdr:to>
      <xdr:col>14</xdr:col>
      <xdr:colOff>793750</xdr:colOff>
      <xdr:row>39</xdr:row>
      <xdr:rowOff>269875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20</xdr:row>
      <xdr:rowOff>31750</xdr:rowOff>
    </xdr:from>
    <xdr:to>
      <xdr:col>9</xdr:col>
      <xdr:colOff>0</xdr:colOff>
      <xdr:row>39</xdr:row>
      <xdr:rowOff>206375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971549</xdr:colOff>
      <xdr:row>19</xdr:row>
      <xdr:rowOff>253999</xdr:rowOff>
    </xdr:from>
    <xdr:to>
      <xdr:col>22</xdr:col>
      <xdr:colOff>396875</xdr:colOff>
      <xdr:row>39</xdr:row>
      <xdr:rowOff>269875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15875</xdr:rowOff>
    </xdr:from>
    <xdr:to>
      <xdr:col>14</xdr:col>
      <xdr:colOff>793750</xdr:colOff>
      <xdr:row>39</xdr:row>
      <xdr:rowOff>269875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317498</xdr:colOff>
      <xdr:row>20</xdr:row>
      <xdr:rowOff>31750</xdr:rowOff>
    </xdr:from>
    <xdr:to>
      <xdr:col>9</xdr:col>
      <xdr:colOff>922498</xdr:colOff>
      <xdr:row>35</xdr:row>
      <xdr:rowOff>245500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66673</xdr:colOff>
      <xdr:row>20</xdr:row>
      <xdr:rowOff>31749</xdr:rowOff>
    </xdr:from>
    <xdr:to>
      <xdr:col>22</xdr:col>
      <xdr:colOff>498048</xdr:colOff>
      <xdr:row>35</xdr:row>
      <xdr:rowOff>245499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968375</xdr:colOff>
      <xdr:row>20</xdr:row>
      <xdr:rowOff>31750</xdr:rowOff>
    </xdr:from>
    <xdr:to>
      <xdr:col>15</xdr:col>
      <xdr:colOff>2750</xdr:colOff>
      <xdr:row>35</xdr:row>
      <xdr:rowOff>245500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.O/Desktop/STN-C1-RD-1A-SALAMA%20ROAD/MCC%20DATA/MCC-C1-STN1A-%20SALAM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proportions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7">
          <cell r="C107">
            <v>0.12930183209716614</v>
          </cell>
          <cell r="D107">
            <v>4.7988984766631639E-2</v>
          </cell>
          <cell r="E107">
            <v>1.3401469889907276E-2</v>
          </cell>
          <cell r="F107">
            <v>0.15237739492909838</v>
          </cell>
          <cell r="G107">
            <v>1.6530797551375614E-3</v>
          </cell>
          <cell r="H107">
            <v>3.3379495055662294E-4</v>
          </cell>
          <cell r="I107">
            <v>1.1366910191276423E-2</v>
          </cell>
          <cell r="J107">
            <v>2.1160215615643068E-3</v>
          </cell>
          <cell r="K107">
            <v>1.8398459774728146E-3</v>
          </cell>
          <cell r="L107">
            <v>1.4106810410428709E-4</v>
          </cell>
          <cell r="M107">
            <v>0.63936435904415434</v>
          </cell>
          <cell r="N107">
            <v>1.1523873293026267E-4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>
            <v>3.9116502739489079E-4</v>
          </cell>
          <cell r="N108">
            <v>3.1954338352368198E-4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B1:AD151"/>
  <sheetViews>
    <sheetView view="pageBreakPreview" topLeftCell="A7" zoomScale="60" workbookViewId="0">
      <selection activeCell="D10" sqref="D10:N16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0" t="s">
        <v>25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3" t="s">
        <v>30</v>
      </c>
      <c r="D3" s="33"/>
      <c r="E3" s="33"/>
      <c r="F3" s="33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2" t="s">
        <v>27</v>
      </c>
      <c r="E5" s="32"/>
      <c r="F5" s="4" t="s">
        <v>3</v>
      </c>
      <c r="G5" s="34"/>
      <c r="H5" s="35"/>
      <c r="I5" s="5"/>
      <c r="J5" s="3" t="s">
        <v>4</v>
      </c>
      <c r="K5" s="34" t="s">
        <v>14</v>
      </c>
      <c r="L5" s="35"/>
      <c r="M5" s="2"/>
      <c r="N5" s="2"/>
    </row>
    <row r="6" spans="2:30" ht="23.25" customHeight="1" x14ac:dyDescent="0.25">
      <c r="C6" s="3" t="s">
        <v>5</v>
      </c>
      <c r="D6" s="36" t="s">
        <v>28</v>
      </c>
      <c r="E6" s="37"/>
      <c r="F6" s="3" t="s">
        <v>6</v>
      </c>
      <c r="G6" s="36" t="s">
        <v>29</v>
      </c>
      <c r="H6" s="37"/>
      <c r="J6" s="3" t="s">
        <v>7</v>
      </c>
      <c r="K6" s="36" t="s">
        <v>13</v>
      </c>
      <c r="L6" s="37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1" t="s">
        <v>9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R8"/>
      <c r="S8"/>
    </row>
    <row r="9" spans="2:30" ht="98.25" customHeight="1" x14ac:dyDescent="0.25">
      <c r="B9" s="14" t="s">
        <v>8</v>
      </c>
      <c r="C9" s="26" t="s">
        <v>15</v>
      </c>
      <c r="D9" s="26" t="s">
        <v>32</v>
      </c>
      <c r="E9" s="26" t="s">
        <v>33</v>
      </c>
      <c r="F9" s="26" t="s">
        <v>34</v>
      </c>
      <c r="G9" s="26" t="s">
        <v>35</v>
      </c>
      <c r="H9" s="26" t="s">
        <v>36</v>
      </c>
      <c r="I9" s="26" t="s">
        <v>37</v>
      </c>
      <c r="J9" s="26" t="s">
        <v>38</v>
      </c>
      <c r="K9" s="26" t="s">
        <v>39</v>
      </c>
      <c r="L9" s="26" t="s">
        <v>40</v>
      </c>
      <c r="M9" s="26" t="s">
        <v>41</v>
      </c>
      <c r="N9" s="26" t="s">
        <v>42</v>
      </c>
      <c r="O9" s="7" t="s">
        <v>10</v>
      </c>
      <c r="P9" s="7" t="s">
        <v>24</v>
      </c>
      <c r="R9"/>
      <c r="S9"/>
    </row>
    <row r="10" spans="2:30" ht="23.1" customHeight="1" x14ac:dyDescent="0.25">
      <c r="B10" s="6" t="s">
        <v>16</v>
      </c>
      <c r="C10" s="23">
        <v>1962</v>
      </c>
      <c r="D10" s="8">
        <f>$O10*D$20</f>
        <v>4751.0277419254498</v>
      </c>
      <c r="E10" s="8">
        <f t="shared" ref="E10:N16" si="0">$O10*E$20</f>
        <v>735.20185982863438</v>
      </c>
      <c r="F10" s="8">
        <f t="shared" si="0"/>
        <v>671.5400189714959</v>
      </c>
      <c r="G10" s="8">
        <f t="shared" si="0"/>
        <v>1942.2278134573214</v>
      </c>
      <c r="H10" s="8">
        <f t="shared" si="0"/>
        <v>124.1692661763105</v>
      </c>
      <c r="I10" s="8">
        <f t="shared" si="0"/>
        <v>41.485343741738838</v>
      </c>
      <c r="J10" s="8">
        <f t="shared" si="0"/>
        <v>751.70678153233689</v>
      </c>
      <c r="K10" s="8">
        <f t="shared" si="0"/>
        <v>620.43211469979917</v>
      </c>
      <c r="L10" s="8">
        <f t="shared" si="0"/>
        <v>275.07140746730528</v>
      </c>
      <c r="M10" s="8">
        <f t="shared" si="0"/>
        <v>331.65971045142828</v>
      </c>
      <c r="N10" s="8">
        <f t="shared" si="0"/>
        <v>0.47794174817671475</v>
      </c>
      <c r="O10" s="9">
        <v>10245</v>
      </c>
      <c r="P10" s="9">
        <f>SUM(C10:N10)</f>
        <v>12206.999999999995</v>
      </c>
      <c r="R10"/>
      <c r="S10"/>
    </row>
    <row r="11" spans="2:30" s="10" customFormat="1" ht="23.1" customHeight="1" x14ac:dyDescent="0.25">
      <c r="B11" s="6" t="s">
        <v>20</v>
      </c>
      <c r="C11" s="23">
        <v>2150.5</v>
      </c>
      <c r="D11" s="8">
        <f t="shared" ref="D11:D16" si="1">$O11*D$20</f>
        <v>4545.1266860528385</v>
      </c>
      <c r="E11" s="8">
        <f t="shared" si="0"/>
        <v>703.33952446856472</v>
      </c>
      <c r="F11" s="8">
        <f t="shared" si="0"/>
        <v>642.43667407902694</v>
      </c>
      <c r="G11" s="8">
        <f t="shared" si="0"/>
        <v>1858.0551293016308</v>
      </c>
      <c r="H11" s="8">
        <f t="shared" si="0"/>
        <v>118.78799197599017</v>
      </c>
      <c r="I11" s="8">
        <f t="shared" si="0"/>
        <v>39.687443046635664</v>
      </c>
      <c r="J11" s="8">
        <f t="shared" si="0"/>
        <v>719.12915234733373</v>
      </c>
      <c r="K11" s="8">
        <f t="shared" si="0"/>
        <v>593.54369508762636</v>
      </c>
      <c r="L11" s="8">
        <f t="shared" si="0"/>
        <v>263.15030401044987</v>
      </c>
      <c r="M11" s="8">
        <f t="shared" si="0"/>
        <v>317.28617102337222</v>
      </c>
      <c r="N11" s="8">
        <f t="shared" si="0"/>
        <v>0.45722860652806063</v>
      </c>
      <c r="O11" s="9">
        <v>9801</v>
      </c>
      <c r="P11" s="9">
        <f t="shared" ref="P11:P16" si="2">SUM(C11:N11)</f>
        <v>11951.499999999996</v>
      </c>
    </row>
    <row r="12" spans="2:30" ht="23.1" customHeight="1" x14ac:dyDescent="0.25">
      <c r="B12" s="6" t="s">
        <v>21</v>
      </c>
      <c r="C12" s="23">
        <v>2150</v>
      </c>
      <c r="D12" s="8">
        <f t="shared" si="1"/>
        <v>4539.0980515340461</v>
      </c>
      <c r="E12" s="8">
        <f t="shared" si="0"/>
        <v>702.40661825306711</v>
      </c>
      <c r="F12" s="8">
        <f t="shared" si="0"/>
        <v>641.58454911595913</v>
      </c>
      <c r="G12" s="8">
        <f t="shared" si="0"/>
        <v>1855.5906137745496</v>
      </c>
      <c r="H12" s="8">
        <f t="shared" si="0"/>
        <v>118.63043214580061</v>
      </c>
      <c r="I12" s="8">
        <f t="shared" si="0"/>
        <v>39.634801810067323</v>
      </c>
      <c r="J12" s="8">
        <f t="shared" si="0"/>
        <v>718.17530284416921</v>
      </c>
      <c r="K12" s="8">
        <f t="shared" si="0"/>
        <v>592.75642154042305</v>
      </c>
      <c r="L12" s="8">
        <f t="shared" si="0"/>
        <v>262.8012626930194</v>
      </c>
      <c r="M12" s="8">
        <f t="shared" si="0"/>
        <v>316.86532414822648</v>
      </c>
      <c r="N12" s="8">
        <f t="shared" si="0"/>
        <v>0.45662214066897838</v>
      </c>
      <c r="O12" s="9">
        <v>9788</v>
      </c>
      <c r="P12" s="9">
        <f t="shared" si="2"/>
        <v>11937.999999999998</v>
      </c>
      <c r="R12"/>
      <c r="S12"/>
    </row>
    <row r="13" spans="2:30" ht="23.1" customHeight="1" x14ac:dyDescent="0.25">
      <c r="B13" s="6" t="s">
        <v>17</v>
      </c>
      <c r="C13" s="6">
        <v>1984</v>
      </c>
      <c r="D13" s="8">
        <f t="shared" si="1"/>
        <v>3842.0951529382482</v>
      </c>
      <c r="E13" s="8">
        <f t="shared" si="0"/>
        <v>594.54830733823678</v>
      </c>
      <c r="F13" s="8">
        <f t="shared" si="0"/>
        <v>543.06579377050696</v>
      </c>
      <c r="G13" s="8">
        <f t="shared" si="0"/>
        <v>1570.6547032204887</v>
      </c>
      <c r="H13" s="8">
        <f t="shared" si="0"/>
        <v>100.41409177849999</v>
      </c>
      <c r="I13" s="8">
        <f t="shared" si="0"/>
        <v>33.548664997589682</v>
      </c>
      <c r="J13" s="8">
        <f t="shared" si="0"/>
        <v>607.89562567061114</v>
      </c>
      <c r="K13" s="8">
        <f t="shared" si="0"/>
        <v>501.73548758300012</v>
      </c>
      <c r="L13" s="8">
        <f t="shared" si="0"/>
        <v>222.44671653163729</v>
      </c>
      <c r="M13" s="8">
        <f t="shared" si="0"/>
        <v>268.20895081406377</v>
      </c>
      <c r="N13" s="8">
        <f t="shared" si="0"/>
        <v>0.38650535711508849</v>
      </c>
      <c r="O13" s="9">
        <v>8285</v>
      </c>
      <c r="P13" s="9">
        <f t="shared" si="2"/>
        <v>10268.999999999998</v>
      </c>
      <c r="R13"/>
      <c r="S13"/>
    </row>
    <row r="14" spans="2:30" ht="23.1" customHeight="1" x14ac:dyDescent="0.25">
      <c r="B14" s="6" t="s">
        <v>18</v>
      </c>
      <c r="C14" s="6">
        <v>1895</v>
      </c>
      <c r="D14" s="8">
        <f t="shared" si="1"/>
        <v>4671.2642698306545</v>
      </c>
      <c r="E14" s="8">
        <f t="shared" si="0"/>
        <v>722.85879297743622</v>
      </c>
      <c r="F14" s="8">
        <f t="shared" si="0"/>
        <v>660.26575022936822</v>
      </c>
      <c r="G14" s="8">
        <f t="shared" si="0"/>
        <v>1909.6203772528647</v>
      </c>
      <c r="H14" s="8">
        <f t="shared" si="0"/>
        <v>122.08462842303325</v>
      </c>
      <c r="I14" s="8">
        <f t="shared" si="0"/>
        <v>40.788859688680851</v>
      </c>
      <c r="J14" s="8">
        <f t="shared" si="0"/>
        <v>739.08661887508345</v>
      </c>
      <c r="K14" s="8">
        <f t="shared" si="0"/>
        <v>610.01588007526379</v>
      </c>
      <c r="L14" s="8">
        <f t="shared" si="0"/>
        <v>270.45332234437927</v>
      </c>
      <c r="M14" s="8">
        <f t="shared" si="0"/>
        <v>326.09158256488405</v>
      </c>
      <c r="N14" s="8">
        <f t="shared" si="0"/>
        <v>0.46991773834885775</v>
      </c>
      <c r="O14" s="9">
        <v>10073</v>
      </c>
      <c r="P14" s="9">
        <f t="shared" si="2"/>
        <v>11967.999999999996</v>
      </c>
      <c r="R14"/>
      <c r="S14"/>
    </row>
    <row r="15" spans="2:30" ht="23.1" customHeight="1" x14ac:dyDescent="0.25">
      <c r="B15" s="6" t="s">
        <v>19</v>
      </c>
      <c r="C15" s="6">
        <v>2402</v>
      </c>
      <c r="D15" s="8">
        <f t="shared" si="1"/>
        <v>5524.5479247982321</v>
      </c>
      <c r="E15" s="8">
        <f t="shared" si="0"/>
        <v>854.90090347862576</v>
      </c>
      <c r="F15" s="8">
        <f t="shared" si="0"/>
        <v>780.87420654050072</v>
      </c>
      <c r="G15" s="8">
        <f t="shared" si="0"/>
        <v>2258.4441133935647</v>
      </c>
      <c r="H15" s="8">
        <f t="shared" si="0"/>
        <v>144.38540438832476</v>
      </c>
      <c r="I15" s="8">
        <f t="shared" si="0"/>
        <v>48.239619326045364</v>
      </c>
      <c r="J15" s="8">
        <f t="shared" si="0"/>
        <v>874.09301009221372</v>
      </c>
      <c r="K15" s="8">
        <f t="shared" si="0"/>
        <v>721.44536675634049</v>
      </c>
      <c r="L15" s="8">
        <f t="shared" si="0"/>
        <v>319.85609342684307</v>
      </c>
      <c r="M15" s="8">
        <f t="shared" si="0"/>
        <v>385.65760181628747</v>
      </c>
      <c r="N15" s="8">
        <f t="shared" si="0"/>
        <v>0.55575598301895579</v>
      </c>
      <c r="O15" s="9">
        <v>11913</v>
      </c>
      <c r="P15" s="9">
        <f t="shared" si="2"/>
        <v>14314.999999999996</v>
      </c>
      <c r="R15"/>
      <c r="S15"/>
    </row>
    <row r="16" spans="2:30" ht="23.1" customHeight="1" x14ac:dyDescent="0.25">
      <c r="B16" s="6" t="s">
        <v>22</v>
      </c>
      <c r="C16" s="6">
        <v>2510</v>
      </c>
      <c r="D16" s="8">
        <f t="shared" si="1"/>
        <v>3913.0475438132694</v>
      </c>
      <c r="E16" s="8">
        <f t="shared" si="0"/>
        <v>605.52789587447694</v>
      </c>
      <c r="F16" s="8">
        <f t="shared" si="0"/>
        <v>553.09464910507393</v>
      </c>
      <c r="G16" s="8">
        <f t="shared" si="0"/>
        <v>1599.6601551930578</v>
      </c>
      <c r="H16" s="8">
        <f t="shared" si="0"/>
        <v>102.26844977996174</v>
      </c>
      <c r="I16" s="8">
        <f t="shared" si="0"/>
        <v>34.168211858740101</v>
      </c>
      <c r="J16" s="8">
        <f t="shared" si="0"/>
        <v>619.12170059247035</v>
      </c>
      <c r="K16" s="8">
        <f t="shared" si="0"/>
        <v>511.0010916385462</v>
      </c>
      <c r="L16" s="8">
        <f t="shared" si="0"/>
        <v>226.5546643444726</v>
      </c>
      <c r="M16" s="8">
        <f t="shared" si="0"/>
        <v>273.16199480616416</v>
      </c>
      <c r="N16" s="8">
        <f t="shared" si="0"/>
        <v>0.39364299376428685</v>
      </c>
      <c r="O16" s="9">
        <v>8438</v>
      </c>
      <c r="P16" s="9">
        <f t="shared" si="2"/>
        <v>10947.999999999993</v>
      </c>
      <c r="R16"/>
      <c r="S16"/>
    </row>
    <row r="17" spans="2:19" ht="37.5" customHeight="1" x14ac:dyDescent="0.25">
      <c r="B17" s="16" t="s">
        <v>23</v>
      </c>
      <c r="C17" s="11">
        <f>AVERAGE(C10:C16)</f>
        <v>2150.5</v>
      </c>
      <c r="D17" s="11">
        <f t="shared" ref="D17:N17" si="3">AVERAGE(D10:D16)</f>
        <v>4540.8867672703918</v>
      </c>
      <c r="E17" s="11">
        <f t="shared" si="3"/>
        <v>702.68341460272018</v>
      </c>
      <c r="F17" s="11">
        <f t="shared" si="3"/>
        <v>641.83737740170454</v>
      </c>
      <c r="G17" s="11">
        <f t="shared" si="3"/>
        <v>1856.3218436562113</v>
      </c>
      <c r="H17" s="11">
        <f t="shared" si="3"/>
        <v>118.67718066684587</v>
      </c>
      <c r="I17" s="11">
        <f t="shared" si="3"/>
        <v>39.650420638499689</v>
      </c>
      <c r="J17" s="11">
        <f t="shared" si="3"/>
        <v>718.45831313631686</v>
      </c>
      <c r="K17" s="11">
        <f t="shared" si="3"/>
        <v>592.99000819728565</v>
      </c>
      <c r="L17" s="11">
        <f t="shared" si="3"/>
        <v>262.90482440258671</v>
      </c>
      <c r="M17" s="11">
        <f t="shared" si="3"/>
        <v>316.9901908034895</v>
      </c>
      <c r="N17" s="11">
        <f t="shared" si="3"/>
        <v>0.45680208108870601</v>
      </c>
      <c r="O17" s="12">
        <f>AVERAGE(O10:O16)</f>
        <v>9791.8571428571431</v>
      </c>
      <c r="P17" s="12">
        <f>AVERAGE(P10:P16)</f>
        <v>11942.357142857139</v>
      </c>
      <c r="R17"/>
      <c r="S17"/>
    </row>
    <row r="18" spans="2:19" ht="23.1" customHeight="1" x14ac:dyDescent="0.25">
      <c r="B18" s="18" t="s">
        <v>11</v>
      </c>
      <c r="C18" s="17">
        <f>C$17/P$17</f>
        <v>0.18007332842882184</v>
      </c>
      <c r="D18" s="17">
        <f>D17/$P$17</f>
        <v>0.38023371039329101</v>
      </c>
      <c r="E18" s="17">
        <f>E17/$P$17</f>
        <v>5.8839591396996793E-2</v>
      </c>
      <c r="F18" s="17">
        <f t="shared" ref="F18:N18" si="4">F17/$P$17</f>
        <v>5.37446142100678E-2</v>
      </c>
      <c r="G18" s="17">
        <f t="shared" si="4"/>
        <v>0.15544015485807997</v>
      </c>
      <c r="H18" s="17">
        <f t="shared" si="4"/>
        <v>9.9375005492804286E-3</v>
      </c>
      <c r="I18" s="17">
        <f t="shared" si="4"/>
        <v>3.3201502989897652E-3</v>
      </c>
      <c r="J18" s="17">
        <f t="shared" si="4"/>
        <v>6.0160511408422837E-2</v>
      </c>
      <c r="K18" s="17">
        <f t="shared" si="4"/>
        <v>4.9654352244184873E-2</v>
      </c>
      <c r="L18" s="17">
        <f t="shared" si="4"/>
        <v>2.2014483510889901E-2</v>
      </c>
      <c r="M18" s="17">
        <f t="shared" si="4"/>
        <v>2.654335212149345E-2</v>
      </c>
      <c r="N18" s="17">
        <f t="shared" si="4"/>
        <v>3.8250579481448898E-5</v>
      </c>
      <c r="O18" s="12">
        <f>SUM(O10:O16)</f>
        <v>68543</v>
      </c>
      <c r="P18" s="12">
        <f>SUM(P10:P16)</f>
        <v>83596.499999999971</v>
      </c>
      <c r="R18"/>
      <c r="S18"/>
    </row>
    <row r="19" spans="2:19" ht="23.1" customHeight="1" x14ac:dyDescent="0.25">
      <c r="B19" s="19" t="s">
        <v>12</v>
      </c>
      <c r="C19" s="17"/>
      <c r="D19" s="17">
        <f t="shared" ref="D19:N19" si="5">D$17/$O$17</f>
        <v>0.46374111683020502</v>
      </c>
      <c r="E19" s="17">
        <f t="shared" si="5"/>
        <v>7.1762016576733451E-2</v>
      </c>
      <c r="F19" s="17">
        <f t="shared" si="5"/>
        <v>6.5548074082137225E-2</v>
      </c>
      <c r="G19" s="17">
        <f t="shared" si="5"/>
        <v>0.18957811746777176</v>
      </c>
      <c r="H19" s="17">
        <f t="shared" si="5"/>
        <v>1.2119986937658421E-2</v>
      </c>
      <c r="I19" s="17">
        <f t="shared" si="5"/>
        <v>4.0493258898720193E-3</v>
      </c>
      <c r="J19" s="17">
        <f t="shared" si="5"/>
        <v>7.3373038704962104E-2</v>
      </c>
      <c r="K19" s="17">
        <f t="shared" si="5"/>
        <v>6.0559503631019938E-2</v>
      </c>
      <c r="L19" s="17">
        <f t="shared" si="5"/>
        <v>2.6849332110034679E-2</v>
      </c>
      <c r="M19" s="17">
        <f t="shared" si="5"/>
        <v>3.2372836549675772E-2</v>
      </c>
      <c r="N19" s="17">
        <f t="shared" si="5"/>
        <v>4.6651219929401138E-5</v>
      </c>
      <c r="O19" s="12"/>
      <c r="P19" s="12"/>
      <c r="R19"/>
      <c r="S19"/>
    </row>
    <row r="20" spans="2:19" ht="23.1" customHeight="1" x14ac:dyDescent="0.25">
      <c r="D20" s="24">
        <v>0.46374111683020497</v>
      </c>
      <c r="E20" s="24">
        <v>7.1762016576733464E-2</v>
      </c>
      <c r="F20" s="25">
        <v>6.5548074082137225E-2</v>
      </c>
      <c r="G20" s="25">
        <v>0.18957811746777173</v>
      </c>
      <c r="H20" s="25">
        <v>1.2119986937658419E-2</v>
      </c>
      <c r="I20" s="25">
        <v>4.0493258898720193E-3</v>
      </c>
      <c r="J20" s="25">
        <v>7.3373038704962118E-2</v>
      </c>
      <c r="K20" s="25">
        <v>6.0559503631019931E-2</v>
      </c>
      <c r="L20" s="25">
        <v>2.6849332110034676E-2</v>
      </c>
      <c r="M20" s="25">
        <v>3.2372836549675772E-2</v>
      </c>
      <c r="N20" s="25">
        <v>4.6651219929401145E-5</v>
      </c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B1:P1"/>
    <mergeCell ref="B2:P2"/>
    <mergeCell ref="C8:P8"/>
    <mergeCell ref="D5:E5"/>
    <mergeCell ref="C3:F3"/>
    <mergeCell ref="G5:H5"/>
    <mergeCell ref="K5:L5"/>
    <mergeCell ref="D6:E6"/>
    <mergeCell ref="G6:H6"/>
    <mergeCell ref="K6:L6"/>
  </mergeCells>
  <phoneticPr fontId="12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B1:AD151"/>
  <sheetViews>
    <sheetView view="pageBreakPreview" topLeftCell="A7" zoomScale="60" workbookViewId="0">
      <selection activeCell="D10" sqref="D10:N16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0" t="s">
        <v>25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3" t="s">
        <v>30</v>
      </c>
      <c r="D3" s="33"/>
      <c r="E3" s="33"/>
      <c r="F3" s="33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2" t="s">
        <v>27</v>
      </c>
      <c r="E5" s="32"/>
      <c r="F5" s="4" t="s">
        <v>3</v>
      </c>
      <c r="G5" s="34"/>
      <c r="H5" s="35"/>
      <c r="I5" s="5"/>
      <c r="J5" s="3" t="s">
        <v>4</v>
      </c>
      <c r="K5" s="34" t="s">
        <v>14</v>
      </c>
      <c r="L5" s="35"/>
      <c r="M5" s="2"/>
      <c r="N5" s="2"/>
    </row>
    <row r="6" spans="2:30" ht="23.25" customHeight="1" x14ac:dyDescent="0.25">
      <c r="C6" s="3" t="s">
        <v>5</v>
      </c>
      <c r="D6" s="36" t="s">
        <v>29</v>
      </c>
      <c r="E6" s="37"/>
      <c r="F6" s="3" t="s">
        <v>6</v>
      </c>
      <c r="G6" s="36" t="s">
        <v>28</v>
      </c>
      <c r="H6" s="37"/>
      <c r="J6" s="3" t="s">
        <v>7</v>
      </c>
      <c r="K6" s="36" t="s">
        <v>13</v>
      </c>
      <c r="L6" s="37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1" t="s">
        <v>26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R8"/>
      <c r="S8"/>
    </row>
    <row r="9" spans="2:30" ht="98.25" customHeight="1" x14ac:dyDescent="0.25">
      <c r="B9" s="14" t="s">
        <v>8</v>
      </c>
      <c r="C9" s="26" t="s">
        <v>15</v>
      </c>
      <c r="D9" s="26" t="s">
        <v>32</v>
      </c>
      <c r="E9" s="26" t="s">
        <v>33</v>
      </c>
      <c r="F9" s="26" t="s">
        <v>34</v>
      </c>
      <c r="G9" s="26" t="s">
        <v>35</v>
      </c>
      <c r="H9" s="26" t="s">
        <v>36</v>
      </c>
      <c r="I9" s="26" t="s">
        <v>37</v>
      </c>
      <c r="J9" s="26" t="s">
        <v>38</v>
      </c>
      <c r="K9" s="26" t="s">
        <v>39</v>
      </c>
      <c r="L9" s="26" t="s">
        <v>40</v>
      </c>
      <c r="M9" s="26" t="s">
        <v>41</v>
      </c>
      <c r="N9" s="26" t="s">
        <v>42</v>
      </c>
      <c r="O9" s="7" t="s">
        <v>10</v>
      </c>
      <c r="P9" s="7" t="s">
        <v>24</v>
      </c>
      <c r="R9"/>
      <c r="S9"/>
    </row>
    <row r="10" spans="2:30" ht="23.1" customHeight="1" x14ac:dyDescent="0.25">
      <c r="B10" s="6" t="s">
        <v>16</v>
      </c>
      <c r="C10" s="22">
        <v>1834</v>
      </c>
      <c r="D10" s="8">
        <f>$O10*D$20</f>
        <v>4751.0277419254498</v>
      </c>
      <c r="E10" s="8">
        <f t="shared" ref="E10:N16" si="0">$O10*E$20</f>
        <v>735.20185982863438</v>
      </c>
      <c r="F10" s="8">
        <f t="shared" si="0"/>
        <v>671.5400189714959</v>
      </c>
      <c r="G10" s="8">
        <f t="shared" si="0"/>
        <v>1942.2278134573214</v>
      </c>
      <c r="H10" s="8">
        <f t="shared" si="0"/>
        <v>124.1692661763105</v>
      </c>
      <c r="I10" s="8">
        <f t="shared" si="0"/>
        <v>41.485343741738838</v>
      </c>
      <c r="J10" s="8">
        <f t="shared" si="0"/>
        <v>751.70678153233689</v>
      </c>
      <c r="K10" s="8">
        <f t="shared" si="0"/>
        <v>620.43211469979917</v>
      </c>
      <c r="L10" s="8">
        <f t="shared" si="0"/>
        <v>275.07140746730528</v>
      </c>
      <c r="M10" s="8">
        <f t="shared" si="0"/>
        <v>331.65971045142828</v>
      </c>
      <c r="N10" s="8">
        <f t="shared" si="0"/>
        <v>0.47794174817671475</v>
      </c>
      <c r="O10" s="9">
        <v>10245</v>
      </c>
      <c r="P10" s="9">
        <f>SUM(C10:N10)</f>
        <v>12078.999999999995</v>
      </c>
      <c r="R10"/>
      <c r="S10"/>
    </row>
    <row r="11" spans="2:30" s="10" customFormat="1" ht="23.1" customHeight="1" x14ac:dyDescent="0.25">
      <c r="B11" s="6" t="s">
        <v>20</v>
      </c>
      <c r="C11" s="23">
        <v>1974</v>
      </c>
      <c r="D11" s="8">
        <f t="shared" ref="D11:D16" si="1">$O11*D$20</f>
        <v>4545.1266860528385</v>
      </c>
      <c r="E11" s="8">
        <f t="shared" si="0"/>
        <v>703.33952446856472</v>
      </c>
      <c r="F11" s="8">
        <f t="shared" si="0"/>
        <v>642.43667407902694</v>
      </c>
      <c r="G11" s="8">
        <f t="shared" si="0"/>
        <v>1858.0551293016308</v>
      </c>
      <c r="H11" s="8">
        <f t="shared" si="0"/>
        <v>118.78799197599017</v>
      </c>
      <c r="I11" s="8">
        <f t="shared" si="0"/>
        <v>39.687443046635664</v>
      </c>
      <c r="J11" s="8">
        <f t="shared" si="0"/>
        <v>719.12915234733373</v>
      </c>
      <c r="K11" s="8">
        <f t="shared" si="0"/>
        <v>593.54369508762636</v>
      </c>
      <c r="L11" s="8">
        <f t="shared" si="0"/>
        <v>263.15030401044987</v>
      </c>
      <c r="M11" s="8">
        <f t="shared" si="0"/>
        <v>317.28617102337222</v>
      </c>
      <c r="N11" s="8">
        <f t="shared" si="0"/>
        <v>0.45722860652806063</v>
      </c>
      <c r="O11" s="9">
        <v>9801</v>
      </c>
      <c r="P11" s="9">
        <f t="shared" ref="P11:P16" si="2">SUM(C11:N11)</f>
        <v>11774.999999999996</v>
      </c>
    </row>
    <row r="12" spans="2:30" ht="23.1" customHeight="1" x14ac:dyDescent="0.25">
      <c r="B12" s="6" t="s">
        <v>21</v>
      </c>
      <c r="C12" s="23">
        <v>1976</v>
      </c>
      <c r="D12" s="8">
        <f t="shared" si="1"/>
        <v>4539.0980515340461</v>
      </c>
      <c r="E12" s="8">
        <f t="shared" si="0"/>
        <v>702.40661825306711</v>
      </c>
      <c r="F12" s="8">
        <f t="shared" si="0"/>
        <v>641.58454911595913</v>
      </c>
      <c r="G12" s="8">
        <f t="shared" si="0"/>
        <v>1855.5906137745496</v>
      </c>
      <c r="H12" s="8">
        <f t="shared" si="0"/>
        <v>118.63043214580061</v>
      </c>
      <c r="I12" s="8">
        <f t="shared" si="0"/>
        <v>39.634801810067323</v>
      </c>
      <c r="J12" s="8">
        <f t="shared" si="0"/>
        <v>718.17530284416921</v>
      </c>
      <c r="K12" s="8">
        <f t="shared" si="0"/>
        <v>592.75642154042305</v>
      </c>
      <c r="L12" s="8">
        <f t="shared" si="0"/>
        <v>262.8012626930194</v>
      </c>
      <c r="M12" s="8">
        <f t="shared" si="0"/>
        <v>316.86532414822648</v>
      </c>
      <c r="N12" s="8">
        <f t="shared" si="0"/>
        <v>0.45662214066897838</v>
      </c>
      <c r="O12" s="9">
        <v>9788</v>
      </c>
      <c r="P12" s="9">
        <f t="shared" si="2"/>
        <v>11763.999999999998</v>
      </c>
      <c r="R12"/>
      <c r="S12"/>
    </row>
    <row r="13" spans="2:30" ht="23.1" customHeight="1" x14ac:dyDescent="0.25">
      <c r="B13" s="6" t="s">
        <v>17</v>
      </c>
      <c r="C13" s="6">
        <v>1867</v>
      </c>
      <c r="D13" s="8">
        <f t="shared" si="1"/>
        <v>3842.0951529382482</v>
      </c>
      <c r="E13" s="8">
        <f t="shared" si="0"/>
        <v>594.54830733823678</v>
      </c>
      <c r="F13" s="8">
        <f t="shared" si="0"/>
        <v>543.06579377050696</v>
      </c>
      <c r="G13" s="8">
        <f t="shared" si="0"/>
        <v>1570.6547032204887</v>
      </c>
      <c r="H13" s="8">
        <f t="shared" si="0"/>
        <v>100.41409177849999</v>
      </c>
      <c r="I13" s="8">
        <f t="shared" si="0"/>
        <v>33.548664997589682</v>
      </c>
      <c r="J13" s="8">
        <f t="shared" si="0"/>
        <v>607.89562567061114</v>
      </c>
      <c r="K13" s="8">
        <f t="shared" si="0"/>
        <v>501.73548758300012</v>
      </c>
      <c r="L13" s="8">
        <f t="shared" si="0"/>
        <v>222.44671653163729</v>
      </c>
      <c r="M13" s="8">
        <f t="shared" si="0"/>
        <v>268.20895081406377</v>
      </c>
      <c r="N13" s="8">
        <f t="shared" si="0"/>
        <v>0.38650535711508849</v>
      </c>
      <c r="O13" s="9">
        <v>8285</v>
      </c>
      <c r="P13" s="9">
        <f t="shared" si="2"/>
        <v>10151.999999999998</v>
      </c>
      <c r="R13"/>
      <c r="S13"/>
    </row>
    <row r="14" spans="2:30" ht="23.1" customHeight="1" x14ac:dyDescent="0.25">
      <c r="B14" s="6" t="s">
        <v>18</v>
      </c>
      <c r="C14" s="6">
        <v>1685</v>
      </c>
      <c r="D14" s="8">
        <f t="shared" si="1"/>
        <v>4671.2642698306545</v>
      </c>
      <c r="E14" s="8">
        <f t="shared" si="0"/>
        <v>722.85879297743622</v>
      </c>
      <c r="F14" s="8">
        <f t="shared" si="0"/>
        <v>660.26575022936822</v>
      </c>
      <c r="G14" s="8">
        <f t="shared" si="0"/>
        <v>1909.6203772528647</v>
      </c>
      <c r="H14" s="8">
        <f t="shared" si="0"/>
        <v>122.08462842303325</v>
      </c>
      <c r="I14" s="8">
        <f t="shared" si="0"/>
        <v>40.788859688680851</v>
      </c>
      <c r="J14" s="8">
        <f t="shared" si="0"/>
        <v>739.08661887508345</v>
      </c>
      <c r="K14" s="8">
        <f t="shared" si="0"/>
        <v>610.01588007526379</v>
      </c>
      <c r="L14" s="8">
        <f t="shared" si="0"/>
        <v>270.45332234437927</v>
      </c>
      <c r="M14" s="8">
        <f t="shared" si="0"/>
        <v>326.09158256488405</v>
      </c>
      <c r="N14" s="8">
        <f t="shared" si="0"/>
        <v>0.46991773834885775</v>
      </c>
      <c r="O14" s="9">
        <v>10073</v>
      </c>
      <c r="P14" s="9">
        <f t="shared" si="2"/>
        <v>11757.999999999996</v>
      </c>
      <c r="R14"/>
      <c r="S14"/>
    </row>
    <row r="15" spans="2:30" ht="23.1" customHeight="1" x14ac:dyDescent="0.25">
      <c r="B15" s="6" t="s">
        <v>19</v>
      </c>
      <c r="C15" s="6">
        <v>2215</v>
      </c>
      <c r="D15" s="8">
        <f t="shared" si="1"/>
        <v>5524.5479247982321</v>
      </c>
      <c r="E15" s="8">
        <f t="shared" si="0"/>
        <v>854.90090347862576</v>
      </c>
      <c r="F15" s="8">
        <f t="shared" si="0"/>
        <v>780.87420654050072</v>
      </c>
      <c r="G15" s="8">
        <f t="shared" si="0"/>
        <v>2258.4441133935647</v>
      </c>
      <c r="H15" s="8">
        <f t="shared" si="0"/>
        <v>144.38540438832476</v>
      </c>
      <c r="I15" s="8">
        <f t="shared" si="0"/>
        <v>48.239619326045364</v>
      </c>
      <c r="J15" s="8">
        <f t="shared" si="0"/>
        <v>874.09301009221372</v>
      </c>
      <c r="K15" s="8">
        <f t="shared" si="0"/>
        <v>721.44536675634049</v>
      </c>
      <c r="L15" s="8">
        <f t="shared" si="0"/>
        <v>319.85609342684307</v>
      </c>
      <c r="M15" s="8">
        <f t="shared" si="0"/>
        <v>385.65760181628747</v>
      </c>
      <c r="N15" s="8">
        <f t="shared" si="0"/>
        <v>0.55575598301895579</v>
      </c>
      <c r="O15" s="9">
        <v>11913</v>
      </c>
      <c r="P15" s="9">
        <f t="shared" si="2"/>
        <v>14127.999999999996</v>
      </c>
      <c r="R15"/>
      <c r="S15"/>
    </row>
    <row r="16" spans="2:30" ht="23.1" customHeight="1" x14ac:dyDescent="0.25">
      <c r="B16" s="6" t="s">
        <v>22</v>
      </c>
      <c r="C16" s="6">
        <v>2280</v>
      </c>
      <c r="D16" s="8">
        <f t="shared" si="1"/>
        <v>3913.0475438132694</v>
      </c>
      <c r="E16" s="8">
        <f t="shared" si="0"/>
        <v>605.52789587447694</v>
      </c>
      <c r="F16" s="8">
        <f t="shared" si="0"/>
        <v>553.09464910507393</v>
      </c>
      <c r="G16" s="8">
        <f t="shared" si="0"/>
        <v>1599.6601551930578</v>
      </c>
      <c r="H16" s="8">
        <f t="shared" si="0"/>
        <v>102.26844977996174</v>
      </c>
      <c r="I16" s="8">
        <f t="shared" si="0"/>
        <v>34.168211858740101</v>
      </c>
      <c r="J16" s="8">
        <f t="shared" si="0"/>
        <v>619.12170059247035</v>
      </c>
      <c r="K16" s="8">
        <f t="shared" si="0"/>
        <v>511.0010916385462</v>
      </c>
      <c r="L16" s="8">
        <f t="shared" si="0"/>
        <v>226.5546643444726</v>
      </c>
      <c r="M16" s="8">
        <f t="shared" si="0"/>
        <v>273.16199480616416</v>
      </c>
      <c r="N16" s="8">
        <f t="shared" si="0"/>
        <v>0.39364299376428685</v>
      </c>
      <c r="O16" s="9">
        <v>8438</v>
      </c>
      <c r="P16" s="9">
        <f t="shared" si="2"/>
        <v>10717.999999999993</v>
      </c>
      <c r="R16"/>
      <c r="S16"/>
    </row>
    <row r="17" spans="2:19" ht="37.5" customHeight="1" x14ac:dyDescent="0.25">
      <c r="B17" s="16" t="s">
        <v>23</v>
      </c>
      <c r="C17" s="11">
        <f>AVERAGE(C10:C16)</f>
        <v>1975.8571428571429</v>
      </c>
      <c r="D17" s="11">
        <f t="shared" ref="D17:N17" si="3">AVERAGE(D10:D16)</f>
        <v>4540.8867672703918</v>
      </c>
      <c r="E17" s="11">
        <f t="shared" si="3"/>
        <v>702.68341460272018</v>
      </c>
      <c r="F17" s="11">
        <f t="shared" si="3"/>
        <v>641.83737740170454</v>
      </c>
      <c r="G17" s="11">
        <f t="shared" si="3"/>
        <v>1856.3218436562113</v>
      </c>
      <c r="H17" s="11">
        <f t="shared" si="3"/>
        <v>118.67718066684587</v>
      </c>
      <c r="I17" s="11">
        <f t="shared" si="3"/>
        <v>39.650420638499689</v>
      </c>
      <c r="J17" s="11">
        <f t="shared" si="3"/>
        <v>718.45831313631686</v>
      </c>
      <c r="K17" s="11">
        <f t="shared" si="3"/>
        <v>592.99000819728565</v>
      </c>
      <c r="L17" s="11">
        <f t="shared" si="3"/>
        <v>262.90482440258671</v>
      </c>
      <c r="M17" s="11">
        <f t="shared" si="3"/>
        <v>316.9901908034895</v>
      </c>
      <c r="N17" s="11">
        <f t="shared" si="3"/>
        <v>0.45680208108870601</v>
      </c>
      <c r="O17" s="12">
        <f>AVERAGE(O10:O16)</f>
        <v>9791.8571428571431</v>
      </c>
      <c r="P17" s="12">
        <f>AVERAGE(P10:P16)</f>
        <v>11767.714285714281</v>
      </c>
      <c r="R17"/>
      <c r="S17"/>
    </row>
    <row r="18" spans="2:19" ht="23.1" customHeight="1" x14ac:dyDescent="0.25">
      <c r="B18" s="18" t="s">
        <v>11</v>
      </c>
      <c r="C18" s="17">
        <f>C$17/P$17</f>
        <v>0.16790492145579924</v>
      </c>
      <c r="D18" s="17">
        <f>D17/$P$17</f>
        <v>0.38587670103300503</v>
      </c>
      <c r="E18" s="17">
        <f>E17/$P$17</f>
        <v>5.9712820819907295E-2</v>
      </c>
      <c r="F18" s="17">
        <f t="shared" ref="F18:N18" si="4">F17/$P$17</f>
        <v>5.4542229851797096E-2</v>
      </c>
      <c r="G18" s="17">
        <f t="shared" si="4"/>
        <v>0.15774701854460732</v>
      </c>
      <c r="H18" s="17">
        <f t="shared" si="4"/>
        <v>1.0084981482845576E-2</v>
      </c>
      <c r="I18" s="17">
        <f t="shared" si="4"/>
        <v>3.3694241443841255E-3</v>
      </c>
      <c r="J18" s="17">
        <f t="shared" si="4"/>
        <v>6.1053344404232164E-2</v>
      </c>
      <c r="K18" s="17">
        <f t="shared" si="4"/>
        <v>5.0391264930451374E-2</v>
      </c>
      <c r="L18" s="17">
        <f t="shared" si="4"/>
        <v>2.2341197110958649E-2</v>
      </c>
      <c r="M18" s="17">
        <f t="shared" si="4"/>
        <v>2.6937277971501049E-2</v>
      </c>
      <c r="N18" s="17">
        <f t="shared" si="4"/>
        <v>3.8818250511337843E-5</v>
      </c>
      <c r="O18" s="12">
        <f>SUM(O10:O16)</f>
        <v>68543</v>
      </c>
      <c r="P18" s="12">
        <f>SUM(P10:P16)</f>
        <v>82373.999999999971</v>
      </c>
      <c r="R18"/>
      <c r="S18"/>
    </row>
    <row r="19" spans="2:19" ht="23.1" customHeight="1" x14ac:dyDescent="0.25">
      <c r="B19" s="19" t="s">
        <v>12</v>
      </c>
      <c r="C19" s="17"/>
      <c r="D19" s="17">
        <f t="shared" ref="D19:N19" si="5">D$17/$O$17</f>
        <v>0.46374111683020502</v>
      </c>
      <c r="E19" s="17">
        <f t="shared" si="5"/>
        <v>7.1762016576733451E-2</v>
      </c>
      <c r="F19" s="17">
        <f t="shared" si="5"/>
        <v>6.5548074082137225E-2</v>
      </c>
      <c r="G19" s="17">
        <f t="shared" si="5"/>
        <v>0.18957811746777176</v>
      </c>
      <c r="H19" s="17">
        <f t="shared" si="5"/>
        <v>1.2119986937658421E-2</v>
      </c>
      <c r="I19" s="17">
        <f t="shared" si="5"/>
        <v>4.0493258898720193E-3</v>
      </c>
      <c r="J19" s="17">
        <f t="shared" si="5"/>
        <v>7.3373038704962104E-2</v>
      </c>
      <c r="K19" s="17">
        <f t="shared" si="5"/>
        <v>6.0559503631019938E-2</v>
      </c>
      <c r="L19" s="17">
        <f t="shared" si="5"/>
        <v>2.6849332110034679E-2</v>
      </c>
      <c r="M19" s="17">
        <f t="shared" si="5"/>
        <v>3.2372836549675772E-2</v>
      </c>
      <c r="N19" s="17">
        <f t="shared" si="5"/>
        <v>4.6651219929401138E-5</v>
      </c>
      <c r="O19" s="12"/>
      <c r="P19" s="12"/>
      <c r="R19"/>
      <c r="S19"/>
    </row>
    <row r="20" spans="2:19" ht="23.1" customHeight="1" x14ac:dyDescent="0.25">
      <c r="D20" s="24">
        <v>0.46374111683020497</v>
      </c>
      <c r="E20" s="24">
        <v>7.1762016576733464E-2</v>
      </c>
      <c r="F20" s="25">
        <v>6.5548074082137225E-2</v>
      </c>
      <c r="G20" s="25">
        <v>0.18957811746777173</v>
      </c>
      <c r="H20" s="25">
        <v>1.2119986937658419E-2</v>
      </c>
      <c r="I20" s="25">
        <v>4.0493258898720193E-3</v>
      </c>
      <c r="J20" s="25">
        <v>7.3373038704962118E-2</v>
      </c>
      <c r="K20" s="25">
        <v>6.0559503631019931E-2</v>
      </c>
      <c r="L20" s="25">
        <v>2.6849332110034676E-2</v>
      </c>
      <c r="M20" s="25">
        <v>3.2372836549675772E-2</v>
      </c>
      <c r="N20" s="25">
        <v>4.6651219929401145E-5</v>
      </c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D6:E6"/>
    <mergeCell ref="G6:H6"/>
    <mergeCell ref="K6:L6"/>
    <mergeCell ref="C8:P8"/>
    <mergeCell ref="C3:F3"/>
    <mergeCell ref="B1:P1"/>
    <mergeCell ref="B2:P2"/>
    <mergeCell ref="D5:E5"/>
    <mergeCell ref="G5:H5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D151"/>
  <sheetViews>
    <sheetView tabSelected="1" view="pageBreakPreview" topLeftCell="A10" zoomScale="60" workbookViewId="0">
      <selection activeCell="AB13" sqref="AB13:AC16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0" t="s">
        <v>25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3" t="s">
        <v>31</v>
      </c>
      <c r="D3" s="33"/>
      <c r="E3" s="33"/>
      <c r="F3" s="33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2" t="s">
        <v>27</v>
      </c>
      <c r="E5" s="32"/>
      <c r="F5" s="4" t="s">
        <v>3</v>
      </c>
      <c r="G5" s="34"/>
      <c r="H5" s="35"/>
      <c r="I5" s="5"/>
      <c r="J5" s="3" t="s">
        <v>4</v>
      </c>
      <c r="K5" s="34" t="s">
        <v>14</v>
      </c>
      <c r="L5" s="35"/>
      <c r="M5" s="2"/>
      <c r="N5" s="2"/>
    </row>
    <row r="6" spans="2:30" ht="23.25" customHeight="1" x14ac:dyDescent="0.25">
      <c r="C6" s="3" t="s">
        <v>5</v>
      </c>
      <c r="D6" s="36" t="s">
        <v>29</v>
      </c>
      <c r="E6" s="37"/>
      <c r="F6" s="3" t="s">
        <v>6</v>
      </c>
      <c r="G6" s="36" t="s">
        <v>28</v>
      </c>
      <c r="H6" s="37"/>
      <c r="J6" s="3" t="s">
        <v>7</v>
      </c>
      <c r="K6" s="36" t="s">
        <v>13</v>
      </c>
      <c r="L6" s="37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1" t="s">
        <v>26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R8"/>
      <c r="S8"/>
    </row>
    <row r="9" spans="2:30" ht="68.25" customHeight="1" x14ac:dyDescent="0.25">
      <c r="B9" s="14" t="s">
        <v>8</v>
      </c>
      <c r="C9" s="26" t="s">
        <v>15</v>
      </c>
      <c r="D9" s="26" t="s">
        <v>32</v>
      </c>
      <c r="E9" s="26" t="s">
        <v>33</v>
      </c>
      <c r="F9" s="26" t="s">
        <v>34</v>
      </c>
      <c r="G9" s="26" t="s">
        <v>43</v>
      </c>
      <c r="H9" s="26" t="s">
        <v>36</v>
      </c>
      <c r="I9" s="26" t="s">
        <v>37</v>
      </c>
      <c r="J9" s="26" t="s">
        <v>38</v>
      </c>
      <c r="K9" s="26" t="s">
        <v>39</v>
      </c>
      <c r="L9" s="26" t="s">
        <v>40</v>
      </c>
      <c r="M9" s="26" t="s">
        <v>41</v>
      </c>
      <c r="N9" s="26" t="s">
        <v>42</v>
      </c>
      <c r="O9" s="7" t="s">
        <v>10</v>
      </c>
      <c r="P9" s="7" t="s">
        <v>24</v>
      </c>
      <c r="R9"/>
      <c r="S9"/>
    </row>
    <row r="10" spans="2:30" ht="23.1" customHeight="1" x14ac:dyDescent="0.25">
      <c r="B10" s="6" t="s">
        <v>16</v>
      </c>
      <c r="C10" s="22">
        <f>'29-04-NALYA RBT-BWEYOGERERE'!C10+'29-04-BWEYOGERERE-NALYA RBT'!C10</f>
        <v>3796</v>
      </c>
      <c r="D10" s="22">
        <f>'29-04-NALYA RBT-BWEYOGERERE'!D10+'29-04-BWEYOGERERE-NALYA RBT'!D10</f>
        <v>9502.0554838508997</v>
      </c>
      <c r="E10" s="22">
        <f>'29-04-NALYA RBT-BWEYOGERERE'!E10+'29-04-BWEYOGERERE-NALYA RBT'!E10</f>
        <v>1470.4037196572688</v>
      </c>
      <c r="F10" s="22">
        <f>'29-04-NALYA RBT-BWEYOGERERE'!F10+'29-04-BWEYOGERERE-NALYA RBT'!F10</f>
        <v>1343.0800379429918</v>
      </c>
      <c r="G10" s="22">
        <f>'29-04-NALYA RBT-BWEYOGERERE'!G10+'29-04-BWEYOGERERE-NALYA RBT'!G10</f>
        <v>3884.4556269146428</v>
      </c>
      <c r="H10" s="22">
        <f>'29-04-NALYA RBT-BWEYOGERERE'!H10+'29-04-BWEYOGERERE-NALYA RBT'!H10</f>
        <v>248.338532352621</v>
      </c>
      <c r="I10" s="22">
        <f>'29-04-NALYA RBT-BWEYOGERERE'!I10+'29-04-BWEYOGERERE-NALYA RBT'!I10</f>
        <v>82.970687483477676</v>
      </c>
      <c r="J10" s="22">
        <f>'29-04-NALYA RBT-BWEYOGERERE'!J10+'29-04-BWEYOGERERE-NALYA RBT'!J10</f>
        <v>1503.4135630646738</v>
      </c>
      <c r="K10" s="22">
        <f>'29-04-NALYA RBT-BWEYOGERERE'!K10+'29-04-BWEYOGERERE-NALYA RBT'!K10</f>
        <v>1240.8642293995983</v>
      </c>
      <c r="L10" s="22">
        <f>'29-04-NALYA RBT-BWEYOGERERE'!L10+'29-04-BWEYOGERERE-NALYA RBT'!L10</f>
        <v>550.14281493461056</v>
      </c>
      <c r="M10" s="22">
        <f>'29-04-NALYA RBT-BWEYOGERERE'!M10+'29-04-BWEYOGERERE-NALYA RBT'!M10</f>
        <v>663.31942090285656</v>
      </c>
      <c r="N10" s="22">
        <f>'29-04-NALYA RBT-BWEYOGERERE'!N10+'29-04-BWEYOGERERE-NALYA RBT'!N10</f>
        <v>0.95588349635342951</v>
      </c>
      <c r="O10" s="9">
        <f t="shared" ref="O10:O16" si="0">SUM(D10:N10)</f>
        <v>20489.999999999993</v>
      </c>
      <c r="P10" s="9">
        <f t="shared" ref="P10:P16" si="1">SUM(C10:N10)</f>
        <v>24285.999999999989</v>
      </c>
      <c r="R10"/>
      <c r="S10"/>
    </row>
    <row r="11" spans="2:30" s="10" customFormat="1" ht="23.1" customHeight="1" x14ac:dyDescent="0.25">
      <c r="B11" s="6" t="s">
        <v>20</v>
      </c>
      <c r="C11" s="22">
        <f>'29-04-NALYA RBT-BWEYOGERERE'!C11+'29-04-BWEYOGERERE-NALYA RBT'!C11</f>
        <v>4124.5</v>
      </c>
      <c r="D11" s="22">
        <f>'29-04-NALYA RBT-BWEYOGERERE'!D11+'29-04-BWEYOGERERE-NALYA RBT'!D11</f>
        <v>9090.253372105677</v>
      </c>
      <c r="E11" s="22">
        <f>'29-04-NALYA RBT-BWEYOGERERE'!E11+'29-04-BWEYOGERERE-NALYA RBT'!E11</f>
        <v>1406.6790489371294</v>
      </c>
      <c r="F11" s="22">
        <f>'29-04-NALYA RBT-BWEYOGERERE'!F11+'29-04-BWEYOGERERE-NALYA RBT'!F11</f>
        <v>1284.8733481580539</v>
      </c>
      <c r="G11" s="22">
        <f>'29-04-NALYA RBT-BWEYOGERERE'!G11+'29-04-BWEYOGERERE-NALYA RBT'!G11</f>
        <v>3716.1102586032616</v>
      </c>
      <c r="H11" s="22">
        <f>'29-04-NALYA RBT-BWEYOGERERE'!H11+'29-04-BWEYOGERERE-NALYA RBT'!H11</f>
        <v>237.57598395198033</v>
      </c>
      <c r="I11" s="22">
        <f>'29-04-NALYA RBT-BWEYOGERERE'!I11+'29-04-BWEYOGERERE-NALYA RBT'!I11</f>
        <v>79.374886093271328</v>
      </c>
      <c r="J11" s="22">
        <f>'29-04-NALYA RBT-BWEYOGERERE'!J11+'29-04-BWEYOGERERE-NALYA RBT'!J11</f>
        <v>1438.2583046946675</v>
      </c>
      <c r="K11" s="22">
        <f>'29-04-NALYA RBT-BWEYOGERERE'!K11+'29-04-BWEYOGERERE-NALYA RBT'!K11</f>
        <v>1187.0873901752527</v>
      </c>
      <c r="L11" s="22">
        <f>'29-04-NALYA RBT-BWEYOGERERE'!L11+'29-04-BWEYOGERERE-NALYA RBT'!L11</f>
        <v>526.30060802089974</v>
      </c>
      <c r="M11" s="22">
        <f>'29-04-NALYA RBT-BWEYOGERERE'!M11+'29-04-BWEYOGERERE-NALYA RBT'!M11</f>
        <v>634.57234204674444</v>
      </c>
      <c r="N11" s="22">
        <f>'29-04-NALYA RBT-BWEYOGERERE'!N11+'29-04-BWEYOGERERE-NALYA RBT'!N11</f>
        <v>0.91445721305612127</v>
      </c>
      <c r="O11" s="9">
        <f t="shared" si="0"/>
        <v>19601.999999999993</v>
      </c>
      <c r="P11" s="9">
        <f t="shared" si="1"/>
        <v>23726.499999999993</v>
      </c>
    </row>
    <row r="12" spans="2:30" ht="23.1" customHeight="1" x14ac:dyDescent="0.25">
      <c r="B12" s="6" t="s">
        <v>21</v>
      </c>
      <c r="C12" s="22">
        <f>'29-04-NALYA RBT-BWEYOGERERE'!C12+'29-04-BWEYOGERERE-NALYA RBT'!C12</f>
        <v>4126</v>
      </c>
      <c r="D12" s="22">
        <f>'29-04-NALYA RBT-BWEYOGERERE'!D12+'29-04-BWEYOGERERE-NALYA RBT'!D12</f>
        <v>9078.1961030680923</v>
      </c>
      <c r="E12" s="22">
        <f>'29-04-NALYA RBT-BWEYOGERERE'!E12+'29-04-BWEYOGERERE-NALYA RBT'!E12</f>
        <v>1404.8132365061342</v>
      </c>
      <c r="F12" s="22">
        <f>'29-04-NALYA RBT-BWEYOGERERE'!F12+'29-04-BWEYOGERERE-NALYA RBT'!F12</f>
        <v>1283.1690982319183</v>
      </c>
      <c r="G12" s="22">
        <f>'29-04-NALYA RBT-BWEYOGERERE'!G12+'29-04-BWEYOGERERE-NALYA RBT'!G12</f>
        <v>3711.1812275490993</v>
      </c>
      <c r="H12" s="22">
        <f>'29-04-NALYA RBT-BWEYOGERERE'!H12+'29-04-BWEYOGERERE-NALYA RBT'!H12</f>
        <v>237.26086429160122</v>
      </c>
      <c r="I12" s="22">
        <f>'29-04-NALYA RBT-BWEYOGERERE'!I12+'29-04-BWEYOGERERE-NALYA RBT'!I12</f>
        <v>79.269603620134646</v>
      </c>
      <c r="J12" s="22">
        <f>'29-04-NALYA RBT-BWEYOGERERE'!J12+'29-04-BWEYOGERERE-NALYA RBT'!J12</f>
        <v>1436.3506056883384</v>
      </c>
      <c r="K12" s="22">
        <f>'29-04-NALYA RBT-BWEYOGERERE'!K12+'29-04-BWEYOGERERE-NALYA RBT'!K12</f>
        <v>1185.5128430808461</v>
      </c>
      <c r="L12" s="22">
        <f>'29-04-NALYA RBT-BWEYOGERERE'!L12+'29-04-BWEYOGERERE-NALYA RBT'!L12</f>
        <v>525.60252538603879</v>
      </c>
      <c r="M12" s="22">
        <f>'29-04-NALYA RBT-BWEYOGERERE'!M12+'29-04-BWEYOGERERE-NALYA RBT'!M12</f>
        <v>633.73064829645296</v>
      </c>
      <c r="N12" s="22">
        <f>'29-04-NALYA RBT-BWEYOGERERE'!N12+'29-04-BWEYOGERERE-NALYA RBT'!N12</f>
        <v>0.91324428133795676</v>
      </c>
      <c r="O12" s="9">
        <f t="shared" si="0"/>
        <v>19575.999999999996</v>
      </c>
      <c r="P12" s="9">
        <f t="shared" si="1"/>
        <v>23701.999999999996</v>
      </c>
      <c r="R12"/>
      <c r="S12"/>
    </row>
    <row r="13" spans="2:30" ht="23.1" customHeight="1" x14ac:dyDescent="0.25">
      <c r="B13" s="6" t="s">
        <v>17</v>
      </c>
      <c r="C13" s="22">
        <f>'29-04-NALYA RBT-BWEYOGERERE'!C13+'29-04-BWEYOGERERE-NALYA RBT'!C13</f>
        <v>3851</v>
      </c>
      <c r="D13" s="22">
        <f>'29-04-NALYA RBT-BWEYOGERERE'!D13+'29-04-BWEYOGERERE-NALYA RBT'!D13</f>
        <v>7684.1903058764965</v>
      </c>
      <c r="E13" s="22">
        <f>'29-04-NALYA RBT-BWEYOGERERE'!E13+'29-04-BWEYOGERERE-NALYA RBT'!E13</f>
        <v>1189.0966146764736</v>
      </c>
      <c r="F13" s="22">
        <f>'29-04-NALYA RBT-BWEYOGERERE'!F13+'29-04-BWEYOGERERE-NALYA RBT'!F13</f>
        <v>1086.1315875410139</v>
      </c>
      <c r="G13" s="22">
        <f>'29-04-NALYA RBT-BWEYOGERERE'!G13+'29-04-BWEYOGERERE-NALYA RBT'!G13</f>
        <v>3141.3094064409775</v>
      </c>
      <c r="H13" s="22">
        <f>'29-04-NALYA RBT-BWEYOGERERE'!H13+'29-04-BWEYOGERERE-NALYA RBT'!H13</f>
        <v>200.82818355699999</v>
      </c>
      <c r="I13" s="22">
        <f>'29-04-NALYA RBT-BWEYOGERERE'!I13+'29-04-BWEYOGERERE-NALYA RBT'!I13</f>
        <v>67.097329995179365</v>
      </c>
      <c r="J13" s="22">
        <f>'29-04-NALYA RBT-BWEYOGERERE'!J13+'29-04-BWEYOGERERE-NALYA RBT'!J13</f>
        <v>1215.7912513412223</v>
      </c>
      <c r="K13" s="22">
        <f>'29-04-NALYA RBT-BWEYOGERERE'!K13+'29-04-BWEYOGERERE-NALYA RBT'!K13</f>
        <v>1003.4709751660002</v>
      </c>
      <c r="L13" s="22">
        <f>'29-04-NALYA RBT-BWEYOGERERE'!L13+'29-04-BWEYOGERERE-NALYA RBT'!L13</f>
        <v>444.89343306327459</v>
      </c>
      <c r="M13" s="22">
        <f>'29-04-NALYA RBT-BWEYOGERERE'!M13+'29-04-BWEYOGERERE-NALYA RBT'!M13</f>
        <v>536.41790162812754</v>
      </c>
      <c r="N13" s="22">
        <f>'29-04-NALYA RBT-BWEYOGERERE'!N13+'29-04-BWEYOGERERE-NALYA RBT'!N13</f>
        <v>0.77301071423017698</v>
      </c>
      <c r="O13" s="9">
        <f t="shared" si="0"/>
        <v>16570</v>
      </c>
      <c r="P13" s="9">
        <f t="shared" si="1"/>
        <v>20420.999999999996</v>
      </c>
      <c r="R13"/>
      <c r="S13"/>
      <c r="AB13" s="27">
        <f>AVERAGE(O10:O13)</f>
        <v>19059.499999999996</v>
      </c>
      <c r="AC13" s="27">
        <f>AVERAGE(P10:P13)</f>
        <v>23033.874999999996</v>
      </c>
    </row>
    <row r="14" spans="2:30" ht="23.1" customHeight="1" x14ac:dyDescent="0.25">
      <c r="B14" s="6" t="s">
        <v>18</v>
      </c>
      <c r="C14" s="22">
        <f>'29-04-NALYA RBT-BWEYOGERERE'!C14+'29-04-BWEYOGERERE-NALYA RBT'!C14</f>
        <v>3580</v>
      </c>
      <c r="D14" s="22">
        <f>'29-04-NALYA RBT-BWEYOGERERE'!D14+'29-04-BWEYOGERERE-NALYA RBT'!D14</f>
        <v>9342.528539661309</v>
      </c>
      <c r="E14" s="22">
        <f>'29-04-NALYA RBT-BWEYOGERERE'!E14+'29-04-BWEYOGERERE-NALYA RBT'!E14</f>
        <v>1445.7175859548724</v>
      </c>
      <c r="F14" s="22">
        <f>'29-04-NALYA RBT-BWEYOGERERE'!F14+'29-04-BWEYOGERERE-NALYA RBT'!F14</f>
        <v>1320.5315004587364</v>
      </c>
      <c r="G14" s="22">
        <f>'29-04-NALYA RBT-BWEYOGERERE'!G14+'29-04-BWEYOGERERE-NALYA RBT'!G14</f>
        <v>3819.2407545057295</v>
      </c>
      <c r="H14" s="22">
        <f>'29-04-NALYA RBT-BWEYOGERERE'!H14+'29-04-BWEYOGERERE-NALYA RBT'!H14</f>
        <v>244.1692568460665</v>
      </c>
      <c r="I14" s="22">
        <f>'29-04-NALYA RBT-BWEYOGERERE'!I14+'29-04-BWEYOGERERE-NALYA RBT'!I14</f>
        <v>81.577719377361703</v>
      </c>
      <c r="J14" s="22">
        <f>'29-04-NALYA RBT-BWEYOGERERE'!J14+'29-04-BWEYOGERERE-NALYA RBT'!J14</f>
        <v>1478.1732377501669</v>
      </c>
      <c r="K14" s="22">
        <f>'29-04-NALYA RBT-BWEYOGERERE'!K14+'29-04-BWEYOGERERE-NALYA RBT'!K14</f>
        <v>1220.0317601505276</v>
      </c>
      <c r="L14" s="22">
        <f>'29-04-NALYA RBT-BWEYOGERERE'!L14+'29-04-BWEYOGERERE-NALYA RBT'!L14</f>
        <v>540.90664468875855</v>
      </c>
      <c r="M14" s="22">
        <f>'29-04-NALYA RBT-BWEYOGERERE'!M14+'29-04-BWEYOGERERE-NALYA RBT'!M14</f>
        <v>652.1831651297681</v>
      </c>
      <c r="N14" s="22">
        <f>'29-04-NALYA RBT-BWEYOGERERE'!N14+'29-04-BWEYOGERERE-NALYA RBT'!N14</f>
        <v>0.9398354766977155</v>
      </c>
      <c r="O14" s="9">
        <f t="shared" si="0"/>
        <v>20145.999999999989</v>
      </c>
      <c r="P14" s="9">
        <f t="shared" si="1"/>
        <v>23725.999999999993</v>
      </c>
      <c r="R14"/>
      <c r="S14"/>
      <c r="AB14" s="28">
        <f>O14/AB13</f>
        <v>1.0570056926991784</v>
      </c>
      <c r="AC14" s="28">
        <f>P14/AC13</f>
        <v>1.0300481356263329</v>
      </c>
    </row>
    <row r="15" spans="2:30" ht="23.1" customHeight="1" x14ac:dyDescent="0.25">
      <c r="B15" s="6" t="s">
        <v>19</v>
      </c>
      <c r="C15" s="22">
        <f>'29-04-NALYA RBT-BWEYOGERERE'!C15+'29-04-BWEYOGERERE-NALYA RBT'!C15</f>
        <v>4617</v>
      </c>
      <c r="D15" s="22">
        <f>'29-04-NALYA RBT-BWEYOGERERE'!D15+'29-04-BWEYOGERERE-NALYA RBT'!D15</f>
        <v>11049.095849596464</v>
      </c>
      <c r="E15" s="22">
        <f>'29-04-NALYA RBT-BWEYOGERERE'!E15+'29-04-BWEYOGERERE-NALYA RBT'!E15</f>
        <v>1709.8018069572515</v>
      </c>
      <c r="F15" s="22">
        <f>'29-04-NALYA RBT-BWEYOGERERE'!F15+'29-04-BWEYOGERERE-NALYA RBT'!F15</f>
        <v>1561.7484130810014</v>
      </c>
      <c r="G15" s="22">
        <f>'29-04-NALYA RBT-BWEYOGERERE'!G15+'29-04-BWEYOGERERE-NALYA RBT'!G15</f>
        <v>4516.8882267871295</v>
      </c>
      <c r="H15" s="22">
        <f>'29-04-NALYA RBT-BWEYOGERERE'!H15+'29-04-BWEYOGERERE-NALYA RBT'!H15</f>
        <v>288.77080877664952</v>
      </c>
      <c r="I15" s="22">
        <f>'29-04-NALYA RBT-BWEYOGERERE'!I15+'29-04-BWEYOGERERE-NALYA RBT'!I15</f>
        <v>96.479238652090729</v>
      </c>
      <c r="J15" s="22">
        <f>'29-04-NALYA RBT-BWEYOGERERE'!J15+'29-04-BWEYOGERERE-NALYA RBT'!J15</f>
        <v>1748.1860201844274</v>
      </c>
      <c r="K15" s="22">
        <f>'29-04-NALYA RBT-BWEYOGERERE'!K15+'29-04-BWEYOGERERE-NALYA RBT'!K15</f>
        <v>1442.890733512681</v>
      </c>
      <c r="L15" s="22">
        <f>'29-04-NALYA RBT-BWEYOGERERE'!L15+'29-04-BWEYOGERERE-NALYA RBT'!L15</f>
        <v>639.71218685368615</v>
      </c>
      <c r="M15" s="22">
        <f>'29-04-NALYA RBT-BWEYOGERERE'!M15+'29-04-BWEYOGERERE-NALYA RBT'!M15</f>
        <v>771.31520363257493</v>
      </c>
      <c r="N15" s="22">
        <f>'29-04-NALYA RBT-BWEYOGERERE'!N15+'29-04-BWEYOGERERE-NALYA RBT'!N15</f>
        <v>1.1115119660379116</v>
      </c>
      <c r="O15" s="9">
        <f t="shared" si="0"/>
        <v>23825.999999999993</v>
      </c>
      <c r="P15" s="9">
        <f t="shared" si="1"/>
        <v>28442.999999999993</v>
      </c>
      <c r="R15"/>
      <c r="S15"/>
      <c r="AB15" s="28">
        <f>O15/AB13</f>
        <v>1.2500852593194993</v>
      </c>
      <c r="AC15" s="28">
        <f>P15/AC13</f>
        <v>1.2348334789521953</v>
      </c>
    </row>
    <row r="16" spans="2:30" ht="23.1" customHeight="1" x14ac:dyDescent="0.25">
      <c r="B16" s="6" t="s">
        <v>22</v>
      </c>
      <c r="C16" s="22">
        <f>'29-04-NALYA RBT-BWEYOGERERE'!C16+'29-04-BWEYOGERERE-NALYA RBT'!C16</f>
        <v>4790</v>
      </c>
      <c r="D16" s="22">
        <f>'29-04-NALYA RBT-BWEYOGERERE'!D16+'29-04-BWEYOGERERE-NALYA RBT'!D16</f>
        <v>7826.0950876265388</v>
      </c>
      <c r="E16" s="22">
        <f>'29-04-NALYA RBT-BWEYOGERERE'!E16+'29-04-BWEYOGERERE-NALYA RBT'!E16</f>
        <v>1211.0557917489539</v>
      </c>
      <c r="F16" s="22">
        <f>'29-04-NALYA RBT-BWEYOGERERE'!F16+'29-04-BWEYOGERERE-NALYA RBT'!F16</f>
        <v>1106.1892982101479</v>
      </c>
      <c r="G16" s="22">
        <f>'29-04-NALYA RBT-BWEYOGERERE'!G16+'29-04-BWEYOGERERE-NALYA RBT'!G16</f>
        <v>3199.3203103861156</v>
      </c>
      <c r="H16" s="22">
        <f>'29-04-NALYA RBT-BWEYOGERERE'!H16+'29-04-BWEYOGERERE-NALYA RBT'!H16</f>
        <v>204.53689955992348</v>
      </c>
      <c r="I16" s="22">
        <f>'29-04-NALYA RBT-BWEYOGERERE'!I16+'29-04-BWEYOGERERE-NALYA RBT'!I16</f>
        <v>68.336423717480201</v>
      </c>
      <c r="J16" s="22">
        <f>'29-04-NALYA RBT-BWEYOGERERE'!J16+'29-04-BWEYOGERERE-NALYA RBT'!J16</f>
        <v>1238.2434011849407</v>
      </c>
      <c r="K16" s="22">
        <f>'29-04-NALYA RBT-BWEYOGERERE'!K16+'29-04-BWEYOGERERE-NALYA RBT'!K16</f>
        <v>1022.0021832770924</v>
      </c>
      <c r="L16" s="22">
        <f>'29-04-NALYA RBT-BWEYOGERERE'!L16+'29-04-BWEYOGERERE-NALYA RBT'!L16</f>
        <v>453.1093286889452</v>
      </c>
      <c r="M16" s="22">
        <f>'29-04-NALYA RBT-BWEYOGERERE'!M16+'29-04-BWEYOGERERE-NALYA RBT'!M16</f>
        <v>546.32398961232832</v>
      </c>
      <c r="N16" s="22">
        <f>'29-04-NALYA RBT-BWEYOGERERE'!N16+'29-04-BWEYOGERERE-NALYA RBT'!N16</f>
        <v>0.78728598752857371</v>
      </c>
      <c r="O16" s="9">
        <f t="shared" si="0"/>
        <v>16875.999999999993</v>
      </c>
      <c r="P16" s="9">
        <f t="shared" si="1"/>
        <v>21665.999999999985</v>
      </c>
      <c r="R16"/>
      <c r="S16"/>
      <c r="AB16" s="28">
        <f>O16/AB13</f>
        <v>0.88543770822949164</v>
      </c>
      <c r="AC16" s="28">
        <f>P16/AC13</f>
        <v>0.94061463822305147</v>
      </c>
    </row>
    <row r="17" spans="2:19" ht="26.25" customHeight="1" x14ac:dyDescent="0.25">
      <c r="B17" s="16" t="s">
        <v>23</v>
      </c>
      <c r="C17" s="11">
        <f t="shared" ref="C17:P17" si="2">AVERAGE(C10:C16)</f>
        <v>4126.3571428571431</v>
      </c>
      <c r="D17" s="11">
        <f t="shared" si="2"/>
        <v>9081.7735345407837</v>
      </c>
      <c r="E17" s="11">
        <f t="shared" si="2"/>
        <v>1405.3668292054404</v>
      </c>
      <c r="F17" s="11">
        <f t="shared" si="2"/>
        <v>1283.6747548034091</v>
      </c>
      <c r="G17" s="11">
        <f t="shared" si="2"/>
        <v>3712.6436873124226</v>
      </c>
      <c r="H17" s="11">
        <f t="shared" si="2"/>
        <v>237.35436133369174</v>
      </c>
      <c r="I17" s="11">
        <f t="shared" si="2"/>
        <v>79.300841276999378</v>
      </c>
      <c r="J17" s="11">
        <f t="shared" si="2"/>
        <v>1436.9166262726337</v>
      </c>
      <c r="K17" s="11">
        <f t="shared" si="2"/>
        <v>1185.9800163945713</v>
      </c>
      <c r="L17" s="11">
        <f t="shared" si="2"/>
        <v>525.80964880517342</v>
      </c>
      <c r="M17" s="11">
        <f t="shared" si="2"/>
        <v>633.98038160697899</v>
      </c>
      <c r="N17" s="11">
        <f t="shared" si="2"/>
        <v>0.91360416217741203</v>
      </c>
      <c r="O17" s="12">
        <f t="shared" si="2"/>
        <v>19583.714285714283</v>
      </c>
      <c r="P17" s="12">
        <f t="shared" si="2"/>
        <v>23710.07142857142</v>
      </c>
      <c r="R17"/>
      <c r="S17"/>
    </row>
    <row r="18" spans="2:19" ht="23.1" customHeight="1" x14ac:dyDescent="0.25">
      <c r="B18" s="18" t="s">
        <v>11</v>
      </c>
      <c r="C18" s="17">
        <f>C$17/P$17</f>
        <v>0.17403393976640436</v>
      </c>
      <c r="D18" s="17">
        <f t="shared" ref="D18:N18" si="3">D17/$P$17</f>
        <v>0.38303442323657222</v>
      </c>
      <c r="E18" s="17">
        <f t="shared" si="3"/>
        <v>5.9272990106302541E-2</v>
      </c>
      <c r="F18" s="17">
        <f t="shared" si="3"/>
        <v>5.4140484505522772E-2</v>
      </c>
      <c r="G18" s="17">
        <f t="shared" si="3"/>
        <v>0.1565850907913573</v>
      </c>
      <c r="H18" s="17">
        <f t="shared" si="3"/>
        <v>1.0010697860980371E-2</v>
      </c>
      <c r="I18" s="17">
        <f t="shared" si="3"/>
        <v>3.3446057518594923E-3</v>
      </c>
      <c r="J18" s="17">
        <f t="shared" si="3"/>
        <v>6.060363970650471E-2</v>
      </c>
      <c r="K18" s="17">
        <f t="shared" si="3"/>
        <v>5.0020094623815688E-2</v>
      </c>
      <c r="L18" s="17">
        <f t="shared" si="3"/>
        <v>2.2176637062828727E-2</v>
      </c>
      <c r="M18" s="17">
        <f t="shared" si="3"/>
        <v>2.6738864263521858E-2</v>
      </c>
      <c r="N18" s="17">
        <f t="shared" si="3"/>
        <v>3.8532324330178474E-5</v>
      </c>
      <c r="O18" s="12">
        <f>SUM(O10:O16)</f>
        <v>137085.99999999997</v>
      </c>
      <c r="P18" s="12">
        <f>SUM(P10:P16)</f>
        <v>165970.49999999994</v>
      </c>
      <c r="R18"/>
      <c r="S18"/>
    </row>
    <row r="19" spans="2:19" ht="23.1" customHeight="1" x14ac:dyDescent="0.25">
      <c r="B19" s="19" t="s">
        <v>12</v>
      </c>
      <c r="C19" s="17"/>
      <c r="D19" s="17">
        <f t="shared" ref="D19:N19" si="4">D$17/$O$17</f>
        <v>0.46374111683020508</v>
      </c>
      <c r="E19" s="17">
        <f t="shared" si="4"/>
        <v>7.1762016576733464E-2</v>
      </c>
      <c r="F19" s="17">
        <f t="shared" si="4"/>
        <v>6.5548074082137239E-2</v>
      </c>
      <c r="G19" s="17">
        <f t="shared" si="4"/>
        <v>0.18957811746777178</v>
      </c>
      <c r="H19" s="17">
        <f t="shared" si="4"/>
        <v>1.2119986937658422E-2</v>
      </c>
      <c r="I19" s="17">
        <f t="shared" si="4"/>
        <v>4.0493258898720201E-3</v>
      </c>
      <c r="J19" s="17">
        <f t="shared" si="4"/>
        <v>7.3373038704962118E-2</v>
      </c>
      <c r="K19" s="17">
        <f t="shared" si="4"/>
        <v>6.0559503631019945E-2</v>
      </c>
      <c r="L19" s="17">
        <f t="shared" si="4"/>
        <v>2.6849332110034683E-2</v>
      </c>
      <c r="M19" s="17">
        <f t="shared" si="4"/>
        <v>3.2372836549675779E-2</v>
      </c>
      <c r="N19" s="17">
        <f t="shared" si="4"/>
        <v>4.6651219929401145E-5</v>
      </c>
      <c r="O19" s="12"/>
      <c r="P19" s="12"/>
      <c r="R19"/>
      <c r="S19"/>
    </row>
    <row r="20" spans="2:19" ht="23.1" customHeight="1" x14ac:dyDescent="0.25">
      <c r="D20" s="2"/>
      <c r="E20" s="2"/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C8:P8"/>
    <mergeCell ref="C3:F3"/>
    <mergeCell ref="B1:P1"/>
    <mergeCell ref="B2:P2"/>
    <mergeCell ref="D5:E5"/>
    <mergeCell ref="G5:H5"/>
    <mergeCell ref="K5:L5"/>
    <mergeCell ref="D6:E6"/>
    <mergeCell ref="G6:H6"/>
    <mergeCell ref="K6:L6"/>
  </mergeCells>
  <pageMargins left="0" right="0" top="0" bottom="0" header="0.15748031496062992" footer="0.11811023622047245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29-04-NALYA RBT-BWEYOGERERE</vt:lpstr>
      <vt:lpstr>29-04-BWEYOGERERE-NALYA RBT</vt:lpstr>
      <vt:lpstr>29-04-BWEYOGERERE-NALYA  2 DIR</vt:lpstr>
      <vt:lpstr>'29-04-BWEYOGERERE-NALYA  2 DIR'!Print_Area</vt:lpstr>
      <vt:lpstr>'29-04-BWEYOGERERE-NALYA RBT'!Print_Area</vt:lpstr>
      <vt:lpstr>'29-04-NALYA RBT-BWEYOGERERE'!Print_Area</vt:lpstr>
      <vt:lpstr>'29-04-BWEYOGERERE-NALYA  2 DIR'!Print_Titles</vt:lpstr>
      <vt:lpstr>'29-04-BWEYOGERERE-NALYA RBT'!Print_Titles</vt:lpstr>
      <vt:lpstr>'29-04-NALYA RBT-BWEYOGERERE'!Print_Titles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MR.O</dc:creator>
  <cp:lastModifiedBy>USER</cp:lastModifiedBy>
  <cp:lastPrinted>2020-03-24T09:55:48Z</cp:lastPrinted>
  <dcterms:created xsi:type="dcterms:W3CDTF">2020-02-14T20:49:42Z</dcterms:created>
  <dcterms:modified xsi:type="dcterms:W3CDTF">2020-03-24T10:24:28Z</dcterms:modified>
</cp:coreProperties>
</file>